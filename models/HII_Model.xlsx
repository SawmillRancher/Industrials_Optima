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  <sheet name="Sheet1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Source: segment note, 10-K/10-Q XBRL (SalesRevenueIntersegmentNet / Revenues × IntersegmentEliminationMember). Not disclosed by segment pre-2018.</t>
        </r>
      </text>
    </comment>
    <comment ref="B13" authorId="0">
      <text>
        <r>
          <rPr>
            <sz val="10"/>
            <rFont val="Arial"/>
            <family val="2"/>
          </rPr>
          <t xml:space="preserve">Source: HII 10-K/10-Q segment note (XBRL us-gaap:Revenues by StatementBusinessSegmentsAxis), latest filing reporting each period. Q4 = FY less 9M YTD. Q1–Q3/15 on original basis (pre Dec-2016 realignment); Q4/15 &amp; FY2015 recast per Q4-16 earnings release / 2016 10-K.</t>
        </r>
      </text>
    </comment>
    <comment ref="B14" authorId="0">
      <text>
        <r>
          <rPr>
            <sz val="10"/>
            <rFont val="Arial"/>
            <family val="2"/>
          </rPr>
          <t xml:space="preserve">Source: segment operating income (non-GAAP, HII-defined: operating income before Operating FAS/CAS Adjustment and non-current state income taxes), 10-K/10-Q segment note &amp; earnings releases.</t>
        </r>
      </text>
    </comment>
    <comment ref="B15" authorId="0">
      <text>
        <r>
          <rPr>
            <sz val="10"/>
            <rFont val="Arial"/>
            <family val="2"/>
          </rPr>
          <t xml:space="preserve">Source: 10-K segment note (DepreciationDepletionAndAmortization by segment); quarterly from 2024 10-Qs.</t>
        </r>
      </text>
    </comment>
    <comment ref="B24" authorId="0">
      <text>
        <r>
          <rPr>
            <sz val="10"/>
            <rFont val="Arial"/>
            <family val="2"/>
          </rPr>
          <t xml:space="preserve">Source: MD&amp;A backlog table (funded / unfunded by segment) in each 10-Q / 10-K. Quarter-end balances; FY = Q4, 1H = Q2.</t>
        </r>
      </text>
    </comment>
    <comment ref="B33" authorId="0">
      <text>
        <r>
          <rPr>
            <sz val="10"/>
            <rFont val="Arial"/>
            <family val="2"/>
          </rPr>
          <t xml:space="preserve">Source: 10-K segment note (PaymentsToAcquireProductiveAssets by segment); quarterly from 2024 10-Qs.</t>
        </r>
      </text>
    </comment>
    <comment ref="B38" authorId="0">
      <text>
        <r>
          <rPr>
            <sz val="10"/>
            <rFont val="Arial"/>
            <family val="2"/>
          </rPr>
          <t xml:space="preserve">Source: segment note, 10-K/10-Q XBRL (SalesRevenueIntersegmentNet / Revenues × IntersegmentEliminationMember). Not disclosed by segment pre-2018.</t>
        </r>
      </text>
    </comment>
    <comment ref="B39" authorId="0">
      <text>
        <r>
          <rPr>
            <sz val="10"/>
            <rFont val="Arial"/>
            <family val="2"/>
          </rPr>
          <t xml:space="preserve">Source: HII 10-K/10-Q segment note (XBRL us-gaap:Revenues by StatementBusinessSegmentsAxis), latest filing reporting each period. Q4 = FY less 9M YTD. Q1–Q3/15 on original basis (pre Dec-2016 realignment); Q4/15 &amp; FY2015 recast per Q4-16 earnings release / 2016 10-K.</t>
        </r>
      </text>
    </comment>
    <comment ref="B40" authorId="0">
      <text>
        <r>
          <rPr>
            <sz val="10"/>
            <rFont val="Arial"/>
            <family val="2"/>
          </rPr>
          <t xml:space="preserve">Source: segment operating income (non-GAAP, HII-defined: operating income before Operating FAS/CAS Adjustment and non-current state income taxes), 10-K/10-Q segment note &amp; earnings releases.</t>
        </r>
      </text>
    </comment>
    <comment ref="B41" authorId="0">
      <text>
        <r>
          <rPr>
            <sz val="10"/>
            <rFont val="Arial"/>
            <family val="2"/>
          </rPr>
          <t xml:space="preserve">Source: 10-K segment note (DepreciationDepletionAndAmortization by segment); quarterly from 2024 10-Qs.</t>
        </r>
      </text>
    </comment>
    <comment ref="B50" authorId="0">
      <text>
        <r>
          <rPr>
            <sz val="10"/>
            <rFont val="Arial"/>
            <family val="2"/>
          </rPr>
          <t xml:space="preserve">Source: MD&amp;A backlog table (funded / unfunded by segment) in each 10-Q / 10-K. Quarter-end balances; FY = Q4, 1H = Q2.</t>
        </r>
      </text>
    </comment>
    <comment ref="B59" authorId="0">
      <text>
        <r>
          <rPr>
            <sz val="10"/>
            <rFont val="Arial"/>
            <family val="2"/>
          </rPr>
          <t xml:space="preserve">Source: 10-K segment note (PaymentsToAcquireProductiveAssets by segment); quarterly from 2024 10-Qs.</t>
        </r>
      </text>
    </comment>
    <comment ref="B64" authorId="0">
      <text>
        <r>
          <rPr>
            <sz val="10"/>
            <rFont val="Arial"/>
            <family val="2"/>
          </rPr>
          <t xml:space="preserve">Source: segment note, 10-K/10-Q XBRL (SalesRevenueIntersegmentNet / Revenues × IntersegmentEliminationMember). Not disclosed by segment pre-2018.</t>
        </r>
      </text>
    </comment>
    <comment ref="B65" authorId="0">
      <text>
        <r>
          <rPr>
            <sz val="10"/>
            <rFont val="Arial"/>
            <family val="2"/>
          </rPr>
          <t xml:space="preserve">Source: HII 10-K/10-Q segment note (XBRL us-gaap:Revenues by StatementBusinessSegmentsAxis), latest filing reporting each period. Q4 = FY less 9M YTD. Q1–Q3/15 = original "Other" segment (oil &amp; gas etc.); Q4/15 recast per Q4-16 earnings release comparatives; FY2015 recast per 2016 10-K.</t>
        </r>
      </text>
    </comment>
    <comment ref="B66" authorId="0">
      <text>
        <r>
          <rPr>
            <sz val="10"/>
            <rFont val="Arial"/>
            <family val="2"/>
          </rPr>
          <t xml:space="preserve">Source: segment operating income (non-GAAP, HII-defined: operating income before Operating FAS/CAS Adjustment and non-current state income taxes), 10-K/10-Q segment note &amp; earnings releases.</t>
        </r>
      </text>
    </comment>
    <comment ref="B67" authorId="0">
      <text>
        <r>
          <rPr>
            <sz val="10"/>
            <rFont val="Arial"/>
            <family val="2"/>
          </rPr>
          <t xml:space="preserve">Source: 10-K segment note (DepreciationDepletionAndAmortization by segment); quarterly from 2024 10-Qs.</t>
        </r>
      </text>
    </comment>
    <comment ref="B76" authorId="0">
      <text>
        <r>
          <rPr>
            <sz val="10"/>
            <rFont val="Arial"/>
            <family val="2"/>
          </rPr>
          <t xml:space="preserve">Source: MD&amp;A backlog table (funded / unfunded by segment) in each 10-Q / 10-K. Quarter-end balances; FY = Q4, 1H = Q2. 2015 = original "Other" segment.</t>
        </r>
      </text>
    </comment>
    <comment ref="B85" authorId="0">
      <text>
        <r>
          <rPr>
            <sz val="10"/>
            <rFont val="Arial"/>
            <family val="2"/>
          </rPr>
          <t xml:space="preserve">Source: 10-K segment note (PaymentsToAcquireProductiveAssets by segment); quarterly from 2024 10-Qs.</t>
        </r>
      </text>
    </comment>
    <comment ref="B89" authorId="0">
      <text>
        <r>
          <rPr>
            <sz val="10"/>
            <rFont val="Arial"/>
            <family val="2"/>
          </rPr>
          <t xml:space="preserve">Source: segment note / earnings release reconciliation of segment operating income.</t>
        </r>
      </text>
    </comment>
    <comment ref="B90" authorId="0">
      <text>
        <r>
          <rPr>
            <sz val="10"/>
            <rFont val="Arial"/>
            <family val="2"/>
          </rPr>
          <t xml:space="preserve">Source: earnings release "Reconciliation of Segment Operating Income" (Operating FAS/CAS Adjustment) and 10-K/10-Q segment note (us-gaap/hii:FasCasAdjustment). Sign: positive = reduces GAAP operating income vs segment OI.</t>
        </r>
      </text>
    </comment>
    <comment ref="B91" authorId="0">
      <text>
        <r>
          <rPr>
            <sz val="10"/>
            <rFont val="Arial"/>
            <family val="2"/>
          </rPr>
          <t xml:space="preserve">Source: earnings release segment OI reconciliation; 10-K/10-Q (DeferredStateAndLocalIncomeTaxExpenseBenefit, corporate). Q4/16 and 2025 gaps derived so the bridge ties to reported operating income.</t>
        </r>
      </text>
    </comment>
    <comment ref="B102" authorId="0">
      <text>
        <r>
          <rPr>
            <sz val="10"/>
            <rFont val="Arial"/>
            <family val="2"/>
          </rPr>
          <t xml:space="preserve">Source: cash flow statement / XBRL DepreciationDepletionAndAmortization (depreciation + amortization of purchased intangibles).</t>
        </r>
      </text>
    </comment>
    <comment ref="B117" authorId="0">
      <text>
        <r>
          <rPr>
            <sz val="10"/>
            <rFont val="Arial"/>
            <family val="2"/>
          </rPr>
          <t xml:space="preserve">Source: Consolidated Statements of Operations, 10-K/10-Q (SalesRevenueGoodsNet / Revenues × ProductMember).</t>
        </r>
      </text>
    </comment>
    <comment ref="B123" authorId="0">
      <text>
        <r>
          <rPr>
            <sz val="10"/>
            <rFont val="Arial"/>
            <family val="2"/>
          </rPr>
          <t xml:space="preserve">Derived: reported operating income − (revenue − cost of sales + operating investment income − G&amp;A − impairments). Includes "Other income and gains" (FY2016 $15m, FY2018 $14m, FY2023 $120m, FY2024 $9m) and rounding.</t>
        </r>
      </text>
    </comment>
    <comment ref="B127" authorId="0">
      <text>
        <r>
          <rPr>
            <sz val="10"/>
            <rFont val="Arial"/>
            <family val="2"/>
          </rPr>
          <t xml:space="preserve">Source: Statements of Operations. FY2015 and FY2017 include losses on early extinguishment of debt ($44m / $22m) and FY2020 $21m (see memo row).</t>
        </r>
      </text>
    </comment>
    <comment ref="B128" authorId="0">
      <text>
        <r>
          <rPr>
            <sz val="10"/>
            <rFont val="Arial"/>
            <family val="2"/>
          </rPr>
          <t xml:space="preserve">Presented below operating income from FY2017 (ASU 2017-07 recast in 2018 10-K); FY2015–16 shown as originally reported (included in operating income).</t>
        </r>
      </text>
    </comment>
    <comment ref="B129" authorId="0">
      <text>
        <r>
          <rPr>
            <sz val="10"/>
            <rFont val="Arial"/>
            <family val="2"/>
          </rPr>
          <t xml:space="preserve">Derived: reported earnings before income taxes − (operating income − interest expense + non-operating retirement benefit).</t>
        </r>
      </text>
    </comment>
    <comment ref="B134" authorId="0">
      <text>
        <r>
          <rPr>
            <sz val="10"/>
            <rFont val="Arial"/>
            <family val="2"/>
          </rPr>
          <t xml:space="preserve">Source: 10-K (GainsLossesOnExtinguishmentOfDebt). Included in reported interest expense.</t>
        </r>
      </text>
    </comment>
    <comment ref="B136" authorId="0">
      <text>
        <r>
          <rPr>
            <sz val="10"/>
            <rFont val="Arial"/>
            <family val="2"/>
          </rPr>
          <t xml:space="preserve">Source: 10-K/10-Q; Q4 from Q4 earnings release (Ex. 99.1).</t>
        </r>
      </text>
    </comment>
    <comment ref="B140" authorId="0">
      <text>
        <r>
          <rPr>
            <sz val="10"/>
            <rFont val="Arial"/>
            <family val="2"/>
          </rPr>
          <t xml:space="preserve">Source: 10-K/10-Q (CommonStockDividendsPerShareDeclared); Q4 = FY less 9M.</t>
        </r>
      </text>
    </comment>
    <comment ref="B152" authorId="0">
      <text>
        <r>
          <rPr>
            <sz val="10"/>
            <rFont val="Arial"/>
            <family val="2"/>
          </rPr>
          <t xml:space="preserve">Source: Q4-15 &amp; Q4-19 earnings releases (non-GAAP reconciliations): 2015 goodwill $75m (Q2 $59m, Q4 $16m) + TS intangible $27m (Q4); 2019 goodwill $29m + long-lived assets $6m (Q4). Not adjusted by HII: 2020 $13m impairment.</t>
        </r>
      </text>
    </comment>
    <comment ref="B153" authorId="0">
      <text>
        <r>
          <rPr>
            <sz val="10"/>
            <rFont val="Arial"/>
            <family val="2"/>
          </rPr>
          <t xml:space="preserve">Source: Q2-15 / Q4-15 earnings releases — $136m Ingalls insurance litigation settlement (Hurricane Katrina) recognised Q2-15.</t>
        </r>
      </text>
    </comment>
    <comment ref="B163" authorId="0">
      <text>
        <r>
          <rPr>
            <sz val="10"/>
            <rFont val="Arial"/>
            <family val="2"/>
          </rPr>
          <t xml:space="preserve">Source: Q4-17 earnings release — $56m 2017 Tax Act remeasurement + $7m tax expense related to discretionary pension contributions.</t>
        </r>
      </text>
    </comment>
    <comment ref="B167" authorId="0">
      <text>
        <r>
          <rPr>
            <sz val="10"/>
            <rFont val="Arial"/>
            <family val="2"/>
          </rPr>
          <t xml:space="preserve">Source: Q4 earnings releases (Ex. 99.1), FY figures as first published. Definition varied: 2015–16 excl. FAS/CAS, impairments, settlement, debt extinguishment; 2017–18 excl. tax reform &amp; debt extinguishment; 2019 excl. impairments; 2020–21 "pension-adjusted" (excl. FAS/CAS). Not reported after FY2021.</t>
        </r>
      </text>
    </comment>
    <comment ref="B173" authorId="0">
      <text>
        <r>
          <rPr>
            <sz val="10"/>
            <rFont val="Arial"/>
            <family val="2"/>
          </rPr>
          <t xml:space="preserve">Acquired revenue disclosed in 10-K: Camber FY2017 $309m (acquired Dec-2016; Dec-16 stub not disclosed), Alion 19-Aug to 31-Dec-2021 $506m. Hydroid (2019), Alion carry-over (2022) and W International (2025) not disclosed → 0. Forecast: no M&amp;A.</t>
        </r>
      </text>
    </comment>
    <comment ref="B202" authorId="0">
      <text>
        <r>
          <rPr>
            <sz val="10"/>
            <rFont val="Arial"/>
            <family val="2"/>
          </rPr>
          <t xml:space="preserve">Historical: residual = reported CFO less the lines shown (incl. debt issuance cost amortization, marketable-securities gains, provision for doubtful accounts, other non-cash items).</t>
        </r>
      </text>
    </comment>
    <comment ref="B215" authorId="0">
      <text>
        <r>
          <rPr>
            <sz val="10"/>
            <rFont val="Arial"/>
            <family val="2"/>
          </rPr>
          <t xml:space="preserve">Historical residual: debt issuance costs, tender premiums, line-of-credit draws/repayments, stock option proceeds and other.</t>
        </r>
      </text>
    </comment>
    <comment ref="B218" authorId="0">
      <text>
        <r>
          <rPr>
            <sz val="10"/>
            <rFont val="Arial"/>
            <family val="2"/>
          </rPr>
          <t xml:space="preserve">FY2015 opening cash $990m per 2015 10-K. Includes restricted cash from FY2019 (ASU 2016-18).</t>
        </r>
      </text>
    </comment>
    <comment ref="B247" authorId="0">
      <text>
        <r>
          <rPr>
            <sz val="10"/>
            <rFont val="Arial"/>
            <family val="2"/>
          </rPr>
          <t xml:space="preserve">Unbilled receivables under ASC 606 from FY2017 (recast); pre-2017 included in accounts receivable.</t>
        </r>
      </text>
    </comment>
    <comment ref="B251" authorId="0">
      <text>
        <r>
          <rPr>
            <sz val="10"/>
            <rFont val="Arial"/>
            <family val="2"/>
          </rPr>
          <t xml:space="preserve">Residual: total current assets less lines shown.</t>
        </r>
      </text>
    </comment>
    <comment ref="B259" authorId="0">
      <text>
        <r>
          <rPr>
            <sz val="10"/>
            <rFont val="Arial"/>
            <family val="2"/>
          </rPr>
          <t xml:space="preserve">Residual: total assets less lines shown.</t>
        </r>
      </text>
    </comment>
    <comment ref="B268" authorId="0">
      <text>
        <r>
          <rPr>
            <sz val="10"/>
            <rFont val="Arial"/>
            <family val="2"/>
          </rPr>
          <t xml:space="preserve">Advance payments / billings in excess of revenue (ASC 606 contract liabilities from FY2017; "billings in excess of costs" previously).</t>
        </r>
      </text>
    </comment>
    <comment ref="B270" authorId="0">
      <text>
        <r>
          <rPr>
            <sz val="10"/>
            <rFont val="Arial"/>
            <family val="2"/>
          </rPr>
          <t xml:space="preserve">Residual: total current liabilities less lines shown.</t>
        </r>
      </text>
    </comment>
    <comment ref="B278" authorId="0">
      <text>
        <r>
          <rPr>
            <sz val="10"/>
            <rFont val="Arial"/>
            <family val="2"/>
          </rPr>
          <t xml:space="preserve">Residual: total liabilities less lines shown.</t>
        </r>
      </text>
    </comment>
    <comment ref="B304" authorId="0">
      <text>
        <r>
          <rPr>
            <sz val="10"/>
            <rFont val="Arial"/>
            <family val="2"/>
          </rPr>
          <t xml:space="preserve">Source: FY2025 10-K intangible assets note (FiniteLivedIntangibleAssetsAmortizationExpense NextTwelveMonths … YearFive).</t>
        </r>
      </text>
    </comment>
    <comment ref="B350" authorId="0">
      <text>
        <r>
          <rPr>
            <sz val="10"/>
            <rFont val="Arial"/>
            <family val="2"/>
          </rPr>
          <t xml:space="preserve">FY2015–17: average of quarterly high/low closing prices per 10-K Item 5 (not disclosed in 10-K from FY2018). 2026E+: $275 current share price (user input), held constant as in the template.</t>
        </r>
      </text>
    </comment>
    <comment ref="CA2" authorId="0">
      <text>
        <r>
          <rPr>
            <sz val="10"/>
            <rFont val="Arial"/>
            <family val="2"/>
          </rPr>
          <t xml:space="preserve">Scenario toggle. Choose Bull / Base / Bear. Drives: FY26 guidance end-points (shipbuilding &amp; MT revenue / margin, FCF), 2027E–30E segment revenue growth and segment operating margins, and share repurchases (scenario input table, columns CH:CK).</t>
        </r>
      </text>
    </comment>
    <comment ref="CH11" authorId="0">
      <text>
        <r>
          <rPr>
            <sz val="10"/>
            <rFont val="Arial"/>
            <family val="2"/>
          </rPr>
          <t xml:space="preserve">FY26 guidance per HII Q2-2026 earnings release (Form 8-K Ex. 99.1, 30-Jul-2026): shipbuilding revenue $10.2–10.4bn; shipbuilding operating margin 6.0–6.5%; MT revenue $3.0–3.2bn; MT segment operating margin ~5% (Bull/Bear ±25bp = analyst range); MT EBITDA margin 8.4–8.6%; FCF $500–600m; Operating FAS/CAS ($44m); non-current state tax ~($20m); interest expense ($105m); non-operating retirement benefit $213m; ETR ~17%; D&amp;A ~$330m; capex 4–5% of sales.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6" authorId="0">
      <text>
        <r>
          <rPr>
            <sz val="10"/>
            <rFont val="Arial"/>
            <family val="2"/>
          </rPr>
          <t xml:space="preserve">Assumed forward P/E on model adjusted EPS (Base 16.5x; Bull snapshot 19x; Bear snapshot 14x). HII traded at ~15–22x adjusted earnings 2015–17 (10-K average prices).</t>
        </r>
      </text>
    </comment>
    <comment ref="K2" authorId="0">
      <text>
        <r>
          <rPr>
            <sz val="10"/>
            <rFont val="Arial"/>
            <family val="2"/>
          </rPr>
          <t xml:space="preserve">Current share price $275 (user input) — linked to Model valuation row (2026E). Change it in the Model.</t>
        </r>
      </text>
    </comment>
  </commentList>
</comments>
</file>

<file path=xl/sharedStrings.xml><?xml version="1.0" encoding="utf-8"?>
<sst xmlns="http://schemas.openxmlformats.org/spreadsheetml/2006/main" count="850" uniqueCount="624">
  <si>
    <t xml:space="preserve">SCENARIO SWITCH ▼ (Bull / Base / Bear) — drives all scenario-linked forecast drivers</t>
  </si>
  <si>
    <t xml:space="preserve">Huntington Ingalls Industries, Inc. (NYSE: HII) — 3-Statement Financial Model</t>
  </si>
  <si>
    <t xml:space="preserve">Base</t>
  </si>
  <si>
    <t xml:space="preserve">US GAAP as reported · USD millions (per-share data in USD) · Source: HII Forms 10-K / 10-Q (XBRL financial data) and Form 8-K earnings releases (Ex. 99.1), SEC EDGAR CIK 0001501585</t>
  </si>
  <si>
    <t xml:space="preserve">Basis notes: FY2015–16 as originally reported; FY2017+ as recast in the 2018 10-K for ASU 2017-07 (non-service pension moved below operating income). Technical Solutions formed Dec-2016 (renamed Mission Technologies 2022); Q1–Q3/15 shown on the original segment basis ("Other"), Q4/15 and FY2015 recast. Q3/26E–Q4/26E = FY26 guidance less 1H/26 actuals.</t>
  </si>
  <si>
    <t xml:space="preserve">Forecast</t>
  </si>
  <si>
    <t xml:space="preserve">Historical</t>
  </si>
  <si>
    <t xml:space="preserve">(USDm)</t>
  </si>
  <si>
    <t xml:space="preserve">Q1/15</t>
  </si>
  <si>
    <t xml:space="preserve">Q2/15</t>
  </si>
  <si>
    <t xml:space="preserve">1H/15</t>
  </si>
  <si>
    <t xml:space="preserve">Q3/15</t>
  </si>
  <si>
    <t xml:space="preserve">Q4/15</t>
  </si>
  <si>
    <t xml:space="preserve">Q1/16</t>
  </si>
  <si>
    <t xml:space="preserve">Q2/16</t>
  </si>
  <si>
    <t xml:space="preserve">1H/16</t>
  </si>
  <si>
    <t xml:space="preserve">Q3/16</t>
  </si>
  <si>
    <t xml:space="preserve">Q4/16</t>
  </si>
  <si>
    <t xml:space="preserve">Q1/17</t>
  </si>
  <si>
    <t xml:space="preserve">Q2/17</t>
  </si>
  <si>
    <t xml:space="preserve">1H/17</t>
  </si>
  <si>
    <t xml:space="preserve">Q3/17</t>
  </si>
  <si>
    <t xml:space="preserve">Q4/17</t>
  </si>
  <si>
    <t xml:space="preserve">Q1/18</t>
  </si>
  <si>
    <t xml:space="preserve">Q2/18</t>
  </si>
  <si>
    <t xml:space="preserve">1H/18</t>
  </si>
  <si>
    <t xml:space="preserve">Q3/18</t>
  </si>
  <si>
    <t xml:space="preserve">Q4/18</t>
  </si>
  <si>
    <t xml:space="preserve">Q1/19</t>
  </si>
  <si>
    <t xml:space="preserve">Q2/19</t>
  </si>
  <si>
    <t xml:space="preserve">1H/19</t>
  </si>
  <si>
    <t xml:space="preserve">Q3/19</t>
  </si>
  <si>
    <t xml:space="preserve">Q4/19</t>
  </si>
  <si>
    <t xml:space="preserve">Q1/20</t>
  </si>
  <si>
    <t xml:space="preserve">Q2/20</t>
  </si>
  <si>
    <t xml:space="preserve">1H/20</t>
  </si>
  <si>
    <t xml:space="preserve">Q3/20</t>
  </si>
  <si>
    <t xml:space="preserve">Q4/20</t>
  </si>
  <si>
    <t xml:space="preserve">Q1/21</t>
  </si>
  <si>
    <t xml:space="preserve">Q2/21</t>
  </si>
  <si>
    <t xml:space="preserve">1H/21</t>
  </si>
  <si>
    <t xml:space="preserve">Q3/21</t>
  </si>
  <si>
    <t xml:space="preserve">Q4/21</t>
  </si>
  <si>
    <t xml:space="preserve">Q1/22</t>
  </si>
  <si>
    <t xml:space="preserve">Q2/22</t>
  </si>
  <si>
    <t xml:space="preserve">1H/22</t>
  </si>
  <si>
    <t xml:space="preserve">Q3/22</t>
  </si>
  <si>
    <t xml:space="preserve">Q4/22</t>
  </si>
  <si>
    <t xml:space="preserve">Q1/23</t>
  </si>
  <si>
    <t xml:space="preserve">Q2/23</t>
  </si>
  <si>
    <t xml:space="preserve">1H/23</t>
  </si>
  <si>
    <t xml:space="preserve">Q3/23</t>
  </si>
  <si>
    <t xml:space="preserve">Q4/23</t>
  </si>
  <si>
    <t xml:space="preserve">Q1/24</t>
  </si>
  <si>
    <t xml:space="preserve">Q2/24</t>
  </si>
  <si>
    <t xml:space="preserve">1H/24</t>
  </si>
  <si>
    <t xml:space="preserve">Q3/24</t>
  </si>
  <si>
    <t xml:space="preserve">Q4/24</t>
  </si>
  <si>
    <t xml:space="preserve">Q1/25</t>
  </si>
  <si>
    <t xml:space="preserve">Q2/25</t>
  </si>
  <si>
    <t xml:space="preserve">1H/25</t>
  </si>
  <si>
    <t xml:space="preserve">Q3/25</t>
  </si>
  <si>
    <t xml:space="preserve">Q4/25</t>
  </si>
  <si>
    <t xml:space="preserve">Q1/26</t>
  </si>
  <si>
    <t xml:space="preserve">Q2/26</t>
  </si>
  <si>
    <t xml:space="preserve">1H/26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</si>
  <si>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</si>
  <si>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</si>
  <si>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</si>
  <si>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</si>
  <si>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</si>
  <si>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</si>
  <si>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</si>
  <si>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</si>
  <si>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</si>
  <si>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</si>
  <si>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25-'30</t>
  </si>
  <si>
    <t xml:space="preserve">20-'25</t>
  </si>
  <si>
    <t xml:space="preserve">15-'25</t>
  </si>
  <si>
    <t xml:space="preserve">SEGMENT P&amp;L — BY DIVISION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</si>
  <si>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</si>
  <si>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</si>
  <si>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</si>
  <si>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Guidance block = high / mid / low end of FY26 ranges.</t>
  </si>
  <si>
    <t xml:space="preserve">Ingalls Shipbuilding</t>
  </si>
  <si>
    <t xml:space="preserve">INGALLS SHIPBUILDING — modelling logic</t>
  </si>
  <si>
    <t xml:space="preserve">  Revenue (external)</t>
  </si>
  <si>
    <t xml:space="preserve">External revenue = segment revenue less intersegment sales. Intersegment sales by segment not disclosed before FY2018 (n/d).</t>
  </si>
  <si>
    <t xml:space="preserve">FY26 guidance — Q2-26 release (30-Jul-26)</t>
  </si>
  <si>
    <t xml:space="preserve">High</t>
  </si>
  <si>
    <t xml:space="preserve">Mid</t>
  </si>
  <si>
    <t xml:space="preserve">Low</t>
  </si>
  <si>
    <t xml:space="preserve">  Intersegment revenue</t>
  </si>
  <si>
    <t xml:space="preserve">Q3/Q4-26E at 1H/26 run-rate; 2027E+ = segment revenue × intersegment % (held at FY2025 level).</t>
  </si>
  <si>
    <t xml:space="preserve">  Shipbuilding revenue ($m)</t>
  </si>
  <si>
    <t xml:space="preserve">  Segment revenue (as reported, incl. intersegment)</t>
  </si>
  <si>
    <t xml:space="preserve">Q3/26E–Q4/26E: FY26 guidance (scenario: high / mid / low end) less 1H/26 actuals, split evenly across Q3 and Q4. Shipbuilding guidance allocated between Ingalls and Newport News by 1H/26 revenue mix; 2H shipbuilding OI allocated by 2H revenue × 1H margin weights. 2027E+: prior year × (1 + scenario revenue growth).</t>
  </si>
  <si>
    <t xml:space="preserve">  Shipbuilding OI margin</t>
  </si>
  <si>
    <t xml:space="preserve">  Segment operating income</t>
  </si>
  <si>
    <t xml:space="preserve">Q3/26E–Q4/26E: FY26 guidance (scenario: high / mid / low end) less 1H/26 actuals, split evenly across Q3 and Q4. Shipbuilding guidance allocated between Ingalls and Newport News by 1H/26 revenue mix; 2H shipbuilding OI allocated by 2H revenue × 1H margin weights. 2027E+: segment revenue × scenario segment operating margin.</t>
  </si>
  <si>
    <t xml:space="preserve">  MT revenue ($m)</t>
  </si>
  <si>
    <t xml:space="preserve">  Depreciation &amp; amortization</t>
  </si>
  <si>
    <t xml:space="preserve">FY D&amp;A by segment from 10-K segment note (quarterly disclosure from FY2024 under ASU 2023-07). Q3/Q4-26E: 1H/26 run-rate scaled to FY26 D&amp;A guidance (~$330m). 2027E+: revenue × D&amp;A %.</t>
  </si>
  <si>
    <t xml:space="preserve">  MT segment OI margin</t>
  </si>
  <si>
    <t xml:space="preserve">  Segment EBITDA (segment OI + D&amp;A)</t>
  </si>
  <si>
    <t xml:space="preserve">Segment EBITDA = segment operating income + segment D&amp;A (HII publishes MT EBITDA incl. state tax add-back; shown here on a simple OI + D&amp;A basis for all segments).</t>
  </si>
  <si>
    <t xml:space="preserve">  Free cash flow ($m)</t>
  </si>
  <si>
    <t xml:space="preserve">  Revenue y/y %</t>
  </si>
  <si>
    <t xml:space="preserve">2027E–2030E revenue growth: scenario lever (ING_revGrowth, Bull/Base/Bear table →). 2026E growth is an output of FY26 guidance.</t>
  </si>
  <si>
    <t xml:space="preserve">  Segment OI y/y %</t>
  </si>
  <si>
    <t xml:space="preserve">FY26 guidance — point estimates (all cases)</t>
  </si>
  <si>
    <t xml:space="preserve">  Segment EBITDA y/y %</t>
  </si>
  <si>
    <t xml:space="preserve">  Operating FAS/CAS adjustment ($m)</t>
  </si>
  <si>
    <t xml:space="preserve">  Segment operating margin %</t>
  </si>
  <si>
    <t xml:space="preserve">2027E–2030E segment operating margin: scenario lever (ING_margin). 2026E margin is an output of FY26 guidance.</t>
  </si>
  <si>
    <t xml:space="preserve">  Non-current state income taxes ($m)</t>
  </si>
  <si>
    <t xml:space="preserve">  Segment EBITDA margin %</t>
  </si>
  <si>
    <t xml:space="preserve">  Interest expense ($m)</t>
  </si>
  <si>
    <t xml:space="preserve">  Incremental OI margin (ΔOI / ΔRev)</t>
  </si>
  <si>
    <t xml:space="preserve">  Non-operating retirement benefit ($m)</t>
  </si>
  <si>
    <t xml:space="preserve">Operating metrics — Ingalls</t>
  </si>
  <si>
    <t xml:space="preserve">  Effective tax rate</t>
  </si>
  <si>
    <t xml:space="preserve">  Funded backlog</t>
  </si>
  <si>
    <t xml:space="preserve">  D&amp;A ($m)</t>
  </si>
  <si>
    <t xml:space="preserve">  Unfunded backlog</t>
  </si>
  <si>
    <t xml:space="preserve">  Capex % of sales</t>
  </si>
  <si>
    <t xml:space="preserve">  Total backlog</t>
  </si>
  <si>
    <t xml:space="preserve">Forecast backlog = prior backlog + new awards − segment revenue; awards = revenue × book-to-bill assumption.</t>
  </si>
  <si>
    <t xml:space="preserve">  Implied new awards (ΔBacklog + Revenue)</t>
  </si>
  <si>
    <t xml:space="preserve">Implied awards = change in total backlog + segment revenue (backlog also moves for de-obligations/adjustments; not separately disclosed).</t>
  </si>
  <si>
    <t xml:space="preserve">ING_revGrowth</t>
  </si>
  <si>
    <t xml:space="preserve">Δ →</t>
  </si>
  <si>
    <t xml:space="preserve">  Book-to-bill (x)</t>
  </si>
  <si>
    <t xml:space="preserve">Book-to-bill input (blue): 2026E cell = 2H/26 assumption applied to Q3/Q4-26E; 2027E+ held at 1.0x (backlog stable in $). Shipbuilding awards are lumpy (multi-ship / multi-year contracts) — adjust for known awards.</t>
  </si>
  <si>
    <t xml:space="preserve">  2027E</t>
  </si>
  <si>
    <t xml:space="preserve">  Backlog / revenue (years)</t>
  </si>
  <si>
    <t xml:space="preserve">  2028E</t>
  </si>
  <si>
    <t xml:space="preserve">% of Revenue — Ingalls</t>
  </si>
  <si>
    <t xml:space="preserve">% OF REVENUE drivers — hardcoded inputs that drive forecast segment cost / capital intensity</t>
  </si>
  <si>
    <t xml:space="preserve">  2029E</t>
  </si>
  <si>
    <t xml:space="preserve">  Intersegment revenue % of segment revenue</t>
  </si>
  <si>
    <t xml:space="preserve">Held at FY2025 actual level (linked).</t>
  </si>
  <si>
    <t xml:space="preserve">  2030E</t>
  </si>
  <si>
    <t xml:space="preserve">  D&amp;A % of revenue</t>
  </si>
  <si>
    <t xml:space="preserve">Ingalls D&amp;A ~2.6% of revenue (FY25 2.6%); held flat — capex step-up offsets revenue growth.</t>
  </si>
  <si>
    <t xml:space="preserve">  Capital expenditures (segment)</t>
  </si>
  <si>
    <t xml:space="preserve">Segment capex = revenue × segment capex %. Illustrative allocation of group capex (group capex in the CF statement is driven by the group capex % of revenue line).</t>
  </si>
  <si>
    <t xml:space="preserve">NNS_revGrowth</t>
  </si>
  <si>
    <t xml:space="preserve">  Capex % of revenue</t>
  </si>
  <si>
    <t xml:space="preserve">Segment capex % = group capex % (CF memo) × FY2025 segment capex intensity relative to group.</t>
  </si>
  <si>
    <t xml:space="preserve">Newport News Shipbuilding</t>
  </si>
  <si>
    <t xml:space="preserve">NEWPORT NEWS SHIPBUILDING — modelling logic</t>
  </si>
  <si>
    <t xml:space="preserve">MT_revGrowth</t>
  </si>
  <si>
    <t xml:space="preserve">2027E–2030E revenue growth: scenario lever (NNS_revGrowth, Bull/Base/Bear table →). 2026E growth is an output of FY26 guidance.</t>
  </si>
  <si>
    <t xml:space="preserve">ING_margin</t>
  </si>
  <si>
    <t xml:space="preserve">2027E–2030E segment operating margin: scenario lever (NNS_margin). 2026E margin is an output of FY26 guidance.</t>
  </si>
  <si>
    <t xml:space="preserve">Operating metrics — Newport News</t>
  </si>
  <si>
    <t xml:space="preserve">NNS_margin</t>
  </si>
  <si>
    <t xml:space="preserve">% of Revenue — Newport News</t>
  </si>
  <si>
    <t xml:space="preserve">MT_margin</t>
  </si>
  <si>
    <t xml:space="preserve">NNS D&amp;A ~2.15% of revenue (FY25 2.2%); facilities investment (CVN/SSN capacity) keeps ratio broadly stable.</t>
  </si>
  <si>
    <t xml:space="preserve">Mission Technologies (Technical Solutions pre-2022)</t>
  </si>
  <si>
    <t xml:space="preserve">MISSION TECHNOLOGIES (TECHNICAL SOLUTIONS PRE-2022) — modelling logic</t>
  </si>
  <si>
    <t xml:space="preserve">Buybacks ($m)</t>
  </si>
  <si>
    <t xml:space="preserve">  2026E</t>
  </si>
  <si>
    <t xml:space="preserve">2027E–2030E revenue growth: scenario lever (MT_revGrowth, Bull/Base/Bear table →). 2026E growth is an output of FY26 guidance.</t>
  </si>
  <si>
    <t xml:space="preserve">2027E–2030E segment operating margin: scenario lever (MT_margin). 2026E margin is an output of FY26 guidance.</t>
  </si>
  <si>
    <t xml:space="preserve">Operating metrics — Mission Technologies</t>
  </si>
  <si>
    <t xml:space="preserve">% of Revenue — Mission Technologies</t>
  </si>
  <si>
    <t xml:space="preserve">MT D&amp;A 2.6% of revenue (FY25 3.4%, 1H26 2.7%) — purchased-intangible amortization (Alion) rolling off per 10-K amortization schedule.</t>
  </si>
  <si>
    <t xml:space="preserve">Corporate, eliminations &amp; non-segment items</t>
  </si>
  <si>
    <t xml:space="preserve">NON-SEGMENT ITEMS — modelling logic</t>
  </si>
  <si>
    <t xml:space="preserve">  Intersegment eliminations</t>
  </si>
  <si>
    <t xml:space="preserve">Forecast = −(sum of segment intersegment revenue).</t>
  </si>
  <si>
    <t xml:space="preserve">  Operating FAS/CAS adjustment (charge / (credit) to operating income)</t>
  </si>
  <si>
    <t xml:space="preserve">Operating FAS/CAS adjustment = GAAP pension service cost less CAS pension cost recovered in segment OI. FY26 guidance: ($44m) to operating income → Q3/Q4-26E = (44 − 1H)/2. 2027E+ held at FY26 level (HII has not guided beyond 2026).</t>
  </si>
  <si>
    <t xml:space="preserve">  Non-current state income taxes (charge / (credit) to operating income)</t>
  </si>
  <si>
    <t xml:space="preserve">Deferred state income tax expense recorded in operating income. FY26 guidance ~($20m) → Q3/Q4-26E = (20 − 1H)/2; held flat thereafter.</t>
  </si>
  <si>
    <t xml:space="preserve">  Corporate D&amp;A (total D&amp;A less segment D&amp;A)</t>
  </si>
  <si>
    <t xml:space="preserve">Corporate D&amp;A ~$4m p.a. (FY25 actual).</t>
  </si>
  <si>
    <t xml:space="preserve">Group Total (consolidated)</t>
  </si>
  <si>
    <t xml:space="preserve">GROUP TOTAL (CONSOLIDATED) — modelling logic</t>
  </si>
  <si>
    <t xml:space="preserve">  Sales and service revenues</t>
  </si>
  <si>
    <t xml:space="preserve">Group revenue = sum of segment revenue + intersegment eliminations (ties to the consolidated income statement; see check row).</t>
  </si>
  <si>
    <t xml:space="preserve">  Shipbuilding revenue (Ingalls + Newport News)</t>
  </si>
  <si>
    <t xml:space="preserve">HII non-GAAP "shipbuilding revenue". FY26 guidance $10.2–10.4bn (raised with Q2-26 results).</t>
  </si>
  <si>
    <t xml:space="preserve">  Segment operating income (HII non-GAAP)</t>
  </si>
  <si>
    <t xml:space="preserve">  Shipbuilding segment operating income</t>
  </si>
  <si>
    <t xml:space="preserve">  (−) Operating FAS/CAS adjustment</t>
  </si>
  <si>
    <t xml:space="preserve">  (−) Non-current state income taxes</t>
  </si>
  <si>
    <t xml:space="preserve">  Operating income (GAAP)</t>
  </si>
  <si>
    <t xml:space="preserve">  Depreciation &amp; amortization (total)</t>
  </si>
  <si>
    <t xml:space="preserve">FY26 guidance D&amp;A ~$330m → Q3/Q4-26E = (330 − 1H)/2. 2027E+ = sum of segment D&amp;A + corporate.</t>
  </si>
  <si>
    <t xml:space="preserve">  Shipbuilding operating margin %</t>
  </si>
  <si>
    <t xml:space="preserve">HII non-GAAP "shipbuilding operating margin". FY26 guidance 6.0–6.5% (low end raised with Q2-26 results).</t>
  </si>
  <si>
    <t xml:space="preserve">  Operating margin (GAAP) %</t>
  </si>
  <si>
    <t xml:space="preserve">  Incremental segment OI margin (ΔOI / ΔRev)</t>
  </si>
  <si>
    <t xml:space="preserve">  Total backlog (all segments)</t>
  </si>
  <si>
    <t xml:space="preserve">Total backlog $57.3bn at 30-Jun-26 (Q2-26 release).</t>
  </si>
  <si>
    <t xml:space="preserve">  Check: segment build vs consolidated revenue (should be 0)</t>
  </si>
  <si>
    <t xml:space="preserve">CONSOLIDATED INCOME STATEMENT (US GAAP)</t>
  </si>
  <si>
    <t xml:space="preserve">CONSOLIDATED IS — forecast logic</t>
  </si>
  <si>
    <t xml:space="preserve">Product sales</t>
  </si>
  <si>
    <t xml:space="preserve">Product / service mix held at prior-period ratio (1H/26 mix for Q3/Q4-26E).</t>
  </si>
  <si>
    <t xml:space="preserve">Service revenues</t>
  </si>
  <si>
    <t xml:space="preserve">Sales and service revenues</t>
  </si>
  <si>
    <t xml:space="preserve">Forecast revenue linked to the segment build (Group Total).</t>
  </si>
  <si>
    <t xml:space="preserve">Cost of product sales</t>
  </si>
  <si>
    <t xml:space="preserve">Cost of product sales at prior-period ratio to product sales.</t>
  </si>
  <si>
    <t xml:space="preserve">Cost of service revenues</t>
  </si>
  <si>
    <t xml:space="preserve">Forecast cost of service revenues is the balancing line so GAAP operating income equals the segment build (segment OI − FAS/CAS − non-current state tax).</t>
  </si>
  <si>
    <t xml:space="preserve">Income from operating investments, net</t>
  </si>
  <si>
    <t xml:space="preserve">Equity income (MT nuclear &amp; environmental JVs): 1H/26 run-rate, then flat.</t>
  </si>
  <si>
    <t xml:space="preserve">Other income and gains (losses), net</t>
  </si>
  <si>
    <t xml:space="preserve">Forecast nil. Historical line derived as reported operating income less the other reported lines (captures gains e.g. $120m in FY2023, and $1–2m rounding).</t>
  </si>
  <si>
    <t xml:space="preserve">General and administrative expenses</t>
  </si>
  <si>
    <t xml:space="preserve">G&amp;A held at prior-period % of revenue (G&amp;A is largely allowable/recovered on cost-type contracts; does not change the segment-driven operating income).</t>
  </si>
  <si>
    <t xml:space="preserve">Goodwill &amp; intangible asset impairment</t>
  </si>
  <si>
    <t xml:space="preserve">None assumed.</t>
  </si>
  <si>
    <t xml:space="preserve">Operating income</t>
  </si>
  <si>
    <t xml:space="preserve">Interest expense</t>
  </si>
  <si>
    <t xml:space="preserve">FY26 guidance interest expense $105m → Q3/Q4-26E = (105 − 1H)/2. 2027E+ = interest rate × average total debt (debt schedule).</t>
  </si>
  <si>
    <t xml:space="preserve">Non-operating retirement benefit (expense)</t>
  </si>
  <si>
    <t xml:space="preserve">FY26 guidance $213m → Q3/Q4-26E = (213 − 1H)/2; held flat 2027E+ (non-service FAS pension income; sensitive to discount rates / asset returns).</t>
  </si>
  <si>
    <t xml:space="preserve">Other, net</t>
  </si>
  <si>
    <t xml:space="preserve">Forecast nil (mainly gains/losses on marketable securities held in rabbi trusts).</t>
  </si>
  <si>
    <t xml:space="preserve">Earnings before income taxes</t>
  </si>
  <si>
    <t xml:space="preserve">Federal and foreign income tax expense</t>
  </si>
  <si>
    <t xml:space="preserve">FY26 ETR guidance ~17% applied to FY26E pre-tax income less 1H tax, split across Q3/Q4. 2027E+ ETR 18% (R&amp;D credits; statutory 21%).</t>
  </si>
  <si>
    <t xml:space="preserve">Net earnings</t>
  </si>
  <si>
    <t xml:space="preserve">  Memo: loss on early extinguishment of debt (within interest expense)</t>
  </si>
  <si>
    <t xml:space="preserve">(Earnings per share)</t>
  </si>
  <si>
    <t xml:space="preserve">  Weighted-average basic shares (m)</t>
  </si>
  <si>
    <t xml:space="preserve">Q3/Q4-26E held at Q2/26. 2027E+ = average of beginning and ending shares (buyback schedule).</t>
  </si>
  <si>
    <t xml:space="preserve">  Weighted-average diluted shares (m)</t>
  </si>
  <si>
    <t xml:space="preserve">Diluted = basic + dilutive RSRs (input).</t>
  </si>
  <si>
    <t xml:space="preserve">EPS – basic ($)</t>
  </si>
  <si>
    <t xml:space="preserve">EPS – diluted ($)</t>
  </si>
  <si>
    <t xml:space="preserve">EPS computed as net earnings / weighted diluted shares (may differ by ±$0.01 vs reported due to rounding of share counts).</t>
  </si>
  <si>
    <t xml:space="preserve">Dividends declared per share ($)</t>
  </si>
  <si>
    <t xml:space="preserve">Q3/Q4-26E at current $1.38 quarterly dividend. 2027E+ grows with the DPS growth input.</t>
  </si>
  <si>
    <t xml:space="preserve">RECONCILIATION: GAAP OPERATING INCOME → SEGMENT OPERATING INCOME (HII NON-GAAP / ADJ. EBIT)</t>
  </si>
  <si>
    <t xml:space="preserve">EBIT RECONCILIATION — per HII earnings-release Exhibit B ("Reconciliation of Segment Operating Income")</t>
  </si>
  <si>
    <t xml:space="preserve">Operating income (GAAP)</t>
  </si>
  <si>
    <t xml:space="preserve">  (+) Operating FAS/CAS adjustment</t>
  </si>
  <si>
    <t xml:space="preserve">  (+) Non-current state income taxes</t>
  </si>
  <si>
    <t xml:space="preserve">  = Segment operating income (HII-reported)</t>
  </si>
  <si>
    <t xml:space="preserve">  (+) HII-identified non-recurring items within segment OI</t>
  </si>
  <si>
    <t xml:space="preserve">  = Adjusted segment operating income (Adj. EBIT, ex non-recurring)</t>
  </si>
  <si>
    <t xml:space="preserve">Adj. EBIT = segment operating income excluding the non-recurring items HII itself adjusted for (2015 insurance settlement &amp; impairments; 2019 impairments). Forecast: no non-recurring items.</t>
  </si>
  <si>
    <t xml:space="preserve">  Adj. EBIT margin %</t>
  </si>
  <si>
    <t xml:space="preserve">  Check: bridge vs segment build (should be 0)</t>
  </si>
  <si>
    <t xml:space="preserve">Adjustment details (USDm, pre-tax):</t>
  </si>
  <si>
    <t xml:space="preserve">  Goodwill, intangible &amp; long-lived asset impairments</t>
  </si>
  <si>
    <t xml:space="preserve">  Insurance litigation settlement (gain) — Ingalls</t>
  </si>
  <si>
    <t xml:space="preserve">RECONCILIATION: GAAP NET EARNINGS → ADJUSTED NET EARNINGS / ADJUSTED EPS</t>
  </si>
  <si>
    <t xml:space="preserve">NET EARNINGS RECONCILIATION — model definition held constant across all periods</t>
  </si>
  <si>
    <t xml:space="preserve">Reported net earnings (GAAP)</t>
  </si>
  <si>
    <t xml:space="preserve">  + Operating FAS/CAS adjustment</t>
  </si>
  <si>
    <t xml:space="preserve">  − Non-operating retirement benefit</t>
  </si>
  <si>
    <t xml:space="preserve">  + Non-current state income taxes</t>
  </si>
  <si>
    <t xml:space="preserve">  + Non-recurring items in segment OI</t>
  </si>
  <si>
    <t xml:space="preserve">  + Loss on early extinguishment of debt</t>
  </si>
  <si>
    <t xml:space="preserve">  − Tax effect of adjustments (@ statutory rate)</t>
  </si>
  <si>
    <t xml:space="preserve">  + Discrete tax items (2017 Tax Act; discretionary pension contribution)</t>
  </si>
  <si>
    <t xml:space="preserve">  = Adjusted net earnings (model; consistent definition)</t>
  </si>
  <si>
    <t xml:space="preserve">Model adjusted net earnings = GAAP net earnings excluding (i) total FAS/CAS pension effects (operating FAS/CAS adjustment and non-operating retirement benefit), (ii) non-current state taxes, (iii) HII-identified non-recurring items, all tax-effected at the statutory rate — i.e. earnings on a CAS-pension / segment OI basis, consistent with HII's "pension-adjusted" EPS concept (2020–21).</t>
  </si>
  <si>
    <t xml:space="preserve">  Statutory federal tax rate applied</t>
  </si>
  <si>
    <t xml:space="preserve">Adjusted EPS – diluted (model)</t>
  </si>
  <si>
    <t xml:space="preserve">HII-published adjusted / pension-adjusted net earnings</t>
  </si>
  <si>
    <t xml:space="preserve">HII-published adjusted diluted EPS ($)</t>
  </si>
  <si>
    <t xml:space="preserve">GROWTH &amp; MARGINS</t>
  </si>
  <si>
    <t xml:space="preserve">GROWTH &amp; MARGINS (consolidated) — forecast outputs</t>
  </si>
  <si>
    <t xml:space="preserve">  Revenue — organic y/y %</t>
  </si>
  <si>
    <t xml:space="preserve">Organic = total growth less disclosed acquisition contribution.</t>
  </si>
  <si>
    <t xml:space="preserve">  Revenue — acquisition y/y %</t>
  </si>
  <si>
    <t xml:space="preserve">  Operating income y/y %</t>
  </si>
  <si>
    <t xml:space="preserve">  Net earnings y/y %</t>
  </si>
  <si>
    <t xml:space="preserve">  Adjusted EPS y/y %</t>
  </si>
  <si>
    <t xml:space="preserve">  Gross margin % (revenue − cost of sales)</t>
  </si>
  <si>
    <t xml:space="preserve">  Net margin %</t>
  </si>
  <si>
    <t xml:space="preserve">  G&amp;A % of revenue</t>
  </si>
  <si>
    <t xml:space="preserve">CONSOLIDATED CASH FLOW STATEMENT</t>
  </si>
  <si>
    <t xml:space="preserve">CONSOLIDATED CASH FLOW STATEMENT — forecast logic (annual; 1H/26 = reported six-month actual)</t>
  </si>
  <si>
    <t xml:space="preserve">Adjustments:</t>
  </si>
  <si>
    <t xml:space="preserve">  Depreciation</t>
  </si>
  <si>
    <t xml:space="preserve">Depreciation = total D&amp;A less amortization of purchased intangibles.</t>
  </si>
  <si>
    <t xml:space="preserve">  Amortization of purchased intangibles</t>
  </si>
  <si>
    <t xml:space="preserve">Per 10-K expected amortization schedule (BS schedules).</t>
  </si>
  <si>
    <t xml:space="preserve">  Stock-based compensation</t>
  </si>
  <si>
    <t xml:space="preserve">SBC ~$60m p.a. (FY25 $54m; 1H26 $31m).</t>
  </si>
  <si>
    <t xml:space="preserve">  Deferred income taxes</t>
  </si>
  <si>
    <t xml:space="preserve">Deferred taxes: FY26E $120m (1H26 $89m, driven by pension income / R&amp;D capitalisation reversal); tapering thereafter. Increases deferred tax liabilities.</t>
  </si>
  <si>
    <t xml:space="preserve">  Impairment of goodwill &amp; intangible assets</t>
  </si>
  <si>
    <t xml:space="preserve">  Retiree benefits (FAS pension income non-cash, net of CAS recovery)</t>
  </si>
  <si>
    <t xml:space="preserve">Retiree benefits ≈ operating FAS/CAS adjustment − non-operating retirement benefit (FAS pension income is non-cash; CAS pension cost is recovered in segment OI). Matches history within ±$5m (FY23–25). Accretes the net pension asset.</t>
  </si>
  <si>
    <t xml:space="preserve">Change in working capital:</t>
  </si>
  <si>
    <t xml:space="preserve">  Accounts receivable</t>
  </si>
  <si>
    <t xml:space="preserve">  Contract assets</t>
  </si>
  <si>
    <t xml:space="preserve">2026E: contract assets solved so that free cash flow = FY26 FCF guidance (scenario: $600m / $550m / $500m) — contract-asset timing on shipbuilding milestones is the main FCF swing factor. 2027E+: −Δ contract assets (days-of-revenue driver).</t>
  </si>
  <si>
    <t xml:space="preserve">  Inventoried costs</t>
  </si>
  <si>
    <t xml:space="preserve">  Prepaid expenses, income tax receivable &amp; other current assets</t>
  </si>
  <si>
    <t xml:space="preserve">  Accounts payable, accruals &amp; contract liabilities</t>
  </si>
  <si>
    <t xml:space="preserve">Linked to BS: Δ(trade payables + accrued compensation + contract liabilities + other current liabilities).</t>
  </si>
  <si>
    <t xml:space="preserve">  Other operating, net</t>
  </si>
  <si>
    <t xml:space="preserve">Net cash provided by (used in) operating activities</t>
  </si>
  <si>
    <t xml:space="preserve">Capital expenditure additions</t>
  </si>
  <si>
    <t xml:space="preserve">Capex = revenue × group capex %. FY26 guidance 4–5% of sales (4.5% midpoint) for shipyard throughput / capacity investment.</t>
  </si>
  <si>
    <t xml:space="preserve">Grant proceeds for capital expenditures</t>
  </si>
  <si>
    <t xml:space="preserve">Government capex grants (state of Mississippi / Virginia incentives) — $6–10m p.a.</t>
  </si>
  <si>
    <t xml:space="preserve">Acquisitions of businesses, net of cash acquired</t>
  </si>
  <si>
    <t xml:space="preserve">No M&amp;A assumed.</t>
  </si>
  <si>
    <t xml:space="preserve">Other investing activities, net</t>
  </si>
  <si>
    <t xml:space="preserve">Net cash used in investing activities</t>
  </si>
  <si>
    <t xml:space="preserve">Proceeds from issuance of long-term debt</t>
  </si>
  <si>
    <t xml:space="preserve">Repayment of long-term debt</t>
  </si>
  <si>
    <t xml:space="preserve">Net debt issuance / (repayment) = change in total debt per the debt schedule (base: maturities refinanced, debt flat at $2.7bn).</t>
  </si>
  <si>
    <t xml:space="preserve">Dividends paid</t>
  </si>
  <si>
    <t xml:space="preserve">Dividends paid = DPS × weighted-average basic shares.</t>
  </si>
  <si>
    <t xml:space="preserve">Repurchases of common stock</t>
  </si>
  <si>
    <t xml:space="preserve">Share repurchases: scenario lever (Buybacks table →). HII repurchased $0 in FY25 and 1H26 while funding shipyard capex; base resumes $200m+ from 2027E.</t>
  </si>
  <si>
    <t xml:space="preserve">Employee taxes on share-based payment arrangements</t>
  </si>
  <si>
    <t xml:space="preserve">Other financing activities, net</t>
  </si>
  <si>
    <t xml:space="preserve">Net cash provided by (used in) financing activities</t>
  </si>
  <si>
    <t xml:space="preserve">Change in cash and cash equivalents</t>
  </si>
  <si>
    <t xml:space="preserve">Cash and cash equivalents, beginning of period</t>
  </si>
  <si>
    <t xml:space="preserve">Cash and cash equivalents, end of period</t>
  </si>
  <si>
    <t xml:space="preserve">Live-linked to the balance sheet cash line (3-statement tie).</t>
  </si>
  <si>
    <t xml:space="preserve">(Memo)</t>
  </si>
  <si>
    <t xml:space="preserve">Free cash flow (HII definition: CFO − capex + grant proceeds)</t>
  </si>
  <si>
    <t xml:space="preserve">HII non-GAAP free cash flow. FY26 guidance $500–600m (reaffirmed Q2-26).</t>
  </si>
  <si>
    <t xml:space="preserve">  FCF y/y %</t>
  </si>
  <si>
    <t xml:space="preserve">  FCF % of revenue</t>
  </si>
  <si>
    <t xml:space="preserve">  FCF / net earnings conversion %</t>
  </si>
  <si>
    <t xml:space="preserve">  FCF per diluted share ($)</t>
  </si>
  <si>
    <t xml:space="preserve">Capex / revenue ratios</t>
  </si>
  <si>
    <t xml:space="preserve">  Capex % of revenue (gross)</t>
  </si>
  <si>
    <t xml:space="preserve">FY26 guidance 4–5% of sales; base tapers to 3.5% by 2030E as the shipyard investment cycle matures (FY18–25 avg ~3.4%).</t>
  </si>
  <si>
    <t xml:space="preserve">  Net capex (after grants) % of revenue</t>
  </si>
  <si>
    <t xml:space="preserve">  Capex / D&amp;A (x)</t>
  </si>
  <si>
    <t xml:space="preserve">SHARE BUYBACK SCHEDULE</t>
  </si>
  <si>
    <t xml:space="preserve">  Avg buyback price ($)</t>
  </si>
  <si>
    <t xml:space="preserve">2026E = current share price ($275, valuation input); appreciates with the share-price growth input thereafter.</t>
  </si>
  <si>
    <t xml:space="preserve">  Buyback cash deployed (USDm)</t>
  </si>
  <si>
    <t xml:space="preserve">  Implied shares repurchased (m)</t>
  </si>
  <si>
    <t xml:space="preserve">  Shares issued under equity plans (m)</t>
  </si>
  <si>
    <t xml:space="preserve">~0.15m shares p.a. issued under stock plans (net of withholding).</t>
  </si>
  <si>
    <t xml:space="preserve">  Beginning shares outstanding (m)</t>
  </si>
  <si>
    <t xml:space="preserve">  Ending shares outstanding (m)</t>
  </si>
  <si>
    <t xml:space="preserve">  % of shares repurchased</t>
  </si>
  <si>
    <t xml:space="preserve">  Memo: cumulative shares repurchased since 2026 (m)</t>
  </si>
  <si>
    <t xml:space="preserve">CONSOLIDATED BALANCE SHEET</t>
  </si>
  <si>
    <t xml:space="preserve">BS FORECAST — first-principles roll-forward (2026E from FY2025 year-end; 1H/26 = reported 30-Jun-26)</t>
  </si>
  <si>
    <t xml:space="preserve">ASSETS</t>
  </si>
  <si>
    <t xml:space="preserve">Current assets:</t>
  </si>
  <si>
    <t xml:space="preserve">  Cash and cash equivalents</t>
  </si>
  <si>
    <t xml:space="preserve">Linked to cash flow statement ending cash.</t>
  </si>
  <si>
    <t xml:space="preserve">  Accounts receivable, net</t>
  </si>
  <si>
    <t xml:space="preserve">AR = revenue × DSO / 365.</t>
  </si>
  <si>
    <t xml:space="preserve">2026E: solved via the FCF-guidance calibration (CF). 2027E+: revenue × contract-asset days / 365.</t>
  </si>
  <si>
    <t xml:space="preserve">  Income taxes receivable</t>
  </si>
  <si>
    <t xml:space="preserve">  Prepaid expenses and other current assets</t>
  </si>
  <si>
    <t xml:space="preserve">  Other current assets (incl. deferred taxes pre-2016, assets held for sale)</t>
  </si>
  <si>
    <t xml:space="preserve">Total current assets</t>
  </si>
  <si>
    <t xml:space="preserve">  Property, plant and equipment, net</t>
  </si>
  <si>
    <t xml:space="preserve">PP&amp;E roll-forward: prior + capex − grant proceeds − depreciation.</t>
  </si>
  <si>
    <t xml:space="preserve">  Operating lease assets</t>
  </si>
  <si>
    <t xml:space="preserve">  Goodwill</t>
  </si>
  <si>
    <t xml:space="preserve">  Other intangible assets, net</t>
  </si>
  <si>
    <t xml:space="preserve">Intangibles roll-forward: prior − amortization.</t>
  </si>
  <si>
    <t xml:space="preserve">  Pension plan assets</t>
  </si>
  <si>
    <t xml:space="preserve">Net pension asset accretes by non-cash FAS pension income (retiree-benefits CF line).</t>
  </si>
  <si>
    <t xml:space="preserve">  Deferred tax assets</t>
  </si>
  <si>
    <t xml:space="preserve">  Miscellaneous other assets</t>
  </si>
  <si>
    <t xml:space="preserve">TOTAL ASSETS</t>
  </si>
  <si>
    <t xml:space="preserve">LIABILITIES &amp; STOCKHOLDERS' EQUITY</t>
  </si>
  <si>
    <t xml:space="preserve">Current liabilities:</t>
  </si>
  <si>
    <t xml:space="preserve">  Trade accounts payable</t>
  </si>
  <si>
    <t xml:space="preserve">AP = cost of sales × DPO / 365.</t>
  </si>
  <si>
    <t xml:space="preserve">  Accrued employees' compensation</t>
  </si>
  <si>
    <t xml:space="preserve">  Current portion of postretirement plan liabilities</t>
  </si>
  <si>
    <t xml:space="preserve">  Current portion of workers' compensation liabilities</t>
  </si>
  <si>
    <t xml:space="preserve">  Contract liabilities</t>
  </si>
  <si>
    <t xml:space="preserve">  Current portion of long-term debt</t>
  </si>
  <si>
    <t xml:space="preserve">  Other current liabilities</t>
  </si>
  <si>
    <t xml:space="preserve">Total current liabilities</t>
  </si>
  <si>
    <t xml:space="preserve">  Long-term debt</t>
  </si>
  <si>
    <t xml:space="preserve">  Pension plan liabilities</t>
  </si>
  <si>
    <t xml:space="preserve">  Other postretirement plan liabilities</t>
  </si>
  <si>
    <t xml:space="preserve">  Workers' compensation liabilities</t>
  </si>
  <si>
    <t xml:space="preserve">  Long-term operating lease liabilities</t>
  </si>
  <si>
    <t xml:space="preserve">  Deferred tax liabilities</t>
  </si>
  <si>
    <t xml:space="preserve">  Other long-term liabilities</t>
  </si>
  <si>
    <t xml:space="preserve">Total liabilities</t>
  </si>
  <si>
    <t xml:space="preserve">Stockholders' equity:</t>
  </si>
  <si>
    <t xml:space="preserve">  Common stock</t>
  </si>
  <si>
    <t xml:space="preserve">  Additional paid-in capital</t>
  </si>
  <si>
    <t xml:space="preserve">APIC + stock-based compensation − employee withholding taxes.</t>
  </si>
  <si>
    <t xml:space="preserve">  Retained earnings</t>
  </si>
  <si>
    <t xml:space="preserve">Retained earnings + net earnings − dividends.</t>
  </si>
  <si>
    <t xml:space="preserve">  Treasury stock</t>
  </si>
  <si>
    <t xml:space="preserve">  Accumulated other comprehensive loss</t>
  </si>
  <si>
    <t xml:space="preserve">Total stockholders' equity</t>
  </si>
  <si>
    <t xml:space="preserve">TOTAL LIABILITIES AND STOCKHOLDERS' EQUITY</t>
  </si>
  <si>
    <t xml:space="preserve">BS tie-out check (TA − TL&amp;E)</t>
  </si>
  <si>
    <t xml:space="preserve">  Memo: shares outstanding at period end (m)</t>
  </si>
  <si>
    <t xml:space="preserve">WORKING CAPITAL &amp; CASH CONVERSION</t>
  </si>
  <si>
    <t xml:space="preserve">WORKING CAPITAL — forecast drivers (blue = input)</t>
  </si>
  <si>
    <t xml:space="preserve">  DSO — accounts receivable / revenue × 365</t>
  </si>
  <si>
    <t xml:space="preserve">DSO ~11 days (FY25 9.9d; 5Y avg ~11d).</t>
  </si>
  <si>
    <t xml:space="preserve">  Contract-asset days — contract assets / revenue × 365</t>
  </si>
  <si>
    <t xml:space="preserve">2026E = output of the FCF-guidance calibration; 2027E+ held at the 2026E level (FY23–25 range 49–53d — raise to stress contract-asset build).</t>
  </si>
  <si>
    <t xml:space="preserve">  DIO — inventoried costs / cost of sales × 365</t>
  </si>
  <si>
    <t xml:space="preserve">  DPO — trade payables / cost of sales × 365</t>
  </si>
  <si>
    <t xml:space="preserve">DPO ~19 days (FY25 18.6d).</t>
  </si>
  <si>
    <t xml:space="preserve">  Contract-liability days — contract liabilities / revenue × 365</t>
  </si>
  <si>
    <t xml:space="preserve">Customer advances: FY25 35.7d (elevated year-end advances; 1H26 unwind to $690m). 30d FY26E, 28d thereafter.</t>
  </si>
  <si>
    <t xml:space="preserve">  Accrued compensation % of revenue</t>
  </si>
  <si>
    <t xml:space="preserve">  Operating NWC (AR + contract assets + inventory − AP − contract liabilities)</t>
  </si>
  <si>
    <t xml:space="preserve">  NWC % of revenue</t>
  </si>
  <si>
    <t xml:space="preserve">  ΔNWC (y/y)</t>
  </si>
  <si>
    <t xml:space="preserve">BALANCE SHEET FORECAST SCHEDULES</t>
  </si>
  <si>
    <t xml:space="preserve">BS FORECAST SCHEDULES — explicit driver assumptions</t>
  </si>
  <si>
    <t xml:space="preserve">Asset roll-forwards &amp; non-cash items</t>
  </si>
  <si>
    <t xml:space="preserve">  Amortization of purchased intangibles (USDm)</t>
  </si>
  <si>
    <t xml:space="preserve">FY2025 10-K expected amortization of purchased intangibles: 2026 $84m, 2027 $62m, 2028 $56m, 2029 $50m, 2030 $41m (1H26 actual $43m).</t>
  </si>
  <si>
    <t xml:space="preserve">  Dilutive securities (m shares)</t>
  </si>
  <si>
    <t xml:space="preserve">  Dividend per share growth %</t>
  </si>
  <si>
    <t xml:space="preserve">DPS growth ~3% p.a. (FY24–25 increases ~2–3%).</t>
  </si>
  <si>
    <t xml:space="preserve">  Share-price appreciation % (buyback pricing)</t>
  </si>
  <si>
    <t xml:space="preserve">Debt schedule</t>
  </si>
  <si>
    <t xml:space="preserve">  Total debt (current + long-term)</t>
  </si>
  <si>
    <t xml:space="preserve">Base: total debt held at $2.7bn (2027 $600m and 2028 $621m maturities refinanced; FY25 10-K maturity table). Lower the target to model de-leveraging.</t>
  </si>
  <si>
    <t xml:space="preserve">  Net issuance / (repayment)</t>
  </si>
  <si>
    <t xml:space="preserve">  Interest rate on average total debt %</t>
  </si>
  <si>
    <t xml:space="preserve">FY26E implied by $105m interest guidance (~3.9%); 4.0% thereafter (refinancing at current coupons).</t>
  </si>
  <si>
    <t xml:space="preserve">Historical reference (driver context)</t>
  </si>
  <si>
    <t xml:space="preserve">  Total D&amp;A % of revenue</t>
  </si>
  <si>
    <t xml:space="preserve">  PP&amp;E y/y growth</t>
  </si>
  <si>
    <t xml:space="preserve">  Net pension position (assets − pension &amp; OPEB liabilities)</t>
  </si>
  <si>
    <t xml:space="preserve">RATIO ANALYSIS</t>
  </si>
  <si>
    <t xml:space="preserve">DuPont decomposition of ROIC</t>
  </si>
  <si>
    <t xml:space="preserve">Segment operating income (Adj. EBIT)</t>
  </si>
  <si>
    <t xml:space="preserve">Effective tax rate (actual)</t>
  </si>
  <si>
    <t xml:space="preserve">NOPAT  =  EBIT × (1 − tax rate)</t>
  </si>
  <si>
    <t xml:space="preserve">Invested capital (IC)  =  Equity + Net debt</t>
  </si>
  <si>
    <t xml:space="preserve">  Total stockholders' equity</t>
  </si>
  <si>
    <t xml:space="preserve">  Net debt  =  Total debt − Cash (excl. lease liabilities)</t>
  </si>
  <si>
    <t xml:space="preserve">ROIC  =  NOPAT / IC</t>
  </si>
  <si>
    <t xml:space="preserve">  EBIT margin  =  EBIT / Revenue</t>
  </si>
  <si>
    <t xml:space="preserve">  Capital turnover  =  Revenue / IC</t>
  </si>
  <si>
    <t xml:space="preserve">  Tax burden  =  (1 − effective tax rate)</t>
  </si>
  <si>
    <t xml:space="preserve">  Check: Margin × Turnover × Tax burden  =  ROIC</t>
  </si>
  <si>
    <t xml:space="preserve">RONTA decomposition</t>
  </si>
  <si>
    <t xml:space="preserve">  Total assets</t>
  </si>
  <si>
    <t xml:space="preserve">  − Goodwill &amp; other intangible assets</t>
  </si>
  <si>
    <t xml:space="preserve">  − Non-interest-bearing current liabilities (total CL excl. current debt)</t>
  </si>
  <si>
    <t xml:space="preserve">  = Net tangible assets</t>
  </si>
  <si>
    <t xml:space="preserve">RONTA  =  NOPAT / NTA</t>
  </si>
  <si>
    <t xml:space="preserve">Return on Equity (ROE)</t>
  </si>
  <si>
    <t xml:space="preserve">ROE  =  Net earnings / Equity</t>
  </si>
  <si>
    <t xml:space="preserve">Leverage</t>
  </si>
  <si>
    <t xml:space="preserve">Net debt  =  Total debt − Cash (excl. lease liabilities)</t>
  </si>
  <si>
    <t xml:space="preserve">Segment EBITDA</t>
  </si>
  <si>
    <t xml:space="preserve">Net debt / Segment EBITDA (x)</t>
  </si>
  <si>
    <t xml:space="preserve">VALUATION</t>
  </si>
  <si>
    <t xml:space="preserve">VALUATION — current share price input $275 (per user); historical average prices only where disclosed in 10-K (2015–17)</t>
  </si>
  <si>
    <t xml:space="preserve">Share price ($) — historical avg / current</t>
  </si>
  <si>
    <t xml:space="preserve">Diluted shares (m)</t>
  </si>
  <si>
    <t xml:space="preserve">Market capitalisation (USDm)</t>
  </si>
  <si>
    <t xml:space="preserve">Net debt (USDm)</t>
  </si>
  <si>
    <t xml:space="preserve">Enterprise value (USDm)</t>
  </si>
  <si>
    <t xml:space="preserve">Multiples</t>
  </si>
  <si>
    <t xml:space="preserve">  EV / Sales</t>
  </si>
  <si>
    <t xml:space="preserve">  EV / Segment EBITDA</t>
  </si>
  <si>
    <t xml:space="preserve">  EV / Segment OI (Adj. EBIT)</t>
  </si>
  <si>
    <t xml:space="preserve">  EV / IC</t>
  </si>
  <si>
    <t xml:space="preserve">  P / E (GAAP)</t>
  </si>
  <si>
    <t xml:space="preserve">  P / E (adjusted, model)</t>
  </si>
  <si>
    <t xml:space="preserve">  FCF yield</t>
  </si>
  <si>
    <t xml:space="preserve">  Dividend yield</t>
  </si>
  <si>
    <t xml:space="preserve">Huntington Ingalls Industries (HII) — Bull / Base / Bear Case P&amp;L Summary</t>
  </si>
  <si>
    <t xml:space="preserve">Share price ($):</t>
  </si>
  <si>
    <t xml:space="preserve">Adjusted figures · USD millions · Live panel linked to Model — toggle scenario via Model!CA2. Bull and Bear panels are value snapshots generated from the Model with the switch set to each case.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</si>
  <si>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</si>
  <si>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</si>
  <si>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</si>
  <si>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</si>
  <si>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</si>
  <si>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</si>
  <si>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</si>
  <si>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</si>
  <si>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</si>
  <si>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</si>
  <si>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Revenue</t>
  </si>
  <si>
    <t xml:space="preserve">   Revenue y/y %</t>
  </si>
  <si>
    <t xml:space="preserve">Segment Operating Income (Adj. EBIT)</t>
  </si>
  <si>
    <t xml:space="preserve">   Segment operating margin %</t>
  </si>
  <si>
    <t xml:space="preserve">Operating Income (GAAP)</t>
  </si>
  <si>
    <t xml:space="preserve">   Operating income y/y %</t>
  </si>
  <si>
    <t xml:space="preserve">   Operating margin (GAAP) %</t>
  </si>
  <si>
    <t xml:space="preserve">Net Income (Adjusted, model)</t>
  </si>
  <si>
    <t xml:space="preserve">FDSO (m)</t>
  </si>
  <si>
    <t xml:space="preserve">Adjusted EPS — Diluted ($)</t>
  </si>
  <si>
    <t xml:space="preserve">   EPS y/y %</t>
  </si>
  <si>
    <t xml:space="preserve">P / E (x) — assumed</t>
  </si>
  <si>
    <t xml:space="preserve">Price Target ($)</t>
  </si>
  <si>
    <t xml:space="preserve">   Upside / (Downside) vs current</t>
  </si>
  <si>
    <t xml:space="preserve">IRR (to Dec-Y-1)</t>
  </si>
  <si>
    <t xml:space="preserve">Free Cash Flow</t>
  </si>
  <si>
    <t xml:space="preserve">   FCF %</t>
  </si>
  <si>
    <t xml:space="preserve">   FCF / share ($)</t>
  </si>
  <si>
    <t xml:space="preserve">   FCF Yield (on PT)</t>
  </si>
  <si>
    <t xml:space="preserve">   Segment EBITDA margin %</t>
  </si>
  <si>
    <t xml:space="preserve">Net Debt</t>
  </si>
  <si>
    <t xml:space="preserve">   Net Debt / Segment EBITDA (x)</t>
  </si>
  <si>
    <t xml:space="preserve">ROIC</t>
  </si>
  <si>
    <t xml:space="preserve">RONTA</t>
  </si>
  <si>
    <t xml:space="preserve">Implied Market Cap (USDm)</t>
  </si>
  <si>
    <t xml:space="preserve">(+) Net Debt</t>
  </si>
  <si>
    <t xml:space="preserve">Implied Enterprise Value (USDm)</t>
  </si>
  <si>
    <t xml:space="preserve">Implied EV / Segment EBITDA (x)</t>
  </si>
  <si>
    <t xml:space="preserve">DCF VALUATION — HUNTINGTON INGALLS INDUSTRIES (HII)</t>
  </si>
  <si>
    <t xml:space="preserve">1. WACC BUILD</t>
  </si>
  <si>
    <t xml:space="preserve">Risk-free rate (US 10Y govt)</t>
  </si>
  <si>
    <t xml:space="preserve">Assumption (~US 10Y Treasury yield); update to market</t>
  </si>
  <si>
    <t xml:space="preserve">Equity risk premium</t>
  </si>
  <si>
    <t xml:space="preserve">Damodaran-style US ERP estimate</t>
  </si>
  <si>
    <t xml:space="preserve">Levered beta</t>
  </si>
  <si>
    <t xml:space="preserve">Defense prime / shipbuilder beta range ~0.5–0.8 (US-government-funded, long-cycle backlog)</t>
  </si>
  <si>
    <t xml:space="preserve">Cost of equity</t>
  </si>
  <si>
    <t xml:space="preserve">Pre-tax cost of debt</t>
  </si>
  <si>
    <t xml:space="preserve">HII senior notes (BBB- / Baa3) — FY26 interest guidance $105m on $2.7bn debt ≈ 3.9% coupon; marginal cost ~5%</t>
  </si>
  <si>
    <t xml:space="preserve">Tax rate</t>
  </si>
  <si>
    <t xml:space="preserve">US federal statutory rate</t>
  </si>
  <si>
    <t xml:space="preserve">After-tax cost of debt</t>
  </si>
  <si>
    <t xml:space="preserve">Target D/V</t>
  </si>
  <si>
    <t xml:space="preserve">Target leverage; net debt / total capital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</si>
  <si>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</si>
  <si>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</si>
  <si>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</si>
  <si>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</si>
  <si>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</si>
  <si>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</si>
  <si>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</si>
  <si>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</si>
  <si>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</si>
  <si>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</si>
  <si>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× (1 − tax rate)</t>
  </si>
  <si>
    <t xml:space="preserve">NOPAT</t>
  </si>
  <si>
    <t xml:space="preserve">plus D&amp;A</t>
  </si>
  <si>
    <t xml:space="preserve">− Capex (net of grant proceeds)</t>
  </si>
  <si>
    <t xml:space="preserve">− Δ Working capital (CF statement)</t>
  </si>
  <si>
    <t xml:space="preserve">Unlevered FCF</t>
  </si>
  <si>
    <t xml:space="preserve">Terminal Value (Gordon Growth)</t>
  </si>
  <si>
    <t xml:space="preserve">Fade-period growth (2031E–35E)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</si>
  <si>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</si>
  <si>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</si>
  <si>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</si>
  <si>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</si>
  <si>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Pension: HII carries a net pension asset (Model BS); CAS pension recovery is embedded in segment OI and the non-cash FAS income is excluded from UFCF — no pension adjustment to net debt.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</si>
  <si>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</si>
  <si>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</si>
  <si>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</si>
  <si>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</si>
  <si>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(Model 2026E YE)</t>
  </si>
  <si>
    <t xml:space="preserve">Equity Value</t>
  </si>
  <si>
    <t xml:space="preserve">Diluted shares (m, Model 2026E)</t>
  </si>
  <si>
    <t xml:space="preserve">Implied share price ($)</t>
  </si>
  <si>
    <t xml:space="preserve">Current share price ($)</t>
  </si>
  <si>
    <t xml:space="preserve">Implied upside / (downside)</t>
  </si>
  <si>
    <t xml:space="preserve">4. SENSITIVITY: IMPLIED PRICE ($) — WACC × Terminal Growth</t>
  </si>
  <si>
    <t xml:space="preserve">WACC (across):</t>
  </si>
  <si>
    <t xml:space="preserve">g (down) / WACC</t>
  </si>
  <si>
    <t xml:space="preserve">5. REVERSE DCF</t>
  </si>
  <si>
    <t xml:space="preserve">To solve for the market-implied path: Data ▸ What-If Analysis ▸ Goal Seek — set C41 to the current price (C42) by changing C27 (terminal growth) or the fade-period growth inputs (I26:M26).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</si>
  <si>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</si>
  <si>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</si>
  <si>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</si>
  <si>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</si>
  <si>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</si>
  <si>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(HII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</si>
  <si>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</si>
  <si>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</si>
  <si>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</si>
  <si>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segment OI CAGR 2025–30E ~11% (margin recovery from depressed FY24–25); normalised to ~6% (Navy shipbuilding budget growth + throughput gains)</t>
  </si>
  <si>
    <t xml:space="preserve">ROIIC  (Return on incremental invested capital)</t>
  </si>
  <si>
    <t xml:space="preserve">Capital-intensive shipyards: historical ROIC 7–24%; incremental returns constrained by cost-plus / fixed-price-incentive pricing and capex cycle</t>
  </si>
  <si>
    <t xml:space="preserve">N  (Years of value creation / CAP)</t>
  </si>
  <si>
    <t xml:space="preserve">Sole builder of US nuclear carriers &amp; amphibs; one of two nuclear submarine builders — long competitive-advantage period, multi-decade programs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</si>
  <si>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</si>
  <si>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</si>
  <si>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</si>
  <si>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</si>
  <si>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</si>
  <si>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</si>
  <si>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</si>
  <si>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</si>
  <si>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</si>
  <si>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Segment OI (Model)</t>
  </si>
  <si>
    <t xml:space="preserve">Tax rate (from WACC build)</t>
  </si>
  <si>
    <t xml:space="preserve">2028E NOPAT  =  EBIT × (1 − t)</t>
  </si>
  <si>
    <t xml:space="preserve">× Mauboussin EV/NOPAT multiple</t>
  </si>
  <si>
    <t xml:space="preserve">Implied Enterprise Value (2028E basis)</t>
  </si>
  <si>
    <t xml:space="preserve">Less: YE2027 net debt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</si>
  <si>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</si>
  <si>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</si>
  <si>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</si>
  <si>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</si>
  <si>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</si>
  <si>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</t>
  </si>
  <si>
    <t xml:space="preserve">Implied Enterprise Value (today)</t>
  </si>
  <si>
    <t xml:space="preserve">HII's market-implied EV/NOPAT (on 2028E NOPAT)</t>
  </si>
  <si>
    <t xml:space="preserve">Multiple gap (Mauboussin − Market)</t>
  </si>
  <si>
    <t xml:space="preserve">Implied re-rating headroom</t>
  </si>
  <si>
    <t xml:space="preserve">HII — Historical Operating Performance (2015–2025)</t>
  </si>
  <si>
    <t xml:space="preserve">All historicals · USDm · Linked to Model. M&amp;A % reflects disclosed acquired revenue only (Camber FY2017, Alion FY2021).</t>
  </si>
  <si>
    <t xml:space="preserve">Organic %</t>
  </si>
  <si>
    <t xml:space="preserve">M&amp;A %</t>
  </si>
  <si>
    <t xml:space="preserve">Segment Operating Income</t>
  </si>
  <si>
    <t xml:space="preserve">Segment Op. Margin %</t>
  </si>
  <si>
    <t xml:space="preserve">GAAP Op. Margin %</t>
  </si>
  <si>
    <t xml:space="preserve">Segment EBITDA margin %</t>
  </si>
  <si>
    <t xml:space="preserve">Shipbuilding op. margin %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</si>
</sst>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#,##0;\(#,##0\);\-"/>
    <numFmt numFmtId="166" formatCode="0%;\(0%\);&quot;n/m&quot;"/>
    <numFmt numFmtId="167" formatCode="0.00%;\(0.00%\);\-"/>
    <numFmt numFmtId="168" formatCode="0.0%;\(0.0%\);\-"/>
    <numFmt numFmtId="169" formatCode="0.0%;\(0.0%\);&quot;n/m&quot;"/>
    <numFmt numFmtId="170" formatCode="\+0.0%;\-0.0%"/>
    <numFmt numFmtId="171" formatCode="0.00\x;\(0.00&quot;x)&quot;;\-"/>
    <numFmt numFmtId="172" formatCode="0.0\x;\(0.0&quot;x)&quot;;\-"/>
    <numFmt numFmtId="173" formatCode="\+0.00%;\-0.00%"/>
    <numFmt numFmtId="174" formatCode="\+#,##0;\-#,##0"/>
    <numFmt numFmtId="175" formatCode="#,##0.0;\(#,##0.0\);\-"/>
    <numFmt numFmtId="176" formatCode="0.00;\(0.00\);\-"/>
    <numFmt numFmtId="177" formatCode="#,##0.00;\(#,##0.00\);\-"/>
    <numFmt numFmtId="178" formatCode="0\d;\(0&quot;)d&quot;;\-"/>
    <numFmt numFmtId="179" formatCode="#,##0.00"/>
    <numFmt numFmtId="180" formatCode="m/d/yyyy"/>
    <numFmt numFmtId="181" formatCode="0%;\(0%\);\-"/>
    <numFmt numFmtId="182" formatCode="#,##0.0"/>
    <numFmt numFmtId="183" formatCode="0.0\x"/>
    <numFmt numFmtId="184" formatCode="0.00\x"/>
    <numFmt numFmtId="185" formatCode="0.00%"/>
    <numFmt numFmtId="186" formatCode="0.00"/>
    <numFmt numFmtId="187" formatCode="0.0%"/>
    <numFmt numFmtId="188" formatCode="0.000"/>
    <numFmt numFmtId="189" formatCode="0.0%;\(0.0%\)"/>
    <numFmt numFmtId="190" formatCode="#,##0"/>
    <numFmt numFmtId="191" formatCode="0"/>
    <numFmt numFmtId="192" formatCode="0.0\x;\(0.0&quot;x)&quot;"/>
    <numFmt numFmtId="193" formatCode="0%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sz val="12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i val="true"/>
      <sz val="12"/>
      <color rgb="FF666666"/>
      <name val="Calibri"/>
      <family val="0"/>
      <charset val="1"/>
    </font>
    <font>
      <i val="true"/>
      <sz val="12"/>
      <color rgb="FF000000"/>
      <name val="Calibri"/>
      <family val="0"/>
      <charset val="1"/>
    </font>
    <font>
      <i val="true"/>
      <sz val="12"/>
      <color rgb="FF0000FF"/>
      <name val="Calibri"/>
      <family val="0"/>
      <charset val="1"/>
    </font>
    <font>
      <i val="true"/>
      <sz val="12"/>
      <color rgb="FF666666"/>
      <name val="Calibri"/>
      <family val="0"/>
      <charset val="1"/>
    </font>
    <font>
      <b val="true"/>
      <i val="true"/>
      <sz val="12"/>
      <color rgb="FF0000FF"/>
      <name val="Calibri"/>
      <family val="0"/>
      <charset val="1"/>
    </font>
    <font>
      <sz val="12"/>
      <color rgb="FF595959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2"/>
      <color rgb="FFC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2"/>
      <color rgb="FF00800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i val="true"/>
      <sz val="10"/>
      <name val="Calibri"/>
      <family val="0"/>
      <charset val="1"/>
    </font>
    <font>
      <i val="true"/>
      <sz val="12"/>
      <color rgb="FF595959"/>
      <name val="Calibri"/>
      <family val="0"/>
      <charset val="1"/>
    </font>
    <font>
      <i val="true"/>
      <sz val="12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FFFFF"/>
        <bgColor rgb="FFFAFAFA"/>
      </patternFill>
    </fill>
    <fill>
      <patternFill patternType="solid">
        <fgColor rgb="FF1F4E79"/>
        <bgColor rgb="FF1F3864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AFAFA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5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5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5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3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8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5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7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8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8" fillId="1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9" fillId="1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" fillId="1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2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8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28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1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9" fontId="1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AFAFA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Growth Decomposition: Organic vs M&amp;A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Organic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Charts!$C$7:$M$7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Charts!$C$8:$M$8</c:f>
              <c:numCache>
                <c:formatCode>0.0%;\(0.0%\);\-</c:formatCode>
                <c:ptCount val="11"/>
                <c:pt idx="0">
                  <c:v>0</c:v>
                </c:pt>
                <c:pt idx="1">
                  <c:v>0.00683760683760681</c:v>
                </c:pt>
                <c:pt idx="2">
                  <c:v>0.00905489530277314</c:v>
                </c:pt>
                <c:pt idx="3">
                  <c:v>0.098777046095955</c:v>
                </c:pt>
                <c:pt idx="4">
                  <c:v>0.0884295499021526</c:v>
                </c:pt>
                <c:pt idx="5">
                  <c:v>0.0519159456118665</c:v>
                </c:pt>
                <c:pt idx="6">
                  <c:v>-0.0366413844674715</c:v>
                </c:pt>
                <c:pt idx="7">
                  <c:v>0.120957580848383</c:v>
                </c:pt>
                <c:pt idx="8">
                  <c:v>0.0728737354814537</c:v>
                </c:pt>
                <c:pt idx="9">
                  <c:v>0.00707176532215814</c:v>
                </c:pt>
                <c:pt idx="10">
                  <c:v>0.0822713480710879</c:v>
                </c:pt>
              </c:numCache>
            </c:numRef>
          </c:val>
        </c:ser>
        <c:ser>
          <c:idx val="1"/>
          <c:order val="1"/>
          <c:tx>
            <c:strRef>
              <c:f>Charts!B9</c:f>
              <c:strCache>
                <c:ptCount val="1"/>
                <c:pt idx="0">
                  <c:v>M&amp;A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Charts!$C$7:$M$7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Charts!$C$9:$M$9</c:f>
              <c:numCache>
                <c:formatCode>0.0%;\(0.0%\);\-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0.0437181663837012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0.0540540540540541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100"/>
        <c:axId val="49740209"/>
        <c:axId val="34439207"/>
      </c:barChart>
      <c:catAx>
        <c:axId val="49740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39207"/>
        <c:crosses val="autoZero"/>
        <c:auto val="1"/>
        <c:lblAlgn val="ctr"/>
        <c:lblOffset val="100"/>
        <c:noMultiLvlLbl val="0"/>
      </c:catAx>
      <c:valAx>
        <c:axId val="3443920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402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Segment OI &amp; GAAP Operating Income (USDm) with Margins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Segment Operating Income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Charts!$C$11:$M$11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Charts!$C$12:$M$12</c:f>
              <c:numCache>
                <c:formatCode>#,##0;\(#,##0\);\-</c:formatCode>
                <c:ptCount val="11"/>
                <c:pt idx="0">
                  <c:v>667</c:v>
                </c:pt>
                <c:pt idx="1">
                  <c:v>715</c:v>
                </c:pt>
                <c:pt idx="2">
                  <c:v>688</c:v>
                </c:pt>
                <c:pt idx="3">
                  <c:v>663</c:v>
                </c:pt>
                <c:pt idx="4">
                  <c:v>631</c:v>
                </c:pt>
                <c:pt idx="5">
                  <c:v>555</c:v>
                </c:pt>
                <c:pt idx="6">
                  <c:v>683</c:v>
                </c:pt>
                <c:pt idx="7">
                  <c:v>712</c:v>
                </c:pt>
                <c:pt idx="8">
                  <c:v>842</c:v>
                </c:pt>
                <c:pt idx="9">
                  <c:v>573</c:v>
                </c:pt>
                <c:pt idx="10">
                  <c:v>717</c:v>
                </c:pt>
              </c:numCache>
            </c:numRef>
          </c:val>
        </c:ser>
        <c:ser>
          <c:idx val="1"/>
          <c:order val="1"/>
          <c:tx>
            <c:strRef>
              <c:f>Charts!B13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Charts!$C$11:$M$11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Charts!$C$13:$M$13</c:f>
              <c:numCache>
                <c:formatCode>#,##0;\(#,##0\);\-</c:formatCode>
                <c:ptCount val="11"/>
                <c:pt idx="0">
                  <c:v>769</c:v>
                </c:pt>
                <c:pt idx="1">
                  <c:v>858</c:v>
                </c:pt>
                <c:pt idx="2">
                  <c:v>881</c:v>
                </c:pt>
                <c:pt idx="3">
                  <c:v>951</c:v>
                </c:pt>
                <c:pt idx="4">
                  <c:v>736</c:v>
                </c:pt>
                <c:pt idx="5">
                  <c:v>799</c:v>
                </c:pt>
                <c:pt idx="6">
                  <c:v>513</c:v>
                </c:pt>
                <c:pt idx="7">
                  <c:v>565</c:v>
                </c:pt>
                <c:pt idx="8">
                  <c:v>781</c:v>
                </c:pt>
                <c:pt idx="9">
                  <c:v>535</c:v>
                </c:pt>
                <c:pt idx="10">
                  <c:v>657</c:v>
                </c:pt>
              </c:numCache>
            </c:numRef>
          </c:val>
        </c:ser>
        <c:gapWidth val="150"/>
        <c:overlap val="0"/>
        <c:axId val="70153686"/>
        <c:axId val="99078386"/>
      </c:barChart>
      <c:lineChart>
        <c:grouping val="standard"/>
        <c:varyColors val="0"/>
        <c:ser>
          <c:idx val="2"/>
          <c:order val="2"/>
          <c:tx>
            <c:strRef>
              <c:f>Charts!B14</c:f>
              <c:strCache>
                <c:ptCount val="1"/>
                <c:pt idx="0">
                  <c:v>Segment Op. Margin %</c:v>
                </c:pt>
              </c:strCache>
            </c:strRef>
          </c:tx>
          <c:spPr>
            <a:solidFill>
              <a:srgbClr val="2f3e46"/>
            </a:solidFill>
            <a:ln w="2808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Charts!$C$11:$M$11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Charts!$C$14:$M$14</c:f>
              <c:numCache>
                <c:formatCode>0.0%;\(0.0%\);\-</c:formatCode>
                <c:ptCount val="11"/>
                <c:pt idx="0">
                  <c:v>0.095014245014245</c:v>
                </c:pt>
                <c:pt idx="1">
                  <c:v>0.101160158460668</c:v>
                </c:pt>
                <c:pt idx="2">
                  <c:v>0.09246069076737</c:v>
                </c:pt>
                <c:pt idx="3">
                  <c:v>0.0810909980430528</c:v>
                </c:pt>
                <c:pt idx="4">
                  <c:v>0.0709068434655579</c:v>
                </c:pt>
                <c:pt idx="5">
                  <c:v>0.0592885375494071</c:v>
                </c:pt>
                <c:pt idx="6">
                  <c:v>0.0717135657286854</c:v>
                </c:pt>
                <c:pt idx="7">
                  <c:v>0.0666916448107906</c:v>
                </c:pt>
                <c:pt idx="8">
                  <c:v>0.0735114370525581</c:v>
                </c:pt>
                <c:pt idx="9">
                  <c:v>0.0496749024707412</c:v>
                </c:pt>
                <c:pt idx="10">
                  <c:v>0.0574335148990708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Charts!B15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c8553d"/>
            </a:solidFill>
            <a:ln w="2808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Charts!$C$11:$M$11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Charts!$C$15:$M$15</c:f>
              <c:numCache>
                <c:formatCode>0.0%;\(0.0%\);\-</c:formatCode>
                <c:ptCount val="11"/>
                <c:pt idx="0">
                  <c:v>0.10954415954416</c:v>
                </c:pt>
                <c:pt idx="1">
                  <c:v>0.121392190152801</c:v>
                </c:pt>
                <c:pt idx="2">
                  <c:v>0.11839806477624</c:v>
                </c:pt>
                <c:pt idx="3">
                  <c:v>0.116316046966732</c:v>
                </c:pt>
                <c:pt idx="4">
                  <c:v>0.0827059220137094</c:v>
                </c:pt>
                <c:pt idx="5">
                  <c:v>0.0853541288323897</c:v>
                </c:pt>
                <c:pt idx="6">
                  <c:v>0.0538639227215456</c:v>
                </c:pt>
                <c:pt idx="7">
                  <c:v>0.0529224428624953</c:v>
                </c:pt>
                <c:pt idx="8">
                  <c:v>0.0681857866247599</c:v>
                </c:pt>
                <c:pt idx="9">
                  <c:v>0.0463805808409189</c:v>
                </c:pt>
                <c:pt idx="10">
                  <c:v>0.0526273630246716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48894"/>
        <c:axId val="54518664"/>
      </c:lineChart>
      <c:catAx>
        <c:axId val="701536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78386"/>
        <c:crosses val="autoZero"/>
        <c:auto val="1"/>
        <c:lblAlgn val="ctr"/>
        <c:lblOffset val="100"/>
        <c:noMultiLvlLbl val="0"/>
      </c:catAx>
      <c:valAx>
        <c:axId val="990783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53686"/>
        <c:crosses val="autoZero"/>
        <c:crossBetween val="between"/>
      </c:valAx>
      <c:catAx>
        <c:axId val="114889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18664"/>
        <c:crosses val="autoZero"/>
        <c:auto val="1"/>
        <c:lblAlgn val="ctr"/>
        <c:lblOffset val="100"/>
        <c:noMultiLvlLbl val="0"/>
      </c:catAx>
      <c:valAx>
        <c:axId val="5451866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889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Segment EBITDA Margin &amp; Shipbuilding Operating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08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Charts!$C$17:$M$17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Charts!$C$18:$M$18</c:f>
              <c:numCache>
                <c:formatCode>0.0%;\(0.0%\);\-</c:formatCode>
                <c:ptCount val="11"/>
                <c:pt idx="0">
                  <c:v>0.228129169460417</c:v>
                </c:pt>
                <c:pt idx="1">
                  <c:v>0.236350137069753</c:v>
                </c:pt>
                <c:pt idx="2">
                  <c:v>0.182740080914188</c:v>
                </c:pt>
                <c:pt idx="3">
                  <c:v>0.223064413115158</c:v>
                </c:pt>
                <c:pt idx="4">
                  <c:v>0.181208306459586</c:v>
                </c:pt>
                <c:pt idx="5">
                  <c:v>0.155085817524842</c:v>
                </c:pt>
                <c:pt idx="6">
                  <c:v>0.109025457622762</c:v>
                </c:pt>
                <c:pt idx="7">
                  <c:v>0.0967374732870696</c:v>
                </c:pt>
                <c:pt idx="8">
                  <c:v>0.110055346091571</c:v>
                </c:pt>
                <c:pt idx="9">
                  <c:v>0.0696397295817374</c:v>
                </c:pt>
                <c:pt idx="10">
                  <c:v>0.0797659456039225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Charts!B19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08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Charts!$C$17:$M$17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Charts!$C$19:$M$19</c:f>
              <c:numCache>
                <c:formatCode>0.0%;\(0.0%\);\-</c:formatCode>
                <c:ptCount val="11"/>
                <c:pt idx="0">
                  <c:v>0.129243230591549</c:v>
                </c:pt>
                <c:pt idx="1">
                  <c:v>0.161936830821576</c:v>
                </c:pt>
                <c:pt idx="2">
                  <c:v>0.131025423270578</c:v>
                </c:pt>
                <c:pt idx="3">
                  <c:v>0.203937775334651</c:v>
                </c:pt>
                <c:pt idx="4">
                  <c:v>0.154823580519042</c:v>
                </c:pt>
                <c:pt idx="5">
                  <c:v>0.125431059676194</c:v>
                </c:pt>
                <c:pt idx="6">
                  <c:v>0.135361541426493</c:v>
                </c:pt>
                <c:pt idx="7">
                  <c:v>0.121372354820589</c:v>
                </c:pt>
                <c:pt idx="8">
                  <c:v>0.137047513542776</c:v>
                </c:pt>
                <c:pt idx="9">
                  <c:v>0.0783822831914709</c:v>
                </c:pt>
                <c:pt idx="10">
                  <c:v>0.0877801656103543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Charts!B20</c:f>
              <c:strCache>
                <c:ptCount val="1"/>
                <c:pt idx="0">
                  <c:v>Segment EBITDA margin %</c:v>
                </c:pt>
              </c:strCache>
            </c:strRef>
          </c:tx>
          <c:spPr>
            <a:solidFill>
              <a:srgbClr val="1f4e79"/>
            </a:solidFill>
            <a:ln w="28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Charts!$C$17:$M$17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Charts!$C$20:$M$20</c:f>
              <c:numCache>
                <c:formatCode>0.0%;\(0.0%\);\-</c:formatCode>
                <c:ptCount val="11"/>
                <c:pt idx="0">
                  <c:v>0.120655270655271</c:v>
                </c:pt>
                <c:pt idx="1">
                  <c:v>0.127475947934352</c:v>
                </c:pt>
                <c:pt idx="2">
                  <c:v>0.120010751243112</c:v>
                </c:pt>
                <c:pt idx="3">
                  <c:v>0.105919765166341</c:v>
                </c:pt>
                <c:pt idx="4">
                  <c:v>0.0964153275648949</c:v>
                </c:pt>
                <c:pt idx="5">
                  <c:v>0.0856746074137379</c:v>
                </c:pt>
                <c:pt idx="6">
                  <c:v>0.102477950440991</c:v>
                </c:pt>
                <c:pt idx="7">
                  <c:v>0.100224803297115</c:v>
                </c:pt>
                <c:pt idx="8">
                  <c:v>0.103806530469705</c:v>
                </c:pt>
                <c:pt idx="9">
                  <c:v>0.0779367143476376</c:v>
                </c:pt>
                <c:pt idx="10">
                  <c:v>0.0837872476770266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Charts!B21</c:f>
              <c:strCache>
                <c:ptCount val="1"/>
                <c:pt idx="0">
                  <c:v>Shipbuilding op. margin %</c:v>
                </c:pt>
              </c:strCache>
            </c:strRef>
          </c:tx>
          <c:spPr>
            <a:solidFill>
              <a:srgbClr val="c8553d"/>
            </a:solidFill>
            <a:ln w="2808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Charts!$C$17:$M$17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Charts!$C$21:$M$21</c:f>
              <c:numCache>
                <c:formatCode>0.0%;\(0.0%\);\-</c:formatCode>
                <c:ptCount val="11"/>
                <c:pt idx="0">
                  <c:v>0.120259019426457</c:v>
                </c:pt>
                <c:pt idx="1">
                  <c:v>0.1091386230318</c:v>
                </c:pt>
                <c:pt idx="2">
                  <c:v>0.101306196840826</c:v>
                </c:pt>
                <c:pt idx="3">
                  <c:v>0.0868566797244361</c:v>
                </c:pt>
                <c:pt idx="4">
                  <c:v>0.082840996660673</c:v>
                </c:pt>
                <c:pt idx="5">
                  <c:v>0.0623105831009819</c:v>
                </c:pt>
                <c:pt idx="6">
                  <c:v>0.0772799413990966</c:v>
                </c:pt>
                <c:pt idx="7">
                  <c:v>0.0770600807409167</c:v>
                </c:pt>
                <c:pt idx="8">
                  <c:v>0.0833989870568374</c:v>
                </c:pt>
                <c:pt idx="9">
                  <c:v>0.0523122710622711</c:v>
                </c:pt>
                <c:pt idx="10">
                  <c:v>0.0588419405320814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928462"/>
        <c:axId val="31171214"/>
      </c:lineChart>
      <c:catAx>
        <c:axId val="19928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71214"/>
        <c:crosses val="autoZero"/>
        <c:auto val="1"/>
        <c:lblAlgn val="ctr"/>
        <c:lblOffset val="100"/>
        <c:noMultiLvlLbl val="0"/>
      </c:catAx>
      <c:valAx>
        <c:axId val="31171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284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160560</xdr:rowOff>
    </xdr:from>
    <xdr:to>
      <xdr:col>9</xdr:col>
      <xdr:colOff>185040</xdr:colOff>
      <xdr:row>41</xdr:row>
      <xdr:rowOff>151200</xdr:rowOff>
    </xdr:to>
    <xdr:graphicFrame>
      <xdr:nvGraphicFramePr>
        <xdr:cNvPr id="0" name="Chart 1"/>
        <xdr:cNvGraphicFramePr/>
      </xdr:nvGraphicFramePr>
      <xdr:xfrm>
        <a:off x="758880" y="4572000"/>
        <a:ext cx="93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44</xdr:row>
      <xdr:rowOff>160920</xdr:rowOff>
    </xdr:from>
    <xdr:to>
      <xdr:col>9</xdr:col>
      <xdr:colOff>185040</xdr:colOff>
      <xdr:row>62</xdr:row>
      <xdr:rowOff>151560</xdr:rowOff>
    </xdr:to>
    <xdr:graphicFrame>
      <xdr:nvGraphicFramePr>
        <xdr:cNvPr id="1" name="Chart 2"/>
        <xdr:cNvGraphicFramePr/>
      </xdr:nvGraphicFramePr>
      <xdr:xfrm>
        <a:off x="758880" y="8572680"/>
        <a:ext cx="93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65</xdr:row>
      <xdr:rowOff>160560</xdr:rowOff>
    </xdr:from>
    <xdr:to>
      <xdr:col>9</xdr:col>
      <xdr:colOff>185040</xdr:colOff>
      <xdr:row>83</xdr:row>
      <xdr:rowOff>151200</xdr:rowOff>
    </xdr:to>
    <xdr:graphicFrame>
      <xdr:nvGraphicFramePr>
        <xdr:cNvPr id="2" name="Chart 3"/>
        <xdr:cNvGraphicFramePr/>
      </xdr:nvGraphicFramePr>
      <xdr:xfrm>
        <a:off x="758880" y="12573000"/>
        <a:ext cx="93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L363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2.5"/>
    <col collapsed="false" customWidth="true" hidden="false" outlineLevel="0" max="2" min="2" style="0" width="62"/>
    <col collapsed="false" customWidth="true" hidden="true" outlineLevel="1" max="4" min="3" style="0" width="9.63"/>
    <col collapsed="false" customWidth="true" hidden="true" outlineLevel="1" max="5" min="5" style="0" width="10.88"/>
    <col collapsed="false" customWidth="true" hidden="true" outlineLevel="1" max="7" min="6" style="0" width="9.63"/>
    <col collapsed="false" customWidth="true" hidden="false" outlineLevel="0" max="8" min="8" style="0" width="14.13"/>
    <col collapsed="false" customWidth="true" hidden="true" outlineLevel="1" max="10" min="9" style="0" width="9.63"/>
    <col collapsed="false" customWidth="true" hidden="true" outlineLevel="1" max="11" min="11" style="0" width="10.88"/>
    <col collapsed="false" customWidth="true" hidden="true" outlineLevel="1" max="13" min="12" style="0" width="9.63"/>
    <col collapsed="false" customWidth="true" hidden="false" outlineLevel="0" max="14" min="14" style="0" width="14.13"/>
    <col collapsed="false" customWidth="true" hidden="true" outlineLevel="1" max="16" min="15" style="0" width="9.63"/>
    <col collapsed="false" customWidth="true" hidden="true" outlineLevel="1" max="17" min="17" style="0" width="10.88"/>
    <col collapsed="false" customWidth="true" hidden="true" outlineLevel="1" max="19" min="18" style="0" width="9.63"/>
    <col collapsed="false" customWidth="true" hidden="false" outlineLevel="0" max="20" min="20" style="0" width="14.13"/>
    <col collapsed="false" customWidth="true" hidden="true" outlineLevel="1" max="22" min="21" style="0" width="9.63"/>
    <col collapsed="false" customWidth="true" hidden="true" outlineLevel="1" max="23" min="23" style="0" width="10.88"/>
    <col collapsed="false" customWidth="true" hidden="true" outlineLevel="1" max="25" min="24" style="0" width="9.63"/>
    <col collapsed="false" customWidth="true" hidden="false" outlineLevel="0" max="26" min="26" style="0" width="14.13"/>
    <col collapsed="false" customWidth="true" hidden="true" outlineLevel="1" max="28" min="27" style="0" width="9.63"/>
    <col collapsed="false" customWidth="true" hidden="true" outlineLevel="1" max="29" min="29" style="0" width="10.88"/>
    <col collapsed="false" customWidth="true" hidden="true" outlineLevel="1" max="31" min="30" style="0" width="9.63"/>
    <col collapsed="false" customWidth="true" hidden="false" outlineLevel="0" max="32" min="32" style="0" width="14.13"/>
    <col collapsed="false" customWidth="true" hidden="true" outlineLevel="1" max="34" min="33" style="0" width="9.63"/>
    <col collapsed="false" customWidth="true" hidden="true" outlineLevel="1" max="35" min="35" style="0" width="10.88"/>
    <col collapsed="false" customWidth="true" hidden="true" outlineLevel="1" max="37" min="36" style="0" width="9.63"/>
    <col collapsed="false" customWidth="true" hidden="false" outlineLevel="0" max="38" min="38" style="0" width="14.13"/>
    <col collapsed="false" customWidth="true" hidden="true" outlineLevel="1" max="40" min="39" style="0" width="9.63"/>
    <col collapsed="false" customWidth="true" hidden="true" outlineLevel="1" max="41" min="41" style="0" width="10.88"/>
    <col collapsed="false" customWidth="true" hidden="true" outlineLevel="1" max="43" min="42" style="0" width="9.63"/>
    <col collapsed="false" customWidth="true" hidden="false" outlineLevel="0" max="44" min="44" style="0" width="14.13"/>
    <col collapsed="false" customWidth="true" hidden="true" outlineLevel="1" max="46" min="45" style="0" width="9.63"/>
    <col collapsed="false" customWidth="true" hidden="true" outlineLevel="1" max="47" min="47" style="0" width="10.88"/>
    <col collapsed="false" customWidth="true" hidden="true" outlineLevel="1" max="49" min="48" style="0" width="9.63"/>
    <col collapsed="false" customWidth="true" hidden="false" outlineLevel="0" max="50" min="50" style="0" width="14.13"/>
    <col collapsed="false" customWidth="true" hidden="true" outlineLevel="1" max="52" min="51" style="0" width="9.63"/>
    <col collapsed="false" customWidth="true" hidden="true" outlineLevel="1" max="53" min="53" style="0" width="10.88"/>
    <col collapsed="false" customWidth="true" hidden="true" outlineLevel="1" max="55" min="54" style="0" width="9.63"/>
    <col collapsed="false" customWidth="true" hidden="false" outlineLevel="0" max="56" min="56" style="0" width="14.13"/>
    <col collapsed="false" customWidth="true" hidden="true" outlineLevel="1" max="58" min="57" style="0" width="9.63"/>
    <col collapsed="false" customWidth="true" hidden="true" outlineLevel="1" max="59" min="59" style="0" width="10.88"/>
    <col collapsed="false" customWidth="true" hidden="true" outlineLevel="1" max="61" min="60" style="0" width="9.63"/>
    <col collapsed="false" customWidth="true" hidden="false" outlineLevel="0" max="62" min="62" style="0" width="14.13"/>
    <col collapsed="false" customWidth="true" hidden="true" outlineLevel="1" max="64" min="63" style="0" width="9.63"/>
    <col collapsed="false" customWidth="true" hidden="true" outlineLevel="1" max="65" min="65" style="0" width="10.88"/>
    <col collapsed="false" customWidth="true" hidden="true" outlineLevel="1" max="67" min="66" style="0" width="9.63"/>
    <col collapsed="false" customWidth="true" hidden="false" outlineLevel="0" max="68" min="68" style="0" width="14.13"/>
    <col collapsed="false" customWidth="true" hidden="false" outlineLevel="1" max="73" min="69" style="0" width="11.5"/>
    <col collapsed="false" customWidth="true" hidden="false" outlineLevel="0" max="78" min="74" style="0" width="14.13"/>
    <col collapsed="false" customWidth="true" hidden="false" outlineLevel="0" max="79" min="79" style="0" width="86.88"/>
    <col collapsed="false" customWidth="true" hidden="false" outlineLevel="0" max="80" min="80" style="0" width="2"/>
    <col collapsed="false" customWidth="true" hidden="false" outlineLevel="0" max="81" min="81" style="0" width="14.13"/>
    <col collapsed="false" customWidth="true" hidden="false" outlineLevel="0" max="82" min="82" style="0" width="12.38"/>
    <col collapsed="false" customWidth="true" hidden="false" outlineLevel="0" max="83" min="83" style="0" width="13.5"/>
    <col collapsed="false" customWidth="true" hidden="false" outlineLevel="0" max="84" min="84" style="0" width="2"/>
    <col collapsed="false" customWidth="true" hidden="false" outlineLevel="0" max="85" min="85" style="0" width="6"/>
    <col collapsed="false" customWidth="true" hidden="false" outlineLevel="0" max="86" min="86" style="0" width="34"/>
    <col collapsed="false" customWidth="true" hidden="false" outlineLevel="0" max="89" min="87" style="0" width="11.63"/>
    <col collapsed="false" customWidth="true" hidden="false" outlineLevel="0" max="90" min="90" style="0" width="40"/>
  </cols>
  <sheetData>
    <row r="1" customFormat="false" ht="15" hidden="false" customHeight="false" outlineLevel="0" collapsed="false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  <c r="BU1" s="3"/>
      <c r="BV1" s="3"/>
      <c r="BW1" s="3"/>
      <c r="BX1" s="3"/>
      <c r="BY1" s="3"/>
      <c r="BZ1" s="3"/>
      <c r="CA1" s="4" t="s">
        <v>0</v>
      </c>
      <c r="CC1" s="5"/>
      <c r="CD1" s="5"/>
      <c r="CE1" s="5"/>
    </row>
    <row r="2" customFormat="false" ht="21" hidden="false" customHeight="true" outlineLevel="0" collapsed="false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7"/>
      <c r="BU2" s="7"/>
      <c r="BV2" s="7"/>
      <c r="BW2" s="7"/>
      <c r="BX2" s="7"/>
      <c r="BY2" s="7"/>
      <c r="BZ2" s="7"/>
      <c r="CA2" s="8" t="s">
        <v>2</v>
      </c>
      <c r="CC2" s="5"/>
      <c r="CD2" s="5"/>
      <c r="CE2" s="5"/>
    </row>
    <row r="3" customFormat="false" ht="15" hidden="false" customHeight="false" outlineLevel="0" collapsed="false">
      <c r="B3" s="9" t="s">
        <v>3</v>
      </c>
      <c r="BT3" s="5"/>
      <c r="BU3" s="5"/>
      <c r="BV3" s="5"/>
      <c r="BW3" s="5"/>
      <c r="BX3" s="5"/>
      <c r="BY3" s="5"/>
      <c r="BZ3" s="5"/>
      <c r="CA3" s="5"/>
      <c r="CC3" s="5"/>
      <c r="CD3" s="5"/>
      <c r="CE3" s="5"/>
    </row>
    <row r="4" customFormat="false" ht="15" hidden="false" customHeight="false" outlineLevel="0" collapsed="false">
      <c r="B4" s="10" t="s">
        <v>4</v>
      </c>
      <c r="BT4" s="5"/>
      <c r="BU4" s="5"/>
      <c r="BV4" s="5"/>
      <c r="BW4" s="5"/>
      <c r="BX4" s="5"/>
      <c r="BY4" s="5"/>
      <c r="BZ4" s="5"/>
      <c r="CA4" s="5"/>
      <c r="CC4" s="5"/>
      <c r="CD4" s="5"/>
      <c r="CE4" s="5"/>
    </row>
    <row r="5" customFormat="false" ht="15" hidden="false" customHeight="false" outlineLevel="0" collapsed="false">
      <c r="BT5" s="5"/>
      <c r="BU5" s="5"/>
      <c r="BV5" s="5"/>
      <c r="BW5" s="5"/>
      <c r="BX5" s="5"/>
      <c r="BY5" s="5"/>
      <c r="BZ5" s="5"/>
      <c r="CA5" s="5"/>
      <c r="CC5" s="11" t="s">
        <v>5</v>
      </c>
      <c r="CD5" s="11" t="s">
        <v>6</v>
      </c>
      <c r="CE5" s="11" t="s">
        <v>6</v>
      </c>
    </row>
    <row r="6" customFormat="false" ht="15" hidden="false" customHeight="false" outlineLevel="0" collapsed="false">
      <c r="A6" s="12"/>
      <c r="B6" s="13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2" t="n">
        <v>2015</v>
      </c>
      <c r="I6" s="12" t="s">
        <v>13</v>
      </c>
      <c r="J6" s="12" t="s">
        <v>14</v>
      </c>
      <c r="K6" s="12" t="s">
        <v>15</v>
      </c>
      <c r="L6" s="12" t="s">
        <v>16</v>
      </c>
      <c r="M6" s="12" t="s">
        <v>17</v>
      </c>
      <c r="N6" s="12" t="n">
        <v>2016</v>
      </c>
      <c r="O6" s="12" t="s">
        <v>18</v>
      </c>
      <c r="P6" s="12" t="s">
        <v>19</v>
      </c>
      <c r="Q6" s="12" t="s">
        <v>20</v>
      </c>
      <c r="R6" s="12" t="s">
        <v>21</v>
      </c>
      <c r="S6" s="12" t="s">
        <v>22</v>
      </c>
      <c r="T6" s="12" t="n">
        <v>2017</v>
      </c>
      <c r="U6" s="12" t="s">
        <v>23</v>
      </c>
      <c r="V6" s="12" t="s">
        <v>24</v>
      </c>
      <c r="W6" s="12" t="s">
        <v>25</v>
      </c>
      <c r="X6" s="12" t="s">
        <v>26</v>
      </c>
      <c r="Y6" s="12" t="s">
        <v>27</v>
      </c>
      <c r="Z6" s="12" t="n">
        <v>2018</v>
      </c>
      <c r="AA6" s="12" t="s">
        <v>28</v>
      </c>
      <c r="AB6" s="12" t="s">
        <v>29</v>
      </c>
      <c r="AC6" s="12" t="s">
        <v>30</v>
      </c>
      <c r="AD6" s="12" t="s">
        <v>31</v>
      </c>
      <c r="AE6" s="12" t="s">
        <v>32</v>
      </c>
      <c r="AF6" s="12" t="n">
        <v>2019</v>
      </c>
      <c r="AG6" s="12" t="s">
        <v>33</v>
      </c>
      <c r="AH6" s="12" t="s">
        <v>34</v>
      </c>
      <c r="AI6" s="12" t="s">
        <v>35</v>
      </c>
      <c r="AJ6" s="12" t="s">
        <v>36</v>
      </c>
      <c r="AK6" s="12" t="s">
        <v>37</v>
      </c>
      <c r="AL6" s="12" t="n">
        <v>2020</v>
      </c>
      <c r="AM6" s="12" t="s">
        <v>38</v>
      </c>
      <c r="AN6" s="12" t="s">
        <v>39</v>
      </c>
      <c r="AO6" s="12" t="s">
        <v>40</v>
      </c>
      <c r="AP6" s="12" t="s">
        <v>41</v>
      </c>
      <c r="AQ6" s="12" t="s">
        <v>42</v>
      </c>
      <c r="AR6" s="12" t="n">
        <v>2021</v>
      </c>
      <c r="AS6" s="12" t="s">
        <v>43</v>
      </c>
      <c r="AT6" s="12" t="s">
        <v>44</v>
      </c>
      <c r="AU6" s="12" t="s">
        <v>45</v>
      </c>
      <c r="AV6" s="12" t="s">
        <v>46</v>
      </c>
      <c r="AW6" s="12" t="s">
        <v>47</v>
      </c>
      <c r="AX6" s="12" t="n">
        <v>2022</v>
      </c>
      <c r="AY6" s="12" t="s">
        <v>48</v>
      </c>
      <c r="AZ6" s="12" t="s">
        <v>49</v>
      </c>
      <c r="BA6" s="12" t="s">
        <v>50</v>
      </c>
      <c r="BB6" s="12" t="s">
        <v>51</v>
      </c>
      <c r="BC6" s="12" t="s">
        <v>52</v>
      </c>
      <c r="BD6" s="12" t="n">
        <v>2023</v>
      </c>
      <c r="BE6" s="12" t="s">
        <v>53</v>
      </c>
      <c r="BF6" s="12" t="s">
        <v>54</v>
      </c>
      <c r="BG6" s="12" t="s">
        <v>55</v>
      </c>
      <c r="BH6" s="12" t="s">
        <v>56</v>
      </c>
      <c r="BI6" s="12" t="s">
        <v>57</v>
      </c>
      <c r="BJ6" s="12" t="n">
        <v>2024</v>
      </c>
      <c r="BK6" s="12" t="s">
        <v>58</v>
      </c>
      <c r="BL6" s="12" t="s">
        <v>59</v>
      </c>
      <c r="BM6" s="12" t="s">
        <v>60</v>
      </c>
      <c r="BN6" s="12" t="s">
        <v>61</v>
      </c>
      <c r="BO6" s="12" t="s">
        <v>62</v>
      </c>
      <c r="BP6" s="12" t="n">
        <v>2025</v>
      </c>
      <c r="BQ6" s="12" t="s">
        <v>63</v>
      </c>
      <c r="BR6" s="12" t="s">
        <v>64</v>
      </c>
      <c r="BS6" s="12" t="s">
        <v>65</v>
      </c>
      <c r="BT6" s="12" t="s">
        <v>66</v>
      </c>
      <c r="BU6" s="12" t="s">
        <v>67</v>
      </c>
      <c r="BV6" s="12" t="s">
        <v>68</v>
      </c>
      <c r="BW6" s="12" t="s">
        <v>69</v>
      </c>
      <c r="BX6" s="12" t="s">
        <v>70</v>
      </c>
      <c r="BY6" s="12" t="s">
        <v>71</v>
      </c>
      <c r="BZ6" s="12" t="s">
        <v>72</v>
      </c>
      <c r="CA6" s="12" t="s">
        <v>73</v>
      </c>
      <c r="CC6" s="11" t="s">
        <v>74</v>
      </c>
      <c r="CD6" s="11" t="s">
        <v>74</v>
      </c>
      <c r="CE6" s="11" t="s">
        <v>75</v>
      </c>
    </row>
    <row r="7" customFormat="false" ht="15" hidden="false" customHeight="false" outlineLevel="0" collapsed="false">
      <c r="BT7" s="5"/>
      <c r="BU7" s="5"/>
      <c r="BV7" s="5"/>
      <c r="BW7" s="5"/>
      <c r="BX7" s="5"/>
      <c r="BY7" s="5"/>
      <c r="BZ7" s="5"/>
      <c r="CA7" s="5"/>
      <c r="CC7" s="14" t="s">
        <v>76</v>
      </c>
      <c r="CD7" s="14" t="s">
        <v>77</v>
      </c>
      <c r="CE7" s="14" t="s">
        <v>78</v>
      </c>
    </row>
    <row r="8" customFormat="false" ht="15" hidden="false" customHeight="false" outlineLevel="0" collapsed="false">
      <c r="B8" s="15" t="s">
        <v>79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C8" s="15"/>
      <c r="CD8" s="15"/>
      <c r="CE8" s="15"/>
    </row>
    <row r="9" customFormat="false" ht="15" hidden="false" customHeight="false" outlineLevel="0" collapsed="false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3"/>
      <c r="BU9" s="3"/>
      <c r="BV9" s="3"/>
      <c r="BW9" s="3"/>
      <c r="BX9" s="3"/>
      <c r="BY9" s="3"/>
      <c r="BZ9" s="3"/>
      <c r="CA9" s="16"/>
      <c r="CC9" s="5"/>
      <c r="CD9" s="5"/>
      <c r="CE9" s="5"/>
      <c r="CH9" s="17" t="s">
        <v>80</v>
      </c>
      <c r="CI9" s="18" t="s">
        <v>81</v>
      </c>
      <c r="CJ9" s="18" t="s">
        <v>2</v>
      </c>
      <c r="CK9" s="18" t="s">
        <v>82</v>
      </c>
      <c r="CL9" s="19" t="s">
        <v>83</v>
      </c>
    </row>
    <row r="10" customFormat="false" ht="15" hidden="false" customHeight="false" outlineLevel="0" collapsed="false">
      <c r="B10" s="20" t="s">
        <v>84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1" t="s">
        <v>85</v>
      </c>
    </row>
    <row r="11" customFormat="false" ht="15" hidden="false" customHeight="false" outlineLevel="0" collapsed="false">
      <c r="B11" s="1" t="s">
        <v>86</v>
      </c>
      <c r="C11" s="2" t="str">
        <f aca="false">IF(ISNUMBER(C12),C13-C12,"n/d")</f>
        <v>n/d</v>
      </c>
      <c r="D11" s="2" t="str">
        <f aca="false">IF(ISNUMBER(D12),D13-D12,"n/d")</f>
        <v>n/d</v>
      </c>
      <c r="E11" s="2" t="str">
        <f aca="false">IF(ISNUMBER(E12),E13-E12,"n/d")</f>
        <v>n/d</v>
      </c>
      <c r="F11" s="2" t="str">
        <f aca="false">IF(ISNUMBER(F12),F13-F12,"n/d")</f>
        <v>n/d</v>
      </c>
      <c r="G11" s="2" t="str">
        <f aca="false">IF(ISNUMBER(G12),G13-G12,"n/d")</f>
        <v>n/d</v>
      </c>
      <c r="H11" s="2" t="str">
        <f aca="false">IF(ISNUMBER(H12),H13-H12,"n/d")</f>
        <v>n/d</v>
      </c>
      <c r="I11" s="2" t="str">
        <f aca="false">IF(ISNUMBER(I12),I13-I12,"n/d")</f>
        <v>n/d</v>
      </c>
      <c r="J11" s="2" t="str">
        <f aca="false">IF(ISNUMBER(J12),J13-J12,"n/d")</f>
        <v>n/d</v>
      </c>
      <c r="K11" s="2" t="str">
        <f aca="false">IF(ISNUMBER(K12),K13-K12,"n/d")</f>
        <v>n/d</v>
      </c>
      <c r="L11" s="2" t="str">
        <f aca="false">IF(ISNUMBER(L12),L13-L12,"n/d")</f>
        <v>n/d</v>
      </c>
      <c r="M11" s="2" t="str">
        <f aca="false">IF(ISNUMBER(M12),M13-M12,"n/d")</f>
        <v>n/d</v>
      </c>
      <c r="N11" s="2" t="str">
        <f aca="false">IF(ISNUMBER(N12),N13-N12,"n/d")</f>
        <v>n/d</v>
      </c>
      <c r="O11" s="2" t="str">
        <f aca="false">IF(ISNUMBER(O12),O13-O12,"n/d")</f>
        <v>n/d</v>
      </c>
      <c r="P11" s="2" t="str">
        <f aca="false">IF(ISNUMBER(P12),P13-P12,"n/d")</f>
        <v>n/d</v>
      </c>
      <c r="Q11" s="2" t="str">
        <f aca="false">IF(ISNUMBER(Q12),Q13-Q12,"n/d")</f>
        <v>n/d</v>
      </c>
      <c r="R11" s="2" t="str">
        <f aca="false">IF(ISNUMBER(R12),R13-R12,"n/d")</f>
        <v>n/d</v>
      </c>
      <c r="S11" s="2" t="str">
        <f aca="false">IF(ISNUMBER(S12),S13-S12,"n/d")</f>
        <v>n/d</v>
      </c>
      <c r="T11" s="2" t="str">
        <f aca="false">IF(ISNUMBER(T12),T13-T12,"n/d")</f>
        <v>n/d</v>
      </c>
      <c r="U11" s="2" t="str">
        <f aca="false">IF(ISNUMBER(U12),U13-U12,"n/d")</f>
        <v>n/d</v>
      </c>
      <c r="V11" s="2" t="str">
        <f aca="false">IF(ISNUMBER(V12),V13-V12,"n/d")</f>
        <v>n/d</v>
      </c>
      <c r="W11" s="2" t="str">
        <f aca="false">IF(ISNUMBER(W12),W13-W12,"n/d")</f>
        <v>n/d</v>
      </c>
      <c r="X11" s="2" t="n">
        <f aca="false">IF(ISNUMBER(X12),X13-X12,"n/d")</f>
        <v>692</v>
      </c>
      <c r="Y11" s="2" t="n">
        <f aca="false">IF(ISNUMBER(Y12),Y13-Y12,"n/d")</f>
        <v>699</v>
      </c>
      <c r="Z11" s="2" t="n">
        <f aca="false">IF(ISNUMBER(Z12),Z13-Z12,"n/d")</f>
        <v>2605</v>
      </c>
      <c r="AA11" s="2" t="str">
        <f aca="false">IF(ISNUMBER(AA12),AA13-AA12,"n/d")</f>
        <v>n/d</v>
      </c>
      <c r="AB11" s="2" t="n">
        <f aca="false">IF(ISNUMBER(AB12),AB13-AB12,"n/d")</f>
        <v>621</v>
      </c>
      <c r="AC11" s="2" t="n">
        <f aca="false">IF(ISNUMBER(AC12),AC13-AC12,"n/d")</f>
        <v>1205</v>
      </c>
      <c r="AD11" s="2" t="n">
        <f aca="false">IF(ISNUMBER(AD12),AD13-AD12,"n/d")</f>
        <v>646</v>
      </c>
      <c r="AE11" s="2" t="n">
        <f aca="false">IF(ISNUMBER(AE12),AE13-AE12,"n/d")</f>
        <v>701</v>
      </c>
      <c r="AF11" s="2" t="n">
        <f aca="false">IF(ISNUMBER(AF12),AF13-AF12,"n/d")</f>
        <v>2552</v>
      </c>
      <c r="AG11" s="2" t="n">
        <f aca="false">IF(ISNUMBER(AG12),AG13-AG12,"n/d")</f>
        <v>628</v>
      </c>
      <c r="AH11" s="2" t="n">
        <f aca="false">IF(ISNUMBER(AH12),AH13-AH12,"n/d")</f>
        <v>621</v>
      </c>
      <c r="AI11" s="2" t="n">
        <f aca="false">IF(ISNUMBER(AI12),AI13-AI12,"n/d")</f>
        <v>1249</v>
      </c>
      <c r="AJ11" s="2" t="n">
        <f aca="false">IF(ISNUMBER(AJ12),AJ13-AJ12,"n/d")</f>
        <v>675</v>
      </c>
      <c r="AK11" s="2" t="n">
        <f aca="false">IF(ISNUMBER(AK12),AK13-AK12,"n/d")</f>
        <v>750</v>
      </c>
      <c r="AL11" s="2" t="n">
        <f aca="false">IF(ISNUMBER(AL12),AL13-AL12,"n/d")</f>
        <v>2674</v>
      </c>
      <c r="AM11" s="2" t="n">
        <f aca="false">IF(ISNUMBER(AM12),AM13-AM12,"n/d")</f>
        <v>646</v>
      </c>
      <c r="AN11" s="2" t="n">
        <f aca="false">IF(ISNUMBER(AN12),AN13-AN12,"n/d")</f>
        <v>665</v>
      </c>
      <c r="AO11" s="2" t="n">
        <f aca="false">IF(ISNUMBER(AO12),AO13-AO12,"n/d")</f>
        <v>1311</v>
      </c>
      <c r="AP11" s="2" t="n">
        <f aca="false">IF(ISNUMBER(AP12),AP13-AP12,"n/d")</f>
        <v>624</v>
      </c>
      <c r="AQ11" s="2" t="n">
        <f aca="false">IF(ISNUMBER(AQ12),AQ13-AQ12,"n/d")</f>
        <v>578</v>
      </c>
      <c r="AR11" s="2" t="n">
        <f aca="false">IF(ISNUMBER(AR12),AR13-AR12,"n/d")</f>
        <v>2513</v>
      </c>
      <c r="AS11" s="2" t="n">
        <f aca="false">IF(ISNUMBER(AS12),AS13-AS12,"n/d")</f>
        <v>628</v>
      </c>
      <c r="AT11" s="2" t="str">
        <f aca="false">IF(ISNUMBER(AT12),AT13-AT12,"n/d")</f>
        <v>n/d</v>
      </c>
      <c r="AU11" s="2" t="n">
        <f aca="false">IF(ISNUMBER(AU12),AU13-AU12,"n/d")</f>
        <v>1286</v>
      </c>
      <c r="AV11" s="2" t="n">
        <f aca="false">IF(ISNUMBER(AV12),AV13-AV12,"n/d")</f>
        <v>618</v>
      </c>
      <c r="AW11" s="2" t="n">
        <f aca="false">IF(ISNUMBER(AW12),AW13-AW12,"n/d")</f>
        <v>656</v>
      </c>
      <c r="AX11" s="2" t="n">
        <f aca="false">IF(ISNUMBER(AX12),AX13-AX12,"n/d")</f>
        <v>2558</v>
      </c>
      <c r="AY11" s="2" t="n">
        <f aca="false">IF(ISNUMBER(AY12),AY13-AY12,"n/d")</f>
        <v>575</v>
      </c>
      <c r="AZ11" s="2" t="n">
        <f aca="false">IF(ISNUMBER(AZ12),AZ13-AZ12,"n/d")</f>
        <v>661</v>
      </c>
      <c r="BA11" s="2" t="n">
        <f aca="false">IF(ISNUMBER(BA12),BA13-BA12,"n/d")</f>
        <v>1236</v>
      </c>
      <c r="BB11" s="2" t="n">
        <f aca="false">IF(ISNUMBER(BB12),BB13-BB12,"n/d")</f>
        <v>710</v>
      </c>
      <c r="BC11" s="2" t="n">
        <f aca="false">IF(ISNUMBER(BC12),BC13-BC12,"n/d")</f>
        <v>797</v>
      </c>
      <c r="BD11" s="2" t="n">
        <f aca="false">IF(ISNUMBER(BD12),BD13-BD12,"n/d")</f>
        <v>2743</v>
      </c>
      <c r="BE11" s="2" t="n">
        <f aca="false">IF(ISNUMBER(BE12),BE13-BE12,"n/d")</f>
        <v>653</v>
      </c>
      <c r="BF11" s="2" t="n">
        <f aca="false">IF(ISNUMBER(BF12),BF13-BF12,"n/d")</f>
        <v>711</v>
      </c>
      <c r="BG11" s="2" t="n">
        <f aca="false">IF(ISNUMBER(BG12),BG13-BG12,"n/d")</f>
        <v>1364</v>
      </c>
      <c r="BH11" s="2" t="n">
        <f aca="false">IF(ISNUMBER(BH12),BH13-BH12,"n/d")</f>
        <v>662</v>
      </c>
      <c r="BI11" s="2" t="n">
        <f aca="false">IF(ISNUMBER(BI12),BI13-BI12,"n/d")</f>
        <v>733</v>
      </c>
      <c r="BJ11" s="2" t="n">
        <f aca="false">IF(ISNUMBER(BJ12),BJ13-BJ12,"n/d")</f>
        <v>2759</v>
      </c>
      <c r="BK11" s="2" t="n">
        <f aca="false">IF(ISNUMBER(BK12),BK13-BK12,"n/d")</f>
        <v>633</v>
      </c>
      <c r="BL11" s="2" t="n">
        <f aca="false">IF(ISNUMBER(BL12),BL13-BL12,"n/d")</f>
        <v>721</v>
      </c>
      <c r="BM11" s="2" t="n">
        <f aca="false">IF(ISNUMBER(BM12),BM13-BM12,"n/d")</f>
        <v>1354</v>
      </c>
      <c r="BN11" s="2" t="n">
        <f aca="false">IF(ISNUMBER(BN12),BN13-BN12,"n/d")</f>
        <v>825</v>
      </c>
      <c r="BO11" s="2" t="n">
        <f aca="false">IF(ISNUMBER(BO12),BO13-BO12,"n/d")</f>
        <v>887</v>
      </c>
      <c r="BP11" s="2" t="n">
        <f aca="false">IF(ISNUMBER(BP12),BP13-BP12,"n/d")</f>
        <v>3066</v>
      </c>
      <c r="BQ11" s="2" t="n">
        <f aca="false">IF(ISNUMBER(BQ12),BQ13-BQ12,"n/d")</f>
        <v>722</v>
      </c>
      <c r="BR11" s="2" t="n">
        <f aca="false">IF(ISNUMBER(BR12),BR13-BR12,"n/d")</f>
        <v>843</v>
      </c>
      <c r="BS11" s="2" t="n">
        <f aca="false">IF(ISNUMBER(BS12),BS13-BS12,"n/d")</f>
        <v>1565</v>
      </c>
      <c r="BT11" s="3" t="n">
        <f aca="false">IF(ISNUMBER(BT12),BT13-BT12,"n/d")</f>
        <v>802.881589299764</v>
      </c>
      <c r="BU11" s="3" t="n">
        <f aca="false">IF(ISNUMBER(BU12),BU13-BU12,"n/d")</f>
        <v>802.881589299764</v>
      </c>
      <c r="BV11" s="3" t="n">
        <f aca="false">IF(ISNUMBER(BV12),BV13-BV12,"n/d")</f>
        <v>3170.76317859953</v>
      </c>
      <c r="BW11" s="3" t="n">
        <f aca="false">IF(ISNUMBER(BW12),BW13-BW12,"n/d")</f>
        <v>3358.46429497119</v>
      </c>
      <c r="BX11" s="3" t="n">
        <f aca="false">IF(ISNUMBER(BX12),BX13-BX12,"n/d")</f>
        <v>3543.17983119461</v>
      </c>
      <c r="BY11" s="3" t="n">
        <f aca="false">IF(ISNUMBER(BY12),BY13-BY12,"n/d")</f>
        <v>3720.33882275434</v>
      </c>
      <c r="BZ11" s="3" t="n">
        <f aca="false">IF(ISNUMBER(BZ12),BZ13-BZ12,"n/d")</f>
        <v>3887.75406977828</v>
      </c>
      <c r="CA11" s="16" t="s">
        <v>87</v>
      </c>
      <c r="CC11" s="5"/>
      <c r="CD11" s="5"/>
      <c r="CE11" s="5"/>
      <c r="CH11" s="21" t="s">
        <v>88</v>
      </c>
      <c r="CI11" s="22" t="s">
        <v>89</v>
      </c>
      <c r="CJ11" s="22" t="s">
        <v>90</v>
      </c>
      <c r="CK11" s="22" t="s">
        <v>91</v>
      </c>
    </row>
    <row r="12" customFormat="false" ht="15" hidden="false" customHeight="false" outlineLevel="0" collapsed="false">
      <c r="B12" s="1" t="s">
        <v>92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3" t="n">
        <v>2</v>
      </c>
      <c r="Y12" s="23" t="n">
        <v>0</v>
      </c>
      <c r="Z12" s="23" t="n">
        <v>2</v>
      </c>
      <c r="AA12" s="2"/>
      <c r="AB12" s="23" t="n">
        <v>1</v>
      </c>
      <c r="AC12" s="2" t="n">
        <f aca="false">AA12+AB12</f>
        <v>1</v>
      </c>
      <c r="AD12" s="23" t="n">
        <v>1</v>
      </c>
      <c r="AE12" s="23" t="n">
        <v>1</v>
      </c>
      <c r="AF12" s="23" t="n">
        <v>3</v>
      </c>
      <c r="AG12" s="23" t="n">
        <v>1</v>
      </c>
      <c r="AH12" s="23" t="n">
        <v>1</v>
      </c>
      <c r="AI12" s="2" t="n">
        <f aca="false">AG12+AH12</f>
        <v>2</v>
      </c>
      <c r="AJ12" s="23" t="n">
        <v>0</v>
      </c>
      <c r="AK12" s="23" t="n">
        <v>2</v>
      </c>
      <c r="AL12" s="23" t="n">
        <v>4</v>
      </c>
      <c r="AM12" s="23" t="n">
        <v>3</v>
      </c>
      <c r="AN12" s="23" t="n">
        <v>5</v>
      </c>
      <c r="AO12" s="2" t="n">
        <f aca="false">AM12+AN12</f>
        <v>8</v>
      </c>
      <c r="AP12" s="23" t="n">
        <v>4</v>
      </c>
      <c r="AQ12" s="23" t="n">
        <v>3</v>
      </c>
      <c r="AR12" s="23" t="n">
        <v>15</v>
      </c>
      <c r="AS12" s="23" t="n">
        <v>3</v>
      </c>
      <c r="AT12" s="2"/>
      <c r="AU12" s="2" t="n">
        <f aca="false">AS12+AT12</f>
        <v>3</v>
      </c>
      <c r="AV12" s="23" t="n">
        <v>5</v>
      </c>
      <c r="AW12" s="23" t="n">
        <v>2</v>
      </c>
      <c r="AX12" s="23" t="n">
        <v>12</v>
      </c>
      <c r="AY12" s="23" t="n">
        <v>2</v>
      </c>
      <c r="AZ12" s="23" t="n">
        <v>3</v>
      </c>
      <c r="BA12" s="2" t="n">
        <f aca="false">AY12+AZ12</f>
        <v>5</v>
      </c>
      <c r="BB12" s="23" t="n">
        <v>1</v>
      </c>
      <c r="BC12" s="23" t="n">
        <v>3</v>
      </c>
      <c r="BD12" s="23" t="n">
        <v>9</v>
      </c>
      <c r="BE12" s="23" t="n">
        <v>2</v>
      </c>
      <c r="BF12" s="23" t="n">
        <v>1</v>
      </c>
      <c r="BG12" s="2" t="n">
        <f aca="false">BE12+BF12</f>
        <v>3</v>
      </c>
      <c r="BH12" s="23" t="n">
        <v>2</v>
      </c>
      <c r="BI12" s="23" t="n">
        <v>3</v>
      </c>
      <c r="BJ12" s="23" t="n">
        <v>8</v>
      </c>
      <c r="BK12" s="23" t="n">
        <v>4</v>
      </c>
      <c r="BL12" s="23" t="n">
        <v>3</v>
      </c>
      <c r="BM12" s="2" t="n">
        <f aca="false">BK12+BL12</f>
        <v>7</v>
      </c>
      <c r="BN12" s="23" t="n">
        <v>3</v>
      </c>
      <c r="BO12" s="23" t="n">
        <v>2</v>
      </c>
      <c r="BP12" s="23" t="n">
        <v>12</v>
      </c>
      <c r="BQ12" s="23" t="n">
        <v>3</v>
      </c>
      <c r="BR12" s="23" t="n">
        <v>2</v>
      </c>
      <c r="BS12" s="2" t="n">
        <f aca="false">BQ12+BR12</f>
        <v>5</v>
      </c>
      <c r="BT12" s="3" t="n">
        <f aca="false">BS12/2</f>
        <v>2.5</v>
      </c>
      <c r="BU12" s="3" t="n">
        <f aca="false">BS12/2</f>
        <v>2.5</v>
      </c>
      <c r="BV12" s="3" t="n">
        <f aca="false">SUM(BQ12,BR12,BT12,BU12)</f>
        <v>10</v>
      </c>
      <c r="BW12" s="3" t="n">
        <f aca="false">BW13*BW31</f>
        <v>13.1446743443099</v>
      </c>
      <c r="BX12" s="3" t="n">
        <f aca="false">BX13*BX31</f>
        <v>13.867631433247</v>
      </c>
      <c r="BY12" s="3" t="n">
        <f aca="false">BY13*BY31</f>
        <v>14.5610130049093</v>
      </c>
      <c r="BZ12" s="3" t="n">
        <f aca="false">BZ13*BZ31</f>
        <v>15.2162585901303</v>
      </c>
      <c r="CA12" s="16" t="s">
        <v>93</v>
      </c>
      <c r="CC12" s="5"/>
      <c r="CD12" s="5"/>
      <c r="CE12" s="5"/>
      <c r="CH12" s="24" t="s">
        <v>94</v>
      </c>
      <c r="CI12" s="25" t="n">
        <v>10400</v>
      </c>
      <c r="CJ12" s="25" t="n">
        <v>10300</v>
      </c>
      <c r="CK12" s="25" t="n">
        <v>10200</v>
      </c>
    </row>
    <row r="13" customFormat="false" ht="15" hidden="false" customHeight="false" outlineLevel="0" collapsed="false">
      <c r="B13" s="26" t="s">
        <v>95</v>
      </c>
      <c r="C13" s="27" t="n">
        <v>469</v>
      </c>
      <c r="D13" s="27" t="n">
        <v>546</v>
      </c>
      <c r="E13" s="28" t="n">
        <f aca="false">C13+D13</f>
        <v>1015</v>
      </c>
      <c r="F13" s="27" t="n">
        <v>593</v>
      </c>
      <c r="G13" s="27" t="n">
        <v>580</v>
      </c>
      <c r="H13" s="27" t="n">
        <v>2188</v>
      </c>
      <c r="I13" s="27" t="n">
        <v>586</v>
      </c>
      <c r="J13" s="27" t="n">
        <v>585</v>
      </c>
      <c r="K13" s="28" t="n">
        <f aca="false">I13+J13</f>
        <v>1171</v>
      </c>
      <c r="L13" s="27" t="n">
        <v>577</v>
      </c>
      <c r="M13" s="27" t="n">
        <v>641</v>
      </c>
      <c r="N13" s="27" t="n">
        <v>2389</v>
      </c>
      <c r="O13" s="27" t="n">
        <v>550</v>
      </c>
      <c r="P13" s="27" t="n">
        <v>639</v>
      </c>
      <c r="Q13" s="28" t="n">
        <f aca="false">O13+P13</f>
        <v>1189</v>
      </c>
      <c r="R13" s="27" t="n">
        <v>593</v>
      </c>
      <c r="S13" s="27" t="n">
        <v>638</v>
      </c>
      <c r="T13" s="27" t="n">
        <v>2420</v>
      </c>
      <c r="U13" s="27" t="n">
        <v>585</v>
      </c>
      <c r="V13" s="27" t="n">
        <v>629</v>
      </c>
      <c r="W13" s="28" t="n">
        <f aca="false">U13+V13</f>
        <v>1214</v>
      </c>
      <c r="X13" s="27" t="n">
        <v>694</v>
      </c>
      <c r="Y13" s="27" t="n">
        <v>699</v>
      </c>
      <c r="Z13" s="27" t="n">
        <v>2607</v>
      </c>
      <c r="AA13" s="27" t="n">
        <v>584</v>
      </c>
      <c r="AB13" s="27" t="n">
        <v>622</v>
      </c>
      <c r="AC13" s="28" t="n">
        <f aca="false">AA13+AB13</f>
        <v>1206</v>
      </c>
      <c r="AD13" s="27" t="n">
        <v>647</v>
      </c>
      <c r="AE13" s="27" t="n">
        <v>702</v>
      </c>
      <c r="AF13" s="27" t="n">
        <v>2555</v>
      </c>
      <c r="AG13" s="27" t="n">
        <v>629</v>
      </c>
      <c r="AH13" s="27" t="n">
        <v>622</v>
      </c>
      <c r="AI13" s="28" t="n">
        <f aca="false">AG13+AH13</f>
        <v>1251</v>
      </c>
      <c r="AJ13" s="27" t="n">
        <v>675</v>
      </c>
      <c r="AK13" s="27" t="n">
        <v>752</v>
      </c>
      <c r="AL13" s="27" t="n">
        <v>2678</v>
      </c>
      <c r="AM13" s="27" t="n">
        <v>649</v>
      </c>
      <c r="AN13" s="27" t="n">
        <v>670</v>
      </c>
      <c r="AO13" s="28" t="n">
        <f aca="false">AM13+AN13</f>
        <v>1319</v>
      </c>
      <c r="AP13" s="27" t="n">
        <v>628</v>
      </c>
      <c r="AQ13" s="27" t="n">
        <v>581</v>
      </c>
      <c r="AR13" s="27" t="n">
        <v>2528</v>
      </c>
      <c r="AS13" s="27" t="n">
        <v>631</v>
      </c>
      <c r="AT13" s="27" t="n">
        <v>658</v>
      </c>
      <c r="AU13" s="28" t="n">
        <f aca="false">AS13+AT13</f>
        <v>1289</v>
      </c>
      <c r="AV13" s="27" t="n">
        <v>623</v>
      </c>
      <c r="AW13" s="27" t="n">
        <v>658</v>
      </c>
      <c r="AX13" s="27" t="n">
        <v>2570</v>
      </c>
      <c r="AY13" s="27" t="n">
        <v>577</v>
      </c>
      <c r="AZ13" s="27" t="n">
        <v>664</v>
      </c>
      <c r="BA13" s="28" t="n">
        <f aca="false">AY13+AZ13</f>
        <v>1241</v>
      </c>
      <c r="BB13" s="27" t="n">
        <v>711</v>
      </c>
      <c r="BC13" s="27" t="n">
        <v>800</v>
      </c>
      <c r="BD13" s="27" t="n">
        <v>2752</v>
      </c>
      <c r="BE13" s="27" t="n">
        <v>655</v>
      </c>
      <c r="BF13" s="27" t="n">
        <v>712</v>
      </c>
      <c r="BG13" s="28" t="n">
        <f aca="false">BE13+BF13</f>
        <v>1367</v>
      </c>
      <c r="BH13" s="27" t="n">
        <v>664</v>
      </c>
      <c r="BI13" s="27" t="n">
        <v>736</v>
      </c>
      <c r="BJ13" s="27" t="n">
        <v>2767</v>
      </c>
      <c r="BK13" s="27" t="n">
        <v>637</v>
      </c>
      <c r="BL13" s="27" t="n">
        <v>724</v>
      </c>
      <c r="BM13" s="28" t="n">
        <f aca="false">BK13+BL13</f>
        <v>1361</v>
      </c>
      <c r="BN13" s="27" t="n">
        <v>828</v>
      </c>
      <c r="BO13" s="27" t="n">
        <v>889</v>
      </c>
      <c r="BP13" s="27" t="n">
        <v>3078</v>
      </c>
      <c r="BQ13" s="27" t="n">
        <v>725</v>
      </c>
      <c r="BR13" s="27" t="n">
        <v>845</v>
      </c>
      <c r="BS13" s="28" t="n">
        <f aca="false">BQ13+BR13</f>
        <v>1570</v>
      </c>
      <c r="BT13" s="29" t="n">
        <f aca="false">(CHOOSE(MATCH($CA$2,{"Bull","Base","Bear"},0),$CI$12,$CJ$12,$CK$12)-BS13-BS39)*BS13/(BS13+BS39)/2</f>
        <v>805.381589299764</v>
      </c>
      <c r="BU13" s="29" t="n">
        <f aca="false">(CHOOSE(MATCH($CA$2,{"Bull","Base","Bear"},0),$CI$12,$CJ$12,$CK$12)-BS13-BS39)*BS13/(BS13+BS39)/2</f>
        <v>805.381589299764</v>
      </c>
      <c r="BV13" s="29" t="n">
        <f aca="false">SUM(BQ13,BR13,BT13,BU13)</f>
        <v>3180.76317859953</v>
      </c>
      <c r="BW13" s="29" t="n">
        <f aca="false">BV13*(1+BW17)</f>
        <v>3371.6089693155</v>
      </c>
      <c r="BX13" s="29" t="n">
        <f aca="false">BW13*(1+BX17)</f>
        <v>3557.04746262785</v>
      </c>
      <c r="BY13" s="29" t="n">
        <f aca="false">BX13*(1+BY17)</f>
        <v>3734.89983575925</v>
      </c>
      <c r="BZ13" s="29" t="n">
        <f aca="false">BY13*(1+BZ17)</f>
        <v>3902.97032836841</v>
      </c>
      <c r="CA13" s="16" t="s">
        <v>96</v>
      </c>
      <c r="CC13" s="30" t="n">
        <f aca="false">IFERROR((BZ13/BP13)^(1/5)-1,"n/m")</f>
        <v>0.0486373611738631</v>
      </c>
      <c r="CD13" s="30" t="n">
        <f aca="false">IFERROR((BP13/AL13)^(1/5)-1,"n/m")</f>
        <v>0.0282331671723335</v>
      </c>
      <c r="CE13" s="30" t="n">
        <f aca="false">IFERROR((BP13/H13)^(1/10)-1,"n/m")</f>
        <v>0.0347182993040982</v>
      </c>
      <c r="CH13" s="24" t="s">
        <v>97</v>
      </c>
      <c r="CI13" s="31" t="n">
        <v>0.065</v>
      </c>
      <c r="CJ13" s="31" t="n">
        <v>0.0625</v>
      </c>
      <c r="CK13" s="31" t="n">
        <v>0.06</v>
      </c>
    </row>
    <row r="14" customFormat="false" ht="15" hidden="false" customHeight="false" outlineLevel="0" collapsed="false">
      <c r="B14" s="32" t="s">
        <v>98</v>
      </c>
      <c r="C14" s="27" t="n">
        <v>45</v>
      </c>
      <c r="D14" s="27" t="n">
        <v>198</v>
      </c>
      <c r="E14" s="28" t="n">
        <f aca="false">C14+D14</f>
        <v>243</v>
      </c>
      <c r="F14" s="27" t="n">
        <v>77</v>
      </c>
      <c r="G14" s="27" t="n">
        <v>59</v>
      </c>
      <c r="H14" s="33" t="n">
        <v>379</v>
      </c>
      <c r="I14" s="27" t="n">
        <v>82</v>
      </c>
      <c r="J14" s="27" t="n">
        <v>88</v>
      </c>
      <c r="K14" s="28" t="n">
        <f aca="false">I14+J14</f>
        <v>170</v>
      </c>
      <c r="L14" s="27" t="n">
        <v>66</v>
      </c>
      <c r="M14" s="27" t="n">
        <v>85</v>
      </c>
      <c r="N14" s="33" t="n">
        <v>321</v>
      </c>
      <c r="O14" s="27" t="n">
        <v>66</v>
      </c>
      <c r="P14" s="27" t="n">
        <v>98</v>
      </c>
      <c r="Q14" s="28" t="n">
        <f aca="false">O14+P14</f>
        <v>164</v>
      </c>
      <c r="R14" s="27" t="n">
        <v>74</v>
      </c>
      <c r="S14" s="27" t="n">
        <v>75</v>
      </c>
      <c r="T14" s="33" t="n">
        <v>313</v>
      </c>
      <c r="U14" s="27" t="n">
        <v>64</v>
      </c>
      <c r="V14" s="27" t="n">
        <v>83</v>
      </c>
      <c r="W14" s="28" t="n">
        <f aca="false">U14+V14</f>
        <v>147</v>
      </c>
      <c r="X14" s="27" t="n">
        <v>82</v>
      </c>
      <c r="Y14" s="27" t="n">
        <v>84</v>
      </c>
      <c r="Z14" s="33" t="n">
        <v>313</v>
      </c>
      <c r="AA14" s="27" t="n">
        <v>46</v>
      </c>
      <c r="AB14" s="27" t="n">
        <v>69</v>
      </c>
      <c r="AC14" s="28" t="n">
        <f aca="false">AA14+AB14</f>
        <v>115</v>
      </c>
      <c r="AD14" s="27" t="n">
        <v>61</v>
      </c>
      <c r="AE14" s="27" t="n">
        <v>59</v>
      </c>
      <c r="AF14" s="33" t="n">
        <v>235</v>
      </c>
      <c r="AG14" s="27" t="n">
        <v>68</v>
      </c>
      <c r="AH14" s="27" t="n">
        <v>55</v>
      </c>
      <c r="AI14" s="28" t="n">
        <f aca="false">AG14+AH14</f>
        <v>123</v>
      </c>
      <c r="AJ14" s="27" t="n">
        <v>62</v>
      </c>
      <c r="AK14" s="27" t="n">
        <v>96</v>
      </c>
      <c r="AL14" s="33" t="n">
        <v>281</v>
      </c>
      <c r="AM14" s="27" t="n">
        <v>91</v>
      </c>
      <c r="AN14" s="27" t="n">
        <v>80</v>
      </c>
      <c r="AO14" s="28" t="n">
        <f aca="false">AM14+AN14</f>
        <v>171</v>
      </c>
      <c r="AP14" s="27" t="n">
        <v>62</v>
      </c>
      <c r="AQ14" s="27" t="n">
        <v>48</v>
      </c>
      <c r="AR14" s="33" t="n">
        <v>281</v>
      </c>
      <c r="AS14" s="27" t="n">
        <v>86</v>
      </c>
      <c r="AT14" s="27" t="n">
        <v>106</v>
      </c>
      <c r="AU14" s="28" t="n">
        <f aca="false">AS14+AT14</f>
        <v>192</v>
      </c>
      <c r="AV14" s="27" t="n">
        <v>50</v>
      </c>
      <c r="AW14" s="27" t="n">
        <v>50</v>
      </c>
      <c r="AX14" s="33" t="n">
        <v>292</v>
      </c>
      <c r="AY14" s="27" t="n">
        <v>55</v>
      </c>
      <c r="AZ14" s="27" t="n">
        <v>65</v>
      </c>
      <c r="BA14" s="28" t="n">
        <f aca="false">AY14+AZ14</f>
        <v>120</v>
      </c>
      <c r="BB14" s="27" t="n">
        <v>73</v>
      </c>
      <c r="BC14" s="27" t="n">
        <v>169</v>
      </c>
      <c r="BD14" s="33" t="n">
        <v>362</v>
      </c>
      <c r="BE14" s="27" t="n">
        <v>60</v>
      </c>
      <c r="BF14" s="27" t="n">
        <v>56</v>
      </c>
      <c r="BG14" s="28" t="n">
        <f aca="false">BE14+BF14</f>
        <v>116</v>
      </c>
      <c r="BH14" s="27" t="n">
        <v>49</v>
      </c>
      <c r="BI14" s="27" t="n">
        <v>46</v>
      </c>
      <c r="BJ14" s="33" t="n">
        <v>211</v>
      </c>
      <c r="BK14" s="27" t="n">
        <v>46</v>
      </c>
      <c r="BL14" s="27" t="n">
        <v>54</v>
      </c>
      <c r="BM14" s="28" t="n">
        <f aca="false">BK14+BL14</f>
        <v>100</v>
      </c>
      <c r="BN14" s="27" t="n">
        <v>65</v>
      </c>
      <c r="BO14" s="27" t="n">
        <v>68</v>
      </c>
      <c r="BP14" s="33" t="n">
        <v>233</v>
      </c>
      <c r="BQ14" s="27" t="n">
        <v>49</v>
      </c>
      <c r="BR14" s="27" t="n">
        <v>58</v>
      </c>
      <c r="BS14" s="28" t="n">
        <f aca="false">BQ14+BR14</f>
        <v>107</v>
      </c>
      <c r="BT14" s="34" t="n">
        <f aca="false">(CHOOSE(MATCH($CA$2,{"Bull","Base","Bear"},0),$CI$12,$CJ$12,$CK$12)*CHOOSE(MATCH($CA$2,{"Bull","Base","Bear"},0),$CI$13,$CJ$13,$CK$13)-BS14-BS40)*BT13*BS14/BS13/(BT13*BS14/BS13+BT39*BS40/BS39)/2</f>
        <v>59.0510620915033</v>
      </c>
      <c r="BU14" s="34" t="n">
        <f aca="false">(CHOOSE(MATCH($CA$2,{"Bull","Base","Bear"},0),$CI$12,$CJ$12,$CK$12)*CHOOSE(MATCH($CA$2,{"Bull","Base","Bear"},0),$CI$13,$CJ$13,$CK$13)-BS14-BS40)*BU13*BS14/BS13/(BU13*BS14/BS13+BU39*BS40/BS39)/2</f>
        <v>59.0510620915033</v>
      </c>
      <c r="BV14" s="34" t="n">
        <f aca="false">SUM(BQ14,BR14,BT14,BU14)</f>
        <v>225.102124183007</v>
      </c>
      <c r="BW14" s="34" t="n">
        <f aca="false">BW13*BW20</f>
        <v>244.441650275374</v>
      </c>
      <c r="BX14" s="34" t="n">
        <f aca="false">BX13*BX20</f>
        <v>266.778559697089</v>
      </c>
      <c r="BY14" s="34" t="n">
        <f aca="false">BY13*BY20</f>
        <v>289.454737271341</v>
      </c>
      <c r="BZ14" s="34" t="n">
        <f aca="false">BZ13*BZ20</f>
        <v>312.237626269473</v>
      </c>
      <c r="CA14" s="16" t="s">
        <v>99</v>
      </c>
      <c r="CC14" s="30" t="n">
        <f aca="false">IFERROR((BZ14/BP14)^(1/5)-1,"n/m")</f>
        <v>0.0602929240621328</v>
      </c>
      <c r="CD14" s="30" t="n">
        <f aca="false">IFERROR((BP14/AL14)^(1/5)-1,"n/m")</f>
        <v>-0.036770177639244</v>
      </c>
      <c r="CE14" s="30" t="n">
        <f aca="false">IFERROR((BP14/H14)^(1/10)-1,"n/m")</f>
        <v>-0.0474853344068964</v>
      </c>
      <c r="CH14" s="24" t="s">
        <v>100</v>
      </c>
      <c r="CI14" s="25" t="n">
        <v>3200</v>
      </c>
      <c r="CJ14" s="25" t="n">
        <v>3100</v>
      </c>
      <c r="CK14" s="25" t="n">
        <v>3000</v>
      </c>
    </row>
    <row r="15" customFormat="false" ht="15" hidden="false" customHeight="false" outlineLevel="0" collapsed="false">
      <c r="B15" s="1" t="s">
        <v>101</v>
      </c>
      <c r="C15" s="2"/>
      <c r="D15" s="2"/>
      <c r="E15" s="2"/>
      <c r="F15" s="2"/>
      <c r="G15" s="2"/>
      <c r="H15" s="23" t="n">
        <v>65</v>
      </c>
      <c r="I15" s="2"/>
      <c r="J15" s="2"/>
      <c r="K15" s="2"/>
      <c r="L15" s="2"/>
      <c r="M15" s="2"/>
      <c r="N15" s="23" t="n">
        <v>68</v>
      </c>
      <c r="O15" s="2"/>
      <c r="P15" s="2"/>
      <c r="Q15" s="2"/>
      <c r="R15" s="2"/>
      <c r="S15" s="2"/>
      <c r="T15" s="23" t="n">
        <v>73</v>
      </c>
      <c r="U15" s="2"/>
      <c r="V15" s="2"/>
      <c r="W15" s="2"/>
      <c r="X15" s="2"/>
      <c r="Y15" s="2"/>
      <c r="Z15" s="23" t="n">
        <v>69</v>
      </c>
      <c r="AA15" s="2"/>
      <c r="AB15" s="2"/>
      <c r="AC15" s="2"/>
      <c r="AD15" s="2"/>
      <c r="AE15" s="2"/>
      <c r="AF15" s="23" t="n">
        <v>70</v>
      </c>
      <c r="AG15" s="2"/>
      <c r="AH15" s="2"/>
      <c r="AI15" s="2"/>
      <c r="AJ15" s="2"/>
      <c r="AK15" s="2"/>
      <c r="AL15" s="23" t="n">
        <v>73</v>
      </c>
      <c r="AM15" s="2"/>
      <c r="AN15" s="2"/>
      <c r="AO15" s="2"/>
      <c r="AP15" s="2"/>
      <c r="AQ15" s="2"/>
      <c r="AR15" s="23" t="n">
        <v>74</v>
      </c>
      <c r="AS15" s="2"/>
      <c r="AT15" s="2"/>
      <c r="AU15" s="2"/>
      <c r="AV15" s="2"/>
      <c r="AW15" s="2"/>
      <c r="AX15" s="23" t="n">
        <v>79</v>
      </c>
      <c r="AY15" s="2"/>
      <c r="AZ15" s="2"/>
      <c r="BA15" s="2"/>
      <c r="BB15" s="2"/>
      <c r="BC15" s="2"/>
      <c r="BD15" s="23" t="n">
        <v>76</v>
      </c>
      <c r="BE15" s="23" t="n">
        <v>19</v>
      </c>
      <c r="BF15" s="23" t="n">
        <v>19</v>
      </c>
      <c r="BG15" s="2" t="n">
        <f aca="false">BE15+BF15</f>
        <v>38</v>
      </c>
      <c r="BH15" s="23" t="n">
        <v>20</v>
      </c>
      <c r="BI15" s="23" t="n">
        <v>20</v>
      </c>
      <c r="BJ15" s="23" t="n">
        <v>78</v>
      </c>
      <c r="BK15" s="23" t="n">
        <v>20</v>
      </c>
      <c r="BL15" s="23" t="n">
        <v>20</v>
      </c>
      <c r="BM15" s="2" t="n">
        <f aca="false">BK15+BL15</f>
        <v>40</v>
      </c>
      <c r="BN15" s="23" t="n">
        <v>20</v>
      </c>
      <c r="BO15" s="23" t="n">
        <v>21</v>
      </c>
      <c r="BP15" s="23" t="n">
        <v>81</v>
      </c>
      <c r="BQ15" s="23" t="n">
        <v>20</v>
      </c>
      <c r="BR15" s="23" t="n">
        <v>20</v>
      </c>
      <c r="BS15" s="2" t="n">
        <f aca="false">BQ15+BR15</f>
        <v>40</v>
      </c>
      <c r="BT15" s="3" t="n">
        <f aca="false">BS15/2*($CJ$24-BS102)/BS102</f>
        <v>22.5806451612903</v>
      </c>
      <c r="BU15" s="3" t="n">
        <f aca="false">BS15/2*($CJ$24-BS102)/BS102</f>
        <v>22.5806451612903</v>
      </c>
      <c r="BV15" s="3" t="n">
        <f aca="false">SUM(BQ15,BR15,BT15,BU15)</f>
        <v>85.1612903225806</v>
      </c>
      <c r="BW15" s="3" t="n">
        <f aca="false">BW13*BW32</f>
        <v>87.661833202203</v>
      </c>
      <c r="BX15" s="3" t="n">
        <f aca="false">BX13*BX32</f>
        <v>92.4832340283242</v>
      </c>
      <c r="BY15" s="3" t="n">
        <f aca="false">BY13*BY32</f>
        <v>97.1073957297404</v>
      </c>
      <c r="BZ15" s="3" t="n">
        <f aca="false">BZ13*BZ32</f>
        <v>101.477228537579</v>
      </c>
      <c r="CA15" s="16" t="s">
        <v>102</v>
      </c>
      <c r="CC15" s="5"/>
      <c r="CD15" s="5"/>
      <c r="CE15" s="5"/>
      <c r="CH15" s="24" t="s">
        <v>103</v>
      </c>
      <c r="CI15" s="31" t="n">
        <v>0.0525</v>
      </c>
      <c r="CJ15" s="31" t="n">
        <v>0.05</v>
      </c>
      <c r="CK15" s="31" t="n">
        <v>0.0475</v>
      </c>
    </row>
    <row r="16" customFormat="false" ht="15" hidden="false" customHeight="false" outlineLevel="0" collapsed="false">
      <c r="B16" s="26" t="s">
        <v>104</v>
      </c>
      <c r="C16" s="28" t="str">
        <f aca="false">IF(ISNUMBER(C15),C14+C15,"")</f>
        <v/>
      </c>
      <c r="D16" s="28" t="str">
        <f aca="false">IF(ISNUMBER(D15),D14+D15,"")</f>
        <v/>
      </c>
      <c r="E16" s="28" t="str">
        <f aca="false">IF(ISNUMBER(E15),E14+E15,"")</f>
        <v/>
      </c>
      <c r="F16" s="28" t="str">
        <f aca="false">IF(ISNUMBER(F15),F14+F15,"")</f>
        <v/>
      </c>
      <c r="G16" s="28" t="str">
        <f aca="false">IF(ISNUMBER(G15),G14+G15,"")</f>
        <v/>
      </c>
      <c r="H16" s="28" t="n">
        <f aca="false">IF(ISNUMBER(H15),H14+H15,"")</f>
        <v>444</v>
      </c>
      <c r="I16" s="28" t="str">
        <f aca="false">IF(ISNUMBER(I15),I14+I15,"")</f>
        <v/>
      </c>
      <c r="J16" s="28" t="str">
        <f aca="false">IF(ISNUMBER(J15),J14+J15,"")</f>
        <v/>
      </c>
      <c r="K16" s="28" t="str">
        <f aca="false">IF(ISNUMBER(K15),K14+K15,"")</f>
        <v/>
      </c>
      <c r="L16" s="28" t="str">
        <f aca="false">IF(ISNUMBER(L15),L14+L15,"")</f>
        <v/>
      </c>
      <c r="M16" s="28" t="str">
        <f aca="false">IF(ISNUMBER(M15),M14+M15,"")</f>
        <v/>
      </c>
      <c r="N16" s="28" t="n">
        <f aca="false">IF(ISNUMBER(N15),N14+N15,"")</f>
        <v>389</v>
      </c>
      <c r="O16" s="28" t="str">
        <f aca="false">IF(ISNUMBER(O15),O14+O15,"")</f>
        <v/>
      </c>
      <c r="P16" s="28" t="str">
        <f aca="false">IF(ISNUMBER(P15),P14+P15,"")</f>
        <v/>
      </c>
      <c r="Q16" s="28" t="str">
        <f aca="false">IF(ISNUMBER(Q15),Q14+Q15,"")</f>
        <v/>
      </c>
      <c r="R16" s="28" t="str">
        <f aca="false">IF(ISNUMBER(R15),R14+R15,"")</f>
        <v/>
      </c>
      <c r="S16" s="28" t="str">
        <f aca="false">IF(ISNUMBER(S15),S14+S15,"")</f>
        <v/>
      </c>
      <c r="T16" s="28" t="n">
        <f aca="false">IF(ISNUMBER(T15),T14+T15,"")</f>
        <v>386</v>
      </c>
      <c r="U16" s="28" t="str">
        <f aca="false">IF(ISNUMBER(U15),U14+U15,"")</f>
        <v/>
      </c>
      <c r="V16" s="28" t="str">
        <f aca="false">IF(ISNUMBER(V15),V14+V15,"")</f>
        <v/>
      </c>
      <c r="W16" s="28" t="str">
        <f aca="false">IF(ISNUMBER(W15),W14+W15,"")</f>
        <v/>
      </c>
      <c r="X16" s="28" t="str">
        <f aca="false">IF(ISNUMBER(X15),X14+X15,"")</f>
        <v/>
      </c>
      <c r="Y16" s="28" t="str">
        <f aca="false">IF(ISNUMBER(Y15),Y14+Y15,"")</f>
        <v/>
      </c>
      <c r="Z16" s="28" t="n">
        <f aca="false">IF(ISNUMBER(Z15),Z14+Z15,"")</f>
        <v>382</v>
      </c>
      <c r="AA16" s="28" t="str">
        <f aca="false">IF(ISNUMBER(AA15),AA14+AA15,"")</f>
        <v/>
      </c>
      <c r="AB16" s="28" t="str">
        <f aca="false">IF(ISNUMBER(AB15),AB14+AB15,"")</f>
        <v/>
      </c>
      <c r="AC16" s="28" t="str">
        <f aca="false">IF(ISNUMBER(AC15),AC14+AC15,"")</f>
        <v/>
      </c>
      <c r="AD16" s="28" t="str">
        <f aca="false">IF(ISNUMBER(AD15),AD14+AD15,"")</f>
        <v/>
      </c>
      <c r="AE16" s="28" t="str">
        <f aca="false">IF(ISNUMBER(AE15),AE14+AE15,"")</f>
        <v/>
      </c>
      <c r="AF16" s="28" t="n">
        <f aca="false">IF(ISNUMBER(AF15),AF14+AF15,"")</f>
        <v>305</v>
      </c>
      <c r="AG16" s="28" t="str">
        <f aca="false">IF(ISNUMBER(AG15),AG14+AG15,"")</f>
        <v/>
      </c>
      <c r="AH16" s="28" t="str">
        <f aca="false">IF(ISNUMBER(AH15),AH14+AH15,"")</f>
        <v/>
      </c>
      <c r="AI16" s="28" t="str">
        <f aca="false">IF(ISNUMBER(AI15),AI14+AI15,"")</f>
        <v/>
      </c>
      <c r="AJ16" s="28" t="str">
        <f aca="false">IF(ISNUMBER(AJ15),AJ14+AJ15,"")</f>
        <v/>
      </c>
      <c r="AK16" s="28" t="str">
        <f aca="false">IF(ISNUMBER(AK15),AK14+AK15,"")</f>
        <v/>
      </c>
      <c r="AL16" s="28" t="n">
        <f aca="false">IF(ISNUMBER(AL15),AL14+AL15,"")</f>
        <v>354</v>
      </c>
      <c r="AM16" s="28" t="str">
        <f aca="false">IF(ISNUMBER(AM15),AM14+AM15,"")</f>
        <v/>
      </c>
      <c r="AN16" s="28" t="str">
        <f aca="false">IF(ISNUMBER(AN15),AN14+AN15,"")</f>
        <v/>
      </c>
      <c r="AO16" s="28" t="str">
        <f aca="false">IF(ISNUMBER(AO15),AO14+AO15,"")</f>
        <v/>
      </c>
      <c r="AP16" s="28" t="str">
        <f aca="false">IF(ISNUMBER(AP15),AP14+AP15,"")</f>
        <v/>
      </c>
      <c r="AQ16" s="28" t="str">
        <f aca="false">IF(ISNUMBER(AQ15),AQ14+AQ15,"")</f>
        <v/>
      </c>
      <c r="AR16" s="28" t="n">
        <f aca="false">IF(ISNUMBER(AR15),AR14+AR15,"")</f>
        <v>355</v>
      </c>
      <c r="AS16" s="28" t="str">
        <f aca="false">IF(ISNUMBER(AS15),AS14+AS15,"")</f>
        <v/>
      </c>
      <c r="AT16" s="28" t="str">
        <f aca="false">IF(ISNUMBER(AT15),AT14+AT15,"")</f>
        <v/>
      </c>
      <c r="AU16" s="28" t="str">
        <f aca="false">IF(ISNUMBER(AU15),AU14+AU15,"")</f>
        <v/>
      </c>
      <c r="AV16" s="28" t="str">
        <f aca="false">IF(ISNUMBER(AV15),AV14+AV15,"")</f>
        <v/>
      </c>
      <c r="AW16" s="28" t="str">
        <f aca="false">IF(ISNUMBER(AW15),AW14+AW15,"")</f>
        <v/>
      </c>
      <c r="AX16" s="28" t="n">
        <f aca="false">IF(ISNUMBER(AX15),AX14+AX15,"")</f>
        <v>371</v>
      </c>
      <c r="AY16" s="28" t="str">
        <f aca="false">IF(ISNUMBER(AY15),AY14+AY15,"")</f>
        <v/>
      </c>
      <c r="AZ16" s="28" t="str">
        <f aca="false">IF(ISNUMBER(AZ15),AZ14+AZ15,"")</f>
        <v/>
      </c>
      <c r="BA16" s="28" t="str">
        <f aca="false">IF(ISNUMBER(BA15),BA14+BA15,"")</f>
        <v/>
      </c>
      <c r="BB16" s="28" t="str">
        <f aca="false">IF(ISNUMBER(BB15),BB14+BB15,"")</f>
        <v/>
      </c>
      <c r="BC16" s="28" t="str">
        <f aca="false">IF(ISNUMBER(BC15),BC14+BC15,"")</f>
        <v/>
      </c>
      <c r="BD16" s="28" t="n">
        <f aca="false">IF(ISNUMBER(BD15),BD14+BD15,"")</f>
        <v>438</v>
      </c>
      <c r="BE16" s="28" t="n">
        <f aca="false">IF(ISNUMBER(BE15),BE14+BE15,"")</f>
        <v>79</v>
      </c>
      <c r="BF16" s="28" t="n">
        <f aca="false">IF(ISNUMBER(BF15),BF14+BF15,"")</f>
        <v>75</v>
      </c>
      <c r="BG16" s="28" t="n">
        <f aca="false">IF(ISNUMBER(BG15),BG14+BG15,"")</f>
        <v>154</v>
      </c>
      <c r="BH16" s="28" t="n">
        <f aca="false">IF(ISNUMBER(BH15),BH14+BH15,"")</f>
        <v>69</v>
      </c>
      <c r="BI16" s="28" t="n">
        <f aca="false">IF(ISNUMBER(BI15),BI14+BI15,"")</f>
        <v>66</v>
      </c>
      <c r="BJ16" s="28" t="n">
        <f aca="false">IF(ISNUMBER(BJ15),BJ14+BJ15,"")</f>
        <v>289</v>
      </c>
      <c r="BK16" s="28" t="n">
        <f aca="false">IF(ISNUMBER(BK15),BK14+BK15,"")</f>
        <v>66</v>
      </c>
      <c r="BL16" s="28" t="n">
        <f aca="false">IF(ISNUMBER(BL15),BL14+BL15,"")</f>
        <v>74</v>
      </c>
      <c r="BM16" s="28" t="n">
        <f aca="false">IF(ISNUMBER(BM15),BM14+BM15,"")</f>
        <v>140</v>
      </c>
      <c r="BN16" s="28" t="n">
        <f aca="false">IF(ISNUMBER(BN15),BN14+BN15,"")</f>
        <v>85</v>
      </c>
      <c r="BO16" s="28" t="n">
        <f aca="false">IF(ISNUMBER(BO15),BO14+BO15,"")</f>
        <v>89</v>
      </c>
      <c r="BP16" s="28" t="n">
        <f aca="false">IF(ISNUMBER(BP15),BP14+BP15,"")</f>
        <v>314</v>
      </c>
      <c r="BQ16" s="28" t="n">
        <f aca="false">IF(ISNUMBER(BQ15),BQ14+BQ15,"")</f>
        <v>69</v>
      </c>
      <c r="BR16" s="28" t="n">
        <f aca="false">IF(ISNUMBER(BR15),BR14+BR15,"")</f>
        <v>78</v>
      </c>
      <c r="BS16" s="28" t="n">
        <f aca="false">IF(ISNUMBER(BS15),BS14+BS15,"")</f>
        <v>147</v>
      </c>
      <c r="BT16" s="29" t="n">
        <f aca="false">IF(ISNUMBER(BT15),BT14+BT15,"")</f>
        <v>81.6317072527936</v>
      </c>
      <c r="BU16" s="29" t="n">
        <f aca="false">IF(ISNUMBER(BU15),BU14+BU15,"")</f>
        <v>81.6317072527936</v>
      </c>
      <c r="BV16" s="29" t="n">
        <f aca="false">IF(ISNUMBER(BV15),BV14+BV15,"")</f>
        <v>310.263414505587</v>
      </c>
      <c r="BW16" s="29" t="n">
        <f aca="false">IF(ISNUMBER(BW15),BW14+BW15,"")</f>
        <v>332.103483477577</v>
      </c>
      <c r="BX16" s="29" t="n">
        <f aca="false">IF(ISNUMBER(BX15),BX14+BX15,"")</f>
        <v>359.261793725413</v>
      </c>
      <c r="BY16" s="29" t="n">
        <f aca="false">IF(ISNUMBER(BY15),BY14+BY15,"")</f>
        <v>386.562133001082</v>
      </c>
      <c r="BZ16" s="29" t="n">
        <f aca="false">IF(ISNUMBER(BZ15),BZ14+BZ15,"")</f>
        <v>413.714854807052</v>
      </c>
      <c r="CA16" s="16" t="s">
        <v>105</v>
      </c>
      <c r="CC16" s="30" t="n">
        <f aca="false">IFERROR((BZ16/BP16)^(1/5)-1,"n/m")</f>
        <v>0.056706291988067</v>
      </c>
      <c r="CD16" s="30" t="n">
        <f aca="false">IFERROR((BP16/AL16)^(1/5)-1,"n/m")</f>
        <v>-0.0236955311665035</v>
      </c>
      <c r="CE16" s="30" t="n">
        <f aca="false">IFERROR((BP16/H16)^(1/10)-1,"n/m")</f>
        <v>-0.0340499533531365</v>
      </c>
      <c r="CH16" s="24" t="s">
        <v>106</v>
      </c>
      <c r="CI16" s="25" t="n">
        <v>600</v>
      </c>
      <c r="CJ16" s="25" t="n">
        <v>550</v>
      </c>
      <c r="CK16" s="25" t="n">
        <v>500</v>
      </c>
    </row>
    <row r="17" customFormat="false" ht="15" hidden="false" customHeight="false" outlineLevel="0" collapsed="false">
      <c r="B17" s="35" t="s">
        <v>107</v>
      </c>
      <c r="C17" s="36"/>
      <c r="D17" s="36"/>
      <c r="E17" s="36"/>
      <c r="F17" s="36"/>
      <c r="G17" s="36"/>
      <c r="H17" s="36"/>
      <c r="I17" s="37" t="n">
        <f aca="false">IFERROR(I13/C13-1,"")</f>
        <v>0.249466950959488</v>
      </c>
      <c r="J17" s="37" t="n">
        <f aca="false">IFERROR(J13/D13-1,"")</f>
        <v>0.0714285714285714</v>
      </c>
      <c r="K17" s="37" t="n">
        <f aca="false">IFERROR(K13/E13-1,"")</f>
        <v>0.153694581280788</v>
      </c>
      <c r="L17" s="37" t="n">
        <f aca="false">IFERROR(L13/F13-1,"")</f>
        <v>-0.0269814502529511</v>
      </c>
      <c r="M17" s="37" t="n">
        <f aca="false">IFERROR(M13/G13-1,"")</f>
        <v>0.105172413793103</v>
      </c>
      <c r="N17" s="37" t="n">
        <f aca="false">IFERROR(N13/H13-1,"")</f>
        <v>0.0918647166361974</v>
      </c>
      <c r="O17" s="37" t="n">
        <f aca="false">IFERROR(O13/I13-1,"")</f>
        <v>-0.0614334470989761</v>
      </c>
      <c r="P17" s="37" t="n">
        <f aca="false">IFERROR(P13/J13-1,"")</f>
        <v>0.0923076923076922</v>
      </c>
      <c r="Q17" s="37" t="n">
        <f aca="false">IFERROR(Q13/K13-1,"")</f>
        <v>0.0153714773697695</v>
      </c>
      <c r="R17" s="37" t="n">
        <f aca="false">IFERROR(R13/L13-1,"")</f>
        <v>0.0277296360485269</v>
      </c>
      <c r="S17" s="37" t="n">
        <f aca="false">IFERROR(S13/M13-1,"")</f>
        <v>-0.00468018720748831</v>
      </c>
      <c r="T17" s="37" t="n">
        <f aca="false">IFERROR(T13/N13-1,"")</f>
        <v>0.0129761406446212</v>
      </c>
      <c r="U17" s="37" t="n">
        <f aca="false">IFERROR(U13/O13-1,"")</f>
        <v>0.0636363636363637</v>
      </c>
      <c r="V17" s="37" t="n">
        <f aca="false">IFERROR(V13/P13-1,"")</f>
        <v>-0.0156494522691706</v>
      </c>
      <c r="W17" s="37" t="n">
        <f aca="false">IFERROR(W13/Q13-1,"")</f>
        <v>0.0210260723296889</v>
      </c>
      <c r="X17" s="37" t="n">
        <f aca="false">IFERROR(X13/R13-1,"")</f>
        <v>0.170320404721754</v>
      </c>
      <c r="Y17" s="37" t="n">
        <f aca="false">IFERROR(Y13/S13-1,"")</f>
        <v>0.0956112852664577</v>
      </c>
      <c r="Z17" s="37" t="n">
        <f aca="false">IFERROR(Z13/T13-1,"")</f>
        <v>0.0772727272727274</v>
      </c>
      <c r="AA17" s="37" t="n">
        <f aca="false">IFERROR(AA13/U13-1,"")</f>
        <v>-0.0017094017094017</v>
      </c>
      <c r="AB17" s="37" t="n">
        <f aca="false">IFERROR(AB13/V13-1,"")</f>
        <v>-0.0111287758346582</v>
      </c>
      <c r="AC17" s="37" t="n">
        <f aca="false">IFERROR(AC13/W13-1,"")</f>
        <v>-0.00658978583196046</v>
      </c>
      <c r="AD17" s="37" t="n">
        <f aca="false">IFERROR(AD13/X13-1,"")</f>
        <v>-0.0677233429394812</v>
      </c>
      <c r="AE17" s="37" t="n">
        <f aca="false">IFERROR(AE13/Y13-1,"")</f>
        <v>0.00429184549356232</v>
      </c>
      <c r="AF17" s="37" t="n">
        <f aca="false">IFERROR(AF13/Z13-1,"")</f>
        <v>-0.0199462984273111</v>
      </c>
      <c r="AG17" s="37" t="n">
        <f aca="false">IFERROR(AG13/AA13-1,"")</f>
        <v>0.077054794520548</v>
      </c>
      <c r="AH17" s="37" t="n">
        <f aca="false">IFERROR(AH13/AB13-1,"")</f>
        <v>0</v>
      </c>
      <c r="AI17" s="37" t="n">
        <f aca="false">IFERROR(AI13/AC13-1,"")</f>
        <v>0.0373134328358209</v>
      </c>
      <c r="AJ17" s="37" t="n">
        <f aca="false">IFERROR(AJ13/AD13-1,"")</f>
        <v>0.0432766615146831</v>
      </c>
      <c r="AK17" s="37" t="n">
        <f aca="false">IFERROR(AK13/AE13-1,"")</f>
        <v>0.0712250712250713</v>
      </c>
      <c r="AL17" s="37" t="n">
        <f aca="false">IFERROR(AL13/AF13-1,"")</f>
        <v>0.0481409001956947</v>
      </c>
      <c r="AM17" s="37" t="n">
        <f aca="false">IFERROR(AM13/AG13-1,"")</f>
        <v>0.0317965023847377</v>
      </c>
      <c r="AN17" s="37" t="n">
        <f aca="false">IFERROR(AN13/AH13-1,"")</f>
        <v>0.0771704180064308</v>
      </c>
      <c r="AO17" s="37" t="n">
        <f aca="false">IFERROR(AO13/AI13-1,"")</f>
        <v>0.0543565147881695</v>
      </c>
      <c r="AP17" s="37" t="n">
        <f aca="false">IFERROR(AP13/AJ13-1,"")</f>
        <v>-0.0696296296296296</v>
      </c>
      <c r="AQ17" s="37" t="n">
        <f aca="false">IFERROR(AQ13/AK13-1,"")</f>
        <v>-0.227393617021277</v>
      </c>
      <c r="AR17" s="37" t="n">
        <f aca="false">IFERROR(AR13/AL13-1,"")</f>
        <v>-0.0560119492158327</v>
      </c>
      <c r="AS17" s="37" t="n">
        <f aca="false">IFERROR(AS13/AM13-1,"")</f>
        <v>-0.0277349768875192</v>
      </c>
      <c r="AT17" s="37" t="n">
        <f aca="false">IFERROR(AT13/AN13-1,"")</f>
        <v>-0.017910447761194</v>
      </c>
      <c r="AU17" s="37" t="n">
        <f aca="false">IFERROR(AU13/AO13-1,"")</f>
        <v>-0.0227445034116756</v>
      </c>
      <c r="AV17" s="37" t="n">
        <f aca="false">IFERROR(AV13/AP13-1,"")</f>
        <v>-0.0079617834394905</v>
      </c>
      <c r="AW17" s="37" t="n">
        <f aca="false">IFERROR(AW13/AQ13-1,"")</f>
        <v>0.132530120481928</v>
      </c>
      <c r="AX17" s="37" t="n">
        <f aca="false">IFERROR(AX13/AR13-1,"")</f>
        <v>0.0166139240506329</v>
      </c>
      <c r="AY17" s="37" t="n">
        <f aca="false">IFERROR(AY13/AS13-1,"")</f>
        <v>-0.0855784469096672</v>
      </c>
      <c r="AZ17" s="37" t="n">
        <f aca="false">IFERROR(AZ13/AT13-1,"")</f>
        <v>0.00911854103343468</v>
      </c>
      <c r="BA17" s="37" t="n">
        <f aca="false">IFERROR(BA13/AU13-1,"")</f>
        <v>-0.0372381691233514</v>
      </c>
      <c r="BB17" s="37" t="n">
        <f aca="false">IFERROR(BB13/AV13-1,"")</f>
        <v>0.141252006420546</v>
      </c>
      <c r="BC17" s="37" t="n">
        <f aca="false">IFERROR(BC13/AW13-1,"")</f>
        <v>0.21580547112462</v>
      </c>
      <c r="BD17" s="37" t="n">
        <f aca="false">IFERROR(BD13/AX13-1,"")</f>
        <v>0.0708171206225681</v>
      </c>
      <c r="BE17" s="37" t="n">
        <f aca="false">IFERROR(BE13/AY13-1,"")</f>
        <v>0.135181975736568</v>
      </c>
      <c r="BF17" s="37" t="n">
        <f aca="false">IFERROR(BF13/AZ13-1,"")</f>
        <v>0.072289156626506</v>
      </c>
      <c r="BG17" s="37" t="n">
        <f aca="false">IFERROR(BG13/BA13-1,"")</f>
        <v>0.101531023368251</v>
      </c>
      <c r="BH17" s="37" t="n">
        <f aca="false">IFERROR(BH13/BB13-1,"")</f>
        <v>-0.0661040787623066</v>
      </c>
      <c r="BI17" s="37" t="n">
        <f aca="false">IFERROR(BI13/BC13-1,"")</f>
        <v>-0.08</v>
      </c>
      <c r="BJ17" s="37" t="n">
        <f aca="false">IFERROR(BJ13/BD13-1,"")</f>
        <v>0.00545058139534893</v>
      </c>
      <c r="BK17" s="37" t="n">
        <f aca="false">IFERROR(BK13/BE13-1,"")</f>
        <v>-0.0274809160305344</v>
      </c>
      <c r="BL17" s="37" t="n">
        <f aca="false">IFERROR(BL13/BF13-1,"")</f>
        <v>0.0168539325842696</v>
      </c>
      <c r="BM17" s="37" t="n">
        <f aca="false">IFERROR(BM13/BG13-1,"")</f>
        <v>-0.00438917337234823</v>
      </c>
      <c r="BN17" s="37" t="n">
        <f aca="false">IFERROR(BN13/BH13-1,"")</f>
        <v>0.246987951807229</v>
      </c>
      <c r="BO17" s="37" t="n">
        <f aca="false">IFERROR(BO13/BI13-1,"")</f>
        <v>0.207880434782609</v>
      </c>
      <c r="BP17" s="37" t="n">
        <f aca="false">IFERROR(BP13/BJ13-1,"")</f>
        <v>0.1123960968558</v>
      </c>
      <c r="BQ17" s="37" t="n">
        <f aca="false">IFERROR(BQ13/BK13-1,"")</f>
        <v>0.138147566718995</v>
      </c>
      <c r="BR17" s="37" t="n">
        <f aca="false">IFERROR(BR13/BL13-1,"")</f>
        <v>0.167127071823205</v>
      </c>
      <c r="BS17" s="37" t="n">
        <f aca="false">IFERROR(BS13/BM13-1,"")</f>
        <v>0.15356355620867</v>
      </c>
      <c r="BT17" s="38" t="n">
        <f aca="false">IFERROR(BT13/BN13-1,"")</f>
        <v>-0.0273169211355507</v>
      </c>
      <c r="BU17" s="38" t="n">
        <f aca="false">IFERROR(BU13/BO13-1,"")</f>
        <v>-0.094058954668432</v>
      </c>
      <c r="BV17" s="38" t="n">
        <f aca="false">IFERROR(BV13/BP13-1,"")</f>
        <v>0.0333863478231085</v>
      </c>
      <c r="BW17" s="38" t="n">
        <f aca="false">CHOOSE(MATCH($CA$2,{"Bull","Base","Bear"},0),$CI$28,$CJ$28,$CK$28)</f>
        <v>0.06</v>
      </c>
      <c r="BX17" s="38" t="n">
        <f aca="false">CHOOSE(MATCH($CA$2,{"Bull","Base","Bear"},0),$CI$29,$CJ$29,$CK$29)</f>
        <v>0.055</v>
      </c>
      <c r="BY17" s="38" t="n">
        <f aca="false">CHOOSE(MATCH($CA$2,{"Bull","Base","Bear"},0),$CI$30,$CJ$30,$CK$30)</f>
        <v>0.05</v>
      </c>
      <c r="BZ17" s="38" t="n">
        <f aca="false">CHOOSE(MATCH($CA$2,{"Bull","Base","Bear"},0),$CI$31,$CJ$31,$CK$31)</f>
        <v>0.045</v>
      </c>
      <c r="CA17" s="16" t="s">
        <v>108</v>
      </c>
      <c r="CC17" s="5"/>
      <c r="CD17" s="5"/>
      <c r="CE17" s="5"/>
    </row>
    <row r="18" customFormat="false" ht="15" hidden="false" customHeight="false" outlineLevel="0" collapsed="false">
      <c r="B18" s="35" t="s">
        <v>109</v>
      </c>
      <c r="C18" s="36"/>
      <c r="D18" s="36"/>
      <c r="E18" s="36"/>
      <c r="F18" s="36"/>
      <c r="G18" s="36"/>
      <c r="H18" s="36"/>
      <c r="I18" s="37" t="n">
        <f aca="false">IFERROR(I14/C14-1,"")</f>
        <v>0.822222222222222</v>
      </c>
      <c r="J18" s="37" t="n">
        <f aca="false">IFERROR(J14/D14-1,"")</f>
        <v>-0.555555555555556</v>
      </c>
      <c r="K18" s="37" t="n">
        <f aca="false">IFERROR(K14/E14-1,"")</f>
        <v>-0.300411522633745</v>
      </c>
      <c r="L18" s="37" t="n">
        <f aca="false">IFERROR(L14/F14-1,"")</f>
        <v>-0.142857142857143</v>
      </c>
      <c r="M18" s="37" t="n">
        <f aca="false">IFERROR(M14/G14-1,"")</f>
        <v>0.440677966101695</v>
      </c>
      <c r="N18" s="37" t="n">
        <f aca="false">IFERROR(N14/H14-1,"")</f>
        <v>-0.153034300791557</v>
      </c>
      <c r="O18" s="37" t="n">
        <f aca="false">IFERROR(O14/I14-1,"")</f>
        <v>-0.195121951219512</v>
      </c>
      <c r="P18" s="37" t="n">
        <f aca="false">IFERROR(P14/J14-1,"")</f>
        <v>0.113636363636364</v>
      </c>
      <c r="Q18" s="37" t="n">
        <f aca="false">IFERROR(Q14/K14-1,"")</f>
        <v>-0.0352941176470588</v>
      </c>
      <c r="R18" s="37" t="n">
        <f aca="false">IFERROR(R14/L14-1,"")</f>
        <v>0.121212121212121</v>
      </c>
      <c r="S18" s="37" t="n">
        <f aca="false">IFERROR(S14/M14-1,"")</f>
        <v>-0.117647058823529</v>
      </c>
      <c r="T18" s="37" t="n">
        <f aca="false">IFERROR(T14/N14-1,"")</f>
        <v>-0.0249221183800623</v>
      </c>
      <c r="U18" s="37" t="n">
        <f aca="false">IFERROR(U14/O14-1,"")</f>
        <v>-0.0303030303030303</v>
      </c>
      <c r="V18" s="37" t="n">
        <f aca="false">IFERROR(V14/P14-1,"")</f>
        <v>-0.153061224489796</v>
      </c>
      <c r="W18" s="37" t="n">
        <f aca="false">IFERROR(W14/Q14-1,"")</f>
        <v>-0.103658536585366</v>
      </c>
      <c r="X18" s="37" t="n">
        <f aca="false">IFERROR(X14/R14-1,"")</f>
        <v>0.108108108108108</v>
      </c>
      <c r="Y18" s="37" t="n">
        <f aca="false">IFERROR(Y14/S14-1,"")</f>
        <v>0.12</v>
      </c>
      <c r="Z18" s="37" t="n">
        <f aca="false">IFERROR(Z14/T14-1,"")</f>
        <v>0</v>
      </c>
      <c r="AA18" s="37" t="n">
        <f aca="false">IFERROR(AA14/U14-1,"")</f>
        <v>-0.28125</v>
      </c>
      <c r="AB18" s="37" t="n">
        <f aca="false">IFERROR(AB14/V14-1,"")</f>
        <v>-0.168674698795181</v>
      </c>
      <c r="AC18" s="37" t="n">
        <f aca="false">IFERROR(AC14/W14-1,"")</f>
        <v>-0.217687074829932</v>
      </c>
      <c r="AD18" s="37" t="n">
        <f aca="false">IFERROR(AD14/X14-1,"")</f>
        <v>-0.25609756097561</v>
      </c>
      <c r="AE18" s="37" t="n">
        <f aca="false">IFERROR(AE14/Y14-1,"")</f>
        <v>-0.297619047619048</v>
      </c>
      <c r="AF18" s="37" t="n">
        <f aca="false">IFERROR(AF14/Z14-1,"")</f>
        <v>-0.249201277955272</v>
      </c>
      <c r="AG18" s="37" t="n">
        <f aca="false">IFERROR(AG14/AA14-1,"")</f>
        <v>0.478260869565217</v>
      </c>
      <c r="AH18" s="37" t="n">
        <f aca="false">IFERROR(AH14/AB14-1,"")</f>
        <v>-0.202898550724638</v>
      </c>
      <c r="AI18" s="37" t="n">
        <f aca="false">IFERROR(AI14/AC14-1,"")</f>
        <v>0.0695652173913044</v>
      </c>
      <c r="AJ18" s="37" t="n">
        <f aca="false">IFERROR(AJ14/AD14-1,"")</f>
        <v>0.0163934426229508</v>
      </c>
      <c r="AK18" s="37" t="n">
        <f aca="false">IFERROR(AK14/AE14-1,"")</f>
        <v>0.627118644067797</v>
      </c>
      <c r="AL18" s="37" t="n">
        <f aca="false">IFERROR(AL14/AF14-1,"")</f>
        <v>0.195744680851064</v>
      </c>
      <c r="AM18" s="37" t="n">
        <f aca="false">IFERROR(AM14/AG14-1,"")</f>
        <v>0.338235294117647</v>
      </c>
      <c r="AN18" s="37" t="n">
        <f aca="false">IFERROR(AN14/AH14-1,"")</f>
        <v>0.454545454545455</v>
      </c>
      <c r="AO18" s="37" t="n">
        <f aca="false">IFERROR(AO14/AI14-1,"")</f>
        <v>0.390243902439024</v>
      </c>
      <c r="AP18" s="37" t="n">
        <f aca="false">IFERROR(AP14/AJ14-1,"")</f>
        <v>0</v>
      </c>
      <c r="AQ18" s="37" t="n">
        <f aca="false">IFERROR(AQ14/AK14-1,"")</f>
        <v>-0.5</v>
      </c>
      <c r="AR18" s="37" t="n">
        <f aca="false">IFERROR(AR14/AL14-1,"")</f>
        <v>0</v>
      </c>
      <c r="AS18" s="37" t="n">
        <f aca="false">IFERROR(AS14/AM14-1,"")</f>
        <v>-0.054945054945055</v>
      </c>
      <c r="AT18" s="37" t="n">
        <f aca="false">IFERROR(AT14/AN14-1,"")</f>
        <v>0.325</v>
      </c>
      <c r="AU18" s="37" t="n">
        <f aca="false">IFERROR(AU14/AO14-1,"")</f>
        <v>0.12280701754386</v>
      </c>
      <c r="AV18" s="37" t="n">
        <f aca="false">IFERROR(AV14/AP14-1,"")</f>
        <v>-0.193548387096774</v>
      </c>
      <c r="AW18" s="37" t="n">
        <f aca="false">IFERROR(AW14/AQ14-1,"")</f>
        <v>0.0416666666666667</v>
      </c>
      <c r="AX18" s="37" t="n">
        <f aca="false">IFERROR(AX14/AR14-1,"")</f>
        <v>0.0391459074733096</v>
      </c>
      <c r="AY18" s="37" t="n">
        <f aca="false">IFERROR(AY14/AS14-1,"")</f>
        <v>-0.36046511627907</v>
      </c>
      <c r="AZ18" s="37" t="n">
        <f aca="false">IFERROR(AZ14/AT14-1,"")</f>
        <v>-0.386792452830189</v>
      </c>
      <c r="BA18" s="37" t="n">
        <f aca="false">IFERROR(BA14/AU14-1,"")</f>
        <v>-0.375</v>
      </c>
      <c r="BB18" s="37" t="n">
        <f aca="false">IFERROR(BB14/AV14-1,"")</f>
        <v>0.46</v>
      </c>
      <c r="BC18" s="37" t="n">
        <f aca="false">IFERROR(BC14/AW14-1,"")</f>
        <v>2.38</v>
      </c>
      <c r="BD18" s="37" t="n">
        <f aca="false">IFERROR(BD14/AX14-1,"")</f>
        <v>0.23972602739726</v>
      </c>
      <c r="BE18" s="37" t="n">
        <f aca="false">IFERROR(BE14/AY14-1,"")</f>
        <v>0.0909090909090908</v>
      </c>
      <c r="BF18" s="37" t="n">
        <f aca="false">IFERROR(BF14/AZ14-1,"")</f>
        <v>-0.138461538461538</v>
      </c>
      <c r="BG18" s="37" t="n">
        <f aca="false">IFERROR(BG14/BA14-1,"")</f>
        <v>-0.0333333333333333</v>
      </c>
      <c r="BH18" s="37" t="n">
        <f aca="false">IFERROR(BH14/BB14-1,"")</f>
        <v>-0.328767123287671</v>
      </c>
      <c r="BI18" s="37" t="n">
        <f aca="false">IFERROR(BI14/BC14-1,"")</f>
        <v>-0.727810650887574</v>
      </c>
      <c r="BJ18" s="37" t="n">
        <f aca="false">IFERROR(BJ14/BD14-1,"")</f>
        <v>-0.417127071823204</v>
      </c>
      <c r="BK18" s="37" t="n">
        <f aca="false">IFERROR(BK14/BE14-1,"")</f>
        <v>-0.233333333333333</v>
      </c>
      <c r="BL18" s="37" t="n">
        <f aca="false">IFERROR(BL14/BF14-1,"")</f>
        <v>-0.0357142857142857</v>
      </c>
      <c r="BM18" s="37" t="n">
        <f aca="false">IFERROR(BM14/BG14-1,"")</f>
        <v>-0.137931034482759</v>
      </c>
      <c r="BN18" s="37" t="n">
        <f aca="false">IFERROR(BN14/BH14-1,"")</f>
        <v>0.326530612244898</v>
      </c>
      <c r="BO18" s="37" t="n">
        <f aca="false">IFERROR(BO14/BI14-1,"")</f>
        <v>0.478260869565217</v>
      </c>
      <c r="BP18" s="37" t="n">
        <f aca="false">IFERROR(BP14/BJ14-1,"")</f>
        <v>0.104265402843602</v>
      </c>
      <c r="BQ18" s="37" t="n">
        <f aca="false">IFERROR(BQ14/BK14-1,"")</f>
        <v>0.0652173913043479</v>
      </c>
      <c r="BR18" s="37" t="n">
        <f aca="false">IFERROR(BR14/BL14-1,"")</f>
        <v>0.0740740740740742</v>
      </c>
      <c r="BS18" s="37" t="n">
        <f aca="false">IFERROR(BS14/BM14-1,"")</f>
        <v>0.0700000000000001</v>
      </c>
      <c r="BT18" s="38" t="n">
        <f aca="false">IFERROR(BT14/BN14-1,"")</f>
        <v>-0.0915221216691804</v>
      </c>
      <c r="BU18" s="38" t="n">
        <f aca="false">IFERROR(BU14/BO14-1,"")</f>
        <v>-0.131602028066128</v>
      </c>
      <c r="BV18" s="38" t="n">
        <f aca="false">IFERROR(BV14/BP14-1,"")</f>
        <v>-0.0338964627338775</v>
      </c>
      <c r="BW18" s="38" t="n">
        <f aca="false">IFERROR(BW14/BV14-1,"")</f>
        <v>0.0859144539953087</v>
      </c>
      <c r="BX18" s="38" t="n">
        <f aca="false">IFERROR(BX14/BW14-1,"")</f>
        <v>0.0913793103448275</v>
      </c>
      <c r="BY18" s="38" t="n">
        <f aca="false">IFERROR(BY14/BX14-1,"")</f>
        <v>0.085</v>
      </c>
      <c r="BZ18" s="38" t="n">
        <f aca="false">IFERROR(BZ14/BY14-1,"")</f>
        <v>0.0787096774193548</v>
      </c>
      <c r="CA18" s="16"/>
      <c r="CC18" s="5"/>
      <c r="CD18" s="5"/>
      <c r="CE18" s="5"/>
      <c r="CH18" s="21" t="s">
        <v>110</v>
      </c>
      <c r="CI18" s="39"/>
      <c r="CJ18" s="39"/>
      <c r="CK18" s="39"/>
    </row>
    <row r="19" customFormat="false" ht="15" hidden="false" customHeight="false" outlineLevel="0" collapsed="false">
      <c r="B19" s="35" t="s">
        <v>111</v>
      </c>
      <c r="C19" s="36"/>
      <c r="D19" s="36"/>
      <c r="E19" s="36"/>
      <c r="F19" s="36"/>
      <c r="G19" s="36"/>
      <c r="H19" s="36"/>
      <c r="I19" s="37" t="str">
        <f aca="false">IFERROR(I16/C16-1,"")</f>
        <v/>
      </c>
      <c r="J19" s="37" t="str">
        <f aca="false">IFERROR(J16/D16-1,"")</f>
        <v/>
      </c>
      <c r="K19" s="37" t="str">
        <f aca="false">IFERROR(K16/E16-1,"")</f>
        <v/>
      </c>
      <c r="L19" s="37" t="str">
        <f aca="false">IFERROR(L16/F16-1,"")</f>
        <v/>
      </c>
      <c r="M19" s="37" t="str">
        <f aca="false">IFERROR(M16/G16-1,"")</f>
        <v/>
      </c>
      <c r="N19" s="37" t="n">
        <f aca="false">IFERROR(N16/H16-1,"")</f>
        <v>-0.123873873873874</v>
      </c>
      <c r="O19" s="37" t="str">
        <f aca="false">IFERROR(O16/I16-1,"")</f>
        <v/>
      </c>
      <c r="P19" s="37" t="str">
        <f aca="false">IFERROR(P16/J16-1,"")</f>
        <v/>
      </c>
      <c r="Q19" s="37" t="str">
        <f aca="false">IFERROR(Q16/K16-1,"")</f>
        <v/>
      </c>
      <c r="R19" s="37" t="str">
        <f aca="false">IFERROR(R16/L16-1,"")</f>
        <v/>
      </c>
      <c r="S19" s="37" t="str">
        <f aca="false">IFERROR(S16/M16-1,"")</f>
        <v/>
      </c>
      <c r="T19" s="37" t="n">
        <f aca="false">IFERROR(T16/N16-1,"")</f>
        <v>-0.00771208226221076</v>
      </c>
      <c r="U19" s="37" t="str">
        <f aca="false">IFERROR(U16/O16-1,"")</f>
        <v/>
      </c>
      <c r="V19" s="37" t="str">
        <f aca="false">IFERROR(V16/P16-1,"")</f>
        <v/>
      </c>
      <c r="W19" s="37" t="str">
        <f aca="false">IFERROR(W16/Q16-1,"")</f>
        <v/>
      </c>
      <c r="X19" s="37" t="str">
        <f aca="false">IFERROR(X16/R16-1,"")</f>
        <v/>
      </c>
      <c r="Y19" s="37" t="str">
        <f aca="false">IFERROR(Y16/S16-1,"")</f>
        <v/>
      </c>
      <c r="Z19" s="37" t="n">
        <f aca="false">IFERROR(Z16/T16-1,"")</f>
        <v>-0.0103626943005182</v>
      </c>
      <c r="AA19" s="37" t="str">
        <f aca="false">IFERROR(AA16/U16-1,"")</f>
        <v/>
      </c>
      <c r="AB19" s="37" t="str">
        <f aca="false">IFERROR(AB16/V16-1,"")</f>
        <v/>
      </c>
      <c r="AC19" s="37" t="str">
        <f aca="false">IFERROR(AC16/W16-1,"")</f>
        <v/>
      </c>
      <c r="AD19" s="37" t="str">
        <f aca="false">IFERROR(AD16/X16-1,"")</f>
        <v/>
      </c>
      <c r="AE19" s="37" t="str">
        <f aca="false">IFERROR(AE16/Y16-1,"")</f>
        <v/>
      </c>
      <c r="AF19" s="37" t="n">
        <f aca="false">IFERROR(AF16/Z16-1,"")</f>
        <v>-0.201570680628272</v>
      </c>
      <c r="AG19" s="37" t="str">
        <f aca="false">IFERROR(AG16/AA16-1,"")</f>
        <v/>
      </c>
      <c r="AH19" s="37" t="str">
        <f aca="false">IFERROR(AH16/AB16-1,"")</f>
        <v/>
      </c>
      <c r="AI19" s="37" t="str">
        <f aca="false">IFERROR(AI16/AC16-1,"")</f>
        <v/>
      </c>
      <c r="AJ19" s="37" t="str">
        <f aca="false">IFERROR(AJ16/AD16-1,"")</f>
        <v/>
      </c>
      <c r="AK19" s="37" t="str">
        <f aca="false">IFERROR(AK16/AE16-1,"")</f>
        <v/>
      </c>
      <c r="AL19" s="37" t="n">
        <f aca="false">IFERROR(AL16/AF16-1,"")</f>
        <v>0.160655737704918</v>
      </c>
      <c r="AM19" s="37" t="str">
        <f aca="false">IFERROR(AM16/AG16-1,"")</f>
        <v/>
      </c>
      <c r="AN19" s="37" t="str">
        <f aca="false">IFERROR(AN16/AH16-1,"")</f>
        <v/>
      </c>
      <c r="AO19" s="37" t="str">
        <f aca="false">IFERROR(AO16/AI16-1,"")</f>
        <v/>
      </c>
      <c r="AP19" s="37" t="str">
        <f aca="false">IFERROR(AP16/AJ16-1,"")</f>
        <v/>
      </c>
      <c r="AQ19" s="37" t="str">
        <f aca="false">IFERROR(AQ16/AK16-1,"")</f>
        <v/>
      </c>
      <c r="AR19" s="37" t="n">
        <f aca="false">IFERROR(AR16/AL16-1,"")</f>
        <v>0.00282485875706207</v>
      </c>
      <c r="AS19" s="37" t="str">
        <f aca="false">IFERROR(AS16/AM16-1,"")</f>
        <v/>
      </c>
      <c r="AT19" s="37" t="str">
        <f aca="false">IFERROR(AT16/AN16-1,"")</f>
        <v/>
      </c>
      <c r="AU19" s="37" t="str">
        <f aca="false">IFERROR(AU16/AO16-1,"")</f>
        <v/>
      </c>
      <c r="AV19" s="37" t="str">
        <f aca="false">IFERROR(AV16/AP16-1,"")</f>
        <v/>
      </c>
      <c r="AW19" s="37" t="str">
        <f aca="false">IFERROR(AW16/AQ16-1,"")</f>
        <v/>
      </c>
      <c r="AX19" s="37" t="n">
        <f aca="false">IFERROR(AX16/AR16-1,"")</f>
        <v>0.0450704225352112</v>
      </c>
      <c r="AY19" s="37" t="str">
        <f aca="false">IFERROR(AY16/AS16-1,"")</f>
        <v/>
      </c>
      <c r="AZ19" s="37" t="str">
        <f aca="false">IFERROR(AZ16/AT16-1,"")</f>
        <v/>
      </c>
      <c r="BA19" s="37" t="str">
        <f aca="false">IFERROR(BA16/AU16-1,"")</f>
        <v/>
      </c>
      <c r="BB19" s="37" t="str">
        <f aca="false">IFERROR(BB16/AV16-1,"")</f>
        <v/>
      </c>
      <c r="BC19" s="37" t="str">
        <f aca="false">IFERROR(BC16/AW16-1,"")</f>
        <v/>
      </c>
      <c r="BD19" s="37" t="n">
        <f aca="false">IFERROR(BD16/AX16-1,"")</f>
        <v>0.180592991913747</v>
      </c>
      <c r="BE19" s="37" t="str">
        <f aca="false">IFERROR(BE16/AY16-1,"")</f>
        <v/>
      </c>
      <c r="BF19" s="37" t="str">
        <f aca="false">IFERROR(BF16/AZ16-1,"")</f>
        <v/>
      </c>
      <c r="BG19" s="37" t="str">
        <f aca="false">IFERROR(BG16/BA16-1,"")</f>
        <v/>
      </c>
      <c r="BH19" s="37" t="str">
        <f aca="false">IFERROR(BH16/BB16-1,"")</f>
        <v/>
      </c>
      <c r="BI19" s="37" t="str">
        <f aca="false">IFERROR(BI16/BC16-1,"")</f>
        <v/>
      </c>
      <c r="BJ19" s="37" t="n">
        <f aca="false">IFERROR(BJ16/BD16-1,"")</f>
        <v>-0.340182648401826</v>
      </c>
      <c r="BK19" s="37" t="n">
        <f aca="false">IFERROR(BK16/BE16-1,"")</f>
        <v>-0.164556962025316</v>
      </c>
      <c r="BL19" s="37" t="n">
        <f aca="false">IFERROR(BL16/BF16-1,"")</f>
        <v>-0.0133333333333333</v>
      </c>
      <c r="BM19" s="37" t="n">
        <f aca="false">IFERROR(BM16/BG16-1,"")</f>
        <v>-0.0909090909090909</v>
      </c>
      <c r="BN19" s="37" t="n">
        <f aca="false">IFERROR(BN16/BH16-1,"")</f>
        <v>0.231884057971014</v>
      </c>
      <c r="BO19" s="37" t="n">
        <f aca="false">IFERROR(BO16/BI16-1,"")</f>
        <v>0.348484848484848</v>
      </c>
      <c r="BP19" s="37" t="n">
        <f aca="false">IFERROR(BP16/BJ16-1,"")</f>
        <v>0.0865051903114187</v>
      </c>
      <c r="BQ19" s="37" t="n">
        <f aca="false">IFERROR(BQ16/BK16-1,"")</f>
        <v>0.0454545454545454</v>
      </c>
      <c r="BR19" s="37" t="n">
        <f aca="false">IFERROR(BR16/BL16-1,"")</f>
        <v>0.0540540540540539</v>
      </c>
      <c r="BS19" s="37" t="n">
        <f aca="false">IFERROR(BS16/BM16-1,"")</f>
        <v>0.05</v>
      </c>
      <c r="BT19" s="38" t="n">
        <f aca="false">IFERROR(BT16/BN16-1,"")</f>
        <v>-0.0396269734965459</v>
      </c>
      <c r="BU19" s="38" t="n">
        <f aca="false">IFERROR(BU16/BO16-1,"")</f>
        <v>-0.0827898061483865</v>
      </c>
      <c r="BV19" s="38" t="n">
        <f aca="false">IFERROR(BV16/BP16-1,"")</f>
        <v>-0.0118999538038624</v>
      </c>
      <c r="BW19" s="38" t="n">
        <f aca="false">IFERROR(BW16/BV16-1,"")</f>
        <v>0.0703920215884695</v>
      </c>
      <c r="BX19" s="38" t="n">
        <f aca="false">IFERROR(BX16/BW16-1,"")</f>
        <v>0.0817766497461927</v>
      </c>
      <c r="BY19" s="38" t="n">
        <f aca="false">IFERROR(BY16/BX16-1,"")</f>
        <v>0.075990099009901</v>
      </c>
      <c r="BZ19" s="38" t="n">
        <f aca="false">IFERROR(BZ16/BY16-1,"")</f>
        <v>0.07024154589372</v>
      </c>
      <c r="CA19" s="16"/>
      <c r="CC19" s="5"/>
      <c r="CD19" s="5"/>
      <c r="CE19" s="5"/>
      <c r="CH19" s="24" t="s">
        <v>112</v>
      </c>
      <c r="CJ19" s="25" t="n">
        <v>44</v>
      </c>
    </row>
    <row r="20" customFormat="false" ht="15" hidden="false" customHeight="false" outlineLevel="0" collapsed="false">
      <c r="B20" s="35" t="s">
        <v>113</v>
      </c>
      <c r="C20" s="36" t="n">
        <f aca="false">IFERROR(C14/C13,"")</f>
        <v>0.0959488272921109</v>
      </c>
      <c r="D20" s="36" t="n">
        <f aca="false">IFERROR(D14/D13,"")</f>
        <v>0.362637362637363</v>
      </c>
      <c r="E20" s="36" t="n">
        <f aca="false">IFERROR(E14/E13,"")</f>
        <v>0.239408866995074</v>
      </c>
      <c r="F20" s="36" t="n">
        <f aca="false">IFERROR(F14/F13,"")</f>
        <v>0.129848229342327</v>
      </c>
      <c r="G20" s="36" t="n">
        <f aca="false">IFERROR(G14/G13,"")</f>
        <v>0.101724137931034</v>
      </c>
      <c r="H20" s="36" t="n">
        <f aca="false">IFERROR(H14/H13,"")</f>
        <v>0.173217550274223</v>
      </c>
      <c r="I20" s="36" t="n">
        <f aca="false">IFERROR(I14/I13,"")</f>
        <v>0.139931740614334</v>
      </c>
      <c r="J20" s="36" t="n">
        <f aca="false">IFERROR(J14/J13,"")</f>
        <v>0.15042735042735</v>
      </c>
      <c r="K20" s="36" t="n">
        <f aca="false">IFERROR(K14/K13,"")</f>
        <v>0.145175064047822</v>
      </c>
      <c r="L20" s="36" t="n">
        <f aca="false">IFERROR(L14/L13,"")</f>
        <v>0.114384748700173</v>
      </c>
      <c r="M20" s="36" t="n">
        <f aca="false">IFERROR(M14/M13,"")</f>
        <v>0.132605304212168</v>
      </c>
      <c r="N20" s="36" t="n">
        <f aca="false">IFERROR(N14/N13,"")</f>
        <v>0.134365843449142</v>
      </c>
      <c r="O20" s="36" t="n">
        <f aca="false">IFERROR(O14/O13,"")</f>
        <v>0.12</v>
      </c>
      <c r="P20" s="36" t="n">
        <f aca="false">IFERROR(P14/P13,"")</f>
        <v>0.153364632237872</v>
      </c>
      <c r="Q20" s="36" t="n">
        <f aca="false">IFERROR(Q14/Q13,"")</f>
        <v>0.137931034482759</v>
      </c>
      <c r="R20" s="36" t="n">
        <f aca="false">IFERROR(R14/R13,"")</f>
        <v>0.124789207419899</v>
      </c>
      <c r="S20" s="36" t="n">
        <f aca="false">IFERROR(S14/S13,"")</f>
        <v>0.117554858934169</v>
      </c>
      <c r="T20" s="36" t="n">
        <f aca="false">IFERROR(T14/T13,"")</f>
        <v>0.129338842975207</v>
      </c>
      <c r="U20" s="36" t="n">
        <f aca="false">IFERROR(U14/U13,"")</f>
        <v>0.109401709401709</v>
      </c>
      <c r="V20" s="36" t="n">
        <f aca="false">IFERROR(V14/V13,"")</f>
        <v>0.131955484896661</v>
      </c>
      <c r="W20" s="36" t="n">
        <f aca="false">IFERROR(W14/W13,"")</f>
        <v>0.121087314662273</v>
      </c>
      <c r="X20" s="36" t="n">
        <f aca="false">IFERROR(X14/X13,"")</f>
        <v>0.118155619596542</v>
      </c>
      <c r="Y20" s="36" t="n">
        <f aca="false">IFERROR(Y14/Y13,"")</f>
        <v>0.120171673819742</v>
      </c>
      <c r="Z20" s="36" t="n">
        <f aca="false">IFERROR(Z14/Z13,"")</f>
        <v>0.12006137322593</v>
      </c>
      <c r="AA20" s="36" t="n">
        <f aca="false">IFERROR(AA14/AA13,"")</f>
        <v>0.0787671232876712</v>
      </c>
      <c r="AB20" s="36" t="n">
        <f aca="false">IFERROR(AB14/AB13,"")</f>
        <v>0.110932475884244</v>
      </c>
      <c r="AC20" s="36" t="n">
        <f aca="false">IFERROR(AC14/AC13,"")</f>
        <v>0.0953565505804312</v>
      </c>
      <c r="AD20" s="36" t="n">
        <f aca="false">IFERROR(AD14/AD13,"")</f>
        <v>0.0942812982998454</v>
      </c>
      <c r="AE20" s="36" t="n">
        <f aca="false">IFERROR(AE14/AE13,"")</f>
        <v>0.084045584045584</v>
      </c>
      <c r="AF20" s="36" t="n">
        <f aca="false">IFERROR(AF14/AF13,"")</f>
        <v>0.0919765166340509</v>
      </c>
      <c r="AG20" s="36" t="n">
        <f aca="false">IFERROR(AG14/AG13,"")</f>
        <v>0.108108108108108</v>
      </c>
      <c r="AH20" s="36" t="n">
        <f aca="false">IFERROR(AH14/AH13,"")</f>
        <v>0.0884244372990354</v>
      </c>
      <c r="AI20" s="36" t="n">
        <f aca="false">IFERROR(AI14/AI13,"")</f>
        <v>0.0983213429256595</v>
      </c>
      <c r="AJ20" s="36" t="n">
        <f aca="false">IFERROR(AJ14/AJ13,"")</f>
        <v>0.0918518518518519</v>
      </c>
      <c r="AK20" s="36" t="n">
        <f aca="false">IFERROR(AK14/AK13,"")</f>
        <v>0.127659574468085</v>
      </c>
      <c r="AL20" s="36" t="n">
        <f aca="false">IFERROR(AL14/AL13,"")</f>
        <v>0.104929051530993</v>
      </c>
      <c r="AM20" s="36" t="n">
        <f aca="false">IFERROR(AM14/AM13,"")</f>
        <v>0.140215716486903</v>
      </c>
      <c r="AN20" s="36" t="n">
        <f aca="false">IFERROR(AN14/AN13,"")</f>
        <v>0.119402985074627</v>
      </c>
      <c r="AO20" s="36" t="n">
        <f aca="false">IFERROR(AO14/AO13,"")</f>
        <v>0.12964366944655</v>
      </c>
      <c r="AP20" s="36" t="n">
        <f aca="false">IFERROR(AP14/AP13,"")</f>
        <v>0.0987261146496815</v>
      </c>
      <c r="AQ20" s="36" t="n">
        <f aca="false">IFERROR(AQ14/AQ13,"")</f>
        <v>0.0826161790017212</v>
      </c>
      <c r="AR20" s="36" t="n">
        <f aca="false">IFERROR(AR14/AR13,"")</f>
        <v>0.111155063291139</v>
      </c>
      <c r="AS20" s="36" t="n">
        <f aca="false">IFERROR(AS14/AS13,"")</f>
        <v>0.136291600633914</v>
      </c>
      <c r="AT20" s="36" t="n">
        <f aca="false">IFERROR(AT14/AT13,"")</f>
        <v>0.161094224924012</v>
      </c>
      <c r="AU20" s="36" t="n">
        <f aca="false">IFERROR(AU14/AU13,"")</f>
        <v>0.148952676493406</v>
      </c>
      <c r="AV20" s="36" t="n">
        <f aca="false">IFERROR(AV14/AV13,"")</f>
        <v>0.0802568218298555</v>
      </c>
      <c r="AW20" s="36" t="n">
        <f aca="false">IFERROR(AW14/AW13,"")</f>
        <v>0.0759878419452888</v>
      </c>
      <c r="AX20" s="36" t="n">
        <f aca="false">IFERROR(AX14/AX13,"")</f>
        <v>0.113618677042802</v>
      </c>
      <c r="AY20" s="36" t="n">
        <f aca="false">IFERROR(AY14/AY13,"")</f>
        <v>0.0953206239168111</v>
      </c>
      <c r="AZ20" s="36" t="n">
        <f aca="false">IFERROR(AZ14/AZ13,"")</f>
        <v>0.0978915662650602</v>
      </c>
      <c r="BA20" s="36" t="n">
        <f aca="false">IFERROR(BA14/BA13,"")</f>
        <v>0.096696212731668</v>
      </c>
      <c r="BB20" s="36" t="n">
        <f aca="false">IFERROR(BB14/BB13,"")</f>
        <v>0.10267229254571</v>
      </c>
      <c r="BC20" s="36" t="n">
        <f aca="false">IFERROR(BC14/BC13,"")</f>
        <v>0.21125</v>
      </c>
      <c r="BD20" s="36" t="n">
        <f aca="false">IFERROR(BD14/BD13,"")</f>
        <v>0.131540697674419</v>
      </c>
      <c r="BE20" s="36" t="n">
        <f aca="false">IFERROR(BE14/BE13,"")</f>
        <v>0.0916030534351145</v>
      </c>
      <c r="BF20" s="36" t="n">
        <f aca="false">IFERROR(BF14/BF13,"")</f>
        <v>0.0786516853932584</v>
      </c>
      <c r="BG20" s="36" t="n">
        <f aca="false">IFERROR(BG14/BG13,"")</f>
        <v>0.0848573518653987</v>
      </c>
      <c r="BH20" s="36" t="n">
        <f aca="false">IFERROR(BH14/BH13,"")</f>
        <v>0.0737951807228916</v>
      </c>
      <c r="BI20" s="36" t="n">
        <f aca="false">IFERROR(BI14/BI13,"")</f>
        <v>0.0625</v>
      </c>
      <c r="BJ20" s="36" t="n">
        <f aca="false">IFERROR(BJ14/BJ13,"")</f>
        <v>0.0762558727864113</v>
      </c>
      <c r="BK20" s="36" t="n">
        <f aca="false">IFERROR(BK14/BK13,"")</f>
        <v>0.0722135007849294</v>
      </c>
      <c r="BL20" s="36" t="n">
        <f aca="false">IFERROR(BL14/BL13,"")</f>
        <v>0.074585635359116</v>
      </c>
      <c r="BM20" s="36" t="n">
        <f aca="false">IFERROR(BM14/BM13,"")</f>
        <v>0.0734753857457752</v>
      </c>
      <c r="BN20" s="36" t="n">
        <f aca="false">IFERROR(BN14/BN13,"")</f>
        <v>0.0785024154589372</v>
      </c>
      <c r="BO20" s="36" t="n">
        <f aca="false">IFERROR(BO14/BO13,"")</f>
        <v>0.0764904386951631</v>
      </c>
      <c r="BP20" s="36" t="n">
        <f aca="false">IFERROR(BP14/BP13,"")</f>
        <v>0.0756985055230669</v>
      </c>
      <c r="BQ20" s="36" t="n">
        <f aca="false">IFERROR(BQ14/BQ13,"")</f>
        <v>0.0675862068965517</v>
      </c>
      <c r="BR20" s="36" t="n">
        <f aca="false">IFERROR(BR14/BR13,"")</f>
        <v>0.0686390532544379</v>
      </c>
      <c r="BS20" s="36" t="n">
        <f aca="false">IFERROR(BS14/BS13,"")</f>
        <v>0.0681528662420382</v>
      </c>
      <c r="BT20" s="38" t="n">
        <f aca="false">IFERROR(BT14/BT13,"")</f>
        <v>0.0733206009127239</v>
      </c>
      <c r="BU20" s="38" t="n">
        <f aca="false">IFERROR(BU14/BU13,"")</f>
        <v>0.0733206009127239</v>
      </c>
      <c r="BV20" s="38" t="n">
        <f aca="false">IFERROR(BV14/BV13,"")</f>
        <v>0.0707698472170184</v>
      </c>
      <c r="BW20" s="38" t="n">
        <f aca="false">CHOOSE(MATCH($CA$2,{"Bull","Base","Bear"},0),$CI$46,$CJ$46,$CK$46)</f>
        <v>0.0725</v>
      </c>
      <c r="BX20" s="38" t="n">
        <f aca="false">CHOOSE(MATCH($CA$2,{"Bull","Base","Bear"},0),$CI$47,$CJ$47,$CK$47)</f>
        <v>0.075</v>
      </c>
      <c r="BY20" s="38" t="n">
        <f aca="false">CHOOSE(MATCH($CA$2,{"Bull","Base","Bear"},0),$CI$48,$CJ$48,$CK$48)</f>
        <v>0.0775</v>
      </c>
      <c r="BZ20" s="38" t="n">
        <f aca="false">CHOOSE(MATCH($CA$2,{"Bull","Base","Bear"},0),$CI$49,$CJ$49,$CK$49)</f>
        <v>0.08</v>
      </c>
      <c r="CA20" s="16" t="s">
        <v>114</v>
      </c>
      <c r="CC20" s="40" t="n">
        <f aca="false">IFERROR(AVERAGE(BV20,BW20,BX20,BY20,BZ20),"n/m")</f>
        <v>0.0751539694434037</v>
      </c>
      <c r="CD20" s="40" t="n">
        <f aca="false">IFERROR(AVERAGE(AR20,AX20,BD20,BJ20,BP20),"n/m")</f>
        <v>0.101653763263568</v>
      </c>
      <c r="CE20" s="40" t="n">
        <f aca="false">IFERROR(AVERAGE(N20,T20,Z20,AF20,AL20,AR20,AX20,BD20,BJ20,BP20),"n/m")</f>
        <v>0.108894044413316</v>
      </c>
      <c r="CH20" s="24" t="s">
        <v>115</v>
      </c>
      <c r="CJ20" s="25" t="n">
        <v>20</v>
      </c>
    </row>
    <row r="21" customFormat="false" ht="15" hidden="false" customHeight="false" outlineLevel="0" collapsed="false">
      <c r="B21" s="35" t="s">
        <v>116</v>
      </c>
      <c r="C21" s="36" t="str">
        <f aca="false">IFERROR(C16/C13,"")</f>
        <v/>
      </c>
      <c r="D21" s="36" t="str">
        <f aca="false">IFERROR(D16/D13,"")</f>
        <v/>
      </c>
      <c r="E21" s="36" t="str">
        <f aca="false">IFERROR(E16/E13,"")</f>
        <v/>
      </c>
      <c r="F21" s="36" t="str">
        <f aca="false">IFERROR(F16/F13,"")</f>
        <v/>
      </c>
      <c r="G21" s="36" t="str">
        <f aca="false">IFERROR(G16/G13,"")</f>
        <v/>
      </c>
      <c r="H21" s="36" t="n">
        <f aca="false">IFERROR(H16/H13,"")</f>
        <v>0.202925045703839</v>
      </c>
      <c r="I21" s="36" t="str">
        <f aca="false">IFERROR(I16/I13,"")</f>
        <v/>
      </c>
      <c r="J21" s="36" t="str">
        <f aca="false">IFERROR(J16/J13,"")</f>
        <v/>
      </c>
      <c r="K21" s="36" t="str">
        <f aca="false">IFERROR(K16/K13,"")</f>
        <v/>
      </c>
      <c r="L21" s="36" t="str">
        <f aca="false">IFERROR(L16/L13,"")</f>
        <v/>
      </c>
      <c r="M21" s="36" t="str">
        <f aca="false">IFERROR(M16/M13,"")</f>
        <v/>
      </c>
      <c r="N21" s="36" t="n">
        <f aca="false">IFERROR(N16/N13,"")</f>
        <v>0.162829635830892</v>
      </c>
      <c r="O21" s="36" t="str">
        <f aca="false">IFERROR(O16/O13,"")</f>
        <v/>
      </c>
      <c r="P21" s="36" t="str">
        <f aca="false">IFERROR(P16/P13,"")</f>
        <v/>
      </c>
      <c r="Q21" s="36" t="str">
        <f aca="false">IFERROR(Q16/Q13,"")</f>
        <v/>
      </c>
      <c r="R21" s="36" t="str">
        <f aca="false">IFERROR(R16/R13,"")</f>
        <v/>
      </c>
      <c r="S21" s="36" t="str">
        <f aca="false">IFERROR(S16/S13,"")</f>
        <v/>
      </c>
      <c r="T21" s="36" t="n">
        <f aca="false">IFERROR(T16/T13,"")</f>
        <v>0.159504132231405</v>
      </c>
      <c r="U21" s="36" t="str">
        <f aca="false">IFERROR(U16/U13,"")</f>
        <v/>
      </c>
      <c r="V21" s="36" t="str">
        <f aca="false">IFERROR(V16/V13,"")</f>
        <v/>
      </c>
      <c r="W21" s="36" t="str">
        <f aca="false">IFERROR(W16/W13,"")</f>
        <v/>
      </c>
      <c r="X21" s="36" t="str">
        <f aca="false">IFERROR(X16/X13,"")</f>
        <v/>
      </c>
      <c r="Y21" s="36" t="str">
        <f aca="false">IFERROR(Y16/Y13,"")</f>
        <v/>
      </c>
      <c r="Z21" s="36" t="n">
        <f aca="false">IFERROR(Z16/Z13,"")</f>
        <v>0.146528576908324</v>
      </c>
      <c r="AA21" s="36" t="str">
        <f aca="false">IFERROR(AA16/AA13,"")</f>
        <v/>
      </c>
      <c r="AB21" s="36" t="str">
        <f aca="false">IFERROR(AB16/AB13,"")</f>
        <v/>
      </c>
      <c r="AC21" s="36" t="str">
        <f aca="false">IFERROR(AC16/AC13,"")</f>
        <v/>
      </c>
      <c r="AD21" s="36" t="str">
        <f aca="false">IFERROR(AD16/AD13,"")</f>
        <v/>
      </c>
      <c r="AE21" s="36" t="str">
        <f aca="false">IFERROR(AE16/AE13,"")</f>
        <v/>
      </c>
      <c r="AF21" s="36" t="n">
        <f aca="false">IFERROR(AF16/AF13,"")</f>
        <v>0.119373776908023</v>
      </c>
      <c r="AG21" s="36" t="str">
        <f aca="false">IFERROR(AG16/AG13,"")</f>
        <v/>
      </c>
      <c r="AH21" s="36" t="str">
        <f aca="false">IFERROR(AH16/AH13,"")</f>
        <v/>
      </c>
      <c r="AI21" s="36" t="str">
        <f aca="false">IFERROR(AI16/AI13,"")</f>
        <v/>
      </c>
      <c r="AJ21" s="36" t="str">
        <f aca="false">IFERROR(AJ16/AJ13,"")</f>
        <v/>
      </c>
      <c r="AK21" s="36" t="str">
        <f aca="false">IFERROR(AK16/AK13,"")</f>
        <v/>
      </c>
      <c r="AL21" s="36" t="n">
        <f aca="false">IFERROR(AL16/AL13,"")</f>
        <v>0.132188200149365</v>
      </c>
      <c r="AM21" s="36" t="str">
        <f aca="false">IFERROR(AM16/AM13,"")</f>
        <v/>
      </c>
      <c r="AN21" s="36" t="str">
        <f aca="false">IFERROR(AN16/AN13,"")</f>
        <v/>
      </c>
      <c r="AO21" s="36" t="str">
        <f aca="false">IFERROR(AO16/AO13,"")</f>
        <v/>
      </c>
      <c r="AP21" s="36" t="str">
        <f aca="false">IFERROR(AP16/AP13,"")</f>
        <v/>
      </c>
      <c r="AQ21" s="36" t="str">
        <f aca="false">IFERROR(AQ16/AQ13,"")</f>
        <v/>
      </c>
      <c r="AR21" s="36" t="n">
        <f aca="false">IFERROR(AR16/AR13,"")</f>
        <v>0.140427215189873</v>
      </c>
      <c r="AS21" s="36" t="str">
        <f aca="false">IFERROR(AS16/AS13,"")</f>
        <v/>
      </c>
      <c r="AT21" s="36" t="str">
        <f aca="false">IFERROR(AT16/AT13,"")</f>
        <v/>
      </c>
      <c r="AU21" s="36" t="str">
        <f aca="false">IFERROR(AU16/AU13,"")</f>
        <v/>
      </c>
      <c r="AV21" s="36" t="str">
        <f aca="false">IFERROR(AV16/AV13,"")</f>
        <v/>
      </c>
      <c r="AW21" s="36" t="str">
        <f aca="false">IFERROR(AW16/AW13,"")</f>
        <v/>
      </c>
      <c r="AX21" s="36" t="n">
        <f aca="false">IFERROR(AX16/AX13,"")</f>
        <v>0.144357976653696</v>
      </c>
      <c r="AY21" s="36" t="str">
        <f aca="false">IFERROR(AY16/AY13,"")</f>
        <v/>
      </c>
      <c r="AZ21" s="36" t="str">
        <f aca="false">IFERROR(AZ16/AZ13,"")</f>
        <v/>
      </c>
      <c r="BA21" s="36" t="str">
        <f aca="false">IFERROR(BA16/BA13,"")</f>
        <v/>
      </c>
      <c r="BB21" s="36" t="str">
        <f aca="false">IFERROR(BB16/BB13,"")</f>
        <v/>
      </c>
      <c r="BC21" s="36" t="str">
        <f aca="false">IFERROR(BC16/BC13,"")</f>
        <v/>
      </c>
      <c r="BD21" s="36" t="n">
        <f aca="false">IFERROR(BD16/BD13,"")</f>
        <v>0.159156976744186</v>
      </c>
      <c r="BE21" s="36" t="n">
        <f aca="false">IFERROR(BE16/BE13,"")</f>
        <v>0.120610687022901</v>
      </c>
      <c r="BF21" s="36" t="n">
        <f aca="false">IFERROR(BF16/BF13,"")</f>
        <v>0.105337078651685</v>
      </c>
      <c r="BG21" s="36" t="n">
        <f aca="false">IFERROR(BG16/BG13,"")</f>
        <v>0.112655449890271</v>
      </c>
      <c r="BH21" s="36" t="n">
        <f aca="false">IFERROR(BH16/BH13,"")</f>
        <v>0.103915662650602</v>
      </c>
      <c r="BI21" s="36" t="n">
        <f aca="false">IFERROR(BI16/BI13,"")</f>
        <v>0.0896739130434783</v>
      </c>
      <c r="BJ21" s="36" t="n">
        <f aca="false">IFERROR(BJ16/BJ13,"")</f>
        <v>0.104445247560535</v>
      </c>
      <c r="BK21" s="36" t="n">
        <f aca="false">IFERROR(BK16/BK13,"")</f>
        <v>0.103610675039246</v>
      </c>
      <c r="BL21" s="36" t="n">
        <f aca="false">IFERROR(BL16/BL13,"")</f>
        <v>0.102209944751381</v>
      </c>
      <c r="BM21" s="36" t="n">
        <f aca="false">IFERROR(BM16/BM13,"")</f>
        <v>0.102865540044085</v>
      </c>
      <c r="BN21" s="36" t="n">
        <f aca="false">IFERROR(BN16/BN13,"")</f>
        <v>0.102657004830918</v>
      </c>
      <c r="BO21" s="36" t="n">
        <f aca="false">IFERROR(BO16/BO13,"")</f>
        <v>0.100112485939258</v>
      </c>
      <c r="BP21" s="36" t="n">
        <f aca="false">IFERROR(BP16/BP13,"")</f>
        <v>0.102014294996751</v>
      </c>
      <c r="BQ21" s="36" t="n">
        <f aca="false">IFERROR(BQ16/BQ13,"")</f>
        <v>0.0951724137931034</v>
      </c>
      <c r="BR21" s="36" t="n">
        <f aca="false">IFERROR(BR16/BR13,"")</f>
        <v>0.0923076923076923</v>
      </c>
      <c r="BS21" s="36" t="n">
        <f aca="false">IFERROR(BS16/BS13,"")</f>
        <v>0.0936305732484076</v>
      </c>
      <c r="BT21" s="38" t="n">
        <f aca="false">IFERROR(BT16/BT13,"")</f>
        <v>0.101357801491052</v>
      </c>
      <c r="BU21" s="38" t="n">
        <f aca="false">IFERROR(BU16/BU13,"")</f>
        <v>0.101357801491052</v>
      </c>
      <c r="BV21" s="38" t="n">
        <f aca="false">IFERROR(BV16/BV13,"")</f>
        <v>0.0975437016477896</v>
      </c>
      <c r="BW21" s="38" t="n">
        <f aca="false">IFERROR(BW16/BW13,"")</f>
        <v>0.0985</v>
      </c>
      <c r="BX21" s="38" t="n">
        <f aca="false">IFERROR(BX16/BX13,"")</f>
        <v>0.101</v>
      </c>
      <c r="BY21" s="38" t="n">
        <f aca="false">IFERROR(BY16/BY13,"")</f>
        <v>0.1035</v>
      </c>
      <c r="BZ21" s="38" t="n">
        <f aca="false">IFERROR(BZ16/BZ13,"")</f>
        <v>0.106</v>
      </c>
      <c r="CA21" s="16"/>
      <c r="CC21" s="40" t="n">
        <f aca="false">IFERROR(AVERAGE(BV21,BW21,BX21,BY21,BZ21),"n/m")</f>
        <v>0.101308740329558</v>
      </c>
      <c r="CD21" s="40" t="n">
        <f aca="false">IFERROR(AVERAGE(AR21,AX21,BD21,BJ21,BP21),"n/m")</f>
        <v>0.130080342229008</v>
      </c>
      <c r="CE21" s="40" t="n">
        <f aca="false">IFERROR(AVERAGE(N21,T21,Z21,AF21,AL21,AR21,AX21,BD21,BJ21,BP21),"n/m")</f>
        <v>0.137082603317305</v>
      </c>
      <c r="CH21" s="24" t="s">
        <v>117</v>
      </c>
      <c r="CJ21" s="25" t="n">
        <v>105</v>
      </c>
    </row>
    <row r="22" customFormat="false" ht="15" hidden="false" customHeight="false" outlineLevel="0" collapsed="false">
      <c r="B22" s="35" t="s">
        <v>118</v>
      </c>
      <c r="C22" s="36"/>
      <c r="D22" s="36"/>
      <c r="E22" s="36"/>
      <c r="F22" s="36"/>
      <c r="G22" s="36"/>
      <c r="H22" s="36"/>
      <c r="I22" s="36" t="n">
        <f aca="false">IFERROR((I14-C14)/(I13-C13),"")</f>
        <v>0.316239316239316</v>
      </c>
      <c r="J22" s="36" t="n">
        <f aca="false">IFERROR((J14-D14)/(J13-D13),"")</f>
        <v>-2.82051282051282</v>
      </c>
      <c r="K22" s="36" t="n">
        <f aca="false">IFERROR((K14-E14)/(K13-E13),"")</f>
        <v>-0.467948717948718</v>
      </c>
      <c r="L22" s="36" t="n">
        <f aca="false">IFERROR((L14-F14)/(L13-F13),"")</f>
        <v>0.6875</v>
      </c>
      <c r="M22" s="36" t="n">
        <f aca="false">IFERROR((M14-G14)/(M13-G13),"")</f>
        <v>0.426229508196721</v>
      </c>
      <c r="N22" s="36" t="n">
        <f aca="false">IFERROR((N14-H14)/(N13-H13),"")</f>
        <v>-0.288557213930348</v>
      </c>
      <c r="O22" s="36" t="n">
        <f aca="false">IFERROR((O14-I14)/(O13-I13),"")</f>
        <v>0.444444444444444</v>
      </c>
      <c r="P22" s="36" t="n">
        <f aca="false">IFERROR((P14-J14)/(P13-J13),"")</f>
        <v>0.185185185185185</v>
      </c>
      <c r="Q22" s="36" t="n">
        <f aca="false">IFERROR((Q14-K14)/(Q13-K13),"")</f>
        <v>-0.333333333333333</v>
      </c>
      <c r="R22" s="36" t="n">
        <f aca="false">IFERROR((R14-L14)/(R13-L13),"")</f>
        <v>0.5</v>
      </c>
      <c r="S22" s="36" t="n">
        <f aca="false">IFERROR((S14-M14)/(S13-M13),"")</f>
        <v>3.33333333333333</v>
      </c>
      <c r="T22" s="36" t="n">
        <f aca="false">IFERROR((T14-N14)/(T13-N13),"")</f>
        <v>-0.258064516129032</v>
      </c>
      <c r="U22" s="36" t="n">
        <f aca="false">IFERROR((U14-O14)/(U13-O13),"")</f>
        <v>-0.0571428571428571</v>
      </c>
      <c r="V22" s="36" t="n">
        <f aca="false">IFERROR((V14-P14)/(V13-P13),"")</f>
        <v>1.5</v>
      </c>
      <c r="W22" s="36" t="n">
        <f aca="false">IFERROR((W14-Q14)/(W13-Q13),"")</f>
        <v>-0.68</v>
      </c>
      <c r="X22" s="36" t="n">
        <f aca="false">IFERROR((X14-R14)/(X13-R13),"")</f>
        <v>0.0792079207920792</v>
      </c>
      <c r="Y22" s="36" t="n">
        <f aca="false">IFERROR((Y14-S14)/(Y13-S13),"")</f>
        <v>0.147540983606557</v>
      </c>
      <c r="Z22" s="36" t="n">
        <f aca="false">IFERROR((Z14-T14)/(Z13-T13),"")</f>
        <v>0</v>
      </c>
      <c r="AA22" s="36" t="n">
        <f aca="false">IFERROR((AA14-U14)/(AA13-U13),"")</f>
        <v>18</v>
      </c>
      <c r="AB22" s="36" t="n">
        <f aca="false">IFERROR((AB14-V14)/(AB13-V13),"")</f>
        <v>2</v>
      </c>
      <c r="AC22" s="36" t="n">
        <f aca="false">IFERROR((AC14-W14)/(AC13-W13),"")</f>
        <v>4</v>
      </c>
      <c r="AD22" s="36" t="n">
        <f aca="false">IFERROR((AD14-X14)/(AD13-X13),"")</f>
        <v>0.446808510638298</v>
      </c>
      <c r="AE22" s="36" t="n">
        <f aca="false">IFERROR((AE14-Y14)/(AE13-Y13),"")</f>
        <v>-8.33333333333333</v>
      </c>
      <c r="AF22" s="36" t="n">
        <f aca="false">IFERROR((AF14-Z14)/(AF13-Z13),"")</f>
        <v>1.5</v>
      </c>
      <c r="AG22" s="36" t="n">
        <f aca="false">IFERROR((AG14-AA14)/(AG13-AA13),"")</f>
        <v>0.488888888888889</v>
      </c>
      <c r="AH22" s="36" t="str">
        <f aca="false">IFERROR((AH14-AB14)/(AH13-AB13),"")</f>
        <v/>
      </c>
      <c r="AI22" s="36" t="n">
        <f aca="false">IFERROR((AI14-AC14)/(AI13-AC13),"")</f>
        <v>0.177777777777778</v>
      </c>
      <c r="AJ22" s="36" t="n">
        <f aca="false">IFERROR((AJ14-AD14)/(AJ13-AD13),"")</f>
        <v>0.0357142857142857</v>
      </c>
      <c r="AK22" s="36" t="n">
        <f aca="false">IFERROR((AK14-AE14)/(AK13-AE13),"")</f>
        <v>0.74</v>
      </c>
      <c r="AL22" s="36" t="n">
        <f aca="false">IFERROR((AL14-AF14)/(AL13-AF13),"")</f>
        <v>0.373983739837398</v>
      </c>
      <c r="AM22" s="36" t="n">
        <f aca="false">IFERROR((AM14-AG14)/(AM13-AG13),"")</f>
        <v>1.15</v>
      </c>
      <c r="AN22" s="36" t="n">
        <f aca="false">IFERROR((AN14-AH14)/(AN13-AH13),"")</f>
        <v>0.520833333333333</v>
      </c>
      <c r="AO22" s="36" t="n">
        <f aca="false">IFERROR((AO14-AI14)/(AO13-AI13),"")</f>
        <v>0.705882352941177</v>
      </c>
      <c r="AP22" s="36" t="n">
        <f aca="false">IFERROR((AP14-AJ14)/(AP13-AJ13),"")</f>
        <v>-0</v>
      </c>
      <c r="AQ22" s="36" t="n">
        <f aca="false">IFERROR((AQ14-AK14)/(AQ13-AK13),"")</f>
        <v>0.280701754385965</v>
      </c>
      <c r="AR22" s="36" t="n">
        <f aca="false">IFERROR((AR14-AL14)/(AR13-AL13),"")</f>
        <v>-0</v>
      </c>
      <c r="AS22" s="36" t="n">
        <f aca="false">IFERROR((AS14-AM14)/(AS13-AM13),"")</f>
        <v>0.277777777777778</v>
      </c>
      <c r="AT22" s="36" t="n">
        <f aca="false">IFERROR((AT14-AN14)/(AT13-AN13),"")</f>
        <v>-2.16666666666667</v>
      </c>
      <c r="AU22" s="36" t="n">
        <f aca="false">IFERROR((AU14-AO14)/(AU13-AO13),"")</f>
        <v>-0.7</v>
      </c>
      <c r="AV22" s="36" t="n">
        <f aca="false">IFERROR((AV14-AP14)/(AV13-AP13),"")</f>
        <v>2.4</v>
      </c>
      <c r="AW22" s="36" t="n">
        <f aca="false">IFERROR((AW14-AQ14)/(AW13-AQ13),"")</f>
        <v>0.025974025974026</v>
      </c>
      <c r="AX22" s="36" t="n">
        <f aca="false">IFERROR((AX14-AR14)/(AX13-AR13),"")</f>
        <v>0.261904761904762</v>
      </c>
      <c r="AY22" s="36" t="n">
        <f aca="false">IFERROR((AY14-AS14)/(AY13-AS13),"")</f>
        <v>0.574074074074074</v>
      </c>
      <c r="AZ22" s="36" t="n">
        <f aca="false">IFERROR((AZ14-AT14)/(AZ13-AT13),"")</f>
        <v>-6.83333333333333</v>
      </c>
      <c r="BA22" s="36" t="n">
        <f aca="false">IFERROR((BA14-AU14)/(BA13-AU13),"")</f>
        <v>1.5</v>
      </c>
      <c r="BB22" s="36" t="n">
        <f aca="false">IFERROR((BB14-AV14)/(BB13-AV13),"")</f>
        <v>0.261363636363636</v>
      </c>
      <c r="BC22" s="36" t="n">
        <f aca="false">IFERROR((BC14-AW14)/(BC13-AW13),"")</f>
        <v>0.838028169014085</v>
      </c>
      <c r="BD22" s="36" t="n">
        <f aca="false">IFERROR((BD14-AX14)/(BD13-AX13),"")</f>
        <v>0.384615384615385</v>
      </c>
      <c r="BE22" s="36" t="n">
        <f aca="false">IFERROR((BE14-AY14)/(BE13-AY13),"")</f>
        <v>0.0641025641025641</v>
      </c>
      <c r="BF22" s="36" t="n">
        <f aca="false">IFERROR((BF14-AZ14)/(BF13-AZ13),"")</f>
        <v>-0.1875</v>
      </c>
      <c r="BG22" s="36" t="n">
        <f aca="false">IFERROR((BG14-BA14)/(BG13-BA13),"")</f>
        <v>-0.0317460317460317</v>
      </c>
      <c r="BH22" s="36" t="n">
        <f aca="false">IFERROR((BH14-BB14)/(BH13-BB13),"")</f>
        <v>0.51063829787234</v>
      </c>
      <c r="BI22" s="36" t="n">
        <f aca="false">IFERROR((BI14-BC14)/(BI13-BC13),"")</f>
        <v>1.921875</v>
      </c>
      <c r="BJ22" s="36" t="n">
        <f aca="false">IFERROR((BJ14-BD14)/(BJ13-BD13),"")</f>
        <v>-10.0666666666667</v>
      </c>
      <c r="BK22" s="36" t="n">
        <f aca="false">IFERROR((BK14-BE14)/(BK13-BE13),"")</f>
        <v>0.777777777777778</v>
      </c>
      <c r="BL22" s="36" t="n">
        <f aca="false">IFERROR((BL14-BF14)/(BL13-BF13),"")</f>
        <v>-0.166666666666667</v>
      </c>
      <c r="BM22" s="36" t="n">
        <f aca="false">IFERROR((BM14-BG14)/(BM13-BG13),"")</f>
        <v>2.66666666666667</v>
      </c>
      <c r="BN22" s="36" t="n">
        <f aca="false">IFERROR((BN14-BH14)/(BN13-BH13),"")</f>
        <v>0.0975609756097561</v>
      </c>
      <c r="BO22" s="36" t="n">
        <f aca="false">IFERROR((BO14-BI14)/(BO13-BI13),"")</f>
        <v>0.143790849673203</v>
      </c>
      <c r="BP22" s="36" t="n">
        <f aca="false">IFERROR((BP14-BJ14)/(BP13-BJ13),"")</f>
        <v>0.0707395498392283</v>
      </c>
      <c r="BQ22" s="36" t="n">
        <f aca="false">IFERROR((BQ14-BK14)/(BQ13-BK13),"")</f>
        <v>0.0340909090909091</v>
      </c>
      <c r="BR22" s="36" t="n">
        <f aca="false">IFERROR((BR14-BL14)/(BR13-BL13),"")</f>
        <v>0.0330578512396694</v>
      </c>
      <c r="BS22" s="36" t="n">
        <f aca="false">IFERROR((BS14-BM14)/(BS13-BM13),"")</f>
        <v>0.0334928229665072</v>
      </c>
      <c r="BT22" s="38" t="n">
        <f aca="false">IFERROR((BT14-BN14)/(BT13-BN13),"")</f>
        <v>0.263013082012639</v>
      </c>
      <c r="BU22" s="38" t="n">
        <f aca="false">IFERROR((BU14-BO14)/(BU13-BO13),"")</f>
        <v>0.10702114323337</v>
      </c>
      <c r="BV22" s="38" t="n">
        <f aca="false">IFERROR((BV14-BP14)/(BV13-BP13),"")</f>
        <v>-0.07685511410436</v>
      </c>
      <c r="BW22" s="38" t="n">
        <f aca="false">IFERROR((BW14-BV14)/(BW13-BV13),"")</f>
        <v>0.101335879716359</v>
      </c>
      <c r="BX22" s="38" t="n">
        <f aca="false">IFERROR((BX14-BW14)/(BX13-BW13),"")</f>
        <v>0.120454545454545</v>
      </c>
      <c r="BY22" s="38" t="n">
        <f aca="false">IFERROR((BY14-BX14)/(BY13-BX13),"")</f>
        <v>0.1275</v>
      </c>
      <c r="BZ22" s="38" t="n">
        <f aca="false">IFERROR((BZ14-BY14)/(BZ13-BY13),"")</f>
        <v>0.135555555555556</v>
      </c>
      <c r="CA22" s="16"/>
      <c r="CC22" s="5"/>
      <c r="CD22" s="5"/>
      <c r="CE22" s="5"/>
      <c r="CH22" s="24" t="s">
        <v>119</v>
      </c>
      <c r="CJ22" s="25" t="n">
        <v>213</v>
      </c>
    </row>
    <row r="23" customFormat="false" ht="15" hidden="false" customHeight="false" outlineLevel="0" collapsed="false">
      <c r="B23" s="20" t="s">
        <v>120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H23" s="24" t="s">
        <v>121</v>
      </c>
      <c r="CJ23" s="41" t="n">
        <v>0.17</v>
      </c>
    </row>
    <row r="24" customFormat="false" ht="15" hidden="false" customHeight="false" outlineLevel="0" collapsed="false">
      <c r="B24" s="1" t="s">
        <v>122</v>
      </c>
      <c r="C24" s="23" t="n">
        <v>6356</v>
      </c>
      <c r="D24" s="23" t="n">
        <v>5842</v>
      </c>
      <c r="E24" s="2" t="n">
        <f aca="false">D24</f>
        <v>5842</v>
      </c>
      <c r="F24" s="23" t="n">
        <v>5458</v>
      </c>
      <c r="G24" s="23" t="n">
        <v>5153</v>
      </c>
      <c r="H24" s="2" t="n">
        <f aca="false">G24</f>
        <v>5153</v>
      </c>
      <c r="I24" s="23" t="n">
        <v>5327</v>
      </c>
      <c r="J24" s="23" t="n">
        <v>5088</v>
      </c>
      <c r="K24" s="2" t="n">
        <f aca="false">J24</f>
        <v>5088</v>
      </c>
      <c r="L24" s="23" t="n">
        <v>4834</v>
      </c>
      <c r="M24" s="23" t="n">
        <v>6033</v>
      </c>
      <c r="N24" s="2" t="n">
        <f aca="false">M24</f>
        <v>6033</v>
      </c>
      <c r="O24" s="23" t="n">
        <v>5593</v>
      </c>
      <c r="P24" s="23" t="n">
        <v>6894</v>
      </c>
      <c r="Q24" s="2" t="n">
        <f aca="false">P24</f>
        <v>6894</v>
      </c>
      <c r="R24" s="23" t="n">
        <v>6472</v>
      </c>
      <c r="S24" s="23" t="n">
        <v>5920</v>
      </c>
      <c r="T24" s="2" t="n">
        <f aca="false">S24</f>
        <v>5920</v>
      </c>
      <c r="U24" s="23" t="n">
        <v>7090</v>
      </c>
      <c r="V24" s="23" t="n">
        <v>6564</v>
      </c>
      <c r="W24" s="2" t="n">
        <f aca="false">V24</f>
        <v>6564</v>
      </c>
      <c r="X24" s="23" t="n">
        <v>8694</v>
      </c>
      <c r="Y24" s="23" t="n">
        <v>9943</v>
      </c>
      <c r="Z24" s="2" t="n">
        <f aca="false">Y24</f>
        <v>9943</v>
      </c>
      <c r="AA24" s="23" t="n">
        <v>10825</v>
      </c>
      <c r="AB24" s="23" t="n">
        <v>10340</v>
      </c>
      <c r="AC24" s="2" t="n">
        <f aca="false">AB24</f>
        <v>10340</v>
      </c>
      <c r="AD24" s="23" t="n">
        <v>9712</v>
      </c>
      <c r="AE24" s="23" t="n">
        <v>9062</v>
      </c>
      <c r="AF24" s="2" t="n">
        <f aca="false">AE24</f>
        <v>9062</v>
      </c>
      <c r="AG24" s="23" t="n">
        <v>9457</v>
      </c>
      <c r="AH24" s="23" t="n">
        <v>10085</v>
      </c>
      <c r="AI24" s="2" t="n">
        <f aca="false">AH24</f>
        <v>10085</v>
      </c>
      <c r="AJ24" s="23" t="n">
        <v>11186</v>
      </c>
      <c r="AK24" s="23" t="n">
        <v>10443</v>
      </c>
      <c r="AL24" s="2" t="n">
        <f aca="false">AK24</f>
        <v>10443</v>
      </c>
      <c r="AM24" s="23" t="n">
        <v>10516</v>
      </c>
      <c r="AN24" s="23" t="n">
        <v>11077</v>
      </c>
      <c r="AO24" s="2" t="n">
        <f aca="false">AN24</f>
        <v>11077</v>
      </c>
      <c r="AP24" s="23" t="n">
        <v>10561</v>
      </c>
      <c r="AQ24" s="23" t="n">
        <v>10216</v>
      </c>
      <c r="AR24" s="2" t="n">
        <f aca="false">AQ24</f>
        <v>10216</v>
      </c>
      <c r="AS24" s="23" t="n">
        <v>10515</v>
      </c>
      <c r="AT24" s="23" t="n">
        <v>10208</v>
      </c>
      <c r="AU24" s="2" t="n">
        <f aca="false">AT24</f>
        <v>10208</v>
      </c>
      <c r="AV24" s="23" t="n">
        <v>9698</v>
      </c>
      <c r="AW24" s="23" t="n">
        <v>9231</v>
      </c>
      <c r="AX24" s="2" t="n">
        <f aca="false">AW24</f>
        <v>9231</v>
      </c>
      <c r="AY24" s="23" t="n">
        <v>10852</v>
      </c>
      <c r="AZ24" s="23" t="n">
        <v>10345</v>
      </c>
      <c r="BA24" s="2" t="n">
        <f aca="false">AZ24</f>
        <v>10345</v>
      </c>
      <c r="BB24" s="23" t="n">
        <v>13100</v>
      </c>
      <c r="BC24" s="23" t="n">
        <v>12546</v>
      </c>
      <c r="BD24" s="2" t="n">
        <f aca="false">BC24</f>
        <v>12546</v>
      </c>
      <c r="BE24" s="23" t="n">
        <v>13133</v>
      </c>
      <c r="BF24" s="23" t="n">
        <v>13917</v>
      </c>
      <c r="BG24" s="2" t="n">
        <f aca="false">BF24</f>
        <v>13917</v>
      </c>
      <c r="BH24" s="23" t="n">
        <v>14143</v>
      </c>
      <c r="BI24" s="23" t="n">
        <v>13519</v>
      </c>
      <c r="BJ24" s="2" t="n">
        <f aca="false">BI24</f>
        <v>13519</v>
      </c>
      <c r="BK24" s="23" t="n">
        <v>12993</v>
      </c>
      <c r="BL24" s="23" t="n">
        <v>15783</v>
      </c>
      <c r="BM24" s="2" t="n">
        <f aca="false">BL24</f>
        <v>15783</v>
      </c>
      <c r="BN24" s="23" t="n">
        <v>15640</v>
      </c>
      <c r="BO24" s="23" t="n">
        <v>14925</v>
      </c>
      <c r="BP24" s="2" t="n">
        <f aca="false">BO24</f>
        <v>14925</v>
      </c>
      <c r="BQ24" s="23" t="n">
        <v>15775</v>
      </c>
      <c r="BR24" s="23" t="n">
        <v>16883</v>
      </c>
      <c r="BS24" s="2" t="n">
        <f aca="false">BR24</f>
        <v>16883</v>
      </c>
      <c r="BT24" s="3"/>
      <c r="BU24" s="3"/>
      <c r="BV24" s="3"/>
      <c r="BW24" s="3"/>
      <c r="BX24" s="3"/>
      <c r="BY24" s="3"/>
      <c r="BZ24" s="3"/>
      <c r="CA24" s="16"/>
      <c r="CC24" s="5"/>
      <c r="CD24" s="5"/>
      <c r="CE24" s="5"/>
      <c r="CH24" s="24" t="s">
        <v>123</v>
      </c>
      <c r="CJ24" s="25" t="n">
        <v>330</v>
      </c>
    </row>
    <row r="25" customFormat="false" ht="15" hidden="false" customHeight="false" outlineLevel="0" collapsed="false">
      <c r="B25" s="1" t="s">
        <v>124</v>
      </c>
      <c r="C25" s="23" t="n">
        <v>1287</v>
      </c>
      <c r="D25" s="23" t="n">
        <v>1294</v>
      </c>
      <c r="E25" s="2" t="n">
        <f aca="false">D25</f>
        <v>1294</v>
      </c>
      <c r="F25" s="23" t="n">
        <v>1303</v>
      </c>
      <c r="G25" s="23" t="n">
        <v>1290</v>
      </c>
      <c r="H25" s="2" t="n">
        <f aca="false">G25</f>
        <v>1290</v>
      </c>
      <c r="I25" s="23" t="n">
        <v>720</v>
      </c>
      <c r="J25" s="23" t="n">
        <v>695</v>
      </c>
      <c r="K25" s="2" t="n">
        <f aca="false">J25</f>
        <v>695</v>
      </c>
      <c r="L25" s="23" t="n">
        <v>791</v>
      </c>
      <c r="M25" s="23" t="n">
        <v>692</v>
      </c>
      <c r="N25" s="2" t="n">
        <f aca="false">M25</f>
        <v>692</v>
      </c>
      <c r="O25" s="23" t="n">
        <v>679</v>
      </c>
      <c r="P25" s="23" t="n">
        <v>1699</v>
      </c>
      <c r="Q25" s="2" t="n">
        <f aca="false">P25</f>
        <v>1699</v>
      </c>
      <c r="R25" s="23" t="n">
        <v>1627</v>
      </c>
      <c r="S25" s="23" t="n">
        <v>2071</v>
      </c>
      <c r="T25" s="2" t="n">
        <f aca="false">S25</f>
        <v>2071</v>
      </c>
      <c r="U25" s="23" t="n">
        <v>2155</v>
      </c>
      <c r="V25" s="23" t="n">
        <v>2165</v>
      </c>
      <c r="W25" s="2" t="n">
        <f aca="false">V25</f>
        <v>2165</v>
      </c>
      <c r="X25" s="23" t="n">
        <v>1261</v>
      </c>
      <c r="Y25" s="23" t="n">
        <v>1422</v>
      </c>
      <c r="Z25" s="2" t="n">
        <f aca="false">Y25</f>
        <v>1422</v>
      </c>
      <c r="AA25" s="23" t="n">
        <v>1541</v>
      </c>
      <c r="AB25" s="23" t="n">
        <v>1626</v>
      </c>
      <c r="AC25" s="2" t="n">
        <f aca="false">AB25</f>
        <v>1626</v>
      </c>
      <c r="AD25" s="23" t="n">
        <v>1677</v>
      </c>
      <c r="AE25" s="23" t="n">
        <v>1693</v>
      </c>
      <c r="AF25" s="2" t="n">
        <f aca="false">AE25</f>
        <v>1693</v>
      </c>
      <c r="AG25" s="23" t="n">
        <v>1510</v>
      </c>
      <c r="AH25" s="23" t="n">
        <v>2216</v>
      </c>
      <c r="AI25" s="2" t="n">
        <f aca="false">AH25</f>
        <v>2216</v>
      </c>
      <c r="AJ25" s="23" t="n">
        <v>1792</v>
      </c>
      <c r="AK25" s="23" t="n">
        <v>1758</v>
      </c>
      <c r="AL25" s="2" t="n">
        <f aca="false">AK25</f>
        <v>1758</v>
      </c>
      <c r="AM25" s="23" t="n">
        <v>1687</v>
      </c>
      <c r="AN25" s="23" t="n">
        <v>660</v>
      </c>
      <c r="AO25" s="2" t="n">
        <f aca="false">AN25</f>
        <v>660</v>
      </c>
      <c r="AP25" s="23" t="n">
        <v>661</v>
      </c>
      <c r="AQ25" s="23" t="n">
        <v>792</v>
      </c>
      <c r="AR25" s="2" t="n">
        <f aca="false">AQ25</f>
        <v>792</v>
      </c>
      <c r="AS25" s="23" t="n">
        <v>815</v>
      </c>
      <c r="AT25" s="23" t="n">
        <v>940</v>
      </c>
      <c r="AU25" s="2" t="n">
        <f aca="false">AT25</f>
        <v>940</v>
      </c>
      <c r="AV25" s="23" t="n">
        <v>1028</v>
      </c>
      <c r="AW25" s="23" t="n">
        <v>3546</v>
      </c>
      <c r="AX25" s="2" t="n">
        <f aca="false">AW25</f>
        <v>3546</v>
      </c>
      <c r="AY25" s="23" t="n">
        <v>2786</v>
      </c>
      <c r="AZ25" s="23" t="n">
        <v>3157</v>
      </c>
      <c r="BA25" s="2" t="n">
        <f aca="false">AZ25</f>
        <v>3157</v>
      </c>
      <c r="BB25" s="23" t="n">
        <v>2968</v>
      </c>
      <c r="BC25" s="23" t="n">
        <v>3201</v>
      </c>
      <c r="BD25" s="2" t="n">
        <f aca="false">BC25</f>
        <v>3201</v>
      </c>
      <c r="BE25" s="23" t="n">
        <v>2059</v>
      </c>
      <c r="BF25" s="23" t="n">
        <v>2232</v>
      </c>
      <c r="BG25" s="2" t="n">
        <f aca="false">BF25</f>
        <v>2232</v>
      </c>
      <c r="BH25" s="23" t="n">
        <v>2244</v>
      </c>
      <c r="BI25" s="23" t="n">
        <v>2333</v>
      </c>
      <c r="BJ25" s="2" t="n">
        <f aca="false">BI25</f>
        <v>2333</v>
      </c>
      <c r="BK25" s="23" t="n">
        <v>2407</v>
      </c>
      <c r="BL25" s="23" t="n">
        <v>3308</v>
      </c>
      <c r="BM25" s="2" t="n">
        <f aca="false">BL25</f>
        <v>3308</v>
      </c>
      <c r="BN25" s="23" t="n">
        <v>2906</v>
      </c>
      <c r="BO25" s="23" t="n">
        <v>2856</v>
      </c>
      <c r="BP25" s="2" t="n">
        <f aca="false">BO25</f>
        <v>2856</v>
      </c>
      <c r="BQ25" s="23" t="n">
        <v>2477</v>
      </c>
      <c r="BR25" s="23" t="n">
        <v>2470</v>
      </c>
      <c r="BS25" s="2" t="n">
        <f aca="false">BR25</f>
        <v>2470</v>
      </c>
      <c r="BT25" s="3"/>
      <c r="BU25" s="3"/>
      <c r="BV25" s="3"/>
      <c r="BW25" s="3"/>
      <c r="BX25" s="3"/>
      <c r="BY25" s="3"/>
      <c r="BZ25" s="3"/>
      <c r="CA25" s="16"/>
      <c r="CC25" s="5"/>
      <c r="CD25" s="5"/>
      <c r="CE25" s="5"/>
      <c r="CH25" s="24" t="s">
        <v>125</v>
      </c>
      <c r="CJ25" s="41" t="n">
        <v>0.045</v>
      </c>
    </row>
    <row r="26" customFormat="false" ht="15" hidden="false" customHeight="false" outlineLevel="0" collapsed="false">
      <c r="B26" s="26" t="s">
        <v>126</v>
      </c>
      <c r="C26" s="28" t="n">
        <f aca="false">C24+C25</f>
        <v>7643</v>
      </c>
      <c r="D26" s="28" t="n">
        <f aca="false">D24+D25</f>
        <v>7136</v>
      </c>
      <c r="E26" s="28" t="n">
        <f aca="false">E24+E25</f>
        <v>7136</v>
      </c>
      <c r="F26" s="28" t="n">
        <f aca="false">F24+F25</f>
        <v>6761</v>
      </c>
      <c r="G26" s="28" t="n">
        <f aca="false">G24+G25</f>
        <v>6443</v>
      </c>
      <c r="H26" s="28" t="n">
        <f aca="false">H24+H25</f>
        <v>6443</v>
      </c>
      <c r="I26" s="28" t="n">
        <f aca="false">I24+I25</f>
        <v>6047</v>
      </c>
      <c r="J26" s="28" t="n">
        <f aca="false">J24+J25</f>
        <v>5783</v>
      </c>
      <c r="K26" s="28" t="n">
        <f aca="false">K24+K25</f>
        <v>5783</v>
      </c>
      <c r="L26" s="28" t="n">
        <f aca="false">L24+L25</f>
        <v>5625</v>
      </c>
      <c r="M26" s="28" t="n">
        <f aca="false">M24+M25</f>
        <v>6725</v>
      </c>
      <c r="N26" s="28" t="n">
        <f aca="false">N24+N25</f>
        <v>6725</v>
      </c>
      <c r="O26" s="28" t="n">
        <f aca="false">O24+O25</f>
        <v>6272</v>
      </c>
      <c r="P26" s="28" t="n">
        <f aca="false">P24+P25</f>
        <v>8593</v>
      </c>
      <c r="Q26" s="28" t="n">
        <f aca="false">Q24+Q25</f>
        <v>8593</v>
      </c>
      <c r="R26" s="28" t="n">
        <f aca="false">R24+R25</f>
        <v>8099</v>
      </c>
      <c r="S26" s="28" t="n">
        <f aca="false">S24+S25</f>
        <v>7991</v>
      </c>
      <c r="T26" s="28" t="n">
        <f aca="false">T24+T25</f>
        <v>7991</v>
      </c>
      <c r="U26" s="28" t="n">
        <f aca="false">U24+U25</f>
        <v>9245</v>
      </c>
      <c r="V26" s="28" t="n">
        <f aca="false">V24+V25</f>
        <v>8729</v>
      </c>
      <c r="W26" s="28" t="n">
        <f aca="false">W24+W25</f>
        <v>8729</v>
      </c>
      <c r="X26" s="28" t="n">
        <f aca="false">X24+X25</f>
        <v>9955</v>
      </c>
      <c r="Y26" s="28" t="n">
        <f aca="false">Y24+Y25</f>
        <v>11365</v>
      </c>
      <c r="Z26" s="28" t="n">
        <f aca="false">Z24+Z25</f>
        <v>11365</v>
      </c>
      <c r="AA26" s="28" t="n">
        <f aca="false">AA24+AA25</f>
        <v>12366</v>
      </c>
      <c r="AB26" s="28" t="n">
        <f aca="false">AB24+AB25</f>
        <v>11966</v>
      </c>
      <c r="AC26" s="28" t="n">
        <f aca="false">AC24+AC25</f>
        <v>11966</v>
      </c>
      <c r="AD26" s="28" t="n">
        <f aca="false">AD24+AD25</f>
        <v>11389</v>
      </c>
      <c r="AE26" s="28" t="n">
        <f aca="false">AE24+AE25</f>
        <v>10755</v>
      </c>
      <c r="AF26" s="28" t="n">
        <f aca="false">AF24+AF25</f>
        <v>10755</v>
      </c>
      <c r="AG26" s="28" t="n">
        <f aca="false">AG24+AG25</f>
        <v>10967</v>
      </c>
      <c r="AH26" s="28" t="n">
        <f aca="false">AH24+AH25</f>
        <v>12301</v>
      </c>
      <c r="AI26" s="28" t="n">
        <f aca="false">AI24+AI25</f>
        <v>12301</v>
      </c>
      <c r="AJ26" s="28" t="n">
        <f aca="false">AJ24+AJ25</f>
        <v>12978</v>
      </c>
      <c r="AK26" s="28" t="n">
        <f aca="false">AK24+AK25</f>
        <v>12201</v>
      </c>
      <c r="AL26" s="28" t="n">
        <f aca="false">AL24+AL25</f>
        <v>12201</v>
      </c>
      <c r="AM26" s="28" t="n">
        <f aca="false">AM24+AM25</f>
        <v>12203</v>
      </c>
      <c r="AN26" s="28" t="n">
        <f aca="false">AN24+AN25</f>
        <v>11737</v>
      </c>
      <c r="AO26" s="28" t="n">
        <f aca="false">AO24+AO25</f>
        <v>11737</v>
      </c>
      <c r="AP26" s="28" t="n">
        <f aca="false">AP24+AP25</f>
        <v>11222</v>
      </c>
      <c r="AQ26" s="28" t="n">
        <f aca="false">AQ24+AQ25</f>
        <v>11008</v>
      </c>
      <c r="AR26" s="28" t="n">
        <f aca="false">AR24+AR25</f>
        <v>11008</v>
      </c>
      <c r="AS26" s="28" t="n">
        <f aca="false">AS24+AS25</f>
        <v>11330</v>
      </c>
      <c r="AT26" s="28" t="n">
        <f aca="false">AT24+AT25</f>
        <v>11148</v>
      </c>
      <c r="AU26" s="28" t="n">
        <f aca="false">AU24+AU25</f>
        <v>11148</v>
      </c>
      <c r="AV26" s="28" t="n">
        <f aca="false">AV24+AV25</f>
        <v>10726</v>
      </c>
      <c r="AW26" s="28" t="n">
        <f aca="false">AW24+AW25</f>
        <v>12777</v>
      </c>
      <c r="AX26" s="28" t="n">
        <f aca="false">AX24+AX25</f>
        <v>12777</v>
      </c>
      <c r="AY26" s="28" t="n">
        <f aca="false">AY24+AY25</f>
        <v>13638</v>
      </c>
      <c r="AZ26" s="28" t="n">
        <f aca="false">AZ24+AZ25</f>
        <v>13502</v>
      </c>
      <c r="BA26" s="28" t="n">
        <f aca="false">BA24+BA25</f>
        <v>13502</v>
      </c>
      <c r="BB26" s="28" t="n">
        <f aca="false">BB24+BB25</f>
        <v>16068</v>
      </c>
      <c r="BC26" s="28" t="n">
        <f aca="false">BC24+BC25</f>
        <v>15747</v>
      </c>
      <c r="BD26" s="28" t="n">
        <f aca="false">BD24+BD25</f>
        <v>15747</v>
      </c>
      <c r="BE26" s="28" t="n">
        <f aca="false">BE24+BE25</f>
        <v>15192</v>
      </c>
      <c r="BF26" s="28" t="n">
        <f aca="false">BF24+BF25</f>
        <v>16149</v>
      </c>
      <c r="BG26" s="28" t="n">
        <f aca="false">BG24+BG25</f>
        <v>16149</v>
      </c>
      <c r="BH26" s="28" t="n">
        <f aca="false">BH24+BH25</f>
        <v>16387</v>
      </c>
      <c r="BI26" s="28" t="n">
        <f aca="false">BI24+BI25</f>
        <v>15852</v>
      </c>
      <c r="BJ26" s="28" t="n">
        <f aca="false">BJ24+BJ25</f>
        <v>15852</v>
      </c>
      <c r="BK26" s="28" t="n">
        <f aca="false">BK24+BK25</f>
        <v>15400</v>
      </c>
      <c r="BL26" s="28" t="n">
        <f aca="false">BL24+BL25</f>
        <v>19091</v>
      </c>
      <c r="BM26" s="28" t="n">
        <f aca="false">BM24+BM25</f>
        <v>19091</v>
      </c>
      <c r="BN26" s="28" t="n">
        <f aca="false">BN24+BN25</f>
        <v>18546</v>
      </c>
      <c r="BO26" s="28" t="n">
        <f aca="false">BO24+BO25</f>
        <v>17781</v>
      </c>
      <c r="BP26" s="28" t="n">
        <f aca="false">BP24+BP25</f>
        <v>17781</v>
      </c>
      <c r="BQ26" s="28" t="n">
        <f aca="false">BQ24+BQ25</f>
        <v>18252</v>
      </c>
      <c r="BR26" s="28" t="n">
        <f aca="false">BR24+BR25</f>
        <v>19353</v>
      </c>
      <c r="BS26" s="28" t="n">
        <f aca="false">BS24+BS25</f>
        <v>19353</v>
      </c>
      <c r="BT26" s="29" t="n">
        <f aca="false">BR26+BT27-BT13</f>
        <v>19353</v>
      </c>
      <c r="BU26" s="29" t="n">
        <f aca="false">BT26+BU27-BU13</f>
        <v>19353</v>
      </c>
      <c r="BV26" s="29" t="n">
        <f aca="false">BU26</f>
        <v>19353</v>
      </c>
      <c r="BW26" s="29" t="n">
        <f aca="false">BV26+BW27-BW13</f>
        <v>19353</v>
      </c>
      <c r="BX26" s="29" t="n">
        <f aca="false">BW26+BX27-BX13</f>
        <v>19353</v>
      </c>
      <c r="BY26" s="29" t="n">
        <f aca="false">BX26+BY27-BY13</f>
        <v>19353</v>
      </c>
      <c r="BZ26" s="29" t="n">
        <f aca="false">BY26+BZ27-BZ13</f>
        <v>19353</v>
      </c>
      <c r="CA26" s="16" t="s">
        <v>127</v>
      </c>
      <c r="CC26" s="30" t="n">
        <f aca="false">IFERROR((BZ26/BP26)^(1/5)-1,"n/m")</f>
        <v>0.017087748391778</v>
      </c>
      <c r="CD26" s="30" t="n">
        <f aca="false">IFERROR((BP26/AL26)^(1/5)-1,"n/m")</f>
        <v>0.0782318366331136</v>
      </c>
      <c r="CE26" s="30" t="n">
        <f aca="false">IFERROR((BP26/H26)^(1/10)-1,"n/m")</f>
        <v>0.106844993663891</v>
      </c>
    </row>
    <row r="27" customFormat="false" ht="15" hidden="false" customHeight="false" outlineLevel="0" collapsed="false">
      <c r="B27" s="1" t="s">
        <v>128</v>
      </c>
      <c r="C27" s="2"/>
      <c r="D27" s="2" t="n">
        <f aca="false">IF(AND(ISNUMBER(D26),ISNUMBER(C26)),D26-C26+D13,"")</f>
        <v>39</v>
      </c>
      <c r="E27" s="2" t="str">
        <f aca="false">IF(AND(ISNUMBER(C27),ISNUMBER(D27)),C27+D27,"")</f>
        <v/>
      </c>
      <c r="F27" s="2" t="n">
        <f aca="false">IF(AND(ISNUMBER(F26),ISNUMBER(D26)),F26-D26+F13,"")</f>
        <v>218</v>
      </c>
      <c r="G27" s="2" t="n">
        <f aca="false">IF(AND(ISNUMBER(G26),ISNUMBER(F26)),G26-F26+G13,"")</f>
        <v>262</v>
      </c>
      <c r="H27" s="2"/>
      <c r="I27" s="2" t="n">
        <f aca="false">IF(AND(ISNUMBER(I26),ISNUMBER(G26)),I26-G26+I13,"")</f>
        <v>190</v>
      </c>
      <c r="J27" s="2" t="n">
        <f aca="false">IF(AND(ISNUMBER(J26),ISNUMBER(I26)),J26-I26+J13,"")</f>
        <v>321</v>
      </c>
      <c r="K27" s="2" t="n">
        <f aca="false">IF(AND(ISNUMBER(I27),ISNUMBER(J27)),I27+J27,"")</f>
        <v>511</v>
      </c>
      <c r="L27" s="2" t="n">
        <f aca="false">IF(AND(ISNUMBER(L26),ISNUMBER(J26)),L26-J26+L13,"")</f>
        <v>419</v>
      </c>
      <c r="M27" s="2" t="n">
        <f aca="false">IF(AND(ISNUMBER(M26),ISNUMBER(L26)),M26-L26+M13,"")</f>
        <v>1741</v>
      </c>
      <c r="N27" s="2" t="n">
        <f aca="false">IF(AND(ISNUMBER(N26),ISNUMBER(H26)),N26-H26+N13,"")</f>
        <v>2671</v>
      </c>
      <c r="O27" s="2" t="n">
        <f aca="false">IF(AND(ISNUMBER(O26),ISNUMBER(M26)),O26-M26+O13,"")</f>
        <v>97</v>
      </c>
      <c r="P27" s="2" t="n">
        <f aca="false">IF(AND(ISNUMBER(P26),ISNUMBER(O26)),P26-O26+P13,"")</f>
        <v>2960</v>
      </c>
      <c r="Q27" s="2" t="n">
        <f aca="false">IF(AND(ISNUMBER(O27),ISNUMBER(P27)),O27+P27,"")</f>
        <v>3057</v>
      </c>
      <c r="R27" s="2" t="n">
        <f aca="false">IF(AND(ISNUMBER(R26),ISNUMBER(P26)),R26-P26+R13,"")</f>
        <v>99</v>
      </c>
      <c r="S27" s="2" t="n">
        <f aca="false">IF(AND(ISNUMBER(S26),ISNUMBER(R26)),S26-R26+S13,"")</f>
        <v>530</v>
      </c>
      <c r="T27" s="2" t="n">
        <f aca="false">IF(AND(ISNUMBER(T26),ISNUMBER(N26)),T26-N26+T13,"")</f>
        <v>3686</v>
      </c>
      <c r="U27" s="2" t="n">
        <f aca="false">IF(AND(ISNUMBER(U26),ISNUMBER(S26)),U26-S26+U13,"")</f>
        <v>1839</v>
      </c>
      <c r="V27" s="2" t="n">
        <f aca="false">IF(AND(ISNUMBER(V26),ISNUMBER(U26)),V26-U26+V13,"")</f>
        <v>113</v>
      </c>
      <c r="W27" s="2" t="n">
        <f aca="false">IF(AND(ISNUMBER(U27),ISNUMBER(V27)),U27+V27,"")</f>
        <v>1952</v>
      </c>
      <c r="X27" s="2" t="n">
        <f aca="false">IF(AND(ISNUMBER(X26),ISNUMBER(V26)),X26-V26+X13,"")</f>
        <v>1920</v>
      </c>
      <c r="Y27" s="2" t="n">
        <f aca="false">IF(AND(ISNUMBER(Y26),ISNUMBER(X26)),Y26-X26+Y13,"")</f>
        <v>2109</v>
      </c>
      <c r="Z27" s="2" t="n">
        <f aca="false">IF(AND(ISNUMBER(Z26),ISNUMBER(T26)),Z26-T26+Z13,"")</f>
        <v>5981</v>
      </c>
      <c r="AA27" s="2" t="n">
        <f aca="false">IF(AND(ISNUMBER(AA26),ISNUMBER(Y26)),AA26-Y26+AA13,"")</f>
        <v>1585</v>
      </c>
      <c r="AB27" s="2" t="n">
        <f aca="false">IF(AND(ISNUMBER(AB26),ISNUMBER(AA26)),AB26-AA26+AB13,"")</f>
        <v>222</v>
      </c>
      <c r="AC27" s="2" t="n">
        <f aca="false">IF(AND(ISNUMBER(AA27),ISNUMBER(AB27)),AA27+AB27,"")</f>
        <v>1807</v>
      </c>
      <c r="AD27" s="2" t="n">
        <f aca="false">IF(AND(ISNUMBER(AD26),ISNUMBER(AB26)),AD26-AB26+AD13,"")</f>
        <v>70</v>
      </c>
      <c r="AE27" s="2" t="n">
        <f aca="false">IF(AND(ISNUMBER(AE26),ISNUMBER(AD26)),AE26-AD26+AE13,"")</f>
        <v>68</v>
      </c>
      <c r="AF27" s="2" t="n">
        <f aca="false">IF(AND(ISNUMBER(AF26),ISNUMBER(Z26)),AF26-Z26+AF13,"")</f>
        <v>1945</v>
      </c>
      <c r="AG27" s="2" t="n">
        <f aca="false">IF(AND(ISNUMBER(AG26),ISNUMBER(AE26)),AG26-AE26+AG13,"")</f>
        <v>841</v>
      </c>
      <c r="AH27" s="2" t="n">
        <f aca="false">IF(AND(ISNUMBER(AH26),ISNUMBER(AG26)),AH26-AG26+AH13,"")</f>
        <v>1956</v>
      </c>
      <c r="AI27" s="2" t="n">
        <f aca="false">IF(AND(ISNUMBER(AG27),ISNUMBER(AH27)),AG27+AH27,"")</f>
        <v>2797</v>
      </c>
      <c r="AJ27" s="2" t="n">
        <f aca="false">IF(AND(ISNUMBER(AJ26),ISNUMBER(AH26)),AJ26-AH26+AJ13,"")</f>
        <v>1352</v>
      </c>
      <c r="AK27" s="2" t="n">
        <f aca="false">IF(AND(ISNUMBER(AK26),ISNUMBER(AJ26)),AK26-AJ26+AK13,"")</f>
        <v>-25</v>
      </c>
      <c r="AL27" s="2" t="n">
        <f aca="false">IF(AND(ISNUMBER(AL26),ISNUMBER(AF26)),AL26-AF26+AL13,"")</f>
        <v>4124</v>
      </c>
      <c r="AM27" s="2" t="n">
        <f aca="false">IF(AND(ISNUMBER(AM26),ISNUMBER(AK26)),AM26-AK26+AM13,"")</f>
        <v>651</v>
      </c>
      <c r="AN27" s="2" t="n">
        <f aca="false">IF(AND(ISNUMBER(AN26),ISNUMBER(AM26)),AN26-AM26+AN13,"")</f>
        <v>204</v>
      </c>
      <c r="AO27" s="2" t="n">
        <f aca="false">IF(AND(ISNUMBER(AM27),ISNUMBER(AN27)),AM27+AN27,"")</f>
        <v>855</v>
      </c>
      <c r="AP27" s="2" t="n">
        <f aca="false">IF(AND(ISNUMBER(AP26),ISNUMBER(AN26)),AP26-AN26+AP13,"")</f>
        <v>113</v>
      </c>
      <c r="AQ27" s="2" t="n">
        <f aca="false">IF(AND(ISNUMBER(AQ26),ISNUMBER(AP26)),AQ26-AP26+AQ13,"")</f>
        <v>367</v>
      </c>
      <c r="AR27" s="2" t="n">
        <f aca="false">IF(AND(ISNUMBER(AR26),ISNUMBER(AL26)),AR26-AL26+AR13,"")</f>
        <v>1335</v>
      </c>
      <c r="AS27" s="2" t="n">
        <f aca="false">IF(AND(ISNUMBER(AS26),ISNUMBER(AQ26)),AS26-AQ26+AS13,"")</f>
        <v>953</v>
      </c>
      <c r="AT27" s="2" t="n">
        <f aca="false">IF(AND(ISNUMBER(AT26),ISNUMBER(AS26)),AT26-AS26+AT13,"")</f>
        <v>476</v>
      </c>
      <c r="AU27" s="2" t="n">
        <f aca="false">IF(AND(ISNUMBER(AS27),ISNUMBER(AT27)),AS27+AT27,"")</f>
        <v>1429</v>
      </c>
      <c r="AV27" s="2" t="n">
        <f aca="false">IF(AND(ISNUMBER(AV26),ISNUMBER(AT26)),AV26-AT26+AV13,"")</f>
        <v>201</v>
      </c>
      <c r="AW27" s="2" t="n">
        <f aca="false">IF(AND(ISNUMBER(AW26),ISNUMBER(AV26)),AW26-AV26+AW13,"")</f>
        <v>2709</v>
      </c>
      <c r="AX27" s="2" t="n">
        <f aca="false">IF(AND(ISNUMBER(AX26),ISNUMBER(AR26)),AX26-AR26+AX13,"")</f>
        <v>4339</v>
      </c>
      <c r="AY27" s="2" t="n">
        <f aca="false">IF(AND(ISNUMBER(AY26),ISNUMBER(AW26)),AY26-AW26+AY13,"")</f>
        <v>1438</v>
      </c>
      <c r="AZ27" s="2" t="n">
        <f aca="false">IF(AND(ISNUMBER(AZ26),ISNUMBER(AY26)),AZ26-AY26+AZ13,"")</f>
        <v>528</v>
      </c>
      <c r="BA27" s="2" t="n">
        <f aca="false">IF(AND(ISNUMBER(AY27),ISNUMBER(AZ27)),AY27+AZ27,"")</f>
        <v>1966</v>
      </c>
      <c r="BB27" s="2" t="n">
        <f aca="false">IF(AND(ISNUMBER(BB26),ISNUMBER(AZ26)),BB26-AZ26+BB13,"")</f>
        <v>3277</v>
      </c>
      <c r="BC27" s="2" t="n">
        <f aca="false">IF(AND(ISNUMBER(BC26),ISNUMBER(BB26)),BC26-BB26+BC13,"")</f>
        <v>479</v>
      </c>
      <c r="BD27" s="2" t="n">
        <f aca="false">IF(AND(ISNUMBER(BD26),ISNUMBER(AX26)),BD26-AX26+BD13,"")</f>
        <v>5722</v>
      </c>
      <c r="BE27" s="2" t="n">
        <f aca="false">IF(AND(ISNUMBER(BE26),ISNUMBER(BC26)),BE26-BC26+BE13,"")</f>
        <v>100</v>
      </c>
      <c r="BF27" s="2" t="n">
        <f aca="false">IF(AND(ISNUMBER(BF26),ISNUMBER(BE26)),BF26-BE26+BF13,"")</f>
        <v>1669</v>
      </c>
      <c r="BG27" s="2" t="n">
        <f aca="false">IF(AND(ISNUMBER(BE27),ISNUMBER(BF27)),BE27+BF27,"")</f>
        <v>1769</v>
      </c>
      <c r="BH27" s="2" t="n">
        <f aca="false">IF(AND(ISNUMBER(BH26),ISNUMBER(BF26)),BH26-BF26+BH13,"")</f>
        <v>902</v>
      </c>
      <c r="BI27" s="2" t="n">
        <f aca="false">IF(AND(ISNUMBER(BI26),ISNUMBER(BH26)),BI26-BH26+BI13,"")</f>
        <v>201</v>
      </c>
      <c r="BJ27" s="2" t="n">
        <f aca="false">IF(AND(ISNUMBER(BJ26),ISNUMBER(BD26)),BJ26-BD26+BJ13,"")</f>
        <v>2872</v>
      </c>
      <c r="BK27" s="2" t="n">
        <f aca="false">IF(AND(ISNUMBER(BK26),ISNUMBER(BI26)),BK26-BI26+BK13,"")</f>
        <v>185</v>
      </c>
      <c r="BL27" s="2" t="n">
        <f aca="false">IF(AND(ISNUMBER(BL26),ISNUMBER(BK26)),BL26-BK26+BL13,"")</f>
        <v>4415</v>
      </c>
      <c r="BM27" s="2" t="n">
        <f aca="false">IF(AND(ISNUMBER(BK27),ISNUMBER(BL27)),BK27+BL27,"")</f>
        <v>4600</v>
      </c>
      <c r="BN27" s="2" t="n">
        <f aca="false">IF(AND(ISNUMBER(BN26),ISNUMBER(BL26)),BN26-BL26+BN13,"")</f>
        <v>283</v>
      </c>
      <c r="BO27" s="2" t="n">
        <f aca="false">IF(AND(ISNUMBER(BO26),ISNUMBER(BN26)),BO26-BN26+BO13,"")</f>
        <v>124</v>
      </c>
      <c r="BP27" s="2" t="n">
        <f aca="false">IF(AND(ISNUMBER(BP26),ISNUMBER(BJ26)),BP26-BJ26+BP13,"")</f>
        <v>5007</v>
      </c>
      <c r="BQ27" s="2" t="n">
        <f aca="false">IF(AND(ISNUMBER(BQ26),ISNUMBER(BO26)),BQ26-BO26+BQ13,"")</f>
        <v>1196</v>
      </c>
      <c r="BR27" s="2" t="n">
        <f aca="false">IF(AND(ISNUMBER(BR26),ISNUMBER(BQ26)),BR26-BQ26+BR13,"")</f>
        <v>1946</v>
      </c>
      <c r="BS27" s="2" t="n">
        <f aca="false">IF(AND(ISNUMBER(BQ27),ISNUMBER(BR27)),BQ27+BR27,"")</f>
        <v>3142</v>
      </c>
      <c r="BT27" s="3" t="n">
        <f aca="false">BT13*BT28</f>
        <v>805.381589299764</v>
      </c>
      <c r="BU27" s="3" t="n">
        <f aca="false">BU13*BU28</f>
        <v>805.381589299764</v>
      </c>
      <c r="BV27" s="3" t="n">
        <f aca="false">SUM(BQ27,BR27,BT27,BU27)</f>
        <v>4752.76317859953</v>
      </c>
      <c r="BW27" s="3" t="n">
        <f aca="false">BW13*BW28</f>
        <v>3371.6089693155</v>
      </c>
      <c r="BX27" s="3" t="n">
        <f aca="false">BX13*BX28</f>
        <v>3557.04746262785</v>
      </c>
      <c r="BY27" s="3" t="n">
        <f aca="false">BY13*BY28</f>
        <v>3734.89983575925</v>
      </c>
      <c r="BZ27" s="3" t="n">
        <f aca="false">BZ13*BZ28</f>
        <v>3902.97032836841</v>
      </c>
      <c r="CA27" s="16" t="s">
        <v>129</v>
      </c>
      <c r="CC27" s="5"/>
      <c r="CD27" s="5"/>
      <c r="CE27" s="5"/>
      <c r="CH27" s="21" t="s">
        <v>130</v>
      </c>
      <c r="CI27" s="42" t="n">
        <v>0.02</v>
      </c>
      <c r="CJ27" s="22" t="s">
        <v>131</v>
      </c>
      <c r="CK27" s="42" t="n">
        <v>-0.03</v>
      </c>
    </row>
    <row r="28" customFormat="false" ht="15" hidden="false" customHeight="false" outlineLevel="0" collapsed="false">
      <c r="B28" s="35" t="s">
        <v>132</v>
      </c>
      <c r="C28" s="43" t="str">
        <f aca="false">IF(ISNUMBER(C27),IFERROR(C27/C13,""),"")</f>
        <v/>
      </c>
      <c r="D28" s="43" t="n">
        <f aca="false">IF(ISNUMBER(D27),IFERROR(D27/D13,""),"")</f>
        <v>0.0714285714285714</v>
      </c>
      <c r="E28" s="43" t="str">
        <f aca="false">IF(ISNUMBER(E27),IFERROR(E27/E13,""),"")</f>
        <v/>
      </c>
      <c r="F28" s="43" t="n">
        <f aca="false">IF(ISNUMBER(F27),IFERROR(F27/F13,""),"")</f>
        <v>0.367622259696459</v>
      </c>
      <c r="G28" s="43" t="n">
        <f aca="false">IF(ISNUMBER(G27),IFERROR(G27/G13,""),"")</f>
        <v>0.451724137931035</v>
      </c>
      <c r="H28" s="43" t="str">
        <f aca="false">IF(ISNUMBER(H27),IFERROR(H27/H13,""),"")</f>
        <v/>
      </c>
      <c r="I28" s="43" t="n">
        <f aca="false">IF(ISNUMBER(I27),IFERROR(I27/I13,""),"")</f>
        <v>0.324232081911263</v>
      </c>
      <c r="J28" s="43" t="n">
        <f aca="false">IF(ISNUMBER(J27),IFERROR(J27/J13,""),"")</f>
        <v>0.548717948717949</v>
      </c>
      <c r="K28" s="43" t="n">
        <f aca="false">IF(ISNUMBER(K27),IFERROR(K27/K13,""),"")</f>
        <v>0.436379163108454</v>
      </c>
      <c r="L28" s="43" t="n">
        <f aca="false">IF(ISNUMBER(L27),IFERROR(L27/L13,""),"")</f>
        <v>0.726169844020797</v>
      </c>
      <c r="M28" s="43" t="n">
        <f aca="false">IF(ISNUMBER(M27),IFERROR(M27/M13,""),"")</f>
        <v>2.71606864274571</v>
      </c>
      <c r="N28" s="43" t="n">
        <f aca="false">IF(ISNUMBER(N27),IFERROR(N27/N13,""),"")</f>
        <v>1.11804102134784</v>
      </c>
      <c r="O28" s="43" t="n">
        <f aca="false">IF(ISNUMBER(O27),IFERROR(O27/O13,""),"")</f>
        <v>0.176363636363636</v>
      </c>
      <c r="P28" s="43" t="n">
        <f aca="false">IF(ISNUMBER(P27),IFERROR(P27/P13,""),"")</f>
        <v>4.63223787167449</v>
      </c>
      <c r="Q28" s="43" t="n">
        <f aca="false">IF(ISNUMBER(Q27),IFERROR(Q27/Q13,""),"")</f>
        <v>2.57106812447435</v>
      </c>
      <c r="R28" s="43" t="n">
        <f aca="false">IF(ISNUMBER(R27),IFERROR(R27/R13,""),"")</f>
        <v>0.166947723440135</v>
      </c>
      <c r="S28" s="43" t="n">
        <f aca="false">IF(ISNUMBER(S27),IFERROR(S27/S13,""),"")</f>
        <v>0.830721003134796</v>
      </c>
      <c r="T28" s="43" t="n">
        <f aca="false">IF(ISNUMBER(T27),IFERROR(T27/T13,""),"")</f>
        <v>1.52314049586777</v>
      </c>
      <c r="U28" s="43" t="n">
        <f aca="false">IF(ISNUMBER(U27),IFERROR(U27/U13,""),"")</f>
        <v>3.14358974358974</v>
      </c>
      <c r="V28" s="43" t="n">
        <f aca="false">IF(ISNUMBER(V27),IFERROR(V27/V13,""),"")</f>
        <v>0.179650238473768</v>
      </c>
      <c r="W28" s="43" t="n">
        <f aca="false">IF(ISNUMBER(W27),IFERROR(W27/W13,""),"")</f>
        <v>1.60790774299835</v>
      </c>
      <c r="X28" s="43" t="n">
        <f aca="false">IF(ISNUMBER(X27),IFERROR(X27/X13,""),"")</f>
        <v>2.76657060518732</v>
      </c>
      <c r="Y28" s="43" t="n">
        <f aca="false">IF(ISNUMBER(Y27),IFERROR(Y27/Y13,""),"")</f>
        <v>3.01716738197425</v>
      </c>
      <c r="Z28" s="43" t="n">
        <f aca="false">IF(ISNUMBER(Z27),IFERROR(Z27/Z13,""),"")</f>
        <v>2.29420790180284</v>
      </c>
      <c r="AA28" s="43" t="n">
        <f aca="false">IF(ISNUMBER(AA27),IFERROR(AA27/AA13,""),"")</f>
        <v>2.71404109589041</v>
      </c>
      <c r="AB28" s="43" t="n">
        <f aca="false">IF(ISNUMBER(AB27),IFERROR(AB27/AB13,""),"")</f>
        <v>0.356913183279743</v>
      </c>
      <c r="AC28" s="43" t="n">
        <f aca="false">IF(ISNUMBER(AC27),IFERROR(AC27/AC13,""),"")</f>
        <v>1.4983416252073</v>
      </c>
      <c r="AD28" s="43" t="n">
        <f aca="false">IF(ISNUMBER(AD27),IFERROR(AD27/AD13,""),"")</f>
        <v>0.108191653786708</v>
      </c>
      <c r="AE28" s="43" t="n">
        <f aca="false">IF(ISNUMBER(AE27),IFERROR(AE27/AE13,""),"")</f>
        <v>0.0968660968660969</v>
      </c>
      <c r="AF28" s="43" t="n">
        <f aca="false">IF(ISNUMBER(AF27),IFERROR(AF27/AF13,""),"")</f>
        <v>0.761252446183953</v>
      </c>
      <c r="AG28" s="43" t="n">
        <f aca="false">IF(ISNUMBER(AG27),IFERROR(AG27/AG13,""),"")</f>
        <v>1.33704292527822</v>
      </c>
      <c r="AH28" s="43" t="n">
        <f aca="false">IF(ISNUMBER(AH27),IFERROR(AH27/AH13,""),"")</f>
        <v>3.14469453376206</v>
      </c>
      <c r="AI28" s="43" t="n">
        <f aca="false">IF(ISNUMBER(AI27),IFERROR(AI27/AI13,""),"")</f>
        <v>2.23581135091926</v>
      </c>
      <c r="AJ28" s="43" t="n">
        <f aca="false">IF(ISNUMBER(AJ27),IFERROR(AJ27/AJ13,""),"")</f>
        <v>2.00296296296296</v>
      </c>
      <c r="AK28" s="43" t="n">
        <f aca="false">IF(ISNUMBER(AK27),IFERROR(AK27/AK13,""),"")</f>
        <v>-0.0332446808510638</v>
      </c>
      <c r="AL28" s="43" t="n">
        <f aca="false">IF(ISNUMBER(AL27),IFERROR(AL27/AL13,""),"")</f>
        <v>1.53995519044063</v>
      </c>
      <c r="AM28" s="43" t="n">
        <f aca="false">IF(ISNUMBER(AM27),IFERROR(AM27/AM13,""),"")</f>
        <v>1.00308166409861</v>
      </c>
      <c r="AN28" s="43" t="n">
        <f aca="false">IF(ISNUMBER(AN27),IFERROR(AN27/AN13,""),"")</f>
        <v>0.304477611940299</v>
      </c>
      <c r="AO28" s="43" t="n">
        <f aca="false">IF(ISNUMBER(AO27),IFERROR(AO27/AO13,""),"")</f>
        <v>0.648218347232752</v>
      </c>
      <c r="AP28" s="43" t="n">
        <f aca="false">IF(ISNUMBER(AP27),IFERROR(AP27/AP13,""),"")</f>
        <v>0.179936305732484</v>
      </c>
      <c r="AQ28" s="43" t="n">
        <f aca="false">IF(ISNUMBER(AQ27),IFERROR(AQ27/AQ13,""),"")</f>
        <v>0.631669535283993</v>
      </c>
      <c r="AR28" s="43" t="n">
        <f aca="false">IF(ISNUMBER(AR27),IFERROR(AR27/AR13,""),"")</f>
        <v>0.528085443037975</v>
      </c>
      <c r="AS28" s="43" t="n">
        <f aca="false">IF(ISNUMBER(AS27),IFERROR(AS27/AS13,""),"")</f>
        <v>1.51030110935024</v>
      </c>
      <c r="AT28" s="43" t="n">
        <f aca="false">IF(ISNUMBER(AT27),IFERROR(AT27/AT13,""),"")</f>
        <v>0.723404255319149</v>
      </c>
      <c r="AU28" s="43" t="n">
        <f aca="false">IF(ISNUMBER(AU27),IFERROR(AU27/AU13,""),"")</f>
        <v>1.10861132660978</v>
      </c>
      <c r="AV28" s="43" t="n">
        <f aca="false">IF(ISNUMBER(AV27),IFERROR(AV27/AV13,""),"")</f>
        <v>0.322632423756019</v>
      </c>
      <c r="AW28" s="43" t="n">
        <f aca="false">IF(ISNUMBER(AW27),IFERROR(AW27/AW13,""),"")</f>
        <v>4.11702127659575</v>
      </c>
      <c r="AX28" s="43" t="n">
        <f aca="false">IF(ISNUMBER(AX27),IFERROR(AX27/AX13,""),"")</f>
        <v>1.68832684824903</v>
      </c>
      <c r="AY28" s="43" t="n">
        <f aca="false">IF(ISNUMBER(AY27),IFERROR(AY27/AY13,""),"")</f>
        <v>2.49220103986135</v>
      </c>
      <c r="AZ28" s="43" t="n">
        <f aca="false">IF(ISNUMBER(AZ27),IFERROR(AZ27/AZ13,""),"")</f>
        <v>0.795180722891566</v>
      </c>
      <c r="BA28" s="43" t="n">
        <f aca="false">IF(ISNUMBER(BA27),IFERROR(BA27/BA13,""),"")</f>
        <v>1.58420628525383</v>
      </c>
      <c r="BB28" s="43" t="n">
        <f aca="false">IF(ISNUMBER(BB27),IFERROR(BB27/BB13,""),"")</f>
        <v>4.60900140646976</v>
      </c>
      <c r="BC28" s="43" t="n">
        <f aca="false">IF(ISNUMBER(BC27),IFERROR(BC27/BC13,""),"")</f>
        <v>0.59875</v>
      </c>
      <c r="BD28" s="43" t="n">
        <f aca="false">IF(ISNUMBER(BD27),IFERROR(BD27/BD13,""),"")</f>
        <v>2.07921511627907</v>
      </c>
      <c r="BE28" s="43" t="n">
        <f aca="false">IF(ISNUMBER(BE27),IFERROR(BE27/BE13,""),"")</f>
        <v>0.152671755725191</v>
      </c>
      <c r="BF28" s="43" t="n">
        <f aca="false">IF(ISNUMBER(BF27),IFERROR(BF27/BF13,""),"")</f>
        <v>2.34410112359551</v>
      </c>
      <c r="BG28" s="43" t="n">
        <f aca="false">IF(ISNUMBER(BG27),IFERROR(BG27/BG13,""),"")</f>
        <v>1.29407461594733</v>
      </c>
      <c r="BH28" s="43" t="n">
        <f aca="false">IF(ISNUMBER(BH27),IFERROR(BH27/BH13,""),"")</f>
        <v>1.35843373493976</v>
      </c>
      <c r="BI28" s="43" t="n">
        <f aca="false">IF(ISNUMBER(BI27),IFERROR(BI27/BI13,""),"")</f>
        <v>0.273097826086957</v>
      </c>
      <c r="BJ28" s="43" t="n">
        <f aca="false">IF(ISNUMBER(BJ27),IFERROR(BJ27/BJ13,""),"")</f>
        <v>1.03794723527286</v>
      </c>
      <c r="BK28" s="43" t="n">
        <f aca="false">IF(ISNUMBER(BK27),IFERROR(BK27/BK13,""),"")</f>
        <v>0.290423861852433</v>
      </c>
      <c r="BL28" s="43" t="n">
        <f aca="false">IF(ISNUMBER(BL27),IFERROR(BL27/BL13,""),"")</f>
        <v>6.09806629834254</v>
      </c>
      <c r="BM28" s="43" t="n">
        <f aca="false">IF(ISNUMBER(BM27),IFERROR(BM27/BM13,""),"")</f>
        <v>3.37986774430566</v>
      </c>
      <c r="BN28" s="43" t="n">
        <f aca="false">IF(ISNUMBER(BN27),IFERROR(BN27/BN13,""),"")</f>
        <v>0.341787439613527</v>
      </c>
      <c r="BO28" s="43" t="n">
        <f aca="false">IF(ISNUMBER(BO27),IFERROR(BO27/BO13,""),"")</f>
        <v>0.139482564679415</v>
      </c>
      <c r="BP28" s="43" t="n">
        <f aca="false">IF(ISNUMBER(BP27),IFERROR(BP27/BP13,""),"")</f>
        <v>1.62670565302144</v>
      </c>
      <c r="BQ28" s="43" t="n">
        <f aca="false">IF(ISNUMBER(BQ27),IFERROR(BQ27/BQ13,""),"")</f>
        <v>1.64965517241379</v>
      </c>
      <c r="BR28" s="43" t="n">
        <f aca="false">IF(ISNUMBER(BR27),IFERROR(BR27/BR13,""),"")</f>
        <v>2.30295857988166</v>
      </c>
      <c r="BS28" s="43" t="n">
        <f aca="false">IF(ISNUMBER(BS27),IFERROR(BS27/BS13,""),"")</f>
        <v>2.00127388535032</v>
      </c>
      <c r="BT28" s="44" t="n">
        <f aca="false">$BV$28</f>
        <v>1</v>
      </c>
      <c r="BU28" s="44" t="n">
        <f aca="false">$BV$28</f>
        <v>1</v>
      </c>
      <c r="BV28" s="45" t="n">
        <v>1</v>
      </c>
      <c r="BW28" s="45" t="n">
        <v>1</v>
      </c>
      <c r="BX28" s="45" t="n">
        <v>1</v>
      </c>
      <c r="BY28" s="45" t="n">
        <v>1</v>
      </c>
      <c r="BZ28" s="45" t="n">
        <v>1</v>
      </c>
      <c r="CA28" s="16" t="s">
        <v>133</v>
      </c>
      <c r="CC28" s="5"/>
      <c r="CD28" s="5"/>
      <c r="CE28" s="5"/>
      <c r="CH28" s="24" t="s">
        <v>134</v>
      </c>
      <c r="CI28" s="46" t="n">
        <f aca="false">CJ28+$CI$27</f>
        <v>0.08</v>
      </c>
      <c r="CJ28" s="41" t="n">
        <v>0.06</v>
      </c>
      <c r="CK28" s="46" t="n">
        <f aca="false">CJ28+$CK$27</f>
        <v>0.03</v>
      </c>
    </row>
    <row r="29" customFormat="false" ht="15" hidden="false" customHeight="false" outlineLevel="0" collapsed="false">
      <c r="B29" s="35" t="s">
        <v>135</v>
      </c>
      <c r="C29" s="47"/>
      <c r="D29" s="47"/>
      <c r="E29" s="47"/>
      <c r="F29" s="47"/>
      <c r="G29" s="47"/>
      <c r="H29" s="47" t="n">
        <f aca="false">IFERROR(H26/H13,"")</f>
        <v>2.94469835466179</v>
      </c>
      <c r="I29" s="47"/>
      <c r="J29" s="47"/>
      <c r="K29" s="47"/>
      <c r="L29" s="47"/>
      <c r="M29" s="47"/>
      <c r="N29" s="47" t="n">
        <f aca="false">IFERROR(N26/N13,"")</f>
        <v>2.81498534951863</v>
      </c>
      <c r="O29" s="47"/>
      <c r="P29" s="47"/>
      <c r="Q29" s="47"/>
      <c r="R29" s="47"/>
      <c r="S29" s="47"/>
      <c r="T29" s="47" t="n">
        <f aca="false">IFERROR(T26/T13,"")</f>
        <v>3.30206611570248</v>
      </c>
      <c r="U29" s="47"/>
      <c r="V29" s="47"/>
      <c r="W29" s="47"/>
      <c r="X29" s="47"/>
      <c r="Y29" s="47"/>
      <c r="Z29" s="47" t="n">
        <f aca="false">IFERROR(Z26/Z13,"")</f>
        <v>4.35941695435366</v>
      </c>
      <c r="AA29" s="47"/>
      <c r="AB29" s="47"/>
      <c r="AC29" s="47"/>
      <c r="AD29" s="47"/>
      <c r="AE29" s="47"/>
      <c r="AF29" s="47" t="n">
        <f aca="false">IFERROR(AF26/AF13,"")</f>
        <v>4.20939334637965</v>
      </c>
      <c r="AG29" s="47"/>
      <c r="AH29" s="47"/>
      <c r="AI29" s="47"/>
      <c r="AJ29" s="47"/>
      <c r="AK29" s="47"/>
      <c r="AL29" s="47" t="n">
        <f aca="false">IFERROR(AL26/AL13,"")</f>
        <v>4.55601194921583</v>
      </c>
      <c r="AM29" s="47"/>
      <c r="AN29" s="47"/>
      <c r="AO29" s="47"/>
      <c r="AP29" s="47"/>
      <c r="AQ29" s="47"/>
      <c r="AR29" s="47" t="n">
        <f aca="false">IFERROR(AR26/AR13,"")</f>
        <v>4.35443037974684</v>
      </c>
      <c r="AS29" s="47"/>
      <c r="AT29" s="47"/>
      <c r="AU29" s="47"/>
      <c r="AV29" s="47"/>
      <c r="AW29" s="47"/>
      <c r="AX29" s="47" t="n">
        <f aca="false">IFERROR(AX26/AX13,"")</f>
        <v>4.9715953307393</v>
      </c>
      <c r="AY29" s="47"/>
      <c r="AZ29" s="47"/>
      <c r="BA29" s="47"/>
      <c r="BB29" s="47"/>
      <c r="BC29" s="47"/>
      <c r="BD29" s="47" t="n">
        <f aca="false">IFERROR(BD26/BD13,"")</f>
        <v>5.72202034883721</v>
      </c>
      <c r="BE29" s="47"/>
      <c r="BF29" s="47"/>
      <c r="BG29" s="47"/>
      <c r="BH29" s="47"/>
      <c r="BI29" s="47"/>
      <c r="BJ29" s="47" t="n">
        <f aca="false">IFERROR(BJ26/BJ13,"")</f>
        <v>5.72894831947958</v>
      </c>
      <c r="BK29" s="47"/>
      <c r="BL29" s="47"/>
      <c r="BM29" s="47"/>
      <c r="BN29" s="47"/>
      <c r="BO29" s="47"/>
      <c r="BP29" s="47" t="n">
        <f aca="false">IFERROR(BP26/BP13,"")</f>
        <v>5.77680311890838</v>
      </c>
      <c r="BQ29" s="47"/>
      <c r="BR29" s="47"/>
      <c r="BS29" s="47"/>
      <c r="BT29" s="48"/>
      <c r="BU29" s="48"/>
      <c r="BV29" s="48" t="n">
        <f aca="false">IFERROR(BV26/BV13,"")</f>
        <v>6.08438884422732</v>
      </c>
      <c r="BW29" s="48" t="n">
        <f aca="false">IFERROR(BW26/BW13,"")</f>
        <v>5.73998947568615</v>
      </c>
      <c r="BX29" s="48" t="n">
        <f aca="false">IFERROR(BX26/BX13,"")</f>
        <v>5.44074831818593</v>
      </c>
      <c r="BY29" s="48" t="n">
        <f aca="false">IFERROR(BY26/BY13,"")</f>
        <v>5.18166506493898</v>
      </c>
      <c r="BZ29" s="48" t="n">
        <f aca="false">IFERROR(BZ26/BZ13,"")</f>
        <v>4.95853116262103</v>
      </c>
      <c r="CA29" s="16"/>
      <c r="CC29" s="5"/>
      <c r="CD29" s="5"/>
      <c r="CE29" s="5"/>
      <c r="CH29" s="24" t="s">
        <v>136</v>
      </c>
      <c r="CI29" s="46" t="n">
        <f aca="false">CJ29+$CI$27</f>
        <v>0.075</v>
      </c>
      <c r="CJ29" s="41" t="n">
        <v>0.055</v>
      </c>
      <c r="CK29" s="46" t="n">
        <f aca="false">CJ29+$CK$27</f>
        <v>0.025</v>
      </c>
    </row>
    <row r="30" customFormat="false" ht="15" hidden="false" customHeight="false" outlineLevel="0" collapsed="false">
      <c r="B30" s="20" t="s">
        <v>137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1" t="s">
        <v>138</v>
      </c>
      <c r="CH30" s="24" t="s">
        <v>139</v>
      </c>
      <c r="CI30" s="46" t="n">
        <f aca="false">CJ30+$CI$27</f>
        <v>0.07</v>
      </c>
      <c r="CJ30" s="41" t="n">
        <v>0.05</v>
      </c>
      <c r="CK30" s="46" t="n">
        <f aca="false">CJ30+$CK$27</f>
        <v>0.02</v>
      </c>
    </row>
    <row r="31" customFormat="false" ht="15" hidden="false" customHeight="false" outlineLevel="0" collapsed="false">
      <c r="B31" s="35" t="s">
        <v>140</v>
      </c>
      <c r="C31" s="36" t="n">
        <f aca="false">IFERROR(C12/C13,"n/d")</f>
        <v>0</v>
      </c>
      <c r="D31" s="36" t="n">
        <f aca="false">IFERROR(D12/D13,"n/d")</f>
        <v>0</v>
      </c>
      <c r="E31" s="36" t="n">
        <f aca="false">IFERROR(E12/E13,"n/d")</f>
        <v>0</v>
      </c>
      <c r="F31" s="36" t="n">
        <f aca="false">IFERROR(F12/F13,"n/d")</f>
        <v>0</v>
      </c>
      <c r="G31" s="36" t="n">
        <f aca="false">IFERROR(G12/G13,"n/d")</f>
        <v>0</v>
      </c>
      <c r="H31" s="36" t="n">
        <f aca="false">IFERROR(H12/H13,"n/d")</f>
        <v>0</v>
      </c>
      <c r="I31" s="36" t="n">
        <f aca="false">IFERROR(I12/I13,"n/d")</f>
        <v>0</v>
      </c>
      <c r="J31" s="36" t="n">
        <f aca="false">IFERROR(J12/J13,"n/d")</f>
        <v>0</v>
      </c>
      <c r="K31" s="36" t="n">
        <f aca="false">IFERROR(K12/K13,"n/d")</f>
        <v>0</v>
      </c>
      <c r="L31" s="36" t="n">
        <f aca="false">IFERROR(L12/L13,"n/d")</f>
        <v>0</v>
      </c>
      <c r="M31" s="36" t="n">
        <f aca="false">IFERROR(M12/M13,"n/d")</f>
        <v>0</v>
      </c>
      <c r="N31" s="36" t="n">
        <f aca="false">IFERROR(N12/N13,"n/d")</f>
        <v>0</v>
      </c>
      <c r="O31" s="36" t="n">
        <f aca="false">IFERROR(O12/O13,"n/d")</f>
        <v>0</v>
      </c>
      <c r="P31" s="36" t="n">
        <f aca="false">IFERROR(P12/P13,"n/d")</f>
        <v>0</v>
      </c>
      <c r="Q31" s="36" t="n">
        <f aca="false">IFERROR(Q12/Q13,"n/d")</f>
        <v>0</v>
      </c>
      <c r="R31" s="36" t="n">
        <f aca="false">IFERROR(R12/R13,"n/d")</f>
        <v>0</v>
      </c>
      <c r="S31" s="36" t="n">
        <f aca="false">IFERROR(S12/S13,"n/d")</f>
        <v>0</v>
      </c>
      <c r="T31" s="36" t="n">
        <f aca="false">IFERROR(T12/T13,"n/d")</f>
        <v>0</v>
      </c>
      <c r="U31" s="36" t="n">
        <f aca="false">IFERROR(U12/U13,"n/d")</f>
        <v>0</v>
      </c>
      <c r="V31" s="36" t="n">
        <f aca="false">IFERROR(V12/V13,"n/d")</f>
        <v>0</v>
      </c>
      <c r="W31" s="36" t="n">
        <f aca="false">IFERROR(W12/W13,"n/d")</f>
        <v>0</v>
      </c>
      <c r="X31" s="36" t="n">
        <f aca="false">IFERROR(X12/X13,"n/d")</f>
        <v>0.00288184438040346</v>
      </c>
      <c r="Y31" s="36" t="n">
        <f aca="false">IFERROR(Y12/Y13,"n/d")</f>
        <v>0</v>
      </c>
      <c r="Z31" s="36" t="n">
        <f aca="false">IFERROR(Z12/Z13,"n/d")</f>
        <v>0.000767165324127349</v>
      </c>
      <c r="AA31" s="36" t="n">
        <f aca="false">IFERROR(AA12/AA13,"n/d")</f>
        <v>0</v>
      </c>
      <c r="AB31" s="36" t="n">
        <f aca="false">IFERROR(AB12/AB13,"n/d")</f>
        <v>0.00160771704180064</v>
      </c>
      <c r="AC31" s="36" t="n">
        <f aca="false">IFERROR(AC12/AC13,"n/d")</f>
        <v>0.000829187396351576</v>
      </c>
      <c r="AD31" s="36" t="n">
        <f aca="false">IFERROR(AD12/AD13,"n/d")</f>
        <v>0.00154559505409583</v>
      </c>
      <c r="AE31" s="36" t="n">
        <f aca="false">IFERROR(AE12/AE13,"n/d")</f>
        <v>0.00142450142450142</v>
      </c>
      <c r="AF31" s="36" t="n">
        <f aca="false">IFERROR(AF12/AF13,"n/d")</f>
        <v>0.00117416829745597</v>
      </c>
      <c r="AG31" s="36" t="n">
        <f aca="false">IFERROR(AG12/AG13,"n/d")</f>
        <v>0.00158982511923688</v>
      </c>
      <c r="AH31" s="36" t="n">
        <f aca="false">IFERROR(AH12/AH13,"n/d")</f>
        <v>0.00160771704180064</v>
      </c>
      <c r="AI31" s="36" t="n">
        <f aca="false">IFERROR(AI12/AI13,"n/d")</f>
        <v>0.00159872102318145</v>
      </c>
      <c r="AJ31" s="36" t="n">
        <f aca="false">IFERROR(AJ12/AJ13,"n/d")</f>
        <v>0</v>
      </c>
      <c r="AK31" s="36" t="n">
        <f aca="false">IFERROR(AK12/AK13,"n/d")</f>
        <v>0.00265957446808511</v>
      </c>
      <c r="AL31" s="36" t="n">
        <f aca="false">IFERROR(AL12/AL13,"n/d")</f>
        <v>0.00149365197908887</v>
      </c>
      <c r="AM31" s="36" t="n">
        <f aca="false">IFERROR(AM12/AM13,"n/d")</f>
        <v>0.00462249614791988</v>
      </c>
      <c r="AN31" s="36" t="n">
        <f aca="false">IFERROR(AN12/AN13,"n/d")</f>
        <v>0.00746268656716418</v>
      </c>
      <c r="AO31" s="36" t="n">
        <f aca="false">IFERROR(AO12/AO13,"n/d")</f>
        <v>0.00606520090978014</v>
      </c>
      <c r="AP31" s="36" t="n">
        <f aca="false">IFERROR(AP12/AP13,"n/d")</f>
        <v>0.00636942675159236</v>
      </c>
      <c r="AQ31" s="36" t="n">
        <f aca="false">IFERROR(AQ12/AQ13,"n/d")</f>
        <v>0.00516351118760757</v>
      </c>
      <c r="AR31" s="36" t="n">
        <f aca="false">IFERROR(AR12/AR13,"n/d")</f>
        <v>0.00593354430379747</v>
      </c>
      <c r="AS31" s="36" t="n">
        <f aca="false">IFERROR(AS12/AS13,"n/d")</f>
        <v>0.00475435816164818</v>
      </c>
      <c r="AT31" s="36" t="n">
        <f aca="false">IFERROR(AT12/AT13,"n/d")</f>
        <v>0</v>
      </c>
      <c r="AU31" s="36" t="n">
        <f aca="false">IFERROR(AU12/AU13,"n/d")</f>
        <v>0.00232738557020946</v>
      </c>
      <c r="AV31" s="36" t="n">
        <f aca="false">IFERROR(AV12/AV13,"n/d")</f>
        <v>0.00802568218298555</v>
      </c>
      <c r="AW31" s="36" t="n">
        <f aca="false">IFERROR(AW12/AW13,"n/d")</f>
        <v>0.00303951367781155</v>
      </c>
      <c r="AX31" s="36" t="n">
        <f aca="false">IFERROR(AX12/AX13,"n/d")</f>
        <v>0.00466926070038911</v>
      </c>
      <c r="AY31" s="36" t="n">
        <f aca="false">IFERROR(AY12/AY13,"n/d")</f>
        <v>0.00346620450606586</v>
      </c>
      <c r="AZ31" s="36" t="n">
        <f aca="false">IFERROR(AZ12/AZ13,"n/d")</f>
        <v>0.00451807228915663</v>
      </c>
      <c r="BA31" s="36" t="n">
        <f aca="false">IFERROR(BA12/BA13,"n/d")</f>
        <v>0.0040290088638195</v>
      </c>
      <c r="BB31" s="36" t="n">
        <f aca="false">IFERROR(BB12/BB13,"n/d")</f>
        <v>0.00140646976090014</v>
      </c>
      <c r="BC31" s="36" t="n">
        <f aca="false">IFERROR(BC12/BC13,"n/d")</f>
        <v>0.00375</v>
      </c>
      <c r="BD31" s="36" t="n">
        <f aca="false">IFERROR(BD12/BD13,"n/d")</f>
        <v>0.0032703488372093</v>
      </c>
      <c r="BE31" s="36" t="n">
        <f aca="false">IFERROR(BE12/BE13,"n/d")</f>
        <v>0.00305343511450382</v>
      </c>
      <c r="BF31" s="36" t="n">
        <f aca="false">IFERROR(BF12/BF13,"n/d")</f>
        <v>0.00140449438202247</v>
      </c>
      <c r="BG31" s="36" t="n">
        <f aca="false">IFERROR(BG12/BG13,"n/d")</f>
        <v>0.0021945866861741</v>
      </c>
      <c r="BH31" s="36" t="n">
        <f aca="false">IFERROR(BH12/BH13,"n/d")</f>
        <v>0.00301204819277108</v>
      </c>
      <c r="BI31" s="36" t="n">
        <f aca="false">IFERROR(BI12/BI13,"n/d")</f>
        <v>0.00407608695652174</v>
      </c>
      <c r="BJ31" s="36" t="n">
        <f aca="false">IFERROR(BJ12/BJ13,"n/d")</f>
        <v>0.00289121792555114</v>
      </c>
      <c r="BK31" s="36" t="n">
        <f aca="false">IFERROR(BK12/BK13,"n/d")</f>
        <v>0.00627943485086342</v>
      </c>
      <c r="BL31" s="36" t="n">
        <f aca="false">IFERROR(BL12/BL13,"n/d")</f>
        <v>0.00414364640883978</v>
      </c>
      <c r="BM31" s="36" t="n">
        <f aca="false">IFERROR(BM12/BM13,"n/d")</f>
        <v>0.00514327700220426</v>
      </c>
      <c r="BN31" s="36" t="n">
        <f aca="false">IFERROR(BN12/BN13,"n/d")</f>
        <v>0.0036231884057971</v>
      </c>
      <c r="BO31" s="36" t="n">
        <f aca="false">IFERROR(BO12/BO13,"n/d")</f>
        <v>0.00224971878515186</v>
      </c>
      <c r="BP31" s="36" t="n">
        <f aca="false">IFERROR(BP12/BP13,"n/d")</f>
        <v>0.00389863547758285</v>
      </c>
      <c r="BQ31" s="36" t="n">
        <f aca="false">IFERROR(BQ12/BQ13,"n/d")</f>
        <v>0.00413793103448276</v>
      </c>
      <c r="BR31" s="36" t="n">
        <f aca="false">IFERROR(BR12/BR13,"n/d")</f>
        <v>0.00236686390532544</v>
      </c>
      <c r="BS31" s="36" t="n">
        <f aca="false">IFERROR(BS12/BS13,"n/d")</f>
        <v>0.00318471337579618</v>
      </c>
      <c r="BT31" s="38" t="n">
        <f aca="false">IFERROR(BT12/BT13,"")</f>
        <v>0.00310411863545778</v>
      </c>
      <c r="BU31" s="38" t="n">
        <f aca="false">IFERROR(BU12/BU13,"")</f>
        <v>0.00310411863545778</v>
      </c>
      <c r="BV31" s="38" t="n">
        <f aca="false">IFERROR(BV12/BV13,"")</f>
        <v>0.00314389957331025</v>
      </c>
      <c r="BW31" s="38" t="n">
        <f aca="false">$BP$31</f>
        <v>0.00389863547758285</v>
      </c>
      <c r="BX31" s="38" t="n">
        <f aca="false">$BP$31</f>
        <v>0.00389863547758285</v>
      </c>
      <c r="BY31" s="38" t="n">
        <f aca="false">$BP$31</f>
        <v>0.00389863547758285</v>
      </c>
      <c r="BZ31" s="38" t="n">
        <f aca="false">$BP$31</f>
        <v>0.00389863547758285</v>
      </c>
      <c r="CA31" s="16" t="s">
        <v>141</v>
      </c>
      <c r="CC31" s="5"/>
      <c r="CD31" s="5"/>
      <c r="CE31" s="5"/>
      <c r="CH31" s="24" t="s">
        <v>142</v>
      </c>
      <c r="CI31" s="46" t="n">
        <f aca="false">CJ31+$CI$27</f>
        <v>0.065</v>
      </c>
      <c r="CJ31" s="41" t="n">
        <v>0.045</v>
      </c>
      <c r="CK31" s="46" t="n">
        <f aca="false">CJ31+$CK$27</f>
        <v>0.015</v>
      </c>
    </row>
    <row r="32" customFormat="false" ht="15" hidden="false" customHeight="false" outlineLevel="0" collapsed="false">
      <c r="B32" s="35" t="s">
        <v>143</v>
      </c>
      <c r="C32" s="36" t="n">
        <f aca="false">IFERROR(C15/C13,"")</f>
        <v>0</v>
      </c>
      <c r="D32" s="36" t="n">
        <f aca="false">IFERROR(D15/D13,"")</f>
        <v>0</v>
      </c>
      <c r="E32" s="36" t="n">
        <f aca="false">IFERROR(E15/E13,"")</f>
        <v>0</v>
      </c>
      <c r="F32" s="36" t="n">
        <f aca="false">IFERROR(F15/F13,"")</f>
        <v>0</v>
      </c>
      <c r="G32" s="36" t="n">
        <f aca="false">IFERROR(G15/G13,"")</f>
        <v>0</v>
      </c>
      <c r="H32" s="36" t="n">
        <f aca="false">IFERROR(H15/H13,"")</f>
        <v>0.0297074954296161</v>
      </c>
      <c r="I32" s="36" t="n">
        <f aca="false">IFERROR(I15/I13,"")</f>
        <v>0</v>
      </c>
      <c r="J32" s="36" t="n">
        <f aca="false">IFERROR(J15/J13,"")</f>
        <v>0</v>
      </c>
      <c r="K32" s="36" t="n">
        <f aca="false">IFERROR(K15/K13,"")</f>
        <v>0</v>
      </c>
      <c r="L32" s="36" t="n">
        <f aca="false">IFERROR(L15/L13,"")</f>
        <v>0</v>
      </c>
      <c r="M32" s="36" t="n">
        <f aca="false">IFERROR(M15/M13,"")</f>
        <v>0</v>
      </c>
      <c r="N32" s="36" t="n">
        <f aca="false">IFERROR(N15/N13,"")</f>
        <v>0.0284637923817497</v>
      </c>
      <c r="O32" s="36" t="n">
        <f aca="false">IFERROR(O15/O13,"")</f>
        <v>0</v>
      </c>
      <c r="P32" s="36" t="n">
        <f aca="false">IFERROR(P15/P13,"")</f>
        <v>0</v>
      </c>
      <c r="Q32" s="36" t="n">
        <f aca="false">IFERROR(Q15/Q13,"")</f>
        <v>0</v>
      </c>
      <c r="R32" s="36" t="n">
        <f aca="false">IFERROR(R15/R13,"")</f>
        <v>0</v>
      </c>
      <c r="S32" s="36" t="n">
        <f aca="false">IFERROR(S15/S13,"")</f>
        <v>0</v>
      </c>
      <c r="T32" s="36" t="n">
        <f aca="false">IFERROR(T15/T13,"")</f>
        <v>0.0301652892561984</v>
      </c>
      <c r="U32" s="36" t="n">
        <f aca="false">IFERROR(U15/U13,"")</f>
        <v>0</v>
      </c>
      <c r="V32" s="36" t="n">
        <f aca="false">IFERROR(V15/V13,"")</f>
        <v>0</v>
      </c>
      <c r="W32" s="36" t="n">
        <f aca="false">IFERROR(W15/W13,"")</f>
        <v>0</v>
      </c>
      <c r="X32" s="36" t="n">
        <f aca="false">IFERROR(X15/X13,"")</f>
        <v>0</v>
      </c>
      <c r="Y32" s="36" t="n">
        <f aca="false">IFERROR(Y15/Y13,"")</f>
        <v>0</v>
      </c>
      <c r="Z32" s="36" t="n">
        <f aca="false">IFERROR(Z15/Z13,"")</f>
        <v>0.0264672036823936</v>
      </c>
      <c r="AA32" s="36" t="n">
        <f aca="false">IFERROR(AA15/AA13,"")</f>
        <v>0</v>
      </c>
      <c r="AB32" s="36" t="n">
        <f aca="false">IFERROR(AB15/AB13,"")</f>
        <v>0</v>
      </c>
      <c r="AC32" s="36" t="n">
        <f aca="false">IFERROR(AC15/AC13,"")</f>
        <v>0</v>
      </c>
      <c r="AD32" s="36" t="n">
        <f aca="false">IFERROR(AD15/AD13,"")</f>
        <v>0</v>
      </c>
      <c r="AE32" s="36" t="n">
        <f aca="false">IFERROR(AE15/AE13,"")</f>
        <v>0</v>
      </c>
      <c r="AF32" s="36" t="n">
        <f aca="false">IFERROR(AF15/AF13,"")</f>
        <v>0.0273972602739726</v>
      </c>
      <c r="AG32" s="36" t="n">
        <f aca="false">IFERROR(AG15/AG13,"")</f>
        <v>0</v>
      </c>
      <c r="AH32" s="36" t="n">
        <f aca="false">IFERROR(AH15/AH13,"")</f>
        <v>0</v>
      </c>
      <c r="AI32" s="36" t="n">
        <f aca="false">IFERROR(AI15/AI13,"")</f>
        <v>0</v>
      </c>
      <c r="AJ32" s="36" t="n">
        <f aca="false">IFERROR(AJ15/AJ13,"")</f>
        <v>0</v>
      </c>
      <c r="AK32" s="36" t="n">
        <f aca="false">IFERROR(AK15/AK13,"")</f>
        <v>0</v>
      </c>
      <c r="AL32" s="36" t="n">
        <f aca="false">IFERROR(AL15/AL13,"")</f>
        <v>0.0272591486183719</v>
      </c>
      <c r="AM32" s="36" t="n">
        <f aca="false">IFERROR(AM15/AM13,"")</f>
        <v>0</v>
      </c>
      <c r="AN32" s="36" t="n">
        <f aca="false">IFERROR(AN15/AN13,"")</f>
        <v>0</v>
      </c>
      <c r="AO32" s="36" t="n">
        <f aca="false">IFERROR(AO15/AO13,"")</f>
        <v>0</v>
      </c>
      <c r="AP32" s="36" t="n">
        <f aca="false">IFERROR(AP15/AP13,"")</f>
        <v>0</v>
      </c>
      <c r="AQ32" s="36" t="n">
        <f aca="false">IFERROR(AQ15/AQ13,"")</f>
        <v>0</v>
      </c>
      <c r="AR32" s="36" t="n">
        <f aca="false">IFERROR(AR15/AR13,"")</f>
        <v>0.0292721518987342</v>
      </c>
      <c r="AS32" s="36" t="n">
        <f aca="false">IFERROR(AS15/AS13,"")</f>
        <v>0</v>
      </c>
      <c r="AT32" s="36" t="n">
        <f aca="false">IFERROR(AT15/AT13,"")</f>
        <v>0</v>
      </c>
      <c r="AU32" s="36" t="n">
        <f aca="false">IFERROR(AU15/AU13,"")</f>
        <v>0</v>
      </c>
      <c r="AV32" s="36" t="n">
        <f aca="false">IFERROR(AV15/AV13,"")</f>
        <v>0</v>
      </c>
      <c r="AW32" s="36" t="n">
        <f aca="false">IFERROR(AW15/AW13,"")</f>
        <v>0</v>
      </c>
      <c r="AX32" s="36" t="n">
        <f aca="false">IFERROR(AX15/AX13,"")</f>
        <v>0.0307392996108949</v>
      </c>
      <c r="AY32" s="36" t="n">
        <f aca="false">IFERROR(AY15/AY13,"")</f>
        <v>0</v>
      </c>
      <c r="AZ32" s="36" t="n">
        <f aca="false">IFERROR(AZ15/AZ13,"")</f>
        <v>0</v>
      </c>
      <c r="BA32" s="36" t="n">
        <f aca="false">IFERROR(BA15/BA13,"")</f>
        <v>0</v>
      </c>
      <c r="BB32" s="36" t="n">
        <f aca="false">IFERROR(BB15/BB13,"")</f>
        <v>0</v>
      </c>
      <c r="BC32" s="36" t="n">
        <f aca="false">IFERROR(BC15/BC13,"")</f>
        <v>0</v>
      </c>
      <c r="BD32" s="36" t="n">
        <f aca="false">IFERROR(BD15/BD13,"")</f>
        <v>0.0276162790697674</v>
      </c>
      <c r="BE32" s="36" t="n">
        <f aca="false">IFERROR(BE15/BE13,"")</f>
        <v>0.0290076335877863</v>
      </c>
      <c r="BF32" s="36" t="n">
        <f aca="false">IFERROR(BF15/BF13,"")</f>
        <v>0.026685393258427</v>
      </c>
      <c r="BG32" s="36" t="n">
        <f aca="false">IFERROR(BG15/BG13,"")</f>
        <v>0.027798098024872</v>
      </c>
      <c r="BH32" s="36" t="n">
        <f aca="false">IFERROR(BH15/BH13,"")</f>
        <v>0.0301204819277108</v>
      </c>
      <c r="BI32" s="36" t="n">
        <f aca="false">IFERROR(BI15/BI13,"")</f>
        <v>0.0271739130434783</v>
      </c>
      <c r="BJ32" s="36" t="n">
        <f aca="false">IFERROR(BJ15/BJ13,"")</f>
        <v>0.0281893747741236</v>
      </c>
      <c r="BK32" s="36" t="n">
        <f aca="false">IFERROR(BK15/BK13,"")</f>
        <v>0.0313971742543171</v>
      </c>
      <c r="BL32" s="36" t="n">
        <f aca="false">IFERROR(BL15/BL13,"")</f>
        <v>0.0276243093922652</v>
      </c>
      <c r="BM32" s="36" t="n">
        <f aca="false">IFERROR(BM15/BM13,"")</f>
        <v>0.0293901542983101</v>
      </c>
      <c r="BN32" s="36" t="n">
        <f aca="false">IFERROR(BN15/BN13,"")</f>
        <v>0.0241545893719807</v>
      </c>
      <c r="BO32" s="36" t="n">
        <f aca="false">IFERROR(BO15/BO13,"")</f>
        <v>0.0236220472440945</v>
      </c>
      <c r="BP32" s="36" t="n">
        <f aca="false">IFERROR(BP15/BP13,"")</f>
        <v>0.0263157894736842</v>
      </c>
      <c r="BQ32" s="36" t="n">
        <f aca="false">IFERROR(BQ15/BQ13,"")</f>
        <v>0.0275862068965517</v>
      </c>
      <c r="BR32" s="36" t="n">
        <f aca="false">IFERROR(BR15/BR13,"")</f>
        <v>0.0236686390532544</v>
      </c>
      <c r="BS32" s="36" t="n">
        <f aca="false">IFERROR(BS15/BS13,"")</f>
        <v>0.0254777070063694</v>
      </c>
      <c r="BT32" s="38" t="n">
        <f aca="false">IFERROR(BT15/BT13,"")</f>
        <v>0.0280372005783283</v>
      </c>
      <c r="BU32" s="38" t="n">
        <f aca="false">IFERROR(BU15/BU13,"")</f>
        <v>0.0280372005783283</v>
      </c>
      <c r="BV32" s="38" t="n">
        <f aca="false">IFERROR(BV15/BV13,"")</f>
        <v>0.0267738544307711</v>
      </c>
      <c r="BW32" s="49" t="n">
        <v>0.026</v>
      </c>
      <c r="BX32" s="49" t="n">
        <v>0.026</v>
      </c>
      <c r="BY32" s="49" t="n">
        <v>0.026</v>
      </c>
      <c r="BZ32" s="49" t="n">
        <v>0.026</v>
      </c>
      <c r="CA32" s="16" t="s">
        <v>144</v>
      </c>
      <c r="CC32" s="5"/>
      <c r="CD32" s="5"/>
      <c r="CE32" s="5"/>
    </row>
    <row r="33" customFormat="false" ht="15" hidden="false" customHeight="false" outlineLevel="0" collapsed="false">
      <c r="B33" s="1" t="s">
        <v>145</v>
      </c>
      <c r="C33" s="2"/>
      <c r="D33" s="2"/>
      <c r="E33" s="2"/>
      <c r="F33" s="2"/>
      <c r="G33" s="2"/>
      <c r="H33" s="23" t="n">
        <v>53</v>
      </c>
      <c r="I33" s="2"/>
      <c r="J33" s="2"/>
      <c r="K33" s="2"/>
      <c r="L33" s="2"/>
      <c r="M33" s="2"/>
      <c r="N33" s="23" t="n">
        <v>97</v>
      </c>
      <c r="O33" s="2"/>
      <c r="P33" s="2"/>
      <c r="Q33" s="2"/>
      <c r="R33" s="2"/>
      <c r="S33" s="2"/>
      <c r="T33" s="23" t="n">
        <v>131</v>
      </c>
      <c r="U33" s="2"/>
      <c r="V33" s="2"/>
      <c r="W33" s="2"/>
      <c r="X33" s="2"/>
      <c r="Y33" s="2"/>
      <c r="Z33" s="23" t="n">
        <v>134</v>
      </c>
      <c r="AA33" s="2"/>
      <c r="AB33" s="2"/>
      <c r="AC33" s="2"/>
      <c r="AD33" s="2"/>
      <c r="AE33" s="2"/>
      <c r="AF33" s="23" t="n">
        <v>182</v>
      </c>
      <c r="AG33" s="2"/>
      <c r="AH33" s="2"/>
      <c r="AI33" s="2"/>
      <c r="AJ33" s="2"/>
      <c r="AK33" s="2"/>
      <c r="AL33" s="23" t="n">
        <v>104</v>
      </c>
      <c r="AM33" s="2"/>
      <c r="AN33" s="2"/>
      <c r="AO33" s="2"/>
      <c r="AP33" s="2"/>
      <c r="AQ33" s="2"/>
      <c r="AR33" s="23" t="n">
        <v>72</v>
      </c>
      <c r="AS33" s="2"/>
      <c r="AT33" s="2"/>
      <c r="AU33" s="2"/>
      <c r="AV33" s="2"/>
      <c r="AW33" s="2"/>
      <c r="AX33" s="23" t="n">
        <v>69</v>
      </c>
      <c r="AY33" s="2"/>
      <c r="AZ33" s="2"/>
      <c r="BA33" s="2"/>
      <c r="BB33" s="2"/>
      <c r="BC33" s="2"/>
      <c r="BD33" s="23" t="n">
        <v>65</v>
      </c>
      <c r="BE33" s="23" t="n">
        <v>11</v>
      </c>
      <c r="BF33" s="23" t="n">
        <v>13</v>
      </c>
      <c r="BG33" s="2" t="n">
        <f aca="false">BE33+BF33</f>
        <v>24</v>
      </c>
      <c r="BH33" s="23" t="n">
        <v>16</v>
      </c>
      <c r="BI33" s="23" t="n">
        <v>20</v>
      </c>
      <c r="BJ33" s="23" t="n">
        <v>60</v>
      </c>
      <c r="BK33" s="23" t="n">
        <v>14</v>
      </c>
      <c r="BL33" s="23" t="n">
        <v>16</v>
      </c>
      <c r="BM33" s="2" t="n">
        <f aca="false">BK33+BL33</f>
        <v>30</v>
      </c>
      <c r="BN33" s="23" t="n">
        <v>19</v>
      </c>
      <c r="BO33" s="23" t="n">
        <v>25</v>
      </c>
      <c r="BP33" s="23" t="n">
        <v>74</v>
      </c>
      <c r="BQ33" s="23" t="n">
        <v>10</v>
      </c>
      <c r="BR33" s="2"/>
      <c r="BS33" s="2"/>
      <c r="BT33" s="3"/>
      <c r="BU33" s="3"/>
      <c r="BV33" s="3" t="n">
        <f aca="false">BV13*BV34</f>
        <v>106.864795779913</v>
      </c>
      <c r="BW33" s="3" t="n">
        <f aca="false">BW13*BW34</f>
        <v>106.98353444189</v>
      </c>
      <c r="BX33" s="3" t="n">
        <f aca="false">BX13*BX34</f>
        <v>106.228356551712</v>
      </c>
      <c r="BY33" s="3" t="n">
        <f aca="false">BY13*BY34</f>
        <v>104.568538480592</v>
      </c>
      <c r="BZ33" s="3" t="n">
        <f aca="false">BZ13*BZ34</f>
        <v>101.989181198071</v>
      </c>
      <c r="CA33" s="16" t="s">
        <v>146</v>
      </c>
      <c r="CC33" s="5"/>
      <c r="CD33" s="5"/>
      <c r="CE33" s="5"/>
      <c r="CH33" s="21" t="s">
        <v>147</v>
      </c>
      <c r="CI33" s="42" t="n">
        <v>0.02</v>
      </c>
      <c r="CJ33" s="22" t="s">
        <v>131</v>
      </c>
      <c r="CK33" s="42" t="n">
        <v>-0.03</v>
      </c>
    </row>
    <row r="34" customFormat="false" ht="15" hidden="false" customHeight="false" outlineLevel="0" collapsed="false">
      <c r="B34" s="35" t="s">
        <v>148</v>
      </c>
      <c r="C34" s="36"/>
      <c r="D34" s="36"/>
      <c r="E34" s="36"/>
      <c r="F34" s="36"/>
      <c r="G34" s="36"/>
      <c r="H34" s="36" t="n">
        <f aca="false">IFERROR(H33/H13,"")</f>
        <v>0.0242230347349177</v>
      </c>
      <c r="I34" s="36"/>
      <c r="J34" s="36"/>
      <c r="K34" s="36"/>
      <c r="L34" s="36"/>
      <c r="M34" s="36"/>
      <c r="N34" s="36" t="n">
        <f aca="false">IFERROR(N33/N13,"")</f>
        <v>0.0406027626622018</v>
      </c>
      <c r="O34" s="36"/>
      <c r="P34" s="36"/>
      <c r="Q34" s="36"/>
      <c r="R34" s="36"/>
      <c r="S34" s="36"/>
      <c r="T34" s="36" t="n">
        <f aca="false">IFERROR(T33/T13,"")</f>
        <v>0.0541322314049587</v>
      </c>
      <c r="U34" s="36"/>
      <c r="V34" s="36"/>
      <c r="W34" s="36"/>
      <c r="X34" s="36"/>
      <c r="Y34" s="36"/>
      <c r="Z34" s="36" t="n">
        <f aca="false">IFERROR(Z33/Z13,"")</f>
        <v>0.0514000767165324</v>
      </c>
      <c r="AA34" s="36"/>
      <c r="AB34" s="36"/>
      <c r="AC34" s="36"/>
      <c r="AD34" s="36"/>
      <c r="AE34" s="36"/>
      <c r="AF34" s="36" t="n">
        <f aca="false">IFERROR(AF33/AF13,"")</f>
        <v>0.0712328767123288</v>
      </c>
      <c r="AG34" s="36"/>
      <c r="AH34" s="36"/>
      <c r="AI34" s="36"/>
      <c r="AJ34" s="36"/>
      <c r="AK34" s="36"/>
      <c r="AL34" s="36" t="n">
        <f aca="false">IFERROR(AL33/AL13,"")</f>
        <v>0.0388349514563107</v>
      </c>
      <c r="AM34" s="36"/>
      <c r="AN34" s="36"/>
      <c r="AO34" s="36"/>
      <c r="AP34" s="36"/>
      <c r="AQ34" s="36"/>
      <c r="AR34" s="36" t="n">
        <f aca="false">IFERROR(AR33/AR13,"")</f>
        <v>0.0284810126582278</v>
      </c>
      <c r="AS34" s="36"/>
      <c r="AT34" s="36"/>
      <c r="AU34" s="36"/>
      <c r="AV34" s="36"/>
      <c r="AW34" s="36"/>
      <c r="AX34" s="36" t="n">
        <f aca="false">IFERROR(AX33/AX13,"")</f>
        <v>0.0268482490272374</v>
      </c>
      <c r="AY34" s="36"/>
      <c r="AZ34" s="36"/>
      <c r="BA34" s="36"/>
      <c r="BB34" s="36"/>
      <c r="BC34" s="36"/>
      <c r="BD34" s="36" t="n">
        <f aca="false">IFERROR(BD33/BD13,"")</f>
        <v>0.0236191860465116</v>
      </c>
      <c r="BE34" s="36"/>
      <c r="BF34" s="36"/>
      <c r="BG34" s="36"/>
      <c r="BH34" s="36"/>
      <c r="BI34" s="36"/>
      <c r="BJ34" s="36" t="n">
        <f aca="false">IFERROR(BJ33/BJ13,"")</f>
        <v>0.0216841344416335</v>
      </c>
      <c r="BK34" s="36"/>
      <c r="BL34" s="36"/>
      <c r="BM34" s="36"/>
      <c r="BN34" s="36"/>
      <c r="BO34" s="36"/>
      <c r="BP34" s="36" t="n">
        <f aca="false">IFERROR(BP33/BP13,"")</f>
        <v>0.0240415854450942</v>
      </c>
      <c r="BQ34" s="36"/>
      <c r="BR34" s="36"/>
      <c r="BS34" s="36"/>
      <c r="BT34" s="38"/>
      <c r="BU34" s="38"/>
      <c r="BV34" s="38" t="n">
        <f aca="false">IFERROR($BP$34/$BP$227*BV227,0)</f>
        <v>0.0335972185854354</v>
      </c>
      <c r="BW34" s="38" t="n">
        <f aca="false">IFERROR($BP$34/$BP$227*BW227,0)</f>
        <v>0.0317307064418001</v>
      </c>
      <c r="BX34" s="38" t="n">
        <f aca="false">IFERROR($BP$34/$BP$227*BX227,0)</f>
        <v>0.0298641942981648</v>
      </c>
      <c r="BY34" s="38" t="n">
        <f aca="false">IFERROR($BP$34/$BP$227*BY227,0)</f>
        <v>0.0279976821545295</v>
      </c>
      <c r="BZ34" s="38" t="n">
        <f aca="false">IFERROR($BP$34/$BP$227*BZ227,0)</f>
        <v>0.0261311700108942</v>
      </c>
      <c r="CA34" s="16" t="s">
        <v>149</v>
      </c>
      <c r="CC34" s="5"/>
      <c r="CD34" s="5"/>
      <c r="CE34" s="5"/>
      <c r="CH34" s="24" t="s">
        <v>134</v>
      </c>
      <c r="CI34" s="46" t="n">
        <f aca="false">CJ34+$CI$33</f>
        <v>0.09</v>
      </c>
      <c r="CJ34" s="41" t="n">
        <v>0.07</v>
      </c>
      <c r="CK34" s="46" t="n">
        <f aca="false">CJ34+$CK$33</f>
        <v>0.04</v>
      </c>
    </row>
    <row r="35" customFormat="false" ht="15" hidden="false" customHeight="false" outlineLevel="0" collapsed="false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3"/>
      <c r="BU35" s="3"/>
      <c r="BV35" s="3"/>
      <c r="BW35" s="3"/>
      <c r="BX35" s="3"/>
      <c r="BY35" s="3"/>
      <c r="BZ35" s="3"/>
      <c r="CA35" s="16"/>
      <c r="CC35" s="5"/>
      <c r="CD35" s="5"/>
      <c r="CE35" s="5"/>
      <c r="CH35" s="24" t="s">
        <v>136</v>
      </c>
      <c r="CI35" s="46" t="n">
        <f aca="false">CJ35+$CI$33</f>
        <v>0.08</v>
      </c>
      <c r="CJ35" s="41" t="n">
        <v>0.06</v>
      </c>
      <c r="CK35" s="46" t="n">
        <f aca="false">CJ35+$CK$33</f>
        <v>0.03</v>
      </c>
    </row>
    <row r="36" customFormat="false" ht="15" hidden="false" customHeight="false" outlineLevel="0" collapsed="false">
      <c r="B36" s="20" t="s">
        <v>150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1" t="s">
        <v>151</v>
      </c>
      <c r="CH36" s="24" t="s">
        <v>139</v>
      </c>
      <c r="CI36" s="46" t="n">
        <f aca="false">CJ36+$CI$33</f>
        <v>0.075</v>
      </c>
      <c r="CJ36" s="41" t="n">
        <v>0.055</v>
      </c>
      <c r="CK36" s="46" t="n">
        <f aca="false">CJ36+$CK$33</f>
        <v>0.025</v>
      </c>
    </row>
    <row r="37" customFormat="false" ht="15" hidden="false" customHeight="false" outlineLevel="0" collapsed="false">
      <c r="B37" s="1" t="s">
        <v>86</v>
      </c>
      <c r="C37" s="2" t="str">
        <f aca="false">IF(ISNUMBER(C38),C39-C38,"n/d")</f>
        <v>n/d</v>
      </c>
      <c r="D37" s="2" t="str">
        <f aca="false">IF(ISNUMBER(D38),D39-D38,"n/d")</f>
        <v>n/d</v>
      </c>
      <c r="E37" s="2" t="str">
        <f aca="false">IF(ISNUMBER(E38),E39-E38,"n/d")</f>
        <v>n/d</v>
      </c>
      <c r="F37" s="2" t="str">
        <f aca="false">IF(ISNUMBER(F38),F39-F38,"n/d")</f>
        <v>n/d</v>
      </c>
      <c r="G37" s="2" t="str">
        <f aca="false">IF(ISNUMBER(G38),G39-G38,"n/d")</f>
        <v>n/d</v>
      </c>
      <c r="H37" s="2" t="str">
        <f aca="false">IF(ISNUMBER(H38),H39-H38,"n/d")</f>
        <v>n/d</v>
      </c>
      <c r="I37" s="2" t="str">
        <f aca="false">IF(ISNUMBER(I38),I39-I38,"n/d")</f>
        <v>n/d</v>
      </c>
      <c r="J37" s="2" t="str">
        <f aca="false">IF(ISNUMBER(J38),J39-J38,"n/d")</f>
        <v>n/d</v>
      </c>
      <c r="K37" s="2" t="str">
        <f aca="false">IF(ISNUMBER(K38),K39-K38,"n/d")</f>
        <v>n/d</v>
      </c>
      <c r="L37" s="2" t="str">
        <f aca="false">IF(ISNUMBER(L38),L39-L38,"n/d")</f>
        <v>n/d</v>
      </c>
      <c r="M37" s="2" t="str">
        <f aca="false">IF(ISNUMBER(M38),M39-M38,"n/d")</f>
        <v>n/d</v>
      </c>
      <c r="N37" s="2" t="str">
        <f aca="false">IF(ISNUMBER(N38),N39-N38,"n/d")</f>
        <v>n/d</v>
      </c>
      <c r="O37" s="2" t="str">
        <f aca="false">IF(ISNUMBER(O38),O39-O38,"n/d")</f>
        <v>n/d</v>
      </c>
      <c r="P37" s="2" t="str">
        <f aca="false">IF(ISNUMBER(P38),P39-P38,"n/d")</f>
        <v>n/d</v>
      </c>
      <c r="Q37" s="2" t="str">
        <f aca="false">IF(ISNUMBER(Q38),Q39-Q38,"n/d")</f>
        <v>n/d</v>
      </c>
      <c r="R37" s="2" t="str">
        <f aca="false">IF(ISNUMBER(R38),R39-R38,"n/d")</f>
        <v>n/d</v>
      </c>
      <c r="S37" s="2" t="str">
        <f aca="false">IF(ISNUMBER(S38),S39-S38,"n/d")</f>
        <v>n/d</v>
      </c>
      <c r="T37" s="2" t="str">
        <f aca="false">IF(ISNUMBER(T38),T39-T38,"n/d")</f>
        <v>n/d</v>
      </c>
      <c r="U37" s="2" t="str">
        <f aca="false">IF(ISNUMBER(U38),U39-U38,"n/d")</f>
        <v>n/d</v>
      </c>
      <c r="V37" s="2" t="n">
        <f aca="false">IF(ISNUMBER(V38),V39-V38,"n/d")</f>
        <v>1180</v>
      </c>
      <c r="W37" s="2" t="n">
        <f aca="false">IF(ISNUMBER(W38),W39-W38,"n/d")</f>
        <v>2262</v>
      </c>
      <c r="X37" s="2" t="n">
        <f aca="false">IF(ISNUMBER(X38),X39-X38,"n/d")</f>
        <v>1177</v>
      </c>
      <c r="Y37" s="2" t="n">
        <f aca="false">IF(ISNUMBER(Y38),Y39-Y38,"n/d")</f>
        <v>1349</v>
      </c>
      <c r="Z37" s="2" t="n">
        <f aca="false">IF(ISNUMBER(Z38),Z39-Z38,"n/d")</f>
        <v>4788</v>
      </c>
      <c r="AA37" s="2" t="str">
        <f aca="false">IF(ISNUMBER(AA38),AA39-AA38,"n/d")</f>
        <v>n/d</v>
      </c>
      <c r="AB37" s="2" t="n">
        <f aca="false">IF(ISNUMBER(AB38),AB39-AB38,"n/d")</f>
        <v>1276</v>
      </c>
      <c r="AC37" s="2" t="n">
        <f aca="false">IF(ISNUMBER(AC38),AC39-AC38,"n/d")</f>
        <v>2555</v>
      </c>
      <c r="AD37" s="2" t="n">
        <f aca="false">IF(ISNUMBER(AD38),AD39-AD38,"n/d")</f>
        <v>1273</v>
      </c>
      <c r="AE37" s="2" t="n">
        <f aca="false">IF(ISNUMBER(AE38),AE39-AE38,"n/d")</f>
        <v>1395</v>
      </c>
      <c r="AF37" s="2" t="n">
        <f aca="false">IF(ISNUMBER(AF38),AF39-AF38,"n/d")</f>
        <v>5223</v>
      </c>
      <c r="AG37" s="2" t="n">
        <f aca="false">IF(ISNUMBER(AG38),AG39-AG38,"n/d")</f>
        <v>1339</v>
      </c>
      <c r="AH37" s="2" t="n">
        <f aca="false">IF(ISNUMBER(AH38),AH39-AH38,"n/d")</f>
        <v>1120</v>
      </c>
      <c r="AI37" s="2" t="n">
        <f aca="false">IF(ISNUMBER(AI38),AI39-AI38,"n/d")</f>
        <v>2459</v>
      </c>
      <c r="AJ37" s="2" t="n">
        <f aca="false">IF(ISNUMBER(AJ38),AJ39-AJ38,"n/d")</f>
        <v>1355</v>
      </c>
      <c r="AK37" s="2" t="n">
        <f aca="false">IF(ISNUMBER(AK38),AK39-AK38,"n/d")</f>
        <v>1745</v>
      </c>
      <c r="AL37" s="2" t="n">
        <f aca="false">IF(ISNUMBER(AL38),AL39-AL38,"n/d")</f>
        <v>5559</v>
      </c>
      <c r="AM37" s="2" t="n">
        <f aca="false">IF(ISNUMBER(AM38),AM39-AM38,"n/d")</f>
        <v>1405</v>
      </c>
      <c r="AN37" s="2" t="n">
        <f aca="false">IF(ISNUMBER(AN38),AN39-AN38,"n/d")</f>
        <v>1359</v>
      </c>
      <c r="AO37" s="2" t="n">
        <f aca="false">IF(ISNUMBER(AO38),AO39-AO38,"n/d")</f>
        <v>2764</v>
      </c>
      <c r="AP37" s="2" t="n">
        <f aca="false">IF(ISNUMBER(AP38),AP39-AP38,"n/d")</f>
        <v>1351</v>
      </c>
      <c r="AQ37" s="2" t="n">
        <f aca="false">IF(ISNUMBER(AQ38),AQ39-AQ38,"n/d")</f>
        <v>1537</v>
      </c>
      <c r="AR37" s="2" t="n">
        <f aca="false">IF(ISNUMBER(AR38),AR39-AR38,"n/d")</f>
        <v>5652</v>
      </c>
      <c r="AS37" s="2" t="n">
        <f aca="false">IF(ISNUMBER(AS38),AS39-AS38,"n/d")</f>
        <v>1388</v>
      </c>
      <c r="AT37" s="2" t="str">
        <f aca="false">IF(ISNUMBER(AT38),AT39-AT38,"n/d")</f>
        <v>n/d</v>
      </c>
      <c r="AU37" s="2" t="n">
        <f aca="false">IF(ISNUMBER(AU38),AU39-AU38,"n/d")</f>
        <v>2821</v>
      </c>
      <c r="AV37" s="2" t="n">
        <f aca="false">IF(ISNUMBER(AV38),AV39-AV38,"n/d")</f>
        <v>1444</v>
      </c>
      <c r="AW37" s="2" t="n">
        <f aca="false">IF(ISNUMBER(AW38),AW39-AW38,"n/d")</f>
        <v>1583</v>
      </c>
      <c r="AX37" s="2" t="n">
        <f aca="false">IF(ISNUMBER(AX38),AX39-AX38,"n/d")</f>
        <v>5847</v>
      </c>
      <c r="AY37" s="2" t="n">
        <f aca="false">IF(ISNUMBER(AY38),AY39-AY38,"n/d")</f>
        <v>1505</v>
      </c>
      <c r="AZ37" s="2" t="n">
        <f aca="false">IF(ISNUMBER(AZ38),AZ39-AZ38,"n/d")</f>
        <v>1509</v>
      </c>
      <c r="BA37" s="2" t="n">
        <f aca="false">IF(ISNUMBER(BA38),BA39-BA38,"n/d")</f>
        <v>3014</v>
      </c>
      <c r="BB37" s="2" t="n">
        <f aca="false">IF(ISNUMBER(BB38),BB39-BB38,"n/d")</f>
        <v>1451</v>
      </c>
      <c r="BC37" s="2" t="n">
        <f aca="false">IF(ISNUMBER(BC38),BC39-BC38,"n/d")</f>
        <v>1665</v>
      </c>
      <c r="BD37" s="2" t="n">
        <f aca="false">IF(ISNUMBER(BD38),BD39-BD38,"n/d")</f>
        <v>6130</v>
      </c>
      <c r="BE37" s="2" t="n">
        <f aca="false">IF(ISNUMBER(BE38),BE39-BE38,"n/d")</f>
        <v>1433</v>
      </c>
      <c r="BF37" s="2" t="n">
        <f aca="false">IF(ISNUMBER(BF38),BF39-BF38,"n/d")</f>
        <v>1534</v>
      </c>
      <c r="BG37" s="2" t="n">
        <f aca="false">IF(ISNUMBER(BG38),BG39-BG38,"n/d")</f>
        <v>2967</v>
      </c>
      <c r="BH37" s="2" t="n">
        <f aca="false">IF(ISNUMBER(BH38),BH39-BH38,"n/d")</f>
        <v>1412</v>
      </c>
      <c r="BI37" s="2" t="n">
        <f aca="false">IF(ISNUMBER(BI38),BI39-BI38,"n/d")</f>
        <v>1587</v>
      </c>
      <c r="BJ37" s="2" t="n">
        <f aca="false">IF(ISNUMBER(BJ38),BJ39-BJ38,"n/d")</f>
        <v>5966</v>
      </c>
      <c r="BK37" s="2" t="str">
        <f aca="false">IF(ISNUMBER(BK38),BK39-BK38,"n/d")</f>
        <v>n/d</v>
      </c>
      <c r="BL37" s="2" t="n">
        <f aca="false">IF(ISNUMBER(BL38),BL39-BL38,"n/d")</f>
        <v>1602</v>
      </c>
      <c r="BM37" s="2" t="n">
        <f aca="false">IF(ISNUMBER(BM38),BM39-BM38,"n/d")</f>
        <v>2998</v>
      </c>
      <c r="BN37" s="2" t="n">
        <f aca="false">IF(ISNUMBER(BN38),BN39-BN38,"n/d")</f>
        <v>1617</v>
      </c>
      <c r="BO37" s="2" t="n">
        <f aca="false">IF(ISNUMBER(BO38),BO39-BO38,"n/d")</f>
        <v>1891</v>
      </c>
      <c r="BP37" s="2" t="n">
        <f aca="false">IF(ISNUMBER(BP38),BP39-BP38,"n/d")</f>
        <v>6506</v>
      </c>
      <c r="BQ37" s="2" t="str">
        <f aca="false">IF(ISNUMBER(BQ38),BQ39-BQ38,"n/d")</f>
        <v>n/d</v>
      </c>
      <c r="BR37" s="2" t="str">
        <f aca="false">IF(ISNUMBER(BR38),BR39-BR38,"n/d")</f>
        <v>n/d</v>
      </c>
      <c r="BS37" s="2" t="n">
        <f aca="false">IF(ISNUMBER(BS38),BS39-BS38,"n/d")</f>
        <v>3514</v>
      </c>
      <c r="BT37" s="3" t="n">
        <f aca="false">IF(ISNUMBER(BT38),BT39-BT38,"n/d")</f>
        <v>1802.61841070024</v>
      </c>
      <c r="BU37" s="3" t="n">
        <f aca="false">IF(ISNUMBER(BU38),BU39-BU38,"n/d")</f>
        <v>1802.61841070024</v>
      </c>
      <c r="BV37" s="3" t="n">
        <f aca="false">IF(ISNUMBER(BV38),BV39-BV38,"n/d")</f>
        <v>7119.23682140047</v>
      </c>
      <c r="BW37" s="3" t="n">
        <f aca="false">IF(ISNUMBER(BW38),BW39-BW38,"n/d")</f>
        <v>7616.4127237181</v>
      </c>
      <c r="BX37" s="3" t="n">
        <f aca="false">IF(ISNUMBER(BX38),BX39-BX38,"n/d")</f>
        <v>8073.39748714119</v>
      </c>
      <c r="BY37" s="3" t="n">
        <f aca="false">IF(ISNUMBER(BY38),BY39-BY38,"n/d")</f>
        <v>8517.43434893395</v>
      </c>
      <c r="BZ37" s="3" t="n">
        <f aca="false">IF(ISNUMBER(BZ38),BZ39-BZ38,"n/d")</f>
        <v>8943.30606638065</v>
      </c>
      <c r="CA37" s="16" t="s">
        <v>87</v>
      </c>
      <c r="CC37" s="5"/>
      <c r="CD37" s="5"/>
      <c r="CE37" s="5"/>
      <c r="CH37" s="24" t="s">
        <v>142</v>
      </c>
      <c r="CI37" s="46" t="n">
        <f aca="false">CJ37+$CI$33</f>
        <v>0.07</v>
      </c>
      <c r="CJ37" s="41" t="n">
        <v>0.05</v>
      </c>
      <c r="CK37" s="46" t="n">
        <f aca="false">CJ37+$CK$33</f>
        <v>0.02</v>
      </c>
    </row>
    <row r="38" customFormat="false" ht="15" hidden="false" customHeight="false" outlineLevel="0" collapsed="false">
      <c r="B38" s="1" t="s">
        <v>92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3" t="n">
        <v>3</v>
      </c>
      <c r="W38" s="2" t="n">
        <f aca="false">U38+V38</f>
        <v>3</v>
      </c>
      <c r="X38" s="23" t="n">
        <v>2</v>
      </c>
      <c r="Y38" s="23" t="n">
        <v>3</v>
      </c>
      <c r="Z38" s="23" t="n">
        <v>8</v>
      </c>
      <c r="AA38" s="2"/>
      <c r="AB38" s="23" t="n">
        <v>3</v>
      </c>
      <c r="AC38" s="2" t="n">
        <f aca="false">AA38+AB38</f>
        <v>3</v>
      </c>
      <c r="AD38" s="23" t="n">
        <v>1</v>
      </c>
      <c r="AE38" s="23" t="n">
        <v>4</v>
      </c>
      <c r="AF38" s="23" t="n">
        <v>8</v>
      </c>
      <c r="AG38" s="23" t="n">
        <v>2</v>
      </c>
      <c r="AH38" s="23" t="n">
        <v>2</v>
      </c>
      <c r="AI38" s="2" t="n">
        <f aca="false">AG38+AH38</f>
        <v>4</v>
      </c>
      <c r="AJ38" s="23" t="n">
        <v>3</v>
      </c>
      <c r="AK38" s="23" t="n">
        <v>5</v>
      </c>
      <c r="AL38" s="23" t="n">
        <v>12</v>
      </c>
      <c r="AM38" s="23" t="n">
        <v>2</v>
      </c>
      <c r="AN38" s="23" t="n">
        <v>4</v>
      </c>
      <c r="AO38" s="2" t="n">
        <f aca="false">AM38+AN38</f>
        <v>6</v>
      </c>
      <c r="AP38" s="23" t="n">
        <v>3</v>
      </c>
      <c r="AQ38" s="23" t="n">
        <v>2</v>
      </c>
      <c r="AR38" s="23" t="n">
        <v>11</v>
      </c>
      <c r="AS38" s="23" t="n">
        <v>2</v>
      </c>
      <c r="AT38" s="2"/>
      <c r="AU38" s="2" t="n">
        <f aca="false">AS38+AT38</f>
        <v>2</v>
      </c>
      <c r="AV38" s="23" t="n">
        <v>1</v>
      </c>
      <c r="AW38" s="23" t="n">
        <v>1</v>
      </c>
      <c r="AX38" s="23" t="n">
        <v>5</v>
      </c>
      <c r="AY38" s="23" t="n">
        <v>1</v>
      </c>
      <c r="AZ38" s="23" t="n">
        <v>0</v>
      </c>
      <c r="BA38" s="2" t="n">
        <f aca="false">AY38+AZ38</f>
        <v>1</v>
      </c>
      <c r="BB38" s="23" t="n">
        <v>2</v>
      </c>
      <c r="BC38" s="23" t="n">
        <v>0</v>
      </c>
      <c r="BD38" s="23" t="n">
        <v>3</v>
      </c>
      <c r="BE38" s="23" t="n">
        <v>1</v>
      </c>
      <c r="BF38" s="23" t="n">
        <v>1</v>
      </c>
      <c r="BG38" s="2" t="n">
        <f aca="false">BE38+BF38</f>
        <v>2</v>
      </c>
      <c r="BH38" s="23" t="n">
        <v>0</v>
      </c>
      <c r="BI38" s="23" t="n">
        <v>1</v>
      </c>
      <c r="BJ38" s="23" t="n">
        <v>3</v>
      </c>
      <c r="BK38" s="2"/>
      <c r="BL38" s="23" t="n">
        <v>1</v>
      </c>
      <c r="BM38" s="2" t="n">
        <f aca="false">BK38+BL38</f>
        <v>1</v>
      </c>
      <c r="BN38" s="23" t="n">
        <v>0</v>
      </c>
      <c r="BO38" s="23" t="n">
        <v>0</v>
      </c>
      <c r="BP38" s="23" t="n">
        <v>1</v>
      </c>
      <c r="BQ38" s="2"/>
      <c r="BR38" s="2"/>
      <c r="BS38" s="2" t="n">
        <f aca="false">BQ38+BR38</f>
        <v>0</v>
      </c>
      <c r="BT38" s="3" t="n">
        <f aca="false">BS38/2</f>
        <v>0</v>
      </c>
      <c r="BU38" s="3" t="n">
        <f aca="false">BS38/2</f>
        <v>0</v>
      </c>
      <c r="BV38" s="3" t="n">
        <f aca="false">SUM(BQ38,BR38,BT38,BU38)</f>
        <v>0</v>
      </c>
      <c r="BW38" s="3" t="n">
        <f aca="false">BW39*BW57</f>
        <v>1.17067518040549</v>
      </c>
      <c r="BX38" s="3" t="n">
        <f aca="false">BX39*BX57</f>
        <v>1.24091569122982</v>
      </c>
      <c r="BY38" s="3" t="n">
        <f aca="false">BY39*BY57</f>
        <v>1.30916605424746</v>
      </c>
      <c r="BZ38" s="3" t="n">
        <f aca="false">BZ39*BZ57</f>
        <v>1.37462435695983</v>
      </c>
      <c r="CA38" s="16" t="s">
        <v>93</v>
      </c>
      <c r="CC38" s="5"/>
      <c r="CD38" s="5"/>
      <c r="CE38" s="5"/>
    </row>
    <row r="39" customFormat="false" ht="15" hidden="false" customHeight="false" outlineLevel="0" collapsed="false">
      <c r="B39" s="26" t="s">
        <v>95</v>
      </c>
      <c r="C39" s="27" t="n">
        <v>1061</v>
      </c>
      <c r="D39" s="27" t="n">
        <v>1166</v>
      </c>
      <c r="E39" s="28" t="n">
        <f aca="false">C39+D39</f>
        <v>2227</v>
      </c>
      <c r="F39" s="27" t="n">
        <v>1177</v>
      </c>
      <c r="G39" s="27" t="n">
        <v>1194</v>
      </c>
      <c r="H39" s="27" t="n">
        <v>4298</v>
      </c>
      <c r="I39" s="27" t="n">
        <v>993</v>
      </c>
      <c r="J39" s="27" t="n">
        <v>999</v>
      </c>
      <c r="K39" s="28" t="n">
        <f aca="false">I39+J39</f>
        <v>1992</v>
      </c>
      <c r="L39" s="27" t="n">
        <v>978</v>
      </c>
      <c r="M39" s="27" t="n">
        <v>1119</v>
      </c>
      <c r="N39" s="27" t="n">
        <v>4089</v>
      </c>
      <c r="O39" s="27" t="n">
        <v>971</v>
      </c>
      <c r="P39" s="27" t="n">
        <v>1001</v>
      </c>
      <c r="Q39" s="28" t="n">
        <f aca="false">O39+P39</f>
        <v>1972</v>
      </c>
      <c r="R39" s="27" t="n">
        <v>1053</v>
      </c>
      <c r="S39" s="27" t="n">
        <v>1139</v>
      </c>
      <c r="T39" s="27" t="n">
        <v>4164</v>
      </c>
      <c r="U39" s="27" t="n">
        <v>1082</v>
      </c>
      <c r="V39" s="27" t="n">
        <v>1183</v>
      </c>
      <c r="W39" s="28" t="n">
        <f aca="false">U39+V39</f>
        <v>2265</v>
      </c>
      <c r="X39" s="27" t="n">
        <v>1179</v>
      </c>
      <c r="Y39" s="27" t="n">
        <v>1352</v>
      </c>
      <c r="Z39" s="27" t="n">
        <v>4796</v>
      </c>
      <c r="AA39" s="27" t="n">
        <v>1279</v>
      </c>
      <c r="AB39" s="27" t="n">
        <v>1279</v>
      </c>
      <c r="AC39" s="28" t="n">
        <f aca="false">AA39+AB39</f>
        <v>2558</v>
      </c>
      <c r="AD39" s="27" t="n">
        <v>1274</v>
      </c>
      <c r="AE39" s="27" t="n">
        <v>1399</v>
      </c>
      <c r="AF39" s="27" t="n">
        <v>5231</v>
      </c>
      <c r="AG39" s="27" t="n">
        <v>1341</v>
      </c>
      <c r="AH39" s="27" t="n">
        <v>1122</v>
      </c>
      <c r="AI39" s="28" t="n">
        <f aca="false">AG39+AH39</f>
        <v>2463</v>
      </c>
      <c r="AJ39" s="27" t="n">
        <v>1358</v>
      </c>
      <c r="AK39" s="27" t="n">
        <v>1750</v>
      </c>
      <c r="AL39" s="27" t="n">
        <v>5571</v>
      </c>
      <c r="AM39" s="27" t="n">
        <v>1407</v>
      </c>
      <c r="AN39" s="27" t="n">
        <v>1363</v>
      </c>
      <c r="AO39" s="28" t="n">
        <f aca="false">AM39+AN39</f>
        <v>2770</v>
      </c>
      <c r="AP39" s="27" t="n">
        <v>1354</v>
      </c>
      <c r="AQ39" s="27" t="n">
        <v>1539</v>
      </c>
      <c r="AR39" s="27" t="n">
        <v>5663</v>
      </c>
      <c r="AS39" s="27" t="n">
        <v>1390</v>
      </c>
      <c r="AT39" s="27" t="n">
        <v>1433</v>
      </c>
      <c r="AU39" s="28" t="n">
        <f aca="false">AS39+AT39</f>
        <v>2823</v>
      </c>
      <c r="AV39" s="27" t="n">
        <v>1445</v>
      </c>
      <c r="AW39" s="27" t="n">
        <v>1584</v>
      </c>
      <c r="AX39" s="27" t="n">
        <v>5852</v>
      </c>
      <c r="AY39" s="27" t="n">
        <v>1506</v>
      </c>
      <c r="AZ39" s="27" t="n">
        <v>1509</v>
      </c>
      <c r="BA39" s="28" t="n">
        <f aca="false">AY39+AZ39</f>
        <v>3015</v>
      </c>
      <c r="BB39" s="27" t="n">
        <v>1453</v>
      </c>
      <c r="BC39" s="27" t="n">
        <v>1665</v>
      </c>
      <c r="BD39" s="27" t="n">
        <v>6133</v>
      </c>
      <c r="BE39" s="27" t="n">
        <v>1434</v>
      </c>
      <c r="BF39" s="27" t="n">
        <v>1535</v>
      </c>
      <c r="BG39" s="28" t="n">
        <f aca="false">BE39+BF39</f>
        <v>2969</v>
      </c>
      <c r="BH39" s="27" t="n">
        <v>1412</v>
      </c>
      <c r="BI39" s="27" t="n">
        <v>1588</v>
      </c>
      <c r="BJ39" s="27" t="n">
        <v>5969</v>
      </c>
      <c r="BK39" s="27" t="n">
        <v>1396</v>
      </c>
      <c r="BL39" s="27" t="n">
        <v>1603</v>
      </c>
      <c r="BM39" s="28" t="n">
        <f aca="false">BK39+BL39</f>
        <v>2999</v>
      </c>
      <c r="BN39" s="27" t="n">
        <v>1617</v>
      </c>
      <c r="BO39" s="27" t="n">
        <v>1891</v>
      </c>
      <c r="BP39" s="27" t="n">
        <v>6507</v>
      </c>
      <c r="BQ39" s="27" t="n">
        <v>1665</v>
      </c>
      <c r="BR39" s="27" t="n">
        <v>1849</v>
      </c>
      <c r="BS39" s="28" t="n">
        <f aca="false">BQ39+BR39</f>
        <v>3514</v>
      </c>
      <c r="BT39" s="29" t="n">
        <f aca="false">(CHOOSE(MATCH($CA$2,{"Bull","Base","Bear"},0),$CI$12,$CJ$12,$CK$12)-BS39-BS13)*BS39/(BS39+BS13)/2</f>
        <v>1802.61841070024</v>
      </c>
      <c r="BU39" s="29" t="n">
        <f aca="false">(CHOOSE(MATCH($CA$2,{"Bull","Base","Bear"},0),$CI$12,$CJ$12,$CK$12)-BS39-BS13)*BS39/(BS39+BS13)/2</f>
        <v>1802.61841070024</v>
      </c>
      <c r="BV39" s="29" t="n">
        <f aca="false">SUM(BQ39,BR39,BT39,BU39)</f>
        <v>7119.23682140047</v>
      </c>
      <c r="BW39" s="29" t="n">
        <f aca="false">BV39*(1+BW43)</f>
        <v>7617.58339889851</v>
      </c>
      <c r="BX39" s="29" t="n">
        <f aca="false">BW39*(1+BX43)</f>
        <v>8074.63840283242</v>
      </c>
      <c r="BY39" s="29" t="n">
        <f aca="false">BX39*(1+BY43)</f>
        <v>8518.7435149882</v>
      </c>
      <c r="BZ39" s="29" t="n">
        <f aca="false">BY39*(1+BZ43)</f>
        <v>8944.68069073761</v>
      </c>
      <c r="CA39" s="16" t="s">
        <v>96</v>
      </c>
      <c r="CC39" s="30" t="n">
        <f aca="false">IFERROR((BZ39/BP39)^(1/5)-1,"n/m")</f>
        <v>0.0657045180728246</v>
      </c>
      <c r="CD39" s="30" t="n">
        <f aca="false">IFERROR((BP39/AL39)^(1/5)-1,"n/m")</f>
        <v>0.0315482096877466</v>
      </c>
      <c r="CE39" s="30" t="n">
        <f aca="false">IFERROR((BP39/H39)^(1/10)-1,"n/m")</f>
        <v>0.0423448849748518</v>
      </c>
      <c r="CH39" s="21" t="s">
        <v>152</v>
      </c>
      <c r="CI39" s="42" t="n">
        <v>0.02</v>
      </c>
      <c r="CJ39" s="22" t="s">
        <v>131</v>
      </c>
      <c r="CK39" s="42" t="n">
        <v>-0.03</v>
      </c>
    </row>
    <row r="40" customFormat="false" ht="15" hidden="false" customHeight="false" outlineLevel="0" collapsed="false">
      <c r="B40" s="32" t="s">
        <v>98</v>
      </c>
      <c r="C40" s="27" t="n">
        <v>93</v>
      </c>
      <c r="D40" s="27" t="n">
        <v>109</v>
      </c>
      <c r="E40" s="28" t="n">
        <f aca="false">C40+D40</f>
        <v>202</v>
      </c>
      <c r="F40" s="27" t="n">
        <v>100</v>
      </c>
      <c r="G40" s="27" t="n">
        <v>116</v>
      </c>
      <c r="H40" s="33" t="n">
        <v>401</v>
      </c>
      <c r="I40" s="27" t="n">
        <v>81</v>
      </c>
      <c r="J40" s="27" t="n">
        <v>98</v>
      </c>
      <c r="K40" s="28" t="n">
        <f aca="false">I40+J40</f>
        <v>179</v>
      </c>
      <c r="L40" s="27" t="n">
        <v>68</v>
      </c>
      <c r="M40" s="27" t="n">
        <v>139</v>
      </c>
      <c r="N40" s="33" t="n">
        <v>386</v>
      </c>
      <c r="O40" s="27" t="n">
        <v>72</v>
      </c>
      <c r="P40" s="27" t="n">
        <v>80</v>
      </c>
      <c r="Q40" s="28" t="n">
        <f aca="false">O40+P40</f>
        <v>152</v>
      </c>
      <c r="R40" s="27" t="n">
        <v>96</v>
      </c>
      <c r="S40" s="27" t="n">
        <v>106</v>
      </c>
      <c r="T40" s="33" t="n">
        <v>354</v>
      </c>
      <c r="U40" s="27" t="n">
        <v>51</v>
      </c>
      <c r="V40" s="27" t="n">
        <v>91</v>
      </c>
      <c r="W40" s="28" t="n">
        <f aca="false">U40+V40</f>
        <v>142</v>
      </c>
      <c r="X40" s="27" t="n">
        <v>119</v>
      </c>
      <c r="Y40" s="27" t="n">
        <v>69</v>
      </c>
      <c r="Z40" s="33" t="n">
        <v>330</v>
      </c>
      <c r="AA40" s="27" t="n">
        <v>81</v>
      </c>
      <c r="AB40" s="27" t="n">
        <v>71</v>
      </c>
      <c r="AC40" s="28" t="n">
        <f aca="false">AA40+AB40</f>
        <v>152</v>
      </c>
      <c r="AD40" s="27" t="n">
        <v>121</v>
      </c>
      <c r="AE40" s="27" t="n">
        <v>137</v>
      </c>
      <c r="AF40" s="33" t="n">
        <v>410</v>
      </c>
      <c r="AG40" s="27" t="n">
        <v>95</v>
      </c>
      <c r="AH40" s="27" t="n">
        <v>-69</v>
      </c>
      <c r="AI40" s="28" t="n">
        <f aca="false">AG40+AH40</f>
        <v>26</v>
      </c>
      <c r="AJ40" s="27" t="n">
        <v>79</v>
      </c>
      <c r="AK40" s="27" t="n">
        <v>128</v>
      </c>
      <c r="AL40" s="33" t="n">
        <v>233</v>
      </c>
      <c r="AM40" s="27" t="n">
        <v>93</v>
      </c>
      <c r="AN40" s="27" t="n">
        <v>76</v>
      </c>
      <c r="AO40" s="28" t="n">
        <f aca="false">AM40+AN40</f>
        <v>169</v>
      </c>
      <c r="AP40" s="27" t="n">
        <v>88</v>
      </c>
      <c r="AQ40" s="27" t="n">
        <v>95</v>
      </c>
      <c r="AR40" s="33" t="n">
        <v>352</v>
      </c>
      <c r="AS40" s="27" t="n">
        <v>81</v>
      </c>
      <c r="AT40" s="27" t="n">
        <v>94</v>
      </c>
      <c r="AU40" s="28" t="n">
        <f aca="false">AS40+AT40</f>
        <v>175</v>
      </c>
      <c r="AV40" s="27" t="n">
        <v>102</v>
      </c>
      <c r="AW40" s="27" t="n">
        <v>80</v>
      </c>
      <c r="AX40" s="33" t="n">
        <v>357</v>
      </c>
      <c r="AY40" s="27" t="n">
        <v>84</v>
      </c>
      <c r="AZ40" s="27" t="n">
        <v>95</v>
      </c>
      <c r="BA40" s="28" t="n">
        <f aca="false">AY40+AZ40</f>
        <v>179</v>
      </c>
      <c r="BB40" s="27" t="n">
        <v>90</v>
      </c>
      <c r="BC40" s="27" t="n">
        <v>110</v>
      </c>
      <c r="BD40" s="33" t="n">
        <v>379</v>
      </c>
      <c r="BE40" s="27" t="n">
        <v>82</v>
      </c>
      <c r="BF40" s="27" t="n">
        <v>111</v>
      </c>
      <c r="BG40" s="28" t="n">
        <f aca="false">BE40+BF40</f>
        <v>193</v>
      </c>
      <c r="BH40" s="27" t="n">
        <v>15</v>
      </c>
      <c r="BI40" s="27" t="n">
        <v>38</v>
      </c>
      <c r="BJ40" s="33" t="n">
        <v>246</v>
      </c>
      <c r="BK40" s="27" t="n">
        <v>85</v>
      </c>
      <c r="BL40" s="27" t="n">
        <v>82</v>
      </c>
      <c r="BM40" s="28" t="n">
        <f aca="false">BK40+BL40</f>
        <v>167</v>
      </c>
      <c r="BN40" s="27" t="n">
        <v>80</v>
      </c>
      <c r="BO40" s="27" t="n">
        <v>84</v>
      </c>
      <c r="BP40" s="33" t="n">
        <v>331</v>
      </c>
      <c r="BQ40" s="27" t="n">
        <v>88</v>
      </c>
      <c r="BR40" s="27" t="n">
        <v>111</v>
      </c>
      <c r="BS40" s="28" t="n">
        <f aca="false">BQ40+BR40</f>
        <v>199</v>
      </c>
      <c r="BT40" s="34" t="n">
        <f aca="false">(CHOOSE(MATCH($CA$2,{"Bull","Base","Bear"},0),$CI$12,$CJ$12,$CK$12)*CHOOSE(MATCH($CA$2,{"Bull","Base","Bear"},0),$CI$13,$CJ$13,$CK$13)-BS40-BS14)*BT39*BS40/BS39/(BT39*BS40/BS39+BT13*BS14/BS13)/2</f>
        <v>109.823937908497</v>
      </c>
      <c r="BU40" s="34" t="n">
        <f aca="false">(CHOOSE(MATCH($CA$2,{"Bull","Base","Bear"},0),$CI$12,$CJ$12,$CK$12)*CHOOSE(MATCH($CA$2,{"Bull","Base","Bear"},0),$CI$13,$CJ$13,$CK$13)-BS40-BS14)*BU39*BS40/BS39/(BU39*BS40/BS39+BU13*BS14/BS13)/2</f>
        <v>109.823937908497</v>
      </c>
      <c r="BV40" s="34" t="n">
        <f aca="false">SUM(BQ40,BR40,BT40,BU40)</f>
        <v>418.647875816993</v>
      </c>
      <c r="BW40" s="34" t="n">
        <f aca="false">BW39*BW46</f>
        <v>514.186879425649</v>
      </c>
      <c r="BX40" s="34" t="n">
        <f aca="false">BX39*BX46</f>
        <v>565.224688198269</v>
      </c>
      <c r="BY40" s="34" t="n">
        <f aca="false">BY39*BY46</f>
        <v>617.608904836644</v>
      </c>
      <c r="BZ40" s="34" t="n">
        <f aca="false">BZ39*BZ46</f>
        <v>670.851051805321</v>
      </c>
      <c r="CA40" s="16" t="s">
        <v>99</v>
      </c>
      <c r="CC40" s="30" t="n">
        <f aca="false">IFERROR((BZ40/BP40)^(1/5)-1,"n/m")</f>
        <v>0.15175371632509</v>
      </c>
      <c r="CD40" s="30" t="n">
        <f aca="false">IFERROR((BP40/AL40)^(1/5)-1,"n/m")</f>
        <v>0.0727398512674262</v>
      </c>
      <c r="CE40" s="30" t="n">
        <f aca="false">IFERROR((BP40/H40)^(1/10)-1,"n/m")</f>
        <v>-0.0190014575453465</v>
      </c>
      <c r="CH40" s="24" t="s">
        <v>134</v>
      </c>
      <c r="CI40" s="46" t="n">
        <f aca="false">CJ40+$CI$39</f>
        <v>0.06</v>
      </c>
      <c r="CJ40" s="41" t="n">
        <v>0.04</v>
      </c>
      <c r="CK40" s="46" t="n">
        <f aca="false">CJ40+$CK$39</f>
        <v>0.01</v>
      </c>
    </row>
    <row r="41" customFormat="false" ht="15" hidden="false" customHeight="false" outlineLevel="0" collapsed="false">
      <c r="B41" s="1" t="s">
        <v>101</v>
      </c>
      <c r="C41" s="2"/>
      <c r="D41" s="2"/>
      <c r="E41" s="2"/>
      <c r="F41" s="2"/>
      <c r="G41" s="2"/>
      <c r="H41" s="23" t="n">
        <v>102</v>
      </c>
      <c r="I41" s="2"/>
      <c r="J41" s="2"/>
      <c r="K41" s="2"/>
      <c r="L41" s="2"/>
      <c r="M41" s="2"/>
      <c r="N41" s="23" t="n">
        <v>109</v>
      </c>
      <c r="O41" s="2"/>
      <c r="P41" s="2"/>
      <c r="Q41" s="2"/>
      <c r="R41" s="2"/>
      <c r="S41" s="2"/>
      <c r="T41" s="23" t="n">
        <v>107</v>
      </c>
      <c r="U41" s="2"/>
      <c r="V41" s="2"/>
      <c r="W41" s="2"/>
      <c r="X41" s="2"/>
      <c r="Y41" s="2"/>
      <c r="Z41" s="23" t="n">
        <v>114</v>
      </c>
      <c r="AA41" s="2"/>
      <c r="AB41" s="2"/>
      <c r="AC41" s="2"/>
      <c r="AD41" s="2"/>
      <c r="AE41" s="2"/>
      <c r="AF41" s="23" t="n">
        <v>124</v>
      </c>
      <c r="AG41" s="2"/>
      <c r="AH41" s="2"/>
      <c r="AI41" s="2"/>
      <c r="AJ41" s="2"/>
      <c r="AK41" s="2"/>
      <c r="AL41" s="23" t="n">
        <v>133</v>
      </c>
      <c r="AM41" s="2"/>
      <c r="AN41" s="2"/>
      <c r="AO41" s="2"/>
      <c r="AP41" s="2"/>
      <c r="AQ41" s="2"/>
      <c r="AR41" s="23" t="n">
        <v>146</v>
      </c>
      <c r="AS41" s="2"/>
      <c r="AT41" s="2"/>
      <c r="AU41" s="2"/>
      <c r="AV41" s="2"/>
      <c r="AW41" s="2"/>
      <c r="AX41" s="23" t="n">
        <v>148</v>
      </c>
      <c r="AY41" s="2"/>
      <c r="AZ41" s="2"/>
      <c r="BA41" s="2"/>
      <c r="BB41" s="2"/>
      <c r="BC41" s="2"/>
      <c r="BD41" s="23" t="n">
        <v>150</v>
      </c>
      <c r="BE41" s="23" t="n">
        <v>34</v>
      </c>
      <c r="BF41" s="23" t="n">
        <v>33</v>
      </c>
      <c r="BG41" s="2" t="n">
        <f aca="false">BE41+BF41</f>
        <v>67</v>
      </c>
      <c r="BH41" s="23" t="n">
        <v>34</v>
      </c>
      <c r="BI41" s="23" t="n">
        <v>35</v>
      </c>
      <c r="BJ41" s="23" t="n">
        <v>136</v>
      </c>
      <c r="BK41" s="23" t="n">
        <v>33</v>
      </c>
      <c r="BL41" s="23" t="n">
        <v>36</v>
      </c>
      <c r="BM41" s="2" t="n">
        <f aca="false">BK41+BL41</f>
        <v>69</v>
      </c>
      <c r="BN41" s="23" t="n">
        <v>34</v>
      </c>
      <c r="BO41" s="23" t="n">
        <v>38</v>
      </c>
      <c r="BP41" s="23" t="n">
        <v>141</v>
      </c>
      <c r="BQ41" s="23" t="n">
        <v>35</v>
      </c>
      <c r="BR41" s="23" t="n">
        <v>36</v>
      </c>
      <c r="BS41" s="2" t="n">
        <f aca="false">BQ41+BR41</f>
        <v>71</v>
      </c>
      <c r="BT41" s="3" t="n">
        <f aca="false">BS41/2*($CJ$24-BS102)/BS102</f>
        <v>40.0806451612903</v>
      </c>
      <c r="BU41" s="3" t="n">
        <f aca="false">BS41/2*($CJ$24-BS102)/BS102</f>
        <v>40.0806451612903</v>
      </c>
      <c r="BV41" s="3" t="n">
        <f aca="false">SUM(BQ41,BR41,BT41,BU41)</f>
        <v>151.161290322581</v>
      </c>
      <c r="BW41" s="3" t="n">
        <f aca="false">BW39*BW58</f>
        <v>163.778043076318</v>
      </c>
      <c r="BX41" s="3" t="n">
        <f aca="false">BX39*BX58</f>
        <v>173.604725660897</v>
      </c>
      <c r="BY41" s="3" t="n">
        <f aca="false">BY39*BY58</f>
        <v>183.152985572246</v>
      </c>
      <c r="BZ41" s="3" t="n">
        <f aca="false">BZ39*BZ58</f>
        <v>192.310634850859</v>
      </c>
      <c r="CA41" s="16" t="s">
        <v>102</v>
      </c>
      <c r="CC41" s="5"/>
      <c r="CD41" s="5"/>
      <c r="CE41" s="5"/>
      <c r="CH41" s="24" t="s">
        <v>136</v>
      </c>
      <c r="CI41" s="46" t="n">
        <f aca="false">CJ41+$CI$39</f>
        <v>0.06</v>
      </c>
      <c r="CJ41" s="41" t="n">
        <v>0.04</v>
      </c>
      <c r="CK41" s="46" t="n">
        <f aca="false">CJ41+$CK$39</f>
        <v>0.01</v>
      </c>
    </row>
    <row r="42" customFormat="false" ht="15" hidden="false" customHeight="false" outlineLevel="0" collapsed="false">
      <c r="B42" s="26" t="s">
        <v>104</v>
      </c>
      <c r="C42" s="28" t="str">
        <f aca="false">IF(ISNUMBER(C41),C40+C41,"")</f>
        <v/>
      </c>
      <c r="D42" s="28" t="str">
        <f aca="false">IF(ISNUMBER(D41),D40+D41,"")</f>
        <v/>
      </c>
      <c r="E42" s="28" t="str">
        <f aca="false">IF(ISNUMBER(E41),E40+E41,"")</f>
        <v/>
      </c>
      <c r="F42" s="28" t="str">
        <f aca="false">IF(ISNUMBER(F41),F40+F41,"")</f>
        <v/>
      </c>
      <c r="G42" s="28" t="str">
        <f aca="false">IF(ISNUMBER(G41),G40+G41,"")</f>
        <v/>
      </c>
      <c r="H42" s="28" t="n">
        <f aca="false">IF(ISNUMBER(H41),H40+H41,"")</f>
        <v>503</v>
      </c>
      <c r="I42" s="28" t="str">
        <f aca="false">IF(ISNUMBER(I41),I40+I41,"")</f>
        <v/>
      </c>
      <c r="J42" s="28" t="str">
        <f aca="false">IF(ISNUMBER(J41),J40+J41,"")</f>
        <v/>
      </c>
      <c r="K42" s="28" t="str">
        <f aca="false">IF(ISNUMBER(K41),K40+K41,"")</f>
        <v/>
      </c>
      <c r="L42" s="28" t="str">
        <f aca="false">IF(ISNUMBER(L41),L40+L41,"")</f>
        <v/>
      </c>
      <c r="M42" s="28" t="str">
        <f aca="false">IF(ISNUMBER(M41),M40+M41,"")</f>
        <v/>
      </c>
      <c r="N42" s="28" t="n">
        <f aca="false">IF(ISNUMBER(N41),N40+N41,"")</f>
        <v>495</v>
      </c>
      <c r="O42" s="28" t="str">
        <f aca="false">IF(ISNUMBER(O41),O40+O41,"")</f>
        <v/>
      </c>
      <c r="P42" s="28" t="str">
        <f aca="false">IF(ISNUMBER(P41),P40+P41,"")</f>
        <v/>
      </c>
      <c r="Q42" s="28" t="str">
        <f aca="false">IF(ISNUMBER(Q41),Q40+Q41,"")</f>
        <v/>
      </c>
      <c r="R42" s="28" t="str">
        <f aca="false">IF(ISNUMBER(R41),R40+R41,"")</f>
        <v/>
      </c>
      <c r="S42" s="28" t="str">
        <f aca="false">IF(ISNUMBER(S41),S40+S41,"")</f>
        <v/>
      </c>
      <c r="T42" s="28" t="n">
        <f aca="false">IF(ISNUMBER(T41),T40+T41,"")</f>
        <v>461</v>
      </c>
      <c r="U42" s="28" t="str">
        <f aca="false">IF(ISNUMBER(U41),U40+U41,"")</f>
        <v/>
      </c>
      <c r="V42" s="28" t="str">
        <f aca="false">IF(ISNUMBER(V41),V40+V41,"")</f>
        <v/>
      </c>
      <c r="W42" s="28" t="str">
        <f aca="false">IF(ISNUMBER(W41),W40+W41,"")</f>
        <v/>
      </c>
      <c r="X42" s="28" t="str">
        <f aca="false">IF(ISNUMBER(X41),X40+X41,"")</f>
        <v/>
      </c>
      <c r="Y42" s="28" t="str">
        <f aca="false">IF(ISNUMBER(Y41),Y40+Y41,"")</f>
        <v/>
      </c>
      <c r="Z42" s="28" t="n">
        <f aca="false">IF(ISNUMBER(Z41),Z40+Z41,"")</f>
        <v>444</v>
      </c>
      <c r="AA42" s="28" t="str">
        <f aca="false">IF(ISNUMBER(AA41),AA40+AA41,"")</f>
        <v/>
      </c>
      <c r="AB42" s="28" t="str">
        <f aca="false">IF(ISNUMBER(AB41),AB40+AB41,"")</f>
        <v/>
      </c>
      <c r="AC42" s="28" t="str">
        <f aca="false">IF(ISNUMBER(AC41),AC40+AC41,"")</f>
        <v/>
      </c>
      <c r="AD42" s="28" t="str">
        <f aca="false">IF(ISNUMBER(AD41),AD40+AD41,"")</f>
        <v/>
      </c>
      <c r="AE42" s="28" t="str">
        <f aca="false">IF(ISNUMBER(AE41),AE40+AE41,"")</f>
        <v/>
      </c>
      <c r="AF42" s="28" t="n">
        <f aca="false">IF(ISNUMBER(AF41),AF40+AF41,"")</f>
        <v>534</v>
      </c>
      <c r="AG42" s="28" t="str">
        <f aca="false">IF(ISNUMBER(AG41),AG40+AG41,"")</f>
        <v/>
      </c>
      <c r="AH42" s="28" t="str">
        <f aca="false">IF(ISNUMBER(AH41),AH40+AH41,"")</f>
        <v/>
      </c>
      <c r="AI42" s="28" t="str">
        <f aca="false">IF(ISNUMBER(AI41),AI40+AI41,"")</f>
        <v/>
      </c>
      <c r="AJ42" s="28" t="str">
        <f aca="false">IF(ISNUMBER(AJ41),AJ40+AJ41,"")</f>
        <v/>
      </c>
      <c r="AK42" s="28" t="str">
        <f aca="false">IF(ISNUMBER(AK41),AK40+AK41,"")</f>
        <v/>
      </c>
      <c r="AL42" s="28" t="n">
        <f aca="false">IF(ISNUMBER(AL41),AL40+AL41,"")</f>
        <v>366</v>
      </c>
      <c r="AM42" s="28" t="str">
        <f aca="false">IF(ISNUMBER(AM41),AM40+AM41,"")</f>
        <v/>
      </c>
      <c r="AN42" s="28" t="str">
        <f aca="false">IF(ISNUMBER(AN41),AN40+AN41,"")</f>
        <v/>
      </c>
      <c r="AO42" s="28" t="str">
        <f aca="false">IF(ISNUMBER(AO41),AO40+AO41,"")</f>
        <v/>
      </c>
      <c r="AP42" s="28" t="str">
        <f aca="false">IF(ISNUMBER(AP41),AP40+AP41,"")</f>
        <v/>
      </c>
      <c r="AQ42" s="28" t="str">
        <f aca="false">IF(ISNUMBER(AQ41),AQ40+AQ41,"")</f>
        <v/>
      </c>
      <c r="AR42" s="28" t="n">
        <f aca="false">IF(ISNUMBER(AR41),AR40+AR41,"")</f>
        <v>498</v>
      </c>
      <c r="AS42" s="28" t="str">
        <f aca="false">IF(ISNUMBER(AS41),AS40+AS41,"")</f>
        <v/>
      </c>
      <c r="AT42" s="28" t="str">
        <f aca="false">IF(ISNUMBER(AT41),AT40+AT41,"")</f>
        <v/>
      </c>
      <c r="AU42" s="28" t="str">
        <f aca="false">IF(ISNUMBER(AU41),AU40+AU41,"")</f>
        <v/>
      </c>
      <c r="AV42" s="28" t="str">
        <f aca="false">IF(ISNUMBER(AV41),AV40+AV41,"")</f>
        <v/>
      </c>
      <c r="AW42" s="28" t="str">
        <f aca="false">IF(ISNUMBER(AW41),AW40+AW41,"")</f>
        <v/>
      </c>
      <c r="AX42" s="28" t="n">
        <f aca="false">IF(ISNUMBER(AX41),AX40+AX41,"")</f>
        <v>505</v>
      </c>
      <c r="AY42" s="28" t="str">
        <f aca="false">IF(ISNUMBER(AY41),AY40+AY41,"")</f>
        <v/>
      </c>
      <c r="AZ42" s="28" t="str">
        <f aca="false">IF(ISNUMBER(AZ41),AZ40+AZ41,"")</f>
        <v/>
      </c>
      <c r="BA42" s="28" t="str">
        <f aca="false">IF(ISNUMBER(BA41),BA40+BA41,"")</f>
        <v/>
      </c>
      <c r="BB42" s="28" t="str">
        <f aca="false">IF(ISNUMBER(BB41),BB40+BB41,"")</f>
        <v/>
      </c>
      <c r="BC42" s="28" t="str">
        <f aca="false">IF(ISNUMBER(BC41),BC40+BC41,"")</f>
        <v/>
      </c>
      <c r="BD42" s="28" t="n">
        <f aca="false">IF(ISNUMBER(BD41),BD40+BD41,"")</f>
        <v>529</v>
      </c>
      <c r="BE42" s="28" t="n">
        <f aca="false">IF(ISNUMBER(BE41),BE40+BE41,"")</f>
        <v>116</v>
      </c>
      <c r="BF42" s="28" t="n">
        <f aca="false">IF(ISNUMBER(BF41),BF40+BF41,"")</f>
        <v>144</v>
      </c>
      <c r="BG42" s="28" t="n">
        <f aca="false">IF(ISNUMBER(BG41),BG40+BG41,"")</f>
        <v>260</v>
      </c>
      <c r="BH42" s="28" t="n">
        <f aca="false">IF(ISNUMBER(BH41),BH40+BH41,"")</f>
        <v>49</v>
      </c>
      <c r="BI42" s="28" t="n">
        <f aca="false">IF(ISNUMBER(BI41),BI40+BI41,"")</f>
        <v>73</v>
      </c>
      <c r="BJ42" s="28" t="n">
        <f aca="false">IF(ISNUMBER(BJ41),BJ40+BJ41,"")</f>
        <v>382</v>
      </c>
      <c r="BK42" s="28" t="n">
        <f aca="false">IF(ISNUMBER(BK41),BK40+BK41,"")</f>
        <v>118</v>
      </c>
      <c r="BL42" s="28" t="n">
        <f aca="false">IF(ISNUMBER(BL41),BL40+BL41,"")</f>
        <v>118</v>
      </c>
      <c r="BM42" s="28" t="n">
        <f aca="false">IF(ISNUMBER(BM41),BM40+BM41,"")</f>
        <v>236</v>
      </c>
      <c r="BN42" s="28" t="n">
        <f aca="false">IF(ISNUMBER(BN41),BN40+BN41,"")</f>
        <v>114</v>
      </c>
      <c r="BO42" s="28" t="n">
        <f aca="false">IF(ISNUMBER(BO41),BO40+BO41,"")</f>
        <v>122</v>
      </c>
      <c r="BP42" s="28" t="n">
        <f aca="false">IF(ISNUMBER(BP41),BP40+BP41,"")</f>
        <v>472</v>
      </c>
      <c r="BQ42" s="28" t="n">
        <f aca="false">IF(ISNUMBER(BQ41),BQ40+BQ41,"")</f>
        <v>123</v>
      </c>
      <c r="BR42" s="28" t="n">
        <f aca="false">IF(ISNUMBER(BR41),BR40+BR41,"")</f>
        <v>147</v>
      </c>
      <c r="BS42" s="28" t="n">
        <f aca="false">IF(ISNUMBER(BS41),BS40+BS41,"")</f>
        <v>270</v>
      </c>
      <c r="BT42" s="29" t="n">
        <f aca="false">IF(ISNUMBER(BT41),BT40+BT41,"")</f>
        <v>149.904583069787</v>
      </c>
      <c r="BU42" s="29" t="n">
        <f aca="false">IF(ISNUMBER(BU41),BU40+BU41,"")</f>
        <v>149.904583069787</v>
      </c>
      <c r="BV42" s="29" t="n">
        <f aca="false">IF(ISNUMBER(BV41),BV40+BV41,"")</f>
        <v>569.809166139574</v>
      </c>
      <c r="BW42" s="29" t="n">
        <f aca="false">IF(ISNUMBER(BW41),BW40+BW41,"")</f>
        <v>677.964922501967</v>
      </c>
      <c r="BX42" s="29" t="n">
        <f aca="false">IF(ISNUMBER(BX41),BX40+BX41,"")</f>
        <v>738.829413859166</v>
      </c>
      <c r="BY42" s="29" t="n">
        <f aca="false">IF(ISNUMBER(BY41),BY40+BY41,"")</f>
        <v>800.761890408891</v>
      </c>
      <c r="BZ42" s="29" t="n">
        <f aca="false">IF(ISNUMBER(BZ41),BZ40+BZ41,"")</f>
        <v>863.161686656179</v>
      </c>
      <c r="CA42" s="16" t="s">
        <v>105</v>
      </c>
      <c r="CC42" s="30" t="n">
        <f aca="false">IFERROR((BZ42/BP42)^(1/5)-1,"n/m")</f>
        <v>0.128314141369625</v>
      </c>
      <c r="CD42" s="30" t="n">
        <f aca="false">IFERROR((BP42/AL42)^(1/5)-1,"n/m")</f>
        <v>0.0521851852569455</v>
      </c>
      <c r="CE42" s="30" t="n">
        <f aca="false">IFERROR((BP42/H42)^(1/10)-1,"n/m")</f>
        <v>-0.00634092936850728</v>
      </c>
      <c r="CH42" s="24" t="s">
        <v>139</v>
      </c>
      <c r="CI42" s="46" t="n">
        <f aca="false">CJ42+$CI$39</f>
        <v>0.065</v>
      </c>
      <c r="CJ42" s="41" t="n">
        <v>0.045</v>
      </c>
      <c r="CK42" s="46" t="n">
        <f aca="false">CJ42+$CK$39</f>
        <v>0.015</v>
      </c>
    </row>
    <row r="43" customFormat="false" ht="15" hidden="false" customHeight="false" outlineLevel="0" collapsed="false">
      <c r="B43" s="35" t="s">
        <v>107</v>
      </c>
      <c r="C43" s="36"/>
      <c r="D43" s="36"/>
      <c r="E43" s="36"/>
      <c r="F43" s="36"/>
      <c r="G43" s="36"/>
      <c r="H43" s="36"/>
      <c r="I43" s="37" t="n">
        <f aca="false">IFERROR(I39/C39-1,"")</f>
        <v>-0.0640904806786051</v>
      </c>
      <c r="J43" s="37" t="n">
        <f aca="false">IFERROR(J39/D39-1,"")</f>
        <v>-0.143224699828473</v>
      </c>
      <c r="K43" s="37" t="n">
        <f aca="false">IFERROR(K39/E39-1,"")</f>
        <v>-0.105523125280647</v>
      </c>
      <c r="L43" s="37" t="n">
        <f aca="false">IFERROR(L39/F39-1,"")</f>
        <v>-0.169073916737468</v>
      </c>
      <c r="M43" s="37" t="n">
        <f aca="false">IFERROR(M39/G39-1,"")</f>
        <v>-0.0628140703517588</v>
      </c>
      <c r="N43" s="37" t="n">
        <f aca="false">IFERROR(N39/H39-1,"")</f>
        <v>-0.0486272684969753</v>
      </c>
      <c r="O43" s="37" t="n">
        <f aca="false">IFERROR(O39/I39-1,"")</f>
        <v>-0.0221550855991943</v>
      </c>
      <c r="P43" s="37" t="n">
        <f aca="false">IFERROR(P39/J39-1,"")</f>
        <v>0.00200200200200196</v>
      </c>
      <c r="Q43" s="37" t="n">
        <f aca="false">IFERROR(Q39/K39-1,"")</f>
        <v>-0.0100401606425703</v>
      </c>
      <c r="R43" s="37" t="n">
        <f aca="false">IFERROR(R39/L39-1,"")</f>
        <v>0.0766871165644172</v>
      </c>
      <c r="S43" s="37" t="n">
        <f aca="false">IFERROR(S39/M39-1,"")</f>
        <v>0.0178731009830206</v>
      </c>
      <c r="T43" s="37" t="n">
        <f aca="false">IFERROR(T39/N39-1,"")</f>
        <v>0.0183418928833456</v>
      </c>
      <c r="U43" s="37" t="n">
        <f aca="false">IFERROR(U39/O39-1,"")</f>
        <v>0.114315139031926</v>
      </c>
      <c r="V43" s="37" t="n">
        <f aca="false">IFERROR(V39/P39-1,"")</f>
        <v>0.181818181818182</v>
      </c>
      <c r="W43" s="37" t="n">
        <f aca="false">IFERROR(W39/Q39-1,"")</f>
        <v>0.148580121703854</v>
      </c>
      <c r="X43" s="37" t="n">
        <f aca="false">IFERROR(X39/R39-1,"")</f>
        <v>0.11965811965812</v>
      </c>
      <c r="Y43" s="37" t="n">
        <f aca="false">IFERROR(Y39/S39-1,"")</f>
        <v>0.187006145741879</v>
      </c>
      <c r="Z43" s="37" t="n">
        <f aca="false">IFERROR(Z39/T39-1,"")</f>
        <v>0.151777137367916</v>
      </c>
      <c r="AA43" s="37" t="n">
        <f aca="false">IFERROR(AA39/U39-1,"")</f>
        <v>0.182070240295749</v>
      </c>
      <c r="AB43" s="37" t="n">
        <f aca="false">IFERROR(AB39/V39-1,"")</f>
        <v>0.0811496196111581</v>
      </c>
      <c r="AC43" s="37" t="n">
        <f aca="false">IFERROR(AC39/W39-1,"")</f>
        <v>0.129359823399559</v>
      </c>
      <c r="AD43" s="37" t="n">
        <f aca="false">IFERROR(AD39/X39-1,"")</f>
        <v>0.0805767599660729</v>
      </c>
      <c r="AE43" s="37" t="n">
        <f aca="false">IFERROR(AE39/Y39-1,"")</f>
        <v>0.0347633136094674</v>
      </c>
      <c r="AF43" s="37" t="n">
        <f aca="false">IFERROR(AF39/Z39-1,"")</f>
        <v>0.0907005838198498</v>
      </c>
      <c r="AG43" s="37" t="n">
        <f aca="false">IFERROR(AG39/AA39-1,"")</f>
        <v>0.0484753713838937</v>
      </c>
      <c r="AH43" s="37" t="n">
        <f aca="false">IFERROR(AH39/AB39-1,"")</f>
        <v>-0.122752150117279</v>
      </c>
      <c r="AI43" s="37" t="n">
        <f aca="false">IFERROR(AI39/AC39-1,"")</f>
        <v>-0.0371383893666928</v>
      </c>
      <c r="AJ43" s="37" t="n">
        <f aca="false">IFERROR(AJ39/AD39-1,"")</f>
        <v>0.0659340659340659</v>
      </c>
      <c r="AK43" s="37" t="n">
        <f aca="false">IFERROR(AK39/AE39-1,"")</f>
        <v>0.250893495353824</v>
      </c>
      <c r="AL43" s="37" t="n">
        <f aca="false">IFERROR(AL39/AF39-1,"")</f>
        <v>0.0649971324794494</v>
      </c>
      <c r="AM43" s="37" t="n">
        <f aca="false">IFERROR(AM39/AG39-1,"")</f>
        <v>0.0492170022371365</v>
      </c>
      <c r="AN43" s="37" t="n">
        <f aca="false">IFERROR(AN39/AH39-1,"")</f>
        <v>0.214795008912656</v>
      </c>
      <c r="AO43" s="37" t="n">
        <f aca="false">IFERROR(AO39/AI39-1,"")</f>
        <v>0.124644742184328</v>
      </c>
      <c r="AP43" s="37" t="n">
        <f aca="false">IFERROR(AP39/AJ39-1,"")</f>
        <v>-0.00294550810014727</v>
      </c>
      <c r="AQ43" s="37" t="n">
        <f aca="false">IFERROR(AQ39/AK39-1,"")</f>
        <v>-0.120571428571429</v>
      </c>
      <c r="AR43" s="37" t="n">
        <f aca="false">IFERROR(AR39/AL39-1,"")</f>
        <v>0.0165140908274997</v>
      </c>
      <c r="AS43" s="37" t="n">
        <f aca="false">IFERROR(AS39/AM39-1,"")</f>
        <v>-0.0120824449182658</v>
      </c>
      <c r="AT43" s="37" t="n">
        <f aca="false">IFERROR(AT39/AN39-1,"")</f>
        <v>0.0513573000733676</v>
      </c>
      <c r="AU43" s="37" t="n">
        <f aca="false">IFERROR(AU39/AO39-1,"")</f>
        <v>0.0191335740072203</v>
      </c>
      <c r="AV43" s="37" t="n">
        <f aca="false">IFERROR(AV39/AP39-1,"")</f>
        <v>0.0672082717872968</v>
      </c>
      <c r="AW43" s="37" t="n">
        <f aca="false">IFERROR(AW39/AQ39-1,"")</f>
        <v>0.0292397660818713</v>
      </c>
      <c r="AX43" s="37" t="n">
        <f aca="false">IFERROR(AX39/AR39-1,"")</f>
        <v>0.0333745364647713</v>
      </c>
      <c r="AY43" s="37" t="n">
        <f aca="false">IFERROR(AY39/AS39-1,"")</f>
        <v>0.0834532374100721</v>
      </c>
      <c r="AZ43" s="37" t="n">
        <f aca="false">IFERROR(AZ39/AT39-1,"")</f>
        <v>0.0530355896720167</v>
      </c>
      <c r="BA43" s="37" t="n">
        <f aca="false">IFERROR(BA39/AU39-1,"")</f>
        <v>0.0680127523910734</v>
      </c>
      <c r="BB43" s="37" t="n">
        <f aca="false">IFERROR(BB39/AV39-1,"")</f>
        <v>0.00553633217993088</v>
      </c>
      <c r="BC43" s="37" t="n">
        <f aca="false">IFERROR(BC39/AW39-1,"")</f>
        <v>0.0511363636363635</v>
      </c>
      <c r="BD43" s="37" t="n">
        <f aca="false">IFERROR(BD39/AX39-1,"")</f>
        <v>0.0480177717019823</v>
      </c>
      <c r="BE43" s="37" t="n">
        <f aca="false">IFERROR(BE39/AY39-1,"")</f>
        <v>-0.047808764940239</v>
      </c>
      <c r="BF43" s="37" t="n">
        <f aca="false">IFERROR(BF39/AZ39-1,"")</f>
        <v>0.0172299536116634</v>
      </c>
      <c r="BG43" s="37" t="n">
        <f aca="false">IFERROR(BG39/BA39-1,"")</f>
        <v>-0.015257048092869</v>
      </c>
      <c r="BH43" s="37" t="n">
        <f aca="false">IFERROR(BH39/BB39-1,"")</f>
        <v>-0.0282174810736408</v>
      </c>
      <c r="BI43" s="37" t="n">
        <f aca="false">IFERROR(BI39/BC39-1,"")</f>
        <v>-0.0462462462462463</v>
      </c>
      <c r="BJ43" s="37" t="n">
        <f aca="false">IFERROR(BJ39/BD39-1,"")</f>
        <v>-0.0267405837273765</v>
      </c>
      <c r="BK43" s="37" t="n">
        <f aca="false">IFERROR(BK39/BE39-1,"")</f>
        <v>-0.0264993026499303</v>
      </c>
      <c r="BL43" s="37" t="n">
        <f aca="false">IFERROR(BL39/BF39-1,"")</f>
        <v>0.0442996742671009</v>
      </c>
      <c r="BM43" s="37" t="n">
        <f aca="false">IFERROR(BM39/BG39-1,"")</f>
        <v>0.0101044122600202</v>
      </c>
      <c r="BN43" s="37" t="n">
        <f aca="false">IFERROR(BN39/BH39-1,"")</f>
        <v>0.145184135977337</v>
      </c>
      <c r="BO43" s="37" t="n">
        <f aca="false">IFERROR(BO39/BI39-1,"")</f>
        <v>0.19080604534005</v>
      </c>
      <c r="BP43" s="37" t="n">
        <f aca="false">IFERROR(BP39/BJ39-1,"")</f>
        <v>0.0901323504774669</v>
      </c>
      <c r="BQ43" s="37" t="n">
        <f aca="false">IFERROR(BQ39/BK39-1,"")</f>
        <v>0.19269340974212</v>
      </c>
      <c r="BR43" s="37" t="n">
        <f aca="false">IFERROR(BR39/BL39-1,"")</f>
        <v>0.153462258265752</v>
      </c>
      <c r="BS43" s="37" t="n">
        <f aca="false">IFERROR(BS39/BM39-1,"")</f>
        <v>0.171723907969323</v>
      </c>
      <c r="BT43" s="38" t="n">
        <f aca="false">IFERROR(BT39/BN39-1,"")</f>
        <v>0.114791843352032</v>
      </c>
      <c r="BU43" s="38" t="n">
        <f aca="false">IFERROR(BU39/BO39-1,"")</f>
        <v>-0.0467380165519641</v>
      </c>
      <c r="BV43" s="38" t="n">
        <f aca="false">IFERROR(BV39/BP39-1,"")</f>
        <v>0.094088953649988</v>
      </c>
      <c r="BW43" s="38" t="n">
        <f aca="false">CHOOSE(MATCH($CA$2,{"Bull","Base","Bear"},0),$CI$34,$CJ$34,$CK$34)</f>
        <v>0.07</v>
      </c>
      <c r="BX43" s="38" t="n">
        <f aca="false">CHOOSE(MATCH($CA$2,{"Bull","Base","Bear"},0),$CI$35,$CJ$35,$CK$35)</f>
        <v>0.06</v>
      </c>
      <c r="BY43" s="38" t="n">
        <f aca="false">CHOOSE(MATCH($CA$2,{"Bull","Base","Bear"},0),$CI$36,$CJ$36,$CK$36)</f>
        <v>0.055</v>
      </c>
      <c r="BZ43" s="38" t="n">
        <f aca="false">CHOOSE(MATCH($CA$2,{"Bull","Base","Bear"},0),$CI$37,$CJ$37,$CK$37)</f>
        <v>0.05</v>
      </c>
      <c r="CA43" s="16" t="s">
        <v>153</v>
      </c>
      <c r="CC43" s="5"/>
      <c r="CD43" s="5"/>
      <c r="CE43" s="5"/>
      <c r="CH43" s="24" t="s">
        <v>142</v>
      </c>
      <c r="CI43" s="46" t="n">
        <f aca="false">CJ43+$CI$39</f>
        <v>0.065</v>
      </c>
      <c r="CJ43" s="41" t="n">
        <v>0.045</v>
      </c>
      <c r="CK43" s="46" t="n">
        <f aca="false">CJ43+$CK$39</f>
        <v>0.015</v>
      </c>
    </row>
    <row r="44" customFormat="false" ht="15" hidden="false" customHeight="false" outlineLevel="0" collapsed="false">
      <c r="B44" s="35" t="s">
        <v>109</v>
      </c>
      <c r="C44" s="36"/>
      <c r="D44" s="36"/>
      <c r="E44" s="36"/>
      <c r="F44" s="36"/>
      <c r="G44" s="36"/>
      <c r="H44" s="36"/>
      <c r="I44" s="37" t="n">
        <f aca="false">IFERROR(I40/C40-1,"")</f>
        <v>-0.129032258064516</v>
      </c>
      <c r="J44" s="37" t="n">
        <f aca="false">IFERROR(J40/D40-1,"")</f>
        <v>-0.100917431192661</v>
      </c>
      <c r="K44" s="37" t="n">
        <f aca="false">IFERROR(K40/E40-1,"")</f>
        <v>-0.113861386138614</v>
      </c>
      <c r="L44" s="37" t="n">
        <f aca="false">IFERROR(L40/F40-1,"")</f>
        <v>-0.32</v>
      </c>
      <c r="M44" s="37" t="n">
        <f aca="false">IFERROR(M40/G40-1,"")</f>
        <v>0.198275862068966</v>
      </c>
      <c r="N44" s="37" t="n">
        <f aca="false">IFERROR(N40/H40-1,"")</f>
        <v>-0.0374064837905237</v>
      </c>
      <c r="O44" s="37" t="n">
        <f aca="false">IFERROR(O40/I40-1,"")</f>
        <v>-0.111111111111111</v>
      </c>
      <c r="P44" s="37" t="n">
        <f aca="false">IFERROR(P40/J40-1,"")</f>
        <v>-0.183673469387755</v>
      </c>
      <c r="Q44" s="37" t="n">
        <f aca="false">IFERROR(Q40/K40-1,"")</f>
        <v>-0.150837988826816</v>
      </c>
      <c r="R44" s="37" t="n">
        <f aca="false">IFERROR(R40/L40-1,"")</f>
        <v>0.411764705882353</v>
      </c>
      <c r="S44" s="37" t="n">
        <f aca="false">IFERROR(S40/M40-1,"")</f>
        <v>-0.237410071942446</v>
      </c>
      <c r="T44" s="37" t="n">
        <f aca="false">IFERROR(T40/N40-1,"")</f>
        <v>-0.082901554404145</v>
      </c>
      <c r="U44" s="37" t="n">
        <f aca="false">IFERROR(U40/O40-1,"")</f>
        <v>-0.291666666666667</v>
      </c>
      <c r="V44" s="37" t="n">
        <f aca="false">IFERROR(V40/P40-1,"")</f>
        <v>0.1375</v>
      </c>
      <c r="W44" s="37" t="n">
        <f aca="false">IFERROR(W40/Q40-1,"")</f>
        <v>-0.0657894736842105</v>
      </c>
      <c r="X44" s="37" t="n">
        <f aca="false">IFERROR(X40/R40-1,"")</f>
        <v>0.239583333333333</v>
      </c>
      <c r="Y44" s="37" t="n">
        <f aca="false">IFERROR(Y40/S40-1,"")</f>
        <v>-0.349056603773585</v>
      </c>
      <c r="Z44" s="37" t="n">
        <f aca="false">IFERROR(Z40/T40-1,"")</f>
        <v>-0.0677966101694916</v>
      </c>
      <c r="AA44" s="37" t="n">
        <f aca="false">IFERROR(AA40/U40-1,"")</f>
        <v>0.588235294117647</v>
      </c>
      <c r="AB44" s="37" t="n">
        <f aca="false">IFERROR(AB40/V40-1,"")</f>
        <v>-0.21978021978022</v>
      </c>
      <c r="AC44" s="37" t="n">
        <f aca="false">IFERROR(AC40/W40-1,"")</f>
        <v>0.0704225352112675</v>
      </c>
      <c r="AD44" s="37" t="n">
        <f aca="false">IFERROR(AD40/X40-1,"")</f>
        <v>0.0168067226890756</v>
      </c>
      <c r="AE44" s="37" t="n">
        <f aca="false">IFERROR(AE40/Y40-1,"")</f>
        <v>0.985507246376812</v>
      </c>
      <c r="AF44" s="37" t="n">
        <f aca="false">IFERROR(AF40/Z40-1,"")</f>
        <v>0.242424242424242</v>
      </c>
      <c r="AG44" s="37" t="n">
        <f aca="false">IFERROR(AG40/AA40-1,"")</f>
        <v>0.17283950617284</v>
      </c>
      <c r="AH44" s="37" t="n">
        <f aca="false">IFERROR(AH40/AB40-1,"")</f>
        <v>-1.97183098591549</v>
      </c>
      <c r="AI44" s="37" t="n">
        <f aca="false">IFERROR(AI40/AC40-1,"")</f>
        <v>-0.828947368421053</v>
      </c>
      <c r="AJ44" s="37" t="n">
        <f aca="false">IFERROR(AJ40/AD40-1,"")</f>
        <v>-0.347107438016529</v>
      </c>
      <c r="AK44" s="37" t="n">
        <f aca="false">IFERROR(AK40/AE40-1,"")</f>
        <v>-0.0656934306569343</v>
      </c>
      <c r="AL44" s="37" t="n">
        <f aca="false">IFERROR(AL40/AF40-1,"")</f>
        <v>-0.431707317073171</v>
      </c>
      <c r="AM44" s="37" t="n">
        <f aca="false">IFERROR(AM40/AG40-1,"")</f>
        <v>-0.0210526315789473</v>
      </c>
      <c r="AN44" s="37" t="n">
        <f aca="false">IFERROR(AN40/AH40-1,"")</f>
        <v>-2.10144927536232</v>
      </c>
      <c r="AO44" s="37" t="n">
        <f aca="false">IFERROR(AO40/AI40-1,"")</f>
        <v>5.5</v>
      </c>
      <c r="AP44" s="37" t="n">
        <f aca="false">IFERROR(AP40/AJ40-1,"")</f>
        <v>0.113924050632911</v>
      </c>
      <c r="AQ44" s="37" t="n">
        <f aca="false">IFERROR(AQ40/AK40-1,"")</f>
        <v>-0.2578125</v>
      </c>
      <c r="AR44" s="37" t="n">
        <f aca="false">IFERROR(AR40/AL40-1,"")</f>
        <v>0.510729613733906</v>
      </c>
      <c r="AS44" s="37" t="n">
        <f aca="false">IFERROR(AS40/AM40-1,"")</f>
        <v>-0.129032258064516</v>
      </c>
      <c r="AT44" s="37" t="n">
        <f aca="false">IFERROR(AT40/AN40-1,"")</f>
        <v>0.236842105263158</v>
      </c>
      <c r="AU44" s="37" t="n">
        <f aca="false">IFERROR(AU40/AO40-1,"")</f>
        <v>0.0355029585798816</v>
      </c>
      <c r="AV44" s="37" t="n">
        <f aca="false">IFERROR(AV40/AP40-1,"")</f>
        <v>0.159090909090909</v>
      </c>
      <c r="AW44" s="37" t="n">
        <f aca="false">IFERROR(AW40/AQ40-1,"")</f>
        <v>-0.157894736842105</v>
      </c>
      <c r="AX44" s="37" t="n">
        <f aca="false">IFERROR(AX40/AR40-1,"")</f>
        <v>0.0142045454545454</v>
      </c>
      <c r="AY44" s="37" t="n">
        <f aca="false">IFERROR(AY40/AS40-1,"")</f>
        <v>0.037037037037037</v>
      </c>
      <c r="AZ44" s="37" t="n">
        <f aca="false">IFERROR(AZ40/AT40-1,"")</f>
        <v>0.0106382978723405</v>
      </c>
      <c r="BA44" s="37" t="n">
        <f aca="false">IFERROR(BA40/AU40-1,"")</f>
        <v>0.0228571428571429</v>
      </c>
      <c r="BB44" s="37" t="n">
        <f aca="false">IFERROR(BB40/AV40-1,"")</f>
        <v>-0.117647058823529</v>
      </c>
      <c r="BC44" s="37" t="n">
        <f aca="false">IFERROR(BC40/AW40-1,"")</f>
        <v>0.375</v>
      </c>
      <c r="BD44" s="37" t="n">
        <f aca="false">IFERROR(BD40/AX40-1,"")</f>
        <v>0.061624649859944</v>
      </c>
      <c r="BE44" s="37" t="n">
        <f aca="false">IFERROR(BE40/AY40-1,"")</f>
        <v>-0.0238095238095238</v>
      </c>
      <c r="BF44" s="37" t="n">
        <f aca="false">IFERROR(BF40/AZ40-1,"")</f>
        <v>0.168421052631579</v>
      </c>
      <c r="BG44" s="37" t="n">
        <f aca="false">IFERROR(BG40/BA40-1,"")</f>
        <v>0.0782122905027933</v>
      </c>
      <c r="BH44" s="37" t="n">
        <f aca="false">IFERROR(BH40/BB40-1,"")</f>
        <v>-0.833333333333333</v>
      </c>
      <c r="BI44" s="37" t="n">
        <f aca="false">IFERROR(BI40/BC40-1,"")</f>
        <v>-0.654545454545455</v>
      </c>
      <c r="BJ44" s="37" t="n">
        <f aca="false">IFERROR(BJ40/BD40-1,"")</f>
        <v>-0.350923482849604</v>
      </c>
      <c r="BK44" s="37" t="n">
        <f aca="false">IFERROR(BK40/BE40-1,"")</f>
        <v>0.0365853658536586</v>
      </c>
      <c r="BL44" s="37" t="n">
        <f aca="false">IFERROR(BL40/BF40-1,"")</f>
        <v>-0.261261261261261</v>
      </c>
      <c r="BM44" s="37" t="n">
        <f aca="false">IFERROR(BM40/BG40-1,"")</f>
        <v>-0.134715025906736</v>
      </c>
      <c r="BN44" s="37" t="n">
        <f aca="false">IFERROR(BN40/BH40-1,"")</f>
        <v>4.33333333333333</v>
      </c>
      <c r="BO44" s="37" t="n">
        <f aca="false">IFERROR(BO40/BI40-1,"")</f>
        <v>1.21052631578947</v>
      </c>
      <c r="BP44" s="37" t="n">
        <f aca="false">IFERROR(BP40/BJ40-1,"")</f>
        <v>0.345528455284553</v>
      </c>
      <c r="BQ44" s="37" t="n">
        <f aca="false">IFERROR(BQ40/BK40-1,"")</f>
        <v>0.0352941176470589</v>
      </c>
      <c r="BR44" s="37" t="n">
        <f aca="false">IFERROR(BR40/BL40-1,"")</f>
        <v>0.353658536585366</v>
      </c>
      <c r="BS44" s="37" t="n">
        <f aca="false">IFERROR(BS40/BM40-1,"")</f>
        <v>0.191616766467066</v>
      </c>
      <c r="BT44" s="38" t="n">
        <f aca="false">IFERROR(BT40/BN40-1,"")</f>
        <v>0.372799223856209</v>
      </c>
      <c r="BU44" s="38" t="n">
        <f aca="false">IFERROR(BU40/BO40-1,"")</f>
        <v>0.307427832244009</v>
      </c>
      <c r="BV44" s="38" t="n">
        <f aca="false">IFERROR(BV40/BP40-1,"")</f>
        <v>0.264797207906325</v>
      </c>
      <c r="BW44" s="38" t="n">
        <f aca="false">IFERROR(BW40/BV40-1,"")</f>
        <v>0.22820849961847</v>
      </c>
      <c r="BX44" s="38" t="n">
        <f aca="false">IFERROR(BX40/BW40-1,"")</f>
        <v>0.0992592592592596</v>
      </c>
      <c r="BY44" s="38" t="n">
        <f aca="false">IFERROR(BY40/BX40-1,"")</f>
        <v>0.0926785714285712</v>
      </c>
      <c r="BZ44" s="38" t="n">
        <f aca="false">IFERROR(BZ40/BY40-1,"")</f>
        <v>0.0862068965517242</v>
      </c>
      <c r="CA44" s="16"/>
      <c r="CC44" s="5"/>
      <c r="CD44" s="5"/>
      <c r="CE44" s="5"/>
    </row>
    <row r="45" customFormat="false" ht="15" hidden="false" customHeight="false" outlineLevel="0" collapsed="false">
      <c r="B45" s="35" t="s">
        <v>111</v>
      </c>
      <c r="C45" s="36"/>
      <c r="D45" s="36"/>
      <c r="E45" s="36"/>
      <c r="F45" s="36"/>
      <c r="G45" s="36"/>
      <c r="H45" s="36"/>
      <c r="I45" s="37" t="str">
        <f aca="false">IFERROR(I42/C42-1,"")</f>
        <v/>
      </c>
      <c r="J45" s="37" t="str">
        <f aca="false">IFERROR(J42/D42-1,"")</f>
        <v/>
      </c>
      <c r="K45" s="37" t="str">
        <f aca="false">IFERROR(K42/E42-1,"")</f>
        <v/>
      </c>
      <c r="L45" s="37" t="str">
        <f aca="false">IFERROR(L42/F42-1,"")</f>
        <v/>
      </c>
      <c r="M45" s="37" t="str">
        <f aca="false">IFERROR(M42/G42-1,"")</f>
        <v/>
      </c>
      <c r="N45" s="37" t="n">
        <f aca="false">IFERROR(N42/H42-1,"")</f>
        <v>-0.0159045725646123</v>
      </c>
      <c r="O45" s="37" t="str">
        <f aca="false">IFERROR(O42/I42-1,"")</f>
        <v/>
      </c>
      <c r="P45" s="37" t="str">
        <f aca="false">IFERROR(P42/J42-1,"")</f>
        <v/>
      </c>
      <c r="Q45" s="37" t="str">
        <f aca="false">IFERROR(Q42/K42-1,"")</f>
        <v/>
      </c>
      <c r="R45" s="37" t="str">
        <f aca="false">IFERROR(R42/L42-1,"")</f>
        <v/>
      </c>
      <c r="S45" s="37" t="str">
        <f aca="false">IFERROR(S42/M42-1,"")</f>
        <v/>
      </c>
      <c r="T45" s="37" t="n">
        <f aca="false">IFERROR(T42/N42-1,"")</f>
        <v>-0.0686868686868687</v>
      </c>
      <c r="U45" s="37" t="str">
        <f aca="false">IFERROR(U42/O42-1,"")</f>
        <v/>
      </c>
      <c r="V45" s="37" t="str">
        <f aca="false">IFERROR(V42/P42-1,"")</f>
        <v/>
      </c>
      <c r="W45" s="37" t="str">
        <f aca="false">IFERROR(W42/Q42-1,"")</f>
        <v/>
      </c>
      <c r="X45" s="37" t="str">
        <f aca="false">IFERROR(X42/R42-1,"")</f>
        <v/>
      </c>
      <c r="Y45" s="37" t="str">
        <f aca="false">IFERROR(Y42/S42-1,"")</f>
        <v/>
      </c>
      <c r="Z45" s="37" t="n">
        <f aca="false">IFERROR(Z42/T42-1,"")</f>
        <v>-0.0368763557483731</v>
      </c>
      <c r="AA45" s="37" t="str">
        <f aca="false">IFERROR(AA42/U42-1,"")</f>
        <v/>
      </c>
      <c r="AB45" s="37" t="str">
        <f aca="false">IFERROR(AB42/V42-1,"")</f>
        <v/>
      </c>
      <c r="AC45" s="37" t="str">
        <f aca="false">IFERROR(AC42/W42-1,"")</f>
        <v/>
      </c>
      <c r="AD45" s="37" t="str">
        <f aca="false">IFERROR(AD42/X42-1,"")</f>
        <v/>
      </c>
      <c r="AE45" s="37" t="str">
        <f aca="false">IFERROR(AE42/Y42-1,"")</f>
        <v/>
      </c>
      <c r="AF45" s="37" t="n">
        <f aca="false">IFERROR(AF42/Z42-1,"")</f>
        <v>0.202702702702703</v>
      </c>
      <c r="AG45" s="37" t="str">
        <f aca="false">IFERROR(AG42/AA42-1,"")</f>
        <v/>
      </c>
      <c r="AH45" s="37" t="str">
        <f aca="false">IFERROR(AH42/AB42-1,"")</f>
        <v/>
      </c>
      <c r="AI45" s="37" t="str">
        <f aca="false">IFERROR(AI42/AC42-1,"")</f>
        <v/>
      </c>
      <c r="AJ45" s="37" t="str">
        <f aca="false">IFERROR(AJ42/AD42-1,"")</f>
        <v/>
      </c>
      <c r="AK45" s="37" t="str">
        <f aca="false">IFERROR(AK42/AE42-1,"")</f>
        <v/>
      </c>
      <c r="AL45" s="37" t="n">
        <f aca="false">IFERROR(AL42/AF42-1,"")</f>
        <v>-0.314606741573034</v>
      </c>
      <c r="AM45" s="37" t="str">
        <f aca="false">IFERROR(AM42/AG42-1,"")</f>
        <v/>
      </c>
      <c r="AN45" s="37" t="str">
        <f aca="false">IFERROR(AN42/AH42-1,"")</f>
        <v/>
      </c>
      <c r="AO45" s="37" t="str">
        <f aca="false">IFERROR(AO42/AI42-1,"")</f>
        <v/>
      </c>
      <c r="AP45" s="37" t="str">
        <f aca="false">IFERROR(AP42/AJ42-1,"")</f>
        <v/>
      </c>
      <c r="AQ45" s="37" t="str">
        <f aca="false">IFERROR(AQ42/AK42-1,"")</f>
        <v/>
      </c>
      <c r="AR45" s="37" t="n">
        <f aca="false">IFERROR(AR42/AL42-1,"")</f>
        <v>0.360655737704918</v>
      </c>
      <c r="AS45" s="37" t="str">
        <f aca="false">IFERROR(AS42/AM42-1,"")</f>
        <v/>
      </c>
      <c r="AT45" s="37" t="str">
        <f aca="false">IFERROR(AT42/AN42-1,"")</f>
        <v/>
      </c>
      <c r="AU45" s="37" t="str">
        <f aca="false">IFERROR(AU42/AO42-1,"")</f>
        <v/>
      </c>
      <c r="AV45" s="37" t="str">
        <f aca="false">IFERROR(AV42/AP42-1,"")</f>
        <v/>
      </c>
      <c r="AW45" s="37" t="str">
        <f aca="false">IFERROR(AW42/AQ42-1,"")</f>
        <v/>
      </c>
      <c r="AX45" s="37" t="n">
        <f aca="false">IFERROR(AX42/AR42-1,"")</f>
        <v>0.0140562248995983</v>
      </c>
      <c r="AY45" s="37" t="str">
        <f aca="false">IFERROR(AY42/AS42-1,"")</f>
        <v/>
      </c>
      <c r="AZ45" s="37" t="str">
        <f aca="false">IFERROR(AZ42/AT42-1,"")</f>
        <v/>
      </c>
      <c r="BA45" s="37" t="str">
        <f aca="false">IFERROR(BA42/AU42-1,"")</f>
        <v/>
      </c>
      <c r="BB45" s="37" t="str">
        <f aca="false">IFERROR(BB42/AV42-1,"")</f>
        <v/>
      </c>
      <c r="BC45" s="37" t="str">
        <f aca="false">IFERROR(BC42/AW42-1,"")</f>
        <v/>
      </c>
      <c r="BD45" s="37" t="n">
        <f aca="false">IFERROR(BD42/AX42-1,"")</f>
        <v>0.0475247524752476</v>
      </c>
      <c r="BE45" s="37" t="str">
        <f aca="false">IFERROR(BE42/AY42-1,"")</f>
        <v/>
      </c>
      <c r="BF45" s="37" t="str">
        <f aca="false">IFERROR(BF42/AZ42-1,"")</f>
        <v/>
      </c>
      <c r="BG45" s="37" t="str">
        <f aca="false">IFERROR(BG42/BA42-1,"")</f>
        <v/>
      </c>
      <c r="BH45" s="37" t="str">
        <f aca="false">IFERROR(BH42/BB42-1,"")</f>
        <v/>
      </c>
      <c r="BI45" s="37" t="str">
        <f aca="false">IFERROR(BI42/BC42-1,"")</f>
        <v/>
      </c>
      <c r="BJ45" s="37" t="n">
        <f aca="false">IFERROR(BJ42/BD42-1,"")</f>
        <v>-0.277882797731569</v>
      </c>
      <c r="BK45" s="37" t="n">
        <f aca="false">IFERROR(BK42/BE42-1,"")</f>
        <v>0.0172413793103448</v>
      </c>
      <c r="BL45" s="37" t="n">
        <f aca="false">IFERROR(BL42/BF42-1,"")</f>
        <v>-0.180555555555556</v>
      </c>
      <c r="BM45" s="37" t="n">
        <f aca="false">IFERROR(BM42/BG42-1,"")</f>
        <v>-0.0923076923076923</v>
      </c>
      <c r="BN45" s="37" t="n">
        <f aca="false">IFERROR(BN42/BH42-1,"")</f>
        <v>1.3265306122449</v>
      </c>
      <c r="BO45" s="37" t="n">
        <f aca="false">IFERROR(BO42/BI42-1,"")</f>
        <v>0.671232876712329</v>
      </c>
      <c r="BP45" s="37" t="n">
        <f aca="false">IFERROR(BP42/BJ42-1,"")</f>
        <v>0.235602094240838</v>
      </c>
      <c r="BQ45" s="37" t="n">
        <f aca="false">IFERROR(BQ42/BK42-1,"")</f>
        <v>0.0423728813559323</v>
      </c>
      <c r="BR45" s="37" t="n">
        <f aca="false">IFERROR(BR42/BL42-1,"")</f>
        <v>0.245762711864407</v>
      </c>
      <c r="BS45" s="37" t="n">
        <f aca="false">IFERROR(BS42/BM42-1,"")</f>
        <v>0.14406779661017</v>
      </c>
      <c r="BT45" s="38" t="n">
        <f aca="false">IFERROR(BT42/BN42-1,"")</f>
        <v>0.314952483068308</v>
      </c>
      <c r="BU45" s="38" t="n">
        <f aca="false">IFERROR(BU42/BO42-1,"")</f>
        <v>0.22872609073596</v>
      </c>
      <c r="BV45" s="38" t="n">
        <f aca="false">IFERROR(BV42/BP42-1,"")</f>
        <v>0.207222809617742</v>
      </c>
      <c r="BW45" s="38" t="n">
        <f aca="false">IFERROR(BW42/BV42-1,"")</f>
        <v>0.189810488825833</v>
      </c>
      <c r="BX45" s="38" t="n">
        <f aca="false">IFERROR(BX42/BW42-1,"")</f>
        <v>0.0897752808988765</v>
      </c>
      <c r="BY45" s="38" t="n">
        <f aca="false">IFERROR(BY42/BX42-1,"")</f>
        <v>0.0838251366120217</v>
      </c>
      <c r="BZ45" s="38" t="n">
        <f aca="false">IFERROR(BZ42/BY42-1,"")</f>
        <v>0.0779255319148937</v>
      </c>
      <c r="CA45" s="16"/>
      <c r="CC45" s="5"/>
      <c r="CD45" s="5"/>
      <c r="CE45" s="5"/>
      <c r="CH45" s="21" t="s">
        <v>154</v>
      </c>
      <c r="CI45" s="50" t="n">
        <v>0.005</v>
      </c>
      <c r="CJ45" s="22" t="s">
        <v>131</v>
      </c>
      <c r="CK45" s="50" t="n">
        <v>-0.0125</v>
      </c>
    </row>
    <row r="46" customFormat="false" ht="15" hidden="false" customHeight="false" outlineLevel="0" collapsed="false">
      <c r="B46" s="35" t="s">
        <v>113</v>
      </c>
      <c r="C46" s="36" t="n">
        <f aca="false">IFERROR(C40/C39,"")</f>
        <v>0.0876531573986805</v>
      </c>
      <c r="D46" s="36" t="n">
        <f aca="false">IFERROR(D40/D39,"")</f>
        <v>0.0934819897084048</v>
      </c>
      <c r="E46" s="36" t="n">
        <f aca="false">IFERROR(E40/E39,"")</f>
        <v>0.0907049842837899</v>
      </c>
      <c r="F46" s="36" t="n">
        <f aca="false">IFERROR(F40/F39,"")</f>
        <v>0.0849617672047579</v>
      </c>
      <c r="G46" s="36" t="n">
        <f aca="false">IFERROR(G40/G39,"")</f>
        <v>0.0971524288107203</v>
      </c>
      <c r="H46" s="36" t="n">
        <f aca="false">IFERROR(H40/H39,"")</f>
        <v>0.0932992089343881</v>
      </c>
      <c r="I46" s="36" t="n">
        <f aca="false">IFERROR(I40/I39,"")</f>
        <v>0.081570996978852</v>
      </c>
      <c r="J46" s="36" t="n">
        <f aca="false">IFERROR(J40/J39,"")</f>
        <v>0.0980980980980981</v>
      </c>
      <c r="K46" s="36" t="n">
        <f aca="false">IFERROR(K40/K39,"")</f>
        <v>0.089859437751004</v>
      </c>
      <c r="L46" s="36" t="n">
        <f aca="false">IFERROR(L40/L39,"")</f>
        <v>0.0695296523517383</v>
      </c>
      <c r="M46" s="36" t="n">
        <f aca="false">IFERROR(M40/M39,"")</f>
        <v>0.124218051831993</v>
      </c>
      <c r="N46" s="36" t="n">
        <f aca="false">IFERROR(N40/N39,"")</f>
        <v>0.0943996087062852</v>
      </c>
      <c r="O46" s="36" t="n">
        <f aca="false">IFERROR(O40/O39,"")</f>
        <v>0.0741503604531411</v>
      </c>
      <c r="P46" s="36" t="n">
        <f aca="false">IFERROR(P40/P39,"")</f>
        <v>0.0799200799200799</v>
      </c>
      <c r="Q46" s="36" t="n">
        <f aca="false">IFERROR(Q40/Q39,"")</f>
        <v>0.077079107505071</v>
      </c>
      <c r="R46" s="36" t="n">
        <f aca="false">IFERROR(R40/R39,"")</f>
        <v>0.0911680911680912</v>
      </c>
      <c r="S46" s="36" t="n">
        <f aca="false">IFERROR(S40/S39,"")</f>
        <v>0.0930640913081651</v>
      </c>
      <c r="T46" s="36" t="n">
        <f aca="false">IFERROR(T40/T39,"")</f>
        <v>0.085014409221902</v>
      </c>
      <c r="U46" s="36" t="n">
        <f aca="false">IFERROR(U40/U39,"")</f>
        <v>0.0471349353049908</v>
      </c>
      <c r="V46" s="36" t="n">
        <f aca="false">IFERROR(V40/V39,"")</f>
        <v>0.0769230769230769</v>
      </c>
      <c r="W46" s="36" t="n">
        <f aca="false">IFERROR(W40/W39,"")</f>
        <v>0.0626931567328918</v>
      </c>
      <c r="X46" s="36" t="n">
        <f aca="false">IFERROR(X40/X39,"")</f>
        <v>0.100932994062765</v>
      </c>
      <c r="Y46" s="36" t="n">
        <f aca="false">IFERROR(Y40/Y39,"")</f>
        <v>0.0510355029585799</v>
      </c>
      <c r="Z46" s="36" t="n">
        <f aca="false">IFERROR(Z40/Z39,"")</f>
        <v>0.0688073394495413</v>
      </c>
      <c r="AA46" s="36" t="n">
        <f aca="false">IFERROR(AA40/AA39,"")</f>
        <v>0.0633307271305708</v>
      </c>
      <c r="AB46" s="36" t="n">
        <f aca="false">IFERROR(AB40/AB39,"")</f>
        <v>0.055512118842846</v>
      </c>
      <c r="AC46" s="36" t="n">
        <f aca="false">IFERROR(AC40/AC39,"")</f>
        <v>0.0594214229867084</v>
      </c>
      <c r="AD46" s="36" t="n">
        <f aca="false">IFERROR(AD40/AD39,"")</f>
        <v>0.0949764521193093</v>
      </c>
      <c r="AE46" s="36" t="n">
        <f aca="false">IFERROR(AE40/AE39,"")</f>
        <v>0.097927090779128</v>
      </c>
      <c r="AF46" s="36" t="n">
        <f aca="false">IFERROR(AF40/AF39,"")</f>
        <v>0.0783788950487478</v>
      </c>
      <c r="AG46" s="36" t="n">
        <f aca="false">IFERROR(AG40/AG39,"")</f>
        <v>0.0708426547352722</v>
      </c>
      <c r="AH46" s="36" t="n">
        <f aca="false">IFERROR(AH40/AH39,"")</f>
        <v>-0.0614973262032086</v>
      </c>
      <c r="AI46" s="36" t="n">
        <f aca="false">IFERROR(AI40/AI39,"")</f>
        <v>0.0105562322371092</v>
      </c>
      <c r="AJ46" s="36" t="n">
        <f aca="false">IFERROR(AJ40/AJ39,"")</f>
        <v>0.0581737849779087</v>
      </c>
      <c r="AK46" s="36" t="n">
        <f aca="false">IFERROR(AK40/AK39,"")</f>
        <v>0.0731428571428572</v>
      </c>
      <c r="AL46" s="36" t="n">
        <f aca="false">IFERROR(AL40/AL39,"")</f>
        <v>0.0418237300305152</v>
      </c>
      <c r="AM46" s="36" t="n">
        <f aca="false">IFERROR(AM40/AM39,"")</f>
        <v>0.0660980810234542</v>
      </c>
      <c r="AN46" s="36" t="n">
        <f aca="false">IFERROR(AN40/AN39,"")</f>
        <v>0.0557593543653705</v>
      </c>
      <c r="AO46" s="36" t="n">
        <f aca="false">IFERROR(AO40/AO39,"")</f>
        <v>0.0610108303249098</v>
      </c>
      <c r="AP46" s="36" t="n">
        <f aca="false">IFERROR(AP40/AP39,"")</f>
        <v>0.0649926144756278</v>
      </c>
      <c r="AQ46" s="36" t="n">
        <f aca="false">IFERROR(AQ40/AQ39,"")</f>
        <v>0.0617283950617284</v>
      </c>
      <c r="AR46" s="36" t="n">
        <f aca="false">IFERROR(AR40/AR39,"")</f>
        <v>0.0621578668550238</v>
      </c>
      <c r="AS46" s="36" t="n">
        <f aca="false">IFERROR(AS40/AS39,"")</f>
        <v>0.058273381294964</v>
      </c>
      <c r="AT46" s="36" t="n">
        <f aca="false">IFERROR(AT40/AT39,"")</f>
        <v>0.0655966503838102</v>
      </c>
      <c r="AU46" s="36" t="n">
        <f aca="false">IFERROR(AU40/AU39,"")</f>
        <v>0.0619907899397804</v>
      </c>
      <c r="AV46" s="36" t="n">
        <f aca="false">IFERROR(AV40/AV39,"")</f>
        <v>0.0705882352941177</v>
      </c>
      <c r="AW46" s="36" t="n">
        <f aca="false">IFERROR(AW40/AW39,"")</f>
        <v>0.0505050505050505</v>
      </c>
      <c r="AX46" s="36" t="n">
        <f aca="false">IFERROR(AX40/AX39,"")</f>
        <v>0.0610047846889952</v>
      </c>
      <c r="AY46" s="36" t="n">
        <f aca="false">IFERROR(AY40/AY39,"")</f>
        <v>0.0557768924302789</v>
      </c>
      <c r="AZ46" s="36" t="n">
        <f aca="false">IFERROR(AZ40/AZ39,"")</f>
        <v>0.0629555997349238</v>
      </c>
      <c r="BA46" s="36" t="n">
        <f aca="false">IFERROR(BA40/BA39,"")</f>
        <v>0.0593698175787728</v>
      </c>
      <c r="BB46" s="36" t="n">
        <f aca="false">IFERROR(BB40/BB39,"")</f>
        <v>0.0619408121128699</v>
      </c>
      <c r="BC46" s="36" t="n">
        <f aca="false">IFERROR(BC40/BC39,"")</f>
        <v>0.0660660660660661</v>
      </c>
      <c r="BD46" s="36" t="n">
        <f aca="false">IFERROR(BD40/BD39,"")</f>
        <v>0.0617968367846079</v>
      </c>
      <c r="BE46" s="36" t="n">
        <f aca="false">IFERROR(BE40/BE39,"")</f>
        <v>0.0571827057182706</v>
      </c>
      <c r="BF46" s="36" t="n">
        <f aca="false">IFERROR(BF40/BF39,"")</f>
        <v>0.0723127035830619</v>
      </c>
      <c r="BG46" s="36" t="n">
        <f aca="false">IFERROR(BG40/BG39,"")</f>
        <v>0.06500505220613</v>
      </c>
      <c r="BH46" s="36" t="n">
        <f aca="false">IFERROR(BH40/BH39,"")</f>
        <v>0.0106232294617564</v>
      </c>
      <c r="BI46" s="36" t="n">
        <f aca="false">IFERROR(BI40/BI39,"")</f>
        <v>0.0239294710327456</v>
      </c>
      <c r="BJ46" s="36" t="n">
        <f aca="false">IFERROR(BJ40/BJ39,"")</f>
        <v>0.0412129334896968</v>
      </c>
      <c r="BK46" s="36" t="n">
        <f aca="false">IFERROR(BK40/BK39,"")</f>
        <v>0.0608882521489971</v>
      </c>
      <c r="BL46" s="36" t="n">
        <f aca="false">IFERROR(BL40/BL39,"")</f>
        <v>0.0511540860885839</v>
      </c>
      <c r="BM46" s="36" t="n">
        <f aca="false">IFERROR(BM40/BM39,"")</f>
        <v>0.0556852284094698</v>
      </c>
      <c r="BN46" s="36" t="n">
        <f aca="false">IFERROR(BN40/BN39,"")</f>
        <v>0.0494743351886209</v>
      </c>
      <c r="BO46" s="36" t="n">
        <f aca="false">IFERROR(BO40/BO39,"")</f>
        <v>0.044420941300899</v>
      </c>
      <c r="BP46" s="36" t="n">
        <f aca="false">IFERROR(BP40/BP39,"")</f>
        <v>0.0508682956815737</v>
      </c>
      <c r="BQ46" s="36" t="n">
        <f aca="false">IFERROR(BQ40/BQ39,"")</f>
        <v>0.0528528528528529</v>
      </c>
      <c r="BR46" s="36" t="n">
        <f aca="false">IFERROR(BR40/BR39,"")</f>
        <v>0.0600324499729584</v>
      </c>
      <c r="BS46" s="36" t="n">
        <f aca="false">IFERROR(BS40/BS39,"")</f>
        <v>0.0566306203756403</v>
      </c>
      <c r="BT46" s="38" t="n">
        <f aca="false">IFERROR(BT40/BT39,"")</f>
        <v>0.0609246733843327</v>
      </c>
      <c r="BU46" s="38" t="n">
        <f aca="false">IFERROR(BU40/BU39,"")</f>
        <v>0.0609246733843327</v>
      </c>
      <c r="BV46" s="38" t="n">
        <f aca="false">IFERROR(BV40/BV39,"")</f>
        <v>0.0588051621711102</v>
      </c>
      <c r="BW46" s="38" t="n">
        <f aca="false">CHOOSE(MATCH($CA$2,{"Bull","Base","Bear"},0),$CI$52,$CJ$52,$CK$52)</f>
        <v>0.0675</v>
      </c>
      <c r="BX46" s="38" t="n">
        <f aca="false">CHOOSE(MATCH($CA$2,{"Bull","Base","Bear"},0),$CI$53,$CJ$53,$CK$53)</f>
        <v>0.07</v>
      </c>
      <c r="BY46" s="38" t="n">
        <f aca="false">CHOOSE(MATCH($CA$2,{"Bull","Base","Bear"},0),$CI$54,$CJ$54,$CK$54)</f>
        <v>0.0725</v>
      </c>
      <c r="BZ46" s="38" t="n">
        <f aca="false">CHOOSE(MATCH($CA$2,{"Bull","Base","Bear"},0),$CI$55,$CJ$55,$CK$55)</f>
        <v>0.075</v>
      </c>
      <c r="CA46" s="16" t="s">
        <v>155</v>
      </c>
      <c r="CC46" s="40" t="n">
        <f aca="false">IFERROR(AVERAGE(BV46,BW46,BX46,BY46,BZ46),"n/m")</f>
        <v>0.068761032434222</v>
      </c>
      <c r="CD46" s="40" t="n">
        <f aca="false">IFERROR(AVERAGE(AR46,AX46,BD46,BJ46,BP46),"n/m")</f>
        <v>0.0554081434999795</v>
      </c>
      <c r="CE46" s="40" t="n">
        <f aca="false">IFERROR(AVERAGE(N46,T46,Z46,AF46,AL46,AR46,AX46,BD46,BJ46,BP46),"n/m")</f>
        <v>0.0645464699956889</v>
      </c>
      <c r="CH46" s="24" t="s">
        <v>134</v>
      </c>
      <c r="CI46" s="51" t="n">
        <f aca="false">CJ46+$CI$45</f>
        <v>0.0775</v>
      </c>
      <c r="CJ46" s="31" t="n">
        <v>0.0725</v>
      </c>
      <c r="CK46" s="51" t="n">
        <f aca="false">CJ46+$CK$45</f>
        <v>0.06</v>
      </c>
    </row>
    <row r="47" customFormat="false" ht="15" hidden="false" customHeight="false" outlineLevel="0" collapsed="false">
      <c r="B47" s="35" t="s">
        <v>116</v>
      </c>
      <c r="C47" s="36" t="str">
        <f aca="false">IFERROR(C42/C39,"")</f>
        <v/>
      </c>
      <c r="D47" s="36" t="str">
        <f aca="false">IFERROR(D42/D39,"")</f>
        <v/>
      </c>
      <c r="E47" s="36" t="str">
        <f aca="false">IFERROR(E42/E39,"")</f>
        <v/>
      </c>
      <c r="F47" s="36" t="str">
        <f aca="false">IFERROR(F42/F39,"")</f>
        <v/>
      </c>
      <c r="G47" s="36" t="str">
        <f aca="false">IFERROR(G42/G39,"")</f>
        <v/>
      </c>
      <c r="H47" s="36" t="n">
        <f aca="false">IFERROR(H42/H39,"")</f>
        <v>0.117031177291764</v>
      </c>
      <c r="I47" s="36" t="str">
        <f aca="false">IFERROR(I42/I39,"")</f>
        <v/>
      </c>
      <c r="J47" s="36" t="str">
        <f aca="false">IFERROR(J42/J39,"")</f>
        <v/>
      </c>
      <c r="K47" s="36" t="str">
        <f aca="false">IFERROR(K42/K39,"")</f>
        <v/>
      </c>
      <c r="L47" s="36" t="str">
        <f aca="false">IFERROR(L42/L39,"")</f>
        <v/>
      </c>
      <c r="M47" s="36" t="str">
        <f aca="false">IFERROR(M42/M39,"")</f>
        <v/>
      </c>
      <c r="N47" s="36" t="n">
        <f aca="false">IFERROR(N42/N39,"")</f>
        <v>0.121056493030081</v>
      </c>
      <c r="O47" s="36" t="str">
        <f aca="false">IFERROR(O42/O39,"")</f>
        <v/>
      </c>
      <c r="P47" s="36" t="str">
        <f aca="false">IFERROR(P42/P39,"")</f>
        <v/>
      </c>
      <c r="Q47" s="36" t="str">
        <f aca="false">IFERROR(Q42/Q39,"")</f>
        <v/>
      </c>
      <c r="R47" s="36" t="str">
        <f aca="false">IFERROR(R42/R39,"")</f>
        <v/>
      </c>
      <c r="S47" s="36" t="str">
        <f aca="false">IFERROR(S42/S39,"")</f>
        <v/>
      </c>
      <c r="T47" s="36" t="n">
        <f aca="false">IFERROR(T42/T39,"")</f>
        <v>0.110710854947166</v>
      </c>
      <c r="U47" s="36" t="str">
        <f aca="false">IFERROR(U42/U39,"")</f>
        <v/>
      </c>
      <c r="V47" s="36" t="str">
        <f aca="false">IFERROR(V42/V39,"")</f>
        <v/>
      </c>
      <c r="W47" s="36" t="str">
        <f aca="false">IFERROR(W42/W39,"")</f>
        <v/>
      </c>
      <c r="X47" s="36" t="str">
        <f aca="false">IFERROR(X42/X39,"")</f>
        <v/>
      </c>
      <c r="Y47" s="36" t="str">
        <f aca="false">IFERROR(Y42/Y39,"")</f>
        <v/>
      </c>
      <c r="Z47" s="36" t="n">
        <f aca="false">IFERROR(Z42/Z39,"")</f>
        <v>0.0925771476230192</v>
      </c>
      <c r="AA47" s="36" t="str">
        <f aca="false">IFERROR(AA42/AA39,"")</f>
        <v/>
      </c>
      <c r="AB47" s="36" t="str">
        <f aca="false">IFERROR(AB42/AB39,"")</f>
        <v/>
      </c>
      <c r="AC47" s="36" t="str">
        <f aca="false">IFERROR(AC42/AC39,"")</f>
        <v/>
      </c>
      <c r="AD47" s="36" t="str">
        <f aca="false">IFERROR(AD42/AD39,"")</f>
        <v/>
      </c>
      <c r="AE47" s="36" t="str">
        <f aca="false">IFERROR(AE42/AE39,"")</f>
        <v/>
      </c>
      <c r="AF47" s="36" t="n">
        <f aca="false">IFERROR(AF42/AF39,"")</f>
        <v>0.102083731600076</v>
      </c>
      <c r="AG47" s="36" t="str">
        <f aca="false">IFERROR(AG42/AG39,"")</f>
        <v/>
      </c>
      <c r="AH47" s="36" t="str">
        <f aca="false">IFERROR(AH42/AH39,"")</f>
        <v/>
      </c>
      <c r="AI47" s="36" t="str">
        <f aca="false">IFERROR(AI42/AI39,"")</f>
        <v/>
      </c>
      <c r="AJ47" s="36" t="str">
        <f aca="false">IFERROR(AJ42/AJ39,"")</f>
        <v/>
      </c>
      <c r="AK47" s="36" t="str">
        <f aca="false">IFERROR(AK42/AK39,"")</f>
        <v/>
      </c>
      <c r="AL47" s="36" t="n">
        <f aca="false">IFERROR(AL42/AL39,"")</f>
        <v>0.0656973613354873</v>
      </c>
      <c r="AM47" s="36" t="str">
        <f aca="false">IFERROR(AM42/AM39,"")</f>
        <v/>
      </c>
      <c r="AN47" s="36" t="str">
        <f aca="false">IFERROR(AN42/AN39,"")</f>
        <v/>
      </c>
      <c r="AO47" s="36" t="str">
        <f aca="false">IFERROR(AO42/AO39,"")</f>
        <v/>
      </c>
      <c r="AP47" s="36" t="str">
        <f aca="false">IFERROR(AP42/AP39,"")</f>
        <v/>
      </c>
      <c r="AQ47" s="36" t="str">
        <f aca="false">IFERROR(AQ42/AQ39,"")</f>
        <v/>
      </c>
      <c r="AR47" s="36" t="n">
        <f aca="false">IFERROR(AR42/AR39,"")</f>
        <v>0.0879392548119371</v>
      </c>
      <c r="AS47" s="36" t="str">
        <f aca="false">IFERROR(AS42/AS39,"")</f>
        <v/>
      </c>
      <c r="AT47" s="36" t="str">
        <f aca="false">IFERROR(AT42/AT39,"")</f>
        <v/>
      </c>
      <c r="AU47" s="36" t="str">
        <f aca="false">IFERROR(AU42/AU39,"")</f>
        <v/>
      </c>
      <c r="AV47" s="36" t="str">
        <f aca="false">IFERROR(AV42/AV39,"")</f>
        <v/>
      </c>
      <c r="AW47" s="36" t="str">
        <f aca="false">IFERROR(AW42/AW39,"")</f>
        <v/>
      </c>
      <c r="AX47" s="36" t="n">
        <f aca="false">IFERROR(AX42/AX39,"")</f>
        <v>0.0862952836637047</v>
      </c>
      <c r="AY47" s="36" t="str">
        <f aca="false">IFERROR(AY42/AY39,"")</f>
        <v/>
      </c>
      <c r="AZ47" s="36" t="str">
        <f aca="false">IFERROR(AZ42/AZ39,"")</f>
        <v/>
      </c>
      <c r="BA47" s="36" t="str">
        <f aca="false">IFERROR(BA42/BA39,"")</f>
        <v/>
      </c>
      <c r="BB47" s="36" t="str">
        <f aca="false">IFERROR(BB42/BB39,"")</f>
        <v/>
      </c>
      <c r="BC47" s="36" t="str">
        <f aca="false">IFERROR(BC42/BC39,"")</f>
        <v/>
      </c>
      <c r="BD47" s="36" t="n">
        <f aca="false">IFERROR(BD42/BD39,"")</f>
        <v>0.0862546877547693</v>
      </c>
      <c r="BE47" s="36" t="n">
        <f aca="false">IFERROR(BE42/BE39,"")</f>
        <v>0.0808926080892608</v>
      </c>
      <c r="BF47" s="36" t="n">
        <f aca="false">IFERROR(BF42/BF39,"")</f>
        <v>0.0938110749185668</v>
      </c>
      <c r="BG47" s="36" t="n">
        <f aca="false">IFERROR(BG42/BG39,"")</f>
        <v>0.0875715729201751</v>
      </c>
      <c r="BH47" s="36" t="n">
        <f aca="false">IFERROR(BH42/BH39,"")</f>
        <v>0.0347025495750708</v>
      </c>
      <c r="BI47" s="36" t="n">
        <f aca="false">IFERROR(BI42/BI39,"")</f>
        <v>0.0459697732997481</v>
      </c>
      <c r="BJ47" s="36" t="n">
        <f aca="false">IFERROR(BJ42/BJ39,"")</f>
        <v>0.0639973194840007</v>
      </c>
      <c r="BK47" s="36" t="n">
        <f aca="false">IFERROR(BK42/BK39,"")</f>
        <v>0.0845272206303725</v>
      </c>
      <c r="BL47" s="36" t="n">
        <f aca="false">IFERROR(BL42/BL39,"")</f>
        <v>0.0736119775421086</v>
      </c>
      <c r="BM47" s="36" t="n">
        <f aca="false">IFERROR(BM42/BM39,"")</f>
        <v>0.0786928976325442</v>
      </c>
      <c r="BN47" s="36" t="n">
        <f aca="false">IFERROR(BN42/BN39,"")</f>
        <v>0.0705009276437848</v>
      </c>
      <c r="BO47" s="36" t="n">
        <f aca="false">IFERROR(BO42/BO39,"")</f>
        <v>0.0645161290322581</v>
      </c>
      <c r="BP47" s="36" t="n">
        <f aca="false">IFERROR(BP42/BP39,"")</f>
        <v>0.0725372675580144</v>
      </c>
      <c r="BQ47" s="36" t="n">
        <f aca="false">IFERROR(BQ42/BQ39,"")</f>
        <v>0.0738738738738739</v>
      </c>
      <c r="BR47" s="36" t="n">
        <f aca="false">IFERROR(BR42/BR39,"")</f>
        <v>0.0795024337479719</v>
      </c>
      <c r="BS47" s="36" t="n">
        <f aca="false">IFERROR(BS42/BS39,"")</f>
        <v>0.076835515082527</v>
      </c>
      <c r="BT47" s="38" t="n">
        <f aca="false">IFERROR(BT42/BT39,"")</f>
        <v>0.0831593542926015</v>
      </c>
      <c r="BU47" s="38" t="n">
        <f aca="false">IFERROR(BU42/BU39,"")</f>
        <v>0.0831593542926015</v>
      </c>
      <c r="BV47" s="38" t="n">
        <f aca="false">IFERROR(BV42/BV39,"")</f>
        <v>0.0800379563757065</v>
      </c>
      <c r="BW47" s="38" t="n">
        <f aca="false">IFERROR(BW42/BW39,"")</f>
        <v>0.089</v>
      </c>
      <c r="BX47" s="38" t="n">
        <f aca="false">IFERROR(BX42/BX39,"")</f>
        <v>0.0915</v>
      </c>
      <c r="BY47" s="38" t="n">
        <f aca="false">IFERROR(BY42/BY39,"")</f>
        <v>0.094</v>
      </c>
      <c r="BZ47" s="38" t="n">
        <f aca="false">IFERROR(BZ42/BZ39,"")</f>
        <v>0.0965</v>
      </c>
      <c r="CA47" s="16"/>
      <c r="CC47" s="40" t="n">
        <f aca="false">IFERROR(AVERAGE(BV47,BW47,BX47,BY47,BZ47),"n/m")</f>
        <v>0.0902075912751413</v>
      </c>
      <c r="CD47" s="40" t="n">
        <f aca="false">IFERROR(AVERAGE(AR47,AX47,BD47,BJ47,BP47),"n/m")</f>
        <v>0.0794047626544853</v>
      </c>
      <c r="CE47" s="40" t="n">
        <f aca="false">IFERROR(AVERAGE(N47,T47,Z47,AF47,AL47,AR47,AX47,BD47,BJ47,BP47),"n/m")</f>
        <v>0.0889149401808256</v>
      </c>
      <c r="CH47" s="24" t="s">
        <v>136</v>
      </c>
      <c r="CI47" s="51" t="n">
        <f aca="false">CJ47+$CI$45</f>
        <v>0.08</v>
      </c>
      <c r="CJ47" s="31" t="n">
        <v>0.075</v>
      </c>
      <c r="CK47" s="51" t="n">
        <f aca="false">CJ47+$CK$45</f>
        <v>0.0625</v>
      </c>
    </row>
    <row r="48" customFormat="false" ht="15" hidden="false" customHeight="false" outlineLevel="0" collapsed="false">
      <c r="B48" s="35" t="s">
        <v>118</v>
      </c>
      <c r="C48" s="36"/>
      <c r="D48" s="36"/>
      <c r="E48" s="36"/>
      <c r="F48" s="36"/>
      <c r="G48" s="36"/>
      <c r="H48" s="36"/>
      <c r="I48" s="36" t="n">
        <f aca="false">IFERROR((I40-C40)/(I39-C39),"")</f>
        <v>0.176470588235294</v>
      </c>
      <c r="J48" s="36" t="n">
        <f aca="false">IFERROR((J40-D40)/(J39-D39),"")</f>
        <v>0.0658682634730539</v>
      </c>
      <c r="K48" s="36" t="n">
        <f aca="false">IFERROR((K40-E40)/(K39-E39),"")</f>
        <v>0.0978723404255319</v>
      </c>
      <c r="L48" s="36" t="n">
        <f aca="false">IFERROR((L40-F40)/(L39-F39),"")</f>
        <v>0.160804020100503</v>
      </c>
      <c r="M48" s="36" t="n">
        <f aca="false">IFERROR((M40-G40)/(M39-G39),"")</f>
        <v>-0.306666666666667</v>
      </c>
      <c r="N48" s="36" t="n">
        <f aca="false">IFERROR((N40-H40)/(N39-H39),"")</f>
        <v>0.0717703349282297</v>
      </c>
      <c r="O48" s="36" t="n">
        <f aca="false">IFERROR((O40-I40)/(O39-I39),"")</f>
        <v>0.409090909090909</v>
      </c>
      <c r="P48" s="36" t="n">
        <f aca="false">IFERROR((P40-J40)/(P39-J39),"")</f>
        <v>-9</v>
      </c>
      <c r="Q48" s="36" t="n">
        <f aca="false">IFERROR((Q40-K40)/(Q39-K39),"")</f>
        <v>1.35</v>
      </c>
      <c r="R48" s="36" t="n">
        <f aca="false">IFERROR((R40-L40)/(R39-L39),"")</f>
        <v>0.373333333333333</v>
      </c>
      <c r="S48" s="36" t="n">
        <f aca="false">IFERROR((S40-M40)/(S39-M39),"")</f>
        <v>-1.65</v>
      </c>
      <c r="T48" s="36" t="n">
        <f aca="false">IFERROR((T40-N40)/(T39-N39),"")</f>
        <v>-0.426666666666667</v>
      </c>
      <c r="U48" s="36" t="n">
        <f aca="false">IFERROR((U40-O40)/(U39-O39),"")</f>
        <v>-0.189189189189189</v>
      </c>
      <c r="V48" s="36" t="n">
        <f aca="false">IFERROR((V40-P40)/(V39-P39),"")</f>
        <v>0.0604395604395604</v>
      </c>
      <c r="W48" s="36" t="n">
        <f aca="false">IFERROR((W40-Q40)/(W39-Q39),"")</f>
        <v>-0.0341296928327645</v>
      </c>
      <c r="X48" s="36" t="n">
        <f aca="false">IFERROR((X40-R40)/(X39-R39),"")</f>
        <v>0.182539682539683</v>
      </c>
      <c r="Y48" s="36" t="n">
        <f aca="false">IFERROR((Y40-S40)/(Y39-S39),"")</f>
        <v>-0.173708920187793</v>
      </c>
      <c r="Z48" s="36" t="n">
        <f aca="false">IFERROR((Z40-T40)/(Z39-T39),"")</f>
        <v>-0.0379746835443038</v>
      </c>
      <c r="AA48" s="36" t="n">
        <f aca="false">IFERROR((AA40-U40)/(AA39-U39),"")</f>
        <v>0.152284263959391</v>
      </c>
      <c r="AB48" s="36" t="n">
        <f aca="false">IFERROR((AB40-V40)/(AB39-V39),"")</f>
        <v>-0.208333333333333</v>
      </c>
      <c r="AC48" s="36" t="n">
        <f aca="false">IFERROR((AC40-W40)/(AC39-W39),"")</f>
        <v>0.0341296928327645</v>
      </c>
      <c r="AD48" s="36" t="n">
        <f aca="false">IFERROR((AD40-X40)/(AD39-X39),"")</f>
        <v>0.0210526315789474</v>
      </c>
      <c r="AE48" s="36" t="n">
        <f aca="false">IFERROR((AE40-Y40)/(AE39-Y39),"")</f>
        <v>1.4468085106383</v>
      </c>
      <c r="AF48" s="36" t="n">
        <f aca="false">IFERROR((AF40-Z40)/(AF39-Z39),"")</f>
        <v>0.183908045977012</v>
      </c>
      <c r="AG48" s="36" t="n">
        <f aca="false">IFERROR((AG40-AA40)/(AG39-AA39),"")</f>
        <v>0.225806451612903</v>
      </c>
      <c r="AH48" s="36" t="n">
        <f aca="false">IFERROR((AH40-AB40)/(AH39-AB39),"")</f>
        <v>0.89171974522293</v>
      </c>
      <c r="AI48" s="36" t="n">
        <f aca="false">IFERROR((AI40-AC40)/(AI39-AC39),"")</f>
        <v>1.32631578947368</v>
      </c>
      <c r="AJ48" s="36" t="n">
        <f aca="false">IFERROR((AJ40-AD40)/(AJ39-AD39),"")</f>
        <v>-0.5</v>
      </c>
      <c r="AK48" s="36" t="n">
        <f aca="false">IFERROR((AK40-AE40)/(AK39-AE39),"")</f>
        <v>-0.0256410256410256</v>
      </c>
      <c r="AL48" s="36" t="n">
        <f aca="false">IFERROR((AL40-AF40)/(AL39-AF39),"")</f>
        <v>-0.520588235294118</v>
      </c>
      <c r="AM48" s="36" t="n">
        <f aca="false">IFERROR((AM40-AG40)/(AM39-AG39),"")</f>
        <v>-0.0303030303030303</v>
      </c>
      <c r="AN48" s="36" t="n">
        <f aca="false">IFERROR((AN40-AH40)/(AN39-AH39),"")</f>
        <v>0.601659751037344</v>
      </c>
      <c r="AO48" s="36" t="n">
        <f aca="false">IFERROR((AO40-AI40)/(AO39-AI39),"")</f>
        <v>0.465798045602606</v>
      </c>
      <c r="AP48" s="36" t="n">
        <f aca="false">IFERROR((AP40-AJ40)/(AP39-AJ39),"")</f>
        <v>-2.25</v>
      </c>
      <c r="AQ48" s="36" t="n">
        <f aca="false">IFERROR((AQ40-AK40)/(AQ39-AK39),"")</f>
        <v>0.156398104265403</v>
      </c>
      <c r="AR48" s="36" t="n">
        <f aca="false">IFERROR((AR40-AL40)/(AR39-AL39),"")</f>
        <v>1.29347826086957</v>
      </c>
      <c r="AS48" s="36" t="n">
        <f aca="false">IFERROR((AS40-AM40)/(AS39-AM39),"")</f>
        <v>0.705882352941177</v>
      </c>
      <c r="AT48" s="36" t="n">
        <f aca="false">IFERROR((AT40-AN40)/(AT39-AN39),"")</f>
        <v>0.257142857142857</v>
      </c>
      <c r="AU48" s="36" t="n">
        <f aca="false">IFERROR((AU40-AO40)/(AU39-AO39),"")</f>
        <v>0.113207547169811</v>
      </c>
      <c r="AV48" s="36" t="n">
        <f aca="false">IFERROR((AV40-AP40)/(AV39-AP39),"")</f>
        <v>0.153846153846154</v>
      </c>
      <c r="AW48" s="36" t="n">
        <f aca="false">IFERROR((AW40-AQ40)/(AW39-AQ39),"")</f>
        <v>-0.333333333333333</v>
      </c>
      <c r="AX48" s="36" t="n">
        <f aca="false">IFERROR((AX40-AR40)/(AX39-AR39),"")</f>
        <v>0.0264550264550265</v>
      </c>
      <c r="AY48" s="36" t="n">
        <f aca="false">IFERROR((AY40-AS40)/(AY39-AS39),"")</f>
        <v>0.0258620689655172</v>
      </c>
      <c r="AZ48" s="36" t="n">
        <f aca="false">IFERROR((AZ40-AT40)/(AZ39-AT39),"")</f>
        <v>0.0131578947368421</v>
      </c>
      <c r="BA48" s="36" t="n">
        <f aca="false">IFERROR((BA40-AU40)/(BA39-AU39),"")</f>
        <v>0.0208333333333333</v>
      </c>
      <c r="BB48" s="36" t="n">
        <f aca="false">IFERROR((BB40-AV40)/(BB39-AV39),"")</f>
        <v>-1.5</v>
      </c>
      <c r="BC48" s="36" t="n">
        <f aca="false">IFERROR((BC40-AW40)/(BC39-AW39),"")</f>
        <v>0.37037037037037</v>
      </c>
      <c r="BD48" s="36" t="n">
        <f aca="false">IFERROR((BD40-AX40)/(BD39-AX39),"")</f>
        <v>0.0782918149466192</v>
      </c>
      <c r="BE48" s="36" t="n">
        <f aca="false">IFERROR((BE40-AY40)/(BE39-AY39),"")</f>
        <v>0.0277777777777778</v>
      </c>
      <c r="BF48" s="36" t="n">
        <f aca="false">IFERROR((BF40-AZ40)/(BF39-AZ39),"")</f>
        <v>0.615384615384615</v>
      </c>
      <c r="BG48" s="36" t="n">
        <f aca="false">IFERROR((BG40-BA40)/(BG39-BA39),"")</f>
        <v>-0.304347826086957</v>
      </c>
      <c r="BH48" s="36" t="n">
        <f aca="false">IFERROR((BH40-BB40)/(BH39-BB39),"")</f>
        <v>1.82926829268293</v>
      </c>
      <c r="BI48" s="36" t="n">
        <f aca="false">IFERROR((BI40-BC40)/(BI39-BC39),"")</f>
        <v>0.935064935064935</v>
      </c>
      <c r="BJ48" s="36" t="n">
        <f aca="false">IFERROR((BJ40-BD40)/(BJ39-BD39),"")</f>
        <v>0.810975609756098</v>
      </c>
      <c r="BK48" s="36" t="n">
        <f aca="false">IFERROR((BK40-BE40)/(BK39-BE39),"")</f>
        <v>-0.0789473684210526</v>
      </c>
      <c r="BL48" s="36" t="n">
        <f aca="false">IFERROR((BL40-BF40)/(BL39-BF39),"")</f>
        <v>-0.426470588235294</v>
      </c>
      <c r="BM48" s="36" t="n">
        <f aca="false">IFERROR((BM40-BG40)/(BM39-BG39),"")</f>
        <v>-0.866666666666667</v>
      </c>
      <c r="BN48" s="36" t="n">
        <f aca="false">IFERROR((BN40-BH40)/(BN39-BH39),"")</f>
        <v>0.317073170731707</v>
      </c>
      <c r="BO48" s="36" t="n">
        <f aca="false">IFERROR((BO40-BI40)/(BO39-BI39),"")</f>
        <v>0.151815181518152</v>
      </c>
      <c r="BP48" s="36" t="n">
        <f aca="false">IFERROR((BP40-BJ40)/(BP39-BJ39),"")</f>
        <v>0.157992565055762</v>
      </c>
      <c r="BQ48" s="36" t="n">
        <f aca="false">IFERROR((BQ40-BK40)/(BQ39-BK39),"")</f>
        <v>0.0111524163568773</v>
      </c>
      <c r="BR48" s="36" t="n">
        <f aca="false">IFERROR((BR40-BL40)/(BR39-BL39),"")</f>
        <v>0.117886178861789</v>
      </c>
      <c r="BS48" s="36" t="n">
        <f aca="false">IFERROR((BS40-BM40)/(BS39-BM39),"")</f>
        <v>0.0621359223300971</v>
      </c>
      <c r="BT48" s="38" t="n">
        <f aca="false">IFERROR((BT40-BN40)/(BT39-BN39),"")</f>
        <v>0.160673382537796</v>
      </c>
      <c r="BU48" s="38" t="n">
        <f aca="false">IFERROR((BU40-BO40)/(BU39-BO39),"")</f>
        <v>-0.292186846979065</v>
      </c>
      <c r="BV48" s="38" t="n">
        <f aca="false">IFERROR((BV40-BP40)/(BV39-BP39),"")</f>
        <v>0.143160085694457</v>
      </c>
      <c r="BW48" s="38" t="n">
        <f aca="false">IFERROR((BW40-BV40)/(BW39-BV39),"")</f>
        <v>0.191711968984141</v>
      </c>
      <c r="BX48" s="38" t="n">
        <f aca="false">IFERROR((BX40-BW40)/(BX39-BW39),"")</f>
        <v>0.111666666666667</v>
      </c>
      <c r="BY48" s="38" t="n">
        <f aca="false">IFERROR((BY40-BX40)/(BY39-BX39),"")</f>
        <v>0.117954545454545</v>
      </c>
      <c r="BZ48" s="38" t="n">
        <f aca="false">IFERROR((BZ40-BY40)/(BZ39-BY39),"")</f>
        <v>0.125</v>
      </c>
      <c r="CA48" s="16"/>
      <c r="CC48" s="5"/>
      <c r="CD48" s="5"/>
      <c r="CE48" s="5"/>
      <c r="CH48" s="24" t="s">
        <v>139</v>
      </c>
      <c r="CI48" s="51" t="n">
        <f aca="false">CJ48+$CI$45</f>
        <v>0.0825</v>
      </c>
      <c r="CJ48" s="31" t="n">
        <v>0.0775</v>
      </c>
      <c r="CK48" s="51" t="n">
        <f aca="false">CJ48+$CK$45</f>
        <v>0.065</v>
      </c>
    </row>
    <row r="49" customFormat="false" ht="15" hidden="false" customHeight="false" outlineLevel="0" collapsed="false">
      <c r="B49" s="20" t="s">
        <v>156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H49" s="24" t="s">
        <v>142</v>
      </c>
      <c r="CI49" s="51" t="n">
        <f aca="false">CJ49+$CI$45</f>
        <v>0.085</v>
      </c>
      <c r="CJ49" s="31" t="n">
        <v>0.08</v>
      </c>
      <c r="CK49" s="51" t="n">
        <f aca="false">CJ49+$CK$45</f>
        <v>0.0675</v>
      </c>
    </row>
    <row r="50" customFormat="false" ht="15" hidden="false" customHeight="false" outlineLevel="0" collapsed="false">
      <c r="B50" s="1" t="s">
        <v>122</v>
      </c>
      <c r="C50" s="23" t="n">
        <v>7724</v>
      </c>
      <c r="D50" s="23" t="n">
        <v>7779</v>
      </c>
      <c r="E50" s="2" t="n">
        <f aca="false">D50</f>
        <v>7779</v>
      </c>
      <c r="F50" s="23" t="n">
        <v>6935</v>
      </c>
      <c r="G50" s="23" t="n">
        <v>6026</v>
      </c>
      <c r="H50" s="2" t="n">
        <f aca="false">G50</f>
        <v>6026</v>
      </c>
      <c r="I50" s="23" t="n">
        <v>8032</v>
      </c>
      <c r="J50" s="23" t="n">
        <v>7447</v>
      </c>
      <c r="K50" s="2" t="n">
        <f aca="false">J50</f>
        <v>7447</v>
      </c>
      <c r="L50" s="23" t="n">
        <v>7106</v>
      </c>
      <c r="M50" s="23" t="n">
        <v>5799</v>
      </c>
      <c r="N50" s="2" t="n">
        <f aca="false">M50</f>
        <v>5799</v>
      </c>
      <c r="O50" s="23" t="n">
        <v>6475</v>
      </c>
      <c r="P50" s="23" t="n">
        <v>6471</v>
      </c>
      <c r="Q50" s="2" t="n">
        <f aca="false">P50</f>
        <v>6471</v>
      </c>
      <c r="R50" s="23" t="n">
        <v>7682</v>
      </c>
      <c r="S50" s="23" t="n">
        <v>6976</v>
      </c>
      <c r="T50" s="2" t="n">
        <f aca="false">S50</f>
        <v>6976</v>
      </c>
      <c r="U50" s="23" t="n">
        <v>7474</v>
      </c>
      <c r="V50" s="23" t="n">
        <v>8004</v>
      </c>
      <c r="W50" s="2" t="n">
        <f aca="false">V50</f>
        <v>8004</v>
      </c>
      <c r="X50" s="23" t="n">
        <v>7529</v>
      </c>
      <c r="Y50" s="23" t="n">
        <v>6767</v>
      </c>
      <c r="Z50" s="2" t="n">
        <f aca="false">Y50</f>
        <v>6767</v>
      </c>
      <c r="AA50" s="23" t="n">
        <v>8615</v>
      </c>
      <c r="AB50" s="23" t="n">
        <v>8285</v>
      </c>
      <c r="AC50" s="2" t="n">
        <f aca="false">AB50</f>
        <v>8285</v>
      </c>
      <c r="AD50" s="23" t="n">
        <v>7570</v>
      </c>
      <c r="AE50" s="23" t="n">
        <v>8414</v>
      </c>
      <c r="AF50" s="2" t="n">
        <f aca="false">AE50</f>
        <v>8414</v>
      </c>
      <c r="AG50" s="23" t="n">
        <v>10537</v>
      </c>
      <c r="AH50" s="23" t="n">
        <v>10610</v>
      </c>
      <c r="AI50" s="2" t="n">
        <f aca="false">AH50</f>
        <v>10610</v>
      </c>
      <c r="AJ50" s="23" t="n">
        <v>10164</v>
      </c>
      <c r="AK50" s="23" t="n">
        <v>9536</v>
      </c>
      <c r="AL50" s="2" t="n">
        <f aca="false">AK50</f>
        <v>9536</v>
      </c>
      <c r="AM50" s="23" t="n">
        <v>13321</v>
      </c>
      <c r="AN50" s="23" t="n">
        <v>12330</v>
      </c>
      <c r="AO50" s="2" t="n">
        <f aca="false">AN50</f>
        <v>12330</v>
      </c>
      <c r="AP50" s="23" t="n">
        <v>11715</v>
      </c>
      <c r="AQ50" s="23" t="n">
        <v>11121</v>
      </c>
      <c r="AR50" s="2" t="n">
        <f aca="false">AQ50</f>
        <v>11121</v>
      </c>
      <c r="AS50" s="23" t="n">
        <v>12954</v>
      </c>
      <c r="AT50" s="23" t="n">
        <v>13025</v>
      </c>
      <c r="AU50" s="2" t="n">
        <f aca="false">AT50</f>
        <v>13025</v>
      </c>
      <c r="AV50" s="23" t="n">
        <v>11914</v>
      </c>
      <c r="AW50" s="23" t="n">
        <v>11665</v>
      </c>
      <c r="AX50" s="2" t="n">
        <f aca="false">AW50</f>
        <v>11665</v>
      </c>
      <c r="AY50" s="23" t="n">
        <v>13579</v>
      </c>
      <c r="AZ50" s="23" t="n">
        <v>12632</v>
      </c>
      <c r="BA50" s="2" t="n">
        <f aca="false">AZ50</f>
        <v>12632</v>
      </c>
      <c r="BB50" s="23" t="n">
        <v>11931</v>
      </c>
      <c r="BC50" s="23" t="n">
        <v>11890</v>
      </c>
      <c r="BD50" s="2" t="n">
        <f aca="false">BC50</f>
        <v>11890</v>
      </c>
      <c r="BE50" s="23" t="n">
        <v>12132</v>
      </c>
      <c r="BF50" s="23" t="n">
        <v>12006</v>
      </c>
      <c r="BG50" s="2" t="n">
        <f aca="false">BF50</f>
        <v>12006</v>
      </c>
      <c r="BH50" s="23" t="n">
        <v>11636</v>
      </c>
      <c r="BI50" s="23" t="n">
        <v>12079</v>
      </c>
      <c r="BJ50" s="2" t="n">
        <f aca="false">BI50</f>
        <v>12079</v>
      </c>
      <c r="BK50" s="23" t="n">
        <v>12827</v>
      </c>
      <c r="BL50" s="23" t="n">
        <v>16557</v>
      </c>
      <c r="BM50" s="2" t="n">
        <f aca="false">BL50</f>
        <v>16557</v>
      </c>
      <c r="BN50" s="23" t="n">
        <v>15586</v>
      </c>
      <c r="BO50" s="23" t="n">
        <v>15337</v>
      </c>
      <c r="BP50" s="2" t="n">
        <f aca="false">BO50</f>
        <v>15337</v>
      </c>
      <c r="BQ50" s="23" t="n">
        <v>14523</v>
      </c>
      <c r="BR50" s="23" t="n">
        <v>15849</v>
      </c>
      <c r="BS50" s="2" t="n">
        <f aca="false">BR50</f>
        <v>15849</v>
      </c>
      <c r="BT50" s="3"/>
      <c r="BU50" s="3"/>
      <c r="BV50" s="3"/>
      <c r="BW50" s="3"/>
      <c r="BX50" s="3"/>
      <c r="BY50" s="3"/>
      <c r="BZ50" s="3"/>
      <c r="CA50" s="16"/>
      <c r="CC50" s="5"/>
      <c r="CD50" s="5"/>
      <c r="CE50" s="5"/>
    </row>
    <row r="51" customFormat="false" ht="15" hidden="false" customHeight="false" outlineLevel="0" collapsed="false">
      <c r="B51" s="1" t="s">
        <v>124</v>
      </c>
      <c r="C51" s="23" t="n">
        <v>6065</v>
      </c>
      <c r="D51" s="23" t="n">
        <v>9307</v>
      </c>
      <c r="E51" s="2" t="n">
        <f aca="false">D51</f>
        <v>9307</v>
      </c>
      <c r="F51" s="23" t="n">
        <v>9464</v>
      </c>
      <c r="G51" s="23" t="n">
        <v>9513</v>
      </c>
      <c r="H51" s="2" t="n">
        <f aca="false">G51</f>
        <v>9513</v>
      </c>
      <c r="I51" s="23" t="n">
        <v>7098</v>
      </c>
      <c r="J51" s="23" t="n">
        <v>7183</v>
      </c>
      <c r="K51" s="2" t="n">
        <f aca="false">J51</f>
        <v>7183</v>
      </c>
      <c r="L51" s="23" t="n">
        <v>7195</v>
      </c>
      <c r="M51" s="23" t="n">
        <v>7127</v>
      </c>
      <c r="N51" s="2" t="n">
        <f aca="false">M51</f>
        <v>7127</v>
      </c>
      <c r="O51" s="23" t="n">
        <v>5901</v>
      </c>
      <c r="P51" s="23" t="n">
        <v>5056</v>
      </c>
      <c r="Q51" s="2" t="n">
        <f aca="false">P51</f>
        <v>5056</v>
      </c>
      <c r="R51" s="23" t="n">
        <v>5974</v>
      </c>
      <c r="S51" s="23" t="n">
        <v>5608</v>
      </c>
      <c r="T51" s="2" t="n">
        <f aca="false">S51</f>
        <v>5608</v>
      </c>
      <c r="U51" s="23" t="n">
        <v>4602</v>
      </c>
      <c r="V51" s="23" t="n">
        <v>3751</v>
      </c>
      <c r="W51" s="2" t="n">
        <f aca="false">V51</f>
        <v>3751</v>
      </c>
      <c r="X51" s="23" t="n">
        <v>3671</v>
      </c>
      <c r="Y51" s="23" t="n">
        <v>4144</v>
      </c>
      <c r="Z51" s="2" t="n">
        <f aca="false">Y51</f>
        <v>4144</v>
      </c>
      <c r="AA51" s="23" t="n">
        <v>18607</v>
      </c>
      <c r="AB51" s="23" t="n">
        <v>17995</v>
      </c>
      <c r="AC51" s="2" t="n">
        <f aca="false">AB51</f>
        <v>17995</v>
      </c>
      <c r="AD51" s="23" t="n">
        <v>19179</v>
      </c>
      <c r="AE51" s="23" t="n">
        <v>26352</v>
      </c>
      <c r="AF51" s="2" t="n">
        <f aca="false">AE51</f>
        <v>26352</v>
      </c>
      <c r="AG51" s="23" t="n">
        <v>22407</v>
      </c>
      <c r="AH51" s="23" t="n">
        <v>21946</v>
      </c>
      <c r="AI51" s="2" t="n">
        <f aca="false">AH51</f>
        <v>21946</v>
      </c>
      <c r="AJ51" s="23" t="n">
        <v>21088</v>
      </c>
      <c r="AK51" s="23" t="n">
        <v>23132</v>
      </c>
      <c r="AL51" s="2" t="n">
        <f aca="false">AK51</f>
        <v>23132</v>
      </c>
      <c r="AM51" s="23" t="n">
        <v>22247</v>
      </c>
      <c r="AN51" s="23" t="n">
        <v>22649</v>
      </c>
      <c r="AO51" s="2" t="n">
        <f aca="false">AN51</f>
        <v>22649</v>
      </c>
      <c r="AP51" s="23" t="n">
        <v>21741</v>
      </c>
      <c r="AQ51" s="23" t="n">
        <v>21198</v>
      </c>
      <c r="AR51" s="2" t="n">
        <f aca="false">AQ51</f>
        <v>21198</v>
      </c>
      <c r="AS51" s="23" t="n">
        <v>18859</v>
      </c>
      <c r="AT51" s="23" t="n">
        <v>18386</v>
      </c>
      <c r="AU51" s="2" t="n">
        <f aca="false">AT51</f>
        <v>18386</v>
      </c>
      <c r="AV51" s="23" t="n">
        <v>18675</v>
      </c>
      <c r="AW51" s="23" t="n">
        <v>17742</v>
      </c>
      <c r="AX51" s="2" t="n">
        <f aca="false">AW51</f>
        <v>17742</v>
      </c>
      <c r="AY51" s="23" t="n">
        <v>15069</v>
      </c>
      <c r="AZ51" s="23" t="n">
        <v>16251</v>
      </c>
      <c r="BA51" s="2" t="n">
        <f aca="false">AZ51</f>
        <v>16251</v>
      </c>
      <c r="BB51" s="23" t="n">
        <v>16012</v>
      </c>
      <c r="BC51" s="23" t="n">
        <v>15349</v>
      </c>
      <c r="BD51" s="2" t="n">
        <f aca="false">BC51</f>
        <v>15349</v>
      </c>
      <c r="BE51" s="23" t="n">
        <v>16075</v>
      </c>
      <c r="BF51" s="23" t="n">
        <v>15468</v>
      </c>
      <c r="BG51" s="2" t="n">
        <f aca="false">BF51</f>
        <v>15468</v>
      </c>
      <c r="BH51" s="23" t="n">
        <v>15627</v>
      </c>
      <c r="BI51" s="23" t="n">
        <v>14666</v>
      </c>
      <c r="BJ51" s="2" t="n">
        <f aca="false">BI51</f>
        <v>14666</v>
      </c>
      <c r="BK51" s="23" t="n">
        <v>13880</v>
      </c>
      <c r="BL51" s="23" t="n">
        <v>15276</v>
      </c>
      <c r="BM51" s="2" t="n">
        <f aca="false">BL51</f>
        <v>15276</v>
      </c>
      <c r="BN51" s="23" t="n">
        <v>15420</v>
      </c>
      <c r="BO51" s="23" t="n">
        <v>14588</v>
      </c>
      <c r="BP51" s="2" t="n">
        <f aca="false">BO51</f>
        <v>14588</v>
      </c>
      <c r="BQ51" s="23" t="n">
        <v>15949</v>
      </c>
      <c r="BR51" s="23" t="n">
        <v>16639</v>
      </c>
      <c r="BS51" s="2" t="n">
        <f aca="false">BR51</f>
        <v>16639</v>
      </c>
      <c r="BT51" s="3"/>
      <c r="BU51" s="3"/>
      <c r="BV51" s="3"/>
      <c r="BW51" s="3"/>
      <c r="BX51" s="3"/>
      <c r="BY51" s="3"/>
      <c r="BZ51" s="3"/>
      <c r="CA51" s="16"/>
      <c r="CC51" s="5"/>
      <c r="CD51" s="5"/>
      <c r="CE51" s="5"/>
      <c r="CH51" s="21" t="s">
        <v>157</v>
      </c>
      <c r="CI51" s="50" t="n">
        <v>0.005</v>
      </c>
      <c r="CJ51" s="22" t="s">
        <v>131</v>
      </c>
      <c r="CK51" s="50" t="n">
        <v>-0.0125</v>
      </c>
    </row>
    <row r="52" customFormat="false" ht="15" hidden="false" customHeight="false" outlineLevel="0" collapsed="false">
      <c r="B52" s="26" t="s">
        <v>126</v>
      </c>
      <c r="C52" s="28" t="n">
        <f aca="false">C50+C51</f>
        <v>13789</v>
      </c>
      <c r="D52" s="28" t="n">
        <f aca="false">D50+D51</f>
        <v>17086</v>
      </c>
      <c r="E52" s="28" t="n">
        <f aca="false">E50+E51</f>
        <v>17086</v>
      </c>
      <c r="F52" s="28" t="n">
        <f aca="false">F50+F51</f>
        <v>16399</v>
      </c>
      <c r="G52" s="28" t="n">
        <f aca="false">G50+G51</f>
        <v>15539</v>
      </c>
      <c r="H52" s="28" t="n">
        <f aca="false">H50+H51</f>
        <v>15539</v>
      </c>
      <c r="I52" s="28" t="n">
        <f aca="false">I50+I51</f>
        <v>15130</v>
      </c>
      <c r="J52" s="28" t="n">
        <f aca="false">J50+J51</f>
        <v>14630</v>
      </c>
      <c r="K52" s="28" t="n">
        <f aca="false">K50+K51</f>
        <v>14630</v>
      </c>
      <c r="L52" s="28" t="n">
        <f aca="false">L50+L51</f>
        <v>14301</v>
      </c>
      <c r="M52" s="28" t="n">
        <f aca="false">M50+M51</f>
        <v>12926</v>
      </c>
      <c r="N52" s="28" t="n">
        <f aca="false">N50+N51</f>
        <v>12926</v>
      </c>
      <c r="O52" s="28" t="n">
        <f aca="false">O50+O51</f>
        <v>12376</v>
      </c>
      <c r="P52" s="28" t="n">
        <f aca="false">P50+P51</f>
        <v>11527</v>
      </c>
      <c r="Q52" s="28" t="n">
        <f aca="false">Q50+Q51</f>
        <v>11527</v>
      </c>
      <c r="R52" s="28" t="n">
        <f aca="false">R50+R51</f>
        <v>13656</v>
      </c>
      <c r="S52" s="28" t="n">
        <f aca="false">S50+S51</f>
        <v>12584</v>
      </c>
      <c r="T52" s="28" t="n">
        <f aca="false">T50+T51</f>
        <v>12584</v>
      </c>
      <c r="U52" s="28" t="n">
        <f aca="false">U50+U51</f>
        <v>12076</v>
      </c>
      <c r="V52" s="28" t="n">
        <f aca="false">V50+V51</f>
        <v>11755</v>
      </c>
      <c r="W52" s="28" t="n">
        <f aca="false">W50+W51</f>
        <v>11755</v>
      </c>
      <c r="X52" s="28" t="n">
        <f aca="false">X50+X51</f>
        <v>11200</v>
      </c>
      <c r="Y52" s="28" t="n">
        <f aca="false">Y50+Y51</f>
        <v>10911</v>
      </c>
      <c r="Z52" s="28" t="n">
        <f aca="false">Z50+Z51</f>
        <v>10911</v>
      </c>
      <c r="AA52" s="28" t="n">
        <f aca="false">AA50+AA51</f>
        <v>27222</v>
      </c>
      <c r="AB52" s="28" t="n">
        <f aca="false">AB50+AB51</f>
        <v>26280</v>
      </c>
      <c r="AC52" s="28" t="n">
        <f aca="false">AC50+AC51</f>
        <v>26280</v>
      </c>
      <c r="AD52" s="28" t="n">
        <f aca="false">AD50+AD51</f>
        <v>26749</v>
      </c>
      <c r="AE52" s="28" t="n">
        <f aca="false">AE50+AE51</f>
        <v>34766</v>
      </c>
      <c r="AF52" s="28" t="n">
        <f aca="false">AF50+AF51</f>
        <v>34766</v>
      </c>
      <c r="AG52" s="28" t="n">
        <f aca="false">AG50+AG51</f>
        <v>32944</v>
      </c>
      <c r="AH52" s="28" t="n">
        <f aca="false">AH50+AH51</f>
        <v>32556</v>
      </c>
      <c r="AI52" s="28" t="n">
        <f aca="false">AI50+AI51</f>
        <v>32556</v>
      </c>
      <c r="AJ52" s="28" t="n">
        <f aca="false">AJ50+AJ51</f>
        <v>31252</v>
      </c>
      <c r="AK52" s="28" t="n">
        <f aca="false">AK50+AK51</f>
        <v>32668</v>
      </c>
      <c r="AL52" s="28" t="n">
        <f aca="false">AL50+AL51</f>
        <v>32668</v>
      </c>
      <c r="AM52" s="28" t="n">
        <f aca="false">AM50+AM51</f>
        <v>35568</v>
      </c>
      <c r="AN52" s="28" t="n">
        <f aca="false">AN50+AN51</f>
        <v>34979</v>
      </c>
      <c r="AO52" s="28" t="n">
        <f aca="false">AO50+AO51</f>
        <v>34979</v>
      </c>
      <c r="AP52" s="28" t="n">
        <f aca="false">AP50+AP51</f>
        <v>33456</v>
      </c>
      <c r="AQ52" s="28" t="n">
        <f aca="false">AQ50+AQ51</f>
        <v>32319</v>
      </c>
      <c r="AR52" s="28" t="n">
        <f aca="false">AR50+AR51</f>
        <v>32319</v>
      </c>
      <c r="AS52" s="28" t="n">
        <f aca="false">AS50+AS51</f>
        <v>31813</v>
      </c>
      <c r="AT52" s="28" t="n">
        <f aca="false">AT50+AT51</f>
        <v>31411</v>
      </c>
      <c r="AU52" s="28" t="n">
        <f aca="false">AU50+AU51</f>
        <v>31411</v>
      </c>
      <c r="AV52" s="28" t="n">
        <f aca="false">AV50+AV51</f>
        <v>30589</v>
      </c>
      <c r="AW52" s="28" t="n">
        <f aca="false">AW50+AW51</f>
        <v>29407</v>
      </c>
      <c r="AX52" s="28" t="n">
        <f aca="false">AX50+AX51</f>
        <v>29407</v>
      </c>
      <c r="AY52" s="28" t="n">
        <f aca="false">AY50+AY51</f>
        <v>28648</v>
      </c>
      <c r="AZ52" s="28" t="n">
        <f aca="false">AZ50+AZ51</f>
        <v>28883</v>
      </c>
      <c r="BA52" s="28" t="n">
        <f aca="false">BA50+BA51</f>
        <v>28883</v>
      </c>
      <c r="BB52" s="28" t="n">
        <f aca="false">BB50+BB51</f>
        <v>27943</v>
      </c>
      <c r="BC52" s="28" t="n">
        <f aca="false">BC50+BC51</f>
        <v>27239</v>
      </c>
      <c r="BD52" s="28" t="n">
        <f aca="false">BD50+BD51</f>
        <v>27239</v>
      </c>
      <c r="BE52" s="28" t="n">
        <f aca="false">BE50+BE51</f>
        <v>28207</v>
      </c>
      <c r="BF52" s="28" t="n">
        <f aca="false">BF50+BF51</f>
        <v>27474</v>
      </c>
      <c r="BG52" s="28" t="n">
        <f aca="false">BG50+BG51</f>
        <v>27474</v>
      </c>
      <c r="BH52" s="28" t="n">
        <f aca="false">BH50+BH51</f>
        <v>27263</v>
      </c>
      <c r="BI52" s="28" t="n">
        <f aca="false">BI50+BI51</f>
        <v>26745</v>
      </c>
      <c r="BJ52" s="28" t="n">
        <f aca="false">BJ50+BJ51</f>
        <v>26745</v>
      </c>
      <c r="BK52" s="28" t="n">
        <f aca="false">BK50+BK51</f>
        <v>26707</v>
      </c>
      <c r="BL52" s="28" t="n">
        <f aca="false">BL50+BL51</f>
        <v>31833</v>
      </c>
      <c r="BM52" s="28" t="n">
        <f aca="false">BM50+BM51</f>
        <v>31833</v>
      </c>
      <c r="BN52" s="28" t="n">
        <f aca="false">BN50+BN51</f>
        <v>31006</v>
      </c>
      <c r="BO52" s="28" t="n">
        <f aca="false">BO50+BO51</f>
        <v>29925</v>
      </c>
      <c r="BP52" s="28" t="n">
        <f aca="false">BP50+BP51</f>
        <v>29925</v>
      </c>
      <c r="BQ52" s="28" t="n">
        <f aca="false">BQ50+BQ51</f>
        <v>30472</v>
      </c>
      <c r="BR52" s="28" t="n">
        <f aca="false">BR50+BR51</f>
        <v>32488</v>
      </c>
      <c r="BS52" s="28" t="n">
        <f aca="false">BS50+BS51</f>
        <v>32488</v>
      </c>
      <c r="BT52" s="29" t="n">
        <f aca="false">BR52+BT53-BT39</f>
        <v>32488</v>
      </c>
      <c r="BU52" s="29" t="n">
        <f aca="false">BT52+BU53-BU39</f>
        <v>32488</v>
      </c>
      <c r="BV52" s="29" t="n">
        <f aca="false">BU52</f>
        <v>32488</v>
      </c>
      <c r="BW52" s="29" t="n">
        <f aca="false">BV52+BW53-BW39</f>
        <v>32488</v>
      </c>
      <c r="BX52" s="29" t="n">
        <f aca="false">BW52+BX53-BX39</f>
        <v>32488</v>
      </c>
      <c r="BY52" s="29" t="n">
        <f aca="false">BX52+BY53-BY39</f>
        <v>32488</v>
      </c>
      <c r="BZ52" s="29" t="n">
        <f aca="false">BY52+BZ53-BZ39</f>
        <v>32488</v>
      </c>
      <c r="CA52" s="16" t="s">
        <v>127</v>
      </c>
      <c r="CC52" s="30" t="n">
        <f aca="false">IFERROR((BZ52/BP52)^(1/5)-1,"n/m")</f>
        <v>0.0165711104249959</v>
      </c>
      <c r="CD52" s="30" t="n">
        <f aca="false">IFERROR((BP52/AL52)^(1/5)-1,"n/m")</f>
        <v>-0.0173874143490154</v>
      </c>
      <c r="CE52" s="30" t="n">
        <f aca="false">IFERROR((BP52/H52)^(1/10)-1,"n/m")</f>
        <v>0.0677291738722965</v>
      </c>
      <c r="CH52" s="24" t="s">
        <v>134</v>
      </c>
      <c r="CI52" s="51" t="n">
        <f aca="false">CJ52+$CI$51</f>
        <v>0.0725</v>
      </c>
      <c r="CJ52" s="31" t="n">
        <v>0.0675</v>
      </c>
      <c r="CK52" s="51" t="n">
        <f aca="false">CJ52+$CK$51</f>
        <v>0.055</v>
      </c>
    </row>
    <row r="53" customFormat="false" ht="15" hidden="false" customHeight="false" outlineLevel="0" collapsed="false">
      <c r="B53" s="1" t="s">
        <v>128</v>
      </c>
      <c r="C53" s="2"/>
      <c r="D53" s="2" t="n">
        <f aca="false">IF(AND(ISNUMBER(D52),ISNUMBER(C52)),D52-C52+D39,"")</f>
        <v>4463</v>
      </c>
      <c r="E53" s="2" t="str">
        <f aca="false">IF(AND(ISNUMBER(C53),ISNUMBER(D53)),C53+D53,"")</f>
        <v/>
      </c>
      <c r="F53" s="2" t="n">
        <f aca="false">IF(AND(ISNUMBER(F52),ISNUMBER(D52)),F52-D52+F39,"")</f>
        <v>490</v>
      </c>
      <c r="G53" s="2" t="n">
        <f aca="false">IF(AND(ISNUMBER(G52),ISNUMBER(F52)),G52-F52+G39,"")</f>
        <v>334</v>
      </c>
      <c r="H53" s="2"/>
      <c r="I53" s="2" t="n">
        <f aca="false">IF(AND(ISNUMBER(I52),ISNUMBER(G52)),I52-G52+I39,"")</f>
        <v>584</v>
      </c>
      <c r="J53" s="2" t="n">
        <f aca="false">IF(AND(ISNUMBER(J52),ISNUMBER(I52)),J52-I52+J39,"")</f>
        <v>499</v>
      </c>
      <c r="K53" s="2" t="n">
        <f aca="false">IF(AND(ISNUMBER(I53),ISNUMBER(J53)),I53+J53,"")</f>
        <v>1083</v>
      </c>
      <c r="L53" s="2" t="n">
        <f aca="false">IF(AND(ISNUMBER(L52),ISNUMBER(J52)),L52-J52+L39,"")</f>
        <v>649</v>
      </c>
      <c r="M53" s="2" t="n">
        <f aca="false">IF(AND(ISNUMBER(M52),ISNUMBER(L52)),M52-L52+M39,"")</f>
        <v>-256</v>
      </c>
      <c r="N53" s="2" t="n">
        <f aca="false">IF(AND(ISNUMBER(N52),ISNUMBER(H52)),N52-H52+N39,"")</f>
        <v>1476</v>
      </c>
      <c r="O53" s="2" t="n">
        <f aca="false">IF(AND(ISNUMBER(O52),ISNUMBER(M52)),O52-M52+O39,"")</f>
        <v>421</v>
      </c>
      <c r="P53" s="2" t="n">
        <f aca="false">IF(AND(ISNUMBER(P52),ISNUMBER(O52)),P52-O52+P39,"")</f>
        <v>152</v>
      </c>
      <c r="Q53" s="2" t="n">
        <f aca="false">IF(AND(ISNUMBER(O53),ISNUMBER(P53)),O53+P53,"")</f>
        <v>573</v>
      </c>
      <c r="R53" s="2" t="n">
        <f aca="false">IF(AND(ISNUMBER(R52),ISNUMBER(P52)),R52-P52+R39,"")</f>
        <v>3182</v>
      </c>
      <c r="S53" s="2" t="n">
        <f aca="false">IF(AND(ISNUMBER(S52),ISNUMBER(R52)),S52-R52+S39,"")</f>
        <v>67</v>
      </c>
      <c r="T53" s="2" t="n">
        <f aca="false">IF(AND(ISNUMBER(T52),ISNUMBER(N52)),T52-N52+T39,"")</f>
        <v>3822</v>
      </c>
      <c r="U53" s="2" t="n">
        <f aca="false">IF(AND(ISNUMBER(U52),ISNUMBER(S52)),U52-S52+U39,"")</f>
        <v>574</v>
      </c>
      <c r="V53" s="2" t="n">
        <f aca="false">IF(AND(ISNUMBER(V52),ISNUMBER(U52)),V52-U52+V39,"")</f>
        <v>862</v>
      </c>
      <c r="W53" s="2" t="n">
        <f aca="false">IF(AND(ISNUMBER(U53),ISNUMBER(V53)),U53+V53,"")</f>
        <v>1436</v>
      </c>
      <c r="X53" s="2" t="n">
        <f aca="false">IF(AND(ISNUMBER(X52),ISNUMBER(V52)),X52-V52+X39,"")</f>
        <v>624</v>
      </c>
      <c r="Y53" s="2" t="n">
        <f aca="false">IF(AND(ISNUMBER(Y52),ISNUMBER(X52)),Y52-X52+Y39,"")</f>
        <v>1063</v>
      </c>
      <c r="Z53" s="2" t="n">
        <f aca="false">IF(AND(ISNUMBER(Z52),ISNUMBER(T52)),Z52-T52+Z39,"")</f>
        <v>3123</v>
      </c>
      <c r="AA53" s="2" t="n">
        <f aca="false">IF(AND(ISNUMBER(AA52),ISNUMBER(Y52)),AA52-Y52+AA39,"")</f>
        <v>17590</v>
      </c>
      <c r="AB53" s="2" t="n">
        <f aca="false">IF(AND(ISNUMBER(AB52),ISNUMBER(AA52)),AB52-AA52+AB39,"")</f>
        <v>337</v>
      </c>
      <c r="AC53" s="2" t="n">
        <f aca="false">IF(AND(ISNUMBER(AA53),ISNUMBER(AB53)),AA53+AB53,"")</f>
        <v>17927</v>
      </c>
      <c r="AD53" s="2" t="n">
        <f aca="false">IF(AND(ISNUMBER(AD52),ISNUMBER(AB52)),AD52-AB52+AD39,"")</f>
        <v>1743</v>
      </c>
      <c r="AE53" s="2" t="n">
        <f aca="false">IF(AND(ISNUMBER(AE52),ISNUMBER(AD52)),AE52-AD52+AE39,"")</f>
        <v>9416</v>
      </c>
      <c r="AF53" s="2" t="n">
        <f aca="false">IF(AND(ISNUMBER(AF52),ISNUMBER(Z52)),AF52-Z52+AF39,"")</f>
        <v>29086</v>
      </c>
      <c r="AG53" s="2" t="n">
        <f aca="false">IF(AND(ISNUMBER(AG52),ISNUMBER(AE52)),AG52-AE52+AG39,"")</f>
        <v>-481</v>
      </c>
      <c r="AH53" s="2" t="n">
        <f aca="false">IF(AND(ISNUMBER(AH52),ISNUMBER(AG52)),AH52-AG52+AH39,"")</f>
        <v>734</v>
      </c>
      <c r="AI53" s="2" t="n">
        <f aca="false">IF(AND(ISNUMBER(AG53),ISNUMBER(AH53)),AG53+AH53,"")</f>
        <v>253</v>
      </c>
      <c r="AJ53" s="2" t="n">
        <f aca="false">IF(AND(ISNUMBER(AJ52),ISNUMBER(AH52)),AJ52-AH52+AJ39,"")</f>
        <v>54</v>
      </c>
      <c r="AK53" s="2" t="n">
        <f aca="false">IF(AND(ISNUMBER(AK52),ISNUMBER(AJ52)),AK52-AJ52+AK39,"")</f>
        <v>3166</v>
      </c>
      <c r="AL53" s="2" t="n">
        <f aca="false">IF(AND(ISNUMBER(AL52),ISNUMBER(AF52)),AL52-AF52+AL39,"")</f>
        <v>3473</v>
      </c>
      <c r="AM53" s="2" t="n">
        <f aca="false">IF(AND(ISNUMBER(AM52),ISNUMBER(AK52)),AM52-AK52+AM39,"")</f>
        <v>4307</v>
      </c>
      <c r="AN53" s="2" t="n">
        <f aca="false">IF(AND(ISNUMBER(AN52),ISNUMBER(AM52)),AN52-AM52+AN39,"")</f>
        <v>774</v>
      </c>
      <c r="AO53" s="2" t="n">
        <f aca="false">IF(AND(ISNUMBER(AM53),ISNUMBER(AN53)),AM53+AN53,"")</f>
        <v>5081</v>
      </c>
      <c r="AP53" s="2" t="n">
        <f aca="false">IF(AND(ISNUMBER(AP52),ISNUMBER(AN52)),AP52-AN52+AP39,"")</f>
        <v>-169</v>
      </c>
      <c r="AQ53" s="2" t="n">
        <f aca="false">IF(AND(ISNUMBER(AQ52),ISNUMBER(AP52)),AQ52-AP52+AQ39,"")</f>
        <v>402</v>
      </c>
      <c r="AR53" s="2" t="n">
        <f aca="false">IF(AND(ISNUMBER(AR52),ISNUMBER(AL52)),AR52-AL52+AR39,"")</f>
        <v>5314</v>
      </c>
      <c r="AS53" s="2" t="n">
        <f aca="false">IF(AND(ISNUMBER(AS52),ISNUMBER(AQ52)),AS52-AQ52+AS39,"")</f>
        <v>884</v>
      </c>
      <c r="AT53" s="2" t="n">
        <f aca="false">IF(AND(ISNUMBER(AT52),ISNUMBER(AS52)),AT52-AS52+AT39,"")</f>
        <v>1031</v>
      </c>
      <c r="AU53" s="2" t="n">
        <f aca="false">IF(AND(ISNUMBER(AS53),ISNUMBER(AT53)),AS53+AT53,"")</f>
        <v>1915</v>
      </c>
      <c r="AV53" s="2" t="n">
        <f aca="false">IF(AND(ISNUMBER(AV52),ISNUMBER(AT52)),AV52-AT52+AV39,"")</f>
        <v>623</v>
      </c>
      <c r="AW53" s="2" t="n">
        <f aca="false">IF(AND(ISNUMBER(AW52),ISNUMBER(AV52)),AW52-AV52+AW39,"")</f>
        <v>402</v>
      </c>
      <c r="AX53" s="2" t="n">
        <f aca="false">IF(AND(ISNUMBER(AX52),ISNUMBER(AR52)),AX52-AR52+AX39,"")</f>
        <v>2940</v>
      </c>
      <c r="AY53" s="2" t="n">
        <f aca="false">IF(AND(ISNUMBER(AY52),ISNUMBER(AW52)),AY52-AW52+AY39,"")</f>
        <v>747</v>
      </c>
      <c r="AZ53" s="2" t="n">
        <f aca="false">IF(AND(ISNUMBER(AZ52),ISNUMBER(AY52)),AZ52-AY52+AZ39,"")</f>
        <v>1744</v>
      </c>
      <c r="BA53" s="2" t="n">
        <f aca="false">IF(AND(ISNUMBER(AY53),ISNUMBER(AZ53)),AY53+AZ53,"")</f>
        <v>2491</v>
      </c>
      <c r="BB53" s="2" t="n">
        <f aca="false">IF(AND(ISNUMBER(BB52),ISNUMBER(AZ52)),BB52-AZ52+BB39,"")</f>
        <v>513</v>
      </c>
      <c r="BC53" s="2" t="n">
        <f aca="false">IF(AND(ISNUMBER(BC52),ISNUMBER(BB52)),BC52-BB52+BC39,"")</f>
        <v>961</v>
      </c>
      <c r="BD53" s="2" t="n">
        <f aca="false">IF(AND(ISNUMBER(BD52),ISNUMBER(AX52)),BD52-AX52+BD39,"")</f>
        <v>3965</v>
      </c>
      <c r="BE53" s="2" t="n">
        <f aca="false">IF(AND(ISNUMBER(BE52),ISNUMBER(BC52)),BE52-BC52+BE39,"")</f>
        <v>2402</v>
      </c>
      <c r="BF53" s="2" t="n">
        <f aca="false">IF(AND(ISNUMBER(BF52),ISNUMBER(BE52)),BF52-BE52+BF39,"")</f>
        <v>802</v>
      </c>
      <c r="BG53" s="2" t="n">
        <f aca="false">IF(AND(ISNUMBER(BE53),ISNUMBER(BF53)),BE53+BF53,"")</f>
        <v>3204</v>
      </c>
      <c r="BH53" s="2" t="n">
        <f aca="false">IF(AND(ISNUMBER(BH52),ISNUMBER(BF52)),BH52-BF52+BH39,"")</f>
        <v>1201</v>
      </c>
      <c r="BI53" s="2" t="n">
        <f aca="false">IF(AND(ISNUMBER(BI52),ISNUMBER(BH52)),BI52-BH52+BI39,"")</f>
        <v>1070</v>
      </c>
      <c r="BJ53" s="2" t="n">
        <f aca="false">IF(AND(ISNUMBER(BJ52),ISNUMBER(BD52)),BJ52-BD52+BJ39,"")</f>
        <v>5475</v>
      </c>
      <c r="BK53" s="2" t="n">
        <f aca="false">IF(AND(ISNUMBER(BK52),ISNUMBER(BI52)),BK52-BI52+BK39,"")</f>
        <v>1358</v>
      </c>
      <c r="BL53" s="2" t="n">
        <f aca="false">IF(AND(ISNUMBER(BL52),ISNUMBER(BK52)),BL52-BK52+BL39,"")</f>
        <v>6729</v>
      </c>
      <c r="BM53" s="2" t="n">
        <f aca="false">IF(AND(ISNUMBER(BK53),ISNUMBER(BL53)),BK53+BL53,"")</f>
        <v>8087</v>
      </c>
      <c r="BN53" s="2" t="n">
        <f aca="false">IF(AND(ISNUMBER(BN52),ISNUMBER(BL52)),BN52-BL52+BN39,"")</f>
        <v>790</v>
      </c>
      <c r="BO53" s="2" t="n">
        <f aca="false">IF(AND(ISNUMBER(BO52),ISNUMBER(BN52)),BO52-BN52+BO39,"")</f>
        <v>810</v>
      </c>
      <c r="BP53" s="2" t="n">
        <f aca="false">IF(AND(ISNUMBER(BP52),ISNUMBER(BJ52)),BP52-BJ52+BP39,"")</f>
        <v>9687</v>
      </c>
      <c r="BQ53" s="2" t="n">
        <f aca="false">IF(AND(ISNUMBER(BQ52),ISNUMBER(BO52)),BQ52-BO52+BQ39,"")</f>
        <v>2212</v>
      </c>
      <c r="BR53" s="2" t="n">
        <f aca="false">IF(AND(ISNUMBER(BR52),ISNUMBER(BQ52)),BR52-BQ52+BR39,"")</f>
        <v>3865</v>
      </c>
      <c r="BS53" s="2" t="n">
        <f aca="false">IF(AND(ISNUMBER(BQ53),ISNUMBER(BR53)),BQ53+BR53,"")</f>
        <v>6077</v>
      </c>
      <c r="BT53" s="3" t="n">
        <f aca="false">BT39*BT54</f>
        <v>1802.61841070024</v>
      </c>
      <c r="BU53" s="3" t="n">
        <f aca="false">BU39*BU54</f>
        <v>1802.61841070024</v>
      </c>
      <c r="BV53" s="3" t="n">
        <f aca="false">SUM(BQ53,BR53,BT53,BU53)</f>
        <v>9682.23682140047</v>
      </c>
      <c r="BW53" s="3" t="n">
        <f aca="false">BW39*BW54</f>
        <v>7617.58339889851</v>
      </c>
      <c r="BX53" s="3" t="n">
        <f aca="false">BX39*BX54</f>
        <v>8074.63840283242</v>
      </c>
      <c r="BY53" s="3" t="n">
        <f aca="false">BY39*BY54</f>
        <v>8518.7435149882</v>
      </c>
      <c r="BZ53" s="3" t="n">
        <f aca="false">BZ39*BZ54</f>
        <v>8944.68069073761</v>
      </c>
      <c r="CA53" s="16" t="s">
        <v>129</v>
      </c>
      <c r="CC53" s="5"/>
      <c r="CD53" s="5"/>
      <c r="CE53" s="5"/>
      <c r="CH53" s="24" t="s">
        <v>136</v>
      </c>
      <c r="CI53" s="51" t="n">
        <f aca="false">CJ53+$CI$51</f>
        <v>0.075</v>
      </c>
      <c r="CJ53" s="31" t="n">
        <v>0.07</v>
      </c>
      <c r="CK53" s="51" t="n">
        <f aca="false">CJ53+$CK$51</f>
        <v>0.0575</v>
      </c>
    </row>
    <row r="54" customFormat="false" ht="15" hidden="false" customHeight="false" outlineLevel="0" collapsed="false">
      <c r="B54" s="35" t="s">
        <v>132</v>
      </c>
      <c r="C54" s="43" t="str">
        <f aca="false">IF(ISNUMBER(C53),IFERROR(C53/C39,""),"")</f>
        <v/>
      </c>
      <c r="D54" s="43" t="n">
        <f aca="false">IF(ISNUMBER(D53),IFERROR(D53/D39,""),"")</f>
        <v>3.82761578044597</v>
      </c>
      <c r="E54" s="43" t="str">
        <f aca="false">IF(ISNUMBER(E53),IFERROR(E53/E39,""),"")</f>
        <v/>
      </c>
      <c r="F54" s="43" t="n">
        <f aca="false">IF(ISNUMBER(F53),IFERROR(F53/F39,""),"")</f>
        <v>0.416312659303314</v>
      </c>
      <c r="G54" s="43" t="n">
        <f aca="false">IF(ISNUMBER(G53),IFERROR(G53/G39,""),"")</f>
        <v>0.279731993299833</v>
      </c>
      <c r="H54" s="43" t="str">
        <f aca="false">IF(ISNUMBER(H53),IFERROR(H53/H39,""),"")</f>
        <v/>
      </c>
      <c r="I54" s="43" t="n">
        <f aca="false">IF(ISNUMBER(I53),IFERROR(I53/I39,""),"")</f>
        <v>0.588116817724068</v>
      </c>
      <c r="J54" s="43" t="n">
        <f aca="false">IF(ISNUMBER(J53),IFERROR(J53/J39,""),"")</f>
        <v>0.4994994994995</v>
      </c>
      <c r="K54" s="43" t="n">
        <f aca="false">IF(ISNUMBER(K53),IFERROR(K53/K39,""),"")</f>
        <v>0.543674698795181</v>
      </c>
      <c r="L54" s="43" t="n">
        <f aca="false">IF(ISNUMBER(L53),IFERROR(L53/L39,""),"")</f>
        <v>0.66359918200409</v>
      </c>
      <c r="M54" s="43" t="n">
        <f aca="false">IF(ISNUMBER(M53),IFERROR(M53/M39,""),"")</f>
        <v>-0.228775692582663</v>
      </c>
      <c r="N54" s="43" t="n">
        <f aca="false">IF(ISNUMBER(N53),IFERROR(N53/N39,""),"")</f>
        <v>0.360968451944241</v>
      </c>
      <c r="O54" s="43" t="n">
        <f aca="false">IF(ISNUMBER(O53),IFERROR(O53/O39,""),"")</f>
        <v>0.433573635427394</v>
      </c>
      <c r="P54" s="43" t="n">
        <f aca="false">IF(ISNUMBER(P53),IFERROR(P53/P39,""),"")</f>
        <v>0.151848151848152</v>
      </c>
      <c r="Q54" s="43" t="n">
        <f aca="false">IF(ISNUMBER(Q53),IFERROR(Q53/Q39,""),"")</f>
        <v>0.290567951318458</v>
      </c>
      <c r="R54" s="43" t="n">
        <f aca="false">IF(ISNUMBER(R53),IFERROR(R53/R39,""),"")</f>
        <v>3.02184235517569</v>
      </c>
      <c r="S54" s="43" t="n">
        <f aca="false">IF(ISNUMBER(S53),IFERROR(S53/S39,""),"")</f>
        <v>0.0588235294117647</v>
      </c>
      <c r="T54" s="43" t="n">
        <f aca="false">IF(ISNUMBER(T53),IFERROR(T53/T39,""),"")</f>
        <v>0.917867435158501</v>
      </c>
      <c r="U54" s="43" t="n">
        <f aca="false">IF(ISNUMBER(U53),IFERROR(U53/U39,""),"")</f>
        <v>0.530499075785582</v>
      </c>
      <c r="V54" s="43" t="n">
        <f aca="false">IF(ISNUMBER(V53),IFERROR(V53/V39,""),"")</f>
        <v>0.72865595942519</v>
      </c>
      <c r="W54" s="43" t="n">
        <f aca="false">IF(ISNUMBER(W53),IFERROR(W53/W39,""),"")</f>
        <v>0.633995584988963</v>
      </c>
      <c r="X54" s="43" t="n">
        <f aca="false">IF(ISNUMBER(X53),IFERROR(X53/X39,""),"")</f>
        <v>0.529262086513995</v>
      </c>
      <c r="Y54" s="43" t="n">
        <f aca="false">IF(ISNUMBER(Y53),IFERROR(Y53/Y39,""),"")</f>
        <v>0.786242603550296</v>
      </c>
      <c r="Z54" s="43" t="n">
        <f aca="false">IF(ISNUMBER(Z53),IFERROR(Z53/Z39,""),"")</f>
        <v>0.65116763969975</v>
      </c>
      <c r="AA54" s="43" t="n">
        <f aca="false">IF(ISNUMBER(AA53),IFERROR(AA53/AA39,""),"")</f>
        <v>13.7529319781079</v>
      </c>
      <c r="AB54" s="43" t="n">
        <f aca="false">IF(ISNUMBER(AB53),IFERROR(AB53/AB39,""),"")</f>
        <v>0.263487099296325</v>
      </c>
      <c r="AC54" s="43" t="n">
        <f aca="false">IF(ISNUMBER(AC53),IFERROR(AC53/AC39,""),"")</f>
        <v>7.00820953870211</v>
      </c>
      <c r="AD54" s="43" t="n">
        <f aca="false">IF(ISNUMBER(AD53),IFERROR(AD53/AD39,""),"")</f>
        <v>1.36813186813187</v>
      </c>
      <c r="AE54" s="43" t="n">
        <f aca="false">IF(ISNUMBER(AE53),IFERROR(AE53/AE39,""),"")</f>
        <v>6.73052180128663</v>
      </c>
      <c r="AF54" s="43" t="n">
        <f aca="false">IF(ISNUMBER(AF53),IFERROR(AF53/AF39,""),"")</f>
        <v>5.5603135155802</v>
      </c>
      <c r="AG54" s="43" t="n">
        <f aca="false">IF(ISNUMBER(AG53),IFERROR(AG53/AG39,""),"")</f>
        <v>-0.35868754660701</v>
      </c>
      <c r="AH54" s="43" t="n">
        <f aca="false">IF(ISNUMBER(AH53),IFERROR(AH53/AH39,""),"")</f>
        <v>0.654188948306595</v>
      </c>
      <c r="AI54" s="43" t="n">
        <f aca="false">IF(ISNUMBER(AI53),IFERROR(AI53/AI39,""),"")</f>
        <v>0.102720259845717</v>
      </c>
      <c r="AJ54" s="43" t="n">
        <f aca="false">IF(ISNUMBER(AJ53),IFERROR(AJ53/AJ39,""),"")</f>
        <v>0.0397643593519882</v>
      </c>
      <c r="AK54" s="43" t="n">
        <f aca="false">IF(ISNUMBER(AK53),IFERROR(AK53/AK39,""),"")</f>
        <v>1.80914285714286</v>
      </c>
      <c r="AL54" s="43" t="n">
        <f aca="false">IF(ISNUMBER(AL53),IFERROR(AL53/AL39,""),"")</f>
        <v>0.623406928738108</v>
      </c>
      <c r="AM54" s="43" t="n">
        <f aca="false">IF(ISNUMBER(AM53),IFERROR(AM53/AM39,""),"")</f>
        <v>3.06112295664535</v>
      </c>
      <c r="AN54" s="43" t="n">
        <f aca="false">IF(ISNUMBER(AN53),IFERROR(AN53/AN39,""),"")</f>
        <v>0.567865003668379</v>
      </c>
      <c r="AO54" s="43" t="n">
        <f aca="false">IF(ISNUMBER(AO53),IFERROR(AO53/AO39,""),"")</f>
        <v>1.83429602888087</v>
      </c>
      <c r="AP54" s="43" t="n">
        <f aca="false">IF(ISNUMBER(AP53),IFERROR(AP53/AP39,""),"")</f>
        <v>-0.124815361890694</v>
      </c>
      <c r="AQ54" s="43" t="n">
        <f aca="false">IF(ISNUMBER(AQ53),IFERROR(AQ53/AQ39,""),"")</f>
        <v>0.261208576998051</v>
      </c>
      <c r="AR54" s="43" t="n">
        <f aca="false">IF(ISNUMBER(AR53),IFERROR(AR53/AR39,""),"")</f>
        <v>0.938371887692036</v>
      </c>
      <c r="AS54" s="43" t="n">
        <f aca="false">IF(ISNUMBER(AS53),IFERROR(AS53/AS39,""),"")</f>
        <v>0.635971223021583</v>
      </c>
      <c r="AT54" s="43" t="n">
        <f aca="false">IF(ISNUMBER(AT53),IFERROR(AT53/AT39,""),"")</f>
        <v>0.71946964410328</v>
      </c>
      <c r="AU54" s="43" t="n">
        <f aca="false">IF(ISNUMBER(AU53),IFERROR(AU53/AU39,""),"")</f>
        <v>0.678356358483882</v>
      </c>
      <c r="AV54" s="43" t="n">
        <f aca="false">IF(ISNUMBER(AV53),IFERROR(AV53/AV39,""),"")</f>
        <v>0.431141868512111</v>
      </c>
      <c r="AW54" s="43" t="n">
        <f aca="false">IF(ISNUMBER(AW53),IFERROR(AW53/AW39,""),"")</f>
        <v>0.253787878787879</v>
      </c>
      <c r="AX54" s="43" t="n">
        <f aca="false">IF(ISNUMBER(AX53),IFERROR(AX53/AX39,""),"")</f>
        <v>0.502392344497608</v>
      </c>
      <c r="AY54" s="43" t="n">
        <f aca="false">IF(ISNUMBER(AY53),IFERROR(AY53/AY39,""),"")</f>
        <v>0.49601593625498</v>
      </c>
      <c r="AZ54" s="43" t="n">
        <f aca="false">IF(ISNUMBER(AZ53),IFERROR(AZ53/AZ39,""),"")</f>
        <v>1.1557322730285</v>
      </c>
      <c r="BA54" s="43" t="n">
        <f aca="false">IF(ISNUMBER(BA53),IFERROR(BA53/BA39,""),"")</f>
        <v>0.82620232172471</v>
      </c>
      <c r="BB54" s="43" t="n">
        <f aca="false">IF(ISNUMBER(BB53),IFERROR(BB53/BB39,""),"")</f>
        <v>0.353062629043359</v>
      </c>
      <c r="BC54" s="43" t="n">
        <f aca="false">IF(ISNUMBER(BC53),IFERROR(BC53/BC39,""),"")</f>
        <v>0.577177177177177</v>
      </c>
      <c r="BD54" s="43" t="n">
        <f aca="false">IF(ISNUMBER(BD53),IFERROR(BD53/BD39,""),"")</f>
        <v>0.646502527311267</v>
      </c>
      <c r="BE54" s="43" t="n">
        <f aca="false">IF(ISNUMBER(BE53),IFERROR(BE53/BE39,""),"")</f>
        <v>1.67503486750349</v>
      </c>
      <c r="BF54" s="43" t="n">
        <f aca="false">IF(ISNUMBER(BF53),IFERROR(BF53/BF39,""),"")</f>
        <v>0.522475570032573</v>
      </c>
      <c r="BG54" s="43" t="n">
        <f aca="false">IF(ISNUMBER(BG53),IFERROR(BG53/BG39,""),"")</f>
        <v>1.07915122937016</v>
      </c>
      <c r="BH54" s="43" t="n">
        <f aca="false">IF(ISNUMBER(BH53),IFERROR(BH53/BH39,""),"")</f>
        <v>0.85056657223796</v>
      </c>
      <c r="BI54" s="43" t="n">
        <f aca="false">IF(ISNUMBER(BI53),IFERROR(BI53/BI39,""),"")</f>
        <v>0.673803526448363</v>
      </c>
      <c r="BJ54" s="43" t="n">
        <f aca="false">IF(ISNUMBER(BJ53),IFERROR(BJ53/BJ39,""),"")</f>
        <v>0.91723906852069</v>
      </c>
      <c r="BK54" s="43" t="n">
        <f aca="false">IF(ISNUMBER(BK53),IFERROR(BK53/BK39,""),"")</f>
        <v>0.972779369627507</v>
      </c>
      <c r="BL54" s="43" t="n">
        <f aca="false">IF(ISNUMBER(BL53),IFERROR(BL53/BL39,""),"")</f>
        <v>4.19775421085465</v>
      </c>
      <c r="BM54" s="43" t="n">
        <f aca="false">IF(ISNUMBER(BM53),IFERROR(BM53/BM39,""),"")</f>
        <v>2.69656552184061</v>
      </c>
      <c r="BN54" s="43" t="n">
        <f aca="false">IF(ISNUMBER(BN53),IFERROR(BN53/BN39,""),"")</f>
        <v>0.488559059987631</v>
      </c>
      <c r="BO54" s="43" t="n">
        <f aca="false">IF(ISNUMBER(BO53),IFERROR(BO53/BO39,""),"")</f>
        <v>0.428344791115812</v>
      </c>
      <c r="BP54" s="43" t="n">
        <f aca="false">IF(ISNUMBER(BP53),IFERROR(BP53/BP39,""),"")</f>
        <v>1.48870447210696</v>
      </c>
      <c r="BQ54" s="43" t="n">
        <f aca="false">IF(ISNUMBER(BQ53),IFERROR(BQ53/BQ39,""),"")</f>
        <v>1.32852852852853</v>
      </c>
      <c r="BR54" s="43" t="n">
        <f aca="false">IF(ISNUMBER(BR53),IFERROR(BR53/BR39,""),"")</f>
        <v>2.09031909140076</v>
      </c>
      <c r="BS54" s="43" t="n">
        <f aca="false">IF(ISNUMBER(BS53),IFERROR(BS53/BS39,""),"")</f>
        <v>1.72936824132043</v>
      </c>
      <c r="BT54" s="44" t="n">
        <f aca="false">$BV$54</f>
        <v>1</v>
      </c>
      <c r="BU54" s="44" t="n">
        <f aca="false">$BV$54</f>
        <v>1</v>
      </c>
      <c r="BV54" s="45" t="n">
        <v>1</v>
      </c>
      <c r="BW54" s="45" t="n">
        <v>1</v>
      </c>
      <c r="BX54" s="45" t="n">
        <v>1</v>
      </c>
      <c r="BY54" s="45" t="n">
        <v>1</v>
      </c>
      <c r="BZ54" s="45" t="n">
        <v>1</v>
      </c>
      <c r="CA54" s="16" t="s">
        <v>133</v>
      </c>
      <c r="CC54" s="5"/>
      <c r="CD54" s="5"/>
      <c r="CE54" s="5"/>
      <c r="CH54" s="24" t="s">
        <v>139</v>
      </c>
      <c r="CI54" s="51" t="n">
        <f aca="false">CJ54+$CI$51</f>
        <v>0.0775</v>
      </c>
      <c r="CJ54" s="31" t="n">
        <v>0.0725</v>
      </c>
      <c r="CK54" s="51" t="n">
        <f aca="false">CJ54+$CK$51</f>
        <v>0.06</v>
      </c>
    </row>
    <row r="55" customFormat="false" ht="15" hidden="false" customHeight="false" outlineLevel="0" collapsed="false">
      <c r="B55" s="35" t="s">
        <v>135</v>
      </c>
      <c r="C55" s="47"/>
      <c r="D55" s="47"/>
      <c r="E55" s="47"/>
      <c r="F55" s="47"/>
      <c r="G55" s="47"/>
      <c r="H55" s="47" t="n">
        <f aca="false">IFERROR(H52/H39,"")</f>
        <v>3.61540251279665</v>
      </c>
      <c r="I55" s="47"/>
      <c r="J55" s="47"/>
      <c r="K55" s="47"/>
      <c r="L55" s="47"/>
      <c r="M55" s="47"/>
      <c r="N55" s="47" t="n">
        <f aca="false">IFERROR(N52/N39,"")</f>
        <v>3.16116409880166</v>
      </c>
      <c r="O55" s="47"/>
      <c r="P55" s="47"/>
      <c r="Q55" s="47"/>
      <c r="R55" s="47"/>
      <c r="S55" s="47"/>
      <c r="T55" s="47" t="n">
        <f aca="false">IFERROR(T52/T39,"")</f>
        <v>3.02209414024976</v>
      </c>
      <c r="U55" s="47"/>
      <c r="V55" s="47"/>
      <c r="W55" s="47"/>
      <c r="X55" s="47"/>
      <c r="Y55" s="47"/>
      <c r="Z55" s="47" t="n">
        <f aca="false">IFERROR(Z52/Z39,"")</f>
        <v>2.27502085070892</v>
      </c>
      <c r="AA55" s="47"/>
      <c r="AB55" s="47"/>
      <c r="AC55" s="47"/>
      <c r="AD55" s="47"/>
      <c r="AE55" s="47"/>
      <c r="AF55" s="47" t="n">
        <f aca="false">IFERROR(AF52/AF39,"")</f>
        <v>6.64614796406041</v>
      </c>
      <c r="AG55" s="47"/>
      <c r="AH55" s="47"/>
      <c r="AI55" s="47"/>
      <c r="AJ55" s="47"/>
      <c r="AK55" s="47"/>
      <c r="AL55" s="47" t="n">
        <f aca="false">IFERROR(AL52/AL39,"")</f>
        <v>5.86393825166038</v>
      </c>
      <c r="AM55" s="47"/>
      <c r="AN55" s="47"/>
      <c r="AO55" s="47"/>
      <c r="AP55" s="47"/>
      <c r="AQ55" s="47"/>
      <c r="AR55" s="47" t="n">
        <f aca="false">IFERROR(AR52/AR39,"")</f>
        <v>5.7070457354759</v>
      </c>
      <c r="AS55" s="47"/>
      <c r="AT55" s="47"/>
      <c r="AU55" s="47"/>
      <c r="AV55" s="47"/>
      <c r="AW55" s="47"/>
      <c r="AX55" s="47" t="n">
        <f aca="false">IFERROR(AX52/AX39,"")</f>
        <v>5.02511961722488</v>
      </c>
      <c r="AY55" s="47"/>
      <c r="AZ55" s="47"/>
      <c r="BA55" s="47"/>
      <c r="BB55" s="47"/>
      <c r="BC55" s="47"/>
      <c r="BD55" s="47" t="n">
        <f aca="false">IFERROR(BD52/BD39,"")</f>
        <v>4.44138268384151</v>
      </c>
      <c r="BE55" s="47"/>
      <c r="BF55" s="47"/>
      <c r="BG55" s="47"/>
      <c r="BH55" s="47"/>
      <c r="BI55" s="47"/>
      <c r="BJ55" s="47" t="n">
        <f aca="false">IFERROR(BJ52/BJ39,"")</f>
        <v>4.48065002512984</v>
      </c>
      <c r="BK55" s="47"/>
      <c r="BL55" s="47"/>
      <c r="BM55" s="47"/>
      <c r="BN55" s="47"/>
      <c r="BO55" s="47"/>
      <c r="BP55" s="47" t="n">
        <f aca="false">IFERROR(BP52/BP39,"")</f>
        <v>4.59889349930844</v>
      </c>
      <c r="BQ55" s="47"/>
      <c r="BR55" s="47"/>
      <c r="BS55" s="47"/>
      <c r="BT55" s="48"/>
      <c r="BU55" s="48"/>
      <c r="BV55" s="48" t="n">
        <f aca="false">IFERROR(BV52/BV39,"")</f>
        <v>4.56341049118367</v>
      </c>
      <c r="BW55" s="48" t="n">
        <f aca="false">IFERROR(BW52/BW39,"")</f>
        <v>4.26486961792866</v>
      </c>
      <c r="BX55" s="48" t="n">
        <f aca="false">IFERROR(BX52/BX39,"")</f>
        <v>4.02346190370629</v>
      </c>
      <c r="BY55" s="48" t="n">
        <f aca="false">IFERROR(BY52/BY39,"")</f>
        <v>3.81370796559838</v>
      </c>
      <c r="BZ55" s="48" t="n">
        <f aca="false">IFERROR(BZ52/BZ39,"")</f>
        <v>3.63210282437941</v>
      </c>
      <c r="CA55" s="16"/>
      <c r="CC55" s="5"/>
      <c r="CD55" s="5"/>
      <c r="CE55" s="5"/>
      <c r="CH55" s="24" t="s">
        <v>142</v>
      </c>
      <c r="CI55" s="51" t="n">
        <f aca="false">CJ55+$CI$51</f>
        <v>0.08</v>
      </c>
      <c r="CJ55" s="31" t="n">
        <v>0.075</v>
      </c>
      <c r="CK55" s="51" t="n">
        <f aca="false">CJ55+$CK$51</f>
        <v>0.0625</v>
      </c>
    </row>
    <row r="56" customFormat="false" ht="15" hidden="false" customHeight="false" outlineLevel="0" collapsed="false">
      <c r="B56" s="20" t="s">
        <v>158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1" t="s">
        <v>138</v>
      </c>
    </row>
    <row r="57" customFormat="false" ht="15" hidden="false" customHeight="false" outlineLevel="0" collapsed="false">
      <c r="B57" s="35" t="s">
        <v>140</v>
      </c>
      <c r="C57" s="36" t="n">
        <f aca="false">IFERROR(C38/C39,"n/d")</f>
        <v>0</v>
      </c>
      <c r="D57" s="36" t="n">
        <f aca="false">IFERROR(D38/D39,"n/d")</f>
        <v>0</v>
      </c>
      <c r="E57" s="36" t="n">
        <f aca="false">IFERROR(E38/E39,"n/d")</f>
        <v>0</v>
      </c>
      <c r="F57" s="36" t="n">
        <f aca="false">IFERROR(F38/F39,"n/d")</f>
        <v>0</v>
      </c>
      <c r="G57" s="36" t="n">
        <f aca="false">IFERROR(G38/G39,"n/d")</f>
        <v>0</v>
      </c>
      <c r="H57" s="36" t="n">
        <f aca="false">IFERROR(H38/H39,"n/d")</f>
        <v>0</v>
      </c>
      <c r="I57" s="36" t="n">
        <f aca="false">IFERROR(I38/I39,"n/d")</f>
        <v>0</v>
      </c>
      <c r="J57" s="36" t="n">
        <f aca="false">IFERROR(J38/J39,"n/d")</f>
        <v>0</v>
      </c>
      <c r="K57" s="36" t="n">
        <f aca="false">IFERROR(K38/K39,"n/d")</f>
        <v>0</v>
      </c>
      <c r="L57" s="36" t="n">
        <f aca="false">IFERROR(L38/L39,"n/d")</f>
        <v>0</v>
      </c>
      <c r="M57" s="36" t="n">
        <f aca="false">IFERROR(M38/M39,"n/d")</f>
        <v>0</v>
      </c>
      <c r="N57" s="36" t="n">
        <f aca="false">IFERROR(N38/N39,"n/d")</f>
        <v>0</v>
      </c>
      <c r="O57" s="36" t="n">
        <f aca="false">IFERROR(O38/O39,"n/d")</f>
        <v>0</v>
      </c>
      <c r="P57" s="36" t="n">
        <f aca="false">IFERROR(P38/P39,"n/d")</f>
        <v>0</v>
      </c>
      <c r="Q57" s="36" t="n">
        <f aca="false">IFERROR(Q38/Q39,"n/d")</f>
        <v>0</v>
      </c>
      <c r="R57" s="36" t="n">
        <f aca="false">IFERROR(R38/R39,"n/d")</f>
        <v>0</v>
      </c>
      <c r="S57" s="36" t="n">
        <f aca="false">IFERROR(S38/S39,"n/d")</f>
        <v>0</v>
      </c>
      <c r="T57" s="36" t="n">
        <f aca="false">IFERROR(T38/T39,"n/d")</f>
        <v>0</v>
      </c>
      <c r="U57" s="36" t="n">
        <f aca="false">IFERROR(U38/U39,"n/d")</f>
        <v>0</v>
      </c>
      <c r="V57" s="36" t="n">
        <f aca="false">IFERROR(V38/V39,"n/d")</f>
        <v>0.00253592561284869</v>
      </c>
      <c r="W57" s="36" t="n">
        <f aca="false">IFERROR(W38/W39,"n/d")</f>
        <v>0.00132450331125828</v>
      </c>
      <c r="X57" s="36" t="n">
        <f aca="false">IFERROR(X38/X39,"n/d")</f>
        <v>0.00169635284139101</v>
      </c>
      <c r="Y57" s="36" t="n">
        <f aca="false">IFERROR(Y38/Y39,"n/d")</f>
        <v>0.0022189349112426</v>
      </c>
      <c r="Z57" s="36" t="n">
        <f aca="false">IFERROR(Z38/Z39,"n/d")</f>
        <v>0.00166805671392827</v>
      </c>
      <c r="AA57" s="36" t="n">
        <f aca="false">IFERROR(AA38/AA39,"n/d")</f>
        <v>0</v>
      </c>
      <c r="AB57" s="36" t="n">
        <f aca="false">IFERROR(AB38/AB39,"n/d")</f>
        <v>0.00234558248631744</v>
      </c>
      <c r="AC57" s="36" t="n">
        <f aca="false">IFERROR(AC38/AC39,"n/d")</f>
        <v>0.00117279124315872</v>
      </c>
      <c r="AD57" s="36" t="n">
        <f aca="false">IFERROR(AD38/AD39,"n/d")</f>
        <v>0.000784929356357928</v>
      </c>
      <c r="AE57" s="36" t="n">
        <f aca="false">IFERROR(AE38/AE39,"n/d")</f>
        <v>0.00285918513223731</v>
      </c>
      <c r="AF57" s="36" t="n">
        <f aca="false">IFERROR(AF38/AF39,"n/d")</f>
        <v>0.0015293442936341</v>
      </c>
      <c r="AG57" s="36" t="n">
        <f aca="false">IFERROR(AG38/AG39,"n/d")</f>
        <v>0.00149142431021626</v>
      </c>
      <c r="AH57" s="36" t="n">
        <f aca="false">IFERROR(AH38/AH39,"n/d")</f>
        <v>0.0017825311942959</v>
      </c>
      <c r="AI57" s="36" t="n">
        <f aca="false">IFERROR(AI38/AI39,"n/d")</f>
        <v>0.00162403572878603</v>
      </c>
      <c r="AJ57" s="36" t="n">
        <f aca="false">IFERROR(AJ38/AJ39,"n/d")</f>
        <v>0.00220913107511046</v>
      </c>
      <c r="AK57" s="36" t="n">
        <f aca="false">IFERROR(AK38/AK39,"n/d")</f>
        <v>0.00285714285714286</v>
      </c>
      <c r="AL57" s="36" t="n">
        <f aca="false">IFERROR(AL38/AL39,"n/d")</f>
        <v>0.00215401184706516</v>
      </c>
      <c r="AM57" s="36" t="n">
        <f aca="false">IFERROR(AM38/AM39,"n/d")</f>
        <v>0.00142146410803127</v>
      </c>
      <c r="AN57" s="36" t="n">
        <f aca="false">IFERROR(AN38/AN39,"n/d")</f>
        <v>0.00293470286133529</v>
      </c>
      <c r="AO57" s="36" t="n">
        <f aca="false">IFERROR(AO38/AO39,"n/d")</f>
        <v>0.00216606498194946</v>
      </c>
      <c r="AP57" s="36" t="n">
        <f aca="false">IFERROR(AP38/AP39,"n/d")</f>
        <v>0.00221565731166913</v>
      </c>
      <c r="AQ57" s="36" t="n">
        <f aca="false">IFERROR(AQ38/AQ39,"n/d")</f>
        <v>0.00129954515919428</v>
      </c>
      <c r="AR57" s="36" t="n">
        <f aca="false">IFERROR(AR38/AR39,"n/d")</f>
        <v>0.00194243333921949</v>
      </c>
      <c r="AS57" s="36" t="n">
        <f aca="false">IFERROR(AS38/AS39,"n/d")</f>
        <v>0.00143884892086331</v>
      </c>
      <c r="AT57" s="36" t="n">
        <f aca="false">IFERROR(AT38/AT39,"n/d")</f>
        <v>0</v>
      </c>
      <c r="AU57" s="36" t="n">
        <f aca="false">IFERROR(AU38/AU39,"n/d")</f>
        <v>0.000708466170740347</v>
      </c>
      <c r="AV57" s="36" t="n">
        <f aca="false">IFERROR(AV38/AV39,"n/d")</f>
        <v>0.00069204152249135</v>
      </c>
      <c r="AW57" s="36" t="n">
        <f aca="false">IFERROR(AW38/AW39,"n/d")</f>
        <v>0.000631313131313131</v>
      </c>
      <c r="AX57" s="36" t="n">
        <f aca="false">IFERROR(AX38/AX39,"n/d")</f>
        <v>0.000854408749145591</v>
      </c>
      <c r="AY57" s="36" t="n">
        <f aca="false">IFERROR(AY38/AY39,"n/d")</f>
        <v>0.000664010624169987</v>
      </c>
      <c r="AZ57" s="36" t="n">
        <f aca="false">IFERROR(AZ38/AZ39,"n/d")</f>
        <v>0</v>
      </c>
      <c r="BA57" s="36" t="n">
        <f aca="false">IFERROR(BA38/BA39,"n/d")</f>
        <v>0.00033167495854063</v>
      </c>
      <c r="BB57" s="36" t="n">
        <f aca="false">IFERROR(BB38/BB39,"n/d")</f>
        <v>0.00137646249139711</v>
      </c>
      <c r="BC57" s="36" t="n">
        <f aca="false">IFERROR(BC38/BC39,"n/d")</f>
        <v>0</v>
      </c>
      <c r="BD57" s="36" t="n">
        <f aca="false">IFERROR(BD38/BD39,"n/d")</f>
        <v>0.000489157019403228</v>
      </c>
      <c r="BE57" s="36" t="n">
        <f aca="false">IFERROR(BE38/BE39,"n/d")</f>
        <v>0.000697350069735007</v>
      </c>
      <c r="BF57" s="36" t="n">
        <f aca="false">IFERROR(BF38/BF39,"n/d")</f>
        <v>0.000651465798045603</v>
      </c>
      <c r="BG57" s="36" t="n">
        <f aca="false">IFERROR(BG38/BG39,"n/d")</f>
        <v>0.000673627484001347</v>
      </c>
      <c r="BH57" s="36" t="n">
        <f aca="false">IFERROR(BH38/BH39,"n/d")</f>
        <v>0</v>
      </c>
      <c r="BI57" s="36" t="n">
        <f aca="false">IFERROR(BI38/BI39,"n/d")</f>
        <v>0.000629722921914358</v>
      </c>
      <c r="BJ57" s="36" t="n">
        <f aca="false">IFERROR(BJ38/BJ39,"n/d")</f>
        <v>0.000502596749874351</v>
      </c>
      <c r="BK57" s="36" t="n">
        <f aca="false">IFERROR(BK38/BK39,"n/d")</f>
        <v>0</v>
      </c>
      <c r="BL57" s="36" t="n">
        <f aca="false">IFERROR(BL38/BL39,"n/d")</f>
        <v>0.000623830318153462</v>
      </c>
      <c r="BM57" s="36" t="n">
        <f aca="false">IFERROR(BM38/BM39,"n/d")</f>
        <v>0.000333444481493831</v>
      </c>
      <c r="BN57" s="36" t="n">
        <f aca="false">IFERROR(BN38/BN39,"n/d")</f>
        <v>0</v>
      </c>
      <c r="BO57" s="36" t="n">
        <f aca="false">IFERROR(BO38/BO39,"n/d")</f>
        <v>0</v>
      </c>
      <c r="BP57" s="36" t="n">
        <f aca="false">IFERROR(BP38/BP39,"n/d")</f>
        <v>0.000153680651605963</v>
      </c>
      <c r="BQ57" s="36" t="n">
        <f aca="false">IFERROR(BQ38/BQ39,"n/d")</f>
        <v>0</v>
      </c>
      <c r="BR57" s="36" t="n">
        <f aca="false">IFERROR(BR38/BR39,"n/d")</f>
        <v>0</v>
      </c>
      <c r="BS57" s="36" t="n">
        <f aca="false">IFERROR(BS38/BS39,"n/d")</f>
        <v>0</v>
      </c>
      <c r="BT57" s="38" t="n">
        <f aca="false">IFERROR(BT38/BT39,"")</f>
        <v>0</v>
      </c>
      <c r="BU57" s="38" t="n">
        <f aca="false">IFERROR(BU38/BU39,"")</f>
        <v>0</v>
      </c>
      <c r="BV57" s="38" t="n">
        <f aca="false">IFERROR(BV38/BV39,"")</f>
        <v>0</v>
      </c>
      <c r="BW57" s="38" t="n">
        <f aca="false">$BP$57</f>
        <v>0.000153680651605963</v>
      </c>
      <c r="BX57" s="38" t="n">
        <f aca="false">$BP$57</f>
        <v>0.000153680651605963</v>
      </c>
      <c r="BY57" s="38" t="n">
        <f aca="false">$BP$57</f>
        <v>0.000153680651605963</v>
      </c>
      <c r="BZ57" s="38" t="n">
        <f aca="false">$BP$57</f>
        <v>0.000153680651605963</v>
      </c>
      <c r="CA57" s="16" t="s">
        <v>141</v>
      </c>
      <c r="CC57" s="5"/>
      <c r="CD57" s="5"/>
      <c r="CE57" s="5"/>
      <c r="CH57" s="21" t="s">
        <v>159</v>
      </c>
      <c r="CI57" s="50" t="n">
        <v>0.005</v>
      </c>
      <c r="CJ57" s="22" t="s">
        <v>131</v>
      </c>
      <c r="CK57" s="50" t="n">
        <v>-0.0075</v>
      </c>
    </row>
    <row r="58" customFormat="false" ht="15" hidden="false" customHeight="false" outlineLevel="0" collapsed="false">
      <c r="B58" s="35" t="s">
        <v>143</v>
      </c>
      <c r="C58" s="36" t="n">
        <f aca="false">IFERROR(C41/C39,"")</f>
        <v>0</v>
      </c>
      <c r="D58" s="36" t="n">
        <f aca="false">IFERROR(D41/D39,"")</f>
        <v>0</v>
      </c>
      <c r="E58" s="36" t="n">
        <f aca="false">IFERROR(E41/E39,"")</f>
        <v>0</v>
      </c>
      <c r="F58" s="36" t="n">
        <f aca="false">IFERROR(F41/F39,"")</f>
        <v>0</v>
      </c>
      <c r="G58" s="36" t="n">
        <f aca="false">IFERROR(G41/G39,"")</f>
        <v>0</v>
      </c>
      <c r="H58" s="36" t="n">
        <f aca="false">IFERROR(H41/H39,"")</f>
        <v>0.0237319683573755</v>
      </c>
      <c r="I58" s="36" t="n">
        <f aca="false">IFERROR(I41/I39,"")</f>
        <v>0</v>
      </c>
      <c r="J58" s="36" t="n">
        <f aca="false">IFERROR(J41/J39,"")</f>
        <v>0</v>
      </c>
      <c r="K58" s="36" t="n">
        <f aca="false">IFERROR(K41/K39,"")</f>
        <v>0</v>
      </c>
      <c r="L58" s="36" t="n">
        <f aca="false">IFERROR(L41/L39,"")</f>
        <v>0</v>
      </c>
      <c r="M58" s="36" t="n">
        <f aca="false">IFERROR(M41/M39,"")</f>
        <v>0</v>
      </c>
      <c r="N58" s="36" t="n">
        <f aca="false">IFERROR(N41/N39,"")</f>
        <v>0.0266568843237955</v>
      </c>
      <c r="O58" s="36" t="n">
        <f aca="false">IFERROR(O41/O39,"")</f>
        <v>0</v>
      </c>
      <c r="P58" s="36" t="n">
        <f aca="false">IFERROR(P41/P39,"")</f>
        <v>0</v>
      </c>
      <c r="Q58" s="36" t="n">
        <f aca="false">IFERROR(Q41/Q39,"")</f>
        <v>0</v>
      </c>
      <c r="R58" s="36" t="n">
        <f aca="false">IFERROR(R41/R39,"")</f>
        <v>0</v>
      </c>
      <c r="S58" s="36" t="n">
        <f aca="false">IFERROR(S41/S39,"")</f>
        <v>0</v>
      </c>
      <c r="T58" s="36" t="n">
        <f aca="false">IFERROR(T41/T39,"")</f>
        <v>0.0256964457252642</v>
      </c>
      <c r="U58" s="36" t="n">
        <f aca="false">IFERROR(U41/U39,"")</f>
        <v>0</v>
      </c>
      <c r="V58" s="36" t="n">
        <f aca="false">IFERROR(V41/V39,"")</f>
        <v>0</v>
      </c>
      <c r="W58" s="36" t="n">
        <f aca="false">IFERROR(W41/W39,"")</f>
        <v>0</v>
      </c>
      <c r="X58" s="36" t="n">
        <f aca="false">IFERROR(X41/X39,"")</f>
        <v>0</v>
      </c>
      <c r="Y58" s="36" t="n">
        <f aca="false">IFERROR(Y41/Y39,"")</f>
        <v>0</v>
      </c>
      <c r="Z58" s="36" t="n">
        <f aca="false">IFERROR(Z41/Z39,"")</f>
        <v>0.0237698081734779</v>
      </c>
      <c r="AA58" s="36" t="n">
        <f aca="false">IFERROR(AA41/AA39,"")</f>
        <v>0</v>
      </c>
      <c r="AB58" s="36" t="n">
        <f aca="false">IFERROR(AB41/AB39,"")</f>
        <v>0</v>
      </c>
      <c r="AC58" s="36" t="n">
        <f aca="false">IFERROR(AC41/AC39,"")</f>
        <v>0</v>
      </c>
      <c r="AD58" s="36" t="n">
        <f aca="false">IFERROR(AD41/AD39,"")</f>
        <v>0</v>
      </c>
      <c r="AE58" s="36" t="n">
        <f aca="false">IFERROR(AE41/AE39,"")</f>
        <v>0</v>
      </c>
      <c r="AF58" s="36" t="n">
        <f aca="false">IFERROR(AF41/AF39,"")</f>
        <v>0.0237048365513286</v>
      </c>
      <c r="AG58" s="36" t="n">
        <f aca="false">IFERROR(AG41/AG39,"")</f>
        <v>0</v>
      </c>
      <c r="AH58" s="36" t="n">
        <f aca="false">IFERROR(AH41/AH39,"")</f>
        <v>0</v>
      </c>
      <c r="AI58" s="36" t="n">
        <f aca="false">IFERROR(AI41/AI39,"")</f>
        <v>0</v>
      </c>
      <c r="AJ58" s="36" t="n">
        <f aca="false">IFERROR(AJ41/AJ39,"")</f>
        <v>0</v>
      </c>
      <c r="AK58" s="36" t="n">
        <f aca="false">IFERROR(AK41/AK39,"")</f>
        <v>0</v>
      </c>
      <c r="AL58" s="36" t="n">
        <f aca="false">IFERROR(AL41/AL39,"")</f>
        <v>0.0238736313049722</v>
      </c>
      <c r="AM58" s="36" t="n">
        <f aca="false">IFERROR(AM41/AM39,"")</f>
        <v>0</v>
      </c>
      <c r="AN58" s="36" t="n">
        <f aca="false">IFERROR(AN41/AN39,"")</f>
        <v>0</v>
      </c>
      <c r="AO58" s="36" t="n">
        <f aca="false">IFERROR(AO41/AO39,"")</f>
        <v>0</v>
      </c>
      <c r="AP58" s="36" t="n">
        <f aca="false">IFERROR(AP41/AP39,"")</f>
        <v>0</v>
      </c>
      <c r="AQ58" s="36" t="n">
        <f aca="false">IFERROR(AQ41/AQ39,"")</f>
        <v>0</v>
      </c>
      <c r="AR58" s="36" t="n">
        <f aca="false">IFERROR(AR41/AR39,"")</f>
        <v>0.0257813879569133</v>
      </c>
      <c r="AS58" s="36" t="n">
        <f aca="false">IFERROR(AS41/AS39,"")</f>
        <v>0</v>
      </c>
      <c r="AT58" s="36" t="n">
        <f aca="false">IFERROR(AT41/AT39,"")</f>
        <v>0</v>
      </c>
      <c r="AU58" s="36" t="n">
        <f aca="false">IFERROR(AU41/AU39,"")</f>
        <v>0</v>
      </c>
      <c r="AV58" s="36" t="n">
        <f aca="false">IFERROR(AV41/AV39,"")</f>
        <v>0</v>
      </c>
      <c r="AW58" s="36" t="n">
        <f aca="false">IFERROR(AW41/AW39,"")</f>
        <v>0</v>
      </c>
      <c r="AX58" s="36" t="n">
        <f aca="false">IFERROR(AX41/AX39,"")</f>
        <v>0.0252904989747095</v>
      </c>
      <c r="AY58" s="36" t="n">
        <f aca="false">IFERROR(AY41/AY39,"")</f>
        <v>0</v>
      </c>
      <c r="AZ58" s="36" t="n">
        <f aca="false">IFERROR(AZ41/AZ39,"")</f>
        <v>0</v>
      </c>
      <c r="BA58" s="36" t="n">
        <f aca="false">IFERROR(BA41/BA39,"")</f>
        <v>0</v>
      </c>
      <c r="BB58" s="36" t="n">
        <f aca="false">IFERROR(BB41/BB39,"")</f>
        <v>0</v>
      </c>
      <c r="BC58" s="36" t="n">
        <f aca="false">IFERROR(BC41/BC39,"")</f>
        <v>0</v>
      </c>
      <c r="BD58" s="36" t="n">
        <f aca="false">IFERROR(BD41/BD39,"")</f>
        <v>0.0244578509701614</v>
      </c>
      <c r="BE58" s="36" t="n">
        <f aca="false">IFERROR(BE41/BE39,"")</f>
        <v>0.0237099023709902</v>
      </c>
      <c r="BF58" s="36" t="n">
        <f aca="false">IFERROR(BF41/BF39,"")</f>
        <v>0.0214983713355049</v>
      </c>
      <c r="BG58" s="36" t="n">
        <f aca="false">IFERROR(BG41/BG39,"")</f>
        <v>0.0225665207140451</v>
      </c>
      <c r="BH58" s="36" t="n">
        <f aca="false">IFERROR(BH41/BH39,"")</f>
        <v>0.0240793201133144</v>
      </c>
      <c r="BI58" s="36" t="n">
        <f aca="false">IFERROR(BI41/BI39,"")</f>
        <v>0.0220403022670025</v>
      </c>
      <c r="BJ58" s="36" t="n">
        <f aca="false">IFERROR(BJ41/BJ39,"")</f>
        <v>0.0227843859943039</v>
      </c>
      <c r="BK58" s="36" t="n">
        <f aca="false">IFERROR(BK41/BK39,"")</f>
        <v>0.0236389684813754</v>
      </c>
      <c r="BL58" s="36" t="n">
        <f aca="false">IFERROR(BL41/BL39,"")</f>
        <v>0.0224578914535246</v>
      </c>
      <c r="BM58" s="36" t="n">
        <f aca="false">IFERROR(BM41/BM39,"")</f>
        <v>0.0230076692230744</v>
      </c>
      <c r="BN58" s="36" t="n">
        <f aca="false">IFERROR(BN41/BN39,"")</f>
        <v>0.0210265924551639</v>
      </c>
      <c r="BO58" s="36" t="n">
        <f aca="false">IFERROR(BO41/BO39,"")</f>
        <v>0.0200951877313591</v>
      </c>
      <c r="BP58" s="36" t="n">
        <f aca="false">IFERROR(BP41/BP39,"")</f>
        <v>0.0216689718764408</v>
      </c>
      <c r="BQ58" s="36" t="n">
        <f aca="false">IFERROR(BQ41/BQ39,"")</f>
        <v>0.021021021021021</v>
      </c>
      <c r="BR58" s="36" t="n">
        <f aca="false">IFERROR(BR41/BR39,"")</f>
        <v>0.0194699837750135</v>
      </c>
      <c r="BS58" s="36" t="n">
        <f aca="false">IFERROR(BS41/BS39,"")</f>
        <v>0.0202048947068867</v>
      </c>
      <c r="BT58" s="38" t="n">
        <f aca="false">IFERROR(BT41/BT39,"")</f>
        <v>0.0222346809082688</v>
      </c>
      <c r="BU58" s="38" t="n">
        <f aca="false">IFERROR(BU41/BU39,"")</f>
        <v>0.0222346809082688</v>
      </c>
      <c r="BV58" s="38" t="n">
        <f aca="false">IFERROR(BV41/BV39,"")</f>
        <v>0.0212327942045963</v>
      </c>
      <c r="BW58" s="49" t="n">
        <v>0.0215</v>
      </c>
      <c r="BX58" s="49" t="n">
        <v>0.0215</v>
      </c>
      <c r="BY58" s="49" t="n">
        <v>0.0215</v>
      </c>
      <c r="BZ58" s="49" t="n">
        <v>0.0215</v>
      </c>
      <c r="CA58" s="16" t="s">
        <v>160</v>
      </c>
      <c r="CC58" s="5"/>
      <c r="CD58" s="5"/>
      <c r="CE58" s="5"/>
      <c r="CH58" s="24" t="s">
        <v>134</v>
      </c>
      <c r="CI58" s="51" t="n">
        <f aca="false">CJ58+$CI$57</f>
        <v>0.0575</v>
      </c>
      <c r="CJ58" s="31" t="n">
        <v>0.0525</v>
      </c>
      <c r="CK58" s="51" t="n">
        <f aca="false">CJ58+$CK$57</f>
        <v>0.045</v>
      </c>
    </row>
    <row r="59" customFormat="false" ht="15" hidden="false" customHeight="false" outlineLevel="0" collapsed="false">
      <c r="B59" s="1" t="s">
        <v>145</v>
      </c>
      <c r="C59" s="2"/>
      <c r="D59" s="2"/>
      <c r="E59" s="2"/>
      <c r="F59" s="2"/>
      <c r="G59" s="2"/>
      <c r="H59" s="23" t="n">
        <v>130</v>
      </c>
      <c r="I59" s="2"/>
      <c r="J59" s="2"/>
      <c r="K59" s="2"/>
      <c r="L59" s="2"/>
      <c r="M59" s="2"/>
      <c r="N59" s="23" t="n">
        <v>176</v>
      </c>
      <c r="O59" s="2"/>
      <c r="P59" s="2"/>
      <c r="Q59" s="2"/>
      <c r="R59" s="2"/>
      <c r="S59" s="2"/>
      <c r="T59" s="23" t="n">
        <v>224</v>
      </c>
      <c r="U59" s="2"/>
      <c r="V59" s="2"/>
      <c r="W59" s="2"/>
      <c r="X59" s="2"/>
      <c r="Y59" s="2"/>
      <c r="Z59" s="23" t="n">
        <v>261</v>
      </c>
      <c r="AA59" s="2"/>
      <c r="AB59" s="2"/>
      <c r="AC59" s="2"/>
      <c r="AD59" s="2"/>
      <c r="AE59" s="2"/>
      <c r="AF59" s="23" t="n">
        <v>244</v>
      </c>
      <c r="AG59" s="2"/>
      <c r="AH59" s="2"/>
      <c r="AI59" s="2"/>
      <c r="AJ59" s="2"/>
      <c r="AK59" s="2"/>
      <c r="AL59" s="23" t="n">
        <v>212</v>
      </c>
      <c r="AM59" s="2"/>
      <c r="AN59" s="2"/>
      <c r="AO59" s="2"/>
      <c r="AP59" s="2"/>
      <c r="AQ59" s="2"/>
      <c r="AR59" s="23" t="n">
        <v>201</v>
      </c>
      <c r="AS59" s="2"/>
      <c r="AT59" s="2"/>
      <c r="AU59" s="2"/>
      <c r="AV59" s="2"/>
      <c r="AW59" s="2"/>
      <c r="AX59" s="23" t="n">
        <v>182</v>
      </c>
      <c r="AY59" s="2"/>
      <c r="AZ59" s="2"/>
      <c r="BA59" s="2"/>
      <c r="BB59" s="2"/>
      <c r="BC59" s="2"/>
      <c r="BD59" s="23" t="n">
        <v>196</v>
      </c>
      <c r="BE59" s="23" t="n">
        <v>56</v>
      </c>
      <c r="BF59" s="23" t="n">
        <v>70</v>
      </c>
      <c r="BG59" s="2" t="n">
        <f aca="false">BE59+BF59</f>
        <v>126</v>
      </c>
      <c r="BH59" s="23" t="n">
        <v>55</v>
      </c>
      <c r="BI59" s="23" t="n">
        <v>87</v>
      </c>
      <c r="BJ59" s="23" t="n">
        <v>268</v>
      </c>
      <c r="BK59" s="23" t="n">
        <v>49</v>
      </c>
      <c r="BL59" s="23" t="n">
        <v>74</v>
      </c>
      <c r="BM59" s="2" t="n">
        <f aca="false">BK59+BL59</f>
        <v>123</v>
      </c>
      <c r="BN59" s="23" t="n">
        <v>80</v>
      </c>
      <c r="BO59" s="23" t="n">
        <v>100</v>
      </c>
      <c r="BP59" s="23" t="n">
        <v>303</v>
      </c>
      <c r="BQ59" s="23" t="n">
        <v>57</v>
      </c>
      <c r="BR59" s="2"/>
      <c r="BS59" s="2"/>
      <c r="BT59" s="3"/>
      <c r="BU59" s="3"/>
      <c r="BV59" s="3" t="n">
        <f aca="false">BV39*BV60</f>
        <v>463.271392018884</v>
      </c>
      <c r="BW59" s="3" t="n">
        <f aca="false">BW39*BW60</f>
        <v>468.161478934639</v>
      </c>
      <c r="BX59" s="3" t="n">
        <f aca="false">BX39*BX60</f>
        <v>467.059922513617</v>
      </c>
      <c r="BY59" s="3" t="n">
        <f aca="false">BY39*BY60</f>
        <v>461.951454611124</v>
      </c>
      <c r="BZ59" s="3" t="n">
        <f aca="false">BZ39*BZ60</f>
        <v>452.712425518902</v>
      </c>
      <c r="CA59" s="16" t="s">
        <v>146</v>
      </c>
      <c r="CC59" s="5"/>
      <c r="CD59" s="5"/>
      <c r="CE59" s="5"/>
      <c r="CH59" s="24" t="s">
        <v>136</v>
      </c>
      <c r="CI59" s="51" t="n">
        <f aca="false">CJ59+$CI$57</f>
        <v>0.06</v>
      </c>
      <c r="CJ59" s="31" t="n">
        <v>0.055</v>
      </c>
      <c r="CK59" s="51" t="n">
        <f aca="false">CJ59+$CK$57</f>
        <v>0.0475</v>
      </c>
    </row>
    <row r="60" customFormat="false" ht="15" hidden="false" customHeight="false" outlineLevel="0" collapsed="false">
      <c r="B60" s="35" t="s">
        <v>148</v>
      </c>
      <c r="C60" s="36"/>
      <c r="D60" s="36"/>
      <c r="E60" s="36"/>
      <c r="F60" s="36"/>
      <c r="G60" s="36"/>
      <c r="H60" s="36" t="n">
        <f aca="false">IFERROR(H59/H39,"")</f>
        <v>0.0302466263378316</v>
      </c>
      <c r="I60" s="36"/>
      <c r="J60" s="36"/>
      <c r="K60" s="36"/>
      <c r="L60" s="36"/>
      <c r="M60" s="36"/>
      <c r="N60" s="36" t="n">
        <f aca="false">IFERROR(N59/N39,"")</f>
        <v>0.0430423086329176</v>
      </c>
      <c r="O60" s="36"/>
      <c r="P60" s="36"/>
      <c r="Q60" s="36"/>
      <c r="R60" s="36"/>
      <c r="S60" s="36"/>
      <c r="T60" s="36" t="n">
        <f aca="false">IFERROR(T59/T39,"")</f>
        <v>0.0537944284341979</v>
      </c>
      <c r="U60" s="36"/>
      <c r="V60" s="36"/>
      <c r="W60" s="36"/>
      <c r="X60" s="36"/>
      <c r="Y60" s="36"/>
      <c r="Z60" s="36" t="n">
        <f aca="false">IFERROR(Z59/Z39,"")</f>
        <v>0.0544203502919099</v>
      </c>
      <c r="AA60" s="36"/>
      <c r="AB60" s="36"/>
      <c r="AC60" s="36"/>
      <c r="AD60" s="36"/>
      <c r="AE60" s="36"/>
      <c r="AF60" s="36" t="n">
        <f aca="false">IFERROR(AF59/AF39,"")</f>
        <v>0.0466450009558402</v>
      </c>
      <c r="AG60" s="36"/>
      <c r="AH60" s="36"/>
      <c r="AI60" s="36"/>
      <c r="AJ60" s="36"/>
      <c r="AK60" s="36"/>
      <c r="AL60" s="36" t="n">
        <f aca="false">IFERROR(AL59/AL39,"")</f>
        <v>0.0380542092981511</v>
      </c>
      <c r="AM60" s="36"/>
      <c r="AN60" s="36"/>
      <c r="AO60" s="36"/>
      <c r="AP60" s="36"/>
      <c r="AQ60" s="36"/>
      <c r="AR60" s="36" t="n">
        <f aca="false">IFERROR(AR59/AR39,"")</f>
        <v>0.0354935546530108</v>
      </c>
      <c r="AS60" s="36"/>
      <c r="AT60" s="36"/>
      <c r="AU60" s="36"/>
      <c r="AV60" s="36"/>
      <c r="AW60" s="36"/>
      <c r="AX60" s="36" t="n">
        <f aca="false">IFERROR(AX59/AX39,"")</f>
        <v>0.0311004784688995</v>
      </c>
      <c r="AY60" s="36"/>
      <c r="AZ60" s="36"/>
      <c r="BA60" s="36"/>
      <c r="BB60" s="36"/>
      <c r="BC60" s="36"/>
      <c r="BD60" s="36" t="n">
        <f aca="false">IFERROR(BD59/BD39,"")</f>
        <v>0.0319582586010109</v>
      </c>
      <c r="BE60" s="36"/>
      <c r="BF60" s="36"/>
      <c r="BG60" s="36"/>
      <c r="BH60" s="36"/>
      <c r="BI60" s="36"/>
      <c r="BJ60" s="36" t="n">
        <f aca="false">IFERROR(BJ59/BJ39,"")</f>
        <v>0.0448986429887753</v>
      </c>
      <c r="BK60" s="36"/>
      <c r="BL60" s="36"/>
      <c r="BM60" s="36"/>
      <c r="BN60" s="36"/>
      <c r="BO60" s="36"/>
      <c r="BP60" s="36" t="n">
        <f aca="false">IFERROR(BP59/BP39,"")</f>
        <v>0.0465652374366067</v>
      </c>
      <c r="BQ60" s="36"/>
      <c r="BR60" s="36"/>
      <c r="BS60" s="36"/>
      <c r="BT60" s="38"/>
      <c r="BU60" s="38"/>
      <c r="BV60" s="38" t="n">
        <f aca="false">IFERROR($BP$60/$BP$227*BV227,0)</f>
        <v>0.0650731818087983</v>
      </c>
      <c r="BW60" s="38" t="n">
        <f aca="false">IFERROR($BP$60/$BP$227*BW227,0)</f>
        <v>0.0614580050416429</v>
      </c>
      <c r="BX60" s="38" t="n">
        <f aca="false">IFERROR($BP$60/$BP$227*BX227,0)</f>
        <v>0.0578428282744874</v>
      </c>
      <c r="BY60" s="38" t="n">
        <f aca="false">IFERROR($BP$60/$BP$227*BY227,0)</f>
        <v>0.0542276515073319</v>
      </c>
      <c r="BZ60" s="38" t="n">
        <f aca="false">IFERROR($BP$60/$BP$227*BZ227,0)</f>
        <v>0.0506124747401765</v>
      </c>
      <c r="CA60" s="16" t="s">
        <v>149</v>
      </c>
      <c r="CC60" s="5"/>
      <c r="CD60" s="5"/>
      <c r="CE60" s="5"/>
      <c r="CH60" s="24" t="s">
        <v>139</v>
      </c>
      <c r="CI60" s="51" t="n">
        <f aca="false">CJ60+$CI$57</f>
        <v>0.0625</v>
      </c>
      <c r="CJ60" s="31" t="n">
        <v>0.0575</v>
      </c>
      <c r="CK60" s="51" t="n">
        <f aca="false">CJ60+$CK$57</f>
        <v>0.05</v>
      </c>
    </row>
    <row r="61" customFormat="false" ht="15" hidden="false" customHeight="false" outlineLevel="0" collapsed="false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3"/>
      <c r="BU61" s="3"/>
      <c r="BV61" s="3"/>
      <c r="BW61" s="3"/>
      <c r="BX61" s="3"/>
      <c r="BY61" s="3"/>
      <c r="BZ61" s="3"/>
      <c r="CA61" s="16"/>
      <c r="CC61" s="5"/>
      <c r="CD61" s="5"/>
      <c r="CE61" s="5"/>
      <c r="CH61" s="24" t="s">
        <v>142</v>
      </c>
      <c r="CI61" s="51" t="n">
        <f aca="false">CJ61+$CI$57</f>
        <v>0.065</v>
      </c>
      <c r="CJ61" s="31" t="n">
        <v>0.06</v>
      </c>
      <c r="CK61" s="51" t="n">
        <f aca="false">CJ61+$CK$57</f>
        <v>0.0525</v>
      </c>
    </row>
    <row r="62" customFormat="false" ht="15" hidden="false" customHeight="false" outlineLevel="0" collapsed="false">
      <c r="B62" s="20" t="s">
        <v>161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1" t="s">
        <v>162</v>
      </c>
    </row>
    <row r="63" customFormat="false" ht="15" hidden="false" customHeight="false" outlineLevel="0" collapsed="false">
      <c r="B63" s="1" t="s">
        <v>86</v>
      </c>
      <c r="C63" s="2" t="str">
        <f aca="false">IF(ISNUMBER(C64),C65-C64,"n/d")</f>
        <v>n/d</v>
      </c>
      <c r="D63" s="2" t="str">
        <f aca="false">IF(ISNUMBER(D64),D65-D64,"n/d")</f>
        <v>n/d</v>
      </c>
      <c r="E63" s="2" t="str">
        <f aca="false">IF(ISNUMBER(E64),E65-E64,"n/d")</f>
        <v>n/d</v>
      </c>
      <c r="F63" s="2" t="str">
        <f aca="false">IF(ISNUMBER(F64),F65-F64,"n/d")</f>
        <v>n/d</v>
      </c>
      <c r="G63" s="2" t="str">
        <f aca="false">IF(ISNUMBER(G64),G65-G64,"n/d")</f>
        <v>n/d</v>
      </c>
      <c r="H63" s="2" t="str">
        <f aca="false">IF(ISNUMBER(H64),H65-H64,"n/d")</f>
        <v>n/d</v>
      </c>
      <c r="I63" s="2" t="str">
        <f aca="false">IF(ISNUMBER(I64),I65-I64,"n/d")</f>
        <v>n/d</v>
      </c>
      <c r="J63" s="2" t="str">
        <f aca="false">IF(ISNUMBER(J64),J65-J64,"n/d")</f>
        <v>n/d</v>
      </c>
      <c r="K63" s="2" t="str">
        <f aca="false">IF(ISNUMBER(K64),K65-K64,"n/d")</f>
        <v>n/d</v>
      </c>
      <c r="L63" s="2" t="str">
        <f aca="false">IF(ISNUMBER(L64),L65-L64,"n/d")</f>
        <v>n/d</v>
      </c>
      <c r="M63" s="2" t="str">
        <f aca="false">IF(ISNUMBER(M64),M65-M64,"n/d")</f>
        <v>n/d</v>
      </c>
      <c r="N63" s="2" t="str">
        <f aca="false">IF(ISNUMBER(N64),N65-N64,"n/d")</f>
        <v>n/d</v>
      </c>
      <c r="O63" s="2" t="str">
        <f aca="false">IF(ISNUMBER(O64),O65-O64,"n/d")</f>
        <v>n/d</v>
      </c>
      <c r="P63" s="2" t="str">
        <f aca="false">IF(ISNUMBER(P64),P65-P64,"n/d")</f>
        <v>n/d</v>
      </c>
      <c r="Q63" s="2" t="str">
        <f aca="false">IF(ISNUMBER(Q64),Q65-Q64,"n/d")</f>
        <v>n/d</v>
      </c>
      <c r="R63" s="2" t="str">
        <f aca="false">IF(ISNUMBER(R64),R65-R64,"n/d")</f>
        <v>n/d</v>
      </c>
      <c r="S63" s="2" t="str">
        <f aca="false">IF(ISNUMBER(S64),S65-S64,"n/d")</f>
        <v>n/d</v>
      </c>
      <c r="T63" s="2" t="str">
        <f aca="false">IF(ISNUMBER(T64),T65-T64,"n/d")</f>
        <v>n/d</v>
      </c>
      <c r="U63" s="2" t="n">
        <f aca="false">IF(ISNUMBER(U64),U65-U64,"n/d")</f>
        <v>207</v>
      </c>
      <c r="V63" s="2" t="n">
        <f aca="false">IF(ISNUMBER(V64),V65-V64,"n/d")</f>
        <v>211</v>
      </c>
      <c r="W63" s="2" t="n">
        <f aca="false">IF(ISNUMBER(W64),W65-W64,"n/d")</f>
        <v>418</v>
      </c>
      <c r="X63" s="2" t="n">
        <f aca="false">IF(ISNUMBER(X64),X65-X64,"n/d")</f>
        <v>214</v>
      </c>
      <c r="Y63" s="2" t="n">
        <f aca="false">IF(ISNUMBER(Y64),Y65-Y64,"n/d")</f>
        <v>151</v>
      </c>
      <c r="Z63" s="2" t="n">
        <f aca="false">IF(ISNUMBER(Z64),Z65-Z64,"n/d")</f>
        <v>783</v>
      </c>
      <c r="AA63" s="2" t="n">
        <f aca="false">IF(ISNUMBER(AA64),AA65-AA64,"n/d")</f>
        <v>217</v>
      </c>
      <c r="AB63" s="2" t="n">
        <f aca="false">IF(ISNUMBER(AB64),AB65-AB64,"n/d")</f>
        <v>291</v>
      </c>
      <c r="AC63" s="2" t="n">
        <f aca="false">IF(ISNUMBER(AC64),AC65-AC64,"n/d")</f>
        <v>508</v>
      </c>
      <c r="AD63" s="2" t="n">
        <f aca="false">IF(ISNUMBER(AD64),AD65-AD64,"n/d")</f>
        <v>300</v>
      </c>
      <c r="AE63" s="2" t="n">
        <f aca="false">IF(ISNUMBER(AE64),AE65-AE64,"n/d")</f>
        <v>316</v>
      </c>
      <c r="AF63" s="2" t="n">
        <f aca="false">IF(ISNUMBER(AF64),AF65-AF64,"n/d")</f>
        <v>1124</v>
      </c>
      <c r="AG63" s="2" t="n">
        <f aca="false">IF(ISNUMBER(AG64),AG65-AG64,"n/d")</f>
        <v>296</v>
      </c>
      <c r="AH63" s="2" t="n">
        <f aca="false">IF(ISNUMBER(AH64),AH65-AH64,"n/d")</f>
        <v>286</v>
      </c>
      <c r="AI63" s="2" t="n">
        <f aca="false">IF(ISNUMBER(AI64),AI65-AI64,"n/d")</f>
        <v>582</v>
      </c>
      <c r="AJ63" s="2" t="n">
        <f aca="false">IF(ISNUMBER(AJ64),AJ65-AJ64,"n/d")</f>
        <v>284</v>
      </c>
      <c r="AK63" s="2" t="n">
        <f aca="false">IF(ISNUMBER(AK64),AK65-AK64,"n/d")</f>
        <v>262</v>
      </c>
      <c r="AL63" s="2" t="n">
        <f aca="false">IF(ISNUMBER(AL64),AL65-AL64,"n/d")</f>
        <v>1128</v>
      </c>
      <c r="AM63" s="2" t="n">
        <f aca="false">IF(ISNUMBER(AM64),AM65-AM64,"n/d")</f>
        <v>227</v>
      </c>
      <c r="AN63" s="2" t="n">
        <f aca="false">IF(ISNUMBER(AN64),AN65-AN64,"n/d")</f>
        <v>207</v>
      </c>
      <c r="AO63" s="2" t="n">
        <f aca="false">IF(ISNUMBER(AO64),AO65-AO64,"n/d")</f>
        <v>434</v>
      </c>
      <c r="AP63" s="2" t="n">
        <f aca="false">IF(ISNUMBER(AP64),AP65-AP64,"n/d")</f>
        <v>363</v>
      </c>
      <c r="AQ63" s="2" t="n">
        <f aca="false">IF(ISNUMBER(AQ64),AQ65-AQ64,"n/d")</f>
        <v>562</v>
      </c>
      <c r="AR63" s="2" t="n">
        <f aca="false">IF(ISNUMBER(AR64),AR65-AR64,"n/d")</f>
        <v>1359</v>
      </c>
      <c r="AS63" s="2" t="n">
        <f aca="false">IF(ISNUMBER(AS64),AS65-AS64,"n/d")</f>
        <v>560</v>
      </c>
      <c r="AT63" s="2" t="str">
        <f aca="false">IF(ISNUMBER(AT64),AT65-AT64,"n/d")</f>
        <v>n/d</v>
      </c>
      <c r="AU63" s="2" t="n">
        <f aca="false">IF(ISNUMBER(AU64),AU65-AU64,"n/d")</f>
        <v>1160</v>
      </c>
      <c r="AV63" s="2" t="n">
        <f aca="false">IF(ISNUMBER(AV64),AV65-AV64,"n/d")</f>
        <v>564</v>
      </c>
      <c r="AW63" s="2" t="n">
        <f aca="false">IF(ISNUMBER(AW64),AW65-AW64,"n/d")</f>
        <v>573</v>
      </c>
      <c r="AX63" s="2" t="n">
        <f aca="false">IF(ISNUMBER(AX64),AX65-AX64,"n/d")</f>
        <v>2271</v>
      </c>
      <c r="AY63" s="2" t="n">
        <f aca="false">IF(ISNUMBER(AY64),AY65-AY64,"n/d")</f>
        <v>594</v>
      </c>
      <c r="AZ63" s="2" t="n">
        <f aca="false">IF(ISNUMBER(AZ64),AZ65-AZ64,"n/d")</f>
        <v>617</v>
      </c>
      <c r="BA63" s="2" t="n">
        <f aca="false">IF(ISNUMBER(BA64),BA65-BA64,"n/d")</f>
        <v>1211</v>
      </c>
      <c r="BB63" s="2" t="n">
        <f aca="false">IF(ISNUMBER(BB64),BB65-BB64,"n/d")</f>
        <v>655</v>
      </c>
      <c r="BC63" s="2" t="n">
        <f aca="false">IF(ISNUMBER(BC64),BC65-BC64,"n/d")</f>
        <v>715</v>
      </c>
      <c r="BD63" s="2" t="n">
        <f aca="false">IF(ISNUMBER(BD64),BD65-BD64,"n/d")</f>
        <v>2581</v>
      </c>
      <c r="BE63" s="2" t="n">
        <f aca="false">IF(ISNUMBER(BE64),BE65-BE64,"n/d")</f>
        <v>719</v>
      </c>
      <c r="BF63" s="2" t="n">
        <f aca="false">IF(ISNUMBER(BF64),BF65-BF64,"n/d")</f>
        <v>732</v>
      </c>
      <c r="BG63" s="2" t="n">
        <f aca="false">IF(ISNUMBER(BG64),BG65-BG64,"n/d")</f>
        <v>1451</v>
      </c>
      <c r="BH63" s="2" t="n">
        <f aca="false">IF(ISNUMBER(BH64),BH65-BH64,"n/d")</f>
        <v>675</v>
      </c>
      <c r="BI63" s="2" t="n">
        <f aca="false">IF(ISNUMBER(BI64),BI65-BI64,"n/d")</f>
        <v>684</v>
      </c>
      <c r="BJ63" s="2" t="n">
        <f aca="false">IF(ISNUMBER(BJ64),BJ65-BJ64,"n/d")</f>
        <v>2810</v>
      </c>
      <c r="BK63" s="2" t="n">
        <f aca="false">IF(ISNUMBER(BK64),BK65-BK64,"n/d")</f>
        <v>705</v>
      </c>
      <c r="BL63" s="2" t="n">
        <f aca="false">IF(ISNUMBER(BL64),BL65-BL64,"n/d")</f>
        <v>759</v>
      </c>
      <c r="BM63" s="2" t="n">
        <f aca="false">IF(ISNUMBER(BM64),BM65-BM64,"n/d")</f>
        <v>1464</v>
      </c>
      <c r="BN63" s="2" t="n">
        <f aca="false">IF(ISNUMBER(BN64),BN65-BN64,"n/d")</f>
        <v>750</v>
      </c>
      <c r="BO63" s="2" t="n">
        <f aca="false">IF(ISNUMBER(BO64),BO65-BO64,"n/d")</f>
        <v>698</v>
      </c>
      <c r="BP63" s="2" t="n">
        <f aca="false">IF(ISNUMBER(BP64),BP65-BP64,"n/d")</f>
        <v>2912</v>
      </c>
      <c r="BQ63" s="2" t="n">
        <f aca="false">IF(ISNUMBER(BQ64),BQ65-BQ64,"n/d")</f>
        <v>712</v>
      </c>
      <c r="BR63" s="2" t="n">
        <f aca="false">IF(ISNUMBER(BR64),BR65-BR64,"n/d")</f>
        <v>726</v>
      </c>
      <c r="BS63" s="2" t="n">
        <f aca="false">IF(ISNUMBER(BS64),BS65-BS64,"n/d")</f>
        <v>1438</v>
      </c>
      <c r="BT63" s="3" t="n">
        <f aca="false">IF(ISNUMBER(BT64),BT65-BT64,"n/d")</f>
        <v>761</v>
      </c>
      <c r="BU63" s="3" t="n">
        <f aca="false">IF(ISNUMBER(BU64),BU65-BU64,"n/d")</f>
        <v>761</v>
      </c>
      <c r="BV63" s="3" t="n">
        <f aca="false">IF(ISNUMBER(BV64),BV65-BV64,"n/d")</f>
        <v>2960</v>
      </c>
      <c r="BW63" s="3" t="n">
        <f aca="false">IF(ISNUMBER(BW64),BW65-BW64,"n/d")</f>
        <v>3084.19448094612</v>
      </c>
      <c r="BX63" s="3" t="n">
        <f aca="false">IF(ISNUMBER(BX64),BX65-BX64,"n/d")</f>
        <v>3207.56226018397</v>
      </c>
      <c r="BY63" s="3" t="n">
        <f aca="false">IF(ISNUMBER(BY64),BY65-BY64,"n/d")</f>
        <v>3351.90256189225</v>
      </c>
      <c r="BZ63" s="3" t="n">
        <f aca="false">IF(ISNUMBER(BZ64),BZ65-BZ64,"n/d")</f>
        <v>3502.7381771774</v>
      </c>
      <c r="CA63" s="16" t="s">
        <v>87</v>
      </c>
      <c r="CC63" s="5"/>
      <c r="CD63" s="5"/>
      <c r="CE63" s="5"/>
      <c r="CH63" s="21" t="s">
        <v>163</v>
      </c>
      <c r="CI63" s="52" t="n">
        <v>150</v>
      </c>
      <c r="CJ63" s="22" t="s">
        <v>131</v>
      </c>
      <c r="CK63" s="52" t="n">
        <v>-200</v>
      </c>
    </row>
    <row r="64" customFormat="false" ht="15" hidden="false" customHeight="false" outlineLevel="0" collapsed="false">
      <c r="B64" s="1" t="s">
        <v>92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3" t="n">
        <v>26</v>
      </c>
      <c r="V64" s="23" t="n">
        <v>32</v>
      </c>
      <c r="W64" s="2" t="n">
        <f aca="false">U64+V64</f>
        <v>58</v>
      </c>
      <c r="X64" s="23" t="n">
        <v>31</v>
      </c>
      <c r="Y64" s="23" t="n">
        <v>34</v>
      </c>
      <c r="Z64" s="23" t="n">
        <v>123</v>
      </c>
      <c r="AA64" s="23" t="n">
        <v>23</v>
      </c>
      <c r="AB64" s="23" t="n">
        <v>30</v>
      </c>
      <c r="AC64" s="2" t="n">
        <f aca="false">AA64+AB64</f>
        <v>53</v>
      </c>
      <c r="AD64" s="23" t="n">
        <v>26</v>
      </c>
      <c r="AE64" s="23" t="n">
        <v>34</v>
      </c>
      <c r="AF64" s="23" t="n">
        <v>113</v>
      </c>
      <c r="AG64" s="23" t="n">
        <v>21</v>
      </c>
      <c r="AH64" s="23" t="n">
        <v>34</v>
      </c>
      <c r="AI64" s="2" t="n">
        <f aca="false">AG64+AH64</f>
        <v>55</v>
      </c>
      <c r="AJ64" s="23" t="n">
        <v>36</v>
      </c>
      <c r="AK64" s="23" t="n">
        <v>49</v>
      </c>
      <c r="AL64" s="23" t="n">
        <v>140</v>
      </c>
      <c r="AM64" s="23" t="n">
        <v>32</v>
      </c>
      <c r="AN64" s="23" t="n">
        <v>30</v>
      </c>
      <c r="AO64" s="2" t="n">
        <f aca="false">AM64+AN64</f>
        <v>62</v>
      </c>
      <c r="AP64" s="23" t="n">
        <v>31</v>
      </c>
      <c r="AQ64" s="23" t="n">
        <v>24</v>
      </c>
      <c r="AR64" s="23" t="n">
        <v>117</v>
      </c>
      <c r="AS64" s="23" t="n">
        <v>30</v>
      </c>
      <c r="AT64" s="2"/>
      <c r="AU64" s="2" t="n">
        <f aca="false">AS64+AT64</f>
        <v>30</v>
      </c>
      <c r="AV64" s="23" t="n">
        <v>31</v>
      </c>
      <c r="AW64" s="23" t="n">
        <v>29</v>
      </c>
      <c r="AX64" s="23" t="n">
        <v>116</v>
      </c>
      <c r="AY64" s="23" t="n">
        <v>30</v>
      </c>
      <c r="AZ64" s="23" t="n">
        <v>28</v>
      </c>
      <c r="BA64" s="2" t="n">
        <f aca="false">AY64+AZ64</f>
        <v>58</v>
      </c>
      <c r="BB64" s="23" t="n">
        <v>30</v>
      </c>
      <c r="BC64" s="23" t="n">
        <v>30</v>
      </c>
      <c r="BD64" s="23" t="n">
        <v>118</v>
      </c>
      <c r="BE64" s="23" t="n">
        <v>31</v>
      </c>
      <c r="BF64" s="23" t="n">
        <v>33</v>
      </c>
      <c r="BG64" s="2" t="n">
        <f aca="false">BE64+BF64</f>
        <v>64</v>
      </c>
      <c r="BH64" s="23" t="n">
        <v>34</v>
      </c>
      <c r="BI64" s="23" t="n">
        <v>29</v>
      </c>
      <c r="BJ64" s="23" t="n">
        <v>127</v>
      </c>
      <c r="BK64" s="23" t="n">
        <v>30</v>
      </c>
      <c r="BL64" s="23" t="n">
        <v>32</v>
      </c>
      <c r="BM64" s="2" t="n">
        <f aca="false">BK64+BL64</f>
        <v>62</v>
      </c>
      <c r="BN64" s="23" t="n">
        <v>37</v>
      </c>
      <c r="BO64" s="23" t="n">
        <v>33</v>
      </c>
      <c r="BP64" s="23" t="n">
        <v>132</v>
      </c>
      <c r="BQ64" s="23" t="n">
        <v>36</v>
      </c>
      <c r="BR64" s="23" t="n">
        <v>34</v>
      </c>
      <c r="BS64" s="2" t="n">
        <f aca="false">BQ64+BR64</f>
        <v>70</v>
      </c>
      <c r="BT64" s="3" t="n">
        <f aca="false">BS64/2</f>
        <v>35</v>
      </c>
      <c r="BU64" s="3" t="n">
        <f aca="false">BS64/2</f>
        <v>35</v>
      </c>
      <c r="BV64" s="3" t="n">
        <f aca="false">SUM(BQ64,BR64,BT64,BU64)</f>
        <v>140</v>
      </c>
      <c r="BW64" s="3" t="n">
        <f aca="false">BW65*BW83</f>
        <v>139.805519053876</v>
      </c>
      <c r="BX64" s="3" t="n">
        <f aca="false">BX65*BX83</f>
        <v>145.397739816032</v>
      </c>
      <c r="BY64" s="3" t="n">
        <f aca="false">BY65*BY83</f>
        <v>151.940638107753</v>
      </c>
      <c r="BZ64" s="3" t="n">
        <f aca="false">BZ65*BZ83</f>
        <v>158.777966822602</v>
      </c>
      <c r="CA64" s="16" t="s">
        <v>93</v>
      </c>
      <c r="CC64" s="5"/>
      <c r="CD64" s="5"/>
      <c r="CE64" s="5"/>
      <c r="CH64" s="24" t="s">
        <v>164</v>
      </c>
      <c r="CI64" s="53" t="n">
        <f aca="false">MAX(0,CJ64+$CI$63)</f>
        <v>150</v>
      </c>
      <c r="CJ64" s="25" t="n">
        <v>0</v>
      </c>
      <c r="CK64" s="53" t="n">
        <f aca="false">MAX(0,CJ64+$CK$63)</f>
        <v>0</v>
      </c>
    </row>
    <row r="65" customFormat="false" ht="15" hidden="false" customHeight="false" outlineLevel="0" collapsed="false">
      <c r="B65" s="26" t="s">
        <v>95</v>
      </c>
      <c r="C65" s="27" t="n">
        <v>40</v>
      </c>
      <c r="D65" s="27" t="n">
        <v>35</v>
      </c>
      <c r="E65" s="28" t="n">
        <f aca="false">C65+D65</f>
        <v>75</v>
      </c>
      <c r="F65" s="27" t="n">
        <v>30</v>
      </c>
      <c r="G65" s="27" t="n">
        <v>154</v>
      </c>
      <c r="H65" s="27" t="n">
        <v>616</v>
      </c>
      <c r="I65" s="27" t="n">
        <v>208</v>
      </c>
      <c r="J65" s="27" t="n">
        <v>143</v>
      </c>
      <c r="K65" s="28" t="n">
        <f aca="false">I65+J65</f>
        <v>351</v>
      </c>
      <c r="L65" s="27" t="n">
        <v>154</v>
      </c>
      <c r="M65" s="27" t="n">
        <v>186</v>
      </c>
      <c r="N65" s="27" t="n">
        <v>691</v>
      </c>
      <c r="O65" s="27" t="n">
        <v>225</v>
      </c>
      <c r="P65" s="27" t="n">
        <v>244</v>
      </c>
      <c r="Q65" s="28" t="n">
        <f aca="false">O65+P65</f>
        <v>469</v>
      </c>
      <c r="R65" s="27" t="n">
        <v>241</v>
      </c>
      <c r="S65" s="27" t="n">
        <v>242</v>
      </c>
      <c r="T65" s="27" t="n">
        <v>952</v>
      </c>
      <c r="U65" s="27" t="n">
        <v>233</v>
      </c>
      <c r="V65" s="27" t="n">
        <v>243</v>
      </c>
      <c r="W65" s="28" t="n">
        <f aca="false">U65+V65</f>
        <v>476</v>
      </c>
      <c r="X65" s="27" t="n">
        <v>245</v>
      </c>
      <c r="Y65" s="27" t="n">
        <v>185</v>
      </c>
      <c r="Z65" s="27" t="n">
        <v>906</v>
      </c>
      <c r="AA65" s="27" t="n">
        <v>240</v>
      </c>
      <c r="AB65" s="27" t="n">
        <v>321</v>
      </c>
      <c r="AC65" s="28" t="n">
        <f aca="false">AA65+AB65</f>
        <v>561</v>
      </c>
      <c r="AD65" s="27" t="n">
        <v>326</v>
      </c>
      <c r="AE65" s="27" t="n">
        <v>350</v>
      </c>
      <c r="AF65" s="27" t="n">
        <v>1237</v>
      </c>
      <c r="AG65" s="27" t="n">
        <v>317</v>
      </c>
      <c r="AH65" s="27" t="n">
        <v>320</v>
      </c>
      <c r="AI65" s="28" t="n">
        <f aca="false">AG65+AH65</f>
        <v>637</v>
      </c>
      <c r="AJ65" s="27" t="n">
        <v>320</v>
      </c>
      <c r="AK65" s="27" t="n">
        <v>311</v>
      </c>
      <c r="AL65" s="27" t="n">
        <v>1268</v>
      </c>
      <c r="AM65" s="27" t="n">
        <v>259</v>
      </c>
      <c r="AN65" s="27" t="n">
        <v>237</v>
      </c>
      <c r="AO65" s="28" t="n">
        <f aca="false">AM65+AN65</f>
        <v>496</v>
      </c>
      <c r="AP65" s="27" t="n">
        <v>394</v>
      </c>
      <c r="AQ65" s="27" t="n">
        <v>586</v>
      </c>
      <c r="AR65" s="27" t="n">
        <v>1476</v>
      </c>
      <c r="AS65" s="27" t="n">
        <v>590</v>
      </c>
      <c r="AT65" s="27" t="n">
        <v>600</v>
      </c>
      <c r="AU65" s="28" t="n">
        <f aca="false">AS65+AT65</f>
        <v>1190</v>
      </c>
      <c r="AV65" s="27" t="n">
        <v>595</v>
      </c>
      <c r="AW65" s="27" t="n">
        <v>602</v>
      </c>
      <c r="AX65" s="27" t="n">
        <v>2387</v>
      </c>
      <c r="AY65" s="27" t="n">
        <v>624</v>
      </c>
      <c r="AZ65" s="27" t="n">
        <v>645</v>
      </c>
      <c r="BA65" s="28" t="n">
        <f aca="false">AY65+AZ65</f>
        <v>1269</v>
      </c>
      <c r="BB65" s="27" t="n">
        <v>685</v>
      </c>
      <c r="BC65" s="27" t="n">
        <v>745</v>
      </c>
      <c r="BD65" s="27" t="n">
        <v>2699</v>
      </c>
      <c r="BE65" s="27" t="n">
        <v>750</v>
      </c>
      <c r="BF65" s="27" t="n">
        <v>765</v>
      </c>
      <c r="BG65" s="28" t="n">
        <f aca="false">BE65+BF65</f>
        <v>1515</v>
      </c>
      <c r="BH65" s="27" t="n">
        <v>709</v>
      </c>
      <c r="BI65" s="27" t="n">
        <v>713</v>
      </c>
      <c r="BJ65" s="27" t="n">
        <v>2937</v>
      </c>
      <c r="BK65" s="27" t="n">
        <v>735</v>
      </c>
      <c r="BL65" s="27" t="n">
        <v>791</v>
      </c>
      <c r="BM65" s="28" t="n">
        <f aca="false">BK65+BL65</f>
        <v>1526</v>
      </c>
      <c r="BN65" s="27" t="n">
        <v>787</v>
      </c>
      <c r="BO65" s="27" t="n">
        <v>731</v>
      </c>
      <c r="BP65" s="27" t="n">
        <v>3044</v>
      </c>
      <c r="BQ65" s="27" t="n">
        <v>748</v>
      </c>
      <c r="BR65" s="27" t="n">
        <v>760</v>
      </c>
      <c r="BS65" s="28" t="n">
        <f aca="false">BQ65+BR65</f>
        <v>1508</v>
      </c>
      <c r="BT65" s="29" t="n">
        <f aca="false">(CHOOSE(MATCH($CA$2,{"Bull","Base","Bear"},0),$CI$14,$CJ$14,$CK$14)-BS65)/2</f>
        <v>796</v>
      </c>
      <c r="BU65" s="29" t="n">
        <f aca="false">(CHOOSE(MATCH($CA$2,{"Bull","Base","Bear"},0),$CI$14,$CJ$14,$CK$14)-BS65)/2</f>
        <v>796</v>
      </c>
      <c r="BV65" s="29" t="n">
        <f aca="false">SUM(BQ65,BR65,BT65,BU65)</f>
        <v>3100</v>
      </c>
      <c r="BW65" s="29" t="n">
        <f aca="false">BV65*(1+BW69)</f>
        <v>3224</v>
      </c>
      <c r="BX65" s="29" t="n">
        <f aca="false">BW65*(1+BX69)</f>
        <v>3352.96</v>
      </c>
      <c r="BY65" s="29" t="n">
        <f aca="false">BX65*(1+BY69)</f>
        <v>3503.8432</v>
      </c>
      <c r="BZ65" s="29" t="n">
        <f aca="false">BY65*(1+BZ69)</f>
        <v>3661.516144</v>
      </c>
      <c r="CA65" s="16" t="s">
        <v>96</v>
      </c>
      <c r="CC65" s="30" t="n">
        <f aca="false">IFERROR((BZ65/BP65)^(1/5)-1,"n/m")</f>
        <v>0.0376317714936272</v>
      </c>
      <c r="CD65" s="30" t="n">
        <f aca="false">IFERROR((BP65/AL65)^(1/5)-1,"n/m")</f>
        <v>0.191420528695151</v>
      </c>
      <c r="CE65" s="30" t="n">
        <f aca="false">IFERROR((BP65/H65)^(1/10)-1,"n/m")</f>
        <v>0.173238736680912</v>
      </c>
      <c r="CH65" s="24" t="s">
        <v>134</v>
      </c>
      <c r="CI65" s="53" t="n">
        <f aca="false">MAX(0,CJ65+$CI$63)</f>
        <v>350</v>
      </c>
      <c r="CJ65" s="25" t="n">
        <v>200</v>
      </c>
      <c r="CK65" s="53" t="n">
        <f aca="false">MAX(0,CJ65+$CK$63)</f>
        <v>0</v>
      </c>
    </row>
    <row r="66" customFormat="false" ht="15" hidden="false" customHeight="false" outlineLevel="0" collapsed="false">
      <c r="B66" s="32" t="s">
        <v>98</v>
      </c>
      <c r="C66" s="27" t="n">
        <v>-10</v>
      </c>
      <c r="D66" s="27" t="n">
        <v>-64</v>
      </c>
      <c r="E66" s="28" t="n">
        <f aca="false">C66+D66</f>
        <v>-74</v>
      </c>
      <c r="F66" s="27" t="n">
        <v>-5</v>
      </c>
      <c r="G66" s="27" t="n">
        <v>-51</v>
      </c>
      <c r="H66" s="33" t="n">
        <v>-113</v>
      </c>
      <c r="I66" s="27" t="n">
        <v>3</v>
      </c>
      <c r="J66" s="27" t="n">
        <v>-2</v>
      </c>
      <c r="K66" s="28" t="n">
        <f aca="false">I66+J66</f>
        <v>1</v>
      </c>
      <c r="L66" s="27" t="n">
        <v>6</v>
      </c>
      <c r="M66" s="27" t="n">
        <v>1</v>
      </c>
      <c r="N66" s="33" t="n">
        <v>8</v>
      </c>
      <c r="O66" s="27" t="n">
        <v>-18</v>
      </c>
      <c r="P66" s="27" t="n">
        <v>9</v>
      </c>
      <c r="Q66" s="28" t="n">
        <f aca="false">O66+P66</f>
        <v>-9</v>
      </c>
      <c r="R66" s="27" t="n">
        <v>22</v>
      </c>
      <c r="S66" s="27" t="n">
        <v>8</v>
      </c>
      <c r="T66" s="33" t="n">
        <v>21</v>
      </c>
      <c r="U66" s="27" t="n">
        <v>2</v>
      </c>
      <c r="V66" s="27" t="n">
        <v>7</v>
      </c>
      <c r="W66" s="28" t="n">
        <f aca="false">U66+V66</f>
        <v>9</v>
      </c>
      <c r="X66" s="27" t="n">
        <v>16</v>
      </c>
      <c r="Y66" s="27" t="n">
        <v>-5</v>
      </c>
      <c r="Z66" s="33" t="n">
        <v>20</v>
      </c>
      <c r="AA66" s="27" t="n">
        <v>2</v>
      </c>
      <c r="AB66" s="27" t="n">
        <v>-2</v>
      </c>
      <c r="AC66" s="28" t="n">
        <f aca="false">AA66+AB66</f>
        <v>0</v>
      </c>
      <c r="AD66" s="27" t="n">
        <v>9</v>
      </c>
      <c r="AE66" s="27" t="n">
        <v>-23</v>
      </c>
      <c r="AF66" s="33" t="n">
        <v>-14</v>
      </c>
      <c r="AG66" s="27" t="n">
        <v>-7</v>
      </c>
      <c r="AH66" s="27" t="n">
        <v>9</v>
      </c>
      <c r="AI66" s="28" t="n">
        <f aca="false">AG66+AH66</f>
        <v>2</v>
      </c>
      <c r="AJ66" s="27" t="n">
        <v>21</v>
      </c>
      <c r="AK66" s="27" t="n">
        <v>18</v>
      </c>
      <c r="AL66" s="33" t="n">
        <v>41</v>
      </c>
      <c r="AM66" s="27" t="n">
        <v>7</v>
      </c>
      <c r="AN66" s="27" t="n">
        <v>13</v>
      </c>
      <c r="AO66" s="28" t="n">
        <f aca="false">AM66+AN66</f>
        <v>20</v>
      </c>
      <c r="AP66" s="27" t="n">
        <v>13</v>
      </c>
      <c r="AQ66" s="27" t="n">
        <v>17</v>
      </c>
      <c r="AR66" s="33" t="n">
        <v>50</v>
      </c>
      <c r="AS66" s="27" t="n">
        <v>9</v>
      </c>
      <c r="AT66" s="27" t="n">
        <v>25</v>
      </c>
      <c r="AU66" s="28" t="n">
        <f aca="false">AS66+AT66</f>
        <v>34</v>
      </c>
      <c r="AV66" s="27" t="n">
        <v>14</v>
      </c>
      <c r="AW66" s="27" t="n">
        <v>15</v>
      </c>
      <c r="AX66" s="33" t="n">
        <v>63</v>
      </c>
      <c r="AY66" s="27" t="n">
        <v>17</v>
      </c>
      <c r="AZ66" s="27" t="n">
        <v>9</v>
      </c>
      <c r="BA66" s="28" t="n">
        <f aca="false">AY66+AZ66</f>
        <v>26</v>
      </c>
      <c r="BB66" s="27" t="n">
        <v>24</v>
      </c>
      <c r="BC66" s="27" t="n">
        <v>51</v>
      </c>
      <c r="BD66" s="33" t="n">
        <v>101</v>
      </c>
      <c r="BE66" s="27" t="n">
        <v>28</v>
      </c>
      <c r="BF66" s="27" t="n">
        <v>36</v>
      </c>
      <c r="BG66" s="28" t="n">
        <f aca="false">BE66+BF66</f>
        <v>64</v>
      </c>
      <c r="BH66" s="27" t="n">
        <v>33</v>
      </c>
      <c r="BI66" s="27" t="n">
        <v>19</v>
      </c>
      <c r="BJ66" s="33" t="n">
        <v>116</v>
      </c>
      <c r="BK66" s="27" t="n">
        <v>40</v>
      </c>
      <c r="BL66" s="27" t="n">
        <v>36</v>
      </c>
      <c r="BM66" s="28" t="n">
        <f aca="false">BK66+BL66</f>
        <v>76</v>
      </c>
      <c r="BN66" s="27" t="n">
        <v>34</v>
      </c>
      <c r="BO66" s="27" t="n">
        <v>43</v>
      </c>
      <c r="BP66" s="33" t="n">
        <v>153</v>
      </c>
      <c r="BQ66" s="27" t="n">
        <v>35</v>
      </c>
      <c r="BR66" s="27" t="n">
        <v>55</v>
      </c>
      <c r="BS66" s="28" t="n">
        <f aca="false">BQ66+BR66</f>
        <v>90</v>
      </c>
      <c r="BT66" s="34" t="n">
        <f aca="false">(CHOOSE(MATCH($CA$2,{"Bull","Base","Bear"},0),$CI$14,$CJ$14,$CK$14)*CHOOSE(MATCH($CA$2,{"Bull","Base","Bear"},0),$CI$15,$CJ$15,$CK$15)-BS66)/2</f>
        <v>32.5</v>
      </c>
      <c r="BU66" s="34" t="n">
        <f aca="false">(CHOOSE(MATCH($CA$2,{"Bull","Base","Bear"},0),$CI$14,$CJ$14,$CK$14)*CHOOSE(MATCH($CA$2,{"Bull","Base","Bear"},0),$CI$15,$CJ$15,$CK$15)-BS66)/2</f>
        <v>32.5</v>
      </c>
      <c r="BV66" s="34" t="n">
        <f aca="false">SUM(BQ66,BR66,BT66,BU66)</f>
        <v>155</v>
      </c>
      <c r="BW66" s="34" t="n">
        <f aca="false">BW65*BW72</f>
        <v>169.26</v>
      </c>
      <c r="BX66" s="34" t="n">
        <f aca="false">BX65*BX72</f>
        <v>184.4128</v>
      </c>
      <c r="BY66" s="34" t="n">
        <f aca="false">BY65*BY72</f>
        <v>201.470984</v>
      </c>
      <c r="BZ66" s="34" t="n">
        <f aca="false">BZ65*BZ72</f>
        <v>219.69096864</v>
      </c>
      <c r="CA66" s="16" t="s">
        <v>99</v>
      </c>
      <c r="CC66" s="30" t="n">
        <f aca="false">IFERROR((BZ66/BP66)^(1/5)-1,"n/m")</f>
        <v>0.0750388386375733</v>
      </c>
      <c r="CD66" s="30" t="n">
        <f aca="false">IFERROR((BP66/AL66)^(1/5)-1,"n/m")</f>
        <v>0.301312240263711</v>
      </c>
      <c r="CE66" s="30" t="str">
        <f aca="false">IFERROR((BP66/H66)^(1/10)-1,"n/m")</f>
        <v>n/m</v>
      </c>
      <c r="CH66" s="24" t="s">
        <v>136</v>
      </c>
      <c r="CI66" s="53" t="n">
        <f aca="false">MAX(0,CJ66+$CI$63)</f>
        <v>400</v>
      </c>
      <c r="CJ66" s="25" t="n">
        <v>250</v>
      </c>
      <c r="CK66" s="53" t="n">
        <f aca="false">MAX(0,CJ66+$CK$63)</f>
        <v>50</v>
      </c>
    </row>
    <row r="67" customFormat="false" ht="15" hidden="false" customHeight="false" outlineLevel="0" collapsed="false">
      <c r="B67" s="1" t="s">
        <v>101</v>
      </c>
      <c r="C67" s="2"/>
      <c r="D67" s="2"/>
      <c r="E67" s="2"/>
      <c r="F67" s="2"/>
      <c r="G67" s="2"/>
      <c r="H67" s="23" t="n">
        <v>13</v>
      </c>
      <c r="I67" s="2"/>
      <c r="J67" s="2"/>
      <c r="K67" s="2"/>
      <c r="L67" s="2"/>
      <c r="M67" s="2"/>
      <c r="N67" s="23" t="n">
        <v>9</v>
      </c>
      <c r="O67" s="2"/>
      <c r="P67" s="2"/>
      <c r="Q67" s="2"/>
      <c r="R67" s="2"/>
      <c r="S67" s="2"/>
      <c r="T67" s="23" t="n">
        <v>25</v>
      </c>
      <c r="U67" s="2"/>
      <c r="V67" s="2"/>
      <c r="W67" s="2"/>
      <c r="X67" s="2"/>
      <c r="Y67" s="2"/>
      <c r="Z67" s="23" t="n">
        <v>20</v>
      </c>
      <c r="AA67" s="2"/>
      <c r="AB67" s="2"/>
      <c r="AC67" s="2"/>
      <c r="AD67" s="2"/>
      <c r="AE67" s="2"/>
      <c r="AF67" s="23" t="n">
        <v>32</v>
      </c>
      <c r="AG67" s="2"/>
      <c r="AH67" s="2"/>
      <c r="AI67" s="2"/>
      <c r="AJ67" s="2"/>
      <c r="AK67" s="2"/>
      <c r="AL67" s="23" t="n">
        <v>40</v>
      </c>
      <c r="AM67" s="2"/>
      <c r="AN67" s="2"/>
      <c r="AO67" s="2"/>
      <c r="AP67" s="2"/>
      <c r="AQ67" s="2"/>
      <c r="AR67" s="23" t="n">
        <v>72</v>
      </c>
      <c r="AS67" s="2"/>
      <c r="AT67" s="2"/>
      <c r="AU67" s="2"/>
      <c r="AV67" s="2"/>
      <c r="AW67" s="2"/>
      <c r="AX67" s="23" t="n">
        <v>130</v>
      </c>
      <c r="AY67" s="2"/>
      <c r="AZ67" s="2"/>
      <c r="BA67" s="2"/>
      <c r="BB67" s="2"/>
      <c r="BC67" s="2"/>
      <c r="BD67" s="23" t="n">
        <v>120</v>
      </c>
      <c r="BE67" s="23" t="n">
        <v>27</v>
      </c>
      <c r="BF67" s="23" t="n">
        <v>28</v>
      </c>
      <c r="BG67" s="2" t="n">
        <f aca="false">BE67+BF67</f>
        <v>55</v>
      </c>
      <c r="BH67" s="23" t="n">
        <v>27</v>
      </c>
      <c r="BI67" s="23" t="n">
        <v>28</v>
      </c>
      <c r="BJ67" s="23" t="n">
        <v>110</v>
      </c>
      <c r="BK67" s="23" t="n">
        <v>25</v>
      </c>
      <c r="BL67" s="23" t="n">
        <v>26</v>
      </c>
      <c r="BM67" s="2" t="n">
        <f aca="false">BK67+BL67</f>
        <v>51</v>
      </c>
      <c r="BN67" s="23" t="n">
        <v>25</v>
      </c>
      <c r="BO67" s="23" t="n">
        <v>27</v>
      </c>
      <c r="BP67" s="23" t="n">
        <v>103</v>
      </c>
      <c r="BQ67" s="23" t="n">
        <v>20</v>
      </c>
      <c r="BR67" s="23" t="n">
        <v>21</v>
      </c>
      <c r="BS67" s="2" t="n">
        <f aca="false">BQ67+BR67</f>
        <v>41</v>
      </c>
      <c r="BT67" s="3" t="n">
        <f aca="false">BS67/2*($CJ$24-BS102)/BS102</f>
        <v>23.1451612903226</v>
      </c>
      <c r="BU67" s="3" t="n">
        <f aca="false">BS67/2*($CJ$24-BS102)/BS102</f>
        <v>23.1451612903226</v>
      </c>
      <c r="BV67" s="3" t="n">
        <f aca="false">SUM(BQ67,BR67,BT67,BU67)</f>
        <v>87.2903225806452</v>
      </c>
      <c r="BW67" s="3" t="n">
        <f aca="false">BW65*BW84</f>
        <v>83.824</v>
      </c>
      <c r="BX67" s="3" t="n">
        <f aca="false">BX65*BX84</f>
        <v>87.17696</v>
      </c>
      <c r="BY67" s="3" t="n">
        <f aca="false">BY65*BY84</f>
        <v>91.0999232</v>
      </c>
      <c r="BZ67" s="3" t="n">
        <f aca="false">BZ65*BZ84</f>
        <v>95.199419744</v>
      </c>
      <c r="CA67" s="16" t="s">
        <v>102</v>
      </c>
      <c r="CC67" s="5"/>
      <c r="CD67" s="5"/>
      <c r="CE67" s="5"/>
      <c r="CH67" s="24" t="s">
        <v>139</v>
      </c>
      <c r="CI67" s="53" t="n">
        <f aca="false">MAX(0,CJ67+$CI$63)</f>
        <v>450</v>
      </c>
      <c r="CJ67" s="25" t="n">
        <v>300</v>
      </c>
      <c r="CK67" s="53" t="n">
        <f aca="false">MAX(0,CJ67+$CK$63)</f>
        <v>100</v>
      </c>
    </row>
    <row r="68" customFormat="false" ht="15" hidden="false" customHeight="false" outlineLevel="0" collapsed="false">
      <c r="B68" s="26" t="s">
        <v>104</v>
      </c>
      <c r="C68" s="28" t="str">
        <f aca="false">IF(ISNUMBER(C67),C66+C67,"")</f>
        <v/>
      </c>
      <c r="D68" s="28" t="str">
        <f aca="false">IF(ISNUMBER(D67),D66+D67,"")</f>
        <v/>
      </c>
      <c r="E68" s="28" t="str">
        <f aca="false">IF(ISNUMBER(E67),E66+E67,"")</f>
        <v/>
      </c>
      <c r="F68" s="28" t="str">
        <f aca="false">IF(ISNUMBER(F67),F66+F67,"")</f>
        <v/>
      </c>
      <c r="G68" s="28" t="str">
        <f aca="false">IF(ISNUMBER(G67),G66+G67,"")</f>
        <v/>
      </c>
      <c r="H68" s="28" t="n">
        <f aca="false">IF(ISNUMBER(H67),H66+H67,"")</f>
        <v>-100</v>
      </c>
      <c r="I68" s="28" t="str">
        <f aca="false">IF(ISNUMBER(I67),I66+I67,"")</f>
        <v/>
      </c>
      <c r="J68" s="28" t="str">
        <f aca="false">IF(ISNUMBER(J67),J66+J67,"")</f>
        <v/>
      </c>
      <c r="K68" s="28" t="str">
        <f aca="false">IF(ISNUMBER(K67),K66+K67,"")</f>
        <v/>
      </c>
      <c r="L68" s="28" t="str">
        <f aca="false">IF(ISNUMBER(L67),L66+L67,"")</f>
        <v/>
      </c>
      <c r="M68" s="28" t="str">
        <f aca="false">IF(ISNUMBER(M67),M66+M67,"")</f>
        <v/>
      </c>
      <c r="N68" s="28" t="n">
        <f aca="false">IF(ISNUMBER(N67),N66+N67,"")</f>
        <v>17</v>
      </c>
      <c r="O68" s="28" t="str">
        <f aca="false">IF(ISNUMBER(O67),O66+O67,"")</f>
        <v/>
      </c>
      <c r="P68" s="28" t="str">
        <f aca="false">IF(ISNUMBER(P67),P66+P67,"")</f>
        <v/>
      </c>
      <c r="Q68" s="28" t="str">
        <f aca="false">IF(ISNUMBER(Q67),Q66+Q67,"")</f>
        <v/>
      </c>
      <c r="R68" s="28" t="str">
        <f aca="false">IF(ISNUMBER(R67),R66+R67,"")</f>
        <v/>
      </c>
      <c r="S68" s="28" t="str">
        <f aca="false">IF(ISNUMBER(S67),S66+S67,"")</f>
        <v/>
      </c>
      <c r="T68" s="28" t="n">
        <f aca="false">IF(ISNUMBER(T67),T66+T67,"")</f>
        <v>46</v>
      </c>
      <c r="U68" s="28" t="str">
        <f aca="false">IF(ISNUMBER(U67),U66+U67,"")</f>
        <v/>
      </c>
      <c r="V68" s="28" t="str">
        <f aca="false">IF(ISNUMBER(V67),V66+V67,"")</f>
        <v/>
      </c>
      <c r="W68" s="28" t="str">
        <f aca="false">IF(ISNUMBER(W67),W66+W67,"")</f>
        <v/>
      </c>
      <c r="X68" s="28" t="str">
        <f aca="false">IF(ISNUMBER(X67),X66+X67,"")</f>
        <v/>
      </c>
      <c r="Y68" s="28" t="str">
        <f aca="false">IF(ISNUMBER(Y67),Y66+Y67,"")</f>
        <v/>
      </c>
      <c r="Z68" s="28" t="n">
        <f aca="false">IF(ISNUMBER(Z67),Z66+Z67,"")</f>
        <v>40</v>
      </c>
      <c r="AA68" s="28" t="str">
        <f aca="false">IF(ISNUMBER(AA67),AA66+AA67,"")</f>
        <v/>
      </c>
      <c r="AB68" s="28" t="str">
        <f aca="false">IF(ISNUMBER(AB67),AB66+AB67,"")</f>
        <v/>
      </c>
      <c r="AC68" s="28" t="str">
        <f aca="false">IF(ISNUMBER(AC67),AC66+AC67,"")</f>
        <v/>
      </c>
      <c r="AD68" s="28" t="str">
        <f aca="false">IF(ISNUMBER(AD67),AD66+AD67,"")</f>
        <v/>
      </c>
      <c r="AE68" s="28" t="str">
        <f aca="false">IF(ISNUMBER(AE67),AE66+AE67,"")</f>
        <v/>
      </c>
      <c r="AF68" s="28" t="n">
        <f aca="false">IF(ISNUMBER(AF67),AF66+AF67,"")</f>
        <v>18</v>
      </c>
      <c r="AG68" s="28" t="str">
        <f aca="false">IF(ISNUMBER(AG67),AG66+AG67,"")</f>
        <v/>
      </c>
      <c r="AH68" s="28" t="str">
        <f aca="false">IF(ISNUMBER(AH67),AH66+AH67,"")</f>
        <v/>
      </c>
      <c r="AI68" s="28" t="str">
        <f aca="false">IF(ISNUMBER(AI67),AI66+AI67,"")</f>
        <v/>
      </c>
      <c r="AJ68" s="28" t="str">
        <f aca="false">IF(ISNUMBER(AJ67),AJ66+AJ67,"")</f>
        <v/>
      </c>
      <c r="AK68" s="28" t="str">
        <f aca="false">IF(ISNUMBER(AK67),AK66+AK67,"")</f>
        <v/>
      </c>
      <c r="AL68" s="28" t="n">
        <f aca="false">IF(ISNUMBER(AL67),AL66+AL67,"")</f>
        <v>81</v>
      </c>
      <c r="AM68" s="28" t="str">
        <f aca="false">IF(ISNUMBER(AM67),AM66+AM67,"")</f>
        <v/>
      </c>
      <c r="AN68" s="28" t="str">
        <f aca="false">IF(ISNUMBER(AN67),AN66+AN67,"")</f>
        <v/>
      </c>
      <c r="AO68" s="28" t="str">
        <f aca="false">IF(ISNUMBER(AO67),AO66+AO67,"")</f>
        <v/>
      </c>
      <c r="AP68" s="28" t="str">
        <f aca="false">IF(ISNUMBER(AP67),AP66+AP67,"")</f>
        <v/>
      </c>
      <c r="AQ68" s="28" t="str">
        <f aca="false">IF(ISNUMBER(AQ67),AQ66+AQ67,"")</f>
        <v/>
      </c>
      <c r="AR68" s="28" t="n">
        <f aca="false">IF(ISNUMBER(AR67),AR66+AR67,"")</f>
        <v>122</v>
      </c>
      <c r="AS68" s="28" t="str">
        <f aca="false">IF(ISNUMBER(AS67),AS66+AS67,"")</f>
        <v/>
      </c>
      <c r="AT68" s="28" t="str">
        <f aca="false">IF(ISNUMBER(AT67),AT66+AT67,"")</f>
        <v/>
      </c>
      <c r="AU68" s="28" t="str">
        <f aca="false">IF(ISNUMBER(AU67),AU66+AU67,"")</f>
        <v/>
      </c>
      <c r="AV68" s="28" t="str">
        <f aca="false">IF(ISNUMBER(AV67),AV66+AV67,"")</f>
        <v/>
      </c>
      <c r="AW68" s="28" t="str">
        <f aca="false">IF(ISNUMBER(AW67),AW66+AW67,"")</f>
        <v/>
      </c>
      <c r="AX68" s="28" t="n">
        <f aca="false">IF(ISNUMBER(AX67),AX66+AX67,"")</f>
        <v>193</v>
      </c>
      <c r="AY68" s="28" t="str">
        <f aca="false">IF(ISNUMBER(AY67),AY66+AY67,"")</f>
        <v/>
      </c>
      <c r="AZ68" s="28" t="str">
        <f aca="false">IF(ISNUMBER(AZ67),AZ66+AZ67,"")</f>
        <v/>
      </c>
      <c r="BA68" s="28" t="str">
        <f aca="false">IF(ISNUMBER(BA67),BA66+BA67,"")</f>
        <v/>
      </c>
      <c r="BB68" s="28" t="str">
        <f aca="false">IF(ISNUMBER(BB67),BB66+BB67,"")</f>
        <v/>
      </c>
      <c r="BC68" s="28" t="str">
        <f aca="false">IF(ISNUMBER(BC67),BC66+BC67,"")</f>
        <v/>
      </c>
      <c r="BD68" s="28" t="n">
        <f aca="false">IF(ISNUMBER(BD67),BD66+BD67,"")</f>
        <v>221</v>
      </c>
      <c r="BE68" s="28" t="n">
        <f aca="false">IF(ISNUMBER(BE67),BE66+BE67,"")</f>
        <v>55</v>
      </c>
      <c r="BF68" s="28" t="n">
        <f aca="false">IF(ISNUMBER(BF67),BF66+BF67,"")</f>
        <v>64</v>
      </c>
      <c r="BG68" s="28" t="n">
        <f aca="false">IF(ISNUMBER(BG67),BG66+BG67,"")</f>
        <v>119</v>
      </c>
      <c r="BH68" s="28" t="n">
        <f aca="false">IF(ISNUMBER(BH67),BH66+BH67,"")</f>
        <v>60</v>
      </c>
      <c r="BI68" s="28" t="n">
        <f aca="false">IF(ISNUMBER(BI67),BI66+BI67,"")</f>
        <v>47</v>
      </c>
      <c r="BJ68" s="28" t="n">
        <f aca="false">IF(ISNUMBER(BJ67),BJ66+BJ67,"")</f>
        <v>226</v>
      </c>
      <c r="BK68" s="28" t="n">
        <f aca="false">IF(ISNUMBER(BK67),BK66+BK67,"")</f>
        <v>65</v>
      </c>
      <c r="BL68" s="28" t="n">
        <f aca="false">IF(ISNUMBER(BL67),BL66+BL67,"")</f>
        <v>62</v>
      </c>
      <c r="BM68" s="28" t="n">
        <f aca="false">IF(ISNUMBER(BM67),BM66+BM67,"")</f>
        <v>127</v>
      </c>
      <c r="BN68" s="28" t="n">
        <f aca="false">IF(ISNUMBER(BN67),BN66+BN67,"")</f>
        <v>59</v>
      </c>
      <c r="BO68" s="28" t="n">
        <f aca="false">IF(ISNUMBER(BO67),BO66+BO67,"")</f>
        <v>70</v>
      </c>
      <c r="BP68" s="28" t="n">
        <f aca="false">IF(ISNUMBER(BP67),BP66+BP67,"")</f>
        <v>256</v>
      </c>
      <c r="BQ68" s="28" t="n">
        <f aca="false">IF(ISNUMBER(BQ67),BQ66+BQ67,"")</f>
        <v>55</v>
      </c>
      <c r="BR68" s="28" t="n">
        <f aca="false">IF(ISNUMBER(BR67),BR66+BR67,"")</f>
        <v>76</v>
      </c>
      <c r="BS68" s="28" t="n">
        <f aca="false">IF(ISNUMBER(BS67),BS66+BS67,"")</f>
        <v>131</v>
      </c>
      <c r="BT68" s="29" t="n">
        <f aca="false">IF(ISNUMBER(BT67),BT66+BT67,"")</f>
        <v>55.6451612903226</v>
      </c>
      <c r="BU68" s="29" t="n">
        <f aca="false">IF(ISNUMBER(BU67),BU66+BU67,"")</f>
        <v>55.6451612903226</v>
      </c>
      <c r="BV68" s="29" t="n">
        <f aca="false">IF(ISNUMBER(BV67),BV66+BV67,"")</f>
        <v>242.290322580645</v>
      </c>
      <c r="BW68" s="29" t="n">
        <f aca="false">IF(ISNUMBER(BW67),BW66+BW67,"")</f>
        <v>253.084</v>
      </c>
      <c r="BX68" s="29" t="n">
        <f aca="false">IF(ISNUMBER(BX67),BX66+BX67,"")</f>
        <v>271.58976</v>
      </c>
      <c r="BY68" s="29" t="n">
        <f aca="false">IF(ISNUMBER(BY67),BY66+BY67,"")</f>
        <v>292.5709072</v>
      </c>
      <c r="BZ68" s="29" t="n">
        <f aca="false">IF(ISNUMBER(BZ67),BZ66+BZ67,"")</f>
        <v>314.890388384</v>
      </c>
      <c r="CA68" s="16" t="s">
        <v>105</v>
      </c>
      <c r="CC68" s="30" t="n">
        <f aca="false">IFERROR((BZ68/BP68)^(1/5)-1,"n/m")</f>
        <v>0.0422787605583448</v>
      </c>
      <c r="CD68" s="30" t="n">
        <f aca="false">IFERROR((BP68/AL68)^(1/5)-1,"n/m")</f>
        <v>0.258783348393203</v>
      </c>
      <c r="CE68" s="30" t="str">
        <f aca="false">IFERROR((BP68/H68)^(1/10)-1,"n/m")</f>
        <v>n/m</v>
      </c>
      <c r="CH68" s="24" t="s">
        <v>142</v>
      </c>
      <c r="CI68" s="53" t="n">
        <f aca="false">MAX(0,CJ68+$CI$63)</f>
        <v>500</v>
      </c>
      <c r="CJ68" s="25" t="n">
        <v>350</v>
      </c>
      <c r="CK68" s="53" t="n">
        <f aca="false">MAX(0,CJ68+$CK$63)</f>
        <v>150</v>
      </c>
    </row>
    <row r="69" customFormat="false" ht="15" hidden="false" customHeight="false" outlineLevel="0" collapsed="false">
      <c r="B69" s="35" t="s">
        <v>107</v>
      </c>
      <c r="C69" s="36"/>
      <c r="D69" s="36"/>
      <c r="E69" s="36"/>
      <c r="F69" s="36"/>
      <c r="G69" s="36"/>
      <c r="H69" s="36"/>
      <c r="I69" s="37" t="n">
        <f aca="false">IFERROR(I65/C65-1,"")</f>
        <v>4.2</v>
      </c>
      <c r="J69" s="37" t="n">
        <f aca="false">IFERROR(J65/D65-1,"")</f>
        <v>3.08571428571429</v>
      </c>
      <c r="K69" s="37" t="n">
        <f aca="false">IFERROR(K65/E65-1,"")</f>
        <v>3.68</v>
      </c>
      <c r="L69" s="37" t="n">
        <f aca="false">IFERROR(L65/F65-1,"")</f>
        <v>4.13333333333333</v>
      </c>
      <c r="M69" s="37" t="n">
        <f aca="false">IFERROR(M65/G65-1,"")</f>
        <v>0.207792207792208</v>
      </c>
      <c r="N69" s="37" t="n">
        <f aca="false">IFERROR(N65/H65-1,"")</f>
        <v>0.121753246753247</v>
      </c>
      <c r="O69" s="37" t="n">
        <f aca="false">IFERROR(O65/I65-1,"")</f>
        <v>0.0817307692307692</v>
      </c>
      <c r="P69" s="37" t="n">
        <f aca="false">IFERROR(P65/J65-1,"")</f>
        <v>0.706293706293706</v>
      </c>
      <c r="Q69" s="37" t="n">
        <f aca="false">IFERROR(Q65/K65-1,"")</f>
        <v>0.336182336182336</v>
      </c>
      <c r="R69" s="37" t="n">
        <f aca="false">IFERROR(R65/L65-1,"")</f>
        <v>0.564935064935065</v>
      </c>
      <c r="S69" s="37" t="n">
        <f aca="false">IFERROR(S65/M65-1,"")</f>
        <v>0.301075268817204</v>
      </c>
      <c r="T69" s="37" t="n">
        <f aca="false">IFERROR(T65/N65-1,"")</f>
        <v>0.377713458755427</v>
      </c>
      <c r="U69" s="37" t="n">
        <f aca="false">IFERROR(U65/O65-1,"")</f>
        <v>0.0355555555555556</v>
      </c>
      <c r="V69" s="37" t="n">
        <f aca="false">IFERROR(V65/P65-1,"")</f>
        <v>-0.00409836065573765</v>
      </c>
      <c r="W69" s="37" t="n">
        <f aca="false">IFERROR(W65/Q65-1,"")</f>
        <v>0.0149253731343284</v>
      </c>
      <c r="X69" s="37" t="n">
        <f aca="false">IFERROR(X65/R65-1,"")</f>
        <v>0.0165975103734439</v>
      </c>
      <c r="Y69" s="37" t="n">
        <f aca="false">IFERROR(Y65/S65-1,"")</f>
        <v>-0.235537190082645</v>
      </c>
      <c r="Z69" s="37" t="n">
        <f aca="false">IFERROR(Z65/T65-1,"")</f>
        <v>-0.0483193277310925</v>
      </c>
      <c r="AA69" s="37" t="n">
        <f aca="false">IFERROR(AA65/U65-1,"")</f>
        <v>0.0300429184549356</v>
      </c>
      <c r="AB69" s="37" t="n">
        <f aca="false">IFERROR(AB65/V65-1,"")</f>
        <v>0.320987654320988</v>
      </c>
      <c r="AC69" s="37" t="n">
        <f aca="false">IFERROR(AC65/W65-1,"")</f>
        <v>0.178571428571429</v>
      </c>
      <c r="AD69" s="37" t="n">
        <f aca="false">IFERROR(AD65/X65-1,"")</f>
        <v>0.330612244897959</v>
      </c>
      <c r="AE69" s="37" t="n">
        <f aca="false">IFERROR(AE65/Y65-1,"")</f>
        <v>0.891891891891892</v>
      </c>
      <c r="AF69" s="37" t="n">
        <f aca="false">IFERROR(AF65/Z65-1,"")</f>
        <v>0.365342163355408</v>
      </c>
      <c r="AG69" s="37" t="n">
        <f aca="false">IFERROR(AG65/AA65-1,"")</f>
        <v>0.320833333333333</v>
      </c>
      <c r="AH69" s="37" t="n">
        <f aca="false">IFERROR(AH65/AB65-1,"")</f>
        <v>-0.00311526479750779</v>
      </c>
      <c r="AI69" s="37" t="n">
        <f aca="false">IFERROR(AI65/AC65-1,"")</f>
        <v>0.135472370766488</v>
      </c>
      <c r="AJ69" s="37" t="n">
        <f aca="false">IFERROR(AJ65/AD65-1,"")</f>
        <v>-0.0184049079754601</v>
      </c>
      <c r="AK69" s="37" t="n">
        <f aca="false">IFERROR(AK65/AE65-1,"")</f>
        <v>-0.111428571428571</v>
      </c>
      <c r="AL69" s="37" t="n">
        <f aca="false">IFERROR(AL65/AF65-1,"")</f>
        <v>0.0250606305578012</v>
      </c>
      <c r="AM69" s="37" t="n">
        <f aca="false">IFERROR(AM65/AG65-1,"")</f>
        <v>-0.182965299684543</v>
      </c>
      <c r="AN69" s="37" t="n">
        <f aca="false">IFERROR(AN65/AH65-1,"")</f>
        <v>-0.259375</v>
      </c>
      <c r="AO69" s="37" t="n">
        <f aca="false">IFERROR(AO65/AI65-1,"")</f>
        <v>-0.221350078492936</v>
      </c>
      <c r="AP69" s="37" t="n">
        <f aca="false">IFERROR(AP65/AJ65-1,"")</f>
        <v>0.23125</v>
      </c>
      <c r="AQ69" s="37" t="n">
        <f aca="false">IFERROR(AQ65/AK65-1,"")</f>
        <v>0.884244372990354</v>
      </c>
      <c r="AR69" s="37" t="n">
        <f aca="false">IFERROR(AR65/AL65-1,"")</f>
        <v>0.16403785488959</v>
      </c>
      <c r="AS69" s="37" t="n">
        <f aca="false">IFERROR(AS65/AM65-1,"")</f>
        <v>1.27799227799228</v>
      </c>
      <c r="AT69" s="37" t="n">
        <f aca="false">IFERROR(AT65/AN65-1,"")</f>
        <v>1.53164556962025</v>
      </c>
      <c r="AU69" s="37" t="n">
        <f aca="false">IFERROR(AU65/AO65-1,"")</f>
        <v>1.3991935483871</v>
      </c>
      <c r="AV69" s="37" t="n">
        <f aca="false">IFERROR(AV65/AP65-1,"")</f>
        <v>0.510152284263959</v>
      </c>
      <c r="AW69" s="37" t="n">
        <f aca="false">IFERROR(AW65/AQ65-1,"")</f>
        <v>0.0273037542662116</v>
      </c>
      <c r="AX69" s="37" t="n">
        <f aca="false">IFERROR(AX65/AR65-1,"")</f>
        <v>0.617208672086721</v>
      </c>
      <c r="AY69" s="37" t="n">
        <f aca="false">IFERROR(AY65/AS65-1,"")</f>
        <v>0.0576271186440678</v>
      </c>
      <c r="AZ69" s="37" t="n">
        <f aca="false">IFERROR(AZ65/AT65-1,"")</f>
        <v>0.075</v>
      </c>
      <c r="BA69" s="37" t="n">
        <f aca="false">IFERROR(BA65/AU65-1,"")</f>
        <v>0.0663865546218487</v>
      </c>
      <c r="BB69" s="37" t="n">
        <f aca="false">IFERROR(BB65/AV65-1,"")</f>
        <v>0.151260504201681</v>
      </c>
      <c r="BC69" s="37" t="n">
        <f aca="false">IFERROR(BC65/AW65-1,"")</f>
        <v>0.237541528239203</v>
      </c>
      <c r="BD69" s="37" t="n">
        <f aca="false">IFERROR(BD65/AX65-1,"")</f>
        <v>0.130708001675744</v>
      </c>
      <c r="BE69" s="37" t="n">
        <f aca="false">IFERROR(BE65/AY65-1,"")</f>
        <v>0.201923076923077</v>
      </c>
      <c r="BF69" s="37" t="n">
        <f aca="false">IFERROR(BF65/AZ65-1,"")</f>
        <v>0.186046511627907</v>
      </c>
      <c r="BG69" s="37" t="n">
        <f aca="false">IFERROR(BG65/BA65-1,"")</f>
        <v>0.193853427895981</v>
      </c>
      <c r="BH69" s="37" t="n">
        <f aca="false">IFERROR(BH65/BB65-1,"")</f>
        <v>0.0350364963503649</v>
      </c>
      <c r="BI69" s="37" t="n">
        <f aca="false">IFERROR(BI65/BC65-1,"")</f>
        <v>-0.0429530201342282</v>
      </c>
      <c r="BJ69" s="37" t="n">
        <f aca="false">IFERROR(BJ65/BD65-1,"")</f>
        <v>0.088180807706558</v>
      </c>
      <c r="BK69" s="37" t="n">
        <f aca="false">IFERROR(BK65/BE65-1,"")</f>
        <v>-0.02</v>
      </c>
      <c r="BL69" s="37" t="n">
        <f aca="false">IFERROR(BL65/BF65-1,"")</f>
        <v>0.0339869281045753</v>
      </c>
      <c r="BM69" s="37" t="n">
        <f aca="false">IFERROR(BM65/BG65-1,"")</f>
        <v>0.00726072607260719</v>
      </c>
      <c r="BN69" s="37" t="n">
        <f aca="false">IFERROR(BN65/BH65-1,"")</f>
        <v>0.110014104372355</v>
      </c>
      <c r="BO69" s="37" t="n">
        <f aca="false">IFERROR(BO65/BI65-1,"")</f>
        <v>0.0252454417952315</v>
      </c>
      <c r="BP69" s="37" t="n">
        <f aca="false">IFERROR(BP65/BJ65-1,"")</f>
        <v>0.0364317330609465</v>
      </c>
      <c r="BQ69" s="37" t="n">
        <f aca="false">IFERROR(BQ65/BK65-1,"")</f>
        <v>0.017687074829932</v>
      </c>
      <c r="BR69" s="37" t="n">
        <f aca="false">IFERROR(BR65/BL65-1,"")</f>
        <v>-0.0391908975979772</v>
      </c>
      <c r="BS69" s="37" t="n">
        <f aca="false">IFERROR(BS65/BM65-1,"")</f>
        <v>-0.0117955439056356</v>
      </c>
      <c r="BT69" s="38" t="n">
        <f aca="false">IFERROR(BT65/BN65-1,"")</f>
        <v>0.0114358322744599</v>
      </c>
      <c r="BU69" s="38" t="n">
        <f aca="false">IFERROR(BU65/BO65-1,"")</f>
        <v>0.0889192886456909</v>
      </c>
      <c r="BV69" s="38" t="n">
        <f aca="false">IFERROR(BV65/BP65-1,"")</f>
        <v>0.0183968462549278</v>
      </c>
      <c r="BW69" s="38" t="n">
        <f aca="false">CHOOSE(MATCH($CA$2,{"Bull","Base","Bear"},0),$CI$40,$CJ$40,$CK$40)</f>
        <v>0.04</v>
      </c>
      <c r="BX69" s="38" t="n">
        <f aca="false">CHOOSE(MATCH($CA$2,{"Bull","Base","Bear"},0),$CI$41,$CJ$41,$CK$41)</f>
        <v>0.04</v>
      </c>
      <c r="BY69" s="38" t="n">
        <f aca="false">CHOOSE(MATCH($CA$2,{"Bull","Base","Bear"},0),$CI$42,$CJ$42,$CK$42)</f>
        <v>0.045</v>
      </c>
      <c r="BZ69" s="38" t="n">
        <f aca="false">CHOOSE(MATCH($CA$2,{"Bull","Base","Bear"},0),$CI$43,$CJ$43,$CK$43)</f>
        <v>0.045</v>
      </c>
      <c r="CA69" s="16" t="s">
        <v>165</v>
      </c>
      <c r="CC69" s="5"/>
      <c r="CD69" s="5"/>
      <c r="CE69" s="5"/>
    </row>
    <row r="70" customFormat="false" ht="15" hidden="false" customHeight="false" outlineLevel="0" collapsed="false">
      <c r="B70" s="35" t="s">
        <v>109</v>
      </c>
      <c r="C70" s="36"/>
      <c r="D70" s="36"/>
      <c r="E70" s="36"/>
      <c r="F70" s="36"/>
      <c r="G70" s="36"/>
      <c r="H70" s="36"/>
      <c r="I70" s="37" t="n">
        <f aca="false">IFERROR(I66/C66-1,"")</f>
        <v>-1.3</v>
      </c>
      <c r="J70" s="37" t="n">
        <f aca="false">IFERROR(J66/D66-1,"")</f>
        <v>-0.96875</v>
      </c>
      <c r="K70" s="37" t="n">
        <f aca="false">IFERROR(K66/E66-1,"")</f>
        <v>-1.01351351351351</v>
      </c>
      <c r="L70" s="37" t="n">
        <f aca="false">IFERROR(L66/F66-1,"")</f>
        <v>-2.2</v>
      </c>
      <c r="M70" s="37" t="n">
        <f aca="false">IFERROR(M66/G66-1,"")</f>
        <v>-1.01960784313725</v>
      </c>
      <c r="N70" s="37" t="n">
        <f aca="false">IFERROR(N66/H66-1,"")</f>
        <v>-1.07079646017699</v>
      </c>
      <c r="O70" s="37" t="n">
        <f aca="false">IFERROR(O66/I66-1,"")</f>
        <v>-7</v>
      </c>
      <c r="P70" s="37" t="n">
        <f aca="false">IFERROR(P66/J66-1,"")</f>
        <v>-5.5</v>
      </c>
      <c r="Q70" s="37" t="n">
        <f aca="false">IFERROR(Q66/K66-1,"")</f>
        <v>-10</v>
      </c>
      <c r="R70" s="37" t="n">
        <f aca="false">IFERROR(R66/L66-1,"")</f>
        <v>2.66666666666667</v>
      </c>
      <c r="S70" s="37" t="n">
        <f aca="false">IFERROR(S66/M66-1,"")</f>
        <v>7</v>
      </c>
      <c r="T70" s="37" t="n">
        <f aca="false">IFERROR(T66/N66-1,"")</f>
        <v>1.625</v>
      </c>
      <c r="U70" s="37" t="n">
        <f aca="false">IFERROR(U66/O66-1,"")</f>
        <v>-1.11111111111111</v>
      </c>
      <c r="V70" s="37" t="n">
        <f aca="false">IFERROR(V66/P66-1,"")</f>
        <v>-0.222222222222222</v>
      </c>
      <c r="W70" s="37" t="n">
        <f aca="false">IFERROR(W66/Q66-1,"")</f>
        <v>-2</v>
      </c>
      <c r="X70" s="37" t="n">
        <f aca="false">IFERROR(X66/R66-1,"")</f>
        <v>-0.272727272727273</v>
      </c>
      <c r="Y70" s="37" t="n">
        <f aca="false">IFERROR(Y66/S66-1,"")</f>
        <v>-1.625</v>
      </c>
      <c r="Z70" s="37" t="n">
        <f aca="false">IFERROR(Z66/T66-1,"")</f>
        <v>-0.0476190476190477</v>
      </c>
      <c r="AA70" s="37" t="n">
        <f aca="false">IFERROR(AA66/U66-1,"")</f>
        <v>0</v>
      </c>
      <c r="AB70" s="37" t="n">
        <f aca="false">IFERROR(AB66/V66-1,"")</f>
        <v>-1.28571428571429</v>
      </c>
      <c r="AC70" s="37" t="n">
        <f aca="false">IFERROR(AC66/W66-1,"")</f>
        <v>-1</v>
      </c>
      <c r="AD70" s="37" t="n">
        <f aca="false">IFERROR(AD66/X66-1,"")</f>
        <v>-0.4375</v>
      </c>
      <c r="AE70" s="37" t="n">
        <f aca="false">IFERROR(AE66/Y66-1,"")</f>
        <v>3.6</v>
      </c>
      <c r="AF70" s="37" t="n">
        <f aca="false">IFERROR(AF66/Z66-1,"")</f>
        <v>-1.7</v>
      </c>
      <c r="AG70" s="37" t="n">
        <f aca="false">IFERROR(AG66/AA66-1,"")</f>
        <v>-4.5</v>
      </c>
      <c r="AH70" s="37" t="n">
        <f aca="false">IFERROR(AH66/AB66-1,"")</f>
        <v>-5.5</v>
      </c>
      <c r="AI70" s="37" t="str">
        <f aca="false">IFERROR(AI66/AC66-1,"")</f>
        <v/>
      </c>
      <c r="AJ70" s="37" t="n">
        <f aca="false">IFERROR(AJ66/AD66-1,"")</f>
        <v>1.33333333333333</v>
      </c>
      <c r="AK70" s="37" t="n">
        <f aca="false">IFERROR(AK66/AE66-1,"")</f>
        <v>-1.78260869565217</v>
      </c>
      <c r="AL70" s="37" t="n">
        <f aca="false">IFERROR(AL66/AF66-1,"")</f>
        <v>-3.92857142857143</v>
      </c>
      <c r="AM70" s="37" t="n">
        <f aca="false">IFERROR(AM66/AG66-1,"")</f>
        <v>-2</v>
      </c>
      <c r="AN70" s="37" t="n">
        <f aca="false">IFERROR(AN66/AH66-1,"")</f>
        <v>0.444444444444444</v>
      </c>
      <c r="AO70" s="37" t="n">
        <f aca="false">IFERROR(AO66/AI66-1,"")</f>
        <v>9</v>
      </c>
      <c r="AP70" s="37" t="n">
        <f aca="false">IFERROR(AP66/AJ66-1,"")</f>
        <v>-0.380952380952381</v>
      </c>
      <c r="AQ70" s="37" t="n">
        <f aca="false">IFERROR(AQ66/AK66-1,"")</f>
        <v>-0.0555555555555556</v>
      </c>
      <c r="AR70" s="37" t="n">
        <f aca="false">IFERROR(AR66/AL66-1,"")</f>
        <v>0.219512195121951</v>
      </c>
      <c r="AS70" s="37" t="n">
        <f aca="false">IFERROR(AS66/AM66-1,"")</f>
        <v>0.285714285714286</v>
      </c>
      <c r="AT70" s="37" t="n">
        <f aca="false">IFERROR(AT66/AN66-1,"")</f>
        <v>0.923076923076923</v>
      </c>
      <c r="AU70" s="37" t="n">
        <f aca="false">IFERROR(AU66/AO66-1,"")</f>
        <v>0.7</v>
      </c>
      <c r="AV70" s="37" t="n">
        <f aca="false">IFERROR(AV66/AP66-1,"")</f>
        <v>0.0769230769230769</v>
      </c>
      <c r="AW70" s="37" t="n">
        <f aca="false">IFERROR(AW66/AQ66-1,"")</f>
        <v>-0.117647058823529</v>
      </c>
      <c r="AX70" s="37" t="n">
        <f aca="false">IFERROR(AX66/AR66-1,"")</f>
        <v>0.26</v>
      </c>
      <c r="AY70" s="37" t="n">
        <f aca="false">IFERROR(AY66/AS66-1,"")</f>
        <v>0.888888888888889</v>
      </c>
      <c r="AZ70" s="37" t="n">
        <f aca="false">IFERROR(AZ66/AT66-1,"")</f>
        <v>-0.64</v>
      </c>
      <c r="BA70" s="37" t="n">
        <f aca="false">IFERROR(BA66/AU66-1,"")</f>
        <v>-0.235294117647059</v>
      </c>
      <c r="BB70" s="37" t="n">
        <f aca="false">IFERROR(BB66/AV66-1,"")</f>
        <v>0.714285714285714</v>
      </c>
      <c r="BC70" s="37" t="n">
        <f aca="false">IFERROR(BC66/AW66-1,"")</f>
        <v>2.4</v>
      </c>
      <c r="BD70" s="37" t="n">
        <f aca="false">IFERROR(BD66/AX66-1,"")</f>
        <v>0.603174603174603</v>
      </c>
      <c r="BE70" s="37" t="n">
        <f aca="false">IFERROR(BE66/AY66-1,"")</f>
        <v>0.647058823529412</v>
      </c>
      <c r="BF70" s="37" t="n">
        <f aca="false">IFERROR(BF66/AZ66-1,"")</f>
        <v>3</v>
      </c>
      <c r="BG70" s="37" t="n">
        <f aca="false">IFERROR(BG66/BA66-1,"")</f>
        <v>1.46153846153846</v>
      </c>
      <c r="BH70" s="37" t="n">
        <f aca="false">IFERROR(BH66/BB66-1,"")</f>
        <v>0.375</v>
      </c>
      <c r="BI70" s="37" t="n">
        <f aca="false">IFERROR(BI66/BC66-1,"")</f>
        <v>-0.627450980392157</v>
      </c>
      <c r="BJ70" s="37" t="n">
        <f aca="false">IFERROR(BJ66/BD66-1,"")</f>
        <v>0.148514851485148</v>
      </c>
      <c r="BK70" s="37" t="n">
        <f aca="false">IFERROR(BK66/BE66-1,"")</f>
        <v>0.428571428571429</v>
      </c>
      <c r="BL70" s="37" t="n">
        <f aca="false">IFERROR(BL66/BF66-1,"")</f>
        <v>0</v>
      </c>
      <c r="BM70" s="37" t="n">
        <f aca="false">IFERROR(BM66/BG66-1,"")</f>
        <v>0.1875</v>
      </c>
      <c r="BN70" s="37" t="n">
        <f aca="false">IFERROR(BN66/BH66-1,"")</f>
        <v>0.0303030303030303</v>
      </c>
      <c r="BO70" s="37" t="n">
        <f aca="false">IFERROR(BO66/BI66-1,"")</f>
        <v>1.26315789473684</v>
      </c>
      <c r="BP70" s="37" t="n">
        <f aca="false">IFERROR(BP66/BJ66-1,"")</f>
        <v>0.318965517241379</v>
      </c>
      <c r="BQ70" s="37" t="n">
        <f aca="false">IFERROR(BQ66/BK66-1,"")</f>
        <v>-0.125</v>
      </c>
      <c r="BR70" s="37" t="n">
        <f aca="false">IFERROR(BR66/BL66-1,"")</f>
        <v>0.527777777777778</v>
      </c>
      <c r="BS70" s="37" t="n">
        <f aca="false">IFERROR(BS66/BM66-1,"")</f>
        <v>0.184210526315789</v>
      </c>
      <c r="BT70" s="38" t="n">
        <f aca="false">IFERROR(BT66/BN66-1,"")</f>
        <v>-0.0441176470588235</v>
      </c>
      <c r="BU70" s="38" t="n">
        <f aca="false">IFERROR(BU66/BO66-1,"")</f>
        <v>-0.244186046511628</v>
      </c>
      <c r="BV70" s="38" t="n">
        <f aca="false">IFERROR(BV66/BP66-1,"")</f>
        <v>0.0130718954248366</v>
      </c>
      <c r="BW70" s="38" t="n">
        <f aca="false">IFERROR(BW66/BV66-1,"")</f>
        <v>0.0919999999999999</v>
      </c>
      <c r="BX70" s="38" t="n">
        <f aca="false">IFERROR(BX66/BW66-1,"")</f>
        <v>0.0895238095238096</v>
      </c>
      <c r="BY70" s="38" t="n">
        <f aca="false">IFERROR(BY66/BX66-1,"")</f>
        <v>0.0924999999999998</v>
      </c>
      <c r="BZ70" s="38" t="n">
        <f aca="false">IFERROR(BZ66/BY66-1,"")</f>
        <v>0.0904347826086955</v>
      </c>
      <c r="CA70" s="16"/>
      <c r="CC70" s="5"/>
      <c r="CD70" s="5"/>
      <c r="CE70" s="5"/>
    </row>
    <row r="71" customFormat="false" ht="15" hidden="false" customHeight="false" outlineLevel="0" collapsed="false">
      <c r="B71" s="35" t="s">
        <v>111</v>
      </c>
      <c r="C71" s="36"/>
      <c r="D71" s="36"/>
      <c r="E71" s="36"/>
      <c r="F71" s="36"/>
      <c r="G71" s="36"/>
      <c r="H71" s="36"/>
      <c r="I71" s="37" t="str">
        <f aca="false">IFERROR(I68/C68-1,"")</f>
        <v/>
      </c>
      <c r="J71" s="37" t="str">
        <f aca="false">IFERROR(J68/D68-1,"")</f>
        <v/>
      </c>
      <c r="K71" s="37" t="str">
        <f aca="false">IFERROR(K68/E68-1,"")</f>
        <v/>
      </c>
      <c r="L71" s="37" t="str">
        <f aca="false">IFERROR(L68/F68-1,"")</f>
        <v/>
      </c>
      <c r="M71" s="37" t="str">
        <f aca="false">IFERROR(M68/G68-1,"")</f>
        <v/>
      </c>
      <c r="N71" s="37" t="n">
        <f aca="false">IFERROR(N68/H68-1,"")</f>
        <v>-1.17</v>
      </c>
      <c r="O71" s="37" t="str">
        <f aca="false">IFERROR(O68/I68-1,"")</f>
        <v/>
      </c>
      <c r="P71" s="37" t="str">
        <f aca="false">IFERROR(P68/J68-1,"")</f>
        <v/>
      </c>
      <c r="Q71" s="37" t="str">
        <f aca="false">IFERROR(Q68/K68-1,"")</f>
        <v/>
      </c>
      <c r="R71" s="37" t="str">
        <f aca="false">IFERROR(R68/L68-1,"")</f>
        <v/>
      </c>
      <c r="S71" s="37" t="str">
        <f aca="false">IFERROR(S68/M68-1,"")</f>
        <v/>
      </c>
      <c r="T71" s="37" t="n">
        <f aca="false">IFERROR(T68/N68-1,"")</f>
        <v>1.70588235294118</v>
      </c>
      <c r="U71" s="37" t="str">
        <f aca="false">IFERROR(U68/O68-1,"")</f>
        <v/>
      </c>
      <c r="V71" s="37" t="str">
        <f aca="false">IFERROR(V68/P68-1,"")</f>
        <v/>
      </c>
      <c r="W71" s="37" t="str">
        <f aca="false">IFERROR(W68/Q68-1,"")</f>
        <v/>
      </c>
      <c r="X71" s="37" t="str">
        <f aca="false">IFERROR(X68/R68-1,"")</f>
        <v/>
      </c>
      <c r="Y71" s="37" t="str">
        <f aca="false">IFERROR(Y68/S68-1,"")</f>
        <v/>
      </c>
      <c r="Z71" s="37" t="n">
        <f aca="false">IFERROR(Z68/T68-1,"")</f>
        <v>-0.130434782608696</v>
      </c>
      <c r="AA71" s="37" t="str">
        <f aca="false">IFERROR(AA68/U68-1,"")</f>
        <v/>
      </c>
      <c r="AB71" s="37" t="str">
        <f aca="false">IFERROR(AB68/V68-1,"")</f>
        <v/>
      </c>
      <c r="AC71" s="37" t="str">
        <f aca="false">IFERROR(AC68/W68-1,"")</f>
        <v/>
      </c>
      <c r="AD71" s="37" t="str">
        <f aca="false">IFERROR(AD68/X68-1,"")</f>
        <v/>
      </c>
      <c r="AE71" s="37" t="str">
        <f aca="false">IFERROR(AE68/Y68-1,"")</f>
        <v/>
      </c>
      <c r="AF71" s="37" t="n">
        <f aca="false">IFERROR(AF68/Z68-1,"")</f>
        <v>-0.55</v>
      </c>
      <c r="AG71" s="37" t="str">
        <f aca="false">IFERROR(AG68/AA68-1,"")</f>
        <v/>
      </c>
      <c r="AH71" s="37" t="str">
        <f aca="false">IFERROR(AH68/AB68-1,"")</f>
        <v/>
      </c>
      <c r="AI71" s="37" t="str">
        <f aca="false">IFERROR(AI68/AC68-1,"")</f>
        <v/>
      </c>
      <c r="AJ71" s="37" t="str">
        <f aca="false">IFERROR(AJ68/AD68-1,"")</f>
        <v/>
      </c>
      <c r="AK71" s="37" t="str">
        <f aca="false">IFERROR(AK68/AE68-1,"")</f>
        <v/>
      </c>
      <c r="AL71" s="37" t="n">
        <f aca="false">IFERROR(AL68/AF68-1,"")</f>
        <v>3.5</v>
      </c>
      <c r="AM71" s="37" t="str">
        <f aca="false">IFERROR(AM68/AG68-1,"")</f>
        <v/>
      </c>
      <c r="AN71" s="37" t="str">
        <f aca="false">IFERROR(AN68/AH68-1,"")</f>
        <v/>
      </c>
      <c r="AO71" s="37" t="str">
        <f aca="false">IFERROR(AO68/AI68-1,"")</f>
        <v/>
      </c>
      <c r="AP71" s="37" t="str">
        <f aca="false">IFERROR(AP68/AJ68-1,"")</f>
        <v/>
      </c>
      <c r="AQ71" s="37" t="str">
        <f aca="false">IFERROR(AQ68/AK68-1,"")</f>
        <v/>
      </c>
      <c r="AR71" s="37" t="n">
        <f aca="false">IFERROR(AR68/AL68-1,"")</f>
        <v>0.506172839506173</v>
      </c>
      <c r="AS71" s="37" t="str">
        <f aca="false">IFERROR(AS68/AM68-1,"")</f>
        <v/>
      </c>
      <c r="AT71" s="37" t="str">
        <f aca="false">IFERROR(AT68/AN68-1,"")</f>
        <v/>
      </c>
      <c r="AU71" s="37" t="str">
        <f aca="false">IFERROR(AU68/AO68-1,"")</f>
        <v/>
      </c>
      <c r="AV71" s="37" t="str">
        <f aca="false">IFERROR(AV68/AP68-1,"")</f>
        <v/>
      </c>
      <c r="AW71" s="37" t="str">
        <f aca="false">IFERROR(AW68/AQ68-1,"")</f>
        <v/>
      </c>
      <c r="AX71" s="37" t="n">
        <f aca="false">IFERROR(AX68/AR68-1,"")</f>
        <v>0.581967213114754</v>
      </c>
      <c r="AY71" s="37" t="str">
        <f aca="false">IFERROR(AY68/AS68-1,"")</f>
        <v/>
      </c>
      <c r="AZ71" s="37" t="str">
        <f aca="false">IFERROR(AZ68/AT68-1,"")</f>
        <v/>
      </c>
      <c r="BA71" s="37" t="str">
        <f aca="false">IFERROR(BA68/AU68-1,"")</f>
        <v/>
      </c>
      <c r="BB71" s="37" t="str">
        <f aca="false">IFERROR(BB68/AV68-1,"")</f>
        <v/>
      </c>
      <c r="BC71" s="37" t="str">
        <f aca="false">IFERROR(BC68/AW68-1,"")</f>
        <v/>
      </c>
      <c r="BD71" s="37" t="n">
        <f aca="false">IFERROR(BD68/AX68-1,"")</f>
        <v>0.145077720207254</v>
      </c>
      <c r="BE71" s="37" t="str">
        <f aca="false">IFERROR(BE68/AY68-1,"")</f>
        <v/>
      </c>
      <c r="BF71" s="37" t="str">
        <f aca="false">IFERROR(BF68/AZ68-1,"")</f>
        <v/>
      </c>
      <c r="BG71" s="37" t="str">
        <f aca="false">IFERROR(BG68/BA68-1,"")</f>
        <v/>
      </c>
      <c r="BH71" s="37" t="str">
        <f aca="false">IFERROR(BH68/BB68-1,"")</f>
        <v/>
      </c>
      <c r="BI71" s="37" t="str">
        <f aca="false">IFERROR(BI68/BC68-1,"")</f>
        <v/>
      </c>
      <c r="BJ71" s="37" t="n">
        <f aca="false">IFERROR(BJ68/BD68-1,"")</f>
        <v>0.0226244343891402</v>
      </c>
      <c r="BK71" s="37" t="n">
        <f aca="false">IFERROR(BK68/BE68-1,"")</f>
        <v>0.181818181818182</v>
      </c>
      <c r="BL71" s="37" t="n">
        <f aca="false">IFERROR(BL68/BF68-1,"")</f>
        <v>-0.03125</v>
      </c>
      <c r="BM71" s="37" t="n">
        <f aca="false">IFERROR(BM68/BG68-1,"")</f>
        <v>0.0672268907563025</v>
      </c>
      <c r="BN71" s="37" t="n">
        <f aca="false">IFERROR(BN68/BH68-1,"")</f>
        <v>-0.0166666666666667</v>
      </c>
      <c r="BO71" s="37" t="n">
        <f aca="false">IFERROR(BO68/BI68-1,"")</f>
        <v>0.48936170212766</v>
      </c>
      <c r="BP71" s="37" t="n">
        <f aca="false">IFERROR(BP68/BJ68-1,"")</f>
        <v>0.132743362831858</v>
      </c>
      <c r="BQ71" s="37" t="n">
        <f aca="false">IFERROR(BQ68/BK68-1,"")</f>
        <v>-0.153846153846154</v>
      </c>
      <c r="BR71" s="37" t="n">
        <f aca="false">IFERROR(BR68/BL68-1,"")</f>
        <v>0.225806451612903</v>
      </c>
      <c r="BS71" s="37" t="n">
        <f aca="false">IFERROR(BS68/BM68-1,"")</f>
        <v>0.0314960629921259</v>
      </c>
      <c r="BT71" s="38" t="n">
        <f aca="false">IFERROR(BT68/BN68-1,"")</f>
        <v>-0.05686167304538</v>
      </c>
      <c r="BU71" s="38" t="n">
        <f aca="false">IFERROR(BU68/BO68-1,"")</f>
        <v>-0.205069124423963</v>
      </c>
      <c r="BV71" s="38" t="n">
        <f aca="false">IFERROR(BV68/BP68-1,"")</f>
        <v>-0.0535534274193549</v>
      </c>
      <c r="BW71" s="38" t="n">
        <f aca="false">IFERROR(BW68/BV68-1,"")</f>
        <v>0.044548528824391</v>
      </c>
      <c r="BX71" s="38" t="n">
        <f aca="false">IFERROR(BX68/BW68-1,"")</f>
        <v>0.0731210191082803</v>
      </c>
      <c r="BY71" s="38" t="n">
        <f aca="false">IFERROR(BY68/BX68-1,"")</f>
        <v>0.0772530864197529</v>
      </c>
      <c r="BZ71" s="38" t="n">
        <f aca="false">IFERROR(BZ68/BY68-1,"")</f>
        <v>0.0762874251497006</v>
      </c>
      <c r="CA71" s="16"/>
      <c r="CC71" s="5"/>
      <c r="CD71" s="5"/>
      <c r="CE71" s="5"/>
    </row>
    <row r="72" customFormat="false" ht="15" hidden="false" customHeight="false" outlineLevel="0" collapsed="false">
      <c r="B72" s="35" t="s">
        <v>113</v>
      </c>
      <c r="C72" s="36" t="n">
        <f aca="false">IFERROR(C66/C65,"")</f>
        <v>-0.25</v>
      </c>
      <c r="D72" s="36" t="n">
        <f aca="false">IFERROR(D66/D65,"")</f>
        <v>-1.82857142857143</v>
      </c>
      <c r="E72" s="36" t="n">
        <f aca="false">IFERROR(E66/E65,"")</f>
        <v>-0.986666666666667</v>
      </c>
      <c r="F72" s="36" t="n">
        <f aca="false">IFERROR(F66/F65,"")</f>
        <v>-0.166666666666667</v>
      </c>
      <c r="G72" s="36" t="n">
        <f aca="false">IFERROR(G66/G65,"")</f>
        <v>-0.331168831168831</v>
      </c>
      <c r="H72" s="36" t="n">
        <f aca="false">IFERROR(H66/H65,"")</f>
        <v>-0.183441558441558</v>
      </c>
      <c r="I72" s="36" t="n">
        <f aca="false">IFERROR(I66/I65,"")</f>
        <v>0.0144230769230769</v>
      </c>
      <c r="J72" s="36" t="n">
        <f aca="false">IFERROR(J66/J65,"")</f>
        <v>-0.013986013986014</v>
      </c>
      <c r="K72" s="36" t="n">
        <f aca="false">IFERROR(K66/K65,"")</f>
        <v>0.00284900284900285</v>
      </c>
      <c r="L72" s="36" t="n">
        <f aca="false">IFERROR(L66/L65,"")</f>
        <v>0.038961038961039</v>
      </c>
      <c r="M72" s="36" t="n">
        <f aca="false">IFERROR(M66/M65,"")</f>
        <v>0.00537634408602151</v>
      </c>
      <c r="N72" s="36" t="n">
        <f aca="false">IFERROR(N66/N65,"")</f>
        <v>0.0115774240231548</v>
      </c>
      <c r="O72" s="36" t="n">
        <f aca="false">IFERROR(O66/O65,"")</f>
        <v>-0.08</v>
      </c>
      <c r="P72" s="36" t="n">
        <f aca="false">IFERROR(P66/P65,"")</f>
        <v>0.0368852459016393</v>
      </c>
      <c r="Q72" s="36" t="n">
        <f aca="false">IFERROR(Q66/Q65,"")</f>
        <v>-0.0191897654584222</v>
      </c>
      <c r="R72" s="36" t="n">
        <f aca="false">IFERROR(R66/R65,"")</f>
        <v>0.0912863070539419</v>
      </c>
      <c r="S72" s="36" t="n">
        <f aca="false">IFERROR(S66/S65,"")</f>
        <v>0.0330578512396694</v>
      </c>
      <c r="T72" s="36" t="n">
        <f aca="false">IFERROR(T66/T65,"")</f>
        <v>0.0220588235294118</v>
      </c>
      <c r="U72" s="36" t="n">
        <f aca="false">IFERROR(U66/U65,"")</f>
        <v>0.00858369098712446</v>
      </c>
      <c r="V72" s="36" t="n">
        <f aca="false">IFERROR(V66/V65,"")</f>
        <v>0.0288065843621399</v>
      </c>
      <c r="W72" s="36" t="n">
        <f aca="false">IFERROR(W66/W65,"")</f>
        <v>0.0189075630252101</v>
      </c>
      <c r="X72" s="36" t="n">
        <f aca="false">IFERROR(X66/X65,"")</f>
        <v>0.0653061224489796</v>
      </c>
      <c r="Y72" s="36" t="n">
        <f aca="false">IFERROR(Y66/Y65,"")</f>
        <v>-0.027027027027027</v>
      </c>
      <c r="Z72" s="36" t="n">
        <f aca="false">IFERROR(Z66/Z65,"")</f>
        <v>0.022075055187638</v>
      </c>
      <c r="AA72" s="36" t="n">
        <f aca="false">IFERROR(AA66/AA65,"")</f>
        <v>0.00833333333333333</v>
      </c>
      <c r="AB72" s="36" t="n">
        <f aca="false">IFERROR(AB66/AB65,"")</f>
        <v>-0.00623052959501558</v>
      </c>
      <c r="AC72" s="36" t="n">
        <f aca="false">IFERROR(AC66/AC65,"")</f>
        <v>0</v>
      </c>
      <c r="AD72" s="36" t="n">
        <f aca="false">IFERROR(AD66/AD65,"")</f>
        <v>0.0276073619631902</v>
      </c>
      <c r="AE72" s="36" t="n">
        <f aca="false">IFERROR(AE66/AE65,"")</f>
        <v>-0.0657142857142857</v>
      </c>
      <c r="AF72" s="36" t="n">
        <f aca="false">IFERROR(AF66/AF65,"")</f>
        <v>-0.0113177041228779</v>
      </c>
      <c r="AG72" s="36" t="n">
        <f aca="false">IFERROR(AG66/AG65,"")</f>
        <v>-0.0220820189274448</v>
      </c>
      <c r="AH72" s="36" t="n">
        <f aca="false">IFERROR(AH66/AH65,"")</f>
        <v>0.028125</v>
      </c>
      <c r="AI72" s="36" t="n">
        <f aca="false">IFERROR(AI66/AI65,"")</f>
        <v>0.00313971742543171</v>
      </c>
      <c r="AJ72" s="36" t="n">
        <f aca="false">IFERROR(AJ66/AJ65,"")</f>
        <v>0.065625</v>
      </c>
      <c r="AK72" s="36" t="n">
        <f aca="false">IFERROR(AK66/AK65,"")</f>
        <v>0.0578778135048232</v>
      </c>
      <c r="AL72" s="36" t="n">
        <f aca="false">IFERROR(AL66/AL65,"")</f>
        <v>0.0323343848580442</v>
      </c>
      <c r="AM72" s="36" t="n">
        <f aca="false">IFERROR(AM66/AM65,"")</f>
        <v>0.027027027027027</v>
      </c>
      <c r="AN72" s="36" t="n">
        <f aca="false">IFERROR(AN66/AN65,"")</f>
        <v>0.0548523206751055</v>
      </c>
      <c r="AO72" s="36" t="n">
        <f aca="false">IFERROR(AO66/AO65,"")</f>
        <v>0.0403225806451613</v>
      </c>
      <c r="AP72" s="36" t="n">
        <f aca="false">IFERROR(AP66/AP65,"")</f>
        <v>0.032994923857868</v>
      </c>
      <c r="AQ72" s="36" t="n">
        <f aca="false">IFERROR(AQ66/AQ65,"")</f>
        <v>0.0290102389078498</v>
      </c>
      <c r="AR72" s="36" t="n">
        <f aca="false">IFERROR(AR66/AR65,"")</f>
        <v>0.0338753387533875</v>
      </c>
      <c r="AS72" s="36" t="n">
        <f aca="false">IFERROR(AS66/AS65,"")</f>
        <v>0.0152542372881356</v>
      </c>
      <c r="AT72" s="36" t="n">
        <f aca="false">IFERROR(AT66/AT65,"")</f>
        <v>0.0416666666666667</v>
      </c>
      <c r="AU72" s="36" t="n">
        <f aca="false">IFERROR(AU66/AU65,"")</f>
        <v>0.0285714285714286</v>
      </c>
      <c r="AV72" s="36" t="n">
        <f aca="false">IFERROR(AV66/AV65,"")</f>
        <v>0.0235294117647059</v>
      </c>
      <c r="AW72" s="36" t="n">
        <f aca="false">IFERROR(AW66/AW65,"")</f>
        <v>0.0249169435215947</v>
      </c>
      <c r="AX72" s="36" t="n">
        <f aca="false">IFERROR(AX66/AX65,"")</f>
        <v>0.0263929618768328</v>
      </c>
      <c r="AY72" s="36" t="n">
        <f aca="false">IFERROR(AY66/AY65,"")</f>
        <v>0.0272435897435897</v>
      </c>
      <c r="AZ72" s="36" t="n">
        <f aca="false">IFERROR(AZ66/AZ65,"")</f>
        <v>0.013953488372093</v>
      </c>
      <c r="BA72" s="36" t="n">
        <f aca="false">IFERROR(BA66/BA65,"")</f>
        <v>0.020488573680063</v>
      </c>
      <c r="BB72" s="36" t="n">
        <f aca="false">IFERROR(BB66/BB65,"")</f>
        <v>0.035036496350365</v>
      </c>
      <c r="BC72" s="36" t="n">
        <f aca="false">IFERROR(BC66/BC65,"")</f>
        <v>0.0684563758389262</v>
      </c>
      <c r="BD72" s="36" t="n">
        <f aca="false">IFERROR(BD66/BD65,"")</f>
        <v>0.0374212671359763</v>
      </c>
      <c r="BE72" s="36" t="n">
        <f aca="false">IFERROR(BE66/BE65,"")</f>
        <v>0.0373333333333333</v>
      </c>
      <c r="BF72" s="36" t="n">
        <f aca="false">IFERROR(BF66/BF65,"")</f>
        <v>0.0470588235294118</v>
      </c>
      <c r="BG72" s="36" t="n">
        <f aca="false">IFERROR(BG66/BG65,"")</f>
        <v>0.0422442244224422</v>
      </c>
      <c r="BH72" s="36" t="n">
        <f aca="false">IFERROR(BH66/BH65,"")</f>
        <v>0.0465444287729196</v>
      </c>
      <c r="BI72" s="36" t="n">
        <f aca="false">IFERROR(BI66/BI65,"")</f>
        <v>0.0266479663394109</v>
      </c>
      <c r="BJ72" s="36" t="n">
        <f aca="false">IFERROR(BJ66/BJ65,"")</f>
        <v>0.0394960844399047</v>
      </c>
      <c r="BK72" s="36" t="n">
        <f aca="false">IFERROR(BK66/BK65,"")</f>
        <v>0.054421768707483</v>
      </c>
      <c r="BL72" s="36" t="n">
        <f aca="false">IFERROR(BL66/BL65,"")</f>
        <v>0.04551201011378</v>
      </c>
      <c r="BM72" s="36" t="n">
        <f aca="false">IFERROR(BM66/BM65,"")</f>
        <v>0.0498034076015727</v>
      </c>
      <c r="BN72" s="36" t="n">
        <f aca="false">IFERROR(BN66/BN65,"")</f>
        <v>0.0432020330368488</v>
      </c>
      <c r="BO72" s="36" t="n">
        <f aca="false">IFERROR(BO66/BO65,"")</f>
        <v>0.0588235294117647</v>
      </c>
      <c r="BP72" s="36" t="n">
        <f aca="false">IFERROR(BP66/BP65,"")</f>
        <v>0.0502628120893561</v>
      </c>
      <c r="BQ72" s="36" t="n">
        <f aca="false">IFERROR(BQ66/BQ65,"")</f>
        <v>0.0467914438502674</v>
      </c>
      <c r="BR72" s="36" t="n">
        <f aca="false">IFERROR(BR66/BR65,"")</f>
        <v>0.0723684210526316</v>
      </c>
      <c r="BS72" s="36" t="n">
        <f aca="false">IFERROR(BS66/BS65,"")</f>
        <v>0.0596816976127321</v>
      </c>
      <c r="BT72" s="38" t="n">
        <f aca="false">IFERROR(BT66/BT65,"")</f>
        <v>0.0408291457286432</v>
      </c>
      <c r="BU72" s="38" t="n">
        <f aca="false">IFERROR(BU66/BU65,"")</f>
        <v>0.0408291457286432</v>
      </c>
      <c r="BV72" s="38" t="n">
        <f aca="false">IFERROR(BV66/BV65,"")</f>
        <v>0.05</v>
      </c>
      <c r="BW72" s="38" t="n">
        <f aca="false">CHOOSE(MATCH($CA$2,{"Bull","Base","Bear"},0),$CI$58,$CJ$58,$CK$58)</f>
        <v>0.0525</v>
      </c>
      <c r="BX72" s="38" t="n">
        <f aca="false">CHOOSE(MATCH($CA$2,{"Bull","Base","Bear"},0),$CI$59,$CJ$59,$CK$59)</f>
        <v>0.055</v>
      </c>
      <c r="BY72" s="38" t="n">
        <f aca="false">CHOOSE(MATCH($CA$2,{"Bull","Base","Bear"},0),$CI$60,$CJ$60,$CK$60)</f>
        <v>0.0575</v>
      </c>
      <c r="BZ72" s="38" t="n">
        <f aca="false">CHOOSE(MATCH($CA$2,{"Bull","Base","Bear"},0),$CI$61,$CJ$61,$CK$61)</f>
        <v>0.06</v>
      </c>
      <c r="CA72" s="16" t="s">
        <v>166</v>
      </c>
      <c r="CC72" s="40" t="n">
        <f aca="false">IFERROR(AVERAGE(BV72,BW72,BX72,BY72,BZ72),"n/m")</f>
        <v>0.055</v>
      </c>
      <c r="CD72" s="40" t="n">
        <f aca="false">IFERROR(AVERAGE(AR72,AX72,BD72,BJ72,BP72),"n/m")</f>
        <v>0.0374896928590915</v>
      </c>
      <c r="CE72" s="40" t="n">
        <f aca="false">IFERROR(AVERAGE(N72,T72,Z72,AF72,AL72,AR72,AX72,BD72,BJ72,BP72),"n/m")</f>
        <v>0.0264176447770828</v>
      </c>
    </row>
    <row r="73" customFormat="false" ht="15" hidden="false" customHeight="false" outlineLevel="0" collapsed="false">
      <c r="B73" s="35" t="s">
        <v>116</v>
      </c>
      <c r="C73" s="36" t="str">
        <f aca="false">IFERROR(C68/C65,"")</f>
        <v/>
      </c>
      <c r="D73" s="36" t="str">
        <f aca="false">IFERROR(D68/D65,"")</f>
        <v/>
      </c>
      <c r="E73" s="36" t="str">
        <f aca="false">IFERROR(E68/E65,"")</f>
        <v/>
      </c>
      <c r="F73" s="36" t="str">
        <f aca="false">IFERROR(F68/F65,"")</f>
        <v/>
      </c>
      <c r="G73" s="36" t="str">
        <f aca="false">IFERROR(G68/G65,"")</f>
        <v/>
      </c>
      <c r="H73" s="36" t="n">
        <f aca="false">IFERROR(H68/H65,"")</f>
        <v>-0.162337662337662</v>
      </c>
      <c r="I73" s="36" t="str">
        <f aca="false">IFERROR(I68/I65,"")</f>
        <v/>
      </c>
      <c r="J73" s="36" t="str">
        <f aca="false">IFERROR(J68/J65,"")</f>
        <v/>
      </c>
      <c r="K73" s="36" t="str">
        <f aca="false">IFERROR(K68/K65,"")</f>
        <v/>
      </c>
      <c r="L73" s="36" t="str">
        <f aca="false">IFERROR(L68/L65,"")</f>
        <v/>
      </c>
      <c r="M73" s="36" t="str">
        <f aca="false">IFERROR(M68/M65,"")</f>
        <v/>
      </c>
      <c r="N73" s="36" t="n">
        <f aca="false">IFERROR(N68/N65,"")</f>
        <v>0.0246020260492041</v>
      </c>
      <c r="O73" s="36" t="str">
        <f aca="false">IFERROR(O68/O65,"")</f>
        <v/>
      </c>
      <c r="P73" s="36" t="str">
        <f aca="false">IFERROR(P68/P65,"")</f>
        <v/>
      </c>
      <c r="Q73" s="36" t="str">
        <f aca="false">IFERROR(Q68/Q65,"")</f>
        <v/>
      </c>
      <c r="R73" s="36" t="str">
        <f aca="false">IFERROR(R68/R65,"")</f>
        <v/>
      </c>
      <c r="S73" s="36" t="str">
        <f aca="false">IFERROR(S68/S65,"")</f>
        <v/>
      </c>
      <c r="T73" s="36" t="n">
        <f aca="false">IFERROR(T68/T65,"")</f>
        <v>0.0483193277310924</v>
      </c>
      <c r="U73" s="36" t="str">
        <f aca="false">IFERROR(U68/U65,"")</f>
        <v/>
      </c>
      <c r="V73" s="36" t="str">
        <f aca="false">IFERROR(V68/V65,"")</f>
        <v/>
      </c>
      <c r="W73" s="36" t="str">
        <f aca="false">IFERROR(W68/W65,"")</f>
        <v/>
      </c>
      <c r="X73" s="36" t="str">
        <f aca="false">IFERROR(X68/X65,"")</f>
        <v/>
      </c>
      <c r="Y73" s="36" t="str">
        <f aca="false">IFERROR(Y68/Y65,"")</f>
        <v/>
      </c>
      <c r="Z73" s="36" t="n">
        <f aca="false">IFERROR(Z68/Z65,"")</f>
        <v>0.0441501103752759</v>
      </c>
      <c r="AA73" s="36" t="str">
        <f aca="false">IFERROR(AA68/AA65,"")</f>
        <v/>
      </c>
      <c r="AB73" s="36" t="str">
        <f aca="false">IFERROR(AB68/AB65,"")</f>
        <v/>
      </c>
      <c r="AC73" s="36" t="str">
        <f aca="false">IFERROR(AC68/AC65,"")</f>
        <v/>
      </c>
      <c r="AD73" s="36" t="str">
        <f aca="false">IFERROR(AD68/AD65,"")</f>
        <v/>
      </c>
      <c r="AE73" s="36" t="str">
        <f aca="false">IFERROR(AE68/AE65,"")</f>
        <v/>
      </c>
      <c r="AF73" s="36" t="n">
        <f aca="false">IFERROR(AF68/AF65,"")</f>
        <v>0.0145513338722716</v>
      </c>
      <c r="AG73" s="36" t="str">
        <f aca="false">IFERROR(AG68/AG65,"")</f>
        <v/>
      </c>
      <c r="AH73" s="36" t="str">
        <f aca="false">IFERROR(AH68/AH65,"")</f>
        <v/>
      </c>
      <c r="AI73" s="36" t="str">
        <f aca="false">IFERROR(AI68/AI65,"")</f>
        <v/>
      </c>
      <c r="AJ73" s="36" t="str">
        <f aca="false">IFERROR(AJ68/AJ65,"")</f>
        <v/>
      </c>
      <c r="AK73" s="36" t="str">
        <f aca="false">IFERROR(AK68/AK65,"")</f>
        <v/>
      </c>
      <c r="AL73" s="36" t="n">
        <f aca="false">IFERROR(AL68/AL65,"")</f>
        <v>0.0638801261829653</v>
      </c>
      <c r="AM73" s="36" t="str">
        <f aca="false">IFERROR(AM68/AM65,"")</f>
        <v/>
      </c>
      <c r="AN73" s="36" t="str">
        <f aca="false">IFERROR(AN68/AN65,"")</f>
        <v/>
      </c>
      <c r="AO73" s="36" t="str">
        <f aca="false">IFERROR(AO68/AO65,"")</f>
        <v/>
      </c>
      <c r="AP73" s="36" t="str">
        <f aca="false">IFERROR(AP68/AP65,"")</f>
        <v/>
      </c>
      <c r="AQ73" s="36" t="str">
        <f aca="false">IFERROR(AQ68/AQ65,"")</f>
        <v/>
      </c>
      <c r="AR73" s="36" t="n">
        <f aca="false">IFERROR(AR68/AR65,"")</f>
        <v>0.0826558265582656</v>
      </c>
      <c r="AS73" s="36" t="str">
        <f aca="false">IFERROR(AS68/AS65,"")</f>
        <v/>
      </c>
      <c r="AT73" s="36" t="str">
        <f aca="false">IFERROR(AT68/AT65,"")</f>
        <v/>
      </c>
      <c r="AU73" s="36" t="str">
        <f aca="false">IFERROR(AU68/AU65,"")</f>
        <v/>
      </c>
      <c r="AV73" s="36" t="str">
        <f aca="false">IFERROR(AV68/AV65,"")</f>
        <v/>
      </c>
      <c r="AW73" s="36" t="str">
        <f aca="false">IFERROR(AW68/AW65,"")</f>
        <v/>
      </c>
      <c r="AX73" s="36" t="n">
        <f aca="false">IFERROR(AX68/AX65,"")</f>
        <v>0.080854629241726</v>
      </c>
      <c r="AY73" s="36" t="str">
        <f aca="false">IFERROR(AY68/AY65,"")</f>
        <v/>
      </c>
      <c r="AZ73" s="36" t="str">
        <f aca="false">IFERROR(AZ68/AZ65,"")</f>
        <v/>
      </c>
      <c r="BA73" s="36" t="str">
        <f aca="false">IFERROR(BA68/BA65,"")</f>
        <v/>
      </c>
      <c r="BB73" s="36" t="str">
        <f aca="false">IFERROR(BB68/BB65,"")</f>
        <v/>
      </c>
      <c r="BC73" s="36" t="str">
        <f aca="false">IFERROR(BC68/BC65,"")</f>
        <v/>
      </c>
      <c r="BD73" s="36" t="n">
        <f aca="false">IFERROR(BD68/BD65,"")</f>
        <v>0.081882178584661</v>
      </c>
      <c r="BE73" s="36" t="n">
        <f aca="false">IFERROR(BE68/BE65,"")</f>
        <v>0.0733333333333333</v>
      </c>
      <c r="BF73" s="36" t="n">
        <f aca="false">IFERROR(BF68/BF65,"")</f>
        <v>0.0836601307189542</v>
      </c>
      <c r="BG73" s="36" t="n">
        <f aca="false">IFERROR(BG68/BG65,"")</f>
        <v>0.0785478547854785</v>
      </c>
      <c r="BH73" s="36" t="n">
        <f aca="false">IFERROR(BH68/BH65,"")</f>
        <v>0.0846262341325811</v>
      </c>
      <c r="BI73" s="36" t="n">
        <f aca="false">IFERROR(BI68/BI65,"")</f>
        <v>0.0659186535764376</v>
      </c>
      <c r="BJ73" s="36" t="n">
        <f aca="false">IFERROR(BJ68/BJ65,"")</f>
        <v>0.0769492679605039</v>
      </c>
      <c r="BK73" s="36" t="n">
        <f aca="false">IFERROR(BK68/BK65,"")</f>
        <v>0.0884353741496599</v>
      </c>
      <c r="BL73" s="36" t="n">
        <f aca="false">IFERROR(BL68/BL65,"")</f>
        <v>0.0783817951959545</v>
      </c>
      <c r="BM73" s="36" t="n">
        <f aca="false">IFERROR(BM68/BM65,"")</f>
        <v>0.0832241153342071</v>
      </c>
      <c r="BN73" s="36" t="n">
        <f aca="false">IFERROR(BN68/BN65,"")</f>
        <v>0.0749682337992376</v>
      </c>
      <c r="BO73" s="36" t="n">
        <f aca="false">IFERROR(BO68/BO65,"")</f>
        <v>0.0957592339261286</v>
      </c>
      <c r="BP73" s="36" t="n">
        <f aca="false">IFERROR(BP68/BP65,"")</f>
        <v>0.0840998685939553</v>
      </c>
      <c r="BQ73" s="36" t="n">
        <f aca="false">IFERROR(BQ68/BQ65,"")</f>
        <v>0.0735294117647059</v>
      </c>
      <c r="BR73" s="36" t="n">
        <f aca="false">IFERROR(BR68/BR65,"")</f>
        <v>0.1</v>
      </c>
      <c r="BS73" s="36" t="n">
        <f aca="false">IFERROR(BS68/BS65,"")</f>
        <v>0.0868700265251989</v>
      </c>
      <c r="BT73" s="38" t="n">
        <f aca="false">IFERROR(BT68/BT65,"")</f>
        <v>0.0699059815205058</v>
      </c>
      <c r="BU73" s="38" t="n">
        <f aca="false">IFERROR(BU68/BU65,"")</f>
        <v>0.0699059815205058</v>
      </c>
      <c r="BV73" s="38" t="n">
        <f aca="false">IFERROR(BV68/BV65,"")</f>
        <v>0.0781581685744017</v>
      </c>
      <c r="BW73" s="38" t="n">
        <f aca="false">IFERROR(BW68/BW65,"")</f>
        <v>0.0785</v>
      </c>
      <c r="BX73" s="38" t="n">
        <f aca="false">IFERROR(BX68/BX65,"")</f>
        <v>0.081</v>
      </c>
      <c r="BY73" s="38" t="n">
        <f aca="false">IFERROR(BY68/BY65,"")</f>
        <v>0.0835</v>
      </c>
      <c r="BZ73" s="38" t="n">
        <f aca="false">IFERROR(BZ68/BZ65,"")</f>
        <v>0.086</v>
      </c>
      <c r="CA73" s="16"/>
      <c r="CC73" s="40" t="n">
        <f aca="false">IFERROR(AVERAGE(BV73,BW73,BX73,BY73,BZ73),"n/m")</f>
        <v>0.0814316337148803</v>
      </c>
      <c r="CD73" s="40" t="n">
        <f aca="false">IFERROR(AVERAGE(AR73,AX73,BD73,BJ73,BP73),"n/m")</f>
        <v>0.0812883541878224</v>
      </c>
      <c r="CE73" s="40" t="n">
        <f aca="false">IFERROR(AVERAGE(N73,T73,Z73,AF73,AL73,AR73,AX73,BD73,BJ73,BP73),"n/m")</f>
        <v>0.0601944695149921</v>
      </c>
    </row>
    <row r="74" customFormat="false" ht="15" hidden="false" customHeight="false" outlineLevel="0" collapsed="false">
      <c r="B74" s="35" t="s">
        <v>118</v>
      </c>
      <c r="C74" s="36"/>
      <c r="D74" s="36"/>
      <c r="E74" s="36"/>
      <c r="F74" s="36"/>
      <c r="G74" s="36"/>
      <c r="H74" s="36"/>
      <c r="I74" s="36" t="n">
        <f aca="false">IFERROR((I66-C66)/(I65-C65),"")</f>
        <v>0.0773809523809524</v>
      </c>
      <c r="J74" s="36" t="n">
        <f aca="false">IFERROR((J66-D66)/(J65-D65),"")</f>
        <v>0.574074074074074</v>
      </c>
      <c r="K74" s="36" t="n">
        <f aca="false">IFERROR((K66-E66)/(K65-E65),"")</f>
        <v>0.271739130434783</v>
      </c>
      <c r="L74" s="36" t="n">
        <f aca="false">IFERROR((L66-F66)/(L65-F65),"")</f>
        <v>0.0887096774193548</v>
      </c>
      <c r="M74" s="36" t="n">
        <f aca="false">IFERROR((M66-G66)/(M65-G65),"")</f>
        <v>1.625</v>
      </c>
      <c r="N74" s="36" t="n">
        <f aca="false">IFERROR((N66-H66)/(N65-H65),"")</f>
        <v>1.61333333333333</v>
      </c>
      <c r="O74" s="36" t="n">
        <f aca="false">IFERROR((O66-I66)/(O65-I65),"")</f>
        <v>-1.23529411764706</v>
      </c>
      <c r="P74" s="36" t="n">
        <f aca="false">IFERROR((P66-J66)/(P65-J65),"")</f>
        <v>0.108910891089109</v>
      </c>
      <c r="Q74" s="36" t="n">
        <f aca="false">IFERROR((Q66-K66)/(Q65-K65),"")</f>
        <v>-0.0847457627118644</v>
      </c>
      <c r="R74" s="36" t="n">
        <f aca="false">IFERROR((R66-L66)/(R65-L65),"")</f>
        <v>0.183908045977012</v>
      </c>
      <c r="S74" s="36" t="n">
        <f aca="false">IFERROR((S66-M66)/(S65-M65),"")</f>
        <v>0.125</v>
      </c>
      <c r="T74" s="36" t="n">
        <f aca="false">IFERROR((T66-N66)/(T65-N65),"")</f>
        <v>0.0498084291187739</v>
      </c>
      <c r="U74" s="36" t="n">
        <f aca="false">IFERROR((U66-O66)/(U65-O65),"")</f>
        <v>2.5</v>
      </c>
      <c r="V74" s="36" t="n">
        <f aca="false">IFERROR((V66-P66)/(V65-P65),"")</f>
        <v>2</v>
      </c>
      <c r="W74" s="36" t="n">
        <f aca="false">IFERROR((W66-Q66)/(W65-Q65),"")</f>
        <v>2.57142857142857</v>
      </c>
      <c r="X74" s="36" t="n">
        <f aca="false">IFERROR((X66-R66)/(X65-R65),"")</f>
        <v>-1.5</v>
      </c>
      <c r="Y74" s="36" t="n">
        <f aca="false">IFERROR((Y66-S66)/(Y65-S65),"")</f>
        <v>0.228070175438596</v>
      </c>
      <c r="Z74" s="36" t="n">
        <f aca="false">IFERROR((Z66-T66)/(Z65-T65),"")</f>
        <v>0.0217391304347826</v>
      </c>
      <c r="AA74" s="36" t="n">
        <f aca="false">IFERROR((AA66-U66)/(AA65-U65),"")</f>
        <v>0</v>
      </c>
      <c r="AB74" s="36" t="n">
        <f aca="false">IFERROR((AB66-V66)/(AB65-V65),"")</f>
        <v>-0.115384615384615</v>
      </c>
      <c r="AC74" s="36" t="n">
        <f aca="false">IFERROR((AC66-W66)/(AC65-W65),"")</f>
        <v>-0.105882352941176</v>
      </c>
      <c r="AD74" s="36" t="n">
        <f aca="false">IFERROR((AD66-X66)/(AD65-X65),"")</f>
        <v>-0.0864197530864198</v>
      </c>
      <c r="AE74" s="36" t="n">
        <f aca="false">IFERROR((AE66-Y66)/(AE65-Y65),"")</f>
        <v>-0.109090909090909</v>
      </c>
      <c r="AF74" s="36" t="n">
        <f aca="false">IFERROR((AF66-Z66)/(AF65-Z65),"")</f>
        <v>-0.102719033232628</v>
      </c>
      <c r="AG74" s="36" t="n">
        <f aca="false">IFERROR((AG66-AA66)/(AG65-AA65),"")</f>
        <v>-0.116883116883117</v>
      </c>
      <c r="AH74" s="36" t="n">
        <f aca="false">IFERROR((AH66-AB66)/(AH65-AB65),"")</f>
        <v>-11</v>
      </c>
      <c r="AI74" s="36" t="n">
        <f aca="false">IFERROR((AI66-AC66)/(AI65-AC65),"")</f>
        <v>0.0263157894736842</v>
      </c>
      <c r="AJ74" s="36" t="n">
        <f aca="false">IFERROR((AJ66-AD66)/(AJ65-AD65),"")</f>
        <v>-2</v>
      </c>
      <c r="AK74" s="36" t="n">
        <f aca="false">IFERROR((AK66-AE66)/(AK65-AE65),"")</f>
        <v>-1.05128205128205</v>
      </c>
      <c r="AL74" s="36" t="n">
        <f aca="false">IFERROR((AL66-AF66)/(AL65-AF65),"")</f>
        <v>1.7741935483871</v>
      </c>
      <c r="AM74" s="36" t="n">
        <f aca="false">IFERROR((AM66-AG66)/(AM65-AG65),"")</f>
        <v>-0.241379310344828</v>
      </c>
      <c r="AN74" s="36" t="n">
        <f aca="false">IFERROR((AN66-AH66)/(AN65-AH65),"")</f>
        <v>-0.0481927710843374</v>
      </c>
      <c r="AO74" s="36" t="n">
        <f aca="false">IFERROR((AO66-AI66)/(AO65-AI65),"")</f>
        <v>-0.127659574468085</v>
      </c>
      <c r="AP74" s="36" t="n">
        <f aca="false">IFERROR((AP66-AJ66)/(AP65-AJ65),"")</f>
        <v>-0.108108108108108</v>
      </c>
      <c r="AQ74" s="36" t="n">
        <f aca="false">IFERROR((AQ66-AK66)/(AQ65-AK65),"")</f>
        <v>-0.00363636363636364</v>
      </c>
      <c r="AR74" s="36" t="n">
        <f aca="false">IFERROR((AR66-AL66)/(AR65-AL65),"")</f>
        <v>0.0432692307692308</v>
      </c>
      <c r="AS74" s="36" t="n">
        <f aca="false">IFERROR((AS66-AM66)/(AS65-AM65),"")</f>
        <v>0.00604229607250755</v>
      </c>
      <c r="AT74" s="36" t="n">
        <f aca="false">IFERROR((AT66-AN66)/(AT65-AN65),"")</f>
        <v>0.0330578512396694</v>
      </c>
      <c r="AU74" s="36" t="n">
        <f aca="false">IFERROR((AU66-AO66)/(AU65-AO65),"")</f>
        <v>0.0201729106628242</v>
      </c>
      <c r="AV74" s="36" t="n">
        <f aca="false">IFERROR((AV66-AP66)/(AV65-AP65),"")</f>
        <v>0.00497512437810945</v>
      </c>
      <c r="AW74" s="36" t="n">
        <f aca="false">IFERROR((AW66-AQ66)/(AW65-AQ65),"")</f>
        <v>-0.125</v>
      </c>
      <c r="AX74" s="36" t="n">
        <f aca="false">IFERROR((AX66-AR66)/(AX65-AR65),"")</f>
        <v>0.0142700329308452</v>
      </c>
      <c r="AY74" s="36" t="n">
        <f aca="false">IFERROR((AY66-AS66)/(AY65-AS65),"")</f>
        <v>0.235294117647059</v>
      </c>
      <c r="AZ74" s="36" t="n">
        <f aca="false">IFERROR((AZ66-AT66)/(AZ65-AT65),"")</f>
        <v>-0.355555555555556</v>
      </c>
      <c r="BA74" s="36" t="n">
        <f aca="false">IFERROR((BA66-AU66)/(BA65-AU65),"")</f>
        <v>-0.10126582278481</v>
      </c>
      <c r="BB74" s="36" t="n">
        <f aca="false">IFERROR((BB66-AV66)/(BB65-AV65),"")</f>
        <v>0.111111111111111</v>
      </c>
      <c r="BC74" s="36" t="n">
        <f aca="false">IFERROR((BC66-AW66)/(BC65-AW65),"")</f>
        <v>0.251748251748252</v>
      </c>
      <c r="BD74" s="36" t="n">
        <f aca="false">IFERROR((BD66-AX66)/(BD65-AX65),"")</f>
        <v>0.121794871794872</v>
      </c>
      <c r="BE74" s="36" t="n">
        <f aca="false">IFERROR((BE66-AY66)/(BE65-AY65),"")</f>
        <v>0.0873015873015873</v>
      </c>
      <c r="BF74" s="36" t="n">
        <f aca="false">IFERROR((BF66-AZ66)/(BF65-AZ65),"")</f>
        <v>0.225</v>
      </c>
      <c r="BG74" s="36" t="n">
        <f aca="false">IFERROR((BG66-BA66)/(BG65-BA65),"")</f>
        <v>0.154471544715447</v>
      </c>
      <c r="BH74" s="36" t="n">
        <f aca="false">IFERROR((BH66-BB66)/(BH65-BB65),"")</f>
        <v>0.375</v>
      </c>
      <c r="BI74" s="36" t="n">
        <f aca="false">IFERROR((BI66-BC66)/(BI65-BC65),"")</f>
        <v>1</v>
      </c>
      <c r="BJ74" s="36" t="n">
        <f aca="false">IFERROR((BJ66-BD66)/(BJ65-BD65),"")</f>
        <v>0.0630252100840336</v>
      </c>
      <c r="BK74" s="36" t="n">
        <f aca="false">IFERROR((BK66-BE66)/(BK65-BE65),"")</f>
        <v>-0.8</v>
      </c>
      <c r="BL74" s="36" t="n">
        <f aca="false">IFERROR((BL66-BF66)/(BL65-BF65),"")</f>
        <v>0</v>
      </c>
      <c r="BM74" s="36" t="n">
        <f aca="false">IFERROR((BM66-BG66)/(BM65-BG65),"")</f>
        <v>1.09090909090909</v>
      </c>
      <c r="BN74" s="36" t="n">
        <f aca="false">IFERROR((BN66-BH66)/(BN65-BH65),"")</f>
        <v>0.0128205128205128</v>
      </c>
      <c r="BO74" s="36" t="n">
        <f aca="false">IFERROR((BO66-BI66)/(BO65-BI65),"")</f>
        <v>1.33333333333333</v>
      </c>
      <c r="BP74" s="36" t="n">
        <f aca="false">IFERROR((BP66-BJ66)/(BP65-BJ65),"")</f>
        <v>0.345794392523364</v>
      </c>
      <c r="BQ74" s="36" t="n">
        <f aca="false">IFERROR((BQ66-BK66)/(BQ65-BK65),"")</f>
        <v>-0.384615384615385</v>
      </c>
      <c r="BR74" s="36" t="n">
        <f aca="false">IFERROR((BR66-BL66)/(BR65-BL65),"")</f>
        <v>-0.612903225806452</v>
      </c>
      <c r="BS74" s="36" t="n">
        <f aca="false">IFERROR((BS66-BM66)/(BS65-BM65),"")</f>
        <v>-0.777777777777778</v>
      </c>
      <c r="BT74" s="38" t="n">
        <f aca="false">IFERROR((BT66-BN66)/(BT65-BN65),"")</f>
        <v>-0.166666666666667</v>
      </c>
      <c r="BU74" s="38" t="n">
        <f aca="false">IFERROR((BU66-BO66)/(BU65-BO65),"")</f>
        <v>-0.161538461538462</v>
      </c>
      <c r="BV74" s="38" t="n">
        <f aca="false">IFERROR((BV66-BP66)/(BV65-BP65),"")</f>
        <v>0.0357142857142857</v>
      </c>
      <c r="BW74" s="38" t="n">
        <f aca="false">IFERROR((BW66-BV66)/(BW65-BV65),"")</f>
        <v>0.115</v>
      </c>
      <c r="BX74" s="38" t="n">
        <f aca="false">IFERROR((BX66-BW66)/(BX65-BW65),"")</f>
        <v>0.1175</v>
      </c>
      <c r="BY74" s="38" t="n">
        <f aca="false">IFERROR((BY66-BX66)/(BY65-BX65),"")</f>
        <v>0.113055555555556</v>
      </c>
      <c r="BZ74" s="38" t="n">
        <f aca="false">IFERROR((BZ66-BY66)/(BZ65-BY65),"")</f>
        <v>0.115555555555555</v>
      </c>
      <c r="CA74" s="16"/>
      <c r="CC74" s="5"/>
      <c r="CD74" s="5"/>
      <c r="CE74" s="5"/>
    </row>
    <row r="75" customFormat="false" ht="15" hidden="false" customHeight="false" outlineLevel="0" collapsed="false">
      <c r="B75" s="20" t="s">
        <v>167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</row>
    <row r="76" customFormat="false" ht="15" hidden="false" customHeight="false" outlineLevel="0" collapsed="false">
      <c r="B76" s="1" t="s">
        <v>122</v>
      </c>
      <c r="C76" s="23" t="n">
        <v>59</v>
      </c>
      <c r="D76" s="23" t="n">
        <v>38</v>
      </c>
      <c r="E76" s="2" t="n">
        <f aca="false">D76</f>
        <v>38</v>
      </c>
      <c r="F76" s="23" t="n">
        <v>105</v>
      </c>
      <c r="G76" s="23" t="n">
        <v>80</v>
      </c>
      <c r="H76" s="2" t="n">
        <f aca="false">G76</f>
        <v>80</v>
      </c>
      <c r="I76" s="23" t="n">
        <v>103</v>
      </c>
      <c r="J76" s="23" t="n">
        <v>108</v>
      </c>
      <c r="K76" s="2" t="n">
        <f aca="false">J76</f>
        <v>108</v>
      </c>
      <c r="L76" s="23" t="n">
        <v>98</v>
      </c>
      <c r="M76" s="23" t="n">
        <v>712</v>
      </c>
      <c r="N76" s="2" t="n">
        <f aca="false">M76</f>
        <v>712</v>
      </c>
      <c r="O76" s="23" t="n">
        <v>671</v>
      </c>
      <c r="P76" s="23" t="n">
        <v>631</v>
      </c>
      <c r="Q76" s="2" t="n">
        <f aca="false">P76</f>
        <v>631</v>
      </c>
      <c r="R76" s="23" t="n">
        <v>335</v>
      </c>
      <c r="S76" s="23" t="n">
        <v>478</v>
      </c>
      <c r="T76" s="2" t="n">
        <f aca="false">S76</f>
        <v>478</v>
      </c>
      <c r="U76" s="23" t="n">
        <v>365</v>
      </c>
      <c r="V76" s="23" t="n">
        <v>405</v>
      </c>
      <c r="W76" s="2" t="n">
        <f aca="false">V76</f>
        <v>405</v>
      </c>
      <c r="X76" s="23" t="n">
        <v>425</v>
      </c>
      <c r="Y76" s="23" t="n">
        <v>339</v>
      </c>
      <c r="Z76" s="2" t="n">
        <f aca="false">Y76</f>
        <v>339</v>
      </c>
      <c r="AA76" s="23" t="n">
        <v>513</v>
      </c>
      <c r="AB76" s="23" t="n">
        <v>275</v>
      </c>
      <c r="AC76" s="2" t="n">
        <f aca="false">AB76</f>
        <v>275</v>
      </c>
      <c r="AD76" s="23" t="n">
        <v>520</v>
      </c>
      <c r="AE76" s="23" t="n">
        <v>435</v>
      </c>
      <c r="AF76" s="2" t="n">
        <f aca="false">AE76</f>
        <v>435</v>
      </c>
      <c r="AG76" s="23" t="n">
        <v>763</v>
      </c>
      <c r="AH76" s="23" t="n">
        <v>655</v>
      </c>
      <c r="AI76" s="2" t="n">
        <f aca="false">AH76</f>
        <v>655</v>
      </c>
      <c r="AJ76" s="23" t="n">
        <v>562</v>
      </c>
      <c r="AK76" s="23" t="n">
        <v>502</v>
      </c>
      <c r="AL76" s="2" t="n">
        <f aca="false">AK76</f>
        <v>502</v>
      </c>
      <c r="AM76" s="23" t="n">
        <v>754</v>
      </c>
      <c r="AN76" s="23" t="n">
        <v>592</v>
      </c>
      <c r="AO76" s="2" t="n">
        <f aca="false">AN76</f>
        <v>592</v>
      </c>
      <c r="AP76" s="23" t="n">
        <v>1499</v>
      </c>
      <c r="AQ76" s="23" t="n">
        <v>1334</v>
      </c>
      <c r="AR76" s="2" t="n">
        <f aca="false">AQ76</f>
        <v>1334</v>
      </c>
      <c r="AS76" s="23" t="n">
        <v>1369</v>
      </c>
      <c r="AT76" s="23" t="n">
        <v>1361</v>
      </c>
      <c r="AU76" s="2" t="n">
        <f aca="false">AT76</f>
        <v>1361</v>
      </c>
      <c r="AV76" s="23" t="n">
        <v>1600</v>
      </c>
      <c r="AW76" s="23" t="n">
        <v>1317</v>
      </c>
      <c r="AX76" s="2" t="n">
        <f aca="false">AW76</f>
        <v>1317</v>
      </c>
      <c r="AY76" s="23" t="n">
        <v>1332</v>
      </c>
      <c r="AZ76" s="23" t="n">
        <v>1466</v>
      </c>
      <c r="BA76" s="2" t="n">
        <f aca="false">AZ76</f>
        <v>1466</v>
      </c>
      <c r="BB76" s="23" t="n">
        <v>1905</v>
      </c>
      <c r="BC76" s="23" t="n">
        <v>1545</v>
      </c>
      <c r="BD76" s="2" t="n">
        <f aca="false">BC76</f>
        <v>1545</v>
      </c>
      <c r="BE76" s="23" t="n">
        <v>1692</v>
      </c>
      <c r="BF76" s="23" t="n">
        <v>1521</v>
      </c>
      <c r="BG76" s="2" t="n">
        <f aca="false">BF76</f>
        <v>1521</v>
      </c>
      <c r="BH76" s="23" t="n">
        <v>1887</v>
      </c>
      <c r="BI76" s="23" t="n">
        <v>1824</v>
      </c>
      <c r="BJ76" s="2" t="n">
        <f aca="false">BI76</f>
        <v>1824</v>
      </c>
      <c r="BK76" s="23" t="n">
        <v>1866</v>
      </c>
      <c r="BL76" s="23" t="n">
        <v>1838</v>
      </c>
      <c r="BM76" s="2" t="n">
        <f aca="false">BL76</f>
        <v>1838</v>
      </c>
      <c r="BN76" s="23" t="n">
        <v>1970</v>
      </c>
      <c r="BO76" s="23" t="n">
        <v>1723</v>
      </c>
      <c r="BP76" s="2" t="n">
        <f aca="false">BO76</f>
        <v>1723</v>
      </c>
      <c r="BQ76" s="23" t="n">
        <v>1672</v>
      </c>
      <c r="BR76" s="23" t="n">
        <v>1862</v>
      </c>
      <c r="BS76" s="2" t="n">
        <f aca="false">BR76</f>
        <v>1862</v>
      </c>
      <c r="BT76" s="3"/>
      <c r="BU76" s="3"/>
      <c r="BV76" s="3"/>
      <c r="BW76" s="3"/>
      <c r="BX76" s="3"/>
      <c r="BY76" s="3"/>
      <c r="BZ76" s="3"/>
      <c r="CA76" s="16"/>
      <c r="CC76" s="5"/>
      <c r="CD76" s="5"/>
      <c r="CE76" s="5"/>
    </row>
    <row r="77" customFormat="false" ht="15" hidden="false" customHeight="false" outlineLevel="0" collapsed="false">
      <c r="B77" s="1" t="s">
        <v>124</v>
      </c>
      <c r="C77" s="23" t="n">
        <v>0</v>
      </c>
      <c r="D77" s="23" t="n">
        <v>0</v>
      </c>
      <c r="E77" s="2" t="n">
        <f aca="false">D77</f>
        <v>0</v>
      </c>
      <c r="F77" s="23" t="n">
        <v>0</v>
      </c>
      <c r="G77" s="23" t="n">
        <v>0</v>
      </c>
      <c r="H77" s="2" t="n">
        <f aca="false">G77</f>
        <v>0</v>
      </c>
      <c r="I77" s="23" t="n">
        <v>0</v>
      </c>
      <c r="J77" s="23" t="n">
        <v>0</v>
      </c>
      <c r="K77" s="2" t="n">
        <f aca="false">J77</f>
        <v>0</v>
      </c>
      <c r="L77" s="23" t="n">
        <v>0</v>
      </c>
      <c r="M77" s="23" t="n">
        <v>661</v>
      </c>
      <c r="N77" s="2" t="n">
        <f aca="false">M77</f>
        <v>661</v>
      </c>
      <c r="O77" s="23" t="n">
        <v>633</v>
      </c>
      <c r="P77" s="23" t="n">
        <v>315</v>
      </c>
      <c r="Q77" s="2" t="n">
        <f aca="false">P77</f>
        <v>315</v>
      </c>
      <c r="R77" s="23" t="n">
        <v>518</v>
      </c>
      <c r="S77" s="23" t="n">
        <v>314</v>
      </c>
      <c r="T77" s="2" t="n">
        <f aca="false">S77</f>
        <v>314</v>
      </c>
      <c r="U77" s="23" t="n">
        <v>394</v>
      </c>
      <c r="V77" s="23" t="n">
        <v>327</v>
      </c>
      <c r="W77" s="2" t="n">
        <f aca="false">V77</f>
        <v>327</v>
      </c>
      <c r="X77" s="23" t="n">
        <v>321</v>
      </c>
      <c r="Y77" s="23" t="n">
        <v>380</v>
      </c>
      <c r="Z77" s="2" t="n">
        <f aca="false">Y77</f>
        <v>380</v>
      </c>
      <c r="AA77" s="23" t="n">
        <v>500</v>
      </c>
      <c r="AB77" s="23" t="n">
        <v>855</v>
      </c>
      <c r="AC77" s="2" t="n">
        <f aca="false">AB77</f>
        <v>855</v>
      </c>
      <c r="AD77" s="23" t="n">
        <v>570</v>
      </c>
      <c r="AE77" s="23" t="n">
        <v>538</v>
      </c>
      <c r="AF77" s="2" t="n">
        <f aca="false">AE77</f>
        <v>538</v>
      </c>
      <c r="AG77" s="23" t="n">
        <v>483</v>
      </c>
      <c r="AH77" s="23" t="n">
        <v>554</v>
      </c>
      <c r="AI77" s="2" t="n">
        <f aca="false">AH77</f>
        <v>554</v>
      </c>
      <c r="AJ77" s="23" t="n">
        <v>556</v>
      </c>
      <c r="AK77" s="23" t="n">
        <v>646</v>
      </c>
      <c r="AL77" s="2" t="n">
        <f aca="false">AK77</f>
        <v>646</v>
      </c>
      <c r="AM77" s="23" t="n">
        <v>304</v>
      </c>
      <c r="AN77" s="23" t="n">
        <v>432</v>
      </c>
      <c r="AO77" s="2" t="n">
        <f aca="false">AN77</f>
        <v>432</v>
      </c>
      <c r="AP77" s="23" t="n">
        <v>3967</v>
      </c>
      <c r="AQ77" s="23" t="n">
        <v>3789</v>
      </c>
      <c r="AR77" s="2" t="n">
        <f aca="false">AQ77</f>
        <v>3789</v>
      </c>
      <c r="AS77" s="23" t="n">
        <v>3415</v>
      </c>
      <c r="AT77" s="23" t="n">
        <v>3289</v>
      </c>
      <c r="AU77" s="2" t="n">
        <f aca="false">AT77</f>
        <v>3289</v>
      </c>
      <c r="AV77" s="23" t="n">
        <v>3746</v>
      </c>
      <c r="AW77" s="23" t="n">
        <v>3622</v>
      </c>
      <c r="AX77" s="2" t="n">
        <f aca="false">AW77</f>
        <v>3622</v>
      </c>
      <c r="AY77" s="23" t="n">
        <v>3390</v>
      </c>
      <c r="AZ77" s="23" t="n">
        <v>3004</v>
      </c>
      <c r="BA77" s="2" t="n">
        <f aca="false">AZ77</f>
        <v>3004</v>
      </c>
      <c r="BB77" s="23" t="n">
        <v>3499</v>
      </c>
      <c r="BC77" s="23" t="n">
        <v>3590</v>
      </c>
      <c r="BD77" s="2" t="n">
        <f aca="false">BC77</f>
        <v>3590</v>
      </c>
      <c r="BE77" s="23" t="n">
        <v>3328</v>
      </c>
      <c r="BF77" s="23" t="n">
        <v>3392</v>
      </c>
      <c r="BG77" s="2" t="n">
        <f aca="false">BF77</f>
        <v>3392</v>
      </c>
      <c r="BH77" s="23" t="n">
        <v>3882</v>
      </c>
      <c r="BI77" s="23" t="n">
        <v>4292</v>
      </c>
      <c r="BJ77" s="2" t="n">
        <f aca="false">BI77</f>
        <v>4292</v>
      </c>
      <c r="BK77" s="23" t="n">
        <v>4075</v>
      </c>
      <c r="BL77" s="23" t="n">
        <v>4093</v>
      </c>
      <c r="BM77" s="2" t="n">
        <f aca="false">BL77</f>
        <v>4093</v>
      </c>
      <c r="BN77" s="23" t="n">
        <v>4157</v>
      </c>
      <c r="BO77" s="23" t="n">
        <v>3710</v>
      </c>
      <c r="BP77" s="2" t="n">
        <f aca="false">BO77</f>
        <v>3710</v>
      </c>
      <c r="BQ77" s="23" t="n">
        <v>3637</v>
      </c>
      <c r="BR77" s="23" t="n">
        <v>3619</v>
      </c>
      <c r="BS77" s="2" t="n">
        <f aca="false">BR77</f>
        <v>3619</v>
      </c>
      <c r="BT77" s="3"/>
      <c r="BU77" s="3"/>
      <c r="BV77" s="3"/>
      <c r="BW77" s="3"/>
      <c r="BX77" s="3"/>
      <c r="BY77" s="3"/>
      <c r="BZ77" s="3"/>
      <c r="CA77" s="16"/>
      <c r="CC77" s="5"/>
      <c r="CD77" s="5"/>
      <c r="CE77" s="5"/>
    </row>
    <row r="78" customFormat="false" ht="15" hidden="false" customHeight="false" outlineLevel="0" collapsed="false">
      <c r="B78" s="26" t="s">
        <v>126</v>
      </c>
      <c r="C78" s="28" t="n">
        <f aca="false">C76+C77</f>
        <v>59</v>
      </c>
      <c r="D78" s="28" t="n">
        <f aca="false">D76+D77</f>
        <v>38</v>
      </c>
      <c r="E78" s="28" t="n">
        <f aca="false">E76+E77</f>
        <v>38</v>
      </c>
      <c r="F78" s="28" t="n">
        <f aca="false">F76+F77</f>
        <v>105</v>
      </c>
      <c r="G78" s="28" t="n">
        <f aca="false">G76+G77</f>
        <v>80</v>
      </c>
      <c r="H78" s="28" t="n">
        <f aca="false">H76+H77</f>
        <v>80</v>
      </c>
      <c r="I78" s="28" t="n">
        <f aca="false">I76+I77</f>
        <v>103</v>
      </c>
      <c r="J78" s="28" t="n">
        <f aca="false">J76+J77</f>
        <v>108</v>
      </c>
      <c r="K78" s="28" t="n">
        <f aca="false">K76+K77</f>
        <v>108</v>
      </c>
      <c r="L78" s="28" t="n">
        <f aca="false">L76+L77</f>
        <v>98</v>
      </c>
      <c r="M78" s="28" t="n">
        <f aca="false">M76+M77</f>
        <v>1373</v>
      </c>
      <c r="N78" s="28" t="n">
        <f aca="false">N76+N77</f>
        <v>1373</v>
      </c>
      <c r="O78" s="28" t="n">
        <f aca="false">O76+O77</f>
        <v>1304</v>
      </c>
      <c r="P78" s="28" t="n">
        <f aca="false">P76+P77</f>
        <v>946</v>
      </c>
      <c r="Q78" s="28" t="n">
        <f aca="false">Q76+Q77</f>
        <v>946</v>
      </c>
      <c r="R78" s="28" t="n">
        <f aca="false">R76+R77</f>
        <v>853</v>
      </c>
      <c r="S78" s="28" t="n">
        <f aca="false">S76+S77</f>
        <v>792</v>
      </c>
      <c r="T78" s="28" t="n">
        <f aca="false">T76+T77</f>
        <v>792</v>
      </c>
      <c r="U78" s="28" t="n">
        <f aca="false">U76+U77</f>
        <v>759</v>
      </c>
      <c r="V78" s="28" t="n">
        <f aca="false">V76+V77</f>
        <v>732</v>
      </c>
      <c r="W78" s="28" t="n">
        <f aca="false">W76+W77</f>
        <v>732</v>
      </c>
      <c r="X78" s="28" t="n">
        <f aca="false">X76+X77</f>
        <v>746</v>
      </c>
      <c r="Y78" s="28" t="n">
        <f aca="false">Y76+Y77</f>
        <v>719</v>
      </c>
      <c r="Z78" s="28" t="n">
        <f aca="false">Z76+Z77</f>
        <v>719</v>
      </c>
      <c r="AA78" s="28" t="n">
        <f aca="false">AA76+AA77</f>
        <v>1013</v>
      </c>
      <c r="AB78" s="28" t="n">
        <f aca="false">AB76+AB77</f>
        <v>1130</v>
      </c>
      <c r="AC78" s="28" t="n">
        <f aca="false">AC76+AC77</f>
        <v>1130</v>
      </c>
      <c r="AD78" s="28" t="n">
        <f aca="false">AD76+AD77</f>
        <v>1090</v>
      </c>
      <c r="AE78" s="28" t="n">
        <f aca="false">AE76+AE77</f>
        <v>973</v>
      </c>
      <c r="AF78" s="28" t="n">
        <f aca="false">AF76+AF77</f>
        <v>973</v>
      </c>
      <c r="AG78" s="28" t="n">
        <f aca="false">AG76+AG77</f>
        <v>1246</v>
      </c>
      <c r="AH78" s="28" t="n">
        <f aca="false">AH76+AH77</f>
        <v>1209</v>
      </c>
      <c r="AI78" s="28" t="n">
        <f aca="false">AI76+AI77</f>
        <v>1209</v>
      </c>
      <c r="AJ78" s="28" t="n">
        <f aca="false">AJ76+AJ77</f>
        <v>1118</v>
      </c>
      <c r="AK78" s="28" t="n">
        <f aca="false">AK76+AK77</f>
        <v>1148</v>
      </c>
      <c r="AL78" s="28" t="n">
        <f aca="false">AL76+AL77</f>
        <v>1148</v>
      </c>
      <c r="AM78" s="28" t="n">
        <f aca="false">AM76+AM77</f>
        <v>1058</v>
      </c>
      <c r="AN78" s="28" t="n">
        <f aca="false">AN76+AN77</f>
        <v>1024</v>
      </c>
      <c r="AO78" s="28" t="n">
        <f aca="false">AO76+AO77</f>
        <v>1024</v>
      </c>
      <c r="AP78" s="28" t="n">
        <f aca="false">AP76+AP77</f>
        <v>5466</v>
      </c>
      <c r="AQ78" s="28" t="n">
        <f aca="false">AQ76+AQ77</f>
        <v>5123</v>
      </c>
      <c r="AR78" s="28" t="n">
        <f aca="false">AR76+AR77</f>
        <v>5123</v>
      </c>
      <c r="AS78" s="28" t="n">
        <f aca="false">AS76+AS77</f>
        <v>4784</v>
      </c>
      <c r="AT78" s="28" t="n">
        <f aca="false">AT76+AT77</f>
        <v>4650</v>
      </c>
      <c r="AU78" s="28" t="n">
        <f aca="false">AU76+AU77</f>
        <v>4650</v>
      </c>
      <c r="AV78" s="28" t="n">
        <f aca="false">AV76+AV77</f>
        <v>5346</v>
      </c>
      <c r="AW78" s="28" t="n">
        <f aca="false">AW76+AW77</f>
        <v>4939</v>
      </c>
      <c r="AX78" s="28" t="n">
        <f aca="false">AX76+AX77</f>
        <v>4939</v>
      </c>
      <c r="AY78" s="28" t="n">
        <f aca="false">AY76+AY77</f>
        <v>4722</v>
      </c>
      <c r="AZ78" s="28" t="n">
        <f aca="false">AZ76+AZ77</f>
        <v>4470</v>
      </c>
      <c r="BA78" s="28" t="n">
        <f aca="false">BA76+BA77</f>
        <v>4470</v>
      </c>
      <c r="BB78" s="28" t="n">
        <f aca="false">BB76+BB77</f>
        <v>5404</v>
      </c>
      <c r="BC78" s="28" t="n">
        <f aca="false">BC76+BC77</f>
        <v>5135</v>
      </c>
      <c r="BD78" s="28" t="n">
        <f aca="false">BD76+BD77</f>
        <v>5135</v>
      </c>
      <c r="BE78" s="28" t="n">
        <f aca="false">BE76+BE77</f>
        <v>5020</v>
      </c>
      <c r="BF78" s="28" t="n">
        <f aca="false">BF76+BF77</f>
        <v>4913</v>
      </c>
      <c r="BG78" s="28" t="n">
        <f aca="false">BG76+BG77</f>
        <v>4913</v>
      </c>
      <c r="BH78" s="28" t="n">
        <f aca="false">BH76+BH77</f>
        <v>5769</v>
      </c>
      <c r="BI78" s="28" t="n">
        <f aca="false">BI76+BI77</f>
        <v>6116</v>
      </c>
      <c r="BJ78" s="28" t="n">
        <f aca="false">BJ76+BJ77</f>
        <v>6116</v>
      </c>
      <c r="BK78" s="28" t="n">
        <f aca="false">BK76+BK77</f>
        <v>5941</v>
      </c>
      <c r="BL78" s="28" t="n">
        <f aca="false">BL76+BL77</f>
        <v>5931</v>
      </c>
      <c r="BM78" s="28" t="n">
        <f aca="false">BM76+BM77</f>
        <v>5931</v>
      </c>
      <c r="BN78" s="28" t="n">
        <f aca="false">BN76+BN77</f>
        <v>6127</v>
      </c>
      <c r="BO78" s="28" t="n">
        <f aca="false">BO76+BO77</f>
        <v>5433</v>
      </c>
      <c r="BP78" s="28" t="n">
        <f aca="false">BP76+BP77</f>
        <v>5433</v>
      </c>
      <c r="BQ78" s="28" t="n">
        <f aca="false">BQ76+BQ77</f>
        <v>5309</v>
      </c>
      <c r="BR78" s="28" t="n">
        <f aca="false">BR76+BR77</f>
        <v>5481</v>
      </c>
      <c r="BS78" s="28" t="n">
        <f aca="false">BS76+BS77</f>
        <v>5481</v>
      </c>
      <c r="BT78" s="29" t="n">
        <f aca="false">BR78+BT79-BT65</f>
        <v>5481</v>
      </c>
      <c r="BU78" s="29" t="n">
        <f aca="false">BT78+BU79-BU65</f>
        <v>5481</v>
      </c>
      <c r="BV78" s="29" t="n">
        <f aca="false">BU78</f>
        <v>5481</v>
      </c>
      <c r="BW78" s="29" t="n">
        <f aca="false">BV78+BW79-BW65</f>
        <v>5481</v>
      </c>
      <c r="BX78" s="29" t="n">
        <f aca="false">BW78+BX79-BX65</f>
        <v>5481</v>
      </c>
      <c r="BY78" s="29" t="n">
        <f aca="false">BX78+BY79-BY65</f>
        <v>5481</v>
      </c>
      <c r="BZ78" s="29" t="n">
        <f aca="false">BY78+BZ79-BZ65</f>
        <v>5481</v>
      </c>
      <c r="CA78" s="16" t="s">
        <v>127</v>
      </c>
      <c r="CC78" s="30" t="n">
        <f aca="false">IFERROR((BZ78/BP78)^(1/5)-1,"n/m")</f>
        <v>0.00176076803371372</v>
      </c>
      <c r="CD78" s="30" t="n">
        <f aca="false">IFERROR((BP78/AL78)^(1/5)-1,"n/m")</f>
        <v>0.364644607504229</v>
      </c>
      <c r="CE78" s="30" t="n">
        <f aca="false">IFERROR((BP78/H78)^(1/10)-1,"n/m")</f>
        <v>0.524737114382037</v>
      </c>
    </row>
    <row r="79" customFormat="false" ht="15" hidden="false" customHeight="false" outlineLevel="0" collapsed="false">
      <c r="B79" s="1" t="s">
        <v>128</v>
      </c>
      <c r="C79" s="2"/>
      <c r="D79" s="2" t="n">
        <f aca="false">IF(AND(ISNUMBER(D78),ISNUMBER(C78)),D78-C78+D65,"")</f>
        <v>14</v>
      </c>
      <c r="E79" s="2" t="str">
        <f aca="false">IF(AND(ISNUMBER(C79),ISNUMBER(D79)),C79+D79,"")</f>
        <v/>
      </c>
      <c r="F79" s="2" t="n">
        <f aca="false">IF(AND(ISNUMBER(F78),ISNUMBER(D78)),F78-D78+F65,"")</f>
        <v>97</v>
      </c>
      <c r="G79" s="2" t="n">
        <f aca="false">IF(AND(ISNUMBER(G78),ISNUMBER(F78)),G78-F78+G65,"")</f>
        <v>129</v>
      </c>
      <c r="H79" s="2"/>
      <c r="I79" s="2" t="n">
        <f aca="false">IF(AND(ISNUMBER(I78),ISNUMBER(G78)),I78-G78+I65,"")</f>
        <v>231</v>
      </c>
      <c r="J79" s="2" t="n">
        <f aca="false">IF(AND(ISNUMBER(J78),ISNUMBER(I78)),J78-I78+J65,"")</f>
        <v>148</v>
      </c>
      <c r="K79" s="2" t="n">
        <f aca="false">IF(AND(ISNUMBER(I79),ISNUMBER(J79)),I79+J79,"")</f>
        <v>379</v>
      </c>
      <c r="L79" s="2" t="n">
        <f aca="false">IF(AND(ISNUMBER(L78),ISNUMBER(J78)),L78-J78+L65,"")</f>
        <v>144</v>
      </c>
      <c r="M79" s="2" t="n">
        <f aca="false">IF(AND(ISNUMBER(M78),ISNUMBER(L78)),M78-L78+M65,"")</f>
        <v>1461</v>
      </c>
      <c r="N79" s="2" t="n">
        <f aca="false">IF(AND(ISNUMBER(N78),ISNUMBER(H78)),N78-H78+N65,"")</f>
        <v>1984</v>
      </c>
      <c r="O79" s="2" t="n">
        <f aca="false">IF(AND(ISNUMBER(O78),ISNUMBER(M78)),O78-M78+O65,"")</f>
        <v>156</v>
      </c>
      <c r="P79" s="2" t="n">
        <f aca="false">IF(AND(ISNUMBER(P78),ISNUMBER(O78)),P78-O78+P65,"")</f>
        <v>-114</v>
      </c>
      <c r="Q79" s="2" t="n">
        <f aca="false">IF(AND(ISNUMBER(O79),ISNUMBER(P79)),O79+P79,"")</f>
        <v>42</v>
      </c>
      <c r="R79" s="2" t="n">
        <f aca="false">IF(AND(ISNUMBER(R78),ISNUMBER(P78)),R78-P78+R65,"")</f>
        <v>148</v>
      </c>
      <c r="S79" s="2" t="n">
        <f aca="false">IF(AND(ISNUMBER(S78),ISNUMBER(R78)),S78-R78+S65,"")</f>
        <v>181</v>
      </c>
      <c r="T79" s="2" t="n">
        <f aca="false">IF(AND(ISNUMBER(T78),ISNUMBER(N78)),T78-N78+T65,"")</f>
        <v>371</v>
      </c>
      <c r="U79" s="2" t="n">
        <f aca="false">IF(AND(ISNUMBER(U78),ISNUMBER(S78)),U78-S78+U65,"")</f>
        <v>200</v>
      </c>
      <c r="V79" s="2" t="n">
        <f aca="false">IF(AND(ISNUMBER(V78),ISNUMBER(U78)),V78-U78+V65,"")</f>
        <v>216</v>
      </c>
      <c r="W79" s="2" t="n">
        <f aca="false">IF(AND(ISNUMBER(U79),ISNUMBER(V79)),U79+V79,"")</f>
        <v>416</v>
      </c>
      <c r="X79" s="2" t="n">
        <f aca="false">IF(AND(ISNUMBER(X78),ISNUMBER(V78)),X78-V78+X65,"")</f>
        <v>259</v>
      </c>
      <c r="Y79" s="2" t="n">
        <f aca="false">IF(AND(ISNUMBER(Y78),ISNUMBER(X78)),Y78-X78+Y65,"")</f>
        <v>158</v>
      </c>
      <c r="Z79" s="2" t="n">
        <f aca="false">IF(AND(ISNUMBER(Z78),ISNUMBER(T78)),Z78-T78+Z65,"")</f>
        <v>833</v>
      </c>
      <c r="AA79" s="2" t="n">
        <f aca="false">IF(AND(ISNUMBER(AA78),ISNUMBER(Y78)),AA78-Y78+AA65,"")</f>
        <v>534</v>
      </c>
      <c r="AB79" s="2" t="n">
        <f aca="false">IF(AND(ISNUMBER(AB78),ISNUMBER(AA78)),AB78-AA78+AB65,"")</f>
        <v>438</v>
      </c>
      <c r="AC79" s="2" t="n">
        <f aca="false">IF(AND(ISNUMBER(AA79),ISNUMBER(AB79)),AA79+AB79,"")</f>
        <v>972</v>
      </c>
      <c r="AD79" s="2" t="n">
        <f aca="false">IF(AND(ISNUMBER(AD78),ISNUMBER(AB78)),AD78-AB78+AD65,"")</f>
        <v>286</v>
      </c>
      <c r="AE79" s="2" t="n">
        <f aca="false">IF(AND(ISNUMBER(AE78),ISNUMBER(AD78)),AE78-AD78+AE65,"")</f>
        <v>233</v>
      </c>
      <c r="AF79" s="2" t="n">
        <f aca="false">IF(AND(ISNUMBER(AF78),ISNUMBER(Z78)),AF78-Z78+AF65,"")</f>
        <v>1491</v>
      </c>
      <c r="AG79" s="2" t="n">
        <f aca="false">IF(AND(ISNUMBER(AG78),ISNUMBER(AE78)),AG78-AE78+AG65,"")</f>
        <v>590</v>
      </c>
      <c r="AH79" s="2" t="n">
        <f aca="false">IF(AND(ISNUMBER(AH78),ISNUMBER(AG78)),AH78-AG78+AH65,"")</f>
        <v>283</v>
      </c>
      <c r="AI79" s="2" t="n">
        <f aca="false">IF(AND(ISNUMBER(AG79),ISNUMBER(AH79)),AG79+AH79,"")</f>
        <v>873</v>
      </c>
      <c r="AJ79" s="2" t="n">
        <f aca="false">IF(AND(ISNUMBER(AJ78),ISNUMBER(AH78)),AJ78-AH78+AJ65,"")</f>
        <v>229</v>
      </c>
      <c r="AK79" s="2" t="n">
        <f aca="false">IF(AND(ISNUMBER(AK78),ISNUMBER(AJ78)),AK78-AJ78+AK65,"")</f>
        <v>341</v>
      </c>
      <c r="AL79" s="2" t="n">
        <f aca="false">IF(AND(ISNUMBER(AL78),ISNUMBER(AF78)),AL78-AF78+AL65,"")</f>
        <v>1443</v>
      </c>
      <c r="AM79" s="2" t="n">
        <f aca="false">IF(AND(ISNUMBER(AM78),ISNUMBER(AK78)),AM78-AK78+AM65,"")</f>
        <v>169</v>
      </c>
      <c r="AN79" s="2" t="n">
        <f aca="false">IF(AND(ISNUMBER(AN78),ISNUMBER(AM78)),AN78-AM78+AN65,"")</f>
        <v>203</v>
      </c>
      <c r="AO79" s="2" t="n">
        <f aca="false">IF(AND(ISNUMBER(AM79),ISNUMBER(AN79)),AM79+AN79,"")</f>
        <v>372</v>
      </c>
      <c r="AP79" s="2" t="n">
        <f aca="false">IF(AND(ISNUMBER(AP78),ISNUMBER(AN78)),AP78-AN78+AP65,"")</f>
        <v>4836</v>
      </c>
      <c r="AQ79" s="2" t="n">
        <f aca="false">IF(AND(ISNUMBER(AQ78),ISNUMBER(AP78)),AQ78-AP78+AQ65,"")</f>
        <v>243</v>
      </c>
      <c r="AR79" s="2" t="n">
        <f aca="false">IF(AND(ISNUMBER(AR78),ISNUMBER(AL78)),AR78-AL78+AR65,"")</f>
        <v>5451</v>
      </c>
      <c r="AS79" s="2" t="n">
        <f aca="false">IF(AND(ISNUMBER(AS78),ISNUMBER(AQ78)),AS78-AQ78+AS65,"")</f>
        <v>251</v>
      </c>
      <c r="AT79" s="2" t="n">
        <f aca="false">IF(AND(ISNUMBER(AT78),ISNUMBER(AS78)),AT78-AS78+AT65,"")</f>
        <v>466</v>
      </c>
      <c r="AU79" s="2" t="n">
        <f aca="false">IF(AND(ISNUMBER(AS79),ISNUMBER(AT79)),AS79+AT79,"")</f>
        <v>717</v>
      </c>
      <c r="AV79" s="2" t="n">
        <f aca="false">IF(AND(ISNUMBER(AV78),ISNUMBER(AT78)),AV78-AT78+AV65,"")</f>
        <v>1291</v>
      </c>
      <c r="AW79" s="2" t="n">
        <f aca="false">IF(AND(ISNUMBER(AW78),ISNUMBER(AV78)),AW78-AV78+AW65,"")</f>
        <v>195</v>
      </c>
      <c r="AX79" s="2" t="n">
        <f aca="false">IF(AND(ISNUMBER(AX78),ISNUMBER(AR78)),AX78-AR78+AX65,"")</f>
        <v>2203</v>
      </c>
      <c r="AY79" s="2" t="n">
        <f aca="false">IF(AND(ISNUMBER(AY78),ISNUMBER(AW78)),AY78-AW78+AY65,"")</f>
        <v>407</v>
      </c>
      <c r="AZ79" s="2" t="n">
        <f aca="false">IF(AND(ISNUMBER(AZ78),ISNUMBER(AY78)),AZ78-AY78+AZ65,"")</f>
        <v>393</v>
      </c>
      <c r="BA79" s="2" t="n">
        <f aca="false">IF(AND(ISNUMBER(AY79),ISNUMBER(AZ79)),AY79+AZ79,"")</f>
        <v>800</v>
      </c>
      <c r="BB79" s="2" t="n">
        <f aca="false">IF(AND(ISNUMBER(BB78),ISNUMBER(AZ78)),BB78-AZ78+BB65,"")</f>
        <v>1619</v>
      </c>
      <c r="BC79" s="2" t="n">
        <f aca="false">IF(AND(ISNUMBER(BC78),ISNUMBER(BB78)),BC78-BB78+BC65,"")</f>
        <v>476</v>
      </c>
      <c r="BD79" s="2" t="n">
        <f aca="false">IF(AND(ISNUMBER(BD78),ISNUMBER(AX78)),BD78-AX78+BD65,"")</f>
        <v>2895</v>
      </c>
      <c r="BE79" s="2" t="n">
        <f aca="false">IF(AND(ISNUMBER(BE78),ISNUMBER(BC78)),BE78-BC78+BE65,"")</f>
        <v>635</v>
      </c>
      <c r="BF79" s="2" t="n">
        <f aca="false">IF(AND(ISNUMBER(BF78),ISNUMBER(BE78)),BF78-BE78+BF65,"")</f>
        <v>658</v>
      </c>
      <c r="BG79" s="2" t="n">
        <f aca="false">IF(AND(ISNUMBER(BE79),ISNUMBER(BF79)),BE79+BF79,"")</f>
        <v>1293</v>
      </c>
      <c r="BH79" s="2" t="n">
        <f aca="false">IF(AND(ISNUMBER(BH78),ISNUMBER(BF78)),BH78-BF78+BH65,"")</f>
        <v>1565</v>
      </c>
      <c r="BI79" s="2" t="n">
        <f aca="false">IF(AND(ISNUMBER(BI78),ISNUMBER(BH78)),BI78-BH78+BI65,"")</f>
        <v>1060</v>
      </c>
      <c r="BJ79" s="2" t="n">
        <f aca="false">IF(AND(ISNUMBER(BJ78),ISNUMBER(BD78)),BJ78-BD78+BJ65,"")</f>
        <v>3918</v>
      </c>
      <c r="BK79" s="2" t="n">
        <f aca="false">IF(AND(ISNUMBER(BK78),ISNUMBER(BI78)),BK78-BI78+BK65,"")</f>
        <v>560</v>
      </c>
      <c r="BL79" s="2" t="n">
        <f aca="false">IF(AND(ISNUMBER(BL78),ISNUMBER(BK78)),BL78-BK78+BL65,"")</f>
        <v>781</v>
      </c>
      <c r="BM79" s="2" t="n">
        <f aca="false">IF(AND(ISNUMBER(BK79),ISNUMBER(BL79)),BK79+BL79,"")</f>
        <v>1341</v>
      </c>
      <c r="BN79" s="2" t="n">
        <f aca="false">IF(AND(ISNUMBER(BN78),ISNUMBER(BL78)),BN78-BL78+BN65,"")</f>
        <v>983</v>
      </c>
      <c r="BO79" s="2" t="n">
        <f aca="false">IF(AND(ISNUMBER(BO78),ISNUMBER(BN78)),BO78-BN78+BO65,"")</f>
        <v>37</v>
      </c>
      <c r="BP79" s="2" t="n">
        <f aca="false">IF(AND(ISNUMBER(BP78),ISNUMBER(BJ78)),BP78-BJ78+BP65,"")</f>
        <v>2361</v>
      </c>
      <c r="BQ79" s="2" t="n">
        <f aca="false">IF(AND(ISNUMBER(BQ78),ISNUMBER(BO78)),BQ78-BO78+BQ65,"")</f>
        <v>624</v>
      </c>
      <c r="BR79" s="2" t="n">
        <f aca="false">IF(AND(ISNUMBER(BR78),ISNUMBER(BQ78)),BR78-BQ78+BR65,"")</f>
        <v>932</v>
      </c>
      <c r="BS79" s="2" t="n">
        <f aca="false">IF(AND(ISNUMBER(BQ79),ISNUMBER(BR79)),BQ79+BR79,"")</f>
        <v>1556</v>
      </c>
      <c r="BT79" s="3" t="n">
        <f aca="false">BT65*BT80</f>
        <v>796</v>
      </c>
      <c r="BU79" s="3" t="n">
        <f aca="false">BU65*BU80</f>
        <v>796</v>
      </c>
      <c r="BV79" s="3" t="n">
        <f aca="false">SUM(BQ79,BR79,BT79,BU79)</f>
        <v>3148</v>
      </c>
      <c r="BW79" s="3" t="n">
        <f aca="false">BW65*BW80</f>
        <v>3224</v>
      </c>
      <c r="BX79" s="3" t="n">
        <f aca="false">BX65*BX80</f>
        <v>3352.96</v>
      </c>
      <c r="BY79" s="3" t="n">
        <f aca="false">BY65*BY80</f>
        <v>3503.8432</v>
      </c>
      <c r="BZ79" s="3" t="n">
        <f aca="false">BZ65*BZ80</f>
        <v>3661.516144</v>
      </c>
      <c r="CA79" s="16" t="s">
        <v>129</v>
      </c>
      <c r="CC79" s="5"/>
      <c r="CD79" s="5"/>
      <c r="CE79" s="5"/>
    </row>
    <row r="80" customFormat="false" ht="15" hidden="false" customHeight="false" outlineLevel="0" collapsed="false">
      <c r="B80" s="35" t="s">
        <v>132</v>
      </c>
      <c r="C80" s="43" t="str">
        <f aca="false">IF(ISNUMBER(C79),IFERROR(C79/C65,""),"")</f>
        <v/>
      </c>
      <c r="D80" s="43" t="n">
        <f aca="false">IF(ISNUMBER(D79),IFERROR(D79/D65,""),"")</f>
        <v>0.4</v>
      </c>
      <c r="E80" s="43" t="str">
        <f aca="false">IF(ISNUMBER(E79),IFERROR(E79/E65,""),"")</f>
        <v/>
      </c>
      <c r="F80" s="43" t="n">
        <f aca="false">IF(ISNUMBER(F79),IFERROR(F79/F65,""),"")</f>
        <v>3.23333333333333</v>
      </c>
      <c r="G80" s="43" t="n">
        <f aca="false">IF(ISNUMBER(G79),IFERROR(G79/G65,""),"")</f>
        <v>0.837662337662338</v>
      </c>
      <c r="H80" s="43" t="str">
        <f aca="false">IF(ISNUMBER(H79),IFERROR(H79/H65,""),"")</f>
        <v/>
      </c>
      <c r="I80" s="43" t="n">
        <f aca="false">IF(ISNUMBER(I79),IFERROR(I79/I65,""),"")</f>
        <v>1.11057692307692</v>
      </c>
      <c r="J80" s="43" t="n">
        <f aca="false">IF(ISNUMBER(J79),IFERROR(J79/J65,""),"")</f>
        <v>1.03496503496504</v>
      </c>
      <c r="K80" s="43" t="n">
        <f aca="false">IF(ISNUMBER(K79),IFERROR(K79/K65,""),"")</f>
        <v>1.07977207977208</v>
      </c>
      <c r="L80" s="43" t="n">
        <f aca="false">IF(ISNUMBER(L79),IFERROR(L79/L65,""),"")</f>
        <v>0.935064935064935</v>
      </c>
      <c r="M80" s="43" t="n">
        <f aca="false">IF(ISNUMBER(M79),IFERROR(M79/M65,""),"")</f>
        <v>7.85483870967742</v>
      </c>
      <c r="N80" s="43" t="n">
        <f aca="false">IF(ISNUMBER(N79),IFERROR(N79/N65,""),"")</f>
        <v>2.8712011577424</v>
      </c>
      <c r="O80" s="43" t="n">
        <f aca="false">IF(ISNUMBER(O79),IFERROR(O79/O65,""),"")</f>
        <v>0.693333333333333</v>
      </c>
      <c r="P80" s="43" t="n">
        <f aca="false">IF(ISNUMBER(P79),IFERROR(P79/P65,""),"")</f>
        <v>-0.467213114754098</v>
      </c>
      <c r="Q80" s="43" t="n">
        <f aca="false">IF(ISNUMBER(Q79),IFERROR(Q79/Q65,""),"")</f>
        <v>0.0895522388059701</v>
      </c>
      <c r="R80" s="43" t="n">
        <f aca="false">IF(ISNUMBER(R79),IFERROR(R79/R65,""),"")</f>
        <v>0.614107883817427</v>
      </c>
      <c r="S80" s="43" t="n">
        <f aca="false">IF(ISNUMBER(S79),IFERROR(S79/S65,""),"")</f>
        <v>0.747933884297521</v>
      </c>
      <c r="T80" s="43" t="n">
        <f aca="false">IF(ISNUMBER(T79),IFERROR(T79/T65,""),"")</f>
        <v>0.389705882352941</v>
      </c>
      <c r="U80" s="43" t="n">
        <f aca="false">IF(ISNUMBER(U79),IFERROR(U79/U65,""),"")</f>
        <v>0.858369098712446</v>
      </c>
      <c r="V80" s="43" t="n">
        <f aca="false">IF(ISNUMBER(V79),IFERROR(V79/V65,""),"")</f>
        <v>0.888888888888889</v>
      </c>
      <c r="W80" s="43" t="n">
        <f aca="false">IF(ISNUMBER(W79),IFERROR(W79/W65,""),"")</f>
        <v>0.873949579831933</v>
      </c>
      <c r="X80" s="43" t="n">
        <f aca="false">IF(ISNUMBER(X79),IFERROR(X79/X65,""),"")</f>
        <v>1.05714285714286</v>
      </c>
      <c r="Y80" s="43" t="n">
        <f aca="false">IF(ISNUMBER(Y79),IFERROR(Y79/Y65,""),"")</f>
        <v>0.854054054054054</v>
      </c>
      <c r="Z80" s="43" t="n">
        <f aca="false">IF(ISNUMBER(Z79),IFERROR(Z79/Z65,""),"")</f>
        <v>0.919426048565121</v>
      </c>
      <c r="AA80" s="43" t="n">
        <f aca="false">IF(ISNUMBER(AA79),IFERROR(AA79/AA65,""),"")</f>
        <v>2.225</v>
      </c>
      <c r="AB80" s="43" t="n">
        <f aca="false">IF(ISNUMBER(AB79),IFERROR(AB79/AB65,""),"")</f>
        <v>1.36448598130841</v>
      </c>
      <c r="AC80" s="43" t="n">
        <f aca="false">IF(ISNUMBER(AC79),IFERROR(AC79/AC65,""),"")</f>
        <v>1.73262032085562</v>
      </c>
      <c r="AD80" s="43" t="n">
        <f aca="false">IF(ISNUMBER(AD79),IFERROR(AD79/AD65,""),"")</f>
        <v>0.877300613496933</v>
      </c>
      <c r="AE80" s="43" t="n">
        <f aca="false">IF(ISNUMBER(AE79),IFERROR(AE79/AE65,""),"")</f>
        <v>0.665714285714286</v>
      </c>
      <c r="AF80" s="43" t="n">
        <f aca="false">IF(ISNUMBER(AF79),IFERROR(AF79/AF65,""),"")</f>
        <v>1.2053354890865</v>
      </c>
      <c r="AG80" s="43" t="n">
        <f aca="false">IF(ISNUMBER(AG79),IFERROR(AG79/AG65,""),"")</f>
        <v>1.86119873817035</v>
      </c>
      <c r="AH80" s="43" t="n">
        <f aca="false">IF(ISNUMBER(AH79),IFERROR(AH79/AH65,""),"")</f>
        <v>0.884375</v>
      </c>
      <c r="AI80" s="43" t="n">
        <f aca="false">IF(ISNUMBER(AI79),IFERROR(AI79/AI65,""),"")</f>
        <v>1.37048665620094</v>
      </c>
      <c r="AJ80" s="43" t="n">
        <f aca="false">IF(ISNUMBER(AJ79),IFERROR(AJ79/AJ65,""),"")</f>
        <v>0.715625</v>
      </c>
      <c r="AK80" s="43" t="n">
        <f aca="false">IF(ISNUMBER(AK79),IFERROR(AK79/AK65,""),"")</f>
        <v>1.09646302250804</v>
      </c>
      <c r="AL80" s="43" t="n">
        <f aca="false">IF(ISNUMBER(AL79),IFERROR(AL79/AL65,""),"")</f>
        <v>1.13801261829653</v>
      </c>
      <c r="AM80" s="43" t="n">
        <f aca="false">IF(ISNUMBER(AM79),IFERROR(AM79/AM65,""),"")</f>
        <v>0.652509652509653</v>
      </c>
      <c r="AN80" s="43" t="n">
        <f aca="false">IF(ISNUMBER(AN79),IFERROR(AN79/AN65,""),"")</f>
        <v>0.856540084388186</v>
      </c>
      <c r="AO80" s="43" t="n">
        <f aca="false">IF(ISNUMBER(AO79),IFERROR(AO79/AO65,""),"")</f>
        <v>0.75</v>
      </c>
      <c r="AP80" s="43" t="n">
        <f aca="false">IF(ISNUMBER(AP79),IFERROR(AP79/AP65,""),"")</f>
        <v>12.2741116751269</v>
      </c>
      <c r="AQ80" s="43" t="n">
        <f aca="false">IF(ISNUMBER(AQ79),IFERROR(AQ79/AQ65,""),"")</f>
        <v>0.414675767918089</v>
      </c>
      <c r="AR80" s="43" t="n">
        <f aca="false">IF(ISNUMBER(AR79),IFERROR(AR79/AR65,""),"")</f>
        <v>3.69308943089431</v>
      </c>
      <c r="AS80" s="43" t="n">
        <f aca="false">IF(ISNUMBER(AS79),IFERROR(AS79/AS65,""),"")</f>
        <v>0.425423728813559</v>
      </c>
      <c r="AT80" s="43" t="n">
        <f aca="false">IF(ISNUMBER(AT79),IFERROR(AT79/AT65,""),"")</f>
        <v>0.776666666666667</v>
      </c>
      <c r="AU80" s="43" t="n">
        <f aca="false">IF(ISNUMBER(AU79),IFERROR(AU79/AU65,""),"")</f>
        <v>0.602521008403361</v>
      </c>
      <c r="AV80" s="43" t="n">
        <f aca="false">IF(ISNUMBER(AV79),IFERROR(AV79/AV65,""),"")</f>
        <v>2.16974789915966</v>
      </c>
      <c r="AW80" s="43" t="n">
        <f aca="false">IF(ISNUMBER(AW79),IFERROR(AW79/AW65,""),"")</f>
        <v>0.323920265780731</v>
      </c>
      <c r="AX80" s="43" t="n">
        <f aca="false">IF(ISNUMBER(AX79),IFERROR(AX79/AX65,""),"")</f>
        <v>0.922915793883536</v>
      </c>
      <c r="AY80" s="43" t="n">
        <f aca="false">IF(ISNUMBER(AY79),IFERROR(AY79/AY65,""),"")</f>
        <v>0.65224358974359</v>
      </c>
      <c r="AZ80" s="43" t="n">
        <f aca="false">IF(ISNUMBER(AZ79),IFERROR(AZ79/AZ65,""),"")</f>
        <v>0.609302325581395</v>
      </c>
      <c r="BA80" s="43" t="n">
        <f aca="false">IF(ISNUMBER(BA79),IFERROR(BA79/BA65,""),"")</f>
        <v>0.630417651694248</v>
      </c>
      <c r="BB80" s="43" t="n">
        <f aca="false">IF(ISNUMBER(BB79),IFERROR(BB79/BB65,""),"")</f>
        <v>2.36350364963504</v>
      </c>
      <c r="BC80" s="43" t="n">
        <f aca="false">IF(ISNUMBER(BC79),IFERROR(BC79/BC65,""),"")</f>
        <v>0.638926174496644</v>
      </c>
      <c r="BD80" s="43" t="n">
        <f aca="false">IF(ISNUMBER(BD79),IFERROR(BD79/BD65,""),"")</f>
        <v>1.07261948869952</v>
      </c>
      <c r="BE80" s="43" t="n">
        <f aca="false">IF(ISNUMBER(BE79),IFERROR(BE79/BE65,""),"")</f>
        <v>0.846666666666667</v>
      </c>
      <c r="BF80" s="43" t="n">
        <f aca="false">IF(ISNUMBER(BF79),IFERROR(BF79/BF65,""),"")</f>
        <v>0.860130718954248</v>
      </c>
      <c r="BG80" s="43" t="n">
        <f aca="false">IF(ISNUMBER(BG79),IFERROR(BG79/BG65,""),"")</f>
        <v>0.853465346534653</v>
      </c>
      <c r="BH80" s="43" t="n">
        <f aca="false">IF(ISNUMBER(BH79),IFERROR(BH79/BH65,""),"")</f>
        <v>2.20733427362482</v>
      </c>
      <c r="BI80" s="43" t="n">
        <f aca="false">IF(ISNUMBER(BI79),IFERROR(BI79/BI65,""),"")</f>
        <v>1.48667601683029</v>
      </c>
      <c r="BJ80" s="43" t="n">
        <f aca="false">IF(ISNUMBER(BJ79),IFERROR(BJ79/BJ65,""),"")</f>
        <v>1.33401430030644</v>
      </c>
      <c r="BK80" s="43" t="n">
        <f aca="false">IF(ISNUMBER(BK79),IFERROR(BK79/BK65,""),"")</f>
        <v>0.761904761904762</v>
      </c>
      <c r="BL80" s="43" t="n">
        <f aca="false">IF(ISNUMBER(BL79),IFERROR(BL79/BL65,""),"")</f>
        <v>0.987357774968394</v>
      </c>
      <c r="BM80" s="43" t="n">
        <f aca="false">IF(ISNUMBER(BM79),IFERROR(BM79/BM65,""),"")</f>
        <v>0.878768020969856</v>
      </c>
      <c r="BN80" s="43" t="n">
        <f aca="false">IF(ISNUMBER(BN79),IFERROR(BN79/BN65,""),"")</f>
        <v>1.24904701397713</v>
      </c>
      <c r="BO80" s="43" t="n">
        <f aca="false">IF(ISNUMBER(BO79),IFERROR(BO79/BO65,""),"")</f>
        <v>0.0506155950752394</v>
      </c>
      <c r="BP80" s="43" t="n">
        <f aca="false">IF(ISNUMBER(BP79),IFERROR(BP79/BP65,""),"")</f>
        <v>0.775624178712221</v>
      </c>
      <c r="BQ80" s="43" t="n">
        <f aca="false">IF(ISNUMBER(BQ79),IFERROR(BQ79/BQ65,""),"")</f>
        <v>0.834224598930481</v>
      </c>
      <c r="BR80" s="43" t="n">
        <f aca="false">IF(ISNUMBER(BR79),IFERROR(BR79/BR65,""),"")</f>
        <v>1.22631578947368</v>
      </c>
      <c r="BS80" s="43" t="n">
        <f aca="false">IF(ISNUMBER(BS79),IFERROR(BS79/BS65,""),"")</f>
        <v>1.03183023872679</v>
      </c>
      <c r="BT80" s="44" t="n">
        <f aca="false">$BV$80</f>
        <v>1</v>
      </c>
      <c r="BU80" s="44" t="n">
        <f aca="false">$BV$80</f>
        <v>1</v>
      </c>
      <c r="BV80" s="45" t="n">
        <v>1</v>
      </c>
      <c r="BW80" s="45" t="n">
        <v>1</v>
      </c>
      <c r="BX80" s="45" t="n">
        <v>1</v>
      </c>
      <c r="BY80" s="45" t="n">
        <v>1</v>
      </c>
      <c r="BZ80" s="45" t="n">
        <v>1</v>
      </c>
      <c r="CA80" s="16" t="s">
        <v>133</v>
      </c>
      <c r="CC80" s="5"/>
      <c r="CD80" s="5"/>
      <c r="CE80" s="5"/>
    </row>
    <row r="81" customFormat="false" ht="15" hidden="false" customHeight="false" outlineLevel="0" collapsed="false">
      <c r="B81" s="35" t="s">
        <v>135</v>
      </c>
      <c r="C81" s="47"/>
      <c r="D81" s="47"/>
      <c r="E81" s="47"/>
      <c r="F81" s="47"/>
      <c r="G81" s="47"/>
      <c r="H81" s="47" t="n">
        <f aca="false">IFERROR(H78/H65,"")</f>
        <v>0.12987012987013</v>
      </c>
      <c r="I81" s="47"/>
      <c r="J81" s="47"/>
      <c r="K81" s="47"/>
      <c r="L81" s="47"/>
      <c r="M81" s="47"/>
      <c r="N81" s="47" t="n">
        <f aca="false">IFERROR(N78/N65,"")</f>
        <v>1.98697539797395</v>
      </c>
      <c r="O81" s="47"/>
      <c r="P81" s="47"/>
      <c r="Q81" s="47"/>
      <c r="R81" s="47"/>
      <c r="S81" s="47"/>
      <c r="T81" s="47" t="n">
        <f aca="false">IFERROR(T78/T65,"")</f>
        <v>0.831932773109244</v>
      </c>
      <c r="U81" s="47"/>
      <c r="V81" s="47"/>
      <c r="W81" s="47"/>
      <c r="X81" s="47"/>
      <c r="Y81" s="47"/>
      <c r="Z81" s="47" t="n">
        <f aca="false">IFERROR(Z78/Z65,"")</f>
        <v>0.793598233995585</v>
      </c>
      <c r="AA81" s="47"/>
      <c r="AB81" s="47"/>
      <c r="AC81" s="47"/>
      <c r="AD81" s="47"/>
      <c r="AE81" s="47"/>
      <c r="AF81" s="47" t="n">
        <f aca="false">IFERROR(AF78/AF65,"")</f>
        <v>0.786580436540016</v>
      </c>
      <c r="AG81" s="47"/>
      <c r="AH81" s="47"/>
      <c r="AI81" s="47"/>
      <c r="AJ81" s="47"/>
      <c r="AK81" s="47"/>
      <c r="AL81" s="47" t="n">
        <f aca="false">IFERROR(AL78/AL65,"")</f>
        <v>0.905362776025237</v>
      </c>
      <c r="AM81" s="47"/>
      <c r="AN81" s="47"/>
      <c r="AO81" s="47"/>
      <c r="AP81" s="47"/>
      <c r="AQ81" s="47"/>
      <c r="AR81" s="47" t="n">
        <f aca="false">IFERROR(AR78/AR65,"")</f>
        <v>3.47086720867209</v>
      </c>
      <c r="AS81" s="47"/>
      <c r="AT81" s="47"/>
      <c r="AU81" s="47"/>
      <c r="AV81" s="47"/>
      <c r="AW81" s="47"/>
      <c r="AX81" s="47" t="n">
        <f aca="false">IFERROR(AX78/AX65,"")</f>
        <v>2.06912442396313</v>
      </c>
      <c r="AY81" s="47"/>
      <c r="AZ81" s="47"/>
      <c r="BA81" s="47"/>
      <c r="BB81" s="47"/>
      <c r="BC81" s="47"/>
      <c r="BD81" s="47" t="n">
        <f aca="false">IFERROR(BD78/BD65,"")</f>
        <v>1.9025565024083</v>
      </c>
      <c r="BE81" s="47"/>
      <c r="BF81" s="47"/>
      <c r="BG81" s="47"/>
      <c r="BH81" s="47"/>
      <c r="BI81" s="47"/>
      <c r="BJ81" s="47" t="n">
        <f aca="false">IFERROR(BJ78/BJ65,"")</f>
        <v>2.08239700374532</v>
      </c>
      <c r="BK81" s="47"/>
      <c r="BL81" s="47"/>
      <c r="BM81" s="47"/>
      <c r="BN81" s="47"/>
      <c r="BO81" s="47"/>
      <c r="BP81" s="47" t="n">
        <f aca="false">IFERROR(BP78/BP65,"")</f>
        <v>1.78482260183968</v>
      </c>
      <c r="BQ81" s="47"/>
      <c r="BR81" s="47"/>
      <c r="BS81" s="47"/>
      <c r="BT81" s="48"/>
      <c r="BU81" s="48"/>
      <c r="BV81" s="48" t="n">
        <f aca="false">IFERROR(BV78/BV65,"")</f>
        <v>1.76806451612903</v>
      </c>
      <c r="BW81" s="48" t="n">
        <f aca="false">IFERROR(BW78/BW65,"")</f>
        <v>1.70006203473945</v>
      </c>
      <c r="BX81" s="48" t="n">
        <f aca="false">IFERROR(BX78/BX65,"")</f>
        <v>1.63467503340332</v>
      </c>
      <c r="BY81" s="48" t="n">
        <f aca="false">IFERROR(BY78/BY65,"")</f>
        <v>1.56428232861562</v>
      </c>
      <c r="BZ81" s="48" t="n">
        <f aca="false">IFERROR(BZ78/BZ65,"")</f>
        <v>1.49692088862739</v>
      </c>
      <c r="CA81" s="16"/>
      <c r="CC81" s="5"/>
      <c r="CD81" s="5"/>
      <c r="CE81" s="5"/>
    </row>
    <row r="82" customFormat="false" ht="15" hidden="false" customHeight="false" outlineLevel="0" collapsed="false">
      <c r="B82" s="20" t="s">
        <v>168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1" t="s">
        <v>138</v>
      </c>
    </row>
    <row r="83" customFormat="false" ht="15" hidden="false" customHeight="false" outlineLevel="0" collapsed="false">
      <c r="B83" s="35" t="s">
        <v>140</v>
      </c>
      <c r="C83" s="36" t="n">
        <f aca="false">IFERROR(C64/C65,"n/d")</f>
        <v>0</v>
      </c>
      <c r="D83" s="36" t="n">
        <f aca="false">IFERROR(D64/D65,"n/d")</f>
        <v>0</v>
      </c>
      <c r="E83" s="36" t="n">
        <f aca="false">IFERROR(E64/E65,"n/d")</f>
        <v>0</v>
      </c>
      <c r="F83" s="36" t="n">
        <f aca="false">IFERROR(F64/F65,"n/d")</f>
        <v>0</v>
      </c>
      <c r="G83" s="36" t="n">
        <f aca="false">IFERROR(G64/G65,"n/d")</f>
        <v>0</v>
      </c>
      <c r="H83" s="36" t="n">
        <f aca="false">IFERROR(H64/H65,"n/d")</f>
        <v>0</v>
      </c>
      <c r="I83" s="36" t="n">
        <f aca="false">IFERROR(I64/I65,"n/d")</f>
        <v>0</v>
      </c>
      <c r="J83" s="36" t="n">
        <f aca="false">IFERROR(J64/J65,"n/d")</f>
        <v>0</v>
      </c>
      <c r="K83" s="36" t="n">
        <f aca="false">IFERROR(K64/K65,"n/d")</f>
        <v>0</v>
      </c>
      <c r="L83" s="36" t="n">
        <f aca="false">IFERROR(L64/L65,"n/d")</f>
        <v>0</v>
      </c>
      <c r="M83" s="36" t="n">
        <f aca="false">IFERROR(M64/M65,"n/d")</f>
        <v>0</v>
      </c>
      <c r="N83" s="36" t="n">
        <f aca="false">IFERROR(N64/N65,"n/d")</f>
        <v>0</v>
      </c>
      <c r="O83" s="36" t="n">
        <f aca="false">IFERROR(O64/O65,"n/d")</f>
        <v>0</v>
      </c>
      <c r="P83" s="36" t="n">
        <f aca="false">IFERROR(P64/P65,"n/d")</f>
        <v>0</v>
      </c>
      <c r="Q83" s="36" t="n">
        <f aca="false">IFERROR(Q64/Q65,"n/d")</f>
        <v>0</v>
      </c>
      <c r="R83" s="36" t="n">
        <f aca="false">IFERROR(R64/R65,"n/d")</f>
        <v>0</v>
      </c>
      <c r="S83" s="36" t="n">
        <f aca="false">IFERROR(S64/S65,"n/d")</f>
        <v>0</v>
      </c>
      <c r="T83" s="36" t="n">
        <f aca="false">IFERROR(T64/T65,"n/d")</f>
        <v>0</v>
      </c>
      <c r="U83" s="36" t="n">
        <f aca="false">IFERROR(U64/U65,"n/d")</f>
        <v>0.111587982832618</v>
      </c>
      <c r="V83" s="36" t="n">
        <f aca="false">IFERROR(V64/V65,"n/d")</f>
        <v>0.131687242798354</v>
      </c>
      <c r="W83" s="36" t="n">
        <f aca="false">IFERROR(W64/W65,"n/d")</f>
        <v>0.121848739495798</v>
      </c>
      <c r="X83" s="36" t="n">
        <f aca="false">IFERROR(X64/X65,"n/d")</f>
        <v>0.126530612244898</v>
      </c>
      <c r="Y83" s="36" t="n">
        <f aca="false">IFERROR(Y64/Y65,"n/d")</f>
        <v>0.183783783783784</v>
      </c>
      <c r="Z83" s="36" t="n">
        <f aca="false">IFERROR(Z64/Z65,"n/d")</f>
        <v>0.135761589403974</v>
      </c>
      <c r="AA83" s="36" t="n">
        <f aca="false">IFERROR(AA64/AA65,"n/d")</f>
        <v>0.0958333333333333</v>
      </c>
      <c r="AB83" s="36" t="n">
        <f aca="false">IFERROR(AB64/AB65,"n/d")</f>
        <v>0.0934579439252336</v>
      </c>
      <c r="AC83" s="36" t="n">
        <f aca="false">IFERROR(AC64/AC65,"n/d")</f>
        <v>0.0944741532976827</v>
      </c>
      <c r="AD83" s="36" t="n">
        <f aca="false">IFERROR(AD64/AD65,"n/d")</f>
        <v>0.0797546012269939</v>
      </c>
      <c r="AE83" s="36" t="n">
        <f aca="false">IFERROR(AE64/AE65,"n/d")</f>
        <v>0.0971428571428571</v>
      </c>
      <c r="AF83" s="36" t="n">
        <f aca="false">IFERROR(AF64/AF65,"n/d")</f>
        <v>0.0913500404203719</v>
      </c>
      <c r="AG83" s="36" t="n">
        <f aca="false">IFERROR(AG64/AG65,"n/d")</f>
        <v>0.0662460567823344</v>
      </c>
      <c r="AH83" s="36" t="n">
        <f aca="false">IFERROR(AH64/AH65,"n/d")</f>
        <v>0.10625</v>
      </c>
      <c r="AI83" s="36" t="n">
        <f aca="false">IFERROR(AI64/AI65,"n/d")</f>
        <v>0.0863422291993721</v>
      </c>
      <c r="AJ83" s="36" t="n">
        <f aca="false">IFERROR(AJ64/AJ65,"n/d")</f>
        <v>0.1125</v>
      </c>
      <c r="AK83" s="36" t="n">
        <f aca="false">IFERROR(AK64/AK65,"n/d")</f>
        <v>0.157556270096463</v>
      </c>
      <c r="AL83" s="36" t="n">
        <f aca="false">IFERROR(AL64/AL65,"n/d")</f>
        <v>0.110410094637224</v>
      </c>
      <c r="AM83" s="36" t="n">
        <f aca="false">IFERROR(AM64/AM65,"n/d")</f>
        <v>0.123552123552124</v>
      </c>
      <c r="AN83" s="36" t="n">
        <f aca="false">IFERROR(AN64/AN65,"n/d")</f>
        <v>0.126582278481013</v>
      </c>
      <c r="AO83" s="36" t="n">
        <f aca="false">IFERROR(AO64/AO65,"n/d")</f>
        <v>0.125</v>
      </c>
      <c r="AP83" s="36" t="n">
        <f aca="false">IFERROR(AP64/AP65,"n/d")</f>
        <v>0.0786802030456853</v>
      </c>
      <c r="AQ83" s="36" t="n">
        <f aca="false">IFERROR(AQ64/AQ65,"n/d")</f>
        <v>0.0409556313993174</v>
      </c>
      <c r="AR83" s="36" t="n">
        <f aca="false">IFERROR(AR64/AR65,"n/d")</f>
        <v>0.0792682926829268</v>
      </c>
      <c r="AS83" s="36" t="n">
        <f aca="false">IFERROR(AS64/AS65,"n/d")</f>
        <v>0.0508474576271187</v>
      </c>
      <c r="AT83" s="36" t="n">
        <f aca="false">IFERROR(AT64/AT65,"n/d")</f>
        <v>0</v>
      </c>
      <c r="AU83" s="36" t="n">
        <f aca="false">IFERROR(AU64/AU65,"n/d")</f>
        <v>0.0252100840336134</v>
      </c>
      <c r="AV83" s="36" t="n">
        <f aca="false">IFERROR(AV64/AV65,"n/d")</f>
        <v>0.0521008403361345</v>
      </c>
      <c r="AW83" s="36" t="n">
        <f aca="false">IFERROR(AW64/AW65,"n/d")</f>
        <v>0.0481727574750831</v>
      </c>
      <c r="AX83" s="36" t="n">
        <f aca="false">IFERROR(AX64/AX65,"n/d")</f>
        <v>0.048596564725597</v>
      </c>
      <c r="AY83" s="36" t="n">
        <f aca="false">IFERROR(AY64/AY65,"n/d")</f>
        <v>0.0480769230769231</v>
      </c>
      <c r="AZ83" s="36" t="n">
        <f aca="false">IFERROR(AZ64/AZ65,"n/d")</f>
        <v>0.0434108527131783</v>
      </c>
      <c r="BA83" s="36" t="n">
        <f aca="false">IFERROR(BA64/BA65,"n/d")</f>
        <v>0.0457052797478329</v>
      </c>
      <c r="BB83" s="36" t="n">
        <f aca="false">IFERROR(BB64/BB65,"n/d")</f>
        <v>0.0437956204379562</v>
      </c>
      <c r="BC83" s="36" t="n">
        <f aca="false">IFERROR(BC64/BC65,"n/d")</f>
        <v>0.0402684563758389</v>
      </c>
      <c r="BD83" s="36" t="n">
        <f aca="false">IFERROR(BD64/BD65,"n/d")</f>
        <v>0.0437198962578733</v>
      </c>
      <c r="BE83" s="36" t="n">
        <f aca="false">IFERROR(BE64/BE65,"n/d")</f>
        <v>0.0413333333333333</v>
      </c>
      <c r="BF83" s="36" t="n">
        <f aca="false">IFERROR(BF64/BF65,"n/d")</f>
        <v>0.0431372549019608</v>
      </c>
      <c r="BG83" s="36" t="n">
        <f aca="false">IFERROR(BG64/BG65,"n/d")</f>
        <v>0.0422442244224422</v>
      </c>
      <c r="BH83" s="36" t="n">
        <f aca="false">IFERROR(BH64/BH65,"n/d")</f>
        <v>0.0479548660084626</v>
      </c>
      <c r="BI83" s="36" t="n">
        <f aca="false">IFERROR(BI64/BI65,"n/d")</f>
        <v>0.0406732117812062</v>
      </c>
      <c r="BJ83" s="36" t="n">
        <f aca="false">IFERROR(BJ64/BJ65,"n/d")</f>
        <v>0.0432414027919646</v>
      </c>
      <c r="BK83" s="36" t="n">
        <f aca="false">IFERROR(BK64/BK65,"n/d")</f>
        <v>0.0408163265306122</v>
      </c>
      <c r="BL83" s="36" t="n">
        <f aca="false">IFERROR(BL64/BL65,"n/d")</f>
        <v>0.0404551201011378</v>
      </c>
      <c r="BM83" s="36" t="n">
        <f aca="false">IFERROR(BM64/BM65,"n/d")</f>
        <v>0.0406290956749672</v>
      </c>
      <c r="BN83" s="36" t="n">
        <f aca="false">IFERROR(BN64/BN65,"n/d")</f>
        <v>0.0470139771283355</v>
      </c>
      <c r="BO83" s="36" t="n">
        <f aca="false">IFERROR(BO64/BO65,"n/d")</f>
        <v>0.0451436388508892</v>
      </c>
      <c r="BP83" s="36" t="n">
        <f aca="false">IFERROR(BP64/BP65,"n/d")</f>
        <v>0.0433639947437582</v>
      </c>
      <c r="BQ83" s="36" t="n">
        <f aca="false">IFERROR(BQ64/BQ65,"n/d")</f>
        <v>0.0481283422459893</v>
      </c>
      <c r="BR83" s="36" t="n">
        <f aca="false">IFERROR(BR64/BR65,"n/d")</f>
        <v>0.0447368421052632</v>
      </c>
      <c r="BS83" s="36" t="n">
        <f aca="false">IFERROR(BS64/BS65,"n/d")</f>
        <v>0.0464190981432361</v>
      </c>
      <c r="BT83" s="38" t="n">
        <f aca="false">IFERROR(BT64/BT65,"")</f>
        <v>0.0439698492462312</v>
      </c>
      <c r="BU83" s="38" t="n">
        <f aca="false">IFERROR(BU64/BU65,"")</f>
        <v>0.0439698492462312</v>
      </c>
      <c r="BV83" s="38" t="n">
        <f aca="false">IFERROR(BV64/BV65,"")</f>
        <v>0.0451612903225806</v>
      </c>
      <c r="BW83" s="38" t="n">
        <f aca="false">$BP$83</f>
        <v>0.0433639947437582</v>
      </c>
      <c r="BX83" s="38" t="n">
        <f aca="false">$BP$83</f>
        <v>0.0433639947437582</v>
      </c>
      <c r="BY83" s="38" t="n">
        <f aca="false">$BP$83</f>
        <v>0.0433639947437582</v>
      </c>
      <c r="BZ83" s="38" t="n">
        <f aca="false">$BP$83</f>
        <v>0.0433639947437582</v>
      </c>
      <c r="CA83" s="16" t="s">
        <v>141</v>
      </c>
      <c r="CC83" s="5"/>
      <c r="CD83" s="5"/>
      <c r="CE83" s="5"/>
    </row>
    <row r="84" customFormat="false" ht="15" hidden="false" customHeight="false" outlineLevel="0" collapsed="false">
      <c r="B84" s="35" t="s">
        <v>143</v>
      </c>
      <c r="C84" s="36" t="n">
        <f aca="false">IFERROR(C67/C65,"")</f>
        <v>0</v>
      </c>
      <c r="D84" s="36" t="n">
        <f aca="false">IFERROR(D67/D65,"")</f>
        <v>0</v>
      </c>
      <c r="E84" s="36" t="n">
        <f aca="false">IFERROR(E67/E65,"")</f>
        <v>0</v>
      </c>
      <c r="F84" s="36" t="n">
        <f aca="false">IFERROR(F67/F65,"")</f>
        <v>0</v>
      </c>
      <c r="G84" s="36" t="n">
        <f aca="false">IFERROR(G67/G65,"")</f>
        <v>0</v>
      </c>
      <c r="H84" s="36" t="n">
        <f aca="false">IFERROR(H67/H65,"")</f>
        <v>0.0211038961038961</v>
      </c>
      <c r="I84" s="36" t="n">
        <f aca="false">IFERROR(I67/I65,"")</f>
        <v>0</v>
      </c>
      <c r="J84" s="36" t="n">
        <f aca="false">IFERROR(J67/J65,"")</f>
        <v>0</v>
      </c>
      <c r="K84" s="36" t="n">
        <f aca="false">IFERROR(K67/K65,"")</f>
        <v>0</v>
      </c>
      <c r="L84" s="36" t="n">
        <f aca="false">IFERROR(L67/L65,"")</f>
        <v>0</v>
      </c>
      <c r="M84" s="36" t="n">
        <f aca="false">IFERROR(M67/M65,"")</f>
        <v>0</v>
      </c>
      <c r="N84" s="36" t="n">
        <f aca="false">IFERROR(N67/N65,"")</f>
        <v>0.0130246020260492</v>
      </c>
      <c r="O84" s="36" t="n">
        <f aca="false">IFERROR(O67/O65,"")</f>
        <v>0</v>
      </c>
      <c r="P84" s="36" t="n">
        <f aca="false">IFERROR(P67/P65,"")</f>
        <v>0</v>
      </c>
      <c r="Q84" s="36" t="n">
        <f aca="false">IFERROR(Q67/Q65,"")</f>
        <v>0</v>
      </c>
      <c r="R84" s="36" t="n">
        <f aca="false">IFERROR(R67/R65,"")</f>
        <v>0</v>
      </c>
      <c r="S84" s="36" t="n">
        <f aca="false">IFERROR(S67/S65,"")</f>
        <v>0</v>
      </c>
      <c r="T84" s="36" t="n">
        <f aca="false">IFERROR(T67/T65,"")</f>
        <v>0.0262605042016807</v>
      </c>
      <c r="U84" s="36" t="n">
        <f aca="false">IFERROR(U67/U65,"")</f>
        <v>0</v>
      </c>
      <c r="V84" s="36" t="n">
        <f aca="false">IFERROR(V67/V65,"")</f>
        <v>0</v>
      </c>
      <c r="W84" s="36" t="n">
        <f aca="false">IFERROR(W67/W65,"")</f>
        <v>0</v>
      </c>
      <c r="X84" s="36" t="n">
        <f aca="false">IFERROR(X67/X65,"")</f>
        <v>0</v>
      </c>
      <c r="Y84" s="36" t="n">
        <f aca="false">IFERROR(Y67/Y65,"")</f>
        <v>0</v>
      </c>
      <c r="Z84" s="36" t="n">
        <f aca="false">IFERROR(Z67/Z65,"")</f>
        <v>0.022075055187638</v>
      </c>
      <c r="AA84" s="36" t="n">
        <f aca="false">IFERROR(AA67/AA65,"")</f>
        <v>0</v>
      </c>
      <c r="AB84" s="36" t="n">
        <f aca="false">IFERROR(AB67/AB65,"")</f>
        <v>0</v>
      </c>
      <c r="AC84" s="36" t="n">
        <f aca="false">IFERROR(AC67/AC65,"")</f>
        <v>0</v>
      </c>
      <c r="AD84" s="36" t="n">
        <f aca="false">IFERROR(AD67/AD65,"")</f>
        <v>0</v>
      </c>
      <c r="AE84" s="36" t="n">
        <f aca="false">IFERROR(AE67/AE65,"")</f>
        <v>0</v>
      </c>
      <c r="AF84" s="36" t="n">
        <f aca="false">IFERROR(AF67/AF65,"")</f>
        <v>0.0258690379951496</v>
      </c>
      <c r="AG84" s="36" t="n">
        <f aca="false">IFERROR(AG67/AG65,"")</f>
        <v>0</v>
      </c>
      <c r="AH84" s="36" t="n">
        <f aca="false">IFERROR(AH67/AH65,"")</f>
        <v>0</v>
      </c>
      <c r="AI84" s="36" t="n">
        <f aca="false">IFERROR(AI67/AI65,"")</f>
        <v>0</v>
      </c>
      <c r="AJ84" s="36" t="n">
        <f aca="false">IFERROR(AJ67/AJ65,"")</f>
        <v>0</v>
      </c>
      <c r="AK84" s="36" t="n">
        <f aca="false">IFERROR(AK67/AK65,"")</f>
        <v>0</v>
      </c>
      <c r="AL84" s="36" t="n">
        <f aca="false">IFERROR(AL67/AL65,"")</f>
        <v>0.0315457413249211</v>
      </c>
      <c r="AM84" s="36" t="n">
        <f aca="false">IFERROR(AM67/AM65,"")</f>
        <v>0</v>
      </c>
      <c r="AN84" s="36" t="n">
        <f aca="false">IFERROR(AN67/AN65,"")</f>
        <v>0</v>
      </c>
      <c r="AO84" s="36" t="n">
        <f aca="false">IFERROR(AO67/AO65,"")</f>
        <v>0</v>
      </c>
      <c r="AP84" s="36" t="n">
        <f aca="false">IFERROR(AP67/AP65,"")</f>
        <v>0</v>
      </c>
      <c r="AQ84" s="36" t="n">
        <f aca="false">IFERROR(AQ67/AQ65,"")</f>
        <v>0</v>
      </c>
      <c r="AR84" s="36" t="n">
        <f aca="false">IFERROR(AR67/AR65,"")</f>
        <v>0.0487804878048781</v>
      </c>
      <c r="AS84" s="36" t="n">
        <f aca="false">IFERROR(AS67/AS65,"")</f>
        <v>0</v>
      </c>
      <c r="AT84" s="36" t="n">
        <f aca="false">IFERROR(AT67/AT65,"")</f>
        <v>0</v>
      </c>
      <c r="AU84" s="36" t="n">
        <f aca="false">IFERROR(AU67/AU65,"")</f>
        <v>0</v>
      </c>
      <c r="AV84" s="36" t="n">
        <f aca="false">IFERROR(AV67/AV65,"")</f>
        <v>0</v>
      </c>
      <c r="AW84" s="36" t="n">
        <f aca="false">IFERROR(AW67/AW65,"")</f>
        <v>0</v>
      </c>
      <c r="AX84" s="36" t="n">
        <f aca="false">IFERROR(AX67/AX65,"")</f>
        <v>0.0544616673648932</v>
      </c>
      <c r="AY84" s="36" t="n">
        <f aca="false">IFERROR(AY67/AY65,"")</f>
        <v>0</v>
      </c>
      <c r="AZ84" s="36" t="n">
        <f aca="false">IFERROR(AZ67/AZ65,"")</f>
        <v>0</v>
      </c>
      <c r="BA84" s="36" t="n">
        <f aca="false">IFERROR(BA67/BA65,"")</f>
        <v>0</v>
      </c>
      <c r="BB84" s="36" t="n">
        <f aca="false">IFERROR(BB67/BB65,"")</f>
        <v>0</v>
      </c>
      <c r="BC84" s="36" t="n">
        <f aca="false">IFERROR(BC67/BC65,"")</f>
        <v>0</v>
      </c>
      <c r="BD84" s="36" t="n">
        <f aca="false">IFERROR(BD67/BD65,"")</f>
        <v>0.0444609114486847</v>
      </c>
      <c r="BE84" s="36" t="n">
        <f aca="false">IFERROR(BE67/BE65,"")</f>
        <v>0.036</v>
      </c>
      <c r="BF84" s="36" t="n">
        <f aca="false">IFERROR(BF67/BF65,"")</f>
        <v>0.0366013071895425</v>
      </c>
      <c r="BG84" s="36" t="n">
        <f aca="false">IFERROR(BG67/BG65,"")</f>
        <v>0.0363036303630363</v>
      </c>
      <c r="BH84" s="36" t="n">
        <f aca="false">IFERROR(BH67/BH65,"")</f>
        <v>0.0380818053596615</v>
      </c>
      <c r="BI84" s="36" t="n">
        <f aca="false">IFERROR(BI67/BI65,"")</f>
        <v>0.0392706872370267</v>
      </c>
      <c r="BJ84" s="36" t="n">
        <f aca="false">IFERROR(BJ67/BJ65,"")</f>
        <v>0.0374531835205993</v>
      </c>
      <c r="BK84" s="36" t="n">
        <f aca="false">IFERROR(BK67/BK65,"")</f>
        <v>0.0340136054421769</v>
      </c>
      <c r="BL84" s="36" t="n">
        <f aca="false">IFERROR(BL67/BL65,"")</f>
        <v>0.0328697850821745</v>
      </c>
      <c r="BM84" s="36" t="n">
        <f aca="false">IFERROR(BM67/BM65,"")</f>
        <v>0.0334207077326343</v>
      </c>
      <c r="BN84" s="36" t="n">
        <f aca="false">IFERROR(BN67/BN65,"")</f>
        <v>0.0317662007623888</v>
      </c>
      <c r="BO84" s="36" t="n">
        <f aca="false">IFERROR(BO67/BO65,"")</f>
        <v>0.0369357045143639</v>
      </c>
      <c r="BP84" s="36" t="n">
        <f aca="false">IFERROR(BP67/BP65,"")</f>
        <v>0.0338370565045992</v>
      </c>
      <c r="BQ84" s="36" t="n">
        <f aca="false">IFERROR(BQ67/BQ65,"")</f>
        <v>0.0267379679144385</v>
      </c>
      <c r="BR84" s="36" t="n">
        <f aca="false">IFERROR(BR67/BR65,"")</f>
        <v>0.0276315789473684</v>
      </c>
      <c r="BS84" s="36" t="n">
        <f aca="false">IFERROR(BS67/BS65,"")</f>
        <v>0.0271883289124668</v>
      </c>
      <c r="BT84" s="38" t="n">
        <f aca="false">IFERROR(BT67/BT65,"")</f>
        <v>0.0290768357918625</v>
      </c>
      <c r="BU84" s="38" t="n">
        <f aca="false">IFERROR(BU67/BU65,"")</f>
        <v>0.0290768357918625</v>
      </c>
      <c r="BV84" s="38" t="n">
        <f aca="false">IFERROR(BV67/BV65,"")</f>
        <v>0.0281581685744017</v>
      </c>
      <c r="BW84" s="49" t="n">
        <v>0.026</v>
      </c>
      <c r="BX84" s="49" t="n">
        <v>0.026</v>
      </c>
      <c r="BY84" s="49" t="n">
        <v>0.026</v>
      </c>
      <c r="BZ84" s="49" t="n">
        <v>0.026</v>
      </c>
      <c r="CA84" s="16" t="s">
        <v>169</v>
      </c>
      <c r="CC84" s="5"/>
      <c r="CD84" s="5"/>
      <c r="CE84" s="5"/>
    </row>
    <row r="85" customFormat="false" ht="15" hidden="false" customHeight="false" outlineLevel="0" collapsed="false">
      <c r="B85" s="1" t="s">
        <v>145</v>
      </c>
      <c r="C85" s="2"/>
      <c r="D85" s="2"/>
      <c r="E85" s="2"/>
      <c r="F85" s="2"/>
      <c r="G85" s="2"/>
      <c r="H85" s="23" t="n">
        <v>5</v>
      </c>
      <c r="I85" s="2"/>
      <c r="J85" s="2"/>
      <c r="K85" s="2"/>
      <c r="L85" s="2"/>
      <c r="M85" s="2"/>
      <c r="N85" s="23" t="n">
        <v>8</v>
      </c>
      <c r="O85" s="2"/>
      <c r="P85" s="2"/>
      <c r="Q85" s="2"/>
      <c r="R85" s="2"/>
      <c r="S85" s="2"/>
      <c r="T85" s="23" t="n">
        <v>6</v>
      </c>
      <c r="U85" s="2"/>
      <c r="V85" s="2"/>
      <c r="W85" s="2"/>
      <c r="X85" s="2"/>
      <c r="Y85" s="2"/>
      <c r="Z85" s="23" t="n">
        <v>6</v>
      </c>
      <c r="AA85" s="2"/>
      <c r="AB85" s="2"/>
      <c r="AC85" s="2"/>
      <c r="AD85" s="2"/>
      <c r="AE85" s="2"/>
      <c r="AF85" s="23" t="n">
        <v>9</v>
      </c>
      <c r="AG85" s="2"/>
      <c r="AH85" s="2"/>
      <c r="AI85" s="2"/>
      <c r="AJ85" s="2"/>
      <c r="AK85" s="2"/>
      <c r="AL85" s="23" t="n">
        <v>20</v>
      </c>
      <c r="AM85" s="2"/>
      <c r="AN85" s="2"/>
      <c r="AO85" s="2"/>
      <c r="AP85" s="2"/>
      <c r="AQ85" s="2"/>
      <c r="AR85" s="23" t="n">
        <v>38</v>
      </c>
      <c r="AS85" s="2"/>
      <c r="AT85" s="2"/>
      <c r="AU85" s="2"/>
      <c r="AV85" s="2"/>
      <c r="AW85" s="2"/>
      <c r="AX85" s="23" t="n">
        <v>20</v>
      </c>
      <c r="AY85" s="2"/>
      <c r="AZ85" s="2"/>
      <c r="BA85" s="2"/>
      <c r="BB85" s="2"/>
      <c r="BC85" s="2"/>
      <c r="BD85" s="23" t="n">
        <v>11</v>
      </c>
      <c r="BE85" s="23" t="n">
        <v>2</v>
      </c>
      <c r="BF85" s="23" t="n">
        <v>3</v>
      </c>
      <c r="BG85" s="2" t="n">
        <f aca="false">BE85+BF85</f>
        <v>5</v>
      </c>
      <c r="BH85" s="23" t="n">
        <v>6</v>
      </c>
      <c r="BI85" s="23" t="n">
        <v>7</v>
      </c>
      <c r="BJ85" s="23" t="n">
        <v>18</v>
      </c>
      <c r="BK85" s="23" t="n">
        <v>1</v>
      </c>
      <c r="BL85" s="23" t="n">
        <v>1</v>
      </c>
      <c r="BM85" s="2" t="n">
        <f aca="false">BK85+BL85</f>
        <v>2</v>
      </c>
      <c r="BN85" s="23" t="n">
        <v>2</v>
      </c>
      <c r="BO85" s="23" t="n">
        <v>9</v>
      </c>
      <c r="BP85" s="23" t="n">
        <v>13</v>
      </c>
      <c r="BQ85" s="23" t="n">
        <v>3</v>
      </c>
      <c r="BR85" s="2"/>
      <c r="BS85" s="2"/>
      <c r="BT85" s="3"/>
      <c r="BU85" s="3"/>
      <c r="BV85" s="3" t="n">
        <f aca="false">BV65*BV86</f>
        <v>18.5012307058662</v>
      </c>
      <c r="BW85" s="3" t="n">
        <f aca="false">BW65*BW86</f>
        <v>18.1723199377619</v>
      </c>
      <c r="BX85" s="3" t="n">
        <f aca="false">BX65*BX86</f>
        <v>17.7874943390799</v>
      </c>
      <c r="BY85" s="3" t="n">
        <f aca="false">BY65*BY86</f>
        <v>17.4261858603173</v>
      </c>
      <c r="BZ85" s="3" t="n">
        <f aca="false">BZ65*BZ86</f>
        <v>16.9963399424295</v>
      </c>
      <c r="CA85" s="16" t="s">
        <v>146</v>
      </c>
      <c r="CC85" s="5"/>
      <c r="CD85" s="5"/>
      <c r="CE85" s="5"/>
    </row>
    <row r="86" customFormat="false" ht="15" hidden="false" customHeight="false" outlineLevel="0" collapsed="false">
      <c r="B86" s="35" t="s">
        <v>148</v>
      </c>
      <c r="C86" s="36"/>
      <c r="D86" s="36"/>
      <c r="E86" s="36"/>
      <c r="F86" s="36"/>
      <c r="G86" s="36"/>
      <c r="H86" s="36" t="n">
        <f aca="false">IFERROR(H85/H65,"")</f>
        <v>0.00811688311688312</v>
      </c>
      <c r="I86" s="36"/>
      <c r="J86" s="36"/>
      <c r="K86" s="36"/>
      <c r="L86" s="36"/>
      <c r="M86" s="36"/>
      <c r="N86" s="36" t="n">
        <f aca="false">IFERROR(N85/N65,"")</f>
        <v>0.0115774240231548</v>
      </c>
      <c r="O86" s="36"/>
      <c r="P86" s="36"/>
      <c r="Q86" s="36"/>
      <c r="R86" s="36"/>
      <c r="S86" s="36"/>
      <c r="T86" s="36" t="n">
        <f aca="false">IFERROR(T85/T65,"")</f>
        <v>0.00630252100840336</v>
      </c>
      <c r="U86" s="36"/>
      <c r="V86" s="36"/>
      <c r="W86" s="36"/>
      <c r="X86" s="36"/>
      <c r="Y86" s="36"/>
      <c r="Z86" s="36" t="n">
        <f aca="false">IFERROR(Z85/Z65,"")</f>
        <v>0.00662251655629139</v>
      </c>
      <c r="AA86" s="36"/>
      <c r="AB86" s="36"/>
      <c r="AC86" s="36"/>
      <c r="AD86" s="36"/>
      <c r="AE86" s="36"/>
      <c r="AF86" s="36" t="n">
        <f aca="false">IFERROR(AF85/AF65,"")</f>
        <v>0.00727566693613581</v>
      </c>
      <c r="AG86" s="36"/>
      <c r="AH86" s="36"/>
      <c r="AI86" s="36"/>
      <c r="AJ86" s="36"/>
      <c r="AK86" s="36"/>
      <c r="AL86" s="36" t="n">
        <f aca="false">IFERROR(AL85/AL65,"")</f>
        <v>0.0157728706624606</v>
      </c>
      <c r="AM86" s="36"/>
      <c r="AN86" s="36"/>
      <c r="AO86" s="36"/>
      <c r="AP86" s="36"/>
      <c r="AQ86" s="36"/>
      <c r="AR86" s="36" t="n">
        <f aca="false">IFERROR(AR85/AR65,"")</f>
        <v>0.0257452574525745</v>
      </c>
      <c r="AS86" s="36"/>
      <c r="AT86" s="36"/>
      <c r="AU86" s="36"/>
      <c r="AV86" s="36"/>
      <c r="AW86" s="36"/>
      <c r="AX86" s="36" t="n">
        <f aca="false">IFERROR(AX85/AX65,"")</f>
        <v>0.00837871805613741</v>
      </c>
      <c r="AY86" s="36"/>
      <c r="AZ86" s="36"/>
      <c r="BA86" s="36"/>
      <c r="BB86" s="36"/>
      <c r="BC86" s="36"/>
      <c r="BD86" s="36" t="n">
        <f aca="false">IFERROR(BD85/BD65,"")</f>
        <v>0.00407558354946276</v>
      </c>
      <c r="BE86" s="36"/>
      <c r="BF86" s="36"/>
      <c r="BG86" s="36"/>
      <c r="BH86" s="36"/>
      <c r="BI86" s="36"/>
      <c r="BJ86" s="36" t="n">
        <f aca="false">IFERROR(BJ85/BJ65,"")</f>
        <v>0.00612870275791624</v>
      </c>
      <c r="BK86" s="36"/>
      <c r="BL86" s="36"/>
      <c r="BM86" s="36"/>
      <c r="BN86" s="36"/>
      <c r="BO86" s="36"/>
      <c r="BP86" s="36" t="n">
        <f aca="false">IFERROR(BP85/BP65,"")</f>
        <v>0.00427069645203679</v>
      </c>
      <c r="BQ86" s="36"/>
      <c r="BR86" s="36"/>
      <c r="BS86" s="36"/>
      <c r="BT86" s="38"/>
      <c r="BU86" s="38"/>
      <c r="BV86" s="38" t="n">
        <f aca="false">IFERROR($BP$86/$BP$227*BV227,0)</f>
        <v>0.00596813893737619</v>
      </c>
      <c r="BW86" s="38" t="n">
        <f aca="false">IFERROR($BP$86/$BP$227*BW227,0)</f>
        <v>0.00563657566307752</v>
      </c>
      <c r="BX86" s="38" t="n">
        <f aca="false">IFERROR($BP$86/$BP$227*BX227,0)</f>
        <v>0.00530501238877884</v>
      </c>
      <c r="BY86" s="38" t="n">
        <f aca="false">IFERROR($BP$86/$BP$227*BY227,0)</f>
        <v>0.00497344911448016</v>
      </c>
      <c r="BZ86" s="38" t="n">
        <f aca="false">IFERROR($BP$86/$BP$227*BZ227,0)</f>
        <v>0.00464188584018148</v>
      </c>
      <c r="CA86" s="16" t="s">
        <v>149</v>
      </c>
      <c r="CC86" s="5"/>
      <c r="CD86" s="5"/>
      <c r="CE86" s="5"/>
    </row>
    <row r="87" customFormat="false" ht="15" hidden="false" customHeight="false" outlineLevel="0" collapsed="false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3"/>
      <c r="BU87" s="3"/>
      <c r="BV87" s="3"/>
      <c r="BW87" s="3"/>
      <c r="BX87" s="3"/>
      <c r="BY87" s="3"/>
      <c r="BZ87" s="3"/>
      <c r="CA87" s="16"/>
      <c r="CC87" s="5"/>
      <c r="CD87" s="5"/>
      <c r="CE87" s="5"/>
    </row>
    <row r="88" customFormat="false" ht="15" hidden="false" customHeight="false" outlineLevel="0" collapsed="false">
      <c r="B88" s="20" t="s">
        <v>170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1" t="s">
        <v>171</v>
      </c>
    </row>
    <row r="89" customFormat="false" ht="15" hidden="false" customHeight="false" outlineLevel="0" collapsed="false">
      <c r="B89" s="1" t="s">
        <v>172</v>
      </c>
      <c r="C89" s="2"/>
      <c r="D89" s="23" t="n">
        <v>-2</v>
      </c>
      <c r="E89" s="2" t="n">
        <f aca="false">C89+D89</f>
        <v>-2</v>
      </c>
      <c r="F89" s="23" t="n">
        <v>0</v>
      </c>
      <c r="G89" s="23" t="n">
        <v>-23</v>
      </c>
      <c r="H89" s="23" t="n">
        <v>-82</v>
      </c>
      <c r="I89" s="23" t="n">
        <v>-24</v>
      </c>
      <c r="J89" s="23" t="n">
        <v>-27</v>
      </c>
      <c r="K89" s="2" t="n">
        <f aca="false">I89+J89</f>
        <v>-51</v>
      </c>
      <c r="L89" s="23" t="n">
        <v>-26</v>
      </c>
      <c r="M89" s="23" t="n">
        <v>-24</v>
      </c>
      <c r="N89" s="23" t="n">
        <v>-101</v>
      </c>
      <c r="O89" s="23" t="n">
        <v>-22</v>
      </c>
      <c r="P89" s="23" t="n">
        <v>-26</v>
      </c>
      <c r="Q89" s="2" t="n">
        <f aca="false">O89+P89</f>
        <v>-48</v>
      </c>
      <c r="R89" s="23" t="n">
        <v>-24</v>
      </c>
      <c r="S89" s="23" t="n">
        <v>-23</v>
      </c>
      <c r="T89" s="23" t="n">
        <v>-95</v>
      </c>
      <c r="U89" s="23" t="n">
        <v>-26</v>
      </c>
      <c r="V89" s="23" t="n">
        <v>-35</v>
      </c>
      <c r="W89" s="2" t="n">
        <f aca="false">U89+V89</f>
        <v>-61</v>
      </c>
      <c r="X89" s="23" t="n">
        <v>-35</v>
      </c>
      <c r="Y89" s="23" t="n">
        <v>-37</v>
      </c>
      <c r="Z89" s="23" t="n">
        <v>-133</v>
      </c>
      <c r="AA89" s="23" t="n">
        <v>-23</v>
      </c>
      <c r="AB89" s="23" t="n">
        <v>-34</v>
      </c>
      <c r="AC89" s="2" t="n">
        <f aca="false">AA89+AB89</f>
        <v>-57</v>
      </c>
      <c r="AD89" s="23" t="n">
        <v>-28</v>
      </c>
      <c r="AE89" s="23" t="n">
        <v>-39</v>
      </c>
      <c r="AF89" s="23" t="n">
        <v>-124</v>
      </c>
      <c r="AG89" s="23" t="n">
        <v>-24</v>
      </c>
      <c r="AH89" s="23" t="n">
        <v>-37</v>
      </c>
      <c r="AI89" s="2" t="n">
        <f aca="false">AG89+AH89</f>
        <v>-61</v>
      </c>
      <c r="AJ89" s="23" t="n">
        <v>-39</v>
      </c>
      <c r="AK89" s="23" t="n">
        <v>-56</v>
      </c>
      <c r="AL89" s="23" t="n">
        <v>-156</v>
      </c>
      <c r="AM89" s="23" t="n">
        <v>-37</v>
      </c>
      <c r="AN89" s="23" t="n">
        <v>-39</v>
      </c>
      <c r="AO89" s="2" t="n">
        <f aca="false">AM89+AN89</f>
        <v>-76</v>
      </c>
      <c r="AP89" s="23" t="n">
        <v>-38</v>
      </c>
      <c r="AQ89" s="23" t="n">
        <v>-29</v>
      </c>
      <c r="AR89" s="23" t="n">
        <v>-143</v>
      </c>
      <c r="AS89" s="23" t="n">
        <v>-35</v>
      </c>
      <c r="AT89" s="23" t="n">
        <v>-29</v>
      </c>
      <c r="AU89" s="2" t="n">
        <f aca="false">AS89+AT89</f>
        <v>-64</v>
      </c>
      <c r="AV89" s="23" t="n">
        <v>-37</v>
      </c>
      <c r="AW89" s="23" t="n">
        <v>-32</v>
      </c>
      <c r="AX89" s="23" t="n">
        <v>-133</v>
      </c>
      <c r="AY89" s="23" t="n">
        <v>-33</v>
      </c>
      <c r="AZ89" s="23" t="n">
        <v>-31</v>
      </c>
      <c r="BA89" s="2" t="n">
        <f aca="false">AY89+AZ89</f>
        <v>-64</v>
      </c>
      <c r="BB89" s="23" t="n">
        <v>-33</v>
      </c>
      <c r="BC89" s="23" t="n">
        <v>-33</v>
      </c>
      <c r="BD89" s="23" t="n">
        <v>-130</v>
      </c>
      <c r="BE89" s="23" t="n">
        <v>-34</v>
      </c>
      <c r="BF89" s="23" t="n">
        <v>-35</v>
      </c>
      <c r="BG89" s="2" t="n">
        <f aca="false">BE89+BF89</f>
        <v>-69</v>
      </c>
      <c r="BH89" s="23" t="n">
        <v>-36</v>
      </c>
      <c r="BI89" s="23" t="n">
        <v>-33</v>
      </c>
      <c r="BJ89" s="23" t="n">
        <v>-138</v>
      </c>
      <c r="BK89" s="23" t="n">
        <v>-34</v>
      </c>
      <c r="BL89" s="23" t="n">
        <v>-36</v>
      </c>
      <c r="BM89" s="2" t="n">
        <f aca="false">BK89+BL89</f>
        <v>-70</v>
      </c>
      <c r="BN89" s="23" t="n">
        <v>-40</v>
      </c>
      <c r="BO89" s="23" t="n">
        <v>-35</v>
      </c>
      <c r="BP89" s="23" t="n">
        <v>-145</v>
      </c>
      <c r="BQ89" s="23" t="n">
        <v>-39</v>
      </c>
      <c r="BR89" s="23" t="n">
        <v>-36</v>
      </c>
      <c r="BS89" s="2" t="n">
        <f aca="false">BQ89+BR89</f>
        <v>-75</v>
      </c>
      <c r="BT89" s="3" t="n">
        <f aca="false">-(BT12+BT38+BT64)</f>
        <v>-37.5</v>
      </c>
      <c r="BU89" s="3" t="n">
        <f aca="false">-(BU12+BU38+BU64)</f>
        <v>-37.5</v>
      </c>
      <c r="BV89" s="3" t="n">
        <f aca="false">SUM(BQ89,BR89,BT89,BU89)</f>
        <v>-150</v>
      </c>
      <c r="BW89" s="3" t="n">
        <f aca="false">-(BW12+BW38+BW64)</f>
        <v>-154.120868578592</v>
      </c>
      <c r="BX89" s="3" t="n">
        <f aca="false">-(BX12+BX38+BX64)</f>
        <v>-160.506286940508</v>
      </c>
      <c r="BY89" s="3" t="n">
        <f aca="false">-(BY12+BY38+BY64)</f>
        <v>-167.81081716691</v>
      </c>
      <c r="BZ89" s="3" t="n">
        <f aca="false">-(BZ12+BZ38+BZ64)</f>
        <v>-175.368849769692</v>
      </c>
      <c r="CA89" s="16" t="s">
        <v>173</v>
      </c>
      <c r="CC89" s="5"/>
      <c r="CD89" s="5"/>
      <c r="CE89" s="5"/>
    </row>
    <row r="90" customFormat="false" ht="15" hidden="false" customHeight="false" outlineLevel="0" collapsed="false">
      <c r="B90" s="1" t="s">
        <v>174</v>
      </c>
      <c r="C90" s="23" t="n">
        <v>-27</v>
      </c>
      <c r="D90" s="23" t="n">
        <v>-28</v>
      </c>
      <c r="E90" s="2" t="n">
        <f aca="false">C90+D90</f>
        <v>-55</v>
      </c>
      <c r="F90" s="23" t="n">
        <v>-27</v>
      </c>
      <c r="G90" s="23" t="n">
        <v>-22</v>
      </c>
      <c r="H90" s="23" t="n">
        <v>-104</v>
      </c>
      <c r="I90" s="23" t="n">
        <v>-35</v>
      </c>
      <c r="J90" s="23" t="n">
        <v>-35</v>
      </c>
      <c r="K90" s="2" t="n">
        <f aca="false">I90+J90</f>
        <v>-70</v>
      </c>
      <c r="L90" s="23" t="n">
        <v>-37</v>
      </c>
      <c r="M90" s="23" t="n">
        <v>-38</v>
      </c>
      <c r="N90" s="23" t="n">
        <v>-145</v>
      </c>
      <c r="O90" s="23" t="n">
        <v>-53</v>
      </c>
      <c r="P90" s="23" t="n">
        <v>-53</v>
      </c>
      <c r="Q90" s="2" t="n">
        <f aca="false">O90+P90</f>
        <v>-106</v>
      </c>
      <c r="R90" s="23" t="n">
        <v>-50</v>
      </c>
      <c r="S90" s="23" t="n">
        <v>-49</v>
      </c>
      <c r="T90" s="23" t="n">
        <v>-205</v>
      </c>
      <c r="U90" s="23" t="n">
        <v>-72</v>
      </c>
      <c r="V90" s="23" t="n">
        <v>-73</v>
      </c>
      <c r="W90" s="2" t="n">
        <f aca="false">U90+V90</f>
        <v>-145</v>
      </c>
      <c r="X90" s="23" t="n">
        <v>-73</v>
      </c>
      <c r="Y90" s="23" t="n">
        <v>-72</v>
      </c>
      <c r="Z90" s="23" t="n">
        <v>-290</v>
      </c>
      <c r="AA90" s="23" t="n">
        <v>-34</v>
      </c>
      <c r="AB90" s="23" t="n">
        <v>-37</v>
      </c>
      <c r="AC90" s="2" t="n">
        <f aca="false">AA90+AB90</f>
        <v>-71</v>
      </c>
      <c r="AD90" s="23" t="n">
        <v>-23</v>
      </c>
      <c r="AE90" s="23" t="n">
        <v>-30</v>
      </c>
      <c r="AF90" s="23" t="n">
        <v>-124</v>
      </c>
      <c r="AG90" s="23" t="n">
        <v>-63</v>
      </c>
      <c r="AH90" s="23" t="n">
        <v>-63</v>
      </c>
      <c r="AI90" s="2" t="n">
        <f aca="false">AG90+AH90</f>
        <v>-126</v>
      </c>
      <c r="AJ90" s="23" t="n">
        <v>-60</v>
      </c>
      <c r="AK90" s="23" t="n">
        <v>-62</v>
      </c>
      <c r="AL90" s="23" t="n">
        <v>-248</v>
      </c>
      <c r="AM90" s="23" t="n">
        <v>40</v>
      </c>
      <c r="AN90" s="23" t="n">
        <v>37</v>
      </c>
      <c r="AO90" s="2" t="n">
        <f aca="false">AM90+AN90</f>
        <v>77</v>
      </c>
      <c r="AP90" s="23" t="n">
        <v>41</v>
      </c>
      <c r="AQ90" s="23" t="n">
        <v>39</v>
      </c>
      <c r="AR90" s="23" t="n">
        <v>157</v>
      </c>
      <c r="AS90" s="23" t="n">
        <v>37</v>
      </c>
      <c r="AT90" s="23" t="n">
        <v>35</v>
      </c>
      <c r="AU90" s="2" t="n">
        <f aca="false">AS90+AT90</f>
        <v>72</v>
      </c>
      <c r="AV90" s="23" t="n">
        <v>36</v>
      </c>
      <c r="AW90" s="23" t="n">
        <v>37</v>
      </c>
      <c r="AX90" s="23" t="n">
        <v>145</v>
      </c>
      <c r="AY90" s="23" t="n">
        <v>19</v>
      </c>
      <c r="AZ90" s="23" t="n">
        <v>17</v>
      </c>
      <c r="BA90" s="2" t="n">
        <f aca="false">AY90+AZ90</f>
        <v>36</v>
      </c>
      <c r="BB90" s="23" t="n">
        <v>19</v>
      </c>
      <c r="BC90" s="23" t="n">
        <v>17</v>
      </c>
      <c r="BD90" s="23" t="n">
        <v>72</v>
      </c>
      <c r="BE90" s="23" t="n">
        <v>17</v>
      </c>
      <c r="BF90" s="23" t="n">
        <v>15</v>
      </c>
      <c r="BG90" s="2" t="n">
        <f aca="false">BE90+BF90</f>
        <v>32</v>
      </c>
      <c r="BH90" s="23" t="n">
        <v>16</v>
      </c>
      <c r="BI90" s="23" t="n">
        <v>14</v>
      </c>
      <c r="BJ90" s="23" t="n">
        <v>62</v>
      </c>
      <c r="BK90" s="23" t="n">
        <v>10</v>
      </c>
      <c r="BL90" s="23" t="n">
        <v>6</v>
      </c>
      <c r="BM90" s="2" t="n">
        <f aca="false">BK90+BL90</f>
        <v>16</v>
      </c>
      <c r="BN90" s="23" t="n">
        <v>9</v>
      </c>
      <c r="BO90" s="23" t="n">
        <v>10</v>
      </c>
      <c r="BP90" s="23" t="n">
        <v>35</v>
      </c>
      <c r="BQ90" s="23" t="n">
        <v>9</v>
      </c>
      <c r="BR90" s="23" t="n">
        <v>8</v>
      </c>
      <c r="BS90" s="2" t="n">
        <f aca="false">BQ90+BR90</f>
        <v>17</v>
      </c>
      <c r="BT90" s="3" t="n">
        <f aca="false">($CJ$19-BS90)/2</f>
        <v>13.5</v>
      </c>
      <c r="BU90" s="3" t="n">
        <f aca="false">($CJ$19-BS90)/2</f>
        <v>13.5</v>
      </c>
      <c r="BV90" s="3" t="n">
        <f aca="false">SUM(BQ90,BR90,BT90,BU90)</f>
        <v>44</v>
      </c>
      <c r="BW90" s="3" t="n">
        <f aca="false">BV90</f>
        <v>44</v>
      </c>
      <c r="BX90" s="3" t="n">
        <f aca="false">BW90</f>
        <v>44</v>
      </c>
      <c r="BY90" s="3" t="n">
        <f aca="false">BX90</f>
        <v>44</v>
      </c>
      <c r="BZ90" s="3" t="n">
        <f aca="false">BY90</f>
        <v>44</v>
      </c>
      <c r="CA90" s="16" t="s">
        <v>175</v>
      </c>
      <c r="CC90" s="5"/>
      <c r="CD90" s="5"/>
      <c r="CE90" s="5"/>
    </row>
    <row r="91" customFormat="false" ht="15" hidden="false" customHeight="false" outlineLevel="0" collapsed="false">
      <c r="B91" s="1" t="s">
        <v>176</v>
      </c>
      <c r="C91" s="23" t="n">
        <v>-1</v>
      </c>
      <c r="D91" s="23" t="n">
        <v>2</v>
      </c>
      <c r="E91" s="2" t="n">
        <f aca="false">C91+D91</f>
        <v>1</v>
      </c>
      <c r="F91" s="23" t="n">
        <v>-1</v>
      </c>
      <c r="G91" s="23" t="n">
        <v>2</v>
      </c>
      <c r="H91" s="23" t="n">
        <v>2</v>
      </c>
      <c r="I91" s="23" t="n">
        <v>3</v>
      </c>
      <c r="J91" s="23" t="n">
        <v>2</v>
      </c>
      <c r="K91" s="2" t="n">
        <f aca="false">I91+J91</f>
        <v>5</v>
      </c>
      <c r="L91" s="23" t="n">
        <v>2</v>
      </c>
      <c r="M91" s="23" t="n">
        <v>-5</v>
      </c>
      <c r="N91" s="23" t="n">
        <v>2</v>
      </c>
      <c r="O91" s="23" t="n">
        <v>5</v>
      </c>
      <c r="P91" s="23" t="n">
        <v>-1</v>
      </c>
      <c r="Q91" s="2" t="n">
        <f aca="false">O91+P91</f>
        <v>4</v>
      </c>
      <c r="R91" s="23" t="n">
        <v>1</v>
      </c>
      <c r="S91" s="23" t="n">
        <v>7</v>
      </c>
      <c r="T91" s="23" t="n">
        <v>12</v>
      </c>
      <c r="U91" s="23" t="n">
        <v>-2</v>
      </c>
      <c r="V91" s="23" t="n">
        <v>-3</v>
      </c>
      <c r="W91" s="2" t="n">
        <f aca="false">U91+V91</f>
        <v>-5</v>
      </c>
      <c r="X91" s="23" t="n">
        <v>0</v>
      </c>
      <c r="Y91" s="23" t="n">
        <v>7</v>
      </c>
      <c r="Z91" s="23" t="n">
        <v>2</v>
      </c>
      <c r="AA91" s="23" t="n">
        <v>2</v>
      </c>
      <c r="AB91" s="23" t="n">
        <v>0</v>
      </c>
      <c r="AC91" s="2" t="n">
        <f aca="false">AA91+AB91</f>
        <v>2</v>
      </c>
      <c r="AD91" s="23" t="n">
        <v>0</v>
      </c>
      <c r="AE91" s="23" t="n">
        <v>17</v>
      </c>
      <c r="AF91" s="23" t="n">
        <v>19</v>
      </c>
      <c r="AG91" s="23" t="n">
        <v>4</v>
      </c>
      <c r="AH91" s="23" t="n">
        <v>1</v>
      </c>
      <c r="AI91" s="2" t="n">
        <f aca="false">AG91+AH91</f>
        <v>5</v>
      </c>
      <c r="AJ91" s="23" t="n">
        <v>0</v>
      </c>
      <c r="AK91" s="23" t="n">
        <v>-1</v>
      </c>
      <c r="AL91" s="23" t="n">
        <v>4</v>
      </c>
      <c r="AM91" s="23" t="n">
        <v>4</v>
      </c>
      <c r="AN91" s="23" t="n">
        <v>4</v>
      </c>
      <c r="AO91" s="2" t="n">
        <f aca="false">AM91+AN91</f>
        <v>8</v>
      </c>
      <c r="AP91" s="23" t="n">
        <v>4</v>
      </c>
      <c r="AQ91" s="23" t="n">
        <v>1</v>
      </c>
      <c r="AR91" s="23" t="n">
        <v>13</v>
      </c>
      <c r="AS91" s="23" t="n">
        <v>1</v>
      </c>
      <c r="AT91" s="23" t="n">
        <v>-1</v>
      </c>
      <c r="AU91" s="2" t="n">
        <f aca="false">AS91+AT91</f>
        <v>0</v>
      </c>
      <c r="AV91" s="23" t="n">
        <v>-1</v>
      </c>
      <c r="AW91" s="23" t="n">
        <v>3</v>
      </c>
      <c r="AX91" s="23" t="n">
        <v>2</v>
      </c>
      <c r="AY91" s="23" t="n">
        <v>-4</v>
      </c>
      <c r="AZ91" s="23" t="n">
        <v>-4</v>
      </c>
      <c r="BA91" s="2" t="n">
        <f aca="false">AY91+AZ91</f>
        <v>-8</v>
      </c>
      <c r="BB91" s="23" t="n">
        <v>-4</v>
      </c>
      <c r="BC91" s="23" t="n">
        <v>1</v>
      </c>
      <c r="BD91" s="23" t="n">
        <v>-11</v>
      </c>
      <c r="BE91" s="23" t="n">
        <v>-1</v>
      </c>
      <c r="BF91" s="23" t="n">
        <v>-1</v>
      </c>
      <c r="BG91" s="2" t="n">
        <f aca="false">BE91+BF91</f>
        <v>-2</v>
      </c>
      <c r="BH91" s="23" t="n">
        <v>-1</v>
      </c>
      <c r="BI91" s="23" t="n">
        <v>-21</v>
      </c>
      <c r="BJ91" s="23" t="n">
        <v>-24</v>
      </c>
      <c r="BK91" s="23" t="n">
        <v>0</v>
      </c>
      <c r="BL91" s="23" t="n">
        <v>3</v>
      </c>
      <c r="BM91" s="2" t="n">
        <f aca="false">BK91+BL91</f>
        <v>3</v>
      </c>
      <c r="BN91" s="23" t="n">
        <v>9</v>
      </c>
      <c r="BO91" s="23" t="n">
        <v>13</v>
      </c>
      <c r="BP91" s="23" t="n">
        <v>25</v>
      </c>
      <c r="BQ91" s="23" t="n">
        <v>8</v>
      </c>
      <c r="BR91" s="23" t="n">
        <v>6</v>
      </c>
      <c r="BS91" s="2" t="n">
        <f aca="false">BQ91+BR91</f>
        <v>14</v>
      </c>
      <c r="BT91" s="3" t="n">
        <f aca="false">($CJ$20-BS91)/2</f>
        <v>3</v>
      </c>
      <c r="BU91" s="3" t="n">
        <f aca="false">($CJ$20-BS91)/2</f>
        <v>3</v>
      </c>
      <c r="BV91" s="3" t="n">
        <f aca="false">SUM(BQ91,BR91,BT91,BU91)</f>
        <v>20</v>
      </c>
      <c r="BW91" s="3" t="n">
        <f aca="false">BV91</f>
        <v>20</v>
      </c>
      <c r="BX91" s="3" t="n">
        <f aca="false">BW91</f>
        <v>20</v>
      </c>
      <c r="BY91" s="3" t="n">
        <f aca="false">BX91</f>
        <v>20</v>
      </c>
      <c r="BZ91" s="3" t="n">
        <f aca="false">BY91</f>
        <v>20</v>
      </c>
      <c r="CA91" s="16" t="s">
        <v>177</v>
      </c>
      <c r="CC91" s="5"/>
      <c r="CD91" s="5"/>
      <c r="CE91" s="5"/>
    </row>
    <row r="92" customFormat="false" ht="15" hidden="false" customHeight="false" outlineLevel="0" collapsed="false">
      <c r="B92" s="1" t="s">
        <v>178</v>
      </c>
      <c r="C92" s="2" t="str">
        <f aca="false">IF(COUNT(C15,C41,C67)=3,C102-C15-C41-C67,"")</f>
        <v/>
      </c>
      <c r="D92" s="2" t="str">
        <f aca="false">IF(COUNT(D15,D41,D67)=3,D102-D15-D41-D67,"")</f>
        <v/>
      </c>
      <c r="E92" s="2" t="str">
        <f aca="false">IF(COUNT(E15,E41,E67)=3,E102-E15-E41-E67,"")</f>
        <v/>
      </c>
      <c r="F92" s="2" t="str">
        <f aca="false">IF(COUNT(F15,F41,F67)=3,F102-F15-F41-F67,"")</f>
        <v/>
      </c>
      <c r="G92" s="2" t="str">
        <f aca="false">IF(COUNT(G15,G41,G67)=3,G102-G15-G41-G67,"")</f>
        <v/>
      </c>
      <c r="H92" s="2" t="n">
        <f aca="false">IF(COUNT(H15,H41,H67)=3,H102-H15-H41-H67,"")</f>
        <v>0</v>
      </c>
      <c r="I92" s="2" t="str">
        <f aca="false">IF(COUNT(I15,I41,I67)=3,I102-I15-I41-I67,"")</f>
        <v/>
      </c>
      <c r="J92" s="2" t="str">
        <f aca="false">IF(COUNT(J15,J41,J67)=3,J102-J15-J41-J67,"")</f>
        <v/>
      </c>
      <c r="K92" s="2" t="str">
        <f aca="false">IF(COUNT(K15,K41,K67)=3,K102-K15-K41-K67,"")</f>
        <v/>
      </c>
      <c r="L92" s="2" t="str">
        <f aca="false">IF(COUNT(L15,L41,L67)=3,L102-L15-L41-L67,"")</f>
        <v/>
      </c>
      <c r="M92" s="2" t="str">
        <f aca="false">IF(COUNT(M15,M41,M67)=3,M102-M15-M41-M67,"")</f>
        <v/>
      </c>
      <c r="N92" s="2" t="n">
        <f aca="false">IF(COUNT(N15,N41,N67)=3,N102-N15-N41-N67,"")</f>
        <v>0</v>
      </c>
      <c r="O92" s="2" t="str">
        <f aca="false">IF(COUNT(O15,O41,O67)=3,O102-O15-O41-O67,"")</f>
        <v/>
      </c>
      <c r="P92" s="2" t="str">
        <f aca="false">IF(COUNT(P15,P41,P67)=3,P102-P15-P41-P67,"")</f>
        <v/>
      </c>
      <c r="Q92" s="2" t="str">
        <f aca="false">IF(COUNT(Q15,Q41,Q67)=3,Q102-Q15-Q41-Q67,"")</f>
        <v/>
      </c>
      <c r="R92" s="2" t="str">
        <f aca="false">IF(COUNT(R15,R41,R67)=3,R102-R15-R41-R67,"")</f>
        <v/>
      </c>
      <c r="S92" s="2" t="str">
        <f aca="false">IF(COUNT(S15,S41,S67)=3,S102-S15-S41-S67,"")</f>
        <v/>
      </c>
      <c r="T92" s="2" t="n">
        <f aca="false">IF(COUNT(T15,T41,T67)=3,T102-T15-T41-T67,"")</f>
        <v>0</v>
      </c>
      <c r="U92" s="2" t="str">
        <f aca="false">IF(COUNT(U15,U41,U67)=3,U102-U15-U41-U67,"")</f>
        <v/>
      </c>
      <c r="V92" s="2" t="str">
        <f aca="false">IF(COUNT(V15,V41,V67)=3,V102-V15-V41-V67,"")</f>
        <v/>
      </c>
      <c r="W92" s="2" t="str">
        <f aca="false">IF(COUNT(W15,W41,W67)=3,W102-W15-W41-W67,"")</f>
        <v/>
      </c>
      <c r="X92" s="2" t="str">
        <f aca="false">IF(COUNT(X15,X41,X67)=3,X102-X15-X41-X67,"")</f>
        <v/>
      </c>
      <c r="Y92" s="2" t="str">
        <f aca="false">IF(COUNT(Y15,Y41,Y67)=3,Y102-Y15-Y41-Y67,"")</f>
        <v/>
      </c>
      <c r="Z92" s="2" t="n">
        <f aca="false">IF(COUNT(Z15,Z41,Z67)=3,Z102-Z15-Z41-Z67,"")</f>
        <v>0</v>
      </c>
      <c r="AA92" s="2" t="str">
        <f aca="false">IF(COUNT(AA15,AA41,AA67)=3,AA102-AA15-AA41-AA67,"")</f>
        <v/>
      </c>
      <c r="AB92" s="2" t="str">
        <f aca="false">IF(COUNT(AB15,AB41,AB67)=3,AB102-AB15-AB41-AB67,"")</f>
        <v/>
      </c>
      <c r="AC92" s="2" t="str">
        <f aca="false">IF(COUNT(AC15,AC41,AC67)=3,AC102-AC15-AC41-AC67,"")</f>
        <v/>
      </c>
      <c r="AD92" s="2" t="str">
        <f aca="false">IF(COUNT(AD15,AD41,AD67)=3,AD102-AD15-AD41-AD67,"")</f>
        <v/>
      </c>
      <c r="AE92" s="2" t="str">
        <f aca="false">IF(COUNT(AE15,AE41,AE67)=3,AE102-AE15-AE41-AE67,"")</f>
        <v/>
      </c>
      <c r="AF92" s="2" t="n">
        <f aca="false">IF(COUNT(AF15,AF41,AF67)=3,AF102-AF15-AF41-AF67,"")</f>
        <v>1</v>
      </c>
      <c r="AG92" s="2" t="str">
        <f aca="false">IF(COUNT(AG15,AG41,AG67)=3,AG102-AG15-AG41-AG67,"")</f>
        <v/>
      </c>
      <c r="AH92" s="2" t="str">
        <f aca="false">IF(COUNT(AH15,AH41,AH67)=3,AH102-AH15-AH41-AH67,"")</f>
        <v/>
      </c>
      <c r="AI92" s="2" t="str">
        <f aca="false">IF(COUNT(AI15,AI41,AI67)=3,AI102-AI15-AI41-AI67,"")</f>
        <v/>
      </c>
      <c r="AJ92" s="2" t="str">
        <f aca="false">IF(COUNT(AJ15,AJ41,AJ67)=3,AJ102-AJ15-AJ41-AJ67,"")</f>
        <v/>
      </c>
      <c r="AK92" s="2" t="str">
        <f aca="false">IF(COUNT(AK15,AK41,AK67)=3,AK102-AK15-AK41-AK67,"")</f>
        <v/>
      </c>
      <c r="AL92" s="2" t="n">
        <f aca="false">IF(COUNT(AL15,AL41,AL67)=3,AL102-AL15-AL41-AL67,"")</f>
        <v>1</v>
      </c>
      <c r="AM92" s="2" t="str">
        <f aca="false">IF(COUNT(AM15,AM41,AM67)=3,AM102-AM15-AM41-AM67,"")</f>
        <v/>
      </c>
      <c r="AN92" s="2" t="str">
        <f aca="false">IF(COUNT(AN15,AN41,AN67)=3,AN102-AN15-AN41-AN67,"")</f>
        <v/>
      </c>
      <c r="AO92" s="2" t="str">
        <f aca="false">IF(COUNT(AO15,AO41,AO67)=3,AO102-AO15-AO41-AO67,"")</f>
        <v/>
      </c>
      <c r="AP92" s="2" t="str">
        <f aca="false">IF(COUNT(AP15,AP41,AP67)=3,AP102-AP15-AP41-AP67,"")</f>
        <v/>
      </c>
      <c r="AQ92" s="2" t="str">
        <f aca="false">IF(COUNT(AQ15,AQ41,AQ67)=3,AQ102-AQ15-AQ41-AQ67,"")</f>
        <v/>
      </c>
      <c r="AR92" s="2" t="n">
        <f aca="false">IF(COUNT(AR15,AR41,AR67)=3,AR102-AR15-AR41-AR67,"")</f>
        <v>1</v>
      </c>
      <c r="AS92" s="2" t="str">
        <f aca="false">IF(COUNT(AS15,AS41,AS67)=3,AS102-AS15-AS41-AS67,"")</f>
        <v/>
      </c>
      <c r="AT92" s="2" t="str">
        <f aca="false">IF(COUNT(AT15,AT41,AT67)=3,AT102-AT15-AT41-AT67,"")</f>
        <v/>
      </c>
      <c r="AU92" s="2" t="str">
        <f aca="false">IF(COUNT(AU15,AU41,AU67)=3,AU102-AU15-AU41-AU67,"")</f>
        <v/>
      </c>
      <c r="AV92" s="2" t="str">
        <f aca="false">IF(COUNT(AV15,AV41,AV67)=3,AV102-AV15-AV41-AV67,"")</f>
        <v/>
      </c>
      <c r="AW92" s="2" t="str">
        <f aca="false">IF(COUNT(AW15,AW41,AW67)=3,AW102-AW15-AW41-AW67,"")</f>
        <v/>
      </c>
      <c r="AX92" s="2" t="n">
        <f aca="false">IF(COUNT(AX15,AX41,AX67)=3,AX102-AX15-AX41-AX67,"")</f>
        <v>1</v>
      </c>
      <c r="AY92" s="2" t="str">
        <f aca="false">IF(COUNT(AY15,AY41,AY67)=3,AY102-AY15-AY41-AY67,"")</f>
        <v/>
      </c>
      <c r="AZ92" s="2" t="str">
        <f aca="false">IF(COUNT(AZ15,AZ41,AZ67)=3,AZ102-AZ15-AZ41-AZ67,"")</f>
        <v/>
      </c>
      <c r="BA92" s="2" t="str">
        <f aca="false">IF(COUNT(BA15,BA41,BA67)=3,BA102-BA15-BA41-BA67,"")</f>
        <v/>
      </c>
      <c r="BB92" s="2" t="str">
        <f aca="false">IF(COUNT(BB15,BB41,BB67)=3,BB102-BB15-BB41-BB67,"")</f>
        <v/>
      </c>
      <c r="BC92" s="2" t="str">
        <f aca="false">IF(COUNT(BC15,BC41,BC67)=3,BC102-BC15-BC41-BC67,"")</f>
        <v/>
      </c>
      <c r="BD92" s="2" t="n">
        <f aca="false">IF(COUNT(BD15,BD41,BD67)=3,BD102-BD15-BD41-BD67,"")</f>
        <v>1</v>
      </c>
      <c r="BE92" s="2" t="n">
        <f aca="false">IF(COUNT(BE15,BE41,BE67)=3,BE102-BE15-BE41-BE67,"")</f>
        <v>0</v>
      </c>
      <c r="BF92" s="2" t="n">
        <f aca="false">IF(COUNT(BF15,BF41,BF67)=3,BF102-BF15-BF41-BF67,"")</f>
        <v>0</v>
      </c>
      <c r="BG92" s="2" t="n">
        <f aca="false">IF(COUNT(BG15,BG41,BG67)=3,BG102-BG15-BG41-BG67,"")</f>
        <v>0</v>
      </c>
      <c r="BH92" s="2" t="n">
        <f aca="false">IF(COUNT(BH15,BH41,BH67)=3,BH102-BH15-BH41-BH67,"")</f>
        <v>1</v>
      </c>
      <c r="BI92" s="2" t="n">
        <f aca="false">IF(COUNT(BI15,BI41,BI67)=3,BI102-BI15-BI41-BI67,"")</f>
        <v>1</v>
      </c>
      <c r="BJ92" s="2" t="n">
        <f aca="false">IF(COUNT(BJ15,BJ41,BJ67)=3,BJ102-BJ15-BJ41-BJ67,"")</f>
        <v>2</v>
      </c>
      <c r="BK92" s="2" t="n">
        <f aca="false">IF(COUNT(BK15,BK41,BK67)=3,BK102-BK15-BK41-BK67,"")</f>
        <v>1</v>
      </c>
      <c r="BL92" s="2" t="n">
        <f aca="false">IF(COUNT(BL15,BL41,BL67)=3,BL102-BL15-BL41-BL67,"")</f>
        <v>1</v>
      </c>
      <c r="BM92" s="2" t="n">
        <f aca="false">IF(COUNT(BM15,BM41,BM67)=3,BM102-BM15-BM41-BM67,"")</f>
        <v>2</v>
      </c>
      <c r="BN92" s="2" t="n">
        <f aca="false">IF(COUNT(BN15,BN41,BN67)=3,BN102-BN15-BN41-BN67,"")</f>
        <v>1</v>
      </c>
      <c r="BO92" s="2" t="n">
        <f aca="false">IF(COUNT(BO15,BO41,BO67)=3,BO102-BO15-BO41-BO67,"")</f>
        <v>1</v>
      </c>
      <c r="BP92" s="2" t="n">
        <f aca="false">IF(COUNT(BP15,BP41,BP67)=3,BP102-BP15-BP41-BP67,"")</f>
        <v>4</v>
      </c>
      <c r="BQ92" s="2" t="n">
        <f aca="false">IF(COUNT(BQ15,BQ41,BQ67)=3,BQ102-BQ15-BQ41-BQ67,"")</f>
        <v>1</v>
      </c>
      <c r="BR92" s="2" t="n">
        <f aca="false">IF(COUNT(BR15,BR41,BR67)=3,BR102-BR15-BR41-BR67,"")</f>
        <v>2</v>
      </c>
      <c r="BS92" s="2" t="n">
        <f aca="false">IF(COUNT(BS15,BS41,BS67)=3,BS102-BS15-BS41-BS67,"")</f>
        <v>3</v>
      </c>
      <c r="BT92" s="3" t="n">
        <f aca="false">BS92/2*($CJ$24-BS102)/BS102</f>
        <v>1.69354838709677</v>
      </c>
      <c r="BU92" s="3" t="n">
        <f aca="false">BS92/2*($CJ$24-BS102)/BS102</f>
        <v>1.69354838709677</v>
      </c>
      <c r="BV92" s="3" t="n">
        <f aca="false">SUM(BQ92,BR92,BT92,BU92)</f>
        <v>6.38709677419355</v>
      </c>
      <c r="BW92" s="54" t="n">
        <v>4</v>
      </c>
      <c r="BX92" s="54" t="n">
        <v>4</v>
      </c>
      <c r="BY92" s="54" t="n">
        <v>4</v>
      </c>
      <c r="BZ92" s="54" t="n">
        <v>4</v>
      </c>
      <c r="CA92" s="16" t="s">
        <v>179</v>
      </c>
      <c r="CC92" s="5"/>
      <c r="CD92" s="5"/>
      <c r="CE92" s="5"/>
    </row>
    <row r="93" customFormat="false" ht="15" hidden="false" customHeight="false" outlineLevel="0" collapsed="false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3"/>
      <c r="BU93" s="3"/>
      <c r="BV93" s="3"/>
      <c r="BW93" s="3"/>
      <c r="BX93" s="3"/>
      <c r="BY93" s="3"/>
      <c r="BZ93" s="3"/>
      <c r="CA93" s="16"/>
      <c r="CC93" s="5"/>
      <c r="CD93" s="5"/>
      <c r="CE93" s="5"/>
    </row>
    <row r="94" customFormat="false" ht="15" hidden="false" customHeight="false" outlineLevel="0" collapsed="false">
      <c r="B94" s="15" t="s">
        <v>180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 t="s">
        <v>181</v>
      </c>
      <c r="CC94" s="15"/>
      <c r="CD94" s="15"/>
      <c r="CE94" s="15"/>
    </row>
    <row r="95" customFormat="false" ht="15" hidden="false" customHeight="false" outlineLevel="0" collapsed="false">
      <c r="B95" s="26" t="s">
        <v>182</v>
      </c>
      <c r="C95" s="28" t="n">
        <f aca="false">C13+C39+C65+C89</f>
        <v>1570</v>
      </c>
      <c r="D95" s="28" t="n">
        <f aca="false">D13+D39+D65+D89</f>
        <v>1745</v>
      </c>
      <c r="E95" s="28" t="n">
        <f aca="false">E13+E39+E65+E89</f>
        <v>3315</v>
      </c>
      <c r="F95" s="28" t="n">
        <f aca="false">F13+F39+F65+F89</f>
        <v>1800</v>
      </c>
      <c r="G95" s="28" t="n">
        <f aca="false">G13+G39+G65+G89</f>
        <v>1905</v>
      </c>
      <c r="H95" s="28" t="n">
        <f aca="false">H13+H39+H65+H89</f>
        <v>7020</v>
      </c>
      <c r="I95" s="28" t="n">
        <f aca="false">I13+I39+I65+I89</f>
        <v>1763</v>
      </c>
      <c r="J95" s="28" t="n">
        <f aca="false">J13+J39+J65+J89</f>
        <v>1700</v>
      </c>
      <c r="K95" s="28" t="n">
        <f aca="false">K13+K39+K65+K89</f>
        <v>3463</v>
      </c>
      <c r="L95" s="28" t="n">
        <f aca="false">L13+L39+L65+L89</f>
        <v>1683</v>
      </c>
      <c r="M95" s="28" t="n">
        <f aca="false">M13+M39+M65+M89</f>
        <v>1922</v>
      </c>
      <c r="N95" s="28" t="n">
        <f aca="false">N13+N39+N65+N89</f>
        <v>7068</v>
      </c>
      <c r="O95" s="28" t="n">
        <f aca="false">O13+O39+O65+O89</f>
        <v>1724</v>
      </c>
      <c r="P95" s="28" t="n">
        <f aca="false">P13+P39+P65+P89</f>
        <v>1858</v>
      </c>
      <c r="Q95" s="28" t="n">
        <f aca="false">Q13+Q39+Q65+Q89</f>
        <v>3582</v>
      </c>
      <c r="R95" s="28" t="n">
        <f aca="false">R13+R39+R65+R89</f>
        <v>1863</v>
      </c>
      <c r="S95" s="28" t="n">
        <f aca="false">S13+S39+S65+S89</f>
        <v>1996</v>
      </c>
      <c r="T95" s="28" t="n">
        <f aca="false">T13+T39+T65+T89</f>
        <v>7441</v>
      </c>
      <c r="U95" s="28" t="n">
        <f aca="false">U13+U39+U65+U89</f>
        <v>1874</v>
      </c>
      <c r="V95" s="28" t="n">
        <f aca="false">V13+V39+V65+V89</f>
        <v>2020</v>
      </c>
      <c r="W95" s="28" t="n">
        <f aca="false">W13+W39+W65+W89</f>
        <v>3894</v>
      </c>
      <c r="X95" s="28" t="n">
        <f aca="false">X13+X39+X65+X89</f>
        <v>2083</v>
      </c>
      <c r="Y95" s="28" t="n">
        <f aca="false">Y13+Y39+Y65+Y89</f>
        <v>2199</v>
      </c>
      <c r="Z95" s="28" t="n">
        <f aca="false">Z13+Z39+Z65+Z89</f>
        <v>8176</v>
      </c>
      <c r="AA95" s="28" t="n">
        <f aca="false">AA13+AA39+AA65+AA89</f>
        <v>2080</v>
      </c>
      <c r="AB95" s="28" t="n">
        <f aca="false">AB13+AB39+AB65+AB89</f>
        <v>2188</v>
      </c>
      <c r="AC95" s="28" t="n">
        <f aca="false">AC13+AC39+AC65+AC89</f>
        <v>4268</v>
      </c>
      <c r="AD95" s="28" t="n">
        <f aca="false">AD13+AD39+AD65+AD89</f>
        <v>2219</v>
      </c>
      <c r="AE95" s="28" t="n">
        <f aca="false">AE13+AE39+AE65+AE89</f>
        <v>2412</v>
      </c>
      <c r="AF95" s="28" t="n">
        <f aca="false">AF13+AF39+AF65+AF89</f>
        <v>8899</v>
      </c>
      <c r="AG95" s="28" t="n">
        <f aca="false">AG13+AG39+AG65+AG89</f>
        <v>2263</v>
      </c>
      <c r="AH95" s="28" t="n">
        <f aca="false">AH13+AH39+AH65+AH89</f>
        <v>2027</v>
      </c>
      <c r="AI95" s="28" t="n">
        <f aca="false">AI13+AI39+AI65+AI89</f>
        <v>4290</v>
      </c>
      <c r="AJ95" s="28" t="n">
        <f aca="false">AJ13+AJ39+AJ65+AJ89</f>
        <v>2314</v>
      </c>
      <c r="AK95" s="28" t="n">
        <f aca="false">AK13+AK39+AK65+AK89</f>
        <v>2757</v>
      </c>
      <c r="AL95" s="28" t="n">
        <f aca="false">AL13+AL39+AL65+AL89</f>
        <v>9361</v>
      </c>
      <c r="AM95" s="28" t="n">
        <f aca="false">AM13+AM39+AM65+AM89</f>
        <v>2278</v>
      </c>
      <c r="AN95" s="28" t="n">
        <f aca="false">AN13+AN39+AN65+AN89</f>
        <v>2231</v>
      </c>
      <c r="AO95" s="28" t="n">
        <f aca="false">AO13+AO39+AO65+AO89</f>
        <v>4509</v>
      </c>
      <c r="AP95" s="28" t="n">
        <f aca="false">AP13+AP39+AP65+AP89</f>
        <v>2338</v>
      </c>
      <c r="AQ95" s="28" t="n">
        <f aca="false">AQ13+AQ39+AQ65+AQ89</f>
        <v>2677</v>
      </c>
      <c r="AR95" s="28" t="n">
        <f aca="false">AR13+AR39+AR65+AR89</f>
        <v>9524</v>
      </c>
      <c r="AS95" s="28" t="n">
        <f aca="false">AS13+AS39+AS65+AS89</f>
        <v>2576</v>
      </c>
      <c r="AT95" s="28" t="n">
        <f aca="false">AT13+AT39+AT65+AT89</f>
        <v>2662</v>
      </c>
      <c r="AU95" s="28" t="n">
        <f aca="false">AU13+AU39+AU65+AU89</f>
        <v>5238</v>
      </c>
      <c r="AV95" s="28" t="n">
        <f aca="false">AV13+AV39+AV65+AV89</f>
        <v>2626</v>
      </c>
      <c r="AW95" s="28" t="n">
        <f aca="false">AW13+AW39+AW65+AW89</f>
        <v>2812</v>
      </c>
      <c r="AX95" s="28" t="n">
        <f aca="false">AX13+AX39+AX65+AX89</f>
        <v>10676</v>
      </c>
      <c r="AY95" s="28" t="n">
        <f aca="false">AY13+AY39+AY65+AY89</f>
        <v>2674</v>
      </c>
      <c r="AZ95" s="28" t="n">
        <f aca="false">AZ13+AZ39+AZ65+AZ89</f>
        <v>2787</v>
      </c>
      <c r="BA95" s="28" t="n">
        <f aca="false">BA13+BA39+BA65+BA89</f>
        <v>5461</v>
      </c>
      <c r="BB95" s="28" t="n">
        <f aca="false">BB13+BB39+BB65+BB89</f>
        <v>2816</v>
      </c>
      <c r="BC95" s="28" t="n">
        <f aca="false">BC13+BC39+BC65+BC89</f>
        <v>3177</v>
      </c>
      <c r="BD95" s="28" t="n">
        <f aca="false">BD13+BD39+BD65+BD89</f>
        <v>11454</v>
      </c>
      <c r="BE95" s="28" t="n">
        <f aca="false">BE13+BE39+BE65+BE89</f>
        <v>2805</v>
      </c>
      <c r="BF95" s="28" t="n">
        <f aca="false">BF13+BF39+BF65+BF89</f>
        <v>2977</v>
      </c>
      <c r="BG95" s="28" t="n">
        <f aca="false">BG13+BG39+BG65+BG89</f>
        <v>5782</v>
      </c>
      <c r="BH95" s="28" t="n">
        <f aca="false">BH13+BH39+BH65+BH89</f>
        <v>2749</v>
      </c>
      <c r="BI95" s="28" t="n">
        <f aca="false">BI13+BI39+BI65+BI89</f>
        <v>3004</v>
      </c>
      <c r="BJ95" s="28" t="n">
        <f aca="false">BJ13+BJ39+BJ65+BJ89</f>
        <v>11535</v>
      </c>
      <c r="BK95" s="28" t="n">
        <f aca="false">BK13+BK39+BK65+BK89</f>
        <v>2734</v>
      </c>
      <c r="BL95" s="28" t="n">
        <f aca="false">BL13+BL39+BL65+BL89</f>
        <v>3082</v>
      </c>
      <c r="BM95" s="28" t="n">
        <f aca="false">BM13+BM39+BM65+BM89</f>
        <v>5816</v>
      </c>
      <c r="BN95" s="28" t="n">
        <f aca="false">BN13+BN39+BN65+BN89</f>
        <v>3192</v>
      </c>
      <c r="BO95" s="28" t="n">
        <f aca="false">BO13+BO39+BO65+BO89</f>
        <v>3476</v>
      </c>
      <c r="BP95" s="28" t="n">
        <f aca="false">BP13+BP39+BP65+BP89</f>
        <v>12484</v>
      </c>
      <c r="BQ95" s="28" t="n">
        <f aca="false">BQ13+BQ39+BQ65+BQ89</f>
        <v>3099</v>
      </c>
      <c r="BR95" s="28" t="n">
        <f aca="false">BR13+BR39+BR65+BR89</f>
        <v>3418</v>
      </c>
      <c r="BS95" s="28" t="n">
        <f aca="false">BS13+BS39+BS65+BS89</f>
        <v>6517</v>
      </c>
      <c r="BT95" s="29" t="n">
        <f aca="false">BT13+BT39+BT65+BT89</f>
        <v>3366.5</v>
      </c>
      <c r="BU95" s="29" t="n">
        <f aca="false">BU13+BU39+BU65+BU89</f>
        <v>3366.5</v>
      </c>
      <c r="BV95" s="29" t="n">
        <f aca="false">BV13+BV39+BV65+BV89</f>
        <v>13250</v>
      </c>
      <c r="BW95" s="29" t="n">
        <f aca="false">BW13+BW39+BW65+BW89</f>
        <v>14059.0714996354</v>
      </c>
      <c r="BX95" s="29" t="n">
        <f aca="false">BX13+BX39+BX65+BX89</f>
        <v>14824.1395785198</v>
      </c>
      <c r="BY95" s="29" t="n">
        <f aca="false">BY13+BY39+BY65+BY89</f>
        <v>15589.6757335805</v>
      </c>
      <c r="BZ95" s="29" t="n">
        <f aca="false">BZ13+BZ39+BZ65+BZ89</f>
        <v>16333.7983133363</v>
      </c>
      <c r="CA95" s="16" t="s">
        <v>183</v>
      </c>
      <c r="CC95" s="30" t="n">
        <f aca="false">IFERROR((BZ95/BP95)^(1/5)-1,"n/m")</f>
        <v>0.0552289214630053</v>
      </c>
      <c r="CD95" s="30" t="n">
        <f aca="false">IFERROR((BP95/AL95)^(1/5)-1,"n/m")</f>
        <v>0.059269098321769</v>
      </c>
      <c r="CE95" s="30" t="n">
        <f aca="false">IFERROR((BP95/H95)^(1/10)-1,"n/m")</f>
        <v>0.0592577856353309</v>
      </c>
    </row>
    <row r="96" customFormat="false" ht="15" hidden="false" customHeight="false" outlineLevel="0" collapsed="false">
      <c r="B96" s="1" t="s">
        <v>184</v>
      </c>
      <c r="C96" s="2" t="n">
        <f aca="false">C13+C39</f>
        <v>1530</v>
      </c>
      <c r="D96" s="2" t="n">
        <f aca="false">D13+D39</f>
        <v>1712</v>
      </c>
      <c r="E96" s="2" t="n">
        <f aca="false">E13+E39</f>
        <v>3242</v>
      </c>
      <c r="F96" s="2" t="n">
        <f aca="false">F13+F39</f>
        <v>1770</v>
      </c>
      <c r="G96" s="2" t="n">
        <f aca="false">G13+G39</f>
        <v>1774</v>
      </c>
      <c r="H96" s="2" t="n">
        <f aca="false">H13+H39</f>
        <v>6486</v>
      </c>
      <c r="I96" s="2" t="n">
        <f aca="false">I13+I39</f>
        <v>1579</v>
      </c>
      <c r="J96" s="2" t="n">
        <f aca="false">J13+J39</f>
        <v>1584</v>
      </c>
      <c r="K96" s="2" t="n">
        <f aca="false">K13+K39</f>
        <v>3163</v>
      </c>
      <c r="L96" s="2" t="n">
        <f aca="false">L13+L39</f>
        <v>1555</v>
      </c>
      <c r="M96" s="2" t="n">
        <f aca="false">M13+M39</f>
        <v>1760</v>
      </c>
      <c r="N96" s="2" t="n">
        <f aca="false">N13+N39</f>
        <v>6478</v>
      </c>
      <c r="O96" s="2" t="n">
        <f aca="false">O13+O39</f>
        <v>1521</v>
      </c>
      <c r="P96" s="2" t="n">
        <f aca="false">P13+P39</f>
        <v>1640</v>
      </c>
      <c r="Q96" s="2" t="n">
        <f aca="false">Q13+Q39</f>
        <v>3161</v>
      </c>
      <c r="R96" s="2" t="n">
        <f aca="false">R13+R39</f>
        <v>1646</v>
      </c>
      <c r="S96" s="2" t="n">
        <f aca="false">S13+S39</f>
        <v>1777</v>
      </c>
      <c r="T96" s="2" t="n">
        <f aca="false">T13+T39</f>
        <v>6584</v>
      </c>
      <c r="U96" s="2" t="n">
        <f aca="false">U13+U39</f>
        <v>1667</v>
      </c>
      <c r="V96" s="2" t="n">
        <f aca="false">V13+V39</f>
        <v>1812</v>
      </c>
      <c r="W96" s="2" t="n">
        <f aca="false">W13+W39</f>
        <v>3479</v>
      </c>
      <c r="X96" s="2" t="n">
        <f aca="false">X13+X39</f>
        <v>1873</v>
      </c>
      <c r="Y96" s="2" t="n">
        <f aca="false">Y13+Y39</f>
        <v>2051</v>
      </c>
      <c r="Z96" s="2" t="n">
        <f aca="false">Z13+Z39</f>
        <v>7403</v>
      </c>
      <c r="AA96" s="2" t="n">
        <f aca="false">AA13+AA39</f>
        <v>1863</v>
      </c>
      <c r="AB96" s="2" t="n">
        <f aca="false">AB13+AB39</f>
        <v>1901</v>
      </c>
      <c r="AC96" s="2" t="n">
        <f aca="false">AC13+AC39</f>
        <v>3764</v>
      </c>
      <c r="AD96" s="2" t="n">
        <f aca="false">AD13+AD39</f>
        <v>1921</v>
      </c>
      <c r="AE96" s="2" t="n">
        <f aca="false">AE13+AE39</f>
        <v>2101</v>
      </c>
      <c r="AF96" s="2" t="n">
        <f aca="false">AF13+AF39</f>
        <v>7786</v>
      </c>
      <c r="AG96" s="2" t="n">
        <f aca="false">AG13+AG39</f>
        <v>1970</v>
      </c>
      <c r="AH96" s="2" t="n">
        <f aca="false">AH13+AH39</f>
        <v>1744</v>
      </c>
      <c r="AI96" s="2" t="n">
        <f aca="false">AI13+AI39</f>
        <v>3714</v>
      </c>
      <c r="AJ96" s="2" t="n">
        <f aca="false">AJ13+AJ39</f>
        <v>2033</v>
      </c>
      <c r="AK96" s="2" t="n">
        <f aca="false">AK13+AK39</f>
        <v>2502</v>
      </c>
      <c r="AL96" s="2" t="n">
        <f aca="false">AL13+AL39</f>
        <v>8249</v>
      </c>
      <c r="AM96" s="2" t="n">
        <f aca="false">AM13+AM39</f>
        <v>2056</v>
      </c>
      <c r="AN96" s="2" t="n">
        <f aca="false">AN13+AN39</f>
        <v>2033</v>
      </c>
      <c r="AO96" s="2" t="n">
        <f aca="false">AO13+AO39</f>
        <v>4089</v>
      </c>
      <c r="AP96" s="2" t="n">
        <f aca="false">AP13+AP39</f>
        <v>1982</v>
      </c>
      <c r="AQ96" s="2" t="n">
        <f aca="false">AQ13+AQ39</f>
        <v>2120</v>
      </c>
      <c r="AR96" s="2" t="n">
        <f aca="false">AR13+AR39</f>
        <v>8191</v>
      </c>
      <c r="AS96" s="2" t="n">
        <f aca="false">AS13+AS39</f>
        <v>2021</v>
      </c>
      <c r="AT96" s="2" t="n">
        <f aca="false">AT13+AT39</f>
        <v>2091</v>
      </c>
      <c r="AU96" s="2" t="n">
        <f aca="false">AU13+AU39</f>
        <v>4112</v>
      </c>
      <c r="AV96" s="2" t="n">
        <f aca="false">AV13+AV39</f>
        <v>2068</v>
      </c>
      <c r="AW96" s="2" t="n">
        <f aca="false">AW13+AW39</f>
        <v>2242</v>
      </c>
      <c r="AX96" s="2" t="n">
        <f aca="false">AX13+AX39</f>
        <v>8422</v>
      </c>
      <c r="AY96" s="2" t="n">
        <f aca="false">AY13+AY39</f>
        <v>2083</v>
      </c>
      <c r="AZ96" s="2" t="n">
        <f aca="false">AZ13+AZ39</f>
        <v>2173</v>
      </c>
      <c r="BA96" s="2" t="n">
        <f aca="false">BA13+BA39</f>
        <v>4256</v>
      </c>
      <c r="BB96" s="2" t="n">
        <f aca="false">BB13+BB39</f>
        <v>2164</v>
      </c>
      <c r="BC96" s="2" t="n">
        <f aca="false">BC13+BC39</f>
        <v>2465</v>
      </c>
      <c r="BD96" s="2" t="n">
        <f aca="false">BD13+BD39</f>
        <v>8885</v>
      </c>
      <c r="BE96" s="2" t="n">
        <f aca="false">BE13+BE39</f>
        <v>2089</v>
      </c>
      <c r="BF96" s="2" t="n">
        <f aca="false">BF13+BF39</f>
        <v>2247</v>
      </c>
      <c r="BG96" s="2" t="n">
        <f aca="false">BG13+BG39</f>
        <v>4336</v>
      </c>
      <c r="BH96" s="2" t="n">
        <f aca="false">BH13+BH39</f>
        <v>2076</v>
      </c>
      <c r="BI96" s="2" t="n">
        <f aca="false">BI13+BI39</f>
        <v>2324</v>
      </c>
      <c r="BJ96" s="2" t="n">
        <f aca="false">BJ13+BJ39</f>
        <v>8736</v>
      </c>
      <c r="BK96" s="2" t="n">
        <f aca="false">BK13+BK39</f>
        <v>2033</v>
      </c>
      <c r="BL96" s="2" t="n">
        <f aca="false">BL13+BL39</f>
        <v>2327</v>
      </c>
      <c r="BM96" s="2" t="n">
        <f aca="false">BM13+BM39</f>
        <v>4360</v>
      </c>
      <c r="BN96" s="2" t="n">
        <f aca="false">BN13+BN39</f>
        <v>2445</v>
      </c>
      <c r="BO96" s="2" t="n">
        <f aca="false">BO13+BO39</f>
        <v>2780</v>
      </c>
      <c r="BP96" s="2" t="n">
        <f aca="false">BP13+BP39</f>
        <v>9585</v>
      </c>
      <c r="BQ96" s="2" t="n">
        <f aca="false">BQ13+BQ39</f>
        <v>2390</v>
      </c>
      <c r="BR96" s="2" t="n">
        <f aca="false">BR13+BR39</f>
        <v>2694</v>
      </c>
      <c r="BS96" s="2" t="n">
        <f aca="false">BS13+BS39</f>
        <v>5084</v>
      </c>
      <c r="BT96" s="3" t="n">
        <f aca="false">BT13+BT39</f>
        <v>2608</v>
      </c>
      <c r="BU96" s="3" t="n">
        <f aca="false">BU13+BU39</f>
        <v>2608</v>
      </c>
      <c r="BV96" s="3" t="n">
        <f aca="false">BV13+BV39</f>
        <v>10300</v>
      </c>
      <c r="BW96" s="3" t="n">
        <f aca="false">BW13+BW39</f>
        <v>10989.192368214</v>
      </c>
      <c r="BX96" s="3" t="n">
        <f aca="false">BX13+BX39</f>
        <v>11631.6858654603</v>
      </c>
      <c r="BY96" s="3" t="n">
        <f aca="false">BY13+BY39</f>
        <v>12253.6433507474</v>
      </c>
      <c r="BZ96" s="3" t="n">
        <f aca="false">BZ13+BZ39</f>
        <v>12847.651019106</v>
      </c>
      <c r="CA96" s="16" t="s">
        <v>185</v>
      </c>
      <c r="CC96" s="30" t="n">
        <f aca="false">IFERROR((BZ96/BP96)^(1/5)-1,"n/m")</f>
        <v>0.0603428758608644</v>
      </c>
      <c r="CD96" s="30" t="n">
        <f aca="false">IFERROR((BP96/AL96)^(1/5)-1,"n/m")</f>
        <v>0.0304766674517278</v>
      </c>
      <c r="CE96" s="30" t="n">
        <f aca="false">IFERROR((BP96/H96)^(1/10)-1,"n/m")</f>
        <v>0.039828022877147</v>
      </c>
    </row>
    <row r="97" customFormat="false" ht="15" hidden="false" customHeight="false" outlineLevel="0" collapsed="false">
      <c r="B97" s="32" t="s">
        <v>186</v>
      </c>
      <c r="C97" s="28" t="n">
        <f aca="false">C14+C40+C66</f>
        <v>128</v>
      </c>
      <c r="D97" s="28" t="n">
        <f aca="false">D14+D40+D66</f>
        <v>243</v>
      </c>
      <c r="E97" s="28" t="n">
        <f aca="false">E14+E40+E66</f>
        <v>371</v>
      </c>
      <c r="F97" s="28" t="n">
        <f aca="false">F14+F40+F66</f>
        <v>172</v>
      </c>
      <c r="G97" s="28" t="n">
        <f aca="false">G14+G40+G66</f>
        <v>124</v>
      </c>
      <c r="H97" s="34" t="n">
        <f aca="false">H14+H40+H66</f>
        <v>667</v>
      </c>
      <c r="I97" s="28" t="n">
        <f aca="false">I14+I40+I66</f>
        <v>166</v>
      </c>
      <c r="J97" s="28" t="n">
        <f aca="false">J14+J40+J66</f>
        <v>184</v>
      </c>
      <c r="K97" s="28" t="n">
        <f aca="false">K14+K40+K66</f>
        <v>350</v>
      </c>
      <c r="L97" s="28" t="n">
        <f aca="false">L14+L40+L66</f>
        <v>140</v>
      </c>
      <c r="M97" s="28" t="n">
        <f aca="false">M14+M40+M66</f>
        <v>225</v>
      </c>
      <c r="N97" s="34" t="n">
        <f aca="false">N14+N40+N66</f>
        <v>715</v>
      </c>
      <c r="O97" s="28" t="n">
        <f aca="false">O14+O40+O66</f>
        <v>120</v>
      </c>
      <c r="P97" s="28" t="n">
        <f aca="false">P14+P40+P66</f>
        <v>187</v>
      </c>
      <c r="Q97" s="28" t="n">
        <f aca="false">Q14+Q40+Q66</f>
        <v>307</v>
      </c>
      <c r="R97" s="28" t="n">
        <f aca="false">R14+R40+R66</f>
        <v>192</v>
      </c>
      <c r="S97" s="28" t="n">
        <f aca="false">S14+S40+S66</f>
        <v>189</v>
      </c>
      <c r="T97" s="34" t="n">
        <f aca="false">T14+T40+T66</f>
        <v>688</v>
      </c>
      <c r="U97" s="28" t="n">
        <f aca="false">U14+U40+U66</f>
        <v>117</v>
      </c>
      <c r="V97" s="28" t="n">
        <f aca="false">V14+V40+V66</f>
        <v>181</v>
      </c>
      <c r="W97" s="28" t="n">
        <f aca="false">W14+W40+W66</f>
        <v>298</v>
      </c>
      <c r="X97" s="28" t="n">
        <f aca="false">X14+X40+X66</f>
        <v>217</v>
      </c>
      <c r="Y97" s="28" t="n">
        <f aca="false">Y14+Y40+Y66</f>
        <v>148</v>
      </c>
      <c r="Z97" s="34" t="n">
        <f aca="false">Z14+Z40+Z66</f>
        <v>663</v>
      </c>
      <c r="AA97" s="28" t="n">
        <f aca="false">AA14+AA40+AA66</f>
        <v>129</v>
      </c>
      <c r="AB97" s="28" t="n">
        <f aca="false">AB14+AB40+AB66</f>
        <v>138</v>
      </c>
      <c r="AC97" s="28" t="n">
        <f aca="false">AC14+AC40+AC66</f>
        <v>267</v>
      </c>
      <c r="AD97" s="28" t="n">
        <f aca="false">AD14+AD40+AD66</f>
        <v>191</v>
      </c>
      <c r="AE97" s="28" t="n">
        <f aca="false">AE14+AE40+AE66</f>
        <v>173</v>
      </c>
      <c r="AF97" s="34" t="n">
        <f aca="false">AF14+AF40+AF66</f>
        <v>631</v>
      </c>
      <c r="AG97" s="28" t="n">
        <f aca="false">AG14+AG40+AG66</f>
        <v>156</v>
      </c>
      <c r="AH97" s="28" t="n">
        <f aca="false">AH14+AH40+AH66</f>
        <v>-5</v>
      </c>
      <c r="AI97" s="28" t="n">
        <f aca="false">AI14+AI40+AI66</f>
        <v>151</v>
      </c>
      <c r="AJ97" s="28" t="n">
        <f aca="false">AJ14+AJ40+AJ66</f>
        <v>162</v>
      </c>
      <c r="AK97" s="28" t="n">
        <f aca="false">AK14+AK40+AK66</f>
        <v>242</v>
      </c>
      <c r="AL97" s="34" t="n">
        <f aca="false">AL14+AL40+AL66</f>
        <v>555</v>
      </c>
      <c r="AM97" s="28" t="n">
        <f aca="false">AM14+AM40+AM66</f>
        <v>191</v>
      </c>
      <c r="AN97" s="28" t="n">
        <f aca="false">AN14+AN40+AN66</f>
        <v>169</v>
      </c>
      <c r="AO97" s="28" t="n">
        <f aca="false">AO14+AO40+AO66</f>
        <v>360</v>
      </c>
      <c r="AP97" s="28" t="n">
        <f aca="false">AP14+AP40+AP66</f>
        <v>163</v>
      </c>
      <c r="AQ97" s="28" t="n">
        <f aca="false">AQ14+AQ40+AQ66</f>
        <v>160</v>
      </c>
      <c r="AR97" s="34" t="n">
        <f aca="false">AR14+AR40+AR66</f>
        <v>683</v>
      </c>
      <c r="AS97" s="28" t="n">
        <f aca="false">AS14+AS40+AS66</f>
        <v>176</v>
      </c>
      <c r="AT97" s="28" t="n">
        <f aca="false">AT14+AT40+AT66</f>
        <v>225</v>
      </c>
      <c r="AU97" s="28" t="n">
        <f aca="false">AU14+AU40+AU66</f>
        <v>401</v>
      </c>
      <c r="AV97" s="28" t="n">
        <f aca="false">AV14+AV40+AV66</f>
        <v>166</v>
      </c>
      <c r="AW97" s="28" t="n">
        <f aca="false">AW14+AW40+AW66</f>
        <v>145</v>
      </c>
      <c r="AX97" s="34" t="n">
        <f aca="false">AX14+AX40+AX66</f>
        <v>712</v>
      </c>
      <c r="AY97" s="28" t="n">
        <f aca="false">AY14+AY40+AY66</f>
        <v>156</v>
      </c>
      <c r="AZ97" s="28" t="n">
        <f aca="false">AZ14+AZ40+AZ66</f>
        <v>169</v>
      </c>
      <c r="BA97" s="28" t="n">
        <f aca="false">BA14+BA40+BA66</f>
        <v>325</v>
      </c>
      <c r="BB97" s="28" t="n">
        <f aca="false">BB14+BB40+BB66</f>
        <v>187</v>
      </c>
      <c r="BC97" s="28" t="n">
        <f aca="false">BC14+BC40+BC66</f>
        <v>330</v>
      </c>
      <c r="BD97" s="34" t="n">
        <f aca="false">BD14+BD40+BD66</f>
        <v>842</v>
      </c>
      <c r="BE97" s="28" t="n">
        <f aca="false">BE14+BE40+BE66</f>
        <v>170</v>
      </c>
      <c r="BF97" s="28" t="n">
        <f aca="false">BF14+BF40+BF66</f>
        <v>203</v>
      </c>
      <c r="BG97" s="28" t="n">
        <f aca="false">BG14+BG40+BG66</f>
        <v>373</v>
      </c>
      <c r="BH97" s="28" t="n">
        <f aca="false">BH14+BH40+BH66</f>
        <v>97</v>
      </c>
      <c r="BI97" s="28" t="n">
        <f aca="false">BI14+BI40+BI66</f>
        <v>103</v>
      </c>
      <c r="BJ97" s="34" t="n">
        <f aca="false">BJ14+BJ40+BJ66</f>
        <v>573</v>
      </c>
      <c r="BK97" s="28" t="n">
        <f aca="false">BK14+BK40+BK66</f>
        <v>171</v>
      </c>
      <c r="BL97" s="28" t="n">
        <f aca="false">BL14+BL40+BL66</f>
        <v>172</v>
      </c>
      <c r="BM97" s="28" t="n">
        <f aca="false">BM14+BM40+BM66</f>
        <v>343</v>
      </c>
      <c r="BN97" s="28" t="n">
        <f aca="false">BN14+BN40+BN66</f>
        <v>179</v>
      </c>
      <c r="BO97" s="28" t="n">
        <f aca="false">BO14+BO40+BO66</f>
        <v>195</v>
      </c>
      <c r="BP97" s="34" t="n">
        <f aca="false">BP14+BP40+BP66</f>
        <v>717</v>
      </c>
      <c r="BQ97" s="28" t="n">
        <f aca="false">BQ14+BQ40+BQ66</f>
        <v>172</v>
      </c>
      <c r="BR97" s="28" t="n">
        <f aca="false">BR14+BR40+BR66</f>
        <v>224</v>
      </c>
      <c r="BS97" s="28" t="n">
        <f aca="false">BS14+BS40+BS66</f>
        <v>396</v>
      </c>
      <c r="BT97" s="34" t="n">
        <f aca="false">BT14+BT40+BT66</f>
        <v>201.375</v>
      </c>
      <c r="BU97" s="34" t="n">
        <f aca="false">BU14+BU40+BU66</f>
        <v>201.375</v>
      </c>
      <c r="BV97" s="34" t="n">
        <f aca="false">BV14+BV40+BV66</f>
        <v>798.75</v>
      </c>
      <c r="BW97" s="34" t="n">
        <f aca="false">BW14+BW40+BW66</f>
        <v>927.888529701023</v>
      </c>
      <c r="BX97" s="34" t="n">
        <f aca="false">BX14+BX40+BX66</f>
        <v>1016.41604789536</v>
      </c>
      <c r="BY97" s="34" t="n">
        <f aca="false">BY14+BY40+BY66</f>
        <v>1108.53462610799</v>
      </c>
      <c r="BZ97" s="34" t="n">
        <f aca="false">BZ14+BZ40+BZ66</f>
        <v>1202.77964671479</v>
      </c>
      <c r="CA97" s="16"/>
      <c r="CC97" s="30" t="n">
        <f aca="false">IFERROR((BZ97/BP97)^(1/5)-1,"n/m")</f>
        <v>0.109004690401905</v>
      </c>
      <c r="CD97" s="30" t="n">
        <f aca="false">IFERROR((BP97/AL97)^(1/5)-1,"n/m")</f>
        <v>0.0525560563757745</v>
      </c>
      <c r="CE97" s="30" t="n">
        <f aca="false">IFERROR((BP97/H97)^(1/10)-1,"n/m")</f>
        <v>0.00725476871461694</v>
      </c>
    </row>
    <row r="98" customFormat="false" ht="15" hidden="false" customHeight="false" outlineLevel="0" collapsed="false">
      <c r="B98" s="1" t="s">
        <v>187</v>
      </c>
      <c r="C98" s="2" t="n">
        <f aca="false">C14+C40</f>
        <v>138</v>
      </c>
      <c r="D98" s="2" t="n">
        <f aca="false">D14+D40</f>
        <v>307</v>
      </c>
      <c r="E98" s="2" t="n">
        <f aca="false">E14+E40</f>
        <v>445</v>
      </c>
      <c r="F98" s="2" t="n">
        <f aca="false">F14+F40</f>
        <v>177</v>
      </c>
      <c r="G98" s="2" t="n">
        <f aca="false">G14+G40</f>
        <v>175</v>
      </c>
      <c r="H98" s="2" t="n">
        <f aca="false">H14+H40</f>
        <v>780</v>
      </c>
      <c r="I98" s="2" t="n">
        <f aca="false">I14+I40</f>
        <v>163</v>
      </c>
      <c r="J98" s="2" t="n">
        <f aca="false">J14+J40</f>
        <v>186</v>
      </c>
      <c r="K98" s="2" t="n">
        <f aca="false">K14+K40</f>
        <v>349</v>
      </c>
      <c r="L98" s="2" t="n">
        <f aca="false">L14+L40</f>
        <v>134</v>
      </c>
      <c r="M98" s="2" t="n">
        <f aca="false">M14+M40</f>
        <v>224</v>
      </c>
      <c r="N98" s="2" t="n">
        <f aca="false">N14+N40</f>
        <v>707</v>
      </c>
      <c r="O98" s="2" t="n">
        <f aca="false">O14+O40</f>
        <v>138</v>
      </c>
      <c r="P98" s="2" t="n">
        <f aca="false">P14+P40</f>
        <v>178</v>
      </c>
      <c r="Q98" s="2" t="n">
        <f aca="false">Q14+Q40</f>
        <v>316</v>
      </c>
      <c r="R98" s="2" t="n">
        <f aca="false">R14+R40</f>
        <v>170</v>
      </c>
      <c r="S98" s="2" t="n">
        <f aca="false">S14+S40</f>
        <v>181</v>
      </c>
      <c r="T98" s="2" t="n">
        <f aca="false">T14+T40</f>
        <v>667</v>
      </c>
      <c r="U98" s="2" t="n">
        <f aca="false">U14+U40</f>
        <v>115</v>
      </c>
      <c r="V98" s="2" t="n">
        <f aca="false">V14+V40</f>
        <v>174</v>
      </c>
      <c r="W98" s="2" t="n">
        <f aca="false">W14+W40</f>
        <v>289</v>
      </c>
      <c r="X98" s="2" t="n">
        <f aca="false">X14+X40</f>
        <v>201</v>
      </c>
      <c r="Y98" s="2" t="n">
        <f aca="false">Y14+Y40</f>
        <v>153</v>
      </c>
      <c r="Z98" s="2" t="n">
        <f aca="false">Z14+Z40</f>
        <v>643</v>
      </c>
      <c r="AA98" s="2" t="n">
        <f aca="false">AA14+AA40</f>
        <v>127</v>
      </c>
      <c r="AB98" s="2" t="n">
        <f aca="false">AB14+AB40</f>
        <v>140</v>
      </c>
      <c r="AC98" s="2" t="n">
        <f aca="false">AC14+AC40</f>
        <v>267</v>
      </c>
      <c r="AD98" s="2" t="n">
        <f aca="false">AD14+AD40</f>
        <v>182</v>
      </c>
      <c r="AE98" s="2" t="n">
        <f aca="false">AE14+AE40</f>
        <v>196</v>
      </c>
      <c r="AF98" s="2" t="n">
        <f aca="false">AF14+AF40</f>
        <v>645</v>
      </c>
      <c r="AG98" s="2" t="n">
        <f aca="false">AG14+AG40</f>
        <v>163</v>
      </c>
      <c r="AH98" s="2" t="n">
        <f aca="false">AH14+AH40</f>
        <v>-14</v>
      </c>
      <c r="AI98" s="2" t="n">
        <f aca="false">AI14+AI40</f>
        <v>149</v>
      </c>
      <c r="AJ98" s="2" t="n">
        <f aca="false">AJ14+AJ40</f>
        <v>141</v>
      </c>
      <c r="AK98" s="2" t="n">
        <f aca="false">AK14+AK40</f>
        <v>224</v>
      </c>
      <c r="AL98" s="2" t="n">
        <f aca="false">AL14+AL40</f>
        <v>514</v>
      </c>
      <c r="AM98" s="2" t="n">
        <f aca="false">AM14+AM40</f>
        <v>184</v>
      </c>
      <c r="AN98" s="2" t="n">
        <f aca="false">AN14+AN40</f>
        <v>156</v>
      </c>
      <c r="AO98" s="2" t="n">
        <f aca="false">AO14+AO40</f>
        <v>340</v>
      </c>
      <c r="AP98" s="2" t="n">
        <f aca="false">AP14+AP40</f>
        <v>150</v>
      </c>
      <c r="AQ98" s="2" t="n">
        <f aca="false">AQ14+AQ40</f>
        <v>143</v>
      </c>
      <c r="AR98" s="2" t="n">
        <f aca="false">AR14+AR40</f>
        <v>633</v>
      </c>
      <c r="AS98" s="2" t="n">
        <f aca="false">AS14+AS40</f>
        <v>167</v>
      </c>
      <c r="AT98" s="2" t="n">
        <f aca="false">AT14+AT40</f>
        <v>200</v>
      </c>
      <c r="AU98" s="2" t="n">
        <f aca="false">AU14+AU40</f>
        <v>367</v>
      </c>
      <c r="AV98" s="2" t="n">
        <f aca="false">AV14+AV40</f>
        <v>152</v>
      </c>
      <c r="AW98" s="2" t="n">
        <f aca="false">AW14+AW40</f>
        <v>130</v>
      </c>
      <c r="AX98" s="2" t="n">
        <f aca="false">AX14+AX40</f>
        <v>649</v>
      </c>
      <c r="AY98" s="2" t="n">
        <f aca="false">AY14+AY40</f>
        <v>139</v>
      </c>
      <c r="AZ98" s="2" t="n">
        <f aca="false">AZ14+AZ40</f>
        <v>160</v>
      </c>
      <c r="BA98" s="2" t="n">
        <f aca="false">BA14+BA40</f>
        <v>299</v>
      </c>
      <c r="BB98" s="2" t="n">
        <f aca="false">BB14+BB40</f>
        <v>163</v>
      </c>
      <c r="BC98" s="2" t="n">
        <f aca="false">BC14+BC40</f>
        <v>279</v>
      </c>
      <c r="BD98" s="2" t="n">
        <f aca="false">BD14+BD40</f>
        <v>741</v>
      </c>
      <c r="BE98" s="2" t="n">
        <f aca="false">BE14+BE40</f>
        <v>142</v>
      </c>
      <c r="BF98" s="2" t="n">
        <f aca="false">BF14+BF40</f>
        <v>167</v>
      </c>
      <c r="BG98" s="2" t="n">
        <f aca="false">BG14+BG40</f>
        <v>309</v>
      </c>
      <c r="BH98" s="2" t="n">
        <f aca="false">BH14+BH40</f>
        <v>64</v>
      </c>
      <c r="BI98" s="2" t="n">
        <f aca="false">BI14+BI40</f>
        <v>84</v>
      </c>
      <c r="BJ98" s="2" t="n">
        <f aca="false">BJ14+BJ40</f>
        <v>457</v>
      </c>
      <c r="BK98" s="2" t="n">
        <f aca="false">BK14+BK40</f>
        <v>131</v>
      </c>
      <c r="BL98" s="2" t="n">
        <f aca="false">BL14+BL40</f>
        <v>136</v>
      </c>
      <c r="BM98" s="2" t="n">
        <f aca="false">BM14+BM40</f>
        <v>267</v>
      </c>
      <c r="BN98" s="2" t="n">
        <f aca="false">BN14+BN40</f>
        <v>145</v>
      </c>
      <c r="BO98" s="2" t="n">
        <f aca="false">BO14+BO40</f>
        <v>152</v>
      </c>
      <c r="BP98" s="2" t="n">
        <f aca="false">BP14+BP40</f>
        <v>564</v>
      </c>
      <c r="BQ98" s="2" t="n">
        <f aca="false">BQ14+BQ40</f>
        <v>137</v>
      </c>
      <c r="BR98" s="2" t="n">
        <f aca="false">BR14+BR40</f>
        <v>169</v>
      </c>
      <c r="BS98" s="2" t="n">
        <f aca="false">BS14+BS40</f>
        <v>306</v>
      </c>
      <c r="BT98" s="3" t="n">
        <f aca="false">BT14+BT40</f>
        <v>168.875</v>
      </c>
      <c r="BU98" s="3" t="n">
        <f aca="false">BU14+BU40</f>
        <v>168.875</v>
      </c>
      <c r="BV98" s="3" t="n">
        <f aca="false">BV14+BV40</f>
        <v>643.75</v>
      </c>
      <c r="BW98" s="3" t="n">
        <f aca="false">BW14+BW40</f>
        <v>758.628529701023</v>
      </c>
      <c r="BX98" s="3" t="n">
        <f aca="false">BX14+BX40</f>
        <v>832.003247895358</v>
      </c>
      <c r="BY98" s="3" t="n">
        <f aca="false">BY14+BY40</f>
        <v>907.063642107986</v>
      </c>
      <c r="BZ98" s="3" t="n">
        <f aca="false">BZ14+BZ40</f>
        <v>983.088678074794</v>
      </c>
      <c r="CA98" s="16"/>
      <c r="CC98" s="30" t="n">
        <f aca="false">IFERROR((BZ98/BP98)^(1/5)-1,"n/m")</f>
        <v>0.117539077138384</v>
      </c>
      <c r="CD98" s="30" t="n">
        <f aca="false">IFERROR((BP98/AL98)^(1/5)-1,"n/m")</f>
        <v>0.0187396206566861</v>
      </c>
      <c r="CE98" s="30" t="n">
        <f aca="false">IFERROR((BP98/H98)^(1/10)-1,"n/m")</f>
        <v>-0.0319039455439645</v>
      </c>
    </row>
    <row r="99" customFormat="false" ht="15" hidden="false" customHeight="false" outlineLevel="0" collapsed="false">
      <c r="B99" s="1" t="s">
        <v>188</v>
      </c>
      <c r="C99" s="2" t="n">
        <f aca="false">-C90</f>
        <v>27</v>
      </c>
      <c r="D99" s="2" t="n">
        <f aca="false">-D90</f>
        <v>28</v>
      </c>
      <c r="E99" s="2" t="n">
        <f aca="false">-E90</f>
        <v>55</v>
      </c>
      <c r="F99" s="2" t="n">
        <f aca="false">-F90</f>
        <v>27</v>
      </c>
      <c r="G99" s="2" t="n">
        <f aca="false">-G90</f>
        <v>22</v>
      </c>
      <c r="H99" s="2" t="n">
        <f aca="false">-H90</f>
        <v>104</v>
      </c>
      <c r="I99" s="2" t="n">
        <f aca="false">-I90</f>
        <v>35</v>
      </c>
      <c r="J99" s="2" t="n">
        <f aca="false">-J90</f>
        <v>35</v>
      </c>
      <c r="K99" s="2" t="n">
        <f aca="false">-K90</f>
        <v>70</v>
      </c>
      <c r="L99" s="2" t="n">
        <f aca="false">-L90</f>
        <v>37</v>
      </c>
      <c r="M99" s="2" t="n">
        <f aca="false">-M90</f>
        <v>38</v>
      </c>
      <c r="N99" s="2" t="n">
        <f aca="false">-N90</f>
        <v>145</v>
      </c>
      <c r="O99" s="2" t="n">
        <f aca="false">-O90</f>
        <v>53</v>
      </c>
      <c r="P99" s="2" t="n">
        <f aca="false">-P90</f>
        <v>53</v>
      </c>
      <c r="Q99" s="2" t="n">
        <f aca="false">-Q90</f>
        <v>106</v>
      </c>
      <c r="R99" s="2" t="n">
        <f aca="false">-R90</f>
        <v>50</v>
      </c>
      <c r="S99" s="2" t="n">
        <f aca="false">-S90</f>
        <v>49</v>
      </c>
      <c r="T99" s="2" t="n">
        <f aca="false">-T90</f>
        <v>205</v>
      </c>
      <c r="U99" s="2" t="n">
        <f aca="false">-U90</f>
        <v>72</v>
      </c>
      <c r="V99" s="2" t="n">
        <f aca="false">-V90</f>
        <v>73</v>
      </c>
      <c r="W99" s="2" t="n">
        <f aca="false">-W90</f>
        <v>145</v>
      </c>
      <c r="X99" s="2" t="n">
        <f aca="false">-X90</f>
        <v>73</v>
      </c>
      <c r="Y99" s="2" t="n">
        <f aca="false">-Y90</f>
        <v>72</v>
      </c>
      <c r="Z99" s="2" t="n">
        <f aca="false">-Z90</f>
        <v>290</v>
      </c>
      <c r="AA99" s="2" t="n">
        <f aca="false">-AA90</f>
        <v>34</v>
      </c>
      <c r="AB99" s="2" t="n">
        <f aca="false">-AB90</f>
        <v>37</v>
      </c>
      <c r="AC99" s="2" t="n">
        <f aca="false">-AC90</f>
        <v>71</v>
      </c>
      <c r="AD99" s="2" t="n">
        <f aca="false">-AD90</f>
        <v>23</v>
      </c>
      <c r="AE99" s="2" t="n">
        <f aca="false">-AE90</f>
        <v>30</v>
      </c>
      <c r="AF99" s="2" t="n">
        <f aca="false">-AF90</f>
        <v>124</v>
      </c>
      <c r="AG99" s="2" t="n">
        <f aca="false">-AG90</f>
        <v>63</v>
      </c>
      <c r="AH99" s="2" t="n">
        <f aca="false">-AH90</f>
        <v>63</v>
      </c>
      <c r="AI99" s="2" t="n">
        <f aca="false">-AI90</f>
        <v>126</v>
      </c>
      <c r="AJ99" s="2" t="n">
        <f aca="false">-AJ90</f>
        <v>60</v>
      </c>
      <c r="AK99" s="2" t="n">
        <f aca="false">-AK90</f>
        <v>62</v>
      </c>
      <c r="AL99" s="2" t="n">
        <f aca="false">-AL90</f>
        <v>248</v>
      </c>
      <c r="AM99" s="2" t="n">
        <f aca="false">-AM90</f>
        <v>-40</v>
      </c>
      <c r="AN99" s="2" t="n">
        <f aca="false">-AN90</f>
        <v>-37</v>
      </c>
      <c r="AO99" s="2" t="n">
        <f aca="false">-AO90</f>
        <v>-77</v>
      </c>
      <c r="AP99" s="2" t="n">
        <f aca="false">-AP90</f>
        <v>-41</v>
      </c>
      <c r="AQ99" s="2" t="n">
        <f aca="false">-AQ90</f>
        <v>-39</v>
      </c>
      <c r="AR99" s="2" t="n">
        <f aca="false">-AR90</f>
        <v>-157</v>
      </c>
      <c r="AS99" s="2" t="n">
        <f aca="false">-AS90</f>
        <v>-37</v>
      </c>
      <c r="AT99" s="2" t="n">
        <f aca="false">-AT90</f>
        <v>-35</v>
      </c>
      <c r="AU99" s="2" t="n">
        <f aca="false">-AU90</f>
        <v>-72</v>
      </c>
      <c r="AV99" s="2" t="n">
        <f aca="false">-AV90</f>
        <v>-36</v>
      </c>
      <c r="AW99" s="2" t="n">
        <f aca="false">-AW90</f>
        <v>-37</v>
      </c>
      <c r="AX99" s="2" t="n">
        <f aca="false">-AX90</f>
        <v>-145</v>
      </c>
      <c r="AY99" s="2" t="n">
        <f aca="false">-AY90</f>
        <v>-19</v>
      </c>
      <c r="AZ99" s="2" t="n">
        <f aca="false">-AZ90</f>
        <v>-17</v>
      </c>
      <c r="BA99" s="2" t="n">
        <f aca="false">-BA90</f>
        <v>-36</v>
      </c>
      <c r="BB99" s="2" t="n">
        <f aca="false">-BB90</f>
        <v>-19</v>
      </c>
      <c r="BC99" s="2" t="n">
        <f aca="false">-BC90</f>
        <v>-17</v>
      </c>
      <c r="BD99" s="2" t="n">
        <f aca="false">-BD90</f>
        <v>-72</v>
      </c>
      <c r="BE99" s="2" t="n">
        <f aca="false">-BE90</f>
        <v>-17</v>
      </c>
      <c r="BF99" s="2" t="n">
        <f aca="false">-BF90</f>
        <v>-15</v>
      </c>
      <c r="BG99" s="2" t="n">
        <f aca="false">-BG90</f>
        <v>-32</v>
      </c>
      <c r="BH99" s="2" t="n">
        <f aca="false">-BH90</f>
        <v>-16</v>
      </c>
      <c r="BI99" s="2" t="n">
        <f aca="false">-BI90</f>
        <v>-14</v>
      </c>
      <c r="BJ99" s="2" t="n">
        <f aca="false">-BJ90</f>
        <v>-62</v>
      </c>
      <c r="BK99" s="2" t="n">
        <f aca="false">-BK90</f>
        <v>-10</v>
      </c>
      <c r="BL99" s="2" t="n">
        <f aca="false">-BL90</f>
        <v>-6</v>
      </c>
      <c r="BM99" s="2" t="n">
        <f aca="false">-BM90</f>
        <v>-16</v>
      </c>
      <c r="BN99" s="2" t="n">
        <f aca="false">-BN90</f>
        <v>-9</v>
      </c>
      <c r="BO99" s="2" t="n">
        <f aca="false">-BO90</f>
        <v>-10</v>
      </c>
      <c r="BP99" s="2" t="n">
        <f aca="false">-BP90</f>
        <v>-35</v>
      </c>
      <c r="BQ99" s="2" t="n">
        <f aca="false">-BQ90</f>
        <v>-9</v>
      </c>
      <c r="BR99" s="2" t="n">
        <f aca="false">-BR90</f>
        <v>-8</v>
      </c>
      <c r="BS99" s="2" t="n">
        <f aca="false">-BS90</f>
        <v>-17</v>
      </c>
      <c r="BT99" s="3" t="n">
        <f aca="false">-BT90</f>
        <v>-13.5</v>
      </c>
      <c r="BU99" s="3" t="n">
        <f aca="false">-BU90</f>
        <v>-13.5</v>
      </c>
      <c r="BV99" s="3" t="n">
        <f aca="false">-BV90</f>
        <v>-44</v>
      </c>
      <c r="BW99" s="3" t="n">
        <f aca="false">-BW90</f>
        <v>-44</v>
      </c>
      <c r="BX99" s="3" t="n">
        <f aca="false">-BX90</f>
        <v>-44</v>
      </c>
      <c r="BY99" s="3" t="n">
        <f aca="false">-BY90</f>
        <v>-44</v>
      </c>
      <c r="BZ99" s="3" t="n">
        <f aca="false">-BZ90</f>
        <v>-44</v>
      </c>
      <c r="CA99" s="16"/>
      <c r="CC99" s="5"/>
      <c r="CD99" s="5"/>
      <c r="CE99" s="5"/>
    </row>
    <row r="100" customFormat="false" ht="15" hidden="false" customHeight="false" outlineLevel="0" collapsed="false">
      <c r="B100" s="1" t="s">
        <v>189</v>
      </c>
      <c r="C100" s="2" t="n">
        <f aca="false">-C91</f>
        <v>1</v>
      </c>
      <c r="D100" s="2" t="n">
        <f aca="false">-D91</f>
        <v>-2</v>
      </c>
      <c r="E100" s="2" t="n">
        <f aca="false">-E91</f>
        <v>-1</v>
      </c>
      <c r="F100" s="2" t="n">
        <f aca="false">-F91</f>
        <v>1</v>
      </c>
      <c r="G100" s="2" t="n">
        <f aca="false">-G91</f>
        <v>-2</v>
      </c>
      <c r="H100" s="2" t="n">
        <f aca="false">-H91</f>
        <v>-2</v>
      </c>
      <c r="I100" s="2" t="n">
        <f aca="false">-I91</f>
        <v>-3</v>
      </c>
      <c r="J100" s="2" t="n">
        <f aca="false">-J91</f>
        <v>-2</v>
      </c>
      <c r="K100" s="2" t="n">
        <f aca="false">-K91</f>
        <v>-5</v>
      </c>
      <c r="L100" s="2" t="n">
        <f aca="false">-L91</f>
        <v>-2</v>
      </c>
      <c r="M100" s="2" t="n">
        <f aca="false">-M91</f>
        <v>5</v>
      </c>
      <c r="N100" s="2" t="n">
        <f aca="false">-N91</f>
        <v>-2</v>
      </c>
      <c r="O100" s="2" t="n">
        <f aca="false">-O91</f>
        <v>-5</v>
      </c>
      <c r="P100" s="2" t="n">
        <f aca="false">-P91</f>
        <v>1</v>
      </c>
      <c r="Q100" s="2" t="n">
        <f aca="false">-Q91</f>
        <v>-4</v>
      </c>
      <c r="R100" s="2" t="n">
        <f aca="false">-R91</f>
        <v>-1</v>
      </c>
      <c r="S100" s="2" t="n">
        <f aca="false">-S91</f>
        <v>-7</v>
      </c>
      <c r="T100" s="2" t="n">
        <f aca="false">-T91</f>
        <v>-12</v>
      </c>
      <c r="U100" s="2" t="n">
        <f aca="false">-U91</f>
        <v>2</v>
      </c>
      <c r="V100" s="2" t="n">
        <f aca="false">-V91</f>
        <v>3</v>
      </c>
      <c r="W100" s="2" t="n">
        <f aca="false">-W91</f>
        <v>5</v>
      </c>
      <c r="X100" s="2" t="n">
        <f aca="false">-X91</f>
        <v>-0</v>
      </c>
      <c r="Y100" s="2" t="n">
        <f aca="false">-Y91</f>
        <v>-7</v>
      </c>
      <c r="Z100" s="2" t="n">
        <f aca="false">-Z91</f>
        <v>-2</v>
      </c>
      <c r="AA100" s="2" t="n">
        <f aca="false">-AA91</f>
        <v>-2</v>
      </c>
      <c r="AB100" s="2" t="n">
        <f aca="false">-AB91</f>
        <v>-0</v>
      </c>
      <c r="AC100" s="2" t="n">
        <f aca="false">-AC91</f>
        <v>-2</v>
      </c>
      <c r="AD100" s="2" t="n">
        <f aca="false">-AD91</f>
        <v>-0</v>
      </c>
      <c r="AE100" s="2" t="n">
        <f aca="false">-AE91</f>
        <v>-17</v>
      </c>
      <c r="AF100" s="2" t="n">
        <f aca="false">-AF91</f>
        <v>-19</v>
      </c>
      <c r="AG100" s="2" t="n">
        <f aca="false">-AG91</f>
        <v>-4</v>
      </c>
      <c r="AH100" s="2" t="n">
        <f aca="false">-AH91</f>
        <v>-1</v>
      </c>
      <c r="AI100" s="2" t="n">
        <f aca="false">-AI91</f>
        <v>-5</v>
      </c>
      <c r="AJ100" s="2" t="n">
        <f aca="false">-AJ91</f>
        <v>-0</v>
      </c>
      <c r="AK100" s="2" t="n">
        <f aca="false">-AK91</f>
        <v>1</v>
      </c>
      <c r="AL100" s="2" t="n">
        <f aca="false">-AL91</f>
        <v>-4</v>
      </c>
      <c r="AM100" s="2" t="n">
        <f aca="false">-AM91</f>
        <v>-4</v>
      </c>
      <c r="AN100" s="2" t="n">
        <f aca="false">-AN91</f>
        <v>-4</v>
      </c>
      <c r="AO100" s="2" t="n">
        <f aca="false">-AO91</f>
        <v>-8</v>
      </c>
      <c r="AP100" s="2" t="n">
        <f aca="false">-AP91</f>
        <v>-4</v>
      </c>
      <c r="AQ100" s="2" t="n">
        <f aca="false">-AQ91</f>
        <v>-1</v>
      </c>
      <c r="AR100" s="2" t="n">
        <f aca="false">-AR91</f>
        <v>-13</v>
      </c>
      <c r="AS100" s="2" t="n">
        <f aca="false">-AS91</f>
        <v>-1</v>
      </c>
      <c r="AT100" s="2" t="n">
        <f aca="false">-AT91</f>
        <v>1</v>
      </c>
      <c r="AU100" s="2" t="n">
        <f aca="false">-AU91</f>
        <v>-0</v>
      </c>
      <c r="AV100" s="2" t="n">
        <f aca="false">-AV91</f>
        <v>1</v>
      </c>
      <c r="AW100" s="2" t="n">
        <f aca="false">-AW91</f>
        <v>-3</v>
      </c>
      <c r="AX100" s="2" t="n">
        <f aca="false">-AX91</f>
        <v>-2</v>
      </c>
      <c r="AY100" s="2" t="n">
        <f aca="false">-AY91</f>
        <v>4</v>
      </c>
      <c r="AZ100" s="2" t="n">
        <f aca="false">-AZ91</f>
        <v>4</v>
      </c>
      <c r="BA100" s="2" t="n">
        <f aca="false">-BA91</f>
        <v>8</v>
      </c>
      <c r="BB100" s="2" t="n">
        <f aca="false">-BB91</f>
        <v>4</v>
      </c>
      <c r="BC100" s="2" t="n">
        <f aca="false">-BC91</f>
        <v>-1</v>
      </c>
      <c r="BD100" s="2" t="n">
        <f aca="false">-BD91</f>
        <v>11</v>
      </c>
      <c r="BE100" s="2" t="n">
        <f aca="false">-BE91</f>
        <v>1</v>
      </c>
      <c r="BF100" s="2" t="n">
        <f aca="false">-BF91</f>
        <v>1</v>
      </c>
      <c r="BG100" s="2" t="n">
        <f aca="false">-BG91</f>
        <v>2</v>
      </c>
      <c r="BH100" s="2" t="n">
        <f aca="false">-BH91</f>
        <v>1</v>
      </c>
      <c r="BI100" s="2" t="n">
        <f aca="false">-BI91</f>
        <v>21</v>
      </c>
      <c r="BJ100" s="2" t="n">
        <f aca="false">-BJ91</f>
        <v>24</v>
      </c>
      <c r="BK100" s="2" t="n">
        <f aca="false">-BK91</f>
        <v>-0</v>
      </c>
      <c r="BL100" s="2" t="n">
        <f aca="false">-BL91</f>
        <v>-3</v>
      </c>
      <c r="BM100" s="2" t="n">
        <f aca="false">-BM91</f>
        <v>-3</v>
      </c>
      <c r="BN100" s="2" t="n">
        <f aca="false">-BN91</f>
        <v>-9</v>
      </c>
      <c r="BO100" s="2" t="n">
        <f aca="false">-BO91</f>
        <v>-13</v>
      </c>
      <c r="BP100" s="2" t="n">
        <f aca="false">-BP91</f>
        <v>-25</v>
      </c>
      <c r="BQ100" s="2" t="n">
        <f aca="false">-BQ91</f>
        <v>-8</v>
      </c>
      <c r="BR100" s="2" t="n">
        <f aca="false">-BR91</f>
        <v>-6</v>
      </c>
      <c r="BS100" s="2" t="n">
        <f aca="false">-BS91</f>
        <v>-14</v>
      </c>
      <c r="BT100" s="3" t="n">
        <f aca="false">-BT91</f>
        <v>-3</v>
      </c>
      <c r="BU100" s="3" t="n">
        <f aca="false">-BU91</f>
        <v>-3</v>
      </c>
      <c r="BV100" s="3" t="n">
        <f aca="false">-BV91</f>
        <v>-20</v>
      </c>
      <c r="BW100" s="3" t="n">
        <f aca="false">-BW91</f>
        <v>-20</v>
      </c>
      <c r="BX100" s="3" t="n">
        <f aca="false">-BX91</f>
        <v>-20</v>
      </c>
      <c r="BY100" s="3" t="n">
        <f aca="false">-BY91</f>
        <v>-20</v>
      </c>
      <c r="BZ100" s="3" t="n">
        <f aca="false">-BZ91</f>
        <v>-20</v>
      </c>
      <c r="CA100" s="16"/>
      <c r="CC100" s="5"/>
      <c r="CD100" s="5"/>
      <c r="CE100" s="5"/>
    </row>
    <row r="101" customFormat="false" ht="15" hidden="false" customHeight="false" outlineLevel="0" collapsed="false">
      <c r="B101" s="32" t="s">
        <v>190</v>
      </c>
      <c r="C101" s="28" t="n">
        <f aca="false">C97+C99+C100</f>
        <v>156</v>
      </c>
      <c r="D101" s="28" t="n">
        <f aca="false">D97+D99+D100</f>
        <v>269</v>
      </c>
      <c r="E101" s="28" t="n">
        <f aca="false">E97+E99+E100</f>
        <v>425</v>
      </c>
      <c r="F101" s="28" t="n">
        <f aca="false">F97+F99+F100</f>
        <v>200</v>
      </c>
      <c r="G101" s="28" t="n">
        <f aca="false">G97+G99+G100</f>
        <v>144</v>
      </c>
      <c r="H101" s="34" t="n">
        <f aca="false">H97+H99+H100</f>
        <v>769</v>
      </c>
      <c r="I101" s="28" t="n">
        <f aca="false">I97+I99+I100</f>
        <v>198</v>
      </c>
      <c r="J101" s="28" t="n">
        <f aca="false">J97+J99+J100</f>
        <v>217</v>
      </c>
      <c r="K101" s="28" t="n">
        <f aca="false">K97+K99+K100</f>
        <v>415</v>
      </c>
      <c r="L101" s="28" t="n">
        <f aca="false">L97+L99+L100</f>
        <v>175</v>
      </c>
      <c r="M101" s="28" t="n">
        <f aca="false">M97+M99+M100</f>
        <v>268</v>
      </c>
      <c r="N101" s="34" t="n">
        <f aca="false">N97+N99+N100</f>
        <v>858</v>
      </c>
      <c r="O101" s="28" t="n">
        <f aca="false">O97+O99+O100</f>
        <v>168</v>
      </c>
      <c r="P101" s="28" t="n">
        <f aca="false">P97+P99+P100</f>
        <v>241</v>
      </c>
      <c r="Q101" s="28" t="n">
        <f aca="false">Q97+Q99+Q100</f>
        <v>409</v>
      </c>
      <c r="R101" s="28" t="n">
        <f aca="false">R97+R99+R100</f>
        <v>241</v>
      </c>
      <c r="S101" s="28" t="n">
        <f aca="false">S97+S99+S100</f>
        <v>231</v>
      </c>
      <c r="T101" s="34" t="n">
        <f aca="false">T97+T99+T100</f>
        <v>881</v>
      </c>
      <c r="U101" s="28" t="n">
        <f aca="false">U97+U99+U100</f>
        <v>191</v>
      </c>
      <c r="V101" s="28" t="n">
        <f aca="false">V97+V99+V100</f>
        <v>257</v>
      </c>
      <c r="W101" s="28" t="n">
        <f aca="false">W97+W99+W100</f>
        <v>448</v>
      </c>
      <c r="X101" s="28" t="n">
        <f aca="false">X97+X99+X100</f>
        <v>290</v>
      </c>
      <c r="Y101" s="28" t="n">
        <f aca="false">Y97+Y99+Y100</f>
        <v>213</v>
      </c>
      <c r="Z101" s="34" t="n">
        <f aca="false">Z97+Z99+Z100</f>
        <v>951</v>
      </c>
      <c r="AA101" s="28" t="n">
        <f aca="false">AA97+AA99+AA100</f>
        <v>161</v>
      </c>
      <c r="AB101" s="28" t="n">
        <f aca="false">AB97+AB99+AB100</f>
        <v>175</v>
      </c>
      <c r="AC101" s="28" t="n">
        <f aca="false">AC97+AC99+AC100</f>
        <v>336</v>
      </c>
      <c r="AD101" s="28" t="n">
        <f aca="false">AD97+AD99+AD100</f>
        <v>214</v>
      </c>
      <c r="AE101" s="28" t="n">
        <f aca="false">AE97+AE99+AE100</f>
        <v>186</v>
      </c>
      <c r="AF101" s="34" t="n">
        <f aca="false">AF97+AF99+AF100</f>
        <v>736</v>
      </c>
      <c r="AG101" s="28" t="n">
        <f aca="false">AG97+AG99+AG100</f>
        <v>215</v>
      </c>
      <c r="AH101" s="28" t="n">
        <f aca="false">AH97+AH99+AH100</f>
        <v>57</v>
      </c>
      <c r="AI101" s="28" t="n">
        <f aca="false">AI97+AI99+AI100</f>
        <v>272</v>
      </c>
      <c r="AJ101" s="28" t="n">
        <f aca="false">AJ97+AJ99+AJ100</f>
        <v>222</v>
      </c>
      <c r="AK101" s="28" t="n">
        <f aca="false">AK97+AK99+AK100</f>
        <v>305</v>
      </c>
      <c r="AL101" s="34" t="n">
        <f aca="false">AL97+AL99+AL100</f>
        <v>799</v>
      </c>
      <c r="AM101" s="28" t="n">
        <f aca="false">AM97+AM99+AM100</f>
        <v>147</v>
      </c>
      <c r="AN101" s="28" t="n">
        <f aca="false">AN97+AN99+AN100</f>
        <v>128</v>
      </c>
      <c r="AO101" s="28" t="n">
        <f aca="false">AO97+AO99+AO100</f>
        <v>275</v>
      </c>
      <c r="AP101" s="28" t="n">
        <f aca="false">AP97+AP99+AP100</f>
        <v>118</v>
      </c>
      <c r="AQ101" s="28" t="n">
        <f aca="false">AQ97+AQ99+AQ100</f>
        <v>120</v>
      </c>
      <c r="AR101" s="34" t="n">
        <f aca="false">AR97+AR99+AR100</f>
        <v>513</v>
      </c>
      <c r="AS101" s="28" t="n">
        <f aca="false">AS97+AS99+AS100</f>
        <v>138</v>
      </c>
      <c r="AT101" s="28" t="n">
        <f aca="false">AT97+AT99+AT100</f>
        <v>191</v>
      </c>
      <c r="AU101" s="28" t="n">
        <f aca="false">AU97+AU99+AU100</f>
        <v>329</v>
      </c>
      <c r="AV101" s="28" t="n">
        <f aca="false">AV97+AV99+AV100</f>
        <v>131</v>
      </c>
      <c r="AW101" s="28" t="n">
        <f aca="false">AW97+AW99+AW100</f>
        <v>105</v>
      </c>
      <c r="AX101" s="34" t="n">
        <f aca="false">AX97+AX99+AX100</f>
        <v>565</v>
      </c>
      <c r="AY101" s="28" t="n">
        <f aca="false">AY97+AY99+AY100</f>
        <v>141</v>
      </c>
      <c r="AZ101" s="28" t="n">
        <f aca="false">AZ97+AZ99+AZ100</f>
        <v>156</v>
      </c>
      <c r="BA101" s="28" t="n">
        <f aca="false">BA97+BA99+BA100</f>
        <v>297</v>
      </c>
      <c r="BB101" s="28" t="n">
        <f aca="false">BB97+BB99+BB100</f>
        <v>172</v>
      </c>
      <c r="BC101" s="28" t="n">
        <f aca="false">BC97+BC99+BC100</f>
        <v>312</v>
      </c>
      <c r="BD101" s="34" t="n">
        <f aca="false">BD97+BD99+BD100</f>
        <v>781</v>
      </c>
      <c r="BE101" s="28" t="n">
        <f aca="false">BE97+BE99+BE100</f>
        <v>154</v>
      </c>
      <c r="BF101" s="28" t="n">
        <f aca="false">BF97+BF99+BF100</f>
        <v>189</v>
      </c>
      <c r="BG101" s="28" t="n">
        <f aca="false">BG97+BG99+BG100</f>
        <v>343</v>
      </c>
      <c r="BH101" s="28" t="n">
        <f aca="false">BH97+BH99+BH100</f>
        <v>82</v>
      </c>
      <c r="BI101" s="28" t="n">
        <f aca="false">BI97+BI99+BI100</f>
        <v>110</v>
      </c>
      <c r="BJ101" s="34" t="n">
        <f aca="false">BJ97+BJ99+BJ100</f>
        <v>535</v>
      </c>
      <c r="BK101" s="28" t="n">
        <f aca="false">BK97+BK99+BK100</f>
        <v>161</v>
      </c>
      <c r="BL101" s="28" t="n">
        <f aca="false">BL97+BL99+BL100</f>
        <v>163</v>
      </c>
      <c r="BM101" s="28" t="n">
        <f aca="false">BM97+BM99+BM100</f>
        <v>324</v>
      </c>
      <c r="BN101" s="28" t="n">
        <f aca="false">BN97+BN99+BN100</f>
        <v>161</v>
      </c>
      <c r="BO101" s="28" t="n">
        <f aca="false">BO97+BO99+BO100</f>
        <v>172</v>
      </c>
      <c r="BP101" s="34" t="n">
        <f aca="false">BP97+BP99+BP100</f>
        <v>657</v>
      </c>
      <c r="BQ101" s="28" t="n">
        <f aca="false">BQ97+BQ99+BQ100</f>
        <v>155</v>
      </c>
      <c r="BR101" s="28" t="n">
        <f aca="false">BR97+BR99+BR100</f>
        <v>210</v>
      </c>
      <c r="BS101" s="28" t="n">
        <f aca="false">BS97+BS99+BS100</f>
        <v>365</v>
      </c>
      <c r="BT101" s="34" t="n">
        <f aca="false">BT97+BT99+BT100</f>
        <v>184.875</v>
      </c>
      <c r="BU101" s="34" t="n">
        <f aca="false">BU97+BU99+BU100</f>
        <v>184.875</v>
      </c>
      <c r="BV101" s="34" t="n">
        <f aca="false">BV97+BV99+BV100</f>
        <v>734.75</v>
      </c>
      <c r="BW101" s="34" t="n">
        <f aca="false">BW97+BW99+BW100</f>
        <v>863.888529701023</v>
      </c>
      <c r="BX101" s="34" t="n">
        <f aca="false">BX97+BX99+BX100</f>
        <v>952.416047895358</v>
      </c>
      <c r="BY101" s="34" t="n">
        <f aca="false">BY97+BY99+BY100</f>
        <v>1044.53462610799</v>
      </c>
      <c r="BZ101" s="34" t="n">
        <f aca="false">BZ97+BZ99+BZ100</f>
        <v>1138.77964671479</v>
      </c>
      <c r="CA101" s="16"/>
      <c r="CC101" s="30" t="n">
        <f aca="false">IFERROR((BZ101/BP101)^(1/5)-1,"n/m")</f>
        <v>0.11628442526659</v>
      </c>
      <c r="CD101" s="30" t="n">
        <f aca="false">IFERROR((BP101/AL101)^(1/5)-1,"n/m")</f>
        <v>-0.0383794890985962</v>
      </c>
      <c r="CE101" s="30" t="n">
        <f aca="false">IFERROR((BP101/H101)^(1/10)-1,"n/m")</f>
        <v>-0.0156174578217274</v>
      </c>
    </row>
    <row r="102" customFormat="false" ht="15" hidden="false" customHeight="false" outlineLevel="0" collapsed="false">
      <c r="B102" s="1" t="s">
        <v>191</v>
      </c>
      <c r="C102" s="2"/>
      <c r="D102" s="2"/>
      <c r="E102" s="2"/>
      <c r="F102" s="2"/>
      <c r="G102" s="2"/>
      <c r="H102" s="23" t="n">
        <v>180</v>
      </c>
      <c r="I102" s="2"/>
      <c r="J102" s="2"/>
      <c r="K102" s="2"/>
      <c r="L102" s="2"/>
      <c r="M102" s="2"/>
      <c r="N102" s="23" t="n">
        <v>186</v>
      </c>
      <c r="O102" s="2"/>
      <c r="P102" s="2"/>
      <c r="Q102" s="2"/>
      <c r="R102" s="2"/>
      <c r="S102" s="2"/>
      <c r="T102" s="23" t="n">
        <v>205</v>
      </c>
      <c r="U102" s="2"/>
      <c r="V102" s="2"/>
      <c r="W102" s="2"/>
      <c r="X102" s="2"/>
      <c r="Y102" s="2"/>
      <c r="Z102" s="23" t="n">
        <v>203</v>
      </c>
      <c r="AA102" s="2"/>
      <c r="AB102" s="2"/>
      <c r="AC102" s="2"/>
      <c r="AD102" s="2"/>
      <c r="AE102" s="2"/>
      <c r="AF102" s="23" t="n">
        <v>227</v>
      </c>
      <c r="AG102" s="2"/>
      <c r="AH102" s="2"/>
      <c r="AI102" s="2"/>
      <c r="AJ102" s="2"/>
      <c r="AK102" s="2"/>
      <c r="AL102" s="23" t="n">
        <v>247</v>
      </c>
      <c r="AM102" s="2"/>
      <c r="AN102" s="2"/>
      <c r="AO102" s="2"/>
      <c r="AP102" s="2"/>
      <c r="AQ102" s="2"/>
      <c r="AR102" s="23" t="n">
        <v>293</v>
      </c>
      <c r="AS102" s="2"/>
      <c r="AT102" s="2"/>
      <c r="AU102" s="2"/>
      <c r="AV102" s="2"/>
      <c r="AW102" s="2"/>
      <c r="AX102" s="23" t="n">
        <v>358</v>
      </c>
      <c r="AY102" s="2"/>
      <c r="AZ102" s="2"/>
      <c r="BA102" s="2"/>
      <c r="BB102" s="2"/>
      <c r="BC102" s="2"/>
      <c r="BD102" s="23" t="n">
        <v>347</v>
      </c>
      <c r="BE102" s="23" t="n">
        <v>80</v>
      </c>
      <c r="BF102" s="23" t="n">
        <v>80</v>
      </c>
      <c r="BG102" s="2" t="n">
        <f aca="false">BE102+BF102</f>
        <v>160</v>
      </c>
      <c r="BH102" s="23" t="n">
        <v>82</v>
      </c>
      <c r="BI102" s="23" t="n">
        <v>84</v>
      </c>
      <c r="BJ102" s="23" t="n">
        <v>326</v>
      </c>
      <c r="BK102" s="23" t="n">
        <v>79</v>
      </c>
      <c r="BL102" s="23" t="n">
        <v>83</v>
      </c>
      <c r="BM102" s="2" t="n">
        <f aca="false">BK102+BL102</f>
        <v>162</v>
      </c>
      <c r="BN102" s="23" t="n">
        <v>80</v>
      </c>
      <c r="BO102" s="23" t="n">
        <v>87</v>
      </c>
      <c r="BP102" s="23" t="n">
        <v>329</v>
      </c>
      <c r="BQ102" s="23" t="n">
        <v>76</v>
      </c>
      <c r="BR102" s="23" t="n">
        <v>79</v>
      </c>
      <c r="BS102" s="2" t="n">
        <f aca="false">BQ102+BR102</f>
        <v>155</v>
      </c>
      <c r="BT102" s="3" t="n">
        <f aca="false">($CJ$24-BS102)/2</f>
        <v>87.5</v>
      </c>
      <c r="BU102" s="3" t="n">
        <f aca="false">($CJ$24-BS102)/2</f>
        <v>87.5</v>
      </c>
      <c r="BV102" s="3" t="n">
        <f aca="false">SUM(BQ102,BR102,BT102,BU102)</f>
        <v>330</v>
      </c>
      <c r="BW102" s="3" t="n">
        <f aca="false">BW15+BW41+BW67+BW92</f>
        <v>339.263876278521</v>
      </c>
      <c r="BX102" s="3" t="n">
        <f aca="false">BX15+BX41+BX67+BX92</f>
        <v>357.264919689221</v>
      </c>
      <c r="BY102" s="3" t="n">
        <f aca="false">BY15+BY41+BY67+BY92</f>
        <v>375.360304501987</v>
      </c>
      <c r="BZ102" s="3" t="n">
        <f aca="false">BZ15+BZ41+BZ67+BZ92</f>
        <v>392.987283132437</v>
      </c>
      <c r="CA102" s="16" t="s">
        <v>192</v>
      </c>
      <c r="CC102" s="5"/>
      <c r="CD102" s="5"/>
      <c r="CE102" s="5"/>
    </row>
    <row r="103" customFormat="false" ht="15" hidden="false" customHeight="false" outlineLevel="0" collapsed="false">
      <c r="B103" s="32" t="s">
        <v>104</v>
      </c>
      <c r="C103" s="28" t="n">
        <f aca="false">C97+C102</f>
        <v>128</v>
      </c>
      <c r="D103" s="28" t="n">
        <f aca="false">D97+D102</f>
        <v>243</v>
      </c>
      <c r="E103" s="28" t="n">
        <f aca="false">E97+E102</f>
        <v>371</v>
      </c>
      <c r="F103" s="28" t="n">
        <f aca="false">F97+F102</f>
        <v>172</v>
      </c>
      <c r="G103" s="28" t="n">
        <f aca="false">G97+G102</f>
        <v>124</v>
      </c>
      <c r="H103" s="34" t="n">
        <f aca="false">H97+H102</f>
        <v>847</v>
      </c>
      <c r="I103" s="28" t="n">
        <f aca="false">I97+I102</f>
        <v>166</v>
      </c>
      <c r="J103" s="28" t="n">
        <f aca="false">J97+J102</f>
        <v>184</v>
      </c>
      <c r="K103" s="28" t="n">
        <f aca="false">K97+K102</f>
        <v>350</v>
      </c>
      <c r="L103" s="28" t="n">
        <f aca="false">L97+L102</f>
        <v>140</v>
      </c>
      <c r="M103" s="28" t="n">
        <f aca="false">M97+M102</f>
        <v>225</v>
      </c>
      <c r="N103" s="34" t="n">
        <f aca="false">N97+N102</f>
        <v>901</v>
      </c>
      <c r="O103" s="28" t="n">
        <f aca="false">O97+O102</f>
        <v>120</v>
      </c>
      <c r="P103" s="28" t="n">
        <f aca="false">P97+P102</f>
        <v>187</v>
      </c>
      <c r="Q103" s="28" t="n">
        <f aca="false">Q97+Q102</f>
        <v>307</v>
      </c>
      <c r="R103" s="28" t="n">
        <f aca="false">R97+R102</f>
        <v>192</v>
      </c>
      <c r="S103" s="28" t="n">
        <f aca="false">S97+S102</f>
        <v>189</v>
      </c>
      <c r="T103" s="34" t="n">
        <f aca="false">T97+T102</f>
        <v>893</v>
      </c>
      <c r="U103" s="28" t="n">
        <f aca="false">U97+U102</f>
        <v>117</v>
      </c>
      <c r="V103" s="28" t="n">
        <f aca="false">V97+V102</f>
        <v>181</v>
      </c>
      <c r="W103" s="28" t="n">
        <f aca="false">W97+W102</f>
        <v>298</v>
      </c>
      <c r="X103" s="28" t="n">
        <f aca="false">X97+X102</f>
        <v>217</v>
      </c>
      <c r="Y103" s="28" t="n">
        <f aca="false">Y97+Y102</f>
        <v>148</v>
      </c>
      <c r="Z103" s="34" t="n">
        <f aca="false">Z97+Z102</f>
        <v>866</v>
      </c>
      <c r="AA103" s="28" t="n">
        <f aca="false">AA97+AA102</f>
        <v>129</v>
      </c>
      <c r="AB103" s="28" t="n">
        <f aca="false">AB97+AB102</f>
        <v>138</v>
      </c>
      <c r="AC103" s="28" t="n">
        <f aca="false">AC97+AC102</f>
        <v>267</v>
      </c>
      <c r="AD103" s="28" t="n">
        <f aca="false">AD97+AD102</f>
        <v>191</v>
      </c>
      <c r="AE103" s="28" t="n">
        <f aca="false">AE97+AE102</f>
        <v>173</v>
      </c>
      <c r="AF103" s="34" t="n">
        <f aca="false">AF97+AF102</f>
        <v>858</v>
      </c>
      <c r="AG103" s="28" t="n">
        <f aca="false">AG97+AG102</f>
        <v>156</v>
      </c>
      <c r="AH103" s="28" t="n">
        <f aca="false">AH97+AH102</f>
        <v>-5</v>
      </c>
      <c r="AI103" s="28" t="n">
        <f aca="false">AI97+AI102</f>
        <v>151</v>
      </c>
      <c r="AJ103" s="28" t="n">
        <f aca="false">AJ97+AJ102</f>
        <v>162</v>
      </c>
      <c r="AK103" s="28" t="n">
        <f aca="false">AK97+AK102</f>
        <v>242</v>
      </c>
      <c r="AL103" s="34" t="n">
        <f aca="false">AL97+AL102</f>
        <v>802</v>
      </c>
      <c r="AM103" s="28" t="n">
        <f aca="false">AM97+AM102</f>
        <v>191</v>
      </c>
      <c r="AN103" s="28" t="n">
        <f aca="false">AN97+AN102</f>
        <v>169</v>
      </c>
      <c r="AO103" s="28" t="n">
        <f aca="false">AO97+AO102</f>
        <v>360</v>
      </c>
      <c r="AP103" s="28" t="n">
        <f aca="false">AP97+AP102</f>
        <v>163</v>
      </c>
      <c r="AQ103" s="28" t="n">
        <f aca="false">AQ97+AQ102</f>
        <v>160</v>
      </c>
      <c r="AR103" s="34" t="n">
        <f aca="false">AR97+AR102</f>
        <v>976</v>
      </c>
      <c r="AS103" s="28" t="n">
        <f aca="false">AS97+AS102</f>
        <v>176</v>
      </c>
      <c r="AT103" s="28" t="n">
        <f aca="false">AT97+AT102</f>
        <v>225</v>
      </c>
      <c r="AU103" s="28" t="n">
        <f aca="false">AU97+AU102</f>
        <v>401</v>
      </c>
      <c r="AV103" s="28" t="n">
        <f aca="false">AV97+AV102</f>
        <v>166</v>
      </c>
      <c r="AW103" s="28" t="n">
        <f aca="false">AW97+AW102</f>
        <v>145</v>
      </c>
      <c r="AX103" s="34" t="n">
        <f aca="false">AX97+AX102</f>
        <v>1070</v>
      </c>
      <c r="AY103" s="28" t="n">
        <f aca="false">AY97+AY102</f>
        <v>156</v>
      </c>
      <c r="AZ103" s="28" t="n">
        <f aca="false">AZ97+AZ102</f>
        <v>169</v>
      </c>
      <c r="BA103" s="28" t="n">
        <f aca="false">BA97+BA102</f>
        <v>325</v>
      </c>
      <c r="BB103" s="28" t="n">
        <f aca="false">BB97+BB102</f>
        <v>187</v>
      </c>
      <c r="BC103" s="28" t="n">
        <f aca="false">BC97+BC102</f>
        <v>330</v>
      </c>
      <c r="BD103" s="34" t="n">
        <f aca="false">BD97+BD102</f>
        <v>1189</v>
      </c>
      <c r="BE103" s="28" t="n">
        <f aca="false">BE97+BE102</f>
        <v>250</v>
      </c>
      <c r="BF103" s="28" t="n">
        <f aca="false">BF97+BF102</f>
        <v>283</v>
      </c>
      <c r="BG103" s="28" t="n">
        <f aca="false">BG97+BG102</f>
        <v>533</v>
      </c>
      <c r="BH103" s="28" t="n">
        <f aca="false">BH97+BH102</f>
        <v>179</v>
      </c>
      <c r="BI103" s="28" t="n">
        <f aca="false">BI97+BI102</f>
        <v>187</v>
      </c>
      <c r="BJ103" s="34" t="n">
        <f aca="false">BJ97+BJ102</f>
        <v>899</v>
      </c>
      <c r="BK103" s="28" t="n">
        <f aca="false">BK97+BK102</f>
        <v>250</v>
      </c>
      <c r="BL103" s="28" t="n">
        <f aca="false">BL97+BL102</f>
        <v>255</v>
      </c>
      <c r="BM103" s="28" t="n">
        <f aca="false">BM97+BM102</f>
        <v>505</v>
      </c>
      <c r="BN103" s="28" t="n">
        <f aca="false">BN97+BN102</f>
        <v>259</v>
      </c>
      <c r="BO103" s="28" t="n">
        <f aca="false">BO97+BO102</f>
        <v>282</v>
      </c>
      <c r="BP103" s="34" t="n">
        <f aca="false">BP97+BP102</f>
        <v>1046</v>
      </c>
      <c r="BQ103" s="28" t="n">
        <f aca="false">BQ97+BQ102</f>
        <v>248</v>
      </c>
      <c r="BR103" s="28" t="n">
        <f aca="false">BR97+BR102</f>
        <v>303</v>
      </c>
      <c r="BS103" s="28" t="n">
        <f aca="false">BS97+BS102</f>
        <v>551</v>
      </c>
      <c r="BT103" s="34" t="n">
        <f aca="false">BT97+BT102</f>
        <v>288.875</v>
      </c>
      <c r="BU103" s="34" t="n">
        <f aca="false">BU97+BU102</f>
        <v>288.875</v>
      </c>
      <c r="BV103" s="34" t="n">
        <f aca="false">BV97+BV102</f>
        <v>1128.75</v>
      </c>
      <c r="BW103" s="34" t="n">
        <f aca="false">BW97+BW102</f>
        <v>1267.15240597954</v>
      </c>
      <c r="BX103" s="34" t="n">
        <f aca="false">BX97+BX102</f>
        <v>1373.68096758458</v>
      </c>
      <c r="BY103" s="34" t="n">
        <f aca="false">BY97+BY102</f>
        <v>1483.89493060997</v>
      </c>
      <c r="BZ103" s="34" t="n">
        <f aca="false">BZ97+BZ102</f>
        <v>1595.76692984723</v>
      </c>
      <c r="CA103" s="16"/>
      <c r="CC103" s="30" t="n">
        <f aca="false">IFERROR((BZ103/BP103)^(1/5)-1,"n/m")</f>
        <v>0.0881469653499425</v>
      </c>
      <c r="CD103" s="30" t="n">
        <f aca="false">IFERROR((BP103/AL103)^(1/5)-1,"n/m")</f>
        <v>0.0545604102549218</v>
      </c>
      <c r="CE103" s="30" t="n">
        <f aca="false">IFERROR((BP103/H103)^(1/10)-1,"n/m")</f>
        <v>0.0213270335512656</v>
      </c>
    </row>
    <row r="104" customFormat="false" ht="15" hidden="false" customHeight="false" outlineLevel="0" collapsed="false">
      <c r="B104" s="35" t="s">
        <v>107</v>
      </c>
      <c r="C104" s="36"/>
      <c r="D104" s="36"/>
      <c r="E104" s="36"/>
      <c r="F104" s="36"/>
      <c r="G104" s="36"/>
      <c r="H104" s="36"/>
      <c r="I104" s="37" t="n">
        <f aca="false">IFERROR(I95/C95-1,"")</f>
        <v>0.122929936305733</v>
      </c>
      <c r="J104" s="37" t="n">
        <f aca="false">IFERROR(J95/D95-1,"")</f>
        <v>-0.0257879656160458</v>
      </c>
      <c r="K104" s="37" t="n">
        <f aca="false">IFERROR(K95/E95-1,"")</f>
        <v>0.0446455505279035</v>
      </c>
      <c r="L104" s="37" t="n">
        <f aca="false">IFERROR(L95/F95-1,"")</f>
        <v>-0.065</v>
      </c>
      <c r="M104" s="37" t="n">
        <f aca="false">IFERROR(M95/G95-1,"")</f>
        <v>0.00892388451443571</v>
      </c>
      <c r="N104" s="37" t="n">
        <f aca="false">IFERROR(N95/H95-1,"")</f>
        <v>0.00683760683760681</v>
      </c>
      <c r="O104" s="37" t="n">
        <f aca="false">IFERROR(O95/I95-1,"")</f>
        <v>-0.0221213840045377</v>
      </c>
      <c r="P104" s="37" t="n">
        <f aca="false">IFERROR(P95/J95-1,"")</f>
        <v>0.0929411764705883</v>
      </c>
      <c r="Q104" s="37" t="n">
        <f aca="false">IFERROR(Q95/K95-1,"")</f>
        <v>0.0343632688420446</v>
      </c>
      <c r="R104" s="37" t="n">
        <f aca="false">IFERROR(R95/L95-1,"")</f>
        <v>0.106951871657754</v>
      </c>
      <c r="S104" s="37" t="n">
        <f aca="false">IFERROR(S95/M95-1,"")</f>
        <v>0.0385015608740895</v>
      </c>
      <c r="T104" s="37" t="n">
        <f aca="false">IFERROR(T95/N95-1,"")</f>
        <v>0.0527730616864743</v>
      </c>
      <c r="U104" s="37" t="n">
        <f aca="false">IFERROR(U95/O95-1,"")</f>
        <v>0.0870069605568447</v>
      </c>
      <c r="V104" s="37" t="n">
        <f aca="false">IFERROR(V95/P95-1,"")</f>
        <v>0.0871905274488698</v>
      </c>
      <c r="W104" s="37" t="n">
        <f aca="false">IFERROR(W95/Q95-1,"")</f>
        <v>0.0871021775544389</v>
      </c>
      <c r="X104" s="37" t="n">
        <f aca="false">IFERROR(X95/R95-1,"")</f>
        <v>0.11808910359635</v>
      </c>
      <c r="Y104" s="37" t="n">
        <f aca="false">IFERROR(Y95/S95-1,"")</f>
        <v>0.101703406813627</v>
      </c>
      <c r="Z104" s="37" t="n">
        <f aca="false">IFERROR(Z95/T95-1,"")</f>
        <v>0.098777046095955</v>
      </c>
      <c r="AA104" s="37" t="n">
        <f aca="false">IFERROR(AA95/U95-1,"")</f>
        <v>0.109925293489861</v>
      </c>
      <c r="AB104" s="37" t="n">
        <f aca="false">IFERROR(AB95/V95-1,"")</f>
        <v>0.0831683168316832</v>
      </c>
      <c r="AC104" s="37" t="n">
        <f aca="false">IFERROR(AC95/W95-1,"")</f>
        <v>0.0960451977401129</v>
      </c>
      <c r="AD104" s="37" t="n">
        <f aca="false">IFERROR(AD95/X95-1,"")</f>
        <v>0.0652904464714355</v>
      </c>
      <c r="AE104" s="37" t="n">
        <f aca="false">IFERROR(AE95/Y95-1,"")</f>
        <v>0.0968622100954979</v>
      </c>
      <c r="AF104" s="37" t="n">
        <f aca="false">IFERROR(AF95/Z95-1,"")</f>
        <v>0.0884295499021526</v>
      </c>
      <c r="AG104" s="37" t="n">
        <f aca="false">IFERROR(AG95/AA95-1,"")</f>
        <v>0.0879807692307693</v>
      </c>
      <c r="AH104" s="37" t="n">
        <f aca="false">IFERROR(AH95/AB95-1,"")</f>
        <v>-0.073583180987203</v>
      </c>
      <c r="AI104" s="37" t="n">
        <f aca="false">IFERROR(AI95/AC95-1,"")</f>
        <v>0.00515463917525771</v>
      </c>
      <c r="AJ104" s="37" t="n">
        <f aca="false">IFERROR(AJ95/AD95-1,"")</f>
        <v>0.042812077512393</v>
      </c>
      <c r="AK104" s="37" t="n">
        <f aca="false">IFERROR(AK95/AE95-1,"")</f>
        <v>0.143034825870647</v>
      </c>
      <c r="AL104" s="37" t="n">
        <f aca="false">IFERROR(AL95/AF95-1,"")</f>
        <v>0.0519159456118665</v>
      </c>
      <c r="AM104" s="37" t="n">
        <f aca="false">IFERROR(AM95/AG95-1,"")</f>
        <v>0.00662836942112244</v>
      </c>
      <c r="AN104" s="37" t="n">
        <f aca="false">IFERROR(AN95/AH95-1,"")</f>
        <v>0.100641341884558</v>
      </c>
      <c r="AO104" s="37" t="n">
        <f aca="false">IFERROR(AO95/AI95-1,"")</f>
        <v>0.0510489510489511</v>
      </c>
      <c r="AP104" s="37" t="n">
        <f aca="false">IFERROR(AP95/AJ95-1,"")</f>
        <v>0.0103716508210889</v>
      </c>
      <c r="AQ104" s="37" t="n">
        <f aca="false">IFERROR(AQ95/AK95-1,"")</f>
        <v>-0.0290170475154153</v>
      </c>
      <c r="AR104" s="37" t="n">
        <f aca="false">IFERROR(AR95/AL95-1,"")</f>
        <v>0.0174126695865826</v>
      </c>
      <c r="AS104" s="37" t="n">
        <f aca="false">IFERROR(AS95/AM95-1,"")</f>
        <v>0.13081650570676</v>
      </c>
      <c r="AT104" s="37" t="n">
        <f aca="false">IFERROR(AT95/AN95-1,"")</f>
        <v>0.19318691169879</v>
      </c>
      <c r="AU104" s="37" t="n">
        <f aca="false">IFERROR(AU95/AO95-1,"")</f>
        <v>0.161676646706587</v>
      </c>
      <c r="AV104" s="37" t="n">
        <f aca="false">IFERROR(AV95/AP95-1,"")</f>
        <v>0.123182207014542</v>
      </c>
      <c r="AW104" s="37" t="n">
        <f aca="false">IFERROR(AW95/AQ95-1,"")</f>
        <v>0.0504295853567427</v>
      </c>
      <c r="AX104" s="37" t="n">
        <f aca="false">IFERROR(AX95/AR95-1,"")</f>
        <v>0.120957580848383</v>
      </c>
      <c r="AY104" s="37" t="n">
        <f aca="false">IFERROR(AY95/AS95-1,"")</f>
        <v>0.0380434782608696</v>
      </c>
      <c r="AZ104" s="37" t="n">
        <f aca="false">IFERROR(AZ95/AT95-1,"")</f>
        <v>0.0469571750563487</v>
      </c>
      <c r="BA104" s="37" t="n">
        <f aca="false">IFERROR(BA95/AU95-1,"")</f>
        <v>0.0425735013363879</v>
      </c>
      <c r="BB104" s="37" t="n">
        <f aca="false">IFERROR(BB95/AV95-1,"")</f>
        <v>0.0723533891850723</v>
      </c>
      <c r="BC104" s="37" t="n">
        <f aca="false">IFERROR(BC95/AW95-1,"")</f>
        <v>0.129800853485064</v>
      </c>
      <c r="BD104" s="37" t="n">
        <f aca="false">IFERROR(BD95/AX95-1,"")</f>
        <v>0.0728737354814537</v>
      </c>
      <c r="BE104" s="37" t="n">
        <f aca="false">IFERROR(BE95/AY95-1,"")</f>
        <v>0.0489902767389678</v>
      </c>
      <c r="BF104" s="37" t="n">
        <f aca="false">IFERROR(BF95/AZ95-1,"")</f>
        <v>0.068173663437388</v>
      </c>
      <c r="BG104" s="37" t="n">
        <f aca="false">IFERROR(BG95/BA95-1,"")</f>
        <v>0.0587804431422816</v>
      </c>
      <c r="BH104" s="37" t="n">
        <f aca="false">IFERROR(BH95/BB95-1,"")</f>
        <v>-0.0237926136363636</v>
      </c>
      <c r="BI104" s="37" t="n">
        <f aca="false">IFERROR(BI95/BC95-1,"")</f>
        <v>-0.0544538873150772</v>
      </c>
      <c r="BJ104" s="37" t="n">
        <f aca="false">IFERROR(BJ95/BD95-1,"")</f>
        <v>0.00707176532215814</v>
      </c>
      <c r="BK104" s="37" t="n">
        <f aca="false">IFERROR(BK95/BE95-1,"")</f>
        <v>-0.0253119429590017</v>
      </c>
      <c r="BL104" s="37" t="n">
        <f aca="false">IFERROR(BL95/BF95-1,"")</f>
        <v>0.0352704064494458</v>
      </c>
      <c r="BM104" s="37" t="n">
        <f aca="false">IFERROR(BM95/BG95-1,"")</f>
        <v>0.0058803182289866</v>
      </c>
      <c r="BN104" s="37" t="n">
        <f aca="false">IFERROR(BN95/BH95-1,"")</f>
        <v>0.161149508912332</v>
      </c>
      <c r="BO104" s="37" t="n">
        <f aca="false">IFERROR(BO95/BI95-1,"")</f>
        <v>0.157123834886818</v>
      </c>
      <c r="BP104" s="37" t="n">
        <f aca="false">IFERROR(BP95/BJ95-1,"")</f>
        <v>0.0822713480710879</v>
      </c>
      <c r="BQ104" s="37" t="n">
        <f aca="false">IFERROR(BQ95/BK95-1,"")</f>
        <v>0.133504023408925</v>
      </c>
      <c r="BR104" s="37" t="n">
        <f aca="false">IFERROR(BR95/BL95-1,"")</f>
        <v>0.109020116807268</v>
      </c>
      <c r="BS104" s="37" t="n">
        <f aca="false">IFERROR(BS95/BM95-1,"")</f>
        <v>0.120529573590096</v>
      </c>
      <c r="BT104" s="38" t="n">
        <f aca="false">IFERROR(BT95/BN95-1,"")</f>
        <v>0.0546679197994988</v>
      </c>
      <c r="BU104" s="38" t="n">
        <f aca="false">IFERROR(BU95/BO95-1,"")</f>
        <v>-0.0315017261219793</v>
      </c>
      <c r="BV104" s="38" t="n">
        <f aca="false">IFERROR(BV95/BP95-1,"")</f>
        <v>0.0613585389298301</v>
      </c>
      <c r="BW104" s="38" t="n">
        <f aca="false">IFERROR(BW95/BV95-1,"")</f>
        <v>0.061061999972484</v>
      </c>
      <c r="BX104" s="38" t="n">
        <f aca="false">IFERROR(BX95/BW95-1,"")</f>
        <v>0.0544181085432411</v>
      </c>
      <c r="BY104" s="38" t="n">
        <f aca="false">IFERROR(BY95/BX95-1,"")</f>
        <v>0.0516411863910158</v>
      </c>
      <c r="BZ104" s="38" t="n">
        <f aca="false">IFERROR(BZ95/BY95-1,"")</f>
        <v>0.0477317548146905</v>
      </c>
      <c r="CA104" s="16"/>
      <c r="CC104" s="5"/>
      <c r="CD104" s="5"/>
      <c r="CE104" s="5"/>
    </row>
    <row r="105" customFormat="false" ht="15" hidden="false" customHeight="false" outlineLevel="0" collapsed="false">
      <c r="B105" s="35" t="s">
        <v>109</v>
      </c>
      <c r="C105" s="36"/>
      <c r="D105" s="36"/>
      <c r="E105" s="36"/>
      <c r="F105" s="36"/>
      <c r="G105" s="36"/>
      <c r="H105" s="36"/>
      <c r="I105" s="37" t="n">
        <f aca="false">IFERROR(I97/C97-1,"")</f>
        <v>0.296875</v>
      </c>
      <c r="J105" s="37" t="n">
        <f aca="false">IFERROR(J97/D97-1,"")</f>
        <v>-0.242798353909465</v>
      </c>
      <c r="K105" s="37" t="n">
        <f aca="false">IFERROR(K97/E97-1,"")</f>
        <v>-0.0566037735849057</v>
      </c>
      <c r="L105" s="37" t="n">
        <f aca="false">IFERROR(L97/F97-1,"")</f>
        <v>-0.186046511627907</v>
      </c>
      <c r="M105" s="37" t="n">
        <f aca="false">IFERROR(M97/G97-1,"")</f>
        <v>0.814516129032258</v>
      </c>
      <c r="N105" s="37" t="n">
        <f aca="false">IFERROR(N97/H97-1,"")</f>
        <v>0.0719640179910046</v>
      </c>
      <c r="O105" s="37" t="n">
        <f aca="false">IFERROR(O97/I97-1,"")</f>
        <v>-0.27710843373494</v>
      </c>
      <c r="P105" s="37" t="n">
        <f aca="false">IFERROR(P97/J97-1,"")</f>
        <v>0.0163043478260869</v>
      </c>
      <c r="Q105" s="37" t="n">
        <f aca="false">IFERROR(Q97/K97-1,"")</f>
        <v>-0.122857142857143</v>
      </c>
      <c r="R105" s="37" t="n">
        <f aca="false">IFERROR(R97/L97-1,"")</f>
        <v>0.371428571428571</v>
      </c>
      <c r="S105" s="37" t="n">
        <f aca="false">IFERROR(S97/M97-1,"")</f>
        <v>-0.16</v>
      </c>
      <c r="T105" s="37" t="n">
        <f aca="false">IFERROR(T97/N97-1,"")</f>
        <v>-0.0377622377622378</v>
      </c>
      <c r="U105" s="37" t="n">
        <f aca="false">IFERROR(U97/O97-1,"")</f>
        <v>-0.025</v>
      </c>
      <c r="V105" s="37" t="n">
        <f aca="false">IFERROR(V97/P97-1,"")</f>
        <v>-0.0320855614973262</v>
      </c>
      <c r="W105" s="37" t="n">
        <f aca="false">IFERROR(W97/Q97-1,"")</f>
        <v>-0.0293159609120521</v>
      </c>
      <c r="X105" s="37" t="n">
        <f aca="false">IFERROR(X97/R97-1,"")</f>
        <v>0.130208333333333</v>
      </c>
      <c r="Y105" s="37" t="n">
        <f aca="false">IFERROR(Y97/S97-1,"")</f>
        <v>-0.216931216931217</v>
      </c>
      <c r="Z105" s="37" t="n">
        <f aca="false">IFERROR(Z97/T97-1,"")</f>
        <v>-0.0363372093023255</v>
      </c>
      <c r="AA105" s="37" t="n">
        <f aca="false">IFERROR(AA97/U97-1,"")</f>
        <v>0.102564102564103</v>
      </c>
      <c r="AB105" s="37" t="n">
        <f aca="false">IFERROR(AB97/V97-1,"")</f>
        <v>-0.237569060773481</v>
      </c>
      <c r="AC105" s="37" t="n">
        <f aca="false">IFERROR(AC97/W97-1,"")</f>
        <v>-0.104026845637584</v>
      </c>
      <c r="AD105" s="37" t="n">
        <f aca="false">IFERROR(AD97/X97-1,"")</f>
        <v>-0.119815668202765</v>
      </c>
      <c r="AE105" s="37" t="n">
        <f aca="false">IFERROR(AE97/Y97-1,"")</f>
        <v>0.168918918918919</v>
      </c>
      <c r="AF105" s="37" t="n">
        <f aca="false">IFERROR(AF97/Z97-1,"")</f>
        <v>-0.048265460030166</v>
      </c>
      <c r="AG105" s="37" t="n">
        <f aca="false">IFERROR(AG97/AA97-1,"")</f>
        <v>0.209302325581395</v>
      </c>
      <c r="AH105" s="37" t="n">
        <f aca="false">IFERROR(AH97/AB97-1,"")</f>
        <v>-1.03623188405797</v>
      </c>
      <c r="AI105" s="37" t="n">
        <f aca="false">IFERROR(AI97/AC97-1,"")</f>
        <v>-0.434456928838951</v>
      </c>
      <c r="AJ105" s="37" t="n">
        <f aca="false">IFERROR(AJ97/AD97-1,"")</f>
        <v>-0.151832460732984</v>
      </c>
      <c r="AK105" s="37" t="n">
        <f aca="false">IFERROR(AK97/AE97-1,"")</f>
        <v>0.398843930635838</v>
      </c>
      <c r="AL105" s="37" t="n">
        <f aca="false">IFERROR(AL97/AF97-1,"")</f>
        <v>-0.120443740095087</v>
      </c>
      <c r="AM105" s="37" t="n">
        <f aca="false">IFERROR(AM97/AG97-1,"")</f>
        <v>0.224358974358974</v>
      </c>
      <c r="AN105" s="37" t="n">
        <f aca="false">IFERROR(AN97/AH97-1,"")</f>
        <v>-34.8</v>
      </c>
      <c r="AO105" s="37" t="n">
        <f aca="false">IFERROR(AO97/AI97-1,"")</f>
        <v>1.3841059602649</v>
      </c>
      <c r="AP105" s="37" t="n">
        <f aca="false">IFERROR(AP97/AJ97-1,"")</f>
        <v>0.00617283950617287</v>
      </c>
      <c r="AQ105" s="37" t="n">
        <f aca="false">IFERROR(AQ97/AK97-1,"")</f>
        <v>-0.338842975206612</v>
      </c>
      <c r="AR105" s="37" t="n">
        <f aca="false">IFERROR(AR97/AL97-1,"")</f>
        <v>0.230630630630631</v>
      </c>
      <c r="AS105" s="37" t="n">
        <f aca="false">IFERROR(AS97/AM97-1,"")</f>
        <v>-0.0785340314136126</v>
      </c>
      <c r="AT105" s="37" t="n">
        <f aca="false">IFERROR(AT97/AN97-1,"")</f>
        <v>0.331360946745562</v>
      </c>
      <c r="AU105" s="37" t="n">
        <f aca="false">IFERROR(AU97/AO97-1,"")</f>
        <v>0.113888888888889</v>
      </c>
      <c r="AV105" s="37" t="n">
        <f aca="false">IFERROR(AV97/AP97-1,"")</f>
        <v>0.01840490797546</v>
      </c>
      <c r="AW105" s="37" t="n">
        <f aca="false">IFERROR(AW97/AQ97-1,"")</f>
        <v>-0.09375</v>
      </c>
      <c r="AX105" s="37" t="n">
        <f aca="false">IFERROR(AX97/AR97-1,"")</f>
        <v>0.0424597364568082</v>
      </c>
      <c r="AY105" s="37" t="n">
        <f aca="false">IFERROR(AY97/AS97-1,"")</f>
        <v>-0.113636363636364</v>
      </c>
      <c r="AZ105" s="37" t="n">
        <f aca="false">IFERROR(AZ97/AT97-1,"")</f>
        <v>-0.248888888888889</v>
      </c>
      <c r="BA105" s="37" t="n">
        <f aca="false">IFERROR(BA97/AU97-1,"")</f>
        <v>-0.189526184538653</v>
      </c>
      <c r="BB105" s="37" t="n">
        <f aca="false">IFERROR(BB97/AV97-1,"")</f>
        <v>0.126506024096386</v>
      </c>
      <c r="BC105" s="37" t="n">
        <f aca="false">IFERROR(BC97/AW97-1,"")</f>
        <v>1.27586206896552</v>
      </c>
      <c r="BD105" s="37" t="n">
        <f aca="false">IFERROR(BD97/AX97-1,"")</f>
        <v>0.182584269662921</v>
      </c>
      <c r="BE105" s="37" t="n">
        <f aca="false">IFERROR(BE97/AY97-1,"")</f>
        <v>0.0897435897435897</v>
      </c>
      <c r="BF105" s="37" t="n">
        <f aca="false">IFERROR(BF97/AZ97-1,"")</f>
        <v>0.201183431952663</v>
      </c>
      <c r="BG105" s="37" t="n">
        <f aca="false">IFERROR(BG97/BA97-1,"")</f>
        <v>0.147692307692308</v>
      </c>
      <c r="BH105" s="37" t="n">
        <f aca="false">IFERROR(BH97/BB97-1,"")</f>
        <v>-0.481283422459893</v>
      </c>
      <c r="BI105" s="37" t="n">
        <f aca="false">IFERROR(BI97/BC97-1,"")</f>
        <v>-0.687878787878788</v>
      </c>
      <c r="BJ105" s="37" t="n">
        <f aca="false">IFERROR(BJ97/BD97-1,"")</f>
        <v>-0.319477434679335</v>
      </c>
      <c r="BK105" s="37" t="n">
        <f aca="false">IFERROR(BK97/BE97-1,"")</f>
        <v>0.00588235294117645</v>
      </c>
      <c r="BL105" s="37" t="n">
        <f aca="false">IFERROR(BL97/BF97-1,"")</f>
        <v>-0.152709359605911</v>
      </c>
      <c r="BM105" s="37" t="n">
        <f aca="false">IFERROR(BM97/BG97-1,"")</f>
        <v>-0.0804289544235926</v>
      </c>
      <c r="BN105" s="37" t="n">
        <f aca="false">IFERROR(BN97/BH97-1,"")</f>
        <v>0.845360824742268</v>
      </c>
      <c r="BO105" s="37" t="n">
        <f aca="false">IFERROR(BO97/BI97-1,"")</f>
        <v>0.893203883495146</v>
      </c>
      <c r="BP105" s="37" t="n">
        <f aca="false">IFERROR(BP97/BJ97-1,"")</f>
        <v>0.25130890052356</v>
      </c>
      <c r="BQ105" s="37" t="n">
        <f aca="false">IFERROR(BQ97/BK97-1,"")</f>
        <v>0.00584795321637421</v>
      </c>
      <c r="BR105" s="37" t="n">
        <f aca="false">IFERROR(BR97/BL97-1,"")</f>
        <v>0.302325581395349</v>
      </c>
      <c r="BS105" s="37" t="n">
        <f aca="false">IFERROR(BS97/BM97-1,"")</f>
        <v>0.154518950437318</v>
      </c>
      <c r="BT105" s="38" t="n">
        <f aca="false">IFERROR(BT97/BN97-1,"")</f>
        <v>0.125</v>
      </c>
      <c r="BU105" s="38" t="n">
        <f aca="false">IFERROR(BU97/BO97-1,"")</f>
        <v>0.0326923076923078</v>
      </c>
      <c r="BV105" s="38" t="n">
        <f aca="false">IFERROR(BV97/BP97-1,"")</f>
        <v>0.114016736401674</v>
      </c>
      <c r="BW105" s="38" t="n">
        <f aca="false">IFERROR(BW97/BV97-1,"")</f>
        <v>0.161675780533362</v>
      </c>
      <c r="BX105" s="38" t="n">
        <f aca="false">IFERROR(BX97/BW97-1,"")</f>
        <v>0.0954074927759481</v>
      </c>
      <c r="BY105" s="38" t="n">
        <f aca="false">IFERROR(BY97/BX97-1,"")</f>
        <v>0.0906307790037091</v>
      </c>
      <c r="BZ105" s="38" t="n">
        <f aca="false">IFERROR(BZ97/BY97-1,"")</f>
        <v>0.0850176606009121</v>
      </c>
      <c r="CA105" s="16"/>
      <c r="CC105" s="5"/>
      <c r="CD105" s="5"/>
      <c r="CE105" s="5"/>
    </row>
    <row r="106" customFormat="false" ht="15" hidden="false" customHeight="false" outlineLevel="0" collapsed="false">
      <c r="B106" s="35" t="s">
        <v>111</v>
      </c>
      <c r="C106" s="36"/>
      <c r="D106" s="36"/>
      <c r="E106" s="36"/>
      <c r="F106" s="36"/>
      <c r="G106" s="36"/>
      <c r="H106" s="36"/>
      <c r="I106" s="37" t="n">
        <f aca="false">IFERROR(I103/C103-1,"")</f>
        <v>0.296875</v>
      </c>
      <c r="J106" s="37" t="n">
        <f aca="false">IFERROR(J103/D103-1,"")</f>
        <v>-0.242798353909465</v>
      </c>
      <c r="K106" s="37" t="n">
        <f aca="false">IFERROR(K103/E103-1,"")</f>
        <v>-0.0566037735849057</v>
      </c>
      <c r="L106" s="37" t="n">
        <f aca="false">IFERROR(L103/F103-1,"")</f>
        <v>-0.186046511627907</v>
      </c>
      <c r="M106" s="37" t="n">
        <f aca="false">IFERROR(M103/G103-1,"")</f>
        <v>0.814516129032258</v>
      </c>
      <c r="N106" s="37" t="n">
        <f aca="false">IFERROR(N103/H103-1,"")</f>
        <v>0.0637544273907911</v>
      </c>
      <c r="O106" s="37" t="n">
        <f aca="false">IFERROR(O103/I103-1,"")</f>
        <v>-0.27710843373494</v>
      </c>
      <c r="P106" s="37" t="n">
        <f aca="false">IFERROR(P103/J103-1,"")</f>
        <v>0.0163043478260869</v>
      </c>
      <c r="Q106" s="37" t="n">
        <f aca="false">IFERROR(Q103/K103-1,"")</f>
        <v>-0.122857142857143</v>
      </c>
      <c r="R106" s="37" t="n">
        <f aca="false">IFERROR(R103/L103-1,"")</f>
        <v>0.371428571428571</v>
      </c>
      <c r="S106" s="37" t="n">
        <f aca="false">IFERROR(S103/M103-1,"")</f>
        <v>-0.16</v>
      </c>
      <c r="T106" s="37" t="n">
        <f aca="false">IFERROR(T103/N103-1,"")</f>
        <v>-0.00887902330743617</v>
      </c>
      <c r="U106" s="37" t="n">
        <f aca="false">IFERROR(U103/O103-1,"")</f>
        <v>-0.025</v>
      </c>
      <c r="V106" s="37" t="n">
        <f aca="false">IFERROR(V103/P103-1,"")</f>
        <v>-0.0320855614973262</v>
      </c>
      <c r="W106" s="37" t="n">
        <f aca="false">IFERROR(W103/Q103-1,"")</f>
        <v>-0.0293159609120521</v>
      </c>
      <c r="X106" s="37" t="n">
        <f aca="false">IFERROR(X103/R103-1,"")</f>
        <v>0.130208333333333</v>
      </c>
      <c r="Y106" s="37" t="n">
        <f aca="false">IFERROR(Y103/S103-1,"")</f>
        <v>-0.216931216931217</v>
      </c>
      <c r="Z106" s="37" t="n">
        <f aca="false">IFERROR(Z103/T103-1,"")</f>
        <v>-0.0302351623740201</v>
      </c>
      <c r="AA106" s="37" t="n">
        <f aca="false">IFERROR(AA103/U103-1,"")</f>
        <v>0.102564102564103</v>
      </c>
      <c r="AB106" s="37" t="n">
        <f aca="false">IFERROR(AB103/V103-1,"")</f>
        <v>-0.237569060773481</v>
      </c>
      <c r="AC106" s="37" t="n">
        <f aca="false">IFERROR(AC103/W103-1,"")</f>
        <v>-0.104026845637584</v>
      </c>
      <c r="AD106" s="37" t="n">
        <f aca="false">IFERROR(AD103/X103-1,"")</f>
        <v>-0.119815668202765</v>
      </c>
      <c r="AE106" s="37" t="n">
        <f aca="false">IFERROR(AE103/Y103-1,"")</f>
        <v>0.168918918918919</v>
      </c>
      <c r="AF106" s="37" t="n">
        <f aca="false">IFERROR(AF103/Z103-1,"")</f>
        <v>-0.00923787528868358</v>
      </c>
      <c r="AG106" s="37" t="n">
        <f aca="false">IFERROR(AG103/AA103-1,"")</f>
        <v>0.209302325581395</v>
      </c>
      <c r="AH106" s="37" t="n">
        <f aca="false">IFERROR(AH103/AB103-1,"")</f>
        <v>-1.03623188405797</v>
      </c>
      <c r="AI106" s="37" t="n">
        <f aca="false">IFERROR(AI103/AC103-1,"")</f>
        <v>-0.434456928838951</v>
      </c>
      <c r="AJ106" s="37" t="n">
        <f aca="false">IFERROR(AJ103/AD103-1,"")</f>
        <v>-0.151832460732984</v>
      </c>
      <c r="AK106" s="37" t="n">
        <f aca="false">IFERROR(AK103/AE103-1,"")</f>
        <v>0.398843930635838</v>
      </c>
      <c r="AL106" s="37" t="n">
        <f aca="false">IFERROR(AL103/AF103-1,"")</f>
        <v>-0.0652680652680653</v>
      </c>
      <c r="AM106" s="37" t="n">
        <f aca="false">IFERROR(AM103/AG103-1,"")</f>
        <v>0.224358974358974</v>
      </c>
      <c r="AN106" s="37" t="n">
        <f aca="false">IFERROR(AN103/AH103-1,"")</f>
        <v>-34.8</v>
      </c>
      <c r="AO106" s="37" t="n">
        <f aca="false">IFERROR(AO103/AI103-1,"")</f>
        <v>1.3841059602649</v>
      </c>
      <c r="AP106" s="37" t="n">
        <f aca="false">IFERROR(AP103/AJ103-1,"")</f>
        <v>0.00617283950617287</v>
      </c>
      <c r="AQ106" s="37" t="n">
        <f aca="false">IFERROR(AQ103/AK103-1,"")</f>
        <v>-0.338842975206612</v>
      </c>
      <c r="AR106" s="37" t="n">
        <f aca="false">IFERROR(AR103/AL103-1,"")</f>
        <v>0.216957605985037</v>
      </c>
      <c r="AS106" s="37" t="n">
        <f aca="false">IFERROR(AS103/AM103-1,"")</f>
        <v>-0.0785340314136126</v>
      </c>
      <c r="AT106" s="37" t="n">
        <f aca="false">IFERROR(AT103/AN103-1,"")</f>
        <v>0.331360946745562</v>
      </c>
      <c r="AU106" s="37" t="n">
        <f aca="false">IFERROR(AU103/AO103-1,"")</f>
        <v>0.113888888888889</v>
      </c>
      <c r="AV106" s="37" t="n">
        <f aca="false">IFERROR(AV103/AP103-1,"")</f>
        <v>0.01840490797546</v>
      </c>
      <c r="AW106" s="37" t="n">
        <f aca="false">IFERROR(AW103/AQ103-1,"")</f>
        <v>-0.09375</v>
      </c>
      <c r="AX106" s="37" t="n">
        <f aca="false">IFERROR(AX103/AR103-1,"")</f>
        <v>0.096311475409836</v>
      </c>
      <c r="AY106" s="37" t="n">
        <f aca="false">IFERROR(AY103/AS103-1,"")</f>
        <v>-0.113636363636364</v>
      </c>
      <c r="AZ106" s="37" t="n">
        <f aca="false">IFERROR(AZ103/AT103-1,"")</f>
        <v>-0.248888888888889</v>
      </c>
      <c r="BA106" s="37" t="n">
        <f aca="false">IFERROR(BA103/AU103-1,"")</f>
        <v>-0.189526184538653</v>
      </c>
      <c r="BB106" s="37" t="n">
        <f aca="false">IFERROR(BB103/AV103-1,"")</f>
        <v>0.126506024096386</v>
      </c>
      <c r="BC106" s="37" t="n">
        <f aca="false">IFERROR(BC103/AW103-1,"")</f>
        <v>1.27586206896552</v>
      </c>
      <c r="BD106" s="37" t="n">
        <f aca="false">IFERROR(BD103/AX103-1,"")</f>
        <v>0.111214953271028</v>
      </c>
      <c r="BE106" s="37" t="n">
        <f aca="false">IFERROR(BE103/AY103-1,"")</f>
        <v>0.602564102564103</v>
      </c>
      <c r="BF106" s="37" t="n">
        <f aca="false">IFERROR(BF103/AZ103-1,"")</f>
        <v>0.674556213017751</v>
      </c>
      <c r="BG106" s="37" t="n">
        <f aca="false">IFERROR(BG103/BA103-1,"")</f>
        <v>0.64</v>
      </c>
      <c r="BH106" s="37" t="n">
        <f aca="false">IFERROR(BH103/BB103-1,"")</f>
        <v>-0.0427807486631016</v>
      </c>
      <c r="BI106" s="37" t="n">
        <f aca="false">IFERROR(BI103/BC103-1,"")</f>
        <v>-0.433333333333333</v>
      </c>
      <c r="BJ106" s="37" t="n">
        <f aca="false">IFERROR(BJ103/BD103-1,"")</f>
        <v>-0.24390243902439</v>
      </c>
      <c r="BK106" s="37" t="n">
        <f aca="false">IFERROR(BK103/BE103-1,"")</f>
        <v>0</v>
      </c>
      <c r="BL106" s="37" t="n">
        <f aca="false">IFERROR(BL103/BF103-1,"")</f>
        <v>-0.098939929328622</v>
      </c>
      <c r="BM106" s="37" t="n">
        <f aca="false">IFERROR(BM103/BG103-1,"")</f>
        <v>-0.0525328330206379</v>
      </c>
      <c r="BN106" s="37" t="n">
        <f aca="false">IFERROR(BN103/BH103-1,"")</f>
        <v>0.446927374301676</v>
      </c>
      <c r="BO106" s="37" t="n">
        <f aca="false">IFERROR(BO103/BI103-1,"")</f>
        <v>0.508021390374332</v>
      </c>
      <c r="BP106" s="37" t="n">
        <f aca="false">IFERROR(BP103/BJ103-1,"")</f>
        <v>0.163515016685206</v>
      </c>
      <c r="BQ106" s="37" t="n">
        <f aca="false">IFERROR(BQ103/BK103-1,"")</f>
        <v>-0.00800000000000001</v>
      </c>
      <c r="BR106" s="37" t="n">
        <f aca="false">IFERROR(BR103/BL103-1,"")</f>
        <v>0.188235294117647</v>
      </c>
      <c r="BS106" s="37" t="n">
        <f aca="false">IFERROR(BS103/BM103-1,"")</f>
        <v>0.0910891089108912</v>
      </c>
      <c r="BT106" s="38" t="n">
        <f aca="false">IFERROR(BT103/BN103-1,"")</f>
        <v>0.11534749034749</v>
      </c>
      <c r="BU106" s="38" t="n">
        <f aca="false">IFERROR(BU103/BO103-1,"")</f>
        <v>0.0243794326241136</v>
      </c>
      <c r="BV106" s="38" t="n">
        <f aca="false">IFERROR(BV103/BP103-1,"")</f>
        <v>0.0791108986615678</v>
      </c>
      <c r="BW106" s="38" t="n">
        <f aca="false">IFERROR(BW103/BV103-1,"")</f>
        <v>0.122615642063826</v>
      </c>
      <c r="BX106" s="38" t="n">
        <f aca="false">IFERROR(BX103/BW103-1,"")</f>
        <v>0.0840692572593005</v>
      </c>
      <c r="BY106" s="38" t="n">
        <f aca="false">IFERROR(BY103/BX103-1,"")</f>
        <v>0.0802325762867548</v>
      </c>
      <c r="BZ106" s="38" t="n">
        <f aca="false">IFERROR(BZ103/BY103-1,"")</f>
        <v>0.0753907820085833</v>
      </c>
      <c r="CA106" s="16"/>
      <c r="CC106" s="5"/>
      <c r="CD106" s="5"/>
      <c r="CE106" s="5"/>
    </row>
    <row r="107" customFormat="false" ht="15" hidden="false" customHeight="false" outlineLevel="0" collapsed="false">
      <c r="B107" s="35" t="s">
        <v>113</v>
      </c>
      <c r="C107" s="36" t="n">
        <f aca="false">IFERROR(C97/C95,"")</f>
        <v>0.0815286624203822</v>
      </c>
      <c r="D107" s="36" t="n">
        <f aca="false">IFERROR(D97/D95,"")</f>
        <v>0.139255014326648</v>
      </c>
      <c r="E107" s="36" t="n">
        <f aca="false">IFERROR(E97/E95,"")</f>
        <v>0.111915535444947</v>
      </c>
      <c r="F107" s="36" t="n">
        <f aca="false">IFERROR(F97/F95,"")</f>
        <v>0.0955555555555556</v>
      </c>
      <c r="G107" s="36" t="n">
        <f aca="false">IFERROR(G97/G95,"")</f>
        <v>0.0650918635170604</v>
      </c>
      <c r="H107" s="36" t="n">
        <f aca="false">IFERROR(H97/H95,"")</f>
        <v>0.095014245014245</v>
      </c>
      <c r="I107" s="36" t="n">
        <f aca="false">IFERROR(I97/I95,"")</f>
        <v>0.0941576857629042</v>
      </c>
      <c r="J107" s="36" t="n">
        <f aca="false">IFERROR(J97/J95,"")</f>
        <v>0.108235294117647</v>
      </c>
      <c r="K107" s="36" t="n">
        <f aca="false">IFERROR(K97/K95,"")</f>
        <v>0.101068437770719</v>
      </c>
      <c r="L107" s="36" t="n">
        <f aca="false">IFERROR(L97/L95,"")</f>
        <v>0.083184789067142</v>
      </c>
      <c r="M107" s="36" t="n">
        <f aca="false">IFERROR(M97/M95,"")</f>
        <v>0.117065556711759</v>
      </c>
      <c r="N107" s="36" t="n">
        <f aca="false">IFERROR(N97/N95,"")</f>
        <v>0.101160158460668</v>
      </c>
      <c r="O107" s="36" t="n">
        <f aca="false">IFERROR(O97/O95,"")</f>
        <v>0.0696055684454756</v>
      </c>
      <c r="P107" s="36" t="n">
        <f aca="false">IFERROR(P97/P95,"")</f>
        <v>0.100645855758881</v>
      </c>
      <c r="Q107" s="36" t="n">
        <f aca="false">IFERROR(Q97/Q95,"")</f>
        <v>0.0857063093243998</v>
      </c>
      <c r="R107" s="36" t="n">
        <f aca="false">IFERROR(R97/R95,"")</f>
        <v>0.103059581320451</v>
      </c>
      <c r="S107" s="36" t="n">
        <f aca="false">IFERROR(S97/S95,"")</f>
        <v>0.094689378757515</v>
      </c>
      <c r="T107" s="36" t="n">
        <f aca="false">IFERROR(T97/T95,"")</f>
        <v>0.09246069076737</v>
      </c>
      <c r="U107" s="36" t="n">
        <f aca="false">IFERROR(U97/U95,"")</f>
        <v>0.0624332977588047</v>
      </c>
      <c r="V107" s="36" t="n">
        <f aca="false">IFERROR(V97/V95,"")</f>
        <v>0.0896039603960396</v>
      </c>
      <c r="W107" s="36" t="n">
        <f aca="false">IFERROR(W97/W95,"")</f>
        <v>0.0765279917822291</v>
      </c>
      <c r="X107" s="36" t="n">
        <f aca="false">IFERROR(X97/X95,"")</f>
        <v>0.104176668266923</v>
      </c>
      <c r="Y107" s="36" t="n">
        <f aca="false">IFERROR(Y97/Y95,"")</f>
        <v>0.0673033196907685</v>
      </c>
      <c r="Z107" s="36" t="n">
        <f aca="false">IFERROR(Z97/Z95,"")</f>
        <v>0.0810909980430528</v>
      </c>
      <c r="AA107" s="36" t="n">
        <f aca="false">IFERROR(AA97/AA95,"")</f>
        <v>0.0620192307692308</v>
      </c>
      <c r="AB107" s="36" t="n">
        <f aca="false">IFERROR(AB97/AB95,"")</f>
        <v>0.0630712979890311</v>
      </c>
      <c r="AC107" s="36" t="n">
        <f aca="false">IFERROR(AC97/AC95,"")</f>
        <v>0.0625585754451734</v>
      </c>
      <c r="AD107" s="36" t="n">
        <f aca="false">IFERROR(AD97/AD95,"")</f>
        <v>0.0860748084722848</v>
      </c>
      <c r="AE107" s="36" t="n">
        <f aca="false">IFERROR(AE97/AE95,"")</f>
        <v>0.0717247097844113</v>
      </c>
      <c r="AF107" s="36" t="n">
        <f aca="false">IFERROR(AF97/AF95,"")</f>
        <v>0.0709068434655579</v>
      </c>
      <c r="AG107" s="36" t="n">
        <f aca="false">IFERROR(AG97/AG95,"")</f>
        <v>0.068935041979673</v>
      </c>
      <c r="AH107" s="36" t="n">
        <f aca="false">IFERROR(AH97/AH95,"")</f>
        <v>-0.00246669955599408</v>
      </c>
      <c r="AI107" s="36" t="n">
        <f aca="false">IFERROR(AI97/AI95,"")</f>
        <v>0.0351981351981352</v>
      </c>
      <c r="AJ107" s="36" t="n">
        <f aca="false">IFERROR(AJ97/AJ95,"")</f>
        <v>0.0700086430423509</v>
      </c>
      <c r="AK107" s="36" t="n">
        <f aca="false">IFERROR(AK97/AK95,"")</f>
        <v>0.0877765687341313</v>
      </c>
      <c r="AL107" s="36" t="n">
        <f aca="false">IFERROR(AL97/AL95,"")</f>
        <v>0.0592885375494071</v>
      </c>
      <c r="AM107" s="36" t="n">
        <f aca="false">IFERROR(AM97/AM95,"")</f>
        <v>0.0838454784899034</v>
      </c>
      <c r="AN107" s="36" t="n">
        <f aca="false">IFERROR(AN97/AN95,"")</f>
        <v>0.0757507844016136</v>
      </c>
      <c r="AO107" s="36" t="n">
        <f aca="false">IFERROR(AO97/AO95,"")</f>
        <v>0.0798403193612775</v>
      </c>
      <c r="AP107" s="36" t="n">
        <f aca="false">IFERROR(AP97/AP95,"")</f>
        <v>0.0697177074422583</v>
      </c>
      <c r="AQ107" s="36" t="n">
        <f aca="false">IFERROR(AQ97/AQ95,"")</f>
        <v>0.0597683974598431</v>
      </c>
      <c r="AR107" s="36" t="n">
        <f aca="false">IFERROR(AR97/AR95,"")</f>
        <v>0.0717135657286854</v>
      </c>
      <c r="AS107" s="36" t="n">
        <f aca="false">IFERROR(AS97/AS95,"")</f>
        <v>0.0683229813664596</v>
      </c>
      <c r="AT107" s="36" t="n">
        <f aca="false">IFERROR(AT97/AT95,"")</f>
        <v>0.0845229151014275</v>
      </c>
      <c r="AU107" s="36" t="n">
        <f aca="false">IFERROR(AU97/AU95,"")</f>
        <v>0.0765559373806797</v>
      </c>
      <c r="AV107" s="36" t="n">
        <f aca="false">IFERROR(AV97/AV95,"")</f>
        <v>0.0632140137090632</v>
      </c>
      <c r="AW107" s="36" t="n">
        <f aca="false">IFERROR(AW97/AW95,"")</f>
        <v>0.0515647226173542</v>
      </c>
      <c r="AX107" s="36" t="n">
        <f aca="false">IFERROR(AX97/AX95,"")</f>
        <v>0.0666916448107906</v>
      </c>
      <c r="AY107" s="36" t="n">
        <f aca="false">IFERROR(AY97/AY95,"")</f>
        <v>0.0583395661929693</v>
      </c>
      <c r="AZ107" s="36" t="n">
        <f aca="false">IFERROR(AZ97/AZ95,"")</f>
        <v>0.0606386795837818</v>
      </c>
      <c r="BA107" s="36" t="n">
        <f aca="false">IFERROR(BA97/BA95,"")</f>
        <v>0.0595129097234939</v>
      </c>
      <c r="BB107" s="36" t="n">
        <f aca="false">IFERROR(BB97/BB95,"")</f>
        <v>0.06640625</v>
      </c>
      <c r="BC107" s="36" t="n">
        <f aca="false">IFERROR(BC97/BC95,"")</f>
        <v>0.103871576959396</v>
      </c>
      <c r="BD107" s="36" t="n">
        <f aca="false">IFERROR(BD97/BD95,"")</f>
        <v>0.0735114370525581</v>
      </c>
      <c r="BE107" s="36" t="n">
        <f aca="false">IFERROR(BE97/BE95,"")</f>
        <v>0.0606060606060606</v>
      </c>
      <c r="BF107" s="36" t="n">
        <f aca="false">IFERROR(BF97/BF95,"")</f>
        <v>0.0681894524689285</v>
      </c>
      <c r="BG107" s="36" t="n">
        <f aca="false">IFERROR(BG97/BG95,"")</f>
        <v>0.064510549982705</v>
      </c>
      <c r="BH107" s="36" t="n">
        <f aca="false">IFERROR(BH97/BH95,"")</f>
        <v>0.0352855583848672</v>
      </c>
      <c r="BI107" s="36" t="n">
        <f aca="false">IFERROR(BI97/BI95,"")</f>
        <v>0.0342876165113182</v>
      </c>
      <c r="BJ107" s="36" t="n">
        <f aca="false">IFERROR(BJ97/BJ95,"")</f>
        <v>0.0496749024707412</v>
      </c>
      <c r="BK107" s="36" t="n">
        <f aca="false">IFERROR(BK97/BK95,"")</f>
        <v>0.062545720555962</v>
      </c>
      <c r="BL107" s="36" t="n">
        <f aca="false">IFERROR(BL97/BL95,"")</f>
        <v>0.0558079169370539</v>
      </c>
      <c r="BM107" s="36" t="n">
        <f aca="false">IFERROR(BM97/BM95,"")</f>
        <v>0.0589752407152682</v>
      </c>
      <c r="BN107" s="36" t="n">
        <f aca="false">IFERROR(BN97/BN95,"")</f>
        <v>0.056077694235589</v>
      </c>
      <c r="BO107" s="36" t="n">
        <f aca="false">IFERROR(BO97/BO95,"")</f>
        <v>0.0560989643268124</v>
      </c>
      <c r="BP107" s="36" t="n">
        <f aca="false">IFERROR(BP97/BP95,"")</f>
        <v>0.0574335148990708</v>
      </c>
      <c r="BQ107" s="36" t="n">
        <f aca="false">IFERROR(BQ97/BQ95,"")</f>
        <v>0.0555017747660536</v>
      </c>
      <c r="BR107" s="36" t="n">
        <f aca="false">IFERROR(BR97/BR95,"")</f>
        <v>0.0655354008191925</v>
      </c>
      <c r="BS107" s="36" t="n">
        <f aca="false">IFERROR(BS97/BS95,"")</f>
        <v>0.0607641552861746</v>
      </c>
      <c r="BT107" s="38" t="n">
        <f aca="false">IFERROR(BT97/BT95,"")</f>
        <v>0.0598173176889945</v>
      </c>
      <c r="BU107" s="38" t="n">
        <f aca="false">IFERROR(BU97/BU95,"")</f>
        <v>0.0598173176889945</v>
      </c>
      <c r="BV107" s="38" t="n">
        <f aca="false">IFERROR(BV97/BV95,"")</f>
        <v>0.0602830188679245</v>
      </c>
      <c r="BW107" s="38" t="n">
        <f aca="false">IFERROR(BW97/BW95,"")</f>
        <v>0.0659992752526428</v>
      </c>
      <c r="BX107" s="38" t="n">
        <f aca="false">IFERROR(BX97/BX95,"")</f>
        <v>0.0685649269903091</v>
      </c>
      <c r="BY107" s="38" t="n">
        <f aca="false">IFERROR(BY97/BY95,"")</f>
        <v>0.0711069713733799</v>
      </c>
      <c r="BZ107" s="38" t="n">
        <f aca="false">IFERROR(BZ97/BZ95,"")</f>
        <v>0.0736374738833857</v>
      </c>
      <c r="CA107" s="16"/>
      <c r="CC107" s="40" t="n">
        <f aca="false">IFERROR(AVERAGE(BV107,BW107,BX107,BY107,BZ107),"n/m")</f>
        <v>0.0679183332735284</v>
      </c>
      <c r="CD107" s="40" t="n">
        <f aca="false">IFERROR(AVERAGE(AR107,AX107,BD107,BJ107,BP107),"n/m")</f>
        <v>0.0638050129923692</v>
      </c>
      <c r="CE107" s="40" t="n">
        <f aca="false">IFERROR(AVERAGE(N107,T107,Z107,AF107,AL107,AR107,AX107,BD107,BJ107,BP107),"n/m")</f>
        <v>0.0723932293247902</v>
      </c>
    </row>
    <row r="108" customFormat="false" ht="15" hidden="false" customHeight="false" outlineLevel="0" collapsed="false">
      <c r="B108" s="35" t="s">
        <v>193</v>
      </c>
      <c r="C108" s="36" t="n">
        <f aca="false">IFERROR(C98/C96,"")</f>
        <v>0.0901960784313726</v>
      </c>
      <c r="D108" s="36" t="n">
        <f aca="false">IFERROR(D98/D96,"")</f>
        <v>0.179322429906542</v>
      </c>
      <c r="E108" s="36" t="n">
        <f aca="false">IFERROR(E98/E96,"")</f>
        <v>0.137260950030845</v>
      </c>
      <c r="F108" s="36" t="n">
        <f aca="false">IFERROR(F98/F96,"")</f>
        <v>0.1</v>
      </c>
      <c r="G108" s="36" t="n">
        <f aca="false">IFERROR(G98/G96,"")</f>
        <v>0.0986471251409245</v>
      </c>
      <c r="H108" s="36" t="n">
        <f aca="false">IFERROR(H98/H96,"")</f>
        <v>0.120259019426457</v>
      </c>
      <c r="I108" s="36" t="n">
        <f aca="false">IFERROR(I98/I96,"")</f>
        <v>0.103229892336922</v>
      </c>
      <c r="J108" s="36" t="n">
        <f aca="false">IFERROR(J98/J96,"")</f>
        <v>0.117424242424242</v>
      </c>
      <c r="K108" s="36" t="n">
        <f aca="false">IFERROR(K98/K96,"")</f>
        <v>0.110338286436927</v>
      </c>
      <c r="L108" s="36" t="n">
        <f aca="false">IFERROR(L98/L96,"")</f>
        <v>0.0861736334405145</v>
      </c>
      <c r="M108" s="36" t="n">
        <f aca="false">IFERROR(M98/M96,"")</f>
        <v>0.127272727272727</v>
      </c>
      <c r="N108" s="36" t="n">
        <f aca="false">IFERROR(N98/N96,"")</f>
        <v>0.1091386230318</v>
      </c>
      <c r="O108" s="36" t="n">
        <f aca="false">IFERROR(O98/O96,"")</f>
        <v>0.0907297830374754</v>
      </c>
      <c r="P108" s="36" t="n">
        <f aca="false">IFERROR(P98/P96,"")</f>
        <v>0.108536585365854</v>
      </c>
      <c r="Q108" s="36" t="n">
        <f aca="false">IFERROR(Q98/Q96,"")</f>
        <v>0.0999683644416324</v>
      </c>
      <c r="R108" s="36" t="n">
        <f aca="false">IFERROR(R98/R96,"")</f>
        <v>0.103280680437424</v>
      </c>
      <c r="S108" s="36" t="n">
        <f aca="false">IFERROR(S98/S96,"")</f>
        <v>0.101857062464828</v>
      </c>
      <c r="T108" s="36" t="n">
        <f aca="false">IFERROR(T98/T96,"")</f>
        <v>0.101306196840826</v>
      </c>
      <c r="U108" s="36" t="n">
        <f aca="false">IFERROR(U98/U96,"")</f>
        <v>0.0689862027594481</v>
      </c>
      <c r="V108" s="36" t="n">
        <f aca="false">IFERROR(V98/V96,"")</f>
        <v>0.0960264900662252</v>
      </c>
      <c r="W108" s="36" t="n">
        <f aca="false">IFERROR(W98/W96,"")</f>
        <v>0.0830698476573728</v>
      </c>
      <c r="X108" s="36" t="n">
        <f aca="false">IFERROR(X98/X96,"")</f>
        <v>0.107314468766684</v>
      </c>
      <c r="Y108" s="36" t="n">
        <f aca="false">IFERROR(Y98/Y96,"")</f>
        <v>0.0745977571916139</v>
      </c>
      <c r="Z108" s="36" t="n">
        <f aca="false">IFERROR(Z98/Z96,"")</f>
        <v>0.0868566797244361</v>
      </c>
      <c r="AA108" s="36" t="n">
        <f aca="false">IFERROR(AA98/AA96,"")</f>
        <v>0.0681696188942566</v>
      </c>
      <c r="AB108" s="36" t="n">
        <f aca="false">IFERROR(AB98/AB96,"")</f>
        <v>0.0736454497632825</v>
      </c>
      <c r="AC108" s="36" t="n">
        <f aca="false">IFERROR(AC98/AC96,"")</f>
        <v>0.0709351753453773</v>
      </c>
      <c r="AD108" s="36" t="n">
        <f aca="false">IFERROR(AD98/AD96,"")</f>
        <v>0.094742321707444</v>
      </c>
      <c r="AE108" s="36" t="n">
        <f aca="false">IFERROR(AE98/AE96,"")</f>
        <v>0.0932889100428368</v>
      </c>
      <c r="AF108" s="36" t="n">
        <f aca="false">IFERROR(AF98/AF96,"")</f>
        <v>0.082840996660673</v>
      </c>
      <c r="AG108" s="36" t="n">
        <f aca="false">IFERROR(AG98/AG96,"")</f>
        <v>0.082741116751269</v>
      </c>
      <c r="AH108" s="36" t="n">
        <f aca="false">IFERROR(AH98/AH96,"")</f>
        <v>-0.00802752293577982</v>
      </c>
      <c r="AI108" s="36" t="n">
        <f aca="false">IFERROR(AI98/AI96,"")</f>
        <v>0.0401184706515886</v>
      </c>
      <c r="AJ108" s="36" t="n">
        <f aca="false">IFERROR(AJ98/AJ96,"")</f>
        <v>0.0693556320708313</v>
      </c>
      <c r="AK108" s="36" t="n">
        <f aca="false">IFERROR(AK98/AK96,"")</f>
        <v>0.0895283772981615</v>
      </c>
      <c r="AL108" s="36" t="n">
        <f aca="false">IFERROR(AL98/AL96,"")</f>
        <v>0.0623105831009819</v>
      </c>
      <c r="AM108" s="36" t="n">
        <f aca="false">IFERROR(AM98/AM96,"")</f>
        <v>0.0894941634241245</v>
      </c>
      <c r="AN108" s="36" t="n">
        <f aca="false">IFERROR(AN98/AN96,"")</f>
        <v>0.0767338908017708</v>
      </c>
      <c r="AO108" s="36" t="n">
        <f aca="false">IFERROR(AO98/AO96,"")</f>
        <v>0.0831499144044999</v>
      </c>
      <c r="AP108" s="36" t="n">
        <f aca="false">IFERROR(AP98/AP96,"")</f>
        <v>0.0756811301715439</v>
      </c>
      <c r="AQ108" s="36" t="n">
        <f aca="false">IFERROR(AQ98/AQ96,"")</f>
        <v>0.0674528301886792</v>
      </c>
      <c r="AR108" s="36" t="n">
        <f aca="false">IFERROR(AR98/AR96,"")</f>
        <v>0.0772799413990966</v>
      </c>
      <c r="AS108" s="36" t="n">
        <f aca="false">IFERROR(AS98/AS96,"")</f>
        <v>0.082632360217714</v>
      </c>
      <c r="AT108" s="36" t="n">
        <f aca="false">IFERROR(AT98/AT96,"")</f>
        <v>0.0956480153036824</v>
      </c>
      <c r="AU108" s="36" t="n">
        <f aca="false">IFERROR(AU98/AU96,"")</f>
        <v>0.0892509727626459</v>
      </c>
      <c r="AV108" s="36" t="n">
        <f aca="false">IFERROR(AV98/AV96,"")</f>
        <v>0.0735009671179884</v>
      </c>
      <c r="AW108" s="36" t="n">
        <f aca="false">IFERROR(AW98/AW96,"")</f>
        <v>0.0579839429081178</v>
      </c>
      <c r="AX108" s="36" t="n">
        <f aca="false">IFERROR(AX98/AX96,"")</f>
        <v>0.0770600807409167</v>
      </c>
      <c r="AY108" s="36" t="n">
        <f aca="false">IFERROR(AY98/AY96,"")</f>
        <v>0.0667306769083053</v>
      </c>
      <c r="AZ108" s="36" t="n">
        <f aca="false">IFERROR(AZ98/AZ96,"")</f>
        <v>0.0736309249884952</v>
      </c>
      <c r="BA108" s="36" t="n">
        <f aca="false">IFERROR(BA98/BA96,"")</f>
        <v>0.0702537593984962</v>
      </c>
      <c r="BB108" s="36" t="n">
        <f aca="false">IFERROR(BB98/BB96,"")</f>
        <v>0.0753234750462107</v>
      </c>
      <c r="BC108" s="36" t="n">
        <f aca="false">IFERROR(BC98/BC96,"")</f>
        <v>0.113184584178499</v>
      </c>
      <c r="BD108" s="36" t="n">
        <f aca="false">IFERROR(BD98/BD96,"")</f>
        <v>0.0833989870568374</v>
      </c>
      <c r="BE108" s="36" t="n">
        <f aca="false">IFERROR(BE98/BE96,"")</f>
        <v>0.0679751077070369</v>
      </c>
      <c r="BF108" s="36" t="n">
        <f aca="false">IFERROR(BF98/BF96,"")</f>
        <v>0.0743213173119715</v>
      </c>
      <c r="BG108" s="36" t="n">
        <f aca="false">IFERROR(BG98/BG96,"")</f>
        <v>0.0712638376383764</v>
      </c>
      <c r="BH108" s="36" t="n">
        <f aca="false">IFERROR(BH98/BH96,"")</f>
        <v>0.0308285163776493</v>
      </c>
      <c r="BI108" s="36" t="n">
        <f aca="false">IFERROR(BI98/BI96,"")</f>
        <v>0.036144578313253</v>
      </c>
      <c r="BJ108" s="36" t="n">
        <f aca="false">IFERROR(BJ98/BJ96,"")</f>
        <v>0.0523122710622711</v>
      </c>
      <c r="BK108" s="36" t="n">
        <f aca="false">IFERROR(BK98/BK96,"")</f>
        <v>0.0644367929168716</v>
      </c>
      <c r="BL108" s="36" t="n">
        <f aca="false">IFERROR(BL98/BL96,"")</f>
        <v>0.0584443489471422</v>
      </c>
      <c r="BM108" s="36" t="n">
        <f aca="false">IFERROR(BM98/BM96,"")</f>
        <v>0.0612385321100917</v>
      </c>
      <c r="BN108" s="36" t="n">
        <f aca="false">IFERROR(BN98/BN96,"")</f>
        <v>0.0593047034764826</v>
      </c>
      <c r="BO108" s="36" t="n">
        <f aca="false">IFERROR(BO98/BO96,"")</f>
        <v>0.0546762589928058</v>
      </c>
      <c r="BP108" s="36" t="n">
        <f aca="false">IFERROR(BP98/BP96,"")</f>
        <v>0.0588419405320814</v>
      </c>
      <c r="BQ108" s="36" t="n">
        <f aca="false">IFERROR(BQ98/BQ96,"")</f>
        <v>0.0573221757322176</v>
      </c>
      <c r="BR108" s="36" t="n">
        <f aca="false">IFERROR(BR98/BR96,"")</f>
        <v>0.062731997030438</v>
      </c>
      <c r="BS108" s="36" t="n">
        <f aca="false">IFERROR(BS98/BS96,"")</f>
        <v>0.0601888276947286</v>
      </c>
      <c r="BT108" s="38" t="n">
        <f aca="false">IFERROR(BT98/BT96,"")</f>
        <v>0.0647526840490798</v>
      </c>
      <c r="BU108" s="38" t="n">
        <f aca="false">IFERROR(BU98/BU96,"")</f>
        <v>0.0647526840490798</v>
      </c>
      <c r="BV108" s="38" t="n">
        <f aca="false">IFERROR(BV98/BV96,"")</f>
        <v>0.0625</v>
      </c>
      <c r="BW108" s="38" t="n">
        <f aca="false">IFERROR(BW98/BW96,"")</f>
        <v>0.0690340567606532</v>
      </c>
      <c r="BX108" s="38" t="n">
        <f aca="false">IFERROR(BX98/BX96,"")</f>
        <v>0.0715290334968512</v>
      </c>
      <c r="BY108" s="38" t="n">
        <f aca="false">IFERROR(BY98/BY96,"")</f>
        <v>0.0740239956512735</v>
      </c>
      <c r="BZ108" s="38" t="n">
        <f aca="false">IFERROR(BZ98/BZ96,"")</f>
        <v>0.076518943160335</v>
      </c>
      <c r="CA108" s="16" t="s">
        <v>194</v>
      </c>
      <c r="CC108" s="40" t="n">
        <f aca="false">IFERROR(AVERAGE(BV108,BW108,BX108,BY108,BZ108),"n/m")</f>
        <v>0.0707212058138226</v>
      </c>
      <c r="CD108" s="40" t="n">
        <f aca="false">IFERROR(AVERAGE(AR108,AX108,BD108,BJ108,BP108),"n/m")</f>
        <v>0.0697786441582406</v>
      </c>
      <c r="CE108" s="40" t="n">
        <f aca="false">IFERROR(AVERAGE(N108,T108,Z108,AF108,AL108,AR108,AX108,BD108,BJ108,BP108),"n/m")</f>
        <v>0.079134630014992</v>
      </c>
    </row>
    <row r="109" customFormat="false" ht="15" hidden="false" customHeight="false" outlineLevel="0" collapsed="false">
      <c r="B109" s="35" t="s">
        <v>195</v>
      </c>
      <c r="C109" s="36" t="n">
        <f aca="false">IFERROR(C101/C95,"")</f>
        <v>0.0993630573248408</v>
      </c>
      <c r="D109" s="36" t="n">
        <f aca="false">IFERROR(D101/D95,"")</f>
        <v>0.154154727793696</v>
      </c>
      <c r="E109" s="36" t="n">
        <f aca="false">IFERROR(E101/E95,"")</f>
        <v>0.128205128205128</v>
      </c>
      <c r="F109" s="36" t="n">
        <f aca="false">IFERROR(F101/F95,"")</f>
        <v>0.111111111111111</v>
      </c>
      <c r="G109" s="36" t="n">
        <f aca="false">IFERROR(G101/G95,"")</f>
        <v>0.0755905511811024</v>
      </c>
      <c r="H109" s="36" t="n">
        <f aca="false">IFERROR(H101/H95,"")</f>
        <v>0.10954415954416</v>
      </c>
      <c r="I109" s="36" t="n">
        <f aca="false">IFERROR(I101/I95,"")</f>
        <v>0.112308564946115</v>
      </c>
      <c r="J109" s="36" t="n">
        <f aca="false">IFERROR(J101/J95,"")</f>
        <v>0.127647058823529</v>
      </c>
      <c r="K109" s="36" t="n">
        <f aca="false">IFERROR(K101/K95,"")</f>
        <v>0.119838290499567</v>
      </c>
      <c r="L109" s="36" t="n">
        <f aca="false">IFERROR(L101/L95,"")</f>
        <v>0.103980986333928</v>
      </c>
      <c r="M109" s="36" t="n">
        <f aca="false">IFERROR(M101/M95,"")</f>
        <v>0.139438085327784</v>
      </c>
      <c r="N109" s="36" t="n">
        <f aca="false">IFERROR(N101/N95,"")</f>
        <v>0.121392190152801</v>
      </c>
      <c r="O109" s="36" t="n">
        <f aca="false">IFERROR(O101/O95,"")</f>
        <v>0.0974477958236659</v>
      </c>
      <c r="P109" s="36" t="n">
        <f aca="false">IFERROR(P101/P95,"")</f>
        <v>0.129709364908504</v>
      </c>
      <c r="Q109" s="36" t="n">
        <f aca="false">IFERROR(Q101/Q95,"")</f>
        <v>0.114182021217197</v>
      </c>
      <c r="R109" s="36" t="n">
        <f aca="false">IFERROR(R101/R95,"")</f>
        <v>0.129361245303274</v>
      </c>
      <c r="S109" s="36" t="n">
        <f aca="false">IFERROR(S101/S95,"")</f>
        <v>0.115731462925852</v>
      </c>
      <c r="T109" s="36" t="n">
        <f aca="false">IFERROR(T101/T95,"")</f>
        <v>0.11839806477624</v>
      </c>
      <c r="U109" s="36" t="n">
        <f aca="false">IFERROR(U101/U95,"")</f>
        <v>0.101921024546425</v>
      </c>
      <c r="V109" s="36" t="n">
        <f aca="false">IFERROR(V101/V95,"")</f>
        <v>0.127227722772277</v>
      </c>
      <c r="W109" s="36" t="n">
        <f aca="false">IFERROR(W101/W95,"")</f>
        <v>0.115048793014895</v>
      </c>
      <c r="X109" s="36" t="n">
        <f aca="false">IFERROR(X101/X95,"")</f>
        <v>0.13922227556409</v>
      </c>
      <c r="Y109" s="36" t="n">
        <f aca="false">IFERROR(Y101/Y95,"")</f>
        <v>0.096862210095498</v>
      </c>
      <c r="Z109" s="36" t="n">
        <f aca="false">IFERROR(Z101/Z95,"")</f>
        <v>0.116316046966732</v>
      </c>
      <c r="AA109" s="36" t="n">
        <f aca="false">IFERROR(AA101/AA95,"")</f>
        <v>0.0774038461538462</v>
      </c>
      <c r="AB109" s="36" t="n">
        <f aca="false">IFERROR(AB101/AB95,"")</f>
        <v>0.079981718464351</v>
      </c>
      <c r="AC109" s="36" t="n">
        <f aca="false">IFERROR(AC101/AC95,"")</f>
        <v>0.0787253983130272</v>
      </c>
      <c r="AD109" s="36" t="n">
        <f aca="false">IFERROR(AD101/AD95,"")</f>
        <v>0.0964398377647589</v>
      </c>
      <c r="AE109" s="36" t="n">
        <f aca="false">IFERROR(AE101/AE95,"")</f>
        <v>0.0771144278606965</v>
      </c>
      <c r="AF109" s="36" t="n">
        <f aca="false">IFERROR(AF101/AF95,"")</f>
        <v>0.0827059220137094</v>
      </c>
      <c r="AG109" s="36" t="n">
        <f aca="false">IFERROR(AG101/AG95,"")</f>
        <v>0.0950066283694211</v>
      </c>
      <c r="AH109" s="36" t="n">
        <f aca="false">IFERROR(AH101/AH95,"")</f>
        <v>0.0281203749383325</v>
      </c>
      <c r="AI109" s="36" t="n">
        <f aca="false">IFERROR(AI101/AI95,"")</f>
        <v>0.0634032634032634</v>
      </c>
      <c r="AJ109" s="36" t="n">
        <f aca="false">IFERROR(AJ101/AJ95,"")</f>
        <v>0.0959377700950735</v>
      </c>
      <c r="AK109" s="36" t="n">
        <f aca="false">IFERROR(AK101/AK95,"")</f>
        <v>0.110627493652521</v>
      </c>
      <c r="AL109" s="36" t="n">
        <f aca="false">IFERROR(AL101/AL95,"")</f>
        <v>0.0853541288323897</v>
      </c>
      <c r="AM109" s="36" t="n">
        <f aca="false">IFERROR(AM101/AM95,"")</f>
        <v>0.0645302897278314</v>
      </c>
      <c r="AN109" s="36" t="n">
        <f aca="false">IFERROR(AN101/AN95,"")</f>
        <v>0.0573733751680861</v>
      </c>
      <c r="AO109" s="36" t="n">
        <f aca="false">IFERROR(AO101/AO95,"")</f>
        <v>0.0609891328454203</v>
      </c>
      <c r="AP109" s="36" t="n">
        <f aca="false">IFERROR(AP101/AP95,"")</f>
        <v>0.0504704875962361</v>
      </c>
      <c r="AQ109" s="36" t="n">
        <f aca="false">IFERROR(AQ101/AQ95,"")</f>
        <v>0.0448262980948823</v>
      </c>
      <c r="AR109" s="36" t="n">
        <f aca="false">IFERROR(AR101/AR95,"")</f>
        <v>0.0538639227215456</v>
      </c>
      <c r="AS109" s="36" t="n">
        <f aca="false">IFERROR(AS101/AS95,"")</f>
        <v>0.0535714285714286</v>
      </c>
      <c r="AT109" s="36" t="n">
        <f aca="false">IFERROR(AT101/AT95,"")</f>
        <v>0.0717505634861007</v>
      </c>
      <c r="AU109" s="36" t="n">
        <f aca="false">IFERROR(AU101/AU95,"")</f>
        <v>0.0628102329133257</v>
      </c>
      <c r="AV109" s="36" t="n">
        <f aca="false">IFERROR(AV101/AV95,"")</f>
        <v>0.0498857578065499</v>
      </c>
      <c r="AW109" s="36" t="n">
        <f aca="false">IFERROR(AW101/AW95,"")</f>
        <v>0.0373399715504979</v>
      </c>
      <c r="AX109" s="36" t="n">
        <f aca="false">IFERROR(AX101/AX95,"")</f>
        <v>0.0529224428624953</v>
      </c>
      <c r="AY109" s="36" t="n">
        <f aca="false">IFERROR(AY101/AY95,"")</f>
        <v>0.0527299925205684</v>
      </c>
      <c r="AZ109" s="36" t="n">
        <f aca="false">IFERROR(AZ101/AZ95,"")</f>
        <v>0.0559741657696448</v>
      </c>
      <c r="BA109" s="36" t="n">
        <f aca="false">IFERROR(BA101/BA95,"")</f>
        <v>0.0543856436550082</v>
      </c>
      <c r="BB109" s="36" t="n">
        <f aca="false">IFERROR(BB101/BB95,"")</f>
        <v>0.0610795454545455</v>
      </c>
      <c r="BC109" s="36" t="n">
        <f aca="false">IFERROR(BC101/BC95,"")</f>
        <v>0.0982058545797923</v>
      </c>
      <c r="BD109" s="36" t="n">
        <f aca="false">IFERROR(BD101/BD95,"")</f>
        <v>0.0681857866247599</v>
      </c>
      <c r="BE109" s="36" t="n">
        <f aca="false">IFERROR(BE101/BE95,"")</f>
        <v>0.0549019607843137</v>
      </c>
      <c r="BF109" s="36" t="n">
        <f aca="false">IFERROR(BF101/BF95,"")</f>
        <v>0.0634867316090024</v>
      </c>
      <c r="BG109" s="36" t="n">
        <f aca="false">IFERROR(BG101/BG95,"")</f>
        <v>0.0593220338983051</v>
      </c>
      <c r="BH109" s="36" t="n">
        <f aca="false">IFERROR(BH101/BH95,"")</f>
        <v>0.0298290287377228</v>
      </c>
      <c r="BI109" s="36" t="n">
        <f aca="false">IFERROR(BI101/BI95,"")</f>
        <v>0.0366178428761651</v>
      </c>
      <c r="BJ109" s="36" t="n">
        <f aca="false">IFERROR(BJ101/BJ95,"")</f>
        <v>0.0463805808409189</v>
      </c>
      <c r="BK109" s="36" t="n">
        <f aca="false">IFERROR(BK101/BK95,"")</f>
        <v>0.0588880760790051</v>
      </c>
      <c r="BL109" s="36" t="n">
        <f aca="false">IFERROR(BL101/BL95,"")</f>
        <v>0.0528877352368592</v>
      </c>
      <c r="BM109" s="36" t="n">
        <f aca="false">IFERROR(BM101/BM95,"")</f>
        <v>0.0557083906464924</v>
      </c>
      <c r="BN109" s="36" t="n">
        <f aca="false">IFERROR(BN101/BN95,"")</f>
        <v>0.0504385964912281</v>
      </c>
      <c r="BO109" s="36" t="n">
        <f aca="false">IFERROR(BO101/BO95,"")</f>
        <v>0.049482163406214</v>
      </c>
      <c r="BP109" s="36" t="n">
        <f aca="false">IFERROR(BP101/BP95,"")</f>
        <v>0.0526273630246716</v>
      </c>
      <c r="BQ109" s="36" t="n">
        <f aca="false">IFERROR(BQ101/BQ95,"")</f>
        <v>0.0500161342368506</v>
      </c>
      <c r="BR109" s="36" t="n">
        <f aca="false">IFERROR(BR101/BR95,"")</f>
        <v>0.061439438267993</v>
      </c>
      <c r="BS109" s="36" t="n">
        <f aca="false">IFERROR(BS101/BS95,"")</f>
        <v>0.0560073653521559</v>
      </c>
      <c r="BT109" s="38" t="n">
        <f aca="false">IFERROR(BT101/BT95,"")</f>
        <v>0.0549160849547007</v>
      </c>
      <c r="BU109" s="38" t="n">
        <f aca="false">IFERROR(BU101/BU95,"")</f>
        <v>0.0549160849547007</v>
      </c>
      <c r="BV109" s="38" t="n">
        <f aca="false">IFERROR(BV101/BV95,"")</f>
        <v>0.0554528301886793</v>
      </c>
      <c r="BW109" s="38" t="n">
        <f aca="false">IFERROR(BW101/BW95,"")</f>
        <v>0.0614470542897108</v>
      </c>
      <c r="BX109" s="38" t="n">
        <f aca="false">IFERROR(BX101/BX95,"")</f>
        <v>0.0642476443810211</v>
      </c>
      <c r="BY109" s="38" t="n">
        <f aca="false">IFERROR(BY101/BY95,"")</f>
        <v>0.0670016903467744</v>
      </c>
      <c r="BZ109" s="38" t="n">
        <f aca="false">IFERROR(BZ101/BZ95,"")</f>
        <v>0.0697192180819935</v>
      </c>
      <c r="CA109" s="16"/>
      <c r="CC109" s="40" t="n">
        <f aca="false">IFERROR(AVERAGE(BV109,BW109,BX109,BY109,BZ109),"n/m")</f>
        <v>0.0635736874576358</v>
      </c>
      <c r="CD109" s="40" t="n">
        <f aca="false">IFERROR(AVERAGE(AR109,AX109,BD109,BJ109,BP109),"n/m")</f>
        <v>0.0547960192148783</v>
      </c>
      <c r="CE109" s="40" t="n">
        <f aca="false">IFERROR(AVERAGE(N109,T109,Z109,AF109,AL109,AR109,AX109,BD109,BJ109,BP109),"n/m")</f>
        <v>0.0798146448816264</v>
      </c>
    </row>
    <row r="110" customFormat="false" ht="15" hidden="false" customHeight="false" outlineLevel="0" collapsed="false">
      <c r="B110" s="35" t="s">
        <v>116</v>
      </c>
      <c r="C110" s="36" t="n">
        <f aca="false">IFERROR(C103/C95,"")</f>
        <v>0.0815286624203822</v>
      </c>
      <c r="D110" s="36" t="n">
        <f aca="false">IFERROR(D103/D95,"")</f>
        <v>0.139255014326648</v>
      </c>
      <c r="E110" s="36" t="n">
        <f aca="false">IFERROR(E103/E95,"")</f>
        <v>0.111915535444947</v>
      </c>
      <c r="F110" s="36" t="n">
        <f aca="false">IFERROR(F103/F95,"")</f>
        <v>0.0955555555555556</v>
      </c>
      <c r="G110" s="36" t="n">
        <f aca="false">IFERROR(G103/G95,"")</f>
        <v>0.0650918635170604</v>
      </c>
      <c r="H110" s="36" t="n">
        <f aca="false">IFERROR(H103/H95,"")</f>
        <v>0.120655270655271</v>
      </c>
      <c r="I110" s="36" t="n">
        <f aca="false">IFERROR(I103/I95,"")</f>
        <v>0.0941576857629042</v>
      </c>
      <c r="J110" s="36" t="n">
        <f aca="false">IFERROR(J103/J95,"")</f>
        <v>0.108235294117647</v>
      </c>
      <c r="K110" s="36" t="n">
        <f aca="false">IFERROR(K103/K95,"")</f>
        <v>0.101068437770719</v>
      </c>
      <c r="L110" s="36" t="n">
        <f aca="false">IFERROR(L103/L95,"")</f>
        <v>0.083184789067142</v>
      </c>
      <c r="M110" s="36" t="n">
        <f aca="false">IFERROR(M103/M95,"")</f>
        <v>0.117065556711759</v>
      </c>
      <c r="N110" s="36" t="n">
        <f aca="false">IFERROR(N103/N95,"")</f>
        <v>0.127475947934352</v>
      </c>
      <c r="O110" s="36" t="n">
        <f aca="false">IFERROR(O103/O95,"")</f>
        <v>0.0696055684454756</v>
      </c>
      <c r="P110" s="36" t="n">
        <f aca="false">IFERROR(P103/P95,"")</f>
        <v>0.100645855758881</v>
      </c>
      <c r="Q110" s="36" t="n">
        <f aca="false">IFERROR(Q103/Q95,"")</f>
        <v>0.0857063093243998</v>
      </c>
      <c r="R110" s="36" t="n">
        <f aca="false">IFERROR(R103/R95,"")</f>
        <v>0.103059581320451</v>
      </c>
      <c r="S110" s="36" t="n">
        <f aca="false">IFERROR(S103/S95,"")</f>
        <v>0.094689378757515</v>
      </c>
      <c r="T110" s="36" t="n">
        <f aca="false">IFERROR(T103/T95,"")</f>
        <v>0.120010751243112</v>
      </c>
      <c r="U110" s="36" t="n">
        <f aca="false">IFERROR(U103/U95,"")</f>
        <v>0.0624332977588047</v>
      </c>
      <c r="V110" s="36" t="n">
        <f aca="false">IFERROR(V103/V95,"")</f>
        <v>0.0896039603960396</v>
      </c>
      <c r="W110" s="36" t="n">
        <f aca="false">IFERROR(W103/W95,"")</f>
        <v>0.0765279917822291</v>
      </c>
      <c r="X110" s="36" t="n">
        <f aca="false">IFERROR(X103/X95,"")</f>
        <v>0.104176668266923</v>
      </c>
      <c r="Y110" s="36" t="n">
        <f aca="false">IFERROR(Y103/Y95,"")</f>
        <v>0.0673033196907685</v>
      </c>
      <c r="Z110" s="36" t="n">
        <f aca="false">IFERROR(Z103/Z95,"")</f>
        <v>0.105919765166341</v>
      </c>
      <c r="AA110" s="36" t="n">
        <f aca="false">IFERROR(AA103/AA95,"")</f>
        <v>0.0620192307692308</v>
      </c>
      <c r="AB110" s="36" t="n">
        <f aca="false">IFERROR(AB103/AB95,"")</f>
        <v>0.0630712979890311</v>
      </c>
      <c r="AC110" s="36" t="n">
        <f aca="false">IFERROR(AC103/AC95,"")</f>
        <v>0.0625585754451734</v>
      </c>
      <c r="AD110" s="36" t="n">
        <f aca="false">IFERROR(AD103/AD95,"")</f>
        <v>0.0860748084722848</v>
      </c>
      <c r="AE110" s="36" t="n">
        <f aca="false">IFERROR(AE103/AE95,"")</f>
        <v>0.0717247097844113</v>
      </c>
      <c r="AF110" s="36" t="n">
        <f aca="false">IFERROR(AF103/AF95,"")</f>
        <v>0.0964153275648949</v>
      </c>
      <c r="AG110" s="36" t="n">
        <f aca="false">IFERROR(AG103/AG95,"")</f>
        <v>0.068935041979673</v>
      </c>
      <c r="AH110" s="36" t="n">
        <f aca="false">IFERROR(AH103/AH95,"")</f>
        <v>-0.00246669955599408</v>
      </c>
      <c r="AI110" s="36" t="n">
        <f aca="false">IFERROR(AI103/AI95,"")</f>
        <v>0.0351981351981352</v>
      </c>
      <c r="AJ110" s="36" t="n">
        <f aca="false">IFERROR(AJ103/AJ95,"")</f>
        <v>0.0700086430423509</v>
      </c>
      <c r="AK110" s="36" t="n">
        <f aca="false">IFERROR(AK103/AK95,"")</f>
        <v>0.0877765687341313</v>
      </c>
      <c r="AL110" s="36" t="n">
        <f aca="false">IFERROR(AL103/AL95,"")</f>
        <v>0.0856746074137379</v>
      </c>
      <c r="AM110" s="36" t="n">
        <f aca="false">IFERROR(AM103/AM95,"")</f>
        <v>0.0838454784899034</v>
      </c>
      <c r="AN110" s="36" t="n">
        <f aca="false">IFERROR(AN103/AN95,"")</f>
        <v>0.0757507844016136</v>
      </c>
      <c r="AO110" s="36" t="n">
        <f aca="false">IFERROR(AO103/AO95,"")</f>
        <v>0.0798403193612775</v>
      </c>
      <c r="AP110" s="36" t="n">
        <f aca="false">IFERROR(AP103/AP95,"")</f>
        <v>0.0697177074422583</v>
      </c>
      <c r="AQ110" s="36" t="n">
        <f aca="false">IFERROR(AQ103/AQ95,"")</f>
        <v>0.0597683974598431</v>
      </c>
      <c r="AR110" s="36" t="n">
        <f aca="false">IFERROR(AR103/AR95,"")</f>
        <v>0.102477950440991</v>
      </c>
      <c r="AS110" s="36" t="n">
        <f aca="false">IFERROR(AS103/AS95,"")</f>
        <v>0.0683229813664596</v>
      </c>
      <c r="AT110" s="36" t="n">
        <f aca="false">IFERROR(AT103/AT95,"")</f>
        <v>0.0845229151014275</v>
      </c>
      <c r="AU110" s="36" t="n">
        <f aca="false">IFERROR(AU103/AU95,"")</f>
        <v>0.0765559373806797</v>
      </c>
      <c r="AV110" s="36" t="n">
        <f aca="false">IFERROR(AV103/AV95,"")</f>
        <v>0.0632140137090632</v>
      </c>
      <c r="AW110" s="36" t="n">
        <f aca="false">IFERROR(AW103/AW95,"")</f>
        <v>0.0515647226173542</v>
      </c>
      <c r="AX110" s="36" t="n">
        <f aca="false">IFERROR(AX103/AX95,"")</f>
        <v>0.100224803297115</v>
      </c>
      <c r="AY110" s="36" t="n">
        <f aca="false">IFERROR(AY103/AY95,"")</f>
        <v>0.0583395661929693</v>
      </c>
      <c r="AZ110" s="36" t="n">
        <f aca="false">IFERROR(AZ103/AZ95,"")</f>
        <v>0.0606386795837818</v>
      </c>
      <c r="BA110" s="36" t="n">
        <f aca="false">IFERROR(BA103/BA95,"")</f>
        <v>0.0595129097234939</v>
      </c>
      <c r="BB110" s="36" t="n">
        <f aca="false">IFERROR(BB103/BB95,"")</f>
        <v>0.06640625</v>
      </c>
      <c r="BC110" s="36" t="n">
        <f aca="false">IFERROR(BC103/BC95,"")</f>
        <v>0.103871576959396</v>
      </c>
      <c r="BD110" s="36" t="n">
        <f aca="false">IFERROR(BD103/BD95,"")</f>
        <v>0.103806530469705</v>
      </c>
      <c r="BE110" s="36" t="n">
        <f aca="false">IFERROR(BE103/BE95,"")</f>
        <v>0.089126559714795</v>
      </c>
      <c r="BF110" s="36" t="n">
        <f aca="false">IFERROR(BF103/BF95,"")</f>
        <v>0.0950621430970776</v>
      </c>
      <c r="BG110" s="36" t="n">
        <f aca="false">IFERROR(BG103/BG95,"")</f>
        <v>0.0921826357661709</v>
      </c>
      <c r="BH110" s="36" t="n">
        <f aca="false">IFERROR(BH103/BH95,"")</f>
        <v>0.06511458712259</v>
      </c>
      <c r="BI110" s="36" t="n">
        <f aca="false">IFERROR(BI103/BI95,"")</f>
        <v>0.0622503328894807</v>
      </c>
      <c r="BJ110" s="36" t="n">
        <f aca="false">IFERROR(BJ103/BJ95,"")</f>
        <v>0.0779367143476376</v>
      </c>
      <c r="BK110" s="36" t="n">
        <f aca="false">IFERROR(BK103/BK95,"")</f>
        <v>0.091441111923921</v>
      </c>
      <c r="BL110" s="36" t="n">
        <f aca="false">IFERROR(BL103/BL95,"")</f>
        <v>0.0827384815055159</v>
      </c>
      <c r="BM110" s="36" t="n">
        <f aca="false">IFERROR(BM103/BM95,"")</f>
        <v>0.0868294360385144</v>
      </c>
      <c r="BN110" s="36" t="n">
        <f aca="false">IFERROR(BN103/BN95,"")</f>
        <v>0.081140350877193</v>
      </c>
      <c r="BO110" s="36" t="n">
        <f aca="false">IFERROR(BO103/BO95,"")</f>
        <v>0.0811277330264672</v>
      </c>
      <c r="BP110" s="36" t="n">
        <f aca="false">IFERROR(BP103/BP95,"")</f>
        <v>0.0837872476770266</v>
      </c>
      <c r="BQ110" s="36" t="n">
        <f aca="false">IFERROR(BQ103/BQ95,"")</f>
        <v>0.080025814778961</v>
      </c>
      <c r="BR110" s="36" t="n">
        <f aca="false">IFERROR(BR103/BR95,"")</f>
        <v>0.0886483323581042</v>
      </c>
      <c r="BS110" s="36" t="n">
        <f aca="false">IFERROR(BS103/BS95,"")</f>
        <v>0.0845481049562682</v>
      </c>
      <c r="BT110" s="38" t="n">
        <f aca="false">IFERROR(BT103/BT95,"")</f>
        <v>0.0858087034011585</v>
      </c>
      <c r="BU110" s="38" t="n">
        <f aca="false">IFERROR(BU103/BU95,"")</f>
        <v>0.0858087034011585</v>
      </c>
      <c r="BV110" s="38" t="n">
        <f aca="false">IFERROR(BV103/BV95,"")</f>
        <v>0.085188679245283</v>
      </c>
      <c r="BW110" s="38" t="n">
        <f aca="false">IFERROR(BW103/BW95,"")</f>
        <v>0.0901305897770279</v>
      </c>
      <c r="BX110" s="38" t="n">
        <f aca="false">IFERROR(BX103/BX95,"")</f>
        <v>0.0926651398759796</v>
      </c>
      <c r="BY110" s="38" t="n">
        <f aca="false">IFERROR(BY103/BY95,"")</f>
        <v>0.0951844641267058</v>
      </c>
      <c r="BZ110" s="38" t="n">
        <f aca="false">IFERROR(BZ103/BZ95,"")</f>
        <v>0.0976972348522455</v>
      </c>
      <c r="CA110" s="16"/>
      <c r="CC110" s="40" t="n">
        <f aca="false">IFERROR(AVERAGE(BV110,BW110,BX110,BY110,BZ110),"n/m")</f>
        <v>0.0921732215754484</v>
      </c>
      <c r="CD110" s="40" t="n">
        <f aca="false">IFERROR(AVERAGE(AR110,AX110,BD110,BJ110,BP110),"n/m")</f>
        <v>0.0936466492464951</v>
      </c>
      <c r="CE110" s="40" t="n">
        <f aca="false">IFERROR(AVERAGE(N110,T110,Z110,AF110,AL110,AR110,AX110,BD110,BJ110,BP110),"n/m")</f>
        <v>0.100372964555491</v>
      </c>
    </row>
    <row r="111" customFormat="false" ht="15" hidden="false" customHeight="false" outlineLevel="0" collapsed="false">
      <c r="B111" s="35" t="s">
        <v>196</v>
      </c>
      <c r="C111" s="36"/>
      <c r="D111" s="36"/>
      <c r="E111" s="36"/>
      <c r="F111" s="36"/>
      <c r="G111" s="36"/>
      <c r="H111" s="36"/>
      <c r="I111" s="36" t="n">
        <f aca="false">IFERROR((I97-C97)/(I95-C95),"")</f>
        <v>0.196891191709845</v>
      </c>
      <c r="J111" s="36" t="n">
        <f aca="false">IFERROR((J97-D97)/(J95-D95),"")</f>
        <v>1.31111111111111</v>
      </c>
      <c r="K111" s="36" t="n">
        <f aca="false">IFERROR((K97-E97)/(K95-E95),"")</f>
        <v>-0.141891891891892</v>
      </c>
      <c r="L111" s="36" t="n">
        <f aca="false">IFERROR((L97-F97)/(L95-F95),"")</f>
        <v>0.273504273504274</v>
      </c>
      <c r="M111" s="36" t="n">
        <f aca="false">IFERROR((M97-G97)/(M95-G95),"")</f>
        <v>5.94117647058824</v>
      </c>
      <c r="N111" s="36" t="n">
        <f aca="false">IFERROR((N97-H97)/(N95-H95),"")</f>
        <v>1</v>
      </c>
      <c r="O111" s="36" t="n">
        <f aca="false">IFERROR((O97-I97)/(O95-I95),"")</f>
        <v>1.17948717948718</v>
      </c>
      <c r="P111" s="36" t="n">
        <f aca="false">IFERROR((P97-J97)/(P95-J95),"")</f>
        <v>0.0189873417721519</v>
      </c>
      <c r="Q111" s="36" t="n">
        <f aca="false">IFERROR((Q97-K97)/(Q95-K95),"")</f>
        <v>-0.361344537815126</v>
      </c>
      <c r="R111" s="36" t="n">
        <f aca="false">IFERROR((R97-L97)/(R95-L95),"")</f>
        <v>0.288888888888889</v>
      </c>
      <c r="S111" s="36" t="n">
        <f aca="false">IFERROR((S97-M97)/(S95-M95),"")</f>
        <v>-0.486486486486487</v>
      </c>
      <c r="T111" s="36" t="n">
        <f aca="false">IFERROR((T97-N97)/(T95-N95),"")</f>
        <v>-0.0723860589812333</v>
      </c>
      <c r="U111" s="36" t="n">
        <f aca="false">IFERROR((U97-O97)/(U95-O95),"")</f>
        <v>-0.02</v>
      </c>
      <c r="V111" s="36" t="n">
        <f aca="false">IFERROR((V97-P97)/(V95-P95),"")</f>
        <v>-0.037037037037037</v>
      </c>
      <c r="W111" s="36" t="n">
        <f aca="false">IFERROR((W97-Q97)/(W95-Q95),"")</f>
        <v>-0.0288461538461538</v>
      </c>
      <c r="X111" s="36" t="n">
        <f aca="false">IFERROR((X97-R97)/(X95-R95),"")</f>
        <v>0.113636363636364</v>
      </c>
      <c r="Y111" s="36" t="n">
        <f aca="false">IFERROR((Y97-S97)/(Y95-S95),"")</f>
        <v>-0.201970443349754</v>
      </c>
      <c r="Z111" s="36" t="n">
        <f aca="false">IFERROR((Z97-T97)/(Z95-T95),"")</f>
        <v>-0.0340136054421769</v>
      </c>
      <c r="AA111" s="36" t="n">
        <f aca="false">IFERROR((AA97-U97)/(AA95-U95),"")</f>
        <v>0.058252427184466</v>
      </c>
      <c r="AB111" s="36" t="n">
        <f aca="false">IFERROR((AB97-V97)/(AB95-V95),"")</f>
        <v>-0.255952380952381</v>
      </c>
      <c r="AC111" s="36" t="n">
        <f aca="false">IFERROR((AC97-W97)/(AC95-W95),"")</f>
        <v>-0.0828877005347594</v>
      </c>
      <c r="AD111" s="36" t="n">
        <f aca="false">IFERROR((AD97-X97)/(AD95-X95),"")</f>
        <v>-0.191176470588235</v>
      </c>
      <c r="AE111" s="36" t="n">
        <f aca="false">IFERROR((AE97-Y97)/(AE95-Y95),"")</f>
        <v>0.117370892018779</v>
      </c>
      <c r="AF111" s="36" t="n">
        <f aca="false">IFERROR((AF97-Z97)/(AF95-Z95),"")</f>
        <v>-0.0442600276625173</v>
      </c>
      <c r="AG111" s="36" t="n">
        <f aca="false">IFERROR((AG97-AA97)/(AG95-AA95),"")</f>
        <v>0.147540983606557</v>
      </c>
      <c r="AH111" s="36" t="n">
        <f aca="false">IFERROR((AH97-AB97)/(AH95-AB95),"")</f>
        <v>0.888198757763975</v>
      </c>
      <c r="AI111" s="36" t="n">
        <f aca="false">IFERROR((AI97-AC97)/(AI95-AC95),"")</f>
        <v>-5.27272727272727</v>
      </c>
      <c r="AJ111" s="36" t="n">
        <f aca="false">IFERROR((AJ97-AD97)/(AJ95-AD95),"")</f>
        <v>-0.305263157894737</v>
      </c>
      <c r="AK111" s="36" t="n">
        <f aca="false">IFERROR((AK97-AE97)/(AK95-AE95),"")</f>
        <v>0.2</v>
      </c>
      <c r="AL111" s="36" t="n">
        <f aca="false">IFERROR((AL97-AF97)/(AL95-AF95),"")</f>
        <v>-0.164502164502165</v>
      </c>
      <c r="AM111" s="36" t="n">
        <f aca="false">IFERROR((AM97-AG97)/(AM95-AG95),"")</f>
        <v>2.33333333333333</v>
      </c>
      <c r="AN111" s="36" t="n">
        <f aca="false">IFERROR((AN97-AH97)/(AN95-AH95),"")</f>
        <v>0.852941176470588</v>
      </c>
      <c r="AO111" s="36" t="n">
        <f aca="false">IFERROR((AO97-AI97)/(AO95-AI95),"")</f>
        <v>0.954337899543379</v>
      </c>
      <c r="AP111" s="36" t="n">
        <f aca="false">IFERROR((AP97-AJ97)/(AP95-AJ95),"")</f>
        <v>0.0416666666666667</v>
      </c>
      <c r="AQ111" s="36" t="n">
        <f aca="false">IFERROR((AQ97-AK97)/(AQ95-AK95),"")</f>
        <v>1.025</v>
      </c>
      <c r="AR111" s="36" t="n">
        <f aca="false">IFERROR((AR97-AL97)/(AR95-AL95),"")</f>
        <v>0.785276073619632</v>
      </c>
      <c r="AS111" s="36" t="n">
        <f aca="false">IFERROR((AS97-AM97)/(AS95-AM95),"")</f>
        <v>-0.0503355704697987</v>
      </c>
      <c r="AT111" s="36" t="n">
        <f aca="false">IFERROR((AT97-AN97)/(AT95-AN95),"")</f>
        <v>0.129930394431555</v>
      </c>
      <c r="AU111" s="36" t="n">
        <f aca="false">IFERROR((AU97-AO97)/(AU95-AO95),"")</f>
        <v>0.056241426611797</v>
      </c>
      <c r="AV111" s="36" t="n">
        <f aca="false">IFERROR((AV97-AP97)/(AV95-AP95),"")</f>
        <v>0.0104166666666667</v>
      </c>
      <c r="AW111" s="36" t="n">
        <f aca="false">IFERROR((AW97-AQ97)/(AW95-AQ95),"")</f>
        <v>-0.111111111111111</v>
      </c>
      <c r="AX111" s="36" t="n">
        <f aca="false">IFERROR((AX97-AR97)/(AX95-AR95),"")</f>
        <v>0.0251736111111111</v>
      </c>
      <c r="AY111" s="36" t="n">
        <f aca="false">IFERROR((AY97-AS97)/(AY95-AS95),"")</f>
        <v>-0.204081632653061</v>
      </c>
      <c r="AZ111" s="36" t="n">
        <f aca="false">IFERROR((AZ97-AT97)/(AZ95-AT95),"")</f>
        <v>-0.448</v>
      </c>
      <c r="BA111" s="36" t="n">
        <f aca="false">IFERROR((BA97-AU97)/(BA95-AU95),"")</f>
        <v>-0.340807174887892</v>
      </c>
      <c r="BB111" s="36" t="n">
        <f aca="false">IFERROR((BB97-AV97)/(BB95-AV95),"")</f>
        <v>0.110526315789474</v>
      </c>
      <c r="BC111" s="36" t="n">
        <f aca="false">IFERROR((BC97-AW97)/(BC95-AW95),"")</f>
        <v>0.506849315068493</v>
      </c>
      <c r="BD111" s="36" t="n">
        <f aca="false">IFERROR((BD97-AX97)/(BD95-AX95),"")</f>
        <v>0.167095115681234</v>
      </c>
      <c r="BE111" s="36" t="n">
        <f aca="false">IFERROR((BE97-AY97)/(BE95-AY95),"")</f>
        <v>0.106870229007634</v>
      </c>
      <c r="BF111" s="36" t="n">
        <f aca="false">IFERROR((BF97-AZ97)/(BF95-AZ95),"")</f>
        <v>0.178947368421053</v>
      </c>
      <c r="BG111" s="36" t="n">
        <f aca="false">IFERROR((BG97-BA97)/(BG95-BA95),"")</f>
        <v>0.149532710280374</v>
      </c>
      <c r="BH111" s="36" t="n">
        <f aca="false">IFERROR((BH97-BB97)/(BH95-BB95),"")</f>
        <v>1.34328358208955</v>
      </c>
      <c r="BI111" s="36" t="n">
        <f aca="false">IFERROR((BI97-BC97)/(BI95-BC95),"")</f>
        <v>1.3121387283237</v>
      </c>
      <c r="BJ111" s="36" t="n">
        <f aca="false">IFERROR((BJ97-BD97)/(BJ95-BD95),"")</f>
        <v>-3.32098765432099</v>
      </c>
      <c r="BK111" s="36" t="n">
        <f aca="false">IFERROR((BK97-BE97)/(BK95-BE95),"")</f>
        <v>-0.0140845070422535</v>
      </c>
      <c r="BL111" s="36" t="n">
        <f aca="false">IFERROR((BL97-BF97)/(BL95-BF95),"")</f>
        <v>-0.295238095238095</v>
      </c>
      <c r="BM111" s="36" t="n">
        <f aca="false">IFERROR((BM97-BG97)/(BM95-BG95),"")</f>
        <v>-0.882352941176471</v>
      </c>
      <c r="BN111" s="36" t="n">
        <f aca="false">IFERROR((BN97-BH97)/(BN95-BH95),"")</f>
        <v>0.18510158013544</v>
      </c>
      <c r="BO111" s="36" t="n">
        <f aca="false">IFERROR((BO97-BI97)/(BO95-BI95),"")</f>
        <v>0.194915254237288</v>
      </c>
      <c r="BP111" s="36" t="n">
        <f aca="false">IFERROR((BP97-BJ97)/(BP95-BJ95),"")</f>
        <v>0.151738672286618</v>
      </c>
      <c r="BQ111" s="36" t="n">
        <f aca="false">IFERROR((BQ97-BK97)/(BQ95-BK95),"")</f>
        <v>0.00273972602739726</v>
      </c>
      <c r="BR111" s="36" t="n">
        <f aca="false">IFERROR((BR97-BL97)/(BR95-BL95),"")</f>
        <v>0.154761904761905</v>
      </c>
      <c r="BS111" s="36" t="n">
        <f aca="false">IFERROR((BS97-BM97)/(BS95-BM95),"")</f>
        <v>0.0756062767475036</v>
      </c>
      <c r="BT111" s="38" t="n">
        <f aca="false">IFERROR((BT97-BN97)/(BT95-BN95),"")</f>
        <v>0.128223495702006</v>
      </c>
      <c r="BU111" s="38" t="n">
        <f aca="false">IFERROR((BU97-BO97)/(BU95-BO95),"")</f>
        <v>-0.0582191780821918</v>
      </c>
      <c r="BV111" s="38" t="n">
        <f aca="false">IFERROR((BV97-BP97)/(BV95-BP95),"")</f>
        <v>0.106723237597911</v>
      </c>
      <c r="BW111" s="38" t="n">
        <f aca="false">IFERROR((BW97-BV97)/(BW95-BV95),"")</f>
        <v>0.159613247728063</v>
      </c>
      <c r="BX111" s="38" t="n">
        <f aca="false">IFERROR((BX97-BW97)/(BX95-BW95),"")</f>
        <v>0.115711948567283</v>
      </c>
      <c r="BY111" s="38" t="n">
        <f aca="false">IFERROR((BY97-BX97)/(BY95-BX95),"")</f>
        <v>0.120332106594384</v>
      </c>
      <c r="BZ111" s="38" t="n">
        <f aca="false">IFERROR((BZ97-BY97)/(BZ95-BY95),"")</f>
        <v>0.126652547807025</v>
      </c>
      <c r="CA111" s="16"/>
      <c r="CC111" s="5"/>
      <c r="CD111" s="5"/>
      <c r="CE111" s="5"/>
    </row>
    <row r="112" customFormat="false" ht="15" hidden="false" customHeight="false" outlineLevel="0" collapsed="false">
      <c r="B112" s="1" t="s">
        <v>197</v>
      </c>
      <c r="C112" s="2" t="n">
        <f aca="false">IF(ISNUMBER(C26),C26+C52+C78,"")</f>
        <v>21491</v>
      </c>
      <c r="D112" s="2" t="n">
        <f aca="false">IF(ISNUMBER(D26),D26+D52+D78,"")</f>
        <v>24260</v>
      </c>
      <c r="E112" s="2" t="n">
        <f aca="false">IF(ISNUMBER(E26),E26+E52+E78,"")</f>
        <v>24260</v>
      </c>
      <c r="F112" s="2" t="n">
        <f aca="false">IF(ISNUMBER(F26),F26+F52+F78,"")</f>
        <v>23265</v>
      </c>
      <c r="G112" s="2" t="n">
        <f aca="false">IF(ISNUMBER(G26),G26+G52+G78,"")</f>
        <v>22062</v>
      </c>
      <c r="H112" s="2" t="n">
        <f aca="false">IF(ISNUMBER(H26),H26+H52+H78,"")</f>
        <v>22062</v>
      </c>
      <c r="I112" s="2" t="n">
        <f aca="false">IF(ISNUMBER(I26),I26+I52+I78,"")</f>
        <v>21280</v>
      </c>
      <c r="J112" s="2" t="n">
        <f aca="false">IF(ISNUMBER(J26),J26+J52+J78,"")</f>
        <v>20521</v>
      </c>
      <c r="K112" s="2" t="n">
        <f aca="false">IF(ISNUMBER(K26),K26+K52+K78,"")</f>
        <v>20521</v>
      </c>
      <c r="L112" s="2" t="n">
        <f aca="false">IF(ISNUMBER(L26),L26+L52+L78,"")</f>
        <v>20024</v>
      </c>
      <c r="M112" s="2" t="n">
        <f aca="false">IF(ISNUMBER(M26),M26+M52+M78,"")</f>
        <v>21024</v>
      </c>
      <c r="N112" s="2" t="n">
        <f aca="false">IF(ISNUMBER(N26),N26+N52+N78,"")</f>
        <v>21024</v>
      </c>
      <c r="O112" s="2" t="n">
        <f aca="false">IF(ISNUMBER(O26),O26+O52+O78,"")</f>
        <v>19952</v>
      </c>
      <c r="P112" s="2" t="n">
        <f aca="false">IF(ISNUMBER(P26),P26+P52+P78,"")</f>
        <v>21066</v>
      </c>
      <c r="Q112" s="2" t="n">
        <f aca="false">IF(ISNUMBER(Q26),Q26+Q52+Q78,"")</f>
        <v>21066</v>
      </c>
      <c r="R112" s="2" t="n">
        <f aca="false">IF(ISNUMBER(R26),R26+R52+R78,"")</f>
        <v>22608</v>
      </c>
      <c r="S112" s="2" t="n">
        <f aca="false">IF(ISNUMBER(S26),S26+S52+S78,"")</f>
        <v>21367</v>
      </c>
      <c r="T112" s="2" t="n">
        <f aca="false">IF(ISNUMBER(T26),T26+T52+T78,"")</f>
        <v>21367</v>
      </c>
      <c r="U112" s="2" t="n">
        <f aca="false">IF(ISNUMBER(U26),U26+U52+U78,"")</f>
        <v>22080</v>
      </c>
      <c r="V112" s="2" t="n">
        <f aca="false">IF(ISNUMBER(V26),V26+V52+V78,"")</f>
        <v>21216</v>
      </c>
      <c r="W112" s="2" t="n">
        <f aca="false">IF(ISNUMBER(W26),W26+W52+W78,"")</f>
        <v>21216</v>
      </c>
      <c r="X112" s="2" t="n">
        <f aca="false">IF(ISNUMBER(X26),X26+X52+X78,"")</f>
        <v>21901</v>
      </c>
      <c r="Y112" s="2" t="n">
        <f aca="false">IF(ISNUMBER(Y26),Y26+Y52+Y78,"")</f>
        <v>22995</v>
      </c>
      <c r="Z112" s="2" t="n">
        <f aca="false">IF(ISNUMBER(Z26),Z26+Z52+Z78,"")</f>
        <v>22995</v>
      </c>
      <c r="AA112" s="2" t="n">
        <f aca="false">IF(ISNUMBER(AA26),AA26+AA52+AA78,"")</f>
        <v>40601</v>
      </c>
      <c r="AB112" s="2" t="n">
        <f aca="false">IF(ISNUMBER(AB26),AB26+AB52+AB78,"")</f>
        <v>39376</v>
      </c>
      <c r="AC112" s="2" t="n">
        <f aca="false">IF(ISNUMBER(AC26),AC26+AC52+AC78,"")</f>
        <v>39376</v>
      </c>
      <c r="AD112" s="2" t="n">
        <f aca="false">IF(ISNUMBER(AD26),AD26+AD52+AD78,"")</f>
        <v>39228</v>
      </c>
      <c r="AE112" s="2" t="n">
        <f aca="false">IF(ISNUMBER(AE26),AE26+AE52+AE78,"")</f>
        <v>46494</v>
      </c>
      <c r="AF112" s="2" t="n">
        <f aca="false">IF(ISNUMBER(AF26),AF26+AF52+AF78,"")</f>
        <v>46494</v>
      </c>
      <c r="AG112" s="2" t="n">
        <f aca="false">IF(ISNUMBER(AG26),AG26+AG52+AG78,"")</f>
        <v>45157</v>
      </c>
      <c r="AH112" s="2" t="n">
        <f aca="false">IF(ISNUMBER(AH26),AH26+AH52+AH78,"")</f>
        <v>46066</v>
      </c>
      <c r="AI112" s="2" t="n">
        <f aca="false">IF(ISNUMBER(AI26),AI26+AI52+AI78,"")</f>
        <v>46066</v>
      </c>
      <c r="AJ112" s="2" t="n">
        <f aca="false">IF(ISNUMBER(AJ26),AJ26+AJ52+AJ78,"")</f>
        <v>45348</v>
      </c>
      <c r="AK112" s="2" t="n">
        <f aca="false">IF(ISNUMBER(AK26),AK26+AK52+AK78,"")</f>
        <v>46017</v>
      </c>
      <c r="AL112" s="2" t="n">
        <f aca="false">IF(ISNUMBER(AL26),AL26+AL52+AL78,"")</f>
        <v>46017</v>
      </c>
      <c r="AM112" s="2" t="n">
        <f aca="false">IF(ISNUMBER(AM26),AM26+AM52+AM78,"")</f>
        <v>48829</v>
      </c>
      <c r="AN112" s="2" t="n">
        <f aca="false">IF(ISNUMBER(AN26),AN26+AN52+AN78,"")</f>
        <v>47740</v>
      </c>
      <c r="AO112" s="2" t="n">
        <f aca="false">IF(ISNUMBER(AO26),AO26+AO52+AO78,"")</f>
        <v>47740</v>
      </c>
      <c r="AP112" s="2" t="n">
        <f aca="false">IF(ISNUMBER(AP26),AP26+AP52+AP78,"")</f>
        <v>50144</v>
      </c>
      <c r="AQ112" s="2" t="n">
        <f aca="false">IF(ISNUMBER(AQ26),AQ26+AQ52+AQ78,"")</f>
        <v>48450</v>
      </c>
      <c r="AR112" s="2" t="n">
        <f aca="false">IF(ISNUMBER(AR26),AR26+AR52+AR78,"")</f>
        <v>48450</v>
      </c>
      <c r="AS112" s="2" t="n">
        <f aca="false">IF(ISNUMBER(AS26),AS26+AS52+AS78,"")</f>
        <v>47927</v>
      </c>
      <c r="AT112" s="2" t="n">
        <f aca="false">IF(ISNUMBER(AT26),AT26+AT52+AT78,"")</f>
        <v>47209</v>
      </c>
      <c r="AU112" s="2" t="n">
        <f aca="false">IF(ISNUMBER(AU26),AU26+AU52+AU78,"")</f>
        <v>47209</v>
      </c>
      <c r="AV112" s="2" t="n">
        <f aca="false">IF(ISNUMBER(AV26),AV26+AV52+AV78,"")</f>
        <v>46661</v>
      </c>
      <c r="AW112" s="2" t="n">
        <f aca="false">IF(ISNUMBER(AW26),AW26+AW52+AW78,"")</f>
        <v>47123</v>
      </c>
      <c r="AX112" s="2" t="n">
        <f aca="false">IF(ISNUMBER(AX26),AX26+AX52+AX78,"")</f>
        <v>47123</v>
      </c>
      <c r="AY112" s="2" t="n">
        <f aca="false">IF(ISNUMBER(AY26),AY26+AY52+AY78,"")</f>
        <v>47008</v>
      </c>
      <c r="AZ112" s="2" t="n">
        <f aca="false">IF(ISNUMBER(AZ26),AZ26+AZ52+AZ78,"")</f>
        <v>46855</v>
      </c>
      <c r="BA112" s="2" t="n">
        <f aca="false">IF(ISNUMBER(BA26),BA26+BA52+BA78,"")</f>
        <v>46855</v>
      </c>
      <c r="BB112" s="2" t="n">
        <f aca="false">IF(ISNUMBER(BB26),BB26+BB52+BB78,"")</f>
        <v>49415</v>
      </c>
      <c r="BC112" s="2" t="n">
        <f aca="false">IF(ISNUMBER(BC26),BC26+BC52+BC78,"")</f>
        <v>48121</v>
      </c>
      <c r="BD112" s="2" t="n">
        <f aca="false">IF(ISNUMBER(BD26),BD26+BD52+BD78,"")</f>
        <v>48121</v>
      </c>
      <c r="BE112" s="2" t="n">
        <f aca="false">IF(ISNUMBER(BE26),BE26+BE52+BE78,"")</f>
        <v>48419</v>
      </c>
      <c r="BF112" s="2" t="n">
        <f aca="false">IF(ISNUMBER(BF26),BF26+BF52+BF78,"")</f>
        <v>48536</v>
      </c>
      <c r="BG112" s="2" t="n">
        <f aca="false">IF(ISNUMBER(BG26),BG26+BG52+BG78,"")</f>
        <v>48536</v>
      </c>
      <c r="BH112" s="2" t="n">
        <f aca="false">IF(ISNUMBER(BH26),BH26+BH52+BH78,"")</f>
        <v>49419</v>
      </c>
      <c r="BI112" s="2" t="n">
        <f aca="false">IF(ISNUMBER(BI26),BI26+BI52+BI78,"")</f>
        <v>48713</v>
      </c>
      <c r="BJ112" s="2" t="n">
        <f aca="false">IF(ISNUMBER(BJ26),BJ26+BJ52+BJ78,"")</f>
        <v>48713</v>
      </c>
      <c r="BK112" s="2" t="n">
        <f aca="false">IF(ISNUMBER(BK26),BK26+BK52+BK78,"")</f>
        <v>48048</v>
      </c>
      <c r="BL112" s="2" t="n">
        <f aca="false">IF(ISNUMBER(BL26),BL26+BL52+BL78,"")</f>
        <v>56855</v>
      </c>
      <c r="BM112" s="2" t="n">
        <f aca="false">IF(ISNUMBER(BM26),BM26+BM52+BM78,"")</f>
        <v>56855</v>
      </c>
      <c r="BN112" s="2" t="n">
        <f aca="false">IF(ISNUMBER(BN26),BN26+BN52+BN78,"")</f>
        <v>55679</v>
      </c>
      <c r="BO112" s="2" t="n">
        <f aca="false">IF(ISNUMBER(BO26),BO26+BO52+BO78,"")</f>
        <v>53139</v>
      </c>
      <c r="BP112" s="2" t="n">
        <f aca="false">IF(ISNUMBER(BP26),BP26+BP52+BP78,"")</f>
        <v>53139</v>
      </c>
      <c r="BQ112" s="2" t="n">
        <f aca="false">IF(ISNUMBER(BQ26),BQ26+BQ52+BQ78,"")</f>
        <v>54033</v>
      </c>
      <c r="BR112" s="2" t="n">
        <f aca="false">IF(ISNUMBER(BR26),BR26+BR52+BR78,"")</f>
        <v>57322</v>
      </c>
      <c r="BS112" s="2" t="n">
        <f aca="false">IF(ISNUMBER(BS26),BS26+BS52+BS78,"")</f>
        <v>57322</v>
      </c>
      <c r="BT112" s="3" t="n">
        <f aca="false">IF(ISNUMBER(BT26),BT26+BT52+BT78,"")</f>
        <v>57322</v>
      </c>
      <c r="BU112" s="3" t="n">
        <f aca="false">IF(ISNUMBER(BU26),BU26+BU52+BU78,"")</f>
        <v>57322</v>
      </c>
      <c r="BV112" s="3" t="n">
        <f aca="false">IF(ISNUMBER(BV26),BV26+BV52+BV78,"")</f>
        <v>57322</v>
      </c>
      <c r="BW112" s="3" t="n">
        <f aca="false">IF(ISNUMBER(BW26),BW26+BW52+BW78,"")</f>
        <v>57322</v>
      </c>
      <c r="BX112" s="3" t="n">
        <f aca="false">IF(ISNUMBER(BX26),BX26+BX52+BX78,"")</f>
        <v>57322</v>
      </c>
      <c r="BY112" s="3" t="n">
        <f aca="false">IF(ISNUMBER(BY26),BY26+BY52+BY78,"")</f>
        <v>57322</v>
      </c>
      <c r="BZ112" s="3" t="n">
        <f aca="false">IF(ISNUMBER(BZ26),BZ26+BZ52+BZ78,"")</f>
        <v>57322</v>
      </c>
      <c r="CA112" s="16" t="s">
        <v>198</v>
      </c>
      <c r="CC112" s="30" t="n">
        <f aca="false">IFERROR((BZ112/BP112)^(1/5)-1,"n/m")</f>
        <v>0.015270088813774</v>
      </c>
      <c r="CD112" s="30" t="n">
        <f aca="false">IFERROR((BP112/AL112)^(1/5)-1,"n/m")</f>
        <v>0.0291981930098748</v>
      </c>
      <c r="CE112" s="30" t="n">
        <f aca="false">IFERROR((BP112/H112)^(1/10)-1,"n/m")</f>
        <v>0.0918848740154401</v>
      </c>
    </row>
    <row r="113" customFormat="false" ht="15" hidden="false" customHeight="false" outlineLevel="0" collapsed="false">
      <c r="B113" s="35" t="s">
        <v>132</v>
      </c>
      <c r="C113" s="43" t="n">
        <f aca="false">IFERROR((C27+C53+C79)/(C13+C39+C65),"")</f>
        <v>0</v>
      </c>
      <c r="D113" s="43" t="n">
        <f aca="false">IFERROR((D27+D53+D79)/(D13+D39+D65),"")</f>
        <v>2.58500286204923</v>
      </c>
      <c r="E113" s="43" t="str">
        <f aca="false">IFERROR((E27+E53+E79)/(E13+E39+E65),"")</f>
        <v/>
      </c>
      <c r="F113" s="43" t="n">
        <f aca="false">IFERROR((F27+F53+F79)/(F13+F39+F65),"")</f>
        <v>0.447222222222222</v>
      </c>
      <c r="G113" s="43" t="n">
        <f aca="false">IFERROR((G27+G53+G79)/(G13+G39+G65),"")</f>
        <v>0.37603734439834</v>
      </c>
      <c r="H113" s="43" t="n">
        <f aca="false">IFERROR((H27+H53+H79)/(H13+H39+H65),"")</f>
        <v>0</v>
      </c>
      <c r="I113" s="43" t="n">
        <f aca="false">IFERROR((I27+I53+I79)/(I13+I39+I65),"")</f>
        <v>0.562395075545607</v>
      </c>
      <c r="J113" s="43" t="n">
        <f aca="false">IFERROR((J27+J53+J79)/(J13+J39+J65),"")</f>
        <v>0.560509554140127</v>
      </c>
      <c r="K113" s="43" t="n">
        <f aca="false">IFERROR((K27+K53+K79)/(K13+K39+K65),"")</f>
        <v>0.561468412066022</v>
      </c>
      <c r="L113" s="43" t="n">
        <f aca="false">IFERROR((L27+L53+L79)/(L13+L39+L65),"")</f>
        <v>0.709186658864833</v>
      </c>
      <c r="M113" s="43" t="n">
        <f aca="false">IFERROR((M27+M53+M79)/(M13+M39+M65),"")</f>
        <v>1.51387461459404</v>
      </c>
      <c r="N113" s="43" t="n">
        <f aca="false">IFERROR((N27+N53+N79)/(N13+N39+N65),"")</f>
        <v>0.855209931650161</v>
      </c>
      <c r="O113" s="43" t="n">
        <f aca="false">IFERROR((O27+O53+O79)/(O13+O39+O65),"")</f>
        <v>0.38602520045819</v>
      </c>
      <c r="P113" s="43" t="n">
        <f aca="false">IFERROR((P27+P53+P79)/(P13+P39+P65),"")</f>
        <v>1.59129511677282</v>
      </c>
      <c r="Q113" s="43" t="n">
        <f aca="false">IFERROR((Q27+Q53+Q79)/(Q13+Q39+Q65),"")</f>
        <v>1.01157024793388</v>
      </c>
      <c r="R113" s="43" t="n">
        <f aca="false">IFERROR((R27+R53+R79)/(R13+R39+R65),"")</f>
        <v>1.81717011128776</v>
      </c>
      <c r="S113" s="43" t="n">
        <f aca="false">IFERROR((S27+S53+S79)/(S13+S39+S65),"")</f>
        <v>0.385339276869738</v>
      </c>
      <c r="T113" s="43" t="n">
        <f aca="false">IFERROR((T27+T53+T79)/(T13+T39+T65),"")</f>
        <v>1.04551486199575</v>
      </c>
      <c r="U113" s="43" t="n">
        <f aca="false">IFERROR((U27+U53+U79)/(U13+U39+U65),"")</f>
        <v>1.37526315789474</v>
      </c>
      <c r="V113" s="43" t="n">
        <f aca="false">IFERROR((V27+V53+V79)/(V13+V39+V65),"")</f>
        <v>0.579562043795621</v>
      </c>
      <c r="W113" s="43" t="n">
        <f aca="false">IFERROR((W27+W53+W79)/(W13+W39+W65),"")</f>
        <v>0.961820480404551</v>
      </c>
      <c r="X113" s="43" t="n">
        <f aca="false">IFERROR((X27+X53+X79)/(X13+X39+X65),"")</f>
        <v>1.32341831916903</v>
      </c>
      <c r="Y113" s="43" t="n">
        <f aca="false">IFERROR((Y27+Y53+Y79)/(Y13+Y39+Y65),"")</f>
        <v>1.48926654740608</v>
      </c>
      <c r="Z113" s="43" t="n">
        <f aca="false">IFERROR((Z27+Z53+Z79)/(Z13+Z39+Z65),"")</f>
        <v>1.19593212179564</v>
      </c>
      <c r="AA113" s="43" t="n">
        <f aca="false">IFERROR((AA27+AA53+AA79)/(AA13+AA39+AA65),"")</f>
        <v>9.37184973846885</v>
      </c>
      <c r="AB113" s="43" t="n">
        <f aca="false">IFERROR((AB27+AB53+AB79)/(AB13+AB39+AB65),"")</f>
        <v>0.448694869486949</v>
      </c>
      <c r="AC113" s="43" t="n">
        <f aca="false">IFERROR((AC27+AC53+AC79)/(AC13+AC39+AC65),"")</f>
        <v>4.78751445086705</v>
      </c>
      <c r="AD113" s="43" t="n">
        <f aca="false">IFERROR((AD27+AD53+AD79)/(AD13+AD39+AD65),"")</f>
        <v>0.934134401424121</v>
      </c>
      <c r="AE113" s="43" t="n">
        <f aca="false">IFERROR((AE27+AE53+AE79)/(AE13+AE39+AE65),"")</f>
        <v>3.96450428396573</v>
      </c>
      <c r="AF113" s="43" t="n">
        <f aca="false">IFERROR((AF27+AF53+AF79)/(AF13+AF39+AF65),"")</f>
        <v>3.60434445306439</v>
      </c>
      <c r="AG113" s="43" t="n">
        <f aca="false">IFERROR((AG27+AG53+AG79)/(AG13+AG39+AG65),"")</f>
        <v>0.415391342369917</v>
      </c>
      <c r="AH113" s="43" t="n">
        <f aca="false">IFERROR((AH27+AH53+AH79)/(AH13+AH39+AH65),"")</f>
        <v>1.44040697674419</v>
      </c>
      <c r="AI113" s="43" t="n">
        <f aca="false">IFERROR((AI27+AI53+AI79)/(AI13+AI39+AI65),"")</f>
        <v>0.901631808779591</v>
      </c>
      <c r="AJ113" s="43" t="n">
        <f aca="false">IFERROR((AJ27+AJ53+AJ79)/(AJ13+AJ39+AJ65),"")</f>
        <v>0.694857628559286</v>
      </c>
      <c r="AK113" s="43" t="n">
        <f aca="false">IFERROR((AK27+AK53+AK79)/(AK13+AK39+AK65),"")</f>
        <v>1.23782438677568</v>
      </c>
      <c r="AL113" s="43" t="n">
        <f aca="false">IFERROR((AL27+AL53+AL79)/(AL13+AL39+AL65),"")</f>
        <v>0.949879163601975</v>
      </c>
      <c r="AM113" s="43" t="n">
        <f aca="false">IFERROR((AM27+AM53+AM79)/(AM13+AM39+AM65),"")</f>
        <v>2.214686825054</v>
      </c>
      <c r="AN113" s="43" t="n">
        <f aca="false">IFERROR((AN27+AN53+AN79)/(AN13+AN39+AN65),"")</f>
        <v>0.520264317180617</v>
      </c>
      <c r="AO113" s="43" t="n">
        <f aca="false">IFERROR((AO27+AO53+AO79)/(AO13+AO39+AO65),"")</f>
        <v>1.37579062159215</v>
      </c>
      <c r="AP113" s="43" t="n">
        <f aca="false">IFERROR((AP27+AP53+AP79)/(AP13+AP39+AP65),"")</f>
        <v>2.01178451178451</v>
      </c>
      <c r="AQ113" s="43" t="n">
        <f aca="false">IFERROR((AQ27+AQ53+AQ79)/(AQ13+AQ39+AQ65),"")</f>
        <v>0.373983739837398</v>
      </c>
      <c r="AR113" s="43" t="n">
        <f aca="false">IFERROR((AR27+AR53+AR79)/(AR13+AR39+AR65),"")</f>
        <v>1.25168097651805</v>
      </c>
      <c r="AS113" s="43" t="n">
        <f aca="false">IFERROR((AS27+AS53+AS79)/(AS13+AS39+AS65),"")</f>
        <v>0.799693603983148</v>
      </c>
      <c r="AT113" s="43" t="n">
        <f aca="false">IFERROR((AT27+AT53+AT79)/(AT13+AT39+AT65),"")</f>
        <v>0.733184689706429</v>
      </c>
      <c r="AU113" s="43" t="n">
        <f aca="false">IFERROR((AU27+AU53+AU79)/(AU13+AU39+AU65),"")</f>
        <v>0.765937382119955</v>
      </c>
      <c r="AV113" s="43" t="n">
        <f aca="false">IFERROR((AV27+AV53+AV79)/(AV13+AV39+AV65),"")</f>
        <v>0.794217048441607</v>
      </c>
      <c r="AW113" s="43" t="n">
        <f aca="false">IFERROR((AW27+AW53+AW79)/(AW13+AW39+AW65),"")</f>
        <v>1.16244725738397</v>
      </c>
      <c r="AX113" s="43" t="n">
        <f aca="false">IFERROR((AX27+AX53+AX79)/(AX13+AX39+AX65),"")</f>
        <v>0.877231936349339</v>
      </c>
      <c r="AY113" s="43" t="n">
        <f aca="false">IFERROR((AY27+AY53+AY79)/(AY13+AY39+AY65),"")</f>
        <v>0.957517547100111</v>
      </c>
      <c r="AZ113" s="43" t="n">
        <f aca="false">IFERROR((AZ27+AZ53+AZ79)/(AZ13+AZ39+AZ65),"")</f>
        <v>0.945706174591909</v>
      </c>
      <c r="BA113" s="43" t="n">
        <f aca="false">IFERROR((BA27+BA53+BA79)/(BA13+BA39+BA65),"")</f>
        <v>0.951493212669683</v>
      </c>
      <c r="BB113" s="43" t="n">
        <f aca="false">IFERROR((BB27+BB53+BB79)/(BB13+BB39+BB65),"")</f>
        <v>1.8985608985609</v>
      </c>
      <c r="BC113" s="43" t="n">
        <f aca="false">IFERROR((BC27+BC53+BC79)/(BC13+BC39+BC65),"")</f>
        <v>0.596884735202492</v>
      </c>
      <c r="BD113" s="43" t="n">
        <f aca="false">IFERROR((BD27+BD53+BD79)/(BD13+BD39+BD65),"")</f>
        <v>1.08615331491713</v>
      </c>
      <c r="BE113" s="43" t="n">
        <f aca="false">IFERROR((BE27+BE53+BE79)/(BE13+BE39+BE65),"")</f>
        <v>1.10496653751321</v>
      </c>
      <c r="BF113" s="43" t="n">
        <f aca="false">IFERROR((BF27+BF53+BF79)/(BF13+BF39+BF65),"")</f>
        <v>1.03884462151394</v>
      </c>
      <c r="BG113" s="43" t="n">
        <f aca="false">IFERROR((BG27+BG53+BG79)/(BG13+BG39+BG65),"")</f>
        <v>1.07092804648778</v>
      </c>
      <c r="BH113" s="43" t="n">
        <f aca="false">IFERROR((BH27+BH53+BH79)/(BH13+BH39+BH65),"")</f>
        <v>1.31705565529623</v>
      </c>
      <c r="BI113" s="43" t="n">
        <f aca="false">IFERROR((BI27+BI53+BI79)/(BI13+BI39+BI65),"")</f>
        <v>0.76753375041159</v>
      </c>
      <c r="BJ113" s="43" t="n">
        <f aca="false">IFERROR((BJ27+BJ53+BJ79)/(BJ13+BJ39+BJ65),"")</f>
        <v>1.0507153259659</v>
      </c>
      <c r="BK113" s="43" t="n">
        <f aca="false">IFERROR((BK27+BK53+BK79)/(BK13+BK39+BK65),"")</f>
        <v>0.759754335260116</v>
      </c>
      <c r="BL113" s="43" t="n">
        <f aca="false">IFERROR((BL27+BL53+BL79)/(BL13+BL39+BL65),"")</f>
        <v>3.82456703014753</v>
      </c>
      <c r="BM113" s="43" t="n">
        <f aca="false">IFERROR((BM27+BM53+BM79)/(BM13+BM39+BM65),"")</f>
        <v>2.38328236493374</v>
      </c>
      <c r="BN113" s="43" t="n">
        <f aca="false">IFERROR((BN27+BN53+BN79)/(BN13+BN39+BN65),"")</f>
        <v>0.636138613861386</v>
      </c>
      <c r="BO113" s="43" t="n">
        <f aca="false">IFERROR((BO27+BO53+BO79)/(BO13+BO39+BO65),"")</f>
        <v>0.276559384790658</v>
      </c>
      <c r="BP113" s="43" t="n">
        <f aca="false">IFERROR((BP27+BP53+BP79)/(BP13+BP39+BP65),"")</f>
        <v>1.350463219574</v>
      </c>
      <c r="BQ113" s="43" t="n">
        <f aca="false">IFERROR((BQ27+BQ53+BQ79)/(BQ13+BQ39+BQ65),"")</f>
        <v>1.2848948374761</v>
      </c>
      <c r="BR113" s="43" t="n">
        <f aca="false">IFERROR((BR27+BR53+BR79)/(BR13+BR39+BR65),"")</f>
        <v>1.95222929936306</v>
      </c>
      <c r="BS113" s="43" t="n">
        <f aca="false">IFERROR((BS27+BS53+BS79)/(BS13+BS39+BS65),"")</f>
        <v>1.63455703883495</v>
      </c>
      <c r="BT113" s="44" t="n">
        <f aca="false">IFERROR((BT27+BT53+BT79)/(BT13+BT39+BT65),"")</f>
        <v>1</v>
      </c>
      <c r="BU113" s="44" t="n">
        <f aca="false">IFERROR((BU27+BU53+BU79)/(BU13+BU39+BU65),"")</f>
        <v>1</v>
      </c>
      <c r="BV113" s="44" t="n">
        <f aca="false">IFERROR((BV27+BV53+BV79)/(BV13+BV39+BV65),"")</f>
        <v>1.31216417910448</v>
      </c>
      <c r="BW113" s="44" t="n">
        <f aca="false">IFERROR((BW27+BW53+BW79)/(BW13+BW39+BW65),"")</f>
        <v>1</v>
      </c>
      <c r="BX113" s="44" t="n">
        <f aca="false">IFERROR((BX27+BX53+BX79)/(BX13+BX39+BX65),"")</f>
        <v>1</v>
      </c>
      <c r="BY113" s="44" t="n">
        <f aca="false">IFERROR((BY27+BY53+BY79)/(BY13+BY39+BY65),"")</f>
        <v>1</v>
      </c>
      <c r="BZ113" s="44" t="n">
        <f aca="false">IFERROR((BZ27+BZ53+BZ79)/(BZ13+BZ39+BZ65),"")</f>
        <v>1</v>
      </c>
      <c r="CA113" s="16"/>
      <c r="CC113" s="5"/>
      <c r="CD113" s="5"/>
      <c r="CE113" s="5"/>
    </row>
    <row r="114" customFormat="false" ht="15" hidden="false" customHeight="false" outlineLevel="0" collapsed="false">
      <c r="B114" s="55" t="s">
        <v>199</v>
      </c>
      <c r="C114" s="2" t="n">
        <f aca="false">C95-C119</f>
        <v>0</v>
      </c>
      <c r="D114" s="2" t="n">
        <f aca="false">D95-D119</f>
        <v>0</v>
      </c>
      <c r="E114" s="2" t="n">
        <f aca="false">E95-E119</f>
        <v>0</v>
      </c>
      <c r="F114" s="2" t="n">
        <f aca="false">F95-F119</f>
        <v>0</v>
      </c>
      <c r="G114" s="2" t="n">
        <f aca="false">G95-G119</f>
        <v>0</v>
      </c>
      <c r="H114" s="2" t="n">
        <f aca="false">H95-H119</f>
        <v>0</v>
      </c>
      <c r="I114" s="2" t="n">
        <f aca="false">I95-I119</f>
        <v>0</v>
      </c>
      <c r="J114" s="2" t="n">
        <f aca="false">J95-J119</f>
        <v>0</v>
      </c>
      <c r="K114" s="2" t="n">
        <f aca="false">K95-K119</f>
        <v>0</v>
      </c>
      <c r="L114" s="2" t="n">
        <f aca="false">L95-L119</f>
        <v>0</v>
      </c>
      <c r="M114" s="2" t="n">
        <f aca="false">M95-M119</f>
        <v>0</v>
      </c>
      <c r="N114" s="2" t="n">
        <f aca="false">N95-N119</f>
        <v>0</v>
      </c>
      <c r="O114" s="2" t="n">
        <f aca="false">O95-O119</f>
        <v>0</v>
      </c>
      <c r="P114" s="2" t="n">
        <f aca="false">P95-P119</f>
        <v>0</v>
      </c>
      <c r="Q114" s="2" t="n">
        <f aca="false">Q95-Q119</f>
        <v>0</v>
      </c>
      <c r="R114" s="2" t="n">
        <f aca="false">R95-R119</f>
        <v>0</v>
      </c>
      <c r="S114" s="2" t="n">
        <f aca="false">S95-S119</f>
        <v>0</v>
      </c>
      <c r="T114" s="2" t="n">
        <f aca="false">T95-T119</f>
        <v>0</v>
      </c>
      <c r="U114" s="2" t="n">
        <f aca="false">U95-U119</f>
        <v>0</v>
      </c>
      <c r="V114" s="2" t="n">
        <f aca="false">V95-V119</f>
        <v>0</v>
      </c>
      <c r="W114" s="2" t="n">
        <f aca="false">W95-W119</f>
        <v>0</v>
      </c>
      <c r="X114" s="2" t="n">
        <f aca="false">X95-X119</f>
        <v>0</v>
      </c>
      <c r="Y114" s="2" t="n">
        <f aca="false">Y95-Y119</f>
        <v>0</v>
      </c>
      <c r="Z114" s="2" t="n">
        <f aca="false">Z95-Z119</f>
        <v>0</v>
      </c>
      <c r="AA114" s="2" t="n">
        <f aca="false">AA95-AA119</f>
        <v>0</v>
      </c>
      <c r="AB114" s="2" t="n">
        <f aca="false">AB95-AB119</f>
        <v>0</v>
      </c>
      <c r="AC114" s="2" t="n">
        <f aca="false">AC95-AC119</f>
        <v>0</v>
      </c>
      <c r="AD114" s="2" t="n">
        <f aca="false">AD95-AD119</f>
        <v>0</v>
      </c>
      <c r="AE114" s="2" t="n">
        <f aca="false">AE95-AE119</f>
        <v>0</v>
      </c>
      <c r="AF114" s="2" t="n">
        <f aca="false">AF95-AF119</f>
        <v>0</v>
      </c>
      <c r="AG114" s="2" t="n">
        <f aca="false">AG95-AG119</f>
        <v>0</v>
      </c>
      <c r="AH114" s="2" t="n">
        <f aca="false">AH95-AH119</f>
        <v>0</v>
      </c>
      <c r="AI114" s="2" t="n">
        <f aca="false">AI95-AI119</f>
        <v>0</v>
      </c>
      <c r="AJ114" s="2" t="n">
        <f aca="false">AJ95-AJ119</f>
        <v>0</v>
      </c>
      <c r="AK114" s="2" t="n">
        <f aca="false">AK95-AK119</f>
        <v>0</v>
      </c>
      <c r="AL114" s="2" t="n">
        <f aca="false">AL95-AL119</f>
        <v>0</v>
      </c>
      <c r="AM114" s="2" t="n">
        <f aca="false">AM95-AM119</f>
        <v>0</v>
      </c>
      <c r="AN114" s="2" t="n">
        <f aca="false">AN95-AN119</f>
        <v>0</v>
      </c>
      <c r="AO114" s="2" t="n">
        <f aca="false">AO95-AO119</f>
        <v>0</v>
      </c>
      <c r="AP114" s="2" t="n">
        <f aca="false">AP95-AP119</f>
        <v>0</v>
      </c>
      <c r="AQ114" s="2" t="n">
        <f aca="false">AQ95-AQ119</f>
        <v>0</v>
      </c>
      <c r="AR114" s="2" t="n">
        <f aca="false">AR95-AR119</f>
        <v>0</v>
      </c>
      <c r="AS114" s="2" t="n">
        <f aca="false">AS95-AS119</f>
        <v>0</v>
      </c>
      <c r="AT114" s="2" t="n">
        <f aca="false">AT95-AT119</f>
        <v>0</v>
      </c>
      <c r="AU114" s="2" t="n">
        <f aca="false">AU95-AU119</f>
        <v>0</v>
      </c>
      <c r="AV114" s="2" t="n">
        <f aca="false">AV95-AV119</f>
        <v>0</v>
      </c>
      <c r="AW114" s="2" t="n">
        <f aca="false">AW95-AW119</f>
        <v>0</v>
      </c>
      <c r="AX114" s="2" t="n">
        <f aca="false">AX95-AX119</f>
        <v>0</v>
      </c>
      <c r="AY114" s="2" t="n">
        <f aca="false">AY95-AY119</f>
        <v>0</v>
      </c>
      <c r="AZ114" s="2" t="n">
        <f aca="false">AZ95-AZ119</f>
        <v>0</v>
      </c>
      <c r="BA114" s="2" t="n">
        <f aca="false">BA95-BA119</f>
        <v>0</v>
      </c>
      <c r="BB114" s="2" t="n">
        <f aca="false">BB95-BB119</f>
        <v>0</v>
      </c>
      <c r="BC114" s="2" t="n">
        <f aca="false">BC95-BC119</f>
        <v>0</v>
      </c>
      <c r="BD114" s="2" t="n">
        <f aca="false">BD95-BD119</f>
        <v>0</v>
      </c>
      <c r="BE114" s="2" t="n">
        <f aca="false">BE95-BE119</f>
        <v>0</v>
      </c>
      <c r="BF114" s="2" t="n">
        <f aca="false">BF95-BF119</f>
        <v>0</v>
      </c>
      <c r="BG114" s="2" t="n">
        <f aca="false">BG95-BG119</f>
        <v>0</v>
      </c>
      <c r="BH114" s="2" t="n">
        <f aca="false">BH95-BH119</f>
        <v>0</v>
      </c>
      <c r="BI114" s="2" t="n">
        <f aca="false">BI95-BI119</f>
        <v>0</v>
      </c>
      <c r="BJ114" s="2" t="n">
        <f aca="false">BJ95-BJ119</f>
        <v>0</v>
      </c>
      <c r="BK114" s="2" t="n">
        <f aca="false">BK95-BK119</f>
        <v>0</v>
      </c>
      <c r="BL114" s="2" t="n">
        <f aca="false">BL95-BL119</f>
        <v>0</v>
      </c>
      <c r="BM114" s="2" t="n">
        <f aca="false">BM95-BM119</f>
        <v>0</v>
      </c>
      <c r="BN114" s="2" t="n">
        <f aca="false">BN95-BN119</f>
        <v>0</v>
      </c>
      <c r="BO114" s="2" t="n">
        <f aca="false">BO95-BO119</f>
        <v>0</v>
      </c>
      <c r="BP114" s="2" t="n">
        <f aca="false">BP95-BP119</f>
        <v>0</v>
      </c>
      <c r="BQ114" s="2" t="n">
        <f aca="false">BQ95-BQ119</f>
        <v>0</v>
      </c>
      <c r="BR114" s="2" t="n">
        <f aca="false">BR95-BR119</f>
        <v>0</v>
      </c>
      <c r="BS114" s="2" t="n">
        <f aca="false">BS95-BS119</f>
        <v>0</v>
      </c>
      <c r="BT114" s="3" t="n">
        <f aca="false">BT95-BT119</f>
        <v>0</v>
      </c>
      <c r="BU114" s="3" t="n">
        <f aca="false">BU95-BU119</f>
        <v>0</v>
      </c>
      <c r="BV114" s="3" t="n">
        <f aca="false">BV95-BV119</f>
        <v>0</v>
      </c>
      <c r="BW114" s="3" t="n">
        <f aca="false">BW95-BW119</f>
        <v>0</v>
      </c>
      <c r="BX114" s="3" t="n">
        <f aca="false">BX95-BX119</f>
        <v>0</v>
      </c>
      <c r="BY114" s="3" t="n">
        <f aca="false">BY95-BY119</f>
        <v>0</v>
      </c>
      <c r="BZ114" s="3" t="n">
        <f aca="false">BZ95-BZ119</f>
        <v>0</v>
      </c>
      <c r="CA114" s="16"/>
      <c r="CC114" s="5"/>
      <c r="CD114" s="5"/>
      <c r="CE114" s="5"/>
    </row>
    <row r="115" customFormat="false" ht="15" hidden="false" customHeight="false" outlineLevel="0" collapsed="false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3"/>
      <c r="BU115" s="3"/>
      <c r="BV115" s="3"/>
      <c r="BW115" s="3"/>
      <c r="BX115" s="3"/>
      <c r="BY115" s="3"/>
      <c r="BZ115" s="3"/>
      <c r="CA115" s="16"/>
      <c r="CC115" s="5"/>
      <c r="CD115" s="5"/>
      <c r="CE115" s="5"/>
    </row>
    <row r="116" customFormat="false" ht="15" hidden="false" customHeight="false" outlineLevel="0" collapsed="false">
      <c r="B116" s="15" t="s">
        <v>200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 t="s">
        <v>201</v>
      </c>
      <c r="CC116" s="15"/>
      <c r="CD116" s="15"/>
      <c r="CE116" s="15"/>
    </row>
    <row r="117" customFormat="false" ht="15" hidden="false" customHeight="false" outlineLevel="0" collapsed="false">
      <c r="B117" s="1" t="s">
        <v>202</v>
      </c>
      <c r="C117" s="23" t="n">
        <v>1250</v>
      </c>
      <c r="D117" s="23" t="n">
        <v>1426</v>
      </c>
      <c r="E117" s="2" t="n">
        <f aca="false">C117+D117</f>
        <v>2676</v>
      </c>
      <c r="F117" s="23" t="n">
        <v>1461</v>
      </c>
      <c r="G117" s="23" t="n">
        <v>1528</v>
      </c>
      <c r="H117" s="23" t="n">
        <v>5665</v>
      </c>
      <c r="I117" s="23" t="n">
        <v>1429</v>
      </c>
      <c r="J117" s="23" t="n">
        <v>1364</v>
      </c>
      <c r="K117" s="2" t="n">
        <f aca="false">I117+J117</f>
        <v>2793</v>
      </c>
      <c r="L117" s="23" t="n">
        <v>1327</v>
      </c>
      <c r="M117" s="23" t="n">
        <v>1511</v>
      </c>
      <c r="N117" s="23" t="n">
        <v>5631</v>
      </c>
      <c r="O117" s="23" t="n">
        <v>1300</v>
      </c>
      <c r="P117" s="23" t="n">
        <v>1397</v>
      </c>
      <c r="Q117" s="2" t="n">
        <f aca="false">O117+P117</f>
        <v>2697</v>
      </c>
      <c r="R117" s="23" t="n">
        <v>1391</v>
      </c>
      <c r="S117" s="23" t="n">
        <v>1485</v>
      </c>
      <c r="T117" s="23" t="n">
        <v>5573</v>
      </c>
      <c r="U117" s="23" t="n">
        <v>1370</v>
      </c>
      <c r="V117" s="23" t="n">
        <v>1499</v>
      </c>
      <c r="W117" s="2" t="n">
        <f aca="false">U117+V117</f>
        <v>2869</v>
      </c>
      <c r="X117" s="23" t="n">
        <v>1547</v>
      </c>
      <c r="Y117" s="23" t="n">
        <v>1607</v>
      </c>
      <c r="Z117" s="23" t="n">
        <v>6023</v>
      </c>
      <c r="AA117" s="23" t="n">
        <v>1490</v>
      </c>
      <c r="AB117" s="23" t="n">
        <v>1520</v>
      </c>
      <c r="AC117" s="2" t="n">
        <f aca="false">AA117+AB117</f>
        <v>3010</v>
      </c>
      <c r="AD117" s="23" t="n">
        <v>1545</v>
      </c>
      <c r="AE117" s="23" t="n">
        <v>1710</v>
      </c>
      <c r="AF117" s="23" t="n">
        <v>6265</v>
      </c>
      <c r="AG117" s="23" t="n">
        <v>1624</v>
      </c>
      <c r="AH117" s="23" t="n">
        <v>1420</v>
      </c>
      <c r="AI117" s="2" t="n">
        <f aca="false">AG117+AH117</f>
        <v>3044</v>
      </c>
      <c r="AJ117" s="23" t="n">
        <v>1699</v>
      </c>
      <c r="AK117" s="23" t="n">
        <v>2107</v>
      </c>
      <c r="AL117" s="23" t="n">
        <v>6850</v>
      </c>
      <c r="AM117" s="23" t="n">
        <v>1721</v>
      </c>
      <c r="AN117" s="23" t="n">
        <v>1763</v>
      </c>
      <c r="AO117" s="2" t="n">
        <f aca="false">AM117+AN117</f>
        <v>3484</v>
      </c>
      <c r="AP117" s="23" t="n">
        <v>1701</v>
      </c>
      <c r="AQ117" s="23" t="n">
        <v>1815</v>
      </c>
      <c r="AR117" s="23" t="n">
        <v>7000</v>
      </c>
      <c r="AS117" s="23" t="n">
        <v>1724</v>
      </c>
      <c r="AT117" s="23" t="n">
        <v>1829</v>
      </c>
      <c r="AU117" s="2" t="n">
        <f aca="false">AS117+AT117</f>
        <v>3553</v>
      </c>
      <c r="AV117" s="23" t="n">
        <v>1774</v>
      </c>
      <c r="AW117" s="23" t="n">
        <v>1956</v>
      </c>
      <c r="AX117" s="23" t="n">
        <v>7283</v>
      </c>
      <c r="AY117" s="23" t="n">
        <v>1829</v>
      </c>
      <c r="AZ117" s="23" t="n">
        <v>1879</v>
      </c>
      <c r="BA117" s="2" t="n">
        <f aca="false">AY117+AZ117</f>
        <v>3708</v>
      </c>
      <c r="BB117" s="23" t="n">
        <v>1835</v>
      </c>
      <c r="BC117" s="23" t="n">
        <v>2121</v>
      </c>
      <c r="BD117" s="23" t="n">
        <v>7664</v>
      </c>
      <c r="BE117" s="23" t="n">
        <v>1787</v>
      </c>
      <c r="BF117" s="23" t="n">
        <v>1926</v>
      </c>
      <c r="BG117" s="2" t="n">
        <f aca="false">BE117+BF117</f>
        <v>3713</v>
      </c>
      <c r="BH117" s="23" t="n">
        <v>1761</v>
      </c>
      <c r="BI117" s="23" t="n">
        <v>1990</v>
      </c>
      <c r="BJ117" s="23" t="n">
        <v>7464</v>
      </c>
      <c r="BK117" s="23" t="n">
        <v>1713</v>
      </c>
      <c r="BL117" s="23" t="n">
        <v>1957</v>
      </c>
      <c r="BM117" s="2" t="n">
        <f aca="false">BK117+BL117</f>
        <v>3670</v>
      </c>
      <c r="BN117" s="23" t="n">
        <v>2072</v>
      </c>
      <c r="BO117" s="23" t="n">
        <v>2391</v>
      </c>
      <c r="BP117" s="23" t="n">
        <v>8133</v>
      </c>
      <c r="BQ117" s="23" t="n">
        <v>2004</v>
      </c>
      <c r="BR117" s="23" t="n">
        <v>2271</v>
      </c>
      <c r="BS117" s="2" t="n">
        <f aca="false">BQ117+BR117</f>
        <v>4275</v>
      </c>
      <c r="BT117" s="3" t="n">
        <f aca="false">BT119*BS117/BS119</f>
        <v>2208.34548104956</v>
      </c>
      <c r="BU117" s="3" t="n">
        <f aca="false">BU119*BS117/BS119</f>
        <v>2208.34548104956</v>
      </c>
      <c r="BV117" s="3" t="n">
        <f aca="false">SUM(BQ117,BR117,BT117,BU117)</f>
        <v>8691.69096209913</v>
      </c>
      <c r="BW117" s="3" t="n">
        <f aca="false">BW119*BV117/BV119</f>
        <v>9222.42299538766</v>
      </c>
      <c r="BX117" s="3" t="n">
        <f aca="false">BX119*BW117/BW119</f>
        <v>9724.28981098235</v>
      </c>
      <c r="BY117" s="3" t="n">
        <f aca="false">BY119*BX117/BX119</f>
        <v>10226.4636736315</v>
      </c>
      <c r="BZ117" s="3" t="n">
        <f aca="false">BZ119*BY117/BY119</f>
        <v>10714.5907303227</v>
      </c>
      <c r="CA117" s="16" t="s">
        <v>203</v>
      </c>
      <c r="CC117" s="30" t="n">
        <f aca="false">IFERROR((BZ117/BP117)^(1/5)-1,"n/m")</f>
        <v>0.0566835897307785</v>
      </c>
      <c r="CD117" s="30" t="n">
        <f aca="false">IFERROR((BP117/AL117)^(1/5)-1,"n/m")</f>
        <v>0.0349325353769112</v>
      </c>
      <c r="CE117" s="30" t="n">
        <f aca="false">IFERROR((BP117/H117)^(1/10)-1,"n/m")</f>
        <v>0.0368241057294689</v>
      </c>
    </row>
    <row r="118" customFormat="false" ht="15" hidden="false" customHeight="false" outlineLevel="0" collapsed="false">
      <c r="B118" s="1" t="s">
        <v>204</v>
      </c>
      <c r="C118" s="23" t="n">
        <v>320</v>
      </c>
      <c r="D118" s="23" t="n">
        <v>319</v>
      </c>
      <c r="E118" s="2" t="n">
        <f aca="false">C118+D118</f>
        <v>639</v>
      </c>
      <c r="F118" s="23" t="n">
        <v>339</v>
      </c>
      <c r="G118" s="23" t="n">
        <v>377</v>
      </c>
      <c r="H118" s="23" t="n">
        <v>1355</v>
      </c>
      <c r="I118" s="23" t="n">
        <v>334</v>
      </c>
      <c r="J118" s="23" t="n">
        <v>336</v>
      </c>
      <c r="K118" s="2" t="n">
        <f aca="false">I118+J118</f>
        <v>670</v>
      </c>
      <c r="L118" s="23" t="n">
        <v>356</v>
      </c>
      <c r="M118" s="23" t="n">
        <v>411</v>
      </c>
      <c r="N118" s="23" t="n">
        <v>1437</v>
      </c>
      <c r="O118" s="23" t="n">
        <v>424</v>
      </c>
      <c r="P118" s="23" t="n">
        <v>461</v>
      </c>
      <c r="Q118" s="2" t="n">
        <f aca="false">O118+P118</f>
        <v>885</v>
      </c>
      <c r="R118" s="23" t="n">
        <v>472</v>
      </c>
      <c r="S118" s="23" t="n">
        <v>511</v>
      </c>
      <c r="T118" s="23" t="n">
        <v>1868</v>
      </c>
      <c r="U118" s="23" t="n">
        <v>504</v>
      </c>
      <c r="V118" s="23" t="n">
        <v>521</v>
      </c>
      <c r="W118" s="2" t="n">
        <f aca="false">U118+V118</f>
        <v>1025</v>
      </c>
      <c r="X118" s="23" t="n">
        <v>536</v>
      </c>
      <c r="Y118" s="23" t="n">
        <v>592</v>
      </c>
      <c r="Z118" s="23" t="n">
        <v>2153</v>
      </c>
      <c r="AA118" s="23" t="n">
        <v>590</v>
      </c>
      <c r="AB118" s="23" t="n">
        <v>668</v>
      </c>
      <c r="AC118" s="2" t="n">
        <f aca="false">AA118+AB118</f>
        <v>1258</v>
      </c>
      <c r="AD118" s="23" t="n">
        <v>674</v>
      </c>
      <c r="AE118" s="23" t="n">
        <v>702</v>
      </c>
      <c r="AF118" s="23" t="n">
        <v>2634</v>
      </c>
      <c r="AG118" s="23" t="n">
        <v>639</v>
      </c>
      <c r="AH118" s="23" t="n">
        <v>607</v>
      </c>
      <c r="AI118" s="2" t="n">
        <f aca="false">AG118+AH118</f>
        <v>1246</v>
      </c>
      <c r="AJ118" s="23" t="n">
        <v>615</v>
      </c>
      <c r="AK118" s="23" t="n">
        <v>650</v>
      </c>
      <c r="AL118" s="23" t="n">
        <v>2511</v>
      </c>
      <c r="AM118" s="23" t="n">
        <v>557</v>
      </c>
      <c r="AN118" s="23" t="n">
        <v>468</v>
      </c>
      <c r="AO118" s="2" t="n">
        <f aca="false">AM118+AN118</f>
        <v>1025</v>
      </c>
      <c r="AP118" s="23" t="n">
        <v>637</v>
      </c>
      <c r="AQ118" s="23" t="n">
        <v>862</v>
      </c>
      <c r="AR118" s="23" t="n">
        <v>2524</v>
      </c>
      <c r="AS118" s="23" t="n">
        <v>852</v>
      </c>
      <c r="AT118" s="23" t="n">
        <v>833</v>
      </c>
      <c r="AU118" s="2" t="n">
        <f aca="false">AS118+AT118</f>
        <v>1685</v>
      </c>
      <c r="AV118" s="23" t="n">
        <v>852</v>
      </c>
      <c r="AW118" s="23" t="n">
        <v>856</v>
      </c>
      <c r="AX118" s="23" t="n">
        <v>3393</v>
      </c>
      <c r="AY118" s="23" t="n">
        <v>845</v>
      </c>
      <c r="AZ118" s="23" t="n">
        <v>908</v>
      </c>
      <c r="BA118" s="2" t="n">
        <f aca="false">AY118+AZ118</f>
        <v>1753</v>
      </c>
      <c r="BB118" s="23" t="n">
        <v>981</v>
      </c>
      <c r="BC118" s="23" t="n">
        <v>1056</v>
      </c>
      <c r="BD118" s="23" t="n">
        <v>3790</v>
      </c>
      <c r="BE118" s="23" t="n">
        <v>1018</v>
      </c>
      <c r="BF118" s="23" t="n">
        <v>1051</v>
      </c>
      <c r="BG118" s="2" t="n">
        <f aca="false">BE118+BF118</f>
        <v>2069</v>
      </c>
      <c r="BH118" s="23" t="n">
        <v>988</v>
      </c>
      <c r="BI118" s="23" t="n">
        <v>1014</v>
      </c>
      <c r="BJ118" s="23" t="n">
        <v>4071</v>
      </c>
      <c r="BK118" s="23" t="n">
        <v>1021</v>
      </c>
      <c r="BL118" s="23" t="n">
        <v>1125</v>
      </c>
      <c r="BM118" s="2" t="n">
        <f aca="false">BK118+BL118</f>
        <v>2146</v>
      </c>
      <c r="BN118" s="23" t="n">
        <v>1120</v>
      </c>
      <c r="BO118" s="23" t="n">
        <v>1085</v>
      </c>
      <c r="BP118" s="23" t="n">
        <v>4351</v>
      </c>
      <c r="BQ118" s="23" t="n">
        <v>1095</v>
      </c>
      <c r="BR118" s="23" t="n">
        <v>1147</v>
      </c>
      <c r="BS118" s="2" t="n">
        <f aca="false">BQ118+BR118</f>
        <v>2242</v>
      </c>
      <c r="BT118" s="3" t="n">
        <f aca="false">BT119-BT117</f>
        <v>1158.15451895044</v>
      </c>
      <c r="BU118" s="3" t="n">
        <f aca="false">BU119-BU117</f>
        <v>1158.15451895044</v>
      </c>
      <c r="BV118" s="3" t="n">
        <f aca="false">SUM(BQ118,BR118,BT118,BU118)</f>
        <v>4558.30903790087</v>
      </c>
      <c r="BW118" s="3" t="n">
        <f aca="false">BW119-BW117</f>
        <v>4836.64850424775</v>
      </c>
      <c r="BX118" s="3" t="n">
        <f aca="false">BX119-BX117</f>
        <v>5099.84976753741</v>
      </c>
      <c r="BY118" s="3" t="n">
        <f aca="false">BY119-BY117</f>
        <v>5363.21205994899</v>
      </c>
      <c r="BZ118" s="3" t="n">
        <f aca="false">BZ119-BZ117</f>
        <v>5619.20758301367</v>
      </c>
      <c r="CA118" s="16"/>
      <c r="CC118" s="30" t="n">
        <f aca="false">IFERROR((BZ118/BP118)^(1/5)-1,"n/m")</f>
        <v>0.0524881105829864</v>
      </c>
      <c r="CD118" s="30" t="n">
        <f aca="false">IFERROR((BP118/AL118)^(1/5)-1,"n/m")</f>
        <v>0.116216592816309</v>
      </c>
      <c r="CE118" s="30" t="n">
        <f aca="false">IFERROR((BP118/H118)^(1/10)-1,"n/m")</f>
        <v>0.123737771572982</v>
      </c>
    </row>
    <row r="119" customFormat="false" ht="15" hidden="false" customHeight="false" outlineLevel="0" collapsed="false">
      <c r="B119" s="32" t="s">
        <v>205</v>
      </c>
      <c r="C119" s="28" t="n">
        <f aca="false">C117+C118</f>
        <v>1570</v>
      </c>
      <c r="D119" s="28" t="n">
        <f aca="false">D117+D118</f>
        <v>1745</v>
      </c>
      <c r="E119" s="28" t="n">
        <f aca="false">E117+E118</f>
        <v>3315</v>
      </c>
      <c r="F119" s="28" t="n">
        <f aca="false">F117+F118</f>
        <v>1800</v>
      </c>
      <c r="G119" s="28" t="n">
        <f aca="false">G117+G118</f>
        <v>1905</v>
      </c>
      <c r="H119" s="34" t="n">
        <f aca="false">H117+H118</f>
        <v>7020</v>
      </c>
      <c r="I119" s="28" t="n">
        <f aca="false">I117+I118</f>
        <v>1763</v>
      </c>
      <c r="J119" s="28" t="n">
        <f aca="false">J117+J118</f>
        <v>1700</v>
      </c>
      <c r="K119" s="28" t="n">
        <f aca="false">K117+K118</f>
        <v>3463</v>
      </c>
      <c r="L119" s="28" t="n">
        <f aca="false">L117+L118</f>
        <v>1683</v>
      </c>
      <c r="M119" s="28" t="n">
        <f aca="false">M117+M118</f>
        <v>1922</v>
      </c>
      <c r="N119" s="34" t="n">
        <f aca="false">N117+N118</f>
        <v>7068</v>
      </c>
      <c r="O119" s="28" t="n">
        <f aca="false">O117+O118</f>
        <v>1724</v>
      </c>
      <c r="P119" s="28" t="n">
        <f aca="false">P117+P118</f>
        <v>1858</v>
      </c>
      <c r="Q119" s="28" t="n">
        <f aca="false">Q117+Q118</f>
        <v>3582</v>
      </c>
      <c r="R119" s="28" t="n">
        <f aca="false">R117+R118</f>
        <v>1863</v>
      </c>
      <c r="S119" s="28" t="n">
        <f aca="false">S117+S118</f>
        <v>1996</v>
      </c>
      <c r="T119" s="34" t="n">
        <f aca="false">T117+T118</f>
        <v>7441</v>
      </c>
      <c r="U119" s="28" t="n">
        <f aca="false">U117+U118</f>
        <v>1874</v>
      </c>
      <c r="V119" s="28" t="n">
        <f aca="false">V117+V118</f>
        <v>2020</v>
      </c>
      <c r="W119" s="28" t="n">
        <f aca="false">W117+W118</f>
        <v>3894</v>
      </c>
      <c r="X119" s="28" t="n">
        <f aca="false">X117+X118</f>
        <v>2083</v>
      </c>
      <c r="Y119" s="28" t="n">
        <f aca="false">Y117+Y118</f>
        <v>2199</v>
      </c>
      <c r="Z119" s="34" t="n">
        <f aca="false">Z117+Z118</f>
        <v>8176</v>
      </c>
      <c r="AA119" s="28" t="n">
        <f aca="false">AA117+AA118</f>
        <v>2080</v>
      </c>
      <c r="AB119" s="28" t="n">
        <f aca="false">AB117+AB118</f>
        <v>2188</v>
      </c>
      <c r="AC119" s="28" t="n">
        <f aca="false">AC117+AC118</f>
        <v>4268</v>
      </c>
      <c r="AD119" s="28" t="n">
        <f aca="false">AD117+AD118</f>
        <v>2219</v>
      </c>
      <c r="AE119" s="28" t="n">
        <f aca="false">AE117+AE118</f>
        <v>2412</v>
      </c>
      <c r="AF119" s="34" t="n">
        <f aca="false">AF117+AF118</f>
        <v>8899</v>
      </c>
      <c r="AG119" s="28" t="n">
        <f aca="false">AG117+AG118</f>
        <v>2263</v>
      </c>
      <c r="AH119" s="28" t="n">
        <f aca="false">AH117+AH118</f>
        <v>2027</v>
      </c>
      <c r="AI119" s="28" t="n">
        <f aca="false">AI117+AI118</f>
        <v>4290</v>
      </c>
      <c r="AJ119" s="28" t="n">
        <f aca="false">AJ117+AJ118</f>
        <v>2314</v>
      </c>
      <c r="AK119" s="28" t="n">
        <f aca="false">AK117+AK118</f>
        <v>2757</v>
      </c>
      <c r="AL119" s="34" t="n">
        <f aca="false">AL117+AL118</f>
        <v>9361</v>
      </c>
      <c r="AM119" s="28" t="n">
        <f aca="false">AM117+AM118</f>
        <v>2278</v>
      </c>
      <c r="AN119" s="28" t="n">
        <f aca="false">AN117+AN118</f>
        <v>2231</v>
      </c>
      <c r="AO119" s="28" t="n">
        <f aca="false">AO117+AO118</f>
        <v>4509</v>
      </c>
      <c r="AP119" s="28" t="n">
        <f aca="false">AP117+AP118</f>
        <v>2338</v>
      </c>
      <c r="AQ119" s="28" t="n">
        <f aca="false">AQ117+AQ118</f>
        <v>2677</v>
      </c>
      <c r="AR119" s="34" t="n">
        <f aca="false">AR117+AR118</f>
        <v>9524</v>
      </c>
      <c r="AS119" s="28" t="n">
        <f aca="false">AS117+AS118</f>
        <v>2576</v>
      </c>
      <c r="AT119" s="28" t="n">
        <f aca="false">AT117+AT118</f>
        <v>2662</v>
      </c>
      <c r="AU119" s="28" t="n">
        <f aca="false">AU117+AU118</f>
        <v>5238</v>
      </c>
      <c r="AV119" s="28" t="n">
        <f aca="false">AV117+AV118</f>
        <v>2626</v>
      </c>
      <c r="AW119" s="28" t="n">
        <f aca="false">AW117+AW118</f>
        <v>2812</v>
      </c>
      <c r="AX119" s="34" t="n">
        <f aca="false">AX117+AX118</f>
        <v>10676</v>
      </c>
      <c r="AY119" s="28" t="n">
        <f aca="false">AY117+AY118</f>
        <v>2674</v>
      </c>
      <c r="AZ119" s="28" t="n">
        <f aca="false">AZ117+AZ118</f>
        <v>2787</v>
      </c>
      <c r="BA119" s="28" t="n">
        <f aca="false">BA117+BA118</f>
        <v>5461</v>
      </c>
      <c r="BB119" s="28" t="n">
        <f aca="false">BB117+BB118</f>
        <v>2816</v>
      </c>
      <c r="BC119" s="28" t="n">
        <f aca="false">BC117+BC118</f>
        <v>3177</v>
      </c>
      <c r="BD119" s="34" t="n">
        <f aca="false">BD117+BD118</f>
        <v>11454</v>
      </c>
      <c r="BE119" s="28" t="n">
        <f aca="false">BE117+BE118</f>
        <v>2805</v>
      </c>
      <c r="BF119" s="28" t="n">
        <f aca="false">BF117+BF118</f>
        <v>2977</v>
      </c>
      <c r="BG119" s="28" t="n">
        <f aca="false">BG117+BG118</f>
        <v>5782</v>
      </c>
      <c r="BH119" s="28" t="n">
        <f aca="false">BH117+BH118</f>
        <v>2749</v>
      </c>
      <c r="BI119" s="28" t="n">
        <f aca="false">BI117+BI118</f>
        <v>3004</v>
      </c>
      <c r="BJ119" s="34" t="n">
        <f aca="false">BJ117+BJ118</f>
        <v>11535</v>
      </c>
      <c r="BK119" s="28" t="n">
        <f aca="false">BK117+BK118</f>
        <v>2734</v>
      </c>
      <c r="BL119" s="28" t="n">
        <f aca="false">BL117+BL118</f>
        <v>3082</v>
      </c>
      <c r="BM119" s="28" t="n">
        <f aca="false">BM117+BM118</f>
        <v>5816</v>
      </c>
      <c r="BN119" s="28" t="n">
        <f aca="false">BN117+BN118</f>
        <v>3192</v>
      </c>
      <c r="BO119" s="28" t="n">
        <f aca="false">BO117+BO118</f>
        <v>3476</v>
      </c>
      <c r="BP119" s="34" t="n">
        <f aca="false">BP117+BP118</f>
        <v>12484</v>
      </c>
      <c r="BQ119" s="28" t="n">
        <f aca="false">BQ117+BQ118</f>
        <v>3099</v>
      </c>
      <c r="BR119" s="28" t="n">
        <f aca="false">BR117+BR118</f>
        <v>3418</v>
      </c>
      <c r="BS119" s="28" t="n">
        <f aca="false">BS117+BS118</f>
        <v>6517</v>
      </c>
      <c r="BT119" s="34" t="n">
        <f aca="false">BT95</f>
        <v>3366.5</v>
      </c>
      <c r="BU119" s="34" t="n">
        <f aca="false">BU95</f>
        <v>3366.5</v>
      </c>
      <c r="BV119" s="34" t="n">
        <f aca="false">BV95</f>
        <v>13250</v>
      </c>
      <c r="BW119" s="34" t="n">
        <f aca="false">BW95</f>
        <v>14059.0714996354</v>
      </c>
      <c r="BX119" s="34" t="n">
        <f aca="false">BX95</f>
        <v>14824.1395785198</v>
      </c>
      <c r="BY119" s="34" t="n">
        <f aca="false">BY95</f>
        <v>15589.6757335805</v>
      </c>
      <c r="BZ119" s="34" t="n">
        <f aca="false">BZ95</f>
        <v>16333.7983133363</v>
      </c>
      <c r="CA119" s="16" t="s">
        <v>206</v>
      </c>
      <c r="CC119" s="30" t="n">
        <f aca="false">IFERROR((BZ119/BP119)^(1/5)-1,"n/m")</f>
        <v>0.0552289214630053</v>
      </c>
      <c r="CD119" s="30" t="n">
        <f aca="false">IFERROR((BP119/AL119)^(1/5)-1,"n/m")</f>
        <v>0.059269098321769</v>
      </c>
      <c r="CE119" s="30" t="n">
        <f aca="false">IFERROR((BP119/H119)^(1/10)-1,"n/m")</f>
        <v>0.0592577856353309</v>
      </c>
    </row>
    <row r="120" customFormat="false" ht="15" hidden="false" customHeight="false" outlineLevel="0" collapsed="false">
      <c r="B120" s="1" t="s">
        <v>207</v>
      </c>
      <c r="C120" s="23" t="n">
        <v>985</v>
      </c>
      <c r="D120" s="23" t="n">
        <v>972</v>
      </c>
      <c r="E120" s="2" t="n">
        <f aca="false">C120+D120</f>
        <v>1957</v>
      </c>
      <c r="F120" s="23" t="n">
        <v>1164</v>
      </c>
      <c r="G120" s="23" t="n">
        <v>1198</v>
      </c>
      <c r="H120" s="23" t="n">
        <v>4319</v>
      </c>
      <c r="I120" s="23" t="n">
        <v>1139</v>
      </c>
      <c r="J120" s="23" t="n">
        <v>1043</v>
      </c>
      <c r="K120" s="2" t="n">
        <f aca="false">I120+J120</f>
        <v>2182</v>
      </c>
      <c r="L120" s="23" t="n">
        <v>1059</v>
      </c>
      <c r="M120" s="23" t="n">
        <v>1139</v>
      </c>
      <c r="N120" s="23" t="n">
        <v>4380</v>
      </c>
      <c r="O120" s="23" t="n">
        <v>1027</v>
      </c>
      <c r="P120" s="23" t="n">
        <v>1061</v>
      </c>
      <c r="Q120" s="2" t="n">
        <f aca="false">O120+P120</f>
        <v>2088</v>
      </c>
      <c r="R120" s="23" t="n">
        <v>1064</v>
      </c>
      <c r="S120" s="23" t="n">
        <v>1125</v>
      </c>
      <c r="T120" s="23" t="n">
        <v>4277</v>
      </c>
      <c r="U120" s="23" t="n">
        <v>1063</v>
      </c>
      <c r="V120" s="23" t="n">
        <v>1147</v>
      </c>
      <c r="W120" s="2" t="n">
        <f aca="false">U120+V120</f>
        <v>2210</v>
      </c>
      <c r="X120" s="23" t="n">
        <v>1159</v>
      </c>
      <c r="Y120" s="23" t="n">
        <v>1258</v>
      </c>
      <c r="Z120" s="23" t="n">
        <v>4627</v>
      </c>
      <c r="AA120" s="23" t="n">
        <v>1258</v>
      </c>
      <c r="AB120" s="23" t="n">
        <v>1250</v>
      </c>
      <c r="AC120" s="2" t="n">
        <f aca="false">AA120+AB120</f>
        <v>2508</v>
      </c>
      <c r="AD120" s="23" t="n">
        <v>1246</v>
      </c>
      <c r="AE120" s="23" t="n">
        <v>1404</v>
      </c>
      <c r="AF120" s="23" t="n">
        <v>5158</v>
      </c>
      <c r="AG120" s="23" t="n">
        <v>1290</v>
      </c>
      <c r="AH120" s="23" t="n">
        <v>1253</v>
      </c>
      <c r="AI120" s="2" t="n">
        <f aca="false">AG120+AH120</f>
        <v>2543</v>
      </c>
      <c r="AJ120" s="23" t="n">
        <v>1388</v>
      </c>
      <c r="AK120" s="23" t="n">
        <v>1690</v>
      </c>
      <c r="AL120" s="23" t="n">
        <v>5621</v>
      </c>
      <c r="AM120" s="23" t="n">
        <v>1454</v>
      </c>
      <c r="AN120" s="23" t="n">
        <v>1495</v>
      </c>
      <c r="AO120" s="2" t="n">
        <f aca="false">AM120+AN120</f>
        <v>2949</v>
      </c>
      <c r="AP120" s="23" t="n">
        <v>1453</v>
      </c>
      <c r="AQ120" s="23" t="n">
        <v>1556</v>
      </c>
      <c r="AR120" s="23" t="n">
        <v>5958</v>
      </c>
      <c r="AS120" s="23" t="n">
        <v>1468</v>
      </c>
      <c r="AT120" s="23" t="n">
        <v>1526</v>
      </c>
      <c r="AU120" s="2" t="n">
        <f aca="false">AS120+AT120</f>
        <v>2994</v>
      </c>
      <c r="AV120" s="23" t="n">
        <v>1517</v>
      </c>
      <c r="AW120" s="23" t="n">
        <v>1714</v>
      </c>
      <c r="AX120" s="23" t="n">
        <v>6225</v>
      </c>
      <c r="AY120" s="23" t="n">
        <v>1568</v>
      </c>
      <c r="AZ120" s="23" t="n">
        <v>1602</v>
      </c>
      <c r="BA120" s="2" t="n">
        <f aca="false">AY120+AZ120</f>
        <v>3170</v>
      </c>
      <c r="BB120" s="23" t="n">
        <v>1541</v>
      </c>
      <c r="BC120" s="23" t="n">
        <v>1756</v>
      </c>
      <c r="BD120" s="23" t="n">
        <v>6467</v>
      </c>
      <c r="BE120" s="23" t="n">
        <v>1537</v>
      </c>
      <c r="BF120" s="23" t="n">
        <v>1627</v>
      </c>
      <c r="BG120" s="2" t="n">
        <f aca="false">BE120+BF120</f>
        <v>3164</v>
      </c>
      <c r="BH120" s="23" t="n">
        <v>1556</v>
      </c>
      <c r="BI120" s="23" t="n">
        <v>1780</v>
      </c>
      <c r="BJ120" s="23" t="n">
        <v>6500</v>
      </c>
      <c r="BK120" s="23" t="n">
        <v>1451</v>
      </c>
      <c r="BL120" s="23" t="n">
        <v>1696</v>
      </c>
      <c r="BM120" s="2" t="n">
        <f aca="false">BK120+BL120</f>
        <v>3147</v>
      </c>
      <c r="BN120" s="23" t="n">
        <v>1815</v>
      </c>
      <c r="BO120" s="23" t="n">
        <v>2119</v>
      </c>
      <c r="BP120" s="23" t="n">
        <v>7081</v>
      </c>
      <c r="BQ120" s="23" t="n">
        <v>1741</v>
      </c>
      <c r="BR120" s="23" t="n">
        <v>1985</v>
      </c>
      <c r="BS120" s="2" t="n">
        <f aca="false">BQ120+BR120</f>
        <v>3726</v>
      </c>
      <c r="BT120" s="3" t="n">
        <f aca="false">BT117*BS120/BS117</f>
        <v>1924.74742979899</v>
      </c>
      <c r="BU120" s="3" t="n">
        <f aca="false">BU117*BS120/BS117</f>
        <v>1924.74742979899</v>
      </c>
      <c r="BV120" s="3" t="n">
        <f aca="false">SUM(BQ120,BR120,BT120,BU120)</f>
        <v>7575.49485959798</v>
      </c>
      <c r="BW120" s="3" t="n">
        <f aca="false">BW117*BV120/BV117</f>
        <v>8038.0697265063</v>
      </c>
      <c r="BX120" s="3" t="n">
        <f aca="false">BX117*BW120/BW117</f>
        <v>8475.48627736146</v>
      </c>
      <c r="BY120" s="3" t="n">
        <f aca="false">BY117*BX120/BX117</f>
        <v>8913.17044396518</v>
      </c>
      <c r="BZ120" s="3" t="n">
        <f aca="false">BZ117*BY120/BY117</f>
        <v>9338.61171021807</v>
      </c>
      <c r="CA120" s="16" t="s">
        <v>208</v>
      </c>
      <c r="CC120" s="5"/>
      <c r="CD120" s="5"/>
      <c r="CE120" s="5"/>
    </row>
    <row r="121" customFormat="false" ht="15" hidden="false" customHeight="false" outlineLevel="0" collapsed="false">
      <c r="B121" s="1" t="s">
        <v>209</v>
      </c>
      <c r="C121" s="23" t="n">
        <v>280</v>
      </c>
      <c r="D121" s="23" t="n">
        <v>274</v>
      </c>
      <c r="E121" s="2" t="n">
        <f aca="false">C121+D121</f>
        <v>554</v>
      </c>
      <c r="F121" s="23" t="n">
        <v>292</v>
      </c>
      <c r="G121" s="23" t="n">
        <v>352</v>
      </c>
      <c r="H121" s="23" t="n">
        <v>1198</v>
      </c>
      <c r="I121" s="23" t="n">
        <v>289</v>
      </c>
      <c r="J121" s="23" t="n">
        <v>290</v>
      </c>
      <c r="K121" s="2" t="n">
        <f aca="false">I121+J121</f>
        <v>579</v>
      </c>
      <c r="L121" s="23" t="n">
        <v>308</v>
      </c>
      <c r="M121" s="23" t="n">
        <v>341</v>
      </c>
      <c r="N121" s="23" t="n">
        <v>1228</v>
      </c>
      <c r="O121" s="23" t="n">
        <v>353</v>
      </c>
      <c r="P121" s="23" t="n">
        <v>375</v>
      </c>
      <c r="Q121" s="2" t="n">
        <f aca="false">O121+P121</f>
        <v>728</v>
      </c>
      <c r="R121" s="23" t="n">
        <v>384</v>
      </c>
      <c r="S121" s="23" t="n">
        <v>424</v>
      </c>
      <c r="T121" s="23" t="n">
        <v>1536</v>
      </c>
      <c r="U121" s="23" t="n">
        <v>432</v>
      </c>
      <c r="V121" s="23" t="n">
        <v>421</v>
      </c>
      <c r="W121" s="2" t="n">
        <f aca="false">U121+V121</f>
        <v>853</v>
      </c>
      <c r="X121" s="23" t="n">
        <v>434</v>
      </c>
      <c r="Y121" s="23" t="n">
        <v>471</v>
      </c>
      <c r="Z121" s="23" t="n">
        <v>1758</v>
      </c>
      <c r="AA121" s="23" t="n">
        <v>494</v>
      </c>
      <c r="AB121" s="23" t="n">
        <v>584</v>
      </c>
      <c r="AC121" s="2" t="n">
        <f aca="false">AA121+AB121</f>
        <v>1078</v>
      </c>
      <c r="AD121" s="23" t="n">
        <v>556</v>
      </c>
      <c r="AE121" s="23" t="n">
        <v>576</v>
      </c>
      <c r="AF121" s="23" t="n">
        <v>2210</v>
      </c>
      <c r="AG121" s="23" t="n">
        <v>550</v>
      </c>
      <c r="AH121" s="23" t="n">
        <v>510</v>
      </c>
      <c r="AI121" s="2" t="n">
        <f aca="false">AG121+AH121</f>
        <v>1060</v>
      </c>
      <c r="AJ121" s="23" t="n">
        <v>490</v>
      </c>
      <c r="AK121" s="23" t="n">
        <v>520</v>
      </c>
      <c r="AL121" s="23" t="n">
        <v>2070</v>
      </c>
      <c r="AM121" s="23" t="n">
        <v>482</v>
      </c>
      <c r="AN121" s="23" t="n">
        <v>414</v>
      </c>
      <c r="AO121" s="2" t="n">
        <f aca="false">AM121+AN121</f>
        <v>896</v>
      </c>
      <c r="AP121" s="23" t="n">
        <v>554</v>
      </c>
      <c r="AQ121" s="23" t="n">
        <v>748</v>
      </c>
      <c r="AR121" s="23" t="n">
        <v>2198</v>
      </c>
      <c r="AS121" s="23" t="n">
        <v>759</v>
      </c>
      <c r="AT121" s="23" t="n">
        <v>746</v>
      </c>
      <c r="AU121" s="2" t="n">
        <f aca="false">AS121+AT121</f>
        <v>1505</v>
      </c>
      <c r="AV121" s="23" t="n">
        <v>747</v>
      </c>
      <c r="AW121" s="23" t="n">
        <v>759</v>
      </c>
      <c r="AX121" s="23" t="n">
        <v>3011</v>
      </c>
      <c r="AY121" s="23" t="n">
        <v>756</v>
      </c>
      <c r="AZ121" s="23" t="n">
        <v>796</v>
      </c>
      <c r="BA121" s="2" t="n">
        <f aca="false">AY121+AZ121</f>
        <v>1552</v>
      </c>
      <c r="BB121" s="23" t="n">
        <v>859</v>
      </c>
      <c r="BC121" s="23" t="n">
        <v>930</v>
      </c>
      <c r="BD121" s="23" t="n">
        <v>3341</v>
      </c>
      <c r="BE121" s="23" t="n">
        <v>893</v>
      </c>
      <c r="BF121" s="23" t="n">
        <v>918</v>
      </c>
      <c r="BG121" s="2" t="n">
        <f aca="false">BE121+BF121</f>
        <v>1811</v>
      </c>
      <c r="BH121" s="23" t="n">
        <v>871</v>
      </c>
      <c r="BI121" s="23" t="n">
        <v>903</v>
      </c>
      <c r="BJ121" s="23" t="n">
        <v>3585</v>
      </c>
      <c r="BK121" s="23" t="n">
        <v>889</v>
      </c>
      <c r="BL121" s="23" t="n">
        <v>991</v>
      </c>
      <c r="BM121" s="2" t="n">
        <f aca="false">BK121+BL121</f>
        <v>1880</v>
      </c>
      <c r="BN121" s="23" t="n">
        <v>983</v>
      </c>
      <c r="BO121" s="23" t="n">
        <v>955</v>
      </c>
      <c r="BP121" s="23" t="n">
        <v>3818</v>
      </c>
      <c r="BQ121" s="23" t="n">
        <v>950</v>
      </c>
      <c r="BR121" s="23" t="n">
        <v>1002</v>
      </c>
      <c r="BS121" s="2" t="n">
        <f aca="false">BQ121+BR121</f>
        <v>1952</v>
      </c>
      <c r="BT121" s="3" t="n">
        <f aca="false">BT119-BT120+BT122+BT123-BT124-BT125-BT101</f>
        <v>1011.59154902563</v>
      </c>
      <c r="BU121" s="3" t="n">
        <f aca="false">BU119-BU120+BU122+BU123-BU124-BU125-BU101</f>
        <v>1011.59154902563</v>
      </c>
      <c r="BV121" s="3" t="n">
        <f aca="false">SUM(BQ121,BR121,BT121,BU121)</f>
        <v>3975.18309805125</v>
      </c>
      <c r="BW121" s="3" t="n">
        <f aca="false">BW119-BW120+BW122+BW123-BW124-BW125-BW101</f>
        <v>4130.46727905527</v>
      </c>
      <c r="BX121" s="3" t="n">
        <f aca="false">BX119-BX120+BX122+BX123-BX124-BX125-BX101</f>
        <v>4310.89341572115</v>
      </c>
      <c r="BY121" s="3" t="n">
        <f aca="false">BY119-BY120+BY122+BY123-BY124-BY125-BY101</f>
        <v>4487.89304086041</v>
      </c>
      <c r="BZ121" s="3" t="n">
        <f aca="false">BZ119-BZ120+BZ122+BZ123-BZ124-BZ125-BZ101</f>
        <v>4655.23844993298</v>
      </c>
      <c r="CA121" s="16" t="s">
        <v>210</v>
      </c>
      <c r="CC121" s="5"/>
      <c r="CD121" s="5"/>
      <c r="CE121" s="5"/>
    </row>
    <row r="122" customFormat="false" ht="15" hidden="false" customHeight="false" outlineLevel="0" collapsed="false">
      <c r="B122" s="1" t="s">
        <v>211</v>
      </c>
      <c r="C122" s="23" t="n">
        <v>1</v>
      </c>
      <c r="D122" s="23" t="n">
        <v>2</v>
      </c>
      <c r="E122" s="2" t="n">
        <f aca="false">C122+D122</f>
        <v>3</v>
      </c>
      <c r="F122" s="23" t="n">
        <v>6</v>
      </c>
      <c r="G122" s="23" t="n">
        <v>1</v>
      </c>
      <c r="H122" s="23" t="n">
        <v>10</v>
      </c>
      <c r="I122" s="2"/>
      <c r="J122" s="23" t="n">
        <v>1</v>
      </c>
      <c r="K122" s="2" t="n">
        <f aca="false">I122+J122</f>
        <v>1</v>
      </c>
      <c r="L122" s="23" t="n">
        <v>6</v>
      </c>
      <c r="M122" s="23" t="n">
        <v>-1</v>
      </c>
      <c r="N122" s="23" t="n">
        <v>6</v>
      </c>
      <c r="O122" s="23" t="n">
        <v>2</v>
      </c>
      <c r="P122" s="23" t="n">
        <v>1</v>
      </c>
      <c r="Q122" s="2" t="n">
        <f aca="false">O122+P122</f>
        <v>3</v>
      </c>
      <c r="R122" s="23" t="n">
        <v>7</v>
      </c>
      <c r="S122" s="23" t="n">
        <v>2</v>
      </c>
      <c r="T122" s="23" t="n">
        <v>12</v>
      </c>
      <c r="U122" s="23" t="n">
        <v>2</v>
      </c>
      <c r="V122" s="23" t="n">
        <v>2</v>
      </c>
      <c r="W122" s="2" t="n">
        <f aca="false">U122+V122</f>
        <v>4</v>
      </c>
      <c r="X122" s="23" t="n">
        <v>8</v>
      </c>
      <c r="Y122" s="23" t="n">
        <v>5</v>
      </c>
      <c r="Z122" s="23" t="n">
        <v>17</v>
      </c>
      <c r="AA122" s="23" t="n">
        <v>4</v>
      </c>
      <c r="AB122" s="23" t="n">
        <v>5</v>
      </c>
      <c r="AC122" s="2" t="n">
        <f aca="false">AA122+AB122</f>
        <v>9</v>
      </c>
      <c r="AD122" s="23" t="n">
        <v>6</v>
      </c>
      <c r="AE122" s="23" t="n">
        <v>7</v>
      </c>
      <c r="AF122" s="23" t="n">
        <v>22</v>
      </c>
      <c r="AG122" s="23" t="n">
        <v>6</v>
      </c>
      <c r="AH122" s="23" t="n">
        <v>7</v>
      </c>
      <c r="AI122" s="2" t="n">
        <f aca="false">AG122+AH122</f>
        <v>13</v>
      </c>
      <c r="AJ122" s="23" t="n">
        <v>6</v>
      </c>
      <c r="AK122" s="23" t="n">
        <v>13</v>
      </c>
      <c r="AL122" s="23" t="n">
        <v>32</v>
      </c>
      <c r="AM122" s="23" t="n">
        <v>8</v>
      </c>
      <c r="AN122" s="23" t="n">
        <v>12</v>
      </c>
      <c r="AO122" s="2" t="n">
        <f aca="false">AM122+AN122</f>
        <v>20</v>
      </c>
      <c r="AP122" s="23" t="n">
        <v>11</v>
      </c>
      <c r="AQ122" s="23" t="n">
        <v>10</v>
      </c>
      <c r="AR122" s="23" t="n">
        <v>41</v>
      </c>
      <c r="AS122" s="23" t="n">
        <v>7</v>
      </c>
      <c r="AT122" s="23" t="n">
        <v>27</v>
      </c>
      <c r="AU122" s="2" t="n">
        <f aca="false">AS122+AT122</f>
        <v>34</v>
      </c>
      <c r="AV122" s="23" t="n">
        <v>13</v>
      </c>
      <c r="AW122" s="23" t="n">
        <v>1</v>
      </c>
      <c r="AX122" s="23" t="n">
        <v>48</v>
      </c>
      <c r="AY122" s="23" t="n">
        <v>12</v>
      </c>
      <c r="AZ122" s="23" t="n">
        <v>4</v>
      </c>
      <c r="BA122" s="2" t="n">
        <f aca="false">AY122+AZ122</f>
        <v>16</v>
      </c>
      <c r="BB122" s="23" t="n">
        <v>9</v>
      </c>
      <c r="BC122" s="23" t="n">
        <v>12</v>
      </c>
      <c r="BD122" s="23" t="n">
        <v>37</v>
      </c>
      <c r="BE122" s="23" t="n">
        <v>12</v>
      </c>
      <c r="BF122" s="23" t="n">
        <v>11</v>
      </c>
      <c r="BG122" s="2" t="n">
        <f aca="false">BE122+BF122</f>
        <v>23</v>
      </c>
      <c r="BH122" s="23" t="n">
        <v>12</v>
      </c>
      <c r="BI122" s="23" t="n">
        <v>14</v>
      </c>
      <c r="BJ122" s="23" t="n">
        <v>49</v>
      </c>
      <c r="BK122" s="23" t="n">
        <v>13</v>
      </c>
      <c r="BL122" s="23" t="n">
        <v>8</v>
      </c>
      <c r="BM122" s="2" t="n">
        <f aca="false">BK122+BL122</f>
        <v>21</v>
      </c>
      <c r="BN122" s="23" t="n">
        <v>12</v>
      </c>
      <c r="BO122" s="23" t="n">
        <v>13</v>
      </c>
      <c r="BP122" s="23" t="n">
        <v>46</v>
      </c>
      <c r="BQ122" s="23" t="n">
        <v>5</v>
      </c>
      <c r="BR122" s="23" t="n">
        <v>21</v>
      </c>
      <c r="BS122" s="2" t="n">
        <f aca="false">BQ122+BR122</f>
        <v>26</v>
      </c>
      <c r="BT122" s="3" t="n">
        <f aca="false">BS122/2</f>
        <v>13</v>
      </c>
      <c r="BU122" s="3" t="n">
        <f aca="false">BS122/2</f>
        <v>13</v>
      </c>
      <c r="BV122" s="3" t="n">
        <f aca="false">SUM(BQ122,BR122,BT122,BU122)</f>
        <v>52</v>
      </c>
      <c r="BW122" s="3" t="n">
        <f aca="false">BV122</f>
        <v>52</v>
      </c>
      <c r="BX122" s="3" t="n">
        <f aca="false">BW122</f>
        <v>52</v>
      </c>
      <c r="BY122" s="3" t="n">
        <f aca="false">BX122</f>
        <v>52</v>
      </c>
      <c r="BZ122" s="3" t="n">
        <f aca="false">BY122</f>
        <v>52</v>
      </c>
      <c r="CA122" s="16" t="s">
        <v>212</v>
      </c>
      <c r="CC122" s="5"/>
      <c r="CD122" s="5"/>
      <c r="CE122" s="5"/>
    </row>
    <row r="123" customFormat="false" ht="15" hidden="false" customHeight="false" outlineLevel="0" collapsed="false">
      <c r="B123" s="1" t="s">
        <v>213</v>
      </c>
      <c r="C123" s="23" t="n">
        <v>0</v>
      </c>
      <c r="D123" s="23" t="n">
        <v>0</v>
      </c>
      <c r="E123" s="2" t="n">
        <f aca="false">C123+D123</f>
        <v>0</v>
      </c>
      <c r="F123" s="23" t="n">
        <v>0</v>
      </c>
      <c r="G123" s="23" t="n">
        <v>0</v>
      </c>
      <c r="H123" s="23" t="n">
        <v>0</v>
      </c>
      <c r="I123" s="23" t="n">
        <v>0</v>
      </c>
      <c r="J123" s="23" t="n">
        <v>0</v>
      </c>
      <c r="K123" s="2" t="n">
        <f aca="false">I123+J123</f>
        <v>0</v>
      </c>
      <c r="L123" s="23" t="n">
        <v>0</v>
      </c>
      <c r="M123" s="23" t="n">
        <v>15</v>
      </c>
      <c r="N123" s="23" t="n">
        <v>15</v>
      </c>
      <c r="O123" s="23" t="n">
        <v>0</v>
      </c>
      <c r="P123" s="23" t="n">
        <v>0</v>
      </c>
      <c r="Q123" s="2" t="n">
        <f aca="false">O123+P123</f>
        <v>0</v>
      </c>
      <c r="R123" s="23" t="n">
        <v>0</v>
      </c>
      <c r="S123" s="23" t="n">
        <v>0</v>
      </c>
      <c r="T123" s="23" t="n">
        <v>0</v>
      </c>
      <c r="U123" s="23" t="n">
        <v>2</v>
      </c>
      <c r="V123" s="23" t="n">
        <v>12</v>
      </c>
      <c r="W123" s="2" t="n">
        <f aca="false">U123+V123</f>
        <v>14</v>
      </c>
      <c r="X123" s="23" t="n">
        <v>0</v>
      </c>
      <c r="Y123" s="23" t="n">
        <v>0</v>
      </c>
      <c r="Z123" s="23" t="n">
        <v>14</v>
      </c>
      <c r="AA123" s="23" t="n">
        <v>0</v>
      </c>
      <c r="AB123" s="23" t="n">
        <v>0</v>
      </c>
      <c r="AC123" s="2" t="n">
        <f aca="false">AA123+AB123</f>
        <v>0</v>
      </c>
      <c r="AD123" s="23" t="n">
        <v>0</v>
      </c>
      <c r="AE123" s="23" t="n">
        <v>0</v>
      </c>
      <c r="AF123" s="23" t="n">
        <v>0</v>
      </c>
      <c r="AG123" s="23" t="n">
        <v>0</v>
      </c>
      <c r="AH123" s="23" t="n">
        <v>0</v>
      </c>
      <c r="AI123" s="2" t="n">
        <f aca="false">AG123+AH123</f>
        <v>0</v>
      </c>
      <c r="AJ123" s="23" t="n">
        <v>0</v>
      </c>
      <c r="AK123" s="23" t="n">
        <v>1</v>
      </c>
      <c r="AL123" s="23" t="n">
        <v>1</v>
      </c>
      <c r="AM123" s="23" t="n">
        <v>3</v>
      </c>
      <c r="AN123" s="23" t="n">
        <v>-2</v>
      </c>
      <c r="AO123" s="2" t="n">
        <f aca="false">AM123+AN123</f>
        <v>1</v>
      </c>
      <c r="AP123" s="23" t="n">
        <v>2</v>
      </c>
      <c r="AQ123" s="23" t="n">
        <v>-1</v>
      </c>
      <c r="AR123" s="23" t="n">
        <v>2</v>
      </c>
      <c r="AS123" s="23" t="n">
        <v>-1</v>
      </c>
      <c r="AT123" s="23" t="n">
        <v>1</v>
      </c>
      <c r="AU123" s="2" t="n">
        <f aca="false">AS123+AT123</f>
        <v>0</v>
      </c>
      <c r="AV123" s="23" t="n">
        <v>0</v>
      </c>
      <c r="AW123" s="23" t="n">
        <v>1</v>
      </c>
      <c r="AX123" s="23" t="n">
        <v>1</v>
      </c>
      <c r="AY123" s="23" t="n">
        <v>-1</v>
      </c>
      <c r="AZ123" s="23" t="n">
        <v>1</v>
      </c>
      <c r="BA123" s="2" t="n">
        <f aca="false">AY123+AZ123</f>
        <v>0</v>
      </c>
      <c r="BB123" s="23" t="n">
        <v>0</v>
      </c>
      <c r="BC123" s="23" t="n">
        <v>120</v>
      </c>
      <c r="BD123" s="23" t="n">
        <v>120</v>
      </c>
      <c r="BE123" s="23" t="n">
        <v>-1</v>
      </c>
      <c r="BF123" s="23" t="n">
        <v>1</v>
      </c>
      <c r="BG123" s="2" t="n">
        <f aca="false">BE123+BF123</f>
        <v>0</v>
      </c>
      <c r="BH123" s="23" t="n">
        <v>0</v>
      </c>
      <c r="BI123" s="23" t="n">
        <v>9</v>
      </c>
      <c r="BJ123" s="23" t="n">
        <v>9</v>
      </c>
      <c r="BK123" s="23" t="n">
        <v>0</v>
      </c>
      <c r="BL123" s="23" t="n">
        <v>1</v>
      </c>
      <c r="BM123" s="2" t="n">
        <f aca="false">BK123+BL123</f>
        <v>1</v>
      </c>
      <c r="BN123" s="23" t="n">
        <v>0</v>
      </c>
      <c r="BO123" s="23" t="n">
        <v>2</v>
      </c>
      <c r="BP123" s="23" t="n">
        <v>3</v>
      </c>
      <c r="BQ123" s="23" t="n">
        <v>0</v>
      </c>
      <c r="BR123" s="23" t="n">
        <v>0</v>
      </c>
      <c r="BS123" s="2" t="n">
        <f aca="false">BQ123+BR123</f>
        <v>0</v>
      </c>
      <c r="BT123" s="54" t="n">
        <v>0</v>
      </c>
      <c r="BU123" s="54" t="n">
        <v>0</v>
      </c>
      <c r="BV123" s="3" t="n">
        <f aca="false">SUM(BQ123,BR123,BT123,BU123)</f>
        <v>0</v>
      </c>
      <c r="BW123" s="54" t="n">
        <v>0</v>
      </c>
      <c r="BX123" s="54" t="n">
        <v>0</v>
      </c>
      <c r="BY123" s="54" t="n">
        <v>0</v>
      </c>
      <c r="BZ123" s="54" t="n">
        <v>0</v>
      </c>
      <c r="CA123" s="16" t="s">
        <v>214</v>
      </c>
      <c r="CC123" s="5"/>
      <c r="CD123" s="5"/>
      <c r="CE123" s="5"/>
    </row>
    <row r="124" customFormat="false" ht="15" hidden="false" customHeight="false" outlineLevel="0" collapsed="false">
      <c r="B124" s="1" t="s">
        <v>215</v>
      </c>
      <c r="C124" s="23" t="n">
        <v>150</v>
      </c>
      <c r="D124" s="23" t="n">
        <v>173</v>
      </c>
      <c r="E124" s="2" t="n">
        <f aca="false">C124+D124</f>
        <v>323</v>
      </c>
      <c r="F124" s="23" t="n">
        <v>150</v>
      </c>
      <c r="G124" s="23" t="n">
        <v>196</v>
      </c>
      <c r="H124" s="23" t="n">
        <v>669</v>
      </c>
      <c r="I124" s="23" t="n">
        <v>137</v>
      </c>
      <c r="J124" s="23" t="n">
        <v>151</v>
      </c>
      <c r="K124" s="2" t="n">
        <f aca="false">I124+J124</f>
        <v>288</v>
      </c>
      <c r="L124" s="23" t="n">
        <v>147</v>
      </c>
      <c r="M124" s="23" t="n">
        <v>188</v>
      </c>
      <c r="N124" s="23" t="n">
        <v>623</v>
      </c>
      <c r="O124" s="23" t="n">
        <v>178</v>
      </c>
      <c r="P124" s="23" t="n">
        <v>182</v>
      </c>
      <c r="Q124" s="2" t="n">
        <f aca="false">O124+P124</f>
        <v>360</v>
      </c>
      <c r="R124" s="23" t="n">
        <v>181</v>
      </c>
      <c r="S124" s="23" t="n">
        <v>218</v>
      </c>
      <c r="T124" s="23" t="n">
        <v>759</v>
      </c>
      <c r="U124" s="23" t="n">
        <v>192</v>
      </c>
      <c r="V124" s="23" t="n">
        <v>209</v>
      </c>
      <c r="W124" s="2" t="n">
        <f aca="false">U124+V124</f>
        <v>401</v>
      </c>
      <c r="X124" s="23" t="n">
        <v>208</v>
      </c>
      <c r="Y124" s="23" t="n">
        <v>262</v>
      </c>
      <c r="Z124" s="23" t="n">
        <v>871</v>
      </c>
      <c r="AA124" s="23" t="n">
        <v>171</v>
      </c>
      <c r="AB124" s="23" t="n">
        <v>184</v>
      </c>
      <c r="AC124" s="2" t="n">
        <f aca="false">AA124+AB124</f>
        <v>355</v>
      </c>
      <c r="AD124" s="23" t="n">
        <v>209</v>
      </c>
      <c r="AE124" s="23" t="n">
        <v>224</v>
      </c>
      <c r="AF124" s="23" t="n">
        <v>788</v>
      </c>
      <c r="AG124" s="23" t="n">
        <v>214</v>
      </c>
      <c r="AH124" s="23" t="n">
        <v>214</v>
      </c>
      <c r="AI124" s="2" t="n">
        <f aca="false">AG124+AH124</f>
        <v>428</v>
      </c>
      <c r="AJ124" s="23" t="n">
        <v>220</v>
      </c>
      <c r="AK124" s="23" t="n">
        <v>256</v>
      </c>
      <c r="AL124" s="23" t="n">
        <v>904</v>
      </c>
      <c r="AM124" s="23" t="n">
        <v>206</v>
      </c>
      <c r="AN124" s="23" t="n">
        <v>204</v>
      </c>
      <c r="AO124" s="2" t="n">
        <f aca="false">AM124+AN124</f>
        <v>410</v>
      </c>
      <c r="AP124" s="23" t="n">
        <v>226</v>
      </c>
      <c r="AQ124" s="23" t="n">
        <v>262</v>
      </c>
      <c r="AR124" s="23" t="n">
        <v>898</v>
      </c>
      <c r="AS124" s="23" t="n">
        <v>217</v>
      </c>
      <c r="AT124" s="23" t="n">
        <v>227</v>
      </c>
      <c r="AU124" s="2" t="n">
        <f aca="false">AS124+AT124</f>
        <v>444</v>
      </c>
      <c r="AV124" s="23" t="n">
        <v>244</v>
      </c>
      <c r="AW124" s="23" t="n">
        <v>236</v>
      </c>
      <c r="AX124" s="23" t="n">
        <v>924</v>
      </c>
      <c r="AY124" s="23" t="n">
        <v>220</v>
      </c>
      <c r="AZ124" s="23" t="n">
        <v>238</v>
      </c>
      <c r="BA124" s="2" t="n">
        <f aca="false">AY124+AZ124</f>
        <v>458</v>
      </c>
      <c r="BB124" s="23" t="n">
        <v>253</v>
      </c>
      <c r="BC124" s="23" t="n">
        <v>311</v>
      </c>
      <c r="BD124" s="23" t="n">
        <v>1022</v>
      </c>
      <c r="BE124" s="23" t="n">
        <v>232</v>
      </c>
      <c r="BF124" s="23" t="n">
        <v>255</v>
      </c>
      <c r="BG124" s="2" t="n">
        <f aca="false">BE124+BF124</f>
        <v>487</v>
      </c>
      <c r="BH124" s="23" t="n">
        <v>252</v>
      </c>
      <c r="BI124" s="23" t="n">
        <v>234</v>
      </c>
      <c r="BJ124" s="23" t="n">
        <v>973</v>
      </c>
      <c r="BK124" s="23" t="n">
        <v>246</v>
      </c>
      <c r="BL124" s="23" t="n">
        <v>241</v>
      </c>
      <c r="BM124" s="2" t="n">
        <f aca="false">BK124+BL124</f>
        <v>487</v>
      </c>
      <c r="BN124" s="23" t="n">
        <v>245</v>
      </c>
      <c r="BO124" s="23" t="n">
        <v>245</v>
      </c>
      <c r="BP124" s="23" t="n">
        <v>977</v>
      </c>
      <c r="BQ124" s="23" t="n">
        <v>258</v>
      </c>
      <c r="BR124" s="23" t="n">
        <v>242</v>
      </c>
      <c r="BS124" s="2" t="n">
        <f aca="false">BQ124+BR124</f>
        <v>500</v>
      </c>
      <c r="BT124" s="3" t="n">
        <f aca="false">BT119*BS124/BS119</f>
        <v>258.286021175388</v>
      </c>
      <c r="BU124" s="3" t="n">
        <f aca="false">BU119*BS124/BS119</f>
        <v>258.286021175388</v>
      </c>
      <c r="BV124" s="3" t="n">
        <f aca="false">SUM(BQ124,BR124,BT124,BU124)</f>
        <v>1016.57204235078</v>
      </c>
      <c r="BW124" s="3" t="n">
        <f aca="false">BW119*BV124/BV119</f>
        <v>1078.64596437283</v>
      </c>
      <c r="BX124" s="3" t="n">
        <f aca="false">BX119*BW124/BW119</f>
        <v>1137.3438375418</v>
      </c>
      <c r="BY124" s="3" t="n">
        <f aca="false">BY119*BX124/BX119</f>
        <v>1196.07762264696</v>
      </c>
      <c r="BZ124" s="3" t="n">
        <f aca="false">BZ119*BY124/BY119</f>
        <v>1253.16850647049</v>
      </c>
      <c r="CA124" s="16" t="s">
        <v>216</v>
      </c>
      <c r="CC124" s="5"/>
      <c r="CD124" s="5"/>
      <c r="CE124" s="5"/>
    </row>
    <row r="125" customFormat="false" ht="15" hidden="false" customHeight="false" outlineLevel="0" collapsed="false">
      <c r="B125" s="1" t="s">
        <v>217</v>
      </c>
      <c r="C125" s="23" t="n">
        <v>0</v>
      </c>
      <c r="D125" s="23" t="n">
        <v>59</v>
      </c>
      <c r="E125" s="2" t="n">
        <f aca="false">C125+D125</f>
        <v>59</v>
      </c>
      <c r="F125" s="23" t="n">
        <v>0</v>
      </c>
      <c r="G125" s="23" t="n">
        <v>16</v>
      </c>
      <c r="H125" s="23" t="n">
        <v>75</v>
      </c>
      <c r="I125" s="23" t="n">
        <v>0</v>
      </c>
      <c r="J125" s="23" t="n">
        <v>0</v>
      </c>
      <c r="K125" s="2" t="n">
        <f aca="false">I125+J125</f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" t="n">
        <f aca="false">O125+P125</f>
        <v>0</v>
      </c>
      <c r="R125" s="23" t="n">
        <v>0</v>
      </c>
      <c r="S125" s="23" t="n">
        <v>0</v>
      </c>
      <c r="T125" s="23" t="n">
        <v>0</v>
      </c>
      <c r="U125" s="23" t="n">
        <v>0</v>
      </c>
      <c r="V125" s="23" t="n">
        <v>0</v>
      </c>
      <c r="W125" s="2" t="n">
        <f aca="false">U125+V125</f>
        <v>0</v>
      </c>
      <c r="X125" s="23" t="n">
        <v>0</v>
      </c>
      <c r="Y125" s="23" t="n">
        <v>0</v>
      </c>
      <c r="Z125" s="23" t="n">
        <v>0</v>
      </c>
      <c r="AA125" s="23" t="n">
        <v>0</v>
      </c>
      <c r="AB125" s="23" t="n">
        <v>0</v>
      </c>
      <c r="AC125" s="2" t="n">
        <f aca="false">AA125+AB125</f>
        <v>0</v>
      </c>
      <c r="AD125" s="23" t="n">
        <v>0</v>
      </c>
      <c r="AE125" s="23" t="n">
        <v>29</v>
      </c>
      <c r="AF125" s="23" t="n">
        <v>29</v>
      </c>
      <c r="AG125" s="23" t="n">
        <v>0</v>
      </c>
      <c r="AH125" s="23" t="n">
        <v>0</v>
      </c>
      <c r="AI125" s="2" t="n">
        <f aca="false">AG125+AH125</f>
        <v>0</v>
      </c>
      <c r="AJ125" s="23" t="n">
        <v>0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" t="n">
        <f aca="false">AM125+AN125</f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" t="n">
        <f aca="false">AS125+AT125</f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" t="n">
        <f aca="false">AY125+AZ125</f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" t="n">
        <f aca="false">BE125+BF125</f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" t="n">
        <f aca="false">BK125+BL125</f>
        <v>0</v>
      </c>
      <c r="BN125" s="23" t="n">
        <v>0</v>
      </c>
      <c r="BO125" s="23" t="n">
        <v>0</v>
      </c>
      <c r="BP125" s="23" t="n">
        <v>0</v>
      </c>
      <c r="BQ125" s="23" t="n">
        <v>0</v>
      </c>
      <c r="BR125" s="23" t="n">
        <v>0</v>
      </c>
      <c r="BS125" s="2" t="n">
        <f aca="false">BQ125+BR125</f>
        <v>0</v>
      </c>
      <c r="BT125" s="54" t="n">
        <v>0</v>
      </c>
      <c r="BU125" s="54" t="n">
        <v>0</v>
      </c>
      <c r="BV125" s="3" t="n">
        <f aca="false">SUM(BQ125,BR125,BT125,BU125)</f>
        <v>0</v>
      </c>
      <c r="BW125" s="54" t="n">
        <v>0</v>
      </c>
      <c r="BX125" s="54" t="n">
        <v>0</v>
      </c>
      <c r="BY125" s="54" t="n">
        <v>0</v>
      </c>
      <c r="BZ125" s="54" t="n">
        <v>0</v>
      </c>
      <c r="CA125" s="16" t="s">
        <v>218</v>
      </c>
      <c r="CC125" s="5"/>
      <c r="CD125" s="5"/>
      <c r="CE125" s="5"/>
    </row>
    <row r="126" customFormat="false" ht="15" hidden="false" customHeight="false" outlineLevel="0" collapsed="false">
      <c r="B126" s="32" t="s">
        <v>219</v>
      </c>
      <c r="C126" s="28" t="n">
        <f aca="false">C119-C120-C121+C122+C123-C124-C125</f>
        <v>156</v>
      </c>
      <c r="D126" s="28" t="n">
        <f aca="false">D119-D120-D121+D122+D123-D124-D125</f>
        <v>269</v>
      </c>
      <c r="E126" s="28" t="n">
        <f aca="false">E119-E120-E121+E122+E123-E124-E125</f>
        <v>425</v>
      </c>
      <c r="F126" s="28" t="n">
        <f aca="false">F119-F120-F121+F122+F123-F124-F125</f>
        <v>200</v>
      </c>
      <c r="G126" s="28" t="n">
        <f aca="false">G119-G120-G121+G122+G123-G124-G125</f>
        <v>144</v>
      </c>
      <c r="H126" s="34" t="n">
        <f aca="false">H119-H120-H121+H122+H123-H124-H125</f>
        <v>769</v>
      </c>
      <c r="I126" s="28" t="n">
        <f aca="false">I119-I120-I121+I122+I123-I124-I125</f>
        <v>198</v>
      </c>
      <c r="J126" s="28" t="n">
        <f aca="false">J119-J120-J121+J122+J123-J124-J125</f>
        <v>217</v>
      </c>
      <c r="K126" s="28" t="n">
        <f aca="false">K119-K120-K121+K122+K123-K124-K125</f>
        <v>415</v>
      </c>
      <c r="L126" s="28" t="n">
        <f aca="false">L119-L120-L121+L122+L123-L124-L125</f>
        <v>175</v>
      </c>
      <c r="M126" s="28" t="n">
        <f aca="false">M119-M120-M121+M122+M123-M124-M125</f>
        <v>268</v>
      </c>
      <c r="N126" s="34" t="n">
        <f aca="false">N119-N120-N121+N122+N123-N124-N125</f>
        <v>858</v>
      </c>
      <c r="O126" s="28" t="n">
        <f aca="false">O119-O120-O121+O122+O123-O124-O125</f>
        <v>168</v>
      </c>
      <c r="P126" s="28" t="n">
        <f aca="false">P119-P120-P121+P122+P123-P124-P125</f>
        <v>241</v>
      </c>
      <c r="Q126" s="28" t="n">
        <f aca="false">Q119-Q120-Q121+Q122+Q123-Q124-Q125</f>
        <v>409</v>
      </c>
      <c r="R126" s="28" t="n">
        <f aca="false">R119-R120-R121+R122+R123-R124-R125</f>
        <v>241</v>
      </c>
      <c r="S126" s="28" t="n">
        <f aca="false">S119-S120-S121+S122+S123-S124-S125</f>
        <v>231</v>
      </c>
      <c r="T126" s="34" t="n">
        <f aca="false">T119-T120-T121+T122+T123-T124-T125</f>
        <v>881</v>
      </c>
      <c r="U126" s="28" t="n">
        <f aca="false">U119-U120-U121+U122+U123-U124-U125</f>
        <v>191</v>
      </c>
      <c r="V126" s="28" t="n">
        <f aca="false">V119-V120-V121+V122+V123-V124-V125</f>
        <v>257</v>
      </c>
      <c r="W126" s="28" t="n">
        <f aca="false">W119-W120-W121+W122+W123-W124-W125</f>
        <v>448</v>
      </c>
      <c r="X126" s="28" t="n">
        <f aca="false">X119-X120-X121+X122+X123-X124-X125</f>
        <v>290</v>
      </c>
      <c r="Y126" s="28" t="n">
        <f aca="false">Y119-Y120-Y121+Y122+Y123-Y124-Y125</f>
        <v>213</v>
      </c>
      <c r="Z126" s="34" t="n">
        <f aca="false">Z119-Z120-Z121+Z122+Z123-Z124-Z125</f>
        <v>951</v>
      </c>
      <c r="AA126" s="28" t="n">
        <f aca="false">AA119-AA120-AA121+AA122+AA123-AA124-AA125</f>
        <v>161</v>
      </c>
      <c r="AB126" s="28" t="n">
        <f aca="false">AB119-AB120-AB121+AB122+AB123-AB124-AB125</f>
        <v>175</v>
      </c>
      <c r="AC126" s="28" t="n">
        <f aca="false">AC119-AC120-AC121+AC122+AC123-AC124-AC125</f>
        <v>336</v>
      </c>
      <c r="AD126" s="28" t="n">
        <f aca="false">AD119-AD120-AD121+AD122+AD123-AD124-AD125</f>
        <v>214</v>
      </c>
      <c r="AE126" s="28" t="n">
        <f aca="false">AE119-AE120-AE121+AE122+AE123-AE124-AE125</f>
        <v>186</v>
      </c>
      <c r="AF126" s="34" t="n">
        <f aca="false">AF119-AF120-AF121+AF122+AF123-AF124-AF125</f>
        <v>736</v>
      </c>
      <c r="AG126" s="28" t="n">
        <f aca="false">AG119-AG120-AG121+AG122+AG123-AG124-AG125</f>
        <v>215</v>
      </c>
      <c r="AH126" s="28" t="n">
        <f aca="false">AH119-AH120-AH121+AH122+AH123-AH124-AH125</f>
        <v>57</v>
      </c>
      <c r="AI126" s="28" t="n">
        <f aca="false">AI119-AI120-AI121+AI122+AI123-AI124-AI125</f>
        <v>272</v>
      </c>
      <c r="AJ126" s="28" t="n">
        <f aca="false">AJ119-AJ120-AJ121+AJ122+AJ123-AJ124-AJ125</f>
        <v>222</v>
      </c>
      <c r="AK126" s="28" t="n">
        <f aca="false">AK119-AK120-AK121+AK122+AK123-AK124-AK125</f>
        <v>305</v>
      </c>
      <c r="AL126" s="34" t="n">
        <f aca="false">AL119-AL120-AL121+AL122+AL123-AL124-AL125</f>
        <v>799</v>
      </c>
      <c r="AM126" s="28" t="n">
        <f aca="false">AM119-AM120-AM121+AM122+AM123-AM124-AM125</f>
        <v>147</v>
      </c>
      <c r="AN126" s="28" t="n">
        <f aca="false">AN119-AN120-AN121+AN122+AN123-AN124-AN125</f>
        <v>128</v>
      </c>
      <c r="AO126" s="28" t="n">
        <f aca="false">AO119-AO120-AO121+AO122+AO123-AO124-AO125</f>
        <v>275</v>
      </c>
      <c r="AP126" s="28" t="n">
        <f aca="false">AP119-AP120-AP121+AP122+AP123-AP124-AP125</f>
        <v>118</v>
      </c>
      <c r="AQ126" s="28" t="n">
        <f aca="false">AQ119-AQ120-AQ121+AQ122+AQ123-AQ124-AQ125</f>
        <v>120</v>
      </c>
      <c r="AR126" s="34" t="n">
        <f aca="false">AR119-AR120-AR121+AR122+AR123-AR124-AR125</f>
        <v>513</v>
      </c>
      <c r="AS126" s="28" t="n">
        <f aca="false">AS119-AS120-AS121+AS122+AS123-AS124-AS125</f>
        <v>138</v>
      </c>
      <c r="AT126" s="28" t="n">
        <f aca="false">AT119-AT120-AT121+AT122+AT123-AT124-AT125</f>
        <v>191</v>
      </c>
      <c r="AU126" s="28" t="n">
        <f aca="false">AU119-AU120-AU121+AU122+AU123-AU124-AU125</f>
        <v>329</v>
      </c>
      <c r="AV126" s="28" t="n">
        <f aca="false">AV119-AV120-AV121+AV122+AV123-AV124-AV125</f>
        <v>131</v>
      </c>
      <c r="AW126" s="28" t="n">
        <f aca="false">AW119-AW120-AW121+AW122+AW123-AW124-AW125</f>
        <v>105</v>
      </c>
      <c r="AX126" s="34" t="n">
        <f aca="false">AX119-AX120-AX121+AX122+AX123-AX124-AX125</f>
        <v>565</v>
      </c>
      <c r="AY126" s="28" t="n">
        <f aca="false">AY119-AY120-AY121+AY122+AY123-AY124-AY125</f>
        <v>141</v>
      </c>
      <c r="AZ126" s="28" t="n">
        <f aca="false">AZ119-AZ120-AZ121+AZ122+AZ123-AZ124-AZ125</f>
        <v>156</v>
      </c>
      <c r="BA126" s="28" t="n">
        <f aca="false">BA119-BA120-BA121+BA122+BA123-BA124-BA125</f>
        <v>297</v>
      </c>
      <c r="BB126" s="28" t="n">
        <f aca="false">BB119-BB120-BB121+BB122+BB123-BB124-BB125</f>
        <v>172</v>
      </c>
      <c r="BC126" s="28" t="n">
        <f aca="false">BC119-BC120-BC121+BC122+BC123-BC124-BC125</f>
        <v>312</v>
      </c>
      <c r="BD126" s="34" t="n">
        <f aca="false">BD119-BD120-BD121+BD122+BD123-BD124-BD125</f>
        <v>781</v>
      </c>
      <c r="BE126" s="28" t="n">
        <f aca="false">BE119-BE120-BE121+BE122+BE123-BE124-BE125</f>
        <v>154</v>
      </c>
      <c r="BF126" s="28" t="n">
        <f aca="false">BF119-BF120-BF121+BF122+BF123-BF124-BF125</f>
        <v>189</v>
      </c>
      <c r="BG126" s="28" t="n">
        <f aca="false">BG119-BG120-BG121+BG122+BG123-BG124-BG125</f>
        <v>343</v>
      </c>
      <c r="BH126" s="28" t="n">
        <f aca="false">BH119-BH120-BH121+BH122+BH123-BH124-BH125</f>
        <v>82</v>
      </c>
      <c r="BI126" s="28" t="n">
        <f aca="false">BI119-BI120-BI121+BI122+BI123-BI124-BI125</f>
        <v>110</v>
      </c>
      <c r="BJ126" s="34" t="n">
        <f aca="false">BJ119-BJ120-BJ121+BJ122+BJ123-BJ124-BJ125</f>
        <v>535</v>
      </c>
      <c r="BK126" s="28" t="n">
        <f aca="false">BK119-BK120-BK121+BK122+BK123-BK124-BK125</f>
        <v>161</v>
      </c>
      <c r="BL126" s="28" t="n">
        <f aca="false">BL119-BL120-BL121+BL122+BL123-BL124-BL125</f>
        <v>163</v>
      </c>
      <c r="BM126" s="28" t="n">
        <f aca="false">BM119-BM120-BM121+BM122+BM123-BM124-BM125</f>
        <v>324</v>
      </c>
      <c r="BN126" s="28" t="n">
        <f aca="false">BN119-BN120-BN121+BN122+BN123-BN124-BN125</f>
        <v>161</v>
      </c>
      <c r="BO126" s="28" t="n">
        <f aca="false">BO119-BO120-BO121+BO122+BO123-BO124-BO125</f>
        <v>172</v>
      </c>
      <c r="BP126" s="34" t="n">
        <f aca="false">BP119-BP120-BP121+BP122+BP123-BP124-BP125</f>
        <v>657</v>
      </c>
      <c r="BQ126" s="28" t="n">
        <f aca="false">BQ119-BQ120-BQ121+BQ122+BQ123-BQ124-BQ125</f>
        <v>155</v>
      </c>
      <c r="BR126" s="28" t="n">
        <f aca="false">BR119-BR120-BR121+BR122+BR123-BR124-BR125</f>
        <v>210</v>
      </c>
      <c r="BS126" s="28" t="n">
        <f aca="false">BS119-BS120-BS121+BS122+BS123-BS124-BS125</f>
        <v>365</v>
      </c>
      <c r="BT126" s="34" t="n">
        <f aca="false">BT119-BT120-BT121+BT122+BT123-BT124-BT125</f>
        <v>184.875</v>
      </c>
      <c r="BU126" s="34" t="n">
        <f aca="false">BU119-BU120-BU121+BU122+BU123-BU124-BU125</f>
        <v>184.875</v>
      </c>
      <c r="BV126" s="34" t="n">
        <f aca="false">BV119-BV120-BV121+BV122+BV123-BV124-BV125</f>
        <v>734.75</v>
      </c>
      <c r="BW126" s="34" t="n">
        <f aca="false">BW119-BW120-BW121+BW122+BW123-BW124-BW125</f>
        <v>863.888529701023</v>
      </c>
      <c r="BX126" s="34" t="n">
        <f aca="false">BX119-BX120-BX121+BX122+BX123-BX124-BX125</f>
        <v>952.416047895358</v>
      </c>
      <c r="BY126" s="34" t="n">
        <f aca="false">BY119-BY120-BY121+BY122+BY123-BY124-BY125</f>
        <v>1044.53462610799</v>
      </c>
      <c r="BZ126" s="34" t="n">
        <f aca="false">BZ119-BZ120-BZ121+BZ122+BZ123-BZ124-BZ125</f>
        <v>1138.77964671479</v>
      </c>
      <c r="CA126" s="16"/>
      <c r="CC126" s="30" t="n">
        <f aca="false">IFERROR((BZ126/BP126)^(1/5)-1,"n/m")</f>
        <v>0.11628442526659</v>
      </c>
      <c r="CD126" s="30" t="n">
        <f aca="false">IFERROR((BP126/AL126)^(1/5)-1,"n/m")</f>
        <v>-0.0383794890985962</v>
      </c>
      <c r="CE126" s="30" t="n">
        <f aca="false">IFERROR((BP126/H126)^(1/10)-1,"n/m")</f>
        <v>-0.0156174578217274</v>
      </c>
    </row>
    <row r="127" customFormat="false" ht="15" hidden="false" customHeight="false" outlineLevel="0" collapsed="false">
      <c r="B127" s="1" t="s">
        <v>220</v>
      </c>
      <c r="C127" s="23" t="n">
        <v>23</v>
      </c>
      <c r="D127" s="23" t="n">
        <v>25</v>
      </c>
      <c r="E127" s="2" t="n">
        <f aca="false">C127+D127</f>
        <v>48</v>
      </c>
      <c r="F127" s="23" t="n">
        <v>25</v>
      </c>
      <c r="G127" s="23" t="n">
        <v>64</v>
      </c>
      <c r="H127" s="23" t="n">
        <v>137</v>
      </c>
      <c r="I127" s="23" t="n">
        <v>19</v>
      </c>
      <c r="J127" s="23" t="n">
        <v>18</v>
      </c>
      <c r="K127" s="2" t="n">
        <f aca="false">I127+J127</f>
        <v>37</v>
      </c>
      <c r="L127" s="23" t="n">
        <v>19</v>
      </c>
      <c r="M127" s="23" t="n">
        <v>18</v>
      </c>
      <c r="N127" s="23" t="n">
        <v>74</v>
      </c>
      <c r="O127" s="23" t="n">
        <v>18</v>
      </c>
      <c r="P127" s="23" t="n">
        <v>17</v>
      </c>
      <c r="Q127" s="2" t="n">
        <f aca="false">O127+P127</f>
        <v>35</v>
      </c>
      <c r="R127" s="23" t="n">
        <v>18</v>
      </c>
      <c r="S127" s="23" t="n">
        <v>41</v>
      </c>
      <c r="T127" s="23" t="n">
        <v>94</v>
      </c>
      <c r="U127" s="23" t="n">
        <v>15</v>
      </c>
      <c r="V127" s="23" t="n">
        <v>15</v>
      </c>
      <c r="W127" s="2" t="n">
        <f aca="false">U127+V127</f>
        <v>30</v>
      </c>
      <c r="X127" s="23" t="n">
        <v>14</v>
      </c>
      <c r="Y127" s="23" t="n">
        <v>14</v>
      </c>
      <c r="Z127" s="23" t="n">
        <v>58</v>
      </c>
      <c r="AA127" s="23" t="n">
        <v>16</v>
      </c>
      <c r="AB127" s="23" t="n">
        <v>18</v>
      </c>
      <c r="AC127" s="2" t="n">
        <f aca="false">AA127+AB127</f>
        <v>34</v>
      </c>
      <c r="AD127" s="23" t="n">
        <v>18</v>
      </c>
      <c r="AE127" s="23" t="n">
        <v>18</v>
      </c>
      <c r="AF127" s="23" t="n">
        <v>70</v>
      </c>
      <c r="AG127" s="23" t="n">
        <v>16</v>
      </c>
      <c r="AH127" s="23" t="n">
        <v>25</v>
      </c>
      <c r="AI127" s="2" t="n">
        <f aca="false">AG127+AH127</f>
        <v>41</v>
      </c>
      <c r="AJ127" s="23" t="n">
        <v>27</v>
      </c>
      <c r="AK127" s="23" t="n">
        <v>46</v>
      </c>
      <c r="AL127" s="23" t="n">
        <v>114</v>
      </c>
      <c r="AM127" s="23" t="n">
        <v>21</v>
      </c>
      <c r="AN127" s="23" t="n">
        <v>18</v>
      </c>
      <c r="AO127" s="2" t="n">
        <f aca="false">AM127+AN127</f>
        <v>39</v>
      </c>
      <c r="AP127" s="23" t="n">
        <v>24</v>
      </c>
      <c r="AQ127" s="23" t="n">
        <v>26</v>
      </c>
      <c r="AR127" s="23" t="n">
        <v>89</v>
      </c>
      <c r="AS127" s="23" t="n">
        <v>26</v>
      </c>
      <c r="AT127" s="23" t="n">
        <v>26</v>
      </c>
      <c r="AU127" s="2" t="n">
        <f aca="false">AS127+AT127</f>
        <v>52</v>
      </c>
      <c r="AV127" s="23" t="n">
        <v>27</v>
      </c>
      <c r="AW127" s="23" t="n">
        <v>23</v>
      </c>
      <c r="AX127" s="23" t="n">
        <v>102</v>
      </c>
      <c r="AY127" s="23" t="n">
        <v>24</v>
      </c>
      <c r="AZ127" s="23" t="n">
        <v>24</v>
      </c>
      <c r="BA127" s="2" t="n">
        <f aca="false">AY127+AZ127</f>
        <v>48</v>
      </c>
      <c r="BB127" s="23" t="n">
        <v>22</v>
      </c>
      <c r="BC127" s="23" t="n">
        <v>25</v>
      </c>
      <c r="BD127" s="23" t="n">
        <v>95</v>
      </c>
      <c r="BE127" s="23" t="n">
        <v>21</v>
      </c>
      <c r="BF127" s="23" t="n">
        <v>24</v>
      </c>
      <c r="BG127" s="2" t="n">
        <f aca="false">BE127+BF127</f>
        <v>45</v>
      </c>
      <c r="BH127" s="23" t="n">
        <v>23</v>
      </c>
      <c r="BI127" s="23" t="n">
        <v>27</v>
      </c>
      <c r="BJ127" s="23" t="n">
        <v>95</v>
      </c>
      <c r="BK127" s="23" t="n">
        <v>28</v>
      </c>
      <c r="BL127" s="23" t="n">
        <v>28</v>
      </c>
      <c r="BM127" s="2" t="n">
        <f aca="false">BK127+BL127</f>
        <v>56</v>
      </c>
      <c r="BN127" s="23" t="n">
        <v>23</v>
      </c>
      <c r="BO127" s="23" t="n">
        <v>26</v>
      </c>
      <c r="BP127" s="23" t="n">
        <v>105</v>
      </c>
      <c r="BQ127" s="23" t="n">
        <v>22</v>
      </c>
      <c r="BR127" s="23" t="n">
        <v>27</v>
      </c>
      <c r="BS127" s="2" t="n">
        <f aca="false">BQ127+BR127</f>
        <v>49</v>
      </c>
      <c r="BT127" s="3" t="n">
        <f aca="false">($CJ$21-BS127)/2</f>
        <v>28</v>
      </c>
      <c r="BU127" s="3" t="n">
        <f aca="false">($CJ$21-BS127)/2</f>
        <v>28</v>
      </c>
      <c r="BV127" s="3" t="n">
        <f aca="false">SUM(BQ127,BR127,BT127,BU127)</f>
        <v>105</v>
      </c>
      <c r="BW127" s="3" t="n">
        <f aca="false">BW311*AVERAGE(BW309,BV309)</f>
        <v>108</v>
      </c>
      <c r="BX127" s="3" t="n">
        <f aca="false">BX311*AVERAGE(BX309,BW309)</f>
        <v>108</v>
      </c>
      <c r="BY127" s="3" t="n">
        <f aca="false">BY311*AVERAGE(BY309,BX309)</f>
        <v>108</v>
      </c>
      <c r="BZ127" s="3" t="n">
        <f aca="false">BZ311*AVERAGE(BZ309,BY309)</f>
        <v>108</v>
      </c>
      <c r="CA127" s="16" t="s">
        <v>221</v>
      </c>
      <c r="CC127" s="5"/>
      <c r="CD127" s="5"/>
      <c r="CE127" s="5"/>
    </row>
    <row r="128" customFormat="false" ht="15" hidden="false" customHeight="false" outlineLevel="0" collapsed="false">
      <c r="B128" s="1" t="s">
        <v>222</v>
      </c>
      <c r="C128" s="23" t="n">
        <v>0</v>
      </c>
      <c r="D128" s="23" t="n">
        <v>0</v>
      </c>
      <c r="E128" s="2" t="n">
        <f aca="false">C128+D128</f>
        <v>0</v>
      </c>
      <c r="F128" s="23" t="n">
        <v>0</v>
      </c>
      <c r="G128" s="23" t="n">
        <v>0</v>
      </c>
      <c r="H128" s="23" t="n">
        <v>0</v>
      </c>
      <c r="I128" s="23" t="n">
        <v>0</v>
      </c>
      <c r="J128" s="23" t="n">
        <v>0</v>
      </c>
      <c r="K128" s="2" t="n">
        <f aca="false">I128+J128</f>
        <v>0</v>
      </c>
      <c r="L128" s="23" t="n">
        <v>0</v>
      </c>
      <c r="M128" s="23" t="n">
        <v>0</v>
      </c>
      <c r="N128" s="23" t="n">
        <v>0</v>
      </c>
      <c r="O128" s="23" t="n">
        <v>-4</v>
      </c>
      <c r="P128" s="23" t="n">
        <v>-4</v>
      </c>
      <c r="Q128" s="2" t="n">
        <f aca="false">O128+P128</f>
        <v>-8</v>
      </c>
      <c r="R128" s="23" t="n">
        <v>-4</v>
      </c>
      <c r="S128" s="23" t="n">
        <v>-4</v>
      </c>
      <c r="T128" s="23" t="n">
        <v>-16</v>
      </c>
      <c r="U128" s="23" t="n">
        <v>18</v>
      </c>
      <c r="V128" s="23" t="n">
        <v>19</v>
      </c>
      <c r="W128" s="2" t="n">
        <f aca="false">U128+V128</f>
        <v>37</v>
      </c>
      <c r="X128" s="23" t="n">
        <v>19</v>
      </c>
      <c r="Y128" s="23" t="n">
        <v>18</v>
      </c>
      <c r="Z128" s="23" t="n">
        <v>74</v>
      </c>
      <c r="AA128" s="23" t="n">
        <v>3</v>
      </c>
      <c r="AB128" s="23" t="n">
        <v>2</v>
      </c>
      <c r="AC128" s="2" t="n">
        <f aca="false">AA128+AB128</f>
        <v>5</v>
      </c>
      <c r="AD128" s="23" t="n">
        <v>3</v>
      </c>
      <c r="AE128" s="23" t="n">
        <v>4</v>
      </c>
      <c r="AF128" s="23" t="n">
        <v>12</v>
      </c>
      <c r="AG128" s="23" t="n">
        <v>30</v>
      </c>
      <c r="AH128" s="23" t="n">
        <v>30</v>
      </c>
      <c r="AI128" s="2" t="n">
        <f aca="false">AG128+AH128</f>
        <v>60</v>
      </c>
      <c r="AJ128" s="23" t="n">
        <v>29</v>
      </c>
      <c r="AK128" s="23" t="n">
        <v>30</v>
      </c>
      <c r="AL128" s="23" t="n">
        <v>119</v>
      </c>
      <c r="AM128" s="23" t="n">
        <v>46</v>
      </c>
      <c r="AN128" s="23" t="n">
        <v>44</v>
      </c>
      <c r="AO128" s="2" t="n">
        <f aca="false">AM128+AN128</f>
        <v>90</v>
      </c>
      <c r="AP128" s="23" t="n">
        <v>45</v>
      </c>
      <c r="AQ128" s="23" t="n">
        <v>46</v>
      </c>
      <c r="AR128" s="23" t="n">
        <v>181</v>
      </c>
      <c r="AS128" s="23" t="n">
        <v>71</v>
      </c>
      <c r="AT128" s="23" t="n">
        <v>67</v>
      </c>
      <c r="AU128" s="2" t="n">
        <f aca="false">AS128+AT128</f>
        <v>138</v>
      </c>
      <c r="AV128" s="23" t="n">
        <v>71</v>
      </c>
      <c r="AW128" s="23" t="n">
        <v>67</v>
      </c>
      <c r="AX128" s="23" t="n">
        <v>276</v>
      </c>
      <c r="AY128" s="23" t="n">
        <v>37</v>
      </c>
      <c r="AZ128" s="23" t="n">
        <v>37</v>
      </c>
      <c r="BA128" s="2" t="n">
        <f aca="false">AY128+AZ128</f>
        <v>74</v>
      </c>
      <c r="BB128" s="23" t="n">
        <v>37</v>
      </c>
      <c r="BC128" s="23" t="n">
        <v>37</v>
      </c>
      <c r="BD128" s="23" t="n">
        <v>148</v>
      </c>
      <c r="BE128" s="23" t="n">
        <v>44</v>
      </c>
      <c r="BF128" s="23" t="n">
        <v>46</v>
      </c>
      <c r="BG128" s="2" t="n">
        <f aca="false">BE128+BF128</f>
        <v>90</v>
      </c>
      <c r="BH128" s="23" t="n">
        <v>44</v>
      </c>
      <c r="BI128" s="23" t="n">
        <v>45</v>
      </c>
      <c r="BJ128" s="23" t="n">
        <v>179</v>
      </c>
      <c r="BK128" s="23" t="n">
        <v>48</v>
      </c>
      <c r="BL128" s="23" t="n">
        <v>47</v>
      </c>
      <c r="BM128" s="2" t="n">
        <f aca="false">BK128+BL128</f>
        <v>95</v>
      </c>
      <c r="BN128" s="23" t="n">
        <v>48</v>
      </c>
      <c r="BO128" s="23" t="n">
        <v>47</v>
      </c>
      <c r="BP128" s="23" t="n">
        <v>190</v>
      </c>
      <c r="BQ128" s="23" t="n">
        <v>53</v>
      </c>
      <c r="BR128" s="23" t="n">
        <v>53</v>
      </c>
      <c r="BS128" s="2" t="n">
        <f aca="false">BQ128+BR128</f>
        <v>106</v>
      </c>
      <c r="BT128" s="3" t="n">
        <f aca="false">($CJ$22-BS128)/2</f>
        <v>53.5</v>
      </c>
      <c r="BU128" s="3" t="n">
        <f aca="false">($CJ$22-BS128)/2</f>
        <v>53.5</v>
      </c>
      <c r="BV128" s="3" t="n">
        <f aca="false">SUM(BQ128,BR128,BT128,BU128)</f>
        <v>213</v>
      </c>
      <c r="BW128" s="3" t="n">
        <f aca="false">BV128</f>
        <v>213</v>
      </c>
      <c r="BX128" s="3" t="n">
        <f aca="false">BW128</f>
        <v>213</v>
      </c>
      <c r="BY128" s="3" t="n">
        <f aca="false">BX128</f>
        <v>213</v>
      </c>
      <c r="BZ128" s="3" t="n">
        <f aca="false">BY128</f>
        <v>213</v>
      </c>
      <c r="CA128" s="16" t="s">
        <v>223</v>
      </c>
      <c r="CC128" s="5"/>
      <c r="CD128" s="5"/>
      <c r="CE128" s="5"/>
    </row>
    <row r="129" customFormat="false" ht="15" hidden="false" customHeight="false" outlineLevel="0" collapsed="false">
      <c r="B129" s="1" t="s">
        <v>224</v>
      </c>
      <c r="C129" s="23" t="n">
        <v>0</v>
      </c>
      <c r="D129" s="23" t="n">
        <v>0</v>
      </c>
      <c r="E129" s="2" t="n">
        <f aca="false">C129+D129</f>
        <v>0</v>
      </c>
      <c r="F129" s="23" t="n">
        <v>0</v>
      </c>
      <c r="G129" s="23" t="n">
        <v>0</v>
      </c>
      <c r="H129" s="23" t="n">
        <v>0</v>
      </c>
      <c r="I129" s="23" t="n">
        <v>-2</v>
      </c>
      <c r="J129" s="23" t="n">
        <v>0</v>
      </c>
      <c r="K129" s="2" t="n">
        <f aca="false">I129+J129</f>
        <v>-2</v>
      </c>
      <c r="L129" s="23" t="n">
        <v>1</v>
      </c>
      <c r="M129" s="23" t="n">
        <v>1</v>
      </c>
      <c r="N129" s="23" t="n">
        <v>0</v>
      </c>
      <c r="O129" s="23" t="n">
        <v>1</v>
      </c>
      <c r="P129" s="23" t="n">
        <v>-2</v>
      </c>
      <c r="Q129" s="2" t="n">
        <f aca="false">O129+P129</f>
        <v>-1</v>
      </c>
      <c r="R129" s="23" t="n">
        <v>1</v>
      </c>
      <c r="S129" s="23" t="n">
        <v>1</v>
      </c>
      <c r="T129" s="23" t="n">
        <v>1</v>
      </c>
      <c r="U129" s="23" t="n">
        <v>1</v>
      </c>
      <c r="V129" s="23" t="n">
        <v>1</v>
      </c>
      <c r="W129" s="2" t="n">
        <f aca="false">U129+V129</f>
        <v>2</v>
      </c>
      <c r="X129" s="23" t="n">
        <v>0</v>
      </c>
      <c r="Y129" s="23" t="n">
        <v>2</v>
      </c>
      <c r="Z129" s="23" t="n">
        <v>4</v>
      </c>
      <c r="AA129" s="23" t="n">
        <v>1</v>
      </c>
      <c r="AB129" s="23" t="n">
        <v>5</v>
      </c>
      <c r="AC129" s="2" t="n">
        <f aca="false">AA129+AB129</f>
        <v>6</v>
      </c>
      <c r="AD129" s="23" t="n">
        <v>-1</v>
      </c>
      <c r="AE129" s="23" t="n">
        <v>0</v>
      </c>
      <c r="AF129" s="23" t="n">
        <v>5</v>
      </c>
      <c r="AG129" s="23" t="n">
        <v>-13</v>
      </c>
      <c r="AH129" s="23" t="n">
        <v>3</v>
      </c>
      <c r="AI129" s="2" t="n">
        <f aca="false">AG129+AH129</f>
        <v>-10</v>
      </c>
      <c r="AJ129" s="23" t="n">
        <v>2</v>
      </c>
      <c r="AK129" s="23" t="n">
        <v>14</v>
      </c>
      <c r="AL129" s="23" t="n">
        <v>6</v>
      </c>
      <c r="AM129" s="23" t="n">
        <v>1</v>
      </c>
      <c r="AN129" s="23" t="n">
        <v>7</v>
      </c>
      <c r="AO129" s="2" t="n">
        <f aca="false">AM129+AN129</f>
        <v>8</v>
      </c>
      <c r="AP129" s="23" t="n">
        <v>2</v>
      </c>
      <c r="AQ129" s="23" t="n">
        <v>7</v>
      </c>
      <c r="AR129" s="23" t="n">
        <v>17</v>
      </c>
      <c r="AS129" s="23" t="n">
        <v>-7</v>
      </c>
      <c r="AT129" s="23" t="n">
        <v>-10</v>
      </c>
      <c r="AU129" s="2" t="n">
        <f aca="false">AS129+AT129</f>
        <v>-17</v>
      </c>
      <c r="AV129" s="23" t="n">
        <v>-13</v>
      </c>
      <c r="AW129" s="23" t="n">
        <v>10</v>
      </c>
      <c r="AX129" s="23" t="n">
        <v>-20</v>
      </c>
      <c r="AY129" s="23" t="n">
        <v>9</v>
      </c>
      <c r="AZ129" s="23" t="n">
        <v>0</v>
      </c>
      <c r="BA129" s="2" t="n">
        <f aca="false">AY129+AZ129</f>
        <v>9</v>
      </c>
      <c r="BB129" s="23" t="n">
        <v>2</v>
      </c>
      <c r="BC129" s="23" t="n">
        <v>8</v>
      </c>
      <c r="BD129" s="23" t="n">
        <v>19</v>
      </c>
      <c r="BE129" s="23" t="n">
        <v>7</v>
      </c>
      <c r="BF129" s="23" t="n">
        <v>5</v>
      </c>
      <c r="BG129" s="2" t="n">
        <f aca="false">BE129+BF129</f>
        <v>12</v>
      </c>
      <c r="BH129" s="23" t="n">
        <v>9</v>
      </c>
      <c r="BI129" s="23" t="n">
        <v>3</v>
      </c>
      <c r="BJ129" s="23" t="n">
        <v>24</v>
      </c>
      <c r="BK129" s="23" t="n">
        <v>6</v>
      </c>
      <c r="BL129" s="23" t="n">
        <v>6</v>
      </c>
      <c r="BM129" s="2" t="n">
        <f aca="false">BK129+BL129</f>
        <v>12</v>
      </c>
      <c r="BN129" s="23" t="n">
        <v>18</v>
      </c>
      <c r="BO129" s="23" t="n">
        <v>5</v>
      </c>
      <c r="BP129" s="23" t="n">
        <v>35</v>
      </c>
      <c r="BQ129" s="23" t="n">
        <v>2</v>
      </c>
      <c r="BR129" s="23" t="n">
        <v>18</v>
      </c>
      <c r="BS129" s="2" t="n">
        <f aca="false">BQ129+BR129</f>
        <v>20</v>
      </c>
      <c r="BT129" s="54" t="n">
        <v>0</v>
      </c>
      <c r="BU129" s="54" t="n">
        <v>0</v>
      </c>
      <c r="BV129" s="3" t="n">
        <f aca="false">SUM(BQ129,BR129,BT129,BU129)</f>
        <v>20</v>
      </c>
      <c r="BW129" s="54" t="n">
        <v>0</v>
      </c>
      <c r="BX129" s="54" t="n">
        <v>0</v>
      </c>
      <c r="BY129" s="54" t="n">
        <v>0</v>
      </c>
      <c r="BZ129" s="54" t="n">
        <v>0</v>
      </c>
      <c r="CA129" s="16" t="s">
        <v>225</v>
      </c>
      <c r="CC129" s="5"/>
      <c r="CD129" s="5"/>
      <c r="CE129" s="5"/>
    </row>
    <row r="130" customFormat="false" ht="15" hidden="false" customHeight="false" outlineLevel="0" collapsed="false">
      <c r="B130" s="26" t="s">
        <v>226</v>
      </c>
      <c r="C130" s="28" t="n">
        <f aca="false">C126-C127+C128+C129</f>
        <v>133</v>
      </c>
      <c r="D130" s="28" t="n">
        <f aca="false">D126-D127+D128+D129</f>
        <v>244</v>
      </c>
      <c r="E130" s="28" t="n">
        <f aca="false">E126-E127+E128+E129</f>
        <v>377</v>
      </c>
      <c r="F130" s="28" t="n">
        <f aca="false">F126-F127+F128+F129</f>
        <v>175</v>
      </c>
      <c r="G130" s="28" t="n">
        <f aca="false">G126-G127+G128+G129</f>
        <v>80</v>
      </c>
      <c r="H130" s="28" t="n">
        <f aca="false">H126-H127+H128+H129</f>
        <v>632</v>
      </c>
      <c r="I130" s="28" t="n">
        <f aca="false">I126-I127+I128+I129</f>
        <v>177</v>
      </c>
      <c r="J130" s="28" t="n">
        <f aca="false">J126-J127+J128+J129</f>
        <v>199</v>
      </c>
      <c r="K130" s="28" t="n">
        <f aca="false">K126-K127+K128+K129</f>
        <v>376</v>
      </c>
      <c r="L130" s="28" t="n">
        <f aca="false">L126-L127+L128+L129</f>
        <v>157</v>
      </c>
      <c r="M130" s="28" t="n">
        <f aca="false">M126-M127+M128+M129</f>
        <v>251</v>
      </c>
      <c r="N130" s="28" t="n">
        <f aca="false">N126-N127+N128+N129</f>
        <v>784</v>
      </c>
      <c r="O130" s="28" t="n">
        <f aca="false">O126-O127+O128+O129</f>
        <v>147</v>
      </c>
      <c r="P130" s="28" t="n">
        <f aca="false">P126-P127+P128+P129</f>
        <v>218</v>
      </c>
      <c r="Q130" s="28" t="n">
        <f aca="false">Q126-Q127+Q128+Q129</f>
        <v>365</v>
      </c>
      <c r="R130" s="28" t="n">
        <f aca="false">R126-R127+R128+R129</f>
        <v>220</v>
      </c>
      <c r="S130" s="28" t="n">
        <f aca="false">S126-S127+S128+S129</f>
        <v>187</v>
      </c>
      <c r="T130" s="28" t="n">
        <f aca="false">T126-T127+T128+T129</f>
        <v>772</v>
      </c>
      <c r="U130" s="28" t="n">
        <f aca="false">U126-U127+U128+U129</f>
        <v>195</v>
      </c>
      <c r="V130" s="28" t="n">
        <f aca="false">V126-V127+V128+V129</f>
        <v>262</v>
      </c>
      <c r="W130" s="28" t="n">
        <f aca="false">W126-W127+W128+W129</f>
        <v>457</v>
      </c>
      <c r="X130" s="28" t="n">
        <f aca="false">X126-X127+X128+X129</f>
        <v>295</v>
      </c>
      <c r="Y130" s="28" t="n">
        <f aca="false">Y126-Y127+Y128+Y129</f>
        <v>219</v>
      </c>
      <c r="Z130" s="28" t="n">
        <f aca="false">Z126-Z127+Z128+Z129</f>
        <v>971</v>
      </c>
      <c r="AA130" s="28" t="n">
        <f aca="false">AA126-AA127+AA128+AA129</f>
        <v>149</v>
      </c>
      <c r="AB130" s="28" t="n">
        <f aca="false">AB126-AB127+AB128+AB129</f>
        <v>164</v>
      </c>
      <c r="AC130" s="28" t="n">
        <f aca="false">AC126-AC127+AC128+AC129</f>
        <v>313</v>
      </c>
      <c r="AD130" s="28" t="n">
        <f aca="false">AD126-AD127+AD128+AD129</f>
        <v>198</v>
      </c>
      <c r="AE130" s="28" t="n">
        <f aca="false">AE126-AE127+AE128+AE129</f>
        <v>172</v>
      </c>
      <c r="AF130" s="28" t="n">
        <f aca="false">AF126-AF127+AF128+AF129</f>
        <v>683</v>
      </c>
      <c r="AG130" s="28" t="n">
        <f aca="false">AG126-AG127+AG128+AG129</f>
        <v>216</v>
      </c>
      <c r="AH130" s="28" t="n">
        <f aca="false">AH126-AH127+AH128+AH129</f>
        <v>65</v>
      </c>
      <c r="AI130" s="28" t="n">
        <f aca="false">AI126-AI127+AI128+AI129</f>
        <v>281</v>
      </c>
      <c r="AJ130" s="28" t="n">
        <f aca="false">AJ126-AJ127+AJ128+AJ129</f>
        <v>226</v>
      </c>
      <c r="AK130" s="28" t="n">
        <f aca="false">AK126-AK127+AK128+AK129</f>
        <v>303</v>
      </c>
      <c r="AL130" s="28" t="n">
        <f aca="false">AL126-AL127+AL128+AL129</f>
        <v>810</v>
      </c>
      <c r="AM130" s="28" t="n">
        <f aca="false">AM126-AM127+AM128+AM129</f>
        <v>173</v>
      </c>
      <c r="AN130" s="28" t="n">
        <f aca="false">AN126-AN127+AN128+AN129</f>
        <v>161</v>
      </c>
      <c r="AO130" s="28" t="n">
        <f aca="false">AO126-AO127+AO128+AO129</f>
        <v>334</v>
      </c>
      <c r="AP130" s="28" t="n">
        <f aca="false">AP126-AP127+AP128+AP129</f>
        <v>141</v>
      </c>
      <c r="AQ130" s="28" t="n">
        <f aca="false">AQ126-AQ127+AQ128+AQ129</f>
        <v>147</v>
      </c>
      <c r="AR130" s="28" t="n">
        <f aca="false">AR126-AR127+AR128+AR129</f>
        <v>622</v>
      </c>
      <c r="AS130" s="28" t="n">
        <f aca="false">AS126-AS127+AS128+AS129</f>
        <v>176</v>
      </c>
      <c r="AT130" s="28" t="n">
        <f aca="false">AT126-AT127+AT128+AT129</f>
        <v>222</v>
      </c>
      <c r="AU130" s="28" t="n">
        <f aca="false">AU126-AU127+AU128+AU129</f>
        <v>398</v>
      </c>
      <c r="AV130" s="28" t="n">
        <f aca="false">AV126-AV127+AV128+AV129</f>
        <v>162</v>
      </c>
      <c r="AW130" s="28" t="n">
        <f aca="false">AW126-AW127+AW128+AW129</f>
        <v>159</v>
      </c>
      <c r="AX130" s="28" t="n">
        <f aca="false">AX126-AX127+AX128+AX129</f>
        <v>719</v>
      </c>
      <c r="AY130" s="28" t="n">
        <f aca="false">AY126-AY127+AY128+AY129</f>
        <v>163</v>
      </c>
      <c r="AZ130" s="28" t="n">
        <f aca="false">AZ126-AZ127+AZ128+AZ129</f>
        <v>169</v>
      </c>
      <c r="BA130" s="28" t="n">
        <f aca="false">BA126-BA127+BA128+BA129</f>
        <v>332</v>
      </c>
      <c r="BB130" s="28" t="n">
        <f aca="false">BB126-BB127+BB128+BB129</f>
        <v>189</v>
      </c>
      <c r="BC130" s="28" t="n">
        <f aca="false">BC126-BC127+BC128+BC129</f>
        <v>332</v>
      </c>
      <c r="BD130" s="28" t="n">
        <f aca="false">BD126-BD127+BD128+BD129</f>
        <v>853</v>
      </c>
      <c r="BE130" s="28" t="n">
        <f aca="false">BE126-BE127+BE128+BE129</f>
        <v>184</v>
      </c>
      <c r="BF130" s="28" t="n">
        <f aca="false">BF126-BF127+BF128+BF129</f>
        <v>216</v>
      </c>
      <c r="BG130" s="28" t="n">
        <f aca="false">BG126-BG127+BG128+BG129</f>
        <v>400</v>
      </c>
      <c r="BH130" s="28" t="n">
        <f aca="false">BH126-BH127+BH128+BH129</f>
        <v>112</v>
      </c>
      <c r="BI130" s="28" t="n">
        <f aca="false">BI126-BI127+BI128+BI129</f>
        <v>131</v>
      </c>
      <c r="BJ130" s="28" t="n">
        <f aca="false">BJ126-BJ127+BJ128+BJ129</f>
        <v>643</v>
      </c>
      <c r="BK130" s="28" t="n">
        <f aca="false">BK126-BK127+BK128+BK129</f>
        <v>187</v>
      </c>
      <c r="BL130" s="28" t="n">
        <f aca="false">BL126-BL127+BL128+BL129</f>
        <v>188</v>
      </c>
      <c r="BM130" s="28" t="n">
        <f aca="false">BM126-BM127+BM128+BM129</f>
        <v>375</v>
      </c>
      <c r="BN130" s="28" t="n">
        <f aca="false">BN126-BN127+BN128+BN129</f>
        <v>204</v>
      </c>
      <c r="BO130" s="28" t="n">
        <f aca="false">BO126-BO127+BO128+BO129</f>
        <v>198</v>
      </c>
      <c r="BP130" s="28" t="n">
        <f aca="false">BP126-BP127+BP128+BP129</f>
        <v>777</v>
      </c>
      <c r="BQ130" s="28" t="n">
        <f aca="false">BQ126-BQ127+BQ128+BQ129</f>
        <v>188</v>
      </c>
      <c r="BR130" s="28" t="n">
        <f aca="false">BR126-BR127+BR128+BR129</f>
        <v>254</v>
      </c>
      <c r="BS130" s="28" t="n">
        <f aca="false">BS126-BS127+BS128+BS129</f>
        <v>442</v>
      </c>
      <c r="BT130" s="29" t="n">
        <f aca="false">BT126-BT127+BT128+BT129</f>
        <v>210.375</v>
      </c>
      <c r="BU130" s="29" t="n">
        <f aca="false">BU126-BU127+BU128+BU129</f>
        <v>210.375</v>
      </c>
      <c r="BV130" s="29" t="n">
        <f aca="false">BV126-BV127+BV128+BV129</f>
        <v>862.75</v>
      </c>
      <c r="BW130" s="29" t="n">
        <f aca="false">BW126-BW127+BW128+BW129</f>
        <v>968.888529701023</v>
      </c>
      <c r="BX130" s="29" t="n">
        <f aca="false">BX126-BX127+BX128+BX129</f>
        <v>1057.41604789536</v>
      </c>
      <c r="BY130" s="29" t="n">
        <f aca="false">BY126-BY127+BY128+BY129</f>
        <v>1149.53462610799</v>
      </c>
      <c r="BZ130" s="29" t="n">
        <f aca="false">BZ126-BZ127+BZ128+BZ129</f>
        <v>1243.77964671479</v>
      </c>
      <c r="CA130" s="16"/>
      <c r="CC130" s="30" t="n">
        <f aca="false">IFERROR((BZ130/BP130)^(1/5)-1,"n/m")</f>
        <v>0.0986629658098603</v>
      </c>
      <c r="CD130" s="30" t="n">
        <f aca="false">IFERROR((BP130/AL130)^(1/5)-1,"n/m")</f>
        <v>-0.00828427416086652</v>
      </c>
      <c r="CE130" s="30" t="n">
        <f aca="false">IFERROR((BP130/H130)^(1/10)-1,"n/m")</f>
        <v>0.0208698884158989</v>
      </c>
    </row>
    <row r="131" customFormat="false" ht="15" hidden="false" customHeight="false" outlineLevel="0" collapsed="false">
      <c r="B131" s="1" t="s">
        <v>227</v>
      </c>
      <c r="C131" s="23" t="n">
        <v>46</v>
      </c>
      <c r="D131" s="23" t="n">
        <v>88</v>
      </c>
      <c r="E131" s="2" t="n">
        <f aca="false">C131+D131</f>
        <v>134</v>
      </c>
      <c r="F131" s="23" t="n">
        <v>64</v>
      </c>
      <c r="G131" s="23" t="n">
        <v>30</v>
      </c>
      <c r="H131" s="23" t="n">
        <v>228</v>
      </c>
      <c r="I131" s="23" t="n">
        <v>41</v>
      </c>
      <c r="J131" s="23" t="n">
        <v>66</v>
      </c>
      <c r="K131" s="2" t="n">
        <f aca="false">I131+J131</f>
        <v>107</v>
      </c>
      <c r="L131" s="23" t="n">
        <v>50</v>
      </c>
      <c r="M131" s="23" t="n">
        <v>54</v>
      </c>
      <c r="N131" s="23" t="n">
        <v>211</v>
      </c>
      <c r="O131" s="23" t="n">
        <v>28</v>
      </c>
      <c r="P131" s="23" t="n">
        <v>71</v>
      </c>
      <c r="Q131" s="2" t="n">
        <f aca="false">O131+P131</f>
        <v>99</v>
      </c>
      <c r="R131" s="23" t="n">
        <v>71</v>
      </c>
      <c r="S131" s="23" t="n">
        <v>123</v>
      </c>
      <c r="T131" s="23" t="n">
        <v>293</v>
      </c>
      <c r="U131" s="23" t="n">
        <v>39</v>
      </c>
      <c r="V131" s="23" t="n">
        <v>23</v>
      </c>
      <c r="W131" s="2" t="n">
        <f aca="false">U131+V131</f>
        <v>62</v>
      </c>
      <c r="X131" s="23" t="n">
        <v>66</v>
      </c>
      <c r="Y131" s="23" t="n">
        <v>7</v>
      </c>
      <c r="Z131" s="23" t="n">
        <v>135</v>
      </c>
      <c r="AA131" s="23" t="n">
        <v>31</v>
      </c>
      <c r="AB131" s="23" t="n">
        <v>36</v>
      </c>
      <c r="AC131" s="2" t="n">
        <f aca="false">AA131+AB131</f>
        <v>67</v>
      </c>
      <c r="AD131" s="23" t="n">
        <v>44</v>
      </c>
      <c r="AE131" s="23" t="n">
        <v>23</v>
      </c>
      <c r="AF131" s="23" t="n">
        <v>134</v>
      </c>
      <c r="AG131" s="23" t="n">
        <v>44</v>
      </c>
      <c r="AH131" s="23" t="n">
        <v>12</v>
      </c>
      <c r="AI131" s="2" t="n">
        <f aca="false">AG131+AH131</f>
        <v>56</v>
      </c>
      <c r="AJ131" s="23" t="n">
        <v>4</v>
      </c>
      <c r="AK131" s="23" t="n">
        <v>54</v>
      </c>
      <c r="AL131" s="23" t="n">
        <v>114</v>
      </c>
      <c r="AM131" s="23" t="n">
        <v>25</v>
      </c>
      <c r="AN131" s="23" t="n">
        <v>32</v>
      </c>
      <c r="AO131" s="2" t="n">
        <f aca="false">AM131+AN131</f>
        <v>57</v>
      </c>
      <c r="AP131" s="23" t="n">
        <v>-6</v>
      </c>
      <c r="AQ131" s="23" t="n">
        <v>27</v>
      </c>
      <c r="AR131" s="23" t="n">
        <v>78</v>
      </c>
      <c r="AS131" s="23" t="n">
        <v>36</v>
      </c>
      <c r="AT131" s="23" t="n">
        <v>44</v>
      </c>
      <c r="AU131" s="2" t="n">
        <f aca="false">AS131+AT131</f>
        <v>80</v>
      </c>
      <c r="AV131" s="23" t="n">
        <v>24</v>
      </c>
      <c r="AW131" s="23" t="n">
        <v>36</v>
      </c>
      <c r="AX131" s="23" t="n">
        <v>140</v>
      </c>
      <c r="AY131" s="23" t="n">
        <v>34</v>
      </c>
      <c r="AZ131" s="23" t="n">
        <v>39</v>
      </c>
      <c r="BA131" s="2" t="n">
        <f aca="false">AY131+AZ131</f>
        <v>73</v>
      </c>
      <c r="BB131" s="23" t="n">
        <v>41</v>
      </c>
      <c r="BC131" s="23" t="n">
        <v>58</v>
      </c>
      <c r="BD131" s="23" t="n">
        <v>172</v>
      </c>
      <c r="BE131" s="23" t="n">
        <v>31</v>
      </c>
      <c r="BF131" s="23" t="n">
        <v>43</v>
      </c>
      <c r="BG131" s="2" t="n">
        <f aca="false">BE131+BF131</f>
        <v>74</v>
      </c>
      <c r="BH131" s="23" t="n">
        <v>11</v>
      </c>
      <c r="BI131" s="23" t="n">
        <v>8</v>
      </c>
      <c r="BJ131" s="23" t="n">
        <v>93</v>
      </c>
      <c r="BK131" s="23" t="n">
        <v>38</v>
      </c>
      <c r="BL131" s="23" t="n">
        <v>36</v>
      </c>
      <c r="BM131" s="2" t="n">
        <f aca="false">BK131+BL131</f>
        <v>74</v>
      </c>
      <c r="BN131" s="23" t="n">
        <v>59</v>
      </c>
      <c r="BO131" s="23" t="n">
        <v>39</v>
      </c>
      <c r="BP131" s="23" t="n">
        <v>172</v>
      </c>
      <c r="BQ131" s="23" t="n">
        <v>39</v>
      </c>
      <c r="BR131" s="23" t="n">
        <v>46</v>
      </c>
      <c r="BS131" s="2" t="n">
        <f aca="false">BQ131+BR131</f>
        <v>85</v>
      </c>
      <c r="BT131" s="3" t="n">
        <f aca="false">($CJ$23*(BS130+BT130+BU130)-BS131)/2</f>
        <v>30.83375</v>
      </c>
      <c r="BU131" s="3" t="n">
        <f aca="false">($CJ$23*(BS130+BT130+BU130)-BS131)/2</f>
        <v>30.83375</v>
      </c>
      <c r="BV131" s="3" t="n">
        <f aca="false">SUM(BQ131,BR131,BT131,BU131)</f>
        <v>146.6675</v>
      </c>
      <c r="BW131" s="3" t="n">
        <f aca="false">BW130*BW132</f>
        <v>174.399935346184</v>
      </c>
      <c r="BX131" s="3" t="n">
        <f aca="false">BX130*BX132</f>
        <v>190.334888621164</v>
      </c>
      <c r="BY131" s="3" t="n">
        <f aca="false">BY130*BY132</f>
        <v>206.916232699437</v>
      </c>
      <c r="BZ131" s="3" t="n">
        <f aca="false">BZ130*BZ132</f>
        <v>223.880336408663</v>
      </c>
      <c r="CA131" s="16" t="s">
        <v>228</v>
      </c>
      <c r="CC131" s="5"/>
      <c r="CD131" s="5"/>
      <c r="CE131" s="5"/>
    </row>
    <row r="132" customFormat="false" ht="15" hidden="false" customHeight="false" outlineLevel="0" collapsed="false">
      <c r="B132" s="35" t="s">
        <v>121</v>
      </c>
      <c r="C132" s="36" t="n">
        <f aca="false">IFERROR(C131/C130,"")</f>
        <v>0.345864661654135</v>
      </c>
      <c r="D132" s="36" t="n">
        <f aca="false">IFERROR(D131/D130,"")</f>
        <v>0.360655737704918</v>
      </c>
      <c r="E132" s="36" t="n">
        <f aca="false">IFERROR(E131/E130,"")</f>
        <v>0.355437665782493</v>
      </c>
      <c r="F132" s="36" t="n">
        <f aca="false">IFERROR(F131/F130,"")</f>
        <v>0.365714285714286</v>
      </c>
      <c r="G132" s="36" t="n">
        <f aca="false">IFERROR(G131/G130,"")</f>
        <v>0.375</v>
      </c>
      <c r="H132" s="36" t="n">
        <f aca="false">IFERROR(H131/H130,"")</f>
        <v>0.360759493670886</v>
      </c>
      <c r="I132" s="36" t="n">
        <f aca="false">IFERROR(I131/I130,"")</f>
        <v>0.231638418079096</v>
      </c>
      <c r="J132" s="36" t="n">
        <f aca="false">IFERROR(J131/J130,"")</f>
        <v>0.331658291457286</v>
      </c>
      <c r="K132" s="36" t="n">
        <f aca="false">IFERROR(K131/K130,"")</f>
        <v>0.284574468085106</v>
      </c>
      <c r="L132" s="36" t="n">
        <f aca="false">IFERROR(L131/L130,"")</f>
        <v>0.318471337579618</v>
      </c>
      <c r="M132" s="36" t="n">
        <f aca="false">IFERROR(M131/M130,"")</f>
        <v>0.215139442231076</v>
      </c>
      <c r="N132" s="36" t="n">
        <f aca="false">IFERROR(N131/N130,"")</f>
        <v>0.269132653061224</v>
      </c>
      <c r="O132" s="36" t="n">
        <f aca="false">IFERROR(O131/O130,"")</f>
        <v>0.19047619047619</v>
      </c>
      <c r="P132" s="36" t="n">
        <f aca="false">IFERROR(P131/P130,"")</f>
        <v>0.325688073394495</v>
      </c>
      <c r="Q132" s="36" t="n">
        <f aca="false">IFERROR(Q131/Q130,"")</f>
        <v>0.271232876712329</v>
      </c>
      <c r="R132" s="36" t="n">
        <f aca="false">IFERROR(R131/R130,"")</f>
        <v>0.322727272727273</v>
      </c>
      <c r="S132" s="36" t="n">
        <f aca="false">IFERROR(S131/S130,"")</f>
        <v>0.657754010695187</v>
      </c>
      <c r="T132" s="36" t="n">
        <f aca="false">IFERROR(T131/T130,"")</f>
        <v>0.379533678756477</v>
      </c>
      <c r="U132" s="36" t="n">
        <f aca="false">IFERROR(U131/U130,"")</f>
        <v>0.2</v>
      </c>
      <c r="V132" s="36" t="n">
        <f aca="false">IFERROR(V131/V130,"")</f>
        <v>0.0877862595419847</v>
      </c>
      <c r="W132" s="36" t="n">
        <f aca="false">IFERROR(W131/W130,"")</f>
        <v>0.135667396061269</v>
      </c>
      <c r="X132" s="36" t="n">
        <f aca="false">IFERROR(X131/X130,"")</f>
        <v>0.223728813559322</v>
      </c>
      <c r="Y132" s="36" t="n">
        <f aca="false">IFERROR(Y131/Y130,"")</f>
        <v>0.0319634703196347</v>
      </c>
      <c r="Z132" s="36" t="n">
        <f aca="false">IFERROR(Z131/Z130,"")</f>
        <v>0.13903192584964</v>
      </c>
      <c r="AA132" s="36" t="n">
        <f aca="false">IFERROR(AA131/AA130,"")</f>
        <v>0.208053691275168</v>
      </c>
      <c r="AB132" s="36" t="n">
        <f aca="false">IFERROR(AB131/AB130,"")</f>
        <v>0.219512195121951</v>
      </c>
      <c r="AC132" s="36" t="n">
        <f aca="false">IFERROR(AC131/AC130,"")</f>
        <v>0.21405750798722</v>
      </c>
      <c r="AD132" s="36" t="n">
        <f aca="false">IFERROR(AD131/AD130,"")</f>
        <v>0.222222222222222</v>
      </c>
      <c r="AE132" s="36" t="n">
        <f aca="false">IFERROR(AE131/AE130,"")</f>
        <v>0.133720930232558</v>
      </c>
      <c r="AF132" s="36" t="n">
        <f aca="false">IFERROR(AF131/AF130,"")</f>
        <v>0.196193265007321</v>
      </c>
      <c r="AG132" s="36" t="n">
        <f aca="false">IFERROR(AG131/AG130,"")</f>
        <v>0.203703703703704</v>
      </c>
      <c r="AH132" s="36" t="n">
        <f aca="false">IFERROR(AH131/AH130,"")</f>
        <v>0.184615384615385</v>
      </c>
      <c r="AI132" s="36" t="n">
        <f aca="false">IFERROR(AI131/AI130,"")</f>
        <v>0.199288256227758</v>
      </c>
      <c r="AJ132" s="36" t="n">
        <f aca="false">IFERROR(AJ131/AJ130,"")</f>
        <v>0.0176991150442478</v>
      </c>
      <c r="AK132" s="36" t="n">
        <f aca="false">IFERROR(AK131/AK130,"")</f>
        <v>0.178217821782178</v>
      </c>
      <c r="AL132" s="36" t="n">
        <f aca="false">IFERROR(AL131/AL130,"")</f>
        <v>0.140740740740741</v>
      </c>
      <c r="AM132" s="36" t="n">
        <f aca="false">IFERROR(AM131/AM130,"")</f>
        <v>0.144508670520231</v>
      </c>
      <c r="AN132" s="36" t="n">
        <f aca="false">IFERROR(AN131/AN130,"")</f>
        <v>0.198757763975155</v>
      </c>
      <c r="AO132" s="36" t="n">
        <f aca="false">IFERROR(AO131/AO130,"")</f>
        <v>0.170658682634731</v>
      </c>
      <c r="AP132" s="36" t="n">
        <f aca="false">IFERROR(AP131/AP130,"")</f>
        <v>-0.0425531914893617</v>
      </c>
      <c r="AQ132" s="36" t="n">
        <f aca="false">IFERROR(AQ131/AQ130,"")</f>
        <v>0.183673469387755</v>
      </c>
      <c r="AR132" s="36" t="n">
        <f aca="false">IFERROR(AR131/AR130,"")</f>
        <v>0.12540192926045</v>
      </c>
      <c r="AS132" s="36" t="n">
        <f aca="false">IFERROR(AS131/AS130,"")</f>
        <v>0.204545454545455</v>
      </c>
      <c r="AT132" s="36" t="n">
        <f aca="false">IFERROR(AT131/AT130,"")</f>
        <v>0.198198198198198</v>
      </c>
      <c r="AU132" s="36" t="n">
        <f aca="false">IFERROR(AU131/AU130,"")</f>
        <v>0.201005025125628</v>
      </c>
      <c r="AV132" s="36" t="n">
        <f aca="false">IFERROR(AV131/AV130,"")</f>
        <v>0.148148148148148</v>
      </c>
      <c r="AW132" s="36" t="n">
        <f aca="false">IFERROR(AW131/AW130,"")</f>
        <v>0.226415094339623</v>
      </c>
      <c r="AX132" s="36" t="n">
        <f aca="false">IFERROR(AX131/AX130,"")</f>
        <v>0.19471488178025</v>
      </c>
      <c r="AY132" s="36" t="n">
        <f aca="false">IFERROR(AY131/AY130,"")</f>
        <v>0.208588957055215</v>
      </c>
      <c r="AZ132" s="36" t="n">
        <f aca="false">IFERROR(AZ131/AZ130,"")</f>
        <v>0.230769230769231</v>
      </c>
      <c r="BA132" s="36" t="n">
        <f aca="false">IFERROR(BA131/BA130,"")</f>
        <v>0.219879518072289</v>
      </c>
      <c r="BB132" s="36" t="n">
        <f aca="false">IFERROR(BB131/BB130,"")</f>
        <v>0.216931216931217</v>
      </c>
      <c r="BC132" s="36" t="n">
        <f aca="false">IFERROR(BC131/BC130,"")</f>
        <v>0.174698795180723</v>
      </c>
      <c r="BD132" s="36" t="n">
        <f aca="false">IFERROR(BD131/BD130,"")</f>
        <v>0.201641266119578</v>
      </c>
      <c r="BE132" s="36" t="n">
        <f aca="false">IFERROR(BE131/BE130,"")</f>
        <v>0.168478260869565</v>
      </c>
      <c r="BF132" s="36" t="n">
        <f aca="false">IFERROR(BF131/BF130,"")</f>
        <v>0.199074074074074</v>
      </c>
      <c r="BG132" s="36" t="n">
        <f aca="false">IFERROR(BG131/BG130,"")</f>
        <v>0.185</v>
      </c>
      <c r="BH132" s="36" t="n">
        <f aca="false">IFERROR(BH131/BH130,"")</f>
        <v>0.0982142857142857</v>
      </c>
      <c r="BI132" s="36" t="n">
        <f aca="false">IFERROR(BI131/BI130,"")</f>
        <v>0.0610687022900763</v>
      </c>
      <c r="BJ132" s="36" t="n">
        <f aca="false">IFERROR(BJ131/BJ130,"")</f>
        <v>0.144634525660964</v>
      </c>
      <c r="BK132" s="36" t="n">
        <f aca="false">IFERROR(BK131/BK130,"")</f>
        <v>0.203208556149733</v>
      </c>
      <c r="BL132" s="36" t="n">
        <f aca="false">IFERROR(BL131/BL130,"")</f>
        <v>0.191489361702128</v>
      </c>
      <c r="BM132" s="36" t="n">
        <f aca="false">IFERROR(BM131/BM130,"")</f>
        <v>0.197333333333333</v>
      </c>
      <c r="BN132" s="36" t="n">
        <f aca="false">IFERROR(BN131/BN130,"")</f>
        <v>0.28921568627451</v>
      </c>
      <c r="BO132" s="36" t="n">
        <f aca="false">IFERROR(BO131/BO130,"")</f>
        <v>0.196969696969697</v>
      </c>
      <c r="BP132" s="36" t="n">
        <f aca="false">IFERROR(BP131/BP130,"")</f>
        <v>0.221364221364221</v>
      </c>
      <c r="BQ132" s="36" t="n">
        <f aca="false">IFERROR(BQ131/BQ130,"")</f>
        <v>0.207446808510638</v>
      </c>
      <c r="BR132" s="36" t="n">
        <f aca="false">IFERROR(BR131/BR130,"")</f>
        <v>0.181102362204724</v>
      </c>
      <c r="BS132" s="36" t="n">
        <f aca="false">IFERROR(BS131/BS130,"")</f>
        <v>0.192307692307692</v>
      </c>
      <c r="BT132" s="38" t="n">
        <f aca="false">IFERROR(BT131/BT130,"")</f>
        <v>0.146565656565657</v>
      </c>
      <c r="BU132" s="38" t="n">
        <f aca="false">IFERROR(BU131/BU130,"")</f>
        <v>0.146565656565657</v>
      </c>
      <c r="BV132" s="38" t="n">
        <f aca="false">IFERROR(BV131/BV130,"")</f>
        <v>0.17</v>
      </c>
      <c r="BW132" s="49" t="n">
        <v>0.18</v>
      </c>
      <c r="BX132" s="49" t="n">
        <v>0.18</v>
      </c>
      <c r="BY132" s="49" t="n">
        <v>0.18</v>
      </c>
      <c r="BZ132" s="49" t="n">
        <v>0.18</v>
      </c>
      <c r="CA132" s="16"/>
      <c r="CC132" s="40" t="n">
        <f aca="false">IFERROR(AVERAGE(BV132,BW132,BX132,BY132,BZ132),"n/m")</f>
        <v>0.178</v>
      </c>
      <c r="CD132" s="40" t="n">
        <f aca="false">IFERROR(AVERAGE(AR132,AX132,BD132,BJ132,BP132),"n/m")</f>
        <v>0.177551364837093</v>
      </c>
      <c r="CE132" s="40" t="n">
        <f aca="false">IFERROR(AVERAGE(N132,T132,Z132,AF132,AL132,AR132,AX132,BD132,BJ132,BP132),"n/m")</f>
        <v>0.201238908760087</v>
      </c>
    </row>
    <row r="133" customFormat="false" ht="15" hidden="false" customHeight="false" outlineLevel="0" collapsed="false">
      <c r="B133" s="32" t="s">
        <v>229</v>
      </c>
      <c r="C133" s="28" t="n">
        <f aca="false">C130-C131</f>
        <v>87</v>
      </c>
      <c r="D133" s="28" t="n">
        <f aca="false">D130-D131</f>
        <v>156</v>
      </c>
      <c r="E133" s="28" t="n">
        <f aca="false">E130-E131</f>
        <v>243</v>
      </c>
      <c r="F133" s="28" t="n">
        <f aca="false">F130-F131</f>
        <v>111</v>
      </c>
      <c r="G133" s="28" t="n">
        <f aca="false">G130-G131</f>
        <v>50</v>
      </c>
      <c r="H133" s="34" t="n">
        <f aca="false">H130-H131</f>
        <v>404</v>
      </c>
      <c r="I133" s="28" t="n">
        <f aca="false">I130-I131</f>
        <v>136</v>
      </c>
      <c r="J133" s="28" t="n">
        <f aca="false">J130-J131</f>
        <v>133</v>
      </c>
      <c r="K133" s="28" t="n">
        <f aca="false">K130-K131</f>
        <v>269</v>
      </c>
      <c r="L133" s="28" t="n">
        <f aca="false">L130-L131</f>
        <v>107</v>
      </c>
      <c r="M133" s="28" t="n">
        <f aca="false">M130-M131</f>
        <v>197</v>
      </c>
      <c r="N133" s="34" t="n">
        <f aca="false">N130-N131</f>
        <v>573</v>
      </c>
      <c r="O133" s="28" t="n">
        <f aca="false">O130-O131</f>
        <v>119</v>
      </c>
      <c r="P133" s="28" t="n">
        <f aca="false">P130-P131</f>
        <v>147</v>
      </c>
      <c r="Q133" s="28" t="n">
        <f aca="false">Q130-Q131</f>
        <v>266</v>
      </c>
      <c r="R133" s="28" t="n">
        <f aca="false">R130-R131</f>
        <v>149</v>
      </c>
      <c r="S133" s="28" t="n">
        <f aca="false">S130-S131</f>
        <v>64</v>
      </c>
      <c r="T133" s="34" t="n">
        <f aca="false">T130-T131</f>
        <v>479</v>
      </c>
      <c r="U133" s="28" t="n">
        <f aca="false">U130-U131</f>
        <v>156</v>
      </c>
      <c r="V133" s="28" t="n">
        <f aca="false">V130-V131</f>
        <v>239</v>
      </c>
      <c r="W133" s="28" t="n">
        <f aca="false">W130-W131</f>
        <v>395</v>
      </c>
      <c r="X133" s="28" t="n">
        <f aca="false">X130-X131</f>
        <v>229</v>
      </c>
      <c r="Y133" s="28" t="n">
        <f aca="false">Y130-Y131</f>
        <v>212</v>
      </c>
      <c r="Z133" s="34" t="n">
        <f aca="false">Z130-Z131</f>
        <v>836</v>
      </c>
      <c r="AA133" s="28" t="n">
        <f aca="false">AA130-AA131</f>
        <v>118</v>
      </c>
      <c r="AB133" s="28" t="n">
        <f aca="false">AB130-AB131</f>
        <v>128</v>
      </c>
      <c r="AC133" s="28" t="n">
        <f aca="false">AC130-AC131</f>
        <v>246</v>
      </c>
      <c r="AD133" s="28" t="n">
        <f aca="false">AD130-AD131</f>
        <v>154</v>
      </c>
      <c r="AE133" s="28" t="n">
        <f aca="false">AE130-AE131</f>
        <v>149</v>
      </c>
      <c r="AF133" s="34" t="n">
        <f aca="false">AF130-AF131</f>
        <v>549</v>
      </c>
      <c r="AG133" s="28" t="n">
        <f aca="false">AG130-AG131</f>
        <v>172</v>
      </c>
      <c r="AH133" s="28" t="n">
        <f aca="false">AH130-AH131</f>
        <v>53</v>
      </c>
      <c r="AI133" s="28" t="n">
        <f aca="false">AI130-AI131</f>
        <v>225</v>
      </c>
      <c r="AJ133" s="28" t="n">
        <f aca="false">AJ130-AJ131</f>
        <v>222</v>
      </c>
      <c r="AK133" s="28" t="n">
        <f aca="false">AK130-AK131</f>
        <v>249</v>
      </c>
      <c r="AL133" s="34" t="n">
        <f aca="false">AL130-AL131</f>
        <v>696</v>
      </c>
      <c r="AM133" s="28" t="n">
        <f aca="false">AM130-AM131</f>
        <v>148</v>
      </c>
      <c r="AN133" s="28" t="n">
        <f aca="false">AN130-AN131</f>
        <v>129</v>
      </c>
      <c r="AO133" s="28" t="n">
        <f aca="false">AO130-AO131</f>
        <v>277</v>
      </c>
      <c r="AP133" s="28" t="n">
        <f aca="false">AP130-AP131</f>
        <v>147</v>
      </c>
      <c r="AQ133" s="28" t="n">
        <f aca="false">AQ130-AQ131</f>
        <v>120</v>
      </c>
      <c r="AR133" s="34" t="n">
        <f aca="false">AR130-AR131</f>
        <v>544</v>
      </c>
      <c r="AS133" s="28" t="n">
        <f aca="false">AS130-AS131</f>
        <v>140</v>
      </c>
      <c r="AT133" s="28" t="n">
        <f aca="false">AT130-AT131</f>
        <v>178</v>
      </c>
      <c r="AU133" s="28" t="n">
        <f aca="false">AU130-AU131</f>
        <v>318</v>
      </c>
      <c r="AV133" s="28" t="n">
        <f aca="false">AV130-AV131</f>
        <v>138</v>
      </c>
      <c r="AW133" s="28" t="n">
        <f aca="false">AW130-AW131</f>
        <v>123</v>
      </c>
      <c r="AX133" s="34" t="n">
        <f aca="false">AX130-AX131</f>
        <v>579</v>
      </c>
      <c r="AY133" s="28" t="n">
        <f aca="false">AY130-AY131</f>
        <v>129</v>
      </c>
      <c r="AZ133" s="28" t="n">
        <f aca="false">AZ130-AZ131</f>
        <v>130</v>
      </c>
      <c r="BA133" s="28" t="n">
        <f aca="false">BA130-BA131</f>
        <v>259</v>
      </c>
      <c r="BB133" s="28" t="n">
        <f aca="false">BB130-BB131</f>
        <v>148</v>
      </c>
      <c r="BC133" s="28" t="n">
        <f aca="false">BC130-BC131</f>
        <v>274</v>
      </c>
      <c r="BD133" s="34" t="n">
        <f aca="false">BD130-BD131</f>
        <v>681</v>
      </c>
      <c r="BE133" s="28" t="n">
        <f aca="false">BE130-BE131</f>
        <v>153</v>
      </c>
      <c r="BF133" s="28" t="n">
        <f aca="false">BF130-BF131</f>
        <v>173</v>
      </c>
      <c r="BG133" s="28" t="n">
        <f aca="false">BG130-BG131</f>
        <v>326</v>
      </c>
      <c r="BH133" s="28" t="n">
        <f aca="false">BH130-BH131</f>
        <v>101</v>
      </c>
      <c r="BI133" s="28" t="n">
        <f aca="false">BI130-BI131</f>
        <v>123</v>
      </c>
      <c r="BJ133" s="34" t="n">
        <f aca="false">BJ130-BJ131</f>
        <v>550</v>
      </c>
      <c r="BK133" s="28" t="n">
        <f aca="false">BK130-BK131</f>
        <v>149</v>
      </c>
      <c r="BL133" s="28" t="n">
        <f aca="false">BL130-BL131</f>
        <v>152</v>
      </c>
      <c r="BM133" s="28" t="n">
        <f aca="false">BM130-BM131</f>
        <v>301</v>
      </c>
      <c r="BN133" s="28" t="n">
        <f aca="false">BN130-BN131</f>
        <v>145</v>
      </c>
      <c r="BO133" s="28" t="n">
        <f aca="false">BO130-BO131</f>
        <v>159</v>
      </c>
      <c r="BP133" s="34" t="n">
        <f aca="false">BP130-BP131</f>
        <v>605</v>
      </c>
      <c r="BQ133" s="28" t="n">
        <f aca="false">BQ130-BQ131</f>
        <v>149</v>
      </c>
      <c r="BR133" s="28" t="n">
        <f aca="false">BR130-BR131</f>
        <v>208</v>
      </c>
      <c r="BS133" s="28" t="n">
        <f aca="false">BS130-BS131</f>
        <v>357</v>
      </c>
      <c r="BT133" s="34" t="n">
        <f aca="false">BT130-BT131</f>
        <v>179.54125</v>
      </c>
      <c r="BU133" s="34" t="n">
        <f aca="false">BU130-BU131</f>
        <v>179.54125</v>
      </c>
      <c r="BV133" s="34" t="n">
        <f aca="false">BV130-BV131</f>
        <v>716.0825</v>
      </c>
      <c r="BW133" s="34" t="n">
        <f aca="false">BW130-BW131</f>
        <v>794.488594354839</v>
      </c>
      <c r="BX133" s="34" t="n">
        <f aca="false">BX130-BX131</f>
        <v>867.081159274194</v>
      </c>
      <c r="BY133" s="34" t="n">
        <f aca="false">BY130-BY131</f>
        <v>942.618393408548</v>
      </c>
      <c r="BZ133" s="34" t="n">
        <f aca="false">BZ130-BZ131</f>
        <v>1019.89931030613</v>
      </c>
      <c r="CA133" s="16"/>
      <c r="CC133" s="30" t="n">
        <f aca="false">IFERROR((BZ133/BP133)^(1/5)-1,"n/m")</f>
        <v>0.110095608720913</v>
      </c>
      <c r="CD133" s="30" t="n">
        <f aca="false">IFERROR((BP133/AL133)^(1/5)-1,"n/m")</f>
        <v>-0.0276352040550736</v>
      </c>
      <c r="CE133" s="30" t="n">
        <f aca="false">IFERROR((BP133/H133)^(1/10)-1,"n/m")</f>
        <v>0.0412077714090886</v>
      </c>
    </row>
    <row r="134" customFormat="false" ht="15" hidden="false" customHeight="false" outlineLevel="0" collapsed="false">
      <c r="B134" s="56" t="s">
        <v>230</v>
      </c>
      <c r="C134" s="57"/>
      <c r="D134" s="57"/>
      <c r="E134" s="57"/>
      <c r="F134" s="58" t="n">
        <v>-4</v>
      </c>
      <c r="G134" s="58" t="n">
        <v>-40</v>
      </c>
      <c r="H134" s="58" t="n">
        <v>-44</v>
      </c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8" t="n">
        <v>-22</v>
      </c>
      <c r="T134" s="58" t="n">
        <v>-22</v>
      </c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8" t="n">
        <v>-21</v>
      </c>
      <c r="AL134" s="58" t="n">
        <v>-21</v>
      </c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9" t="n">
        <f aca="false">BQ134+BR134</f>
        <v>0</v>
      </c>
      <c r="BT134" s="60" t="n">
        <v>0</v>
      </c>
      <c r="BU134" s="60" t="n">
        <v>0</v>
      </c>
      <c r="BV134" s="61" t="n">
        <f aca="false">SUM(BQ134,BR134,BT134,BU134)</f>
        <v>0</v>
      </c>
      <c r="BW134" s="60" t="n">
        <v>0</v>
      </c>
      <c r="BX134" s="60" t="n">
        <v>0</v>
      </c>
      <c r="BY134" s="60" t="n">
        <v>0</v>
      </c>
      <c r="BZ134" s="60" t="n">
        <v>0</v>
      </c>
      <c r="CA134" s="16"/>
      <c r="CC134" s="5"/>
      <c r="CD134" s="5"/>
      <c r="CE134" s="5"/>
    </row>
    <row r="135" customFormat="false" ht="15" hidden="false" customHeight="false" outlineLevel="0" collapsed="false">
      <c r="B135" s="56" t="s">
        <v>231</v>
      </c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62"/>
      <c r="BU135" s="62"/>
      <c r="BV135" s="62"/>
      <c r="BW135" s="62"/>
      <c r="BX135" s="62"/>
      <c r="BY135" s="62"/>
      <c r="BZ135" s="62"/>
      <c r="CA135" s="16"/>
      <c r="CC135" s="5"/>
      <c r="CD135" s="5"/>
      <c r="CE135" s="5"/>
    </row>
    <row r="136" customFormat="false" ht="15" hidden="false" customHeight="false" outlineLevel="0" collapsed="false">
      <c r="B136" s="1" t="s">
        <v>232</v>
      </c>
      <c r="C136" s="63" t="n">
        <v>48.4</v>
      </c>
      <c r="D136" s="63" t="n">
        <v>48.5</v>
      </c>
      <c r="E136" s="64" t="n">
        <f aca="false">AVERAGE(C136,D136)</f>
        <v>48.45</v>
      </c>
      <c r="F136" s="63" t="n">
        <v>48</v>
      </c>
      <c r="G136" s="63" t="n">
        <v>47.9</v>
      </c>
      <c r="H136" s="63" t="n">
        <v>47.9</v>
      </c>
      <c r="I136" s="63" t="n">
        <v>47</v>
      </c>
      <c r="J136" s="63" t="n">
        <v>47</v>
      </c>
      <c r="K136" s="64" t="n">
        <f aca="false">AVERAGE(I136,J136)</f>
        <v>47</v>
      </c>
      <c r="L136" s="63" t="n">
        <v>46.9</v>
      </c>
      <c r="M136" s="63" t="n">
        <v>46.8</v>
      </c>
      <c r="N136" s="63" t="n">
        <v>46.8</v>
      </c>
      <c r="O136" s="63" t="n">
        <v>46.3</v>
      </c>
      <c r="P136" s="63" t="n">
        <v>45.7</v>
      </c>
      <c r="Q136" s="64" t="n">
        <f aca="false">AVERAGE(O136,P136)</f>
        <v>46</v>
      </c>
      <c r="R136" s="63" t="n">
        <v>45.4</v>
      </c>
      <c r="S136" s="63" t="n">
        <v>45.7</v>
      </c>
      <c r="T136" s="63" t="n">
        <v>45.7</v>
      </c>
      <c r="U136" s="63" t="n">
        <v>44.8</v>
      </c>
      <c r="V136" s="63" t="n">
        <v>44.2</v>
      </c>
      <c r="W136" s="64" t="n">
        <f aca="false">AVERAGE(U136,V136)</f>
        <v>44.5</v>
      </c>
      <c r="X136" s="63" t="n">
        <v>43.3</v>
      </c>
      <c r="Y136" s="63" t="n">
        <v>43.8</v>
      </c>
      <c r="Z136" s="63" t="n">
        <v>43.8</v>
      </c>
      <c r="AA136" s="63" t="n">
        <v>41.4</v>
      </c>
      <c r="AB136" s="63" t="n">
        <v>41.7</v>
      </c>
      <c r="AC136" s="64" t="n">
        <f aca="false">AVERAGE(AA136,AB136)</f>
        <v>41.55</v>
      </c>
      <c r="AD136" s="63" t="n">
        <v>41.2</v>
      </c>
      <c r="AE136" s="63" t="n">
        <v>41.4</v>
      </c>
      <c r="AF136" s="63" t="n">
        <v>41.4</v>
      </c>
      <c r="AG136" s="63" t="n">
        <v>40.7</v>
      </c>
      <c r="AH136" s="63" t="n">
        <v>40.7</v>
      </c>
      <c r="AI136" s="64" t="n">
        <f aca="false">AVERAGE(AG136,AH136)</f>
        <v>40.7</v>
      </c>
      <c r="AJ136" s="63" t="n">
        <v>40.6</v>
      </c>
      <c r="AK136" s="63" t="n">
        <v>40.6</v>
      </c>
      <c r="AL136" s="63" t="n">
        <v>40.6</v>
      </c>
      <c r="AM136" s="63" t="n">
        <v>40.2</v>
      </c>
      <c r="AN136" s="63" t="n">
        <v>40.3</v>
      </c>
      <c r="AO136" s="64" t="n">
        <f aca="false">AVERAGE(AM136,AN136)</f>
        <v>40.25</v>
      </c>
      <c r="AP136" s="63" t="n">
        <v>40.3</v>
      </c>
      <c r="AQ136" s="63" t="n">
        <v>40.1</v>
      </c>
      <c r="AR136" s="63" t="n">
        <v>40.3</v>
      </c>
      <c r="AS136" s="63" t="n">
        <v>40</v>
      </c>
      <c r="AT136" s="63" t="n">
        <v>40.1</v>
      </c>
      <c r="AU136" s="64" t="n">
        <f aca="false">AVERAGE(AS136,AT136)</f>
        <v>40.05</v>
      </c>
      <c r="AV136" s="63" t="n">
        <v>40.1</v>
      </c>
      <c r="AW136" s="63" t="n">
        <v>40.1</v>
      </c>
      <c r="AX136" s="63" t="n">
        <v>40.1</v>
      </c>
      <c r="AY136" s="63" t="n">
        <v>39.9</v>
      </c>
      <c r="AZ136" s="63" t="n">
        <v>39.8</v>
      </c>
      <c r="BA136" s="64" t="n">
        <f aca="false">AVERAGE(AY136,AZ136)</f>
        <v>39.85</v>
      </c>
      <c r="BB136" s="63" t="n">
        <v>40</v>
      </c>
      <c r="BC136" s="63" t="n">
        <v>39.7</v>
      </c>
      <c r="BD136" s="63" t="n">
        <v>39.9</v>
      </c>
      <c r="BE136" s="63" t="n">
        <v>39.5</v>
      </c>
      <c r="BF136" s="63" t="n">
        <v>39.5</v>
      </c>
      <c r="BG136" s="64" t="n">
        <f aca="false">AVERAGE(BE136,BF136)</f>
        <v>39.5</v>
      </c>
      <c r="BH136" s="63" t="n">
        <v>39.5</v>
      </c>
      <c r="BI136" s="63" t="n">
        <v>39.1</v>
      </c>
      <c r="BJ136" s="63" t="n">
        <v>39.4</v>
      </c>
      <c r="BK136" s="63" t="n">
        <v>39.3</v>
      </c>
      <c r="BL136" s="63" t="n">
        <v>39.4</v>
      </c>
      <c r="BM136" s="64" t="n">
        <f aca="false">AVERAGE(BK136,BL136)</f>
        <v>39.35</v>
      </c>
      <c r="BN136" s="63" t="n">
        <v>39.3</v>
      </c>
      <c r="BO136" s="63" t="n">
        <v>39.3</v>
      </c>
      <c r="BP136" s="63" t="n">
        <v>39.3</v>
      </c>
      <c r="BQ136" s="63" t="n">
        <v>39.3</v>
      </c>
      <c r="BR136" s="63" t="n">
        <v>39.5</v>
      </c>
      <c r="BS136" s="64" t="n">
        <f aca="false">AVERAGE(BQ136,BR136)</f>
        <v>39.4</v>
      </c>
      <c r="BT136" s="65" t="n">
        <f aca="false">BR136</f>
        <v>39.5</v>
      </c>
      <c r="BU136" s="65" t="n">
        <f aca="false">BR136</f>
        <v>39.5</v>
      </c>
      <c r="BV136" s="65" t="n">
        <f aca="false">AVERAGE(BQ136,BR136,BT136,BU136)</f>
        <v>39.45</v>
      </c>
      <c r="BW136" s="65" t="n">
        <f aca="false">AVERAGE(BW236,BW237)</f>
        <v>39.385152931181</v>
      </c>
      <c r="BX136" s="65" t="n">
        <f aca="false">AVERAGE(BX236,BX237)</f>
        <v>38.7982882586014</v>
      </c>
      <c r="BY136" s="65" t="n">
        <f aca="false">AVERAGE(BY236,BY237)</f>
        <v>38.1060172674458</v>
      </c>
      <c r="BZ136" s="65" t="n">
        <f aca="false">AVERAGE(BZ236,BZ237)</f>
        <v>37.3252851087478</v>
      </c>
      <c r="CA136" s="16" t="s">
        <v>233</v>
      </c>
      <c r="CC136" s="5"/>
      <c r="CD136" s="5"/>
      <c r="CE136" s="5"/>
    </row>
    <row r="137" customFormat="false" ht="15" hidden="false" customHeight="false" outlineLevel="0" collapsed="false">
      <c r="B137" s="1" t="s">
        <v>234</v>
      </c>
      <c r="C137" s="63" t="n">
        <v>48.7</v>
      </c>
      <c r="D137" s="63" t="n">
        <v>48.8</v>
      </c>
      <c r="E137" s="64" t="n">
        <f aca="false">AVERAGE(C137,D137)</f>
        <v>48.75</v>
      </c>
      <c r="F137" s="63" t="n">
        <v>48.4</v>
      </c>
      <c r="G137" s="63" t="n">
        <v>48.3</v>
      </c>
      <c r="H137" s="63" t="n">
        <v>48.3</v>
      </c>
      <c r="I137" s="63" t="n">
        <v>47.4</v>
      </c>
      <c r="J137" s="63" t="n">
        <v>47.5</v>
      </c>
      <c r="K137" s="64" t="n">
        <f aca="false">AVERAGE(I137,J137)</f>
        <v>47.45</v>
      </c>
      <c r="L137" s="63" t="n">
        <v>47.2</v>
      </c>
      <c r="M137" s="63" t="n">
        <v>47.2</v>
      </c>
      <c r="N137" s="63" t="n">
        <v>47.2</v>
      </c>
      <c r="O137" s="63" t="n">
        <v>46.4</v>
      </c>
      <c r="P137" s="63" t="n">
        <v>45.8</v>
      </c>
      <c r="Q137" s="64" t="n">
        <f aca="false">AVERAGE(O137,P137)</f>
        <v>46.1</v>
      </c>
      <c r="R137" s="63" t="n">
        <v>45.5</v>
      </c>
      <c r="S137" s="63" t="n">
        <v>45.8</v>
      </c>
      <c r="T137" s="63" t="n">
        <v>45.8</v>
      </c>
      <c r="U137" s="63" t="n">
        <v>44.8</v>
      </c>
      <c r="V137" s="63" t="n">
        <v>44.3</v>
      </c>
      <c r="W137" s="64" t="n">
        <f aca="false">AVERAGE(U137,V137)</f>
        <v>44.55</v>
      </c>
      <c r="X137" s="63" t="n">
        <v>43.3</v>
      </c>
      <c r="Y137" s="63" t="n">
        <v>43.8</v>
      </c>
      <c r="Z137" s="63" t="n">
        <v>43.8</v>
      </c>
      <c r="AA137" s="63" t="n">
        <v>41.4</v>
      </c>
      <c r="AB137" s="63" t="n">
        <v>41.7</v>
      </c>
      <c r="AC137" s="64" t="n">
        <f aca="false">AVERAGE(AA137,AB137)</f>
        <v>41.55</v>
      </c>
      <c r="AD137" s="63" t="n">
        <v>41.2</v>
      </c>
      <c r="AE137" s="63" t="n">
        <v>41.4</v>
      </c>
      <c r="AF137" s="63" t="n">
        <v>41.4</v>
      </c>
      <c r="AG137" s="63" t="n">
        <v>40.7</v>
      </c>
      <c r="AH137" s="63" t="n">
        <v>40.7</v>
      </c>
      <c r="AI137" s="64" t="n">
        <f aca="false">AVERAGE(AG137,AH137)</f>
        <v>40.7</v>
      </c>
      <c r="AJ137" s="63" t="n">
        <v>40.7</v>
      </c>
      <c r="AK137" s="63" t="n">
        <v>40.6</v>
      </c>
      <c r="AL137" s="63" t="n">
        <v>40.6</v>
      </c>
      <c r="AM137" s="63" t="n">
        <v>40.2</v>
      </c>
      <c r="AN137" s="63" t="n">
        <v>40.3</v>
      </c>
      <c r="AO137" s="64" t="n">
        <f aca="false">AVERAGE(AM137,AN137)</f>
        <v>40.25</v>
      </c>
      <c r="AP137" s="63" t="n">
        <v>40.3</v>
      </c>
      <c r="AQ137" s="63" t="n">
        <v>40.1</v>
      </c>
      <c r="AR137" s="63" t="n">
        <v>40.3</v>
      </c>
      <c r="AS137" s="63" t="n">
        <v>40</v>
      </c>
      <c r="AT137" s="63" t="n">
        <v>40.1</v>
      </c>
      <c r="AU137" s="64" t="n">
        <f aca="false">AVERAGE(AS137,AT137)</f>
        <v>40.05</v>
      </c>
      <c r="AV137" s="63" t="n">
        <v>40.1</v>
      </c>
      <c r="AW137" s="63" t="n">
        <v>40.1</v>
      </c>
      <c r="AX137" s="63" t="n">
        <v>40.1</v>
      </c>
      <c r="AY137" s="63" t="n">
        <v>39.9</v>
      </c>
      <c r="AZ137" s="63" t="n">
        <v>39.8</v>
      </c>
      <c r="BA137" s="64" t="n">
        <f aca="false">AVERAGE(AY137,AZ137)</f>
        <v>39.85</v>
      </c>
      <c r="BB137" s="63" t="n">
        <v>40</v>
      </c>
      <c r="BC137" s="63" t="n">
        <v>39.7</v>
      </c>
      <c r="BD137" s="63" t="n">
        <v>39.9</v>
      </c>
      <c r="BE137" s="63" t="n">
        <v>39.5</v>
      </c>
      <c r="BF137" s="63" t="n">
        <v>39.5</v>
      </c>
      <c r="BG137" s="64" t="n">
        <f aca="false">AVERAGE(BE137,BF137)</f>
        <v>39.5</v>
      </c>
      <c r="BH137" s="63" t="n">
        <v>39.5</v>
      </c>
      <c r="BI137" s="63" t="n">
        <v>39.1</v>
      </c>
      <c r="BJ137" s="63" t="n">
        <v>39.4</v>
      </c>
      <c r="BK137" s="63" t="n">
        <v>39.3</v>
      </c>
      <c r="BL137" s="63" t="n">
        <v>39.4</v>
      </c>
      <c r="BM137" s="64" t="n">
        <f aca="false">AVERAGE(BK137,BL137)</f>
        <v>39.35</v>
      </c>
      <c r="BN137" s="63" t="n">
        <v>39.4</v>
      </c>
      <c r="BO137" s="63" t="n">
        <v>39.4</v>
      </c>
      <c r="BP137" s="63" t="n">
        <v>39.3</v>
      </c>
      <c r="BQ137" s="63" t="n">
        <v>39.3</v>
      </c>
      <c r="BR137" s="63" t="n">
        <v>39.5</v>
      </c>
      <c r="BS137" s="64" t="n">
        <f aca="false">AVERAGE(BQ137,BR137)</f>
        <v>39.4</v>
      </c>
      <c r="BT137" s="65" t="n">
        <f aca="false">BR137</f>
        <v>39.5</v>
      </c>
      <c r="BU137" s="65" t="n">
        <f aca="false">BR137</f>
        <v>39.5</v>
      </c>
      <c r="BV137" s="65" t="n">
        <f aca="false">AVERAGE(BQ137,BR137,BT137,BU137)</f>
        <v>39.45</v>
      </c>
      <c r="BW137" s="65" t="n">
        <f aca="false">BW136+BW305</f>
        <v>39.485152931181</v>
      </c>
      <c r="BX137" s="65" t="n">
        <f aca="false">BX136+BX305</f>
        <v>38.8982882586014</v>
      </c>
      <c r="BY137" s="65" t="n">
        <f aca="false">BY136+BY305</f>
        <v>38.2060172674458</v>
      </c>
      <c r="BZ137" s="65" t="n">
        <f aca="false">BZ136+BZ305</f>
        <v>37.4252851087478</v>
      </c>
      <c r="CA137" s="16" t="s">
        <v>235</v>
      </c>
      <c r="CC137" s="5"/>
      <c r="CD137" s="5"/>
      <c r="CE137" s="5"/>
    </row>
    <row r="138" customFormat="false" ht="15" hidden="false" customHeight="false" outlineLevel="0" collapsed="false">
      <c r="B138" s="32" t="s">
        <v>236</v>
      </c>
      <c r="C138" s="66" t="n">
        <f aca="false">IFERROR(C133/C136,"")</f>
        <v>1.79752066115703</v>
      </c>
      <c r="D138" s="66" t="n">
        <f aca="false">IFERROR(D133/D136,"")</f>
        <v>3.21649484536083</v>
      </c>
      <c r="E138" s="66" t="n">
        <f aca="false">IFERROR(E133/E136,"")</f>
        <v>5.01547987616099</v>
      </c>
      <c r="F138" s="66" t="n">
        <f aca="false">IFERROR(F133/F136,"")</f>
        <v>2.3125</v>
      </c>
      <c r="G138" s="66" t="n">
        <f aca="false">IFERROR(G133/G136,"")</f>
        <v>1.04384133611691</v>
      </c>
      <c r="H138" s="67" t="n">
        <f aca="false">IFERROR(H133/H136,"")</f>
        <v>8.43423799582464</v>
      </c>
      <c r="I138" s="66" t="n">
        <f aca="false">IFERROR(I133/I136,"")</f>
        <v>2.8936170212766</v>
      </c>
      <c r="J138" s="66" t="n">
        <f aca="false">IFERROR(J133/J136,"")</f>
        <v>2.82978723404255</v>
      </c>
      <c r="K138" s="66" t="n">
        <f aca="false">IFERROR(K133/K136,"")</f>
        <v>5.72340425531915</v>
      </c>
      <c r="L138" s="66" t="n">
        <f aca="false">IFERROR(L133/L136,"")</f>
        <v>2.28144989339019</v>
      </c>
      <c r="M138" s="66" t="n">
        <f aca="false">IFERROR(M133/M136,"")</f>
        <v>4.20940170940171</v>
      </c>
      <c r="N138" s="67" t="n">
        <f aca="false">IFERROR(N133/N136,"")</f>
        <v>12.2435897435897</v>
      </c>
      <c r="O138" s="66" t="n">
        <f aca="false">IFERROR(O133/O136,"")</f>
        <v>2.57019438444924</v>
      </c>
      <c r="P138" s="66" t="n">
        <f aca="false">IFERROR(P133/P136,"")</f>
        <v>3.21663019693654</v>
      </c>
      <c r="Q138" s="66" t="n">
        <f aca="false">IFERROR(Q133/Q136,"")</f>
        <v>5.78260869565217</v>
      </c>
      <c r="R138" s="66" t="n">
        <f aca="false">IFERROR(R133/R136,"")</f>
        <v>3.28193832599119</v>
      </c>
      <c r="S138" s="66" t="n">
        <f aca="false">IFERROR(S133/S136,"")</f>
        <v>1.40043763676149</v>
      </c>
      <c r="T138" s="67" t="n">
        <f aca="false">IFERROR(T133/T136,"")</f>
        <v>10.4814004376368</v>
      </c>
      <c r="U138" s="66" t="n">
        <f aca="false">IFERROR(U133/U136,"")</f>
        <v>3.48214285714286</v>
      </c>
      <c r="V138" s="66" t="n">
        <f aca="false">IFERROR(V133/V136,"")</f>
        <v>5.40723981900452</v>
      </c>
      <c r="W138" s="66" t="n">
        <f aca="false">IFERROR(W133/W136,"")</f>
        <v>8.87640449438202</v>
      </c>
      <c r="X138" s="66" t="n">
        <f aca="false">IFERROR(X133/X136,"")</f>
        <v>5.28868360277136</v>
      </c>
      <c r="Y138" s="66" t="n">
        <f aca="false">IFERROR(Y133/Y136,"")</f>
        <v>4.84018264840183</v>
      </c>
      <c r="Z138" s="67" t="n">
        <f aca="false">IFERROR(Z133/Z136,"")</f>
        <v>19.0867579908676</v>
      </c>
      <c r="AA138" s="66" t="n">
        <f aca="false">IFERROR(AA133/AA136,"")</f>
        <v>2.85024154589372</v>
      </c>
      <c r="AB138" s="66" t="n">
        <f aca="false">IFERROR(AB133/AB136,"")</f>
        <v>3.06954436450839</v>
      </c>
      <c r="AC138" s="66" t="n">
        <f aca="false">IFERROR(AC133/AC136,"")</f>
        <v>5.92057761732852</v>
      </c>
      <c r="AD138" s="66" t="n">
        <f aca="false">IFERROR(AD133/AD136,"")</f>
        <v>3.7378640776699</v>
      </c>
      <c r="AE138" s="66" t="n">
        <f aca="false">IFERROR(AE133/AE136,"")</f>
        <v>3.59903381642512</v>
      </c>
      <c r="AF138" s="67" t="n">
        <f aca="false">IFERROR(AF133/AF136,"")</f>
        <v>13.2608695652174</v>
      </c>
      <c r="AG138" s="66" t="n">
        <f aca="false">IFERROR(AG133/AG136,"")</f>
        <v>4.22604422604423</v>
      </c>
      <c r="AH138" s="66" t="n">
        <f aca="false">IFERROR(AH133/AH136,"")</f>
        <v>1.3022113022113</v>
      </c>
      <c r="AI138" s="66" t="n">
        <f aca="false">IFERROR(AI133/AI136,"")</f>
        <v>5.52825552825553</v>
      </c>
      <c r="AJ138" s="66" t="n">
        <f aca="false">IFERROR(AJ133/AJ136,"")</f>
        <v>5.4679802955665</v>
      </c>
      <c r="AK138" s="66" t="n">
        <f aca="false">IFERROR(AK133/AK136,"")</f>
        <v>6.13300492610837</v>
      </c>
      <c r="AL138" s="67" t="n">
        <f aca="false">IFERROR(AL133/AL136,"")</f>
        <v>17.1428571428571</v>
      </c>
      <c r="AM138" s="66" t="n">
        <f aca="false">IFERROR(AM133/AM136,"")</f>
        <v>3.68159203980099</v>
      </c>
      <c r="AN138" s="66" t="n">
        <f aca="false">IFERROR(AN133/AN136,"")</f>
        <v>3.20099255583127</v>
      </c>
      <c r="AO138" s="66" t="n">
        <f aca="false">IFERROR(AO133/AO136,"")</f>
        <v>6.88198757763975</v>
      </c>
      <c r="AP138" s="66" t="n">
        <f aca="false">IFERROR(AP133/AP136,"")</f>
        <v>3.64764267990075</v>
      </c>
      <c r="AQ138" s="66" t="n">
        <f aca="false">IFERROR(AQ133/AQ136,"")</f>
        <v>2.9925187032419</v>
      </c>
      <c r="AR138" s="67" t="n">
        <f aca="false">IFERROR(AR133/AR136,"")</f>
        <v>13.4987593052109</v>
      </c>
      <c r="AS138" s="66" t="n">
        <f aca="false">IFERROR(AS133/AS136,"")</f>
        <v>3.5</v>
      </c>
      <c r="AT138" s="66" t="n">
        <f aca="false">IFERROR(AT133/AT136,"")</f>
        <v>4.43890274314215</v>
      </c>
      <c r="AU138" s="66" t="n">
        <f aca="false">IFERROR(AU133/AU136,"")</f>
        <v>7.94007490636704</v>
      </c>
      <c r="AV138" s="66" t="n">
        <f aca="false">IFERROR(AV133/AV136,"")</f>
        <v>3.44139650872818</v>
      </c>
      <c r="AW138" s="66" t="n">
        <f aca="false">IFERROR(AW133/AW136,"")</f>
        <v>3.06733167082294</v>
      </c>
      <c r="AX138" s="67" t="n">
        <f aca="false">IFERROR(AX133/AX136,"")</f>
        <v>14.4389027431421</v>
      </c>
      <c r="AY138" s="66" t="n">
        <f aca="false">IFERROR(AY133/AY136,"")</f>
        <v>3.23308270676692</v>
      </c>
      <c r="AZ138" s="66" t="n">
        <f aca="false">IFERROR(AZ133/AZ136,"")</f>
        <v>3.26633165829146</v>
      </c>
      <c r="BA138" s="66" t="n">
        <f aca="false">IFERROR(BA133/BA136,"")</f>
        <v>6.49937264742786</v>
      </c>
      <c r="BB138" s="66" t="n">
        <f aca="false">IFERROR(BB133/BB136,"")</f>
        <v>3.7</v>
      </c>
      <c r="BC138" s="66" t="n">
        <f aca="false">IFERROR(BC133/BC136,"")</f>
        <v>6.90176322418136</v>
      </c>
      <c r="BD138" s="67" t="n">
        <f aca="false">IFERROR(BD133/BD136,"")</f>
        <v>17.0676691729323</v>
      </c>
      <c r="BE138" s="66" t="n">
        <f aca="false">IFERROR(BE133/BE136,"")</f>
        <v>3.87341772151899</v>
      </c>
      <c r="BF138" s="66" t="n">
        <f aca="false">IFERROR(BF133/BF136,"")</f>
        <v>4.37974683544304</v>
      </c>
      <c r="BG138" s="66" t="n">
        <f aca="false">IFERROR(BG133/BG136,"")</f>
        <v>8.25316455696203</v>
      </c>
      <c r="BH138" s="66" t="n">
        <f aca="false">IFERROR(BH133/BH136,"")</f>
        <v>2.55696202531646</v>
      </c>
      <c r="BI138" s="66" t="n">
        <f aca="false">IFERROR(BI133/BI136,"")</f>
        <v>3.1457800511509</v>
      </c>
      <c r="BJ138" s="67" t="n">
        <f aca="false">IFERROR(BJ133/BJ136,"")</f>
        <v>13.9593908629442</v>
      </c>
      <c r="BK138" s="66" t="n">
        <f aca="false">IFERROR(BK133/BK136,"")</f>
        <v>3.79134860050891</v>
      </c>
      <c r="BL138" s="66" t="n">
        <f aca="false">IFERROR(BL133/BL136,"")</f>
        <v>3.85786802030457</v>
      </c>
      <c r="BM138" s="66" t="n">
        <f aca="false">IFERROR(BM133/BM136,"")</f>
        <v>7.64930114358323</v>
      </c>
      <c r="BN138" s="66" t="n">
        <f aca="false">IFERROR(BN133/BN136,"")</f>
        <v>3.68956743002545</v>
      </c>
      <c r="BO138" s="66" t="n">
        <f aca="false">IFERROR(BO133/BO136,"")</f>
        <v>4.04580152671756</v>
      </c>
      <c r="BP138" s="67" t="n">
        <f aca="false">IFERROR(BP133/BP136,"")</f>
        <v>15.3944020356234</v>
      </c>
      <c r="BQ138" s="66" t="n">
        <f aca="false">IFERROR(BQ133/BQ136,"")</f>
        <v>3.79134860050891</v>
      </c>
      <c r="BR138" s="66" t="n">
        <f aca="false">IFERROR(BR133/BR136,"")</f>
        <v>5.26582278481013</v>
      </c>
      <c r="BS138" s="66" t="n">
        <f aca="false">IFERROR(BS133/BS136,"")</f>
        <v>9.06091370558376</v>
      </c>
      <c r="BT138" s="67" t="n">
        <f aca="false">IFERROR(BT133/BT136,"")</f>
        <v>4.54534810126582</v>
      </c>
      <c r="BU138" s="67" t="n">
        <f aca="false">IFERROR(BU133/BU136,"")</f>
        <v>4.54534810126582</v>
      </c>
      <c r="BV138" s="67" t="n">
        <f aca="false">IFERROR(BV133/BV136,"")</f>
        <v>18.1516476552598</v>
      </c>
      <c r="BW138" s="67" t="n">
        <f aca="false">IFERROR(BW133/BW136,"")</f>
        <v>20.1722866416966</v>
      </c>
      <c r="BX138" s="67" t="n">
        <f aca="false">IFERROR(BX133/BX136,"")</f>
        <v>22.3484385057108</v>
      </c>
      <c r="BY138" s="67" t="n">
        <f aca="false">IFERROR(BY133/BY136,"")</f>
        <v>24.7367334873338</v>
      </c>
      <c r="BZ138" s="67" t="n">
        <f aca="false">IFERROR(BZ133/BZ136,"")</f>
        <v>27.3246220982542</v>
      </c>
      <c r="CA138" s="16"/>
      <c r="CC138" s="30" t="n">
        <f aca="false">IFERROR((BZ138/BP138)^(1/5)-1,"n/m")</f>
        <v>0.121600690553707</v>
      </c>
      <c r="CD138" s="30" t="n">
        <f aca="false">IFERROR((BP138/AL138)^(1/5)-1,"n/m")</f>
        <v>-0.0212857229763742</v>
      </c>
      <c r="CE138" s="30" t="n">
        <f aca="false">IFERROR((BP138/H138)^(1/10)-1,"n/m")</f>
        <v>0.0620175589785108</v>
      </c>
    </row>
    <row r="139" customFormat="false" ht="15" hidden="false" customHeight="false" outlineLevel="0" collapsed="false">
      <c r="B139" s="32" t="s">
        <v>237</v>
      </c>
      <c r="C139" s="66" t="n">
        <f aca="false">IFERROR(C133/C137,"")</f>
        <v>1.7864476386037</v>
      </c>
      <c r="D139" s="66" t="n">
        <f aca="false">IFERROR(D133/D137,"")</f>
        <v>3.19672131147541</v>
      </c>
      <c r="E139" s="66" t="n">
        <f aca="false">IFERROR(E133/E137,"")</f>
        <v>4.98461538461539</v>
      </c>
      <c r="F139" s="66" t="n">
        <f aca="false">IFERROR(F133/F137,"")</f>
        <v>2.29338842975207</v>
      </c>
      <c r="G139" s="66" t="n">
        <f aca="false">IFERROR(G133/G137,"")</f>
        <v>1.0351966873706</v>
      </c>
      <c r="H139" s="67" t="n">
        <f aca="false">IFERROR(H133/H137,"")</f>
        <v>8.36438923395445</v>
      </c>
      <c r="I139" s="66" t="n">
        <f aca="false">IFERROR(I133/I137,"")</f>
        <v>2.86919831223629</v>
      </c>
      <c r="J139" s="66" t="n">
        <f aca="false">IFERROR(J133/J137,"")</f>
        <v>2.8</v>
      </c>
      <c r="K139" s="66" t="n">
        <f aca="false">IFERROR(K133/K137,"")</f>
        <v>5.66912539515279</v>
      </c>
      <c r="L139" s="66" t="n">
        <f aca="false">IFERROR(L133/L137,"")</f>
        <v>2.26694915254237</v>
      </c>
      <c r="M139" s="66" t="n">
        <f aca="false">IFERROR(M133/M137,"")</f>
        <v>4.17372881355932</v>
      </c>
      <c r="N139" s="67" t="n">
        <f aca="false">IFERROR(N133/N137,"")</f>
        <v>12.1398305084746</v>
      </c>
      <c r="O139" s="66" t="n">
        <f aca="false">IFERROR(O133/O137,"")</f>
        <v>2.56465517241379</v>
      </c>
      <c r="P139" s="66" t="n">
        <f aca="false">IFERROR(P133/P137,"")</f>
        <v>3.20960698689956</v>
      </c>
      <c r="Q139" s="66" t="n">
        <f aca="false">IFERROR(Q133/Q137,"")</f>
        <v>5.77006507592191</v>
      </c>
      <c r="R139" s="66" t="n">
        <f aca="false">IFERROR(R133/R137,"")</f>
        <v>3.27472527472527</v>
      </c>
      <c r="S139" s="66" t="n">
        <f aca="false">IFERROR(S133/S137,"")</f>
        <v>1.39737991266376</v>
      </c>
      <c r="T139" s="67" t="n">
        <f aca="false">IFERROR(T133/T137,"")</f>
        <v>10.4585152838428</v>
      </c>
      <c r="U139" s="66" t="n">
        <f aca="false">IFERROR(U133/U137,"")</f>
        <v>3.48214285714286</v>
      </c>
      <c r="V139" s="66" t="n">
        <f aca="false">IFERROR(V133/V137,"")</f>
        <v>5.39503386004515</v>
      </c>
      <c r="W139" s="66" t="n">
        <f aca="false">IFERROR(W133/W137,"")</f>
        <v>8.86644219977553</v>
      </c>
      <c r="X139" s="66" t="n">
        <f aca="false">IFERROR(X133/X137,"")</f>
        <v>5.28868360277136</v>
      </c>
      <c r="Y139" s="66" t="n">
        <f aca="false">IFERROR(Y133/Y137,"")</f>
        <v>4.84018264840183</v>
      </c>
      <c r="Z139" s="67" t="n">
        <f aca="false">IFERROR(Z133/Z137,"")</f>
        <v>19.0867579908676</v>
      </c>
      <c r="AA139" s="66" t="n">
        <f aca="false">IFERROR(AA133/AA137,"")</f>
        <v>2.85024154589372</v>
      </c>
      <c r="AB139" s="66" t="n">
        <f aca="false">IFERROR(AB133/AB137,"")</f>
        <v>3.06954436450839</v>
      </c>
      <c r="AC139" s="66" t="n">
        <f aca="false">IFERROR(AC133/AC137,"")</f>
        <v>5.92057761732852</v>
      </c>
      <c r="AD139" s="66" t="n">
        <f aca="false">IFERROR(AD133/AD137,"")</f>
        <v>3.7378640776699</v>
      </c>
      <c r="AE139" s="66" t="n">
        <f aca="false">IFERROR(AE133/AE137,"")</f>
        <v>3.59903381642512</v>
      </c>
      <c r="AF139" s="67" t="n">
        <f aca="false">IFERROR(AF133/AF137,"")</f>
        <v>13.2608695652174</v>
      </c>
      <c r="AG139" s="66" t="n">
        <f aca="false">IFERROR(AG133/AG137,"")</f>
        <v>4.22604422604423</v>
      </c>
      <c r="AH139" s="66" t="n">
        <f aca="false">IFERROR(AH133/AH137,"")</f>
        <v>1.3022113022113</v>
      </c>
      <c r="AI139" s="66" t="n">
        <f aca="false">IFERROR(AI133/AI137,"")</f>
        <v>5.52825552825553</v>
      </c>
      <c r="AJ139" s="66" t="n">
        <f aca="false">IFERROR(AJ133/AJ137,"")</f>
        <v>5.45454545454545</v>
      </c>
      <c r="AK139" s="66" t="n">
        <f aca="false">IFERROR(AK133/AK137,"")</f>
        <v>6.13300492610837</v>
      </c>
      <c r="AL139" s="67" t="n">
        <f aca="false">IFERROR(AL133/AL137,"")</f>
        <v>17.1428571428571</v>
      </c>
      <c r="AM139" s="66" t="n">
        <f aca="false">IFERROR(AM133/AM137,"")</f>
        <v>3.68159203980099</v>
      </c>
      <c r="AN139" s="66" t="n">
        <f aca="false">IFERROR(AN133/AN137,"")</f>
        <v>3.20099255583127</v>
      </c>
      <c r="AO139" s="66" t="n">
        <f aca="false">IFERROR(AO133/AO137,"")</f>
        <v>6.88198757763975</v>
      </c>
      <c r="AP139" s="66" t="n">
        <f aca="false">IFERROR(AP133/AP137,"")</f>
        <v>3.64764267990075</v>
      </c>
      <c r="AQ139" s="66" t="n">
        <f aca="false">IFERROR(AQ133/AQ137,"")</f>
        <v>2.9925187032419</v>
      </c>
      <c r="AR139" s="67" t="n">
        <f aca="false">IFERROR(AR133/AR137,"")</f>
        <v>13.4987593052109</v>
      </c>
      <c r="AS139" s="66" t="n">
        <f aca="false">IFERROR(AS133/AS137,"")</f>
        <v>3.5</v>
      </c>
      <c r="AT139" s="66" t="n">
        <f aca="false">IFERROR(AT133/AT137,"")</f>
        <v>4.43890274314215</v>
      </c>
      <c r="AU139" s="66" t="n">
        <f aca="false">IFERROR(AU133/AU137,"")</f>
        <v>7.94007490636704</v>
      </c>
      <c r="AV139" s="66" t="n">
        <f aca="false">IFERROR(AV133/AV137,"")</f>
        <v>3.44139650872818</v>
      </c>
      <c r="AW139" s="66" t="n">
        <f aca="false">IFERROR(AW133/AW137,"")</f>
        <v>3.06733167082294</v>
      </c>
      <c r="AX139" s="67" t="n">
        <f aca="false">IFERROR(AX133/AX137,"")</f>
        <v>14.4389027431421</v>
      </c>
      <c r="AY139" s="66" t="n">
        <f aca="false">IFERROR(AY133/AY137,"")</f>
        <v>3.23308270676692</v>
      </c>
      <c r="AZ139" s="66" t="n">
        <f aca="false">IFERROR(AZ133/AZ137,"")</f>
        <v>3.26633165829146</v>
      </c>
      <c r="BA139" s="66" t="n">
        <f aca="false">IFERROR(BA133/BA137,"")</f>
        <v>6.49937264742786</v>
      </c>
      <c r="BB139" s="66" t="n">
        <f aca="false">IFERROR(BB133/BB137,"")</f>
        <v>3.7</v>
      </c>
      <c r="BC139" s="66" t="n">
        <f aca="false">IFERROR(BC133/BC137,"")</f>
        <v>6.90176322418136</v>
      </c>
      <c r="BD139" s="67" t="n">
        <f aca="false">IFERROR(BD133/BD137,"")</f>
        <v>17.0676691729323</v>
      </c>
      <c r="BE139" s="66" t="n">
        <f aca="false">IFERROR(BE133/BE137,"")</f>
        <v>3.87341772151899</v>
      </c>
      <c r="BF139" s="66" t="n">
        <f aca="false">IFERROR(BF133/BF137,"")</f>
        <v>4.37974683544304</v>
      </c>
      <c r="BG139" s="66" t="n">
        <f aca="false">IFERROR(BG133/BG137,"")</f>
        <v>8.25316455696203</v>
      </c>
      <c r="BH139" s="66" t="n">
        <f aca="false">IFERROR(BH133/BH137,"")</f>
        <v>2.55696202531646</v>
      </c>
      <c r="BI139" s="66" t="n">
        <f aca="false">IFERROR(BI133/BI137,"")</f>
        <v>3.1457800511509</v>
      </c>
      <c r="BJ139" s="67" t="n">
        <f aca="false">IFERROR(BJ133/BJ137,"")</f>
        <v>13.9593908629442</v>
      </c>
      <c r="BK139" s="66" t="n">
        <f aca="false">IFERROR(BK133/BK137,"")</f>
        <v>3.79134860050891</v>
      </c>
      <c r="BL139" s="66" t="n">
        <f aca="false">IFERROR(BL133/BL137,"")</f>
        <v>3.85786802030457</v>
      </c>
      <c r="BM139" s="66" t="n">
        <f aca="false">IFERROR(BM133/BM137,"")</f>
        <v>7.64930114358323</v>
      </c>
      <c r="BN139" s="66" t="n">
        <f aca="false">IFERROR(BN133/BN137,"")</f>
        <v>3.68020304568528</v>
      </c>
      <c r="BO139" s="66" t="n">
        <f aca="false">IFERROR(BO133/BO137,"")</f>
        <v>4.03553299492386</v>
      </c>
      <c r="BP139" s="67" t="n">
        <f aca="false">IFERROR(BP133/BP137,"")</f>
        <v>15.3944020356234</v>
      </c>
      <c r="BQ139" s="66" t="n">
        <f aca="false">IFERROR(BQ133/BQ137,"")</f>
        <v>3.79134860050891</v>
      </c>
      <c r="BR139" s="66" t="n">
        <f aca="false">IFERROR(BR133/BR137,"")</f>
        <v>5.26582278481013</v>
      </c>
      <c r="BS139" s="66" t="n">
        <f aca="false">IFERROR(BS133/BS137,"")</f>
        <v>9.06091370558376</v>
      </c>
      <c r="BT139" s="67" t="n">
        <f aca="false">IFERROR(BT133/BT137,"")</f>
        <v>4.54534810126582</v>
      </c>
      <c r="BU139" s="67" t="n">
        <f aca="false">IFERROR(BU133/BU137,"")</f>
        <v>4.54534810126582</v>
      </c>
      <c r="BV139" s="67" t="n">
        <f aca="false">IFERROR(BV133/BV137,"")</f>
        <v>18.1516476552598</v>
      </c>
      <c r="BW139" s="67" t="n">
        <f aca="false">IFERROR(BW133/BW137,"")</f>
        <v>20.1211983587745</v>
      </c>
      <c r="BX139" s="67" t="n">
        <f aca="false">IFERROR(BX133/BX137,"")</f>
        <v>22.2909849788174</v>
      </c>
      <c r="BY139" s="67" t="n">
        <f aca="false">IFERROR(BY133/BY137,"")</f>
        <v>24.6719878392487</v>
      </c>
      <c r="BZ139" s="67" t="n">
        <f aca="false">IFERROR(BZ133/BZ137,"")</f>
        <v>27.2516109721697</v>
      </c>
      <c r="CA139" s="16" t="s">
        <v>238</v>
      </c>
      <c r="CC139" s="30" t="n">
        <f aca="false">IFERROR((BZ139/BP139)^(1/5)-1,"n/m")</f>
        <v>0.121000667667991</v>
      </c>
      <c r="CD139" s="30" t="n">
        <f aca="false">IFERROR((BP139/AL139)^(1/5)-1,"n/m")</f>
        <v>-0.0212857229763742</v>
      </c>
      <c r="CE139" s="30" t="n">
        <f aca="false">IFERROR((BP139/H139)^(1/10)-1,"n/m")</f>
        <v>0.0629011060839719</v>
      </c>
    </row>
    <row r="140" customFormat="false" ht="15" hidden="false" customHeight="false" outlineLevel="0" collapsed="false">
      <c r="B140" s="1" t="s">
        <v>239</v>
      </c>
      <c r="C140" s="68" t="n">
        <v>0.4</v>
      </c>
      <c r="D140" s="68" t="n">
        <v>0.4</v>
      </c>
      <c r="E140" s="69" t="n">
        <f aca="false">C140+D140</f>
        <v>0.8</v>
      </c>
      <c r="F140" s="68" t="n">
        <v>0.4</v>
      </c>
      <c r="G140" s="68" t="n">
        <v>0.5</v>
      </c>
      <c r="H140" s="68" t="n">
        <v>1.7</v>
      </c>
      <c r="I140" s="68" t="n">
        <v>0.5</v>
      </c>
      <c r="J140" s="68" t="n">
        <v>0.5</v>
      </c>
      <c r="K140" s="69" t="n">
        <f aca="false">I140+J140</f>
        <v>1</v>
      </c>
      <c r="L140" s="68" t="n">
        <v>0.5</v>
      </c>
      <c r="M140" s="68" t="n">
        <v>0.6</v>
      </c>
      <c r="N140" s="68" t="n">
        <v>2.1</v>
      </c>
      <c r="O140" s="68" t="n">
        <v>0.6</v>
      </c>
      <c r="P140" s="68" t="n">
        <v>0.6</v>
      </c>
      <c r="Q140" s="69" t="n">
        <f aca="false">O140+P140</f>
        <v>1.2</v>
      </c>
      <c r="R140" s="68" t="n">
        <v>0.6</v>
      </c>
      <c r="S140" s="68" t="n">
        <v>0.72</v>
      </c>
      <c r="T140" s="68" t="n">
        <v>2.52</v>
      </c>
      <c r="U140" s="68" t="n">
        <v>0.72</v>
      </c>
      <c r="V140" s="68" t="n">
        <v>0.72</v>
      </c>
      <c r="W140" s="69" t="n">
        <f aca="false">U140+V140</f>
        <v>1.44</v>
      </c>
      <c r="X140" s="68" t="n">
        <v>0.72</v>
      </c>
      <c r="Y140" s="68" t="n">
        <v>0.86</v>
      </c>
      <c r="Z140" s="68" t="n">
        <v>3.02</v>
      </c>
      <c r="AA140" s="68" t="n">
        <v>0.86</v>
      </c>
      <c r="AB140" s="68" t="n">
        <v>0.86</v>
      </c>
      <c r="AC140" s="69" t="n">
        <f aca="false">AA140+AB140</f>
        <v>1.72</v>
      </c>
      <c r="AD140" s="68" t="n">
        <v>0.86</v>
      </c>
      <c r="AE140" s="68" t="n">
        <v>1.03</v>
      </c>
      <c r="AF140" s="68" t="n">
        <v>3.61</v>
      </c>
      <c r="AG140" s="68" t="n">
        <v>1.03</v>
      </c>
      <c r="AH140" s="68" t="n">
        <v>1.03</v>
      </c>
      <c r="AI140" s="69" t="n">
        <f aca="false">AG140+AH140</f>
        <v>2.06</v>
      </c>
      <c r="AJ140" s="68" t="n">
        <v>1.03</v>
      </c>
      <c r="AK140" s="68" t="n">
        <v>1.14</v>
      </c>
      <c r="AL140" s="68" t="n">
        <v>4.23</v>
      </c>
      <c r="AM140" s="68" t="n">
        <v>1.14</v>
      </c>
      <c r="AN140" s="68" t="n">
        <v>1.14</v>
      </c>
      <c r="AO140" s="69" t="n">
        <f aca="false">AM140+AN140</f>
        <v>2.28</v>
      </c>
      <c r="AP140" s="68" t="n">
        <v>1.14</v>
      </c>
      <c r="AQ140" s="68" t="n">
        <v>1.18</v>
      </c>
      <c r="AR140" s="68" t="n">
        <v>4.6</v>
      </c>
      <c r="AS140" s="68" t="n">
        <v>1.18</v>
      </c>
      <c r="AT140" s="68" t="n">
        <v>1.18</v>
      </c>
      <c r="AU140" s="69" t="n">
        <f aca="false">AS140+AT140</f>
        <v>2.36</v>
      </c>
      <c r="AV140" s="68" t="n">
        <v>1.18</v>
      </c>
      <c r="AW140" s="68" t="n">
        <v>1.24</v>
      </c>
      <c r="AX140" s="68" t="n">
        <v>4.78</v>
      </c>
      <c r="AY140" s="68" t="n">
        <v>1.24</v>
      </c>
      <c r="AZ140" s="68" t="n">
        <v>1.24</v>
      </c>
      <c r="BA140" s="69" t="n">
        <f aca="false">AY140+AZ140</f>
        <v>2.48</v>
      </c>
      <c r="BB140" s="68" t="n">
        <v>1.24</v>
      </c>
      <c r="BC140" s="68" t="n">
        <v>1.3</v>
      </c>
      <c r="BD140" s="68" t="n">
        <v>5.02</v>
      </c>
      <c r="BE140" s="68" t="n">
        <v>1.3</v>
      </c>
      <c r="BF140" s="68" t="n">
        <v>1.3</v>
      </c>
      <c r="BG140" s="69" t="n">
        <f aca="false">BE140+BF140</f>
        <v>2.6</v>
      </c>
      <c r="BH140" s="68" t="n">
        <v>1.3</v>
      </c>
      <c r="BI140" s="68" t="n">
        <v>1.35</v>
      </c>
      <c r="BJ140" s="68" t="n">
        <v>5.25</v>
      </c>
      <c r="BK140" s="68" t="n">
        <v>1.35</v>
      </c>
      <c r="BL140" s="68" t="n">
        <v>1.35</v>
      </c>
      <c r="BM140" s="69" t="n">
        <f aca="false">BK140+BL140</f>
        <v>2.7</v>
      </c>
      <c r="BN140" s="68" t="n">
        <v>1.35</v>
      </c>
      <c r="BO140" s="68" t="n">
        <v>1.38</v>
      </c>
      <c r="BP140" s="68" t="n">
        <v>5.43</v>
      </c>
      <c r="BQ140" s="68" t="n">
        <v>1.38</v>
      </c>
      <c r="BR140" s="68" t="n">
        <v>1.38</v>
      </c>
      <c r="BS140" s="69" t="n">
        <f aca="false">BQ140+BR140</f>
        <v>2.76</v>
      </c>
      <c r="BT140" s="70" t="n">
        <f aca="false">BR140</f>
        <v>1.38</v>
      </c>
      <c r="BU140" s="70" t="n">
        <f aca="false">BR140</f>
        <v>1.38</v>
      </c>
      <c r="BV140" s="70" t="n">
        <f aca="false">SUM(BQ140,BR140,BT140,BU140)</f>
        <v>5.52</v>
      </c>
      <c r="BW140" s="70" t="n">
        <f aca="false">BV140*(1+BW306)</f>
        <v>5.6856</v>
      </c>
      <c r="BX140" s="70" t="n">
        <f aca="false">BW140*(1+BX306)</f>
        <v>5.856168</v>
      </c>
      <c r="BY140" s="70" t="n">
        <f aca="false">BX140*(1+BY306)</f>
        <v>6.03185304</v>
      </c>
      <c r="BZ140" s="70" t="n">
        <f aca="false">BY140*(1+BZ306)</f>
        <v>6.2128086312</v>
      </c>
      <c r="CA140" s="16" t="s">
        <v>240</v>
      </c>
      <c r="CC140" s="30" t="n">
        <f aca="false">IFERROR((BZ140/BP140)^(1/5)-1,"n/m")</f>
        <v>0.0273008072750385</v>
      </c>
      <c r="CD140" s="30" t="n">
        <f aca="false">IFERROR((BP140/AL140)^(1/5)-1,"n/m")</f>
        <v>0.0512158305913033</v>
      </c>
      <c r="CE140" s="30" t="n">
        <f aca="false">IFERROR((BP140/H140)^(1/10)-1,"n/m")</f>
        <v>0.123143093389257</v>
      </c>
    </row>
    <row r="141" customFormat="false" ht="15" hidden="false" customHeight="false" outlineLevel="0" collapsed="false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3"/>
      <c r="BU141" s="3"/>
      <c r="BV141" s="3"/>
      <c r="BW141" s="3"/>
      <c r="BX141" s="3"/>
      <c r="BY141" s="3"/>
      <c r="BZ141" s="3"/>
      <c r="CA141" s="16"/>
      <c r="CC141" s="5"/>
      <c r="CD141" s="5"/>
      <c r="CE141" s="5"/>
    </row>
    <row r="142" customFormat="false" ht="15" hidden="false" customHeight="false" outlineLevel="0" collapsed="false">
      <c r="B142" s="15" t="s">
        <v>241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 t="s">
        <v>242</v>
      </c>
      <c r="CC142" s="15"/>
      <c r="CD142" s="15"/>
      <c r="CE142" s="15"/>
    </row>
    <row r="143" customFormat="false" ht="15" hidden="false" customHeight="false" outlineLevel="0" collapsed="false">
      <c r="B143" s="26" t="s">
        <v>243</v>
      </c>
      <c r="C143" s="28" t="n">
        <f aca="false">C126</f>
        <v>156</v>
      </c>
      <c r="D143" s="28" t="n">
        <f aca="false">D126</f>
        <v>269</v>
      </c>
      <c r="E143" s="28" t="n">
        <f aca="false">E126</f>
        <v>425</v>
      </c>
      <c r="F143" s="28" t="n">
        <f aca="false">F126</f>
        <v>200</v>
      </c>
      <c r="G143" s="28" t="n">
        <f aca="false">G126</f>
        <v>144</v>
      </c>
      <c r="H143" s="28" t="n">
        <f aca="false">H126</f>
        <v>769</v>
      </c>
      <c r="I143" s="28" t="n">
        <f aca="false">I126</f>
        <v>198</v>
      </c>
      <c r="J143" s="28" t="n">
        <f aca="false">J126</f>
        <v>217</v>
      </c>
      <c r="K143" s="28" t="n">
        <f aca="false">K126</f>
        <v>415</v>
      </c>
      <c r="L143" s="28" t="n">
        <f aca="false">L126</f>
        <v>175</v>
      </c>
      <c r="M143" s="28" t="n">
        <f aca="false">M126</f>
        <v>268</v>
      </c>
      <c r="N143" s="28" t="n">
        <f aca="false">N126</f>
        <v>858</v>
      </c>
      <c r="O143" s="28" t="n">
        <f aca="false">O126</f>
        <v>168</v>
      </c>
      <c r="P143" s="28" t="n">
        <f aca="false">P126</f>
        <v>241</v>
      </c>
      <c r="Q143" s="28" t="n">
        <f aca="false">Q126</f>
        <v>409</v>
      </c>
      <c r="R143" s="28" t="n">
        <f aca="false">R126</f>
        <v>241</v>
      </c>
      <c r="S143" s="28" t="n">
        <f aca="false">S126</f>
        <v>231</v>
      </c>
      <c r="T143" s="28" t="n">
        <f aca="false">T126</f>
        <v>881</v>
      </c>
      <c r="U143" s="28" t="n">
        <f aca="false">U126</f>
        <v>191</v>
      </c>
      <c r="V143" s="28" t="n">
        <f aca="false">V126</f>
        <v>257</v>
      </c>
      <c r="W143" s="28" t="n">
        <f aca="false">W126</f>
        <v>448</v>
      </c>
      <c r="X143" s="28" t="n">
        <f aca="false">X126</f>
        <v>290</v>
      </c>
      <c r="Y143" s="28" t="n">
        <f aca="false">Y126</f>
        <v>213</v>
      </c>
      <c r="Z143" s="28" t="n">
        <f aca="false">Z126</f>
        <v>951</v>
      </c>
      <c r="AA143" s="28" t="n">
        <f aca="false">AA126</f>
        <v>161</v>
      </c>
      <c r="AB143" s="28" t="n">
        <f aca="false">AB126</f>
        <v>175</v>
      </c>
      <c r="AC143" s="28" t="n">
        <f aca="false">AC126</f>
        <v>336</v>
      </c>
      <c r="AD143" s="28" t="n">
        <f aca="false">AD126</f>
        <v>214</v>
      </c>
      <c r="AE143" s="28" t="n">
        <f aca="false">AE126</f>
        <v>186</v>
      </c>
      <c r="AF143" s="28" t="n">
        <f aca="false">AF126</f>
        <v>736</v>
      </c>
      <c r="AG143" s="28" t="n">
        <f aca="false">AG126</f>
        <v>215</v>
      </c>
      <c r="AH143" s="28" t="n">
        <f aca="false">AH126</f>
        <v>57</v>
      </c>
      <c r="AI143" s="28" t="n">
        <f aca="false">AI126</f>
        <v>272</v>
      </c>
      <c r="AJ143" s="28" t="n">
        <f aca="false">AJ126</f>
        <v>222</v>
      </c>
      <c r="AK143" s="28" t="n">
        <f aca="false">AK126</f>
        <v>305</v>
      </c>
      <c r="AL143" s="28" t="n">
        <f aca="false">AL126</f>
        <v>799</v>
      </c>
      <c r="AM143" s="28" t="n">
        <f aca="false">AM126</f>
        <v>147</v>
      </c>
      <c r="AN143" s="28" t="n">
        <f aca="false">AN126</f>
        <v>128</v>
      </c>
      <c r="AO143" s="28" t="n">
        <f aca="false">AO126</f>
        <v>275</v>
      </c>
      <c r="AP143" s="28" t="n">
        <f aca="false">AP126</f>
        <v>118</v>
      </c>
      <c r="AQ143" s="28" t="n">
        <f aca="false">AQ126</f>
        <v>120</v>
      </c>
      <c r="AR143" s="28" t="n">
        <f aca="false">AR126</f>
        <v>513</v>
      </c>
      <c r="AS143" s="28" t="n">
        <f aca="false">AS126</f>
        <v>138</v>
      </c>
      <c r="AT143" s="28" t="n">
        <f aca="false">AT126</f>
        <v>191</v>
      </c>
      <c r="AU143" s="28" t="n">
        <f aca="false">AU126</f>
        <v>329</v>
      </c>
      <c r="AV143" s="28" t="n">
        <f aca="false">AV126</f>
        <v>131</v>
      </c>
      <c r="AW143" s="28" t="n">
        <f aca="false">AW126</f>
        <v>105</v>
      </c>
      <c r="AX143" s="28" t="n">
        <f aca="false">AX126</f>
        <v>565</v>
      </c>
      <c r="AY143" s="28" t="n">
        <f aca="false">AY126</f>
        <v>141</v>
      </c>
      <c r="AZ143" s="28" t="n">
        <f aca="false">AZ126</f>
        <v>156</v>
      </c>
      <c r="BA143" s="28" t="n">
        <f aca="false">BA126</f>
        <v>297</v>
      </c>
      <c r="BB143" s="28" t="n">
        <f aca="false">BB126</f>
        <v>172</v>
      </c>
      <c r="BC143" s="28" t="n">
        <f aca="false">BC126</f>
        <v>312</v>
      </c>
      <c r="BD143" s="28" t="n">
        <f aca="false">BD126</f>
        <v>781</v>
      </c>
      <c r="BE143" s="28" t="n">
        <f aca="false">BE126</f>
        <v>154</v>
      </c>
      <c r="BF143" s="28" t="n">
        <f aca="false">BF126</f>
        <v>189</v>
      </c>
      <c r="BG143" s="28" t="n">
        <f aca="false">BG126</f>
        <v>343</v>
      </c>
      <c r="BH143" s="28" t="n">
        <f aca="false">BH126</f>
        <v>82</v>
      </c>
      <c r="BI143" s="28" t="n">
        <f aca="false">BI126</f>
        <v>110</v>
      </c>
      <c r="BJ143" s="28" t="n">
        <f aca="false">BJ126</f>
        <v>535</v>
      </c>
      <c r="BK143" s="28" t="n">
        <f aca="false">BK126</f>
        <v>161</v>
      </c>
      <c r="BL143" s="28" t="n">
        <f aca="false">BL126</f>
        <v>163</v>
      </c>
      <c r="BM143" s="28" t="n">
        <f aca="false">BM126</f>
        <v>324</v>
      </c>
      <c r="BN143" s="28" t="n">
        <f aca="false">BN126</f>
        <v>161</v>
      </c>
      <c r="BO143" s="28" t="n">
        <f aca="false">BO126</f>
        <v>172</v>
      </c>
      <c r="BP143" s="28" t="n">
        <f aca="false">BP126</f>
        <v>657</v>
      </c>
      <c r="BQ143" s="28" t="n">
        <f aca="false">BQ126</f>
        <v>155</v>
      </c>
      <c r="BR143" s="28" t="n">
        <f aca="false">BR126</f>
        <v>210</v>
      </c>
      <c r="BS143" s="28" t="n">
        <f aca="false">BS126</f>
        <v>365</v>
      </c>
      <c r="BT143" s="29" t="n">
        <f aca="false">BT126</f>
        <v>184.875</v>
      </c>
      <c r="BU143" s="29" t="n">
        <f aca="false">BU126</f>
        <v>184.875</v>
      </c>
      <c r="BV143" s="29" t="n">
        <f aca="false">BV126</f>
        <v>734.75</v>
      </c>
      <c r="BW143" s="29" t="n">
        <f aca="false">BW126</f>
        <v>863.888529701023</v>
      </c>
      <c r="BX143" s="29" t="n">
        <f aca="false">BX126</f>
        <v>952.416047895358</v>
      </c>
      <c r="BY143" s="29" t="n">
        <f aca="false">BY126</f>
        <v>1044.53462610799</v>
      </c>
      <c r="BZ143" s="29" t="n">
        <f aca="false">BZ126</f>
        <v>1138.77964671479</v>
      </c>
      <c r="CA143" s="16"/>
      <c r="CC143" s="5"/>
      <c r="CD143" s="5"/>
      <c r="CE143" s="5"/>
    </row>
    <row r="144" customFormat="false" ht="15" hidden="false" customHeight="false" outlineLevel="0" collapsed="false">
      <c r="B144" s="1" t="s">
        <v>244</v>
      </c>
      <c r="C144" s="2" t="n">
        <f aca="false">C90</f>
        <v>-27</v>
      </c>
      <c r="D144" s="2" t="n">
        <f aca="false">D90</f>
        <v>-28</v>
      </c>
      <c r="E144" s="2" t="n">
        <f aca="false">E90</f>
        <v>-55</v>
      </c>
      <c r="F144" s="2" t="n">
        <f aca="false">F90</f>
        <v>-27</v>
      </c>
      <c r="G144" s="2" t="n">
        <f aca="false">G90</f>
        <v>-22</v>
      </c>
      <c r="H144" s="2" t="n">
        <f aca="false">H90</f>
        <v>-104</v>
      </c>
      <c r="I144" s="2" t="n">
        <f aca="false">I90</f>
        <v>-35</v>
      </c>
      <c r="J144" s="2" t="n">
        <f aca="false">J90</f>
        <v>-35</v>
      </c>
      <c r="K144" s="2" t="n">
        <f aca="false">K90</f>
        <v>-70</v>
      </c>
      <c r="L144" s="2" t="n">
        <f aca="false">L90</f>
        <v>-37</v>
      </c>
      <c r="M144" s="2" t="n">
        <f aca="false">M90</f>
        <v>-38</v>
      </c>
      <c r="N144" s="2" t="n">
        <f aca="false">N90</f>
        <v>-145</v>
      </c>
      <c r="O144" s="2" t="n">
        <f aca="false">O90</f>
        <v>-53</v>
      </c>
      <c r="P144" s="2" t="n">
        <f aca="false">P90</f>
        <v>-53</v>
      </c>
      <c r="Q144" s="2" t="n">
        <f aca="false">Q90</f>
        <v>-106</v>
      </c>
      <c r="R144" s="2" t="n">
        <f aca="false">R90</f>
        <v>-50</v>
      </c>
      <c r="S144" s="2" t="n">
        <f aca="false">S90</f>
        <v>-49</v>
      </c>
      <c r="T144" s="2" t="n">
        <f aca="false">T90</f>
        <v>-205</v>
      </c>
      <c r="U144" s="2" t="n">
        <f aca="false">U90</f>
        <v>-72</v>
      </c>
      <c r="V144" s="2" t="n">
        <f aca="false">V90</f>
        <v>-73</v>
      </c>
      <c r="W144" s="2" t="n">
        <f aca="false">W90</f>
        <v>-145</v>
      </c>
      <c r="X144" s="2" t="n">
        <f aca="false">X90</f>
        <v>-73</v>
      </c>
      <c r="Y144" s="2" t="n">
        <f aca="false">Y90</f>
        <v>-72</v>
      </c>
      <c r="Z144" s="2" t="n">
        <f aca="false">Z90</f>
        <v>-290</v>
      </c>
      <c r="AA144" s="2" t="n">
        <f aca="false">AA90</f>
        <v>-34</v>
      </c>
      <c r="AB144" s="2" t="n">
        <f aca="false">AB90</f>
        <v>-37</v>
      </c>
      <c r="AC144" s="2" t="n">
        <f aca="false">AC90</f>
        <v>-71</v>
      </c>
      <c r="AD144" s="2" t="n">
        <f aca="false">AD90</f>
        <v>-23</v>
      </c>
      <c r="AE144" s="2" t="n">
        <f aca="false">AE90</f>
        <v>-30</v>
      </c>
      <c r="AF144" s="2" t="n">
        <f aca="false">AF90</f>
        <v>-124</v>
      </c>
      <c r="AG144" s="2" t="n">
        <f aca="false">AG90</f>
        <v>-63</v>
      </c>
      <c r="AH144" s="2" t="n">
        <f aca="false">AH90</f>
        <v>-63</v>
      </c>
      <c r="AI144" s="2" t="n">
        <f aca="false">AI90</f>
        <v>-126</v>
      </c>
      <c r="AJ144" s="2" t="n">
        <f aca="false">AJ90</f>
        <v>-60</v>
      </c>
      <c r="AK144" s="2" t="n">
        <f aca="false">AK90</f>
        <v>-62</v>
      </c>
      <c r="AL144" s="2" t="n">
        <f aca="false">AL90</f>
        <v>-248</v>
      </c>
      <c r="AM144" s="2" t="n">
        <f aca="false">AM90</f>
        <v>40</v>
      </c>
      <c r="AN144" s="2" t="n">
        <f aca="false">AN90</f>
        <v>37</v>
      </c>
      <c r="AO144" s="2" t="n">
        <f aca="false">AO90</f>
        <v>77</v>
      </c>
      <c r="AP144" s="2" t="n">
        <f aca="false">AP90</f>
        <v>41</v>
      </c>
      <c r="AQ144" s="2" t="n">
        <f aca="false">AQ90</f>
        <v>39</v>
      </c>
      <c r="AR144" s="2" t="n">
        <f aca="false">AR90</f>
        <v>157</v>
      </c>
      <c r="AS144" s="2" t="n">
        <f aca="false">AS90</f>
        <v>37</v>
      </c>
      <c r="AT144" s="2" t="n">
        <f aca="false">AT90</f>
        <v>35</v>
      </c>
      <c r="AU144" s="2" t="n">
        <f aca="false">AU90</f>
        <v>72</v>
      </c>
      <c r="AV144" s="2" t="n">
        <f aca="false">AV90</f>
        <v>36</v>
      </c>
      <c r="AW144" s="2" t="n">
        <f aca="false">AW90</f>
        <v>37</v>
      </c>
      <c r="AX144" s="2" t="n">
        <f aca="false">AX90</f>
        <v>145</v>
      </c>
      <c r="AY144" s="2" t="n">
        <f aca="false">AY90</f>
        <v>19</v>
      </c>
      <c r="AZ144" s="2" t="n">
        <f aca="false">AZ90</f>
        <v>17</v>
      </c>
      <c r="BA144" s="2" t="n">
        <f aca="false">BA90</f>
        <v>36</v>
      </c>
      <c r="BB144" s="2" t="n">
        <f aca="false">BB90</f>
        <v>19</v>
      </c>
      <c r="BC144" s="2" t="n">
        <f aca="false">BC90</f>
        <v>17</v>
      </c>
      <c r="BD144" s="2" t="n">
        <f aca="false">BD90</f>
        <v>72</v>
      </c>
      <c r="BE144" s="2" t="n">
        <f aca="false">BE90</f>
        <v>17</v>
      </c>
      <c r="BF144" s="2" t="n">
        <f aca="false">BF90</f>
        <v>15</v>
      </c>
      <c r="BG144" s="2" t="n">
        <f aca="false">BG90</f>
        <v>32</v>
      </c>
      <c r="BH144" s="2" t="n">
        <f aca="false">BH90</f>
        <v>16</v>
      </c>
      <c r="BI144" s="2" t="n">
        <f aca="false">BI90</f>
        <v>14</v>
      </c>
      <c r="BJ144" s="2" t="n">
        <f aca="false">BJ90</f>
        <v>62</v>
      </c>
      <c r="BK144" s="2" t="n">
        <f aca="false">BK90</f>
        <v>10</v>
      </c>
      <c r="BL144" s="2" t="n">
        <f aca="false">BL90</f>
        <v>6</v>
      </c>
      <c r="BM144" s="2" t="n">
        <f aca="false">BM90</f>
        <v>16</v>
      </c>
      <c r="BN144" s="2" t="n">
        <f aca="false">BN90</f>
        <v>9</v>
      </c>
      <c r="BO144" s="2" t="n">
        <f aca="false">BO90</f>
        <v>10</v>
      </c>
      <c r="BP144" s="2" t="n">
        <f aca="false">BP90</f>
        <v>35</v>
      </c>
      <c r="BQ144" s="2" t="n">
        <f aca="false">BQ90</f>
        <v>9</v>
      </c>
      <c r="BR144" s="2" t="n">
        <f aca="false">BR90</f>
        <v>8</v>
      </c>
      <c r="BS144" s="2" t="n">
        <f aca="false">BS90</f>
        <v>17</v>
      </c>
      <c r="BT144" s="3" t="n">
        <f aca="false">BT90</f>
        <v>13.5</v>
      </c>
      <c r="BU144" s="3" t="n">
        <f aca="false">BU90</f>
        <v>13.5</v>
      </c>
      <c r="BV144" s="3" t="n">
        <f aca="false">BV90</f>
        <v>44</v>
      </c>
      <c r="BW144" s="3" t="n">
        <f aca="false">BW90</f>
        <v>44</v>
      </c>
      <c r="BX144" s="3" t="n">
        <f aca="false">BX90</f>
        <v>44</v>
      </c>
      <c r="BY144" s="3" t="n">
        <f aca="false">BY90</f>
        <v>44</v>
      </c>
      <c r="BZ144" s="3" t="n">
        <f aca="false">BZ90</f>
        <v>44</v>
      </c>
      <c r="CA144" s="16"/>
      <c r="CC144" s="5"/>
      <c r="CD144" s="5"/>
      <c r="CE144" s="5"/>
    </row>
    <row r="145" customFormat="false" ht="15" hidden="false" customHeight="false" outlineLevel="0" collapsed="false">
      <c r="B145" s="1" t="s">
        <v>245</v>
      </c>
      <c r="C145" s="2" t="n">
        <f aca="false">C91</f>
        <v>-1</v>
      </c>
      <c r="D145" s="2" t="n">
        <f aca="false">D91</f>
        <v>2</v>
      </c>
      <c r="E145" s="2" t="n">
        <f aca="false">E91</f>
        <v>1</v>
      </c>
      <c r="F145" s="2" t="n">
        <f aca="false">F91</f>
        <v>-1</v>
      </c>
      <c r="G145" s="2" t="n">
        <f aca="false">G91</f>
        <v>2</v>
      </c>
      <c r="H145" s="2" t="n">
        <f aca="false">H91</f>
        <v>2</v>
      </c>
      <c r="I145" s="2" t="n">
        <f aca="false">I91</f>
        <v>3</v>
      </c>
      <c r="J145" s="2" t="n">
        <f aca="false">J91</f>
        <v>2</v>
      </c>
      <c r="K145" s="2" t="n">
        <f aca="false">K91</f>
        <v>5</v>
      </c>
      <c r="L145" s="2" t="n">
        <f aca="false">L91</f>
        <v>2</v>
      </c>
      <c r="M145" s="2" t="n">
        <f aca="false">M91</f>
        <v>-5</v>
      </c>
      <c r="N145" s="2" t="n">
        <f aca="false">N91</f>
        <v>2</v>
      </c>
      <c r="O145" s="2" t="n">
        <f aca="false">O91</f>
        <v>5</v>
      </c>
      <c r="P145" s="2" t="n">
        <f aca="false">P91</f>
        <v>-1</v>
      </c>
      <c r="Q145" s="2" t="n">
        <f aca="false">Q91</f>
        <v>4</v>
      </c>
      <c r="R145" s="2" t="n">
        <f aca="false">R91</f>
        <v>1</v>
      </c>
      <c r="S145" s="2" t="n">
        <f aca="false">S91</f>
        <v>7</v>
      </c>
      <c r="T145" s="2" t="n">
        <f aca="false">T91</f>
        <v>12</v>
      </c>
      <c r="U145" s="2" t="n">
        <f aca="false">U91</f>
        <v>-2</v>
      </c>
      <c r="V145" s="2" t="n">
        <f aca="false">V91</f>
        <v>-3</v>
      </c>
      <c r="W145" s="2" t="n">
        <f aca="false">W91</f>
        <v>-5</v>
      </c>
      <c r="X145" s="2" t="n">
        <f aca="false">X91</f>
        <v>0</v>
      </c>
      <c r="Y145" s="2" t="n">
        <f aca="false">Y91</f>
        <v>7</v>
      </c>
      <c r="Z145" s="2" t="n">
        <f aca="false">Z91</f>
        <v>2</v>
      </c>
      <c r="AA145" s="2" t="n">
        <f aca="false">AA91</f>
        <v>2</v>
      </c>
      <c r="AB145" s="2" t="n">
        <f aca="false">AB91</f>
        <v>0</v>
      </c>
      <c r="AC145" s="2" t="n">
        <f aca="false">AC91</f>
        <v>2</v>
      </c>
      <c r="AD145" s="2" t="n">
        <f aca="false">AD91</f>
        <v>0</v>
      </c>
      <c r="AE145" s="2" t="n">
        <f aca="false">AE91</f>
        <v>17</v>
      </c>
      <c r="AF145" s="2" t="n">
        <f aca="false">AF91</f>
        <v>19</v>
      </c>
      <c r="AG145" s="2" t="n">
        <f aca="false">AG91</f>
        <v>4</v>
      </c>
      <c r="AH145" s="2" t="n">
        <f aca="false">AH91</f>
        <v>1</v>
      </c>
      <c r="AI145" s="2" t="n">
        <f aca="false">AI91</f>
        <v>5</v>
      </c>
      <c r="AJ145" s="2" t="n">
        <f aca="false">AJ91</f>
        <v>0</v>
      </c>
      <c r="AK145" s="2" t="n">
        <f aca="false">AK91</f>
        <v>-1</v>
      </c>
      <c r="AL145" s="2" t="n">
        <f aca="false">AL91</f>
        <v>4</v>
      </c>
      <c r="AM145" s="2" t="n">
        <f aca="false">AM91</f>
        <v>4</v>
      </c>
      <c r="AN145" s="2" t="n">
        <f aca="false">AN91</f>
        <v>4</v>
      </c>
      <c r="AO145" s="2" t="n">
        <f aca="false">AO91</f>
        <v>8</v>
      </c>
      <c r="AP145" s="2" t="n">
        <f aca="false">AP91</f>
        <v>4</v>
      </c>
      <c r="AQ145" s="2" t="n">
        <f aca="false">AQ91</f>
        <v>1</v>
      </c>
      <c r="AR145" s="2" t="n">
        <f aca="false">AR91</f>
        <v>13</v>
      </c>
      <c r="AS145" s="2" t="n">
        <f aca="false">AS91</f>
        <v>1</v>
      </c>
      <c r="AT145" s="2" t="n">
        <f aca="false">AT91</f>
        <v>-1</v>
      </c>
      <c r="AU145" s="2" t="n">
        <f aca="false">AU91</f>
        <v>0</v>
      </c>
      <c r="AV145" s="2" t="n">
        <f aca="false">AV91</f>
        <v>-1</v>
      </c>
      <c r="AW145" s="2" t="n">
        <f aca="false">AW91</f>
        <v>3</v>
      </c>
      <c r="AX145" s="2" t="n">
        <f aca="false">AX91</f>
        <v>2</v>
      </c>
      <c r="AY145" s="2" t="n">
        <f aca="false">AY91</f>
        <v>-4</v>
      </c>
      <c r="AZ145" s="2" t="n">
        <f aca="false">AZ91</f>
        <v>-4</v>
      </c>
      <c r="BA145" s="2" t="n">
        <f aca="false">BA91</f>
        <v>-8</v>
      </c>
      <c r="BB145" s="2" t="n">
        <f aca="false">BB91</f>
        <v>-4</v>
      </c>
      <c r="BC145" s="2" t="n">
        <f aca="false">BC91</f>
        <v>1</v>
      </c>
      <c r="BD145" s="2" t="n">
        <f aca="false">BD91</f>
        <v>-11</v>
      </c>
      <c r="BE145" s="2" t="n">
        <f aca="false">BE91</f>
        <v>-1</v>
      </c>
      <c r="BF145" s="2" t="n">
        <f aca="false">BF91</f>
        <v>-1</v>
      </c>
      <c r="BG145" s="2" t="n">
        <f aca="false">BG91</f>
        <v>-2</v>
      </c>
      <c r="BH145" s="2" t="n">
        <f aca="false">BH91</f>
        <v>-1</v>
      </c>
      <c r="BI145" s="2" t="n">
        <f aca="false">BI91</f>
        <v>-21</v>
      </c>
      <c r="BJ145" s="2" t="n">
        <f aca="false">BJ91</f>
        <v>-24</v>
      </c>
      <c r="BK145" s="2" t="n">
        <f aca="false">BK91</f>
        <v>0</v>
      </c>
      <c r="BL145" s="2" t="n">
        <f aca="false">BL91</f>
        <v>3</v>
      </c>
      <c r="BM145" s="2" t="n">
        <f aca="false">BM91</f>
        <v>3</v>
      </c>
      <c r="BN145" s="2" t="n">
        <f aca="false">BN91</f>
        <v>9</v>
      </c>
      <c r="BO145" s="2" t="n">
        <f aca="false">BO91</f>
        <v>13</v>
      </c>
      <c r="BP145" s="2" t="n">
        <f aca="false">BP91</f>
        <v>25</v>
      </c>
      <c r="BQ145" s="2" t="n">
        <f aca="false">BQ91</f>
        <v>8</v>
      </c>
      <c r="BR145" s="2" t="n">
        <f aca="false">BR91</f>
        <v>6</v>
      </c>
      <c r="BS145" s="2" t="n">
        <f aca="false">BS91</f>
        <v>14</v>
      </c>
      <c r="BT145" s="3" t="n">
        <f aca="false">BT91</f>
        <v>3</v>
      </c>
      <c r="BU145" s="3" t="n">
        <f aca="false">BU91</f>
        <v>3</v>
      </c>
      <c r="BV145" s="3" t="n">
        <f aca="false">BV91</f>
        <v>20</v>
      </c>
      <c r="BW145" s="3" t="n">
        <f aca="false">BW91</f>
        <v>20</v>
      </c>
      <c r="BX145" s="3" t="n">
        <f aca="false">BX91</f>
        <v>20</v>
      </c>
      <c r="BY145" s="3" t="n">
        <f aca="false">BY91</f>
        <v>20</v>
      </c>
      <c r="BZ145" s="3" t="n">
        <f aca="false">BZ91</f>
        <v>20</v>
      </c>
      <c r="CA145" s="16"/>
      <c r="CC145" s="5"/>
      <c r="CD145" s="5"/>
      <c r="CE145" s="5"/>
    </row>
    <row r="146" customFormat="false" ht="15" hidden="false" customHeight="false" outlineLevel="0" collapsed="false">
      <c r="B146" s="32" t="s">
        <v>246</v>
      </c>
      <c r="C146" s="28" t="n">
        <f aca="false">C143+C144+C145</f>
        <v>128</v>
      </c>
      <c r="D146" s="28" t="n">
        <f aca="false">D143+D144+D145</f>
        <v>243</v>
      </c>
      <c r="E146" s="28" t="n">
        <f aca="false">E143+E144+E145</f>
        <v>371</v>
      </c>
      <c r="F146" s="28" t="n">
        <f aca="false">F143+F144+F145</f>
        <v>172</v>
      </c>
      <c r="G146" s="28" t="n">
        <f aca="false">G143+G144+G145</f>
        <v>124</v>
      </c>
      <c r="H146" s="34" t="n">
        <f aca="false">H143+H144+H145</f>
        <v>667</v>
      </c>
      <c r="I146" s="28" t="n">
        <f aca="false">I143+I144+I145</f>
        <v>166</v>
      </c>
      <c r="J146" s="28" t="n">
        <f aca="false">J143+J144+J145</f>
        <v>184</v>
      </c>
      <c r="K146" s="28" t="n">
        <f aca="false">K143+K144+K145</f>
        <v>350</v>
      </c>
      <c r="L146" s="28" t="n">
        <f aca="false">L143+L144+L145</f>
        <v>140</v>
      </c>
      <c r="M146" s="28" t="n">
        <f aca="false">M143+M144+M145</f>
        <v>225</v>
      </c>
      <c r="N146" s="34" t="n">
        <f aca="false">N143+N144+N145</f>
        <v>715</v>
      </c>
      <c r="O146" s="28" t="n">
        <f aca="false">O143+O144+O145</f>
        <v>120</v>
      </c>
      <c r="P146" s="28" t="n">
        <f aca="false">P143+P144+P145</f>
        <v>187</v>
      </c>
      <c r="Q146" s="28" t="n">
        <f aca="false">Q143+Q144+Q145</f>
        <v>307</v>
      </c>
      <c r="R146" s="28" t="n">
        <f aca="false">R143+R144+R145</f>
        <v>192</v>
      </c>
      <c r="S146" s="28" t="n">
        <f aca="false">S143+S144+S145</f>
        <v>189</v>
      </c>
      <c r="T146" s="34" t="n">
        <f aca="false">T143+T144+T145</f>
        <v>688</v>
      </c>
      <c r="U146" s="28" t="n">
        <f aca="false">U143+U144+U145</f>
        <v>117</v>
      </c>
      <c r="V146" s="28" t="n">
        <f aca="false">V143+V144+V145</f>
        <v>181</v>
      </c>
      <c r="W146" s="28" t="n">
        <f aca="false">W143+W144+W145</f>
        <v>298</v>
      </c>
      <c r="X146" s="28" t="n">
        <f aca="false">X143+X144+X145</f>
        <v>217</v>
      </c>
      <c r="Y146" s="28" t="n">
        <f aca="false">Y143+Y144+Y145</f>
        <v>148</v>
      </c>
      <c r="Z146" s="34" t="n">
        <f aca="false">Z143+Z144+Z145</f>
        <v>663</v>
      </c>
      <c r="AA146" s="28" t="n">
        <f aca="false">AA143+AA144+AA145</f>
        <v>129</v>
      </c>
      <c r="AB146" s="28" t="n">
        <f aca="false">AB143+AB144+AB145</f>
        <v>138</v>
      </c>
      <c r="AC146" s="28" t="n">
        <f aca="false">AC143+AC144+AC145</f>
        <v>267</v>
      </c>
      <c r="AD146" s="28" t="n">
        <f aca="false">AD143+AD144+AD145</f>
        <v>191</v>
      </c>
      <c r="AE146" s="28" t="n">
        <f aca="false">AE143+AE144+AE145</f>
        <v>173</v>
      </c>
      <c r="AF146" s="34" t="n">
        <f aca="false">AF143+AF144+AF145</f>
        <v>631</v>
      </c>
      <c r="AG146" s="28" t="n">
        <f aca="false">AG143+AG144+AG145</f>
        <v>156</v>
      </c>
      <c r="AH146" s="28" t="n">
        <f aca="false">AH143+AH144+AH145</f>
        <v>-5</v>
      </c>
      <c r="AI146" s="28" t="n">
        <f aca="false">AI143+AI144+AI145</f>
        <v>151</v>
      </c>
      <c r="AJ146" s="28" t="n">
        <f aca="false">AJ143+AJ144+AJ145</f>
        <v>162</v>
      </c>
      <c r="AK146" s="28" t="n">
        <f aca="false">AK143+AK144+AK145</f>
        <v>242</v>
      </c>
      <c r="AL146" s="34" t="n">
        <f aca="false">AL143+AL144+AL145</f>
        <v>555</v>
      </c>
      <c r="AM146" s="28" t="n">
        <f aca="false">AM143+AM144+AM145</f>
        <v>191</v>
      </c>
      <c r="AN146" s="28" t="n">
        <f aca="false">AN143+AN144+AN145</f>
        <v>169</v>
      </c>
      <c r="AO146" s="28" t="n">
        <f aca="false">AO143+AO144+AO145</f>
        <v>360</v>
      </c>
      <c r="AP146" s="28" t="n">
        <f aca="false">AP143+AP144+AP145</f>
        <v>163</v>
      </c>
      <c r="AQ146" s="28" t="n">
        <f aca="false">AQ143+AQ144+AQ145</f>
        <v>160</v>
      </c>
      <c r="AR146" s="34" t="n">
        <f aca="false">AR143+AR144+AR145</f>
        <v>683</v>
      </c>
      <c r="AS146" s="28" t="n">
        <f aca="false">AS143+AS144+AS145</f>
        <v>176</v>
      </c>
      <c r="AT146" s="28" t="n">
        <f aca="false">AT143+AT144+AT145</f>
        <v>225</v>
      </c>
      <c r="AU146" s="28" t="n">
        <f aca="false">AU143+AU144+AU145</f>
        <v>401</v>
      </c>
      <c r="AV146" s="28" t="n">
        <f aca="false">AV143+AV144+AV145</f>
        <v>166</v>
      </c>
      <c r="AW146" s="28" t="n">
        <f aca="false">AW143+AW144+AW145</f>
        <v>145</v>
      </c>
      <c r="AX146" s="34" t="n">
        <f aca="false">AX143+AX144+AX145</f>
        <v>712</v>
      </c>
      <c r="AY146" s="28" t="n">
        <f aca="false">AY143+AY144+AY145</f>
        <v>156</v>
      </c>
      <c r="AZ146" s="28" t="n">
        <f aca="false">AZ143+AZ144+AZ145</f>
        <v>169</v>
      </c>
      <c r="BA146" s="28" t="n">
        <f aca="false">BA143+BA144+BA145</f>
        <v>325</v>
      </c>
      <c r="BB146" s="28" t="n">
        <f aca="false">BB143+BB144+BB145</f>
        <v>187</v>
      </c>
      <c r="BC146" s="28" t="n">
        <f aca="false">BC143+BC144+BC145</f>
        <v>330</v>
      </c>
      <c r="BD146" s="34" t="n">
        <f aca="false">BD143+BD144+BD145</f>
        <v>842</v>
      </c>
      <c r="BE146" s="28" t="n">
        <f aca="false">BE143+BE144+BE145</f>
        <v>170</v>
      </c>
      <c r="BF146" s="28" t="n">
        <f aca="false">BF143+BF144+BF145</f>
        <v>203</v>
      </c>
      <c r="BG146" s="28" t="n">
        <f aca="false">BG143+BG144+BG145</f>
        <v>373</v>
      </c>
      <c r="BH146" s="28" t="n">
        <f aca="false">BH143+BH144+BH145</f>
        <v>97</v>
      </c>
      <c r="BI146" s="28" t="n">
        <f aca="false">BI143+BI144+BI145</f>
        <v>103</v>
      </c>
      <c r="BJ146" s="34" t="n">
        <f aca="false">BJ143+BJ144+BJ145</f>
        <v>573</v>
      </c>
      <c r="BK146" s="28" t="n">
        <f aca="false">BK143+BK144+BK145</f>
        <v>171</v>
      </c>
      <c r="BL146" s="28" t="n">
        <f aca="false">BL143+BL144+BL145</f>
        <v>172</v>
      </c>
      <c r="BM146" s="28" t="n">
        <f aca="false">BM143+BM144+BM145</f>
        <v>343</v>
      </c>
      <c r="BN146" s="28" t="n">
        <f aca="false">BN143+BN144+BN145</f>
        <v>179</v>
      </c>
      <c r="BO146" s="28" t="n">
        <f aca="false">BO143+BO144+BO145</f>
        <v>195</v>
      </c>
      <c r="BP146" s="34" t="n">
        <f aca="false">BP143+BP144+BP145</f>
        <v>717</v>
      </c>
      <c r="BQ146" s="28" t="n">
        <f aca="false">BQ143+BQ144+BQ145</f>
        <v>172</v>
      </c>
      <c r="BR146" s="28" t="n">
        <f aca="false">BR143+BR144+BR145</f>
        <v>224</v>
      </c>
      <c r="BS146" s="28" t="n">
        <f aca="false">BS143+BS144+BS145</f>
        <v>396</v>
      </c>
      <c r="BT146" s="34" t="n">
        <f aca="false">BT143+BT144+BT145</f>
        <v>201.375</v>
      </c>
      <c r="BU146" s="34" t="n">
        <f aca="false">BU143+BU144+BU145</f>
        <v>201.375</v>
      </c>
      <c r="BV146" s="34" t="n">
        <f aca="false">BV143+BV144+BV145</f>
        <v>798.75</v>
      </c>
      <c r="BW146" s="34" t="n">
        <f aca="false">BW143+BW144+BW145</f>
        <v>927.888529701023</v>
      </c>
      <c r="BX146" s="34" t="n">
        <f aca="false">BX143+BX144+BX145</f>
        <v>1016.41604789536</v>
      </c>
      <c r="BY146" s="34" t="n">
        <f aca="false">BY143+BY144+BY145</f>
        <v>1108.53462610799</v>
      </c>
      <c r="BZ146" s="34" t="n">
        <f aca="false">BZ143+BZ144+BZ145</f>
        <v>1202.77964671479</v>
      </c>
      <c r="CA146" s="16"/>
      <c r="CC146" s="30" t="n">
        <f aca="false">IFERROR((BZ146/BP146)^(1/5)-1,"n/m")</f>
        <v>0.109004690401905</v>
      </c>
      <c r="CD146" s="30" t="n">
        <f aca="false">IFERROR((BP146/AL146)^(1/5)-1,"n/m")</f>
        <v>0.0525560563757745</v>
      </c>
      <c r="CE146" s="30" t="n">
        <f aca="false">IFERROR((BP146/H146)^(1/10)-1,"n/m")</f>
        <v>0.00725476871461694</v>
      </c>
    </row>
    <row r="147" customFormat="false" ht="15" hidden="false" customHeight="false" outlineLevel="0" collapsed="false">
      <c r="B147" s="1" t="s">
        <v>247</v>
      </c>
      <c r="C147" s="2" t="n">
        <f aca="false">C152+C153</f>
        <v>0</v>
      </c>
      <c r="D147" s="2" t="n">
        <f aca="false">D152+D153</f>
        <v>-77</v>
      </c>
      <c r="E147" s="2" t="n">
        <f aca="false">E152+E153</f>
        <v>-77</v>
      </c>
      <c r="F147" s="2" t="n">
        <f aca="false">F152+F153</f>
        <v>0</v>
      </c>
      <c r="G147" s="2" t="n">
        <f aca="false">G152+G153</f>
        <v>43</v>
      </c>
      <c r="H147" s="2" t="n">
        <f aca="false">H152+H153</f>
        <v>-34</v>
      </c>
      <c r="I147" s="2" t="n">
        <f aca="false">I152+I153</f>
        <v>0</v>
      </c>
      <c r="J147" s="2" t="n">
        <f aca="false">J152+J153</f>
        <v>0</v>
      </c>
      <c r="K147" s="2" t="n">
        <f aca="false">K152+K153</f>
        <v>0</v>
      </c>
      <c r="L147" s="2" t="n">
        <f aca="false">L152+L153</f>
        <v>0</v>
      </c>
      <c r="M147" s="2" t="n">
        <f aca="false">M152+M153</f>
        <v>0</v>
      </c>
      <c r="N147" s="2" t="n">
        <f aca="false">N152+N153</f>
        <v>0</v>
      </c>
      <c r="O147" s="2" t="n">
        <f aca="false">O152+O153</f>
        <v>0</v>
      </c>
      <c r="P147" s="2" t="n">
        <f aca="false">P152+P153</f>
        <v>0</v>
      </c>
      <c r="Q147" s="2" t="n">
        <f aca="false">Q152+Q153</f>
        <v>0</v>
      </c>
      <c r="R147" s="2" t="n">
        <f aca="false">R152+R153</f>
        <v>0</v>
      </c>
      <c r="S147" s="2" t="n">
        <f aca="false">S152+S153</f>
        <v>0</v>
      </c>
      <c r="T147" s="2" t="n">
        <f aca="false">T152+T153</f>
        <v>0</v>
      </c>
      <c r="U147" s="2" t="n">
        <f aca="false">U152+U153</f>
        <v>0</v>
      </c>
      <c r="V147" s="2" t="n">
        <f aca="false">V152+V153</f>
        <v>0</v>
      </c>
      <c r="W147" s="2" t="n">
        <f aca="false">W152+W153</f>
        <v>0</v>
      </c>
      <c r="X147" s="2" t="n">
        <f aca="false">X152+X153</f>
        <v>0</v>
      </c>
      <c r="Y147" s="2" t="n">
        <f aca="false">Y152+Y153</f>
        <v>0</v>
      </c>
      <c r="Z147" s="2" t="n">
        <f aca="false">Z152+Z153</f>
        <v>0</v>
      </c>
      <c r="AA147" s="2" t="n">
        <f aca="false">AA152+AA153</f>
        <v>0</v>
      </c>
      <c r="AB147" s="2" t="n">
        <f aca="false">AB152+AB153</f>
        <v>0</v>
      </c>
      <c r="AC147" s="2" t="n">
        <f aca="false">AC152+AC153</f>
        <v>0</v>
      </c>
      <c r="AD147" s="2" t="n">
        <f aca="false">AD152+AD153</f>
        <v>0</v>
      </c>
      <c r="AE147" s="2" t="n">
        <f aca="false">AE152+AE153</f>
        <v>35</v>
      </c>
      <c r="AF147" s="2" t="n">
        <f aca="false">AF152+AF153</f>
        <v>35</v>
      </c>
      <c r="AG147" s="2" t="n">
        <f aca="false">AG152+AG153</f>
        <v>0</v>
      </c>
      <c r="AH147" s="2" t="n">
        <f aca="false">AH152+AH153</f>
        <v>0</v>
      </c>
      <c r="AI147" s="2" t="n">
        <f aca="false">AI152+AI153</f>
        <v>0</v>
      </c>
      <c r="AJ147" s="2" t="n">
        <f aca="false">AJ152+AJ153</f>
        <v>0</v>
      </c>
      <c r="AK147" s="2" t="n">
        <f aca="false">AK152+AK153</f>
        <v>0</v>
      </c>
      <c r="AL147" s="2" t="n">
        <f aca="false">AL152+AL153</f>
        <v>0</v>
      </c>
      <c r="AM147" s="2" t="n">
        <f aca="false">AM152+AM153</f>
        <v>0</v>
      </c>
      <c r="AN147" s="2" t="n">
        <f aca="false">AN152+AN153</f>
        <v>0</v>
      </c>
      <c r="AO147" s="2" t="n">
        <f aca="false">AO152+AO153</f>
        <v>0</v>
      </c>
      <c r="AP147" s="2" t="n">
        <f aca="false">AP152+AP153</f>
        <v>0</v>
      </c>
      <c r="AQ147" s="2" t="n">
        <f aca="false">AQ152+AQ153</f>
        <v>0</v>
      </c>
      <c r="AR147" s="2" t="n">
        <f aca="false">AR152+AR153</f>
        <v>0</v>
      </c>
      <c r="AS147" s="2" t="n">
        <f aca="false">AS152+AS153</f>
        <v>0</v>
      </c>
      <c r="AT147" s="2" t="n">
        <f aca="false">AT152+AT153</f>
        <v>0</v>
      </c>
      <c r="AU147" s="2" t="n">
        <f aca="false">AU152+AU153</f>
        <v>0</v>
      </c>
      <c r="AV147" s="2" t="n">
        <f aca="false">AV152+AV153</f>
        <v>0</v>
      </c>
      <c r="AW147" s="2" t="n">
        <f aca="false">AW152+AW153</f>
        <v>0</v>
      </c>
      <c r="AX147" s="2" t="n">
        <f aca="false">AX152+AX153</f>
        <v>0</v>
      </c>
      <c r="AY147" s="2" t="n">
        <f aca="false">AY152+AY153</f>
        <v>0</v>
      </c>
      <c r="AZ147" s="2" t="n">
        <f aca="false">AZ152+AZ153</f>
        <v>0</v>
      </c>
      <c r="BA147" s="2" t="n">
        <f aca="false">BA152+BA153</f>
        <v>0</v>
      </c>
      <c r="BB147" s="2" t="n">
        <f aca="false">BB152+BB153</f>
        <v>0</v>
      </c>
      <c r="BC147" s="2" t="n">
        <f aca="false">BC152+BC153</f>
        <v>0</v>
      </c>
      <c r="BD147" s="2" t="n">
        <f aca="false">BD152+BD153</f>
        <v>0</v>
      </c>
      <c r="BE147" s="2" t="n">
        <f aca="false">BE152+BE153</f>
        <v>0</v>
      </c>
      <c r="BF147" s="2" t="n">
        <f aca="false">BF152+BF153</f>
        <v>0</v>
      </c>
      <c r="BG147" s="2" t="n">
        <f aca="false">BG152+BG153</f>
        <v>0</v>
      </c>
      <c r="BH147" s="2" t="n">
        <f aca="false">BH152+BH153</f>
        <v>0</v>
      </c>
      <c r="BI147" s="2" t="n">
        <f aca="false">BI152+BI153</f>
        <v>0</v>
      </c>
      <c r="BJ147" s="2" t="n">
        <f aca="false">BJ152+BJ153</f>
        <v>0</v>
      </c>
      <c r="BK147" s="2" t="n">
        <f aca="false">BK152+BK153</f>
        <v>0</v>
      </c>
      <c r="BL147" s="2" t="n">
        <f aca="false">BL152+BL153</f>
        <v>0</v>
      </c>
      <c r="BM147" s="2" t="n">
        <f aca="false">BM152+BM153</f>
        <v>0</v>
      </c>
      <c r="BN147" s="2" t="n">
        <f aca="false">BN152+BN153</f>
        <v>0</v>
      </c>
      <c r="BO147" s="2" t="n">
        <f aca="false">BO152+BO153</f>
        <v>0</v>
      </c>
      <c r="BP147" s="2" t="n">
        <f aca="false">BP152+BP153</f>
        <v>0</v>
      </c>
      <c r="BQ147" s="2" t="n">
        <f aca="false">BQ152+BQ153</f>
        <v>0</v>
      </c>
      <c r="BR147" s="2" t="n">
        <f aca="false">BR152+BR153</f>
        <v>0</v>
      </c>
      <c r="BS147" s="2" t="n">
        <f aca="false">BS152+BS153</f>
        <v>0</v>
      </c>
      <c r="BT147" s="3" t="n">
        <f aca="false">BT152+BT153</f>
        <v>0</v>
      </c>
      <c r="BU147" s="3" t="n">
        <f aca="false">BU152+BU153</f>
        <v>0</v>
      </c>
      <c r="BV147" s="3" t="n">
        <f aca="false">BV152+BV153</f>
        <v>0</v>
      </c>
      <c r="BW147" s="3" t="n">
        <f aca="false">BW152+BW153</f>
        <v>0</v>
      </c>
      <c r="BX147" s="3" t="n">
        <f aca="false">BX152+BX153</f>
        <v>0</v>
      </c>
      <c r="BY147" s="3" t="n">
        <f aca="false">BY152+BY153</f>
        <v>0</v>
      </c>
      <c r="BZ147" s="3" t="n">
        <f aca="false">BZ152+BZ153</f>
        <v>0</v>
      </c>
      <c r="CA147" s="16"/>
      <c r="CC147" s="5"/>
      <c r="CD147" s="5"/>
      <c r="CE147" s="5"/>
    </row>
    <row r="148" customFormat="false" ht="15" hidden="false" customHeight="false" outlineLevel="0" collapsed="false">
      <c r="B148" s="32" t="s">
        <v>248</v>
      </c>
      <c r="C148" s="28" t="n">
        <f aca="false">C146+C147</f>
        <v>128</v>
      </c>
      <c r="D148" s="28" t="n">
        <f aca="false">D146+D147</f>
        <v>166</v>
      </c>
      <c r="E148" s="28" t="n">
        <f aca="false">E146+E147</f>
        <v>294</v>
      </c>
      <c r="F148" s="28" t="n">
        <f aca="false">F146+F147</f>
        <v>172</v>
      </c>
      <c r="G148" s="28" t="n">
        <f aca="false">G146+G147</f>
        <v>167</v>
      </c>
      <c r="H148" s="34" t="n">
        <f aca="false">H146+H147</f>
        <v>633</v>
      </c>
      <c r="I148" s="28" t="n">
        <f aca="false">I146+I147</f>
        <v>166</v>
      </c>
      <c r="J148" s="28" t="n">
        <f aca="false">J146+J147</f>
        <v>184</v>
      </c>
      <c r="K148" s="28" t="n">
        <f aca="false">K146+K147</f>
        <v>350</v>
      </c>
      <c r="L148" s="28" t="n">
        <f aca="false">L146+L147</f>
        <v>140</v>
      </c>
      <c r="M148" s="28" t="n">
        <f aca="false">M146+M147</f>
        <v>225</v>
      </c>
      <c r="N148" s="34" t="n">
        <f aca="false">N146+N147</f>
        <v>715</v>
      </c>
      <c r="O148" s="28" t="n">
        <f aca="false">O146+O147</f>
        <v>120</v>
      </c>
      <c r="P148" s="28" t="n">
        <f aca="false">P146+P147</f>
        <v>187</v>
      </c>
      <c r="Q148" s="28" t="n">
        <f aca="false">Q146+Q147</f>
        <v>307</v>
      </c>
      <c r="R148" s="28" t="n">
        <f aca="false">R146+R147</f>
        <v>192</v>
      </c>
      <c r="S148" s="28" t="n">
        <f aca="false">S146+S147</f>
        <v>189</v>
      </c>
      <c r="T148" s="34" t="n">
        <f aca="false">T146+T147</f>
        <v>688</v>
      </c>
      <c r="U148" s="28" t="n">
        <f aca="false">U146+U147</f>
        <v>117</v>
      </c>
      <c r="V148" s="28" t="n">
        <f aca="false">V146+V147</f>
        <v>181</v>
      </c>
      <c r="W148" s="28" t="n">
        <f aca="false">W146+W147</f>
        <v>298</v>
      </c>
      <c r="X148" s="28" t="n">
        <f aca="false">X146+X147</f>
        <v>217</v>
      </c>
      <c r="Y148" s="28" t="n">
        <f aca="false">Y146+Y147</f>
        <v>148</v>
      </c>
      <c r="Z148" s="34" t="n">
        <f aca="false">Z146+Z147</f>
        <v>663</v>
      </c>
      <c r="AA148" s="28" t="n">
        <f aca="false">AA146+AA147</f>
        <v>129</v>
      </c>
      <c r="AB148" s="28" t="n">
        <f aca="false">AB146+AB147</f>
        <v>138</v>
      </c>
      <c r="AC148" s="28" t="n">
        <f aca="false">AC146+AC147</f>
        <v>267</v>
      </c>
      <c r="AD148" s="28" t="n">
        <f aca="false">AD146+AD147</f>
        <v>191</v>
      </c>
      <c r="AE148" s="28" t="n">
        <f aca="false">AE146+AE147</f>
        <v>208</v>
      </c>
      <c r="AF148" s="34" t="n">
        <f aca="false">AF146+AF147</f>
        <v>666</v>
      </c>
      <c r="AG148" s="28" t="n">
        <f aca="false">AG146+AG147</f>
        <v>156</v>
      </c>
      <c r="AH148" s="28" t="n">
        <f aca="false">AH146+AH147</f>
        <v>-5</v>
      </c>
      <c r="AI148" s="28" t="n">
        <f aca="false">AI146+AI147</f>
        <v>151</v>
      </c>
      <c r="AJ148" s="28" t="n">
        <f aca="false">AJ146+AJ147</f>
        <v>162</v>
      </c>
      <c r="AK148" s="28" t="n">
        <f aca="false">AK146+AK147</f>
        <v>242</v>
      </c>
      <c r="AL148" s="34" t="n">
        <f aca="false">AL146+AL147</f>
        <v>555</v>
      </c>
      <c r="AM148" s="28" t="n">
        <f aca="false">AM146+AM147</f>
        <v>191</v>
      </c>
      <c r="AN148" s="28" t="n">
        <f aca="false">AN146+AN147</f>
        <v>169</v>
      </c>
      <c r="AO148" s="28" t="n">
        <f aca="false">AO146+AO147</f>
        <v>360</v>
      </c>
      <c r="AP148" s="28" t="n">
        <f aca="false">AP146+AP147</f>
        <v>163</v>
      </c>
      <c r="AQ148" s="28" t="n">
        <f aca="false">AQ146+AQ147</f>
        <v>160</v>
      </c>
      <c r="AR148" s="34" t="n">
        <f aca="false">AR146+AR147</f>
        <v>683</v>
      </c>
      <c r="AS148" s="28" t="n">
        <f aca="false">AS146+AS147</f>
        <v>176</v>
      </c>
      <c r="AT148" s="28" t="n">
        <f aca="false">AT146+AT147</f>
        <v>225</v>
      </c>
      <c r="AU148" s="28" t="n">
        <f aca="false">AU146+AU147</f>
        <v>401</v>
      </c>
      <c r="AV148" s="28" t="n">
        <f aca="false">AV146+AV147</f>
        <v>166</v>
      </c>
      <c r="AW148" s="28" t="n">
        <f aca="false">AW146+AW147</f>
        <v>145</v>
      </c>
      <c r="AX148" s="34" t="n">
        <f aca="false">AX146+AX147</f>
        <v>712</v>
      </c>
      <c r="AY148" s="28" t="n">
        <f aca="false">AY146+AY147</f>
        <v>156</v>
      </c>
      <c r="AZ148" s="28" t="n">
        <f aca="false">AZ146+AZ147</f>
        <v>169</v>
      </c>
      <c r="BA148" s="28" t="n">
        <f aca="false">BA146+BA147</f>
        <v>325</v>
      </c>
      <c r="BB148" s="28" t="n">
        <f aca="false">BB146+BB147</f>
        <v>187</v>
      </c>
      <c r="BC148" s="28" t="n">
        <f aca="false">BC146+BC147</f>
        <v>330</v>
      </c>
      <c r="BD148" s="34" t="n">
        <f aca="false">BD146+BD147</f>
        <v>842</v>
      </c>
      <c r="BE148" s="28" t="n">
        <f aca="false">BE146+BE147</f>
        <v>170</v>
      </c>
      <c r="BF148" s="28" t="n">
        <f aca="false">BF146+BF147</f>
        <v>203</v>
      </c>
      <c r="BG148" s="28" t="n">
        <f aca="false">BG146+BG147</f>
        <v>373</v>
      </c>
      <c r="BH148" s="28" t="n">
        <f aca="false">BH146+BH147</f>
        <v>97</v>
      </c>
      <c r="BI148" s="28" t="n">
        <f aca="false">BI146+BI147</f>
        <v>103</v>
      </c>
      <c r="BJ148" s="34" t="n">
        <f aca="false">BJ146+BJ147</f>
        <v>573</v>
      </c>
      <c r="BK148" s="28" t="n">
        <f aca="false">BK146+BK147</f>
        <v>171</v>
      </c>
      <c r="BL148" s="28" t="n">
        <f aca="false">BL146+BL147</f>
        <v>172</v>
      </c>
      <c r="BM148" s="28" t="n">
        <f aca="false">BM146+BM147</f>
        <v>343</v>
      </c>
      <c r="BN148" s="28" t="n">
        <f aca="false">BN146+BN147</f>
        <v>179</v>
      </c>
      <c r="BO148" s="28" t="n">
        <f aca="false">BO146+BO147</f>
        <v>195</v>
      </c>
      <c r="BP148" s="34" t="n">
        <f aca="false">BP146+BP147</f>
        <v>717</v>
      </c>
      <c r="BQ148" s="28" t="n">
        <f aca="false">BQ146+BQ147</f>
        <v>172</v>
      </c>
      <c r="BR148" s="28" t="n">
        <f aca="false">BR146+BR147</f>
        <v>224</v>
      </c>
      <c r="BS148" s="28" t="n">
        <f aca="false">BS146+BS147</f>
        <v>396</v>
      </c>
      <c r="BT148" s="34" t="n">
        <f aca="false">BT146+BT147</f>
        <v>201.375</v>
      </c>
      <c r="BU148" s="34" t="n">
        <f aca="false">BU146+BU147</f>
        <v>201.375</v>
      </c>
      <c r="BV148" s="34" t="n">
        <f aca="false">BV146+BV147</f>
        <v>798.75</v>
      </c>
      <c r="BW148" s="34" t="n">
        <f aca="false">BW146+BW147</f>
        <v>927.888529701023</v>
      </c>
      <c r="BX148" s="34" t="n">
        <f aca="false">BX146+BX147</f>
        <v>1016.41604789536</v>
      </c>
      <c r="BY148" s="34" t="n">
        <f aca="false">BY146+BY147</f>
        <v>1108.53462610799</v>
      </c>
      <c r="BZ148" s="34" t="n">
        <f aca="false">BZ146+BZ147</f>
        <v>1202.77964671479</v>
      </c>
      <c r="CA148" s="16" t="s">
        <v>249</v>
      </c>
      <c r="CC148" s="30" t="n">
        <f aca="false">IFERROR((BZ148/BP148)^(1/5)-1,"n/m")</f>
        <v>0.109004690401905</v>
      </c>
      <c r="CD148" s="30" t="n">
        <f aca="false">IFERROR((BP148/AL148)^(1/5)-1,"n/m")</f>
        <v>0.0525560563757745</v>
      </c>
      <c r="CE148" s="30" t="n">
        <f aca="false">IFERROR((BP148/H148)^(1/10)-1,"n/m")</f>
        <v>0.0125384978519496</v>
      </c>
    </row>
    <row r="149" customFormat="false" ht="15" hidden="false" customHeight="false" outlineLevel="0" collapsed="false">
      <c r="B149" s="35" t="s">
        <v>250</v>
      </c>
      <c r="C149" s="36" t="n">
        <f aca="false">IFERROR(C148/C119,"")</f>
        <v>0.0815286624203822</v>
      </c>
      <c r="D149" s="36" t="n">
        <f aca="false">IFERROR(D148/D119,"")</f>
        <v>0.0951289398280802</v>
      </c>
      <c r="E149" s="36" t="n">
        <f aca="false">IFERROR(E148/E119,"")</f>
        <v>0.0886877828054299</v>
      </c>
      <c r="F149" s="36" t="n">
        <f aca="false">IFERROR(F148/F119,"")</f>
        <v>0.0955555555555556</v>
      </c>
      <c r="G149" s="36" t="n">
        <f aca="false">IFERROR(G148/G119,"")</f>
        <v>0.0876640419947507</v>
      </c>
      <c r="H149" s="36" t="n">
        <f aca="false">IFERROR(H148/H119,"")</f>
        <v>0.0901709401709402</v>
      </c>
      <c r="I149" s="36" t="n">
        <f aca="false">IFERROR(I148/I119,"")</f>
        <v>0.0941576857629042</v>
      </c>
      <c r="J149" s="36" t="n">
        <f aca="false">IFERROR(J148/J119,"")</f>
        <v>0.108235294117647</v>
      </c>
      <c r="K149" s="36" t="n">
        <f aca="false">IFERROR(K148/K119,"")</f>
        <v>0.101068437770719</v>
      </c>
      <c r="L149" s="36" t="n">
        <f aca="false">IFERROR(L148/L119,"")</f>
        <v>0.083184789067142</v>
      </c>
      <c r="M149" s="36" t="n">
        <f aca="false">IFERROR(M148/M119,"")</f>
        <v>0.117065556711759</v>
      </c>
      <c r="N149" s="36" t="n">
        <f aca="false">IFERROR(N148/N119,"")</f>
        <v>0.101160158460668</v>
      </c>
      <c r="O149" s="36" t="n">
        <f aca="false">IFERROR(O148/O119,"")</f>
        <v>0.0696055684454756</v>
      </c>
      <c r="P149" s="36" t="n">
        <f aca="false">IFERROR(P148/P119,"")</f>
        <v>0.100645855758881</v>
      </c>
      <c r="Q149" s="36" t="n">
        <f aca="false">IFERROR(Q148/Q119,"")</f>
        <v>0.0857063093243998</v>
      </c>
      <c r="R149" s="36" t="n">
        <f aca="false">IFERROR(R148/R119,"")</f>
        <v>0.103059581320451</v>
      </c>
      <c r="S149" s="36" t="n">
        <f aca="false">IFERROR(S148/S119,"")</f>
        <v>0.094689378757515</v>
      </c>
      <c r="T149" s="36" t="n">
        <f aca="false">IFERROR(T148/T119,"")</f>
        <v>0.09246069076737</v>
      </c>
      <c r="U149" s="36" t="n">
        <f aca="false">IFERROR(U148/U119,"")</f>
        <v>0.0624332977588047</v>
      </c>
      <c r="V149" s="36" t="n">
        <f aca="false">IFERROR(V148/V119,"")</f>
        <v>0.0896039603960396</v>
      </c>
      <c r="W149" s="36" t="n">
        <f aca="false">IFERROR(W148/W119,"")</f>
        <v>0.0765279917822291</v>
      </c>
      <c r="X149" s="36" t="n">
        <f aca="false">IFERROR(X148/X119,"")</f>
        <v>0.104176668266923</v>
      </c>
      <c r="Y149" s="36" t="n">
        <f aca="false">IFERROR(Y148/Y119,"")</f>
        <v>0.0673033196907685</v>
      </c>
      <c r="Z149" s="36" t="n">
        <f aca="false">IFERROR(Z148/Z119,"")</f>
        <v>0.0810909980430528</v>
      </c>
      <c r="AA149" s="36" t="n">
        <f aca="false">IFERROR(AA148/AA119,"")</f>
        <v>0.0620192307692308</v>
      </c>
      <c r="AB149" s="36" t="n">
        <f aca="false">IFERROR(AB148/AB119,"")</f>
        <v>0.0630712979890311</v>
      </c>
      <c r="AC149" s="36" t="n">
        <f aca="false">IFERROR(AC148/AC119,"")</f>
        <v>0.0625585754451734</v>
      </c>
      <c r="AD149" s="36" t="n">
        <f aca="false">IFERROR(AD148/AD119,"")</f>
        <v>0.0860748084722848</v>
      </c>
      <c r="AE149" s="36" t="n">
        <f aca="false">IFERROR(AE148/AE119,"")</f>
        <v>0.0862354892205638</v>
      </c>
      <c r="AF149" s="36" t="n">
        <f aca="false">IFERROR(AF148/AF119,"")</f>
        <v>0.0748398696482751</v>
      </c>
      <c r="AG149" s="36" t="n">
        <f aca="false">IFERROR(AG148/AG119,"")</f>
        <v>0.068935041979673</v>
      </c>
      <c r="AH149" s="36" t="n">
        <f aca="false">IFERROR(AH148/AH119,"")</f>
        <v>-0.00246669955599408</v>
      </c>
      <c r="AI149" s="36" t="n">
        <f aca="false">IFERROR(AI148/AI119,"")</f>
        <v>0.0351981351981352</v>
      </c>
      <c r="AJ149" s="36" t="n">
        <f aca="false">IFERROR(AJ148/AJ119,"")</f>
        <v>0.0700086430423509</v>
      </c>
      <c r="AK149" s="36" t="n">
        <f aca="false">IFERROR(AK148/AK119,"")</f>
        <v>0.0877765687341313</v>
      </c>
      <c r="AL149" s="36" t="n">
        <f aca="false">IFERROR(AL148/AL119,"")</f>
        <v>0.0592885375494071</v>
      </c>
      <c r="AM149" s="36" t="n">
        <f aca="false">IFERROR(AM148/AM119,"")</f>
        <v>0.0838454784899034</v>
      </c>
      <c r="AN149" s="36" t="n">
        <f aca="false">IFERROR(AN148/AN119,"")</f>
        <v>0.0757507844016136</v>
      </c>
      <c r="AO149" s="36" t="n">
        <f aca="false">IFERROR(AO148/AO119,"")</f>
        <v>0.0798403193612775</v>
      </c>
      <c r="AP149" s="36" t="n">
        <f aca="false">IFERROR(AP148/AP119,"")</f>
        <v>0.0697177074422583</v>
      </c>
      <c r="AQ149" s="36" t="n">
        <f aca="false">IFERROR(AQ148/AQ119,"")</f>
        <v>0.0597683974598431</v>
      </c>
      <c r="AR149" s="36" t="n">
        <f aca="false">IFERROR(AR148/AR119,"")</f>
        <v>0.0717135657286854</v>
      </c>
      <c r="AS149" s="36" t="n">
        <f aca="false">IFERROR(AS148/AS119,"")</f>
        <v>0.0683229813664596</v>
      </c>
      <c r="AT149" s="36" t="n">
        <f aca="false">IFERROR(AT148/AT119,"")</f>
        <v>0.0845229151014275</v>
      </c>
      <c r="AU149" s="36" t="n">
        <f aca="false">IFERROR(AU148/AU119,"")</f>
        <v>0.0765559373806797</v>
      </c>
      <c r="AV149" s="36" t="n">
        <f aca="false">IFERROR(AV148/AV119,"")</f>
        <v>0.0632140137090632</v>
      </c>
      <c r="AW149" s="36" t="n">
        <f aca="false">IFERROR(AW148/AW119,"")</f>
        <v>0.0515647226173542</v>
      </c>
      <c r="AX149" s="36" t="n">
        <f aca="false">IFERROR(AX148/AX119,"")</f>
        <v>0.0666916448107906</v>
      </c>
      <c r="AY149" s="36" t="n">
        <f aca="false">IFERROR(AY148/AY119,"")</f>
        <v>0.0583395661929693</v>
      </c>
      <c r="AZ149" s="36" t="n">
        <f aca="false">IFERROR(AZ148/AZ119,"")</f>
        <v>0.0606386795837818</v>
      </c>
      <c r="BA149" s="36" t="n">
        <f aca="false">IFERROR(BA148/BA119,"")</f>
        <v>0.0595129097234939</v>
      </c>
      <c r="BB149" s="36" t="n">
        <f aca="false">IFERROR(BB148/BB119,"")</f>
        <v>0.06640625</v>
      </c>
      <c r="BC149" s="36" t="n">
        <f aca="false">IFERROR(BC148/BC119,"")</f>
        <v>0.103871576959396</v>
      </c>
      <c r="BD149" s="36" t="n">
        <f aca="false">IFERROR(BD148/BD119,"")</f>
        <v>0.0735114370525581</v>
      </c>
      <c r="BE149" s="36" t="n">
        <f aca="false">IFERROR(BE148/BE119,"")</f>
        <v>0.0606060606060606</v>
      </c>
      <c r="BF149" s="36" t="n">
        <f aca="false">IFERROR(BF148/BF119,"")</f>
        <v>0.0681894524689285</v>
      </c>
      <c r="BG149" s="36" t="n">
        <f aca="false">IFERROR(BG148/BG119,"")</f>
        <v>0.064510549982705</v>
      </c>
      <c r="BH149" s="36" t="n">
        <f aca="false">IFERROR(BH148/BH119,"")</f>
        <v>0.0352855583848672</v>
      </c>
      <c r="BI149" s="36" t="n">
        <f aca="false">IFERROR(BI148/BI119,"")</f>
        <v>0.0342876165113182</v>
      </c>
      <c r="BJ149" s="36" t="n">
        <f aca="false">IFERROR(BJ148/BJ119,"")</f>
        <v>0.0496749024707412</v>
      </c>
      <c r="BK149" s="36" t="n">
        <f aca="false">IFERROR(BK148/BK119,"")</f>
        <v>0.062545720555962</v>
      </c>
      <c r="BL149" s="36" t="n">
        <f aca="false">IFERROR(BL148/BL119,"")</f>
        <v>0.0558079169370539</v>
      </c>
      <c r="BM149" s="36" t="n">
        <f aca="false">IFERROR(BM148/BM119,"")</f>
        <v>0.0589752407152682</v>
      </c>
      <c r="BN149" s="36" t="n">
        <f aca="false">IFERROR(BN148/BN119,"")</f>
        <v>0.056077694235589</v>
      </c>
      <c r="BO149" s="36" t="n">
        <f aca="false">IFERROR(BO148/BO119,"")</f>
        <v>0.0560989643268124</v>
      </c>
      <c r="BP149" s="36" t="n">
        <f aca="false">IFERROR(BP148/BP119,"")</f>
        <v>0.0574335148990708</v>
      </c>
      <c r="BQ149" s="36" t="n">
        <f aca="false">IFERROR(BQ148/BQ119,"")</f>
        <v>0.0555017747660536</v>
      </c>
      <c r="BR149" s="36" t="n">
        <f aca="false">IFERROR(BR148/BR119,"")</f>
        <v>0.0655354008191925</v>
      </c>
      <c r="BS149" s="36" t="n">
        <f aca="false">IFERROR(BS148/BS119,"")</f>
        <v>0.0607641552861746</v>
      </c>
      <c r="BT149" s="38" t="n">
        <f aca="false">IFERROR(BT148/BT119,"")</f>
        <v>0.0598173176889945</v>
      </c>
      <c r="BU149" s="38" t="n">
        <f aca="false">IFERROR(BU148/BU119,"")</f>
        <v>0.0598173176889945</v>
      </c>
      <c r="BV149" s="38" t="n">
        <f aca="false">IFERROR(BV148/BV119,"")</f>
        <v>0.0602830188679245</v>
      </c>
      <c r="BW149" s="38" t="n">
        <f aca="false">IFERROR(BW148/BW119,"")</f>
        <v>0.0659992752526428</v>
      </c>
      <c r="BX149" s="38" t="n">
        <f aca="false">IFERROR(BX148/BX119,"")</f>
        <v>0.0685649269903091</v>
      </c>
      <c r="BY149" s="38" t="n">
        <f aca="false">IFERROR(BY148/BY119,"")</f>
        <v>0.0711069713733799</v>
      </c>
      <c r="BZ149" s="38" t="n">
        <f aca="false">IFERROR(BZ148/BZ119,"")</f>
        <v>0.0736374738833857</v>
      </c>
      <c r="CA149" s="16"/>
      <c r="CC149" s="40" t="n">
        <f aca="false">IFERROR(AVERAGE(BV149,BW149,BX149,BY149,BZ149),"n/m")</f>
        <v>0.0679183332735284</v>
      </c>
      <c r="CD149" s="40" t="n">
        <f aca="false">IFERROR(AVERAGE(AR149,AX149,BD149,BJ149,BP149),"n/m")</f>
        <v>0.0638050129923692</v>
      </c>
      <c r="CE149" s="40" t="n">
        <f aca="false">IFERROR(AVERAGE(N149,T149,Z149,AF149,AL149,AR149,AX149,BD149,BJ149,BP149),"n/m")</f>
        <v>0.0727865319430619</v>
      </c>
    </row>
    <row r="150" customFormat="false" ht="15" hidden="false" customHeight="false" outlineLevel="0" collapsed="false">
      <c r="B150" s="55" t="s">
        <v>251</v>
      </c>
      <c r="C150" s="2" t="n">
        <f aca="false">C146-C97</f>
        <v>0</v>
      </c>
      <c r="D150" s="2" t="n">
        <f aca="false">D146-D97</f>
        <v>0</v>
      </c>
      <c r="E150" s="2" t="n">
        <f aca="false">E146-E97</f>
        <v>0</v>
      </c>
      <c r="F150" s="2" t="n">
        <f aca="false">F146-F97</f>
        <v>0</v>
      </c>
      <c r="G150" s="2" t="n">
        <f aca="false">G146-G97</f>
        <v>0</v>
      </c>
      <c r="H150" s="2" t="n">
        <f aca="false">H146-H97</f>
        <v>0</v>
      </c>
      <c r="I150" s="2" t="n">
        <f aca="false">I146-I97</f>
        <v>0</v>
      </c>
      <c r="J150" s="2" t="n">
        <f aca="false">J146-J97</f>
        <v>0</v>
      </c>
      <c r="K150" s="2" t="n">
        <f aca="false">K146-K97</f>
        <v>0</v>
      </c>
      <c r="L150" s="2" t="n">
        <f aca="false">L146-L97</f>
        <v>0</v>
      </c>
      <c r="M150" s="2" t="n">
        <f aca="false">M146-M97</f>
        <v>0</v>
      </c>
      <c r="N150" s="2" t="n">
        <f aca="false">N146-N97</f>
        <v>0</v>
      </c>
      <c r="O150" s="2" t="n">
        <f aca="false">O146-O97</f>
        <v>0</v>
      </c>
      <c r="P150" s="2" t="n">
        <f aca="false">P146-P97</f>
        <v>0</v>
      </c>
      <c r="Q150" s="2" t="n">
        <f aca="false">Q146-Q97</f>
        <v>0</v>
      </c>
      <c r="R150" s="2" t="n">
        <f aca="false">R146-R97</f>
        <v>0</v>
      </c>
      <c r="S150" s="2" t="n">
        <f aca="false">S146-S97</f>
        <v>0</v>
      </c>
      <c r="T150" s="2" t="n">
        <f aca="false">T146-T97</f>
        <v>0</v>
      </c>
      <c r="U150" s="2" t="n">
        <f aca="false">U146-U97</f>
        <v>0</v>
      </c>
      <c r="V150" s="2" t="n">
        <f aca="false">V146-V97</f>
        <v>0</v>
      </c>
      <c r="W150" s="2" t="n">
        <f aca="false">W146-W97</f>
        <v>0</v>
      </c>
      <c r="X150" s="2" t="n">
        <f aca="false">X146-X97</f>
        <v>0</v>
      </c>
      <c r="Y150" s="2" t="n">
        <f aca="false">Y146-Y97</f>
        <v>0</v>
      </c>
      <c r="Z150" s="2" t="n">
        <f aca="false">Z146-Z97</f>
        <v>0</v>
      </c>
      <c r="AA150" s="2" t="n">
        <f aca="false">AA146-AA97</f>
        <v>0</v>
      </c>
      <c r="AB150" s="2" t="n">
        <f aca="false">AB146-AB97</f>
        <v>0</v>
      </c>
      <c r="AC150" s="2" t="n">
        <f aca="false">AC146-AC97</f>
        <v>0</v>
      </c>
      <c r="AD150" s="2" t="n">
        <f aca="false">AD146-AD97</f>
        <v>0</v>
      </c>
      <c r="AE150" s="2" t="n">
        <f aca="false">AE146-AE97</f>
        <v>0</v>
      </c>
      <c r="AF150" s="2" t="n">
        <f aca="false">AF146-AF97</f>
        <v>0</v>
      </c>
      <c r="AG150" s="2" t="n">
        <f aca="false">AG146-AG97</f>
        <v>0</v>
      </c>
      <c r="AH150" s="2" t="n">
        <f aca="false">AH146-AH97</f>
        <v>0</v>
      </c>
      <c r="AI150" s="2" t="n">
        <f aca="false">AI146-AI97</f>
        <v>0</v>
      </c>
      <c r="AJ150" s="2" t="n">
        <f aca="false">AJ146-AJ97</f>
        <v>0</v>
      </c>
      <c r="AK150" s="2" t="n">
        <f aca="false">AK146-AK97</f>
        <v>0</v>
      </c>
      <c r="AL150" s="2" t="n">
        <f aca="false">AL146-AL97</f>
        <v>0</v>
      </c>
      <c r="AM150" s="2" t="n">
        <f aca="false">AM146-AM97</f>
        <v>0</v>
      </c>
      <c r="AN150" s="2" t="n">
        <f aca="false">AN146-AN97</f>
        <v>0</v>
      </c>
      <c r="AO150" s="2" t="n">
        <f aca="false">AO146-AO97</f>
        <v>0</v>
      </c>
      <c r="AP150" s="2" t="n">
        <f aca="false">AP146-AP97</f>
        <v>0</v>
      </c>
      <c r="AQ150" s="2" t="n">
        <f aca="false">AQ146-AQ97</f>
        <v>0</v>
      </c>
      <c r="AR150" s="2" t="n">
        <f aca="false">AR146-AR97</f>
        <v>0</v>
      </c>
      <c r="AS150" s="2" t="n">
        <f aca="false">AS146-AS97</f>
        <v>0</v>
      </c>
      <c r="AT150" s="2" t="n">
        <f aca="false">AT146-AT97</f>
        <v>0</v>
      </c>
      <c r="AU150" s="2" t="n">
        <f aca="false">AU146-AU97</f>
        <v>0</v>
      </c>
      <c r="AV150" s="2" t="n">
        <f aca="false">AV146-AV97</f>
        <v>0</v>
      </c>
      <c r="AW150" s="2" t="n">
        <f aca="false">AW146-AW97</f>
        <v>0</v>
      </c>
      <c r="AX150" s="2" t="n">
        <f aca="false">AX146-AX97</f>
        <v>0</v>
      </c>
      <c r="AY150" s="2" t="n">
        <f aca="false">AY146-AY97</f>
        <v>0</v>
      </c>
      <c r="AZ150" s="2" t="n">
        <f aca="false">AZ146-AZ97</f>
        <v>0</v>
      </c>
      <c r="BA150" s="2" t="n">
        <f aca="false">BA146-BA97</f>
        <v>0</v>
      </c>
      <c r="BB150" s="2" t="n">
        <f aca="false">BB146-BB97</f>
        <v>0</v>
      </c>
      <c r="BC150" s="2" t="n">
        <f aca="false">BC146-BC97</f>
        <v>0</v>
      </c>
      <c r="BD150" s="2" t="n">
        <f aca="false">BD146-BD97</f>
        <v>0</v>
      </c>
      <c r="BE150" s="2" t="n">
        <f aca="false">BE146-BE97</f>
        <v>0</v>
      </c>
      <c r="BF150" s="2" t="n">
        <f aca="false">BF146-BF97</f>
        <v>0</v>
      </c>
      <c r="BG150" s="2" t="n">
        <f aca="false">BG146-BG97</f>
        <v>0</v>
      </c>
      <c r="BH150" s="2" t="n">
        <f aca="false">BH146-BH97</f>
        <v>0</v>
      </c>
      <c r="BI150" s="2" t="n">
        <f aca="false">BI146-BI97</f>
        <v>0</v>
      </c>
      <c r="BJ150" s="2" t="n">
        <f aca="false">BJ146-BJ97</f>
        <v>0</v>
      </c>
      <c r="BK150" s="2" t="n">
        <f aca="false">BK146-BK97</f>
        <v>0</v>
      </c>
      <c r="BL150" s="2" t="n">
        <f aca="false">BL146-BL97</f>
        <v>0</v>
      </c>
      <c r="BM150" s="2" t="n">
        <f aca="false">BM146-BM97</f>
        <v>0</v>
      </c>
      <c r="BN150" s="2" t="n">
        <f aca="false">BN146-BN97</f>
        <v>0</v>
      </c>
      <c r="BO150" s="2" t="n">
        <f aca="false">BO146-BO97</f>
        <v>0</v>
      </c>
      <c r="BP150" s="2" t="n">
        <f aca="false">BP146-BP97</f>
        <v>0</v>
      </c>
      <c r="BQ150" s="2" t="n">
        <f aca="false">BQ146-BQ97</f>
        <v>0</v>
      </c>
      <c r="BR150" s="2" t="n">
        <f aca="false">BR146-BR97</f>
        <v>0</v>
      </c>
      <c r="BS150" s="2" t="n">
        <f aca="false">BS146-BS97</f>
        <v>0</v>
      </c>
      <c r="BT150" s="3" t="n">
        <f aca="false">BT146-BT97</f>
        <v>0</v>
      </c>
      <c r="BU150" s="3" t="n">
        <f aca="false">BU146-BU97</f>
        <v>0</v>
      </c>
      <c r="BV150" s="3" t="n">
        <f aca="false">BV146-BV97</f>
        <v>0</v>
      </c>
      <c r="BW150" s="3" t="n">
        <f aca="false">BW146-BW97</f>
        <v>0</v>
      </c>
      <c r="BX150" s="3" t="n">
        <f aca="false">BX146-BX97</f>
        <v>0</v>
      </c>
      <c r="BY150" s="3" t="n">
        <f aca="false">BY146-BY97</f>
        <v>0</v>
      </c>
      <c r="BZ150" s="3" t="n">
        <f aca="false">BZ146-BZ97</f>
        <v>0</v>
      </c>
      <c r="CA150" s="16"/>
      <c r="CC150" s="5"/>
      <c r="CD150" s="5"/>
      <c r="CE150" s="5"/>
    </row>
    <row r="151" customFormat="false" ht="15" hidden="false" customHeight="false" outlineLevel="0" collapsed="false">
      <c r="B151" s="56" t="s">
        <v>252</v>
      </c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62"/>
      <c r="BU151" s="62"/>
      <c r="BV151" s="62"/>
      <c r="BW151" s="62"/>
      <c r="BX151" s="62"/>
      <c r="BY151" s="62"/>
      <c r="BZ151" s="62"/>
      <c r="CA151" s="16"/>
      <c r="CC151" s="5"/>
      <c r="CD151" s="5"/>
      <c r="CE151" s="5"/>
    </row>
    <row r="152" customFormat="false" ht="15" hidden="false" customHeight="false" outlineLevel="0" collapsed="false">
      <c r="B152" s="1" t="s">
        <v>253</v>
      </c>
      <c r="C152" s="23" t="n">
        <v>0</v>
      </c>
      <c r="D152" s="23" t="n">
        <v>59</v>
      </c>
      <c r="E152" s="2" t="n">
        <f aca="false">C152+D152</f>
        <v>59</v>
      </c>
      <c r="F152" s="23" t="n">
        <v>0</v>
      </c>
      <c r="G152" s="23" t="n">
        <v>43</v>
      </c>
      <c r="H152" s="23" t="n">
        <v>102</v>
      </c>
      <c r="I152" s="23" t="n">
        <v>0</v>
      </c>
      <c r="J152" s="23" t="n">
        <v>0</v>
      </c>
      <c r="K152" s="2" t="n">
        <f aca="false">I152+J152</f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" t="n">
        <f aca="false">O152+P152</f>
        <v>0</v>
      </c>
      <c r="R152" s="23" t="n">
        <v>0</v>
      </c>
      <c r="S152" s="23" t="n">
        <v>0</v>
      </c>
      <c r="T152" s="23" t="n">
        <v>0</v>
      </c>
      <c r="U152" s="23" t="n">
        <v>0</v>
      </c>
      <c r="V152" s="23" t="n">
        <v>0</v>
      </c>
      <c r="W152" s="2" t="n">
        <f aca="false">U152+V152</f>
        <v>0</v>
      </c>
      <c r="X152" s="23" t="n">
        <v>0</v>
      </c>
      <c r="Y152" s="23" t="n">
        <v>0</v>
      </c>
      <c r="Z152" s="23" t="n">
        <v>0</v>
      </c>
      <c r="AA152" s="23" t="n">
        <v>0</v>
      </c>
      <c r="AB152" s="23" t="n">
        <v>0</v>
      </c>
      <c r="AC152" s="2" t="n">
        <f aca="false">AA152+AB152</f>
        <v>0</v>
      </c>
      <c r="AD152" s="23" t="n">
        <v>0</v>
      </c>
      <c r="AE152" s="23" t="n">
        <v>35</v>
      </c>
      <c r="AF152" s="23" t="n">
        <v>35</v>
      </c>
      <c r="AG152" s="23" t="n">
        <v>0</v>
      </c>
      <c r="AH152" s="23" t="n">
        <v>0</v>
      </c>
      <c r="AI152" s="2" t="n">
        <f aca="false">AG152+AH152</f>
        <v>0</v>
      </c>
      <c r="AJ152" s="23" t="n">
        <v>0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" t="n">
        <f aca="false">AM152+AN152</f>
        <v>0</v>
      </c>
      <c r="AP152" s="23" t="n">
        <v>0</v>
      </c>
      <c r="AQ152" s="23" t="n">
        <v>0</v>
      </c>
      <c r="AR152" s="23" t="n">
        <v>0</v>
      </c>
      <c r="AS152" s="23" t="n">
        <v>0</v>
      </c>
      <c r="AT152" s="23" t="n">
        <v>0</v>
      </c>
      <c r="AU152" s="2" t="n">
        <f aca="false">AS152+AT152</f>
        <v>0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" t="n">
        <f aca="false">AY152+AZ152</f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" t="n">
        <f aca="false">BE152+BF152</f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" t="n">
        <f aca="false">BK152+BL152</f>
        <v>0</v>
      </c>
      <c r="BN152" s="23" t="n">
        <v>0</v>
      </c>
      <c r="BO152" s="23" t="n">
        <v>0</v>
      </c>
      <c r="BP152" s="23" t="n">
        <v>0</v>
      </c>
      <c r="BQ152" s="23" t="n">
        <v>0</v>
      </c>
      <c r="BR152" s="23" t="n">
        <v>0</v>
      </c>
      <c r="BS152" s="2" t="n">
        <f aca="false">BQ152+BR152</f>
        <v>0</v>
      </c>
      <c r="BT152" s="54" t="n">
        <v>0</v>
      </c>
      <c r="BU152" s="54" t="n">
        <v>0</v>
      </c>
      <c r="BV152" s="3" t="n">
        <f aca="false">SUM(BQ152,BR152,BT152,BU152)</f>
        <v>0</v>
      </c>
      <c r="BW152" s="54" t="n">
        <v>0</v>
      </c>
      <c r="BX152" s="54" t="n">
        <v>0</v>
      </c>
      <c r="BY152" s="54" t="n">
        <v>0</v>
      </c>
      <c r="BZ152" s="54" t="n">
        <v>0</v>
      </c>
      <c r="CA152" s="16"/>
      <c r="CC152" s="5"/>
      <c r="CD152" s="5"/>
      <c r="CE152" s="5"/>
    </row>
    <row r="153" customFormat="false" ht="15" hidden="false" customHeight="false" outlineLevel="0" collapsed="false">
      <c r="B153" s="1" t="s">
        <v>254</v>
      </c>
      <c r="C153" s="23" t="n">
        <v>0</v>
      </c>
      <c r="D153" s="23" t="n">
        <v>-136</v>
      </c>
      <c r="E153" s="2" t="n">
        <f aca="false">C153+D153</f>
        <v>-136</v>
      </c>
      <c r="F153" s="23" t="n">
        <v>0</v>
      </c>
      <c r="G153" s="23" t="n">
        <v>0</v>
      </c>
      <c r="H153" s="23" t="n">
        <v>-136</v>
      </c>
      <c r="I153" s="23" t="n">
        <v>0</v>
      </c>
      <c r="J153" s="23" t="n">
        <v>0</v>
      </c>
      <c r="K153" s="2" t="n">
        <f aca="false">I153+J153</f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" t="n">
        <f aca="false">O153+P153</f>
        <v>0</v>
      </c>
      <c r="R153" s="23" t="n">
        <v>0</v>
      </c>
      <c r="S153" s="23" t="n">
        <v>0</v>
      </c>
      <c r="T153" s="23" t="n">
        <v>0</v>
      </c>
      <c r="U153" s="23" t="n">
        <v>0</v>
      </c>
      <c r="V153" s="23" t="n">
        <v>0</v>
      </c>
      <c r="W153" s="2" t="n">
        <f aca="false">U153+V153</f>
        <v>0</v>
      </c>
      <c r="X153" s="23" t="n">
        <v>0</v>
      </c>
      <c r="Y153" s="23" t="n">
        <v>0</v>
      </c>
      <c r="Z153" s="23" t="n">
        <v>0</v>
      </c>
      <c r="AA153" s="23" t="n">
        <v>0</v>
      </c>
      <c r="AB153" s="23" t="n">
        <v>0</v>
      </c>
      <c r="AC153" s="2" t="n">
        <f aca="false">AA153+AB153</f>
        <v>0</v>
      </c>
      <c r="AD153" s="23" t="n">
        <v>0</v>
      </c>
      <c r="AE153" s="23" t="n">
        <v>0</v>
      </c>
      <c r="AF153" s="23" t="n">
        <v>0</v>
      </c>
      <c r="AG153" s="23" t="n">
        <v>0</v>
      </c>
      <c r="AH153" s="23" t="n">
        <v>0</v>
      </c>
      <c r="AI153" s="2" t="n">
        <f aca="false">AG153+AH153</f>
        <v>0</v>
      </c>
      <c r="AJ153" s="23" t="n">
        <v>0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" t="n">
        <f aca="false">AM153+AN153</f>
        <v>0</v>
      </c>
      <c r="AP153" s="23" t="n">
        <v>0</v>
      </c>
      <c r="AQ153" s="23" t="n">
        <v>0</v>
      </c>
      <c r="AR153" s="23" t="n">
        <v>0</v>
      </c>
      <c r="AS153" s="23" t="n">
        <v>0</v>
      </c>
      <c r="AT153" s="23" t="n">
        <v>0</v>
      </c>
      <c r="AU153" s="2" t="n">
        <f aca="false">AS153+AT153</f>
        <v>0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" t="n">
        <f aca="false">AY153+AZ153</f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" t="n">
        <f aca="false">BE153+BF153</f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" t="n">
        <f aca="false">BK153+BL153</f>
        <v>0</v>
      </c>
      <c r="BN153" s="23" t="n">
        <v>0</v>
      </c>
      <c r="BO153" s="23" t="n">
        <v>0</v>
      </c>
      <c r="BP153" s="23" t="n">
        <v>0</v>
      </c>
      <c r="BQ153" s="23" t="n">
        <v>0</v>
      </c>
      <c r="BR153" s="23" t="n">
        <v>0</v>
      </c>
      <c r="BS153" s="2" t="n">
        <f aca="false">BQ153+BR153</f>
        <v>0</v>
      </c>
      <c r="BT153" s="54" t="n">
        <v>0</v>
      </c>
      <c r="BU153" s="54" t="n">
        <v>0</v>
      </c>
      <c r="BV153" s="3" t="n">
        <f aca="false">SUM(BQ153,BR153,BT153,BU153)</f>
        <v>0</v>
      </c>
      <c r="BW153" s="54" t="n">
        <v>0</v>
      </c>
      <c r="BX153" s="54" t="n">
        <v>0</v>
      </c>
      <c r="BY153" s="54" t="n">
        <v>0</v>
      </c>
      <c r="BZ153" s="54" t="n">
        <v>0</v>
      </c>
      <c r="CA153" s="16"/>
      <c r="CC153" s="5"/>
      <c r="CD153" s="5"/>
      <c r="CE153" s="5"/>
    </row>
    <row r="154" customFormat="false" ht="15" hidden="false" customHeight="false" outlineLevel="0" collapsed="false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3"/>
      <c r="BU154" s="3"/>
      <c r="BV154" s="3"/>
      <c r="BW154" s="3"/>
      <c r="BX154" s="3"/>
      <c r="BY154" s="3"/>
      <c r="BZ154" s="3"/>
      <c r="CA154" s="16"/>
      <c r="CC154" s="5"/>
      <c r="CD154" s="5"/>
      <c r="CE154" s="5"/>
    </row>
    <row r="155" customFormat="false" ht="15" hidden="false" customHeight="false" outlineLevel="0" collapsed="false">
      <c r="B155" s="15" t="s">
        <v>255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 t="s">
        <v>256</v>
      </c>
      <c r="CC155" s="15"/>
      <c r="CD155" s="15"/>
      <c r="CE155" s="15"/>
    </row>
    <row r="156" customFormat="false" ht="15" hidden="false" customHeight="false" outlineLevel="0" collapsed="false">
      <c r="B156" s="26" t="s">
        <v>257</v>
      </c>
      <c r="C156" s="28" t="n">
        <f aca="false">C133</f>
        <v>87</v>
      </c>
      <c r="D156" s="28" t="n">
        <f aca="false">D133</f>
        <v>156</v>
      </c>
      <c r="E156" s="28" t="n">
        <f aca="false">E133</f>
        <v>243</v>
      </c>
      <c r="F156" s="28" t="n">
        <f aca="false">F133</f>
        <v>111</v>
      </c>
      <c r="G156" s="28" t="n">
        <f aca="false">G133</f>
        <v>50</v>
      </c>
      <c r="H156" s="28" t="n">
        <f aca="false">H133</f>
        <v>404</v>
      </c>
      <c r="I156" s="28" t="n">
        <f aca="false">I133</f>
        <v>136</v>
      </c>
      <c r="J156" s="28" t="n">
        <f aca="false">J133</f>
        <v>133</v>
      </c>
      <c r="K156" s="28" t="n">
        <f aca="false">K133</f>
        <v>269</v>
      </c>
      <c r="L156" s="28" t="n">
        <f aca="false">L133</f>
        <v>107</v>
      </c>
      <c r="M156" s="28" t="n">
        <f aca="false">M133</f>
        <v>197</v>
      </c>
      <c r="N156" s="28" t="n">
        <f aca="false">N133</f>
        <v>573</v>
      </c>
      <c r="O156" s="28" t="n">
        <f aca="false">O133</f>
        <v>119</v>
      </c>
      <c r="P156" s="28" t="n">
        <f aca="false">P133</f>
        <v>147</v>
      </c>
      <c r="Q156" s="28" t="n">
        <f aca="false">Q133</f>
        <v>266</v>
      </c>
      <c r="R156" s="28" t="n">
        <f aca="false">R133</f>
        <v>149</v>
      </c>
      <c r="S156" s="28" t="n">
        <f aca="false">S133</f>
        <v>64</v>
      </c>
      <c r="T156" s="28" t="n">
        <f aca="false">T133</f>
        <v>479</v>
      </c>
      <c r="U156" s="28" t="n">
        <f aca="false">U133</f>
        <v>156</v>
      </c>
      <c r="V156" s="28" t="n">
        <f aca="false">V133</f>
        <v>239</v>
      </c>
      <c r="W156" s="28" t="n">
        <f aca="false">W133</f>
        <v>395</v>
      </c>
      <c r="X156" s="28" t="n">
        <f aca="false">X133</f>
        <v>229</v>
      </c>
      <c r="Y156" s="28" t="n">
        <f aca="false">Y133</f>
        <v>212</v>
      </c>
      <c r="Z156" s="28" t="n">
        <f aca="false">Z133</f>
        <v>836</v>
      </c>
      <c r="AA156" s="28" t="n">
        <f aca="false">AA133</f>
        <v>118</v>
      </c>
      <c r="AB156" s="28" t="n">
        <f aca="false">AB133</f>
        <v>128</v>
      </c>
      <c r="AC156" s="28" t="n">
        <f aca="false">AC133</f>
        <v>246</v>
      </c>
      <c r="AD156" s="28" t="n">
        <f aca="false">AD133</f>
        <v>154</v>
      </c>
      <c r="AE156" s="28" t="n">
        <f aca="false">AE133</f>
        <v>149</v>
      </c>
      <c r="AF156" s="28" t="n">
        <f aca="false">AF133</f>
        <v>549</v>
      </c>
      <c r="AG156" s="28" t="n">
        <f aca="false">AG133</f>
        <v>172</v>
      </c>
      <c r="AH156" s="28" t="n">
        <f aca="false">AH133</f>
        <v>53</v>
      </c>
      <c r="AI156" s="28" t="n">
        <f aca="false">AI133</f>
        <v>225</v>
      </c>
      <c r="AJ156" s="28" t="n">
        <f aca="false">AJ133</f>
        <v>222</v>
      </c>
      <c r="AK156" s="28" t="n">
        <f aca="false">AK133</f>
        <v>249</v>
      </c>
      <c r="AL156" s="28" t="n">
        <f aca="false">AL133</f>
        <v>696</v>
      </c>
      <c r="AM156" s="28" t="n">
        <f aca="false">AM133</f>
        <v>148</v>
      </c>
      <c r="AN156" s="28" t="n">
        <f aca="false">AN133</f>
        <v>129</v>
      </c>
      <c r="AO156" s="28" t="n">
        <f aca="false">AO133</f>
        <v>277</v>
      </c>
      <c r="AP156" s="28" t="n">
        <f aca="false">AP133</f>
        <v>147</v>
      </c>
      <c r="AQ156" s="28" t="n">
        <f aca="false">AQ133</f>
        <v>120</v>
      </c>
      <c r="AR156" s="28" t="n">
        <f aca="false">AR133</f>
        <v>544</v>
      </c>
      <c r="AS156" s="28" t="n">
        <f aca="false">AS133</f>
        <v>140</v>
      </c>
      <c r="AT156" s="28" t="n">
        <f aca="false">AT133</f>
        <v>178</v>
      </c>
      <c r="AU156" s="28" t="n">
        <f aca="false">AU133</f>
        <v>318</v>
      </c>
      <c r="AV156" s="28" t="n">
        <f aca="false">AV133</f>
        <v>138</v>
      </c>
      <c r="AW156" s="28" t="n">
        <f aca="false">AW133</f>
        <v>123</v>
      </c>
      <c r="AX156" s="28" t="n">
        <f aca="false">AX133</f>
        <v>579</v>
      </c>
      <c r="AY156" s="28" t="n">
        <f aca="false">AY133</f>
        <v>129</v>
      </c>
      <c r="AZ156" s="28" t="n">
        <f aca="false">AZ133</f>
        <v>130</v>
      </c>
      <c r="BA156" s="28" t="n">
        <f aca="false">BA133</f>
        <v>259</v>
      </c>
      <c r="BB156" s="28" t="n">
        <f aca="false">BB133</f>
        <v>148</v>
      </c>
      <c r="BC156" s="28" t="n">
        <f aca="false">BC133</f>
        <v>274</v>
      </c>
      <c r="BD156" s="28" t="n">
        <f aca="false">BD133</f>
        <v>681</v>
      </c>
      <c r="BE156" s="28" t="n">
        <f aca="false">BE133</f>
        <v>153</v>
      </c>
      <c r="BF156" s="28" t="n">
        <f aca="false">BF133</f>
        <v>173</v>
      </c>
      <c r="BG156" s="28" t="n">
        <f aca="false">BG133</f>
        <v>326</v>
      </c>
      <c r="BH156" s="28" t="n">
        <f aca="false">BH133</f>
        <v>101</v>
      </c>
      <c r="BI156" s="28" t="n">
        <f aca="false">BI133</f>
        <v>123</v>
      </c>
      <c r="BJ156" s="28" t="n">
        <f aca="false">BJ133</f>
        <v>550</v>
      </c>
      <c r="BK156" s="28" t="n">
        <f aca="false">BK133</f>
        <v>149</v>
      </c>
      <c r="BL156" s="28" t="n">
        <f aca="false">BL133</f>
        <v>152</v>
      </c>
      <c r="BM156" s="28" t="n">
        <f aca="false">BM133</f>
        <v>301</v>
      </c>
      <c r="BN156" s="28" t="n">
        <f aca="false">BN133</f>
        <v>145</v>
      </c>
      <c r="BO156" s="28" t="n">
        <f aca="false">BO133</f>
        <v>159</v>
      </c>
      <c r="BP156" s="28" t="n">
        <f aca="false">BP133</f>
        <v>605</v>
      </c>
      <c r="BQ156" s="28" t="n">
        <f aca="false">BQ133</f>
        <v>149</v>
      </c>
      <c r="BR156" s="28" t="n">
        <f aca="false">BR133</f>
        <v>208</v>
      </c>
      <c r="BS156" s="28" t="n">
        <f aca="false">BS133</f>
        <v>357</v>
      </c>
      <c r="BT156" s="29" t="n">
        <f aca="false">BT133</f>
        <v>179.54125</v>
      </c>
      <c r="BU156" s="29" t="n">
        <f aca="false">BU133</f>
        <v>179.54125</v>
      </c>
      <c r="BV156" s="29" t="n">
        <f aca="false">BV133</f>
        <v>716.0825</v>
      </c>
      <c r="BW156" s="29" t="n">
        <f aca="false">BW133</f>
        <v>794.488594354839</v>
      </c>
      <c r="BX156" s="29" t="n">
        <f aca="false">BX133</f>
        <v>867.081159274194</v>
      </c>
      <c r="BY156" s="29" t="n">
        <f aca="false">BY133</f>
        <v>942.618393408548</v>
      </c>
      <c r="BZ156" s="29" t="n">
        <f aca="false">BZ133</f>
        <v>1019.89931030613</v>
      </c>
      <c r="CA156" s="16"/>
      <c r="CC156" s="5"/>
      <c r="CD156" s="5"/>
      <c r="CE156" s="5"/>
    </row>
    <row r="157" customFormat="false" ht="15" hidden="false" customHeight="false" outlineLevel="0" collapsed="false">
      <c r="B157" s="1" t="s">
        <v>258</v>
      </c>
      <c r="C157" s="2" t="n">
        <f aca="false">C90</f>
        <v>-27</v>
      </c>
      <c r="D157" s="2" t="n">
        <f aca="false">D90</f>
        <v>-28</v>
      </c>
      <c r="E157" s="2" t="n">
        <f aca="false">E90</f>
        <v>-55</v>
      </c>
      <c r="F157" s="2" t="n">
        <f aca="false">F90</f>
        <v>-27</v>
      </c>
      <c r="G157" s="2" t="n">
        <f aca="false">G90</f>
        <v>-22</v>
      </c>
      <c r="H157" s="2" t="n">
        <f aca="false">H90</f>
        <v>-104</v>
      </c>
      <c r="I157" s="2" t="n">
        <f aca="false">I90</f>
        <v>-35</v>
      </c>
      <c r="J157" s="2" t="n">
        <f aca="false">J90</f>
        <v>-35</v>
      </c>
      <c r="K157" s="2" t="n">
        <f aca="false">K90</f>
        <v>-70</v>
      </c>
      <c r="L157" s="2" t="n">
        <f aca="false">L90</f>
        <v>-37</v>
      </c>
      <c r="M157" s="2" t="n">
        <f aca="false">M90</f>
        <v>-38</v>
      </c>
      <c r="N157" s="2" t="n">
        <f aca="false">N90</f>
        <v>-145</v>
      </c>
      <c r="O157" s="2" t="n">
        <f aca="false">O90</f>
        <v>-53</v>
      </c>
      <c r="P157" s="2" t="n">
        <f aca="false">P90</f>
        <v>-53</v>
      </c>
      <c r="Q157" s="2" t="n">
        <f aca="false">Q90</f>
        <v>-106</v>
      </c>
      <c r="R157" s="2" t="n">
        <f aca="false">R90</f>
        <v>-50</v>
      </c>
      <c r="S157" s="2" t="n">
        <f aca="false">S90</f>
        <v>-49</v>
      </c>
      <c r="T157" s="2" t="n">
        <f aca="false">T90</f>
        <v>-205</v>
      </c>
      <c r="U157" s="2" t="n">
        <f aca="false">U90</f>
        <v>-72</v>
      </c>
      <c r="V157" s="2" t="n">
        <f aca="false">V90</f>
        <v>-73</v>
      </c>
      <c r="W157" s="2" t="n">
        <f aca="false">W90</f>
        <v>-145</v>
      </c>
      <c r="X157" s="2" t="n">
        <f aca="false">X90</f>
        <v>-73</v>
      </c>
      <c r="Y157" s="2" t="n">
        <f aca="false">Y90</f>
        <v>-72</v>
      </c>
      <c r="Z157" s="2" t="n">
        <f aca="false">Z90</f>
        <v>-290</v>
      </c>
      <c r="AA157" s="2" t="n">
        <f aca="false">AA90</f>
        <v>-34</v>
      </c>
      <c r="AB157" s="2" t="n">
        <f aca="false">AB90</f>
        <v>-37</v>
      </c>
      <c r="AC157" s="2" t="n">
        <f aca="false">AC90</f>
        <v>-71</v>
      </c>
      <c r="AD157" s="2" t="n">
        <f aca="false">AD90</f>
        <v>-23</v>
      </c>
      <c r="AE157" s="2" t="n">
        <f aca="false">AE90</f>
        <v>-30</v>
      </c>
      <c r="AF157" s="2" t="n">
        <f aca="false">AF90</f>
        <v>-124</v>
      </c>
      <c r="AG157" s="2" t="n">
        <f aca="false">AG90</f>
        <v>-63</v>
      </c>
      <c r="AH157" s="2" t="n">
        <f aca="false">AH90</f>
        <v>-63</v>
      </c>
      <c r="AI157" s="2" t="n">
        <f aca="false">AI90</f>
        <v>-126</v>
      </c>
      <c r="AJ157" s="2" t="n">
        <f aca="false">AJ90</f>
        <v>-60</v>
      </c>
      <c r="AK157" s="2" t="n">
        <f aca="false">AK90</f>
        <v>-62</v>
      </c>
      <c r="AL157" s="2" t="n">
        <f aca="false">AL90</f>
        <v>-248</v>
      </c>
      <c r="AM157" s="2" t="n">
        <f aca="false">AM90</f>
        <v>40</v>
      </c>
      <c r="AN157" s="2" t="n">
        <f aca="false">AN90</f>
        <v>37</v>
      </c>
      <c r="AO157" s="2" t="n">
        <f aca="false">AO90</f>
        <v>77</v>
      </c>
      <c r="AP157" s="2" t="n">
        <f aca="false">AP90</f>
        <v>41</v>
      </c>
      <c r="AQ157" s="2" t="n">
        <f aca="false">AQ90</f>
        <v>39</v>
      </c>
      <c r="AR157" s="2" t="n">
        <f aca="false">AR90</f>
        <v>157</v>
      </c>
      <c r="AS157" s="2" t="n">
        <f aca="false">AS90</f>
        <v>37</v>
      </c>
      <c r="AT157" s="2" t="n">
        <f aca="false">AT90</f>
        <v>35</v>
      </c>
      <c r="AU157" s="2" t="n">
        <f aca="false">AU90</f>
        <v>72</v>
      </c>
      <c r="AV157" s="2" t="n">
        <f aca="false">AV90</f>
        <v>36</v>
      </c>
      <c r="AW157" s="2" t="n">
        <f aca="false">AW90</f>
        <v>37</v>
      </c>
      <c r="AX157" s="2" t="n">
        <f aca="false">AX90</f>
        <v>145</v>
      </c>
      <c r="AY157" s="2" t="n">
        <f aca="false">AY90</f>
        <v>19</v>
      </c>
      <c r="AZ157" s="2" t="n">
        <f aca="false">AZ90</f>
        <v>17</v>
      </c>
      <c r="BA157" s="2" t="n">
        <f aca="false">BA90</f>
        <v>36</v>
      </c>
      <c r="BB157" s="2" t="n">
        <f aca="false">BB90</f>
        <v>19</v>
      </c>
      <c r="BC157" s="2" t="n">
        <f aca="false">BC90</f>
        <v>17</v>
      </c>
      <c r="BD157" s="2" t="n">
        <f aca="false">BD90</f>
        <v>72</v>
      </c>
      <c r="BE157" s="2" t="n">
        <f aca="false">BE90</f>
        <v>17</v>
      </c>
      <c r="BF157" s="2" t="n">
        <f aca="false">BF90</f>
        <v>15</v>
      </c>
      <c r="BG157" s="2" t="n">
        <f aca="false">BG90</f>
        <v>32</v>
      </c>
      <c r="BH157" s="2" t="n">
        <f aca="false">BH90</f>
        <v>16</v>
      </c>
      <c r="BI157" s="2" t="n">
        <f aca="false">BI90</f>
        <v>14</v>
      </c>
      <c r="BJ157" s="2" t="n">
        <f aca="false">BJ90</f>
        <v>62</v>
      </c>
      <c r="BK157" s="2" t="n">
        <f aca="false">BK90</f>
        <v>10</v>
      </c>
      <c r="BL157" s="2" t="n">
        <f aca="false">BL90</f>
        <v>6</v>
      </c>
      <c r="BM157" s="2" t="n">
        <f aca="false">BM90</f>
        <v>16</v>
      </c>
      <c r="BN157" s="2" t="n">
        <f aca="false">BN90</f>
        <v>9</v>
      </c>
      <c r="BO157" s="2" t="n">
        <f aca="false">BO90</f>
        <v>10</v>
      </c>
      <c r="BP157" s="2" t="n">
        <f aca="false">BP90</f>
        <v>35</v>
      </c>
      <c r="BQ157" s="2" t="n">
        <f aca="false">BQ90</f>
        <v>9</v>
      </c>
      <c r="BR157" s="2" t="n">
        <f aca="false">BR90</f>
        <v>8</v>
      </c>
      <c r="BS157" s="2" t="n">
        <f aca="false">BS90</f>
        <v>17</v>
      </c>
      <c r="BT157" s="3" t="n">
        <f aca="false">BT90</f>
        <v>13.5</v>
      </c>
      <c r="BU157" s="3" t="n">
        <f aca="false">BU90</f>
        <v>13.5</v>
      </c>
      <c r="BV157" s="3" t="n">
        <f aca="false">BV90</f>
        <v>44</v>
      </c>
      <c r="BW157" s="3" t="n">
        <f aca="false">BW90</f>
        <v>44</v>
      </c>
      <c r="BX157" s="3" t="n">
        <f aca="false">BX90</f>
        <v>44</v>
      </c>
      <c r="BY157" s="3" t="n">
        <f aca="false">BY90</f>
        <v>44</v>
      </c>
      <c r="BZ157" s="3" t="n">
        <f aca="false">BZ90</f>
        <v>44</v>
      </c>
      <c r="CA157" s="16"/>
      <c r="CC157" s="5"/>
      <c r="CD157" s="5"/>
      <c r="CE157" s="5"/>
    </row>
    <row r="158" customFormat="false" ht="15" hidden="false" customHeight="false" outlineLevel="0" collapsed="false">
      <c r="B158" s="1" t="s">
        <v>259</v>
      </c>
      <c r="C158" s="2" t="n">
        <f aca="false">-C128</f>
        <v>-0</v>
      </c>
      <c r="D158" s="2" t="n">
        <f aca="false">-D128</f>
        <v>-0</v>
      </c>
      <c r="E158" s="2" t="n">
        <f aca="false">-E128</f>
        <v>-0</v>
      </c>
      <c r="F158" s="2" t="n">
        <f aca="false">-F128</f>
        <v>-0</v>
      </c>
      <c r="G158" s="2" t="n">
        <f aca="false">-G128</f>
        <v>-0</v>
      </c>
      <c r="H158" s="2" t="n">
        <f aca="false">-H128</f>
        <v>-0</v>
      </c>
      <c r="I158" s="2" t="n">
        <f aca="false">-I128</f>
        <v>-0</v>
      </c>
      <c r="J158" s="2" t="n">
        <f aca="false">-J128</f>
        <v>-0</v>
      </c>
      <c r="K158" s="2" t="n">
        <f aca="false">-K128</f>
        <v>-0</v>
      </c>
      <c r="L158" s="2" t="n">
        <f aca="false">-L128</f>
        <v>-0</v>
      </c>
      <c r="M158" s="2" t="n">
        <f aca="false">-M128</f>
        <v>-0</v>
      </c>
      <c r="N158" s="2" t="n">
        <f aca="false">-N128</f>
        <v>-0</v>
      </c>
      <c r="O158" s="2" t="n">
        <f aca="false">-O128</f>
        <v>4</v>
      </c>
      <c r="P158" s="2" t="n">
        <f aca="false">-P128</f>
        <v>4</v>
      </c>
      <c r="Q158" s="2" t="n">
        <f aca="false">-Q128</f>
        <v>8</v>
      </c>
      <c r="R158" s="2" t="n">
        <f aca="false">-R128</f>
        <v>4</v>
      </c>
      <c r="S158" s="2" t="n">
        <f aca="false">-S128</f>
        <v>4</v>
      </c>
      <c r="T158" s="2" t="n">
        <f aca="false">-T128</f>
        <v>16</v>
      </c>
      <c r="U158" s="2" t="n">
        <f aca="false">-U128</f>
        <v>-18</v>
      </c>
      <c r="V158" s="2" t="n">
        <f aca="false">-V128</f>
        <v>-19</v>
      </c>
      <c r="W158" s="2" t="n">
        <f aca="false">-W128</f>
        <v>-37</v>
      </c>
      <c r="X158" s="2" t="n">
        <f aca="false">-X128</f>
        <v>-19</v>
      </c>
      <c r="Y158" s="2" t="n">
        <f aca="false">-Y128</f>
        <v>-18</v>
      </c>
      <c r="Z158" s="2" t="n">
        <f aca="false">-Z128</f>
        <v>-74</v>
      </c>
      <c r="AA158" s="2" t="n">
        <f aca="false">-AA128</f>
        <v>-3</v>
      </c>
      <c r="AB158" s="2" t="n">
        <f aca="false">-AB128</f>
        <v>-2</v>
      </c>
      <c r="AC158" s="2" t="n">
        <f aca="false">-AC128</f>
        <v>-5</v>
      </c>
      <c r="AD158" s="2" t="n">
        <f aca="false">-AD128</f>
        <v>-3</v>
      </c>
      <c r="AE158" s="2" t="n">
        <f aca="false">-AE128</f>
        <v>-4</v>
      </c>
      <c r="AF158" s="2" t="n">
        <f aca="false">-AF128</f>
        <v>-12</v>
      </c>
      <c r="AG158" s="2" t="n">
        <f aca="false">-AG128</f>
        <v>-30</v>
      </c>
      <c r="AH158" s="2" t="n">
        <f aca="false">-AH128</f>
        <v>-30</v>
      </c>
      <c r="AI158" s="2" t="n">
        <f aca="false">-AI128</f>
        <v>-60</v>
      </c>
      <c r="AJ158" s="2" t="n">
        <f aca="false">-AJ128</f>
        <v>-29</v>
      </c>
      <c r="AK158" s="2" t="n">
        <f aca="false">-AK128</f>
        <v>-30</v>
      </c>
      <c r="AL158" s="2" t="n">
        <f aca="false">-AL128</f>
        <v>-119</v>
      </c>
      <c r="AM158" s="2" t="n">
        <f aca="false">-AM128</f>
        <v>-46</v>
      </c>
      <c r="AN158" s="2" t="n">
        <f aca="false">-AN128</f>
        <v>-44</v>
      </c>
      <c r="AO158" s="2" t="n">
        <f aca="false">-AO128</f>
        <v>-90</v>
      </c>
      <c r="AP158" s="2" t="n">
        <f aca="false">-AP128</f>
        <v>-45</v>
      </c>
      <c r="AQ158" s="2" t="n">
        <f aca="false">-AQ128</f>
        <v>-46</v>
      </c>
      <c r="AR158" s="2" t="n">
        <f aca="false">-AR128</f>
        <v>-181</v>
      </c>
      <c r="AS158" s="2" t="n">
        <f aca="false">-AS128</f>
        <v>-71</v>
      </c>
      <c r="AT158" s="2" t="n">
        <f aca="false">-AT128</f>
        <v>-67</v>
      </c>
      <c r="AU158" s="2" t="n">
        <f aca="false">-AU128</f>
        <v>-138</v>
      </c>
      <c r="AV158" s="2" t="n">
        <f aca="false">-AV128</f>
        <v>-71</v>
      </c>
      <c r="AW158" s="2" t="n">
        <f aca="false">-AW128</f>
        <v>-67</v>
      </c>
      <c r="AX158" s="2" t="n">
        <f aca="false">-AX128</f>
        <v>-276</v>
      </c>
      <c r="AY158" s="2" t="n">
        <f aca="false">-AY128</f>
        <v>-37</v>
      </c>
      <c r="AZ158" s="2" t="n">
        <f aca="false">-AZ128</f>
        <v>-37</v>
      </c>
      <c r="BA158" s="2" t="n">
        <f aca="false">-BA128</f>
        <v>-74</v>
      </c>
      <c r="BB158" s="2" t="n">
        <f aca="false">-BB128</f>
        <v>-37</v>
      </c>
      <c r="BC158" s="2" t="n">
        <f aca="false">-BC128</f>
        <v>-37</v>
      </c>
      <c r="BD158" s="2" t="n">
        <f aca="false">-BD128</f>
        <v>-148</v>
      </c>
      <c r="BE158" s="2" t="n">
        <f aca="false">-BE128</f>
        <v>-44</v>
      </c>
      <c r="BF158" s="2" t="n">
        <f aca="false">-BF128</f>
        <v>-46</v>
      </c>
      <c r="BG158" s="2" t="n">
        <f aca="false">-BG128</f>
        <v>-90</v>
      </c>
      <c r="BH158" s="2" t="n">
        <f aca="false">-BH128</f>
        <v>-44</v>
      </c>
      <c r="BI158" s="2" t="n">
        <f aca="false">-BI128</f>
        <v>-45</v>
      </c>
      <c r="BJ158" s="2" t="n">
        <f aca="false">-BJ128</f>
        <v>-179</v>
      </c>
      <c r="BK158" s="2" t="n">
        <f aca="false">-BK128</f>
        <v>-48</v>
      </c>
      <c r="BL158" s="2" t="n">
        <f aca="false">-BL128</f>
        <v>-47</v>
      </c>
      <c r="BM158" s="2" t="n">
        <f aca="false">-BM128</f>
        <v>-95</v>
      </c>
      <c r="BN158" s="2" t="n">
        <f aca="false">-BN128</f>
        <v>-48</v>
      </c>
      <c r="BO158" s="2" t="n">
        <f aca="false">-BO128</f>
        <v>-47</v>
      </c>
      <c r="BP158" s="2" t="n">
        <f aca="false">-BP128</f>
        <v>-190</v>
      </c>
      <c r="BQ158" s="2" t="n">
        <f aca="false">-BQ128</f>
        <v>-53</v>
      </c>
      <c r="BR158" s="2" t="n">
        <f aca="false">-BR128</f>
        <v>-53</v>
      </c>
      <c r="BS158" s="2" t="n">
        <f aca="false">-BS128</f>
        <v>-106</v>
      </c>
      <c r="BT158" s="3" t="n">
        <f aca="false">-BT128</f>
        <v>-53.5</v>
      </c>
      <c r="BU158" s="3" t="n">
        <f aca="false">-BU128</f>
        <v>-53.5</v>
      </c>
      <c r="BV158" s="3" t="n">
        <f aca="false">-BV128</f>
        <v>-213</v>
      </c>
      <c r="BW158" s="3" t="n">
        <f aca="false">-BW128</f>
        <v>-213</v>
      </c>
      <c r="BX158" s="3" t="n">
        <f aca="false">-BX128</f>
        <v>-213</v>
      </c>
      <c r="BY158" s="3" t="n">
        <f aca="false">-BY128</f>
        <v>-213</v>
      </c>
      <c r="BZ158" s="3" t="n">
        <f aca="false">-BZ128</f>
        <v>-213</v>
      </c>
      <c r="CA158" s="16"/>
      <c r="CC158" s="5"/>
      <c r="CD158" s="5"/>
      <c r="CE158" s="5"/>
    </row>
    <row r="159" customFormat="false" ht="15" hidden="false" customHeight="false" outlineLevel="0" collapsed="false">
      <c r="B159" s="1" t="s">
        <v>260</v>
      </c>
      <c r="C159" s="2" t="n">
        <f aca="false">C91</f>
        <v>-1</v>
      </c>
      <c r="D159" s="2" t="n">
        <f aca="false">D91</f>
        <v>2</v>
      </c>
      <c r="E159" s="2" t="n">
        <f aca="false">E91</f>
        <v>1</v>
      </c>
      <c r="F159" s="2" t="n">
        <f aca="false">F91</f>
        <v>-1</v>
      </c>
      <c r="G159" s="2" t="n">
        <f aca="false">G91</f>
        <v>2</v>
      </c>
      <c r="H159" s="2" t="n">
        <f aca="false">H91</f>
        <v>2</v>
      </c>
      <c r="I159" s="2" t="n">
        <f aca="false">I91</f>
        <v>3</v>
      </c>
      <c r="J159" s="2" t="n">
        <f aca="false">J91</f>
        <v>2</v>
      </c>
      <c r="K159" s="2" t="n">
        <f aca="false">K91</f>
        <v>5</v>
      </c>
      <c r="L159" s="2" t="n">
        <f aca="false">L91</f>
        <v>2</v>
      </c>
      <c r="M159" s="2" t="n">
        <f aca="false">M91</f>
        <v>-5</v>
      </c>
      <c r="N159" s="2" t="n">
        <f aca="false">N91</f>
        <v>2</v>
      </c>
      <c r="O159" s="2" t="n">
        <f aca="false">O91</f>
        <v>5</v>
      </c>
      <c r="P159" s="2" t="n">
        <f aca="false">P91</f>
        <v>-1</v>
      </c>
      <c r="Q159" s="2" t="n">
        <f aca="false">Q91</f>
        <v>4</v>
      </c>
      <c r="R159" s="2" t="n">
        <f aca="false">R91</f>
        <v>1</v>
      </c>
      <c r="S159" s="2" t="n">
        <f aca="false">S91</f>
        <v>7</v>
      </c>
      <c r="T159" s="2" t="n">
        <f aca="false">T91</f>
        <v>12</v>
      </c>
      <c r="U159" s="2" t="n">
        <f aca="false">U91</f>
        <v>-2</v>
      </c>
      <c r="V159" s="2" t="n">
        <f aca="false">V91</f>
        <v>-3</v>
      </c>
      <c r="W159" s="2" t="n">
        <f aca="false">W91</f>
        <v>-5</v>
      </c>
      <c r="X159" s="2" t="n">
        <f aca="false">X91</f>
        <v>0</v>
      </c>
      <c r="Y159" s="2" t="n">
        <f aca="false">Y91</f>
        <v>7</v>
      </c>
      <c r="Z159" s="2" t="n">
        <f aca="false">Z91</f>
        <v>2</v>
      </c>
      <c r="AA159" s="2" t="n">
        <f aca="false">AA91</f>
        <v>2</v>
      </c>
      <c r="AB159" s="2" t="n">
        <f aca="false">AB91</f>
        <v>0</v>
      </c>
      <c r="AC159" s="2" t="n">
        <f aca="false">AC91</f>
        <v>2</v>
      </c>
      <c r="AD159" s="2" t="n">
        <f aca="false">AD91</f>
        <v>0</v>
      </c>
      <c r="AE159" s="2" t="n">
        <f aca="false">AE91</f>
        <v>17</v>
      </c>
      <c r="AF159" s="2" t="n">
        <f aca="false">AF91</f>
        <v>19</v>
      </c>
      <c r="AG159" s="2" t="n">
        <f aca="false">AG91</f>
        <v>4</v>
      </c>
      <c r="AH159" s="2" t="n">
        <f aca="false">AH91</f>
        <v>1</v>
      </c>
      <c r="AI159" s="2" t="n">
        <f aca="false">AI91</f>
        <v>5</v>
      </c>
      <c r="AJ159" s="2" t="n">
        <f aca="false">AJ91</f>
        <v>0</v>
      </c>
      <c r="AK159" s="2" t="n">
        <f aca="false">AK91</f>
        <v>-1</v>
      </c>
      <c r="AL159" s="2" t="n">
        <f aca="false">AL91</f>
        <v>4</v>
      </c>
      <c r="AM159" s="2" t="n">
        <f aca="false">AM91</f>
        <v>4</v>
      </c>
      <c r="AN159" s="2" t="n">
        <f aca="false">AN91</f>
        <v>4</v>
      </c>
      <c r="AO159" s="2" t="n">
        <f aca="false">AO91</f>
        <v>8</v>
      </c>
      <c r="AP159" s="2" t="n">
        <f aca="false">AP91</f>
        <v>4</v>
      </c>
      <c r="AQ159" s="2" t="n">
        <f aca="false">AQ91</f>
        <v>1</v>
      </c>
      <c r="AR159" s="2" t="n">
        <f aca="false">AR91</f>
        <v>13</v>
      </c>
      <c r="AS159" s="2" t="n">
        <f aca="false">AS91</f>
        <v>1</v>
      </c>
      <c r="AT159" s="2" t="n">
        <f aca="false">AT91</f>
        <v>-1</v>
      </c>
      <c r="AU159" s="2" t="n">
        <f aca="false">AU91</f>
        <v>0</v>
      </c>
      <c r="AV159" s="2" t="n">
        <f aca="false">AV91</f>
        <v>-1</v>
      </c>
      <c r="AW159" s="2" t="n">
        <f aca="false">AW91</f>
        <v>3</v>
      </c>
      <c r="AX159" s="2" t="n">
        <f aca="false">AX91</f>
        <v>2</v>
      </c>
      <c r="AY159" s="2" t="n">
        <f aca="false">AY91</f>
        <v>-4</v>
      </c>
      <c r="AZ159" s="2" t="n">
        <f aca="false">AZ91</f>
        <v>-4</v>
      </c>
      <c r="BA159" s="2" t="n">
        <f aca="false">BA91</f>
        <v>-8</v>
      </c>
      <c r="BB159" s="2" t="n">
        <f aca="false">BB91</f>
        <v>-4</v>
      </c>
      <c r="BC159" s="2" t="n">
        <f aca="false">BC91</f>
        <v>1</v>
      </c>
      <c r="BD159" s="2" t="n">
        <f aca="false">BD91</f>
        <v>-11</v>
      </c>
      <c r="BE159" s="2" t="n">
        <f aca="false">BE91</f>
        <v>-1</v>
      </c>
      <c r="BF159" s="2" t="n">
        <f aca="false">BF91</f>
        <v>-1</v>
      </c>
      <c r="BG159" s="2" t="n">
        <f aca="false">BG91</f>
        <v>-2</v>
      </c>
      <c r="BH159" s="2" t="n">
        <f aca="false">BH91</f>
        <v>-1</v>
      </c>
      <c r="BI159" s="2" t="n">
        <f aca="false">BI91</f>
        <v>-21</v>
      </c>
      <c r="BJ159" s="2" t="n">
        <f aca="false">BJ91</f>
        <v>-24</v>
      </c>
      <c r="BK159" s="2" t="n">
        <f aca="false">BK91</f>
        <v>0</v>
      </c>
      <c r="BL159" s="2" t="n">
        <f aca="false">BL91</f>
        <v>3</v>
      </c>
      <c r="BM159" s="2" t="n">
        <f aca="false">BM91</f>
        <v>3</v>
      </c>
      <c r="BN159" s="2" t="n">
        <f aca="false">BN91</f>
        <v>9</v>
      </c>
      <c r="BO159" s="2" t="n">
        <f aca="false">BO91</f>
        <v>13</v>
      </c>
      <c r="BP159" s="2" t="n">
        <f aca="false">BP91</f>
        <v>25</v>
      </c>
      <c r="BQ159" s="2" t="n">
        <f aca="false">BQ91</f>
        <v>8</v>
      </c>
      <c r="BR159" s="2" t="n">
        <f aca="false">BR91</f>
        <v>6</v>
      </c>
      <c r="BS159" s="2" t="n">
        <f aca="false">BS91</f>
        <v>14</v>
      </c>
      <c r="BT159" s="3" t="n">
        <f aca="false">BT91</f>
        <v>3</v>
      </c>
      <c r="BU159" s="3" t="n">
        <f aca="false">BU91</f>
        <v>3</v>
      </c>
      <c r="BV159" s="3" t="n">
        <f aca="false">BV91</f>
        <v>20</v>
      </c>
      <c r="BW159" s="3" t="n">
        <f aca="false">BW91</f>
        <v>20</v>
      </c>
      <c r="BX159" s="3" t="n">
        <f aca="false">BX91</f>
        <v>20</v>
      </c>
      <c r="BY159" s="3" t="n">
        <f aca="false">BY91</f>
        <v>20</v>
      </c>
      <c r="BZ159" s="3" t="n">
        <f aca="false">BZ91</f>
        <v>20</v>
      </c>
      <c r="CA159" s="16"/>
      <c r="CC159" s="5"/>
      <c r="CD159" s="5"/>
      <c r="CE159" s="5"/>
    </row>
    <row r="160" customFormat="false" ht="15" hidden="false" customHeight="false" outlineLevel="0" collapsed="false">
      <c r="B160" s="1" t="s">
        <v>261</v>
      </c>
      <c r="C160" s="2" t="n">
        <f aca="false">C147</f>
        <v>0</v>
      </c>
      <c r="D160" s="2" t="n">
        <f aca="false">D147</f>
        <v>-77</v>
      </c>
      <c r="E160" s="2" t="n">
        <f aca="false">E147</f>
        <v>-77</v>
      </c>
      <c r="F160" s="2" t="n">
        <f aca="false">F147</f>
        <v>0</v>
      </c>
      <c r="G160" s="2" t="n">
        <f aca="false">G147</f>
        <v>43</v>
      </c>
      <c r="H160" s="2" t="n">
        <f aca="false">H147</f>
        <v>-34</v>
      </c>
      <c r="I160" s="2" t="n">
        <f aca="false">I147</f>
        <v>0</v>
      </c>
      <c r="J160" s="2" t="n">
        <f aca="false">J147</f>
        <v>0</v>
      </c>
      <c r="K160" s="2" t="n">
        <f aca="false">K147</f>
        <v>0</v>
      </c>
      <c r="L160" s="2" t="n">
        <f aca="false">L147</f>
        <v>0</v>
      </c>
      <c r="M160" s="2" t="n">
        <f aca="false">M147</f>
        <v>0</v>
      </c>
      <c r="N160" s="2" t="n">
        <f aca="false">N147</f>
        <v>0</v>
      </c>
      <c r="O160" s="2" t="n">
        <f aca="false">O147</f>
        <v>0</v>
      </c>
      <c r="P160" s="2" t="n">
        <f aca="false">P147</f>
        <v>0</v>
      </c>
      <c r="Q160" s="2" t="n">
        <f aca="false">Q147</f>
        <v>0</v>
      </c>
      <c r="R160" s="2" t="n">
        <f aca="false">R147</f>
        <v>0</v>
      </c>
      <c r="S160" s="2" t="n">
        <f aca="false">S147</f>
        <v>0</v>
      </c>
      <c r="T160" s="2" t="n">
        <f aca="false">T147</f>
        <v>0</v>
      </c>
      <c r="U160" s="2" t="n">
        <f aca="false">U147</f>
        <v>0</v>
      </c>
      <c r="V160" s="2" t="n">
        <f aca="false">V147</f>
        <v>0</v>
      </c>
      <c r="W160" s="2" t="n">
        <f aca="false">W147</f>
        <v>0</v>
      </c>
      <c r="X160" s="2" t="n">
        <f aca="false">X147</f>
        <v>0</v>
      </c>
      <c r="Y160" s="2" t="n">
        <f aca="false">Y147</f>
        <v>0</v>
      </c>
      <c r="Z160" s="2" t="n">
        <f aca="false">Z147</f>
        <v>0</v>
      </c>
      <c r="AA160" s="2" t="n">
        <f aca="false">AA147</f>
        <v>0</v>
      </c>
      <c r="AB160" s="2" t="n">
        <f aca="false">AB147</f>
        <v>0</v>
      </c>
      <c r="AC160" s="2" t="n">
        <f aca="false">AC147</f>
        <v>0</v>
      </c>
      <c r="AD160" s="2" t="n">
        <f aca="false">AD147</f>
        <v>0</v>
      </c>
      <c r="AE160" s="2" t="n">
        <f aca="false">AE147</f>
        <v>35</v>
      </c>
      <c r="AF160" s="2" t="n">
        <f aca="false">AF147</f>
        <v>35</v>
      </c>
      <c r="AG160" s="2" t="n">
        <f aca="false">AG147</f>
        <v>0</v>
      </c>
      <c r="AH160" s="2" t="n">
        <f aca="false">AH147</f>
        <v>0</v>
      </c>
      <c r="AI160" s="2" t="n">
        <f aca="false">AI147</f>
        <v>0</v>
      </c>
      <c r="AJ160" s="2" t="n">
        <f aca="false">AJ147</f>
        <v>0</v>
      </c>
      <c r="AK160" s="2" t="n">
        <f aca="false">AK147</f>
        <v>0</v>
      </c>
      <c r="AL160" s="2" t="n">
        <f aca="false">AL147</f>
        <v>0</v>
      </c>
      <c r="AM160" s="2" t="n">
        <f aca="false">AM147</f>
        <v>0</v>
      </c>
      <c r="AN160" s="2" t="n">
        <f aca="false">AN147</f>
        <v>0</v>
      </c>
      <c r="AO160" s="2" t="n">
        <f aca="false">AO147</f>
        <v>0</v>
      </c>
      <c r="AP160" s="2" t="n">
        <f aca="false">AP147</f>
        <v>0</v>
      </c>
      <c r="AQ160" s="2" t="n">
        <f aca="false">AQ147</f>
        <v>0</v>
      </c>
      <c r="AR160" s="2" t="n">
        <f aca="false">AR147</f>
        <v>0</v>
      </c>
      <c r="AS160" s="2" t="n">
        <f aca="false">AS147</f>
        <v>0</v>
      </c>
      <c r="AT160" s="2" t="n">
        <f aca="false">AT147</f>
        <v>0</v>
      </c>
      <c r="AU160" s="2" t="n">
        <f aca="false">AU147</f>
        <v>0</v>
      </c>
      <c r="AV160" s="2" t="n">
        <f aca="false">AV147</f>
        <v>0</v>
      </c>
      <c r="AW160" s="2" t="n">
        <f aca="false">AW147</f>
        <v>0</v>
      </c>
      <c r="AX160" s="2" t="n">
        <f aca="false">AX147</f>
        <v>0</v>
      </c>
      <c r="AY160" s="2" t="n">
        <f aca="false">AY147</f>
        <v>0</v>
      </c>
      <c r="AZ160" s="2" t="n">
        <f aca="false">AZ147</f>
        <v>0</v>
      </c>
      <c r="BA160" s="2" t="n">
        <f aca="false">BA147</f>
        <v>0</v>
      </c>
      <c r="BB160" s="2" t="n">
        <f aca="false">BB147</f>
        <v>0</v>
      </c>
      <c r="BC160" s="2" t="n">
        <f aca="false">BC147</f>
        <v>0</v>
      </c>
      <c r="BD160" s="2" t="n">
        <f aca="false">BD147</f>
        <v>0</v>
      </c>
      <c r="BE160" s="2" t="n">
        <f aca="false">BE147</f>
        <v>0</v>
      </c>
      <c r="BF160" s="2" t="n">
        <f aca="false">BF147</f>
        <v>0</v>
      </c>
      <c r="BG160" s="2" t="n">
        <f aca="false">BG147</f>
        <v>0</v>
      </c>
      <c r="BH160" s="2" t="n">
        <f aca="false">BH147</f>
        <v>0</v>
      </c>
      <c r="BI160" s="2" t="n">
        <f aca="false">BI147</f>
        <v>0</v>
      </c>
      <c r="BJ160" s="2" t="n">
        <f aca="false">BJ147</f>
        <v>0</v>
      </c>
      <c r="BK160" s="2" t="n">
        <f aca="false">BK147</f>
        <v>0</v>
      </c>
      <c r="BL160" s="2" t="n">
        <f aca="false">BL147</f>
        <v>0</v>
      </c>
      <c r="BM160" s="2" t="n">
        <f aca="false">BM147</f>
        <v>0</v>
      </c>
      <c r="BN160" s="2" t="n">
        <f aca="false">BN147</f>
        <v>0</v>
      </c>
      <c r="BO160" s="2" t="n">
        <f aca="false">BO147</f>
        <v>0</v>
      </c>
      <c r="BP160" s="2" t="n">
        <f aca="false">BP147</f>
        <v>0</v>
      </c>
      <c r="BQ160" s="2" t="n">
        <f aca="false">BQ147</f>
        <v>0</v>
      </c>
      <c r="BR160" s="2" t="n">
        <f aca="false">BR147</f>
        <v>0</v>
      </c>
      <c r="BS160" s="2" t="n">
        <f aca="false">BS147</f>
        <v>0</v>
      </c>
      <c r="BT160" s="3" t="n">
        <f aca="false">BT147</f>
        <v>0</v>
      </c>
      <c r="BU160" s="3" t="n">
        <f aca="false">BU147</f>
        <v>0</v>
      </c>
      <c r="BV160" s="3" t="n">
        <f aca="false">BV147</f>
        <v>0</v>
      </c>
      <c r="BW160" s="3" t="n">
        <f aca="false">BW147</f>
        <v>0</v>
      </c>
      <c r="BX160" s="3" t="n">
        <f aca="false">BX147</f>
        <v>0</v>
      </c>
      <c r="BY160" s="3" t="n">
        <f aca="false">BY147</f>
        <v>0</v>
      </c>
      <c r="BZ160" s="3" t="n">
        <f aca="false">BZ147</f>
        <v>0</v>
      </c>
      <c r="CA160" s="16"/>
      <c r="CC160" s="5"/>
      <c r="CD160" s="5"/>
      <c r="CE160" s="5"/>
    </row>
    <row r="161" customFormat="false" ht="15" hidden="false" customHeight="false" outlineLevel="0" collapsed="false">
      <c r="B161" s="1" t="s">
        <v>262</v>
      </c>
      <c r="C161" s="2" t="n">
        <f aca="false">-C134</f>
        <v>-0</v>
      </c>
      <c r="D161" s="2" t="n">
        <f aca="false">-D134</f>
        <v>-0</v>
      </c>
      <c r="E161" s="2" t="n">
        <f aca="false">-E134</f>
        <v>-0</v>
      </c>
      <c r="F161" s="2" t="n">
        <f aca="false">-F134</f>
        <v>4</v>
      </c>
      <c r="G161" s="2" t="n">
        <f aca="false">-G134</f>
        <v>40</v>
      </c>
      <c r="H161" s="2" t="n">
        <f aca="false">-H134</f>
        <v>44</v>
      </c>
      <c r="I161" s="2" t="n">
        <f aca="false">-I134</f>
        <v>-0</v>
      </c>
      <c r="J161" s="2" t="n">
        <f aca="false">-J134</f>
        <v>-0</v>
      </c>
      <c r="K161" s="2" t="n">
        <f aca="false">-K134</f>
        <v>-0</v>
      </c>
      <c r="L161" s="2" t="n">
        <f aca="false">-L134</f>
        <v>-0</v>
      </c>
      <c r="M161" s="2" t="n">
        <f aca="false">-M134</f>
        <v>-0</v>
      </c>
      <c r="N161" s="2" t="n">
        <f aca="false">-N134</f>
        <v>-0</v>
      </c>
      <c r="O161" s="2" t="n">
        <f aca="false">-O134</f>
        <v>-0</v>
      </c>
      <c r="P161" s="2" t="n">
        <f aca="false">-P134</f>
        <v>-0</v>
      </c>
      <c r="Q161" s="2" t="n">
        <f aca="false">-Q134</f>
        <v>-0</v>
      </c>
      <c r="R161" s="2" t="n">
        <f aca="false">-R134</f>
        <v>-0</v>
      </c>
      <c r="S161" s="2" t="n">
        <f aca="false">-S134</f>
        <v>22</v>
      </c>
      <c r="T161" s="2" t="n">
        <f aca="false">-T134</f>
        <v>22</v>
      </c>
      <c r="U161" s="2" t="n">
        <f aca="false">-U134</f>
        <v>-0</v>
      </c>
      <c r="V161" s="2" t="n">
        <f aca="false">-V134</f>
        <v>-0</v>
      </c>
      <c r="W161" s="2" t="n">
        <f aca="false">-W134</f>
        <v>-0</v>
      </c>
      <c r="X161" s="2" t="n">
        <f aca="false">-X134</f>
        <v>-0</v>
      </c>
      <c r="Y161" s="2" t="n">
        <f aca="false">-Y134</f>
        <v>-0</v>
      </c>
      <c r="Z161" s="2" t="n">
        <f aca="false">-Z134</f>
        <v>-0</v>
      </c>
      <c r="AA161" s="2" t="n">
        <f aca="false">-AA134</f>
        <v>-0</v>
      </c>
      <c r="AB161" s="2" t="n">
        <f aca="false">-AB134</f>
        <v>-0</v>
      </c>
      <c r="AC161" s="2" t="n">
        <f aca="false">-AC134</f>
        <v>-0</v>
      </c>
      <c r="AD161" s="2" t="n">
        <f aca="false">-AD134</f>
        <v>-0</v>
      </c>
      <c r="AE161" s="2" t="n">
        <f aca="false">-AE134</f>
        <v>-0</v>
      </c>
      <c r="AF161" s="2" t="n">
        <f aca="false">-AF134</f>
        <v>-0</v>
      </c>
      <c r="AG161" s="2" t="n">
        <f aca="false">-AG134</f>
        <v>-0</v>
      </c>
      <c r="AH161" s="2" t="n">
        <f aca="false">-AH134</f>
        <v>-0</v>
      </c>
      <c r="AI161" s="2" t="n">
        <f aca="false">-AI134</f>
        <v>-0</v>
      </c>
      <c r="AJ161" s="2" t="n">
        <f aca="false">-AJ134</f>
        <v>-0</v>
      </c>
      <c r="AK161" s="2" t="n">
        <f aca="false">-AK134</f>
        <v>21</v>
      </c>
      <c r="AL161" s="2" t="n">
        <f aca="false">-AL134</f>
        <v>21</v>
      </c>
      <c r="AM161" s="2" t="n">
        <f aca="false">-AM134</f>
        <v>-0</v>
      </c>
      <c r="AN161" s="2" t="n">
        <f aca="false">-AN134</f>
        <v>-0</v>
      </c>
      <c r="AO161" s="2" t="n">
        <f aca="false">-AO134</f>
        <v>-0</v>
      </c>
      <c r="AP161" s="2" t="n">
        <f aca="false">-AP134</f>
        <v>-0</v>
      </c>
      <c r="AQ161" s="2" t="n">
        <f aca="false">-AQ134</f>
        <v>-0</v>
      </c>
      <c r="AR161" s="2" t="n">
        <f aca="false">-AR134</f>
        <v>-0</v>
      </c>
      <c r="AS161" s="2" t="n">
        <f aca="false">-AS134</f>
        <v>-0</v>
      </c>
      <c r="AT161" s="2" t="n">
        <f aca="false">-AT134</f>
        <v>-0</v>
      </c>
      <c r="AU161" s="2" t="n">
        <f aca="false">-AU134</f>
        <v>-0</v>
      </c>
      <c r="AV161" s="2" t="n">
        <f aca="false">-AV134</f>
        <v>-0</v>
      </c>
      <c r="AW161" s="2" t="n">
        <f aca="false">-AW134</f>
        <v>-0</v>
      </c>
      <c r="AX161" s="2" t="n">
        <f aca="false">-AX134</f>
        <v>-0</v>
      </c>
      <c r="AY161" s="2" t="n">
        <f aca="false">-AY134</f>
        <v>-0</v>
      </c>
      <c r="AZ161" s="2" t="n">
        <f aca="false">-AZ134</f>
        <v>-0</v>
      </c>
      <c r="BA161" s="2" t="n">
        <f aca="false">-BA134</f>
        <v>-0</v>
      </c>
      <c r="BB161" s="2" t="n">
        <f aca="false">-BB134</f>
        <v>-0</v>
      </c>
      <c r="BC161" s="2" t="n">
        <f aca="false">-BC134</f>
        <v>-0</v>
      </c>
      <c r="BD161" s="2" t="n">
        <f aca="false">-BD134</f>
        <v>-0</v>
      </c>
      <c r="BE161" s="2" t="n">
        <f aca="false">-BE134</f>
        <v>-0</v>
      </c>
      <c r="BF161" s="2" t="n">
        <f aca="false">-BF134</f>
        <v>-0</v>
      </c>
      <c r="BG161" s="2" t="n">
        <f aca="false">-BG134</f>
        <v>-0</v>
      </c>
      <c r="BH161" s="2" t="n">
        <f aca="false">-BH134</f>
        <v>-0</v>
      </c>
      <c r="BI161" s="2" t="n">
        <f aca="false">-BI134</f>
        <v>-0</v>
      </c>
      <c r="BJ161" s="2" t="n">
        <f aca="false">-BJ134</f>
        <v>-0</v>
      </c>
      <c r="BK161" s="2" t="n">
        <f aca="false">-BK134</f>
        <v>-0</v>
      </c>
      <c r="BL161" s="2" t="n">
        <f aca="false">-BL134</f>
        <v>-0</v>
      </c>
      <c r="BM161" s="2" t="n">
        <f aca="false">-BM134</f>
        <v>-0</v>
      </c>
      <c r="BN161" s="2" t="n">
        <f aca="false">-BN134</f>
        <v>-0</v>
      </c>
      <c r="BO161" s="2" t="n">
        <f aca="false">-BO134</f>
        <v>-0</v>
      </c>
      <c r="BP161" s="2" t="n">
        <f aca="false">-BP134</f>
        <v>-0</v>
      </c>
      <c r="BQ161" s="2" t="n">
        <f aca="false">-BQ134</f>
        <v>-0</v>
      </c>
      <c r="BR161" s="2" t="n">
        <f aca="false">-BR134</f>
        <v>-0</v>
      </c>
      <c r="BS161" s="2" t="n">
        <f aca="false">-BS134</f>
        <v>-0</v>
      </c>
      <c r="BT161" s="3" t="n">
        <f aca="false">-BT134</f>
        <v>-0</v>
      </c>
      <c r="BU161" s="3" t="n">
        <f aca="false">-BU134</f>
        <v>-0</v>
      </c>
      <c r="BV161" s="3" t="n">
        <f aca="false">-BV134</f>
        <v>-0</v>
      </c>
      <c r="BW161" s="3" t="n">
        <f aca="false">-BW134</f>
        <v>-0</v>
      </c>
      <c r="BX161" s="3" t="n">
        <f aca="false">-BX134</f>
        <v>-0</v>
      </c>
      <c r="BY161" s="3" t="n">
        <f aca="false">-BY134</f>
        <v>-0</v>
      </c>
      <c r="BZ161" s="3" t="n">
        <f aca="false">-BZ134</f>
        <v>-0</v>
      </c>
      <c r="CA161" s="16"/>
      <c r="CC161" s="5"/>
      <c r="CD161" s="5"/>
      <c r="CE161" s="5"/>
    </row>
    <row r="162" customFormat="false" ht="15" hidden="false" customHeight="false" outlineLevel="0" collapsed="false">
      <c r="B162" s="1" t="s">
        <v>263</v>
      </c>
      <c r="C162" s="2" t="n">
        <f aca="false">-(C157+C158+C159+C160+C161)*C165</f>
        <v>9.8</v>
      </c>
      <c r="D162" s="2" t="n">
        <f aca="false">-(D157+D158+D159+D160+D161)*D165</f>
        <v>36.05</v>
      </c>
      <c r="E162" s="2" t="n">
        <f aca="false">-(E157+E158+E159+E160+E161)*E165</f>
        <v>45.85</v>
      </c>
      <c r="F162" s="2" t="n">
        <f aca="false">-(F157+F158+F159+F160+F161)*F165</f>
        <v>8.4</v>
      </c>
      <c r="G162" s="2" t="n">
        <f aca="false">-(G157+G158+G159+G160+G161)*G165</f>
        <v>-22.05</v>
      </c>
      <c r="H162" s="2" t="n">
        <f aca="false">-(H157+H158+H159+H160+H161)*H165</f>
        <v>32.2</v>
      </c>
      <c r="I162" s="2" t="n">
        <f aca="false">-(I157+I158+I159+I160+I161)*I165</f>
        <v>11.2</v>
      </c>
      <c r="J162" s="2" t="n">
        <f aca="false">-(J157+J158+J159+J160+J161)*J165</f>
        <v>11.55</v>
      </c>
      <c r="K162" s="2" t="n">
        <f aca="false">-(K157+K158+K159+K160+K161)*K165</f>
        <v>22.75</v>
      </c>
      <c r="L162" s="2" t="n">
        <f aca="false">-(L157+L158+L159+L160+L161)*L165</f>
        <v>12.25</v>
      </c>
      <c r="M162" s="2" t="n">
        <f aca="false">-(M157+M158+M159+M160+M161)*M165</f>
        <v>15.05</v>
      </c>
      <c r="N162" s="2" t="n">
        <f aca="false">-(N157+N158+N159+N160+N161)*N165</f>
        <v>50.05</v>
      </c>
      <c r="O162" s="2" t="n">
        <f aca="false">-(O157+O158+O159+O160+O161)*O165</f>
        <v>15.4</v>
      </c>
      <c r="P162" s="2" t="n">
        <f aca="false">-(P157+P158+P159+P160+P161)*P165</f>
        <v>17.5</v>
      </c>
      <c r="Q162" s="2" t="n">
        <f aca="false">-(Q157+Q158+Q159+Q160+Q161)*Q165</f>
        <v>32.9</v>
      </c>
      <c r="R162" s="2" t="n">
        <f aca="false">-(R157+R158+R159+R160+R161)*R165</f>
        <v>15.75</v>
      </c>
      <c r="S162" s="2" t="n">
        <f aca="false">-(S157+S158+S159+S160+S161)*S165</f>
        <v>5.6</v>
      </c>
      <c r="T162" s="2" t="n">
        <f aca="false">-(T157+T158+T159+T160+T161)*T165</f>
        <v>54.25</v>
      </c>
      <c r="U162" s="2" t="n">
        <f aca="false">-(U157+U158+U159+U160+U161)*U165</f>
        <v>19.32</v>
      </c>
      <c r="V162" s="2" t="n">
        <f aca="false">-(V157+V158+V159+V160+V161)*V165</f>
        <v>19.95</v>
      </c>
      <c r="W162" s="2" t="n">
        <f aca="false">-(W157+W158+W159+W160+W161)*W165</f>
        <v>39.27</v>
      </c>
      <c r="X162" s="2" t="n">
        <f aca="false">-(X157+X158+X159+X160+X161)*X165</f>
        <v>19.32</v>
      </c>
      <c r="Y162" s="2" t="n">
        <f aca="false">-(Y157+Y158+Y159+Y160+Y161)*Y165</f>
        <v>17.43</v>
      </c>
      <c r="Z162" s="2" t="n">
        <f aca="false">-(Z157+Z158+Z159+Z160+Z161)*Z165</f>
        <v>76.02</v>
      </c>
      <c r="AA162" s="2" t="n">
        <f aca="false">-(AA157+AA158+AA159+AA160+AA161)*AA165</f>
        <v>7.35</v>
      </c>
      <c r="AB162" s="2" t="n">
        <f aca="false">-(AB157+AB158+AB159+AB160+AB161)*AB165</f>
        <v>8.19</v>
      </c>
      <c r="AC162" s="2" t="n">
        <f aca="false">-(AC157+AC158+AC159+AC160+AC161)*AC165</f>
        <v>15.54</v>
      </c>
      <c r="AD162" s="2" t="n">
        <f aca="false">-(AD157+AD158+AD159+AD160+AD161)*AD165</f>
        <v>5.46</v>
      </c>
      <c r="AE162" s="2" t="n">
        <f aca="false">-(AE157+AE158+AE159+AE160+AE161)*AE165</f>
        <v>-3.78</v>
      </c>
      <c r="AF162" s="2" t="n">
        <f aca="false">-(AF157+AF158+AF159+AF160+AF161)*AF165</f>
        <v>17.22</v>
      </c>
      <c r="AG162" s="2" t="n">
        <f aca="false">-(AG157+AG158+AG159+AG160+AG161)*AG165</f>
        <v>18.69</v>
      </c>
      <c r="AH162" s="2" t="n">
        <f aca="false">-(AH157+AH158+AH159+AH160+AH161)*AH165</f>
        <v>19.32</v>
      </c>
      <c r="AI162" s="2" t="n">
        <f aca="false">-(AI157+AI158+AI159+AI160+AI161)*AI165</f>
        <v>38.01</v>
      </c>
      <c r="AJ162" s="2" t="n">
        <f aca="false">-(AJ157+AJ158+AJ159+AJ160+AJ161)*AJ165</f>
        <v>18.69</v>
      </c>
      <c r="AK162" s="2" t="n">
        <f aca="false">-(AK157+AK158+AK159+AK160+AK161)*AK165</f>
        <v>15.12</v>
      </c>
      <c r="AL162" s="2" t="n">
        <f aca="false">-(AL157+AL158+AL159+AL160+AL161)*AL165</f>
        <v>71.82</v>
      </c>
      <c r="AM162" s="2" t="n">
        <f aca="false">-(AM157+AM158+AM159+AM160+AM161)*AM165</f>
        <v>0.42</v>
      </c>
      <c r="AN162" s="2" t="n">
        <f aca="false">-(AN157+AN158+AN159+AN160+AN161)*AN165</f>
        <v>0.63</v>
      </c>
      <c r="AO162" s="2" t="n">
        <f aca="false">-(AO157+AO158+AO159+AO160+AO161)*AO165</f>
        <v>1.05</v>
      </c>
      <c r="AP162" s="2" t="n">
        <f aca="false">-(AP157+AP158+AP159+AP160+AP161)*AP165</f>
        <v>-0</v>
      </c>
      <c r="AQ162" s="2" t="n">
        <f aca="false">-(AQ157+AQ158+AQ159+AQ160+AQ161)*AQ165</f>
        <v>1.26</v>
      </c>
      <c r="AR162" s="2" t="n">
        <f aca="false">-(AR157+AR158+AR159+AR160+AR161)*AR165</f>
        <v>2.31</v>
      </c>
      <c r="AS162" s="2" t="n">
        <f aca="false">-(AS157+AS158+AS159+AS160+AS161)*AS165</f>
        <v>6.93</v>
      </c>
      <c r="AT162" s="2" t="n">
        <f aca="false">-(AT157+AT158+AT159+AT160+AT161)*AT165</f>
        <v>6.93</v>
      </c>
      <c r="AU162" s="2" t="n">
        <f aca="false">-(AU157+AU158+AU159+AU160+AU161)*AU165</f>
        <v>13.86</v>
      </c>
      <c r="AV162" s="2" t="n">
        <f aca="false">-(AV157+AV158+AV159+AV160+AV161)*AV165</f>
        <v>7.56</v>
      </c>
      <c r="AW162" s="2" t="n">
        <f aca="false">-(AW157+AW158+AW159+AW160+AW161)*AW165</f>
        <v>5.67</v>
      </c>
      <c r="AX162" s="2" t="n">
        <f aca="false">-(AX157+AX158+AX159+AX160+AX161)*AX165</f>
        <v>27.09</v>
      </c>
      <c r="AY162" s="2" t="n">
        <f aca="false">-(AY157+AY158+AY159+AY160+AY161)*AY165</f>
        <v>4.62</v>
      </c>
      <c r="AZ162" s="2" t="n">
        <f aca="false">-(AZ157+AZ158+AZ159+AZ160+AZ161)*AZ165</f>
        <v>5.04</v>
      </c>
      <c r="BA162" s="2" t="n">
        <f aca="false">-(BA157+BA158+BA159+BA160+BA161)*BA165</f>
        <v>9.66</v>
      </c>
      <c r="BB162" s="2" t="n">
        <f aca="false">-(BB157+BB158+BB159+BB160+BB161)*BB165</f>
        <v>4.62</v>
      </c>
      <c r="BC162" s="2" t="n">
        <f aca="false">-(BC157+BC158+BC159+BC160+BC161)*BC165</f>
        <v>3.99</v>
      </c>
      <c r="BD162" s="2" t="n">
        <f aca="false">-(BD157+BD158+BD159+BD160+BD161)*BD165</f>
        <v>18.27</v>
      </c>
      <c r="BE162" s="2" t="n">
        <f aca="false">-(BE157+BE158+BE159+BE160+BE161)*BE165</f>
        <v>5.88</v>
      </c>
      <c r="BF162" s="2" t="n">
        <f aca="false">-(BF157+BF158+BF159+BF160+BF161)*BF165</f>
        <v>6.72</v>
      </c>
      <c r="BG162" s="2" t="n">
        <f aca="false">-(BG157+BG158+BG159+BG160+BG161)*BG165</f>
        <v>12.6</v>
      </c>
      <c r="BH162" s="2" t="n">
        <f aca="false">-(BH157+BH158+BH159+BH160+BH161)*BH165</f>
        <v>6.09</v>
      </c>
      <c r="BI162" s="2" t="n">
        <f aca="false">-(BI157+BI158+BI159+BI160+BI161)*BI165</f>
        <v>10.92</v>
      </c>
      <c r="BJ162" s="2" t="n">
        <f aca="false">-(BJ157+BJ158+BJ159+BJ160+BJ161)*BJ165</f>
        <v>29.61</v>
      </c>
      <c r="BK162" s="2" t="n">
        <f aca="false">-(BK157+BK158+BK159+BK160+BK161)*BK165</f>
        <v>7.98</v>
      </c>
      <c r="BL162" s="2" t="n">
        <f aca="false">-(BL157+BL158+BL159+BL160+BL161)*BL165</f>
        <v>7.98</v>
      </c>
      <c r="BM162" s="2" t="n">
        <f aca="false">-(BM157+BM158+BM159+BM160+BM161)*BM165</f>
        <v>15.96</v>
      </c>
      <c r="BN162" s="2" t="n">
        <f aca="false">-(BN157+BN158+BN159+BN160+BN161)*BN165</f>
        <v>6.3</v>
      </c>
      <c r="BO162" s="2" t="n">
        <f aca="false">-(BO157+BO158+BO159+BO160+BO161)*BO165</f>
        <v>5.04</v>
      </c>
      <c r="BP162" s="2" t="n">
        <f aca="false">-(BP157+BP158+BP159+BP160+BP161)*BP165</f>
        <v>27.3</v>
      </c>
      <c r="BQ162" s="2" t="n">
        <f aca="false">-(BQ157+BQ158+BQ159+BQ160+BQ161)*BQ165</f>
        <v>7.56</v>
      </c>
      <c r="BR162" s="2" t="n">
        <f aca="false">-(BR157+BR158+BR159+BR160+BR161)*BR165</f>
        <v>8.19</v>
      </c>
      <c r="BS162" s="2" t="n">
        <f aca="false">-(BS157+BS158+BS159+BS160+BS161)*BS165</f>
        <v>15.75</v>
      </c>
      <c r="BT162" s="3" t="n">
        <f aca="false">-(BT157+BT158+BT159+BT160+BT161)*BT165</f>
        <v>7.77</v>
      </c>
      <c r="BU162" s="3" t="n">
        <f aca="false">-(BU157+BU158+BU159+BU160+BU161)*BU165</f>
        <v>7.77</v>
      </c>
      <c r="BV162" s="3" t="n">
        <f aca="false">-(BV157+BV158+BV159+BV160+BV161)*BV165</f>
        <v>31.29</v>
      </c>
      <c r="BW162" s="3" t="n">
        <f aca="false">-(BW157+BW158+BW159+BW160+BW161)*BW165</f>
        <v>31.29</v>
      </c>
      <c r="BX162" s="3" t="n">
        <f aca="false">-(BX157+BX158+BX159+BX160+BX161)*BX165</f>
        <v>31.29</v>
      </c>
      <c r="BY162" s="3" t="n">
        <f aca="false">-(BY157+BY158+BY159+BY160+BY161)*BY165</f>
        <v>31.29</v>
      </c>
      <c r="BZ162" s="3" t="n">
        <f aca="false">-(BZ157+BZ158+BZ159+BZ160+BZ161)*BZ165</f>
        <v>31.29</v>
      </c>
      <c r="CA162" s="16"/>
      <c r="CC162" s="5"/>
      <c r="CD162" s="5"/>
      <c r="CE162" s="5"/>
    </row>
    <row r="163" customFormat="false" ht="15" hidden="false" customHeight="false" outlineLevel="0" collapsed="false">
      <c r="B163" s="1" t="s">
        <v>264</v>
      </c>
      <c r="C163" s="23" t="n">
        <v>0</v>
      </c>
      <c r="D163" s="23" t="n">
        <v>0</v>
      </c>
      <c r="E163" s="2" t="n">
        <f aca="false">C163+D163</f>
        <v>0</v>
      </c>
      <c r="F163" s="23" t="n">
        <v>0</v>
      </c>
      <c r="G163" s="23" t="n">
        <v>0</v>
      </c>
      <c r="H163" s="23" t="n">
        <v>0</v>
      </c>
      <c r="I163" s="23" t="n">
        <v>0</v>
      </c>
      <c r="J163" s="23" t="n">
        <v>0</v>
      </c>
      <c r="K163" s="2" t="n">
        <f aca="false">I163+J163</f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" t="n">
        <f aca="false">O163+P163</f>
        <v>0</v>
      </c>
      <c r="R163" s="23" t="n">
        <v>0</v>
      </c>
      <c r="S163" s="23" t="n">
        <v>63</v>
      </c>
      <c r="T163" s="23" t="n">
        <v>63</v>
      </c>
      <c r="U163" s="23" t="n">
        <v>0</v>
      </c>
      <c r="V163" s="23" t="n">
        <v>0</v>
      </c>
      <c r="W163" s="2" t="n">
        <f aca="false">U163+V163</f>
        <v>0</v>
      </c>
      <c r="X163" s="23" t="n">
        <v>0</v>
      </c>
      <c r="Y163" s="23" t="n">
        <v>0</v>
      </c>
      <c r="Z163" s="23" t="n">
        <v>0</v>
      </c>
      <c r="AA163" s="23" t="n">
        <v>0</v>
      </c>
      <c r="AB163" s="23" t="n">
        <v>0</v>
      </c>
      <c r="AC163" s="2" t="n">
        <f aca="false">AA163+AB163</f>
        <v>0</v>
      </c>
      <c r="AD163" s="23" t="n">
        <v>0</v>
      </c>
      <c r="AE163" s="23" t="n">
        <v>0</v>
      </c>
      <c r="AF163" s="23" t="n">
        <v>0</v>
      </c>
      <c r="AG163" s="23" t="n">
        <v>0</v>
      </c>
      <c r="AH163" s="23" t="n">
        <v>0</v>
      </c>
      <c r="AI163" s="2" t="n">
        <f aca="false">AG163+AH163</f>
        <v>0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" t="n">
        <f aca="false">AM163+AN163</f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" t="n">
        <f aca="false">AS163+AT163</f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" t="n">
        <f aca="false">AY163+AZ163</f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" t="n">
        <f aca="false">BE163+BF163</f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" t="n">
        <f aca="false">BK163+BL163</f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" t="n">
        <f aca="false">BQ163+BR163</f>
        <v>0</v>
      </c>
      <c r="BT163" s="54" t="n">
        <v>0</v>
      </c>
      <c r="BU163" s="54" t="n">
        <v>0</v>
      </c>
      <c r="BV163" s="3" t="n">
        <f aca="false">SUM(BQ163,BR163,BT163,BU163)</f>
        <v>0</v>
      </c>
      <c r="BW163" s="54" t="n">
        <v>0</v>
      </c>
      <c r="BX163" s="54" t="n">
        <v>0</v>
      </c>
      <c r="BY163" s="54" t="n">
        <v>0</v>
      </c>
      <c r="BZ163" s="54" t="n">
        <v>0</v>
      </c>
      <c r="CA163" s="16"/>
      <c r="CC163" s="5"/>
      <c r="CD163" s="5"/>
      <c r="CE163" s="5"/>
    </row>
    <row r="164" customFormat="false" ht="15" hidden="false" customHeight="false" outlineLevel="0" collapsed="false">
      <c r="B164" s="32" t="s">
        <v>265</v>
      </c>
      <c r="C164" s="28" t="n">
        <f aca="false">SUM(C156:C163)</f>
        <v>68.8</v>
      </c>
      <c r="D164" s="28" t="n">
        <f aca="false">SUM(D156:D163)</f>
        <v>89.05</v>
      </c>
      <c r="E164" s="28" t="n">
        <f aca="false">SUM(E156:E163)</f>
        <v>157.85</v>
      </c>
      <c r="F164" s="28" t="n">
        <f aca="false">SUM(F156:F163)</f>
        <v>95.4</v>
      </c>
      <c r="G164" s="28" t="n">
        <f aca="false">SUM(G156:G163)</f>
        <v>90.95</v>
      </c>
      <c r="H164" s="34" t="n">
        <f aca="false">SUM(H156:H163)</f>
        <v>344.2</v>
      </c>
      <c r="I164" s="28" t="n">
        <f aca="false">SUM(I156:I163)</f>
        <v>115.2</v>
      </c>
      <c r="J164" s="28" t="n">
        <f aca="false">SUM(J156:J163)</f>
        <v>111.55</v>
      </c>
      <c r="K164" s="28" t="n">
        <f aca="false">SUM(K156:K163)</f>
        <v>226.75</v>
      </c>
      <c r="L164" s="28" t="n">
        <f aca="false">SUM(L156:L163)</f>
        <v>84.25</v>
      </c>
      <c r="M164" s="28" t="n">
        <f aca="false">SUM(M156:M163)</f>
        <v>169.05</v>
      </c>
      <c r="N164" s="34" t="n">
        <f aca="false">SUM(N156:N163)</f>
        <v>480.05</v>
      </c>
      <c r="O164" s="28" t="n">
        <f aca="false">SUM(O156:O163)</f>
        <v>90.4</v>
      </c>
      <c r="P164" s="28" t="n">
        <f aca="false">SUM(P156:P163)</f>
        <v>114.5</v>
      </c>
      <c r="Q164" s="28" t="n">
        <f aca="false">SUM(Q156:Q163)</f>
        <v>204.9</v>
      </c>
      <c r="R164" s="28" t="n">
        <f aca="false">SUM(R156:R163)</f>
        <v>119.75</v>
      </c>
      <c r="S164" s="28" t="n">
        <f aca="false">SUM(S156:S163)</f>
        <v>116.6</v>
      </c>
      <c r="T164" s="34" t="n">
        <f aca="false">SUM(T156:T163)</f>
        <v>441.25</v>
      </c>
      <c r="U164" s="28" t="n">
        <f aca="false">SUM(U156:U163)</f>
        <v>83.32</v>
      </c>
      <c r="V164" s="28" t="n">
        <f aca="false">SUM(V156:V163)</f>
        <v>163.95</v>
      </c>
      <c r="W164" s="28" t="n">
        <f aca="false">SUM(W156:W163)</f>
        <v>247.27</v>
      </c>
      <c r="X164" s="28" t="n">
        <f aca="false">SUM(X156:X163)</f>
        <v>156.32</v>
      </c>
      <c r="Y164" s="28" t="n">
        <f aca="false">SUM(Y156:Y163)</f>
        <v>146.43</v>
      </c>
      <c r="Z164" s="34" t="n">
        <f aca="false">SUM(Z156:Z163)</f>
        <v>550.02</v>
      </c>
      <c r="AA164" s="28" t="n">
        <f aca="false">SUM(AA156:AA163)</f>
        <v>90.35</v>
      </c>
      <c r="AB164" s="28" t="n">
        <f aca="false">SUM(AB156:AB163)</f>
        <v>97.19</v>
      </c>
      <c r="AC164" s="28" t="n">
        <f aca="false">SUM(AC156:AC163)</f>
        <v>187.54</v>
      </c>
      <c r="AD164" s="28" t="n">
        <f aca="false">SUM(AD156:AD163)</f>
        <v>133.46</v>
      </c>
      <c r="AE164" s="28" t="n">
        <f aca="false">SUM(AE156:AE163)</f>
        <v>163.22</v>
      </c>
      <c r="AF164" s="34" t="n">
        <f aca="false">SUM(AF156:AF163)</f>
        <v>484.22</v>
      </c>
      <c r="AG164" s="28" t="n">
        <f aca="false">SUM(AG156:AG163)</f>
        <v>101.69</v>
      </c>
      <c r="AH164" s="28" t="n">
        <f aca="false">SUM(AH156:AH163)</f>
        <v>-19.68</v>
      </c>
      <c r="AI164" s="28" t="n">
        <f aca="false">SUM(AI156:AI163)</f>
        <v>82.01</v>
      </c>
      <c r="AJ164" s="28" t="n">
        <f aca="false">SUM(AJ156:AJ163)</f>
        <v>151.69</v>
      </c>
      <c r="AK164" s="28" t="n">
        <f aca="false">SUM(AK156:AK163)</f>
        <v>192.12</v>
      </c>
      <c r="AL164" s="34" t="n">
        <f aca="false">SUM(AL156:AL163)</f>
        <v>425.82</v>
      </c>
      <c r="AM164" s="28" t="n">
        <f aca="false">SUM(AM156:AM163)</f>
        <v>146.42</v>
      </c>
      <c r="AN164" s="28" t="n">
        <f aca="false">SUM(AN156:AN163)</f>
        <v>126.63</v>
      </c>
      <c r="AO164" s="28" t="n">
        <f aca="false">SUM(AO156:AO163)</f>
        <v>273.05</v>
      </c>
      <c r="AP164" s="28" t="n">
        <f aca="false">SUM(AP156:AP163)</f>
        <v>147</v>
      </c>
      <c r="AQ164" s="28" t="n">
        <f aca="false">SUM(AQ156:AQ163)</f>
        <v>115.26</v>
      </c>
      <c r="AR164" s="34" t="n">
        <f aca="false">SUM(AR156:AR163)</f>
        <v>535.31</v>
      </c>
      <c r="AS164" s="28" t="n">
        <f aca="false">SUM(AS156:AS163)</f>
        <v>113.93</v>
      </c>
      <c r="AT164" s="28" t="n">
        <f aca="false">SUM(AT156:AT163)</f>
        <v>151.93</v>
      </c>
      <c r="AU164" s="28" t="n">
        <f aca="false">SUM(AU156:AU163)</f>
        <v>265.86</v>
      </c>
      <c r="AV164" s="28" t="n">
        <f aca="false">SUM(AV156:AV163)</f>
        <v>109.56</v>
      </c>
      <c r="AW164" s="28" t="n">
        <f aca="false">SUM(AW156:AW163)</f>
        <v>101.67</v>
      </c>
      <c r="AX164" s="34" t="n">
        <f aca="false">SUM(AX156:AX163)</f>
        <v>477.09</v>
      </c>
      <c r="AY164" s="28" t="n">
        <f aca="false">SUM(AY156:AY163)</f>
        <v>111.62</v>
      </c>
      <c r="AZ164" s="28" t="n">
        <f aca="false">SUM(AZ156:AZ163)</f>
        <v>111.04</v>
      </c>
      <c r="BA164" s="28" t="n">
        <f aca="false">SUM(BA156:BA163)</f>
        <v>222.66</v>
      </c>
      <c r="BB164" s="28" t="n">
        <f aca="false">SUM(BB156:BB163)</f>
        <v>130.62</v>
      </c>
      <c r="BC164" s="28" t="n">
        <f aca="false">SUM(BC156:BC163)</f>
        <v>258.99</v>
      </c>
      <c r="BD164" s="34" t="n">
        <f aca="false">SUM(BD156:BD163)</f>
        <v>612.27</v>
      </c>
      <c r="BE164" s="28" t="n">
        <f aca="false">SUM(BE156:BE163)</f>
        <v>130.88</v>
      </c>
      <c r="BF164" s="28" t="n">
        <f aca="false">SUM(BF156:BF163)</f>
        <v>147.72</v>
      </c>
      <c r="BG164" s="28" t="n">
        <f aca="false">SUM(BG156:BG163)</f>
        <v>278.6</v>
      </c>
      <c r="BH164" s="28" t="n">
        <f aca="false">SUM(BH156:BH163)</f>
        <v>78.09</v>
      </c>
      <c r="BI164" s="28" t="n">
        <f aca="false">SUM(BI156:BI163)</f>
        <v>81.92</v>
      </c>
      <c r="BJ164" s="34" t="n">
        <f aca="false">SUM(BJ156:BJ163)</f>
        <v>438.61</v>
      </c>
      <c r="BK164" s="28" t="n">
        <f aca="false">SUM(BK156:BK163)</f>
        <v>118.98</v>
      </c>
      <c r="BL164" s="28" t="n">
        <f aca="false">SUM(BL156:BL163)</f>
        <v>121.98</v>
      </c>
      <c r="BM164" s="28" t="n">
        <f aca="false">SUM(BM156:BM163)</f>
        <v>240.96</v>
      </c>
      <c r="BN164" s="28" t="n">
        <f aca="false">SUM(BN156:BN163)</f>
        <v>121.3</v>
      </c>
      <c r="BO164" s="28" t="n">
        <f aca="false">SUM(BO156:BO163)</f>
        <v>140.04</v>
      </c>
      <c r="BP164" s="34" t="n">
        <f aca="false">SUM(BP156:BP163)</f>
        <v>502.3</v>
      </c>
      <c r="BQ164" s="28" t="n">
        <f aca="false">SUM(BQ156:BQ163)</f>
        <v>120.56</v>
      </c>
      <c r="BR164" s="28" t="n">
        <f aca="false">SUM(BR156:BR163)</f>
        <v>177.19</v>
      </c>
      <c r="BS164" s="28" t="n">
        <f aca="false">SUM(BS156:BS163)</f>
        <v>297.75</v>
      </c>
      <c r="BT164" s="34" t="n">
        <f aca="false">SUM(BT156:BT163)</f>
        <v>150.31125</v>
      </c>
      <c r="BU164" s="34" t="n">
        <f aca="false">SUM(BU156:BU163)</f>
        <v>150.31125</v>
      </c>
      <c r="BV164" s="34" t="n">
        <f aca="false">SUM(BV156:BV163)</f>
        <v>598.3725</v>
      </c>
      <c r="BW164" s="34" t="n">
        <f aca="false">SUM(BW156:BW163)</f>
        <v>676.778594354839</v>
      </c>
      <c r="BX164" s="34" t="n">
        <f aca="false">SUM(BX156:BX163)</f>
        <v>749.371159274194</v>
      </c>
      <c r="BY164" s="34" t="n">
        <f aca="false">SUM(BY156:BY163)</f>
        <v>824.908393408548</v>
      </c>
      <c r="BZ164" s="34" t="n">
        <f aca="false">SUM(BZ156:BZ163)</f>
        <v>902.189310306131</v>
      </c>
      <c r="CA164" s="16" t="s">
        <v>266</v>
      </c>
      <c r="CC164" s="30" t="n">
        <f aca="false">IFERROR((BZ164/BP164)^(1/5)-1,"n/m")</f>
        <v>0.124260363908172</v>
      </c>
      <c r="CD164" s="30" t="n">
        <f aca="false">IFERROR((BP164/AL164)^(1/5)-1,"n/m")</f>
        <v>0.0335879190974802</v>
      </c>
      <c r="CE164" s="30" t="n">
        <f aca="false">IFERROR((BP164/H164)^(1/10)-1,"n/m")</f>
        <v>0.0385208765146663</v>
      </c>
    </row>
    <row r="165" customFormat="false" ht="15" hidden="false" customHeight="false" outlineLevel="0" collapsed="false">
      <c r="B165" s="35" t="s">
        <v>267</v>
      </c>
      <c r="C165" s="71" t="n">
        <v>0.35</v>
      </c>
      <c r="D165" s="71" t="n">
        <v>0.35</v>
      </c>
      <c r="E165" s="71" t="n">
        <v>0.35</v>
      </c>
      <c r="F165" s="71" t="n">
        <v>0.35</v>
      </c>
      <c r="G165" s="71" t="n">
        <v>0.35</v>
      </c>
      <c r="H165" s="71" t="n">
        <v>0.35</v>
      </c>
      <c r="I165" s="71" t="n">
        <v>0.35</v>
      </c>
      <c r="J165" s="71" t="n">
        <v>0.35</v>
      </c>
      <c r="K165" s="71" t="n">
        <v>0.35</v>
      </c>
      <c r="L165" s="71" t="n">
        <v>0.35</v>
      </c>
      <c r="M165" s="71" t="n">
        <v>0.35</v>
      </c>
      <c r="N165" s="71" t="n">
        <v>0.35</v>
      </c>
      <c r="O165" s="71" t="n">
        <v>0.35</v>
      </c>
      <c r="P165" s="71" t="n">
        <v>0.35</v>
      </c>
      <c r="Q165" s="71" t="n">
        <v>0.35</v>
      </c>
      <c r="R165" s="71" t="n">
        <v>0.35</v>
      </c>
      <c r="S165" s="71" t="n">
        <v>0.35</v>
      </c>
      <c r="T165" s="71" t="n">
        <v>0.35</v>
      </c>
      <c r="U165" s="71" t="n">
        <v>0.21</v>
      </c>
      <c r="V165" s="71" t="n">
        <v>0.21</v>
      </c>
      <c r="W165" s="71" t="n">
        <v>0.21</v>
      </c>
      <c r="X165" s="71" t="n">
        <v>0.21</v>
      </c>
      <c r="Y165" s="71" t="n">
        <v>0.21</v>
      </c>
      <c r="Z165" s="71" t="n">
        <v>0.21</v>
      </c>
      <c r="AA165" s="71" t="n">
        <v>0.21</v>
      </c>
      <c r="AB165" s="71" t="n">
        <v>0.21</v>
      </c>
      <c r="AC165" s="71" t="n">
        <v>0.21</v>
      </c>
      <c r="AD165" s="71" t="n">
        <v>0.21</v>
      </c>
      <c r="AE165" s="71" t="n">
        <v>0.21</v>
      </c>
      <c r="AF165" s="71" t="n">
        <v>0.21</v>
      </c>
      <c r="AG165" s="71" t="n">
        <v>0.21</v>
      </c>
      <c r="AH165" s="71" t="n">
        <v>0.21</v>
      </c>
      <c r="AI165" s="71" t="n">
        <v>0.21</v>
      </c>
      <c r="AJ165" s="71" t="n">
        <v>0.21</v>
      </c>
      <c r="AK165" s="71" t="n">
        <v>0.21</v>
      </c>
      <c r="AL165" s="71" t="n">
        <v>0.21</v>
      </c>
      <c r="AM165" s="71" t="n">
        <v>0.21</v>
      </c>
      <c r="AN165" s="71" t="n">
        <v>0.21</v>
      </c>
      <c r="AO165" s="71" t="n">
        <v>0.21</v>
      </c>
      <c r="AP165" s="71" t="n">
        <v>0.21</v>
      </c>
      <c r="AQ165" s="71" t="n">
        <v>0.21</v>
      </c>
      <c r="AR165" s="71" t="n">
        <v>0.21</v>
      </c>
      <c r="AS165" s="71" t="n">
        <v>0.21</v>
      </c>
      <c r="AT165" s="71" t="n">
        <v>0.21</v>
      </c>
      <c r="AU165" s="71" t="n">
        <v>0.21</v>
      </c>
      <c r="AV165" s="71" t="n">
        <v>0.21</v>
      </c>
      <c r="AW165" s="71" t="n">
        <v>0.21</v>
      </c>
      <c r="AX165" s="71" t="n">
        <v>0.21</v>
      </c>
      <c r="AY165" s="71" t="n">
        <v>0.21</v>
      </c>
      <c r="AZ165" s="71" t="n">
        <v>0.21</v>
      </c>
      <c r="BA165" s="71" t="n">
        <v>0.21</v>
      </c>
      <c r="BB165" s="71" t="n">
        <v>0.21</v>
      </c>
      <c r="BC165" s="71" t="n">
        <v>0.21</v>
      </c>
      <c r="BD165" s="71" t="n">
        <v>0.21</v>
      </c>
      <c r="BE165" s="71" t="n">
        <v>0.21</v>
      </c>
      <c r="BF165" s="71" t="n">
        <v>0.21</v>
      </c>
      <c r="BG165" s="71" t="n">
        <v>0.21</v>
      </c>
      <c r="BH165" s="71" t="n">
        <v>0.21</v>
      </c>
      <c r="BI165" s="71" t="n">
        <v>0.21</v>
      </c>
      <c r="BJ165" s="71" t="n">
        <v>0.21</v>
      </c>
      <c r="BK165" s="71" t="n">
        <v>0.21</v>
      </c>
      <c r="BL165" s="71" t="n">
        <v>0.21</v>
      </c>
      <c r="BM165" s="71" t="n">
        <v>0.21</v>
      </c>
      <c r="BN165" s="71" t="n">
        <v>0.21</v>
      </c>
      <c r="BO165" s="71" t="n">
        <v>0.21</v>
      </c>
      <c r="BP165" s="71" t="n">
        <v>0.21</v>
      </c>
      <c r="BQ165" s="71" t="n">
        <v>0.21</v>
      </c>
      <c r="BR165" s="71" t="n">
        <v>0.21</v>
      </c>
      <c r="BS165" s="71" t="n">
        <v>0.21</v>
      </c>
      <c r="BT165" s="49" t="n">
        <v>0.21</v>
      </c>
      <c r="BU165" s="49" t="n">
        <v>0.21</v>
      </c>
      <c r="BV165" s="49" t="n">
        <v>0.21</v>
      </c>
      <c r="BW165" s="49" t="n">
        <v>0.21</v>
      </c>
      <c r="BX165" s="49" t="n">
        <v>0.21</v>
      </c>
      <c r="BY165" s="49" t="n">
        <v>0.21</v>
      </c>
      <c r="BZ165" s="49" t="n">
        <v>0.21</v>
      </c>
      <c r="CA165" s="16"/>
      <c r="CC165" s="5"/>
      <c r="CD165" s="5"/>
      <c r="CE165" s="5"/>
    </row>
    <row r="166" customFormat="false" ht="15" hidden="false" customHeight="false" outlineLevel="0" collapsed="false">
      <c r="B166" s="32" t="s">
        <v>268</v>
      </c>
      <c r="C166" s="66" t="n">
        <f aca="false">IFERROR(C164/C137,"")</f>
        <v>1.41273100616016</v>
      </c>
      <c r="D166" s="66" t="n">
        <f aca="false">IFERROR(D164/D137,"")</f>
        <v>1.82479508196721</v>
      </c>
      <c r="E166" s="66" t="n">
        <f aca="false">IFERROR(E164/E137,"")</f>
        <v>3.23794871794872</v>
      </c>
      <c r="F166" s="66" t="n">
        <f aca="false">IFERROR(F164/F137,"")</f>
        <v>1.97107438016529</v>
      </c>
      <c r="G166" s="66" t="n">
        <f aca="false">IFERROR(G164/G137,"")</f>
        <v>1.88302277432712</v>
      </c>
      <c r="H166" s="67" t="n">
        <f aca="false">IFERROR(H164/H137,"")</f>
        <v>7.12629399585921</v>
      </c>
      <c r="I166" s="66" t="n">
        <f aca="false">IFERROR(I164/I137,"")</f>
        <v>2.43037974683544</v>
      </c>
      <c r="J166" s="66" t="n">
        <f aca="false">IFERROR(J164/J137,"")</f>
        <v>2.34842105263158</v>
      </c>
      <c r="K166" s="66" t="n">
        <f aca="false">IFERROR(K164/K137,"")</f>
        <v>4.77871443624868</v>
      </c>
      <c r="L166" s="66" t="n">
        <f aca="false">IFERROR(L164/L137,"")</f>
        <v>1.78495762711864</v>
      </c>
      <c r="M166" s="66" t="n">
        <f aca="false">IFERROR(M164/M137,"")</f>
        <v>3.58156779661017</v>
      </c>
      <c r="N166" s="67" t="n">
        <f aca="false">IFERROR(N164/N137,"")</f>
        <v>10.1705508474576</v>
      </c>
      <c r="O166" s="66" t="n">
        <f aca="false">IFERROR(O164/O137,"")</f>
        <v>1.94827586206897</v>
      </c>
      <c r="P166" s="66" t="n">
        <f aca="false">IFERROR(P164/P137,"")</f>
        <v>2.5</v>
      </c>
      <c r="Q166" s="66" t="n">
        <f aca="false">IFERROR(Q164/Q137,"")</f>
        <v>4.44468546637744</v>
      </c>
      <c r="R166" s="66" t="n">
        <f aca="false">IFERROR(R164/R137,"")</f>
        <v>2.63186813186813</v>
      </c>
      <c r="S166" s="66" t="n">
        <f aca="false">IFERROR(S164/S137,"")</f>
        <v>2.54585152838428</v>
      </c>
      <c r="T166" s="67" t="n">
        <f aca="false">IFERROR(T164/T137,"")</f>
        <v>9.63427947598253</v>
      </c>
      <c r="U166" s="66" t="n">
        <f aca="false">IFERROR(U164/U137,"")</f>
        <v>1.85982142857143</v>
      </c>
      <c r="V166" s="66" t="n">
        <f aca="false">IFERROR(V164/V137,"")</f>
        <v>3.70090293453725</v>
      </c>
      <c r="W166" s="66" t="n">
        <f aca="false">IFERROR(W164/W137,"")</f>
        <v>5.55039281705948</v>
      </c>
      <c r="X166" s="66" t="n">
        <f aca="false">IFERROR(X164/X137,"")</f>
        <v>3.61016166281755</v>
      </c>
      <c r="Y166" s="66" t="n">
        <f aca="false">IFERROR(Y164/Y137,"")</f>
        <v>3.34315068493151</v>
      </c>
      <c r="Z166" s="67" t="n">
        <f aca="false">IFERROR(Z164/Z137,"")</f>
        <v>12.5575342465753</v>
      </c>
      <c r="AA166" s="66" t="n">
        <f aca="false">IFERROR(AA164/AA137,"")</f>
        <v>2.18236714975845</v>
      </c>
      <c r="AB166" s="66" t="n">
        <f aca="false">IFERROR(AB164/AB137,"")</f>
        <v>2.33069544364508</v>
      </c>
      <c r="AC166" s="66" t="n">
        <f aca="false">IFERROR(AC164/AC137,"")</f>
        <v>4.51359807460891</v>
      </c>
      <c r="AD166" s="66" t="n">
        <f aca="false">IFERROR(AD164/AD137,"")</f>
        <v>3.23932038834951</v>
      </c>
      <c r="AE166" s="66" t="n">
        <f aca="false">IFERROR(AE164/AE137,"")</f>
        <v>3.94251207729469</v>
      </c>
      <c r="AF166" s="67" t="n">
        <f aca="false">IFERROR(AF164/AF137,"")</f>
        <v>11.6961352657005</v>
      </c>
      <c r="AG166" s="66" t="n">
        <f aca="false">IFERROR(AG164/AG137,"")</f>
        <v>2.4985257985258</v>
      </c>
      <c r="AH166" s="66" t="n">
        <f aca="false">IFERROR(AH164/AH137,"")</f>
        <v>-0.483538083538084</v>
      </c>
      <c r="AI166" s="66" t="n">
        <f aca="false">IFERROR(AI164/AI137,"")</f>
        <v>2.01498771498771</v>
      </c>
      <c r="AJ166" s="66" t="n">
        <f aca="false">IFERROR(AJ164/AJ137,"")</f>
        <v>3.72702702702703</v>
      </c>
      <c r="AK166" s="66" t="n">
        <f aca="false">IFERROR(AK164/AK137,"")</f>
        <v>4.7320197044335</v>
      </c>
      <c r="AL166" s="67" t="n">
        <f aca="false">IFERROR(AL164/AL137,"")</f>
        <v>10.4881773399015</v>
      </c>
      <c r="AM166" s="66" t="n">
        <f aca="false">IFERROR(AM164/AM137,"")</f>
        <v>3.64228855721393</v>
      </c>
      <c r="AN166" s="66" t="n">
        <f aca="false">IFERROR(AN164/AN137,"")</f>
        <v>3.14218362282878</v>
      </c>
      <c r="AO166" s="66" t="n">
        <f aca="false">IFERROR(AO164/AO137,"")</f>
        <v>6.78385093167702</v>
      </c>
      <c r="AP166" s="66" t="n">
        <f aca="false">IFERROR(AP164/AP137,"")</f>
        <v>3.64764267990075</v>
      </c>
      <c r="AQ166" s="66" t="n">
        <f aca="false">IFERROR(AQ164/AQ137,"")</f>
        <v>2.87431421446384</v>
      </c>
      <c r="AR166" s="67" t="n">
        <f aca="false">IFERROR(AR164/AR137,"")</f>
        <v>13.2831265508685</v>
      </c>
      <c r="AS166" s="66" t="n">
        <f aca="false">IFERROR(AS164/AS137,"")</f>
        <v>2.84825</v>
      </c>
      <c r="AT166" s="66" t="n">
        <f aca="false">IFERROR(AT164/AT137,"")</f>
        <v>3.78877805486284</v>
      </c>
      <c r="AU166" s="66" t="n">
        <f aca="false">IFERROR(AU164/AU137,"")</f>
        <v>6.63820224719101</v>
      </c>
      <c r="AV166" s="66" t="n">
        <f aca="false">IFERROR(AV164/AV137,"")</f>
        <v>2.73216957605985</v>
      </c>
      <c r="AW166" s="66" t="n">
        <f aca="false">IFERROR(AW164/AW137,"")</f>
        <v>2.5354114713217</v>
      </c>
      <c r="AX166" s="67" t="n">
        <f aca="false">IFERROR(AX164/AX137,"")</f>
        <v>11.897506234414</v>
      </c>
      <c r="AY166" s="66" t="n">
        <f aca="false">IFERROR(AY164/AY137,"")</f>
        <v>2.79749373433584</v>
      </c>
      <c r="AZ166" s="66" t="n">
        <f aca="false">IFERROR(AZ164/AZ137,"")</f>
        <v>2.78994974874372</v>
      </c>
      <c r="BA166" s="66" t="n">
        <f aca="false">IFERROR(BA164/BA137,"")</f>
        <v>5.58745294855709</v>
      </c>
      <c r="BB166" s="66" t="n">
        <f aca="false">IFERROR(BB164/BB137,"")</f>
        <v>3.2655</v>
      </c>
      <c r="BC166" s="66" t="n">
        <f aca="false">IFERROR(BC164/BC137,"")</f>
        <v>6.52367758186398</v>
      </c>
      <c r="BD166" s="67" t="n">
        <f aca="false">IFERROR(BD164/BD137,"")</f>
        <v>15.3451127819549</v>
      </c>
      <c r="BE166" s="66" t="n">
        <f aca="false">IFERROR(BE164/BE137,"")</f>
        <v>3.31341772151899</v>
      </c>
      <c r="BF166" s="66" t="n">
        <f aca="false">IFERROR(BF164/BF137,"")</f>
        <v>3.73974683544304</v>
      </c>
      <c r="BG166" s="66" t="n">
        <f aca="false">IFERROR(BG164/BG137,"")</f>
        <v>7.05316455696203</v>
      </c>
      <c r="BH166" s="66" t="n">
        <f aca="false">IFERROR(BH164/BH137,"")</f>
        <v>1.97696202531646</v>
      </c>
      <c r="BI166" s="66" t="n">
        <f aca="false">IFERROR(BI164/BI137,"")</f>
        <v>2.09514066496164</v>
      </c>
      <c r="BJ166" s="67" t="n">
        <f aca="false">IFERROR(BJ164/BJ137,"")</f>
        <v>11.1322335025381</v>
      </c>
      <c r="BK166" s="66" t="n">
        <f aca="false">IFERROR(BK164/BK137,"")</f>
        <v>3.02748091603053</v>
      </c>
      <c r="BL166" s="66" t="n">
        <f aca="false">IFERROR(BL164/BL137,"")</f>
        <v>3.09593908629442</v>
      </c>
      <c r="BM166" s="66" t="n">
        <f aca="false">IFERROR(BM164/BM137,"")</f>
        <v>6.12350698856417</v>
      </c>
      <c r="BN166" s="66" t="n">
        <f aca="false">IFERROR(BN164/BN137,"")</f>
        <v>3.07868020304569</v>
      </c>
      <c r="BO166" s="66" t="n">
        <f aca="false">IFERROR(BO164/BO137,"")</f>
        <v>3.55431472081218</v>
      </c>
      <c r="BP166" s="67" t="n">
        <f aca="false">IFERROR(BP164/BP137,"")</f>
        <v>12.7811704834606</v>
      </c>
      <c r="BQ166" s="66" t="n">
        <f aca="false">IFERROR(BQ164/BQ137,"")</f>
        <v>3.0676844783715</v>
      </c>
      <c r="BR166" s="66" t="n">
        <f aca="false">IFERROR(BR164/BR137,"")</f>
        <v>4.48582278481013</v>
      </c>
      <c r="BS166" s="66" t="n">
        <f aca="false">IFERROR(BS164/BS137,"")</f>
        <v>7.55710659898477</v>
      </c>
      <c r="BT166" s="67" t="n">
        <f aca="false">IFERROR(BT164/BT137,"")</f>
        <v>3.80534810126582</v>
      </c>
      <c r="BU166" s="67" t="n">
        <f aca="false">IFERROR(BU164/BU137,"")</f>
        <v>3.80534810126582</v>
      </c>
      <c r="BV166" s="67" t="n">
        <f aca="false">IFERROR(BV164/BV137,"")</f>
        <v>15.1678707224334</v>
      </c>
      <c r="BW166" s="67" t="n">
        <f aca="false">IFERROR(BW164/BW137,"")</f>
        <v>17.1400778296187</v>
      </c>
      <c r="BX166" s="67" t="n">
        <f aca="false">IFERROR(BX164/BX137,"")</f>
        <v>19.2648878092595</v>
      </c>
      <c r="BY166" s="67" t="n">
        <f aca="false">IFERROR(BY164/BY137,"")</f>
        <v>21.5910595347877</v>
      </c>
      <c r="BZ166" s="67" t="n">
        <f aca="false">IFERROR(BZ164/BZ137,"")</f>
        <v>24.1064111518352</v>
      </c>
      <c r="CA166" s="16"/>
      <c r="CC166" s="30" t="n">
        <f aca="false">IFERROR((BZ166/BP166)^(1/5)-1,"n/m")</f>
        <v>0.135304570771046</v>
      </c>
      <c r="CD166" s="30" t="n">
        <f aca="false">IFERROR((BP166/AL166)^(1/5)-1,"n/m")</f>
        <v>0.0403371833271708</v>
      </c>
      <c r="CE166" s="30" t="n">
        <f aca="false">IFERROR((BP166/H166)^(1/10)-1,"n/m")</f>
        <v>0.0601582303259973</v>
      </c>
    </row>
    <row r="167" customFormat="false" ht="15" hidden="false" customHeight="false" outlineLevel="0" collapsed="false">
      <c r="B167" s="1" t="s">
        <v>269</v>
      </c>
      <c r="C167" s="2"/>
      <c r="D167" s="2"/>
      <c r="E167" s="2"/>
      <c r="F167" s="2"/>
      <c r="G167" s="2"/>
      <c r="H167" s="23" t="n">
        <v>354</v>
      </c>
      <c r="I167" s="2"/>
      <c r="J167" s="2"/>
      <c r="K167" s="2"/>
      <c r="L167" s="2"/>
      <c r="M167" s="2"/>
      <c r="N167" s="23" t="n">
        <v>479</v>
      </c>
      <c r="O167" s="2"/>
      <c r="P167" s="2"/>
      <c r="Q167" s="2"/>
      <c r="R167" s="2"/>
      <c r="S167" s="2"/>
      <c r="T167" s="23" t="n">
        <v>556</v>
      </c>
      <c r="U167" s="2"/>
      <c r="V167" s="2"/>
      <c r="W167" s="2"/>
      <c r="X167" s="2"/>
      <c r="Y167" s="2"/>
      <c r="Z167" s="23" t="n">
        <v>836</v>
      </c>
      <c r="AA167" s="2"/>
      <c r="AB167" s="2"/>
      <c r="AC167" s="2"/>
      <c r="AD167" s="2"/>
      <c r="AE167" s="2"/>
      <c r="AF167" s="23" t="n">
        <v>580</v>
      </c>
      <c r="AG167" s="2"/>
      <c r="AH167" s="2"/>
      <c r="AI167" s="2"/>
      <c r="AJ167" s="2"/>
      <c r="AK167" s="2"/>
      <c r="AL167" s="23" t="n">
        <v>406</v>
      </c>
      <c r="AM167" s="2"/>
      <c r="AN167" s="2"/>
      <c r="AO167" s="2"/>
      <c r="AP167" s="2"/>
      <c r="AQ167" s="2"/>
      <c r="AR167" s="23" t="n">
        <v>525</v>
      </c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3"/>
      <c r="BU167" s="3"/>
      <c r="BV167" s="3"/>
      <c r="BW167" s="3"/>
      <c r="BX167" s="3"/>
      <c r="BY167" s="3"/>
      <c r="BZ167" s="3"/>
      <c r="CA167" s="16"/>
      <c r="CC167" s="5"/>
      <c r="CD167" s="5"/>
      <c r="CE167" s="5"/>
    </row>
    <row r="168" customFormat="false" ht="15" hidden="false" customHeight="false" outlineLevel="0" collapsed="false">
      <c r="B168" s="1" t="s">
        <v>270</v>
      </c>
      <c r="C168" s="69"/>
      <c r="D168" s="69"/>
      <c r="E168" s="69"/>
      <c r="F168" s="69"/>
      <c r="G168" s="69"/>
      <c r="H168" s="68" t="n">
        <v>7.33</v>
      </c>
      <c r="I168" s="69"/>
      <c r="J168" s="69"/>
      <c r="K168" s="69"/>
      <c r="L168" s="69"/>
      <c r="M168" s="69"/>
      <c r="N168" s="68" t="n">
        <v>10.15</v>
      </c>
      <c r="O168" s="69"/>
      <c r="P168" s="69"/>
      <c r="Q168" s="69"/>
      <c r="R168" s="69"/>
      <c r="S168" s="69"/>
      <c r="T168" s="68" t="n">
        <v>12.14</v>
      </c>
      <c r="U168" s="69"/>
      <c r="V168" s="69"/>
      <c r="W168" s="69"/>
      <c r="X168" s="69"/>
      <c r="Y168" s="69"/>
      <c r="Z168" s="68" t="n">
        <v>19.09</v>
      </c>
      <c r="AA168" s="69"/>
      <c r="AB168" s="69"/>
      <c r="AC168" s="69"/>
      <c r="AD168" s="69"/>
      <c r="AE168" s="69"/>
      <c r="AF168" s="68" t="n">
        <v>14.01</v>
      </c>
      <c r="AG168" s="69"/>
      <c r="AH168" s="69"/>
      <c r="AI168" s="69"/>
      <c r="AJ168" s="69"/>
      <c r="AK168" s="69"/>
      <c r="AL168" s="68" t="n">
        <v>10</v>
      </c>
      <c r="AM168" s="69"/>
      <c r="AN168" s="69"/>
      <c r="AO168" s="69"/>
      <c r="AP168" s="69"/>
      <c r="AQ168" s="69"/>
      <c r="AR168" s="68" t="n">
        <v>13.03</v>
      </c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  <c r="BM168" s="69"/>
      <c r="BN168" s="69"/>
      <c r="BO168" s="69"/>
      <c r="BP168" s="69"/>
      <c r="BQ168" s="69"/>
      <c r="BR168" s="69"/>
      <c r="BS168" s="69"/>
      <c r="BT168" s="70"/>
      <c r="BU168" s="70"/>
      <c r="BV168" s="70"/>
      <c r="BW168" s="70"/>
      <c r="BX168" s="70"/>
      <c r="BY168" s="70"/>
      <c r="BZ168" s="70"/>
      <c r="CA168" s="16"/>
      <c r="CC168" s="5"/>
      <c r="CD168" s="5"/>
      <c r="CE168" s="5"/>
    </row>
    <row r="169" customFormat="false" ht="15" hidden="false" customHeight="false" outlineLevel="0" collapsed="false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3"/>
      <c r="BU169" s="3"/>
      <c r="BV169" s="3"/>
      <c r="BW169" s="3"/>
      <c r="BX169" s="3"/>
      <c r="BY169" s="3"/>
      <c r="BZ169" s="3"/>
      <c r="CA169" s="16"/>
      <c r="CC169" s="5"/>
      <c r="CD169" s="5"/>
      <c r="CE169" s="5"/>
    </row>
    <row r="170" customFormat="false" ht="15" hidden="false" customHeight="false" outlineLevel="0" collapsed="false">
      <c r="B170" s="15" t="s">
        <v>271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 t="s">
        <v>272</v>
      </c>
      <c r="CC170" s="15"/>
      <c r="CD170" s="15"/>
      <c r="CE170" s="15"/>
    </row>
    <row r="171" customFormat="false" ht="15" hidden="false" customHeight="false" outlineLevel="0" collapsed="false">
      <c r="B171" s="35" t="s">
        <v>107</v>
      </c>
      <c r="C171" s="36"/>
      <c r="D171" s="36"/>
      <c r="E171" s="36"/>
      <c r="F171" s="36"/>
      <c r="G171" s="36"/>
      <c r="H171" s="36"/>
      <c r="I171" s="37" t="n">
        <f aca="false">IFERROR(I119/C119-1,"")</f>
        <v>0.122929936305733</v>
      </c>
      <c r="J171" s="37" t="n">
        <f aca="false">IFERROR(J119/D119-1,"")</f>
        <v>-0.0257879656160458</v>
      </c>
      <c r="K171" s="37" t="n">
        <f aca="false">IFERROR(K119/E119-1,"")</f>
        <v>0.0446455505279035</v>
      </c>
      <c r="L171" s="37" t="n">
        <f aca="false">IFERROR(L119/F119-1,"")</f>
        <v>-0.065</v>
      </c>
      <c r="M171" s="37" t="n">
        <f aca="false">IFERROR(M119/G119-1,"")</f>
        <v>0.00892388451443571</v>
      </c>
      <c r="N171" s="37" t="n">
        <f aca="false">IFERROR(N119/H119-1,"")</f>
        <v>0.00683760683760681</v>
      </c>
      <c r="O171" s="37" t="n">
        <f aca="false">IFERROR(O119/I119-1,"")</f>
        <v>-0.0221213840045377</v>
      </c>
      <c r="P171" s="37" t="n">
        <f aca="false">IFERROR(P119/J119-1,"")</f>
        <v>0.0929411764705883</v>
      </c>
      <c r="Q171" s="37" t="n">
        <f aca="false">IFERROR(Q119/K119-1,"")</f>
        <v>0.0343632688420446</v>
      </c>
      <c r="R171" s="37" t="n">
        <f aca="false">IFERROR(R119/L119-1,"")</f>
        <v>0.106951871657754</v>
      </c>
      <c r="S171" s="37" t="n">
        <f aca="false">IFERROR(S119/M119-1,"")</f>
        <v>0.0385015608740895</v>
      </c>
      <c r="T171" s="37" t="n">
        <f aca="false">IFERROR(T119/N119-1,"")</f>
        <v>0.0527730616864743</v>
      </c>
      <c r="U171" s="37" t="n">
        <f aca="false">IFERROR(U119/O119-1,"")</f>
        <v>0.0870069605568447</v>
      </c>
      <c r="V171" s="37" t="n">
        <f aca="false">IFERROR(V119/P119-1,"")</f>
        <v>0.0871905274488698</v>
      </c>
      <c r="W171" s="37" t="n">
        <f aca="false">IFERROR(W119/Q119-1,"")</f>
        <v>0.0871021775544389</v>
      </c>
      <c r="X171" s="37" t="n">
        <f aca="false">IFERROR(X119/R119-1,"")</f>
        <v>0.11808910359635</v>
      </c>
      <c r="Y171" s="37" t="n">
        <f aca="false">IFERROR(Y119/S119-1,"")</f>
        <v>0.101703406813627</v>
      </c>
      <c r="Z171" s="37" t="n">
        <f aca="false">IFERROR(Z119/T119-1,"")</f>
        <v>0.098777046095955</v>
      </c>
      <c r="AA171" s="37" t="n">
        <f aca="false">IFERROR(AA119/U119-1,"")</f>
        <v>0.109925293489861</v>
      </c>
      <c r="AB171" s="37" t="n">
        <f aca="false">IFERROR(AB119/V119-1,"")</f>
        <v>0.0831683168316832</v>
      </c>
      <c r="AC171" s="37" t="n">
        <f aca="false">IFERROR(AC119/W119-1,"")</f>
        <v>0.0960451977401129</v>
      </c>
      <c r="AD171" s="37" t="n">
        <f aca="false">IFERROR(AD119/X119-1,"")</f>
        <v>0.0652904464714355</v>
      </c>
      <c r="AE171" s="37" t="n">
        <f aca="false">IFERROR(AE119/Y119-1,"")</f>
        <v>0.0968622100954979</v>
      </c>
      <c r="AF171" s="37" t="n">
        <f aca="false">IFERROR(AF119/Z119-1,"")</f>
        <v>0.0884295499021526</v>
      </c>
      <c r="AG171" s="37" t="n">
        <f aca="false">IFERROR(AG119/AA119-1,"")</f>
        <v>0.0879807692307693</v>
      </c>
      <c r="AH171" s="37" t="n">
        <f aca="false">IFERROR(AH119/AB119-1,"")</f>
        <v>-0.073583180987203</v>
      </c>
      <c r="AI171" s="37" t="n">
        <f aca="false">IFERROR(AI119/AC119-1,"")</f>
        <v>0.00515463917525771</v>
      </c>
      <c r="AJ171" s="37" t="n">
        <f aca="false">IFERROR(AJ119/AD119-1,"")</f>
        <v>0.042812077512393</v>
      </c>
      <c r="AK171" s="37" t="n">
        <f aca="false">IFERROR(AK119/AE119-1,"")</f>
        <v>0.143034825870647</v>
      </c>
      <c r="AL171" s="37" t="n">
        <f aca="false">IFERROR(AL119/AF119-1,"")</f>
        <v>0.0519159456118665</v>
      </c>
      <c r="AM171" s="37" t="n">
        <f aca="false">IFERROR(AM119/AG119-1,"")</f>
        <v>0.00662836942112244</v>
      </c>
      <c r="AN171" s="37" t="n">
        <f aca="false">IFERROR(AN119/AH119-1,"")</f>
        <v>0.100641341884558</v>
      </c>
      <c r="AO171" s="37" t="n">
        <f aca="false">IFERROR(AO119/AI119-1,"")</f>
        <v>0.0510489510489511</v>
      </c>
      <c r="AP171" s="37" t="n">
        <f aca="false">IFERROR(AP119/AJ119-1,"")</f>
        <v>0.0103716508210889</v>
      </c>
      <c r="AQ171" s="37" t="n">
        <f aca="false">IFERROR(AQ119/AK119-1,"")</f>
        <v>-0.0290170475154153</v>
      </c>
      <c r="AR171" s="37" t="n">
        <f aca="false">IFERROR(AR119/AL119-1,"")</f>
        <v>0.0174126695865826</v>
      </c>
      <c r="AS171" s="37" t="n">
        <f aca="false">IFERROR(AS119/AM119-1,"")</f>
        <v>0.13081650570676</v>
      </c>
      <c r="AT171" s="37" t="n">
        <f aca="false">IFERROR(AT119/AN119-1,"")</f>
        <v>0.19318691169879</v>
      </c>
      <c r="AU171" s="37" t="n">
        <f aca="false">IFERROR(AU119/AO119-1,"")</f>
        <v>0.161676646706587</v>
      </c>
      <c r="AV171" s="37" t="n">
        <f aca="false">IFERROR(AV119/AP119-1,"")</f>
        <v>0.123182207014542</v>
      </c>
      <c r="AW171" s="37" t="n">
        <f aca="false">IFERROR(AW119/AQ119-1,"")</f>
        <v>0.0504295853567427</v>
      </c>
      <c r="AX171" s="37" t="n">
        <f aca="false">IFERROR(AX119/AR119-1,"")</f>
        <v>0.120957580848383</v>
      </c>
      <c r="AY171" s="37" t="n">
        <f aca="false">IFERROR(AY119/AS119-1,"")</f>
        <v>0.0380434782608696</v>
      </c>
      <c r="AZ171" s="37" t="n">
        <f aca="false">IFERROR(AZ119/AT119-1,"")</f>
        <v>0.0469571750563487</v>
      </c>
      <c r="BA171" s="37" t="n">
        <f aca="false">IFERROR(BA119/AU119-1,"")</f>
        <v>0.0425735013363879</v>
      </c>
      <c r="BB171" s="37" t="n">
        <f aca="false">IFERROR(BB119/AV119-1,"")</f>
        <v>0.0723533891850723</v>
      </c>
      <c r="BC171" s="37" t="n">
        <f aca="false">IFERROR(BC119/AW119-1,"")</f>
        <v>0.129800853485064</v>
      </c>
      <c r="BD171" s="37" t="n">
        <f aca="false">IFERROR(BD119/AX119-1,"")</f>
        <v>0.0728737354814537</v>
      </c>
      <c r="BE171" s="37" t="n">
        <f aca="false">IFERROR(BE119/AY119-1,"")</f>
        <v>0.0489902767389678</v>
      </c>
      <c r="BF171" s="37" t="n">
        <f aca="false">IFERROR(BF119/AZ119-1,"")</f>
        <v>0.068173663437388</v>
      </c>
      <c r="BG171" s="37" t="n">
        <f aca="false">IFERROR(BG119/BA119-1,"")</f>
        <v>0.0587804431422816</v>
      </c>
      <c r="BH171" s="37" t="n">
        <f aca="false">IFERROR(BH119/BB119-1,"")</f>
        <v>-0.0237926136363636</v>
      </c>
      <c r="BI171" s="37" t="n">
        <f aca="false">IFERROR(BI119/BC119-1,"")</f>
        <v>-0.0544538873150772</v>
      </c>
      <c r="BJ171" s="37" t="n">
        <f aca="false">IFERROR(BJ119/BD119-1,"")</f>
        <v>0.00707176532215814</v>
      </c>
      <c r="BK171" s="37" t="n">
        <f aca="false">IFERROR(BK119/BE119-1,"")</f>
        <v>-0.0253119429590017</v>
      </c>
      <c r="BL171" s="37" t="n">
        <f aca="false">IFERROR(BL119/BF119-1,"")</f>
        <v>0.0352704064494458</v>
      </c>
      <c r="BM171" s="37" t="n">
        <f aca="false">IFERROR(BM119/BG119-1,"")</f>
        <v>0.0058803182289866</v>
      </c>
      <c r="BN171" s="37" t="n">
        <f aca="false">IFERROR(BN119/BH119-1,"")</f>
        <v>0.161149508912332</v>
      </c>
      <c r="BO171" s="37" t="n">
        <f aca="false">IFERROR(BO119/BI119-1,"")</f>
        <v>0.157123834886818</v>
      </c>
      <c r="BP171" s="37" t="n">
        <f aca="false">IFERROR(BP119/BJ119-1,"")</f>
        <v>0.0822713480710879</v>
      </c>
      <c r="BQ171" s="37" t="n">
        <f aca="false">IFERROR(BQ119/BK119-1,"")</f>
        <v>0.133504023408925</v>
      </c>
      <c r="BR171" s="37" t="n">
        <f aca="false">IFERROR(BR119/BL119-1,"")</f>
        <v>0.109020116807268</v>
      </c>
      <c r="BS171" s="37" t="n">
        <f aca="false">IFERROR(BS119/BM119-1,"")</f>
        <v>0.120529573590096</v>
      </c>
      <c r="BT171" s="38" t="n">
        <f aca="false">IFERROR(BT119/BN119-1,"")</f>
        <v>0.0546679197994988</v>
      </c>
      <c r="BU171" s="38" t="n">
        <f aca="false">IFERROR(BU119/BO119-1,"")</f>
        <v>-0.0315017261219793</v>
      </c>
      <c r="BV171" s="38" t="n">
        <f aca="false">IFERROR(BV119/BP119-1,"")</f>
        <v>0.0613585389298301</v>
      </c>
      <c r="BW171" s="38" t="n">
        <f aca="false">IFERROR(BW119/BV119-1,"")</f>
        <v>0.061061999972484</v>
      </c>
      <c r="BX171" s="38" t="n">
        <f aca="false">IFERROR(BX119/BW119-1,"")</f>
        <v>0.0544181085432411</v>
      </c>
      <c r="BY171" s="38" t="n">
        <f aca="false">IFERROR(BY119/BX119-1,"")</f>
        <v>0.0516411863910158</v>
      </c>
      <c r="BZ171" s="38" t="n">
        <f aca="false">IFERROR(BZ119/BY119-1,"")</f>
        <v>0.0477317548146905</v>
      </c>
      <c r="CA171" s="16"/>
      <c r="CC171" s="5"/>
      <c r="CD171" s="5"/>
      <c r="CE171" s="5"/>
    </row>
    <row r="172" customFormat="false" ht="15" hidden="false" customHeight="false" outlineLevel="0" collapsed="false">
      <c r="B172" s="35" t="s">
        <v>273</v>
      </c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7" t="n">
        <f aca="false">IFERROR(N171-N173,"")</f>
        <v>0.00683760683760681</v>
      </c>
      <c r="O172" s="36"/>
      <c r="P172" s="36"/>
      <c r="Q172" s="36"/>
      <c r="R172" s="36"/>
      <c r="S172" s="36"/>
      <c r="T172" s="37" t="n">
        <f aca="false">IFERROR(T171-T173,"")</f>
        <v>0.00905489530277314</v>
      </c>
      <c r="U172" s="36"/>
      <c r="V172" s="36"/>
      <c r="W172" s="36"/>
      <c r="X172" s="36"/>
      <c r="Y172" s="36"/>
      <c r="Z172" s="37" t="n">
        <f aca="false">IFERROR(Z171-Z173,"")</f>
        <v>0.098777046095955</v>
      </c>
      <c r="AA172" s="36"/>
      <c r="AB172" s="36"/>
      <c r="AC172" s="36"/>
      <c r="AD172" s="36"/>
      <c r="AE172" s="36"/>
      <c r="AF172" s="37" t="n">
        <f aca="false">IFERROR(AF171-AF173,"")</f>
        <v>0.0884295499021526</v>
      </c>
      <c r="AG172" s="36"/>
      <c r="AH172" s="36"/>
      <c r="AI172" s="36"/>
      <c r="AJ172" s="36"/>
      <c r="AK172" s="36"/>
      <c r="AL172" s="37" t="n">
        <f aca="false">IFERROR(AL171-AL173,"")</f>
        <v>0.0519159456118665</v>
      </c>
      <c r="AM172" s="36"/>
      <c r="AN172" s="36"/>
      <c r="AO172" s="36"/>
      <c r="AP172" s="36"/>
      <c r="AQ172" s="36"/>
      <c r="AR172" s="37" t="n">
        <f aca="false">IFERROR(AR171-AR173,"")</f>
        <v>-0.0366413844674715</v>
      </c>
      <c r="AS172" s="36"/>
      <c r="AT172" s="36"/>
      <c r="AU172" s="36"/>
      <c r="AV172" s="36"/>
      <c r="AW172" s="36"/>
      <c r="AX172" s="37" t="n">
        <f aca="false">IFERROR(AX171-AX173,"")</f>
        <v>0.120957580848383</v>
      </c>
      <c r="AY172" s="36"/>
      <c r="AZ172" s="36"/>
      <c r="BA172" s="36"/>
      <c r="BB172" s="36"/>
      <c r="BC172" s="36"/>
      <c r="BD172" s="37" t="n">
        <f aca="false">IFERROR(BD171-BD173,"")</f>
        <v>0.0728737354814537</v>
      </c>
      <c r="BE172" s="36"/>
      <c r="BF172" s="36"/>
      <c r="BG172" s="36"/>
      <c r="BH172" s="36"/>
      <c r="BI172" s="36"/>
      <c r="BJ172" s="37" t="n">
        <f aca="false">IFERROR(BJ171-BJ173,"")</f>
        <v>0.00707176532215814</v>
      </c>
      <c r="BK172" s="36"/>
      <c r="BL172" s="36"/>
      <c r="BM172" s="36"/>
      <c r="BN172" s="36"/>
      <c r="BO172" s="36"/>
      <c r="BP172" s="37" t="n">
        <f aca="false">IFERROR(BP171-BP173,"")</f>
        <v>0.0822713480710879</v>
      </c>
      <c r="BQ172" s="36"/>
      <c r="BR172" s="36"/>
      <c r="BS172" s="37" t="n">
        <f aca="false">IFERROR(BS171-BS173,"")</f>
        <v>0.120529573590096</v>
      </c>
      <c r="BT172" s="38"/>
      <c r="BU172" s="38"/>
      <c r="BV172" s="38" t="n">
        <f aca="false">IFERROR(BV171-BV173,"")</f>
        <v>0.0613585389298301</v>
      </c>
      <c r="BW172" s="38" t="n">
        <f aca="false">IFERROR(BW171-BW173,"")</f>
        <v>0.061061999972484</v>
      </c>
      <c r="BX172" s="38" t="n">
        <f aca="false">IFERROR(BX171-BX173,"")</f>
        <v>0.0544181085432411</v>
      </c>
      <c r="BY172" s="38" t="n">
        <f aca="false">IFERROR(BY171-BY173,"")</f>
        <v>0.0516411863910158</v>
      </c>
      <c r="BZ172" s="38" t="n">
        <f aca="false">IFERROR(BZ171-BZ173,"")</f>
        <v>0.0477317548146905</v>
      </c>
      <c r="CA172" s="16" t="s">
        <v>274</v>
      </c>
      <c r="CC172" s="5"/>
      <c r="CD172" s="5"/>
      <c r="CE172" s="5"/>
    </row>
    <row r="173" customFormat="false" ht="15" hidden="false" customHeight="false" outlineLevel="0" collapsed="false">
      <c r="B173" s="35" t="s">
        <v>275</v>
      </c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71" t="n">
        <v>0</v>
      </c>
      <c r="O173" s="36"/>
      <c r="P173" s="36"/>
      <c r="Q173" s="36"/>
      <c r="R173" s="36"/>
      <c r="S173" s="36"/>
      <c r="T173" s="37" t="n">
        <f aca="false">IFERROR(309/N119,"")</f>
        <v>0.0437181663837012</v>
      </c>
      <c r="U173" s="36"/>
      <c r="V173" s="36"/>
      <c r="W173" s="36"/>
      <c r="X173" s="36"/>
      <c r="Y173" s="36"/>
      <c r="Z173" s="71" t="n">
        <v>0</v>
      </c>
      <c r="AA173" s="36"/>
      <c r="AB173" s="36"/>
      <c r="AC173" s="36"/>
      <c r="AD173" s="36"/>
      <c r="AE173" s="36"/>
      <c r="AF173" s="71" t="n">
        <v>0</v>
      </c>
      <c r="AG173" s="36"/>
      <c r="AH173" s="36"/>
      <c r="AI173" s="36"/>
      <c r="AJ173" s="36"/>
      <c r="AK173" s="36"/>
      <c r="AL173" s="71" t="n">
        <v>0</v>
      </c>
      <c r="AM173" s="36"/>
      <c r="AN173" s="36"/>
      <c r="AO173" s="36"/>
      <c r="AP173" s="36"/>
      <c r="AQ173" s="36"/>
      <c r="AR173" s="37" t="n">
        <f aca="false">IFERROR(506/AL119,"")</f>
        <v>0.0540540540540541</v>
      </c>
      <c r="AS173" s="36"/>
      <c r="AT173" s="36"/>
      <c r="AU173" s="36"/>
      <c r="AV173" s="36"/>
      <c r="AW173" s="36"/>
      <c r="AX173" s="71" t="n">
        <v>0</v>
      </c>
      <c r="AY173" s="36"/>
      <c r="AZ173" s="36"/>
      <c r="BA173" s="36"/>
      <c r="BB173" s="36"/>
      <c r="BC173" s="36"/>
      <c r="BD173" s="71" t="n">
        <v>0</v>
      </c>
      <c r="BE173" s="36"/>
      <c r="BF173" s="36"/>
      <c r="BG173" s="36"/>
      <c r="BH173" s="36"/>
      <c r="BI173" s="36"/>
      <c r="BJ173" s="71" t="n">
        <v>0</v>
      </c>
      <c r="BK173" s="36"/>
      <c r="BL173" s="36"/>
      <c r="BM173" s="36"/>
      <c r="BN173" s="36"/>
      <c r="BO173" s="36"/>
      <c r="BP173" s="71" t="n">
        <v>0</v>
      </c>
      <c r="BQ173" s="36"/>
      <c r="BR173" s="36"/>
      <c r="BS173" s="36"/>
      <c r="BT173" s="38"/>
      <c r="BU173" s="38"/>
      <c r="BV173" s="49" t="n">
        <v>0</v>
      </c>
      <c r="BW173" s="49" t="n">
        <v>0</v>
      </c>
      <c r="BX173" s="49" t="n">
        <v>0</v>
      </c>
      <c r="BY173" s="49" t="n">
        <v>0</v>
      </c>
      <c r="BZ173" s="49" t="n">
        <v>0</v>
      </c>
      <c r="CA173" s="16"/>
      <c r="CC173" s="5"/>
      <c r="CD173" s="5"/>
      <c r="CE173" s="5"/>
    </row>
    <row r="174" customFormat="false" ht="15" hidden="false" customHeight="false" outlineLevel="0" collapsed="false">
      <c r="B174" s="35" t="s">
        <v>109</v>
      </c>
      <c r="C174" s="36"/>
      <c r="D174" s="36"/>
      <c r="E174" s="36"/>
      <c r="F174" s="36"/>
      <c r="G174" s="36"/>
      <c r="H174" s="36"/>
      <c r="I174" s="37" t="n">
        <f aca="false">IFERROR(I97/C97-1,"")</f>
        <v>0.296875</v>
      </c>
      <c r="J174" s="37" t="n">
        <f aca="false">IFERROR(J97/D97-1,"")</f>
        <v>-0.242798353909465</v>
      </c>
      <c r="K174" s="37" t="n">
        <f aca="false">IFERROR(K97/E97-1,"")</f>
        <v>-0.0566037735849057</v>
      </c>
      <c r="L174" s="37" t="n">
        <f aca="false">IFERROR(L97/F97-1,"")</f>
        <v>-0.186046511627907</v>
      </c>
      <c r="M174" s="37" t="n">
        <f aca="false">IFERROR(M97/G97-1,"")</f>
        <v>0.814516129032258</v>
      </c>
      <c r="N174" s="37" t="n">
        <f aca="false">IFERROR(N97/H97-1,"")</f>
        <v>0.0719640179910046</v>
      </c>
      <c r="O174" s="37" t="n">
        <f aca="false">IFERROR(O97/I97-1,"")</f>
        <v>-0.27710843373494</v>
      </c>
      <c r="P174" s="37" t="n">
        <f aca="false">IFERROR(P97/J97-1,"")</f>
        <v>0.0163043478260869</v>
      </c>
      <c r="Q174" s="37" t="n">
        <f aca="false">IFERROR(Q97/K97-1,"")</f>
        <v>-0.122857142857143</v>
      </c>
      <c r="R174" s="37" t="n">
        <f aca="false">IFERROR(R97/L97-1,"")</f>
        <v>0.371428571428571</v>
      </c>
      <c r="S174" s="37" t="n">
        <f aca="false">IFERROR(S97/M97-1,"")</f>
        <v>-0.16</v>
      </c>
      <c r="T174" s="37" t="n">
        <f aca="false">IFERROR(T97/N97-1,"")</f>
        <v>-0.0377622377622378</v>
      </c>
      <c r="U174" s="37" t="n">
        <f aca="false">IFERROR(U97/O97-1,"")</f>
        <v>-0.025</v>
      </c>
      <c r="V174" s="37" t="n">
        <f aca="false">IFERROR(V97/P97-1,"")</f>
        <v>-0.0320855614973262</v>
      </c>
      <c r="W174" s="37" t="n">
        <f aca="false">IFERROR(W97/Q97-1,"")</f>
        <v>-0.0293159609120521</v>
      </c>
      <c r="X174" s="37" t="n">
        <f aca="false">IFERROR(X97/R97-1,"")</f>
        <v>0.130208333333333</v>
      </c>
      <c r="Y174" s="37" t="n">
        <f aca="false">IFERROR(Y97/S97-1,"")</f>
        <v>-0.216931216931217</v>
      </c>
      <c r="Z174" s="37" t="n">
        <f aca="false">IFERROR(Z97/T97-1,"")</f>
        <v>-0.0363372093023255</v>
      </c>
      <c r="AA174" s="37" t="n">
        <f aca="false">IFERROR(AA97/U97-1,"")</f>
        <v>0.102564102564103</v>
      </c>
      <c r="AB174" s="37" t="n">
        <f aca="false">IFERROR(AB97/V97-1,"")</f>
        <v>-0.237569060773481</v>
      </c>
      <c r="AC174" s="37" t="n">
        <f aca="false">IFERROR(AC97/W97-1,"")</f>
        <v>-0.104026845637584</v>
      </c>
      <c r="AD174" s="37" t="n">
        <f aca="false">IFERROR(AD97/X97-1,"")</f>
        <v>-0.119815668202765</v>
      </c>
      <c r="AE174" s="37" t="n">
        <f aca="false">IFERROR(AE97/Y97-1,"")</f>
        <v>0.168918918918919</v>
      </c>
      <c r="AF174" s="37" t="n">
        <f aca="false">IFERROR(AF97/Z97-1,"")</f>
        <v>-0.048265460030166</v>
      </c>
      <c r="AG174" s="37" t="n">
        <f aca="false">IFERROR(AG97/AA97-1,"")</f>
        <v>0.209302325581395</v>
      </c>
      <c r="AH174" s="37" t="n">
        <f aca="false">IFERROR(AH97/AB97-1,"")</f>
        <v>-1.03623188405797</v>
      </c>
      <c r="AI174" s="37" t="n">
        <f aca="false">IFERROR(AI97/AC97-1,"")</f>
        <v>-0.434456928838951</v>
      </c>
      <c r="AJ174" s="37" t="n">
        <f aca="false">IFERROR(AJ97/AD97-1,"")</f>
        <v>-0.151832460732984</v>
      </c>
      <c r="AK174" s="37" t="n">
        <f aca="false">IFERROR(AK97/AE97-1,"")</f>
        <v>0.398843930635838</v>
      </c>
      <c r="AL174" s="37" t="n">
        <f aca="false">IFERROR(AL97/AF97-1,"")</f>
        <v>-0.120443740095087</v>
      </c>
      <c r="AM174" s="37" t="n">
        <f aca="false">IFERROR(AM97/AG97-1,"")</f>
        <v>0.224358974358974</v>
      </c>
      <c r="AN174" s="37" t="n">
        <f aca="false">IFERROR(AN97/AH97-1,"")</f>
        <v>-34.8</v>
      </c>
      <c r="AO174" s="37" t="n">
        <f aca="false">IFERROR(AO97/AI97-1,"")</f>
        <v>1.3841059602649</v>
      </c>
      <c r="AP174" s="37" t="n">
        <f aca="false">IFERROR(AP97/AJ97-1,"")</f>
        <v>0.00617283950617287</v>
      </c>
      <c r="AQ174" s="37" t="n">
        <f aca="false">IFERROR(AQ97/AK97-1,"")</f>
        <v>-0.338842975206612</v>
      </c>
      <c r="AR174" s="37" t="n">
        <f aca="false">IFERROR(AR97/AL97-1,"")</f>
        <v>0.230630630630631</v>
      </c>
      <c r="AS174" s="37" t="n">
        <f aca="false">IFERROR(AS97/AM97-1,"")</f>
        <v>-0.0785340314136126</v>
      </c>
      <c r="AT174" s="37" t="n">
        <f aca="false">IFERROR(AT97/AN97-1,"")</f>
        <v>0.331360946745562</v>
      </c>
      <c r="AU174" s="37" t="n">
        <f aca="false">IFERROR(AU97/AO97-1,"")</f>
        <v>0.113888888888889</v>
      </c>
      <c r="AV174" s="37" t="n">
        <f aca="false">IFERROR(AV97/AP97-1,"")</f>
        <v>0.01840490797546</v>
      </c>
      <c r="AW174" s="37" t="n">
        <f aca="false">IFERROR(AW97/AQ97-1,"")</f>
        <v>-0.09375</v>
      </c>
      <c r="AX174" s="37" t="n">
        <f aca="false">IFERROR(AX97/AR97-1,"")</f>
        <v>0.0424597364568082</v>
      </c>
      <c r="AY174" s="37" t="n">
        <f aca="false">IFERROR(AY97/AS97-1,"")</f>
        <v>-0.113636363636364</v>
      </c>
      <c r="AZ174" s="37" t="n">
        <f aca="false">IFERROR(AZ97/AT97-1,"")</f>
        <v>-0.248888888888889</v>
      </c>
      <c r="BA174" s="37" t="n">
        <f aca="false">IFERROR(BA97/AU97-1,"")</f>
        <v>-0.189526184538653</v>
      </c>
      <c r="BB174" s="37" t="n">
        <f aca="false">IFERROR(BB97/AV97-1,"")</f>
        <v>0.126506024096386</v>
      </c>
      <c r="BC174" s="37" t="n">
        <f aca="false">IFERROR(BC97/AW97-1,"")</f>
        <v>1.27586206896552</v>
      </c>
      <c r="BD174" s="37" t="n">
        <f aca="false">IFERROR(BD97/AX97-1,"")</f>
        <v>0.182584269662921</v>
      </c>
      <c r="BE174" s="37" t="n">
        <f aca="false">IFERROR(BE97/AY97-1,"")</f>
        <v>0.0897435897435897</v>
      </c>
      <c r="BF174" s="37" t="n">
        <f aca="false">IFERROR(BF97/AZ97-1,"")</f>
        <v>0.201183431952663</v>
      </c>
      <c r="BG174" s="37" t="n">
        <f aca="false">IFERROR(BG97/BA97-1,"")</f>
        <v>0.147692307692308</v>
      </c>
      <c r="BH174" s="37" t="n">
        <f aca="false">IFERROR(BH97/BB97-1,"")</f>
        <v>-0.481283422459893</v>
      </c>
      <c r="BI174" s="37" t="n">
        <f aca="false">IFERROR(BI97/BC97-1,"")</f>
        <v>-0.687878787878788</v>
      </c>
      <c r="BJ174" s="37" t="n">
        <f aca="false">IFERROR(BJ97/BD97-1,"")</f>
        <v>-0.319477434679335</v>
      </c>
      <c r="BK174" s="37" t="n">
        <f aca="false">IFERROR(BK97/BE97-1,"")</f>
        <v>0.00588235294117645</v>
      </c>
      <c r="BL174" s="37" t="n">
        <f aca="false">IFERROR(BL97/BF97-1,"")</f>
        <v>-0.152709359605911</v>
      </c>
      <c r="BM174" s="37" t="n">
        <f aca="false">IFERROR(BM97/BG97-1,"")</f>
        <v>-0.0804289544235926</v>
      </c>
      <c r="BN174" s="37" t="n">
        <f aca="false">IFERROR(BN97/BH97-1,"")</f>
        <v>0.845360824742268</v>
      </c>
      <c r="BO174" s="37" t="n">
        <f aca="false">IFERROR(BO97/BI97-1,"")</f>
        <v>0.893203883495146</v>
      </c>
      <c r="BP174" s="37" t="n">
        <f aca="false">IFERROR(BP97/BJ97-1,"")</f>
        <v>0.25130890052356</v>
      </c>
      <c r="BQ174" s="37" t="n">
        <f aca="false">IFERROR(BQ97/BK97-1,"")</f>
        <v>0.00584795321637421</v>
      </c>
      <c r="BR174" s="37" t="n">
        <f aca="false">IFERROR(BR97/BL97-1,"")</f>
        <v>0.302325581395349</v>
      </c>
      <c r="BS174" s="37" t="n">
        <f aca="false">IFERROR(BS97/BM97-1,"")</f>
        <v>0.154518950437318</v>
      </c>
      <c r="BT174" s="38" t="n">
        <f aca="false">IFERROR(BT97/BN97-1,"")</f>
        <v>0.125</v>
      </c>
      <c r="BU174" s="38" t="n">
        <f aca="false">IFERROR(BU97/BO97-1,"")</f>
        <v>0.0326923076923078</v>
      </c>
      <c r="BV174" s="38" t="n">
        <f aca="false">IFERROR(BV97/BP97-1,"")</f>
        <v>0.114016736401674</v>
      </c>
      <c r="BW174" s="38" t="n">
        <f aca="false">IFERROR(BW97/BV97-1,"")</f>
        <v>0.161675780533362</v>
      </c>
      <c r="BX174" s="38" t="n">
        <f aca="false">IFERROR(BX97/BW97-1,"")</f>
        <v>0.0954074927759481</v>
      </c>
      <c r="BY174" s="38" t="n">
        <f aca="false">IFERROR(BY97/BX97-1,"")</f>
        <v>0.0906307790037091</v>
      </c>
      <c r="BZ174" s="38" t="n">
        <f aca="false">IFERROR(BZ97/BY97-1,"")</f>
        <v>0.0850176606009121</v>
      </c>
      <c r="CA174" s="16"/>
      <c r="CC174" s="5"/>
      <c r="CD174" s="5"/>
      <c r="CE174" s="5"/>
    </row>
    <row r="175" customFormat="false" ht="15" hidden="false" customHeight="false" outlineLevel="0" collapsed="false">
      <c r="B175" s="35" t="s">
        <v>276</v>
      </c>
      <c r="C175" s="36"/>
      <c r="D175" s="36"/>
      <c r="E175" s="36"/>
      <c r="F175" s="36"/>
      <c r="G175" s="36"/>
      <c r="H175" s="36"/>
      <c r="I175" s="37" t="n">
        <f aca="false">IFERROR(I126/C126-1,"")</f>
        <v>0.269230769230769</v>
      </c>
      <c r="J175" s="37" t="n">
        <f aca="false">IFERROR(J126/D126-1,"")</f>
        <v>-0.193308550185874</v>
      </c>
      <c r="K175" s="37" t="n">
        <f aca="false">IFERROR(K126/E126-1,"")</f>
        <v>-0.0235294117647059</v>
      </c>
      <c r="L175" s="37" t="n">
        <f aca="false">IFERROR(L126/F126-1,"")</f>
        <v>-0.125</v>
      </c>
      <c r="M175" s="37" t="n">
        <f aca="false">IFERROR(M126/G126-1,"")</f>
        <v>0.861111111111111</v>
      </c>
      <c r="N175" s="37" t="n">
        <f aca="false">IFERROR(N126/H126-1,"")</f>
        <v>0.115734720416125</v>
      </c>
      <c r="O175" s="37" t="n">
        <f aca="false">IFERROR(O126/I126-1,"")</f>
        <v>-0.151515151515152</v>
      </c>
      <c r="P175" s="37" t="n">
        <f aca="false">IFERROR(P126/J126-1,"")</f>
        <v>0.110599078341014</v>
      </c>
      <c r="Q175" s="37" t="n">
        <f aca="false">IFERROR(Q126/K126-1,"")</f>
        <v>-0.0144578313253012</v>
      </c>
      <c r="R175" s="37" t="n">
        <f aca="false">IFERROR(R126/L126-1,"")</f>
        <v>0.377142857142857</v>
      </c>
      <c r="S175" s="37" t="n">
        <f aca="false">IFERROR(S126/M126-1,"")</f>
        <v>-0.138059701492537</v>
      </c>
      <c r="T175" s="37" t="n">
        <f aca="false">IFERROR(T126/N126-1,"")</f>
        <v>0.0268065268065267</v>
      </c>
      <c r="U175" s="37" t="n">
        <f aca="false">IFERROR(U126/O126-1,"")</f>
        <v>0.136904761904762</v>
      </c>
      <c r="V175" s="37" t="n">
        <f aca="false">IFERROR(V126/P126-1,"")</f>
        <v>0.0663900414937759</v>
      </c>
      <c r="W175" s="37" t="n">
        <f aca="false">IFERROR(W126/Q126-1,"")</f>
        <v>0.0953545232273838</v>
      </c>
      <c r="X175" s="37" t="n">
        <f aca="false">IFERROR(X126/R126-1,"")</f>
        <v>0.203319502074689</v>
      </c>
      <c r="Y175" s="37" t="n">
        <f aca="false">IFERROR(Y126/S126-1,"")</f>
        <v>-0.077922077922078</v>
      </c>
      <c r="Z175" s="37" t="n">
        <f aca="false">IFERROR(Z126/T126-1,"")</f>
        <v>0.079455164585698</v>
      </c>
      <c r="AA175" s="37" t="n">
        <f aca="false">IFERROR(AA126/U126-1,"")</f>
        <v>-0.157068062827225</v>
      </c>
      <c r="AB175" s="37" t="n">
        <f aca="false">IFERROR(AB126/V126-1,"")</f>
        <v>-0.319066147859922</v>
      </c>
      <c r="AC175" s="37" t="n">
        <f aca="false">IFERROR(AC126/W126-1,"")</f>
        <v>-0.25</v>
      </c>
      <c r="AD175" s="37" t="n">
        <f aca="false">IFERROR(AD126/X126-1,"")</f>
        <v>-0.262068965517241</v>
      </c>
      <c r="AE175" s="37" t="n">
        <f aca="false">IFERROR(AE126/Y126-1,"")</f>
        <v>-0.126760563380282</v>
      </c>
      <c r="AF175" s="37" t="n">
        <f aca="false">IFERROR(AF126/Z126-1,"")</f>
        <v>-0.226077812828602</v>
      </c>
      <c r="AG175" s="37" t="n">
        <f aca="false">IFERROR(AG126/AA126-1,"")</f>
        <v>0.335403726708075</v>
      </c>
      <c r="AH175" s="37" t="n">
        <f aca="false">IFERROR(AH126/AB126-1,"")</f>
        <v>-0.674285714285714</v>
      </c>
      <c r="AI175" s="37" t="n">
        <f aca="false">IFERROR(AI126/AC126-1,"")</f>
        <v>-0.19047619047619</v>
      </c>
      <c r="AJ175" s="37" t="n">
        <f aca="false">IFERROR(AJ126/AD126-1,"")</f>
        <v>0.0373831775700935</v>
      </c>
      <c r="AK175" s="37" t="n">
        <f aca="false">IFERROR(AK126/AE126-1,"")</f>
        <v>0.639784946236559</v>
      </c>
      <c r="AL175" s="37" t="n">
        <f aca="false">IFERROR(AL126/AF126-1,"")</f>
        <v>0.0855978260869565</v>
      </c>
      <c r="AM175" s="37" t="n">
        <f aca="false">IFERROR(AM126/AG126-1,"")</f>
        <v>-0.316279069767442</v>
      </c>
      <c r="AN175" s="37" t="n">
        <f aca="false">IFERROR(AN126/AH126-1,"")</f>
        <v>1.24561403508772</v>
      </c>
      <c r="AO175" s="37" t="n">
        <f aca="false">IFERROR(AO126/AI126-1,"")</f>
        <v>0.0110294117647058</v>
      </c>
      <c r="AP175" s="37" t="n">
        <f aca="false">IFERROR(AP126/AJ126-1,"")</f>
        <v>-0.468468468468468</v>
      </c>
      <c r="AQ175" s="37" t="n">
        <f aca="false">IFERROR(AQ126/AK126-1,"")</f>
        <v>-0.60655737704918</v>
      </c>
      <c r="AR175" s="37" t="n">
        <f aca="false">IFERROR(AR126/AL126-1,"")</f>
        <v>-0.357947434292866</v>
      </c>
      <c r="AS175" s="37" t="n">
        <f aca="false">IFERROR(AS126/AM126-1,"")</f>
        <v>-0.0612244897959183</v>
      </c>
      <c r="AT175" s="37" t="n">
        <f aca="false">IFERROR(AT126/AN126-1,"")</f>
        <v>0.4921875</v>
      </c>
      <c r="AU175" s="37" t="n">
        <f aca="false">IFERROR(AU126/AO126-1,"")</f>
        <v>0.196363636363636</v>
      </c>
      <c r="AV175" s="37" t="n">
        <f aca="false">IFERROR(AV126/AP126-1,"")</f>
        <v>0.110169491525424</v>
      </c>
      <c r="AW175" s="37" t="n">
        <f aca="false">IFERROR(AW126/AQ126-1,"")</f>
        <v>-0.125</v>
      </c>
      <c r="AX175" s="37" t="n">
        <f aca="false">IFERROR(AX126/AR126-1,"")</f>
        <v>0.101364522417154</v>
      </c>
      <c r="AY175" s="37" t="n">
        <f aca="false">IFERROR(AY126/AS126-1,"")</f>
        <v>0.0217391304347827</v>
      </c>
      <c r="AZ175" s="37" t="n">
        <f aca="false">IFERROR(AZ126/AT126-1,"")</f>
        <v>-0.183246073298429</v>
      </c>
      <c r="BA175" s="37" t="n">
        <f aca="false">IFERROR(BA126/AU126-1,"")</f>
        <v>-0.0972644376899696</v>
      </c>
      <c r="BB175" s="37" t="n">
        <f aca="false">IFERROR(BB126/AV126-1,"")</f>
        <v>0.312977099236641</v>
      </c>
      <c r="BC175" s="37" t="n">
        <f aca="false">IFERROR(BC126/AW126-1,"")</f>
        <v>1.97142857142857</v>
      </c>
      <c r="BD175" s="37" t="n">
        <f aca="false">IFERROR(BD126/AX126-1,"")</f>
        <v>0.382300884955752</v>
      </c>
      <c r="BE175" s="37" t="n">
        <f aca="false">IFERROR(BE126/AY126-1,"")</f>
        <v>0.0921985815602837</v>
      </c>
      <c r="BF175" s="37" t="n">
        <f aca="false">IFERROR(BF126/AZ126-1,"")</f>
        <v>0.211538461538461</v>
      </c>
      <c r="BG175" s="37" t="n">
        <f aca="false">IFERROR(BG126/BA126-1,"")</f>
        <v>0.154882154882155</v>
      </c>
      <c r="BH175" s="37" t="n">
        <f aca="false">IFERROR(BH126/BB126-1,"")</f>
        <v>-0.523255813953488</v>
      </c>
      <c r="BI175" s="37" t="n">
        <f aca="false">IFERROR(BI126/BC126-1,"")</f>
        <v>-0.647435897435897</v>
      </c>
      <c r="BJ175" s="37" t="n">
        <f aca="false">IFERROR(BJ126/BD126-1,"")</f>
        <v>-0.314980793854033</v>
      </c>
      <c r="BK175" s="37" t="n">
        <f aca="false">IFERROR(BK126/BE126-1,"")</f>
        <v>0.0454545454545454</v>
      </c>
      <c r="BL175" s="37" t="n">
        <f aca="false">IFERROR(BL126/BF126-1,"")</f>
        <v>-0.137566137566138</v>
      </c>
      <c r="BM175" s="37" t="n">
        <f aca="false">IFERROR(BM126/BG126-1,"")</f>
        <v>-0.0553935860058309</v>
      </c>
      <c r="BN175" s="37" t="n">
        <f aca="false">IFERROR(BN126/BH126-1,"")</f>
        <v>0.963414634146341</v>
      </c>
      <c r="BO175" s="37" t="n">
        <f aca="false">IFERROR(BO126/BI126-1,"")</f>
        <v>0.563636363636364</v>
      </c>
      <c r="BP175" s="37" t="n">
        <f aca="false">IFERROR(BP126/BJ126-1,"")</f>
        <v>0.22803738317757</v>
      </c>
      <c r="BQ175" s="37" t="n">
        <f aca="false">IFERROR(BQ126/BK126-1,"")</f>
        <v>-0.0372670807453416</v>
      </c>
      <c r="BR175" s="37" t="n">
        <f aca="false">IFERROR(BR126/BL126-1,"")</f>
        <v>0.288343558282209</v>
      </c>
      <c r="BS175" s="37" t="n">
        <f aca="false">IFERROR(BS126/BM126-1,"")</f>
        <v>0.126543209876543</v>
      </c>
      <c r="BT175" s="38" t="n">
        <f aca="false">IFERROR(BT126/BN126-1,"")</f>
        <v>0.148291925465839</v>
      </c>
      <c r="BU175" s="38" t="n">
        <f aca="false">IFERROR(BU126/BO126-1,"")</f>
        <v>0.074854651162791</v>
      </c>
      <c r="BV175" s="38" t="n">
        <f aca="false">IFERROR(BV126/BP126-1,"")</f>
        <v>0.118340943683409</v>
      </c>
      <c r="BW175" s="38" t="n">
        <f aca="false">IFERROR(BW126/BV126-1,"")</f>
        <v>0.175758461655016</v>
      </c>
      <c r="BX175" s="38" t="n">
        <f aca="false">IFERROR(BX126/BW126-1,"")</f>
        <v>0.102475626369265</v>
      </c>
      <c r="BY175" s="38" t="n">
        <f aca="false">IFERROR(BY126/BX126-1,"")</f>
        <v>0.0967209429284508</v>
      </c>
      <c r="BZ175" s="38" t="n">
        <f aca="false">IFERROR(BZ126/BY126-1,"")</f>
        <v>0.0902268036417055</v>
      </c>
      <c r="CA175" s="16"/>
      <c r="CC175" s="5"/>
      <c r="CD175" s="5"/>
      <c r="CE175" s="5"/>
    </row>
    <row r="176" customFormat="false" ht="15" hidden="false" customHeight="false" outlineLevel="0" collapsed="false">
      <c r="B176" s="35" t="s">
        <v>277</v>
      </c>
      <c r="C176" s="36"/>
      <c r="D176" s="36"/>
      <c r="E176" s="36"/>
      <c r="F176" s="36"/>
      <c r="G176" s="36"/>
      <c r="H176" s="36"/>
      <c r="I176" s="37" t="n">
        <f aca="false">IFERROR(I133/C133-1,"")</f>
        <v>0.563218390804598</v>
      </c>
      <c r="J176" s="37" t="n">
        <f aca="false">IFERROR(J133/D133-1,"")</f>
        <v>-0.147435897435897</v>
      </c>
      <c r="K176" s="37" t="n">
        <f aca="false">IFERROR(K133/E133-1,"")</f>
        <v>0.106995884773663</v>
      </c>
      <c r="L176" s="37" t="n">
        <f aca="false">IFERROR(L133/F133-1,"")</f>
        <v>-0.036036036036036</v>
      </c>
      <c r="M176" s="37" t="n">
        <f aca="false">IFERROR(M133/G133-1,"")</f>
        <v>2.94</v>
      </c>
      <c r="N176" s="37" t="n">
        <f aca="false">IFERROR(N133/H133-1,"")</f>
        <v>0.418316831683168</v>
      </c>
      <c r="O176" s="37" t="n">
        <f aca="false">IFERROR(O133/I133-1,"")</f>
        <v>-0.125</v>
      </c>
      <c r="P176" s="37" t="n">
        <f aca="false">IFERROR(P133/J133-1,"")</f>
        <v>0.105263157894737</v>
      </c>
      <c r="Q176" s="37" t="n">
        <f aca="false">IFERROR(Q133/K133-1,"")</f>
        <v>-0.0111524163568774</v>
      </c>
      <c r="R176" s="37" t="n">
        <f aca="false">IFERROR(R133/L133-1,"")</f>
        <v>0.392523364485981</v>
      </c>
      <c r="S176" s="37" t="n">
        <f aca="false">IFERROR(S133/M133-1,"")</f>
        <v>-0.6751269035533</v>
      </c>
      <c r="T176" s="37" t="n">
        <f aca="false">IFERROR(T133/N133-1,"")</f>
        <v>-0.164048865619546</v>
      </c>
      <c r="U176" s="37" t="n">
        <f aca="false">IFERROR(U133/O133-1,"")</f>
        <v>0.310924369747899</v>
      </c>
      <c r="V176" s="37" t="n">
        <f aca="false">IFERROR(V133/P133-1,"")</f>
        <v>0.625850340136055</v>
      </c>
      <c r="W176" s="37" t="n">
        <f aca="false">IFERROR(W133/Q133-1,"")</f>
        <v>0.484962406015038</v>
      </c>
      <c r="X176" s="37" t="n">
        <f aca="false">IFERROR(X133/R133-1,"")</f>
        <v>0.536912751677852</v>
      </c>
      <c r="Y176" s="37" t="n">
        <f aca="false">IFERROR(Y133/S133-1,"")</f>
        <v>2.3125</v>
      </c>
      <c r="Z176" s="37" t="n">
        <f aca="false">IFERROR(Z133/T133-1,"")</f>
        <v>0.745302713987474</v>
      </c>
      <c r="AA176" s="37" t="n">
        <f aca="false">IFERROR(AA133/U133-1,"")</f>
        <v>-0.243589743589744</v>
      </c>
      <c r="AB176" s="37" t="n">
        <f aca="false">IFERROR(AB133/V133-1,"")</f>
        <v>-0.464435146443515</v>
      </c>
      <c r="AC176" s="37" t="n">
        <f aca="false">IFERROR(AC133/W133-1,"")</f>
        <v>-0.377215189873418</v>
      </c>
      <c r="AD176" s="37" t="n">
        <f aca="false">IFERROR(AD133/X133-1,"")</f>
        <v>-0.327510917030568</v>
      </c>
      <c r="AE176" s="37" t="n">
        <f aca="false">IFERROR(AE133/Y133-1,"")</f>
        <v>-0.297169811320755</v>
      </c>
      <c r="AF176" s="37" t="n">
        <f aca="false">IFERROR(AF133/Z133-1,"")</f>
        <v>-0.343301435406699</v>
      </c>
      <c r="AG176" s="37" t="n">
        <f aca="false">IFERROR(AG133/AA133-1,"")</f>
        <v>0.457627118644068</v>
      </c>
      <c r="AH176" s="37" t="n">
        <f aca="false">IFERROR(AH133/AB133-1,"")</f>
        <v>-0.5859375</v>
      </c>
      <c r="AI176" s="37" t="n">
        <f aca="false">IFERROR(AI133/AC133-1,"")</f>
        <v>-0.0853658536585366</v>
      </c>
      <c r="AJ176" s="37" t="n">
        <f aca="false">IFERROR(AJ133/AD133-1,"")</f>
        <v>0.441558441558442</v>
      </c>
      <c r="AK176" s="37" t="n">
        <f aca="false">IFERROR(AK133/AE133-1,"")</f>
        <v>0.671140939597315</v>
      </c>
      <c r="AL176" s="37" t="n">
        <f aca="false">IFERROR(AL133/AF133-1,"")</f>
        <v>0.26775956284153</v>
      </c>
      <c r="AM176" s="37" t="n">
        <f aca="false">IFERROR(AM133/AG133-1,"")</f>
        <v>-0.13953488372093</v>
      </c>
      <c r="AN176" s="37" t="n">
        <f aca="false">IFERROR(AN133/AH133-1,"")</f>
        <v>1.43396226415094</v>
      </c>
      <c r="AO176" s="37" t="n">
        <f aca="false">IFERROR(AO133/AI133-1,"")</f>
        <v>0.231111111111111</v>
      </c>
      <c r="AP176" s="37" t="n">
        <f aca="false">IFERROR(AP133/AJ133-1,"")</f>
        <v>-0.337837837837838</v>
      </c>
      <c r="AQ176" s="37" t="n">
        <f aca="false">IFERROR(AQ133/AK133-1,"")</f>
        <v>-0.518072289156627</v>
      </c>
      <c r="AR176" s="37" t="n">
        <f aca="false">IFERROR(AR133/AL133-1,"")</f>
        <v>-0.218390804597701</v>
      </c>
      <c r="AS176" s="37" t="n">
        <f aca="false">IFERROR(AS133/AM133-1,"")</f>
        <v>-0.0540540540540541</v>
      </c>
      <c r="AT176" s="37" t="n">
        <f aca="false">IFERROR(AT133/AN133-1,"")</f>
        <v>0.37984496124031</v>
      </c>
      <c r="AU176" s="37" t="n">
        <f aca="false">IFERROR(AU133/AO133-1,"")</f>
        <v>0.148014440433213</v>
      </c>
      <c r="AV176" s="37" t="n">
        <f aca="false">IFERROR(AV133/AP133-1,"")</f>
        <v>-0.0612244897959183</v>
      </c>
      <c r="AW176" s="37" t="n">
        <f aca="false">IFERROR(AW133/AQ133-1,"")</f>
        <v>0.0249999999999999</v>
      </c>
      <c r="AX176" s="37" t="n">
        <f aca="false">IFERROR(AX133/AR133-1,"")</f>
        <v>0.0643382352941178</v>
      </c>
      <c r="AY176" s="37" t="n">
        <f aca="false">IFERROR(AY133/AS133-1,"")</f>
        <v>-0.0785714285714286</v>
      </c>
      <c r="AZ176" s="37" t="n">
        <f aca="false">IFERROR(AZ133/AT133-1,"")</f>
        <v>-0.269662921348315</v>
      </c>
      <c r="BA176" s="37" t="n">
        <f aca="false">IFERROR(BA133/AU133-1,"")</f>
        <v>-0.185534591194969</v>
      </c>
      <c r="BB176" s="37" t="n">
        <f aca="false">IFERROR(BB133/AV133-1,"")</f>
        <v>0.0724637681159421</v>
      </c>
      <c r="BC176" s="37" t="n">
        <f aca="false">IFERROR(BC133/AW133-1,"")</f>
        <v>1.22764227642276</v>
      </c>
      <c r="BD176" s="37" t="n">
        <f aca="false">IFERROR(BD133/AX133-1,"")</f>
        <v>0.176165803108808</v>
      </c>
      <c r="BE176" s="37" t="n">
        <f aca="false">IFERROR(BE133/AY133-1,"")</f>
        <v>0.186046511627907</v>
      </c>
      <c r="BF176" s="37" t="n">
        <f aca="false">IFERROR(BF133/AZ133-1,"")</f>
        <v>0.330769230769231</v>
      </c>
      <c r="BG176" s="37" t="n">
        <f aca="false">IFERROR(BG133/BA133-1,"")</f>
        <v>0.258687258687259</v>
      </c>
      <c r="BH176" s="37" t="n">
        <f aca="false">IFERROR(BH133/BB133-1,"")</f>
        <v>-0.317567567567568</v>
      </c>
      <c r="BI176" s="37" t="n">
        <f aca="false">IFERROR(BI133/BC133-1,"")</f>
        <v>-0.551094890510949</v>
      </c>
      <c r="BJ176" s="37" t="n">
        <f aca="false">IFERROR(BJ133/BD133-1,"")</f>
        <v>-0.192364170337739</v>
      </c>
      <c r="BK176" s="37" t="n">
        <f aca="false">IFERROR(BK133/BE133-1,"")</f>
        <v>-0.0261437908496732</v>
      </c>
      <c r="BL176" s="37" t="n">
        <f aca="false">IFERROR(BL133/BF133-1,"")</f>
        <v>-0.121387283236994</v>
      </c>
      <c r="BM176" s="37" t="n">
        <f aca="false">IFERROR(BM133/BG133-1,"")</f>
        <v>-0.0766871165644172</v>
      </c>
      <c r="BN176" s="37" t="n">
        <f aca="false">IFERROR(BN133/BH133-1,"")</f>
        <v>0.435643564356436</v>
      </c>
      <c r="BO176" s="37" t="n">
        <f aca="false">IFERROR(BO133/BI133-1,"")</f>
        <v>0.292682926829268</v>
      </c>
      <c r="BP176" s="37" t="n">
        <f aca="false">IFERROR(BP133/BJ133-1,"")</f>
        <v>0.1</v>
      </c>
      <c r="BQ176" s="37" t="n">
        <f aca="false">IFERROR(BQ133/BK133-1,"")</f>
        <v>0</v>
      </c>
      <c r="BR176" s="37" t="n">
        <f aca="false">IFERROR(BR133/BL133-1,"")</f>
        <v>0.368421052631579</v>
      </c>
      <c r="BS176" s="37" t="n">
        <f aca="false">IFERROR(BS133/BM133-1,"")</f>
        <v>0.186046511627907</v>
      </c>
      <c r="BT176" s="38" t="n">
        <f aca="false">IFERROR(BT133/BN133-1,"")</f>
        <v>0.23821551724138</v>
      </c>
      <c r="BU176" s="38" t="n">
        <f aca="false">IFERROR(BU133/BO133-1,"")</f>
        <v>0.129190251572327</v>
      </c>
      <c r="BV176" s="38" t="n">
        <f aca="false">IFERROR(BV133/BP133-1,"")</f>
        <v>0.183607438016528</v>
      </c>
      <c r="BW176" s="38" t="n">
        <f aca="false">IFERROR(BW133/BV133-1,"")</f>
        <v>0.109493102198195</v>
      </c>
      <c r="BX176" s="38" t="n">
        <f aca="false">IFERROR(BX133/BW133-1,"")</f>
        <v>0.0913701787982288</v>
      </c>
      <c r="BY176" s="38" t="n">
        <f aca="false">IFERROR(BY133/BX133-1,"")</f>
        <v>0.0871166825924168</v>
      </c>
      <c r="BZ176" s="38" t="n">
        <f aca="false">IFERROR(BZ133/BY133-1,"")</f>
        <v>0.0819853690931398</v>
      </c>
      <c r="CA176" s="16"/>
      <c r="CC176" s="5"/>
      <c r="CD176" s="5"/>
      <c r="CE176" s="5"/>
    </row>
    <row r="177" customFormat="false" ht="15" hidden="false" customHeight="false" outlineLevel="0" collapsed="false">
      <c r="B177" s="35" t="s">
        <v>278</v>
      </c>
      <c r="C177" s="36"/>
      <c r="D177" s="36"/>
      <c r="E177" s="36"/>
      <c r="F177" s="36"/>
      <c r="G177" s="36"/>
      <c r="H177" s="36"/>
      <c r="I177" s="37" t="n">
        <f aca="false">IFERROR(I166/C166-1,"")</f>
        <v>0.720341477774507</v>
      </c>
      <c r="J177" s="37" t="n">
        <f aca="false">IFERROR(J166/D166-1,"")</f>
        <v>0.286950560004728</v>
      </c>
      <c r="K177" s="37" t="n">
        <f aca="false">IFERROR(K166/E166-1,"")</f>
        <v>0.475846238626058</v>
      </c>
      <c r="L177" s="37" t="n">
        <f aca="false">IFERROR(L166/F166-1,"")</f>
        <v>-0.0944240130760758</v>
      </c>
      <c r="M177" s="37" t="n">
        <f aca="false">IFERROR(M166/G166-1,"")</f>
        <v>0.902031056363619</v>
      </c>
      <c r="N177" s="37" t="n">
        <f aca="false">IFERROR(N166/H166-1,"")</f>
        <v>0.427186536700184</v>
      </c>
      <c r="O177" s="37" t="n">
        <f aca="false">IFERROR(O166/I166-1,"")</f>
        <v>-0.19836566091954</v>
      </c>
      <c r="P177" s="37" t="n">
        <f aca="false">IFERROR(P166/J166-1,"")</f>
        <v>0.0645450470640969</v>
      </c>
      <c r="Q177" s="37" t="n">
        <f aca="false">IFERROR(Q166/K166-1,"")</f>
        <v>-0.0698993368043678</v>
      </c>
      <c r="R177" s="37" t="n">
        <f aca="false">IFERROR(R166/L166-1,"")</f>
        <v>0.474470929663808</v>
      </c>
      <c r="S177" s="37" t="n">
        <f aca="false">IFERROR(S166/M166-1,"")</f>
        <v>-0.289179579179308</v>
      </c>
      <c r="T177" s="37" t="n">
        <f aca="false">IFERROR(T166/N166-1,"")</f>
        <v>-0.0527278590430672</v>
      </c>
      <c r="U177" s="37" t="n">
        <f aca="false">IFERROR(U166/O166-1,"")</f>
        <v>-0.0454013906447536</v>
      </c>
      <c r="V177" s="37" t="n">
        <f aca="false">IFERROR(V166/P166-1,"")</f>
        <v>0.480361173814898</v>
      </c>
      <c r="W177" s="37" t="n">
        <f aca="false">IFERROR(W166/Q166-1,"")</f>
        <v>0.248770663086589</v>
      </c>
      <c r="X177" s="37" t="n">
        <f aca="false">IFERROR(X166/R166-1,"")</f>
        <v>0.371710694431721</v>
      </c>
      <c r="Y177" s="37" t="n">
        <f aca="false">IFERROR(Y166/S166-1,"")</f>
        <v>0.313175826499683</v>
      </c>
      <c r="Z177" s="37" t="n">
        <f aca="false">IFERROR(Z166/T166-1,"")</f>
        <v>0.303422251542551</v>
      </c>
      <c r="AA177" s="37" t="n">
        <f aca="false">IFERROR(AA166/U166-1,"")</f>
        <v>0.173428328242664</v>
      </c>
      <c r="AB177" s="37" t="n">
        <f aca="false">IFERROR(AB166/V166-1,"")</f>
        <v>-0.370235997843994</v>
      </c>
      <c r="AC177" s="37" t="n">
        <f aca="false">IFERROR(AC166/W166-1,"")</f>
        <v>-0.18679664244014</v>
      </c>
      <c r="AD177" s="37" t="n">
        <f aca="false">IFERROR(AD166/X166-1,"")</f>
        <v>-0.102721514741978</v>
      </c>
      <c r="AE177" s="37" t="n">
        <f aca="false">IFERROR(AE166/Y166-1,"")</f>
        <v>0.179280400092244</v>
      </c>
      <c r="AF177" s="37" t="n">
        <f aca="false">IFERROR(AF166/Z166-1,"")</f>
        <v>-0.0685961880701045</v>
      </c>
      <c r="AG177" s="37" t="n">
        <f aca="false">IFERROR(AG166/AA166-1,"")</f>
        <v>0.144869596668158</v>
      </c>
      <c r="AH177" s="37" t="n">
        <f aca="false">IFERROR(AH166/AB166-1,"")</f>
        <v>-1.20746515159521</v>
      </c>
      <c r="AI177" s="37" t="n">
        <f aca="false">IFERROR(AI166/AC166-1,"")</f>
        <v>-0.553573959913941</v>
      </c>
      <c r="AJ177" s="37" t="n">
        <f aca="false">IFERROR(AJ166/AD166-1,"")</f>
        <v>0.150558320946452</v>
      </c>
      <c r="AK177" s="37" t="n">
        <f aca="false">IFERROR(AK166/AE166-1,"")</f>
        <v>0.200254967305151</v>
      </c>
      <c r="AL177" s="37" t="n">
        <f aca="false">IFERROR(AL166/AF166-1,"")</f>
        <v>-0.103278381991819</v>
      </c>
      <c r="AM177" s="37" t="n">
        <f aca="false">IFERROR(AM166/AG166-1,"")</f>
        <v>0.457775044533454</v>
      </c>
      <c r="AN177" s="37" t="n">
        <f aca="false">IFERROR(AN166/AH166-1,"")</f>
        <v>-7.4983167403014</v>
      </c>
      <c r="AO177" s="37" t="n">
        <f aca="false">IFERROR(AO166/AI166-1,"")</f>
        <v>2.36669592634136</v>
      </c>
      <c r="AP177" s="37" t="n">
        <f aca="false">IFERROR(AP166/AJ166-1,"")</f>
        <v>-0.0212996435364209</v>
      </c>
      <c r="AQ177" s="37" t="n">
        <f aca="false">IFERROR(AQ166/AK166-1,"")</f>
        <v>-0.39258194301878</v>
      </c>
      <c r="AR177" s="37" t="n">
        <f aca="false">IFERROR(AR166/AL166-1,"")</f>
        <v>0.266485693403928</v>
      </c>
      <c r="AS177" s="37" t="n">
        <f aca="false">IFERROR(AS166/AM166-1,"")</f>
        <v>-0.218005395437782</v>
      </c>
      <c r="AT177" s="37" t="n">
        <f aca="false">IFERROR(AT166/AN166-1,"")</f>
        <v>0.205778690760267</v>
      </c>
      <c r="AU177" s="37" t="n">
        <f aca="false">IFERROR(AU166/AO166-1,"")</f>
        <v>-0.0214699122891844</v>
      </c>
      <c r="AV177" s="37" t="n">
        <f aca="false">IFERROR(AV166/AP166-1,"")</f>
        <v>-0.250976640032572</v>
      </c>
      <c r="AW177" s="37" t="n">
        <f aca="false">IFERROR(AW166/AQ166-1,"")</f>
        <v>-0.117907339927121</v>
      </c>
      <c r="AX177" s="37" t="n">
        <f aca="false">IFERROR(AX166/AR166-1,"")</f>
        <v>-0.104314320212806</v>
      </c>
      <c r="AY177" s="37" t="n">
        <f aca="false">IFERROR(AY166/AS166-1,"")</f>
        <v>-0.0178201582249312</v>
      </c>
      <c r="AZ177" s="37" t="n">
        <f aca="false">IFERROR(AZ166/AT166-1,"")</f>
        <v>-0.263628085798571</v>
      </c>
      <c r="BA177" s="37" t="n">
        <f aca="false">IFERROR(BA166/AU166-1,"")</f>
        <v>-0.15828823219096</v>
      </c>
      <c r="BB177" s="37" t="n">
        <f aca="false">IFERROR(BB166/AV166-1,"")</f>
        <v>0.19520399780942</v>
      </c>
      <c r="BC177" s="37" t="n">
        <f aca="false">IFERROR(BC166/AW166-1,"")</f>
        <v>1.57302518966013</v>
      </c>
      <c r="BD177" s="37" t="n">
        <f aca="false">IFERROR(BD166/AX166-1,"")</f>
        <v>0.289775561333063</v>
      </c>
      <c r="BE177" s="37" t="n">
        <f aca="false">IFERROR(BE166/AY166-1,"")</f>
        <v>0.184423643510191</v>
      </c>
      <c r="BF177" s="37" t="n">
        <f aca="false">IFERROR(BF166/AZ166-1,"")</f>
        <v>0.340435194980484</v>
      </c>
      <c r="BG177" s="37" t="n">
        <f aca="false">IFERROR(BG166/BA166-1,"")</f>
        <v>0.26232195991618</v>
      </c>
      <c r="BH177" s="37" t="n">
        <f aca="false">IFERROR(BH166/BB166-1,"")</f>
        <v>-0.394591325886861</v>
      </c>
      <c r="BI177" s="37" t="n">
        <f aca="false">IFERROR(BI166/BC166-1,"")</f>
        <v>-0.678840556009974</v>
      </c>
      <c r="BJ177" s="37" t="n">
        <f aca="false">IFERROR(BJ166/BD166-1,"")</f>
        <v>-0.274542086414051</v>
      </c>
      <c r="BK177" s="37" t="n">
        <f aca="false">IFERROR(BK166/BE166-1,"")</f>
        <v>-0.0862966367420069</v>
      </c>
      <c r="BL177" s="37" t="n">
        <f aca="false">IFERROR(BL166/BF166-1,"")</f>
        <v>-0.172152762600667</v>
      </c>
      <c r="BM177" s="37" t="n">
        <f aca="false">IFERROR(BM166/BG166-1,"")</f>
        <v>-0.131807157041333</v>
      </c>
      <c r="BN177" s="37" t="n">
        <f aca="false">IFERROR(BN166/BH166-1,"")</f>
        <v>0.557278371370273</v>
      </c>
      <c r="BO177" s="37" t="n">
        <f aca="false">IFERROR(BO166/BI166-1,"")</f>
        <v>0.696456366989213</v>
      </c>
      <c r="BP177" s="37" t="n">
        <f aca="false">IFERROR(BP166/BJ166-1,"")</f>
        <v>0.148122744689693</v>
      </c>
      <c r="BQ177" s="37" t="n">
        <f aca="false">IFERROR(BQ166/BK166-1,"")</f>
        <v>0.0132795427802992</v>
      </c>
      <c r="BR177" s="37" t="n">
        <f aca="false">IFERROR(BR166/BL166-1,"")</f>
        <v>0.448937676024914</v>
      </c>
      <c r="BS177" s="37" t="n">
        <f aca="false">IFERROR(BS166/BM166-1,"")</f>
        <v>0.23411414620705</v>
      </c>
      <c r="BT177" s="38" t="n">
        <f aca="false">IFERROR(BT166/BN166-1,"")</f>
        <v>0.236032276915692</v>
      </c>
      <c r="BU177" s="38" t="n">
        <f aca="false">IFERROR(BU166/BO166-1,"")</f>
        <v>0.0706277862744464</v>
      </c>
      <c r="BV177" s="38" t="n">
        <f aca="false">IFERROR(BV166/BP166-1,"")</f>
        <v>0.186735654771321</v>
      </c>
      <c r="BW177" s="38" t="n">
        <f aca="false">IFERROR(BW166/BV166-1,"")</f>
        <v>0.130025310953391</v>
      </c>
      <c r="BX177" s="38" t="n">
        <f aca="false">IFERROR(BX166/BW166-1,"")</f>
        <v>0.12396734721759</v>
      </c>
      <c r="BY177" s="38" t="n">
        <f aca="false">IFERROR(BY166/BX166-1,"")</f>
        <v>0.120746705018965</v>
      </c>
      <c r="BZ177" s="38" t="n">
        <f aca="false">IFERROR(BZ166/BY166-1,"")</f>
        <v>0.116499684186169</v>
      </c>
      <c r="CA177" s="16"/>
      <c r="CC177" s="5"/>
      <c r="CD177" s="5"/>
      <c r="CE177" s="5"/>
    </row>
    <row r="178" customFormat="false" ht="15" hidden="false" customHeight="false" outlineLevel="0" collapsed="false">
      <c r="B178" s="35" t="s">
        <v>279</v>
      </c>
      <c r="C178" s="36" t="n">
        <f aca="false">IFERROR(1-(C120+C121)/C119,"")</f>
        <v>0.194267515923567</v>
      </c>
      <c r="D178" s="36" t="n">
        <f aca="false">IFERROR(1-(D120+D121)/D119,"")</f>
        <v>0.28595988538682</v>
      </c>
      <c r="E178" s="36" t="n">
        <f aca="false">IFERROR(1-(E120+E121)/E119,"")</f>
        <v>0.242533936651584</v>
      </c>
      <c r="F178" s="36" t="n">
        <f aca="false">IFERROR(1-(F120+F121)/F119,"")</f>
        <v>0.191111111111111</v>
      </c>
      <c r="G178" s="36" t="n">
        <f aca="false">IFERROR(1-(G120+G121)/G119,"")</f>
        <v>0.186351706036745</v>
      </c>
      <c r="H178" s="36" t="n">
        <f aca="false">IFERROR(1-(H120+H121)/H119,"")</f>
        <v>0.214102564102564</v>
      </c>
      <c r="I178" s="36" t="n">
        <f aca="false">IFERROR(1-(I120+I121)/I119,"")</f>
        <v>0.190017016449234</v>
      </c>
      <c r="J178" s="36" t="n">
        <f aca="false">IFERROR(1-(J120+J121)/J119,"")</f>
        <v>0.215882352941177</v>
      </c>
      <c r="K178" s="36" t="n">
        <f aca="false">IFERROR(1-(K120+K121)/K119,"")</f>
        <v>0.202714409471557</v>
      </c>
      <c r="L178" s="36" t="n">
        <f aca="false">IFERROR(1-(L120+L121)/L119,"")</f>
        <v>0.187759952465835</v>
      </c>
      <c r="M178" s="36" t="n">
        <f aca="false">IFERROR(1-(M120+M121)/M119,"")</f>
        <v>0.22996878251821</v>
      </c>
      <c r="N178" s="36" t="n">
        <f aca="false">IFERROR(1-(N120+N121)/N119,"")</f>
        <v>0.20656479909451</v>
      </c>
      <c r="O178" s="36" t="n">
        <f aca="false">IFERROR(1-(O120+O121)/O119,"")</f>
        <v>0.19953596287703</v>
      </c>
      <c r="P178" s="36" t="n">
        <f aca="false">IFERROR(1-(P120+P121)/P119,"")</f>
        <v>0.227125941872982</v>
      </c>
      <c r="Q178" s="36" t="n">
        <f aca="false">IFERROR(1-(Q120+Q121)/Q119,"")</f>
        <v>0.213847012841988</v>
      </c>
      <c r="R178" s="36" t="n">
        <f aca="false">IFERROR(1-(R120+R121)/R119,"")</f>
        <v>0.222758990874933</v>
      </c>
      <c r="S178" s="36" t="n">
        <f aca="false">IFERROR(1-(S120+S121)/S119,"")</f>
        <v>0.223947895791583</v>
      </c>
      <c r="T178" s="36" t="n">
        <f aca="false">IFERROR(1-(T120+T121)/T119,"")</f>
        <v>0.218787797339067</v>
      </c>
      <c r="U178" s="36" t="n">
        <f aca="false">IFERROR(1-(U120+U121)/U119,"")</f>
        <v>0.202241195304162</v>
      </c>
      <c r="V178" s="36" t="n">
        <f aca="false">IFERROR(1-(V120+V121)/V119,"")</f>
        <v>0.223762376237624</v>
      </c>
      <c r="W178" s="36" t="n">
        <f aca="false">IFERROR(1-(W120+W121)/W119,"")</f>
        <v>0.213405238828968</v>
      </c>
      <c r="X178" s="36" t="n">
        <f aca="false">IFERROR(1-(X120+X121)/X119,"")</f>
        <v>0.235237638022084</v>
      </c>
      <c r="Y178" s="36" t="n">
        <f aca="false">IFERROR(1-(Y120+Y121)/Y119,"")</f>
        <v>0.213733515234197</v>
      </c>
      <c r="Z178" s="36" t="n">
        <f aca="false">IFERROR(1-(Z120+Z121)/Z119,"")</f>
        <v>0.219055772994129</v>
      </c>
      <c r="AA178" s="36" t="n">
        <f aca="false">IFERROR(1-(AA120+AA121)/AA119,"")</f>
        <v>0.157692307692308</v>
      </c>
      <c r="AB178" s="36" t="n">
        <f aca="false">IFERROR(1-(AB120+AB121)/AB119,"")</f>
        <v>0.161791590493601</v>
      </c>
      <c r="AC178" s="36" t="n">
        <f aca="false">IFERROR(1-(AC120+AC121)/AC119,"")</f>
        <v>0.15979381443299</v>
      </c>
      <c r="AD178" s="36" t="n">
        <f aca="false">IFERROR(1-(AD120+AD121)/AD119,"")</f>
        <v>0.18792248760703</v>
      </c>
      <c r="AE178" s="36" t="n">
        <f aca="false">IFERROR(1-(AE120+AE121)/AE119,"")</f>
        <v>0.17910447761194</v>
      </c>
      <c r="AF178" s="36" t="n">
        <f aca="false">IFERROR(1-(AF120+AF121)/AF119,"")</f>
        <v>0.172041802449713</v>
      </c>
      <c r="AG178" s="36" t="n">
        <f aca="false">IFERROR(1-(AG120+AG121)/AG119,"")</f>
        <v>0.186920017675652</v>
      </c>
      <c r="AH178" s="36" t="n">
        <f aca="false">IFERROR(1-(AH120+AH121)/AH119,"")</f>
        <v>0.130241736556487</v>
      </c>
      <c r="AI178" s="36" t="n">
        <f aca="false">IFERROR(1-(AI120+AI121)/AI119,"")</f>
        <v>0.16013986013986</v>
      </c>
      <c r="AJ178" s="36" t="n">
        <f aca="false">IFERROR(1-(AJ120+AJ121)/AJ119,"")</f>
        <v>0.188418323249784</v>
      </c>
      <c r="AK178" s="36" t="n">
        <f aca="false">IFERROR(1-(AK120+AK121)/AK119,"")</f>
        <v>0.198404062386652</v>
      </c>
      <c r="AL178" s="36" t="n">
        <f aca="false">IFERROR(1-(AL120+AL121)/AL119,"")</f>
        <v>0.178399743617135</v>
      </c>
      <c r="AM178" s="36" t="n">
        <f aca="false">IFERROR(1-(AM120+AM121)/AM119,"")</f>
        <v>0.150131694468832</v>
      </c>
      <c r="AN178" s="36" t="n">
        <f aca="false">IFERROR(1-(AN120+AN121)/AN119,"")</f>
        <v>0.144329896907217</v>
      </c>
      <c r="AO178" s="36" t="n">
        <f aca="false">IFERROR(1-(AO120+AO121)/AO119,"")</f>
        <v>0.147261033488578</v>
      </c>
      <c r="AP178" s="36" t="n">
        <f aca="false">IFERROR(1-(AP120+AP121)/AP119,"")</f>
        <v>0.141573994867408</v>
      </c>
      <c r="AQ178" s="36" t="n">
        <f aca="false">IFERROR(1-(AQ120+AQ121)/AQ119,"")</f>
        <v>0.139335076578259</v>
      </c>
      <c r="AR178" s="36" t="n">
        <f aca="false">IFERROR(1-(AR120+AR121)/AR119,"")</f>
        <v>0.143637127257455</v>
      </c>
      <c r="AS178" s="36" t="n">
        <f aca="false">IFERROR(1-(AS120+AS121)/AS119,"")</f>
        <v>0.135481366459627</v>
      </c>
      <c r="AT178" s="36" t="n">
        <f aca="false">IFERROR(1-(AT120+AT121)/AT119,"")</f>
        <v>0.146506386175808</v>
      </c>
      <c r="AU178" s="36" t="n">
        <f aca="false">IFERROR(1-(AU120+AU121)/AU119,"")</f>
        <v>0.141084383352425</v>
      </c>
      <c r="AV178" s="36" t="n">
        <f aca="false">IFERROR(1-(AV120+AV121)/AV119,"")</f>
        <v>0.137852246763138</v>
      </c>
      <c r="AW178" s="36" t="n">
        <f aca="false">IFERROR(1-(AW120+AW121)/AW119,"")</f>
        <v>0.120554765291607</v>
      </c>
      <c r="AX178" s="36" t="n">
        <f aca="false">IFERROR(1-(AX120+AX121)/AX119,"")</f>
        <v>0.134881978269015</v>
      </c>
      <c r="AY178" s="36" t="n">
        <f aca="false">IFERROR(1-(AY120+AY121)/AY119,"")</f>
        <v>0.130890052356021</v>
      </c>
      <c r="AZ178" s="36" t="n">
        <f aca="false">IFERROR(1-(AZ120+AZ121)/AZ119,"")</f>
        <v>0.139576605669178</v>
      </c>
      <c r="BA178" s="36" t="n">
        <f aca="false">IFERROR(1-(BA120+BA121)/BA119,"")</f>
        <v>0.13532320087896</v>
      </c>
      <c r="BB178" s="36" t="n">
        <f aca="false">IFERROR(1-(BB120+BB121)/BB119,"")</f>
        <v>0.147727272727273</v>
      </c>
      <c r="BC178" s="36" t="n">
        <f aca="false">IFERROR(1-(BC120+BC121)/BC119,"")</f>
        <v>0.154548316021404</v>
      </c>
      <c r="BD178" s="36" t="n">
        <f aca="false">IFERROR(1-(BD120+BD121)/BD119,"")</f>
        <v>0.143705255805832</v>
      </c>
      <c r="BE178" s="36" t="n">
        <f aca="false">IFERROR(1-(BE120+BE121)/BE119,"")</f>
        <v>0.133689839572193</v>
      </c>
      <c r="BF178" s="36" t="n">
        <f aca="false">IFERROR(1-(BF120+BF121)/BF119,"")</f>
        <v>0.145112529392005</v>
      </c>
      <c r="BG178" s="36" t="n">
        <f aca="false">IFERROR(1-(BG120+BG121)/BG119,"")</f>
        <v>0.139571082670356</v>
      </c>
      <c r="BH178" s="36" t="n">
        <f aca="false">IFERROR(1-(BH120+BH121)/BH119,"")</f>
        <v>0.117133503092034</v>
      </c>
      <c r="BI178" s="36" t="n">
        <f aca="false">IFERROR(1-(BI120+BI121)/BI119,"")</f>
        <v>0.106857523302264</v>
      </c>
      <c r="BJ178" s="36" t="n">
        <f aca="false">IFERROR(1-(BJ120+BJ121)/BJ119,"")</f>
        <v>0.125704377980061</v>
      </c>
      <c r="BK178" s="36" t="n">
        <f aca="false">IFERROR(1-(BK120+BK121)/BK119,"")</f>
        <v>0.144111192392099</v>
      </c>
      <c r="BL178" s="36" t="n">
        <f aca="false">IFERROR(1-(BL120+BL121)/BL119,"")</f>
        <v>0.128163530175211</v>
      </c>
      <c r="BM178" s="36" t="n">
        <f aca="false">IFERROR(1-(BM120+BM121)/BM119,"")</f>
        <v>0.135660247592847</v>
      </c>
      <c r="BN178" s="36" t="n">
        <f aca="false">IFERROR(1-(BN120+BN121)/BN119,"")</f>
        <v>0.1234335839599</v>
      </c>
      <c r="BO178" s="36" t="n">
        <f aca="false">IFERROR(1-(BO120+BO121)/BO119,"")</f>
        <v>0.115650172612198</v>
      </c>
      <c r="BP178" s="36" t="n">
        <f aca="false">IFERROR(1-(BP120+BP121)/BP119,"")</f>
        <v>0.12696251201538</v>
      </c>
      <c r="BQ178" s="36" t="n">
        <f aca="false">IFERROR(1-(BQ120+BQ121)/BQ119,"")</f>
        <v>0.131655372700871</v>
      </c>
      <c r="BR178" s="36" t="n">
        <f aca="false">IFERROR(1-(BR120+BR121)/BR119,"")</f>
        <v>0.126097132826214</v>
      </c>
      <c r="BS178" s="36" t="n">
        <f aca="false">IFERROR(1-(BS120+BS121)/BS119,"")</f>
        <v>0.128740217891668</v>
      </c>
      <c r="BT178" s="38" t="n">
        <f aca="false">IFERROR(1-(BT120+BT121)/BT119,"")</f>
        <v>0.127776925939518</v>
      </c>
      <c r="BU178" s="38" t="n">
        <f aca="false">IFERROR(1-(BU120+BU121)/BU119,"")</f>
        <v>0.127776925939518</v>
      </c>
      <c r="BV178" s="38" t="n">
        <f aca="false">IFERROR(1-(BV120+BV121)/BV119,"")</f>
        <v>0.128250720177417</v>
      </c>
      <c r="BW178" s="38" t="n">
        <f aca="false">IFERROR(1-(BW120+BW121)/BW119,"")</f>
        <v>0.134470793047953</v>
      </c>
      <c r="BX178" s="38" t="n">
        <f aca="false">IFERROR(1-(BX120+BX121)/BX119,"")</f>
        <v>0.137462270551599</v>
      </c>
      <c r="BY178" s="38" t="n">
        <f aca="false">IFERROR(1-(BY120+BY121)/BY119,"")</f>
        <v>0.140388567803282</v>
      </c>
      <c r="BZ178" s="38" t="n">
        <f aca="false">IFERROR(1-(BZ120+BZ121)/BZ119,"")</f>
        <v>0.143258053533987</v>
      </c>
      <c r="CA178" s="16"/>
      <c r="CC178" s="40" t="n">
        <f aca="false">IFERROR(AVERAGE(BV178,BW178,BX178,BY178,BZ178),"n/m")</f>
        <v>0.136766081022848</v>
      </c>
      <c r="CD178" s="40" t="n">
        <f aca="false">IFERROR(AVERAGE(AR178,AX178,BD178,BJ178,BP178),"n/m")</f>
        <v>0.134978250265548</v>
      </c>
      <c r="CE178" s="40" t="n">
        <f aca="false">IFERROR(AVERAGE(N178,T178,Z178,AF178,AL178,AR178,AX178,BD178,BJ178,BP178),"n/m")</f>
        <v>0.16697411668223</v>
      </c>
    </row>
    <row r="179" customFormat="false" ht="15" hidden="false" customHeight="false" outlineLevel="0" collapsed="false">
      <c r="B179" s="35" t="s">
        <v>113</v>
      </c>
      <c r="C179" s="36" t="n">
        <f aca="false">IFERROR(C97/C119,"")</f>
        <v>0.0815286624203822</v>
      </c>
      <c r="D179" s="36" t="n">
        <f aca="false">IFERROR(D97/D119,"")</f>
        <v>0.139255014326648</v>
      </c>
      <c r="E179" s="36" t="n">
        <f aca="false">IFERROR(E97/E119,"")</f>
        <v>0.111915535444947</v>
      </c>
      <c r="F179" s="36" t="n">
        <f aca="false">IFERROR(F97/F119,"")</f>
        <v>0.0955555555555556</v>
      </c>
      <c r="G179" s="36" t="n">
        <f aca="false">IFERROR(G97/G119,"")</f>
        <v>0.0650918635170604</v>
      </c>
      <c r="H179" s="36" t="n">
        <f aca="false">IFERROR(H97/H119,"")</f>
        <v>0.095014245014245</v>
      </c>
      <c r="I179" s="36" t="n">
        <f aca="false">IFERROR(I97/I119,"")</f>
        <v>0.0941576857629042</v>
      </c>
      <c r="J179" s="36" t="n">
        <f aca="false">IFERROR(J97/J119,"")</f>
        <v>0.108235294117647</v>
      </c>
      <c r="K179" s="36" t="n">
        <f aca="false">IFERROR(K97/K119,"")</f>
        <v>0.101068437770719</v>
      </c>
      <c r="L179" s="36" t="n">
        <f aca="false">IFERROR(L97/L119,"")</f>
        <v>0.083184789067142</v>
      </c>
      <c r="M179" s="36" t="n">
        <f aca="false">IFERROR(M97/M119,"")</f>
        <v>0.117065556711759</v>
      </c>
      <c r="N179" s="36" t="n">
        <f aca="false">IFERROR(N97/N119,"")</f>
        <v>0.101160158460668</v>
      </c>
      <c r="O179" s="36" t="n">
        <f aca="false">IFERROR(O97/O119,"")</f>
        <v>0.0696055684454756</v>
      </c>
      <c r="P179" s="36" t="n">
        <f aca="false">IFERROR(P97/P119,"")</f>
        <v>0.100645855758881</v>
      </c>
      <c r="Q179" s="36" t="n">
        <f aca="false">IFERROR(Q97/Q119,"")</f>
        <v>0.0857063093243998</v>
      </c>
      <c r="R179" s="36" t="n">
        <f aca="false">IFERROR(R97/R119,"")</f>
        <v>0.103059581320451</v>
      </c>
      <c r="S179" s="36" t="n">
        <f aca="false">IFERROR(S97/S119,"")</f>
        <v>0.094689378757515</v>
      </c>
      <c r="T179" s="36" t="n">
        <f aca="false">IFERROR(T97/T119,"")</f>
        <v>0.09246069076737</v>
      </c>
      <c r="U179" s="36" t="n">
        <f aca="false">IFERROR(U97/U119,"")</f>
        <v>0.0624332977588047</v>
      </c>
      <c r="V179" s="36" t="n">
        <f aca="false">IFERROR(V97/V119,"")</f>
        <v>0.0896039603960396</v>
      </c>
      <c r="W179" s="36" t="n">
        <f aca="false">IFERROR(W97/W119,"")</f>
        <v>0.0765279917822291</v>
      </c>
      <c r="X179" s="36" t="n">
        <f aca="false">IFERROR(X97/X119,"")</f>
        <v>0.104176668266923</v>
      </c>
      <c r="Y179" s="36" t="n">
        <f aca="false">IFERROR(Y97/Y119,"")</f>
        <v>0.0673033196907685</v>
      </c>
      <c r="Z179" s="36" t="n">
        <f aca="false">IFERROR(Z97/Z119,"")</f>
        <v>0.0810909980430528</v>
      </c>
      <c r="AA179" s="36" t="n">
        <f aca="false">IFERROR(AA97/AA119,"")</f>
        <v>0.0620192307692308</v>
      </c>
      <c r="AB179" s="36" t="n">
        <f aca="false">IFERROR(AB97/AB119,"")</f>
        <v>0.0630712979890311</v>
      </c>
      <c r="AC179" s="36" t="n">
        <f aca="false">IFERROR(AC97/AC119,"")</f>
        <v>0.0625585754451734</v>
      </c>
      <c r="AD179" s="36" t="n">
        <f aca="false">IFERROR(AD97/AD119,"")</f>
        <v>0.0860748084722848</v>
      </c>
      <c r="AE179" s="36" t="n">
        <f aca="false">IFERROR(AE97/AE119,"")</f>
        <v>0.0717247097844113</v>
      </c>
      <c r="AF179" s="36" t="n">
        <f aca="false">IFERROR(AF97/AF119,"")</f>
        <v>0.0709068434655579</v>
      </c>
      <c r="AG179" s="36" t="n">
        <f aca="false">IFERROR(AG97/AG119,"")</f>
        <v>0.068935041979673</v>
      </c>
      <c r="AH179" s="36" t="n">
        <f aca="false">IFERROR(AH97/AH119,"")</f>
        <v>-0.00246669955599408</v>
      </c>
      <c r="AI179" s="36" t="n">
        <f aca="false">IFERROR(AI97/AI119,"")</f>
        <v>0.0351981351981352</v>
      </c>
      <c r="AJ179" s="36" t="n">
        <f aca="false">IFERROR(AJ97/AJ119,"")</f>
        <v>0.0700086430423509</v>
      </c>
      <c r="AK179" s="36" t="n">
        <f aca="false">IFERROR(AK97/AK119,"")</f>
        <v>0.0877765687341313</v>
      </c>
      <c r="AL179" s="36" t="n">
        <f aca="false">IFERROR(AL97/AL119,"")</f>
        <v>0.0592885375494071</v>
      </c>
      <c r="AM179" s="36" t="n">
        <f aca="false">IFERROR(AM97/AM119,"")</f>
        <v>0.0838454784899034</v>
      </c>
      <c r="AN179" s="36" t="n">
        <f aca="false">IFERROR(AN97/AN119,"")</f>
        <v>0.0757507844016136</v>
      </c>
      <c r="AO179" s="36" t="n">
        <f aca="false">IFERROR(AO97/AO119,"")</f>
        <v>0.0798403193612775</v>
      </c>
      <c r="AP179" s="36" t="n">
        <f aca="false">IFERROR(AP97/AP119,"")</f>
        <v>0.0697177074422583</v>
      </c>
      <c r="AQ179" s="36" t="n">
        <f aca="false">IFERROR(AQ97/AQ119,"")</f>
        <v>0.0597683974598431</v>
      </c>
      <c r="AR179" s="36" t="n">
        <f aca="false">IFERROR(AR97/AR119,"")</f>
        <v>0.0717135657286854</v>
      </c>
      <c r="AS179" s="36" t="n">
        <f aca="false">IFERROR(AS97/AS119,"")</f>
        <v>0.0683229813664596</v>
      </c>
      <c r="AT179" s="36" t="n">
        <f aca="false">IFERROR(AT97/AT119,"")</f>
        <v>0.0845229151014275</v>
      </c>
      <c r="AU179" s="36" t="n">
        <f aca="false">IFERROR(AU97/AU119,"")</f>
        <v>0.0765559373806797</v>
      </c>
      <c r="AV179" s="36" t="n">
        <f aca="false">IFERROR(AV97/AV119,"")</f>
        <v>0.0632140137090632</v>
      </c>
      <c r="AW179" s="36" t="n">
        <f aca="false">IFERROR(AW97/AW119,"")</f>
        <v>0.0515647226173542</v>
      </c>
      <c r="AX179" s="36" t="n">
        <f aca="false">IFERROR(AX97/AX119,"")</f>
        <v>0.0666916448107906</v>
      </c>
      <c r="AY179" s="36" t="n">
        <f aca="false">IFERROR(AY97/AY119,"")</f>
        <v>0.0583395661929693</v>
      </c>
      <c r="AZ179" s="36" t="n">
        <f aca="false">IFERROR(AZ97/AZ119,"")</f>
        <v>0.0606386795837818</v>
      </c>
      <c r="BA179" s="36" t="n">
        <f aca="false">IFERROR(BA97/BA119,"")</f>
        <v>0.0595129097234939</v>
      </c>
      <c r="BB179" s="36" t="n">
        <f aca="false">IFERROR(BB97/BB119,"")</f>
        <v>0.06640625</v>
      </c>
      <c r="BC179" s="36" t="n">
        <f aca="false">IFERROR(BC97/BC119,"")</f>
        <v>0.103871576959396</v>
      </c>
      <c r="BD179" s="36" t="n">
        <f aca="false">IFERROR(BD97/BD119,"")</f>
        <v>0.0735114370525581</v>
      </c>
      <c r="BE179" s="36" t="n">
        <f aca="false">IFERROR(BE97/BE119,"")</f>
        <v>0.0606060606060606</v>
      </c>
      <c r="BF179" s="36" t="n">
        <f aca="false">IFERROR(BF97/BF119,"")</f>
        <v>0.0681894524689285</v>
      </c>
      <c r="BG179" s="36" t="n">
        <f aca="false">IFERROR(BG97/BG119,"")</f>
        <v>0.064510549982705</v>
      </c>
      <c r="BH179" s="36" t="n">
        <f aca="false">IFERROR(BH97/BH119,"")</f>
        <v>0.0352855583848672</v>
      </c>
      <c r="BI179" s="36" t="n">
        <f aca="false">IFERROR(BI97/BI119,"")</f>
        <v>0.0342876165113182</v>
      </c>
      <c r="BJ179" s="36" t="n">
        <f aca="false">IFERROR(BJ97/BJ119,"")</f>
        <v>0.0496749024707412</v>
      </c>
      <c r="BK179" s="36" t="n">
        <f aca="false">IFERROR(BK97/BK119,"")</f>
        <v>0.062545720555962</v>
      </c>
      <c r="BL179" s="36" t="n">
        <f aca="false">IFERROR(BL97/BL119,"")</f>
        <v>0.0558079169370539</v>
      </c>
      <c r="BM179" s="36" t="n">
        <f aca="false">IFERROR(BM97/BM119,"")</f>
        <v>0.0589752407152682</v>
      </c>
      <c r="BN179" s="36" t="n">
        <f aca="false">IFERROR(BN97/BN119,"")</f>
        <v>0.056077694235589</v>
      </c>
      <c r="BO179" s="36" t="n">
        <f aca="false">IFERROR(BO97/BO119,"")</f>
        <v>0.0560989643268124</v>
      </c>
      <c r="BP179" s="36" t="n">
        <f aca="false">IFERROR(BP97/BP119,"")</f>
        <v>0.0574335148990708</v>
      </c>
      <c r="BQ179" s="36" t="n">
        <f aca="false">IFERROR(BQ97/BQ119,"")</f>
        <v>0.0555017747660536</v>
      </c>
      <c r="BR179" s="36" t="n">
        <f aca="false">IFERROR(BR97/BR119,"")</f>
        <v>0.0655354008191925</v>
      </c>
      <c r="BS179" s="36" t="n">
        <f aca="false">IFERROR(BS97/BS119,"")</f>
        <v>0.0607641552861746</v>
      </c>
      <c r="BT179" s="38" t="n">
        <f aca="false">IFERROR(BT97/BT119,"")</f>
        <v>0.0598173176889945</v>
      </c>
      <c r="BU179" s="38" t="n">
        <f aca="false">IFERROR(BU97/BU119,"")</f>
        <v>0.0598173176889945</v>
      </c>
      <c r="BV179" s="38" t="n">
        <f aca="false">IFERROR(BV97/BV119,"")</f>
        <v>0.0602830188679245</v>
      </c>
      <c r="BW179" s="38" t="n">
        <f aca="false">IFERROR(BW97/BW119,"")</f>
        <v>0.0659992752526428</v>
      </c>
      <c r="BX179" s="38" t="n">
        <f aca="false">IFERROR(BX97/BX119,"")</f>
        <v>0.0685649269903091</v>
      </c>
      <c r="BY179" s="38" t="n">
        <f aca="false">IFERROR(BY97/BY119,"")</f>
        <v>0.0711069713733799</v>
      </c>
      <c r="BZ179" s="38" t="n">
        <f aca="false">IFERROR(BZ97/BZ119,"")</f>
        <v>0.0736374738833857</v>
      </c>
      <c r="CA179" s="16"/>
      <c r="CC179" s="40" t="n">
        <f aca="false">IFERROR(AVERAGE(BV179,BW179,BX179,BY179,BZ179),"n/m")</f>
        <v>0.0679183332735284</v>
      </c>
      <c r="CD179" s="40" t="n">
        <f aca="false">IFERROR(AVERAGE(AR179,AX179,BD179,BJ179,BP179),"n/m")</f>
        <v>0.0638050129923692</v>
      </c>
      <c r="CE179" s="40" t="n">
        <f aca="false">IFERROR(AVERAGE(N179,T179,Z179,AF179,AL179,AR179,AX179,BD179,BJ179,BP179),"n/m")</f>
        <v>0.0723932293247902</v>
      </c>
    </row>
    <row r="180" customFormat="false" ht="15" hidden="false" customHeight="false" outlineLevel="0" collapsed="false">
      <c r="B180" s="35" t="s">
        <v>195</v>
      </c>
      <c r="C180" s="36" t="n">
        <f aca="false">IFERROR(C126/C119,"")</f>
        <v>0.0993630573248408</v>
      </c>
      <c r="D180" s="36" t="n">
        <f aca="false">IFERROR(D126/D119,"")</f>
        <v>0.154154727793696</v>
      </c>
      <c r="E180" s="36" t="n">
        <f aca="false">IFERROR(E126/E119,"")</f>
        <v>0.128205128205128</v>
      </c>
      <c r="F180" s="36" t="n">
        <f aca="false">IFERROR(F126/F119,"")</f>
        <v>0.111111111111111</v>
      </c>
      <c r="G180" s="36" t="n">
        <f aca="false">IFERROR(G126/G119,"")</f>
        <v>0.0755905511811024</v>
      </c>
      <c r="H180" s="36" t="n">
        <f aca="false">IFERROR(H126/H119,"")</f>
        <v>0.10954415954416</v>
      </c>
      <c r="I180" s="36" t="n">
        <f aca="false">IFERROR(I126/I119,"")</f>
        <v>0.112308564946115</v>
      </c>
      <c r="J180" s="36" t="n">
        <f aca="false">IFERROR(J126/J119,"")</f>
        <v>0.127647058823529</v>
      </c>
      <c r="K180" s="36" t="n">
        <f aca="false">IFERROR(K126/K119,"")</f>
        <v>0.119838290499567</v>
      </c>
      <c r="L180" s="36" t="n">
        <f aca="false">IFERROR(L126/L119,"")</f>
        <v>0.103980986333928</v>
      </c>
      <c r="M180" s="36" t="n">
        <f aca="false">IFERROR(M126/M119,"")</f>
        <v>0.139438085327784</v>
      </c>
      <c r="N180" s="36" t="n">
        <f aca="false">IFERROR(N126/N119,"")</f>
        <v>0.121392190152801</v>
      </c>
      <c r="O180" s="36" t="n">
        <f aca="false">IFERROR(O126/O119,"")</f>
        <v>0.0974477958236659</v>
      </c>
      <c r="P180" s="36" t="n">
        <f aca="false">IFERROR(P126/P119,"")</f>
        <v>0.129709364908504</v>
      </c>
      <c r="Q180" s="36" t="n">
        <f aca="false">IFERROR(Q126/Q119,"")</f>
        <v>0.114182021217197</v>
      </c>
      <c r="R180" s="36" t="n">
        <f aca="false">IFERROR(R126/R119,"")</f>
        <v>0.129361245303274</v>
      </c>
      <c r="S180" s="36" t="n">
        <f aca="false">IFERROR(S126/S119,"")</f>
        <v>0.115731462925852</v>
      </c>
      <c r="T180" s="36" t="n">
        <f aca="false">IFERROR(T126/T119,"")</f>
        <v>0.11839806477624</v>
      </c>
      <c r="U180" s="36" t="n">
        <f aca="false">IFERROR(U126/U119,"")</f>
        <v>0.101921024546425</v>
      </c>
      <c r="V180" s="36" t="n">
        <f aca="false">IFERROR(V126/V119,"")</f>
        <v>0.127227722772277</v>
      </c>
      <c r="W180" s="36" t="n">
        <f aca="false">IFERROR(W126/W119,"")</f>
        <v>0.115048793014895</v>
      </c>
      <c r="X180" s="36" t="n">
        <f aca="false">IFERROR(X126/X119,"")</f>
        <v>0.13922227556409</v>
      </c>
      <c r="Y180" s="36" t="n">
        <f aca="false">IFERROR(Y126/Y119,"")</f>
        <v>0.096862210095498</v>
      </c>
      <c r="Z180" s="36" t="n">
        <f aca="false">IFERROR(Z126/Z119,"")</f>
        <v>0.116316046966732</v>
      </c>
      <c r="AA180" s="36" t="n">
        <f aca="false">IFERROR(AA126/AA119,"")</f>
        <v>0.0774038461538462</v>
      </c>
      <c r="AB180" s="36" t="n">
        <f aca="false">IFERROR(AB126/AB119,"")</f>
        <v>0.079981718464351</v>
      </c>
      <c r="AC180" s="36" t="n">
        <f aca="false">IFERROR(AC126/AC119,"")</f>
        <v>0.0787253983130272</v>
      </c>
      <c r="AD180" s="36" t="n">
        <f aca="false">IFERROR(AD126/AD119,"")</f>
        <v>0.0964398377647589</v>
      </c>
      <c r="AE180" s="36" t="n">
        <f aca="false">IFERROR(AE126/AE119,"")</f>
        <v>0.0771144278606965</v>
      </c>
      <c r="AF180" s="36" t="n">
        <f aca="false">IFERROR(AF126/AF119,"")</f>
        <v>0.0827059220137094</v>
      </c>
      <c r="AG180" s="36" t="n">
        <f aca="false">IFERROR(AG126/AG119,"")</f>
        <v>0.0950066283694211</v>
      </c>
      <c r="AH180" s="36" t="n">
        <f aca="false">IFERROR(AH126/AH119,"")</f>
        <v>0.0281203749383325</v>
      </c>
      <c r="AI180" s="36" t="n">
        <f aca="false">IFERROR(AI126/AI119,"")</f>
        <v>0.0634032634032634</v>
      </c>
      <c r="AJ180" s="36" t="n">
        <f aca="false">IFERROR(AJ126/AJ119,"")</f>
        <v>0.0959377700950735</v>
      </c>
      <c r="AK180" s="36" t="n">
        <f aca="false">IFERROR(AK126/AK119,"")</f>
        <v>0.110627493652521</v>
      </c>
      <c r="AL180" s="36" t="n">
        <f aca="false">IFERROR(AL126/AL119,"")</f>
        <v>0.0853541288323897</v>
      </c>
      <c r="AM180" s="36" t="n">
        <f aca="false">IFERROR(AM126/AM119,"")</f>
        <v>0.0645302897278314</v>
      </c>
      <c r="AN180" s="36" t="n">
        <f aca="false">IFERROR(AN126/AN119,"")</f>
        <v>0.0573733751680861</v>
      </c>
      <c r="AO180" s="36" t="n">
        <f aca="false">IFERROR(AO126/AO119,"")</f>
        <v>0.0609891328454203</v>
      </c>
      <c r="AP180" s="36" t="n">
        <f aca="false">IFERROR(AP126/AP119,"")</f>
        <v>0.0504704875962361</v>
      </c>
      <c r="AQ180" s="36" t="n">
        <f aca="false">IFERROR(AQ126/AQ119,"")</f>
        <v>0.0448262980948823</v>
      </c>
      <c r="AR180" s="36" t="n">
        <f aca="false">IFERROR(AR126/AR119,"")</f>
        <v>0.0538639227215456</v>
      </c>
      <c r="AS180" s="36" t="n">
        <f aca="false">IFERROR(AS126/AS119,"")</f>
        <v>0.0535714285714286</v>
      </c>
      <c r="AT180" s="36" t="n">
        <f aca="false">IFERROR(AT126/AT119,"")</f>
        <v>0.0717505634861007</v>
      </c>
      <c r="AU180" s="36" t="n">
        <f aca="false">IFERROR(AU126/AU119,"")</f>
        <v>0.0628102329133257</v>
      </c>
      <c r="AV180" s="36" t="n">
        <f aca="false">IFERROR(AV126/AV119,"")</f>
        <v>0.0498857578065499</v>
      </c>
      <c r="AW180" s="36" t="n">
        <f aca="false">IFERROR(AW126/AW119,"")</f>
        <v>0.0373399715504979</v>
      </c>
      <c r="AX180" s="36" t="n">
        <f aca="false">IFERROR(AX126/AX119,"")</f>
        <v>0.0529224428624953</v>
      </c>
      <c r="AY180" s="36" t="n">
        <f aca="false">IFERROR(AY126/AY119,"")</f>
        <v>0.0527299925205684</v>
      </c>
      <c r="AZ180" s="36" t="n">
        <f aca="false">IFERROR(AZ126/AZ119,"")</f>
        <v>0.0559741657696448</v>
      </c>
      <c r="BA180" s="36" t="n">
        <f aca="false">IFERROR(BA126/BA119,"")</f>
        <v>0.0543856436550082</v>
      </c>
      <c r="BB180" s="36" t="n">
        <f aca="false">IFERROR(BB126/BB119,"")</f>
        <v>0.0610795454545455</v>
      </c>
      <c r="BC180" s="36" t="n">
        <f aca="false">IFERROR(BC126/BC119,"")</f>
        <v>0.0982058545797923</v>
      </c>
      <c r="BD180" s="36" t="n">
        <f aca="false">IFERROR(BD126/BD119,"")</f>
        <v>0.0681857866247599</v>
      </c>
      <c r="BE180" s="36" t="n">
        <f aca="false">IFERROR(BE126/BE119,"")</f>
        <v>0.0549019607843137</v>
      </c>
      <c r="BF180" s="36" t="n">
        <f aca="false">IFERROR(BF126/BF119,"")</f>
        <v>0.0634867316090024</v>
      </c>
      <c r="BG180" s="36" t="n">
        <f aca="false">IFERROR(BG126/BG119,"")</f>
        <v>0.0593220338983051</v>
      </c>
      <c r="BH180" s="36" t="n">
        <f aca="false">IFERROR(BH126/BH119,"")</f>
        <v>0.0298290287377228</v>
      </c>
      <c r="BI180" s="36" t="n">
        <f aca="false">IFERROR(BI126/BI119,"")</f>
        <v>0.0366178428761651</v>
      </c>
      <c r="BJ180" s="36" t="n">
        <f aca="false">IFERROR(BJ126/BJ119,"")</f>
        <v>0.0463805808409189</v>
      </c>
      <c r="BK180" s="36" t="n">
        <f aca="false">IFERROR(BK126/BK119,"")</f>
        <v>0.0588880760790051</v>
      </c>
      <c r="BL180" s="36" t="n">
        <f aca="false">IFERROR(BL126/BL119,"")</f>
        <v>0.0528877352368592</v>
      </c>
      <c r="BM180" s="36" t="n">
        <f aca="false">IFERROR(BM126/BM119,"")</f>
        <v>0.0557083906464924</v>
      </c>
      <c r="BN180" s="36" t="n">
        <f aca="false">IFERROR(BN126/BN119,"")</f>
        <v>0.0504385964912281</v>
      </c>
      <c r="BO180" s="36" t="n">
        <f aca="false">IFERROR(BO126/BO119,"")</f>
        <v>0.049482163406214</v>
      </c>
      <c r="BP180" s="36" t="n">
        <f aca="false">IFERROR(BP126/BP119,"")</f>
        <v>0.0526273630246716</v>
      </c>
      <c r="BQ180" s="36" t="n">
        <f aca="false">IFERROR(BQ126/BQ119,"")</f>
        <v>0.0500161342368506</v>
      </c>
      <c r="BR180" s="36" t="n">
        <f aca="false">IFERROR(BR126/BR119,"")</f>
        <v>0.061439438267993</v>
      </c>
      <c r="BS180" s="36" t="n">
        <f aca="false">IFERROR(BS126/BS119,"")</f>
        <v>0.0560073653521559</v>
      </c>
      <c r="BT180" s="38" t="n">
        <f aca="false">IFERROR(BT126/BT119,"")</f>
        <v>0.0549160849547007</v>
      </c>
      <c r="BU180" s="38" t="n">
        <f aca="false">IFERROR(BU126/BU119,"")</f>
        <v>0.0549160849547007</v>
      </c>
      <c r="BV180" s="38" t="n">
        <f aca="false">IFERROR(BV126/BV119,"")</f>
        <v>0.0554528301886792</v>
      </c>
      <c r="BW180" s="38" t="n">
        <f aca="false">IFERROR(BW126/BW119,"")</f>
        <v>0.0614470542897108</v>
      </c>
      <c r="BX180" s="38" t="n">
        <f aca="false">IFERROR(BX126/BX119,"")</f>
        <v>0.0642476443810211</v>
      </c>
      <c r="BY180" s="38" t="n">
        <f aca="false">IFERROR(BY126/BY119,"")</f>
        <v>0.0670016903467744</v>
      </c>
      <c r="BZ180" s="38" t="n">
        <f aca="false">IFERROR(BZ126/BZ119,"")</f>
        <v>0.0697192180819935</v>
      </c>
      <c r="CA180" s="16"/>
      <c r="CC180" s="40" t="n">
        <f aca="false">IFERROR(AVERAGE(BV180,BW180,BX180,BY180,BZ180),"n/m")</f>
        <v>0.0635736874576358</v>
      </c>
      <c r="CD180" s="40" t="n">
        <f aca="false">IFERROR(AVERAGE(AR180,AX180,BD180,BJ180,BP180),"n/m")</f>
        <v>0.0547960192148783</v>
      </c>
      <c r="CE180" s="40" t="n">
        <f aca="false">IFERROR(AVERAGE(N180,T180,Z180,AF180,AL180,AR180,AX180,BD180,BJ180,BP180),"n/m")</f>
        <v>0.0798146448816264</v>
      </c>
    </row>
    <row r="181" customFormat="false" ht="15" hidden="false" customHeight="false" outlineLevel="0" collapsed="false">
      <c r="B181" s="35" t="s">
        <v>116</v>
      </c>
      <c r="C181" s="36" t="n">
        <f aca="false">IFERROR(C103/C119,"")</f>
        <v>0.0815286624203822</v>
      </c>
      <c r="D181" s="36" t="n">
        <f aca="false">IFERROR(D103/D119,"")</f>
        <v>0.139255014326648</v>
      </c>
      <c r="E181" s="36" t="n">
        <f aca="false">IFERROR(E103/E119,"")</f>
        <v>0.111915535444947</v>
      </c>
      <c r="F181" s="36" t="n">
        <f aca="false">IFERROR(F103/F119,"")</f>
        <v>0.0955555555555556</v>
      </c>
      <c r="G181" s="36" t="n">
        <f aca="false">IFERROR(G103/G119,"")</f>
        <v>0.0650918635170604</v>
      </c>
      <c r="H181" s="36" t="n">
        <f aca="false">IFERROR(H103/H119,"")</f>
        <v>0.120655270655271</v>
      </c>
      <c r="I181" s="36" t="n">
        <f aca="false">IFERROR(I103/I119,"")</f>
        <v>0.0941576857629042</v>
      </c>
      <c r="J181" s="36" t="n">
        <f aca="false">IFERROR(J103/J119,"")</f>
        <v>0.108235294117647</v>
      </c>
      <c r="K181" s="36" t="n">
        <f aca="false">IFERROR(K103/K119,"")</f>
        <v>0.101068437770719</v>
      </c>
      <c r="L181" s="36" t="n">
        <f aca="false">IFERROR(L103/L119,"")</f>
        <v>0.083184789067142</v>
      </c>
      <c r="M181" s="36" t="n">
        <f aca="false">IFERROR(M103/M119,"")</f>
        <v>0.117065556711759</v>
      </c>
      <c r="N181" s="36" t="n">
        <f aca="false">IFERROR(N103/N119,"")</f>
        <v>0.127475947934352</v>
      </c>
      <c r="O181" s="36" t="n">
        <f aca="false">IFERROR(O103/O119,"")</f>
        <v>0.0696055684454756</v>
      </c>
      <c r="P181" s="36" t="n">
        <f aca="false">IFERROR(P103/P119,"")</f>
        <v>0.100645855758881</v>
      </c>
      <c r="Q181" s="36" t="n">
        <f aca="false">IFERROR(Q103/Q119,"")</f>
        <v>0.0857063093243998</v>
      </c>
      <c r="R181" s="36" t="n">
        <f aca="false">IFERROR(R103/R119,"")</f>
        <v>0.103059581320451</v>
      </c>
      <c r="S181" s="36" t="n">
        <f aca="false">IFERROR(S103/S119,"")</f>
        <v>0.094689378757515</v>
      </c>
      <c r="T181" s="36" t="n">
        <f aca="false">IFERROR(T103/T119,"")</f>
        <v>0.120010751243112</v>
      </c>
      <c r="U181" s="36" t="n">
        <f aca="false">IFERROR(U103/U119,"")</f>
        <v>0.0624332977588047</v>
      </c>
      <c r="V181" s="36" t="n">
        <f aca="false">IFERROR(V103/V119,"")</f>
        <v>0.0896039603960396</v>
      </c>
      <c r="W181" s="36" t="n">
        <f aca="false">IFERROR(W103/W119,"")</f>
        <v>0.0765279917822291</v>
      </c>
      <c r="X181" s="36" t="n">
        <f aca="false">IFERROR(X103/X119,"")</f>
        <v>0.104176668266923</v>
      </c>
      <c r="Y181" s="36" t="n">
        <f aca="false">IFERROR(Y103/Y119,"")</f>
        <v>0.0673033196907685</v>
      </c>
      <c r="Z181" s="36" t="n">
        <f aca="false">IFERROR(Z103/Z119,"")</f>
        <v>0.105919765166341</v>
      </c>
      <c r="AA181" s="36" t="n">
        <f aca="false">IFERROR(AA103/AA119,"")</f>
        <v>0.0620192307692308</v>
      </c>
      <c r="AB181" s="36" t="n">
        <f aca="false">IFERROR(AB103/AB119,"")</f>
        <v>0.0630712979890311</v>
      </c>
      <c r="AC181" s="36" t="n">
        <f aca="false">IFERROR(AC103/AC119,"")</f>
        <v>0.0625585754451734</v>
      </c>
      <c r="AD181" s="36" t="n">
        <f aca="false">IFERROR(AD103/AD119,"")</f>
        <v>0.0860748084722848</v>
      </c>
      <c r="AE181" s="36" t="n">
        <f aca="false">IFERROR(AE103/AE119,"")</f>
        <v>0.0717247097844113</v>
      </c>
      <c r="AF181" s="36" t="n">
        <f aca="false">IFERROR(AF103/AF119,"")</f>
        <v>0.0964153275648949</v>
      </c>
      <c r="AG181" s="36" t="n">
        <f aca="false">IFERROR(AG103/AG119,"")</f>
        <v>0.068935041979673</v>
      </c>
      <c r="AH181" s="36" t="n">
        <f aca="false">IFERROR(AH103/AH119,"")</f>
        <v>-0.00246669955599408</v>
      </c>
      <c r="AI181" s="36" t="n">
        <f aca="false">IFERROR(AI103/AI119,"")</f>
        <v>0.0351981351981352</v>
      </c>
      <c r="AJ181" s="36" t="n">
        <f aca="false">IFERROR(AJ103/AJ119,"")</f>
        <v>0.0700086430423509</v>
      </c>
      <c r="AK181" s="36" t="n">
        <f aca="false">IFERROR(AK103/AK119,"")</f>
        <v>0.0877765687341313</v>
      </c>
      <c r="AL181" s="36" t="n">
        <f aca="false">IFERROR(AL103/AL119,"")</f>
        <v>0.0856746074137379</v>
      </c>
      <c r="AM181" s="36" t="n">
        <f aca="false">IFERROR(AM103/AM119,"")</f>
        <v>0.0838454784899034</v>
      </c>
      <c r="AN181" s="36" t="n">
        <f aca="false">IFERROR(AN103/AN119,"")</f>
        <v>0.0757507844016136</v>
      </c>
      <c r="AO181" s="36" t="n">
        <f aca="false">IFERROR(AO103/AO119,"")</f>
        <v>0.0798403193612775</v>
      </c>
      <c r="AP181" s="36" t="n">
        <f aca="false">IFERROR(AP103/AP119,"")</f>
        <v>0.0697177074422583</v>
      </c>
      <c r="AQ181" s="36" t="n">
        <f aca="false">IFERROR(AQ103/AQ119,"")</f>
        <v>0.0597683974598431</v>
      </c>
      <c r="AR181" s="36" t="n">
        <f aca="false">IFERROR(AR103/AR119,"")</f>
        <v>0.102477950440991</v>
      </c>
      <c r="AS181" s="36" t="n">
        <f aca="false">IFERROR(AS103/AS119,"")</f>
        <v>0.0683229813664596</v>
      </c>
      <c r="AT181" s="36" t="n">
        <f aca="false">IFERROR(AT103/AT119,"")</f>
        <v>0.0845229151014275</v>
      </c>
      <c r="AU181" s="36" t="n">
        <f aca="false">IFERROR(AU103/AU119,"")</f>
        <v>0.0765559373806797</v>
      </c>
      <c r="AV181" s="36" t="n">
        <f aca="false">IFERROR(AV103/AV119,"")</f>
        <v>0.0632140137090632</v>
      </c>
      <c r="AW181" s="36" t="n">
        <f aca="false">IFERROR(AW103/AW119,"")</f>
        <v>0.0515647226173542</v>
      </c>
      <c r="AX181" s="36" t="n">
        <f aca="false">IFERROR(AX103/AX119,"")</f>
        <v>0.100224803297115</v>
      </c>
      <c r="AY181" s="36" t="n">
        <f aca="false">IFERROR(AY103/AY119,"")</f>
        <v>0.0583395661929693</v>
      </c>
      <c r="AZ181" s="36" t="n">
        <f aca="false">IFERROR(AZ103/AZ119,"")</f>
        <v>0.0606386795837818</v>
      </c>
      <c r="BA181" s="36" t="n">
        <f aca="false">IFERROR(BA103/BA119,"")</f>
        <v>0.0595129097234939</v>
      </c>
      <c r="BB181" s="36" t="n">
        <f aca="false">IFERROR(BB103/BB119,"")</f>
        <v>0.06640625</v>
      </c>
      <c r="BC181" s="36" t="n">
        <f aca="false">IFERROR(BC103/BC119,"")</f>
        <v>0.103871576959396</v>
      </c>
      <c r="BD181" s="36" t="n">
        <f aca="false">IFERROR(BD103/BD119,"")</f>
        <v>0.103806530469705</v>
      </c>
      <c r="BE181" s="36" t="n">
        <f aca="false">IFERROR(BE103/BE119,"")</f>
        <v>0.089126559714795</v>
      </c>
      <c r="BF181" s="36" t="n">
        <f aca="false">IFERROR(BF103/BF119,"")</f>
        <v>0.0950621430970776</v>
      </c>
      <c r="BG181" s="36" t="n">
        <f aca="false">IFERROR(BG103/BG119,"")</f>
        <v>0.0921826357661709</v>
      </c>
      <c r="BH181" s="36" t="n">
        <f aca="false">IFERROR(BH103/BH119,"")</f>
        <v>0.06511458712259</v>
      </c>
      <c r="BI181" s="36" t="n">
        <f aca="false">IFERROR(BI103/BI119,"")</f>
        <v>0.0622503328894807</v>
      </c>
      <c r="BJ181" s="36" t="n">
        <f aca="false">IFERROR(BJ103/BJ119,"")</f>
        <v>0.0779367143476376</v>
      </c>
      <c r="BK181" s="36" t="n">
        <f aca="false">IFERROR(BK103/BK119,"")</f>
        <v>0.091441111923921</v>
      </c>
      <c r="BL181" s="36" t="n">
        <f aca="false">IFERROR(BL103/BL119,"")</f>
        <v>0.0827384815055159</v>
      </c>
      <c r="BM181" s="36" t="n">
        <f aca="false">IFERROR(BM103/BM119,"")</f>
        <v>0.0868294360385144</v>
      </c>
      <c r="BN181" s="36" t="n">
        <f aca="false">IFERROR(BN103/BN119,"")</f>
        <v>0.081140350877193</v>
      </c>
      <c r="BO181" s="36" t="n">
        <f aca="false">IFERROR(BO103/BO119,"")</f>
        <v>0.0811277330264672</v>
      </c>
      <c r="BP181" s="36" t="n">
        <f aca="false">IFERROR(BP103/BP119,"")</f>
        <v>0.0837872476770266</v>
      </c>
      <c r="BQ181" s="36" t="n">
        <f aca="false">IFERROR(BQ103/BQ119,"")</f>
        <v>0.080025814778961</v>
      </c>
      <c r="BR181" s="36" t="n">
        <f aca="false">IFERROR(BR103/BR119,"")</f>
        <v>0.0886483323581042</v>
      </c>
      <c r="BS181" s="36" t="n">
        <f aca="false">IFERROR(BS103/BS119,"")</f>
        <v>0.0845481049562682</v>
      </c>
      <c r="BT181" s="38" t="n">
        <f aca="false">IFERROR(BT103/BT119,"")</f>
        <v>0.0858087034011585</v>
      </c>
      <c r="BU181" s="38" t="n">
        <f aca="false">IFERROR(BU103/BU119,"")</f>
        <v>0.0858087034011585</v>
      </c>
      <c r="BV181" s="38" t="n">
        <f aca="false">IFERROR(BV103/BV119,"")</f>
        <v>0.085188679245283</v>
      </c>
      <c r="BW181" s="38" t="n">
        <f aca="false">IFERROR(BW103/BW119,"")</f>
        <v>0.0901305897770279</v>
      </c>
      <c r="BX181" s="38" t="n">
        <f aca="false">IFERROR(BX103/BX119,"")</f>
        <v>0.0926651398759796</v>
      </c>
      <c r="BY181" s="38" t="n">
        <f aca="false">IFERROR(BY103/BY119,"")</f>
        <v>0.0951844641267058</v>
      </c>
      <c r="BZ181" s="38" t="n">
        <f aca="false">IFERROR(BZ103/BZ119,"")</f>
        <v>0.0976972348522455</v>
      </c>
      <c r="CA181" s="16"/>
      <c r="CC181" s="40" t="n">
        <f aca="false">IFERROR(AVERAGE(BV181,BW181,BX181,BY181,BZ181),"n/m")</f>
        <v>0.0921732215754484</v>
      </c>
      <c r="CD181" s="40" t="n">
        <f aca="false">IFERROR(AVERAGE(AR181,AX181,BD181,BJ181,BP181),"n/m")</f>
        <v>0.0936466492464951</v>
      </c>
      <c r="CE181" s="40" t="n">
        <f aca="false">IFERROR(AVERAGE(N181,T181,Z181,AF181,AL181,AR181,AX181,BD181,BJ181,BP181),"n/m")</f>
        <v>0.100372964555491</v>
      </c>
    </row>
    <row r="182" customFormat="false" ht="15" hidden="false" customHeight="false" outlineLevel="0" collapsed="false">
      <c r="B182" s="35" t="s">
        <v>280</v>
      </c>
      <c r="C182" s="36" t="n">
        <f aca="false">IFERROR(C133/C119,"")</f>
        <v>0.0554140127388535</v>
      </c>
      <c r="D182" s="36" t="n">
        <f aca="false">IFERROR(D133/D119,"")</f>
        <v>0.0893982808022923</v>
      </c>
      <c r="E182" s="36" t="n">
        <f aca="false">IFERROR(E133/E119,"")</f>
        <v>0.0733031674208145</v>
      </c>
      <c r="F182" s="36" t="n">
        <f aca="false">IFERROR(F133/F119,"")</f>
        <v>0.0616666666666667</v>
      </c>
      <c r="G182" s="36" t="n">
        <f aca="false">IFERROR(G133/G119,"")</f>
        <v>0.026246719160105</v>
      </c>
      <c r="H182" s="36" t="n">
        <f aca="false">IFERROR(H133/H119,"")</f>
        <v>0.0575498575498576</v>
      </c>
      <c r="I182" s="36" t="n">
        <f aca="false">IFERROR(I133/I119,"")</f>
        <v>0.0771412365286444</v>
      </c>
      <c r="J182" s="36" t="n">
        <f aca="false">IFERROR(J133/J119,"")</f>
        <v>0.0782352941176471</v>
      </c>
      <c r="K182" s="36" t="n">
        <f aca="false">IFERROR(K133/K119,"")</f>
        <v>0.0776783136009241</v>
      </c>
      <c r="L182" s="36" t="n">
        <f aca="false">IFERROR(L133/L119,"")</f>
        <v>0.0635769459298871</v>
      </c>
      <c r="M182" s="36" t="n">
        <f aca="false">IFERROR(M133/M119,"")</f>
        <v>0.102497398543184</v>
      </c>
      <c r="N182" s="36" t="n">
        <f aca="false">IFERROR(N133/N119,"")</f>
        <v>0.0810696095076401</v>
      </c>
      <c r="O182" s="36" t="n">
        <f aca="false">IFERROR(O133/O119,"")</f>
        <v>0.0690255220417633</v>
      </c>
      <c r="P182" s="36" t="n">
        <f aca="false">IFERROR(P133/P119,"")</f>
        <v>0.0791173304628633</v>
      </c>
      <c r="Q182" s="36" t="n">
        <f aca="false">IFERROR(Q133/Q119,"")</f>
        <v>0.0742601898380793</v>
      </c>
      <c r="R182" s="36" t="n">
        <f aca="false">IFERROR(R133/R119,"")</f>
        <v>0.0799785292538916</v>
      </c>
      <c r="S182" s="36" t="n">
        <f aca="false">IFERROR(S133/S119,"")</f>
        <v>0.032064128256513</v>
      </c>
      <c r="T182" s="36" t="n">
        <f aca="false">IFERROR(T133/T119,"")</f>
        <v>0.0643730681360032</v>
      </c>
      <c r="U182" s="36" t="n">
        <f aca="false">IFERROR(U133/U119,"")</f>
        <v>0.0832443970117396</v>
      </c>
      <c r="V182" s="36" t="n">
        <f aca="false">IFERROR(V133/V119,"")</f>
        <v>0.118316831683168</v>
      </c>
      <c r="W182" s="36" t="n">
        <f aca="false">IFERROR(W133/W119,"")</f>
        <v>0.101438109912686</v>
      </c>
      <c r="X182" s="36" t="n">
        <f aca="false">IFERROR(X133/X119,"")</f>
        <v>0.109937590014402</v>
      </c>
      <c r="Y182" s="36" t="n">
        <f aca="false">IFERROR(Y133/Y119,"")</f>
        <v>0.0964074579354252</v>
      </c>
      <c r="Z182" s="36" t="n">
        <f aca="false">IFERROR(Z133/Z119,"")</f>
        <v>0.102250489236791</v>
      </c>
      <c r="AA182" s="36" t="n">
        <f aca="false">IFERROR(AA133/AA119,"")</f>
        <v>0.0567307692307692</v>
      </c>
      <c r="AB182" s="36" t="n">
        <f aca="false">IFERROR(AB133/AB119,"")</f>
        <v>0.0585009140767825</v>
      </c>
      <c r="AC182" s="36" t="n">
        <f aca="false">IFERROR(AC133/AC119,"")</f>
        <v>0.0576382380506092</v>
      </c>
      <c r="AD182" s="36" t="n">
        <f aca="false">IFERROR(AD133/AD119,"")</f>
        <v>0.0694006309148265</v>
      </c>
      <c r="AE182" s="36" t="n">
        <f aca="false">IFERROR(AE133/AE119,"")</f>
        <v>0.0617744610281924</v>
      </c>
      <c r="AF182" s="36" t="n">
        <f aca="false">IFERROR(AF133/AF119,"")</f>
        <v>0.0616923249803349</v>
      </c>
      <c r="AG182" s="36" t="n">
        <f aca="false">IFERROR(AG133/AG119,"")</f>
        <v>0.0760053026955369</v>
      </c>
      <c r="AH182" s="36" t="n">
        <f aca="false">IFERROR(AH133/AH119,"")</f>
        <v>0.0261470152935372</v>
      </c>
      <c r="AI182" s="36" t="n">
        <f aca="false">IFERROR(AI133/AI119,"")</f>
        <v>0.0524475524475525</v>
      </c>
      <c r="AJ182" s="36" t="n">
        <f aca="false">IFERROR(AJ133/AJ119,"")</f>
        <v>0.0959377700950735</v>
      </c>
      <c r="AK182" s="36" t="n">
        <f aca="false">IFERROR(AK133/AK119,"")</f>
        <v>0.0903155603917301</v>
      </c>
      <c r="AL182" s="36" t="n">
        <f aca="false">IFERROR(AL133/AL119,"")</f>
        <v>0.07435103087277</v>
      </c>
      <c r="AM182" s="36" t="n">
        <f aca="false">IFERROR(AM133/AM119,"")</f>
        <v>0.0649692712906058</v>
      </c>
      <c r="AN182" s="36" t="n">
        <f aca="false">IFERROR(AN133/AN119,"")</f>
        <v>0.0578216046615867</v>
      </c>
      <c r="AO182" s="36" t="n">
        <f aca="false">IFERROR(AO133/AO119,"")</f>
        <v>0.0614326901752052</v>
      </c>
      <c r="AP182" s="36" t="n">
        <f aca="false">IFERROR(AP133/AP119,"")</f>
        <v>0.062874251497006</v>
      </c>
      <c r="AQ182" s="36" t="n">
        <f aca="false">IFERROR(AQ133/AQ119,"")</f>
        <v>0.0448262980948823</v>
      </c>
      <c r="AR182" s="36" t="n">
        <f aca="false">IFERROR(AR133/AR119,"")</f>
        <v>0.0571188576228475</v>
      </c>
      <c r="AS182" s="36" t="n">
        <f aca="false">IFERROR(AS133/AS119,"")</f>
        <v>0.0543478260869565</v>
      </c>
      <c r="AT182" s="36" t="n">
        <f aca="false">IFERROR(AT133/AT119,"")</f>
        <v>0.0668670172802404</v>
      </c>
      <c r="AU182" s="36" t="n">
        <f aca="false">IFERROR(AU133/AU119,"")</f>
        <v>0.0607101947308133</v>
      </c>
      <c r="AV182" s="36" t="n">
        <f aca="false">IFERROR(AV133/AV119,"")</f>
        <v>0.0525514089870526</v>
      </c>
      <c r="AW182" s="36" t="n">
        <f aca="false">IFERROR(AW133/AW119,"")</f>
        <v>0.0437411095305832</v>
      </c>
      <c r="AX182" s="36" t="n">
        <f aca="false">IFERROR(AX133/AX119,"")</f>
        <v>0.0542337954289996</v>
      </c>
      <c r="AY182" s="36" t="n">
        <f aca="false">IFERROR(AY133/AY119,"")</f>
        <v>0.0482423335826477</v>
      </c>
      <c r="AZ182" s="36" t="n">
        <f aca="false">IFERROR(AZ133/AZ119,"")</f>
        <v>0.0466451381413707</v>
      </c>
      <c r="BA182" s="36" t="n">
        <f aca="false">IFERROR(BA133/BA119,"")</f>
        <v>0.047427211133492</v>
      </c>
      <c r="BB182" s="36" t="n">
        <f aca="false">IFERROR(BB133/BB119,"")</f>
        <v>0.0525568181818182</v>
      </c>
      <c r="BC182" s="36" t="n">
        <f aca="false">IFERROR(BC133/BC119,"")</f>
        <v>0.0862448851117406</v>
      </c>
      <c r="BD182" s="36" t="n">
        <f aca="false">IFERROR(BD133/BD119,"")</f>
        <v>0.0594552121529597</v>
      </c>
      <c r="BE182" s="36" t="n">
        <f aca="false">IFERROR(BE133/BE119,"")</f>
        <v>0.0545454545454545</v>
      </c>
      <c r="BF182" s="36" t="n">
        <f aca="false">IFERROR(BF133/BF119,"")</f>
        <v>0.0581121934833725</v>
      </c>
      <c r="BG182" s="36" t="n">
        <f aca="false">IFERROR(BG133/BG119,"")</f>
        <v>0.0563818747838118</v>
      </c>
      <c r="BH182" s="36" t="n">
        <f aca="false">IFERROR(BH133/BH119,"")</f>
        <v>0.0367406329574391</v>
      </c>
      <c r="BI182" s="36" t="n">
        <f aca="false">IFERROR(BI133/BI119,"")</f>
        <v>0.0409454061251664</v>
      </c>
      <c r="BJ182" s="36" t="n">
        <f aca="false">IFERROR(BJ133/BJ119,"")</f>
        <v>0.0476809709579541</v>
      </c>
      <c r="BK182" s="36" t="n">
        <f aca="false">IFERROR(BK133/BK119,"")</f>
        <v>0.0544989027066569</v>
      </c>
      <c r="BL182" s="36" t="n">
        <f aca="false">IFERROR(BL133/BL119,"")</f>
        <v>0.0493186242699546</v>
      </c>
      <c r="BM182" s="36" t="n">
        <f aca="false">IFERROR(BM133/BM119,"")</f>
        <v>0.0517537826685007</v>
      </c>
      <c r="BN182" s="36" t="n">
        <f aca="false">IFERROR(BN133/BN119,"")</f>
        <v>0.0454260651629073</v>
      </c>
      <c r="BO182" s="36" t="n">
        <f aca="false">IFERROR(BO133/BO119,"")</f>
        <v>0.0457422324510932</v>
      </c>
      <c r="BP182" s="36" t="n">
        <f aca="false">IFERROR(BP133/BP119,"")</f>
        <v>0.0484620314001922</v>
      </c>
      <c r="BQ182" s="36" t="n">
        <f aca="false">IFERROR(BQ133/BQ119,"")</f>
        <v>0.048080025814779</v>
      </c>
      <c r="BR182" s="36" t="n">
        <f aca="false">IFERROR(BR133/BR119,"")</f>
        <v>0.0608543007606788</v>
      </c>
      <c r="BS182" s="36" t="n">
        <f aca="false">IFERROR(BS133/BS119,"")</f>
        <v>0.0547798066595059</v>
      </c>
      <c r="BT182" s="38" t="n">
        <f aca="false">IFERROR(BT133/BT119,"")</f>
        <v>0.0533317243427893</v>
      </c>
      <c r="BU182" s="38" t="n">
        <f aca="false">IFERROR(BU133/BU119,"")</f>
        <v>0.0533317243427893</v>
      </c>
      <c r="BV182" s="38" t="n">
        <f aca="false">IFERROR(BV133/BV119,"")</f>
        <v>0.0540439622641509</v>
      </c>
      <c r="BW182" s="38" t="n">
        <f aca="false">IFERROR(BW133/BW119,"")</f>
        <v>0.0565107442817573</v>
      </c>
      <c r="BX182" s="38" t="n">
        <f aca="false">IFERROR(BX133/BX119,"")</f>
        <v>0.058491162652745</v>
      </c>
      <c r="BY182" s="38" t="n">
        <f aca="false">IFERROR(BY133/BY119,"")</f>
        <v>0.0604642719654602</v>
      </c>
      <c r="BZ182" s="38" t="n">
        <f aca="false">IFERROR(BZ133/BZ119,"")</f>
        <v>0.0624410373350451</v>
      </c>
      <c r="CA182" s="16"/>
      <c r="CC182" s="40" t="n">
        <f aca="false">IFERROR(AVERAGE(BV182,BW182,BX182,BY182,BZ182),"n/m")</f>
        <v>0.0583902356998317</v>
      </c>
      <c r="CD182" s="40" t="n">
        <f aca="false">IFERROR(AVERAGE(AR182,AX182,BD182,BJ182,BP182),"n/m")</f>
        <v>0.0533901735125906</v>
      </c>
      <c r="CE182" s="40" t="n">
        <f aca="false">IFERROR(AVERAGE(N182,T182,Z182,AF182,AL182,AR182,AX182,BD182,BJ182,BP182),"n/m")</f>
        <v>0.0650687390296492</v>
      </c>
    </row>
    <row r="183" customFormat="false" ht="15" hidden="false" customHeight="false" outlineLevel="0" collapsed="false">
      <c r="B183" s="35" t="s">
        <v>196</v>
      </c>
      <c r="C183" s="36"/>
      <c r="D183" s="36"/>
      <c r="E183" s="36"/>
      <c r="F183" s="36"/>
      <c r="G183" s="36"/>
      <c r="H183" s="36"/>
      <c r="I183" s="36" t="n">
        <f aca="false">IFERROR((I97-C97)/(I119-C119),"")</f>
        <v>0.196891191709845</v>
      </c>
      <c r="J183" s="36" t="n">
        <f aca="false">IFERROR((J97-D97)/(J119-D119),"")</f>
        <v>1.31111111111111</v>
      </c>
      <c r="K183" s="36" t="n">
        <f aca="false">IFERROR((K97-E97)/(K119-E119),"")</f>
        <v>-0.141891891891892</v>
      </c>
      <c r="L183" s="36" t="n">
        <f aca="false">IFERROR((L97-F97)/(L119-F119),"")</f>
        <v>0.273504273504274</v>
      </c>
      <c r="M183" s="36" t="n">
        <f aca="false">IFERROR((M97-G97)/(M119-G119),"")</f>
        <v>5.94117647058824</v>
      </c>
      <c r="N183" s="36" t="n">
        <f aca="false">IFERROR((N97-H97)/(N119-H119),"")</f>
        <v>1</v>
      </c>
      <c r="O183" s="36" t="n">
        <f aca="false">IFERROR((O97-I97)/(O119-I119),"")</f>
        <v>1.17948717948718</v>
      </c>
      <c r="P183" s="36" t="n">
        <f aca="false">IFERROR((P97-J97)/(P119-J119),"")</f>
        <v>0.0189873417721519</v>
      </c>
      <c r="Q183" s="36" t="n">
        <f aca="false">IFERROR((Q97-K97)/(Q119-K119),"")</f>
        <v>-0.361344537815126</v>
      </c>
      <c r="R183" s="36" t="n">
        <f aca="false">IFERROR((R97-L97)/(R119-L119),"")</f>
        <v>0.288888888888889</v>
      </c>
      <c r="S183" s="36" t="n">
        <f aca="false">IFERROR((S97-M97)/(S119-M119),"")</f>
        <v>-0.486486486486487</v>
      </c>
      <c r="T183" s="36" t="n">
        <f aca="false">IFERROR((T97-N97)/(T119-N119),"")</f>
        <v>-0.0723860589812333</v>
      </c>
      <c r="U183" s="36" t="n">
        <f aca="false">IFERROR((U97-O97)/(U119-O119),"")</f>
        <v>-0.02</v>
      </c>
      <c r="V183" s="36" t="n">
        <f aca="false">IFERROR((V97-P97)/(V119-P119),"")</f>
        <v>-0.037037037037037</v>
      </c>
      <c r="W183" s="36" t="n">
        <f aca="false">IFERROR((W97-Q97)/(W119-Q119),"")</f>
        <v>-0.0288461538461538</v>
      </c>
      <c r="X183" s="36" t="n">
        <f aca="false">IFERROR((X97-R97)/(X119-R119),"")</f>
        <v>0.113636363636364</v>
      </c>
      <c r="Y183" s="36" t="n">
        <f aca="false">IFERROR((Y97-S97)/(Y119-S119),"")</f>
        <v>-0.201970443349754</v>
      </c>
      <c r="Z183" s="36" t="n">
        <f aca="false">IFERROR((Z97-T97)/(Z119-T119),"")</f>
        <v>-0.0340136054421769</v>
      </c>
      <c r="AA183" s="36" t="n">
        <f aca="false">IFERROR((AA97-U97)/(AA119-U119),"")</f>
        <v>0.058252427184466</v>
      </c>
      <c r="AB183" s="36" t="n">
        <f aca="false">IFERROR((AB97-V97)/(AB119-V119),"")</f>
        <v>-0.255952380952381</v>
      </c>
      <c r="AC183" s="36" t="n">
        <f aca="false">IFERROR((AC97-W97)/(AC119-W119),"")</f>
        <v>-0.0828877005347594</v>
      </c>
      <c r="AD183" s="36" t="n">
        <f aca="false">IFERROR((AD97-X97)/(AD119-X119),"")</f>
        <v>-0.191176470588235</v>
      </c>
      <c r="AE183" s="36" t="n">
        <f aca="false">IFERROR((AE97-Y97)/(AE119-Y119),"")</f>
        <v>0.117370892018779</v>
      </c>
      <c r="AF183" s="36" t="n">
        <f aca="false">IFERROR((AF97-Z97)/(AF119-Z119),"")</f>
        <v>-0.0442600276625173</v>
      </c>
      <c r="AG183" s="36" t="n">
        <f aca="false">IFERROR((AG97-AA97)/(AG119-AA119),"")</f>
        <v>0.147540983606557</v>
      </c>
      <c r="AH183" s="36" t="n">
        <f aca="false">IFERROR((AH97-AB97)/(AH119-AB119),"")</f>
        <v>0.888198757763975</v>
      </c>
      <c r="AI183" s="36" t="n">
        <f aca="false">IFERROR((AI97-AC97)/(AI119-AC119),"")</f>
        <v>-5.27272727272727</v>
      </c>
      <c r="AJ183" s="36" t="n">
        <f aca="false">IFERROR((AJ97-AD97)/(AJ119-AD119),"")</f>
        <v>-0.305263157894737</v>
      </c>
      <c r="AK183" s="36" t="n">
        <f aca="false">IFERROR((AK97-AE97)/(AK119-AE119),"")</f>
        <v>0.2</v>
      </c>
      <c r="AL183" s="36" t="n">
        <f aca="false">IFERROR((AL97-AF97)/(AL119-AF119),"")</f>
        <v>-0.164502164502165</v>
      </c>
      <c r="AM183" s="36" t="n">
        <f aca="false">IFERROR((AM97-AG97)/(AM119-AG119),"")</f>
        <v>2.33333333333333</v>
      </c>
      <c r="AN183" s="36" t="n">
        <f aca="false">IFERROR((AN97-AH97)/(AN119-AH119),"")</f>
        <v>0.852941176470588</v>
      </c>
      <c r="AO183" s="36" t="n">
        <f aca="false">IFERROR((AO97-AI97)/(AO119-AI119),"")</f>
        <v>0.954337899543379</v>
      </c>
      <c r="AP183" s="36" t="n">
        <f aca="false">IFERROR((AP97-AJ97)/(AP119-AJ119),"")</f>
        <v>0.0416666666666667</v>
      </c>
      <c r="AQ183" s="36" t="n">
        <f aca="false">IFERROR((AQ97-AK97)/(AQ119-AK119),"")</f>
        <v>1.025</v>
      </c>
      <c r="AR183" s="36" t="n">
        <f aca="false">IFERROR((AR97-AL97)/(AR119-AL119),"")</f>
        <v>0.785276073619632</v>
      </c>
      <c r="AS183" s="36" t="n">
        <f aca="false">IFERROR((AS97-AM97)/(AS119-AM119),"")</f>
        <v>-0.0503355704697987</v>
      </c>
      <c r="AT183" s="36" t="n">
        <f aca="false">IFERROR((AT97-AN97)/(AT119-AN119),"")</f>
        <v>0.129930394431555</v>
      </c>
      <c r="AU183" s="36" t="n">
        <f aca="false">IFERROR((AU97-AO97)/(AU119-AO119),"")</f>
        <v>0.056241426611797</v>
      </c>
      <c r="AV183" s="36" t="n">
        <f aca="false">IFERROR((AV97-AP97)/(AV119-AP119),"")</f>
        <v>0.0104166666666667</v>
      </c>
      <c r="AW183" s="36" t="n">
        <f aca="false">IFERROR((AW97-AQ97)/(AW119-AQ119),"")</f>
        <v>-0.111111111111111</v>
      </c>
      <c r="AX183" s="36" t="n">
        <f aca="false">IFERROR((AX97-AR97)/(AX119-AR119),"")</f>
        <v>0.0251736111111111</v>
      </c>
      <c r="AY183" s="36" t="n">
        <f aca="false">IFERROR((AY97-AS97)/(AY119-AS119),"")</f>
        <v>-0.204081632653061</v>
      </c>
      <c r="AZ183" s="36" t="n">
        <f aca="false">IFERROR((AZ97-AT97)/(AZ119-AT119),"")</f>
        <v>-0.448</v>
      </c>
      <c r="BA183" s="36" t="n">
        <f aca="false">IFERROR((BA97-AU97)/(BA119-AU119),"")</f>
        <v>-0.340807174887892</v>
      </c>
      <c r="BB183" s="36" t="n">
        <f aca="false">IFERROR((BB97-AV97)/(BB119-AV119),"")</f>
        <v>0.110526315789474</v>
      </c>
      <c r="BC183" s="36" t="n">
        <f aca="false">IFERROR((BC97-AW97)/(BC119-AW119),"")</f>
        <v>0.506849315068493</v>
      </c>
      <c r="BD183" s="36" t="n">
        <f aca="false">IFERROR((BD97-AX97)/(BD119-AX119),"")</f>
        <v>0.167095115681234</v>
      </c>
      <c r="BE183" s="36" t="n">
        <f aca="false">IFERROR((BE97-AY97)/(BE119-AY119),"")</f>
        <v>0.106870229007634</v>
      </c>
      <c r="BF183" s="36" t="n">
        <f aca="false">IFERROR((BF97-AZ97)/(BF119-AZ119),"")</f>
        <v>0.178947368421053</v>
      </c>
      <c r="BG183" s="36" t="n">
        <f aca="false">IFERROR((BG97-BA97)/(BG119-BA119),"")</f>
        <v>0.149532710280374</v>
      </c>
      <c r="BH183" s="36" t="n">
        <f aca="false">IFERROR((BH97-BB97)/(BH119-BB119),"")</f>
        <v>1.34328358208955</v>
      </c>
      <c r="BI183" s="36" t="n">
        <f aca="false">IFERROR((BI97-BC97)/(BI119-BC119),"")</f>
        <v>1.3121387283237</v>
      </c>
      <c r="BJ183" s="36" t="n">
        <f aca="false">IFERROR((BJ97-BD97)/(BJ119-BD119),"")</f>
        <v>-3.32098765432099</v>
      </c>
      <c r="BK183" s="36" t="n">
        <f aca="false">IFERROR((BK97-BE97)/(BK119-BE119),"")</f>
        <v>-0.0140845070422535</v>
      </c>
      <c r="BL183" s="36" t="n">
        <f aca="false">IFERROR((BL97-BF97)/(BL119-BF119),"")</f>
        <v>-0.295238095238095</v>
      </c>
      <c r="BM183" s="36" t="n">
        <f aca="false">IFERROR((BM97-BG97)/(BM119-BG119),"")</f>
        <v>-0.882352941176471</v>
      </c>
      <c r="BN183" s="36" t="n">
        <f aca="false">IFERROR((BN97-BH97)/(BN119-BH119),"")</f>
        <v>0.18510158013544</v>
      </c>
      <c r="BO183" s="36" t="n">
        <f aca="false">IFERROR((BO97-BI97)/(BO119-BI119),"")</f>
        <v>0.194915254237288</v>
      </c>
      <c r="BP183" s="36" t="n">
        <f aca="false">IFERROR((BP97-BJ97)/(BP119-BJ119),"")</f>
        <v>0.151738672286618</v>
      </c>
      <c r="BQ183" s="36" t="n">
        <f aca="false">IFERROR((BQ97-BK97)/(BQ119-BK119),"")</f>
        <v>0.00273972602739726</v>
      </c>
      <c r="BR183" s="36" t="n">
        <f aca="false">IFERROR((BR97-BL97)/(BR119-BL119),"")</f>
        <v>0.154761904761905</v>
      </c>
      <c r="BS183" s="36" t="n">
        <f aca="false">IFERROR((BS97-BM97)/(BS119-BM119),"")</f>
        <v>0.0756062767475036</v>
      </c>
      <c r="BT183" s="38" t="n">
        <f aca="false">IFERROR((BT97-BN97)/(BT119-BN119),"")</f>
        <v>0.128223495702006</v>
      </c>
      <c r="BU183" s="38" t="n">
        <f aca="false">IFERROR((BU97-BO97)/(BU119-BO119),"")</f>
        <v>-0.0582191780821918</v>
      </c>
      <c r="BV183" s="38" t="n">
        <f aca="false">IFERROR((BV97-BP97)/(BV119-BP119),"")</f>
        <v>0.106723237597911</v>
      </c>
      <c r="BW183" s="38" t="n">
        <f aca="false">IFERROR((BW97-BV97)/(BW119-BV119),"")</f>
        <v>0.159613247728063</v>
      </c>
      <c r="BX183" s="38" t="n">
        <f aca="false">IFERROR((BX97-BW97)/(BX119-BW119),"")</f>
        <v>0.115711948567283</v>
      </c>
      <c r="BY183" s="38" t="n">
        <f aca="false">IFERROR((BY97-BX97)/(BY119-BX119),"")</f>
        <v>0.120332106594384</v>
      </c>
      <c r="BZ183" s="38" t="n">
        <f aca="false">IFERROR((BZ97-BY97)/(BZ119-BY119),"")</f>
        <v>0.126652547807025</v>
      </c>
      <c r="CA183" s="16"/>
      <c r="CC183" s="40" t="n">
        <f aca="false">IFERROR(AVERAGE(BV183,BW183,BX183,BY183,BZ183),"n/m")</f>
        <v>0.125806617658933</v>
      </c>
      <c r="CD183" s="40" t="n">
        <f aca="false">IFERROR(AVERAGE(AR183,AX183,BD183,BJ183,BP183),"n/m")</f>
        <v>-0.438340836324479</v>
      </c>
      <c r="CE183" s="40" t="n">
        <f aca="false">IFERROR(AVERAGE(N183,T183,Z183,AF183,AL183,AR183,AX183,BD183,BJ183,BP183),"n/m")</f>
        <v>-0.150686603821049</v>
      </c>
    </row>
    <row r="184" customFormat="false" ht="15" hidden="false" customHeight="false" outlineLevel="0" collapsed="false">
      <c r="B184" s="35" t="s">
        <v>281</v>
      </c>
      <c r="C184" s="36" t="n">
        <f aca="false">IFERROR(C124/C119,"")</f>
        <v>0.0955414012738854</v>
      </c>
      <c r="D184" s="36" t="n">
        <f aca="false">IFERROR(D124/D119,"")</f>
        <v>0.0991404011461318</v>
      </c>
      <c r="E184" s="36" t="n">
        <f aca="false">IFERROR(E124/E119,"")</f>
        <v>0.0974358974358974</v>
      </c>
      <c r="F184" s="36" t="n">
        <f aca="false">IFERROR(F124/F119,"")</f>
        <v>0.0833333333333333</v>
      </c>
      <c r="G184" s="36" t="n">
        <f aca="false">IFERROR(G124/G119,"")</f>
        <v>0.102887139107612</v>
      </c>
      <c r="H184" s="36" t="n">
        <f aca="false">IFERROR(H124/H119,"")</f>
        <v>0.0952991452991453</v>
      </c>
      <c r="I184" s="36" t="n">
        <f aca="false">IFERROR(I124/I119,"")</f>
        <v>0.0777084515031197</v>
      </c>
      <c r="J184" s="36" t="n">
        <f aca="false">IFERROR(J124/J119,"")</f>
        <v>0.0888235294117647</v>
      </c>
      <c r="K184" s="36" t="n">
        <f aca="false">IFERROR(K124/K119,"")</f>
        <v>0.0831648859370488</v>
      </c>
      <c r="L184" s="36" t="n">
        <f aca="false">IFERROR(L124/L119,"")</f>
        <v>0.0873440285204991</v>
      </c>
      <c r="M184" s="36" t="n">
        <f aca="false">IFERROR(M124/M119,"")</f>
        <v>0.0978147762747138</v>
      </c>
      <c r="N184" s="36" t="n">
        <f aca="false">IFERROR(N124/N119,"")</f>
        <v>0.0881437464629315</v>
      </c>
      <c r="O184" s="36" t="n">
        <f aca="false">IFERROR(O124/O119,"")</f>
        <v>0.103248259860789</v>
      </c>
      <c r="P184" s="36" t="n">
        <f aca="false">IFERROR(P124/P119,"")</f>
        <v>0.0979547900968784</v>
      </c>
      <c r="Q184" s="36" t="n">
        <f aca="false">IFERROR(Q124/Q119,"")</f>
        <v>0.100502512562814</v>
      </c>
      <c r="R184" s="36" t="n">
        <f aca="false">IFERROR(R124/R119,"")</f>
        <v>0.0971551261406334</v>
      </c>
      <c r="S184" s="36" t="n">
        <f aca="false">IFERROR(S124/S119,"")</f>
        <v>0.109218436873748</v>
      </c>
      <c r="T184" s="36" t="n">
        <f aca="false">IFERROR(T124/T119,"")</f>
        <v>0.1020024190297</v>
      </c>
      <c r="U184" s="36" t="n">
        <f aca="false">IFERROR(U124/U119,"")</f>
        <v>0.102454642475987</v>
      </c>
      <c r="V184" s="36" t="n">
        <f aca="false">IFERROR(V124/V119,"")</f>
        <v>0.103465346534653</v>
      </c>
      <c r="W184" s="36" t="n">
        <f aca="false">IFERROR(W124/W119,"")</f>
        <v>0.102978941961993</v>
      </c>
      <c r="X184" s="36" t="n">
        <f aca="false">IFERROR(X124/X119,"")</f>
        <v>0.099855976956313</v>
      </c>
      <c r="Y184" s="36" t="n">
        <f aca="false">IFERROR(Y124/Y119,"")</f>
        <v>0.119145065939063</v>
      </c>
      <c r="Z184" s="36" t="n">
        <f aca="false">IFERROR(Z124/Z119,"")</f>
        <v>0.106531311154599</v>
      </c>
      <c r="AA184" s="36" t="n">
        <f aca="false">IFERROR(AA124/AA119,"")</f>
        <v>0.0822115384615385</v>
      </c>
      <c r="AB184" s="36" t="n">
        <f aca="false">IFERROR(AB124/AB119,"")</f>
        <v>0.0840950639853748</v>
      </c>
      <c r="AC184" s="36" t="n">
        <f aca="false">IFERROR(AC124/AC119,"")</f>
        <v>0.0831771321462043</v>
      </c>
      <c r="AD184" s="36" t="n">
        <f aca="false">IFERROR(AD124/AD119,"")</f>
        <v>0.0941865705272645</v>
      </c>
      <c r="AE184" s="36" t="n">
        <f aca="false">IFERROR(AE124/AE119,"")</f>
        <v>0.0928689883913764</v>
      </c>
      <c r="AF184" s="36" t="n">
        <f aca="false">IFERROR(AF124/AF119,"")</f>
        <v>0.0885492751994606</v>
      </c>
      <c r="AG184" s="36" t="n">
        <f aca="false">IFERROR(AG124/AG119,"")</f>
        <v>0.0945647370746796</v>
      </c>
      <c r="AH184" s="36" t="n">
        <f aca="false">IFERROR(AH124/AH119,"")</f>
        <v>0.105574740996547</v>
      </c>
      <c r="AI184" s="36" t="n">
        <f aca="false">IFERROR(AI124/AI119,"")</f>
        <v>0.0997668997668998</v>
      </c>
      <c r="AJ184" s="36" t="n">
        <f aca="false">IFERROR(AJ124/AJ119,"")</f>
        <v>0.0950734658599827</v>
      </c>
      <c r="AK184" s="36" t="n">
        <f aca="false">IFERROR(AK124/AK119,"")</f>
        <v>0.092854552049329</v>
      </c>
      <c r="AL184" s="36" t="n">
        <f aca="false">IFERROR(AL124/AL119,"")</f>
        <v>0.0965708791795748</v>
      </c>
      <c r="AM184" s="36" t="n">
        <f aca="false">IFERROR(AM124/AM119,"")</f>
        <v>0.0904302019315189</v>
      </c>
      <c r="AN184" s="36" t="n">
        <f aca="false">IFERROR(AN124/AN119,"")</f>
        <v>0.0914388166741372</v>
      </c>
      <c r="AO184" s="36" t="n">
        <f aca="false">IFERROR(AO124/AO119,"")</f>
        <v>0.0909292526058993</v>
      </c>
      <c r="AP184" s="36" t="n">
        <f aca="false">IFERROR(AP124/AP119,"")</f>
        <v>0.0966638152266895</v>
      </c>
      <c r="AQ184" s="36" t="n">
        <f aca="false">IFERROR(AQ124/AQ119,"")</f>
        <v>0.0978707508404931</v>
      </c>
      <c r="AR184" s="36" t="n">
        <f aca="false">IFERROR(AR124/AR119,"")</f>
        <v>0.0942881142377152</v>
      </c>
      <c r="AS184" s="36" t="n">
        <f aca="false">IFERROR(AS124/AS119,"")</f>
        <v>0.0842391304347826</v>
      </c>
      <c r="AT184" s="36" t="n">
        <f aca="false">IFERROR(AT124/AT119,"")</f>
        <v>0.0852742299023291</v>
      </c>
      <c r="AU184" s="36" t="n">
        <f aca="false">IFERROR(AU124/AU119,"")</f>
        <v>0.0847651775486827</v>
      </c>
      <c r="AV184" s="36" t="n">
        <f aca="false">IFERROR(AV124/AV119,"")</f>
        <v>0.0929169840060929</v>
      </c>
      <c r="AW184" s="36" t="n">
        <f aca="false">IFERROR(AW124/AW119,"")</f>
        <v>0.0839260312944524</v>
      </c>
      <c r="AX184" s="36" t="n">
        <f aca="false">IFERROR(AX124/AX119,"")</f>
        <v>0.0865492693892844</v>
      </c>
      <c r="AY184" s="36" t="n">
        <f aca="false">IFERROR(AY124/AY119,"")</f>
        <v>0.0822737471952132</v>
      </c>
      <c r="AZ184" s="36" t="n">
        <f aca="false">IFERROR(AZ124/AZ119,"")</f>
        <v>0.0853964836742017</v>
      </c>
      <c r="BA184" s="36" t="n">
        <f aca="false">IFERROR(BA124/BA119,"")</f>
        <v>0.0838674235488006</v>
      </c>
      <c r="BB184" s="36" t="n">
        <f aca="false">IFERROR(BB124/BB119,"")</f>
        <v>0.08984375</v>
      </c>
      <c r="BC184" s="36" t="n">
        <f aca="false">IFERROR(BC124/BC119,"")</f>
        <v>0.0978910922253699</v>
      </c>
      <c r="BD184" s="36" t="n">
        <f aca="false">IFERROR(BD124/BD119,"")</f>
        <v>0.0892264711017985</v>
      </c>
      <c r="BE184" s="36" t="n">
        <f aca="false">IFERROR(BE124/BE119,"")</f>
        <v>0.0827094474153298</v>
      </c>
      <c r="BF184" s="36" t="n">
        <f aca="false">IFERROR(BF124/BF119,"")</f>
        <v>0.0856567013772254</v>
      </c>
      <c r="BG184" s="36" t="n">
        <f aca="false">IFERROR(BG124/BG119,"")</f>
        <v>0.0842269111034244</v>
      </c>
      <c r="BH184" s="36" t="n">
        <f aca="false">IFERROR(BH124/BH119,"")</f>
        <v>0.0916696980720262</v>
      </c>
      <c r="BI184" s="36" t="n">
        <f aca="false">IFERROR(BI124/BI119,"")</f>
        <v>0.077896138482024</v>
      </c>
      <c r="BJ184" s="36" t="n">
        <f aca="false">IFERROR(BJ124/BJ119,"")</f>
        <v>0.0843519722583442</v>
      </c>
      <c r="BK184" s="36" t="n">
        <f aca="false">IFERROR(BK124/BK119,"")</f>
        <v>0.0899780541331383</v>
      </c>
      <c r="BL184" s="36" t="n">
        <f aca="false">IFERROR(BL124/BL119,"")</f>
        <v>0.0781959766385464</v>
      </c>
      <c r="BM184" s="36" t="n">
        <f aca="false">IFERROR(BM124/BM119,"")</f>
        <v>0.0837345254470426</v>
      </c>
      <c r="BN184" s="36" t="n">
        <f aca="false">IFERROR(BN124/BN119,"")</f>
        <v>0.0767543859649123</v>
      </c>
      <c r="BO184" s="36" t="n">
        <f aca="false">IFERROR(BO124/BO119,"")</f>
        <v>0.0704833141542002</v>
      </c>
      <c r="BP184" s="36" t="n">
        <f aca="false">IFERROR(BP124/BP119,"")</f>
        <v>0.0782601730214675</v>
      </c>
      <c r="BQ184" s="36" t="n">
        <f aca="false">IFERROR(BQ124/BQ119,"")</f>
        <v>0.0832526621490804</v>
      </c>
      <c r="BR184" s="36" t="n">
        <f aca="false">IFERROR(BR124/BR119,"")</f>
        <v>0.0708016383850205</v>
      </c>
      <c r="BS184" s="36" t="n">
        <f aca="false">IFERROR(BS124/BS119,"")</f>
        <v>0.0767224182906245</v>
      </c>
      <c r="BT184" s="38" t="n">
        <f aca="false">IFERROR(BT124/BT119,"")</f>
        <v>0.0767224182906245</v>
      </c>
      <c r="BU184" s="38" t="n">
        <f aca="false">IFERROR(BU124/BU119,"")</f>
        <v>0.0767224182906245</v>
      </c>
      <c r="BV184" s="38" t="n">
        <f aca="false">IFERROR(BV124/BV119,"")</f>
        <v>0.0767224182906245</v>
      </c>
      <c r="BW184" s="38" t="n">
        <f aca="false">IFERROR(BW124/BW119,"")</f>
        <v>0.0767224182906245</v>
      </c>
      <c r="BX184" s="38" t="n">
        <f aca="false">IFERROR(BX124/BX119,"")</f>
        <v>0.0767224182906245</v>
      </c>
      <c r="BY184" s="38" t="n">
        <f aca="false">IFERROR(BY124/BY119,"")</f>
        <v>0.0767224182906245</v>
      </c>
      <c r="BZ184" s="38" t="n">
        <f aca="false">IFERROR(BZ124/BZ119,"")</f>
        <v>0.0767224182906245</v>
      </c>
      <c r="CA184" s="16"/>
      <c r="CC184" s="40" t="n">
        <f aca="false">IFERROR(AVERAGE(BV184,BW184,BX184,BY184,BZ184),"n/m")</f>
        <v>0.0767224182906245</v>
      </c>
      <c r="CD184" s="40" t="n">
        <f aca="false">IFERROR(AVERAGE(AR184,AX184,BD184,BJ184,BP184),"n/m")</f>
        <v>0.086535200001722</v>
      </c>
      <c r="CE184" s="40" t="n">
        <f aca="false">IFERROR(AVERAGE(N184,T184,Z184,AF184,AL184,AR184,AX184,BD184,BJ184,BP184),"n/m")</f>
        <v>0.0914473631034876</v>
      </c>
    </row>
    <row r="185" customFormat="false" ht="15" hidden="false" customHeight="false" outlineLevel="0" collapsed="false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3"/>
      <c r="BU185" s="3"/>
      <c r="BV185" s="3"/>
      <c r="BW185" s="3"/>
      <c r="BX185" s="3"/>
      <c r="BY185" s="3"/>
      <c r="BZ185" s="3"/>
      <c r="CA185" s="16"/>
      <c r="CC185" s="5"/>
      <c r="CD185" s="5"/>
      <c r="CE185" s="5"/>
    </row>
    <row r="186" customFormat="false" ht="15" hidden="false" customHeight="false" outlineLevel="0" collapsed="false">
      <c r="B186" s="15" t="s">
        <v>282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 t="s">
        <v>283</v>
      </c>
      <c r="CC186" s="15"/>
      <c r="CD186" s="15"/>
      <c r="CE186" s="15"/>
    </row>
    <row r="187" customFormat="false" ht="15" hidden="false" customHeight="false" outlineLevel="0" collapsed="false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3"/>
      <c r="BU187" s="3"/>
      <c r="BV187" s="3"/>
      <c r="BW187" s="3"/>
      <c r="BX187" s="3"/>
      <c r="BY187" s="3"/>
      <c r="BZ187" s="3"/>
      <c r="CA187" s="16"/>
      <c r="CC187" s="5"/>
      <c r="CD187" s="5"/>
      <c r="CE187" s="5"/>
    </row>
    <row r="188" customFormat="false" ht="15" hidden="false" customHeight="false" outlineLevel="0" collapsed="false">
      <c r="B188" s="26" t="s">
        <v>229</v>
      </c>
      <c r="C188" s="28"/>
      <c r="D188" s="28"/>
      <c r="E188" s="28"/>
      <c r="F188" s="28"/>
      <c r="G188" s="28"/>
      <c r="H188" s="27" t="n">
        <v>404</v>
      </c>
      <c r="I188" s="28"/>
      <c r="J188" s="28"/>
      <c r="K188" s="28"/>
      <c r="L188" s="28"/>
      <c r="M188" s="28"/>
      <c r="N188" s="27" t="n">
        <v>573</v>
      </c>
      <c r="O188" s="28"/>
      <c r="P188" s="28"/>
      <c r="Q188" s="28"/>
      <c r="R188" s="28"/>
      <c r="S188" s="28"/>
      <c r="T188" s="27" t="n">
        <v>479</v>
      </c>
      <c r="U188" s="28"/>
      <c r="V188" s="28"/>
      <c r="W188" s="28"/>
      <c r="X188" s="28"/>
      <c r="Y188" s="28"/>
      <c r="Z188" s="27" t="n">
        <v>836</v>
      </c>
      <c r="AA188" s="28"/>
      <c r="AB188" s="28"/>
      <c r="AC188" s="28"/>
      <c r="AD188" s="28"/>
      <c r="AE188" s="28"/>
      <c r="AF188" s="27" t="n">
        <v>549</v>
      </c>
      <c r="AG188" s="28"/>
      <c r="AH188" s="28"/>
      <c r="AI188" s="28"/>
      <c r="AJ188" s="28"/>
      <c r="AK188" s="28"/>
      <c r="AL188" s="27" t="n">
        <v>696</v>
      </c>
      <c r="AM188" s="28"/>
      <c r="AN188" s="28"/>
      <c r="AO188" s="28"/>
      <c r="AP188" s="28"/>
      <c r="AQ188" s="28"/>
      <c r="AR188" s="27" t="n">
        <v>544</v>
      </c>
      <c r="AS188" s="28"/>
      <c r="AT188" s="28"/>
      <c r="AU188" s="28"/>
      <c r="AV188" s="28"/>
      <c r="AW188" s="28"/>
      <c r="AX188" s="27" t="n">
        <v>579</v>
      </c>
      <c r="AY188" s="28"/>
      <c r="AZ188" s="28"/>
      <c r="BA188" s="28"/>
      <c r="BB188" s="28"/>
      <c r="BC188" s="28"/>
      <c r="BD188" s="27" t="n">
        <v>681</v>
      </c>
      <c r="BE188" s="28"/>
      <c r="BF188" s="28"/>
      <c r="BG188" s="28"/>
      <c r="BH188" s="28"/>
      <c r="BI188" s="28"/>
      <c r="BJ188" s="27" t="n">
        <v>550</v>
      </c>
      <c r="BK188" s="28"/>
      <c r="BL188" s="28"/>
      <c r="BM188" s="28"/>
      <c r="BN188" s="28"/>
      <c r="BO188" s="28"/>
      <c r="BP188" s="27" t="n">
        <v>605</v>
      </c>
      <c r="BQ188" s="28"/>
      <c r="BR188" s="28"/>
      <c r="BS188" s="27" t="n">
        <v>357</v>
      </c>
      <c r="BT188" s="29"/>
      <c r="BU188" s="29"/>
      <c r="BV188" s="29" t="n">
        <f aca="false">BV133</f>
        <v>716.0825</v>
      </c>
      <c r="BW188" s="29" t="n">
        <f aca="false">BW133</f>
        <v>794.488594354839</v>
      </c>
      <c r="BX188" s="29" t="n">
        <f aca="false">BX133</f>
        <v>867.081159274194</v>
      </c>
      <c r="BY188" s="29" t="n">
        <f aca="false">BY133</f>
        <v>942.618393408548</v>
      </c>
      <c r="BZ188" s="29" t="n">
        <f aca="false">BZ133</f>
        <v>1019.89931030613</v>
      </c>
      <c r="CA188" s="16"/>
      <c r="CC188" s="5"/>
      <c r="CD188" s="5"/>
      <c r="CE188" s="5"/>
    </row>
    <row r="189" customFormat="false" ht="15" hidden="false" customHeight="false" outlineLevel="0" collapsed="false">
      <c r="B189" s="72" t="s">
        <v>284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3"/>
      <c r="BU189" s="3"/>
      <c r="BV189" s="3"/>
      <c r="BW189" s="3"/>
      <c r="BX189" s="3"/>
      <c r="BY189" s="3"/>
      <c r="BZ189" s="3"/>
      <c r="CA189" s="16"/>
      <c r="CC189" s="5"/>
      <c r="CD189" s="5"/>
      <c r="CE189" s="5"/>
    </row>
    <row r="190" customFormat="false" ht="15" hidden="false" customHeight="false" outlineLevel="0" collapsed="false">
      <c r="B190" s="1" t="s">
        <v>285</v>
      </c>
      <c r="C190" s="2"/>
      <c r="D190" s="2"/>
      <c r="E190" s="2"/>
      <c r="F190" s="2"/>
      <c r="G190" s="2"/>
      <c r="H190" s="23" t="n">
        <v>154</v>
      </c>
      <c r="I190" s="2"/>
      <c r="J190" s="2"/>
      <c r="K190" s="2"/>
      <c r="L190" s="2"/>
      <c r="M190" s="2"/>
      <c r="N190" s="23" t="n">
        <v>163</v>
      </c>
      <c r="O190" s="2"/>
      <c r="P190" s="2"/>
      <c r="Q190" s="2"/>
      <c r="R190" s="2"/>
      <c r="S190" s="2"/>
      <c r="T190" s="23" t="n">
        <v>165</v>
      </c>
      <c r="U190" s="2"/>
      <c r="V190" s="2"/>
      <c r="W190" s="2"/>
      <c r="X190" s="2"/>
      <c r="Y190" s="2"/>
      <c r="Z190" s="23" t="n">
        <v>167</v>
      </c>
      <c r="AA190" s="2"/>
      <c r="AB190" s="2"/>
      <c r="AC190" s="2"/>
      <c r="AD190" s="2"/>
      <c r="AE190" s="2"/>
      <c r="AF190" s="23" t="n">
        <v>180</v>
      </c>
      <c r="AG190" s="2"/>
      <c r="AH190" s="2"/>
      <c r="AI190" s="2"/>
      <c r="AJ190" s="2"/>
      <c r="AK190" s="2"/>
      <c r="AL190" s="23" t="n">
        <v>191</v>
      </c>
      <c r="AM190" s="2"/>
      <c r="AN190" s="2"/>
      <c r="AO190" s="2"/>
      <c r="AP190" s="2"/>
      <c r="AQ190" s="2"/>
      <c r="AR190" s="23" t="n">
        <v>207</v>
      </c>
      <c r="AS190" s="2"/>
      <c r="AT190" s="2"/>
      <c r="AU190" s="2"/>
      <c r="AV190" s="2"/>
      <c r="AW190" s="2"/>
      <c r="AX190" s="23" t="n">
        <v>218</v>
      </c>
      <c r="AY190" s="2"/>
      <c r="AZ190" s="2"/>
      <c r="BA190" s="2"/>
      <c r="BB190" s="2"/>
      <c r="BC190" s="2"/>
      <c r="BD190" s="23" t="n">
        <v>219</v>
      </c>
      <c r="BE190" s="2"/>
      <c r="BF190" s="2"/>
      <c r="BG190" s="2"/>
      <c r="BH190" s="2"/>
      <c r="BI190" s="2"/>
      <c r="BJ190" s="23" t="n">
        <v>217</v>
      </c>
      <c r="BK190" s="2"/>
      <c r="BL190" s="2"/>
      <c r="BM190" s="2"/>
      <c r="BN190" s="2"/>
      <c r="BO190" s="2"/>
      <c r="BP190" s="23" t="n">
        <v>225</v>
      </c>
      <c r="BQ190" s="2"/>
      <c r="BR190" s="2"/>
      <c r="BS190" s="23" t="n">
        <v>112</v>
      </c>
      <c r="BT190" s="3"/>
      <c r="BU190" s="3"/>
      <c r="BV190" s="3" t="n">
        <f aca="false">BV102-BV191</f>
        <v>246</v>
      </c>
      <c r="BW190" s="3" t="n">
        <f aca="false">BW102-BW191</f>
        <v>277.263876278521</v>
      </c>
      <c r="BX190" s="3" t="n">
        <f aca="false">BX102-BX191</f>
        <v>301.264919689221</v>
      </c>
      <c r="BY190" s="3" t="n">
        <f aca="false">BY102-BY191</f>
        <v>325.360304501987</v>
      </c>
      <c r="BZ190" s="3" t="n">
        <f aca="false">BZ102-BZ191</f>
        <v>351.987283132437</v>
      </c>
      <c r="CA190" s="16" t="s">
        <v>286</v>
      </c>
      <c r="CC190" s="5"/>
      <c r="CD190" s="5"/>
      <c r="CE190" s="5"/>
    </row>
    <row r="191" customFormat="false" ht="15" hidden="false" customHeight="false" outlineLevel="0" collapsed="false">
      <c r="B191" s="1" t="s">
        <v>287</v>
      </c>
      <c r="C191" s="2"/>
      <c r="D191" s="2"/>
      <c r="E191" s="2"/>
      <c r="F191" s="2"/>
      <c r="G191" s="2"/>
      <c r="H191" s="23" t="n">
        <v>26</v>
      </c>
      <c r="I191" s="2"/>
      <c r="J191" s="2"/>
      <c r="K191" s="2"/>
      <c r="L191" s="2"/>
      <c r="M191" s="2"/>
      <c r="N191" s="23" t="n">
        <v>23</v>
      </c>
      <c r="O191" s="2"/>
      <c r="P191" s="2"/>
      <c r="Q191" s="2"/>
      <c r="R191" s="2"/>
      <c r="S191" s="2"/>
      <c r="T191" s="23" t="n">
        <v>40</v>
      </c>
      <c r="U191" s="2"/>
      <c r="V191" s="2"/>
      <c r="W191" s="2"/>
      <c r="X191" s="2"/>
      <c r="Y191" s="2"/>
      <c r="Z191" s="23" t="n">
        <v>36</v>
      </c>
      <c r="AA191" s="2"/>
      <c r="AB191" s="2"/>
      <c r="AC191" s="2"/>
      <c r="AD191" s="2"/>
      <c r="AE191" s="2"/>
      <c r="AF191" s="23" t="n">
        <v>47</v>
      </c>
      <c r="AG191" s="2"/>
      <c r="AH191" s="2"/>
      <c r="AI191" s="2"/>
      <c r="AJ191" s="2"/>
      <c r="AK191" s="2"/>
      <c r="AL191" s="23" t="n">
        <v>56</v>
      </c>
      <c r="AM191" s="2"/>
      <c r="AN191" s="2"/>
      <c r="AO191" s="2"/>
      <c r="AP191" s="2"/>
      <c r="AQ191" s="2"/>
      <c r="AR191" s="23" t="n">
        <v>86</v>
      </c>
      <c r="AS191" s="2"/>
      <c r="AT191" s="2"/>
      <c r="AU191" s="2"/>
      <c r="AV191" s="2"/>
      <c r="AW191" s="2"/>
      <c r="AX191" s="23" t="n">
        <v>140</v>
      </c>
      <c r="AY191" s="2"/>
      <c r="AZ191" s="2"/>
      <c r="BA191" s="2"/>
      <c r="BB191" s="2"/>
      <c r="BC191" s="2"/>
      <c r="BD191" s="23" t="n">
        <v>128</v>
      </c>
      <c r="BE191" s="2"/>
      <c r="BF191" s="2"/>
      <c r="BG191" s="2"/>
      <c r="BH191" s="2"/>
      <c r="BI191" s="2"/>
      <c r="BJ191" s="23" t="n">
        <v>109</v>
      </c>
      <c r="BK191" s="2"/>
      <c r="BL191" s="2"/>
      <c r="BM191" s="2"/>
      <c r="BN191" s="2"/>
      <c r="BO191" s="2"/>
      <c r="BP191" s="23" t="n">
        <v>104</v>
      </c>
      <c r="BQ191" s="2"/>
      <c r="BR191" s="2"/>
      <c r="BS191" s="23" t="n">
        <v>43</v>
      </c>
      <c r="BT191" s="3"/>
      <c r="BU191" s="3"/>
      <c r="BV191" s="3" t="n">
        <f aca="false">BV304</f>
        <v>84</v>
      </c>
      <c r="BW191" s="3" t="n">
        <f aca="false">BW304</f>
        <v>62</v>
      </c>
      <c r="BX191" s="3" t="n">
        <f aca="false">BX304</f>
        <v>56</v>
      </c>
      <c r="BY191" s="3" t="n">
        <f aca="false">BY304</f>
        <v>50</v>
      </c>
      <c r="BZ191" s="3" t="n">
        <f aca="false">BZ304</f>
        <v>41</v>
      </c>
      <c r="CA191" s="16" t="s">
        <v>288</v>
      </c>
      <c r="CC191" s="5"/>
      <c r="CD191" s="5"/>
      <c r="CE191" s="5"/>
    </row>
    <row r="192" customFormat="false" ht="15" hidden="false" customHeight="false" outlineLevel="0" collapsed="false">
      <c r="B192" s="1" t="s">
        <v>289</v>
      </c>
      <c r="C192" s="2"/>
      <c r="D192" s="2"/>
      <c r="E192" s="2"/>
      <c r="F192" s="2"/>
      <c r="G192" s="2"/>
      <c r="H192" s="23" t="n">
        <v>43</v>
      </c>
      <c r="I192" s="2"/>
      <c r="J192" s="2"/>
      <c r="K192" s="2"/>
      <c r="L192" s="2"/>
      <c r="M192" s="2"/>
      <c r="N192" s="23" t="n">
        <v>36</v>
      </c>
      <c r="O192" s="2"/>
      <c r="P192" s="2"/>
      <c r="Q192" s="2"/>
      <c r="R192" s="2"/>
      <c r="S192" s="2"/>
      <c r="T192" s="23" t="n">
        <v>34</v>
      </c>
      <c r="U192" s="2"/>
      <c r="V192" s="2"/>
      <c r="W192" s="2"/>
      <c r="X192" s="2"/>
      <c r="Y192" s="2"/>
      <c r="Z192" s="23" t="n">
        <v>36</v>
      </c>
      <c r="AA192" s="2"/>
      <c r="AB192" s="2"/>
      <c r="AC192" s="2"/>
      <c r="AD192" s="2"/>
      <c r="AE192" s="2"/>
      <c r="AF192" s="23" t="n">
        <v>30</v>
      </c>
      <c r="AG192" s="2"/>
      <c r="AH192" s="2"/>
      <c r="AI192" s="2"/>
      <c r="AJ192" s="2"/>
      <c r="AK192" s="2"/>
      <c r="AL192" s="23" t="n">
        <v>23</v>
      </c>
      <c r="AM192" s="2"/>
      <c r="AN192" s="2"/>
      <c r="AO192" s="2"/>
      <c r="AP192" s="2"/>
      <c r="AQ192" s="2"/>
      <c r="AR192" s="23" t="n">
        <v>33</v>
      </c>
      <c r="AS192" s="2"/>
      <c r="AT192" s="2"/>
      <c r="AU192" s="2"/>
      <c r="AV192" s="2"/>
      <c r="AW192" s="2"/>
      <c r="AX192" s="23" t="n">
        <v>36</v>
      </c>
      <c r="AY192" s="2"/>
      <c r="AZ192" s="2"/>
      <c r="BA192" s="2"/>
      <c r="BB192" s="2"/>
      <c r="BC192" s="2"/>
      <c r="BD192" s="23" t="n">
        <v>34</v>
      </c>
      <c r="BE192" s="2"/>
      <c r="BF192" s="2"/>
      <c r="BG192" s="2"/>
      <c r="BH192" s="2"/>
      <c r="BI192" s="2"/>
      <c r="BJ192" s="23" t="n">
        <v>23</v>
      </c>
      <c r="BK192" s="2"/>
      <c r="BL192" s="2"/>
      <c r="BM192" s="2"/>
      <c r="BN192" s="2"/>
      <c r="BO192" s="2"/>
      <c r="BP192" s="23" t="n">
        <v>54</v>
      </c>
      <c r="BQ192" s="2"/>
      <c r="BR192" s="2"/>
      <c r="BS192" s="23" t="n">
        <v>31</v>
      </c>
      <c r="BT192" s="3"/>
      <c r="BU192" s="3"/>
      <c r="BV192" s="54" t="n">
        <v>60</v>
      </c>
      <c r="BW192" s="54" t="n">
        <v>60</v>
      </c>
      <c r="BX192" s="54" t="n">
        <v>62</v>
      </c>
      <c r="BY192" s="54" t="n">
        <v>64</v>
      </c>
      <c r="BZ192" s="54" t="n">
        <v>66</v>
      </c>
      <c r="CA192" s="16" t="s">
        <v>290</v>
      </c>
      <c r="CC192" s="5"/>
      <c r="CD192" s="5"/>
      <c r="CE192" s="5"/>
    </row>
    <row r="193" customFormat="false" ht="15" hidden="false" customHeight="false" outlineLevel="0" collapsed="false">
      <c r="B193" s="1" t="s">
        <v>291</v>
      </c>
      <c r="C193" s="2"/>
      <c r="D193" s="2"/>
      <c r="E193" s="2"/>
      <c r="F193" s="2"/>
      <c r="G193" s="2"/>
      <c r="H193" s="23" t="n">
        <v>-15</v>
      </c>
      <c r="I193" s="2"/>
      <c r="J193" s="2"/>
      <c r="K193" s="2"/>
      <c r="L193" s="2"/>
      <c r="M193" s="2"/>
      <c r="N193" s="23" t="n">
        <v>85</v>
      </c>
      <c r="O193" s="2"/>
      <c r="P193" s="2"/>
      <c r="Q193" s="2"/>
      <c r="R193" s="2"/>
      <c r="S193" s="2"/>
      <c r="T193" s="23" t="n">
        <v>184</v>
      </c>
      <c r="U193" s="2"/>
      <c r="V193" s="2"/>
      <c r="W193" s="2"/>
      <c r="X193" s="2"/>
      <c r="Y193" s="2"/>
      <c r="Z193" s="23" t="n">
        <v>10</v>
      </c>
      <c r="AA193" s="2"/>
      <c r="AB193" s="2"/>
      <c r="AC193" s="2"/>
      <c r="AD193" s="2"/>
      <c r="AE193" s="2"/>
      <c r="AF193" s="23" t="n">
        <v>97</v>
      </c>
      <c r="AG193" s="2"/>
      <c r="AH193" s="2"/>
      <c r="AI193" s="2"/>
      <c r="AJ193" s="2"/>
      <c r="AK193" s="2"/>
      <c r="AL193" s="23" t="n">
        <v>23</v>
      </c>
      <c r="AM193" s="2"/>
      <c r="AN193" s="2"/>
      <c r="AO193" s="2"/>
      <c r="AP193" s="2"/>
      <c r="AQ193" s="2"/>
      <c r="AR193" s="23" t="n">
        <v>98</v>
      </c>
      <c r="AS193" s="2"/>
      <c r="AT193" s="2"/>
      <c r="AU193" s="2"/>
      <c r="AV193" s="2"/>
      <c r="AW193" s="2"/>
      <c r="AX193" s="23" t="n">
        <v>2</v>
      </c>
      <c r="AY193" s="2"/>
      <c r="AZ193" s="2"/>
      <c r="BA193" s="2"/>
      <c r="BB193" s="2"/>
      <c r="BC193" s="2"/>
      <c r="BD193" s="23" t="n">
        <v>-113</v>
      </c>
      <c r="BE193" s="2"/>
      <c r="BF193" s="2"/>
      <c r="BG193" s="2"/>
      <c r="BH193" s="2"/>
      <c r="BI193" s="2"/>
      <c r="BJ193" s="23" t="n">
        <v>-122</v>
      </c>
      <c r="BK193" s="2"/>
      <c r="BL193" s="2"/>
      <c r="BM193" s="2"/>
      <c r="BN193" s="2"/>
      <c r="BO193" s="2"/>
      <c r="BP193" s="23" t="n">
        <v>203</v>
      </c>
      <c r="BQ193" s="2"/>
      <c r="BR193" s="2"/>
      <c r="BS193" s="23" t="n">
        <v>89</v>
      </c>
      <c r="BT193" s="3"/>
      <c r="BU193" s="3"/>
      <c r="BV193" s="54" t="n">
        <v>120</v>
      </c>
      <c r="BW193" s="54" t="n">
        <v>60</v>
      </c>
      <c r="BX193" s="54" t="n">
        <v>50</v>
      </c>
      <c r="BY193" s="54" t="n">
        <v>40</v>
      </c>
      <c r="BZ193" s="54" t="n">
        <v>40</v>
      </c>
      <c r="CA193" s="16" t="s">
        <v>292</v>
      </c>
      <c r="CC193" s="5"/>
      <c r="CD193" s="5"/>
      <c r="CE193" s="5"/>
    </row>
    <row r="194" customFormat="false" ht="15" hidden="false" customHeight="false" outlineLevel="0" collapsed="false">
      <c r="B194" s="1" t="s">
        <v>293</v>
      </c>
      <c r="C194" s="2"/>
      <c r="D194" s="2"/>
      <c r="E194" s="2"/>
      <c r="F194" s="2"/>
      <c r="G194" s="2"/>
      <c r="H194" s="23" t="n">
        <v>102</v>
      </c>
      <c r="I194" s="2"/>
      <c r="J194" s="2"/>
      <c r="K194" s="2"/>
      <c r="L194" s="2"/>
      <c r="M194" s="2"/>
      <c r="N194" s="23" t="n">
        <v>0</v>
      </c>
      <c r="O194" s="2"/>
      <c r="P194" s="2"/>
      <c r="Q194" s="2"/>
      <c r="R194" s="2"/>
      <c r="S194" s="2"/>
      <c r="T194" s="23" t="n">
        <v>0</v>
      </c>
      <c r="U194" s="2"/>
      <c r="V194" s="2"/>
      <c r="W194" s="2"/>
      <c r="X194" s="2"/>
      <c r="Y194" s="2"/>
      <c r="Z194" s="23" t="n">
        <v>0</v>
      </c>
      <c r="AA194" s="2"/>
      <c r="AB194" s="2"/>
      <c r="AC194" s="2"/>
      <c r="AD194" s="2"/>
      <c r="AE194" s="2"/>
      <c r="AF194" s="23" t="n">
        <v>29</v>
      </c>
      <c r="AG194" s="2"/>
      <c r="AH194" s="2"/>
      <c r="AI194" s="2"/>
      <c r="AJ194" s="2"/>
      <c r="AK194" s="2"/>
      <c r="AL194" s="23" t="n">
        <v>13</v>
      </c>
      <c r="AM194" s="2"/>
      <c r="AN194" s="2"/>
      <c r="AO194" s="2"/>
      <c r="AP194" s="2"/>
      <c r="AQ194" s="2"/>
      <c r="AR194" s="23" t="n">
        <v>0</v>
      </c>
      <c r="AS194" s="2"/>
      <c r="AT194" s="2"/>
      <c r="AU194" s="2"/>
      <c r="AV194" s="2"/>
      <c r="AW194" s="2"/>
      <c r="AX194" s="23" t="n">
        <v>0</v>
      </c>
      <c r="AY194" s="2"/>
      <c r="AZ194" s="2"/>
      <c r="BA194" s="2"/>
      <c r="BB194" s="2"/>
      <c r="BC194" s="2"/>
      <c r="BD194" s="23" t="n">
        <v>0</v>
      </c>
      <c r="BE194" s="2"/>
      <c r="BF194" s="2"/>
      <c r="BG194" s="2"/>
      <c r="BH194" s="2"/>
      <c r="BI194" s="2"/>
      <c r="BJ194" s="23" t="n">
        <v>0</v>
      </c>
      <c r="BK194" s="2"/>
      <c r="BL194" s="2"/>
      <c r="BM194" s="2"/>
      <c r="BN194" s="2"/>
      <c r="BO194" s="2"/>
      <c r="BP194" s="23" t="n">
        <v>0</v>
      </c>
      <c r="BQ194" s="2"/>
      <c r="BR194" s="2"/>
      <c r="BS194" s="23" t="n">
        <v>0</v>
      </c>
      <c r="BT194" s="3"/>
      <c r="BU194" s="3"/>
      <c r="BV194" s="54" t="n">
        <v>0</v>
      </c>
      <c r="BW194" s="54" t="n">
        <v>0</v>
      </c>
      <c r="BX194" s="54" t="n">
        <v>0</v>
      </c>
      <c r="BY194" s="54" t="n">
        <v>0</v>
      </c>
      <c r="BZ194" s="54" t="n">
        <v>0</v>
      </c>
      <c r="CA194" s="16"/>
      <c r="CC194" s="5"/>
      <c r="CD194" s="5"/>
      <c r="CE194" s="5"/>
    </row>
    <row r="195" customFormat="false" ht="15" hidden="false" customHeight="false" outlineLevel="0" collapsed="false">
      <c r="B195" s="1" t="s">
        <v>294</v>
      </c>
      <c r="C195" s="2"/>
      <c r="D195" s="2"/>
      <c r="E195" s="2"/>
      <c r="F195" s="2"/>
      <c r="G195" s="2"/>
      <c r="H195" s="23" t="n">
        <v>32</v>
      </c>
      <c r="I195" s="2"/>
      <c r="J195" s="2"/>
      <c r="K195" s="2"/>
      <c r="L195" s="2"/>
      <c r="M195" s="2"/>
      <c r="N195" s="23" t="n">
        <v>-44</v>
      </c>
      <c r="O195" s="2"/>
      <c r="P195" s="2"/>
      <c r="Q195" s="2"/>
      <c r="R195" s="2"/>
      <c r="S195" s="2"/>
      <c r="T195" s="23" t="n">
        <v>-163</v>
      </c>
      <c r="U195" s="2"/>
      <c r="V195" s="2"/>
      <c r="W195" s="2"/>
      <c r="X195" s="2"/>
      <c r="Y195" s="2"/>
      <c r="Z195" s="23" t="n">
        <v>-454</v>
      </c>
      <c r="AA195" s="2"/>
      <c r="AB195" s="2"/>
      <c r="AC195" s="2"/>
      <c r="AD195" s="2"/>
      <c r="AE195" s="2"/>
      <c r="AF195" s="23" t="n">
        <v>80</v>
      </c>
      <c r="AG195" s="2"/>
      <c r="AH195" s="2"/>
      <c r="AI195" s="2"/>
      <c r="AJ195" s="2"/>
      <c r="AK195" s="2"/>
      <c r="AL195" s="23" t="n">
        <v>-176</v>
      </c>
      <c r="AM195" s="2"/>
      <c r="AN195" s="2"/>
      <c r="AO195" s="2"/>
      <c r="AP195" s="2"/>
      <c r="AQ195" s="2"/>
      <c r="AR195" s="23" t="n">
        <v>-78</v>
      </c>
      <c r="AS195" s="2"/>
      <c r="AT195" s="2"/>
      <c r="AU195" s="2"/>
      <c r="AV195" s="2"/>
      <c r="AW195" s="2"/>
      <c r="AX195" s="23" t="n">
        <v>-127</v>
      </c>
      <c r="AY195" s="2"/>
      <c r="AZ195" s="2"/>
      <c r="BA195" s="2"/>
      <c r="BB195" s="2"/>
      <c r="BC195" s="2"/>
      <c r="BD195" s="23" t="n">
        <v>-75</v>
      </c>
      <c r="BE195" s="2"/>
      <c r="BF195" s="2"/>
      <c r="BG195" s="2"/>
      <c r="BH195" s="2"/>
      <c r="BI195" s="2"/>
      <c r="BJ195" s="23" t="n">
        <v>-112</v>
      </c>
      <c r="BK195" s="2"/>
      <c r="BL195" s="2"/>
      <c r="BM195" s="2"/>
      <c r="BN195" s="2"/>
      <c r="BO195" s="2"/>
      <c r="BP195" s="23" t="n">
        <v>-154</v>
      </c>
      <c r="BQ195" s="2"/>
      <c r="BR195" s="2"/>
      <c r="BS195" s="23" t="n">
        <v>-90</v>
      </c>
      <c r="BT195" s="3"/>
      <c r="BU195" s="3"/>
      <c r="BV195" s="3" t="n">
        <f aca="false">BV90-BV128</f>
        <v>-169</v>
      </c>
      <c r="BW195" s="3" t="n">
        <f aca="false">BW90-BW128</f>
        <v>-169</v>
      </c>
      <c r="BX195" s="3" t="n">
        <f aca="false">BX90-BX128</f>
        <v>-169</v>
      </c>
      <c r="BY195" s="3" t="n">
        <f aca="false">BY90-BY128</f>
        <v>-169</v>
      </c>
      <c r="BZ195" s="3" t="n">
        <f aca="false">BZ90-BZ128</f>
        <v>-169</v>
      </c>
      <c r="CA195" s="16" t="s">
        <v>295</v>
      </c>
      <c r="CC195" s="5"/>
      <c r="CD195" s="5"/>
      <c r="CE195" s="5"/>
    </row>
    <row r="196" customFormat="false" ht="15" hidden="false" customHeight="false" outlineLevel="0" collapsed="false">
      <c r="B196" s="72" t="s">
        <v>296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3"/>
      <c r="BU196" s="3"/>
      <c r="BV196" s="3"/>
      <c r="BW196" s="3"/>
      <c r="BX196" s="3"/>
      <c r="BY196" s="3"/>
      <c r="BZ196" s="3"/>
      <c r="CA196" s="16"/>
      <c r="CC196" s="5"/>
      <c r="CD196" s="5"/>
      <c r="CE196" s="5"/>
    </row>
    <row r="197" customFormat="false" ht="15" hidden="false" customHeight="false" outlineLevel="0" collapsed="false">
      <c r="B197" s="1" t="s">
        <v>297</v>
      </c>
      <c r="C197" s="2"/>
      <c r="D197" s="2"/>
      <c r="E197" s="2"/>
      <c r="F197" s="2"/>
      <c r="G197" s="2"/>
      <c r="H197" s="23" t="n">
        <v>-41</v>
      </c>
      <c r="I197" s="2"/>
      <c r="J197" s="2"/>
      <c r="K197" s="2"/>
      <c r="L197" s="2"/>
      <c r="M197" s="2"/>
      <c r="N197" s="23" t="n">
        <v>-16</v>
      </c>
      <c r="O197" s="2"/>
      <c r="P197" s="2"/>
      <c r="Q197" s="2"/>
      <c r="R197" s="2"/>
      <c r="S197" s="2"/>
      <c r="T197" s="23" t="n">
        <v>-126</v>
      </c>
      <c r="U197" s="2"/>
      <c r="V197" s="2"/>
      <c r="W197" s="2"/>
      <c r="X197" s="2"/>
      <c r="Y197" s="2"/>
      <c r="Z197" s="23" t="n">
        <v>195</v>
      </c>
      <c r="AA197" s="2"/>
      <c r="AB197" s="2"/>
      <c r="AC197" s="2"/>
      <c r="AD197" s="2"/>
      <c r="AE197" s="2"/>
      <c r="AF197" s="23" t="n">
        <v>-51</v>
      </c>
      <c r="AG197" s="2"/>
      <c r="AH197" s="2"/>
      <c r="AI197" s="2"/>
      <c r="AJ197" s="2"/>
      <c r="AK197" s="2"/>
      <c r="AL197" s="23" t="n">
        <v>-70</v>
      </c>
      <c r="AM197" s="2"/>
      <c r="AN197" s="2"/>
      <c r="AO197" s="2"/>
      <c r="AP197" s="2"/>
      <c r="AQ197" s="2"/>
      <c r="AR197" s="23" t="n">
        <v>58</v>
      </c>
      <c r="AS197" s="2"/>
      <c r="AT197" s="2"/>
      <c r="AU197" s="2"/>
      <c r="AV197" s="2"/>
      <c r="AW197" s="2"/>
      <c r="AX197" s="23" t="n">
        <v>-196</v>
      </c>
      <c r="AY197" s="2"/>
      <c r="AZ197" s="2"/>
      <c r="BA197" s="2"/>
      <c r="BB197" s="2"/>
      <c r="BC197" s="2"/>
      <c r="BD197" s="23" t="n">
        <v>168</v>
      </c>
      <c r="BE197" s="2"/>
      <c r="BF197" s="2"/>
      <c r="BG197" s="2"/>
      <c r="BH197" s="2"/>
      <c r="BI197" s="2"/>
      <c r="BJ197" s="23" t="n">
        <v>256</v>
      </c>
      <c r="BK197" s="2"/>
      <c r="BL197" s="2"/>
      <c r="BM197" s="2"/>
      <c r="BN197" s="2"/>
      <c r="BO197" s="2"/>
      <c r="BP197" s="23" t="n">
        <v>-127</v>
      </c>
      <c r="BQ197" s="2"/>
      <c r="BR197" s="2"/>
      <c r="BS197" s="23" t="n">
        <v>-113</v>
      </c>
      <c r="BT197" s="3"/>
      <c r="BU197" s="3"/>
      <c r="BV197" s="3" t="n">
        <f aca="false">-(BV246-BP246)</f>
        <v>-60.3150684931507</v>
      </c>
      <c r="BW197" s="3" t="n">
        <f aca="false">-(BW246-BV246)</f>
        <v>-24.3829767013412</v>
      </c>
      <c r="BX197" s="3" t="n">
        <f aca="false">-(BX246-BW246)</f>
        <v>-23.0568462129529</v>
      </c>
      <c r="BY197" s="3" t="n">
        <f aca="false">-(BY246-BX246)</f>
        <v>-23.0709526182699</v>
      </c>
      <c r="BZ197" s="3" t="n">
        <f aca="false">-(BZ246-BY246)</f>
        <v>-22.4256119926404</v>
      </c>
      <c r="CA197" s="16"/>
      <c r="CC197" s="5"/>
      <c r="CD197" s="5"/>
      <c r="CE197" s="5"/>
    </row>
    <row r="198" customFormat="false" ht="15" hidden="false" customHeight="false" outlineLevel="0" collapsed="false">
      <c r="B198" s="1" t="s">
        <v>298</v>
      </c>
      <c r="C198" s="2"/>
      <c r="D198" s="2"/>
      <c r="E198" s="2"/>
      <c r="F198" s="2"/>
      <c r="G198" s="2"/>
      <c r="H198" s="23" t="n">
        <v>0</v>
      </c>
      <c r="I198" s="2"/>
      <c r="J198" s="2"/>
      <c r="K198" s="2"/>
      <c r="L198" s="2"/>
      <c r="M198" s="2"/>
      <c r="N198" s="23" t="n">
        <v>-6</v>
      </c>
      <c r="O198" s="2"/>
      <c r="P198" s="2"/>
      <c r="Q198" s="2"/>
      <c r="R198" s="2"/>
      <c r="S198" s="2"/>
      <c r="T198" s="23" t="n">
        <v>91</v>
      </c>
      <c r="U198" s="2"/>
      <c r="V198" s="2"/>
      <c r="W198" s="2"/>
      <c r="X198" s="2"/>
      <c r="Y198" s="2"/>
      <c r="Z198" s="23" t="n">
        <v>-242</v>
      </c>
      <c r="AA198" s="2"/>
      <c r="AB198" s="2"/>
      <c r="AC198" s="2"/>
      <c r="AD198" s="2"/>
      <c r="AE198" s="2"/>
      <c r="AF198" s="23" t="n">
        <v>32</v>
      </c>
      <c r="AG198" s="2"/>
      <c r="AH198" s="2"/>
      <c r="AI198" s="2"/>
      <c r="AJ198" s="2"/>
      <c r="AK198" s="2"/>
      <c r="AL198" s="23" t="n">
        <v>22</v>
      </c>
      <c r="AM198" s="2"/>
      <c r="AN198" s="2"/>
      <c r="AO198" s="2"/>
      <c r="AP198" s="2"/>
      <c r="AQ198" s="2"/>
      <c r="AR198" s="23" t="n">
        <v>-126</v>
      </c>
      <c r="AS198" s="2"/>
      <c r="AT198" s="2"/>
      <c r="AU198" s="2"/>
      <c r="AV198" s="2"/>
      <c r="AW198" s="2"/>
      <c r="AX198" s="23" t="n">
        <v>70</v>
      </c>
      <c r="AY198" s="2"/>
      <c r="AZ198" s="2"/>
      <c r="BA198" s="2"/>
      <c r="BB198" s="2"/>
      <c r="BC198" s="2"/>
      <c r="BD198" s="23" t="n">
        <v>-297</v>
      </c>
      <c r="BE198" s="2"/>
      <c r="BF198" s="2"/>
      <c r="BG198" s="2"/>
      <c r="BH198" s="2"/>
      <c r="BI198" s="2"/>
      <c r="BJ198" s="23" t="n">
        <v>-146</v>
      </c>
      <c r="BK198" s="2"/>
      <c r="BL198" s="2"/>
      <c r="BM198" s="2"/>
      <c r="BN198" s="2"/>
      <c r="BO198" s="2"/>
      <c r="BP198" s="23" t="n">
        <v>-75</v>
      </c>
      <c r="BQ198" s="2"/>
      <c r="BR198" s="2"/>
      <c r="BS198" s="23" t="n">
        <v>-396</v>
      </c>
      <c r="BT198" s="3"/>
      <c r="BU198" s="3"/>
      <c r="BV198" s="3" t="n">
        <f aca="false">CHOOSE(MATCH($CA$2,{"Bull","Base","Bear"},0),$CI$16,$CJ$16,$CK$16)-(SUM(BV188:BV197)+SUM(BV199:BV202))-BV204-BV205</f>
        <v>210.943156186875</v>
      </c>
      <c r="BW198" s="3" t="n">
        <f aca="false">-(BW247-BV247)</f>
        <v>-94.4663849543481</v>
      </c>
      <c r="BX198" s="3" t="n">
        <f aca="false">-(BX247-BW247)</f>
        <v>-89.3285892393199</v>
      </c>
      <c r="BY198" s="3" t="n">
        <f aca="false">-(BY247-BX247)</f>
        <v>-89.3832413489174</v>
      </c>
      <c r="BZ198" s="3" t="n">
        <f aca="false">-(BZ247-BY247)</f>
        <v>-86.8830135582705</v>
      </c>
      <c r="CA198" s="16" t="s">
        <v>299</v>
      </c>
      <c r="CC198" s="5"/>
      <c r="CD198" s="5"/>
      <c r="CE198" s="5"/>
    </row>
    <row r="199" customFormat="false" ht="15" hidden="false" customHeight="false" outlineLevel="0" collapsed="false">
      <c r="B199" s="1" t="s">
        <v>300</v>
      </c>
      <c r="C199" s="2"/>
      <c r="D199" s="2"/>
      <c r="E199" s="2"/>
      <c r="F199" s="2"/>
      <c r="G199" s="2"/>
      <c r="H199" s="23" t="n">
        <v>54</v>
      </c>
      <c r="I199" s="2"/>
      <c r="J199" s="2"/>
      <c r="K199" s="2"/>
      <c r="L199" s="2"/>
      <c r="M199" s="2"/>
      <c r="N199" s="23" t="n">
        <v>75</v>
      </c>
      <c r="O199" s="2"/>
      <c r="P199" s="2"/>
      <c r="Q199" s="2"/>
      <c r="R199" s="2"/>
      <c r="S199" s="2"/>
      <c r="T199" s="23" t="n">
        <v>18</v>
      </c>
      <c r="U199" s="2"/>
      <c r="V199" s="2"/>
      <c r="W199" s="2"/>
      <c r="X199" s="2"/>
      <c r="Y199" s="2"/>
      <c r="Z199" s="23" t="n">
        <v>40</v>
      </c>
      <c r="AA199" s="2"/>
      <c r="AB199" s="2"/>
      <c r="AC199" s="2"/>
      <c r="AD199" s="2"/>
      <c r="AE199" s="2"/>
      <c r="AF199" s="23" t="n">
        <v>-11</v>
      </c>
      <c r="AG199" s="2"/>
      <c r="AH199" s="2"/>
      <c r="AI199" s="2"/>
      <c r="AJ199" s="2"/>
      <c r="AK199" s="2"/>
      <c r="AL199" s="23" t="n">
        <v>11</v>
      </c>
      <c r="AM199" s="2"/>
      <c r="AN199" s="2"/>
      <c r="AO199" s="2"/>
      <c r="AP199" s="2"/>
      <c r="AQ199" s="2"/>
      <c r="AR199" s="23" t="n">
        <v>-25</v>
      </c>
      <c r="AS199" s="2"/>
      <c r="AT199" s="2"/>
      <c r="AU199" s="2"/>
      <c r="AV199" s="2"/>
      <c r="AW199" s="2"/>
      <c r="AX199" s="23" t="n">
        <v>-22</v>
      </c>
      <c r="AY199" s="2"/>
      <c r="AZ199" s="2"/>
      <c r="BA199" s="2"/>
      <c r="BB199" s="2"/>
      <c r="BC199" s="2"/>
      <c r="BD199" s="23" t="n">
        <v>-3</v>
      </c>
      <c r="BE199" s="2"/>
      <c r="BF199" s="2"/>
      <c r="BG199" s="2"/>
      <c r="BH199" s="2"/>
      <c r="BI199" s="2"/>
      <c r="BJ199" s="23" t="n">
        <v>-22</v>
      </c>
      <c r="BK199" s="2"/>
      <c r="BL199" s="2"/>
      <c r="BM199" s="2"/>
      <c r="BN199" s="2"/>
      <c r="BO199" s="2"/>
      <c r="BP199" s="23" t="n">
        <v>-11</v>
      </c>
      <c r="BQ199" s="2"/>
      <c r="BR199" s="2"/>
      <c r="BS199" s="23" t="n">
        <v>-17</v>
      </c>
      <c r="BT199" s="3"/>
      <c r="BU199" s="3"/>
      <c r="BV199" s="3" t="n">
        <f aca="false">-(BV248-BP248)</f>
        <v>-2.51985124258789</v>
      </c>
      <c r="BW199" s="3" t="n">
        <f aca="false">-(BW248-BV248)</f>
        <v>-11.8493516037983</v>
      </c>
      <c r="BX199" s="3" t="n">
        <f aca="false">-(BX248-BW248)</f>
        <v>-11.8490378428693</v>
      </c>
      <c r="BY199" s="3" t="n">
        <f aca="false">-(BY248-BX248)</f>
        <v>-11.7884562800023</v>
      </c>
      <c r="BZ199" s="3" t="n">
        <f aca="false">-(BZ248-BY248)</f>
        <v>-11.3685115815842</v>
      </c>
      <c r="CA199" s="16"/>
      <c r="CC199" s="5"/>
      <c r="CD199" s="5"/>
      <c r="CE199" s="5"/>
    </row>
    <row r="200" customFormat="false" ht="15" hidden="false" customHeight="false" outlineLevel="0" collapsed="false">
      <c r="B200" s="1" t="s">
        <v>301</v>
      </c>
      <c r="C200" s="2"/>
      <c r="D200" s="2"/>
      <c r="E200" s="2"/>
      <c r="F200" s="2"/>
      <c r="G200" s="2"/>
      <c r="H200" s="23" t="n">
        <v>-31</v>
      </c>
      <c r="I200" s="2"/>
      <c r="J200" s="2"/>
      <c r="K200" s="2"/>
      <c r="L200" s="2"/>
      <c r="M200" s="2"/>
      <c r="N200" s="23" t="n">
        <v>-17</v>
      </c>
      <c r="O200" s="2"/>
      <c r="P200" s="2"/>
      <c r="Q200" s="2"/>
      <c r="R200" s="2"/>
      <c r="S200" s="2"/>
      <c r="T200" s="23" t="n">
        <v>-52</v>
      </c>
      <c r="U200" s="2"/>
      <c r="V200" s="2"/>
      <c r="W200" s="2"/>
      <c r="X200" s="2"/>
      <c r="Y200" s="2"/>
      <c r="Z200" s="23" t="n">
        <v>-40</v>
      </c>
      <c r="AA200" s="2"/>
      <c r="AB200" s="2"/>
      <c r="AC200" s="2"/>
      <c r="AD200" s="2"/>
      <c r="AE200" s="2"/>
      <c r="AF200" s="23" t="n">
        <v>-93</v>
      </c>
      <c r="AG200" s="2"/>
      <c r="AH200" s="2"/>
      <c r="AI200" s="2"/>
      <c r="AJ200" s="2"/>
      <c r="AK200" s="2"/>
      <c r="AL200" s="23" t="n">
        <v>-62</v>
      </c>
      <c r="AM200" s="2"/>
      <c r="AN200" s="2"/>
      <c r="AO200" s="2"/>
      <c r="AP200" s="2"/>
      <c r="AQ200" s="2"/>
      <c r="AR200" s="23" t="n">
        <v>-88</v>
      </c>
      <c r="AS200" s="2"/>
      <c r="AT200" s="2"/>
      <c r="AU200" s="2"/>
      <c r="AV200" s="2"/>
      <c r="AW200" s="2"/>
      <c r="AX200" s="23" t="n">
        <v>20</v>
      </c>
      <c r="AY200" s="2"/>
      <c r="AZ200" s="2"/>
      <c r="BA200" s="2"/>
      <c r="BB200" s="2"/>
      <c r="BC200" s="2"/>
      <c r="BD200" s="23" t="n">
        <v>-42</v>
      </c>
      <c r="BE200" s="2"/>
      <c r="BF200" s="2"/>
      <c r="BG200" s="2"/>
      <c r="BH200" s="2"/>
      <c r="BI200" s="2"/>
      <c r="BJ200" s="23" t="n">
        <v>-33</v>
      </c>
      <c r="BK200" s="2"/>
      <c r="BL200" s="2"/>
      <c r="BM200" s="2"/>
      <c r="BN200" s="2"/>
      <c r="BO200" s="2"/>
      <c r="BP200" s="23" t="n">
        <v>-66</v>
      </c>
      <c r="BQ200" s="2"/>
      <c r="BR200" s="2"/>
      <c r="BS200" s="23" t="n">
        <v>-17</v>
      </c>
      <c r="BT200" s="3"/>
      <c r="BU200" s="3"/>
      <c r="BV200" s="3" t="n">
        <f aca="false">-((BV250-BP250)+(BV249-BP249)+(BV251-BP251))</f>
        <v>-0</v>
      </c>
      <c r="BW200" s="3" t="n">
        <f aca="false">-((BW250-BV250)+(BW249-BV249)+(BW251-BV251))</f>
        <v>-0</v>
      </c>
      <c r="BX200" s="3" t="n">
        <f aca="false">-((BX250-BW250)+(BX249-BW249)+(BX251-BW251))</f>
        <v>-0</v>
      </c>
      <c r="BY200" s="3" t="n">
        <f aca="false">-((BY250-BX250)+(BY249-BX249)+(BY251-BX251))</f>
        <v>-0</v>
      </c>
      <c r="BZ200" s="3" t="n">
        <f aca="false">-((BZ250-BY250)+(BZ249-BY249)+(BZ251-BY251))</f>
        <v>-0</v>
      </c>
      <c r="CA200" s="16"/>
      <c r="CC200" s="5"/>
      <c r="CD200" s="5"/>
      <c r="CE200" s="5"/>
    </row>
    <row r="201" customFormat="false" ht="15" hidden="false" customHeight="false" outlineLevel="0" collapsed="false">
      <c r="B201" s="1" t="s">
        <v>302</v>
      </c>
      <c r="C201" s="2"/>
      <c r="D201" s="2"/>
      <c r="E201" s="2"/>
      <c r="F201" s="2"/>
      <c r="G201" s="2"/>
      <c r="H201" s="23" t="n">
        <v>97</v>
      </c>
      <c r="I201" s="2"/>
      <c r="J201" s="2"/>
      <c r="K201" s="2"/>
      <c r="L201" s="2"/>
      <c r="M201" s="2"/>
      <c r="N201" s="23" t="n">
        <v>-41</v>
      </c>
      <c r="O201" s="2"/>
      <c r="P201" s="2"/>
      <c r="Q201" s="2"/>
      <c r="R201" s="2"/>
      <c r="S201" s="2"/>
      <c r="T201" s="23" t="n">
        <v>102</v>
      </c>
      <c r="U201" s="2"/>
      <c r="V201" s="2"/>
      <c r="W201" s="2"/>
      <c r="X201" s="2"/>
      <c r="Y201" s="2"/>
      <c r="Z201" s="23" t="n">
        <v>335</v>
      </c>
      <c r="AA201" s="2"/>
      <c r="AB201" s="2"/>
      <c r="AC201" s="2"/>
      <c r="AD201" s="2"/>
      <c r="AE201" s="2"/>
      <c r="AF201" s="23" t="n">
        <v>4</v>
      </c>
      <c r="AG201" s="2"/>
      <c r="AH201" s="2"/>
      <c r="AI201" s="2"/>
      <c r="AJ201" s="2"/>
      <c r="AK201" s="2"/>
      <c r="AL201" s="23" t="n">
        <v>344</v>
      </c>
      <c r="AM201" s="2"/>
      <c r="AN201" s="2"/>
      <c r="AO201" s="2"/>
      <c r="AP201" s="2"/>
      <c r="AQ201" s="2"/>
      <c r="AR201" s="23" t="n">
        <v>45</v>
      </c>
      <c r="AS201" s="2"/>
      <c r="AT201" s="2"/>
      <c r="AU201" s="2"/>
      <c r="AV201" s="2"/>
      <c r="AW201" s="2"/>
      <c r="AX201" s="23" t="n">
        <v>6</v>
      </c>
      <c r="AY201" s="2"/>
      <c r="AZ201" s="2"/>
      <c r="BA201" s="2"/>
      <c r="BB201" s="2"/>
      <c r="BC201" s="2"/>
      <c r="BD201" s="23" t="n">
        <v>264</v>
      </c>
      <c r="BE201" s="2"/>
      <c r="BF201" s="2"/>
      <c r="BG201" s="2"/>
      <c r="BH201" s="2"/>
      <c r="BI201" s="2"/>
      <c r="BJ201" s="23" t="n">
        <v>-315</v>
      </c>
      <c r="BK201" s="2"/>
      <c r="BL201" s="2"/>
      <c r="BM201" s="2"/>
      <c r="BN201" s="2"/>
      <c r="BO201" s="2"/>
      <c r="BP201" s="23" t="n">
        <v>449</v>
      </c>
      <c r="BQ201" s="2"/>
      <c r="BR201" s="2"/>
      <c r="BS201" s="23" t="n">
        <v>-413</v>
      </c>
      <c r="BT201" s="3"/>
      <c r="BU201" s="3"/>
      <c r="BV201" s="3" t="n">
        <f aca="false">(BV264-BP264)+(BV265-BP265)+(BV268-BP268)+(BV266-BP266)+(BV267-BP267)+(BV270-BP270)</f>
        <v>-64.9407364511361</v>
      </c>
      <c r="BW201" s="3" t="n">
        <f aca="false">(BW264-BV264)+(BW265-BV265)+(BW268-BV268)+(BW266-BV266)+(BW267-BV267)+(BW270-BV270)</f>
        <v>49.9430474190912</v>
      </c>
      <c r="BX201" s="3" t="n">
        <f aca="false">(BX264-BW264)+(BX265-BW265)+(BX268-BW268)+(BX266-BW266)+(BX267-BW267)+(BX270-BW270)</f>
        <v>117.629210902491</v>
      </c>
      <c r="BY201" s="3" t="n">
        <f aca="false">(BY264-BX264)+(BY265-BX265)+(BY268-BX268)+(BY266-BX266)+(BY267-BX267)+(BY270-BX270)</f>
        <v>117.51706511156</v>
      </c>
      <c r="BZ201" s="3" t="n">
        <f aca="false">(BZ264-BY264)+(BZ265-BY265)+(BZ268-BY268)+(BZ266-BY266)+(BZ267-BY267)+(BZ270-BY270)</f>
        <v>113.985054851305</v>
      </c>
      <c r="CA201" s="16" t="s">
        <v>303</v>
      </c>
      <c r="CC201" s="5"/>
      <c r="CD201" s="5"/>
      <c r="CE201" s="5"/>
    </row>
    <row r="202" customFormat="false" ht="15" hidden="false" customHeight="false" outlineLevel="0" collapsed="false">
      <c r="B202" s="1" t="s">
        <v>304</v>
      </c>
      <c r="C202" s="2"/>
      <c r="D202" s="2"/>
      <c r="E202" s="2"/>
      <c r="F202" s="2"/>
      <c r="G202" s="2"/>
      <c r="H202" s="23" t="n">
        <v>36</v>
      </c>
      <c r="I202" s="2"/>
      <c r="J202" s="2"/>
      <c r="K202" s="2"/>
      <c r="L202" s="2"/>
      <c r="M202" s="2"/>
      <c r="N202" s="23" t="n">
        <v>-9</v>
      </c>
      <c r="O202" s="2"/>
      <c r="P202" s="2"/>
      <c r="Q202" s="2"/>
      <c r="R202" s="2"/>
      <c r="S202" s="2"/>
      <c r="T202" s="23" t="n">
        <v>42</v>
      </c>
      <c r="U202" s="2"/>
      <c r="V202" s="2"/>
      <c r="W202" s="2"/>
      <c r="X202" s="2"/>
      <c r="Y202" s="2"/>
      <c r="Z202" s="23" t="n">
        <v>-5</v>
      </c>
      <c r="AA202" s="2"/>
      <c r="AB202" s="2"/>
      <c r="AC202" s="2"/>
      <c r="AD202" s="2"/>
      <c r="AE202" s="2"/>
      <c r="AF202" s="23" t="n">
        <v>3</v>
      </c>
      <c r="AG202" s="2"/>
      <c r="AH202" s="2"/>
      <c r="AI202" s="2"/>
      <c r="AJ202" s="2"/>
      <c r="AK202" s="2"/>
      <c r="AL202" s="23" t="n">
        <v>22</v>
      </c>
      <c r="AM202" s="2"/>
      <c r="AN202" s="2"/>
      <c r="AO202" s="2"/>
      <c r="AP202" s="2"/>
      <c r="AQ202" s="2"/>
      <c r="AR202" s="23" t="n">
        <v>6</v>
      </c>
      <c r="AS202" s="2"/>
      <c r="AT202" s="2"/>
      <c r="AU202" s="2"/>
      <c r="AV202" s="2"/>
      <c r="AW202" s="2"/>
      <c r="AX202" s="23" t="n">
        <v>40</v>
      </c>
      <c r="AY202" s="2"/>
      <c r="AZ202" s="2"/>
      <c r="BA202" s="2"/>
      <c r="BB202" s="2"/>
      <c r="BC202" s="2"/>
      <c r="BD202" s="23" t="n">
        <v>6</v>
      </c>
      <c r="BE202" s="2"/>
      <c r="BF202" s="2"/>
      <c r="BG202" s="2"/>
      <c r="BH202" s="2"/>
      <c r="BI202" s="2"/>
      <c r="BJ202" s="23" t="n">
        <v>-12</v>
      </c>
      <c r="BK202" s="2"/>
      <c r="BL202" s="2"/>
      <c r="BM202" s="2"/>
      <c r="BN202" s="2"/>
      <c r="BO202" s="2"/>
      <c r="BP202" s="23" t="n">
        <v>-11</v>
      </c>
      <c r="BQ202" s="2"/>
      <c r="BR202" s="2"/>
      <c r="BS202" s="23" t="n">
        <v>-7</v>
      </c>
      <c r="BT202" s="3"/>
      <c r="BU202" s="3"/>
      <c r="BV202" s="3" t="n">
        <f aca="false">(BV273-BP273)+(BV274-BP274)+(BV275-BP275)+(BV276-BP276)+(BV278-BP278)-(BV254-BP254)-(BV258-BP258)-(BV259-BP259)</f>
        <v>0</v>
      </c>
      <c r="BW202" s="3" t="n">
        <f aca="false">(BW273-BV273)+(BW274-BV274)+(BW275-BV275)+(BW276-BV276)+(BW278-BV278)-(BW254-BV254)-(BW258-BV258)-(BW259-BV259)</f>
        <v>0</v>
      </c>
      <c r="BX202" s="3" t="n">
        <f aca="false">(BX273-BW273)+(BX274-BW274)+(BX275-BW275)+(BX276-BW276)+(BX278-BW278)-(BX254-BW254)-(BX258-BW258)-(BX259-BW259)</f>
        <v>0</v>
      </c>
      <c r="BY202" s="3" t="n">
        <f aca="false">(BY273-BX273)+(BY274-BX274)+(BY275-BX275)+(BY276-BX276)+(BY278-BX278)-(BY254-BX254)-(BY258-BX258)-(BY259-BX259)</f>
        <v>0</v>
      </c>
      <c r="BZ202" s="3" t="n">
        <f aca="false">(BZ273-BY273)+(BZ274-BY274)+(BZ275-BY275)+(BZ276-BY276)+(BZ278-BY278)-(BZ254-BY254)-(BZ258-BY258)-(BZ259-BY259)</f>
        <v>0</v>
      </c>
      <c r="CA202" s="16"/>
      <c r="CC202" s="5"/>
      <c r="CD202" s="5"/>
      <c r="CE202" s="5"/>
    </row>
    <row r="203" customFormat="false" ht="15" hidden="false" customHeight="false" outlineLevel="0" collapsed="false">
      <c r="B203" s="26" t="s">
        <v>305</v>
      </c>
      <c r="C203" s="28"/>
      <c r="D203" s="28"/>
      <c r="E203" s="28"/>
      <c r="F203" s="28"/>
      <c r="G203" s="28"/>
      <c r="H203" s="27" t="n">
        <v>861</v>
      </c>
      <c r="I203" s="28"/>
      <c r="J203" s="28"/>
      <c r="K203" s="28"/>
      <c r="L203" s="28"/>
      <c r="M203" s="28"/>
      <c r="N203" s="27" t="n">
        <v>822</v>
      </c>
      <c r="O203" s="28"/>
      <c r="P203" s="28"/>
      <c r="Q203" s="28"/>
      <c r="R203" s="28"/>
      <c r="S203" s="28"/>
      <c r="T203" s="27" t="n">
        <v>814</v>
      </c>
      <c r="U203" s="28"/>
      <c r="V203" s="28"/>
      <c r="W203" s="28"/>
      <c r="X203" s="28"/>
      <c r="Y203" s="28"/>
      <c r="Z203" s="27" t="n">
        <v>914</v>
      </c>
      <c r="AA203" s="28"/>
      <c r="AB203" s="28"/>
      <c r="AC203" s="28"/>
      <c r="AD203" s="28"/>
      <c r="AE203" s="28"/>
      <c r="AF203" s="27" t="n">
        <v>896</v>
      </c>
      <c r="AG203" s="28"/>
      <c r="AH203" s="28"/>
      <c r="AI203" s="28"/>
      <c r="AJ203" s="28"/>
      <c r="AK203" s="28"/>
      <c r="AL203" s="27" t="n">
        <v>1093</v>
      </c>
      <c r="AM203" s="28"/>
      <c r="AN203" s="28"/>
      <c r="AO203" s="28"/>
      <c r="AP203" s="28"/>
      <c r="AQ203" s="28"/>
      <c r="AR203" s="27" t="n">
        <v>760</v>
      </c>
      <c r="AS203" s="28"/>
      <c r="AT203" s="28"/>
      <c r="AU203" s="28"/>
      <c r="AV203" s="28"/>
      <c r="AW203" s="28"/>
      <c r="AX203" s="27" t="n">
        <v>766</v>
      </c>
      <c r="AY203" s="28"/>
      <c r="AZ203" s="28"/>
      <c r="BA203" s="28"/>
      <c r="BB203" s="28"/>
      <c r="BC203" s="28"/>
      <c r="BD203" s="27" t="n">
        <v>970</v>
      </c>
      <c r="BE203" s="28"/>
      <c r="BF203" s="28"/>
      <c r="BG203" s="28"/>
      <c r="BH203" s="28"/>
      <c r="BI203" s="28"/>
      <c r="BJ203" s="27" t="n">
        <v>393</v>
      </c>
      <c r="BK203" s="28"/>
      <c r="BL203" s="28"/>
      <c r="BM203" s="28"/>
      <c r="BN203" s="28"/>
      <c r="BO203" s="28"/>
      <c r="BP203" s="27" t="n">
        <v>1196</v>
      </c>
      <c r="BQ203" s="28"/>
      <c r="BR203" s="28"/>
      <c r="BS203" s="27" t="n">
        <v>-421</v>
      </c>
      <c r="BT203" s="29"/>
      <c r="BU203" s="29"/>
      <c r="BV203" s="29" t="n">
        <f aca="false">SUM(BV188:BV202)</f>
        <v>1140.25</v>
      </c>
      <c r="BW203" s="29" t="n">
        <f aca="false">SUM(BW188:BW202)</f>
        <v>1003.99680479296</v>
      </c>
      <c r="BX203" s="29" t="n">
        <f aca="false">SUM(BX188:BX202)</f>
        <v>1160.74081657076</v>
      </c>
      <c r="BY203" s="29" t="n">
        <f aca="false">SUM(BY188:BY202)</f>
        <v>1246.25311277491</v>
      </c>
      <c r="BZ203" s="29" t="n">
        <f aca="false">SUM(BZ188:BZ202)</f>
        <v>1343.19451115738</v>
      </c>
      <c r="CA203" s="16"/>
      <c r="CC203" s="30" t="n">
        <f aca="false">IFERROR((BZ203/BP203)^(1/5)-1,"n/m")</f>
        <v>0.0234851499938742</v>
      </c>
      <c r="CD203" s="30" t="n">
        <f aca="false">IFERROR((BP203/AL203)^(1/5)-1,"n/m")</f>
        <v>0.0181744707681695</v>
      </c>
      <c r="CE203" s="30" t="n">
        <f aca="false">IFERROR((BP203/H203)^(1/10)-1,"n/m")</f>
        <v>0.0334103403940582</v>
      </c>
    </row>
    <row r="204" customFormat="false" ht="15" hidden="false" customHeight="false" outlineLevel="0" collapsed="false">
      <c r="B204" s="1" t="s">
        <v>306</v>
      </c>
      <c r="C204" s="2"/>
      <c r="D204" s="2"/>
      <c r="E204" s="2"/>
      <c r="F204" s="2"/>
      <c r="G204" s="2"/>
      <c r="H204" s="23" t="n">
        <v>-188</v>
      </c>
      <c r="I204" s="2"/>
      <c r="J204" s="2"/>
      <c r="K204" s="2"/>
      <c r="L204" s="2"/>
      <c r="M204" s="2"/>
      <c r="N204" s="23" t="n">
        <v>-285</v>
      </c>
      <c r="O204" s="2"/>
      <c r="P204" s="2"/>
      <c r="Q204" s="2"/>
      <c r="R204" s="2"/>
      <c r="S204" s="2"/>
      <c r="T204" s="23" t="n">
        <v>-382</v>
      </c>
      <c r="U204" s="2"/>
      <c r="V204" s="2"/>
      <c r="W204" s="2"/>
      <c r="X204" s="2"/>
      <c r="Y204" s="2"/>
      <c r="Z204" s="23" t="n">
        <v>-463</v>
      </c>
      <c r="AA204" s="2"/>
      <c r="AB204" s="2"/>
      <c r="AC204" s="2"/>
      <c r="AD204" s="2"/>
      <c r="AE204" s="2"/>
      <c r="AF204" s="23" t="n">
        <v>-530</v>
      </c>
      <c r="AG204" s="2"/>
      <c r="AH204" s="2"/>
      <c r="AI204" s="2"/>
      <c r="AJ204" s="2"/>
      <c r="AK204" s="2"/>
      <c r="AL204" s="23" t="n">
        <v>-353</v>
      </c>
      <c r="AM204" s="2"/>
      <c r="AN204" s="2"/>
      <c r="AO204" s="2"/>
      <c r="AP204" s="2"/>
      <c r="AQ204" s="2"/>
      <c r="AR204" s="23" t="n">
        <v>-331</v>
      </c>
      <c r="AS204" s="2"/>
      <c r="AT204" s="2"/>
      <c r="AU204" s="2"/>
      <c r="AV204" s="2"/>
      <c r="AW204" s="2"/>
      <c r="AX204" s="23" t="n">
        <v>-284</v>
      </c>
      <c r="AY204" s="2"/>
      <c r="AZ204" s="2"/>
      <c r="BA204" s="2"/>
      <c r="BB204" s="2"/>
      <c r="BC204" s="2"/>
      <c r="BD204" s="23" t="n">
        <v>-292</v>
      </c>
      <c r="BE204" s="2"/>
      <c r="BF204" s="2"/>
      <c r="BG204" s="2"/>
      <c r="BH204" s="2"/>
      <c r="BI204" s="2"/>
      <c r="BJ204" s="23" t="n">
        <v>-367</v>
      </c>
      <c r="BK204" s="2"/>
      <c r="BL204" s="2"/>
      <c r="BM204" s="2"/>
      <c r="BN204" s="2"/>
      <c r="BO204" s="2"/>
      <c r="BP204" s="23" t="n">
        <v>-402</v>
      </c>
      <c r="BQ204" s="2"/>
      <c r="BR204" s="2"/>
      <c r="BS204" s="23" t="n">
        <v>-193</v>
      </c>
      <c r="BT204" s="3"/>
      <c r="BU204" s="3"/>
      <c r="BV204" s="3" t="n">
        <f aca="false">-BV119*BV227</f>
        <v>-596.25</v>
      </c>
      <c r="BW204" s="3" t="n">
        <f aca="false">-BW119*BW227</f>
        <v>-597.510538734505</v>
      </c>
      <c r="BX204" s="3" t="n">
        <f aca="false">-BX119*BX227</f>
        <v>-592.96558314079</v>
      </c>
      <c r="BY204" s="3" t="n">
        <f aca="false">-BY119*BY227</f>
        <v>-584.61284000927</v>
      </c>
      <c r="BZ204" s="3" t="n">
        <f aca="false">-BZ119*BZ227</f>
        <v>-571.682940966772</v>
      </c>
      <c r="CA204" s="16" t="s">
        <v>307</v>
      </c>
      <c r="CC204" s="5"/>
      <c r="CD204" s="5"/>
      <c r="CE204" s="5"/>
    </row>
    <row r="205" customFormat="false" ht="15" hidden="false" customHeight="false" outlineLevel="0" collapsed="false">
      <c r="B205" s="1" t="s">
        <v>308</v>
      </c>
      <c r="C205" s="2"/>
      <c r="D205" s="2"/>
      <c r="E205" s="2"/>
      <c r="F205" s="2"/>
      <c r="G205" s="2"/>
      <c r="H205" s="23" t="n">
        <v>0</v>
      </c>
      <c r="I205" s="2"/>
      <c r="J205" s="2"/>
      <c r="K205" s="2"/>
      <c r="L205" s="2"/>
      <c r="M205" s="2"/>
      <c r="N205" s="23" t="n">
        <v>0</v>
      </c>
      <c r="O205" s="2"/>
      <c r="P205" s="2"/>
      <c r="Q205" s="2"/>
      <c r="R205" s="2"/>
      <c r="S205" s="2"/>
      <c r="T205" s="23" t="n">
        <v>21</v>
      </c>
      <c r="U205" s="2"/>
      <c r="V205" s="2"/>
      <c r="W205" s="2"/>
      <c r="X205" s="2"/>
      <c r="Y205" s="2"/>
      <c r="Z205" s="23" t="n">
        <v>61</v>
      </c>
      <c r="AA205" s="2"/>
      <c r="AB205" s="2"/>
      <c r="AC205" s="2"/>
      <c r="AD205" s="2"/>
      <c r="AE205" s="2"/>
      <c r="AF205" s="23" t="n">
        <v>94</v>
      </c>
      <c r="AG205" s="2"/>
      <c r="AH205" s="2"/>
      <c r="AI205" s="2"/>
      <c r="AJ205" s="2"/>
      <c r="AK205" s="2"/>
      <c r="AL205" s="23" t="n">
        <v>17</v>
      </c>
      <c r="AM205" s="2"/>
      <c r="AN205" s="2"/>
      <c r="AO205" s="2"/>
      <c r="AP205" s="2"/>
      <c r="AQ205" s="2"/>
      <c r="AR205" s="23" t="n">
        <v>20</v>
      </c>
      <c r="AS205" s="2"/>
      <c r="AT205" s="2"/>
      <c r="AU205" s="2"/>
      <c r="AV205" s="2"/>
      <c r="AW205" s="2"/>
      <c r="AX205" s="23" t="n">
        <v>12</v>
      </c>
      <c r="AY205" s="2"/>
      <c r="AZ205" s="2"/>
      <c r="BA205" s="2"/>
      <c r="BB205" s="2"/>
      <c r="BC205" s="2"/>
      <c r="BD205" s="23" t="n">
        <v>14</v>
      </c>
      <c r="BE205" s="2"/>
      <c r="BF205" s="2"/>
      <c r="BG205" s="2"/>
      <c r="BH205" s="2"/>
      <c r="BI205" s="2"/>
      <c r="BJ205" s="23" t="n">
        <v>14</v>
      </c>
      <c r="BK205" s="2"/>
      <c r="BL205" s="2"/>
      <c r="BM205" s="2"/>
      <c r="BN205" s="2"/>
      <c r="BO205" s="2"/>
      <c r="BP205" s="23" t="n">
        <v>6</v>
      </c>
      <c r="BQ205" s="2"/>
      <c r="BR205" s="2"/>
      <c r="BS205" s="23" t="n">
        <v>3</v>
      </c>
      <c r="BT205" s="3"/>
      <c r="BU205" s="3"/>
      <c r="BV205" s="54" t="n">
        <v>6</v>
      </c>
      <c r="BW205" s="54" t="n">
        <v>10</v>
      </c>
      <c r="BX205" s="54" t="n">
        <v>10</v>
      </c>
      <c r="BY205" s="54" t="n">
        <v>10</v>
      </c>
      <c r="BZ205" s="54" t="n">
        <v>10</v>
      </c>
      <c r="CA205" s="16" t="s">
        <v>309</v>
      </c>
      <c r="CC205" s="5"/>
      <c r="CD205" s="5"/>
      <c r="CE205" s="5"/>
    </row>
    <row r="206" customFormat="false" ht="15" hidden="false" customHeight="false" outlineLevel="0" collapsed="false">
      <c r="B206" s="1" t="s">
        <v>310</v>
      </c>
      <c r="C206" s="2"/>
      <c r="D206" s="2"/>
      <c r="E206" s="2"/>
      <c r="F206" s="2"/>
      <c r="G206" s="2"/>
      <c r="H206" s="23" t="n">
        <v>-6</v>
      </c>
      <c r="I206" s="2"/>
      <c r="J206" s="2"/>
      <c r="K206" s="2"/>
      <c r="L206" s="2"/>
      <c r="M206" s="2"/>
      <c r="N206" s="23" t="n">
        <v>-372</v>
      </c>
      <c r="O206" s="2"/>
      <c r="P206" s="2"/>
      <c r="Q206" s="2"/>
      <c r="R206" s="2"/>
      <c r="S206" s="2"/>
      <c r="T206" s="23" t="n">
        <v>3</v>
      </c>
      <c r="U206" s="2"/>
      <c r="V206" s="2"/>
      <c r="W206" s="2"/>
      <c r="X206" s="2"/>
      <c r="Y206" s="2"/>
      <c r="Z206" s="23" t="n">
        <v>-77</v>
      </c>
      <c r="AA206" s="2"/>
      <c r="AB206" s="2"/>
      <c r="AC206" s="2"/>
      <c r="AD206" s="2"/>
      <c r="AE206" s="2"/>
      <c r="AF206" s="23" t="n">
        <v>-195</v>
      </c>
      <c r="AG206" s="2"/>
      <c r="AH206" s="2"/>
      <c r="AI206" s="2"/>
      <c r="AJ206" s="2"/>
      <c r="AK206" s="2"/>
      <c r="AL206" s="23" t="n">
        <v>-417</v>
      </c>
      <c r="AM206" s="2"/>
      <c r="AN206" s="2"/>
      <c r="AO206" s="2"/>
      <c r="AP206" s="2"/>
      <c r="AQ206" s="2"/>
      <c r="AR206" s="23" t="n">
        <v>-1643</v>
      </c>
      <c r="AS206" s="2"/>
      <c r="AT206" s="2"/>
      <c r="AU206" s="2"/>
      <c r="AV206" s="2"/>
      <c r="AW206" s="2"/>
      <c r="AX206" s="23" t="n">
        <v>0</v>
      </c>
      <c r="AY206" s="2"/>
      <c r="AZ206" s="2"/>
      <c r="BA206" s="2"/>
      <c r="BB206" s="2"/>
      <c r="BC206" s="2"/>
      <c r="BD206" s="23" t="n">
        <v>0</v>
      </c>
      <c r="BE206" s="2"/>
      <c r="BF206" s="2"/>
      <c r="BG206" s="2"/>
      <c r="BH206" s="2"/>
      <c r="BI206" s="2"/>
      <c r="BJ206" s="23" t="n">
        <v>0</v>
      </c>
      <c r="BK206" s="2"/>
      <c r="BL206" s="2"/>
      <c r="BM206" s="2"/>
      <c r="BN206" s="2"/>
      <c r="BO206" s="2"/>
      <c r="BP206" s="23" t="n">
        <v>-132</v>
      </c>
      <c r="BQ206" s="2"/>
      <c r="BR206" s="2"/>
      <c r="BS206" s="23" t="n">
        <v>0</v>
      </c>
      <c r="BT206" s="3"/>
      <c r="BU206" s="3"/>
      <c r="BV206" s="54" t="n">
        <v>0</v>
      </c>
      <c r="BW206" s="54" t="n">
        <v>0</v>
      </c>
      <c r="BX206" s="54" t="n">
        <v>0</v>
      </c>
      <c r="BY206" s="54" t="n">
        <v>0</v>
      </c>
      <c r="BZ206" s="54" t="n">
        <v>0</v>
      </c>
      <c r="CA206" s="16" t="s">
        <v>311</v>
      </c>
      <c r="CC206" s="5"/>
      <c r="CD206" s="5"/>
      <c r="CE206" s="5"/>
    </row>
    <row r="207" customFormat="false" ht="15" hidden="false" customHeight="false" outlineLevel="0" collapsed="false">
      <c r="B207" s="1" t="s">
        <v>312</v>
      </c>
      <c r="C207" s="2"/>
      <c r="D207" s="2"/>
      <c r="E207" s="2"/>
      <c r="F207" s="2"/>
      <c r="G207" s="2"/>
      <c r="H207" s="23" t="n">
        <v>53</v>
      </c>
      <c r="I207" s="2"/>
      <c r="J207" s="2"/>
      <c r="K207" s="2"/>
      <c r="L207" s="2"/>
      <c r="M207" s="2"/>
      <c r="N207" s="23" t="n">
        <v>4</v>
      </c>
      <c r="O207" s="2"/>
      <c r="P207" s="2"/>
      <c r="Q207" s="2"/>
      <c r="R207" s="2"/>
      <c r="S207" s="2"/>
      <c r="T207" s="23" t="n">
        <v>9</v>
      </c>
      <c r="U207" s="2"/>
      <c r="V207" s="2"/>
      <c r="W207" s="2"/>
      <c r="X207" s="2"/>
      <c r="Y207" s="2"/>
      <c r="Z207" s="23" t="n">
        <v>3</v>
      </c>
      <c r="AA207" s="2"/>
      <c r="AB207" s="2"/>
      <c r="AC207" s="2"/>
      <c r="AD207" s="2"/>
      <c r="AE207" s="2"/>
      <c r="AF207" s="23" t="n">
        <v>4</v>
      </c>
      <c r="AG207" s="2"/>
      <c r="AH207" s="2"/>
      <c r="AI207" s="2"/>
      <c r="AJ207" s="2"/>
      <c r="AK207" s="2"/>
      <c r="AL207" s="23" t="n">
        <v>-6</v>
      </c>
      <c r="AM207" s="2"/>
      <c r="AN207" s="2"/>
      <c r="AO207" s="2"/>
      <c r="AP207" s="2"/>
      <c r="AQ207" s="2"/>
      <c r="AR207" s="23" t="n">
        <v>0</v>
      </c>
      <c r="AS207" s="2"/>
      <c r="AT207" s="2"/>
      <c r="AU207" s="2"/>
      <c r="AV207" s="2"/>
      <c r="AW207" s="2"/>
      <c r="AX207" s="23" t="n">
        <v>4</v>
      </c>
      <c r="AY207" s="2"/>
      <c r="AZ207" s="2"/>
      <c r="BA207" s="2"/>
      <c r="BB207" s="2"/>
      <c r="BC207" s="2"/>
      <c r="BD207" s="23" t="n">
        <v>42</v>
      </c>
      <c r="BE207" s="2"/>
      <c r="BF207" s="2"/>
      <c r="BG207" s="2"/>
      <c r="BH207" s="2"/>
      <c r="BI207" s="2"/>
      <c r="BJ207" s="23" t="n">
        <v>5</v>
      </c>
      <c r="BK207" s="2"/>
      <c r="BL207" s="2"/>
      <c r="BM207" s="2"/>
      <c r="BN207" s="2"/>
      <c r="BO207" s="2"/>
      <c r="BP207" s="23" t="n">
        <v>7</v>
      </c>
      <c r="BQ207" s="2"/>
      <c r="BR207" s="2"/>
      <c r="BS207" s="23" t="n">
        <v>1</v>
      </c>
      <c r="BT207" s="3"/>
      <c r="BU207" s="3"/>
      <c r="BV207" s="54" t="n">
        <v>0</v>
      </c>
      <c r="BW207" s="54" t="n">
        <v>0</v>
      </c>
      <c r="BX207" s="54" t="n">
        <v>0</v>
      </c>
      <c r="BY207" s="54" t="n">
        <v>0</v>
      </c>
      <c r="BZ207" s="54" t="n">
        <v>0</v>
      </c>
      <c r="CA207" s="16"/>
      <c r="CC207" s="5"/>
      <c r="CD207" s="5"/>
      <c r="CE207" s="5"/>
    </row>
    <row r="208" customFormat="false" ht="15" hidden="false" customHeight="false" outlineLevel="0" collapsed="false">
      <c r="B208" s="26" t="s">
        <v>313</v>
      </c>
      <c r="C208" s="28"/>
      <c r="D208" s="28"/>
      <c r="E208" s="28"/>
      <c r="F208" s="28"/>
      <c r="G208" s="28"/>
      <c r="H208" s="27" t="n">
        <v>-141</v>
      </c>
      <c r="I208" s="28"/>
      <c r="J208" s="28"/>
      <c r="K208" s="28"/>
      <c r="L208" s="28"/>
      <c r="M208" s="28"/>
      <c r="N208" s="27" t="n">
        <v>-653</v>
      </c>
      <c r="O208" s="28"/>
      <c r="P208" s="28"/>
      <c r="Q208" s="28"/>
      <c r="R208" s="28"/>
      <c r="S208" s="28"/>
      <c r="T208" s="27" t="n">
        <v>-349</v>
      </c>
      <c r="U208" s="28"/>
      <c r="V208" s="28"/>
      <c r="W208" s="28"/>
      <c r="X208" s="28"/>
      <c r="Y208" s="28"/>
      <c r="Z208" s="27" t="n">
        <v>-476</v>
      </c>
      <c r="AA208" s="28"/>
      <c r="AB208" s="28"/>
      <c r="AC208" s="28"/>
      <c r="AD208" s="28"/>
      <c r="AE208" s="28"/>
      <c r="AF208" s="27" t="n">
        <v>-627</v>
      </c>
      <c r="AG208" s="28"/>
      <c r="AH208" s="28"/>
      <c r="AI208" s="28"/>
      <c r="AJ208" s="28"/>
      <c r="AK208" s="28"/>
      <c r="AL208" s="27" t="n">
        <v>-759</v>
      </c>
      <c r="AM208" s="28"/>
      <c r="AN208" s="28"/>
      <c r="AO208" s="28"/>
      <c r="AP208" s="28"/>
      <c r="AQ208" s="28"/>
      <c r="AR208" s="27" t="n">
        <v>-1954</v>
      </c>
      <c r="AS208" s="28"/>
      <c r="AT208" s="28"/>
      <c r="AU208" s="28"/>
      <c r="AV208" s="28"/>
      <c r="AW208" s="28"/>
      <c r="AX208" s="27" t="n">
        <v>-268</v>
      </c>
      <c r="AY208" s="28"/>
      <c r="AZ208" s="28"/>
      <c r="BA208" s="28"/>
      <c r="BB208" s="28"/>
      <c r="BC208" s="28"/>
      <c r="BD208" s="27" t="n">
        <v>-236</v>
      </c>
      <c r="BE208" s="28"/>
      <c r="BF208" s="28"/>
      <c r="BG208" s="28"/>
      <c r="BH208" s="28"/>
      <c r="BI208" s="28"/>
      <c r="BJ208" s="27" t="n">
        <v>-348</v>
      </c>
      <c r="BK208" s="28"/>
      <c r="BL208" s="28"/>
      <c r="BM208" s="28"/>
      <c r="BN208" s="28"/>
      <c r="BO208" s="28"/>
      <c r="BP208" s="27" t="n">
        <v>-521</v>
      </c>
      <c r="BQ208" s="28"/>
      <c r="BR208" s="28"/>
      <c r="BS208" s="27" t="n">
        <v>-189</v>
      </c>
      <c r="BT208" s="29"/>
      <c r="BU208" s="29"/>
      <c r="BV208" s="29" t="n">
        <f aca="false">SUM(BV204:BV207)</f>
        <v>-590.25</v>
      </c>
      <c r="BW208" s="29" t="n">
        <f aca="false">SUM(BW204:BW207)</f>
        <v>-587.510538734505</v>
      </c>
      <c r="BX208" s="29" t="n">
        <f aca="false">SUM(BX204:BX207)</f>
        <v>-582.96558314079</v>
      </c>
      <c r="BY208" s="29" t="n">
        <f aca="false">SUM(BY204:BY207)</f>
        <v>-574.61284000927</v>
      </c>
      <c r="BZ208" s="29" t="n">
        <f aca="false">SUM(BZ204:BZ207)</f>
        <v>-561.682940966772</v>
      </c>
      <c r="CA208" s="16"/>
      <c r="CC208" s="5"/>
      <c r="CD208" s="5"/>
      <c r="CE208" s="5"/>
    </row>
    <row r="209" customFormat="false" ht="15" hidden="false" customHeight="false" outlineLevel="0" collapsed="false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3"/>
      <c r="BU209" s="3"/>
      <c r="BV209" s="3"/>
      <c r="BW209" s="3"/>
      <c r="BX209" s="3"/>
      <c r="BY209" s="3"/>
      <c r="BZ209" s="3"/>
      <c r="CA209" s="16"/>
      <c r="CC209" s="5"/>
      <c r="CD209" s="5"/>
      <c r="CE209" s="5"/>
    </row>
    <row r="210" customFormat="false" ht="15" hidden="false" customHeight="false" outlineLevel="0" collapsed="false">
      <c r="B210" s="1" t="s">
        <v>314</v>
      </c>
      <c r="C210" s="2"/>
      <c r="D210" s="2"/>
      <c r="E210" s="2"/>
      <c r="F210" s="2"/>
      <c r="G210" s="2"/>
      <c r="H210" s="23" t="n">
        <v>600</v>
      </c>
      <c r="I210" s="2"/>
      <c r="J210" s="2"/>
      <c r="K210" s="2"/>
      <c r="L210" s="2"/>
      <c r="M210" s="2"/>
      <c r="N210" s="23" t="n">
        <v>0</v>
      </c>
      <c r="O210" s="2"/>
      <c r="P210" s="2"/>
      <c r="Q210" s="2"/>
      <c r="R210" s="2"/>
      <c r="S210" s="2"/>
      <c r="T210" s="23" t="n">
        <v>600</v>
      </c>
      <c r="U210" s="2"/>
      <c r="V210" s="2"/>
      <c r="W210" s="2"/>
      <c r="X210" s="2"/>
      <c r="Y210" s="2"/>
      <c r="Z210" s="23" t="n">
        <v>0</v>
      </c>
      <c r="AA210" s="2"/>
      <c r="AB210" s="2"/>
      <c r="AC210" s="2"/>
      <c r="AD210" s="2"/>
      <c r="AE210" s="2"/>
      <c r="AF210" s="23" t="n">
        <v>0</v>
      </c>
      <c r="AG210" s="2"/>
      <c r="AH210" s="2"/>
      <c r="AI210" s="2"/>
      <c r="AJ210" s="2"/>
      <c r="AK210" s="2"/>
      <c r="AL210" s="23" t="n">
        <v>1000</v>
      </c>
      <c r="AM210" s="2"/>
      <c r="AN210" s="2"/>
      <c r="AO210" s="2"/>
      <c r="AP210" s="2"/>
      <c r="AQ210" s="2"/>
      <c r="AR210" s="23" t="n">
        <v>1650</v>
      </c>
      <c r="AS210" s="2"/>
      <c r="AT210" s="2"/>
      <c r="AU210" s="2"/>
      <c r="AV210" s="2"/>
      <c r="AW210" s="2"/>
      <c r="AX210" s="23" t="n">
        <v>0</v>
      </c>
      <c r="AY210" s="2"/>
      <c r="AZ210" s="2"/>
      <c r="BA210" s="2"/>
      <c r="BB210" s="2"/>
      <c r="BC210" s="2"/>
      <c r="BD210" s="23" t="n">
        <v>0</v>
      </c>
      <c r="BE210" s="2"/>
      <c r="BF210" s="2"/>
      <c r="BG210" s="2"/>
      <c r="BH210" s="2"/>
      <c r="BI210" s="2"/>
      <c r="BJ210" s="23" t="n">
        <v>1000</v>
      </c>
      <c r="BK210" s="2"/>
      <c r="BL210" s="2"/>
      <c r="BM210" s="2"/>
      <c r="BN210" s="2"/>
      <c r="BO210" s="2"/>
      <c r="BP210" s="23" t="n">
        <v>0</v>
      </c>
      <c r="BQ210" s="2"/>
      <c r="BR210" s="2"/>
      <c r="BS210" s="23" t="n">
        <v>0</v>
      </c>
      <c r="BT210" s="3"/>
      <c r="BU210" s="3"/>
      <c r="BV210" s="3" t="n">
        <f aca="false">MAX(0,BV309-BP309)</f>
        <v>0</v>
      </c>
      <c r="BW210" s="3" t="n">
        <f aca="false">MAX(0,BW309-BV309)</f>
        <v>0</v>
      </c>
      <c r="BX210" s="3" t="n">
        <f aca="false">MAX(0,BX309-BW309)</f>
        <v>0</v>
      </c>
      <c r="BY210" s="3" t="n">
        <f aca="false">MAX(0,BY309-BX309)</f>
        <v>0</v>
      </c>
      <c r="BZ210" s="3" t="n">
        <f aca="false">MAX(0,BZ309-BY309)</f>
        <v>0</v>
      </c>
      <c r="CA210" s="16"/>
      <c r="CC210" s="5"/>
      <c r="CD210" s="5"/>
      <c r="CE210" s="5"/>
    </row>
    <row r="211" customFormat="false" ht="15" hidden="false" customHeight="false" outlineLevel="0" collapsed="false">
      <c r="B211" s="1" t="s">
        <v>315</v>
      </c>
      <c r="C211" s="2"/>
      <c r="D211" s="2"/>
      <c r="E211" s="2"/>
      <c r="F211" s="2"/>
      <c r="G211" s="2"/>
      <c r="H211" s="23" t="n">
        <v>-995</v>
      </c>
      <c r="I211" s="2"/>
      <c r="J211" s="2"/>
      <c r="K211" s="2"/>
      <c r="L211" s="2"/>
      <c r="M211" s="2"/>
      <c r="N211" s="23" t="n">
        <v>0</v>
      </c>
      <c r="O211" s="2"/>
      <c r="P211" s="2"/>
      <c r="Q211" s="2"/>
      <c r="R211" s="2"/>
      <c r="S211" s="2"/>
      <c r="T211" s="23" t="n">
        <v>-600</v>
      </c>
      <c r="U211" s="2"/>
      <c r="V211" s="2"/>
      <c r="W211" s="2"/>
      <c r="X211" s="2"/>
      <c r="Y211" s="2"/>
      <c r="Z211" s="23" t="n">
        <v>0</v>
      </c>
      <c r="AA211" s="2"/>
      <c r="AB211" s="2"/>
      <c r="AC211" s="2"/>
      <c r="AD211" s="2"/>
      <c r="AE211" s="2"/>
      <c r="AF211" s="23" t="n">
        <v>0</v>
      </c>
      <c r="AG211" s="2"/>
      <c r="AH211" s="2"/>
      <c r="AI211" s="2"/>
      <c r="AJ211" s="2"/>
      <c r="AK211" s="2"/>
      <c r="AL211" s="23" t="n">
        <v>-600</v>
      </c>
      <c r="AM211" s="2"/>
      <c r="AN211" s="2"/>
      <c r="AO211" s="2"/>
      <c r="AP211" s="2"/>
      <c r="AQ211" s="2"/>
      <c r="AR211" s="23" t="n">
        <v>-25</v>
      </c>
      <c r="AS211" s="2"/>
      <c r="AT211" s="2"/>
      <c r="AU211" s="2"/>
      <c r="AV211" s="2"/>
      <c r="AW211" s="2"/>
      <c r="AX211" s="23" t="n">
        <v>-400</v>
      </c>
      <c r="AY211" s="2"/>
      <c r="AZ211" s="2"/>
      <c r="BA211" s="2"/>
      <c r="BB211" s="2"/>
      <c r="BC211" s="2"/>
      <c r="BD211" s="23" t="n">
        <v>-480</v>
      </c>
      <c r="BE211" s="2"/>
      <c r="BF211" s="2"/>
      <c r="BG211" s="2"/>
      <c r="BH211" s="2"/>
      <c r="BI211" s="2"/>
      <c r="BJ211" s="23" t="n">
        <v>-229</v>
      </c>
      <c r="BK211" s="2"/>
      <c r="BL211" s="2"/>
      <c r="BM211" s="2"/>
      <c r="BN211" s="2"/>
      <c r="BO211" s="2"/>
      <c r="BP211" s="23" t="n">
        <v>-500</v>
      </c>
      <c r="BQ211" s="2"/>
      <c r="BR211" s="2"/>
      <c r="BS211" s="23" t="n">
        <v>0</v>
      </c>
      <c r="BT211" s="3"/>
      <c r="BU211" s="3"/>
      <c r="BV211" s="3" t="n">
        <f aca="false">MIN(0,BV309-BP309)</f>
        <v>0</v>
      </c>
      <c r="BW211" s="3" t="n">
        <f aca="false">MIN(0,BW309-BV309)</f>
        <v>0</v>
      </c>
      <c r="BX211" s="3" t="n">
        <f aca="false">MIN(0,BX309-BW309)</f>
        <v>0</v>
      </c>
      <c r="BY211" s="3" t="n">
        <f aca="false">MIN(0,BY309-BX309)</f>
        <v>0</v>
      </c>
      <c r="BZ211" s="3" t="n">
        <f aca="false">MIN(0,BZ309-BY309)</f>
        <v>0</v>
      </c>
      <c r="CA211" s="16" t="s">
        <v>316</v>
      </c>
      <c r="CC211" s="5"/>
      <c r="CD211" s="5"/>
      <c r="CE211" s="5"/>
    </row>
    <row r="212" customFormat="false" ht="15" hidden="false" customHeight="false" outlineLevel="0" collapsed="false">
      <c r="B212" s="1" t="s">
        <v>317</v>
      </c>
      <c r="C212" s="2"/>
      <c r="D212" s="2"/>
      <c r="E212" s="2"/>
      <c r="F212" s="2"/>
      <c r="G212" s="2"/>
      <c r="H212" s="23" t="n">
        <v>-81</v>
      </c>
      <c r="I212" s="2"/>
      <c r="J212" s="2"/>
      <c r="K212" s="2"/>
      <c r="L212" s="2"/>
      <c r="M212" s="2"/>
      <c r="N212" s="23" t="n">
        <v>-98</v>
      </c>
      <c r="O212" s="2"/>
      <c r="P212" s="2"/>
      <c r="Q212" s="2"/>
      <c r="R212" s="2"/>
      <c r="S212" s="2"/>
      <c r="T212" s="23" t="n">
        <v>-115</v>
      </c>
      <c r="U212" s="2"/>
      <c r="V212" s="2"/>
      <c r="W212" s="2"/>
      <c r="X212" s="2"/>
      <c r="Y212" s="2"/>
      <c r="Z212" s="23" t="n">
        <v>-132</v>
      </c>
      <c r="AA212" s="2"/>
      <c r="AB212" s="2"/>
      <c r="AC212" s="2"/>
      <c r="AD212" s="2"/>
      <c r="AE212" s="2"/>
      <c r="AF212" s="23" t="n">
        <v>-149</v>
      </c>
      <c r="AG212" s="2"/>
      <c r="AH212" s="2"/>
      <c r="AI212" s="2"/>
      <c r="AJ212" s="2"/>
      <c r="AK212" s="2"/>
      <c r="AL212" s="23" t="n">
        <v>-172</v>
      </c>
      <c r="AM212" s="2"/>
      <c r="AN212" s="2"/>
      <c r="AO212" s="2"/>
      <c r="AP212" s="2"/>
      <c r="AQ212" s="2"/>
      <c r="AR212" s="23" t="n">
        <v>-186</v>
      </c>
      <c r="AS212" s="2"/>
      <c r="AT212" s="2"/>
      <c r="AU212" s="2"/>
      <c r="AV212" s="2"/>
      <c r="AW212" s="2"/>
      <c r="AX212" s="23" t="n">
        <v>-192</v>
      </c>
      <c r="AY212" s="2"/>
      <c r="AZ212" s="2"/>
      <c r="BA212" s="2"/>
      <c r="BB212" s="2"/>
      <c r="BC212" s="2"/>
      <c r="BD212" s="23" t="n">
        <v>-200</v>
      </c>
      <c r="BE212" s="2"/>
      <c r="BF212" s="2"/>
      <c r="BG212" s="2"/>
      <c r="BH212" s="2"/>
      <c r="BI212" s="2"/>
      <c r="BJ212" s="23" t="n">
        <v>-206</v>
      </c>
      <c r="BK212" s="2"/>
      <c r="BL212" s="2"/>
      <c r="BM212" s="2"/>
      <c r="BN212" s="2"/>
      <c r="BO212" s="2"/>
      <c r="BP212" s="23" t="n">
        <v>-213</v>
      </c>
      <c r="BQ212" s="2"/>
      <c r="BR212" s="2"/>
      <c r="BS212" s="23" t="n">
        <v>-109</v>
      </c>
      <c r="BT212" s="3"/>
      <c r="BU212" s="3"/>
      <c r="BV212" s="3" t="n">
        <f aca="false">-BV140*BV136</f>
        <v>-217.764</v>
      </c>
      <c r="BW212" s="3" t="n">
        <f aca="false">-BW140*BW136</f>
        <v>-223.928225505523</v>
      </c>
      <c r="BX212" s="3" t="n">
        <f aca="false">-BX140*BX136</f>
        <v>-227.209294154797</v>
      </c>
      <c r="BY212" s="3" t="n">
        <f aca="false">-BY140*BY136</f>
        <v>-229.849896096936</v>
      </c>
      <c r="BZ212" s="3" t="n">
        <f aca="false">-BZ140*BZ136</f>
        <v>-231.894853485629</v>
      </c>
      <c r="CA212" s="16" t="s">
        <v>318</v>
      </c>
      <c r="CC212" s="5"/>
      <c r="CD212" s="5"/>
      <c r="CE212" s="5"/>
    </row>
    <row r="213" customFormat="false" ht="15" hidden="false" customHeight="false" outlineLevel="0" collapsed="false">
      <c r="B213" s="1" t="s">
        <v>319</v>
      </c>
      <c r="C213" s="2"/>
      <c r="D213" s="2"/>
      <c r="E213" s="2"/>
      <c r="F213" s="2"/>
      <c r="G213" s="2"/>
      <c r="H213" s="23" t="n">
        <v>-232</v>
      </c>
      <c r="I213" s="2"/>
      <c r="J213" s="2"/>
      <c r="K213" s="2"/>
      <c r="L213" s="2"/>
      <c r="M213" s="2"/>
      <c r="N213" s="23" t="n">
        <v>-194</v>
      </c>
      <c r="O213" s="2"/>
      <c r="P213" s="2"/>
      <c r="Q213" s="2"/>
      <c r="R213" s="2"/>
      <c r="S213" s="2"/>
      <c r="T213" s="23" t="n">
        <v>-286</v>
      </c>
      <c r="U213" s="2"/>
      <c r="V213" s="2"/>
      <c r="W213" s="2"/>
      <c r="X213" s="2"/>
      <c r="Y213" s="2"/>
      <c r="Z213" s="23" t="n">
        <v>-742</v>
      </c>
      <c r="AA213" s="2"/>
      <c r="AB213" s="2"/>
      <c r="AC213" s="2"/>
      <c r="AD213" s="2"/>
      <c r="AE213" s="2"/>
      <c r="AF213" s="23" t="n">
        <v>-262</v>
      </c>
      <c r="AG213" s="2"/>
      <c r="AH213" s="2"/>
      <c r="AI213" s="2"/>
      <c r="AJ213" s="2"/>
      <c r="AK213" s="2"/>
      <c r="AL213" s="23" t="n">
        <v>-84</v>
      </c>
      <c r="AM213" s="2"/>
      <c r="AN213" s="2"/>
      <c r="AO213" s="2"/>
      <c r="AP213" s="2"/>
      <c r="AQ213" s="2"/>
      <c r="AR213" s="23" t="n">
        <v>-101</v>
      </c>
      <c r="AS213" s="2"/>
      <c r="AT213" s="2"/>
      <c r="AU213" s="2"/>
      <c r="AV213" s="2"/>
      <c r="AW213" s="2"/>
      <c r="AX213" s="23" t="n">
        <v>-52</v>
      </c>
      <c r="AY213" s="2"/>
      <c r="AZ213" s="2"/>
      <c r="BA213" s="2"/>
      <c r="BB213" s="2"/>
      <c r="BC213" s="2"/>
      <c r="BD213" s="23" t="n">
        <v>-75</v>
      </c>
      <c r="BE213" s="2"/>
      <c r="BF213" s="2"/>
      <c r="BG213" s="2"/>
      <c r="BH213" s="2"/>
      <c r="BI213" s="2"/>
      <c r="BJ213" s="23" t="n">
        <v>-162</v>
      </c>
      <c r="BK213" s="2"/>
      <c r="BL213" s="2"/>
      <c r="BM213" s="2"/>
      <c r="BN213" s="2"/>
      <c r="BO213" s="2"/>
      <c r="BP213" s="23" t="n">
        <v>0</v>
      </c>
      <c r="BQ213" s="2"/>
      <c r="BR213" s="2"/>
      <c r="BS213" s="23" t="n">
        <v>0</v>
      </c>
      <c r="BT213" s="3"/>
      <c r="BU213" s="3"/>
      <c r="BV213" s="3" t="n">
        <f aca="false">-CHOOSE(MATCH($CA$2,{"Bull","Base","Bear"},0),$CI$64,$CJ$64,$CK$64)</f>
        <v>-0</v>
      </c>
      <c r="BW213" s="3" t="n">
        <f aca="false">-CHOOSE(MATCH($CA$2,{"Bull","Base","Bear"},0),$CI$65,$CJ$65,$CK$65)</f>
        <v>-200</v>
      </c>
      <c r="BX213" s="3" t="n">
        <f aca="false">-CHOOSE(MATCH($CA$2,{"Bull","Base","Bear"},0),$CI$66,$CJ$66,$CK$66)</f>
        <v>-250</v>
      </c>
      <c r="BY213" s="3" t="n">
        <f aca="false">-CHOOSE(MATCH($CA$2,{"Bull","Base","Bear"},0),$CI$67,$CJ$67,$CK$67)</f>
        <v>-300</v>
      </c>
      <c r="BZ213" s="3" t="n">
        <f aca="false">-CHOOSE(MATCH($CA$2,{"Bull","Base","Bear"},0),$CI$68,$CJ$68,$CK$68)</f>
        <v>-350</v>
      </c>
      <c r="CA213" s="16" t="s">
        <v>320</v>
      </c>
      <c r="CC213" s="5"/>
      <c r="CD213" s="5"/>
      <c r="CE213" s="5"/>
    </row>
    <row r="214" customFormat="false" ht="15" hidden="false" customHeight="false" outlineLevel="0" collapsed="false">
      <c r="B214" s="1" t="s">
        <v>321</v>
      </c>
      <c r="C214" s="2"/>
      <c r="D214" s="2"/>
      <c r="E214" s="2"/>
      <c r="F214" s="2"/>
      <c r="G214" s="2"/>
      <c r="H214" s="23" t="n">
        <v>-54</v>
      </c>
      <c r="I214" s="2"/>
      <c r="J214" s="2"/>
      <c r="K214" s="2"/>
      <c r="L214" s="2"/>
      <c r="M214" s="2"/>
      <c r="N214" s="23" t="n">
        <v>-51</v>
      </c>
      <c r="O214" s="2"/>
      <c r="P214" s="2"/>
      <c r="Q214" s="2"/>
      <c r="R214" s="2"/>
      <c r="S214" s="2"/>
      <c r="T214" s="23" t="n">
        <v>-56</v>
      </c>
      <c r="U214" s="2"/>
      <c r="V214" s="2"/>
      <c r="W214" s="2"/>
      <c r="X214" s="2"/>
      <c r="Y214" s="2"/>
      <c r="Z214" s="23" t="n">
        <v>-25</v>
      </c>
      <c r="AA214" s="2"/>
      <c r="AB214" s="2"/>
      <c r="AC214" s="2"/>
      <c r="AD214" s="2"/>
      <c r="AE214" s="2"/>
      <c r="AF214" s="23" t="n">
        <v>-23</v>
      </c>
      <c r="AG214" s="2"/>
      <c r="AH214" s="2"/>
      <c r="AI214" s="2"/>
      <c r="AJ214" s="2"/>
      <c r="AK214" s="2"/>
      <c r="AL214" s="23" t="n">
        <v>-13</v>
      </c>
      <c r="AM214" s="2"/>
      <c r="AN214" s="2"/>
      <c r="AO214" s="2"/>
      <c r="AP214" s="2"/>
      <c r="AQ214" s="2"/>
      <c r="AR214" s="23" t="n">
        <v>-7</v>
      </c>
      <c r="AS214" s="2"/>
      <c r="AT214" s="2"/>
      <c r="AU214" s="2"/>
      <c r="AV214" s="2"/>
      <c r="AW214" s="2"/>
      <c r="AX214" s="23" t="n">
        <v>-14</v>
      </c>
      <c r="AY214" s="2"/>
      <c r="AZ214" s="2"/>
      <c r="BA214" s="2"/>
      <c r="BB214" s="2"/>
      <c r="BC214" s="2"/>
      <c r="BD214" s="23" t="n">
        <v>-13</v>
      </c>
      <c r="BE214" s="2"/>
      <c r="BF214" s="2"/>
      <c r="BG214" s="2"/>
      <c r="BH214" s="2"/>
      <c r="BI214" s="2"/>
      <c r="BJ214" s="23" t="n">
        <v>-25</v>
      </c>
      <c r="BK214" s="2"/>
      <c r="BL214" s="2"/>
      <c r="BM214" s="2"/>
      <c r="BN214" s="2"/>
      <c r="BO214" s="2"/>
      <c r="BP214" s="23" t="n">
        <v>-14</v>
      </c>
      <c r="BQ214" s="2"/>
      <c r="BR214" s="2"/>
      <c r="BS214" s="23" t="n">
        <v>-43</v>
      </c>
      <c r="BT214" s="3"/>
      <c r="BU214" s="3"/>
      <c r="BV214" s="54" t="n">
        <v>-45</v>
      </c>
      <c r="BW214" s="54" t="n">
        <v>-20</v>
      </c>
      <c r="BX214" s="54" t="n">
        <v>-20</v>
      </c>
      <c r="BY214" s="54" t="n">
        <v>-20</v>
      </c>
      <c r="BZ214" s="54" t="n">
        <v>-20</v>
      </c>
      <c r="CA214" s="16"/>
      <c r="CC214" s="5"/>
      <c r="CD214" s="5"/>
      <c r="CE214" s="5"/>
    </row>
    <row r="215" customFormat="false" ht="15" hidden="false" customHeight="false" outlineLevel="0" collapsed="false">
      <c r="B215" s="1" t="s">
        <v>322</v>
      </c>
      <c r="C215" s="2"/>
      <c r="D215" s="2"/>
      <c r="E215" s="2"/>
      <c r="F215" s="2"/>
      <c r="G215" s="2"/>
      <c r="H215" s="23" t="n">
        <v>-54</v>
      </c>
      <c r="I215" s="2"/>
      <c r="J215" s="2"/>
      <c r="K215" s="2"/>
      <c r="L215" s="2"/>
      <c r="M215" s="2"/>
      <c r="N215" s="23" t="n">
        <v>0</v>
      </c>
      <c r="O215" s="2"/>
      <c r="P215" s="2"/>
      <c r="Q215" s="2"/>
      <c r="R215" s="2"/>
      <c r="S215" s="2"/>
      <c r="T215" s="23" t="n">
        <v>-27</v>
      </c>
      <c r="U215" s="2"/>
      <c r="V215" s="2"/>
      <c r="W215" s="2"/>
      <c r="X215" s="2"/>
      <c r="Y215" s="2"/>
      <c r="Z215" s="23" t="n">
        <v>0</v>
      </c>
      <c r="AA215" s="2"/>
      <c r="AB215" s="2"/>
      <c r="AC215" s="2"/>
      <c r="AD215" s="2"/>
      <c r="AE215" s="2"/>
      <c r="AF215" s="23" t="n">
        <v>0</v>
      </c>
      <c r="AG215" s="2"/>
      <c r="AH215" s="2"/>
      <c r="AI215" s="2"/>
      <c r="AJ215" s="2"/>
      <c r="AK215" s="2"/>
      <c r="AL215" s="23" t="n">
        <v>-28</v>
      </c>
      <c r="AM215" s="2"/>
      <c r="AN215" s="2"/>
      <c r="AO215" s="2"/>
      <c r="AP215" s="2"/>
      <c r="AQ215" s="2"/>
      <c r="AR215" s="23" t="n">
        <v>-22</v>
      </c>
      <c r="AS215" s="2"/>
      <c r="AT215" s="2"/>
      <c r="AU215" s="2"/>
      <c r="AV215" s="2"/>
      <c r="AW215" s="2"/>
      <c r="AX215" s="23" t="n">
        <v>0</v>
      </c>
      <c r="AY215" s="2"/>
      <c r="AZ215" s="2"/>
      <c r="BA215" s="2"/>
      <c r="BB215" s="2"/>
      <c r="BC215" s="2"/>
      <c r="BD215" s="23" t="n">
        <v>-3</v>
      </c>
      <c r="BE215" s="2"/>
      <c r="BF215" s="2"/>
      <c r="BG215" s="2"/>
      <c r="BH215" s="2"/>
      <c r="BI215" s="2"/>
      <c r="BJ215" s="23" t="n">
        <v>-22</v>
      </c>
      <c r="BK215" s="2"/>
      <c r="BL215" s="2"/>
      <c r="BM215" s="2"/>
      <c r="BN215" s="2"/>
      <c r="BO215" s="2"/>
      <c r="BP215" s="23" t="n">
        <v>-5</v>
      </c>
      <c r="BQ215" s="2"/>
      <c r="BR215" s="2"/>
      <c r="BS215" s="23" t="n">
        <v>0</v>
      </c>
      <c r="BT215" s="3"/>
      <c r="BU215" s="3"/>
      <c r="BV215" s="54" t="n">
        <v>0</v>
      </c>
      <c r="BW215" s="54" t="n">
        <v>0</v>
      </c>
      <c r="BX215" s="54" t="n">
        <v>0</v>
      </c>
      <c r="BY215" s="54" t="n">
        <v>0</v>
      </c>
      <c r="BZ215" s="54" t="n">
        <v>0</v>
      </c>
      <c r="CA215" s="16"/>
      <c r="CC215" s="5"/>
      <c r="CD215" s="5"/>
      <c r="CE215" s="5"/>
    </row>
    <row r="216" customFormat="false" ht="15" hidden="false" customHeight="false" outlineLevel="0" collapsed="false">
      <c r="B216" s="26" t="s">
        <v>323</v>
      </c>
      <c r="C216" s="28"/>
      <c r="D216" s="28"/>
      <c r="E216" s="28"/>
      <c r="F216" s="28"/>
      <c r="G216" s="28"/>
      <c r="H216" s="27" t="n">
        <v>-816</v>
      </c>
      <c r="I216" s="28"/>
      <c r="J216" s="28"/>
      <c r="K216" s="28"/>
      <c r="L216" s="28"/>
      <c r="M216" s="28"/>
      <c r="N216" s="27" t="n">
        <v>-343</v>
      </c>
      <c r="O216" s="28"/>
      <c r="P216" s="28"/>
      <c r="Q216" s="28"/>
      <c r="R216" s="28"/>
      <c r="S216" s="28"/>
      <c r="T216" s="27" t="n">
        <v>-484</v>
      </c>
      <c r="U216" s="28"/>
      <c r="V216" s="28"/>
      <c r="W216" s="28"/>
      <c r="X216" s="28"/>
      <c r="Y216" s="28"/>
      <c r="Z216" s="27" t="n">
        <v>-899</v>
      </c>
      <c r="AA216" s="28"/>
      <c r="AB216" s="28"/>
      <c r="AC216" s="28"/>
      <c r="AD216" s="28"/>
      <c r="AE216" s="28"/>
      <c r="AF216" s="27" t="n">
        <v>-434</v>
      </c>
      <c r="AG216" s="28"/>
      <c r="AH216" s="28"/>
      <c r="AI216" s="28"/>
      <c r="AJ216" s="28"/>
      <c r="AK216" s="28"/>
      <c r="AL216" s="27" t="n">
        <v>103</v>
      </c>
      <c r="AM216" s="28"/>
      <c r="AN216" s="28"/>
      <c r="AO216" s="28"/>
      <c r="AP216" s="28"/>
      <c r="AQ216" s="28"/>
      <c r="AR216" s="27" t="n">
        <v>1309</v>
      </c>
      <c r="AS216" s="28"/>
      <c r="AT216" s="28"/>
      <c r="AU216" s="28"/>
      <c r="AV216" s="28"/>
      <c r="AW216" s="28"/>
      <c r="AX216" s="27" t="n">
        <v>-658</v>
      </c>
      <c r="AY216" s="28"/>
      <c r="AZ216" s="28"/>
      <c r="BA216" s="28"/>
      <c r="BB216" s="28"/>
      <c r="BC216" s="28"/>
      <c r="BD216" s="27" t="n">
        <v>-771</v>
      </c>
      <c r="BE216" s="28"/>
      <c r="BF216" s="28"/>
      <c r="BG216" s="28"/>
      <c r="BH216" s="28"/>
      <c r="BI216" s="28"/>
      <c r="BJ216" s="27" t="n">
        <v>356</v>
      </c>
      <c r="BK216" s="28"/>
      <c r="BL216" s="28"/>
      <c r="BM216" s="28"/>
      <c r="BN216" s="28"/>
      <c r="BO216" s="28"/>
      <c r="BP216" s="27" t="n">
        <v>-732</v>
      </c>
      <c r="BQ216" s="28"/>
      <c r="BR216" s="28"/>
      <c r="BS216" s="27" t="n">
        <v>-152</v>
      </c>
      <c r="BT216" s="29"/>
      <c r="BU216" s="29"/>
      <c r="BV216" s="29" t="n">
        <f aca="false">SUM(BV210:BV215)</f>
        <v>-262.764</v>
      </c>
      <c r="BW216" s="29" t="n">
        <f aca="false">SUM(BW210:BW215)</f>
        <v>-443.928225505523</v>
      </c>
      <c r="BX216" s="29" t="n">
        <f aca="false">SUM(BX210:BX215)</f>
        <v>-497.209294154797</v>
      </c>
      <c r="BY216" s="29" t="n">
        <f aca="false">SUM(BY210:BY215)</f>
        <v>-549.849896096936</v>
      </c>
      <c r="BZ216" s="29" t="n">
        <f aca="false">SUM(BZ210:BZ215)</f>
        <v>-601.894853485629</v>
      </c>
      <c r="CA216" s="16"/>
      <c r="CC216" s="5"/>
      <c r="CD216" s="5"/>
      <c r="CE216" s="5"/>
    </row>
    <row r="217" customFormat="false" ht="15" hidden="false" customHeight="false" outlineLevel="0" collapsed="false">
      <c r="B217" s="73" t="s">
        <v>324</v>
      </c>
      <c r="C217" s="74"/>
      <c r="D217" s="74"/>
      <c r="E217" s="74"/>
      <c r="F217" s="74"/>
      <c r="G217" s="74"/>
      <c r="H217" s="75" t="n">
        <v>-96</v>
      </c>
      <c r="I217" s="74"/>
      <c r="J217" s="74"/>
      <c r="K217" s="74"/>
      <c r="L217" s="74"/>
      <c r="M217" s="74"/>
      <c r="N217" s="75" t="n">
        <v>-174</v>
      </c>
      <c r="O217" s="74"/>
      <c r="P217" s="74"/>
      <c r="Q217" s="74"/>
      <c r="R217" s="74"/>
      <c r="S217" s="74"/>
      <c r="T217" s="75" t="n">
        <v>-19</v>
      </c>
      <c r="U217" s="74"/>
      <c r="V217" s="74"/>
      <c r="W217" s="74"/>
      <c r="X217" s="74"/>
      <c r="Y217" s="74"/>
      <c r="Z217" s="75" t="n">
        <v>-461</v>
      </c>
      <c r="AA217" s="74"/>
      <c r="AB217" s="74"/>
      <c r="AC217" s="74"/>
      <c r="AD217" s="74"/>
      <c r="AE217" s="74"/>
      <c r="AF217" s="75" t="n">
        <v>-165</v>
      </c>
      <c r="AG217" s="74"/>
      <c r="AH217" s="74"/>
      <c r="AI217" s="74"/>
      <c r="AJ217" s="74"/>
      <c r="AK217" s="74"/>
      <c r="AL217" s="75" t="n">
        <v>437</v>
      </c>
      <c r="AM217" s="74"/>
      <c r="AN217" s="74"/>
      <c r="AO217" s="74"/>
      <c r="AP217" s="74"/>
      <c r="AQ217" s="74"/>
      <c r="AR217" s="75" t="n">
        <v>115</v>
      </c>
      <c r="AS217" s="74"/>
      <c r="AT217" s="74"/>
      <c r="AU217" s="74"/>
      <c r="AV217" s="74"/>
      <c r="AW217" s="74"/>
      <c r="AX217" s="75" t="n">
        <v>-160</v>
      </c>
      <c r="AY217" s="74"/>
      <c r="AZ217" s="74"/>
      <c r="BA217" s="74"/>
      <c r="BB217" s="74"/>
      <c r="BC217" s="74"/>
      <c r="BD217" s="75" t="n">
        <v>-37</v>
      </c>
      <c r="BE217" s="74"/>
      <c r="BF217" s="74"/>
      <c r="BG217" s="74"/>
      <c r="BH217" s="74"/>
      <c r="BI217" s="74"/>
      <c r="BJ217" s="75" t="n">
        <v>401</v>
      </c>
      <c r="BK217" s="74"/>
      <c r="BL217" s="74"/>
      <c r="BM217" s="74"/>
      <c r="BN217" s="74"/>
      <c r="BO217" s="74"/>
      <c r="BP217" s="75" t="n">
        <v>-57</v>
      </c>
      <c r="BQ217" s="74"/>
      <c r="BR217" s="74"/>
      <c r="BS217" s="75" t="n">
        <v>-762</v>
      </c>
      <c r="BT217" s="76"/>
      <c r="BU217" s="76"/>
      <c r="BV217" s="76" t="n">
        <f aca="false">BV203+BV208+BV216</f>
        <v>287.236</v>
      </c>
      <c r="BW217" s="76" t="n">
        <f aca="false">BW203+BW208+BW216</f>
        <v>-27.4419594470645</v>
      </c>
      <c r="BX217" s="76" t="n">
        <f aca="false">BX203+BX208+BX216</f>
        <v>80.5659392751759</v>
      </c>
      <c r="BY217" s="76" t="n">
        <f aca="false">BY203+BY208+BY216</f>
        <v>121.7903766687</v>
      </c>
      <c r="BZ217" s="76" t="n">
        <f aca="false">BZ203+BZ208+BZ216</f>
        <v>179.616716704977</v>
      </c>
      <c r="CA217" s="16"/>
      <c r="CC217" s="5"/>
      <c r="CD217" s="5"/>
      <c r="CE217" s="5"/>
    </row>
    <row r="218" customFormat="false" ht="15" hidden="false" customHeight="false" outlineLevel="0" collapsed="false">
      <c r="B218" s="1" t="s">
        <v>325</v>
      </c>
      <c r="C218" s="2"/>
      <c r="D218" s="2"/>
      <c r="E218" s="2"/>
      <c r="F218" s="2"/>
      <c r="G218" s="2"/>
      <c r="H218" s="23" t="n">
        <v>990</v>
      </c>
      <c r="I218" s="2"/>
      <c r="J218" s="2"/>
      <c r="K218" s="2"/>
      <c r="L218" s="2"/>
      <c r="M218" s="2"/>
      <c r="N218" s="2" t="n">
        <f aca="false">H219</f>
        <v>894</v>
      </c>
      <c r="O218" s="2"/>
      <c r="P218" s="2"/>
      <c r="Q218" s="2"/>
      <c r="R218" s="2"/>
      <c r="S218" s="2"/>
      <c r="T218" s="2" t="n">
        <f aca="false">N219</f>
        <v>720</v>
      </c>
      <c r="U218" s="2"/>
      <c r="V218" s="2"/>
      <c r="W218" s="2"/>
      <c r="X218" s="2"/>
      <c r="Y218" s="2"/>
      <c r="Z218" s="2" t="n">
        <f aca="false">T219</f>
        <v>701</v>
      </c>
      <c r="AA218" s="2"/>
      <c r="AB218" s="2"/>
      <c r="AC218" s="2"/>
      <c r="AD218" s="2"/>
      <c r="AE218" s="2"/>
      <c r="AF218" s="2" t="n">
        <f aca="false">Z219</f>
        <v>240</v>
      </c>
      <c r="AG218" s="2"/>
      <c r="AH218" s="2"/>
      <c r="AI218" s="2"/>
      <c r="AJ218" s="2"/>
      <c r="AK218" s="2"/>
      <c r="AL218" s="2" t="n">
        <f aca="false">AF219</f>
        <v>75</v>
      </c>
      <c r="AM218" s="2"/>
      <c r="AN218" s="2"/>
      <c r="AO218" s="2"/>
      <c r="AP218" s="2"/>
      <c r="AQ218" s="2"/>
      <c r="AR218" s="2" t="n">
        <f aca="false">AL219</f>
        <v>512</v>
      </c>
      <c r="AS218" s="2"/>
      <c r="AT218" s="2"/>
      <c r="AU218" s="2"/>
      <c r="AV218" s="2"/>
      <c r="AW218" s="2"/>
      <c r="AX218" s="2" t="n">
        <f aca="false">AR219</f>
        <v>627</v>
      </c>
      <c r="AY218" s="2"/>
      <c r="AZ218" s="2"/>
      <c r="BA218" s="2"/>
      <c r="BB218" s="2"/>
      <c r="BC218" s="2"/>
      <c r="BD218" s="2" t="n">
        <f aca="false">AX219</f>
        <v>467</v>
      </c>
      <c r="BE218" s="2"/>
      <c r="BF218" s="2"/>
      <c r="BG218" s="2"/>
      <c r="BH218" s="2"/>
      <c r="BI218" s="2"/>
      <c r="BJ218" s="2" t="n">
        <f aca="false">BD219</f>
        <v>430</v>
      </c>
      <c r="BK218" s="2"/>
      <c r="BL218" s="2"/>
      <c r="BM218" s="2"/>
      <c r="BN218" s="2"/>
      <c r="BO218" s="2"/>
      <c r="BP218" s="2" t="n">
        <f aca="false">BJ219</f>
        <v>831</v>
      </c>
      <c r="BQ218" s="2"/>
      <c r="BR218" s="2"/>
      <c r="BS218" s="2" t="n">
        <f aca="false">BP219</f>
        <v>774</v>
      </c>
      <c r="BT218" s="3"/>
      <c r="BU218" s="3"/>
      <c r="BV218" s="3" t="n">
        <f aca="false">BP219</f>
        <v>774</v>
      </c>
      <c r="BW218" s="3" t="n">
        <f aca="false">BV219</f>
        <v>1061.236</v>
      </c>
      <c r="BX218" s="3" t="n">
        <f aca="false">BW219</f>
        <v>1033.79404055294</v>
      </c>
      <c r="BY218" s="3" t="n">
        <f aca="false">BX219</f>
        <v>1114.35997982811</v>
      </c>
      <c r="BZ218" s="3" t="n">
        <f aca="false">BY219</f>
        <v>1236.15035649681</v>
      </c>
      <c r="CA218" s="16"/>
      <c r="CC218" s="5"/>
      <c r="CD218" s="5"/>
      <c r="CE218" s="5"/>
    </row>
    <row r="219" customFormat="false" ht="15" hidden="false" customHeight="false" outlineLevel="0" collapsed="false">
      <c r="B219" s="26" t="s">
        <v>326</v>
      </c>
      <c r="C219" s="28"/>
      <c r="D219" s="28"/>
      <c r="E219" s="28"/>
      <c r="F219" s="28"/>
      <c r="G219" s="28"/>
      <c r="H219" s="28" t="n">
        <f aca="false">H218+H217</f>
        <v>894</v>
      </c>
      <c r="I219" s="28"/>
      <c r="J219" s="28"/>
      <c r="K219" s="28"/>
      <c r="L219" s="28"/>
      <c r="M219" s="28"/>
      <c r="N219" s="28" t="n">
        <f aca="false">N218+N217</f>
        <v>720</v>
      </c>
      <c r="O219" s="28"/>
      <c r="P219" s="28"/>
      <c r="Q219" s="28"/>
      <c r="R219" s="28"/>
      <c r="S219" s="28"/>
      <c r="T219" s="28" t="n">
        <f aca="false">T218+T217</f>
        <v>701</v>
      </c>
      <c r="U219" s="28"/>
      <c r="V219" s="28"/>
      <c r="W219" s="28"/>
      <c r="X219" s="28"/>
      <c r="Y219" s="28"/>
      <c r="Z219" s="28" t="n">
        <f aca="false">Z218+Z217</f>
        <v>240</v>
      </c>
      <c r="AA219" s="28"/>
      <c r="AB219" s="28"/>
      <c r="AC219" s="28"/>
      <c r="AD219" s="28"/>
      <c r="AE219" s="28"/>
      <c r="AF219" s="28" t="n">
        <f aca="false">AF218+AF217</f>
        <v>75</v>
      </c>
      <c r="AG219" s="28"/>
      <c r="AH219" s="28"/>
      <c r="AI219" s="28"/>
      <c r="AJ219" s="28"/>
      <c r="AK219" s="28"/>
      <c r="AL219" s="28" t="n">
        <f aca="false">AL218+AL217</f>
        <v>512</v>
      </c>
      <c r="AM219" s="28"/>
      <c r="AN219" s="28"/>
      <c r="AO219" s="28"/>
      <c r="AP219" s="28"/>
      <c r="AQ219" s="28"/>
      <c r="AR219" s="28" t="n">
        <f aca="false">AR218+AR217</f>
        <v>627</v>
      </c>
      <c r="AS219" s="28"/>
      <c r="AT219" s="28"/>
      <c r="AU219" s="28"/>
      <c r="AV219" s="28"/>
      <c r="AW219" s="28"/>
      <c r="AX219" s="28" t="n">
        <f aca="false">AX218+AX217</f>
        <v>467</v>
      </c>
      <c r="AY219" s="28"/>
      <c r="AZ219" s="28"/>
      <c r="BA219" s="28"/>
      <c r="BB219" s="28"/>
      <c r="BC219" s="28"/>
      <c r="BD219" s="28" t="n">
        <f aca="false">BD218+BD217</f>
        <v>430</v>
      </c>
      <c r="BE219" s="28"/>
      <c r="BF219" s="28"/>
      <c r="BG219" s="28"/>
      <c r="BH219" s="28"/>
      <c r="BI219" s="28"/>
      <c r="BJ219" s="28" t="n">
        <f aca="false">BJ218+BJ217</f>
        <v>831</v>
      </c>
      <c r="BK219" s="28"/>
      <c r="BL219" s="28"/>
      <c r="BM219" s="28"/>
      <c r="BN219" s="28"/>
      <c r="BO219" s="28"/>
      <c r="BP219" s="28" t="n">
        <f aca="false">BP218+BP217</f>
        <v>774</v>
      </c>
      <c r="BQ219" s="28"/>
      <c r="BR219" s="28"/>
      <c r="BS219" s="28" t="n">
        <f aca="false">BS218+BS217</f>
        <v>12</v>
      </c>
      <c r="BT219" s="29"/>
      <c r="BU219" s="29"/>
      <c r="BV219" s="29" t="n">
        <f aca="false">BV218+BV217</f>
        <v>1061.236</v>
      </c>
      <c r="BW219" s="29" t="n">
        <f aca="false">BW218+BW217</f>
        <v>1033.79404055294</v>
      </c>
      <c r="BX219" s="29" t="n">
        <f aca="false">BX218+BX217</f>
        <v>1114.35997982811</v>
      </c>
      <c r="BY219" s="29" t="n">
        <f aca="false">BY218+BY217</f>
        <v>1236.15035649681</v>
      </c>
      <c r="BZ219" s="29" t="n">
        <f aca="false">BZ218+BZ217</f>
        <v>1415.76707320179</v>
      </c>
      <c r="CA219" s="16" t="s">
        <v>327</v>
      </c>
      <c r="CC219" s="5"/>
      <c r="CD219" s="5"/>
      <c r="CE219" s="5"/>
    </row>
    <row r="220" customFormat="false" ht="15" hidden="false" customHeight="false" outlineLevel="0" collapsed="false">
      <c r="B220" s="56" t="s">
        <v>328</v>
      </c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62"/>
      <c r="BU220" s="62"/>
      <c r="BV220" s="62"/>
      <c r="BW220" s="62"/>
      <c r="BX220" s="62"/>
      <c r="BY220" s="62"/>
      <c r="BZ220" s="62"/>
      <c r="CA220" s="16"/>
      <c r="CC220" s="5"/>
      <c r="CD220" s="5"/>
      <c r="CE220" s="5"/>
    </row>
    <row r="221" customFormat="false" ht="15" hidden="false" customHeight="false" outlineLevel="0" collapsed="false">
      <c r="B221" s="32" t="s">
        <v>329</v>
      </c>
      <c r="C221" s="28"/>
      <c r="D221" s="28"/>
      <c r="E221" s="28"/>
      <c r="F221" s="28"/>
      <c r="G221" s="28"/>
      <c r="H221" s="34" t="n">
        <f aca="false">H203+H204+H205</f>
        <v>673</v>
      </c>
      <c r="I221" s="28"/>
      <c r="J221" s="28"/>
      <c r="K221" s="28"/>
      <c r="L221" s="28"/>
      <c r="M221" s="28"/>
      <c r="N221" s="34" t="n">
        <f aca="false">N203+N204+N205</f>
        <v>537</v>
      </c>
      <c r="O221" s="28"/>
      <c r="P221" s="28"/>
      <c r="Q221" s="28"/>
      <c r="R221" s="28"/>
      <c r="S221" s="28"/>
      <c r="T221" s="34" t="n">
        <f aca="false">T203+T204+T205</f>
        <v>453</v>
      </c>
      <c r="U221" s="28"/>
      <c r="V221" s="28"/>
      <c r="W221" s="28"/>
      <c r="X221" s="28"/>
      <c r="Y221" s="28"/>
      <c r="Z221" s="34" t="n">
        <f aca="false">Z203+Z204+Z205</f>
        <v>512</v>
      </c>
      <c r="AA221" s="28"/>
      <c r="AB221" s="28"/>
      <c r="AC221" s="28"/>
      <c r="AD221" s="28"/>
      <c r="AE221" s="28"/>
      <c r="AF221" s="34" t="n">
        <f aca="false">AF203+AF204+AF205</f>
        <v>460</v>
      </c>
      <c r="AG221" s="28"/>
      <c r="AH221" s="28"/>
      <c r="AI221" s="28"/>
      <c r="AJ221" s="28"/>
      <c r="AK221" s="28"/>
      <c r="AL221" s="34" t="n">
        <f aca="false">AL203+AL204+AL205</f>
        <v>757</v>
      </c>
      <c r="AM221" s="28"/>
      <c r="AN221" s="28"/>
      <c r="AO221" s="28"/>
      <c r="AP221" s="28"/>
      <c r="AQ221" s="28"/>
      <c r="AR221" s="34" t="n">
        <f aca="false">AR203+AR204+AR205</f>
        <v>449</v>
      </c>
      <c r="AS221" s="28"/>
      <c r="AT221" s="28"/>
      <c r="AU221" s="28"/>
      <c r="AV221" s="28"/>
      <c r="AW221" s="28"/>
      <c r="AX221" s="34" t="n">
        <f aca="false">AX203+AX204+AX205</f>
        <v>494</v>
      </c>
      <c r="AY221" s="28"/>
      <c r="AZ221" s="28"/>
      <c r="BA221" s="28"/>
      <c r="BB221" s="28"/>
      <c r="BC221" s="28"/>
      <c r="BD221" s="34" t="n">
        <f aca="false">BD203+BD204+BD205</f>
        <v>692</v>
      </c>
      <c r="BE221" s="28"/>
      <c r="BF221" s="28"/>
      <c r="BG221" s="28"/>
      <c r="BH221" s="28"/>
      <c r="BI221" s="28"/>
      <c r="BJ221" s="34" t="n">
        <f aca="false">BJ203+BJ204+BJ205</f>
        <v>40</v>
      </c>
      <c r="BK221" s="28"/>
      <c r="BL221" s="28"/>
      <c r="BM221" s="28"/>
      <c r="BN221" s="28"/>
      <c r="BO221" s="28"/>
      <c r="BP221" s="34" t="n">
        <f aca="false">BP203+BP204+BP205</f>
        <v>800</v>
      </c>
      <c r="BQ221" s="28"/>
      <c r="BR221" s="28"/>
      <c r="BS221" s="28" t="n">
        <f aca="false">BS203+BS204+BS205</f>
        <v>-611</v>
      </c>
      <c r="BT221" s="34"/>
      <c r="BU221" s="34"/>
      <c r="BV221" s="34" t="n">
        <f aca="false">BV203+BV204+BV205</f>
        <v>550</v>
      </c>
      <c r="BW221" s="34" t="n">
        <f aca="false">BW203+BW204+BW205</f>
        <v>416.486266058458</v>
      </c>
      <c r="BX221" s="34" t="n">
        <f aca="false">BX203+BX204+BX205</f>
        <v>577.775233429973</v>
      </c>
      <c r="BY221" s="34" t="n">
        <f aca="false">BY203+BY204+BY205</f>
        <v>671.640272765636</v>
      </c>
      <c r="BZ221" s="34" t="n">
        <f aca="false">BZ203+BZ204+BZ205</f>
        <v>781.511570190606</v>
      </c>
      <c r="CA221" s="16" t="s">
        <v>330</v>
      </c>
      <c r="CC221" s="30" t="n">
        <f aca="false">IFERROR((BZ221/BP221)^(1/5)-1,"n/m")</f>
        <v>-0.00466543744000914</v>
      </c>
      <c r="CD221" s="30" t="n">
        <f aca="false">IFERROR((BP221/AL221)^(1/5)-1,"n/m")</f>
        <v>0.011110968200182</v>
      </c>
      <c r="CE221" s="30" t="n">
        <f aca="false">IFERROR((BP221/H221)^(1/10)-1,"n/m")</f>
        <v>0.0174369184488938</v>
      </c>
    </row>
    <row r="222" customFormat="false" ht="15" hidden="false" customHeight="false" outlineLevel="0" collapsed="false">
      <c r="B222" s="35" t="s">
        <v>331</v>
      </c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7" t="n">
        <f aca="false">IFERROR(N221/H221-1,"")</f>
        <v>-0.202080237741456</v>
      </c>
      <c r="O222" s="36"/>
      <c r="P222" s="36"/>
      <c r="Q222" s="36"/>
      <c r="R222" s="36"/>
      <c r="S222" s="36"/>
      <c r="T222" s="37" t="n">
        <f aca="false">IFERROR(T221/N221-1,"")</f>
        <v>-0.156424581005587</v>
      </c>
      <c r="U222" s="36"/>
      <c r="V222" s="36"/>
      <c r="W222" s="36"/>
      <c r="X222" s="36"/>
      <c r="Y222" s="36"/>
      <c r="Z222" s="37" t="n">
        <f aca="false">IFERROR(Z221/T221-1,"")</f>
        <v>0.130242825607064</v>
      </c>
      <c r="AA222" s="36"/>
      <c r="AB222" s="36"/>
      <c r="AC222" s="36"/>
      <c r="AD222" s="36"/>
      <c r="AE222" s="36"/>
      <c r="AF222" s="37" t="n">
        <f aca="false">IFERROR(AF221/Z221-1,"")</f>
        <v>-0.1015625</v>
      </c>
      <c r="AG222" s="36"/>
      <c r="AH222" s="36"/>
      <c r="AI222" s="36"/>
      <c r="AJ222" s="36"/>
      <c r="AK222" s="36"/>
      <c r="AL222" s="37" t="n">
        <f aca="false">IFERROR(AL221/AF221-1,"")</f>
        <v>0.645652173913043</v>
      </c>
      <c r="AM222" s="36"/>
      <c r="AN222" s="36"/>
      <c r="AO222" s="36"/>
      <c r="AP222" s="36"/>
      <c r="AQ222" s="36"/>
      <c r="AR222" s="37" t="n">
        <f aca="false">IFERROR(AR221/AL221-1,"")</f>
        <v>-0.406869220607662</v>
      </c>
      <c r="AS222" s="36"/>
      <c r="AT222" s="36"/>
      <c r="AU222" s="36"/>
      <c r="AV222" s="36"/>
      <c r="AW222" s="36"/>
      <c r="AX222" s="37" t="n">
        <f aca="false">IFERROR(AX221/AR221-1,"")</f>
        <v>0.10022271714922</v>
      </c>
      <c r="AY222" s="36"/>
      <c r="AZ222" s="36"/>
      <c r="BA222" s="36"/>
      <c r="BB222" s="36"/>
      <c r="BC222" s="36"/>
      <c r="BD222" s="37" t="n">
        <f aca="false">IFERROR(BD221/AX221-1,"")</f>
        <v>0.40080971659919</v>
      </c>
      <c r="BE222" s="36"/>
      <c r="BF222" s="36"/>
      <c r="BG222" s="36"/>
      <c r="BH222" s="36"/>
      <c r="BI222" s="36"/>
      <c r="BJ222" s="37" t="n">
        <f aca="false">IFERROR(BJ221/BD221-1,"")</f>
        <v>-0.942196531791908</v>
      </c>
      <c r="BK222" s="36"/>
      <c r="BL222" s="36"/>
      <c r="BM222" s="36"/>
      <c r="BN222" s="36"/>
      <c r="BO222" s="36"/>
      <c r="BP222" s="37" t="n">
        <f aca="false">IFERROR(BP221/BJ221-1,"")</f>
        <v>19</v>
      </c>
      <c r="BQ222" s="36"/>
      <c r="BR222" s="36"/>
      <c r="BS222" s="36"/>
      <c r="BT222" s="38"/>
      <c r="BU222" s="38"/>
      <c r="BV222" s="38" t="n">
        <f aca="false">IFERROR(BV221/BP221-1,"")</f>
        <v>-0.3125</v>
      </c>
      <c r="BW222" s="38" t="n">
        <f aca="false">IFERROR(BW221/BV221-1,"")</f>
        <v>-0.242752243530077</v>
      </c>
      <c r="BX222" s="38" t="n">
        <f aca="false">IFERROR(BX221/BW221-1,"")</f>
        <v>0.387261190862117</v>
      </c>
      <c r="BY222" s="38" t="n">
        <f aca="false">IFERROR(BY221/BX221-1,"")</f>
        <v>0.162459437346304</v>
      </c>
      <c r="BZ222" s="38" t="n">
        <f aca="false">IFERROR(BZ221/BY221-1,"")</f>
        <v>0.163586523739188</v>
      </c>
      <c r="CA222" s="16"/>
      <c r="CC222" s="5"/>
      <c r="CD222" s="5"/>
      <c r="CE222" s="5"/>
    </row>
    <row r="223" customFormat="false" ht="15" hidden="false" customHeight="false" outlineLevel="0" collapsed="false">
      <c r="B223" s="35" t="s">
        <v>332</v>
      </c>
      <c r="C223" s="36"/>
      <c r="D223" s="36"/>
      <c r="E223" s="36"/>
      <c r="F223" s="36"/>
      <c r="G223" s="36"/>
      <c r="H223" s="36" t="n">
        <f aca="false">IFERROR(H221/H119,"")</f>
        <v>0.0958689458689459</v>
      </c>
      <c r="I223" s="36"/>
      <c r="J223" s="36"/>
      <c r="K223" s="36"/>
      <c r="L223" s="36"/>
      <c r="M223" s="36"/>
      <c r="N223" s="36" t="n">
        <f aca="false">IFERROR(N221/N119,"")</f>
        <v>0.0759762308998302</v>
      </c>
      <c r="O223" s="36"/>
      <c r="P223" s="36"/>
      <c r="Q223" s="36"/>
      <c r="R223" s="36"/>
      <c r="S223" s="36"/>
      <c r="T223" s="36" t="n">
        <f aca="false">IFERROR(T221/T119,"")</f>
        <v>0.0608789141244456</v>
      </c>
      <c r="U223" s="36"/>
      <c r="V223" s="36"/>
      <c r="W223" s="36"/>
      <c r="X223" s="36"/>
      <c r="Y223" s="36"/>
      <c r="Z223" s="36" t="n">
        <f aca="false">IFERROR(Z221/Z119,"")</f>
        <v>0.0626223091976517</v>
      </c>
      <c r="AA223" s="36"/>
      <c r="AB223" s="36"/>
      <c r="AC223" s="36"/>
      <c r="AD223" s="36"/>
      <c r="AE223" s="36"/>
      <c r="AF223" s="36" t="n">
        <f aca="false">IFERROR(AF221/AF119,"")</f>
        <v>0.0516912012585684</v>
      </c>
      <c r="AG223" s="36"/>
      <c r="AH223" s="36"/>
      <c r="AI223" s="36"/>
      <c r="AJ223" s="36"/>
      <c r="AK223" s="36"/>
      <c r="AL223" s="36" t="n">
        <f aca="false">IFERROR(AL221/AL119,"")</f>
        <v>0.0808674286935157</v>
      </c>
      <c r="AM223" s="36"/>
      <c r="AN223" s="36"/>
      <c r="AO223" s="36"/>
      <c r="AP223" s="36"/>
      <c r="AQ223" s="36"/>
      <c r="AR223" s="36" t="n">
        <f aca="false">IFERROR(AR221/AR119,"")</f>
        <v>0.0471440571188576</v>
      </c>
      <c r="AS223" s="36"/>
      <c r="AT223" s="36"/>
      <c r="AU223" s="36"/>
      <c r="AV223" s="36"/>
      <c r="AW223" s="36"/>
      <c r="AX223" s="36" t="n">
        <f aca="false">IFERROR(AX221/AX119,"")</f>
        <v>0.0462720119895092</v>
      </c>
      <c r="AY223" s="36"/>
      <c r="AZ223" s="36"/>
      <c r="BA223" s="36"/>
      <c r="BB223" s="36"/>
      <c r="BC223" s="36"/>
      <c r="BD223" s="36" t="n">
        <f aca="false">IFERROR(BD221/BD119,"")</f>
        <v>0.0604155753448577</v>
      </c>
      <c r="BE223" s="36"/>
      <c r="BF223" s="36"/>
      <c r="BG223" s="36"/>
      <c r="BH223" s="36"/>
      <c r="BI223" s="36"/>
      <c r="BJ223" s="36" t="n">
        <f aca="false">IFERROR(BJ221/BJ119,"")</f>
        <v>0.00346770697876029</v>
      </c>
      <c r="BK223" s="36"/>
      <c r="BL223" s="36"/>
      <c r="BM223" s="36"/>
      <c r="BN223" s="36"/>
      <c r="BO223" s="36"/>
      <c r="BP223" s="36" t="n">
        <f aca="false">IFERROR(BP221/BP119,"")</f>
        <v>0.0640820249919897</v>
      </c>
      <c r="BQ223" s="36"/>
      <c r="BR223" s="36"/>
      <c r="BS223" s="36"/>
      <c r="BT223" s="38"/>
      <c r="BU223" s="38"/>
      <c r="BV223" s="38" t="n">
        <f aca="false">IFERROR(BV221/BV119,"")</f>
        <v>0.0415094339622642</v>
      </c>
      <c r="BW223" s="38" t="n">
        <f aca="false">IFERROR(BW221/BW119,"")</f>
        <v>0.0296240236113216</v>
      </c>
      <c r="BX223" s="38" t="n">
        <f aca="false">IFERROR(BX221/BX119,"")</f>
        <v>0.0389752963650701</v>
      </c>
      <c r="BY223" s="38" t="n">
        <f aca="false">IFERROR(BY221/BY119,"")</f>
        <v>0.043082376070139</v>
      </c>
      <c r="BZ223" s="38" t="n">
        <f aca="false">IFERROR(BZ221/BZ119,"")</f>
        <v>0.0478462850586635</v>
      </c>
      <c r="CA223" s="16"/>
      <c r="CC223" s="40" t="n">
        <f aca="false">IFERROR(AVERAGE(BV223,BW223,BX223,BY223,BZ223),"n/m")</f>
        <v>0.0402074830134917</v>
      </c>
      <c r="CD223" s="40" t="n">
        <f aca="false">IFERROR(AVERAGE(AR223,AX223,BD223,BJ223,BP223),"n/m")</f>
        <v>0.0442762752847949</v>
      </c>
      <c r="CE223" s="40" t="n">
        <f aca="false">IFERROR(AVERAGE(N223,T223,Z223,AF223,AL223,AR223,AX223,BD223,BJ223,BP223),"n/m")</f>
        <v>0.0553417460597986</v>
      </c>
    </row>
    <row r="224" customFormat="false" ht="15" hidden="false" customHeight="false" outlineLevel="0" collapsed="false">
      <c r="B224" s="35" t="s">
        <v>333</v>
      </c>
      <c r="C224" s="36"/>
      <c r="D224" s="36"/>
      <c r="E224" s="36"/>
      <c r="F224" s="36"/>
      <c r="G224" s="36"/>
      <c r="H224" s="36" t="n">
        <f aca="false">IFERROR(H221/H133,"")</f>
        <v>1.66584158415842</v>
      </c>
      <c r="I224" s="36"/>
      <c r="J224" s="36"/>
      <c r="K224" s="36"/>
      <c r="L224" s="36"/>
      <c r="M224" s="36"/>
      <c r="N224" s="36" t="n">
        <f aca="false">IFERROR(N221/N133,"")</f>
        <v>0.93717277486911</v>
      </c>
      <c r="O224" s="36"/>
      <c r="P224" s="36"/>
      <c r="Q224" s="36"/>
      <c r="R224" s="36"/>
      <c r="S224" s="36"/>
      <c r="T224" s="36" t="n">
        <f aca="false">IFERROR(T221/T133,"")</f>
        <v>0.945720250521921</v>
      </c>
      <c r="U224" s="36"/>
      <c r="V224" s="36"/>
      <c r="W224" s="36"/>
      <c r="X224" s="36"/>
      <c r="Y224" s="36"/>
      <c r="Z224" s="36" t="n">
        <f aca="false">IFERROR(Z221/Z133,"")</f>
        <v>0.61244019138756</v>
      </c>
      <c r="AA224" s="36"/>
      <c r="AB224" s="36"/>
      <c r="AC224" s="36"/>
      <c r="AD224" s="36"/>
      <c r="AE224" s="36"/>
      <c r="AF224" s="36" t="n">
        <f aca="false">IFERROR(AF221/AF133,"")</f>
        <v>0.837887067395264</v>
      </c>
      <c r="AG224" s="36"/>
      <c r="AH224" s="36"/>
      <c r="AI224" s="36"/>
      <c r="AJ224" s="36"/>
      <c r="AK224" s="36"/>
      <c r="AL224" s="36" t="n">
        <f aca="false">IFERROR(AL221/AL133,"")</f>
        <v>1.08764367816092</v>
      </c>
      <c r="AM224" s="36"/>
      <c r="AN224" s="36"/>
      <c r="AO224" s="36"/>
      <c r="AP224" s="36"/>
      <c r="AQ224" s="36"/>
      <c r="AR224" s="36" t="n">
        <f aca="false">IFERROR(AR221/AR133,"")</f>
        <v>0.825367647058824</v>
      </c>
      <c r="AS224" s="36"/>
      <c r="AT224" s="36"/>
      <c r="AU224" s="36"/>
      <c r="AV224" s="36"/>
      <c r="AW224" s="36"/>
      <c r="AX224" s="36" t="n">
        <f aca="false">IFERROR(AX221/AX133,"")</f>
        <v>0.853195164075993</v>
      </c>
      <c r="AY224" s="36"/>
      <c r="AZ224" s="36"/>
      <c r="BA224" s="36"/>
      <c r="BB224" s="36"/>
      <c r="BC224" s="36"/>
      <c r="BD224" s="36" t="n">
        <f aca="false">IFERROR(BD221/BD133,"")</f>
        <v>1.01615271659325</v>
      </c>
      <c r="BE224" s="36"/>
      <c r="BF224" s="36"/>
      <c r="BG224" s="36"/>
      <c r="BH224" s="36"/>
      <c r="BI224" s="36"/>
      <c r="BJ224" s="36" t="n">
        <f aca="false">IFERROR(BJ221/BJ133,"")</f>
        <v>0.0727272727272727</v>
      </c>
      <c r="BK224" s="36"/>
      <c r="BL224" s="36"/>
      <c r="BM224" s="36"/>
      <c r="BN224" s="36"/>
      <c r="BO224" s="36"/>
      <c r="BP224" s="36" t="n">
        <f aca="false">IFERROR(BP221/BP133,"")</f>
        <v>1.32231404958678</v>
      </c>
      <c r="BQ224" s="36"/>
      <c r="BR224" s="36"/>
      <c r="BS224" s="36"/>
      <c r="BT224" s="38"/>
      <c r="BU224" s="38"/>
      <c r="BV224" s="38" t="n">
        <f aca="false">IFERROR(BV221/BV133,"")</f>
        <v>0.768067925134325</v>
      </c>
      <c r="BW224" s="38" t="n">
        <f aca="false">IFERROR(BW221/BW133,"")</f>
        <v>0.524219314182432</v>
      </c>
      <c r="BX224" s="38" t="n">
        <f aca="false">IFERROR(BX221/BX133,"")</f>
        <v>0.66634504423278</v>
      </c>
      <c r="BY224" s="38" t="n">
        <f aca="false">IFERROR(BY221/BY133,"")</f>
        <v>0.712526169086258</v>
      </c>
      <c r="BZ224" s="38" t="n">
        <f aca="false">IFERROR(BZ221/BZ133,"")</f>
        <v>0.766263455905299</v>
      </c>
      <c r="CA224" s="16"/>
      <c r="CC224" s="40" t="n">
        <f aca="false">IFERROR(AVERAGE(BV224,BW224,BX224,BY224,BZ224),"n/m")</f>
        <v>0.687484381708219</v>
      </c>
      <c r="CD224" s="40" t="n">
        <f aca="false">IFERROR(AVERAGE(AR224,AX224,BD224,BJ224,BP224),"n/m")</f>
        <v>0.817951370008422</v>
      </c>
      <c r="CE224" s="40" t="n">
        <f aca="false">IFERROR(AVERAGE(N224,T224,Z224,AF224,AL224,AR224,AX224,BD224,BJ224,BP224),"n/m")</f>
        <v>0.851062081237689</v>
      </c>
    </row>
    <row r="225" customFormat="false" ht="15" hidden="false" customHeight="false" outlineLevel="0" collapsed="false">
      <c r="B225" s="1" t="s">
        <v>334</v>
      </c>
      <c r="C225" s="69"/>
      <c r="D225" s="69"/>
      <c r="E225" s="69"/>
      <c r="F225" s="69"/>
      <c r="G225" s="69"/>
      <c r="H225" s="69" t="n">
        <f aca="false">IFERROR(H221/H137,"")</f>
        <v>13.9337474120083</v>
      </c>
      <c r="I225" s="69"/>
      <c r="J225" s="69"/>
      <c r="K225" s="69"/>
      <c r="L225" s="69"/>
      <c r="M225" s="69"/>
      <c r="N225" s="69" t="n">
        <f aca="false">IFERROR(N221/N137,"")</f>
        <v>11.3771186440678</v>
      </c>
      <c r="O225" s="69"/>
      <c r="P225" s="69"/>
      <c r="Q225" s="69"/>
      <c r="R225" s="69"/>
      <c r="S225" s="69"/>
      <c r="T225" s="69" t="n">
        <f aca="false">IFERROR(T221/T137,"")</f>
        <v>9.89082969432315</v>
      </c>
      <c r="U225" s="69"/>
      <c r="V225" s="69"/>
      <c r="W225" s="69"/>
      <c r="X225" s="69"/>
      <c r="Y225" s="69"/>
      <c r="Z225" s="69" t="n">
        <f aca="false">IFERROR(Z221/Z137,"")</f>
        <v>11.689497716895</v>
      </c>
      <c r="AA225" s="69"/>
      <c r="AB225" s="69"/>
      <c r="AC225" s="69"/>
      <c r="AD225" s="69"/>
      <c r="AE225" s="69"/>
      <c r="AF225" s="69" t="n">
        <f aca="false">IFERROR(AF221/AF137,"")</f>
        <v>11.1111111111111</v>
      </c>
      <c r="AG225" s="69"/>
      <c r="AH225" s="69"/>
      <c r="AI225" s="69"/>
      <c r="AJ225" s="69"/>
      <c r="AK225" s="69"/>
      <c r="AL225" s="69" t="n">
        <f aca="false">IFERROR(AL221/AL137,"")</f>
        <v>18.6453201970443</v>
      </c>
      <c r="AM225" s="69"/>
      <c r="AN225" s="69"/>
      <c r="AO225" s="69"/>
      <c r="AP225" s="69"/>
      <c r="AQ225" s="69"/>
      <c r="AR225" s="69" t="n">
        <f aca="false">IFERROR(AR221/AR137,"")</f>
        <v>11.1414392059553</v>
      </c>
      <c r="AS225" s="69"/>
      <c r="AT225" s="69"/>
      <c r="AU225" s="69"/>
      <c r="AV225" s="69"/>
      <c r="AW225" s="69"/>
      <c r="AX225" s="69" t="n">
        <f aca="false">IFERROR(AX221/AX137,"")</f>
        <v>12.3192019950125</v>
      </c>
      <c r="AY225" s="69"/>
      <c r="AZ225" s="69"/>
      <c r="BA225" s="69"/>
      <c r="BB225" s="69"/>
      <c r="BC225" s="69"/>
      <c r="BD225" s="69" t="n">
        <f aca="false">IFERROR(BD221/BD137,"")</f>
        <v>17.34335839599</v>
      </c>
      <c r="BE225" s="69"/>
      <c r="BF225" s="69"/>
      <c r="BG225" s="69"/>
      <c r="BH225" s="69"/>
      <c r="BI225" s="69"/>
      <c r="BJ225" s="69" t="n">
        <f aca="false">IFERROR(BJ221/BJ137,"")</f>
        <v>1.01522842639594</v>
      </c>
      <c r="BK225" s="69"/>
      <c r="BL225" s="69"/>
      <c r="BM225" s="69"/>
      <c r="BN225" s="69"/>
      <c r="BO225" s="69"/>
      <c r="BP225" s="69" t="n">
        <f aca="false">IFERROR(BP221/BP137,"")</f>
        <v>20.3562340966921</v>
      </c>
      <c r="BQ225" s="69"/>
      <c r="BR225" s="69"/>
      <c r="BS225" s="69"/>
      <c r="BT225" s="70"/>
      <c r="BU225" s="70"/>
      <c r="BV225" s="70" t="n">
        <f aca="false">IFERROR(BV221/BV137,"")</f>
        <v>13.9416983523447</v>
      </c>
      <c r="BW225" s="70" t="n">
        <f aca="false">IFERROR(BW221/BW137,"")</f>
        <v>10.5479208041654</v>
      </c>
      <c r="BX225" s="70" t="n">
        <f aca="false">IFERROR(BX221/BX137,"")</f>
        <v>14.8534873717023</v>
      </c>
      <c r="BY225" s="70" t="n">
        <f aca="false">IFERROR(BY221/BY137,"")</f>
        <v>17.5794369788426</v>
      </c>
      <c r="BZ225" s="70" t="n">
        <f aca="false">IFERROR(BZ221/BZ137,"")</f>
        <v>20.8819136025215</v>
      </c>
      <c r="CA225" s="16"/>
      <c r="CC225" s="30" t="n">
        <f aca="false">IFERROR((BZ225/BP225)^(1/5)-1,"n/m")</f>
        <v>0.00511226277924237</v>
      </c>
      <c r="CD225" s="30" t="n">
        <f aca="false">IFERROR((BP225/AL225)^(1/5)-1,"n/m")</f>
        <v>0.0177134593514723</v>
      </c>
      <c r="CE225" s="30" t="n">
        <f aca="false">IFERROR((BP225/H225)^(1/10)-1,"n/m")</f>
        <v>0.0386349926359735</v>
      </c>
    </row>
    <row r="226" customFormat="false" ht="15" hidden="false" customHeight="false" outlineLevel="0" collapsed="false">
      <c r="B226" s="20" t="s">
        <v>335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</row>
    <row r="227" customFormat="false" ht="15" hidden="false" customHeight="false" outlineLevel="0" collapsed="false">
      <c r="B227" s="77" t="s">
        <v>336</v>
      </c>
      <c r="C227" s="78"/>
      <c r="D227" s="78"/>
      <c r="E227" s="78"/>
      <c r="F227" s="78"/>
      <c r="G227" s="78"/>
      <c r="H227" s="78" t="n">
        <f aca="false">IFERROR(-H204/H119,"")</f>
        <v>0.0267806267806268</v>
      </c>
      <c r="I227" s="78"/>
      <c r="J227" s="78"/>
      <c r="K227" s="78"/>
      <c r="L227" s="78"/>
      <c r="M227" s="78"/>
      <c r="N227" s="78" t="n">
        <f aca="false">IFERROR(-N204/N119,"")</f>
        <v>0.0403225806451613</v>
      </c>
      <c r="O227" s="78"/>
      <c r="P227" s="78"/>
      <c r="Q227" s="78"/>
      <c r="R227" s="78"/>
      <c r="S227" s="78"/>
      <c r="T227" s="78" t="n">
        <f aca="false">IFERROR(-T204/T119,"")</f>
        <v>0.0513371858621153</v>
      </c>
      <c r="U227" s="78"/>
      <c r="V227" s="78"/>
      <c r="W227" s="78"/>
      <c r="X227" s="78"/>
      <c r="Y227" s="78"/>
      <c r="Z227" s="78" t="n">
        <f aca="false">IFERROR(-Z204/Z119,"")</f>
        <v>0.0566291585127202</v>
      </c>
      <c r="AA227" s="78"/>
      <c r="AB227" s="78"/>
      <c r="AC227" s="78"/>
      <c r="AD227" s="78"/>
      <c r="AE227" s="78"/>
      <c r="AF227" s="78" t="n">
        <f aca="false">IFERROR(-AF204/AF119,"")</f>
        <v>0.0595572536240027</v>
      </c>
      <c r="AG227" s="78"/>
      <c r="AH227" s="78"/>
      <c r="AI227" s="78"/>
      <c r="AJ227" s="78"/>
      <c r="AK227" s="78"/>
      <c r="AL227" s="78" t="n">
        <f aca="false">IFERROR(-AL204/AL119,"")</f>
        <v>0.0377096464052986</v>
      </c>
      <c r="AM227" s="78"/>
      <c r="AN227" s="78"/>
      <c r="AO227" s="78"/>
      <c r="AP227" s="78"/>
      <c r="AQ227" s="78"/>
      <c r="AR227" s="78" t="n">
        <f aca="false">IFERROR(-AR204/AR119,"")</f>
        <v>0.0347543049139017</v>
      </c>
      <c r="AS227" s="78"/>
      <c r="AT227" s="78"/>
      <c r="AU227" s="78"/>
      <c r="AV227" s="78"/>
      <c r="AW227" s="78"/>
      <c r="AX227" s="78" t="n">
        <f aca="false">IFERROR(-AX204/AX119,"")</f>
        <v>0.0266017234919446</v>
      </c>
      <c r="AY227" s="78"/>
      <c r="AZ227" s="78"/>
      <c r="BA227" s="78"/>
      <c r="BB227" s="78"/>
      <c r="BC227" s="78"/>
      <c r="BD227" s="78" t="n">
        <f aca="false">IFERROR(-BD204/BD119,"")</f>
        <v>0.0254932774576567</v>
      </c>
      <c r="BE227" s="78"/>
      <c r="BF227" s="78"/>
      <c r="BG227" s="78"/>
      <c r="BH227" s="78"/>
      <c r="BI227" s="78"/>
      <c r="BJ227" s="78" t="n">
        <f aca="false">IFERROR(-BJ204/BJ119,"")</f>
        <v>0.0318162115301257</v>
      </c>
      <c r="BK227" s="78"/>
      <c r="BL227" s="78"/>
      <c r="BM227" s="78"/>
      <c r="BN227" s="78"/>
      <c r="BO227" s="78"/>
      <c r="BP227" s="78" t="n">
        <f aca="false">IFERROR(-BP204/BP119,"")</f>
        <v>0.0322012175584749</v>
      </c>
      <c r="BQ227" s="78"/>
      <c r="BR227" s="78"/>
      <c r="BS227" s="78"/>
      <c r="BT227" s="38"/>
      <c r="BU227" s="38"/>
      <c r="BV227" s="38" t="n">
        <f aca="false">$CJ$25</f>
        <v>0.045</v>
      </c>
      <c r="BW227" s="49" t="n">
        <v>0.0425</v>
      </c>
      <c r="BX227" s="49" t="n">
        <v>0.04</v>
      </c>
      <c r="BY227" s="49" t="n">
        <v>0.0375</v>
      </c>
      <c r="BZ227" s="49" t="n">
        <v>0.035</v>
      </c>
      <c r="CA227" s="16" t="s">
        <v>337</v>
      </c>
      <c r="CC227" s="40" t="n">
        <f aca="false">IFERROR(AVERAGE(BV227,BW227,BX227,BY227,BZ227),"n/m")</f>
        <v>0.04</v>
      </c>
      <c r="CD227" s="40" t="n">
        <f aca="false">IFERROR(AVERAGE(AR227,AX227,BD227,BJ227,BP227),"n/m")</f>
        <v>0.0301733469904207</v>
      </c>
      <c r="CE227" s="40" t="n">
        <f aca="false">IFERROR(AVERAGE(N227,T227,Z227,AF227,AL227,AR227,AX227,BD227,BJ227,BP227),"n/m")</f>
        <v>0.0396422560001402</v>
      </c>
    </row>
    <row r="228" customFormat="false" ht="15" hidden="false" customHeight="false" outlineLevel="0" collapsed="false">
      <c r="B228" s="35" t="s">
        <v>338</v>
      </c>
      <c r="C228" s="36"/>
      <c r="D228" s="36"/>
      <c r="E228" s="36"/>
      <c r="F228" s="36"/>
      <c r="G228" s="36"/>
      <c r="H228" s="36" t="n">
        <f aca="false">IFERROR(-(H204+H205)/H119,"")</f>
        <v>0.0267806267806268</v>
      </c>
      <c r="I228" s="36"/>
      <c r="J228" s="36"/>
      <c r="K228" s="36"/>
      <c r="L228" s="36"/>
      <c r="M228" s="36"/>
      <c r="N228" s="36" t="n">
        <f aca="false">IFERROR(-(N204+N205)/N119,"")</f>
        <v>0.0403225806451613</v>
      </c>
      <c r="O228" s="36"/>
      <c r="P228" s="36"/>
      <c r="Q228" s="36"/>
      <c r="R228" s="36"/>
      <c r="S228" s="36"/>
      <c r="T228" s="36" t="n">
        <f aca="false">IFERROR(-(T204+T205)/T119,"")</f>
        <v>0.048514984545088</v>
      </c>
      <c r="U228" s="36"/>
      <c r="V228" s="36"/>
      <c r="W228" s="36"/>
      <c r="X228" s="36"/>
      <c r="Y228" s="36"/>
      <c r="Z228" s="36" t="n">
        <f aca="false">IFERROR(-(Z204+Z205)/Z119,"")</f>
        <v>0.0491682974559687</v>
      </c>
      <c r="AA228" s="36"/>
      <c r="AB228" s="36"/>
      <c r="AC228" s="36"/>
      <c r="AD228" s="36"/>
      <c r="AE228" s="36"/>
      <c r="AF228" s="36" t="n">
        <f aca="false">IFERROR(-(AF204+AF205)/AF119,"")</f>
        <v>0.0489942690189909</v>
      </c>
      <c r="AG228" s="36"/>
      <c r="AH228" s="36"/>
      <c r="AI228" s="36"/>
      <c r="AJ228" s="36"/>
      <c r="AK228" s="36"/>
      <c r="AL228" s="36" t="n">
        <f aca="false">IFERROR(-(AL204+AL205)/AL119,"")</f>
        <v>0.0358936011109924</v>
      </c>
      <c r="AM228" s="36"/>
      <c r="AN228" s="36"/>
      <c r="AO228" s="36"/>
      <c r="AP228" s="36"/>
      <c r="AQ228" s="36"/>
      <c r="AR228" s="36" t="n">
        <f aca="false">IFERROR(-(AR204+AR205)/AR119,"")</f>
        <v>0.0326543469130617</v>
      </c>
      <c r="AS228" s="36"/>
      <c r="AT228" s="36"/>
      <c r="AU228" s="36"/>
      <c r="AV228" s="36"/>
      <c r="AW228" s="36"/>
      <c r="AX228" s="36" t="n">
        <f aca="false">IFERROR(-(AX204+AX205)/AX119,"")</f>
        <v>0.0254777070063694</v>
      </c>
      <c r="AY228" s="36"/>
      <c r="AZ228" s="36"/>
      <c r="BA228" s="36"/>
      <c r="BB228" s="36"/>
      <c r="BC228" s="36"/>
      <c r="BD228" s="36" t="n">
        <f aca="false">IFERROR(-(BD204+BD205)/BD119,"")</f>
        <v>0.0242709970316047</v>
      </c>
      <c r="BE228" s="36"/>
      <c r="BF228" s="36"/>
      <c r="BG228" s="36"/>
      <c r="BH228" s="36"/>
      <c r="BI228" s="36"/>
      <c r="BJ228" s="36" t="n">
        <f aca="false">IFERROR(-(BJ204+BJ205)/BJ119,"")</f>
        <v>0.0306025140875596</v>
      </c>
      <c r="BK228" s="36"/>
      <c r="BL228" s="36"/>
      <c r="BM228" s="36"/>
      <c r="BN228" s="36"/>
      <c r="BO228" s="36"/>
      <c r="BP228" s="36" t="n">
        <f aca="false">IFERROR(-(BP204+BP205)/BP119,"")</f>
        <v>0.0317206023710349</v>
      </c>
      <c r="BQ228" s="36"/>
      <c r="BR228" s="36"/>
      <c r="BS228" s="36"/>
      <c r="BT228" s="38"/>
      <c r="BU228" s="38"/>
      <c r="BV228" s="38" t="n">
        <f aca="false">IFERROR(-(BV204+BV205)/BV119,"")</f>
        <v>0.0445471698113208</v>
      </c>
      <c r="BW228" s="38" t="n">
        <f aca="false">IFERROR(-(BW204+BW205)/BW119,"")</f>
        <v>0.0417887154745419</v>
      </c>
      <c r="BX228" s="38" t="n">
        <f aca="false">IFERROR(-(BX204+BX205)/BX119,"")</f>
        <v>0.0393254245922988</v>
      </c>
      <c r="BY228" s="38" t="n">
        <f aca="false">IFERROR(-(BY204+BY205)/BY119,"")</f>
        <v>0.0368585498395929</v>
      </c>
      <c r="BZ228" s="38" t="n">
        <f aca="false">IFERROR(-(BZ204+BZ205)/BZ119,"")</f>
        <v>0.0343877725310325</v>
      </c>
      <c r="CA228" s="16"/>
      <c r="CC228" s="40" t="n">
        <f aca="false">IFERROR(AVERAGE(BV228,BW228,BX228,BY228,BZ228),"n/m")</f>
        <v>0.0393815264497574</v>
      </c>
      <c r="CD228" s="40" t="n">
        <f aca="false">IFERROR(AVERAGE(AR228,AX228,BD228,BJ228,BP228),"n/m")</f>
        <v>0.0289452334819261</v>
      </c>
      <c r="CE228" s="40" t="n">
        <f aca="false">IFERROR(AVERAGE(N228,T228,Z228,AF228,AL228,AR228,AX228,BD228,BJ228,BP228),"n/m")</f>
        <v>0.0367619900185832</v>
      </c>
    </row>
    <row r="229" customFormat="false" ht="15" hidden="false" customHeight="false" outlineLevel="0" collapsed="false">
      <c r="B229" s="35" t="s">
        <v>339</v>
      </c>
      <c r="C229" s="43"/>
      <c r="D229" s="43"/>
      <c r="E229" s="43"/>
      <c r="F229" s="43"/>
      <c r="G229" s="43"/>
      <c r="H229" s="43" t="n">
        <f aca="false">IFERROR(-H204/H102,"")</f>
        <v>1.04444444444444</v>
      </c>
      <c r="I229" s="43"/>
      <c r="J229" s="43"/>
      <c r="K229" s="43"/>
      <c r="L229" s="43"/>
      <c r="M229" s="43"/>
      <c r="N229" s="43" t="n">
        <f aca="false">IFERROR(-N204/N102,"")</f>
        <v>1.53225806451613</v>
      </c>
      <c r="O229" s="43"/>
      <c r="P229" s="43"/>
      <c r="Q229" s="43"/>
      <c r="R229" s="43"/>
      <c r="S229" s="43"/>
      <c r="T229" s="43" t="n">
        <f aca="false">IFERROR(-T204/T102,"")</f>
        <v>1.86341463414634</v>
      </c>
      <c r="U229" s="43"/>
      <c r="V229" s="43"/>
      <c r="W229" s="43"/>
      <c r="X229" s="43"/>
      <c r="Y229" s="43"/>
      <c r="Z229" s="43" t="n">
        <f aca="false">IFERROR(-Z204/Z102,"")</f>
        <v>2.2807881773399</v>
      </c>
      <c r="AA229" s="43"/>
      <c r="AB229" s="43"/>
      <c r="AC229" s="43"/>
      <c r="AD229" s="43"/>
      <c r="AE229" s="43"/>
      <c r="AF229" s="43" t="n">
        <f aca="false">IFERROR(-AF204/AF102,"")</f>
        <v>2.33480176211454</v>
      </c>
      <c r="AG229" s="43"/>
      <c r="AH229" s="43"/>
      <c r="AI229" s="43"/>
      <c r="AJ229" s="43"/>
      <c r="AK229" s="43"/>
      <c r="AL229" s="43" t="n">
        <f aca="false">IFERROR(-AL204/AL102,"")</f>
        <v>1.42914979757085</v>
      </c>
      <c r="AM229" s="43"/>
      <c r="AN229" s="43"/>
      <c r="AO229" s="43"/>
      <c r="AP229" s="43"/>
      <c r="AQ229" s="43"/>
      <c r="AR229" s="43" t="n">
        <f aca="false">IFERROR(-AR204/AR102,"")</f>
        <v>1.12969283276451</v>
      </c>
      <c r="AS229" s="43"/>
      <c r="AT229" s="43"/>
      <c r="AU229" s="43"/>
      <c r="AV229" s="43"/>
      <c r="AW229" s="43"/>
      <c r="AX229" s="43" t="n">
        <f aca="false">IFERROR(-AX204/AX102,"")</f>
        <v>0.793296089385475</v>
      </c>
      <c r="AY229" s="43"/>
      <c r="AZ229" s="43"/>
      <c r="BA229" s="43"/>
      <c r="BB229" s="43"/>
      <c r="BC229" s="43"/>
      <c r="BD229" s="43" t="n">
        <f aca="false">IFERROR(-BD204/BD102,"")</f>
        <v>0.84149855907781</v>
      </c>
      <c r="BE229" s="43"/>
      <c r="BF229" s="43"/>
      <c r="BG229" s="43"/>
      <c r="BH229" s="43"/>
      <c r="BI229" s="43"/>
      <c r="BJ229" s="43" t="n">
        <f aca="false">IFERROR(-BJ204/BJ102,"")</f>
        <v>1.12576687116564</v>
      </c>
      <c r="BK229" s="43"/>
      <c r="BL229" s="43"/>
      <c r="BM229" s="43"/>
      <c r="BN229" s="43"/>
      <c r="BO229" s="43"/>
      <c r="BP229" s="43" t="n">
        <f aca="false">IFERROR(-BP204/BP102,"")</f>
        <v>1.22188449848024</v>
      </c>
      <c r="BQ229" s="43"/>
      <c r="BR229" s="43"/>
      <c r="BS229" s="43"/>
      <c r="BT229" s="44"/>
      <c r="BU229" s="44"/>
      <c r="BV229" s="44" t="n">
        <f aca="false">IFERROR(-BV204/BV102,"")</f>
        <v>1.80681818181818</v>
      </c>
      <c r="BW229" s="44" t="n">
        <f aca="false">IFERROR(-BW204/BW102,"")</f>
        <v>1.76119705194895</v>
      </c>
      <c r="BX229" s="44" t="n">
        <f aca="false">IFERROR(-BX204/BX102,"")</f>
        <v>1.65973637617878</v>
      </c>
      <c r="BY229" s="44" t="n">
        <f aca="false">IFERROR(-BY204/BY102,"")</f>
        <v>1.5574711363923</v>
      </c>
      <c r="BZ229" s="44" t="n">
        <f aca="false">IFERROR(-BZ204/BZ102,"")</f>
        <v>1.45471104410804</v>
      </c>
      <c r="CA229" s="16"/>
      <c r="CC229" s="5"/>
      <c r="CD229" s="5"/>
      <c r="CE229" s="5"/>
    </row>
    <row r="230" customFormat="false" ht="15" hidden="false" customHeight="false" outlineLevel="0" collapsed="false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3"/>
      <c r="BU230" s="3"/>
      <c r="BV230" s="3"/>
      <c r="BW230" s="3"/>
      <c r="BX230" s="3"/>
      <c r="BY230" s="3"/>
      <c r="BZ230" s="3"/>
      <c r="CA230" s="16"/>
      <c r="CC230" s="5"/>
      <c r="CD230" s="5"/>
      <c r="CE230" s="5"/>
    </row>
    <row r="231" customFormat="false" ht="15" hidden="false" customHeight="false" outlineLevel="0" collapsed="false">
      <c r="B231" s="15" t="s">
        <v>340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C231" s="15"/>
      <c r="CD231" s="15"/>
      <c r="CE231" s="15"/>
    </row>
    <row r="232" customFormat="false" ht="15" hidden="false" customHeight="false" outlineLevel="0" collapsed="false">
      <c r="B232" s="77" t="s">
        <v>341</v>
      </c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/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  <c r="BM232" s="79"/>
      <c r="BN232" s="79"/>
      <c r="BO232" s="79"/>
      <c r="BP232" s="79"/>
      <c r="BQ232" s="79"/>
      <c r="BR232" s="79"/>
      <c r="BS232" s="79"/>
      <c r="BT232" s="70"/>
      <c r="BU232" s="70"/>
      <c r="BV232" s="70" t="n">
        <f aca="false">BV350</f>
        <v>275</v>
      </c>
      <c r="BW232" s="70" t="n">
        <f aca="false">BV232*(1+BW307)</f>
        <v>294.25</v>
      </c>
      <c r="BX232" s="70" t="n">
        <f aca="false">BW232*(1+BX307)</f>
        <v>314.8475</v>
      </c>
      <c r="BY232" s="70" t="n">
        <f aca="false">BX232*(1+BY307)</f>
        <v>336.886825</v>
      </c>
      <c r="BZ232" s="70" t="n">
        <f aca="false">BY232*(1+BZ307)</f>
        <v>360.46890275</v>
      </c>
      <c r="CA232" s="16" t="s">
        <v>342</v>
      </c>
      <c r="CC232" s="5"/>
      <c r="CD232" s="5"/>
      <c r="CE232" s="5"/>
    </row>
    <row r="233" customFormat="false" ht="15" hidden="false" customHeight="false" outlineLevel="0" collapsed="false">
      <c r="B233" s="1" t="s">
        <v>343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3"/>
      <c r="BU233" s="3"/>
      <c r="BV233" s="3" t="n">
        <f aca="false">-BV213</f>
        <v>0</v>
      </c>
      <c r="BW233" s="3" t="n">
        <f aca="false">-BW213</f>
        <v>200</v>
      </c>
      <c r="BX233" s="3" t="n">
        <f aca="false">-BX213</f>
        <v>250</v>
      </c>
      <c r="BY233" s="3" t="n">
        <f aca="false">-BY213</f>
        <v>300</v>
      </c>
      <c r="BZ233" s="3" t="n">
        <f aca="false">-BZ213</f>
        <v>350</v>
      </c>
      <c r="CA233" s="16"/>
      <c r="CC233" s="5"/>
      <c r="CD233" s="5"/>
      <c r="CE233" s="5"/>
    </row>
    <row r="234" customFormat="false" ht="15" hidden="false" customHeight="false" outlineLevel="0" collapsed="false">
      <c r="B234" s="1" t="s">
        <v>344</v>
      </c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  <c r="AZ234" s="80"/>
      <c r="BA234" s="80"/>
      <c r="BB234" s="80"/>
      <c r="BC234" s="80"/>
      <c r="BD234" s="80"/>
      <c r="BE234" s="80"/>
      <c r="BF234" s="80"/>
      <c r="BG234" s="80"/>
      <c r="BH234" s="80"/>
      <c r="BI234" s="80"/>
      <c r="BJ234" s="80"/>
      <c r="BK234" s="80"/>
      <c r="BL234" s="80"/>
      <c r="BM234" s="80"/>
      <c r="BN234" s="80"/>
      <c r="BO234" s="80"/>
      <c r="BP234" s="80"/>
      <c r="BQ234" s="80"/>
      <c r="BR234" s="80"/>
      <c r="BS234" s="80"/>
      <c r="BT234" s="81"/>
      <c r="BU234" s="81"/>
      <c r="BV234" s="81" t="n">
        <f aca="false">IFERROR(BV233/BV232,"")</f>
        <v>0</v>
      </c>
      <c r="BW234" s="81" t="n">
        <f aca="false">IFERROR(BW233/BW232,"")</f>
        <v>0.679694137638063</v>
      </c>
      <c r="BX234" s="81" t="n">
        <f aca="false">IFERROR(BX233/BX232,"")</f>
        <v>0.794035207521102</v>
      </c>
      <c r="BY234" s="81" t="n">
        <f aca="false">IFERROR(BY233/BY232,"")</f>
        <v>0.89050677479002</v>
      </c>
      <c r="BZ234" s="81" t="n">
        <f aca="false">IFERROR(BZ233/BZ232,"")</f>
        <v>0.970957542605941</v>
      </c>
      <c r="CA234" s="16"/>
      <c r="CC234" s="5"/>
      <c r="CD234" s="5"/>
      <c r="CE234" s="5"/>
    </row>
    <row r="235" customFormat="false" ht="15" hidden="false" customHeight="false" outlineLevel="0" collapsed="false">
      <c r="B235" s="1" t="s">
        <v>345</v>
      </c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  <c r="AZ235" s="80"/>
      <c r="BA235" s="80"/>
      <c r="BB235" s="80"/>
      <c r="BC235" s="80"/>
      <c r="BD235" s="80"/>
      <c r="BE235" s="80"/>
      <c r="BF235" s="80"/>
      <c r="BG235" s="80"/>
      <c r="BH235" s="80"/>
      <c r="BI235" s="80"/>
      <c r="BJ235" s="80"/>
      <c r="BK235" s="80"/>
      <c r="BL235" s="80"/>
      <c r="BM235" s="80"/>
      <c r="BN235" s="80"/>
      <c r="BO235" s="80"/>
      <c r="BP235" s="80"/>
      <c r="BQ235" s="80"/>
      <c r="BR235" s="80"/>
      <c r="BS235" s="80"/>
      <c r="BT235" s="81"/>
      <c r="BU235" s="81"/>
      <c r="BV235" s="82" t="n">
        <v>0.15</v>
      </c>
      <c r="BW235" s="82" t="n">
        <v>0.15</v>
      </c>
      <c r="BX235" s="82" t="n">
        <v>0.15</v>
      </c>
      <c r="BY235" s="82" t="n">
        <v>0.15</v>
      </c>
      <c r="BZ235" s="82" t="n">
        <v>0.15</v>
      </c>
      <c r="CA235" s="16" t="s">
        <v>346</v>
      </c>
      <c r="CC235" s="5"/>
      <c r="CD235" s="5"/>
      <c r="CE235" s="5"/>
    </row>
    <row r="236" customFormat="false" ht="15" hidden="false" customHeight="false" outlineLevel="0" collapsed="false">
      <c r="B236" s="1" t="s">
        <v>347</v>
      </c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  <c r="AZ236" s="80"/>
      <c r="BA236" s="80"/>
      <c r="BB236" s="80"/>
      <c r="BC236" s="80"/>
      <c r="BD236" s="80"/>
      <c r="BE236" s="80"/>
      <c r="BF236" s="80"/>
      <c r="BG236" s="80"/>
      <c r="BH236" s="80"/>
      <c r="BI236" s="80"/>
      <c r="BJ236" s="80"/>
      <c r="BK236" s="80"/>
      <c r="BL236" s="80"/>
      <c r="BM236" s="80"/>
      <c r="BN236" s="80"/>
      <c r="BO236" s="80"/>
      <c r="BP236" s="80"/>
      <c r="BQ236" s="80"/>
      <c r="BR236" s="80"/>
      <c r="BS236" s="80"/>
      <c r="BT236" s="81"/>
      <c r="BU236" s="81"/>
      <c r="BV236" s="81" t="n">
        <f aca="false">BR136</f>
        <v>39.5</v>
      </c>
      <c r="BW236" s="81" t="n">
        <f aca="false">BV237</f>
        <v>39.65</v>
      </c>
      <c r="BX236" s="81" t="n">
        <f aca="false">BW237</f>
        <v>39.1203058623619</v>
      </c>
      <c r="BY236" s="81" t="n">
        <f aca="false">BX237</f>
        <v>38.4762706548408</v>
      </c>
      <c r="BZ236" s="81" t="n">
        <f aca="false">BY237</f>
        <v>37.7357638800508</v>
      </c>
      <c r="CA236" s="16"/>
      <c r="CC236" s="5"/>
      <c r="CD236" s="5"/>
      <c r="CE236" s="5"/>
    </row>
    <row r="237" customFormat="false" ht="15" hidden="false" customHeight="false" outlineLevel="0" collapsed="false">
      <c r="B237" s="1" t="s">
        <v>348</v>
      </c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  <c r="AZ237" s="80"/>
      <c r="BA237" s="80"/>
      <c r="BB237" s="80"/>
      <c r="BC237" s="80"/>
      <c r="BD237" s="80"/>
      <c r="BE237" s="80"/>
      <c r="BF237" s="80"/>
      <c r="BG237" s="80"/>
      <c r="BH237" s="80"/>
      <c r="BI237" s="80"/>
      <c r="BJ237" s="80"/>
      <c r="BK237" s="80"/>
      <c r="BL237" s="80"/>
      <c r="BM237" s="80"/>
      <c r="BN237" s="80"/>
      <c r="BO237" s="80"/>
      <c r="BP237" s="80"/>
      <c r="BQ237" s="80"/>
      <c r="BR237" s="80"/>
      <c r="BS237" s="80"/>
      <c r="BT237" s="81"/>
      <c r="BU237" s="81"/>
      <c r="BV237" s="81" t="n">
        <f aca="false">BV236-BV234+BV235</f>
        <v>39.65</v>
      </c>
      <c r="BW237" s="81" t="n">
        <f aca="false">BW236-BW234+BW235</f>
        <v>39.1203058623619</v>
      </c>
      <c r="BX237" s="81" t="n">
        <f aca="false">BX236-BX234+BX235</f>
        <v>38.4762706548408</v>
      </c>
      <c r="BY237" s="81" t="n">
        <f aca="false">BY236-BY234+BY235</f>
        <v>37.7357638800508</v>
      </c>
      <c r="BZ237" s="81" t="n">
        <f aca="false">BZ236-BZ234+BZ235</f>
        <v>36.9148063374449</v>
      </c>
      <c r="CA237" s="16"/>
      <c r="CC237" s="5"/>
      <c r="CD237" s="5"/>
      <c r="CE237" s="5"/>
    </row>
    <row r="238" customFormat="false" ht="15" hidden="false" customHeight="false" outlineLevel="0" collapsed="false">
      <c r="B238" s="35" t="s">
        <v>349</v>
      </c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8"/>
      <c r="BU238" s="38"/>
      <c r="BV238" s="38" t="n">
        <f aca="false">IFERROR(BV234/BV236,"")</f>
        <v>0</v>
      </c>
      <c r="BW238" s="38" t="n">
        <f aca="false">IFERROR(BW234/BW236,"")</f>
        <v>0.0171423489946548</v>
      </c>
      <c r="BX238" s="38" t="n">
        <f aca="false">IFERROR(BX234/BX236,"")</f>
        <v>0.020297264809605</v>
      </c>
      <c r="BY238" s="38" t="n">
        <f aca="false">IFERROR(BY234/BY236,"")</f>
        <v>0.0231443110164832</v>
      </c>
      <c r="BZ238" s="38" t="n">
        <f aca="false">IFERROR(BZ234/BZ236,"")</f>
        <v>0.0257304329572415</v>
      </c>
      <c r="CA238" s="16"/>
      <c r="CC238" s="5"/>
      <c r="CD238" s="5"/>
      <c r="CE238" s="5"/>
    </row>
    <row r="239" customFormat="false" ht="15" hidden="false" customHeight="false" outlineLevel="0" collapsed="false">
      <c r="B239" s="1" t="s">
        <v>350</v>
      </c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  <c r="AV239" s="80"/>
      <c r="AW239" s="80"/>
      <c r="AX239" s="80"/>
      <c r="AY239" s="80"/>
      <c r="AZ239" s="80"/>
      <c r="BA239" s="80"/>
      <c r="BB239" s="80"/>
      <c r="BC239" s="80"/>
      <c r="BD239" s="80"/>
      <c r="BE239" s="80"/>
      <c r="BF239" s="80"/>
      <c r="BG239" s="80"/>
      <c r="BH239" s="80"/>
      <c r="BI239" s="80"/>
      <c r="BJ239" s="80"/>
      <c r="BK239" s="80"/>
      <c r="BL239" s="80"/>
      <c r="BM239" s="80"/>
      <c r="BN239" s="80"/>
      <c r="BO239" s="80"/>
      <c r="BP239" s="80"/>
      <c r="BQ239" s="80"/>
      <c r="BR239" s="80"/>
      <c r="BS239" s="80"/>
      <c r="BT239" s="81"/>
      <c r="BU239" s="81"/>
      <c r="BV239" s="81" t="n">
        <f aca="false">BV234</f>
        <v>0</v>
      </c>
      <c r="BW239" s="81" t="n">
        <f aca="false">BV239+BW234</f>
        <v>0.679694137638063</v>
      </c>
      <c r="BX239" s="81" t="n">
        <f aca="false">BW239+BX234</f>
        <v>1.47372934515916</v>
      </c>
      <c r="BY239" s="81" t="n">
        <f aca="false">BX239+BY234</f>
        <v>2.36423611994919</v>
      </c>
      <c r="BZ239" s="81" t="n">
        <f aca="false">BY239+BZ234</f>
        <v>3.33519366255513</v>
      </c>
      <c r="CA239" s="16"/>
      <c r="CC239" s="5"/>
      <c r="CD239" s="5"/>
      <c r="CE239" s="5"/>
    </row>
    <row r="240" customFormat="false" ht="15" hidden="false" customHeight="false" outlineLevel="0" collapsed="false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3"/>
      <c r="BU240" s="3"/>
      <c r="BV240" s="3"/>
      <c r="BW240" s="3"/>
      <c r="BX240" s="3"/>
      <c r="BY240" s="3"/>
      <c r="BZ240" s="3"/>
      <c r="CA240" s="16"/>
      <c r="CC240" s="5"/>
      <c r="CD240" s="5"/>
      <c r="CE240" s="5"/>
    </row>
    <row r="241" customFormat="false" ht="15" hidden="false" customHeight="false" outlineLevel="0" collapsed="false">
      <c r="B241" s="15" t="s">
        <v>351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 t="s">
        <v>352</v>
      </c>
      <c r="CC241" s="15"/>
      <c r="CD241" s="15"/>
      <c r="CE241" s="15"/>
    </row>
    <row r="242" customFormat="false" ht="15" hidden="false" customHeight="false" outlineLevel="0" collapsed="false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3"/>
      <c r="BU242" s="3"/>
      <c r="BV242" s="3"/>
      <c r="BW242" s="3"/>
      <c r="BX242" s="3"/>
      <c r="BY242" s="3"/>
      <c r="BZ242" s="3"/>
      <c r="CA242" s="16"/>
      <c r="CC242" s="5"/>
      <c r="CD242" s="5"/>
      <c r="CE242" s="5"/>
    </row>
    <row r="243" customFormat="false" ht="15" hidden="false" customHeight="false" outlineLevel="0" collapsed="false">
      <c r="B243" s="15" t="s">
        <v>353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C243" s="15"/>
      <c r="CD243" s="15"/>
      <c r="CE243" s="15"/>
    </row>
    <row r="244" customFormat="false" ht="15" hidden="false" customHeight="false" outlineLevel="0" collapsed="false">
      <c r="B244" s="20" t="s">
        <v>354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</row>
    <row r="245" customFormat="false" ht="15" hidden="false" customHeight="false" outlineLevel="0" collapsed="false">
      <c r="B245" s="1" t="s">
        <v>355</v>
      </c>
      <c r="C245" s="2"/>
      <c r="D245" s="2"/>
      <c r="E245" s="2"/>
      <c r="F245" s="2"/>
      <c r="G245" s="2"/>
      <c r="H245" s="23" t="n">
        <v>894</v>
      </c>
      <c r="I245" s="2"/>
      <c r="J245" s="2"/>
      <c r="K245" s="2"/>
      <c r="L245" s="2"/>
      <c r="M245" s="2"/>
      <c r="N245" s="23" t="n">
        <v>720</v>
      </c>
      <c r="O245" s="2"/>
      <c r="P245" s="2"/>
      <c r="Q245" s="2"/>
      <c r="R245" s="2"/>
      <c r="S245" s="2"/>
      <c r="T245" s="23" t="n">
        <v>701</v>
      </c>
      <c r="U245" s="2"/>
      <c r="V245" s="2"/>
      <c r="W245" s="2"/>
      <c r="X245" s="2"/>
      <c r="Y245" s="2"/>
      <c r="Z245" s="23" t="n">
        <v>240</v>
      </c>
      <c r="AA245" s="2"/>
      <c r="AB245" s="2"/>
      <c r="AC245" s="2"/>
      <c r="AD245" s="2"/>
      <c r="AE245" s="2"/>
      <c r="AF245" s="23" t="n">
        <v>75</v>
      </c>
      <c r="AG245" s="2"/>
      <c r="AH245" s="2"/>
      <c r="AI245" s="2"/>
      <c r="AJ245" s="2"/>
      <c r="AK245" s="2"/>
      <c r="AL245" s="23" t="n">
        <v>512</v>
      </c>
      <c r="AM245" s="2"/>
      <c r="AN245" s="2"/>
      <c r="AO245" s="2"/>
      <c r="AP245" s="2"/>
      <c r="AQ245" s="2"/>
      <c r="AR245" s="23" t="n">
        <v>627</v>
      </c>
      <c r="AS245" s="2"/>
      <c r="AT245" s="2"/>
      <c r="AU245" s="2"/>
      <c r="AV245" s="2"/>
      <c r="AW245" s="2"/>
      <c r="AX245" s="23" t="n">
        <v>467</v>
      </c>
      <c r="AY245" s="2"/>
      <c r="AZ245" s="2"/>
      <c r="BA245" s="2"/>
      <c r="BB245" s="2"/>
      <c r="BC245" s="2"/>
      <c r="BD245" s="23" t="n">
        <v>430</v>
      </c>
      <c r="BE245" s="2"/>
      <c r="BF245" s="2"/>
      <c r="BG245" s="2"/>
      <c r="BH245" s="2"/>
      <c r="BI245" s="2"/>
      <c r="BJ245" s="23" t="n">
        <v>831</v>
      </c>
      <c r="BK245" s="2"/>
      <c r="BL245" s="2"/>
      <c r="BM245" s="2"/>
      <c r="BN245" s="2"/>
      <c r="BO245" s="2"/>
      <c r="BP245" s="23" t="n">
        <v>774</v>
      </c>
      <c r="BQ245" s="2"/>
      <c r="BR245" s="2"/>
      <c r="BS245" s="23" t="n">
        <v>12</v>
      </c>
      <c r="BT245" s="3"/>
      <c r="BU245" s="3"/>
      <c r="BV245" s="3" t="n">
        <f aca="false">BV219</f>
        <v>1061.236</v>
      </c>
      <c r="BW245" s="3" t="n">
        <f aca="false">BW219</f>
        <v>1033.79404055294</v>
      </c>
      <c r="BX245" s="3" t="n">
        <f aca="false">BX219</f>
        <v>1114.35997982811</v>
      </c>
      <c r="BY245" s="3" t="n">
        <f aca="false">BY219</f>
        <v>1236.15035649681</v>
      </c>
      <c r="BZ245" s="3" t="n">
        <f aca="false">BZ219</f>
        <v>1415.76707320179</v>
      </c>
      <c r="CA245" s="16" t="s">
        <v>356</v>
      </c>
      <c r="CC245" s="5"/>
      <c r="CD245" s="5"/>
      <c r="CE245" s="5"/>
    </row>
    <row r="246" customFormat="false" ht="15" hidden="false" customHeight="false" outlineLevel="0" collapsed="false">
      <c r="B246" s="1" t="s">
        <v>357</v>
      </c>
      <c r="C246" s="2"/>
      <c r="D246" s="2"/>
      <c r="E246" s="2"/>
      <c r="F246" s="2"/>
      <c r="G246" s="2"/>
      <c r="H246" s="23" t="n">
        <v>1074</v>
      </c>
      <c r="I246" s="2"/>
      <c r="J246" s="2"/>
      <c r="K246" s="2"/>
      <c r="L246" s="2"/>
      <c r="M246" s="2"/>
      <c r="N246" s="23" t="n">
        <v>1164</v>
      </c>
      <c r="O246" s="2"/>
      <c r="P246" s="2"/>
      <c r="Q246" s="2"/>
      <c r="R246" s="2"/>
      <c r="S246" s="2"/>
      <c r="T246" s="23" t="n">
        <v>429</v>
      </c>
      <c r="U246" s="2"/>
      <c r="V246" s="2"/>
      <c r="W246" s="2"/>
      <c r="X246" s="2"/>
      <c r="Y246" s="2"/>
      <c r="Z246" s="23" t="n">
        <v>252</v>
      </c>
      <c r="AA246" s="2"/>
      <c r="AB246" s="2"/>
      <c r="AC246" s="2"/>
      <c r="AD246" s="2"/>
      <c r="AE246" s="2"/>
      <c r="AF246" s="23" t="n">
        <v>318</v>
      </c>
      <c r="AG246" s="2"/>
      <c r="AH246" s="2"/>
      <c r="AI246" s="2"/>
      <c r="AJ246" s="2"/>
      <c r="AK246" s="2"/>
      <c r="AL246" s="23" t="n">
        <v>397</v>
      </c>
      <c r="AM246" s="2"/>
      <c r="AN246" s="2"/>
      <c r="AO246" s="2"/>
      <c r="AP246" s="2"/>
      <c r="AQ246" s="2"/>
      <c r="AR246" s="23" t="n">
        <v>433</v>
      </c>
      <c r="AS246" s="2"/>
      <c r="AT246" s="2"/>
      <c r="AU246" s="2"/>
      <c r="AV246" s="2"/>
      <c r="AW246" s="2"/>
      <c r="AX246" s="23" t="n">
        <v>636</v>
      </c>
      <c r="AY246" s="2"/>
      <c r="AZ246" s="2"/>
      <c r="BA246" s="2"/>
      <c r="BB246" s="2"/>
      <c r="BC246" s="2"/>
      <c r="BD246" s="23" t="n">
        <v>461</v>
      </c>
      <c r="BE246" s="2"/>
      <c r="BF246" s="2"/>
      <c r="BG246" s="2"/>
      <c r="BH246" s="2"/>
      <c r="BI246" s="2"/>
      <c r="BJ246" s="23" t="n">
        <v>212</v>
      </c>
      <c r="BK246" s="2"/>
      <c r="BL246" s="2"/>
      <c r="BM246" s="2"/>
      <c r="BN246" s="2"/>
      <c r="BO246" s="2"/>
      <c r="BP246" s="23" t="n">
        <v>339</v>
      </c>
      <c r="BQ246" s="2"/>
      <c r="BR246" s="2"/>
      <c r="BS246" s="23" t="n">
        <v>452</v>
      </c>
      <c r="BT246" s="3"/>
      <c r="BU246" s="3"/>
      <c r="BV246" s="3" t="n">
        <f aca="false">BV119*BV292/365</f>
        <v>399.315068493151</v>
      </c>
      <c r="BW246" s="3" t="n">
        <f aca="false">BW119*BW292/365</f>
        <v>423.698045194492</v>
      </c>
      <c r="BX246" s="3" t="n">
        <f aca="false">BX119*BX292/365</f>
        <v>446.754891407445</v>
      </c>
      <c r="BY246" s="3" t="n">
        <f aca="false">BY119*BY292/365</f>
        <v>469.825844025715</v>
      </c>
      <c r="BZ246" s="3" t="n">
        <f aca="false">BZ119*BZ292/365</f>
        <v>492.251456018355</v>
      </c>
      <c r="CA246" s="16" t="s">
        <v>358</v>
      </c>
      <c r="CC246" s="5"/>
      <c r="CD246" s="5"/>
      <c r="CE246" s="5"/>
    </row>
    <row r="247" customFormat="false" ht="15" hidden="false" customHeight="false" outlineLevel="0" collapsed="false">
      <c r="B247" s="1" t="s">
        <v>298</v>
      </c>
      <c r="C247" s="2"/>
      <c r="D247" s="2"/>
      <c r="E247" s="2"/>
      <c r="F247" s="2"/>
      <c r="G247" s="2"/>
      <c r="H247" s="23" t="n">
        <v>0</v>
      </c>
      <c r="I247" s="2"/>
      <c r="J247" s="2"/>
      <c r="K247" s="2"/>
      <c r="L247" s="2"/>
      <c r="M247" s="2"/>
      <c r="N247" s="23" t="n">
        <v>0</v>
      </c>
      <c r="O247" s="2"/>
      <c r="P247" s="2"/>
      <c r="Q247" s="2"/>
      <c r="R247" s="2"/>
      <c r="S247" s="2"/>
      <c r="T247" s="23" t="n">
        <v>759</v>
      </c>
      <c r="U247" s="2"/>
      <c r="V247" s="2"/>
      <c r="W247" s="2"/>
      <c r="X247" s="2"/>
      <c r="Y247" s="2"/>
      <c r="Z247" s="23" t="n">
        <v>1003</v>
      </c>
      <c r="AA247" s="2"/>
      <c r="AB247" s="2"/>
      <c r="AC247" s="2"/>
      <c r="AD247" s="2"/>
      <c r="AE247" s="2"/>
      <c r="AF247" s="23" t="n">
        <v>989</v>
      </c>
      <c r="AG247" s="2"/>
      <c r="AH247" s="2"/>
      <c r="AI247" s="2"/>
      <c r="AJ247" s="2"/>
      <c r="AK247" s="2"/>
      <c r="AL247" s="23" t="n">
        <v>1049</v>
      </c>
      <c r="AM247" s="2"/>
      <c r="AN247" s="2"/>
      <c r="AO247" s="2"/>
      <c r="AP247" s="2"/>
      <c r="AQ247" s="2"/>
      <c r="AR247" s="23" t="n">
        <v>1310</v>
      </c>
      <c r="AS247" s="2"/>
      <c r="AT247" s="2"/>
      <c r="AU247" s="2"/>
      <c r="AV247" s="2"/>
      <c r="AW247" s="2"/>
      <c r="AX247" s="23" t="n">
        <v>1240</v>
      </c>
      <c r="AY247" s="2"/>
      <c r="AZ247" s="2"/>
      <c r="BA247" s="2"/>
      <c r="BB247" s="2"/>
      <c r="BC247" s="2"/>
      <c r="BD247" s="23" t="n">
        <v>1537</v>
      </c>
      <c r="BE247" s="2"/>
      <c r="BF247" s="2"/>
      <c r="BG247" s="2"/>
      <c r="BH247" s="2"/>
      <c r="BI247" s="2"/>
      <c r="BJ247" s="23" t="n">
        <v>1683</v>
      </c>
      <c r="BK247" s="2"/>
      <c r="BL247" s="2"/>
      <c r="BM247" s="2"/>
      <c r="BN247" s="2"/>
      <c r="BO247" s="2"/>
      <c r="BP247" s="23" t="n">
        <v>1758</v>
      </c>
      <c r="BQ247" s="2"/>
      <c r="BR247" s="2"/>
      <c r="BS247" s="23" t="n">
        <v>2154</v>
      </c>
      <c r="BT247" s="3"/>
      <c r="BU247" s="3"/>
      <c r="BV247" s="3" t="n">
        <f aca="false">BP247-BV198</f>
        <v>1547.05684381313</v>
      </c>
      <c r="BW247" s="3" t="n">
        <f aca="false">BW119*BW293/365</f>
        <v>1641.52322876747</v>
      </c>
      <c r="BX247" s="3" t="n">
        <f aca="false">BX119*BX293/365</f>
        <v>1730.85181800679</v>
      </c>
      <c r="BY247" s="3" t="n">
        <f aca="false">BY119*BY293/365</f>
        <v>1820.23505935571</v>
      </c>
      <c r="BZ247" s="3" t="n">
        <f aca="false">BZ119*BZ293/365</f>
        <v>1907.11807291398</v>
      </c>
      <c r="CA247" s="16" t="s">
        <v>359</v>
      </c>
      <c r="CC247" s="5"/>
      <c r="CD247" s="5"/>
      <c r="CE247" s="5"/>
    </row>
    <row r="248" customFormat="false" ht="15" hidden="false" customHeight="false" outlineLevel="0" collapsed="false">
      <c r="B248" s="1" t="s">
        <v>300</v>
      </c>
      <c r="C248" s="2"/>
      <c r="D248" s="2"/>
      <c r="E248" s="2"/>
      <c r="F248" s="2"/>
      <c r="G248" s="2"/>
      <c r="H248" s="23" t="n">
        <v>285</v>
      </c>
      <c r="I248" s="2"/>
      <c r="J248" s="2"/>
      <c r="K248" s="2"/>
      <c r="L248" s="2"/>
      <c r="M248" s="2"/>
      <c r="N248" s="23" t="n">
        <v>210</v>
      </c>
      <c r="O248" s="2"/>
      <c r="P248" s="2"/>
      <c r="Q248" s="2"/>
      <c r="R248" s="2"/>
      <c r="S248" s="2"/>
      <c r="T248" s="23" t="n">
        <v>183</v>
      </c>
      <c r="U248" s="2"/>
      <c r="V248" s="2"/>
      <c r="W248" s="2"/>
      <c r="X248" s="2"/>
      <c r="Y248" s="2"/>
      <c r="Z248" s="23" t="n">
        <v>128</v>
      </c>
      <c r="AA248" s="2"/>
      <c r="AB248" s="2"/>
      <c r="AC248" s="2"/>
      <c r="AD248" s="2"/>
      <c r="AE248" s="2"/>
      <c r="AF248" s="23" t="n">
        <v>136</v>
      </c>
      <c r="AG248" s="2"/>
      <c r="AH248" s="2"/>
      <c r="AI248" s="2"/>
      <c r="AJ248" s="2"/>
      <c r="AK248" s="2"/>
      <c r="AL248" s="23" t="n">
        <v>137</v>
      </c>
      <c r="AM248" s="2"/>
      <c r="AN248" s="2"/>
      <c r="AO248" s="2"/>
      <c r="AP248" s="2"/>
      <c r="AQ248" s="2"/>
      <c r="AR248" s="23" t="n">
        <v>161</v>
      </c>
      <c r="AS248" s="2"/>
      <c r="AT248" s="2"/>
      <c r="AU248" s="2"/>
      <c r="AV248" s="2"/>
      <c r="AW248" s="2"/>
      <c r="AX248" s="23" t="n">
        <v>183</v>
      </c>
      <c r="AY248" s="2"/>
      <c r="AZ248" s="2"/>
      <c r="BA248" s="2"/>
      <c r="BB248" s="2"/>
      <c r="BC248" s="2"/>
      <c r="BD248" s="23" t="n">
        <v>186</v>
      </c>
      <c r="BE248" s="2"/>
      <c r="BF248" s="2"/>
      <c r="BG248" s="2"/>
      <c r="BH248" s="2"/>
      <c r="BI248" s="2"/>
      <c r="BJ248" s="23" t="n">
        <v>208</v>
      </c>
      <c r="BK248" s="2"/>
      <c r="BL248" s="2"/>
      <c r="BM248" s="2"/>
      <c r="BN248" s="2"/>
      <c r="BO248" s="2"/>
      <c r="BP248" s="23" t="n">
        <v>219</v>
      </c>
      <c r="BQ248" s="2"/>
      <c r="BR248" s="2"/>
      <c r="BS248" s="23" t="n">
        <v>236</v>
      </c>
      <c r="BT248" s="3"/>
      <c r="BU248" s="3"/>
      <c r="BV248" s="3" t="n">
        <f aca="false">(BV120+BV121)*BV294/365</f>
        <v>221.519851242588</v>
      </c>
      <c r="BW248" s="3" t="n">
        <f aca="false">(BW120+BW121)*BW294/365</f>
        <v>233.369202846386</v>
      </c>
      <c r="BX248" s="3" t="n">
        <f aca="false">(BX120+BX121)*BX294/365</f>
        <v>245.218240689255</v>
      </c>
      <c r="BY248" s="3" t="n">
        <f aca="false">(BY120+BY121)*BY294/365</f>
        <v>257.006696969258</v>
      </c>
      <c r="BZ248" s="3" t="n">
        <f aca="false">(BZ120+BZ121)*BZ294/365</f>
        <v>268.375208550842</v>
      </c>
      <c r="CA248" s="16"/>
      <c r="CC248" s="5"/>
      <c r="CD248" s="5"/>
      <c r="CE248" s="5"/>
    </row>
    <row r="249" customFormat="false" ht="15" hidden="false" customHeight="false" outlineLevel="0" collapsed="false">
      <c r="B249" s="1" t="s">
        <v>360</v>
      </c>
      <c r="C249" s="2"/>
      <c r="D249" s="2"/>
      <c r="E249" s="2"/>
      <c r="F249" s="2"/>
      <c r="G249" s="2"/>
      <c r="H249" s="23" t="n">
        <v>0</v>
      </c>
      <c r="I249" s="2"/>
      <c r="J249" s="2"/>
      <c r="K249" s="2"/>
      <c r="L249" s="2"/>
      <c r="M249" s="2"/>
      <c r="N249" s="23" t="n">
        <v>0</v>
      </c>
      <c r="O249" s="2"/>
      <c r="P249" s="2"/>
      <c r="Q249" s="2"/>
      <c r="R249" s="2"/>
      <c r="S249" s="2"/>
      <c r="T249" s="23" t="n">
        <v>0</v>
      </c>
      <c r="U249" s="2"/>
      <c r="V249" s="2"/>
      <c r="W249" s="2"/>
      <c r="X249" s="2"/>
      <c r="Y249" s="2"/>
      <c r="Z249" s="23" t="n">
        <v>94</v>
      </c>
      <c r="AA249" s="2"/>
      <c r="AB249" s="2"/>
      <c r="AC249" s="2"/>
      <c r="AD249" s="2"/>
      <c r="AE249" s="2"/>
      <c r="AF249" s="23" t="n">
        <v>148</v>
      </c>
      <c r="AG249" s="2"/>
      <c r="AH249" s="2"/>
      <c r="AI249" s="2"/>
      <c r="AJ249" s="2"/>
      <c r="AK249" s="2"/>
      <c r="AL249" s="23" t="n">
        <v>171</v>
      </c>
      <c r="AM249" s="2"/>
      <c r="AN249" s="2"/>
      <c r="AO249" s="2"/>
      <c r="AP249" s="2"/>
      <c r="AQ249" s="2"/>
      <c r="AR249" s="23" t="n">
        <v>209</v>
      </c>
      <c r="AS249" s="2"/>
      <c r="AT249" s="2"/>
      <c r="AU249" s="2"/>
      <c r="AV249" s="2"/>
      <c r="AW249" s="2"/>
      <c r="AX249" s="23" t="n">
        <v>170</v>
      </c>
      <c r="AY249" s="2"/>
      <c r="AZ249" s="2"/>
      <c r="BA249" s="2"/>
      <c r="BB249" s="2"/>
      <c r="BC249" s="2"/>
      <c r="BD249" s="23" t="n">
        <v>183</v>
      </c>
      <c r="BE249" s="2"/>
      <c r="BF249" s="2"/>
      <c r="BG249" s="2"/>
      <c r="BH249" s="2"/>
      <c r="BI249" s="2"/>
      <c r="BJ249" s="23" t="n">
        <v>204</v>
      </c>
      <c r="BK249" s="2"/>
      <c r="BL249" s="2"/>
      <c r="BM249" s="2"/>
      <c r="BN249" s="2"/>
      <c r="BO249" s="2"/>
      <c r="BP249" s="23" t="n">
        <v>284</v>
      </c>
      <c r="BQ249" s="2"/>
      <c r="BR249" s="2"/>
      <c r="BS249" s="23" t="n">
        <v>279</v>
      </c>
      <c r="BT249" s="3"/>
      <c r="BU249" s="3"/>
      <c r="BV249" s="3" t="n">
        <f aca="false">BP249</f>
        <v>284</v>
      </c>
      <c r="BW249" s="3" t="n">
        <f aca="false">BV249</f>
        <v>284</v>
      </c>
      <c r="BX249" s="3" t="n">
        <f aca="false">BW249</f>
        <v>284</v>
      </c>
      <c r="BY249" s="3" t="n">
        <f aca="false">BX249</f>
        <v>284</v>
      </c>
      <c r="BZ249" s="3" t="n">
        <f aca="false">BY249</f>
        <v>284</v>
      </c>
      <c r="CA249" s="16"/>
      <c r="CC249" s="5"/>
      <c r="CD249" s="5"/>
      <c r="CE249" s="5"/>
    </row>
    <row r="250" customFormat="false" ht="15" hidden="false" customHeight="false" outlineLevel="0" collapsed="false">
      <c r="B250" s="1" t="s">
        <v>361</v>
      </c>
      <c r="C250" s="2"/>
      <c r="D250" s="2"/>
      <c r="E250" s="2"/>
      <c r="F250" s="2"/>
      <c r="G250" s="2"/>
      <c r="H250" s="23" t="n">
        <v>31</v>
      </c>
      <c r="I250" s="2"/>
      <c r="J250" s="2"/>
      <c r="K250" s="2"/>
      <c r="L250" s="2"/>
      <c r="M250" s="2"/>
      <c r="N250" s="23" t="n">
        <v>48</v>
      </c>
      <c r="O250" s="2"/>
      <c r="P250" s="2"/>
      <c r="Q250" s="2"/>
      <c r="R250" s="2"/>
      <c r="S250" s="2"/>
      <c r="T250" s="23" t="n">
        <v>123</v>
      </c>
      <c r="U250" s="2"/>
      <c r="V250" s="2"/>
      <c r="W250" s="2"/>
      <c r="X250" s="2"/>
      <c r="Y250" s="2"/>
      <c r="Z250" s="23" t="n">
        <v>27</v>
      </c>
      <c r="AA250" s="2"/>
      <c r="AB250" s="2"/>
      <c r="AC250" s="2"/>
      <c r="AD250" s="2"/>
      <c r="AE250" s="2"/>
      <c r="AF250" s="23" t="n">
        <v>24</v>
      </c>
      <c r="AG250" s="2"/>
      <c r="AH250" s="2"/>
      <c r="AI250" s="2"/>
      <c r="AJ250" s="2"/>
      <c r="AK250" s="2"/>
      <c r="AL250" s="23" t="n">
        <v>45</v>
      </c>
      <c r="AM250" s="2"/>
      <c r="AN250" s="2"/>
      <c r="AO250" s="2"/>
      <c r="AP250" s="2"/>
      <c r="AQ250" s="2"/>
      <c r="AR250" s="23" t="n">
        <v>50</v>
      </c>
      <c r="AS250" s="2"/>
      <c r="AT250" s="2"/>
      <c r="AU250" s="2"/>
      <c r="AV250" s="2"/>
      <c r="AW250" s="2"/>
      <c r="AX250" s="23" t="n">
        <v>50</v>
      </c>
      <c r="AY250" s="2"/>
      <c r="AZ250" s="2"/>
      <c r="BA250" s="2"/>
      <c r="BB250" s="2"/>
      <c r="BC250" s="2"/>
      <c r="BD250" s="23" t="n">
        <v>83</v>
      </c>
      <c r="BE250" s="2"/>
      <c r="BF250" s="2"/>
      <c r="BG250" s="2"/>
      <c r="BH250" s="2"/>
      <c r="BI250" s="2"/>
      <c r="BJ250" s="23" t="n">
        <v>90</v>
      </c>
      <c r="BK250" s="2"/>
      <c r="BL250" s="2"/>
      <c r="BM250" s="2"/>
      <c r="BN250" s="2"/>
      <c r="BO250" s="2"/>
      <c r="BP250" s="23" t="n">
        <v>77</v>
      </c>
      <c r="BQ250" s="2"/>
      <c r="BR250" s="2"/>
      <c r="BS250" s="23" t="n">
        <v>106</v>
      </c>
      <c r="BT250" s="3"/>
      <c r="BU250" s="3"/>
      <c r="BV250" s="3" t="n">
        <f aca="false">BP250</f>
        <v>77</v>
      </c>
      <c r="BW250" s="3" t="n">
        <f aca="false">BV250</f>
        <v>77</v>
      </c>
      <c r="BX250" s="3" t="n">
        <f aca="false">BW250</f>
        <v>77</v>
      </c>
      <c r="BY250" s="3" t="n">
        <f aca="false">BX250</f>
        <v>77</v>
      </c>
      <c r="BZ250" s="3" t="n">
        <f aca="false">BY250</f>
        <v>77</v>
      </c>
      <c r="CA250" s="16"/>
      <c r="CC250" s="5"/>
      <c r="CD250" s="5"/>
      <c r="CE250" s="5"/>
    </row>
    <row r="251" customFormat="false" ht="15" hidden="false" customHeight="false" outlineLevel="0" collapsed="false">
      <c r="B251" s="1" t="s">
        <v>362</v>
      </c>
      <c r="C251" s="2"/>
      <c r="D251" s="2"/>
      <c r="E251" s="2"/>
      <c r="F251" s="2"/>
      <c r="G251" s="2"/>
      <c r="H251" s="23" t="n">
        <v>0</v>
      </c>
      <c r="I251" s="2"/>
      <c r="J251" s="2"/>
      <c r="K251" s="2"/>
      <c r="L251" s="2"/>
      <c r="M251" s="2"/>
      <c r="N251" s="23" t="n">
        <v>0</v>
      </c>
      <c r="O251" s="2"/>
      <c r="P251" s="2"/>
      <c r="Q251" s="2"/>
      <c r="R251" s="2"/>
      <c r="S251" s="2"/>
      <c r="T251" s="23" t="n">
        <v>0</v>
      </c>
      <c r="U251" s="2"/>
      <c r="V251" s="2"/>
      <c r="W251" s="2"/>
      <c r="X251" s="2"/>
      <c r="Y251" s="2"/>
      <c r="Z251" s="23" t="n">
        <v>1</v>
      </c>
      <c r="AA251" s="2"/>
      <c r="AB251" s="2"/>
      <c r="AC251" s="2"/>
      <c r="AD251" s="2"/>
      <c r="AE251" s="2"/>
      <c r="AF251" s="23" t="n">
        <v>95</v>
      </c>
      <c r="AG251" s="2"/>
      <c r="AH251" s="2"/>
      <c r="AI251" s="2"/>
      <c r="AJ251" s="2"/>
      <c r="AK251" s="2"/>
      <c r="AL251" s="23" t="n">
        <v>133</v>
      </c>
      <c r="AM251" s="2"/>
      <c r="AN251" s="2"/>
      <c r="AO251" s="2"/>
      <c r="AP251" s="2"/>
      <c r="AQ251" s="2"/>
      <c r="AR251" s="23" t="n">
        <v>0</v>
      </c>
      <c r="AS251" s="2"/>
      <c r="AT251" s="2"/>
      <c r="AU251" s="2"/>
      <c r="AV251" s="2"/>
      <c r="AW251" s="2"/>
      <c r="AX251" s="23" t="n">
        <v>0</v>
      </c>
      <c r="AY251" s="2"/>
      <c r="AZ251" s="2"/>
      <c r="BA251" s="2"/>
      <c r="BB251" s="2"/>
      <c r="BC251" s="2"/>
      <c r="BD251" s="23" t="n">
        <v>0</v>
      </c>
      <c r="BE251" s="2"/>
      <c r="BF251" s="2"/>
      <c r="BG251" s="2"/>
      <c r="BH251" s="2"/>
      <c r="BI251" s="2"/>
      <c r="BJ251" s="23" t="n">
        <v>0</v>
      </c>
      <c r="BK251" s="2"/>
      <c r="BL251" s="2"/>
      <c r="BM251" s="2"/>
      <c r="BN251" s="2"/>
      <c r="BO251" s="2"/>
      <c r="BP251" s="23" t="n">
        <v>0</v>
      </c>
      <c r="BQ251" s="2"/>
      <c r="BR251" s="2"/>
      <c r="BS251" s="23" t="n">
        <v>0</v>
      </c>
      <c r="BT251" s="3"/>
      <c r="BU251" s="3"/>
      <c r="BV251" s="3" t="n">
        <f aca="false">BP251</f>
        <v>0</v>
      </c>
      <c r="BW251" s="3" t="n">
        <f aca="false">BV251</f>
        <v>0</v>
      </c>
      <c r="BX251" s="3" t="n">
        <f aca="false">BW251</f>
        <v>0</v>
      </c>
      <c r="BY251" s="3" t="n">
        <f aca="false">BX251</f>
        <v>0</v>
      </c>
      <c r="BZ251" s="3" t="n">
        <f aca="false">BY251</f>
        <v>0</v>
      </c>
      <c r="CA251" s="16"/>
      <c r="CC251" s="5"/>
      <c r="CD251" s="5"/>
      <c r="CE251" s="5"/>
    </row>
    <row r="252" customFormat="false" ht="15" hidden="false" customHeight="false" outlineLevel="0" collapsed="false">
      <c r="B252" s="26" t="s">
        <v>363</v>
      </c>
      <c r="C252" s="28"/>
      <c r="D252" s="28"/>
      <c r="E252" s="28"/>
      <c r="F252" s="28"/>
      <c r="G252" s="28"/>
      <c r="H252" s="28" t="n">
        <f aca="false">SUM(H245:H251)</f>
        <v>2284</v>
      </c>
      <c r="I252" s="28"/>
      <c r="J252" s="28"/>
      <c r="K252" s="28"/>
      <c r="L252" s="28"/>
      <c r="M252" s="28"/>
      <c r="N252" s="28" t="n">
        <f aca="false">SUM(N245:N251)</f>
        <v>2142</v>
      </c>
      <c r="O252" s="28"/>
      <c r="P252" s="28"/>
      <c r="Q252" s="28"/>
      <c r="R252" s="28"/>
      <c r="S252" s="28"/>
      <c r="T252" s="28" t="n">
        <f aca="false">SUM(T245:T251)</f>
        <v>2195</v>
      </c>
      <c r="U252" s="28"/>
      <c r="V252" s="28"/>
      <c r="W252" s="28"/>
      <c r="X252" s="28"/>
      <c r="Y252" s="28"/>
      <c r="Z252" s="28" t="n">
        <f aca="false">SUM(Z245:Z251)</f>
        <v>1745</v>
      </c>
      <c r="AA252" s="28"/>
      <c r="AB252" s="28"/>
      <c r="AC252" s="28"/>
      <c r="AD252" s="28"/>
      <c r="AE252" s="28"/>
      <c r="AF252" s="28" t="n">
        <f aca="false">SUM(AF245:AF251)</f>
        <v>1785</v>
      </c>
      <c r="AG252" s="28"/>
      <c r="AH252" s="28"/>
      <c r="AI252" s="28"/>
      <c r="AJ252" s="28"/>
      <c r="AK252" s="28"/>
      <c r="AL252" s="28" t="n">
        <f aca="false">SUM(AL245:AL251)</f>
        <v>2444</v>
      </c>
      <c r="AM252" s="28"/>
      <c r="AN252" s="28"/>
      <c r="AO252" s="28"/>
      <c r="AP252" s="28"/>
      <c r="AQ252" s="28"/>
      <c r="AR252" s="28" t="n">
        <f aca="false">SUM(AR245:AR251)</f>
        <v>2790</v>
      </c>
      <c r="AS252" s="28"/>
      <c r="AT252" s="28"/>
      <c r="AU252" s="28"/>
      <c r="AV252" s="28"/>
      <c r="AW252" s="28"/>
      <c r="AX252" s="28" t="n">
        <f aca="false">SUM(AX245:AX251)</f>
        <v>2746</v>
      </c>
      <c r="AY252" s="28"/>
      <c r="AZ252" s="28"/>
      <c r="BA252" s="28"/>
      <c r="BB252" s="28"/>
      <c r="BC252" s="28"/>
      <c r="BD252" s="28" t="n">
        <f aca="false">SUM(BD245:BD251)</f>
        <v>2880</v>
      </c>
      <c r="BE252" s="28"/>
      <c r="BF252" s="28"/>
      <c r="BG252" s="28"/>
      <c r="BH252" s="28"/>
      <c r="BI252" s="28"/>
      <c r="BJ252" s="28" t="n">
        <f aca="false">SUM(BJ245:BJ251)</f>
        <v>3228</v>
      </c>
      <c r="BK252" s="28"/>
      <c r="BL252" s="28"/>
      <c r="BM252" s="28"/>
      <c r="BN252" s="28"/>
      <c r="BO252" s="28"/>
      <c r="BP252" s="28" t="n">
        <f aca="false">SUM(BP245:BP251)</f>
        <v>3451</v>
      </c>
      <c r="BQ252" s="28"/>
      <c r="BR252" s="28"/>
      <c r="BS252" s="28" t="n">
        <f aca="false">SUM(BS245:BS251)</f>
        <v>3239</v>
      </c>
      <c r="BT252" s="29"/>
      <c r="BU252" s="29"/>
      <c r="BV252" s="29" t="n">
        <f aca="false">SUM(BV245:BV251)</f>
        <v>3590.12776354886</v>
      </c>
      <c r="BW252" s="29" t="n">
        <f aca="false">SUM(BW245:BW251)</f>
        <v>3693.38451736129</v>
      </c>
      <c r="BX252" s="29" t="n">
        <f aca="false">SUM(BX245:BX251)</f>
        <v>3898.1849299316</v>
      </c>
      <c r="BY252" s="29" t="n">
        <f aca="false">SUM(BY245:BY251)</f>
        <v>4144.2179568475</v>
      </c>
      <c r="BZ252" s="29" t="n">
        <f aca="false">SUM(BZ245:BZ251)</f>
        <v>4444.51181068497</v>
      </c>
      <c r="CA252" s="16"/>
      <c r="CC252" s="5"/>
      <c r="CD252" s="5"/>
      <c r="CE252" s="5"/>
    </row>
    <row r="253" customFormat="false" ht="15" hidden="false" customHeight="false" outlineLevel="0" collapsed="false">
      <c r="B253" s="1" t="s">
        <v>364</v>
      </c>
      <c r="C253" s="2"/>
      <c r="D253" s="2"/>
      <c r="E253" s="2"/>
      <c r="F253" s="2"/>
      <c r="G253" s="2"/>
      <c r="H253" s="23" t="n">
        <v>1827</v>
      </c>
      <c r="I253" s="2"/>
      <c r="J253" s="2"/>
      <c r="K253" s="2"/>
      <c r="L253" s="2"/>
      <c r="M253" s="2"/>
      <c r="N253" s="23" t="n">
        <v>1986</v>
      </c>
      <c r="O253" s="2"/>
      <c r="P253" s="2"/>
      <c r="Q253" s="2"/>
      <c r="R253" s="2"/>
      <c r="S253" s="2"/>
      <c r="T253" s="23" t="n">
        <v>2215</v>
      </c>
      <c r="U253" s="2"/>
      <c r="V253" s="2"/>
      <c r="W253" s="2"/>
      <c r="X253" s="2"/>
      <c r="Y253" s="2"/>
      <c r="Z253" s="23" t="n">
        <v>2517</v>
      </c>
      <c r="AA253" s="2"/>
      <c r="AB253" s="2"/>
      <c r="AC253" s="2"/>
      <c r="AD253" s="2"/>
      <c r="AE253" s="2"/>
      <c r="AF253" s="23" t="n">
        <v>2832</v>
      </c>
      <c r="AG253" s="2"/>
      <c r="AH253" s="2"/>
      <c r="AI253" s="2"/>
      <c r="AJ253" s="2"/>
      <c r="AK253" s="2"/>
      <c r="AL253" s="23" t="n">
        <v>2978</v>
      </c>
      <c r="AM253" s="2"/>
      <c r="AN253" s="2"/>
      <c r="AO253" s="2"/>
      <c r="AP253" s="2"/>
      <c r="AQ253" s="2"/>
      <c r="AR253" s="23" t="n">
        <v>3107</v>
      </c>
      <c r="AS253" s="2"/>
      <c r="AT253" s="2"/>
      <c r="AU253" s="2"/>
      <c r="AV253" s="2"/>
      <c r="AW253" s="2"/>
      <c r="AX253" s="23" t="n">
        <v>3198</v>
      </c>
      <c r="AY253" s="2"/>
      <c r="AZ253" s="2"/>
      <c r="BA253" s="2"/>
      <c r="BB253" s="2"/>
      <c r="BC253" s="2"/>
      <c r="BD253" s="23" t="n">
        <v>3296</v>
      </c>
      <c r="BE253" s="2"/>
      <c r="BF253" s="2"/>
      <c r="BG253" s="2"/>
      <c r="BH253" s="2"/>
      <c r="BI253" s="2"/>
      <c r="BJ253" s="23" t="n">
        <v>3450</v>
      </c>
      <c r="BK253" s="2"/>
      <c r="BL253" s="2"/>
      <c r="BM253" s="2"/>
      <c r="BN253" s="2"/>
      <c r="BO253" s="2"/>
      <c r="BP253" s="23" t="n">
        <v>3726</v>
      </c>
      <c r="BQ253" s="2"/>
      <c r="BR253" s="2"/>
      <c r="BS253" s="23" t="n">
        <v>3806</v>
      </c>
      <c r="BT253" s="3"/>
      <c r="BU253" s="3"/>
      <c r="BV253" s="3" t="n">
        <f aca="false">BP253-BV204-BV205-BV190</f>
        <v>4070.25</v>
      </c>
      <c r="BW253" s="3" t="n">
        <f aca="false">BV253-BW204-BW205-BW190</f>
        <v>4380.49666245598</v>
      </c>
      <c r="BX253" s="3" t="n">
        <f aca="false">BW253-BX204-BX205-BX190</f>
        <v>4662.19732590755</v>
      </c>
      <c r="BY253" s="3" t="n">
        <f aca="false">BX253-BY204-BY205-BY190</f>
        <v>4911.44986141484</v>
      </c>
      <c r="BZ253" s="3" t="n">
        <f aca="false">BY253-BZ204-BZ205-BZ190</f>
        <v>5121.14551924917</v>
      </c>
      <c r="CA253" s="16" t="s">
        <v>365</v>
      </c>
      <c r="CC253" s="5"/>
      <c r="CD253" s="5"/>
      <c r="CE253" s="5"/>
    </row>
    <row r="254" customFormat="false" ht="15" hidden="false" customHeight="false" outlineLevel="0" collapsed="false">
      <c r="B254" s="1" t="s">
        <v>366</v>
      </c>
      <c r="C254" s="2"/>
      <c r="D254" s="2"/>
      <c r="E254" s="2"/>
      <c r="F254" s="2"/>
      <c r="G254" s="2"/>
      <c r="H254" s="23" t="n">
        <v>0</v>
      </c>
      <c r="I254" s="2"/>
      <c r="J254" s="2"/>
      <c r="K254" s="2"/>
      <c r="L254" s="2"/>
      <c r="M254" s="2"/>
      <c r="N254" s="23" t="n">
        <v>0</v>
      </c>
      <c r="O254" s="2"/>
      <c r="P254" s="2"/>
      <c r="Q254" s="2"/>
      <c r="R254" s="2"/>
      <c r="S254" s="2"/>
      <c r="T254" s="23" t="n">
        <v>0</v>
      </c>
      <c r="U254" s="2"/>
      <c r="V254" s="2"/>
      <c r="W254" s="2"/>
      <c r="X254" s="2"/>
      <c r="Y254" s="2"/>
      <c r="Z254" s="23" t="n">
        <v>0</v>
      </c>
      <c r="AA254" s="2"/>
      <c r="AB254" s="2"/>
      <c r="AC254" s="2"/>
      <c r="AD254" s="2"/>
      <c r="AE254" s="2"/>
      <c r="AF254" s="23" t="n">
        <v>201</v>
      </c>
      <c r="AG254" s="2"/>
      <c r="AH254" s="2"/>
      <c r="AI254" s="2"/>
      <c r="AJ254" s="2"/>
      <c r="AK254" s="2"/>
      <c r="AL254" s="23" t="n">
        <v>192</v>
      </c>
      <c r="AM254" s="2"/>
      <c r="AN254" s="2"/>
      <c r="AO254" s="2"/>
      <c r="AP254" s="2"/>
      <c r="AQ254" s="2"/>
      <c r="AR254" s="23" t="n">
        <v>241</v>
      </c>
      <c r="AS254" s="2"/>
      <c r="AT254" s="2"/>
      <c r="AU254" s="2"/>
      <c r="AV254" s="2"/>
      <c r="AW254" s="2"/>
      <c r="AX254" s="23" t="n">
        <v>282</v>
      </c>
      <c r="AY254" s="2"/>
      <c r="AZ254" s="2"/>
      <c r="BA254" s="2"/>
      <c r="BB254" s="2"/>
      <c r="BC254" s="2"/>
      <c r="BD254" s="23" t="n">
        <v>262</v>
      </c>
      <c r="BE254" s="2"/>
      <c r="BF254" s="2"/>
      <c r="BG254" s="2"/>
      <c r="BH254" s="2"/>
      <c r="BI254" s="2"/>
      <c r="BJ254" s="23" t="n">
        <v>239</v>
      </c>
      <c r="BK254" s="2"/>
      <c r="BL254" s="2"/>
      <c r="BM254" s="2"/>
      <c r="BN254" s="2"/>
      <c r="BO254" s="2"/>
      <c r="BP254" s="23" t="n">
        <v>267</v>
      </c>
      <c r="BQ254" s="2"/>
      <c r="BR254" s="2"/>
      <c r="BS254" s="23" t="n">
        <v>282</v>
      </c>
      <c r="BT254" s="3"/>
      <c r="BU254" s="3"/>
      <c r="BV254" s="3" t="n">
        <f aca="false">BP254</f>
        <v>267</v>
      </c>
      <c r="BW254" s="3" t="n">
        <f aca="false">BV254</f>
        <v>267</v>
      </c>
      <c r="BX254" s="3" t="n">
        <f aca="false">BW254</f>
        <v>267</v>
      </c>
      <c r="BY254" s="3" t="n">
        <f aca="false">BX254</f>
        <v>267</v>
      </c>
      <c r="BZ254" s="3" t="n">
        <f aca="false">BY254</f>
        <v>267</v>
      </c>
      <c r="CA254" s="16"/>
      <c r="CC254" s="5"/>
      <c r="CD254" s="5"/>
      <c r="CE254" s="5"/>
    </row>
    <row r="255" customFormat="false" ht="15" hidden="false" customHeight="false" outlineLevel="0" collapsed="false">
      <c r="B255" s="1" t="s">
        <v>367</v>
      </c>
      <c r="C255" s="2"/>
      <c r="D255" s="2"/>
      <c r="E255" s="2"/>
      <c r="F255" s="2"/>
      <c r="G255" s="2"/>
      <c r="H255" s="23" t="n">
        <v>956</v>
      </c>
      <c r="I255" s="2"/>
      <c r="J255" s="2"/>
      <c r="K255" s="2"/>
      <c r="L255" s="2"/>
      <c r="M255" s="2"/>
      <c r="N255" s="23" t="n">
        <v>1234</v>
      </c>
      <c r="O255" s="2"/>
      <c r="P255" s="2"/>
      <c r="Q255" s="2"/>
      <c r="R255" s="2"/>
      <c r="S255" s="2"/>
      <c r="T255" s="23" t="n">
        <v>1217</v>
      </c>
      <c r="U255" s="2"/>
      <c r="V255" s="2"/>
      <c r="W255" s="2"/>
      <c r="X255" s="2"/>
      <c r="Y255" s="2"/>
      <c r="Z255" s="23" t="n">
        <v>1263</v>
      </c>
      <c r="AA255" s="2"/>
      <c r="AB255" s="2"/>
      <c r="AC255" s="2"/>
      <c r="AD255" s="2"/>
      <c r="AE255" s="2"/>
      <c r="AF255" s="23" t="n">
        <v>1373</v>
      </c>
      <c r="AG255" s="2"/>
      <c r="AH255" s="2"/>
      <c r="AI255" s="2"/>
      <c r="AJ255" s="2"/>
      <c r="AK255" s="2"/>
      <c r="AL255" s="23" t="n">
        <v>1617</v>
      </c>
      <c r="AM255" s="2"/>
      <c r="AN255" s="2"/>
      <c r="AO255" s="2"/>
      <c r="AP255" s="2"/>
      <c r="AQ255" s="2"/>
      <c r="AR255" s="23" t="n">
        <v>2628</v>
      </c>
      <c r="AS255" s="2"/>
      <c r="AT255" s="2"/>
      <c r="AU255" s="2"/>
      <c r="AV255" s="2"/>
      <c r="AW255" s="2"/>
      <c r="AX255" s="23" t="n">
        <v>2618</v>
      </c>
      <c r="AY255" s="2"/>
      <c r="AZ255" s="2"/>
      <c r="BA255" s="2"/>
      <c r="BB255" s="2"/>
      <c r="BC255" s="2"/>
      <c r="BD255" s="23" t="n">
        <v>2618</v>
      </c>
      <c r="BE255" s="2"/>
      <c r="BF255" s="2"/>
      <c r="BG255" s="2"/>
      <c r="BH255" s="2"/>
      <c r="BI255" s="2"/>
      <c r="BJ255" s="23" t="n">
        <v>2618</v>
      </c>
      <c r="BK255" s="2"/>
      <c r="BL255" s="2"/>
      <c r="BM255" s="2"/>
      <c r="BN255" s="2"/>
      <c r="BO255" s="2"/>
      <c r="BP255" s="23" t="n">
        <v>2650</v>
      </c>
      <c r="BQ255" s="2"/>
      <c r="BR255" s="2"/>
      <c r="BS255" s="23" t="n">
        <v>2650</v>
      </c>
      <c r="BT255" s="3"/>
      <c r="BU255" s="3"/>
      <c r="BV255" s="3" t="n">
        <f aca="false">BP255-BV206</f>
        <v>2650</v>
      </c>
      <c r="BW255" s="3" t="n">
        <f aca="false">BV255-BW206</f>
        <v>2650</v>
      </c>
      <c r="BX255" s="3" t="n">
        <f aca="false">BW255-BX206</f>
        <v>2650</v>
      </c>
      <c r="BY255" s="3" t="n">
        <f aca="false">BX255-BY206</f>
        <v>2650</v>
      </c>
      <c r="BZ255" s="3" t="n">
        <f aca="false">BY255-BZ206</f>
        <v>2650</v>
      </c>
      <c r="CA255" s="16"/>
      <c r="CC255" s="5"/>
      <c r="CD255" s="5"/>
      <c r="CE255" s="5"/>
    </row>
    <row r="256" customFormat="false" ht="15" hidden="false" customHeight="false" outlineLevel="0" collapsed="false">
      <c r="B256" s="1" t="s">
        <v>368</v>
      </c>
      <c r="C256" s="2"/>
      <c r="D256" s="2"/>
      <c r="E256" s="2"/>
      <c r="F256" s="2"/>
      <c r="G256" s="2"/>
      <c r="H256" s="23" t="n">
        <v>495</v>
      </c>
      <c r="I256" s="2"/>
      <c r="J256" s="2"/>
      <c r="K256" s="2"/>
      <c r="L256" s="2"/>
      <c r="M256" s="2"/>
      <c r="N256" s="23" t="n">
        <v>548</v>
      </c>
      <c r="O256" s="2"/>
      <c r="P256" s="2"/>
      <c r="Q256" s="2"/>
      <c r="R256" s="2"/>
      <c r="S256" s="2"/>
      <c r="T256" s="23" t="n">
        <v>508</v>
      </c>
      <c r="U256" s="2"/>
      <c r="V256" s="2"/>
      <c r="W256" s="2"/>
      <c r="X256" s="2"/>
      <c r="Y256" s="2"/>
      <c r="Z256" s="23" t="n">
        <v>492</v>
      </c>
      <c r="AA256" s="2"/>
      <c r="AB256" s="2"/>
      <c r="AC256" s="2"/>
      <c r="AD256" s="2"/>
      <c r="AE256" s="2"/>
      <c r="AF256" s="23" t="n">
        <v>492</v>
      </c>
      <c r="AG256" s="2"/>
      <c r="AH256" s="2"/>
      <c r="AI256" s="2"/>
      <c r="AJ256" s="2"/>
      <c r="AK256" s="2"/>
      <c r="AL256" s="23" t="n">
        <v>512</v>
      </c>
      <c r="AM256" s="2"/>
      <c r="AN256" s="2"/>
      <c r="AO256" s="2"/>
      <c r="AP256" s="2"/>
      <c r="AQ256" s="2"/>
      <c r="AR256" s="23" t="n">
        <v>1159</v>
      </c>
      <c r="AS256" s="2"/>
      <c r="AT256" s="2"/>
      <c r="AU256" s="2"/>
      <c r="AV256" s="2"/>
      <c r="AW256" s="2"/>
      <c r="AX256" s="23" t="n">
        <v>1019</v>
      </c>
      <c r="AY256" s="2"/>
      <c r="AZ256" s="2"/>
      <c r="BA256" s="2"/>
      <c r="BB256" s="2"/>
      <c r="BC256" s="2"/>
      <c r="BD256" s="23" t="n">
        <v>891</v>
      </c>
      <c r="BE256" s="2"/>
      <c r="BF256" s="2"/>
      <c r="BG256" s="2"/>
      <c r="BH256" s="2"/>
      <c r="BI256" s="2"/>
      <c r="BJ256" s="23" t="n">
        <v>782</v>
      </c>
      <c r="BK256" s="2"/>
      <c r="BL256" s="2"/>
      <c r="BM256" s="2"/>
      <c r="BN256" s="2"/>
      <c r="BO256" s="2"/>
      <c r="BP256" s="23" t="n">
        <v>694</v>
      </c>
      <c r="BQ256" s="2"/>
      <c r="BR256" s="2"/>
      <c r="BS256" s="23" t="n">
        <v>651</v>
      </c>
      <c r="BT256" s="3"/>
      <c r="BU256" s="3"/>
      <c r="BV256" s="3" t="n">
        <f aca="false">BP256-BV191</f>
        <v>610</v>
      </c>
      <c r="BW256" s="3" t="n">
        <f aca="false">BV256-BW191</f>
        <v>548</v>
      </c>
      <c r="BX256" s="3" t="n">
        <f aca="false">BW256-BX191</f>
        <v>492</v>
      </c>
      <c r="BY256" s="3" t="n">
        <f aca="false">BX256-BY191</f>
        <v>442</v>
      </c>
      <c r="BZ256" s="3" t="n">
        <f aca="false">BY256-BZ191</f>
        <v>401</v>
      </c>
      <c r="CA256" s="16" t="s">
        <v>369</v>
      </c>
      <c r="CC256" s="5"/>
      <c r="CD256" s="5"/>
      <c r="CE256" s="5"/>
    </row>
    <row r="257" customFormat="false" ht="15" hidden="false" customHeight="false" outlineLevel="0" collapsed="false">
      <c r="B257" s="1" t="s">
        <v>370</v>
      </c>
      <c r="C257" s="2"/>
      <c r="D257" s="2"/>
      <c r="E257" s="2"/>
      <c r="F257" s="2"/>
      <c r="G257" s="2"/>
      <c r="H257" s="23" t="n">
        <v>0</v>
      </c>
      <c r="I257" s="2"/>
      <c r="J257" s="2"/>
      <c r="K257" s="2"/>
      <c r="L257" s="2"/>
      <c r="M257" s="2"/>
      <c r="N257" s="23" t="n">
        <v>0</v>
      </c>
      <c r="O257" s="2"/>
      <c r="P257" s="2"/>
      <c r="Q257" s="2"/>
      <c r="R257" s="2"/>
      <c r="S257" s="2"/>
      <c r="T257" s="23" t="n">
        <v>0</v>
      </c>
      <c r="U257" s="2"/>
      <c r="V257" s="2"/>
      <c r="W257" s="2"/>
      <c r="X257" s="2"/>
      <c r="Y257" s="2"/>
      <c r="Z257" s="23" t="n">
        <v>0</v>
      </c>
      <c r="AA257" s="2"/>
      <c r="AB257" s="2"/>
      <c r="AC257" s="2"/>
      <c r="AD257" s="2"/>
      <c r="AE257" s="2"/>
      <c r="AF257" s="23" t="n">
        <v>0</v>
      </c>
      <c r="AG257" s="2"/>
      <c r="AH257" s="2"/>
      <c r="AI257" s="2"/>
      <c r="AJ257" s="2"/>
      <c r="AK257" s="2"/>
      <c r="AL257" s="23" t="n">
        <v>0</v>
      </c>
      <c r="AM257" s="2"/>
      <c r="AN257" s="2"/>
      <c r="AO257" s="2"/>
      <c r="AP257" s="2"/>
      <c r="AQ257" s="2"/>
      <c r="AR257" s="23" t="n">
        <v>281</v>
      </c>
      <c r="AS257" s="2"/>
      <c r="AT257" s="2"/>
      <c r="AU257" s="2"/>
      <c r="AV257" s="2"/>
      <c r="AW257" s="2"/>
      <c r="AX257" s="23" t="n">
        <v>600</v>
      </c>
      <c r="AY257" s="2"/>
      <c r="AZ257" s="2"/>
      <c r="BA257" s="2"/>
      <c r="BB257" s="2"/>
      <c r="BC257" s="2"/>
      <c r="BD257" s="23" t="n">
        <v>888</v>
      </c>
      <c r="BE257" s="2"/>
      <c r="BF257" s="2"/>
      <c r="BG257" s="2"/>
      <c r="BH257" s="2"/>
      <c r="BI257" s="2"/>
      <c r="BJ257" s="23" t="n">
        <v>1422</v>
      </c>
      <c r="BK257" s="2"/>
      <c r="BL257" s="2"/>
      <c r="BM257" s="2"/>
      <c r="BN257" s="2"/>
      <c r="BO257" s="2"/>
      <c r="BP257" s="23" t="n">
        <v>1544</v>
      </c>
      <c r="BQ257" s="2"/>
      <c r="BR257" s="2"/>
      <c r="BS257" s="23" t="n">
        <v>1627</v>
      </c>
      <c r="BT257" s="3"/>
      <c r="BU257" s="3"/>
      <c r="BV257" s="3" t="n">
        <f aca="false">BP257-BV195</f>
        <v>1713</v>
      </c>
      <c r="BW257" s="3" t="n">
        <f aca="false">BV257-BW195</f>
        <v>1882</v>
      </c>
      <c r="BX257" s="3" t="n">
        <f aca="false">BW257-BX195</f>
        <v>2051</v>
      </c>
      <c r="BY257" s="3" t="n">
        <f aca="false">BX257-BY195</f>
        <v>2220</v>
      </c>
      <c r="BZ257" s="3" t="n">
        <f aca="false">BY257-BZ195</f>
        <v>2389</v>
      </c>
      <c r="CA257" s="16" t="s">
        <v>371</v>
      </c>
      <c r="CC257" s="5"/>
      <c r="CD257" s="5"/>
      <c r="CE257" s="5"/>
    </row>
    <row r="258" customFormat="false" ht="15" hidden="false" customHeight="false" outlineLevel="0" collapsed="false">
      <c r="B258" s="1" t="s">
        <v>372</v>
      </c>
      <c r="C258" s="2"/>
      <c r="D258" s="2"/>
      <c r="E258" s="2"/>
      <c r="F258" s="2"/>
      <c r="G258" s="2"/>
      <c r="H258" s="23" t="n">
        <v>336</v>
      </c>
      <c r="I258" s="2"/>
      <c r="J258" s="2"/>
      <c r="K258" s="2"/>
      <c r="L258" s="2"/>
      <c r="M258" s="2"/>
      <c r="N258" s="23" t="n">
        <v>314</v>
      </c>
      <c r="O258" s="2"/>
      <c r="P258" s="2"/>
      <c r="Q258" s="2"/>
      <c r="R258" s="2"/>
      <c r="S258" s="2"/>
      <c r="T258" s="23" t="n">
        <v>114</v>
      </c>
      <c r="U258" s="2"/>
      <c r="V258" s="2"/>
      <c r="W258" s="2"/>
      <c r="X258" s="2"/>
      <c r="Y258" s="2"/>
      <c r="Z258" s="23" t="n">
        <v>163</v>
      </c>
      <c r="AA258" s="2"/>
      <c r="AB258" s="2"/>
      <c r="AC258" s="2"/>
      <c r="AD258" s="2"/>
      <c r="AE258" s="2"/>
      <c r="AF258" s="23" t="n">
        <v>108</v>
      </c>
      <c r="AG258" s="2"/>
      <c r="AH258" s="2"/>
      <c r="AI258" s="2"/>
      <c r="AJ258" s="2"/>
      <c r="AK258" s="2"/>
      <c r="AL258" s="23" t="n">
        <v>133</v>
      </c>
      <c r="AM258" s="2"/>
      <c r="AN258" s="2"/>
      <c r="AO258" s="2"/>
      <c r="AP258" s="2"/>
      <c r="AQ258" s="2"/>
      <c r="AR258" s="23" t="n">
        <v>0</v>
      </c>
      <c r="AS258" s="2"/>
      <c r="AT258" s="2"/>
      <c r="AU258" s="2"/>
      <c r="AV258" s="2"/>
      <c r="AW258" s="2"/>
      <c r="AX258" s="23" t="n">
        <v>0</v>
      </c>
      <c r="AY258" s="2"/>
      <c r="AZ258" s="2"/>
      <c r="BA258" s="2"/>
      <c r="BB258" s="2"/>
      <c r="BC258" s="2"/>
      <c r="BD258" s="23" t="n">
        <v>0</v>
      </c>
      <c r="BE258" s="2"/>
      <c r="BF258" s="2"/>
      <c r="BG258" s="2"/>
      <c r="BH258" s="2"/>
      <c r="BI258" s="2"/>
      <c r="BJ258" s="23" t="n">
        <v>0</v>
      </c>
      <c r="BK258" s="2"/>
      <c r="BL258" s="2"/>
      <c r="BM258" s="2"/>
      <c r="BN258" s="2"/>
      <c r="BO258" s="2"/>
      <c r="BP258" s="23" t="n">
        <v>0</v>
      </c>
      <c r="BQ258" s="2"/>
      <c r="BR258" s="2"/>
      <c r="BS258" s="23" t="n">
        <v>0</v>
      </c>
      <c r="BT258" s="3"/>
      <c r="BU258" s="3"/>
      <c r="BV258" s="3" t="n">
        <f aca="false">BP258</f>
        <v>0</v>
      </c>
      <c r="BW258" s="3" t="n">
        <f aca="false">BV258</f>
        <v>0</v>
      </c>
      <c r="BX258" s="3" t="n">
        <f aca="false">BW258</f>
        <v>0</v>
      </c>
      <c r="BY258" s="3" t="n">
        <f aca="false">BX258</f>
        <v>0</v>
      </c>
      <c r="BZ258" s="3" t="n">
        <f aca="false">BY258</f>
        <v>0</v>
      </c>
      <c r="CA258" s="16"/>
      <c r="CC258" s="5"/>
      <c r="CD258" s="5"/>
      <c r="CE258" s="5"/>
    </row>
    <row r="259" customFormat="false" ht="15" hidden="false" customHeight="false" outlineLevel="0" collapsed="false">
      <c r="B259" s="1" t="s">
        <v>373</v>
      </c>
      <c r="C259" s="2"/>
      <c r="D259" s="2"/>
      <c r="E259" s="2"/>
      <c r="F259" s="2"/>
      <c r="G259" s="2"/>
      <c r="H259" s="23" t="n">
        <v>126</v>
      </c>
      <c r="I259" s="2"/>
      <c r="J259" s="2"/>
      <c r="K259" s="2"/>
      <c r="L259" s="2"/>
      <c r="M259" s="2"/>
      <c r="N259" s="23" t="n">
        <v>128</v>
      </c>
      <c r="O259" s="2"/>
      <c r="P259" s="2"/>
      <c r="Q259" s="2"/>
      <c r="R259" s="2"/>
      <c r="S259" s="2"/>
      <c r="T259" s="23" t="n">
        <v>125</v>
      </c>
      <c r="U259" s="2"/>
      <c r="V259" s="2"/>
      <c r="W259" s="2"/>
      <c r="X259" s="2"/>
      <c r="Y259" s="2"/>
      <c r="Z259" s="23" t="n">
        <v>203</v>
      </c>
      <c r="AA259" s="2"/>
      <c r="AB259" s="2"/>
      <c r="AC259" s="2"/>
      <c r="AD259" s="2"/>
      <c r="AE259" s="2"/>
      <c r="AF259" s="23" t="n">
        <v>240</v>
      </c>
      <c r="AG259" s="2"/>
      <c r="AH259" s="2"/>
      <c r="AI259" s="2"/>
      <c r="AJ259" s="2"/>
      <c r="AK259" s="2"/>
      <c r="AL259" s="23" t="n">
        <v>281</v>
      </c>
      <c r="AM259" s="2"/>
      <c r="AN259" s="2"/>
      <c r="AO259" s="2"/>
      <c r="AP259" s="2"/>
      <c r="AQ259" s="2"/>
      <c r="AR259" s="23" t="n">
        <v>421</v>
      </c>
      <c r="AS259" s="2"/>
      <c r="AT259" s="2"/>
      <c r="AU259" s="2"/>
      <c r="AV259" s="2"/>
      <c r="AW259" s="2"/>
      <c r="AX259" s="23" t="n">
        <v>394</v>
      </c>
      <c r="AY259" s="2"/>
      <c r="AZ259" s="2"/>
      <c r="BA259" s="2"/>
      <c r="BB259" s="2"/>
      <c r="BC259" s="2"/>
      <c r="BD259" s="23" t="n">
        <v>380</v>
      </c>
      <c r="BE259" s="2"/>
      <c r="BF259" s="2"/>
      <c r="BG259" s="2"/>
      <c r="BH259" s="2"/>
      <c r="BI259" s="2"/>
      <c r="BJ259" s="23" t="n">
        <v>402</v>
      </c>
      <c r="BK259" s="2"/>
      <c r="BL259" s="2"/>
      <c r="BM259" s="2"/>
      <c r="BN259" s="2"/>
      <c r="BO259" s="2"/>
      <c r="BP259" s="23" t="n">
        <v>417</v>
      </c>
      <c r="BQ259" s="2"/>
      <c r="BR259" s="2"/>
      <c r="BS259" s="23" t="n">
        <v>427</v>
      </c>
      <c r="BT259" s="3"/>
      <c r="BU259" s="3"/>
      <c r="BV259" s="3" t="n">
        <f aca="false">BP259</f>
        <v>417</v>
      </c>
      <c r="BW259" s="3" t="n">
        <f aca="false">BV259</f>
        <v>417</v>
      </c>
      <c r="BX259" s="3" t="n">
        <f aca="false">BW259</f>
        <v>417</v>
      </c>
      <c r="BY259" s="3" t="n">
        <f aca="false">BX259</f>
        <v>417</v>
      </c>
      <c r="BZ259" s="3" t="n">
        <f aca="false">BY259</f>
        <v>417</v>
      </c>
      <c r="CA259" s="16"/>
      <c r="CC259" s="5"/>
      <c r="CD259" s="5"/>
      <c r="CE259" s="5"/>
    </row>
    <row r="260" customFormat="false" ht="15" hidden="false" customHeight="false" outlineLevel="0" collapsed="false">
      <c r="B260" s="32" t="s">
        <v>374</v>
      </c>
      <c r="C260" s="28"/>
      <c r="D260" s="28"/>
      <c r="E260" s="28"/>
      <c r="F260" s="28"/>
      <c r="G260" s="28"/>
      <c r="H260" s="34" t="n">
        <f aca="false">H252+SUM(H253:H259)</f>
        <v>6024</v>
      </c>
      <c r="I260" s="28"/>
      <c r="J260" s="28"/>
      <c r="K260" s="28"/>
      <c r="L260" s="28"/>
      <c r="M260" s="28"/>
      <c r="N260" s="34" t="n">
        <f aca="false">N252+SUM(N253:N259)</f>
        <v>6352</v>
      </c>
      <c r="O260" s="28"/>
      <c r="P260" s="28"/>
      <c r="Q260" s="28"/>
      <c r="R260" s="28"/>
      <c r="S260" s="28"/>
      <c r="T260" s="34" t="n">
        <f aca="false">T252+SUM(T253:T259)</f>
        <v>6374</v>
      </c>
      <c r="U260" s="28"/>
      <c r="V260" s="28"/>
      <c r="W260" s="28"/>
      <c r="X260" s="28"/>
      <c r="Y260" s="28"/>
      <c r="Z260" s="34" t="n">
        <f aca="false">Z252+SUM(Z253:Z259)</f>
        <v>6383</v>
      </c>
      <c r="AA260" s="28"/>
      <c r="AB260" s="28"/>
      <c r="AC260" s="28"/>
      <c r="AD260" s="28"/>
      <c r="AE260" s="28"/>
      <c r="AF260" s="34" t="n">
        <f aca="false">AF252+SUM(AF253:AF259)</f>
        <v>7031</v>
      </c>
      <c r="AG260" s="28"/>
      <c r="AH260" s="28"/>
      <c r="AI260" s="28"/>
      <c r="AJ260" s="28"/>
      <c r="AK260" s="28"/>
      <c r="AL260" s="34" t="n">
        <f aca="false">AL252+SUM(AL253:AL259)</f>
        <v>8157</v>
      </c>
      <c r="AM260" s="28"/>
      <c r="AN260" s="28"/>
      <c r="AO260" s="28"/>
      <c r="AP260" s="28"/>
      <c r="AQ260" s="28"/>
      <c r="AR260" s="34" t="n">
        <f aca="false">AR252+SUM(AR253:AR259)</f>
        <v>10627</v>
      </c>
      <c r="AS260" s="28"/>
      <c r="AT260" s="28"/>
      <c r="AU260" s="28"/>
      <c r="AV260" s="28"/>
      <c r="AW260" s="28"/>
      <c r="AX260" s="34" t="n">
        <f aca="false">AX252+SUM(AX253:AX259)</f>
        <v>10857</v>
      </c>
      <c r="AY260" s="28"/>
      <c r="AZ260" s="28"/>
      <c r="BA260" s="28"/>
      <c r="BB260" s="28"/>
      <c r="BC260" s="28"/>
      <c r="BD260" s="34" t="n">
        <f aca="false">BD252+SUM(BD253:BD259)</f>
        <v>11215</v>
      </c>
      <c r="BE260" s="28"/>
      <c r="BF260" s="28"/>
      <c r="BG260" s="28"/>
      <c r="BH260" s="28"/>
      <c r="BI260" s="28"/>
      <c r="BJ260" s="34" t="n">
        <f aca="false">BJ252+SUM(BJ253:BJ259)</f>
        <v>12141</v>
      </c>
      <c r="BK260" s="28"/>
      <c r="BL260" s="28"/>
      <c r="BM260" s="28"/>
      <c r="BN260" s="28"/>
      <c r="BO260" s="28"/>
      <c r="BP260" s="34" t="n">
        <f aca="false">BP252+SUM(BP253:BP259)</f>
        <v>12749</v>
      </c>
      <c r="BQ260" s="28"/>
      <c r="BR260" s="28"/>
      <c r="BS260" s="28" t="n">
        <f aca="false">BS252+SUM(BS253:BS259)</f>
        <v>12682</v>
      </c>
      <c r="BT260" s="34"/>
      <c r="BU260" s="34"/>
      <c r="BV260" s="34" t="n">
        <f aca="false">BV252+SUM(BV253:BV259)</f>
        <v>13317.3777635489</v>
      </c>
      <c r="BW260" s="34" t="n">
        <f aca="false">BW252+SUM(BW253:BW259)</f>
        <v>13837.8811798173</v>
      </c>
      <c r="BX260" s="34" t="n">
        <f aca="false">BX252+SUM(BX253:BX259)</f>
        <v>14437.3822558392</v>
      </c>
      <c r="BY260" s="34" t="n">
        <f aca="false">BY252+SUM(BY253:BY259)</f>
        <v>15051.6678182623</v>
      </c>
      <c r="BZ260" s="34" t="n">
        <f aca="false">BZ252+SUM(BZ253:BZ259)</f>
        <v>15689.6573299341</v>
      </c>
      <c r="CA260" s="16"/>
      <c r="CC260" s="5"/>
      <c r="CD260" s="5"/>
      <c r="CE260" s="5"/>
    </row>
    <row r="261" customFormat="false" ht="15" hidden="false" customHeight="false" outlineLevel="0" collapsed="false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3"/>
      <c r="BU261" s="3"/>
      <c r="BV261" s="3"/>
      <c r="BW261" s="3"/>
      <c r="BX261" s="3"/>
      <c r="BY261" s="3"/>
      <c r="BZ261" s="3"/>
      <c r="CA261" s="16"/>
      <c r="CC261" s="5"/>
      <c r="CD261" s="5"/>
      <c r="CE261" s="5"/>
    </row>
    <row r="262" customFormat="false" ht="15" hidden="false" customHeight="false" outlineLevel="0" collapsed="false">
      <c r="B262" s="15" t="s">
        <v>375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C262" s="15"/>
      <c r="CD262" s="15"/>
      <c r="CE262" s="15"/>
    </row>
    <row r="263" customFormat="false" ht="15" hidden="false" customHeight="false" outlineLevel="0" collapsed="false">
      <c r="B263" s="20" t="s">
        <v>376</v>
      </c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</row>
    <row r="264" customFormat="false" ht="15" hidden="false" customHeight="false" outlineLevel="0" collapsed="false">
      <c r="B264" s="1" t="s">
        <v>377</v>
      </c>
      <c r="C264" s="2"/>
      <c r="D264" s="2"/>
      <c r="E264" s="2"/>
      <c r="F264" s="2"/>
      <c r="G264" s="2"/>
      <c r="H264" s="23" t="n">
        <v>317</v>
      </c>
      <c r="I264" s="2"/>
      <c r="J264" s="2"/>
      <c r="K264" s="2"/>
      <c r="L264" s="2"/>
      <c r="M264" s="2"/>
      <c r="N264" s="23" t="n">
        <v>316</v>
      </c>
      <c r="O264" s="2"/>
      <c r="P264" s="2"/>
      <c r="Q264" s="2"/>
      <c r="R264" s="2"/>
      <c r="S264" s="2"/>
      <c r="T264" s="23" t="n">
        <v>375</v>
      </c>
      <c r="U264" s="2"/>
      <c r="V264" s="2"/>
      <c r="W264" s="2"/>
      <c r="X264" s="2"/>
      <c r="Y264" s="2"/>
      <c r="Z264" s="23" t="n">
        <v>562</v>
      </c>
      <c r="AA264" s="2"/>
      <c r="AB264" s="2"/>
      <c r="AC264" s="2"/>
      <c r="AD264" s="2"/>
      <c r="AE264" s="2"/>
      <c r="AF264" s="23" t="n">
        <v>497</v>
      </c>
      <c r="AG264" s="2"/>
      <c r="AH264" s="2"/>
      <c r="AI264" s="2"/>
      <c r="AJ264" s="2"/>
      <c r="AK264" s="2"/>
      <c r="AL264" s="23" t="n">
        <v>460</v>
      </c>
      <c r="AM264" s="2"/>
      <c r="AN264" s="2"/>
      <c r="AO264" s="2"/>
      <c r="AP264" s="2"/>
      <c r="AQ264" s="2"/>
      <c r="AR264" s="23" t="n">
        <v>603</v>
      </c>
      <c r="AS264" s="2"/>
      <c r="AT264" s="2"/>
      <c r="AU264" s="2"/>
      <c r="AV264" s="2"/>
      <c r="AW264" s="2"/>
      <c r="AX264" s="23" t="n">
        <v>642</v>
      </c>
      <c r="AY264" s="2"/>
      <c r="AZ264" s="2"/>
      <c r="BA264" s="2"/>
      <c r="BB264" s="2"/>
      <c r="BC264" s="2"/>
      <c r="BD264" s="23" t="n">
        <v>554</v>
      </c>
      <c r="BE264" s="2"/>
      <c r="BF264" s="2"/>
      <c r="BG264" s="2"/>
      <c r="BH264" s="2"/>
      <c r="BI264" s="2"/>
      <c r="BJ264" s="23" t="n">
        <v>598</v>
      </c>
      <c r="BK264" s="2"/>
      <c r="BL264" s="2"/>
      <c r="BM264" s="2"/>
      <c r="BN264" s="2"/>
      <c r="BO264" s="2"/>
      <c r="BP264" s="23" t="n">
        <v>556</v>
      </c>
      <c r="BQ264" s="2"/>
      <c r="BR264" s="2"/>
      <c r="BS264" s="23" t="n">
        <v>737</v>
      </c>
      <c r="BT264" s="3"/>
      <c r="BU264" s="3"/>
      <c r="BV264" s="3" t="n">
        <f aca="false">(BV120+BV121)*BV295/365</f>
        <v>601.268167658453</v>
      </c>
      <c r="BW264" s="3" t="n">
        <f aca="false">(BW120+BW121)*BW295/365</f>
        <v>633.430693440191</v>
      </c>
      <c r="BX264" s="3" t="n">
        <f aca="false">(BX120+BX121)*BX295/365</f>
        <v>665.592367585122</v>
      </c>
      <c r="BY264" s="3" t="n">
        <f aca="false">(BY120+BY121)*BY295/365</f>
        <v>697.589606059414</v>
      </c>
      <c r="BZ264" s="3" t="n">
        <f aca="false">(BZ120+BZ121)*BZ295/365</f>
        <v>728.446994638</v>
      </c>
      <c r="CA264" s="16" t="s">
        <v>378</v>
      </c>
      <c r="CC264" s="5"/>
      <c r="CD264" s="5"/>
      <c r="CE264" s="5"/>
    </row>
    <row r="265" customFormat="false" ht="15" hidden="false" customHeight="false" outlineLevel="0" collapsed="false">
      <c r="B265" s="1" t="s">
        <v>379</v>
      </c>
      <c r="C265" s="2"/>
      <c r="D265" s="2"/>
      <c r="E265" s="2"/>
      <c r="F265" s="2"/>
      <c r="G265" s="2"/>
      <c r="H265" s="23" t="n">
        <v>215</v>
      </c>
      <c r="I265" s="2"/>
      <c r="J265" s="2"/>
      <c r="K265" s="2"/>
      <c r="L265" s="2"/>
      <c r="M265" s="2"/>
      <c r="N265" s="23" t="n">
        <v>241</v>
      </c>
      <c r="O265" s="2"/>
      <c r="P265" s="2"/>
      <c r="Q265" s="2"/>
      <c r="R265" s="2"/>
      <c r="S265" s="2"/>
      <c r="T265" s="23" t="n">
        <v>245</v>
      </c>
      <c r="U265" s="2"/>
      <c r="V265" s="2"/>
      <c r="W265" s="2"/>
      <c r="X265" s="2"/>
      <c r="Y265" s="2"/>
      <c r="Z265" s="23" t="n">
        <v>248</v>
      </c>
      <c r="AA265" s="2"/>
      <c r="AB265" s="2"/>
      <c r="AC265" s="2"/>
      <c r="AD265" s="2"/>
      <c r="AE265" s="2"/>
      <c r="AF265" s="23" t="n">
        <v>265</v>
      </c>
      <c r="AG265" s="2"/>
      <c r="AH265" s="2"/>
      <c r="AI265" s="2"/>
      <c r="AJ265" s="2"/>
      <c r="AK265" s="2"/>
      <c r="AL265" s="23" t="n">
        <v>293</v>
      </c>
      <c r="AM265" s="2"/>
      <c r="AN265" s="2"/>
      <c r="AO265" s="2"/>
      <c r="AP265" s="2"/>
      <c r="AQ265" s="2"/>
      <c r="AR265" s="23" t="n">
        <v>361</v>
      </c>
      <c r="AS265" s="2"/>
      <c r="AT265" s="2"/>
      <c r="AU265" s="2"/>
      <c r="AV265" s="2"/>
      <c r="AW265" s="2"/>
      <c r="AX265" s="23" t="n">
        <v>345</v>
      </c>
      <c r="AY265" s="2"/>
      <c r="AZ265" s="2"/>
      <c r="BA265" s="2"/>
      <c r="BB265" s="2"/>
      <c r="BC265" s="2"/>
      <c r="BD265" s="23" t="n">
        <v>382</v>
      </c>
      <c r="BE265" s="2"/>
      <c r="BF265" s="2"/>
      <c r="BG265" s="2"/>
      <c r="BH265" s="2"/>
      <c r="BI265" s="2"/>
      <c r="BJ265" s="23" t="n">
        <v>392</v>
      </c>
      <c r="BK265" s="2"/>
      <c r="BL265" s="2"/>
      <c r="BM265" s="2"/>
      <c r="BN265" s="2"/>
      <c r="BO265" s="2"/>
      <c r="BP265" s="23" t="n">
        <v>443</v>
      </c>
      <c r="BQ265" s="2"/>
      <c r="BR265" s="2"/>
      <c r="BS265" s="23" t="n">
        <v>386</v>
      </c>
      <c r="BT265" s="3"/>
      <c r="BU265" s="3"/>
      <c r="BV265" s="3" t="n">
        <f aca="false">BV119*BV297</f>
        <v>463.75</v>
      </c>
      <c r="BW265" s="3" t="n">
        <f aca="false">BW119*BW297</f>
        <v>492.06750248724</v>
      </c>
      <c r="BX265" s="3" t="n">
        <f aca="false">BX119*BX297</f>
        <v>518.844885248192</v>
      </c>
      <c r="BY265" s="3" t="n">
        <f aca="false">BY119*BY297</f>
        <v>545.638650675319</v>
      </c>
      <c r="BZ265" s="3" t="n">
        <f aca="false">BZ119*BZ297</f>
        <v>571.682940966772</v>
      </c>
      <c r="CA265" s="16"/>
      <c r="CC265" s="5"/>
      <c r="CD265" s="5"/>
      <c r="CE265" s="5"/>
    </row>
    <row r="266" customFormat="false" ht="15" hidden="false" customHeight="false" outlineLevel="0" collapsed="false">
      <c r="B266" s="1" t="s">
        <v>380</v>
      </c>
      <c r="C266" s="2"/>
      <c r="D266" s="2"/>
      <c r="E266" s="2"/>
      <c r="F266" s="2"/>
      <c r="G266" s="2"/>
      <c r="H266" s="23" t="n">
        <v>143</v>
      </c>
      <c r="I266" s="2"/>
      <c r="J266" s="2"/>
      <c r="K266" s="2"/>
      <c r="L266" s="2"/>
      <c r="M266" s="2"/>
      <c r="N266" s="23" t="n">
        <v>147</v>
      </c>
      <c r="O266" s="2"/>
      <c r="P266" s="2"/>
      <c r="Q266" s="2"/>
      <c r="R266" s="2"/>
      <c r="S266" s="2"/>
      <c r="T266" s="23" t="n">
        <v>139</v>
      </c>
      <c r="U266" s="2"/>
      <c r="V266" s="2"/>
      <c r="W266" s="2"/>
      <c r="X266" s="2"/>
      <c r="Y266" s="2"/>
      <c r="Z266" s="23" t="n">
        <v>131</v>
      </c>
      <c r="AA266" s="2"/>
      <c r="AB266" s="2"/>
      <c r="AC266" s="2"/>
      <c r="AD266" s="2"/>
      <c r="AE266" s="2"/>
      <c r="AF266" s="23" t="n">
        <v>130</v>
      </c>
      <c r="AG266" s="2"/>
      <c r="AH266" s="2"/>
      <c r="AI266" s="2"/>
      <c r="AJ266" s="2"/>
      <c r="AK266" s="2"/>
      <c r="AL266" s="23" t="n">
        <v>133</v>
      </c>
      <c r="AM266" s="2"/>
      <c r="AN266" s="2"/>
      <c r="AO266" s="2"/>
      <c r="AP266" s="2"/>
      <c r="AQ266" s="2"/>
      <c r="AR266" s="23" t="n">
        <v>137</v>
      </c>
      <c r="AS266" s="2"/>
      <c r="AT266" s="2"/>
      <c r="AU266" s="2"/>
      <c r="AV266" s="2"/>
      <c r="AW266" s="2"/>
      <c r="AX266" s="23" t="n">
        <v>134</v>
      </c>
      <c r="AY266" s="2"/>
      <c r="AZ266" s="2"/>
      <c r="BA266" s="2"/>
      <c r="BB266" s="2"/>
      <c r="BC266" s="2"/>
      <c r="BD266" s="23" t="n">
        <v>129</v>
      </c>
      <c r="BE266" s="2"/>
      <c r="BF266" s="2"/>
      <c r="BG266" s="2"/>
      <c r="BH266" s="2"/>
      <c r="BI266" s="2"/>
      <c r="BJ266" s="23" t="n">
        <v>124</v>
      </c>
      <c r="BK266" s="2"/>
      <c r="BL266" s="2"/>
      <c r="BM266" s="2"/>
      <c r="BN266" s="2"/>
      <c r="BO266" s="2"/>
      <c r="BP266" s="23" t="n">
        <v>119</v>
      </c>
      <c r="BQ266" s="2"/>
      <c r="BR266" s="2"/>
      <c r="BS266" s="23" t="n">
        <v>119</v>
      </c>
      <c r="BT266" s="3"/>
      <c r="BU266" s="3"/>
      <c r="BV266" s="3" t="n">
        <f aca="false">BP266</f>
        <v>119</v>
      </c>
      <c r="BW266" s="3" t="n">
        <f aca="false">BV266</f>
        <v>119</v>
      </c>
      <c r="BX266" s="3" t="n">
        <f aca="false">BW266</f>
        <v>119</v>
      </c>
      <c r="BY266" s="3" t="n">
        <f aca="false">BX266</f>
        <v>119</v>
      </c>
      <c r="BZ266" s="3" t="n">
        <f aca="false">BY266</f>
        <v>119</v>
      </c>
      <c r="CA266" s="16"/>
      <c r="CC266" s="5"/>
      <c r="CD266" s="5"/>
      <c r="CE266" s="5"/>
    </row>
    <row r="267" customFormat="false" ht="15" hidden="false" customHeight="false" outlineLevel="0" collapsed="false">
      <c r="B267" s="1" t="s">
        <v>381</v>
      </c>
      <c r="C267" s="2"/>
      <c r="D267" s="2"/>
      <c r="E267" s="2"/>
      <c r="F267" s="2"/>
      <c r="G267" s="2"/>
      <c r="H267" s="23" t="n">
        <v>227</v>
      </c>
      <c r="I267" s="2"/>
      <c r="J267" s="2"/>
      <c r="K267" s="2"/>
      <c r="L267" s="2"/>
      <c r="M267" s="2"/>
      <c r="N267" s="23" t="n">
        <v>217</v>
      </c>
      <c r="O267" s="2"/>
      <c r="P267" s="2"/>
      <c r="Q267" s="2"/>
      <c r="R267" s="2"/>
      <c r="S267" s="2"/>
      <c r="T267" s="23" t="n">
        <v>250</v>
      </c>
      <c r="U267" s="2"/>
      <c r="V267" s="2"/>
      <c r="W267" s="2"/>
      <c r="X267" s="2"/>
      <c r="Y267" s="2"/>
      <c r="Z267" s="23" t="n">
        <v>225</v>
      </c>
      <c r="AA267" s="2"/>
      <c r="AB267" s="2"/>
      <c r="AC267" s="2"/>
      <c r="AD267" s="2"/>
      <c r="AE267" s="2"/>
      <c r="AF267" s="23" t="n">
        <v>225</v>
      </c>
      <c r="AG267" s="2"/>
      <c r="AH267" s="2"/>
      <c r="AI267" s="2"/>
      <c r="AJ267" s="2"/>
      <c r="AK267" s="2"/>
      <c r="AL267" s="23" t="n">
        <v>225</v>
      </c>
      <c r="AM267" s="2"/>
      <c r="AN267" s="2"/>
      <c r="AO267" s="2"/>
      <c r="AP267" s="2"/>
      <c r="AQ267" s="2"/>
      <c r="AR267" s="23" t="n">
        <v>252</v>
      </c>
      <c r="AS267" s="2"/>
      <c r="AT267" s="2"/>
      <c r="AU267" s="2"/>
      <c r="AV267" s="2"/>
      <c r="AW267" s="2"/>
      <c r="AX267" s="23" t="n">
        <v>229</v>
      </c>
      <c r="AY267" s="2"/>
      <c r="AZ267" s="2"/>
      <c r="BA267" s="2"/>
      <c r="BB267" s="2"/>
      <c r="BC267" s="2"/>
      <c r="BD267" s="23" t="n">
        <v>224</v>
      </c>
      <c r="BE267" s="2"/>
      <c r="BF267" s="2"/>
      <c r="BG267" s="2"/>
      <c r="BH267" s="2"/>
      <c r="BI267" s="2"/>
      <c r="BJ267" s="23" t="n">
        <v>201</v>
      </c>
      <c r="BK267" s="2"/>
      <c r="BL267" s="2"/>
      <c r="BM267" s="2"/>
      <c r="BN267" s="2"/>
      <c r="BO267" s="2"/>
      <c r="BP267" s="23" t="n">
        <v>217</v>
      </c>
      <c r="BQ267" s="2"/>
      <c r="BR267" s="2"/>
      <c r="BS267" s="23" t="n">
        <v>220</v>
      </c>
      <c r="BT267" s="3"/>
      <c r="BU267" s="3"/>
      <c r="BV267" s="3" t="n">
        <f aca="false">BP267</f>
        <v>217</v>
      </c>
      <c r="BW267" s="3" t="n">
        <f aca="false">BV267</f>
        <v>217</v>
      </c>
      <c r="BX267" s="3" t="n">
        <f aca="false">BW267</f>
        <v>217</v>
      </c>
      <c r="BY267" s="3" t="n">
        <f aca="false">BX267</f>
        <v>217</v>
      </c>
      <c r="BZ267" s="3" t="n">
        <f aca="false">BY267</f>
        <v>217</v>
      </c>
      <c r="CA267" s="16"/>
      <c r="CC267" s="5"/>
      <c r="CD267" s="5"/>
      <c r="CE267" s="5"/>
    </row>
    <row r="268" customFormat="false" ht="15" hidden="false" customHeight="false" outlineLevel="0" collapsed="false">
      <c r="B268" s="1" t="s">
        <v>382</v>
      </c>
      <c r="C268" s="2"/>
      <c r="D268" s="2"/>
      <c r="E268" s="2"/>
      <c r="F268" s="2"/>
      <c r="G268" s="2"/>
      <c r="H268" s="23" t="n">
        <v>125</v>
      </c>
      <c r="I268" s="2"/>
      <c r="J268" s="2"/>
      <c r="K268" s="2"/>
      <c r="L268" s="2"/>
      <c r="M268" s="2"/>
      <c r="N268" s="23" t="n">
        <v>166</v>
      </c>
      <c r="O268" s="2"/>
      <c r="P268" s="2"/>
      <c r="Q268" s="2"/>
      <c r="R268" s="2"/>
      <c r="S268" s="2"/>
      <c r="T268" s="23" t="n">
        <v>146</v>
      </c>
      <c r="U268" s="2"/>
      <c r="V268" s="2"/>
      <c r="W268" s="2"/>
      <c r="X268" s="2"/>
      <c r="Y268" s="2"/>
      <c r="Z268" s="23" t="n">
        <v>331</v>
      </c>
      <c r="AA268" s="2"/>
      <c r="AB268" s="2"/>
      <c r="AC268" s="2"/>
      <c r="AD268" s="2"/>
      <c r="AE268" s="2"/>
      <c r="AF268" s="23" t="n">
        <v>373</v>
      </c>
      <c r="AG268" s="2"/>
      <c r="AH268" s="2"/>
      <c r="AI268" s="2"/>
      <c r="AJ268" s="2"/>
      <c r="AK268" s="2"/>
      <c r="AL268" s="23" t="n">
        <v>585</v>
      </c>
      <c r="AM268" s="2"/>
      <c r="AN268" s="2"/>
      <c r="AO268" s="2"/>
      <c r="AP268" s="2"/>
      <c r="AQ268" s="2"/>
      <c r="AR268" s="23" t="n">
        <v>651</v>
      </c>
      <c r="AS268" s="2"/>
      <c r="AT268" s="2"/>
      <c r="AU268" s="2"/>
      <c r="AV268" s="2"/>
      <c r="AW268" s="2"/>
      <c r="AX268" s="23" t="n">
        <v>766</v>
      </c>
      <c r="AY268" s="2"/>
      <c r="AZ268" s="2"/>
      <c r="BA268" s="2"/>
      <c r="BB268" s="2"/>
      <c r="BC268" s="2"/>
      <c r="BD268" s="23" t="n">
        <v>1063</v>
      </c>
      <c r="BE268" s="2"/>
      <c r="BF268" s="2"/>
      <c r="BG268" s="2"/>
      <c r="BH268" s="2"/>
      <c r="BI268" s="2"/>
      <c r="BJ268" s="23" t="n">
        <v>774</v>
      </c>
      <c r="BK268" s="2"/>
      <c r="BL268" s="2"/>
      <c r="BM268" s="2"/>
      <c r="BN268" s="2"/>
      <c r="BO268" s="2"/>
      <c r="BP268" s="23" t="n">
        <v>1220</v>
      </c>
      <c r="BQ268" s="2"/>
      <c r="BR268" s="2"/>
      <c r="BS268" s="23" t="n">
        <v>690</v>
      </c>
      <c r="BT268" s="3"/>
      <c r="BU268" s="3"/>
      <c r="BV268" s="3" t="n">
        <f aca="false">BV119*BV296/365</f>
        <v>1089.04109589041</v>
      </c>
      <c r="BW268" s="3" t="n">
        <f aca="false">BW119*BW296/365</f>
        <v>1078.50411504052</v>
      </c>
      <c r="BX268" s="3" t="n">
        <f aca="false">BX119*BX296/365</f>
        <v>1137.19426903713</v>
      </c>
      <c r="BY268" s="3" t="n">
        <f aca="false">BY119*BY296/365</f>
        <v>1195.92033024727</v>
      </c>
      <c r="BZ268" s="3" t="n">
        <f aca="false">BZ119*BZ296/365</f>
        <v>1253.00370622854</v>
      </c>
      <c r="CA268" s="16"/>
      <c r="CC268" s="5"/>
      <c r="CD268" s="5"/>
      <c r="CE268" s="5"/>
    </row>
    <row r="269" customFormat="false" ht="15" hidden="false" customHeight="false" outlineLevel="0" collapsed="false">
      <c r="B269" s="1" t="s">
        <v>383</v>
      </c>
      <c r="C269" s="2"/>
      <c r="D269" s="2"/>
      <c r="E269" s="2"/>
      <c r="F269" s="2"/>
      <c r="G269" s="2"/>
      <c r="H269" s="23" t="n">
        <v>0</v>
      </c>
      <c r="I269" s="2"/>
      <c r="J269" s="2"/>
      <c r="K269" s="2"/>
      <c r="L269" s="2"/>
      <c r="M269" s="2"/>
      <c r="N269" s="23" t="n">
        <v>0</v>
      </c>
      <c r="O269" s="2"/>
      <c r="P269" s="2"/>
      <c r="Q269" s="2"/>
      <c r="R269" s="2"/>
      <c r="S269" s="2"/>
      <c r="T269" s="23" t="n">
        <v>0</v>
      </c>
      <c r="U269" s="2"/>
      <c r="V269" s="2"/>
      <c r="W269" s="2"/>
      <c r="X269" s="2"/>
      <c r="Y269" s="2"/>
      <c r="Z269" s="23" t="n">
        <v>0</v>
      </c>
      <c r="AA269" s="2"/>
      <c r="AB269" s="2"/>
      <c r="AC269" s="2"/>
      <c r="AD269" s="2"/>
      <c r="AE269" s="2"/>
      <c r="AF269" s="23" t="n">
        <v>0</v>
      </c>
      <c r="AG269" s="2"/>
      <c r="AH269" s="2"/>
      <c r="AI269" s="2"/>
      <c r="AJ269" s="2"/>
      <c r="AK269" s="2"/>
      <c r="AL269" s="23" t="n">
        <v>0</v>
      </c>
      <c r="AM269" s="2"/>
      <c r="AN269" s="2"/>
      <c r="AO269" s="2"/>
      <c r="AP269" s="2"/>
      <c r="AQ269" s="2"/>
      <c r="AR269" s="23" t="n">
        <v>0</v>
      </c>
      <c r="AS269" s="2"/>
      <c r="AT269" s="2"/>
      <c r="AU269" s="2"/>
      <c r="AV269" s="2"/>
      <c r="AW269" s="2"/>
      <c r="AX269" s="23" t="n">
        <v>399</v>
      </c>
      <c r="AY269" s="2"/>
      <c r="AZ269" s="2"/>
      <c r="BA269" s="2"/>
      <c r="BB269" s="2"/>
      <c r="BC269" s="2"/>
      <c r="BD269" s="23" t="n">
        <v>231</v>
      </c>
      <c r="BE269" s="2"/>
      <c r="BF269" s="2"/>
      <c r="BG269" s="2"/>
      <c r="BH269" s="2"/>
      <c r="BI269" s="2"/>
      <c r="BJ269" s="23" t="n">
        <v>503</v>
      </c>
      <c r="BK269" s="2"/>
      <c r="BL269" s="2"/>
      <c r="BM269" s="2"/>
      <c r="BN269" s="2"/>
      <c r="BO269" s="2"/>
      <c r="BP269" s="23" t="n">
        <v>0</v>
      </c>
      <c r="BQ269" s="2"/>
      <c r="BR269" s="2"/>
      <c r="BS269" s="23" t="n">
        <v>0</v>
      </c>
      <c r="BT269" s="3"/>
      <c r="BU269" s="3"/>
      <c r="BV269" s="3" t="n">
        <f aca="false">BP269</f>
        <v>0</v>
      </c>
      <c r="BW269" s="3" t="n">
        <f aca="false">BV269</f>
        <v>0</v>
      </c>
      <c r="BX269" s="3" t="n">
        <f aca="false">BW269</f>
        <v>0</v>
      </c>
      <c r="BY269" s="3" t="n">
        <f aca="false">BX269</f>
        <v>0</v>
      </c>
      <c r="BZ269" s="3" t="n">
        <f aca="false">BY269</f>
        <v>0</v>
      </c>
      <c r="CA269" s="16"/>
      <c r="CC269" s="5"/>
      <c r="CD269" s="5"/>
      <c r="CE269" s="5"/>
    </row>
    <row r="270" customFormat="false" ht="15" hidden="false" customHeight="false" outlineLevel="0" collapsed="false">
      <c r="B270" s="1" t="s">
        <v>384</v>
      </c>
      <c r="C270" s="2"/>
      <c r="D270" s="2"/>
      <c r="E270" s="2"/>
      <c r="F270" s="2"/>
      <c r="G270" s="2"/>
      <c r="H270" s="23" t="n">
        <v>247</v>
      </c>
      <c r="I270" s="2"/>
      <c r="J270" s="2"/>
      <c r="K270" s="2"/>
      <c r="L270" s="2"/>
      <c r="M270" s="2"/>
      <c r="N270" s="23" t="n">
        <v>256</v>
      </c>
      <c r="O270" s="2"/>
      <c r="P270" s="2"/>
      <c r="Q270" s="2"/>
      <c r="R270" s="2"/>
      <c r="S270" s="2"/>
      <c r="T270" s="23" t="n">
        <v>236</v>
      </c>
      <c r="U270" s="2"/>
      <c r="V270" s="2"/>
      <c r="W270" s="2"/>
      <c r="X270" s="2"/>
      <c r="Y270" s="2"/>
      <c r="Z270" s="23" t="n">
        <v>332</v>
      </c>
      <c r="AA270" s="2"/>
      <c r="AB270" s="2"/>
      <c r="AC270" s="2"/>
      <c r="AD270" s="2"/>
      <c r="AE270" s="2"/>
      <c r="AF270" s="23" t="n">
        <v>400</v>
      </c>
      <c r="AG270" s="2"/>
      <c r="AH270" s="2"/>
      <c r="AI270" s="2"/>
      <c r="AJ270" s="2"/>
      <c r="AK270" s="2"/>
      <c r="AL270" s="23" t="n">
        <v>530</v>
      </c>
      <c r="AM270" s="2"/>
      <c r="AN270" s="2"/>
      <c r="AO270" s="2"/>
      <c r="AP270" s="2"/>
      <c r="AQ270" s="2"/>
      <c r="AR270" s="23" t="n">
        <v>423</v>
      </c>
      <c r="AS270" s="2"/>
      <c r="AT270" s="2"/>
      <c r="AU270" s="2"/>
      <c r="AV270" s="2"/>
      <c r="AW270" s="2"/>
      <c r="AX270" s="23" t="n">
        <v>380</v>
      </c>
      <c r="AY270" s="2"/>
      <c r="AZ270" s="2"/>
      <c r="BA270" s="2"/>
      <c r="BB270" s="2"/>
      <c r="BC270" s="2"/>
      <c r="BD270" s="23" t="n">
        <v>449</v>
      </c>
      <c r="BE270" s="2"/>
      <c r="BF270" s="2"/>
      <c r="BG270" s="2"/>
      <c r="BH270" s="2"/>
      <c r="BI270" s="2"/>
      <c r="BJ270" s="23" t="n">
        <v>399</v>
      </c>
      <c r="BK270" s="2"/>
      <c r="BL270" s="2"/>
      <c r="BM270" s="2"/>
      <c r="BN270" s="2"/>
      <c r="BO270" s="2"/>
      <c r="BP270" s="23" t="n">
        <v>490</v>
      </c>
      <c r="BQ270" s="2"/>
      <c r="BR270" s="2"/>
      <c r="BS270" s="23" t="n">
        <v>481</v>
      </c>
      <c r="BT270" s="3"/>
      <c r="BU270" s="3"/>
      <c r="BV270" s="3" t="n">
        <f aca="false">BP270</f>
        <v>490</v>
      </c>
      <c r="BW270" s="3" t="n">
        <f aca="false">BV270</f>
        <v>490</v>
      </c>
      <c r="BX270" s="3" t="n">
        <f aca="false">BW270</f>
        <v>490</v>
      </c>
      <c r="BY270" s="3" t="n">
        <f aca="false">BX270</f>
        <v>490</v>
      </c>
      <c r="BZ270" s="3" t="n">
        <f aca="false">BY270</f>
        <v>490</v>
      </c>
      <c r="CA270" s="16"/>
      <c r="CC270" s="5"/>
      <c r="CD270" s="5"/>
      <c r="CE270" s="5"/>
    </row>
    <row r="271" customFormat="false" ht="15" hidden="false" customHeight="false" outlineLevel="0" collapsed="false">
      <c r="B271" s="26" t="s">
        <v>385</v>
      </c>
      <c r="C271" s="28"/>
      <c r="D271" s="28"/>
      <c r="E271" s="28"/>
      <c r="F271" s="28"/>
      <c r="G271" s="28"/>
      <c r="H271" s="28" t="n">
        <f aca="false">SUM(H264:H270)</f>
        <v>1274</v>
      </c>
      <c r="I271" s="28"/>
      <c r="J271" s="28"/>
      <c r="K271" s="28"/>
      <c r="L271" s="28"/>
      <c r="M271" s="28"/>
      <c r="N271" s="28" t="n">
        <f aca="false">SUM(N264:N270)</f>
        <v>1343</v>
      </c>
      <c r="O271" s="28"/>
      <c r="P271" s="28"/>
      <c r="Q271" s="28"/>
      <c r="R271" s="28"/>
      <c r="S271" s="28"/>
      <c r="T271" s="28" t="n">
        <f aca="false">SUM(T264:T270)</f>
        <v>1391</v>
      </c>
      <c r="U271" s="28"/>
      <c r="V271" s="28"/>
      <c r="W271" s="28"/>
      <c r="X271" s="28"/>
      <c r="Y271" s="28"/>
      <c r="Z271" s="28" t="n">
        <f aca="false">SUM(Z264:Z270)</f>
        <v>1829</v>
      </c>
      <c r="AA271" s="28"/>
      <c r="AB271" s="28"/>
      <c r="AC271" s="28"/>
      <c r="AD271" s="28"/>
      <c r="AE271" s="28"/>
      <c r="AF271" s="28" t="n">
        <f aca="false">SUM(AF264:AF270)</f>
        <v>1890</v>
      </c>
      <c r="AG271" s="28"/>
      <c r="AH271" s="28"/>
      <c r="AI271" s="28"/>
      <c r="AJ271" s="28"/>
      <c r="AK271" s="28"/>
      <c r="AL271" s="28" t="n">
        <f aca="false">SUM(AL264:AL270)</f>
        <v>2226</v>
      </c>
      <c r="AM271" s="28"/>
      <c r="AN271" s="28"/>
      <c r="AO271" s="28"/>
      <c r="AP271" s="28"/>
      <c r="AQ271" s="28"/>
      <c r="AR271" s="28" t="n">
        <f aca="false">SUM(AR264:AR270)</f>
        <v>2427</v>
      </c>
      <c r="AS271" s="28"/>
      <c r="AT271" s="28"/>
      <c r="AU271" s="28"/>
      <c r="AV271" s="28"/>
      <c r="AW271" s="28"/>
      <c r="AX271" s="28" t="n">
        <f aca="false">SUM(AX264:AX270)</f>
        <v>2895</v>
      </c>
      <c r="AY271" s="28"/>
      <c r="AZ271" s="28"/>
      <c r="BA271" s="28"/>
      <c r="BB271" s="28"/>
      <c r="BC271" s="28"/>
      <c r="BD271" s="28" t="n">
        <f aca="false">SUM(BD264:BD270)</f>
        <v>3032</v>
      </c>
      <c r="BE271" s="28"/>
      <c r="BF271" s="28"/>
      <c r="BG271" s="28"/>
      <c r="BH271" s="28"/>
      <c r="BI271" s="28"/>
      <c r="BJ271" s="28" t="n">
        <f aca="false">SUM(BJ264:BJ270)</f>
        <v>2991</v>
      </c>
      <c r="BK271" s="28"/>
      <c r="BL271" s="28"/>
      <c r="BM271" s="28"/>
      <c r="BN271" s="28"/>
      <c r="BO271" s="28"/>
      <c r="BP271" s="28" t="n">
        <f aca="false">SUM(BP264:BP270)</f>
        <v>3045</v>
      </c>
      <c r="BQ271" s="28"/>
      <c r="BR271" s="28"/>
      <c r="BS271" s="28" t="n">
        <f aca="false">SUM(BS264:BS270)</f>
        <v>2633</v>
      </c>
      <c r="BT271" s="29"/>
      <c r="BU271" s="29"/>
      <c r="BV271" s="29" t="n">
        <f aca="false">SUM(BV264:BV270)</f>
        <v>2980.05926354886</v>
      </c>
      <c r="BW271" s="29" t="n">
        <f aca="false">SUM(BW264:BW270)</f>
        <v>3030.00231096796</v>
      </c>
      <c r="BX271" s="29" t="n">
        <f aca="false">SUM(BX264:BX270)</f>
        <v>3147.63152187045</v>
      </c>
      <c r="BY271" s="29" t="n">
        <f aca="false">SUM(BY264:BY270)</f>
        <v>3265.14858698201</v>
      </c>
      <c r="BZ271" s="29" t="n">
        <f aca="false">SUM(BZ264:BZ270)</f>
        <v>3379.13364183331</v>
      </c>
      <c r="CA271" s="16"/>
      <c r="CC271" s="5"/>
      <c r="CD271" s="5"/>
      <c r="CE271" s="5"/>
    </row>
    <row r="272" customFormat="false" ht="15" hidden="false" customHeight="false" outlineLevel="0" collapsed="false">
      <c r="B272" s="1" t="s">
        <v>386</v>
      </c>
      <c r="C272" s="2"/>
      <c r="D272" s="2"/>
      <c r="E272" s="2"/>
      <c r="F272" s="2"/>
      <c r="G272" s="2"/>
      <c r="H272" s="23" t="n">
        <v>1273</v>
      </c>
      <c r="I272" s="2"/>
      <c r="J272" s="2"/>
      <c r="K272" s="2"/>
      <c r="L272" s="2"/>
      <c r="M272" s="2"/>
      <c r="N272" s="23" t="n">
        <v>1278</v>
      </c>
      <c r="O272" s="2"/>
      <c r="P272" s="2"/>
      <c r="Q272" s="2"/>
      <c r="R272" s="2"/>
      <c r="S272" s="2"/>
      <c r="T272" s="23" t="n">
        <v>1279</v>
      </c>
      <c r="U272" s="2"/>
      <c r="V272" s="2"/>
      <c r="W272" s="2"/>
      <c r="X272" s="2"/>
      <c r="Y272" s="2"/>
      <c r="Z272" s="23" t="n">
        <v>1283</v>
      </c>
      <c r="AA272" s="2"/>
      <c r="AB272" s="2"/>
      <c r="AC272" s="2"/>
      <c r="AD272" s="2"/>
      <c r="AE272" s="2"/>
      <c r="AF272" s="23" t="n">
        <v>1286</v>
      </c>
      <c r="AG272" s="2"/>
      <c r="AH272" s="2"/>
      <c r="AI272" s="2"/>
      <c r="AJ272" s="2"/>
      <c r="AK272" s="2"/>
      <c r="AL272" s="23" t="n">
        <v>1686</v>
      </c>
      <c r="AM272" s="2"/>
      <c r="AN272" s="2"/>
      <c r="AO272" s="2"/>
      <c r="AP272" s="2"/>
      <c r="AQ272" s="2"/>
      <c r="AR272" s="23" t="n">
        <v>3298</v>
      </c>
      <c r="AS272" s="2"/>
      <c r="AT272" s="2"/>
      <c r="AU272" s="2"/>
      <c r="AV272" s="2"/>
      <c r="AW272" s="2"/>
      <c r="AX272" s="23" t="n">
        <v>2506</v>
      </c>
      <c r="AY272" s="2"/>
      <c r="AZ272" s="2"/>
      <c r="BA272" s="2"/>
      <c r="BB272" s="2"/>
      <c r="BC272" s="2"/>
      <c r="BD272" s="23" t="n">
        <v>2214</v>
      </c>
      <c r="BE272" s="2"/>
      <c r="BF272" s="2"/>
      <c r="BG272" s="2"/>
      <c r="BH272" s="2"/>
      <c r="BI272" s="2"/>
      <c r="BJ272" s="23" t="n">
        <v>2700</v>
      </c>
      <c r="BK272" s="2"/>
      <c r="BL272" s="2"/>
      <c r="BM272" s="2"/>
      <c r="BN272" s="2"/>
      <c r="BO272" s="2"/>
      <c r="BP272" s="23" t="n">
        <v>2700</v>
      </c>
      <c r="BQ272" s="2"/>
      <c r="BR272" s="2"/>
      <c r="BS272" s="23" t="n">
        <v>2702</v>
      </c>
      <c r="BT272" s="3"/>
      <c r="BU272" s="3"/>
      <c r="BV272" s="3" t="n">
        <f aca="false">BV309-BV269</f>
        <v>2700</v>
      </c>
      <c r="BW272" s="3" t="n">
        <f aca="false">BW309-BW269</f>
        <v>2700</v>
      </c>
      <c r="BX272" s="3" t="n">
        <f aca="false">BX309-BX269</f>
        <v>2700</v>
      </c>
      <c r="BY272" s="3" t="n">
        <f aca="false">BY309-BY269</f>
        <v>2700</v>
      </c>
      <c r="BZ272" s="3" t="n">
        <f aca="false">BZ309-BZ269</f>
        <v>2700</v>
      </c>
      <c r="CA272" s="16"/>
      <c r="CC272" s="5"/>
      <c r="CD272" s="5"/>
      <c r="CE272" s="5"/>
    </row>
    <row r="273" customFormat="false" ht="15" hidden="false" customHeight="false" outlineLevel="0" collapsed="false">
      <c r="B273" s="1" t="s">
        <v>387</v>
      </c>
      <c r="C273" s="2"/>
      <c r="D273" s="2"/>
      <c r="E273" s="2"/>
      <c r="F273" s="2"/>
      <c r="G273" s="2"/>
      <c r="H273" s="23" t="n">
        <v>1001</v>
      </c>
      <c r="I273" s="2"/>
      <c r="J273" s="2"/>
      <c r="K273" s="2"/>
      <c r="L273" s="2"/>
      <c r="M273" s="2"/>
      <c r="N273" s="23" t="n">
        <v>1116</v>
      </c>
      <c r="O273" s="2"/>
      <c r="P273" s="2"/>
      <c r="Q273" s="2"/>
      <c r="R273" s="2"/>
      <c r="S273" s="2"/>
      <c r="T273" s="23" t="n">
        <v>922</v>
      </c>
      <c r="U273" s="2"/>
      <c r="V273" s="2"/>
      <c r="W273" s="2"/>
      <c r="X273" s="2"/>
      <c r="Y273" s="2"/>
      <c r="Z273" s="23" t="n">
        <v>764</v>
      </c>
      <c r="AA273" s="2"/>
      <c r="AB273" s="2"/>
      <c r="AC273" s="2"/>
      <c r="AD273" s="2"/>
      <c r="AE273" s="2"/>
      <c r="AF273" s="23" t="n">
        <v>975</v>
      </c>
      <c r="AG273" s="2"/>
      <c r="AH273" s="2"/>
      <c r="AI273" s="2"/>
      <c r="AJ273" s="2"/>
      <c r="AK273" s="2"/>
      <c r="AL273" s="23" t="n">
        <v>960</v>
      </c>
      <c r="AM273" s="2"/>
      <c r="AN273" s="2"/>
      <c r="AO273" s="2"/>
      <c r="AP273" s="2"/>
      <c r="AQ273" s="2"/>
      <c r="AR273" s="23" t="n">
        <v>351</v>
      </c>
      <c r="AS273" s="2"/>
      <c r="AT273" s="2"/>
      <c r="AU273" s="2"/>
      <c r="AV273" s="2"/>
      <c r="AW273" s="2"/>
      <c r="AX273" s="23" t="n">
        <v>214</v>
      </c>
      <c r="AY273" s="2"/>
      <c r="AZ273" s="2"/>
      <c r="BA273" s="2"/>
      <c r="BB273" s="2"/>
      <c r="BC273" s="2"/>
      <c r="BD273" s="23" t="n">
        <v>212</v>
      </c>
      <c r="BE273" s="2"/>
      <c r="BF273" s="2"/>
      <c r="BG273" s="2"/>
      <c r="BH273" s="2"/>
      <c r="BI273" s="2"/>
      <c r="BJ273" s="23" t="n">
        <v>142</v>
      </c>
      <c r="BK273" s="2"/>
      <c r="BL273" s="2"/>
      <c r="BM273" s="2"/>
      <c r="BN273" s="2"/>
      <c r="BO273" s="2"/>
      <c r="BP273" s="23" t="n">
        <v>155</v>
      </c>
      <c r="BQ273" s="2"/>
      <c r="BR273" s="2"/>
      <c r="BS273" s="23" t="n">
        <v>155</v>
      </c>
      <c r="BT273" s="3"/>
      <c r="BU273" s="3"/>
      <c r="BV273" s="3" t="n">
        <f aca="false">BP273</f>
        <v>155</v>
      </c>
      <c r="BW273" s="3" t="n">
        <f aca="false">BV273</f>
        <v>155</v>
      </c>
      <c r="BX273" s="3" t="n">
        <f aca="false">BW273</f>
        <v>155</v>
      </c>
      <c r="BY273" s="3" t="n">
        <f aca="false">BX273</f>
        <v>155</v>
      </c>
      <c r="BZ273" s="3" t="n">
        <f aca="false">BY273</f>
        <v>155</v>
      </c>
      <c r="CA273" s="16"/>
      <c r="CC273" s="5"/>
      <c r="CD273" s="5"/>
      <c r="CE273" s="5"/>
    </row>
    <row r="274" customFormat="false" ht="15" hidden="false" customHeight="false" outlineLevel="0" collapsed="false">
      <c r="B274" s="1" t="s">
        <v>388</v>
      </c>
      <c r="C274" s="2"/>
      <c r="D274" s="2"/>
      <c r="E274" s="2"/>
      <c r="F274" s="2"/>
      <c r="G274" s="2"/>
      <c r="H274" s="23" t="n">
        <v>423</v>
      </c>
      <c r="I274" s="2"/>
      <c r="J274" s="2"/>
      <c r="K274" s="2"/>
      <c r="L274" s="2"/>
      <c r="M274" s="2"/>
      <c r="N274" s="23" t="n">
        <v>431</v>
      </c>
      <c r="O274" s="2"/>
      <c r="P274" s="2"/>
      <c r="Q274" s="2"/>
      <c r="R274" s="2"/>
      <c r="S274" s="2"/>
      <c r="T274" s="23" t="n">
        <v>414</v>
      </c>
      <c r="U274" s="2"/>
      <c r="V274" s="2"/>
      <c r="W274" s="2"/>
      <c r="X274" s="2"/>
      <c r="Y274" s="2"/>
      <c r="Z274" s="23" t="n">
        <v>348</v>
      </c>
      <c r="AA274" s="2"/>
      <c r="AB274" s="2"/>
      <c r="AC274" s="2"/>
      <c r="AD274" s="2"/>
      <c r="AE274" s="2"/>
      <c r="AF274" s="23" t="n">
        <v>380</v>
      </c>
      <c r="AG274" s="2"/>
      <c r="AH274" s="2"/>
      <c r="AI274" s="2"/>
      <c r="AJ274" s="2"/>
      <c r="AK274" s="2"/>
      <c r="AL274" s="23" t="n">
        <v>401</v>
      </c>
      <c r="AM274" s="2"/>
      <c r="AN274" s="2"/>
      <c r="AO274" s="2"/>
      <c r="AP274" s="2"/>
      <c r="AQ274" s="2"/>
      <c r="AR274" s="23" t="n">
        <v>368</v>
      </c>
      <c r="AS274" s="2"/>
      <c r="AT274" s="2"/>
      <c r="AU274" s="2"/>
      <c r="AV274" s="2"/>
      <c r="AW274" s="2"/>
      <c r="AX274" s="23" t="n">
        <v>260</v>
      </c>
      <c r="AY274" s="2"/>
      <c r="AZ274" s="2"/>
      <c r="BA274" s="2"/>
      <c r="BB274" s="2"/>
      <c r="BC274" s="2"/>
      <c r="BD274" s="23" t="n">
        <v>241</v>
      </c>
      <c r="BE274" s="2"/>
      <c r="BF274" s="2"/>
      <c r="BG274" s="2"/>
      <c r="BH274" s="2"/>
      <c r="BI274" s="2"/>
      <c r="BJ274" s="23" t="n">
        <v>209</v>
      </c>
      <c r="BK274" s="2"/>
      <c r="BL274" s="2"/>
      <c r="BM274" s="2"/>
      <c r="BN274" s="2"/>
      <c r="BO274" s="2"/>
      <c r="BP274" s="23" t="n">
        <v>200</v>
      </c>
      <c r="BQ274" s="2"/>
      <c r="BR274" s="2"/>
      <c r="BS274" s="23" t="n">
        <v>189</v>
      </c>
      <c r="BT274" s="3"/>
      <c r="BU274" s="3"/>
      <c r="BV274" s="3" t="n">
        <f aca="false">BP274</f>
        <v>200</v>
      </c>
      <c r="BW274" s="3" t="n">
        <f aca="false">BV274</f>
        <v>200</v>
      </c>
      <c r="BX274" s="3" t="n">
        <f aca="false">BW274</f>
        <v>200</v>
      </c>
      <c r="BY274" s="3" t="n">
        <f aca="false">BX274</f>
        <v>200</v>
      </c>
      <c r="BZ274" s="3" t="n">
        <f aca="false">BY274</f>
        <v>200</v>
      </c>
      <c r="CA274" s="16"/>
      <c r="CC274" s="5"/>
      <c r="CD274" s="5"/>
      <c r="CE274" s="5"/>
    </row>
    <row r="275" customFormat="false" ht="15" hidden="false" customHeight="false" outlineLevel="0" collapsed="false">
      <c r="B275" s="1" t="s">
        <v>389</v>
      </c>
      <c r="C275" s="2"/>
      <c r="D275" s="2"/>
      <c r="E275" s="2"/>
      <c r="F275" s="2"/>
      <c r="G275" s="2"/>
      <c r="H275" s="23" t="n">
        <v>460</v>
      </c>
      <c r="I275" s="2"/>
      <c r="J275" s="2"/>
      <c r="K275" s="2"/>
      <c r="L275" s="2"/>
      <c r="M275" s="2"/>
      <c r="N275" s="23" t="n">
        <v>441</v>
      </c>
      <c r="O275" s="2"/>
      <c r="P275" s="2"/>
      <c r="Q275" s="2"/>
      <c r="R275" s="2"/>
      <c r="S275" s="2"/>
      <c r="T275" s="23" t="n">
        <v>509</v>
      </c>
      <c r="U275" s="2"/>
      <c r="V275" s="2"/>
      <c r="W275" s="2"/>
      <c r="X275" s="2"/>
      <c r="Y275" s="2"/>
      <c r="Z275" s="23" t="n">
        <v>454</v>
      </c>
      <c r="AA275" s="2"/>
      <c r="AB275" s="2"/>
      <c r="AC275" s="2"/>
      <c r="AD275" s="2"/>
      <c r="AE275" s="2"/>
      <c r="AF275" s="23" t="n">
        <v>457</v>
      </c>
      <c r="AG275" s="2"/>
      <c r="AH275" s="2"/>
      <c r="AI275" s="2"/>
      <c r="AJ275" s="2"/>
      <c r="AK275" s="2"/>
      <c r="AL275" s="23" t="n">
        <v>511</v>
      </c>
      <c r="AM275" s="2"/>
      <c r="AN275" s="2"/>
      <c r="AO275" s="2"/>
      <c r="AP275" s="2"/>
      <c r="AQ275" s="2"/>
      <c r="AR275" s="23" t="n">
        <v>506</v>
      </c>
      <c r="AS275" s="2"/>
      <c r="AT275" s="2"/>
      <c r="AU275" s="2"/>
      <c r="AV275" s="2"/>
      <c r="AW275" s="2"/>
      <c r="AX275" s="23" t="n">
        <v>463</v>
      </c>
      <c r="AY275" s="2"/>
      <c r="AZ275" s="2"/>
      <c r="BA275" s="2"/>
      <c r="BB275" s="2"/>
      <c r="BC275" s="2"/>
      <c r="BD275" s="23" t="n">
        <v>449</v>
      </c>
      <c r="BE275" s="2"/>
      <c r="BF275" s="2"/>
      <c r="BG275" s="2"/>
      <c r="BH275" s="2"/>
      <c r="BI275" s="2"/>
      <c r="BJ275" s="23" t="n">
        <v>443</v>
      </c>
      <c r="BK275" s="2"/>
      <c r="BL275" s="2"/>
      <c r="BM275" s="2"/>
      <c r="BN275" s="2"/>
      <c r="BO275" s="2"/>
      <c r="BP275" s="23" t="n">
        <v>442</v>
      </c>
      <c r="BQ275" s="2"/>
      <c r="BR275" s="2"/>
      <c r="BS275" s="23" t="n">
        <v>450</v>
      </c>
      <c r="BT275" s="3"/>
      <c r="BU275" s="3"/>
      <c r="BV275" s="3" t="n">
        <f aca="false">BP275</f>
        <v>442</v>
      </c>
      <c r="BW275" s="3" t="n">
        <f aca="false">BV275</f>
        <v>442</v>
      </c>
      <c r="BX275" s="3" t="n">
        <f aca="false">BW275</f>
        <v>442</v>
      </c>
      <c r="BY275" s="3" t="n">
        <f aca="false">BX275</f>
        <v>442</v>
      </c>
      <c r="BZ275" s="3" t="n">
        <f aca="false">BY275</f>
        <v>442</v>
      </c>
      <c r="CA275" s="16"/>
      <c r="CC275" s="5"/>
      <c r="CD275" s="5"/>
      <c r="CE275" s="5"/>
    </row>
    <row r="276" customFormat="false" ht="15" hidden="false" customHeight="false" outlineLevel="0" collapsed="false">
      <c r="B276" s="1" t="s">
        <v>390</v>
      </c>
      <c r="C276" s="2"/>
      <c r="D276" s="2"/>
      <c r="E276" s="2"/>
      <c r="F276" s="2"/>
      <c r="G276" s="2"/>
      <c r="H276" s="23" t="n">
        <v>0</v>
      </c>
      <c r="I276" s="2"/>
      <c r="J276" s="2"/>
      <c r="K276" s="2"/>
      <c r="L276" s="2"/>
      <c r="M276" s="2"/>
      <c r="N276" s="23" t="n">
        <v>0</v>
      </c>
      <c r="O276" s="2"/>
      <c r="P276" s="2"/>
      <c r="Q276" s="2"/>
      <c r="R276" s="2"/>
      <c r="S276" s="2"/>
      <c r="T276" s="23" t="n">
        <v>0</v>
      </c>
      <c r="U276" s="2"/>
      <c r="V276" s="2"/>
      <c r="W276" s="2"/>
      <c r="X276" s="2"/>
      <c r="Y276" s="2"/>
      <c r="Z276" s="23" t="n">
        <v>0</v>
      </c>
      <c r="AA276" s="2"/>
      <c r="AB276" s="2"/>
      <c r="AC276" s="2"/>
      <c r="AD276" s="2"/>
      <c r="AE276" s="2"/>
      <c r="AF276" s="23" t="n">
        <v>164</v>
      </c>
      <c r="AG276" s="2"/>
      <c r="AH276" s="2"/>
      <c r="AI276" s="2"/>
      <c r="AJ276" s="2"/>
      <c r="AK276" s="2"/>
      <c r="AL276" s="23" t="n">
        <v>157</v>
      </c>
      <c r="AM276" s="2"/>
      <c r="AN276" s="2"/>
      <c r="AO276" s="2"/>
      <c r="AP276" s="2"/>
      <c r="AQ276" s="2"/>
      <c r="AR276" s="23" t="n">
        <v>194</v>
      </c>
      <c r="AS276" s="2"/>
      <c r="AT276" s="2"/>
      <c r="AU276" s="2"/>
      <c r="AV276" s="2"/>
      <c r="AW276" s="2"/>
      <c r="AX276" s="23" t="n">
        <v>246</v>
      </c>
      <c r="AY276" s="2"/>
      <c r="AZ276" s="2"/>
      <c r="BA276" s="2"/>
      <c r="BB276" s="2"/>
      <c r="BC276" s="2"/>
      <c r="BD276" s="23" t="n">
        <v>228</v>
      </c>
      <c r="BE276" s="2"/>
      <c r="BF276" s="2"/>
      <c r="BG276" s="2"/>
      <c r="BH276" s="2"/>
      <c r="BI276" s="2"/>
      <c r="BJ276" s="23" t="n">
        <v>205</v>
      </c>
      <c r="BK276" s="2"/>
      <c r="BL276" s="2"/>
      <c r="BM276" s="2"/>
      <c r="BN276" s="2"/>
      <c r="BO276" s="2"/>
      <c r="BP276" s="23" t="n">
        <v>223</v>
      </c>
      <c r="BQ276" s="2"/>
      <c r="BR276" s="2"/>
      <c r="BS276" s="23" t="n">
        <v>233</v>
      </c>
      <c r="BT276" s="3"/>
      <c r="BU276" s="3"/>
      <c r="BV276" s="3" t="n">
        <f aca="false">BP276</f>
        <v>223</v>
      </c>
      <c r="BW276" s="3" t="n">
        <f aca="false">BV276</f>
        <v>223</v>
      </c>
      <c r="BX276" s="3" t="n">
        <f aca="false">BW276</f>
        <v>223</v>
      </c>
      <c r="BY276" s="3" t="n">
        <f aca="false">BX276</f>
        <v>223</v>
      </c>
      <c r="BZ276" s="3" t="n">
        <f aca="false">BY276</f>
        <v>223</v>
      </c>
      <c r="CA276" s="16"/>
      <c r="CC276" s="5"/>
      <c r="CD276" s="5"/>
      <c r="CE276" s="5"/>
    </row>
    <row r="277" customFormat="false" ht="15" hidden="false" customHeight="false" outlineLevel="0" collapsed="false">
      <c r="B277" s="1" t="s">
        <v>391</v>
      </c>
      <c r="C277" s="2"/>
      <c r="D277" s="2"/>
      <c r="E277" s="2"/>
      <c r="F277" s="2"/>
      <c r="G277" s="2"/>
      <c r="H277" s="23" t="n">
        <v>0</v>
      </c>
      <c r="I277" s="2"/>
      <c r="J277" s="2"/>
      <c r="K277" s="2"/>
      <c r="L277" s="2"/>
      <c r="M277" s="2"/>
      <c r="N277" s="23" t="n">
        <v>0</v>
      </c>
      <c r="O277" s="2"/>
      <c r="P277" s="2"/>
      <c r="Q277" s="2"/>
      <c r="R277" s="2"/>
      <c r="S277" s="2"/>
      <c r="T277" s="23" t="n">
        <v>0</v>
      </c>
      <c r="U277" s="2"/>
      <c r="V277" s="2"/>
      <c r="W277" s="2"/>
      <c r="X277" s="2"/>
      <c r="Y277" s="2"/>
      <c r="Z277" s="23" t="n">
        <v>0</v>
      </c>
      <c r="AA277" s="2"/>
      <c r="AB277" s="2"/>
      <c r="AC277" s="2"/>
      <c r="AD277" s="2"/>
      <c r="AE277" s="2"/>
      <c r="AF277" s="23" t="n">
        <v>0</v>
      </c>
      <c r="AG277" s="2"/>
      <c r="AH277" s="2"/>
      <c r="AI277" s="2"/>
      <c r="AJ277" s="2"/>
      <c r="AK277" s="2"/>
      <c r="AL277" s="23" t="n">
        <v>0</v>
      </c>
      <c r="AM277" s="2"/>
      <c r="AN277" s="2"/>
      <c r="AO277" s="2"/>
      <c r="AP277" s="2"/>
      <c r="AQ277" s="2"/>
      <c r="AR277" s="23" t="n">
        <v>313</v>
      </c>
      <c r="AS277" s="2"/>
      <c r="AT277" s="2"/>
      <c r="AU277" s="2"/>
      <c r="AV277" s="2"/>
      <c r="AW277" s="2"/>
      <c r="AX277" s="23" t="n">
        <v>418</v>
      </c>
      <c r="AY277" s="2"/>
      <c r="AZ277" s="2"/>
      <c r="BA277" s="2"/>
      <c r="BB277" s="2"/>
      <c r="BC277" s="2"/>
      <c r="BD277" s="23" t="n">
        <v>367</v>
      </c>
      <c r="BE277" s="2"/>
      <c r="BF277" s="2"/>
      <c r="BG277" s="2"/>
      <c r="BH277" s="2"/>
      <c r="BI277" s="2"/>
      <c r="BJ277" s="23" t="n">
        <v>378</v>
      </c>
      <c r="BK277" s="2"/>
      <c r="BL277" s="2"/>
      <c r="BM277" s="2"/>
      <c r="BN277" s="2"/>
      <c r="BO277" s="2"/>
      <c r="BP277" s="23" t="n">
        <v>572</v>
      </c>
      <c r="BQ277" s="2"/>
      <c r="BR277" s="2"/>
      <c r="BS277" s="23" t="n">
        <v>662</v>
      </c>
      <c r="BT277" s="3"/>
      <c r="BU277" s="3"/>
      <c r="BV277" s="3" t="n">
        <f aca="false">BP277+BV193</f>
        <v>692</v>
      </c>
      <c r="BW277" s="3" t="n">
        <f aca="false">BV277+BW193</f>
        <v>752</v>
      </c>
      <c r="BX277" s="3" t="n">
        <f aca="false">BW277+BX193</f>
        <v>802</v>
      </c>
      <c r="BY277" s="3" t="n">
        <f aca="false">BX277+BY193</f>
        <v>842</v>
      </c>
      <c r="BZ277" s="3" t="n">
        <f aca="false">BY277+BZ193</f>
        <v>882</v>
      </c>
      <c r="CA277" s="16"/>
      <c r="CC277" s="5"/>
      <c r="CD277" s="5"/>
      <c r="CE277" s="5"/>
    </row>
    <row r="278" customFormat="false" ht="15" hidden="false" customHeight="false" outlineLevel="0" collapsed="false">
      <c r="B278" s="1" t="s">
        <v>392</v>
      </c>
      <c r="C278" s="2"/>
      <c r="D278" s="2"/>
      <c r="E278" s="2"/>
      <c r="F278" s="2"/>
      <c r="G278" s="2"/>
      <c r="H278" s="23" t="n">
        <v>103</v>
      </c>
      <c r="I278" s="2"/>
      <c r="J278" s="2"/>
      <c r="K278" s="2"/>
      <c r="L278" s="2"/>
      <c r="M278" s="2"/>
      <c r="N278" s="23" t="n">
        <v>90</v>
      </c>
      <c r="O278" s="2"/>
      <c r="P278" s="2"/>
      <c r="Q278" s="2"/>
      <c r="R278" s="2"/>
      <c r="S278" s="2"/>
      <c r="T278" s="23" t="n">
        <v>101</v>
      </c>
      <c r="U278" s="2"/>
      <c r="V278" s="2"/>
      <c r="W278" s="2"/>
      <c r="X278" s="2"/>
      <c r="Y278" s="2"/>
      <c r="Z278" s="23" t="n">
        <v>189</v>
      </c>
      <c r="AA278" s="2"/>
      <c r="AB278" s="2"/>
      <c r="AC278" s="2"/>
      <c r="AD278" s="2"/>
      <c r="AE278" s="2"/>
      <c r="AF278" s="23" t="n">
        <v>291</v>
      </c>
      <c r="AG278" s="2"/>
      <c r="AH278" s="2"/>
      <c r="AI278" s="2"/>
      <c r="AJ278" s="2"/>
      <c r="AK278" s="2"/>
      <c r="AL278" s="23" t="n">
        <v>315</v>
      </c>
      <c r="AM278" s="2"/>
      <c r="AN278" s="2"/>
      <c r="AO278" s="2"/>
      <c r="AP278" s="2"/>
      <c r="AQ278" s="2"/>
      <c r="AR278" s="23" t="n">
        <v>362</v>
      </c>
      <c r="AS278" s="2"/>
      <c r="AT278" s="2"/>
      <c r="AU278" s="2"/>
      <c r="AV278" s="2"/>
      <c r="AW278" s="2"/>
      <c r="AX278" s="23" t="n">
        <v>366</v>
      </c>
      <c r="AY278" s="2"/>
      <c r="AZ278" s="2"/>
      <c r="BA278" s="2"/>
      <c r="BB278" s="2"/>
      <c r="BC278" s="2"/>
      <c r="BD278" s="23" t="n">
        <v>379</v>
      </c>
      <c r="BE278" s="2"/>
      <c r="BF278" s="2"/>
      <c r="BG278" s="2"/>
      <c r="BH278" s="2"/>
      <c r="BI278" s="2"/>
      <c r="BJ278" s="23" t="n">
        <v>407</v>
      </c>
      <c r="BK278" s="2"/>
      <c r="BL278" s="2"/>
      <c r="BM278" s="2"/>
      <c r="BN278" s="2"/>
      <c r="BO278" s="2"/>
      <c r="BP278" s="23" t="n">
        <v>339</v>
      </c>
      <c r="BQ278" s="2"/>
      <c r="BR278" s="2"/>
      <c r="BS278" s="23" t="n">
        <v>346</v>
      </c>
      <c r="BT278" s="3"/>
      <c r="BU278" s="3"/>
      <c r="BV278" s="3" t="n">
        <f aca="false">BP278</f>
        <v>339</v>
      </c>
      <c r="BW278" s="3" t="n">
        <f aca="false">BV278</f>
        <v>339</v>
      </c>
      <c r="BX278" s="3" t="n">
        <f aca="false">BW278</f>
        <v>339</v>
      </c>
      <c r="BY278" s="3" t="n">
        <f aca="false">BX278</f>
        <v>339</v>
      </c>
      <c r="BZ278" s="3" t="n">
        <f aca="false">BY278</f>
        <v>339</v>
      </c>
      <c r="CA278" s="16"/>
      <c r="CC278" s="5"/>
      <c r="CD278" s="5"/>
      <c r="CE278" s="5"/>
    </row>
    <row r="279" customFormat="false" ht="15" hidden="false" customHeight="false" outlineLevel="0" collapsed="false">
      <c r="B279" s="26" t="s">
        <v>393</v>
      </c>
      <c r="C279" s="28"/>
      <c r="D279" s="28"/>
      <c r="E279" s="28"/>
      <c r="F279" s="28"/>
      <c r="G279" s="28"/>
      <c r="H279" s="28" t="n">
        <f aca="false">H271+SUM(H272:H278)</f>
        <v>4534</v>
      </c>
      <c r="I279" s="28"/>
      <c r="J279" s="28"/>
      <c r="K279" s="28"/>
      <c r="L279" s="28"/>
      <c r="M279" s="28"/>
      <c r="N279" s="28" t="n">
        <f aca="false">N271+SUM(N272:N278)</f>
        <v>4699</v>
      </c>
      <c r="O279" s="28"/>
      <c r="P279" s="28"/>
      <c r="Q279" s="28"/>
      <c r="R279" s="28"/>
      <c r="S279" s="28"/>
      <c r="T279" s="28" t="n">
        <f aca="false">T271+SUM(T272:T278)</f>
        <v>4616</v>
      </c>
      <c r="U279" s="28"/>
      <c r="V279" s="28"/>
      <c r="W279" s="28"/>
      <c r="X279" s="28"/>
      <c r="Y279" s="28"/>
      <c r="Z279" s="28" t="n">
        <f aca="false">Z271+SUM(Z272:Z278)</f>
        <v>4867</v>
      </c>
      <c r="AA279" s="28"/>
      <c r="AB279" s="28"/>
      <c r="AC279" s="28"/>
      <c r="AD279" s="28"/>
      <c r="AE279" s="28"/>
      <c r="AF279" s="28" t="n">
        <f aca="false">AF271+SUM(AF272:AF278)</f>
        <v>5443</v>
      </c>
      <c r="AG279" s="28"/>
      <c r="AH279" s="28"/>
      <c r="AI279" s="28"/>
      <c r="AJ279" s="28"/>
      <c r="AK279" s="28"/>
      <c r="AL279" s="28" t="n">
        <f aca="false">AL271+SUM(AL272:AL278)</f>
        <v>6256</v>
      </c>
      <c r="AM279" s="28"/>
      <c r="AN279" s="28"/>
      <c r="AO279" s="28"/>
      <c r="AP279" s="28"/>
      <c r="AQ279" s="28"/>
      <c r="AR279" s="28" t="n">
        <f aca="false">AR271+SUM(AR272:AR278)</f>
        <v>7819</v>
      </c>
      <c r="AS279" s="28"/>
      <c r="AT279" s="28"/>
      <c r="AU279" s="28"/>
      <c r="AV279" s="28"/>
      <c r="AW279" s="28"/>
      <c r="AX279" s="28" t="n">
        <f aca="false">AX271+SUM(AX272:AX278)</f>
        <v>7368</v>
      </c>
      <c r="AY279" s="28"/>
      <c r="AZ279" s="28"/>
      <c r="BA279" s="28"/>
      <c r="BB279" s="28"/>
      <c r="BC279" s="28"/>
      <c r="BD279" s="28" t="n">
        <f aca="false">BD271+SUM(BD272:BD278)</f>
        <v>7122</v>
      </c>
      <c r="BE279" s="28"/>
      <c r="BF279" s="28"/>
      <c r="BG279" s="28"/>
      <c r="BH279" s="28"/>
      <c r="BI279" s="28"/>
      <c r="BJ279" s="28" t="n">
        <f aca="false">BJ271+SUM(BJ272:BJ278)</f>
        <v>7475</v>
      </c>
      <c r="BK279" s="28"/>
      <c r="BL279" s="28"/>
      <c r="BM279" s="28"/>
      <c r="BN279" s="28"/>
      <c r="BO279" s="28"/>
      <c r="BP279" s="28" t="n">
        <f aca="false">BP271+SUM(BP272:BP278)</f>
        <v>7676</v>
      </c>
      <c r="BQ279" s="28"/>
      <c r="BR279" s="28"/>
      <c r="BS279" s="28" t="n">
        <f aca="false">BS271+SUM(BS272:BS278)</f>
        <v>7370</v>
      </c>
      <c r="BT279" s="29"/>
      <c r="BU279" s="29"/>
      <c r="BV279" s="29" t="n">
        <f aca="false">BV271+SUM(BV272:BV278)</f>
        <v>7731.05926354886</v>
      </c>
      <c r="BW279" s="29" t="n">
        <f aca="false">BW271+SUM(BW272:BW278)</f>
        <v>7841.00231096796</v>
      </c>
      <c r="BX279" s="29" t="n">
        <f aca="false">BX271+SUM(BX272:BX278)</f>
        <v>8008.63152187045</v>
      </c>
      <c r="BY279" s="29" t="n">
        <f aca="false">BY271+SUM(BY272:BY278)</f>
        <v>8166.14858698201</v>
      </c>
      <c r="BZ279" s="29" t="n">
        <f aca="false">BZ271+SUM(BZ272:BZ278)</f>
        <v>8320.13364183331</v>
      </c>
      <c r="CA279" s="16"/>
      <c r="CC279" s="5"/>
      <c r="CD279" s="5"/>
      <c r="CE279" s="5"/>
    </row>
    <row r="280" customFormat="false" ht="15" hidden="false" customHeight="false" outlineLevel="0" collapsed="false">
      <c r="B280" s="20" t="s">
        <v>394</v>
      </c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</row>
    <row r="281" customFormat="false" ht="15" hidden="false" customHeight="false" outlineLevel="0" collapsed="false">
      <c r="B281" s="1" t="s">
        <v>395</v>
      </c>
      <c r="C281" s="2"/>
      <c r="D281" s="2"/>
      <c r="E281" s="2"/>
      <c r="F281" s="2"/>
      <c r="G281" s="2"/>
      <c r="H281" s="23" t="n">
        <v>1</v>
      </c>
      <c r="I281" s="2"/>
      <c r="J281" s="2"/>
      <c r="K281" s="2"/>
      <c r="L281" s="2"/>
      <c r="M281" s="2"/>
      <c r="N281" s="23" t="n">
        <v>1</v>
      </c>
      <c r="O281" s="2"/>
      <c r="P281" s="2"/>
      <c r="Q281" s="2"/>
      <c r="R281" s="2"/>
      <c r="S281" s="2"/>
      <c r="T281" s="23" t="n">
        <v>1</v>
      </c>
      <c r="U281" s="2"/>
      <c r="V281" s="2"/>
      <c r="W281" s="2"/>
      <c r="X281" s="2"/>
      <c r="Y281" s="2"/>
      <c r="Z281" s="23" t="n">
        <v>1</v>
      </c>
      <c r="AA281" s="2"/>
      <c r="AB281" s="2"/>
      <c r="AC281" s="2"/>
      <c r="AD281" s="2"/>
      <c r="AE281" s="2"/>
      <c r="AF281" s="23" t="n">
        <v>1</v>
      </c>
      <c r="AG281" s="2"/>
      <c r="AH281" s="2"/>
      <c r="AI281" s="2"/>
      <c r="AJ281" s="2"/>
      <c r="AK281" s="2"/>
      <c r="AL281" s="23" t="n">
        <v>1</v>
      </c>
      <c r="AM281" s="2"/>
      <c r="AN281" s="2"/>
      <c r="AO281" s="2"/>
      <c r="AP281" s="2"/>
      <c r="AQ281" s="2"/>
      <c r="AR281" s="23" t="n">
        <v>1</v>
      </c>
      <c r="AS281" s="2"/>
      <c r="AT281" s="2"/>
      <c r="AU281" s="2"/>
      <c r="AV281" s="2"/>
      <c r="AW281" s="2"/>
      <c r="AX281" s="23" t="n">
        <v>1</v>
      </c>
      <c r="AY281" s="2"/>
      <c r="AZ281" s="2"/>
      <c r="BA281" s="2"/>
      <c r="BB281" s="2"/>
      <c r="BC281" s="2"/>
      <c r="BD281" s="23" t="n">
        <v>1</v>
      </c>
      <c r="BE281" s="2"/>
      <c r="BF281" s="2"/>
      <c r="BG281" s="2"/>
      <c r="BH281" s="2"/>
      <c r="BI281" s="2"/>
      <c r="BJ281" s="23" t="n">
        <v>1</v>
      </c>
      <c r="BK281" s="2"/>
      <c r="BL281" s="2"/>
      <c r="BM281" s="2"/>
      <c r="BN281" s="2"/>
      <c r="BO281" s="2"/>
      <c r="BP281" s="23" t="n">
        <v>1</v>
      </c>
      <c r="BQ281" s="2"/>
      <c r="BR281" s="2"/>
      <c r="BS281" s="23" t="n">
        <v>1</v>
      </c>
      <c r="BT281" s="3"/>
      <c r="BU281" s="3"/>
      <c r="BV281" s="3" t="n">
        <f aca="false">BP281</f>
        <v>1</v>
      </c>
      <c r="BW281" s="3" t="n">
        <f aca="false">BV281</f>
        <v>1</v>
      </c>
      <c r="BX281" s="3" t="n">
        <f aca="false">BW281</f>
        <v>1</v>
      </c>
      <c r="BY281" s="3" t="n">
        <f aca="false">BX281</f>
        <v>1</v>
      </c>
      <c r="BZ281" s="3" t="n">
        <f aca="false">BY281</f>
        <v>1</v>
      </c>
      <c r="CA281" s="16"/>
      <c r="CC281" s="5"/>
      <c r="CD281" s="5"/>
      <c r="CE281" s="5"/>
    </row>
    <row r="282" customFormat="false" ht="15" hidden="false" customHeight="false" outlineLevel="0" collapsed="false">
      <c r="B282" s="1" t="s">
        <v>396</v>
      </c>
      <c r="C282" s="2"/>
      <c r="D282" s="2"/>
      <c r="E282" s="2"/>
      <c r="F282" s="2"/>
      <c r="G282" s="2"/>
      <c r="H282" s="23" t="n">
        <v>1978</v>
      </c>
      <c r="I282" s="2"/>
      <c r="J282" s="2"/>
      <c r="K282" s="2"/>
      <c r="L282" s="2"/>
      <c r="M282" s="2"/>
      <c r="N282" s="23" t="n">
        <v>1964</v>
      </c>
      <c r="O282" s="2"/>
      <c r="P282" s="2"/>
      <c r="Q282" s="2"/>
      <c r="R282" s="2"/>
      <c r="S282" s="2"/>
      <c r="T282" s="23" t="n">
        <v>1942</v>
      </c>
      <c r="U282" s="2"/>
      <c r="V282" s="2"/>
      <c r="W282" s="2"/>
      <c r="X282" s="2"/>
      <c r="Y282" s="2"/>
      <c r="Z282" s="23" t="n">
        <v>1954</v>
      </c>
      <c r="AA282" s="2"/>
      <c r="AB282" s="2"/>
      <c r="AC282" s="2"/>
      <c r="AD282" s="2"/>
      <c r="AE282" s="2"/>
      <c r="AF282" s="23" t="n">
        <v>1961</v>
      </c>
      <c r="AG282" s="2"/>
      <c r="AH282" s="2"/>
      <c r="AI282" s="2"/>
      <c r="AJ282" s="2"/>
      <c r="AK282" s="2"/>
      <c r="AL282" s="23" t="n">
        <v>1972</v>
      </c>
      <c r="AM282" s="2"/>
      <c r="AN282" s="2"/>
      <c r="AO282" s="2"/>
      <c r="AP282" s="2"/>
      <c r="AQ282" s="2"/>
      <c r="AR282" s="23" t="n">
        <v>1998</v>
      </c>
      <c r="AS282" s="2"/>
      <c r="AT282" s="2"/>
      <c r="AU282" s="2"/>
      <c r="AV282" s="2"/>
      <c r="AW282" s="2"/>
      <c r="AX282" s="23" t="n">
        <v>2022</v>
      </c>
      <c r="AY282" s="2"/>
      <c r="AZ282" s="2"/>
      <c r="BA282" s="2"/>
      <c r="BB282" s="2"/>
      <c r="BC282" s="2"/>
      <c r="BD282" s="23" t="n">
        <v>2045</v>
      </c>
      <c r="BE282" s="2"/>
      <c r="BF282" s="2"/>
      <c r="BG282" s="2"/>
      <c r="BH282" s="2"/>
      <c r="BI282" s="2"/>
      <c r="BJ282" s="23" t="n">
        <v>2045</v>
      </c>
      <c r="BK282" s="2"/>
      <c r="BL282" s="2"/>
      <c r="BM282" s="2"/>
      <c r="BN282" s="2"/>
      <c r="BO282" s="2"/>
      <c r="BP282" s="23" t="n">
        <v>2087</v>
      </c>
      <c r="BQ282" s="2"/>
      <c r="BR282" s="2"/>
      <c r="BS282" s="23" t="n">
        <v>2080</v>
      </c>
      <c r="BT282" s="3"/>
      <c r="BU282" s="3"/>
      <c r="BV282" s="3" t="n">
        <f aca="false">BP282+BV192+BV214</f>
        <v>2102</v>
      </c>
      <c r="BW282" s="3" t="n">
        <f aca="false">BV282+BW192+BW214</f>
        <v>2142</v>
      </c>
      <c r="BX282" s="3" t="n">
        <f aca="false">BW282+BX192+BX214</f>
        <v>2184</v>
      </c>
      <c r="BY282" s="3" t="n">
        <f aca="false">BX282+BY192+BY214</f>
        <v>2228</v>
      </c>
      <c r="BZ282" s="3" t="n">
        <f aca="false">BY282+BZ192+BZ214</f>
        <v>2274</v>
      </c>
      <c r="CA282" s="16" t="s">
        <v>397</v>
      </c>
      <c r="CC282" s="5"/>
      <c r="CD282" s="5"/>
      <c r="CE282" s="5"/>
    </row>
    <row r="283" customFormat="false" ht="15" hidden="false" customHeight="false" outlineLevel="0" collapsed="false">
      <c r="B283" s="1" t="s">
        <v>398</v>
      </c>
      <c r="C283" s="2"/>
      <c r="D283" s="2"/>
      <c r="E283" s="2"/>
      <c r="F283" s="2"/>
      <c r="G283" s="2"/>
      <c r="H283" s="23" t="n">
        <v>848</v>
      </c>
      <c r="I283" s="2"/>
      <c r="J283" s="2"/>
      <c r="K283" s="2"/>
      <c r="L283" s="2"/>
      <c r="M283" s="2"/>
      <c r="N283" s="23" t="n">
        <v>1323</v>
      </c>
      <c r="O283" s="2"/>
      <c r="P283" s="2"/>
      <c r="Q283" s="2"/>
      <c r="R283" s="2"/>
      <c r="S283" s="2"/>
      <c r="T283" s="23" t="n">
        <v>1687</v>
      </c>
      <c r="U283" s="2"/>
      <c r="V283" s="2"/>
      <c r="W283" s="2"/>
      <c r="X283" s="2"/>
      <c r="Y283" s="2"/>
      <c r="Z283" s="23" t="n">
        <v>2609</v>
      </c>
      <c r="AA283" s="2"/>
      <c r="AB283" s="2"/>
      <c r="AC283" s="2"/>
      <c r="AD283" s="2"/>
      <c r="AE283" s="2"/>
      <c r="AF283" s="23" t="n">
        <v>3009</v>
      </c>
      <c r="AG283" s="2"/>
      <c r="AH283" s="2"/>
      <c r="AI283" s="2"/>
      <c r="AJ283" s="2"/>
      <c r="AK283" s="2"/>
      <c r="AL283" s="23" t="n">
        <v>3533</v>
      </c>
      <c r="AM283" s="2"/>
      <c r="AN283" s="2"/>
      <c r="AO283" s="2"/>
      <c r="AP283" s="2"/>
      <c r="AQ283" s="2"/>
      <c r="AR283" s="23" t="n">
        <v>3891</v>
      </c>
      <c r="AS283" s="2"/>
      <c r="AT283" s="2"/>
      <c r="AU283" s="2"/>
      <c r="AV283" s="2"/>
      <c r="AW283" s="2"/>
      <c r="AX283" s="23" t="n">
        <v>4276</v>
      </c>
      <c r="AY283" s="2"/>
      <c r="AZ283" s="2"/>
      <c r="BA283" s="2"/>
      <c r="BB283" s="2"/>
      <c r="BC283" s="2"/>
      <c r="BD283" s="23" t="n">
        <v>4755</v>
      </c>
      <c r="BE283" s="2"/>
      <c r="BF283" s="2"/>
      <c r="BG283" s="2"/>
      <c r="BH283" s="2"/>
      <c r="BI283" s="2"/>
      <c r="BJ283" s="23" t="n">
        <v>5097</v>
      </c>
      <c r="BK283" s="2"/>
      <c r="BL283" s="2"/>
      <c r="BM283" s="2"/>
      <c r="BN283" s="2"/>
      <c r="BO283" s="2"/>
      <c r="BP283" s="23" t="n">
        <v>5487</v>
      </c>
      <c r="BQ283" s="2"/>
      <c r="BR283" s="2"/>
      <c r="BS283" s="23" t="n">
        <v>5730</v>
      </c>
      <c r="BT283" s="3"/>
      <c r="BU283" s="3"/>
      <c r="BV283" s="3" t="n">
        <f aca="false">BP283+BV188+BV212</f>
        <v>5985.3185</v>
      </c>
      <c r="BW283" s="3" t="n">
        <f aca="false">BV283+BW188+BW212</f>
        <v>6555.87886884932</v>
      </c>
      <c r="BX283" s="3" t="n">
        <f aca="false">BW283+BX188+BX212</f>
        <v>7195.75073396871</v>
      </c>
      <c r="BY283" s="3" t="n">
        <f aca="false">BX283+BY188+BY212</f>
        <v>7908.51923128033</v>
      </c>
      <c r="BZ283" s="3" t="n">
        <f aca="false">BY283+BZ188+BZ212</f>
        <v>8696.52368810083</v>
      </c>
      <c r="CA283" s="16" t="s">
        <v>399</v>
      </c>
      <c r="CC283" s="5"/>
      <c r="CD283" s="5"/>
      <c r="CE283" s="5"/>
    </row>
    <row r="284" customFormat="false" ht="15" hidden="false" customHeight="false" outlineLevel="0" collapsed="false">
      <c r="B284" s="1" t="s">
        <v>400</v>
      </c>
      <c r="C284" s="2"/>
      <c r="D284" s="2"/>
      <c r="E284" s="2"/>
      <c r="F284" s="2"/>
      <c r="G284" s="2"/>
      <c r="H284" s="23" t="n">
        <v>-492</v>
      </c>
      <c r="I284" s="2"/>
      <c r="J284" s="2"/>
      <c r="K284" s="2"/>
      <c r="L284" s="2"/>
      <c r="M284" s="2"/>
      <c r="N284" s="23" t="n">
        <v>-684</v>
      </c>
      <c r="O284" s="2"/>
      <c r="P284" s="2"/>
      <c r="Q284" s="2"/>
      <c r="R284" s="2"/>
      <c r="S284" s="2"/>
      <c r="T284" s="23" t="n">
        <v>-972</v>
      </c>
      <c r="U284" s="2"/>
      <c r="V284" s="2"/>
      <c r="W284" s="2"/>
      <c r="X284" s="2"/>
      <c r="Y284" s="2"/>
      <c r="Z284" s="23" t="n">
        <v>-1760</v>
      </c>
      <c r="AA284" s="2"/>
      <c r="AB284" s="2"/>
      <c r="AC284" s="2"/>
      <c r="AD284" s="2"/>
      <c r="AE284" s="2"/>
      <c r="AF284" s="23" t="n">
        <v>-1974</v>
      </c>
      <c r="AG284" s="2"/>
      <c r="AH284" s="2"/>
      <c r="AI284" s="2"/>
      <c r="AJ284" s="2"/>
      <c r="AK284" s="2"/>
      <c r="AL284" s="23" t="n">
        <v>-2058</v>
      </c>
      <c r="AM284" s="2"/>
      <c r="AN284" s="2"/>
      <c r="AO284" s="2"/>
      <c r="AP284" s="2"/>
      <c r="AQ284" s="2"/>
      <c r="AR284" s="23" t="n">
        <v>-2159</v>
      </c>
      <c r="AS284" s="2"/>
      <c r="AT284" s="2"/>
      <c r="AU284" s="2"/>
      <c r="AV284" s="2"/>
      <c r="AW284" s="2"/>
      <c r="AX284" s="23" t="n">
        <v>-2211</v>
      </c>
      <c r="AY284" s="2"/>
      <c r="AZ284" s="2"/>
      <c r="BA284" s="2"/>
      <c r="BB284" s="2"/>
      <c r="BC284" s="2"/>
      <c r="BD284" s="23" t="n">
        <v>-2286</v>
      </c>
      <c r="BE284" s="2"/>
      <c r="BF284" s="2"/>
      <c r="BG284" s="2"/>
      <c r="BH284" s="2"/>
      <c r="BI284" s="2"/>
      <c r="BJ284" s="23" t="n">
        <v>-2449</v>
      </c>
      <c r="BK284" s="2"/>
      <c r="BL284" s="2"/>
      <c r="BM284" s="2"/>
      <c r="BN284" s="2"/>
      <c r="BO284" s="2"/>
      <c r="BP284" s="23" t="n">
        <v>-2449</v>
      </c>
      <c r="BQ284" s="2"/>
      <c r="BR284" s="2"/>
      <c r="BS284" s="23" t="n">
        <v>-2449</v>
      </c>
      <c r="BT284" s="3"/>
      <c r="BU284" s="3"/>
      <c r="BV284" s="3" t="n">
        <f aca="false">BP284+BV213</f>
        <v>-2449</v>
      </c>
      <c r="BW284" s="3" t="n">
        <f aca="false">BV284+BW213</f>
        <v>-2649</v>
      </c>
      <c r="BX284" s="3" t="n">
        <f aca="false">BW284+BX213</f>
        <v>-2899</v>
      </c>
      <c r="BY284" s="3" t="n">
        <f aca="false">BX284+BY213</f>
        <v>-3199</v>
      </c>
      <c r="BZ284" s="3" t="n">
        <f aca="false">BY284+BZ213</f>
        <v>-3549</v>
      </c>
      <c r="CA284" s="16"/>
      <c r="CC284" s="5"/>
      <c r="CD284" s="5"/>
      <c r="CE284" s="5"/>
    </row>
    <row r="285" customFormat="false" ht="15" hidden="false" customHeight="false" outlineLevel="0" collapsed="false">
      <c r="B285" s="1" t="s">
        <v>401</v>
      </c>
      <c r="C285" s="2"/>
      <c r="D285" s="2"/>
      <c r="E285" s="2"/>
      <c r="F285" s="2"/>
      <c r="G285" s="2"/>
      <c r="H285" s="23" t="n">
        <v>-845</v>
      </c>
      <c r="I285" s="2"/>
      <c r="J285" s="2"/>
      <c r="K285" s="2"/>
      <c r="L285" s="2"/>
      <c r="M285" s="2"/>
      <c r="N285" s="23" t="n">
        <v>-951</v>
      </c>
      <c r="O285" s="2"/>
      <c r="P285" s="2"/>
      <c r="Q285" s="2"/>
      <c r="R285" s="2"/>
      <c r="S285" s="2"/>
      <c r="T285" s="23" t="n">
        <v>-900</v>
      </c>
      <c r="U285" s="2"/>
      <c r="V285" s="2"/>
      <c r="W285" s="2"/>
      <c r="X285" s="2"/>
      <c r="Y285" s="2"/>
      <c r="Z285" s="23" t="n">
        <v>-1288</v>
      </c>
      <c r="AA285" s="2"/>
      <c r="AB285" s="2"/>
      <c r="AC285" s="2"/>
      <c r="AD285" s="2"/>
      <c r="AE285" s="2"/>
      <c r="AF285" s="23" t="n">
        <v>-1409</v>
      </c>
      <c r="AG285" s="2"/>
      <c r="AH285" s="2"/>
      <c r="AI285" s="2"/>
      <c r="AJ285" s="2"/>
      <c r="AK285" s="2"/>
      <c r="AL285" s="23" t="n">
        <v>-1547</v>
      </c>
      <c r="AM285" s="2"/>
      <c r="AN285" s="2"/>
      <c r="AO285" s="2"/>
      <c r="AP285" s="2"/>
      <c r="AQ285" s="2"/>
      <c r="AR285" s="23" t="n">
        <v>-923</v>
      </c>
      <c r="AS285" s="2"/>
      <c r="AT285" s="2"/>
      <c r="AU285" s="2"/>
      <c r="AV285" s="2"/>
      <c r="AW285" s="2"/>
      <c r="AX285" s="23" t="n">
        <v>-599</v>
      </c>
      <c r="AY285" s="2"/>
      <c r="AZ285" s="2"/>
      <c r="BA285" s="2"/>
      <c r="BB285" s="2"/>
      <c r="BC285" s="2"/>
      <c r="BD285" s="23" t="n">
        <v>-422</v>
      </c>
      <c r="BE285" s="2"/>
      <c r="BF285" s="2"/>
      <c r="BG285" s="2"/>
      <c r="BH285" s="2"/>
      <c r="BI285" s="2"/>
      <c r="BJ285" s="23" t="n">
        <v>-28</v>
      </c>
      <c r="BK285" s="2"/>
      <c r="BL285" s="2"/>
      <c r="BM285" s="2"/>
      <c r="BN285" s="2"/>
      <c r="BO285" s="2"/>
      <c r="BP285" s="23" t="n">
        <v>-53</v>
      </c>
      <c r="BQ285" s="2"/>
      <c r="BR285" s="2"/>
      <c r="BS285" s="23" t="n">
        <v>-50</v>
      </c>
      <c r="BT285" s="3"/>
      <c r="BU285" s="3"/>
      <c r="BV285" s="3" t="n">
        <f aca="false">BP285</f>
        <v>-53</v>
      </c>
      <c r="BW285" s="3" t="n">
        <f aca="false">BV285</f>
        <v>-53</v>
      </c>
      <c r="BX285" s="3" t="n">
        <f aca="false">BW285</f>
        <v>-53</v>
      </c>
      <c r="BY285" s="3" t="n">
        <f aca="false">BX285</f>
        <v>-53</v>
      </c>
      <c r="BZ285" s="3" t="n">
        <f aca="false">BY285</f>
        <v>-53</v>
      </c>
      <c r="CA285" s="16"/>
      <c r="CC285" s="5"/>
      <c r="CD285" s="5"/>
      <c r="CE285" s="5"/>
    </row>
    <row r="286" customFormat="false" ht="15" hidden="false" customHeight="false" outlineLevel="0" collapsed="false">
      <c r="B286" s="26" t="s">
        <v>402</v>
      </c>
      <c r="C286" s="28"/>
      <c r="D286" s="28"/>
      <c r="E286" s="28"/>
      <c r="F286" s="28"/>
      <c r="G286" s="28"/>
      <c r="H286" s="28" t="n">
        <f aca="false">SUM(H281:H285)</f>
        <v>1490</v>
      </c>
      <c r="I286" s="28"/>
      <c r="J286" s="28"/>
      <c r="K286" s="28"/>
      <c r="L286" s="28"/>
      <c r="M286" s="28"/>
      <c r="N286" s="28" t="n">
        <f aca="false">SUM(N281:N285)</f>
        <v>1653</v>
      </c>
      <c r="O286" s="28"/>
      <c r="P286" s="28"/>
      <c r="Q286" s="28"/>
      <c r="R286" s="28"/>
      <c r="S286" s="28"/>
      <c r="T286" s="28" t="n">
        <f aca="false">SUM(T281:T285)</f>
        <v>1758</v>
      </c>
      <c r="U286" s="28"/>
      <c r="V286" s="28"/>
      <c r="W286" s="28"/>
      <c r="X286" s="28"/>
      <c r="Y286" s="28"/>
      <c r="Z286" s="28" t="n">
        <f aca="false">SUM(Z281:Z285)</f>
        <v>1516</v>
      </c>
      <c r="AA286" s="28"/>
      <c r="AB286" s="28"/>
      <c r="AC286" s="28"/>
      <c r="AD286" s="28"/>
      <c r="AE286" s="28"/>
      <c r="AF286" s="28" t="n">
        <f aca="false">SUM(AF281:AF285)</f>
        <v>1588</v>
      </c>
      <c r="AG286" s="28"/>
      <c r="AH286" s="28"/>
      <c r="AI286" s="28"/>
      <c r="AJ286" s="28"/>
      <c r="AK286" s="28"/>
      <c r="AL286" s="28" t="n">
        <f aca="false">SUM(AL281:AL285)</f>
        <v>1901</v>
      </c>
      <c r="AM286" s="28"/>
      <c r="AN286" s="28"/>
      <c r="AO286" s="28"/>
      <c r="AP286" s="28"/>
      <c r="AQ286" s="28"/>
      <c r="AR286" s="28" t="n">
        <f aca="false">SUM(AR281:AR285)</f>
        <v>2808</v>
      </c>
      <c r="AS286" s="28"/>
      <c r="AT286" s="28"/>
      <c r="AU286" s="28"/>
      <c r="AV286" s="28"/>
      <c r="AW286" s="28"/>
      <c r="AX286" s="28" t="n">
        <f aca="false">SUM(AX281:AX285)</f>
        <v>3489</v>
      </c>
      <c r="AY286" s="28"/>
      <c r="AZ286" s="28"/>
      <c r="BA286" s="28"/>
      <c r="BB286" s="28"/>
      <c r="BC286" s="28"/>
      <c r="BD286" s="28" t="n">
        <f aca="false">SUM(BD281:BD285)</f>
        <v>4093</v>
      </c>
      <c r="BE286" s="28"/>
      <c r="BF286" s="28"/>
      <c r="BG286" s="28"/>
      <c r="BH286" s="28"/>
      <c r="BI286" s="28"/>
      <c r="BJ286" s="28" t="n">
        <f aca="false">SUM(BJ281:BJ285)</f>
        <v>4666</v>
      </c>
      <c r="BK286" s="28"/>
      <c r="BL286" s="28"/>
      <c r="BM286" s="28"/>
      <c r="BN286" s="28"/>
      <c r="BO286" s="28"/>
      <c r="BP286" s="28" t="n">
        <f aca="false">SUM(BP281:BP285)</f>
        <v>5073</v>
      </c>
      <c r="BQ286" s="28"/>
      <c r="BR286" s="28"/>
      <c r="BS286" s="28" t="n">
        <f aca="false">SUM(BS281:BS285)</f>
        <v>5312</v>
      </c>
      <c r="BT286" s="29"/>
      <c r="BU286" s="29"/>
      <c r="BV286" s="29" t="n">
        <f aca="false">SUM(BV281:BV285)</f>
        <v>5586.3185</v>
      </c>
      <c r="BW286" s="29" t="n">
        <f aca="false">SUM(BW281:BW285)</f>
        <v>5996.87886884932</v>
      </c>
      <c r="BX286" s="29" t="n">
        <f aca="false">SUM(BX281:BX285)</f>
        <v>6428.75073396871</v>
      </c>
      <c r="BY286" s="29" t="n">
        <f aca="false">SUM(BY281:BY285)</f>
        <v>6885.51923128033</v>
      </c>
      <c r="BZ286" s="29" t="n">
        <f aca="false">SUM(BZ281:BZ285)</f>
        <v>7369.52368810083</v>
      </c>
      <c r="CA286" s="16"/>
      <c r="CC286" s="5"/>
      <c r="CD286" s="5"/>
      <c r="CE286" s="5"/>
    </row>
    <row r="287" customFormat="false" ht="15" hidden="false" customHeight="false" outlineLevel="0" collapsed="false">
      <c r="B287" s="32" t="s">
        <v>403</v>
      </c>
      <c r="C287" s="28"/>
      <c r="D287" s="28"/>
      <c r="E287" s="28"/>
      <c r="F287" s="28"/>
      <c r="G287" s="28"/>
      <c r="H287" s="34" t="n">
        <f aca="false">H279+H286</f>
        <v>6024</v>
      </c>
      <c r="I287" s="28"/>
      <c r="J287" s="28"/>
      <c r="K287" s="28"/>
      <c r="L287" s="28"/>
      <c r="M287" s="28"/>
      <c r="N287" s="34" t="n">
        <f aca="false">N279+N286</f>
        <v>6352</v>
      </c>
      <c r="O287" s="28"/>
      <c r="P287" s="28"/>
      <c r="Q287" s="28"/>
      <c r="R287" s="28"/>
      <c r="S287" s="28"/>
      <c r="T287" s="34" t="n">
        <f aca="false">T279+T286</f>
        <v>6374</v>
      </c>
      <c r="U287" s="28"/>
      <c r="V287" s="28"/>
      <c r="W287" s="28"/>
      <c r="X287" s="28"/>
      <c r="Y287" s="28"/>
      <c r="Z287" s="34" t="n">
        <f aca="false">Z279+Z286</f>
        <v>6383</v>
      </c>
      <c r="AA287" s="28"/>
      <c r="AB287" s="28"/>
      <c r="AC287" s="28"/>
      <c r="AD287" s="28"/>
      <c r="AE287" s="28"/>
      <c r="AF287" s="34" t="n">
        <f aca="false">AF279+AF286</f>
        <v>7031</v>
      </c>
      <c r="AG287" s="28"/>
      <c r="AH287" s="28"/>
      <c r="AI287" s="28"/>
      <c r="AJ287" s="28"/>
      <c r="AK287" s="28"/>
      <c r="AL287" s="34" t="n">
        <f aca="false">AL279+AL286</f>
        <v>8157</v>
      </c>
      <c r="AM287" s="28"/>
      <c r="AN287" s="28"/>
      <c r="AO287" s="28"/>
      <c r="AP287" s="28"/>
      <c r="AQ287" s="28"/>
      <c r="AR287" s="34" t="n">
        <f aca="false">AR279+AR286</f>
        <v>10627</v>
      </c>
      <c r="AS287" s="28"/>
      <c r="AT287" s="28"/>
      <c r="AU287" s="28"/>
      <c r="AV287" s="28"/>
      <c r="AW287" s="28"/>
      <c r="AX287" s="34" t="n">
        <f aca="false">AX279+AX286</f>
        <v>10857</v>
      </c>
      <c r="AY287" s="28"/>
      <c r="AZ287" s="28"/>
      <c r="BA287" s="28"/>
      <c r="BB287" s="28"/>
      <c r="BC287" s="28"/>
      <c r="BD287" s="34" t="n">
        <f aca="false">BD279+BD286</f>
        <v>11215</v>
      </c>
      <c r="BE287" s="28"/>
      <c r="BF287" s="28"/>
      <c r="BG287" s="28"/>
      <c r="BH287" s="28"/>
      <c r="BI287" s="28"/>
      <c r="BJ287" s="34" t="n">
        <f aca="false">BJ279+BJ286</f>
        <v>12141</v>
      </c>
      <c r="BK287" s="28"/>
      <c r="BL287" s="28"/>
      <c r="BM287" s="28"/>
      <c r="BN287" s="28"/>
      <c r="BO287" s="28"/>
      <c r="BP287" s="34" t="n">
        <f aca="false">BP279+BP286</f>
        <v>12749</v>
      </c>
      <c r="BQ287" s="28"/>
      <c r="BR287" s="28"/>
      <c r="BS287" s="28" t="n">
        <f aca="false">BS279+BS286</f>
        <v>12682</v>
      </c>
      <c r="BT287" s="34"/>
      <c r="BU287" s="34"/>
      <c r="BV287" s="34" t="n">
        <f aca="false">BV279+BV286</f>
        <v>13317.3777635489</v>
      </c>
      <c r="BW287" s="34" t="n">
        <f aca="false">BW279+BW286</f>
        <v>13837.8811798173</v>
      </c>
      <c r="BX287" s="34" t="n">
        <f aca="false">BX279+BX286</f>
        <v>14437.3822558392</v>
      </c>
      <c r="BY287" s="34" t="n">
        <f aca="false">BY279+BY286</f>
        <v>15051.6678182623</v>
      </c>
      <c r="BZ287" s="34" t="n">
        <f aca="false">BZ279+BZ286</f>
        <v>15689.6573299341</v>
      </c>
      <c r="CA287" s="16"/>
      <c r="CC287" s="5"/>
      <c r="CD287" s="5"/>
      <c r="CE287" s="5"/>
    </row>
    <row r="288" customFormat="false" ht="15" hidden="false" customHeight="false" outlineLevel="0" collapsed="false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3"/>
      <c r="BU288" s="3"/>
      <c r="BV288" s="3"/>
      <c r="BW288" s="3"/>
      <c r="BX288" s="3"/>
      <c r="BY288" s="3"/>
      <c r="BZ288" s="3"/>
      <c r="CA288" s="16"/>
      <c r="CC288" s="5"/>
      <c r="CD288" s="5"/>
      <c r="CE288" s="5"/>
    </row>
    <row r="289" customFormat="false" ht="15" hidden="false" customHeight="false" outlineLevel="0" collapsed="false">
      <c r="B289" s="55" t="s">
        <v>404</v>
      </c>
      <c r="C289" s="2"/>
      <c r="D289" s="2"/>
      <c r="E289" s="2"/>
      <c r="F289" s="2"/>
      <c r="G289" s="2"/>
      <c r="H289" s="2" t="n">
        <f aca="false">ROUND(H260-H287,3)</f>
        <v>0</v>
      </c>
      <c r="I289" s="2"/>
      <c r="J289" s="2"/>
      <c r="K289" s="2"/>
      <c r="L289" s="2"/>
      <c r="M289" s="2"/>
      <c r="N289" s="2" t="n">
        <f aca="false">ROUND(N260-N287,3)</f>
        <v>0</v>
      </c>
      <c r="O289" s="2"/>
      <c r="P289" s="2"/>
      <c r="Q289" s="2"/>
      <c r="R289" s="2"/>
      <c r="S289" s="2"/>
      <c r="T289" s="2" t="n">
        <f aca="false">ROUND(T260-T287,3)</f>
        <v>0</v>
      </c>
      <c r="U289" s="2"/>
      <c r="V289" s="2"/>
      <c r="W289" s="2"/>
      <c r="X289" s="2"/>
      <c r="Y289" s="2"/>
      <c r="Z289" s="2" t="n">
        <f aca="false">ROUND(Z260-Z287,3)</f>
        <v>0</v>
      </c>
      <c r="AA289" s="2"/>
      <c r="AB289" s="2"/>
      <c r="AC289" s="2"/>
      <c r="AD289" s="2"/>
      <c r="AE289" s="2"/>
      <c r="AF289" s="2" t="n">
        <f aca="false">ROUND(AF260-AF287,3)</f>
        <v>0</v>
      </c>
      <c r="AG289" s="2"/>
      <c r="AH289" s="2"/>
      <c r="AI289" s="2"/>
      <c r="AJ289" s="2"/>
      <c r="AK289" s="2"/>
      <c r="AL289" s="2" t="n">
        <f aca="false">ROUND(AL260-AL287,3)</f>
        <v>0</v>
      </c>
      <c r="AM289" s="2"/>
      <c r="AN289" s="2"/>
      <c r="AO289" s="2"/>
      <c r="AP289" s="2"/>
      <c r="AQ289" s="2"/>
      <c r="AR289" s="2" t="n">
        <f aca="false">ROUND(AR260-AR287,3)</f>
        <v>0</v>
      </c>
      <c r="AS289" s="2"/>
      <c r="AT289" s="2"/>
      <c r="AU289" s="2"/>
      <c r="AV289" s="2"/>
      <c r="AW289" s="2"/>
      <c r="AX289" s="2" t="n">
        <f aca="false">ROUND(AX260-AX287,3)</f>
        <v>0</v>
      </c>
      <c r="AY289" s="2"/>
      <c r="AZ289" s="2"/>
      <c r="BA289" s="2"/>
      <c r="BB289" s="2"/>
      <c r="BC289" s="2"/>
      <c r="BD289" s="2" t="n">
        <f aca="false">ROUND(BD260-BD287,3)</f>
        <v>0</v>
      </c>
      <c r="BE289" s="2"/>
      <c r="BF289" s="2"/>
      <c r="BG289" s="2"/>
      <c r="BH289" s="2"/>
      <c r="BI289" s="2"/>
      <c r="BJ289" s="2" t="n">
        <f aca="false">ROUND(BJ260-BJ287,3)</f>
        <v>0</v>
      </c>
      <c r="BK289" s="2"/>
      <c r="BL289" s="2"/>
      <c r="BM289" s="2"/>
      <c r="BN289" s="2"/>
      <c r="BO289" s="2"/>
      <c r="BP289" s="2" t="n">
        <f aca="false">ROUND(BP260-BP287,3)</f>
        <v>0</v>
      </c>
      <c r="BQ289" s="2"/>
      <c r="BR289" s="2"/>
      <c r="BS289" s="2" t="n">
        <f aca="false">ROUND(BS260-BS287,3)</f>
        <v>0</v>
      </c>
      <c r="BT289" s="3"/>
      <c r="BU289" s="3"/>
      <c r="BV289" s="3" t="n">
        <f aca="false">ROUND(BV260-BV287,3)</f>
        <v>0</v>
      </c>
      <c r="BW289" s="3" t="n">
        <f aca="false">ROUND(BW260-BW287,3)</f>
        <v>0</v>
      </c>
      <c r="BX289" s="3" t="n">
        <f aca="false">ROUND(BX260-BX287,3)</f>
        <v>0</v>
      </c>
      <c r="BY289" s="3" t="n">
        <f aca="false">ROUND(BY260-BY287,3)</f>
        <v>0</v>
      </c>
      <c r="BZ289" s="3" t="n">
        <f aca="false">ROUND(BZ260-BZ287,3)</f>
        <v>0</v>
      </c>
      <c r="CA289" s="16"/>
      <c r="CC289" s="5"/>
      <c r="CD289" s="5"/>
      <c r="CE289" s="5"/>
    </row>
    <row r="290" customFormat="false" ht="15" hidden="false" customHeight="false" outlineLevel="0" collapsed="false">
      <c r="B290" s="56" t="s">
        <v>405</v>
      </c>
      <c r="C290" s="83"/>
      <c r="D290" s="83"/>
      <c r="E290" s="83"/>
      <c r="F290" s="83"/>
      <c r="G290" s="83"/>
      <c r="H290" s="84" t="n">
        <v>46.9</v>
      </c>
      <c r="I290" s="83"/>
      <c r="J290" s="83"/>
      <c r="K290" s="83"/>
      <c r="L290" s="83"/>
      <c r="M290" s="83"/>
      <c r="N290" s="84" t="n">
        <v>46.2</v>
      </c>
      <c r="O290" s="83"/>
      <c r="P290" s="83"/>
      <c r="Q290" s="83"/>
      <c r="R290" s="83"/>
      <c r="S290" s="83"/>
      <c r="T290" s="84" t="n">
        <v>45.1</v>
      </c>
      <c r="U290" s="83"/>
      <c r="V290" s="83"/>
      <c r="W290" s="83"/>
      <c r="X290" s="83"/>
      <c r="Y290" s="83"/>
      <c r="Z290" s="84" t="n">
        <v>41.9</v>
      </c>
      <c r="AA290" s="83"/>
      <c r="AB290" s="83"/>
      <c r="AC290" s="83"/>
      <c r="AD290" s="83"/>
      <c r="AE290" s="83"/>
      <c r="AF290" s="84" t="n">
        <v>40.8</v>
      </c>
      <c r="AG290" s="83"/>
      <c r="AH290" s="83"/>
      <c r="AI290" s="83"/>
      <c r="AJ290" s="83"/>
      <c r="AK290" s="83"/>
      <c r="AL290" s="84" t="n">
        <v>40.5</v>
      </c>
      <c r="AM290" s="83"/>
      <c r="AN290" s="83"/>
      <c r="AO290" s="83"/>
      <c r="AP290" s="83"/>
      <c r="AQ290" s="83"/>
      <c r="AR290" s="84" t="n">
        <v>40</v>
      </c>
      <c r="AS290" s="83"/>
      <c r="AT290" s="83"/>
      <c r="AU290" s="83"/>
      <c r="AV290" s="83"/>
      <c r="AW290" s="83"/>
      <c r="AX290" s="84" t="n">
        <v>39.8635</v>
      </c>
      <c r="AY290" s="83"/>
      <c r="AZ290" s="83"/>
      <c r="BA290" s="83"/>
      <c r="BB290" s="83"/>
      <c r="BC290" s="83"/>
      <c r="BD290" s="84" t="n">
        <v>39.6189</v>
      </c>
      <c r="BE290" s="83"/>
      <c r="BF290" s="83"/>
      <c r="BG290" s="83"/>
      <c r="BH290" s="83"/>
      <c r="BI290" s="83"/>
      <c r="BJ290" s="84" t="n">
        <v>39.1294</v>
      </c>
      <c r="BK290" s="83"/>
      <c r="BL290" s="83"/>
      <c r="BM290" s="83"/>
      <c r="BN290" s="83"/>
      <c r="BO290" s="83"/>
      <c r="BP290" s="84" t="n">
        <v>39.2415</v>
      </c>
      <c r="BQ290" s="83"/>
      <c r="BR290" s="83"/>
      <c r="BS290" s="84" t="n">
        <v>39.4042</v>
      </c>
      <c r="BT290" s="85"/>
      <c r="BU290" s="85"/>
      <c r="BV290" s="86" t="n">
        <f aca="false">BV237</f>
        <v>39.65</v>
      </c>
      <c r="BW290" s="86" t="n">
        <f aca="false">BW237</f>
        <v>39.1203058623619</v>
      </c>
      <c r="BX290" s="86" t="n">
        <f aca="false">BX237</f>
        <v>38.4762706548408</v>
      </c>
      <c r="BY290" s="86" t="n">
        <f aca="false">BY237</f>
        <v>37.7357638800508</v>
      </c>
      <c r="BZ290" s="86" t="n">
        <f aca="false">BZ237</f>
        <v>36.9148063374449</v>
      </c>
      <c r="CA290" s="16"/>
      <c r="CC290" s="5"/>
      <c r="CD290" s="5"/>
      <c r="CE290" s="5"/>
    </row>
    <row r="291" customFormat="false" ht="15" hidden="false" customHeight="false" outlineLevel="0" collapsed="false">
      <c r="B291" s="15" t="s">
        <v>406</v>
      </c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 t="s">
        <v>407</v>
      </c>
      <c r="CC291" s="15"/>
      <c r="CD291" s="15"/>
      <c r="CE291" s="15"/>
    </row>
    <row r="292" customFormat="false" ht="15" hidden="false" customHeight="false" outlineLevel="0" collapsed="false">
      <c r="B292" s="77" t="s">
        <v>408</v>
      </c>
      <c r="C292" s="87"/>
      <c r="D292" s="87"/>
      <c r="E292" s="87"/>
      <c r="F292" s="87"/>
      <c r="G292" s="87"/>
      <c r="H292" s="87" t="n">
        <f aca="false">IFERROR(H246/H119*365,"n/a")</f>
        <v>55.8418803418804</v>
      </c>
      <c r="I292" s="87"/>
      <c r="J292" s="87"/>
      <c r="K292" s="87"/>
      <c r="L292" s="87"/>
      <c r="M292" s="87"/>
      <c r="N292" s="87" t="n">
        <f aca="false">IFERROR(N246/N119*365,"n/a")</f>
        <v>60.1103565365025</v>
      </c>
      <c r="O292" s="87"/>
      <c r="P292" s="87"/>
      <c r="Q292" s="87"/>
      <c r="R292" s="87"/>
      <c r="S292" s="87"/>
      <c r="T292" s="87" t="n">
        <f aca="false">IFERROR(T246/T119*365,"n/a")</f>
        <v>21.0435425346056</v>
      </c>
      <c r="U292" s="87"/>
      <c r="V292" s="87"/>
      <c r="W292" s="87"/>
      <c r="X292" s="87"/>
      <c r="Y292" s="87"/>
      <c r="Z292" s="87" t="n">
        <f aca="false">IFERROR(Z246/Z119*365,"n/a")</f>
        <v>11.25</v>
      </c>
      <c r="AA292" s="87"/>
      <c r="AB292" s="87"/>
      <c r="AC292" s="87"/>
      <c r="AD292" s="87"/>
      <c r="AE292" s="87"/>
      <c r="AF292" s="87" t="n">
        <f aca="false">IFERROR(AF246/AF119*365,"n/a")</f>
        <v>13.0430385436566</v>
      </c>
      <c r="AG292" s="87"/>
      <c r="AH292" s="87"/>
      <c r="AI292" s="87"/>
      <c r="AJ292" s="87"/>
      <c r="AK292" s="87"/>
      <c r="AL292" s="87" t="n">
        <f aca="false">IFERROR(AL246/AL119*365,"n/a")</f>
        <v>15.4796496100844</v>
      </c>
      <c r="AM292" s="87"/>
      <c r="AN292" s="87"/>
      <c r="AO292" s="87"/>
      <c r="AP292" s="87"/>
      <c r="AQ292" s="87"/>
      <c r="AR292" s="87" t="n">
        <f aca="false">IFERROR(AR246/AR119*365,"n/a")</f>
        <v>16.5943931121378</v>
      </c>
      <c r="AS292" s="87"/>
      <c r="AT292" s="87"/>
      <c r="AU292" s="87"/>
      <c r="AV292" s="87"/>
      <c r="AW292" s="87"/>
      <c r="AX292" s="87" t="n">
        <f aca="false">IFERROR(AX246/AX119*365,"n/a")</f>
        <v>21.7440989134507</v>
      </c>
      <c r="AY292" s="87"/>
      <c r="AZ292" s="87"/>
      <c r="BA292" s="87"/>
      <c r="BB292" s="87"/>
      <c r="BC292" s="87"/>
      <c r="BD292" s="87" t="n">
        <f aca="false">IFERROR(BD246/BD119*365,"n/a")</f>
        <v>14.6905011349747</v>
      </c>
      <c r="BE292" s="87"/>
      <c r="BF292" s="87"/>
      <c r="BG292" s="87"/>
      <c r="BH292" s="87"/>
      <c r="BI292" s="87"/>
      <c r="BJ292" s="87" t="n">
        <f aca="false">IFERROR(BJ246/BJ119*365,"n/a")</f>
        <v>6.70827915041179</v>
      </c>
      <c r="BK292" s="87"/>
      <c r="BL292" s="87"/>
      <c r="BM292" s="87"/>
      <c r="BN292" s="87"/>
      <c r="BO292" s="87"/>
      <c r="BP292" s="87" t="n">
        <f aca="false">IFERROR(BP246/BP119*365,"n/a")</f>
        <v>9.91148670297981</v>
      </c>
      <c r="BQ292" s="87"/>
      <c r="BR292" s="87"/>
      <c r="BS292" s="87"/>
      <c r="BT292" s="88"/>
      <c r="BU292" s="88"/>
      <c r="BV292" s="89" t="n">
        <v>11</v>
      </c>
      <c r="BW292" s="89" t="n">
        <v>11</v>
      </c>
      <c r="BX292" s="89" t="n">
        <v>11</v>
      </c>
      <c r="BY292" s="89" t="n">
        <v>11</v>
      </c>
      <c r="BZ292" s="89" t="n">
        <v>11</v>
      </c>
      <c r="CA292" s="16" t="s">
        <v>409</v>
      </c>
      <c r="CC292" s="5"/>
      <c r="CD292" s="5"/>
      <c r="CE292" s="5"/>
    </row>
    <row r="293" customFormat="false" ht="15" hidden="false" customHeight="false" outlineLevel="0" collapsed="false">
      <c r="B293" s="77" t="s">
        <v>410</v>
      </c>
      <c r="C293" s="87"/>
      <c r="D293" s="87"/>
      <c r="E293" s="87"/>
      <c r="F293" s="87"/>
      <c r="G293" s="87"/>
      <c r="H293" s="87" t="n">
        <f aca="false">IFERROR(H247/H119*365,"n/a")</f>
        <v>0</v>
      </c>
      <c r="I293" s="87"/>
      <c r="J293" s="87"/>
      <c r="K293" s="87"/>
      <c r="L293" s="87"/>
      <c r="M293" s="87"/>
      <c r="N293" s="87" t="n">
        <f aca="false">IFERROR(N247/N119*365,"n/a")</f>
        <v>0</v>
      </c>
      <c r="O293" s="87"/>
      <c r="P293" s="87"/>
      <c r="Q293" s="87"/>
      <c r="R293" s="87"/>
      <c r="S293" s="87"/>
      <c r="T293" s="87" t="n">
        <f aca="false">IFERROR(T247/T119*365,"n/a")</f>
        <v>37.2308829458406</v>
      </c>
      <c r="U293" s="87"/>
      <c r="V293" s="87"/>
      <c r="W293" s="87"/>
      <c r="X293" s="87"/>
      <c r="Y293" s="87"/>
      <c r="Z293" s="87" t="n">
        <f aca="false">IFERROR(Z247/Z119*365,"n/a")</f>
        <v>44.7767857142857</v>
      </c>
      <c r="AA293" s="87"/>
      <c r="AB293" s="87"/>
      <c r="AC293" s="87"/>
      <c r="AD293" s="87"/>
      <c r="AE293" s="87"/>
      <c r="AF293" s="87" t="n">
        <f aca="false">IFERROR(AF247/AF119*365,"n/a")</f>
        <v>40.5646701876615</v>
      </c>
      <c r="AG293" s="87"/>
      <c r="AH293" s="87"/>
      <c r="AI293" s="87"/>
      <c r="AJ293" s="87"/>
      <c r="AK293" s="87"/>
      <c r="AL293" s="87" t="n">
        <f aca="false">IFERROR(AL247/AL119*365,"n/a")</f>
        <v>40.902147206495</v>
      </c>
      <c r="AM293" s="87"/>
      <c r="AN293" s="87"/>
      <c r="AO293" s="87"/>
      <c r="AP293" s="87"/>
      <c r="AQ293" s="87"/>
      <c r="AR293" s="87" t="n">
        <f aca="false">IFERROR(AR247/AR119*365,"n/a")</f>
        <v>50.2047459050819</v>
      </c>
      <c r="AS293" s="87"/>
      <c r="AT293" s="87"/>
      <c r="AU293" s="87"/>
      <c r="AV293" s="87"/>
      <c r="AW293" s="87"/>
      <c r="AX293" s="87" t="n">
        <f aca="false">IFERROR(AX247/AX119*365,"n/a")</f>
        <v>42.394155114275</v>
      </c>
      <c r="AY293" s="87"/>
      <c r="AZ293" s="87"/>
      <c r="BA293" s="87"/>
      <c r="BB293" s="87"/>
      <c r="BC293" s="87"/>
      <c r="BD293" s="87" t="n">
        <f aca="false">IFERROR(BD247/BD119*365,"n/a")</f>
        <v>48.978959315523</v>
      </c>
      <c r="BE293" s="87"/>
      <c r="BF293" s="87"/>
      <c r="BG293" s="87"/>
      <c r="BH293" s="87"/>
      <c r="BI293" s="87"/>
      <c r="BJ293" s="87" t="n">
        <f aca="false">IFERROR(BJ247/BJ119*365,"n/a")</f>
        <v>53.2548764629389</v>
      </c>
      <c r="BK293" s="87"/>
      <c r="BL293" s="87"/>
      <c r="BM293" s="87"/>
      <c r="BN293" s="87"/>
      <c r="BO293" s="87"/>
      <c r="BP293" s="87" t="n">
        <f aca="false">IFERROR(BP247/BP119*365,"n/a")</f>
        <v>51.3993912207626</v>
      </c>
      <c r="BQ293" s="87"/>
      <c r="BR293" s="87"/>
      <c r="BS293" s="87"/>
      <c r="BT293" s="88"/>
      <c r="BU293" s="88"/>
      <c r="BV293" s="88" t="n">
        <f aca="false">IFERROR(BV247/BV119*365,"n/a")</f>
        <v>42.6170375842861</v>
      </c>
      <c r="BW293" s="88" t="n">
        <f aca="false">BV293</f>
        <v>42.6170375842861</v>
      </c>
      <c r="BX293" s="88" t="n">
        <f aca="false">BW293</f>
        <v>42.6170375842861</v>
      </c>
      <c r="BY293" s="88" t="n">
        <f aca="false">BX293</f>
        <v>42.6170375842861</v>
      </c>
      <c r="BZ293" s="88" t="n">
        <f aca="false">BY293</f>
        <v>42.6170375842861</v>
      </c>
      <c r="CA293" s="16" t="s">
        <v>411</v>
      </c>
      <c r="CC293" s="5"/>
      <c r="CD293" s="5"/>
      <c r="CE293" s="5"/>
    </row>
    <row r="294" customFormat="false" ht="15" hidden="false" customHeight="false" outlineLevel="0" collapsed="false">
      <c r="B294" s="77" t="s">
        <v>412</v>
      </c>
      <c r="C294" s="87"/>
      <c r="D294" s="87"/>
      <c r="E294" s="87"/>
      <c r="F294" s="87"/>
      <c r="G294" s="87"/>
      <c r="H294" s="87" t="n">
        <f aca="false">IFERROR(H248/(H120+H121)*365,"n/a")</f>
        <v>18.8553561718325</v>
      </c>
      <c r="I294" s="87"/>
      <c r="J294" s="87"/>
      <c r="K294" s="87"/>
      <c r="L294" s="87"/>
      <c r="M294" s="87"/>
      <c r="N294" s="87" t="n">
        <f aca="false">IFERROR(N248/(N120+N121)*365,"n/a")</f>
        <v>13.6679743223966</v>
      </c>
      <c r="O294" s="87"/>
      <c r="P294" s="87"/>
      <c r="Q294" s="87"/>
      <c r="R294" s="87"/>
      <c r="S294" s="87"/>
      <c r="T294" s="87" t="n">
        <f aca="false">IFERROR(T248/(T120+T121)*365,"n/a")</f>
        <v>11.4906244624118</v>
      </c>
      <c r="U294" s="87"/>
      <c r="V294" s="87"/>
      <c r="W294" s="87"/>
      <c r="X294" s="87"/>
      <c r="Y294" s="87"/>
      <c r="Z294" s="87" t="n">
        <f aca="false">IFERROR(Z248/(Z120+Z121)*365,"n/a")</f>
        <v>7.31714956930305</v>
      </c>
      <c r="AA294" s="87"/>
      <c r="AB294" s="87"/>
      <c r="AC294" s="87"/>
      <c r="AD294" s="87"/>
      <c r="AE294" s="87"/>
      <c r="AF294" s="87" t="n">
        <f aca="false">IFERROR(AF248/(AF120+AF121)*365,"n/a")</f>
        <v>6.73724212812161</v>
      </c>
      <c r="AG294" s="87"/>
      <c r="AH294" s="87"/>
      <c r="AI294" s="87"/>
      <c r="AJ294" s="87"/>
      <c r="AK294" s="87"/>
      <c r="AL294" s="87" t="n">
        <f aca="false">IFERROR(AL248/(AL120+AL121)*365,"n/a")</f>
        <v>6.50175529840073</v>
      </c>
      <c r="AM294" s="87"/>
      <c r="AN294" s="87"/>
      <c r="AO294" s="87"/>
      <c r="AP294" s="87"/>
      <c r="AQ294" s="87"/>
      <c r="AR294" s="87" t="n">
        <f aca="false">IFERROR(AR248/(AR120+AR121)*365,"n/a")</f>
        <v>7.20512506130456</v>
      </c>
      <c r="AS294" s="87"/>
      <c r="AT294" s="87"/>
      <c r="AU294" s="87"/>
      <c r="AV294" s="87"/>
      <c r="AW294" s="87"/>
      <c r="AX294" s="87" t="n">
        <f aca="false">IFERROR(AX248/(AX120+AX121)*365,"n/a")</f>
        <v>7.23202685145084</v>
      </c>
      <c r="AY294" s="87"/>
      <c r="AZ294" s="87"/>
      <c r="BA294" s="87"/>
      <c r="BB294" s="87"/>
      <c r="BC294" s="87"/>
      <c r="BD294" s="87" t="n">
        <f aca="false">IFERROR(BD248/(BD120+BD121)*365,"n/a")</f>
        <v>6.92190048939641</v>
      </c>
      <c r="BE294" s="87"/>
      <c r="BF294" s="87"/>
      <c r="BG294" s="87"/>
      <c r="BH294" s="87"/>
      <c r="BI294" s="87"/>
      <c r="BJ294" s="87" t="n">
        <f aca="false">IFERROR(BJ248/(BJ120+BJ121)*365,"n/a")</f>
        <v>7.52801189885969</v>
      </c>
      <c r="BK294" s="87"/>
      <c r="BL294" s="87"/>
      <c r="BM294" s="87"/>
      <c r="BN294" s="87"/>
      <c r="BO294" s="87"/>
      <c r="BP294" s="87" t="n">
        <f aca="false">IFERROR(BP248/(BP120+BP121)*365,"n/a")</f>
        <v>7.33415909716488</v>
      </c>
      <c r="BQ294" s="87"/>
      <c r="BR294" s="87"/>
      <c r="BS294" s="87"/>
      <c r="BT294" s="88"/>
      <c r="BU294" s="88"/>
      <c r="BV294" s="89" t="n">
        <v>7</v>
      </c>
      <c r="BW294" s="89" t="n">
        <v>7</v>
      </c>
      <c r="BX294" s="89" t="n">
        <v>7</v>
      </c>
      <c r="BY294" s="89" t="n">
        <v>7</v>
      </c>
      <c r="BZ294" s="89" t="n">
        <v>7</v>
      </c>
      <c r="CA294" s="16"/>
      <c r="CC294" s="5"/>
      <c r="CD294" s="5"/>
      <c r="CE294" s="5"/>
    </row>
    <row r="295" customFormat="false" ht="15" hidden="false" customHeight="false" outlineLevel="0" collapsed="false">
      <c r="B295" s="77" t="s">
        <v>413</v>
      </c>
      <c r="C295" s="87"/>
      <c r="D295" s="87"/>
      <c r="E295" s="87"/>
      <c r="F295" s="87"/>
      <c r="G295" s="87"/>
      <c r="H295" s="87" t="n">
        <f aca="false">IFERROR(H264/(H120+H121)*365,"n/a")</f>
        <v>20.9724487946348</v>
      </c>
      <c r="I295" s="87"/>
      <c r="J295" s="87"/>
      <c r="K295" s="87"/>
      <c r="L295" s="87"/>
      <c r="M295" s="87"/>
      <c r="N295" s="87" t="n">
        <f aca="false">IFERROR(N264/(N120+N121)*365,"n/a")</f>
        <v>20.5670470756063</v>
      </c>
      <c r="O295" s="87"/>
      <c r="P295" s="87"/>
      <c r="Q295" s="87"/>
      <c r="R295" s="87"/>
      <c r="S295" s="87"/>
      <c r="T295" s="87" t="n">
        <f aca="false">IFERROR(T264/(T120+T121)*365,"n/a")</f>
        <v>23.5463616033029</v>
      </c>
      <c r="U295" s="87"/>
      <c r="V295" s="87"/>
      <c r="W295" s="87"/>
      <c r="X295" s="87"/>
      <c r="Y295" s="87"/>
      <c r="Z295" s="87" t="n">
        <f aca="false">IFERROR(Z264/(Z120+Z121)*365,"n/a")</f>
        <v>32.1268598277212</v>
      </c>
      <c r="AA295" s="87"/>
      <c r="AB295" s="87"/>
      <c r="AC295" s="87"/>
      <c r="AD295" s="87"/>
      <c r="AE295" s="87"/>
      <c r="AF295" s="87" t="n">
        <f aca="false">IFERROR(AF264/(AF120+AF121)*365,"n/a")</f>
        <v>24.6206568946797</v>
      </c>
      <c r="AG295" s="87"/>
      <c r="AH295" s="87"/>
      <c r="AI295" s="87"/>
      <c r="AJ295" s="87"/>
      <c r="AK295" s="87"/>
      <c r="AL295" s="87" t="n">
        <f aca="false">IFERROR(AL264/(AL120+AL121)*365,"n/a")</f>
        <v>21.8307112209076</v>
      </c>
      <c r="AM295" s="87"/>
      <c r="AN295" s="87"/>
      <c r="AO295" s="87"/>
      <c r="AP295" s="87"/>
      <c r="AQ295" s="87"/>
      <c r="AR295" s="87" t="n">
        <f aca="false">IFERROR(AR264/(AR120+AR121)*365,"n/a")</f>
        <v>26.9856547327121</v>
      </c>
      <c r="AS295" s="87"/>
      <c r="AT295" s="87"/>
      <c r="AU295" s="87"/>
      <c r="AV295" s="87"/>
      <c r="AW295" s="87"/>
      <c r="AX295" s="87" t="n">
        <f aca="false">IFERROR(AX264/(AX120+AX121)*365,"n/a")</f>
        <v>25.3713728886964</v>
      </c>
      <c r="AY295" s="87"/>
      <c r="AZ295" s="87"/>
      <c r="BA295" s="87"/>
      <c r="BB295" s="87"/>
      <c r="BC295" s="87"/>
      <c r="BD295" s="87" t="n">
        <f aca="false">IFERROR(BD264/(BD120+BD121)*365,"n/a")</f>
        <v>20.6168433931485</v>
      </c>
      <c r="BE295" s="87"/>
      <c r="BF295" s="87"/>
      <c r="BG295" s="87"/>
      <c r="BH295" s="87"/>
      <c r="BI295" s="87"/>
      <c r="BJ295" s="87" t="n">
        <f aca="false">IFERROR(BJ264/(BJ120+BJ121)*365,"n/a")</f>
        <v>21.6430342092216</v>
      </c>
      <c r="BK295" s="87"/>
      <c r="BL295" s="87"/>
      <c r="BM295" s="87"/>
      <c r="BN295" s="87"/>
      <c r="BO295" s="87"/>
      <c r="BP295" s="87" t="n">
        <f aca="false">IFERROR(BP264/(BP120+BP121)*365,"n/a")</f>
        <v>18.6200568859528</v>
      </c>
      <c r="BQ295" s="87"/>
      <c r="BR295" s="87"/>
      <c r="BS295" s="87"/>
      <c r="BT295" s="88"/>
      <c r="BU295" s="88"/>
      <c r="BV295" s="89" t="n">
        <v>19</v>
      </c>
      <c r="BW295" s="89" t="n">
        <v>19</v>
      </c>
      <c r="BX295" s="89" t="n">
        <v>19</v>
      </c>
      <c r="BY295" s="89" t="n">
        <v>19</v>
      </c>
      <c r="BZ295" s="89" t="n">
        <v>19</v>
      </c>
      <c r="CA295" s="16" t="s">
        <v>414</v>
      </c>
      <c r="CC295" s="5"/>
      <c r="CD295" s="5"/>
      <c r="CE295" s="5"/>
    </row>
    <row r="296" customFormat="false" ht="15" hidden="false" customHeight="false" outlineLevel="0" collapsed="false">
      <c r="B296" s="77" t="s">
        <v>415</v>
      </c>
      <c r="C296" s="87"/>
      <c r="D296" s="87"/>
      <c r="E296" s="87"/>
      <c r="F296" s="87"/>
      <c r="G296" s="87"/>
      <c r="H296" s="87" t="n">
        <f aca="false">IFERROR(H268/H119*365,"n/a")</f>
        <v>6.49928774928775</v>
      </c>
      <c r="I296" s="87"/>
      <c r="J296" s="87"/>
      <c r="K296" s="87"/>
      <c r="L296" s="87"/>
      <c r="M296" s="87"/>
      <c r="N296" s="87" t="n">
        <f aca="false">IFERROR(N268/N119*365,"n/a")</f>
        <v>8.57243916242219</v>
      </c>
      <c r="O296" s="87"/>
      <c r="P296" s="87"/>
      <c r="Q296" s="87"/>
      <c r="R296" s="87"/>
      <c r="S296" s="87"/>
      <c r="T296" s="87" t="n">
        <f aca="false">IFERROR(T268/T119*365,"n/a")</f>
        <v>7.16167181830399</v>
      </c>
      <c r="U296" s="87"/>
      <c r="V296" s="87"/>
      <c r="W296" s="87"/>
      <c r="X296" s="87"/>
      <c r="Y296" s="87"/>
      <c r="Z296" s="87" t="n">
        <f aca="false">IFERROR(Z268/Z119*365,"n/a")</f>
        <v>14.7767857142857</v>
      </c>
      <c r="AA296" s="87"/>
      <c r="AB296" s="87"/>
      <c r="AC296" s="87"/>
      <c r="AD296" s="87"/>
      <c r="AE296" s="87"/>
      <c r="AF296" s="87" t="n">
        <f aca="false">IFERROR(AF268/AF119*365,"n/a")</f>
        <v>15.2989099898865</v>
      </c>
      <c r="AG296" s="87"/>
      <c r="AH296" s="87"/>
      <c r="AI296" s="87"/>
      <c r="AJ296" s="87"/>
      <c r="AK296" s="87"/>
      <c r="AL296" s="87" t="n">
        <f aca="false">IFERROR(AL268/AL119*365,"n/a")</f>
        <v>22.8100630274543</v>
      </c>
      <c r="AM296" s="87"/>
      <c r="AN296" s="87"/>
      <c r="AO296" s="87"/>
      <c r="AP296" s="87"/>
      <c r="AQ296" s="87"/>
      <c r="AR296" s="87" t="n">
        <f aca="false">IFERROR(AR268/AR119*365,"n/a")</f>
        <v>24.9490760184796</v>
      </c>
      <c r="AS296" s="87"/>
      <c r="AT296" s="87"/>
      <c r="AU296" s="87"/>
      <c r="AV296" s="87"/>
      <c r="AW296" s="87"/>
      <c r="AX296" s="87" t="n">
        <f aca="false">IFERROR(AX268/AX119*365,"n/a")</f>
        <v>26.1886474334957</v>
      </c>
      <c r="AY296" s="87"/>
      <c r="AZ296" s="87"/>
      <c r="BA296" s="87"/>
      <c r="BB296" s="87"/>
      <c r="BC296" s="87"/>
      <c r="BD296" s="87" t="n">
        <f aca="false">IFERROR(BD268/BD119*365,"n/a")</f>
        <v>33.8741924218614</v>
      </c>
      <c r="BE296" s="87"/>
      <c r="BF296" s="87"/>
      <c r="BG296" s="87"/>
      <c r="BH296" s="87"/>
      <c r="BI296" s="87"/>
      <c r="BJ296" s="87" t="n">
        <f aca="false">IFERROR(BJ268/BJ119*365,"n/a")</f>
        <v>24.4915474642393</v>
      </c>
      <c r="BK296" s="87"/>
      <c r="BL296" s="87"/>
      <c r="BM296" s="87"/>
      <c r="BN296" s="87"/>
      <c r="BO296" s="87"/>
      <c r="BP296" s="87" t="n">
        <f aca="false">IFERROR(BP268/BP119*365,"n/a")</f>
        <v>35.6696571611663</v>
      </c>
      <c r="BQ296" s="87"/>
      <c r="BR296" s="87"/>
      <c r="BS296" s="87"/>
      <c r="BT296" s="88"/>
      <c r="BU296" s="88"/>
      <c r="BV296" s="89" t="n">
        <v>30</v>
      </c>
      <c r="BW296" s="89" t="n">
        <v>28</v>
      </c>
      <c r="BX296" s="89" t="n">
        <v>28</v>
      </c>
      <c r="BY296" s="89" t="n">
        <v>28</v>
      </c>
      <c r="BZ296" s="89" t="n">
        <v>28</v>
      </c>
      <c r="CA296" s="16" t="s">
        <v>416</v>
      </c>
      <c r="CC296" s="5"/>
      <c r="CD296" s="5"/>
      <c r="CE296" s="5"/>
    </row>
    <row r="297" customFormat="false" ht="15" hidden="false" customHeight="false" outlineLevel="0" collapsed="false">
      <c r="B297" s="77" t="s">
        <v>417</v>
      </c>
      <c r="C297" s="78"/>
      <c r="D297" s="78"/>
      <c r="E297" s="78"/>
      <c r="F297" s="78"/>
      <c r="G297" s="78"/>
      <c r="H297" s="78" t="n">
        <f aca="false">IFERROR(H265/H119,"n/a")</f>
        <v>0.0306267806267806</v>
      </c>
      <c r="I297" s="78"/>
      <c r="J297" s="78"/>
      <c r="K297" s="78"/>
      <c r="L297" s="78"/>
      <c r="M297" s="78"/>
      <c r="N297" s="78" t="n">
        <f aca="false">IFERROR(N265/N119,"n/a")</f>
        <v>0.0340973401245048</v>
      </c>
      <c r="O297" s="78"/>
      <c r="P297" s="78"/>
      <c r="Q297" s="78"/>
      <c r="R297" s="78"/>
      <c r="S297" s="78"/>
      <c r="T297" s="78" t="n">
        <f aca="false">IFERROR(T265/T119,"n/a")</f>
        <v>0.032925682031985</v>
      </c>
      <c r="U297" s="78"/>
      <c r="V297" s="78"/>
      <c r="W297" s="78"/>
      <c r="X297" s="78"/>
      <c r="Y297" s="78"/>
      <c r="Z297" s="78" t="n">
        <f aca="false">IFERROR(Z265/Z119,"n/a")</f>
        <v>0.0303326810176125</v>
      </c>
      <c r="AA297" s="78"/>
      <c r="AB297" s="78"/>
      <c r="AC297" s="78"/>
      <c r="AD297" s="78"/>
      <c r="AE297" s="78"/>
      <c r="AF297" s="78" t="n">
        <f aca="false">IFERROR(AF265/AF119,"n/a")</f>
        <v>0.0297786268120013</v>
      </c>
      <c r="AG297" s="78"/>
      <c r="AH297" s="78"/>
      <c r="AI297" s="78"/>
      <c r="AJ297" s="78"/>
      <c r="AK297" s="78"/>
      <c r="AL297" s="78" t="n">
        <f aca="false">IFERROR(AL265/AL119,"n/a")</f>
        <v>0.0313000747783357</v>
      </c>
      <c r="AM297" s="78"/>
      <c r="AN297" s="78"/>
      <c r="AO297" s="78"/>
      <c r="AP297" s="78"/>
      <c r="AQ297" s="78"/>
      <c r="AR297" s="78" t="n">
        <f aca="false">IFERROR(AR265/AR119,"n/a")</f>
        <v>0.0379042419151617</v>
      </c>
      <c r="AS297" s="78"/>
      <c r="AT297" s="78"/>
      <c r="AU297" s="78"/>
      <c r="AV297" s="78"/>
      <c r="AW297" s="78"/>
      <c r="AX297" s="78" t="n">
        <f aca="false">IFERROR(AX265/AX119,"n/a")</f>
        <v>0.0323154739602848</v>
      </c>
      <c r="AY297" s="78"/>
      <c r="AZ297" s="78"/>
      <c r="BA297" s="78"/>
      <c r="BB297" s="78"/>
      <c r="BC297" s="78"/>
      <c r="BD297" s="78" t="n">
        <f aca="false">IFERROR(BD265/BD119,"n/a")</f>
        <v>0.0333507944822769</v>
      </c>
      <c r="BE297" s="78"/>
      <c r="BF297" s="78"/>
      <c r="BG297" s="78"/>
      <c r="BH297" s="78"/>
      <c r="BI297" s="78"/>
      <c r="BJ297" s="78" t="n">
        <f aca="false">IFERROR(BJ265/BJ119,"n/a")</f>
        <v>0.0339835283918509</v>
      </c>
      <c r="BK297" s="78"/>
      <c r="BL297" s="78"/>
      <c r="BM297" s="78"/>
      <c r="BN297" s="78"/>
      <c r="BO297" s="78"/>
      <c r="BP297" s="78" t="n">
        <f aca="false">IFERROR(BP265/BP119,"n/a")</f>
        <v>0.0354854213393143</v>
      </c>
      <c r="BQ297" s="78"/>
      <c r="BR297" s="78"/>
      <c r="BS297" s="78"/>
      <c r="BT297" s="38"/>
      <c r="BU297" s="38"/>
      <c r="BV297" s="49" t="n">
        <v>0.035</v>
      </c>
      <c r="BW297" s="49" t="n">
        <v>0.035</v>
      </c>
      <c r="BX297" s="49" t="n">
        <v>0.035</v>
      </c>
      <c r="BY297" s="49" t="n">
        <v>0.035</v>
      </c>
      <c r="BZ297" s="49" t="n">
        <v>0.035</v>
      </c>
      <c r="CA297" s="16"/>
      <c r="CC297" s="5"/>
      <c r="CD297" s="5"/>
      <c r="CE297" s="5"/>
    </row>
    <row r="298" customFormat="false" ht="15" hidden="false" customHeight="false" outlineLevel="0" collapsed="false">
      <c r="B298" s="26" t="s">
        <v>418</v>
      </c>
      <c r="C298" s="28"/>
      <c r="D298" s="28"/>
      <c r="E298" s="28"/>
      <c r="F298" s="28"/>
      <c r="G298" s="28"/>
      <c r="H298" s="28" t="n">
        <f aca="false">IFERROR(H246+H247+H248-H264-H268,"n/a")</f>
        <v>917</v>
      </c>
      <c r="I298" s="28"/>
      <c r="J298" s="28"/>
      <c r="K298" s="28"/>
      <c r="L298" s="28"/>
      <c r="M298" s="28"/>
      <c r="N298" s="28" t="n">
        <f aca="false">IFERROR(N246+N247+N248-N264-N268,"n/a")</f>
        <v>892</v>
      </c>
      <c r="O298" s="28"/>
      <c r="P298" s="28"/>
      <c r="Q298" s="28"/>
      <c r="R298" s="28"/>
      <c r="S298" s="28"/>
      <c r="T298" s="28" t="n">
        <f aca="false">IFERROR(T246+T247+T248-T264-T268,"n/a")</f>
        <v>850</v>
      </c>
      <c r="U298" s="28"/>
      <c r="V298" s="28"/>
      <c r="W298" s="28"/>
      <c r="X298" s="28"/>
      <c r="Y298" s="28"/>
      <c r="Z298" s="28" t="n">
        <f aca="false">IFERROR(Z246+Z247+Z248-Z264-Z268,"n/a")</f>
        <v>490</v>
      </c>
      <c r="AA298" s="28"/>
      <c r="AB298" s="28"/>
      <c r="AC298" s="28"/>
      <c r="AD298" s="28"/>
      <c r="AE298" s="28"/>
      <c r="AF298" s="28" t="n">
        <f aca="false">IFERROR(AF246+AF247+AF248-AF264-AF268,"n/a")</f>
        <v>573</v>
      </c>
      <c r="AG298" s="28"/>
      <c r="AH298" s="28"/>
      <c r="AI298" s="28"/>
      <c r="AJ298" s="28"/>
      <c r="AK298" s="28"/>
      <c r="AL298" s="28" t="n">
        <f aca="false">IFERROR(AL246+AL247+AL248-AL264-AL268,"n/a")</f>
        <v>538</v>
      </c>
      <c r="AM298" s="28"/>
      <c r="AN298" s="28"/>
      <c r="AO298" s="28"/>
      <c r="AP298" s="28"/>
      <c r="AQ298" s="28"/>
      <c r="AR298" s="28" t="n">
        <f aca="false">IFERROR(AR246+AR247+AR248-AR264-AR268,"n/a")</f>
        <v>650</v>
      </c>
      <c r="AS298" s="28"/>
      <c r="AT298" s="28"/>
      <c r="AU298" s="28"/>
      <c r="AV298" s="28"/>
      <c r="AW298" s="28"/>
      <c r="AX298" s="28" t="n">
        <f aca="false">IFERROR(AX246+AX247+AX248-AX264-AX268,"n/a")</f>
        <v>651</v>
      </c>
      <c r="AY298" s="28"/>
      <c r="AZ298" s="28"/>
      <c r="BA298" s="28"/>
      <c r="BB298" s="28"/>
      <c r="BC298" s="28"/>
      <c r="BD298" s="28" t="n">
        <f aca="false">IFERROR(BD246+BD247+BD248-BD264-BD268,"n/a")</f>
        <v>567</v>
      </c>
      <c r="BE298" s="28"/>
      <c r="BF298" s="28"/>
      <c r="BG298" s="28"/>
      <c r="BH298" s="28"/>
      <c r="BI298" s="28"/>
      <c r="BJ298" s="28" t="n">
        <f aca="false">IFERROR(BJ246+BJ247+BJ248-BJ264-BJ268,"n/a")</f>
        <v>731</v>
      </c>
      <c r="BK298" s="28"/>
      <c r="BL298" s="28"/>
      <c r="BM298" s="28"/>
      <c r="BN298" s="28"/>
      <c r="BO298" s="28"/>
      <c r="BP298" s="28" t="n">
        <f aca="false">IFERROR(BP246+BP247+BP248-BP264-BP268,"n/a")</f>
        <v>540</v>
      </c>
      <c r="BQ298" s="28"/>
      <c r="BR298" s="28"/>
      <c r="BS298" s="28" t="n">
        <f aca="false">IFERROR(BS246+BS247+BS248-BS264-BS268,"n/a")</f>
        <v>1415</v>
      </c>
      <c r="BT298" s="29"/>
      <c r="BU298" s="29"/>
      <c r="BV298" s="29" t="n">
        <f aca="false">IFERROR(BV246+BV247+BV248-BV264-BV268,"n/a")</f>
        <v>477.582499999999</v>
      </c>
      <c r="BW298" s="29" t="n">
        <f aca="false">IFERROR(BW246+BW247+BW248-BW264-BW268,"n/a")</f>
        <v>586.655668327635</v>
      </c>
      <c r="BX298" s="29" t="n">
        <f aca="false">IFERROR(BX246+BX247+BX248-BX264-BX268,"n/a")</f>
        <v>620.038313481239</v>
      </c>
      <c r="BY298" s="29" t="n">
        <f aca="false">IFERROR(BY246+BY247+BY248-BY264-BY268,"n/a")</f>
        <v>653.557664043995</v>
      </c>
      <c r="BZ298" s="29" t="n">
        <f aca="false">IFERROR(BZ246+BZ247+BZ248-BZ264-BZ268,"n/a")</f>
        <v>686.294036616638</v>
      </c>
      <c r="CA298" s="16"/>
      <c r="CC298" s="5"/>
      <c r="CD298" s="5"/>
      <c r="CE298" s="5"/>
    </row>
    <row r="299" customFormat="false" ht="15" hidden="false" customHeight="false" outlineLevel="0" collapsed="false">
      <c r="B299" s="35" t="s">
        <v>419</v>
      </c>
      <c r="C299" s="36"/>
      <c r="D299" s="36"/>
      <c r="E299" s="36"/>
      <c r="F299" s="36"/>
      <c r="G299" s="36"/>
      <c r="H299" s="36" t="n">
        <f aca="false">IFERROR(H298/H119,"n/a")</f>
        <v>0.130626780626781</v>
      </c>
      <c r="I299" s="36"/>
      <c r="J299" s="36"/>
      <c r="K299" s="36"/>
      <c r="L299" s="36"/>
      <c r="M299" s="36"/>
      <c r="N299" s="36" t="n">
        <f aca="false">IFERROR(N298/N119,"n/a")</f>
        <v>0.1262026032824</v>
      </c>
      <c r="O299" s="36"/>
      <c r="P299" s="36"/>
      <c r="Q299" s="36"/>
      <c r="R299" s="36"/>
      <c r="S299" s="36"/>
      <c r="T299" s="36" t="n">
        <f aca="false">IFERROR(T298/T119,"n/a")</f>
        <v>0.114231958070152</v>
      </c>
      <c r="U299" s="36"/>
      <c r="V299" s="36"/>
      <c r="W299" s="36"/>
      <c r="X299" s="36"/>
      <c r="Y299" s="36"/>
      <c r="Z299" s="36" t="n">
        <f aca="false">IFERROR(Z298/Z119,"n/a")</f>
        <v>0.0599315068493151</v>
      </c>
      <c r="AA299" s="36"/>
      <c r="AB299" s="36"/>
      <c r="AC299" s="36"/>
      <c r="AD299" s="36"/>
      <c r="AE299" s="36"/>
      <c r="AF299" s="36" t="n">
        <f aca="false">IFERROR(AF298/AF119,"n/a")</f>
        <v>0.0643892572199123</v>
      </c>
      <c r="AG299" s="36"/>
      <c r="AH299" s="36"/>
      <c r="AI299" s="36"/>
      <c r="AJ299" s="36"/>
      <c r="AK299" s="36"/>
      <c r="AL299" s="36" t="n">
        <f aca="false">IFERROR(AL298/AL119,"n/a")</f>
        <v>0.057472492255101</v>
      </c>
      <c r="AM299" s="36"/>
      <c r="AN299" s="36"/>
      <c r="AO299" s="36"/>
      <c r="AP299" s="36"/>
      <c r="AQ299" s="36"/>
      <c r="AR299" s="36" t="n">
        <f aca="false">IFERROR(AR298/AR119,"n/a")</f>
        <v>0.0682486350272995</v>
      </c>
      <c r="AS299" s="36"/>
      <c r="AT299" s="36"/>
      <c r="AU299" s="36"/>
      <c r="AV299" s="36"/>
      <c r="AW299" s="36"/>
      <c r="AX299" s="36" t="n">
        <f aca="false">IFERROR(AX298/AX119,"n/a")</f>
        <v>0.0609778943424504</v>
      </c>
      <c r="AY299" s="36"/>
      <c r="AZ299" s="36"/>
      <c r="BA299" s="36"/>
      <c r="BB299" s="36"/>
      <c r="BC299" s="36"/>
      <c r="BD299" s="36" t="n">
        <f aca="false">IFERROR(BD298/BD119,"n/a")</f>
        <v>0.0495023572551074</v>
      </c>
      <c r="BE299" s="36"/>
      <c r="BF299" s="36"/>
      <c r="BG299" s="36"/>
      <c r="BH299" s="36"/>
      <c r="BI299" s="36"/>
      <c r="BJ299" s="36" t="n">
        <f aca="false">IFERROR(BJ298/BJ119,"n/a")</f>
        <v>0.0633723450368444</v>
      </c>
      <c r="BK299" s="36"/>
      <c r="BL299" s="36"/>
      <c r="BM299" s="36"/>
      <c r="BN299" s="36"/>
      <c r="BO299" s="36"/>
      <c r="BP299" s="36" t="n">
        <f aca="false">IFERROR(BP298/BP119,"n/a")</f>
        <v>0.0432553668695931</v>
      </c>
      <c r="BQ299" s="36"/>
      <c r="BR299" s="36"/>
      <c r="BS299" s="36"/>
      <c r="BT299" s="38"/>
      <c r="BU299" s="38"/>
      <c r="BV299" s="38" t="n">
        <f aca="false">IFERROR(BV298/BV119,"n/a")</f>
        <v>0.0360439622641509</v>
      </c>
      <c r="BW299" s="38" t="n">
        <f aca="false">IFERROR(BW298/BW119,"n/a")</f>
        <v>0.041727909865374</v>
      </c>
      <c r="BX299" s="38" t="n">
        <f aca="false">IFERROR(BX298/BX119,"n/a")</f>
        <v>0.0418262598106994</v>
      </c>
      <c r="BY299" s="38" t="n">
        <f aca="false">IFERROR(BY298/BY119,"n/a")</f>
        <v>0.0419224668436314</v>
      </c>
      <c r="BZ299" s="38" t="n">
        <f aca="false">IFERROR(BZ298/BZ119,"n/a")</f>
        <v>0.0420168061005313</v>
      </c>
      <c r="CA299" s="16"/>
      <c r="CC299" s="40" t="n">
        <f aca="false">IFERROR(AVERAGE(BV299,BW299,BX299,BY299,BZ299),"n/m")</f>
        <v>0.0407074809768774</v>
      </c>
      <c r="CD299" s="40" t="n">
        <f aca="false">IFERROR(AVERAGE(AR299,AX299,BD299,BJ299,BP299),"n/m")</f>
        <v>0.0570713197062589</v>
      </c>
      <c r="CE299" s="40" t="n">
        <f aca="false">IFERROR(AVERAGE(N299,T299,Z299,AF299,AL299,AR299,AX299,BD299,BJ299,BP299),"n/m")</f>
        <v>0.0707584416208174</v>
      </c>
    </row>
    <row r="300" customFormat="false" ht="15" hidden="false" customHeight="false" outlineLevel="0" collapsed="false">
      <c r="B300" s="1" t="s">
        <v>420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 t="n">
        <f aca="false">IFERROR(N298-H298,"n/a")</f>
        <v>-25</v>
      </c>
      <c r="O300" s="2"/>
      <c r="P300" s="2"/>
      <c r="Q300" s="2"/>
      <c r="R300" s="2"/>
      <c r="S300" s="2"/>
      <c r="T300" s="2" t="n">
        <f aca="false">IFERROR(T298-N298,"n/a")</f>
        <v>-42</v>
      </c>
      <c r="U300" s="2"/>
      <c r="V300" s="2"/>
      <c r="W300" s="2"/>
      <c r="X300" s="2"/>
      <c r="Y300" s="2"/>
      <c r="Z300" s="2" t="n">
        <f aca="false">IFERROR(Z298-T298,"n/a")</f>
        <v>-360</v>
      </c>
      <c r="AA300" s="2"/>
      <c r="AB300" s="2"/>
      <c r="AC300" s="2"/>
      <c r="AD300" s="2"/>
      <c r="AE300" s="2"/>
      <c r="AF300" s="2" t="n">
        <f aca="false">IFERROR(AF298-Z298,"n/a")</f>
        <v>83</v>
      </c>
      <c r="AG300" s="2"/>
      <c r="AH300" s="2"/>
      <c r="AI300" s="2"/>
      <c r="AJ300" s="2"/>
      <c r="AK300" s="2"/>
      <c r="AL300" s="2" t="n">
        <f aca="false">IFERROR(AL298-AF298,"n/a")</f>
        <v>-35</v>
      </c>
      <c r="AM300" s="2"/>
      <c r="AN300" s="2"/>
      <c r="AO300" s="2"/>
      <c r="AP300" s="2"/>
      <c r="AQ300" s="2"/>
      <c r="AR300" s="2" t="n">
        <f aca="false">IFERROR(AR298-AL298,"n/a")</f>
        <v>112</v>
      </c>
      <c r="AS300" s="2"/>
      <c r="AT300" s="2"/>
      <c r="AU300" s="2"/>
      <c r="AV300" s="2"/>
      <c r="AW300" s="2"/>
      <c r="AX300" s="2" t="n">
        <f aca="false">IFERROR(AX298-AR298,"n/a")</f>
        <v>1</v>
      </c>
      <c r="AY300" s="2"/>
      <c r="AZ300" s="2"/>
      <c r="BA300" s="2"/>
      <c r="BB300" s="2"/>
      <c r="BC300" s="2"/>
      <c r="BD300" s="2" t="n">
        <f aca="false">IFERROR(BD298-AX298,"n/a")</f>
        <v>-84</v>
      </c>
      <c r="BE300" s="2"/>
      <c r="BF300" s="2"/>
      <c r="BG300" s="2"/>
      <c r="BH300" s="2"/>
      <c r="BI300" s="2"/>
      <c r="BJ300" s="2" t="n">
        <f aca="false">IFERROR(BJ298-BD298,"n/a")</f>
        <v>164</v>
      </c>
      <c r="BK300" s="2"/>
      <c r="BL300" s="2"/>
      <c r="BM300" s="2"/>
      <c r="BN300" s="2"/>
      <c r="BO300" s="2"/>
      <c r="BP300" s="2" t="n">
        <f aca="false">IFERROR(BP298-BJ298,"n/a")</f>
        <v>-191</v>
      </c>
      <c r="BQ300" s="2"/>
      <c r="BR300" s="2"/>
      <c r="BS300" s="2"/>
      <c r="BT300" s="3"/>
      <c r="BU300" s="3"/>
      <c r="BV300" s="3" t="n">
        <f aca="false">IFERROR(BV298-BP298,"n/a")</f>
        <v>-62.4175000000007</v>
      </c>
      <c r="BW300" s="3" t="n">
        <f aca="false">IFERROR(BW298-BV298,"n/a")</f>
        <v>109.073168327636</v>
      </c>
      <c r="BX300" s="3" t="n">
        <f aca="false">IFERROR(BX298-BW298,"n/a")</f>
        <v>33.3826451536038</v>
      </c>
      <c r="BY300" s="3" t="n">
        <f aca="false">IFERROR(BY298-BX298,"n/a")</f>
        <v>33.5193505627556</v>
      </c>
      <c r="BZ300" s="3" t="n">
        <f aca="false">IFERROR(BZ298-BY298,"n/a")</f>
        <v>32.7363725726436</v>
      </c>
      <c r="CA300" s="16"/>
      <c r="CC300" s="5"/>
      <c r="CD300" s="5"/>
      <c r="CE300" s="5"/>
    </row>
    <row r="301" customFormat="false" ht="15" hidden="false" customHeight="false" outlineLevel="0" collapsed="false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3"/>
      <c r="BU301" s="3"/>
      <c r="BV301" s="3"/>
      <c r="BW301" s="3"/>
      <c r="BX301" s="3"/>
      <c r="BY301" s="3"/>
      <c r="BZ301" s="3"/>
      <c r="CA301" s="16"/>
      <c r="CC301" s="5"/>
      <c r="CD301" s="5"/>
      <c r="CE301" s="5"/>
    </row>
    <row r="302" customFormat="false" ht="15" hidden="false" customHeight="false" outlineLevel="0" collapsed="false">
      <c r="B302" s="15" t="s">
        <v>421</v>
      </c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 t="s">
        <v>422</v>
      </c>
      <c r="CC302" s="15"/>
      <c r="CD302" s="15"/>
      <c r="CE302" s="15"/>
    </row>
    <row r="303" customFormat="false" ht="15" hidden="false" customHeight="false" outlineLevel="0" collapsed="false">
      <c r="B303" s="20" t="s">
        <v>423</v>
      </c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</row>
    <row r="304" customFormat="false" ht="15" hidden="false" customHeight="false" outlineLevel="0" collapsed="false">
      <c r="B304" s="77" t="s">
        <v>424</v>
      </c>
      <c r="C304" s="90"/>
      <c r="D304" s="90"/>
      <c r="E304" s="90"/>
      <c r="F304" s="90"/>
      <c r="G304" s="90"/>
      <c r="H304" s="91" t="n">
        <v>26</v>
      </c>
      <c r="I304" s="90"/>
      <c r="J304" s="90"/>
      <c r="K304" s="90"/>
      <c r="L304" s="90"/>
      <c r="M304" s="90"/>
      <c r="N304" s="91" t="n">
        <v>23</v>
      </c>
      <c r="O304" s="90"/>
      <c r="P304" s="90"/>
      <c r="Q304" s="90"/>
      <c r="R304" s="90"/>
      <c r="S304" s="90"/>
      <c r="T304" s="91" t="n">
        <v>40</v>
      </c>
      <c r="U304" s="90"/>
      <c r="V304" s="90"/>
      <c r="W304" s="90"/>
      <c r="X304" s="90"/>
      <c r="Y304" s="90"/>
      <c r="Z304" s="91" t="n">
        <v>36</v>
      </c>
      <c r="AA304" s="90"/>
      <c r="AB304" s="90"/>
      <c r="AC304" s="90"/>
      <c r="AD304" s="90"/>
      <c r="AE304" s="90"/>
      <c r="AF304" s="91" t="n">
        <v>47</v>
      </c>
      <c r="AG304" s="90"/>
      <c r="AH304" s="90"/>
      <c r="AI304" s="90"/>
      <c r="AJ304" s="90"/>
      <c r="AK304" s="90"/>
      <c r="AL304" s="91" t="n">
        <v>56</v>
      </c>
      <c r="AM304" s="90"/>
      <c r="AN304" s="90"/>
      <c r="AO304" s="90"/>
      <c r="AP304" s="90"/>
      <c r="AQ304" s="90"/>
      <c r="AR304" s="91" t="n">
        <v>86</v>
      </c>
      <c r="AS304" s="90"/>
      <c r="AT304" s="90"/>
      <c r="AU304" s="90"/>
      <c r="AV304" s="90"/>
      <c r="AW304" s="90"/>
      <c r="AX304" s="91" t="n">
        <v>140</v>
      </c>
      <c r="AY304" s="90"/>
      <c r="AZ304" s="90"/>
      <c r="BA304" s="90"/>
      <c r="BB304" s="90"/>
      <c r="BC304" s="90"/>
      <c r="BD304" s="91" t="n">
        <v>128</v>
      </c>
      <c r="BE304" s="90"/>
      <c r="BF304" s="90"/>
      <c r="BG304" s="90"/>
      <c r="BH304" s="90"/>
      <c r="BI304" s="90"/>
      <c r="BJ304" s="91" t="n">
        <v>109</v>
      </c>
      <c r="BK304" s="90"/>
      <c r="BL304" s="90"/>
      <c r="BM304" s="90"/>
      <c r="BN304" s="90"/>
      <c r="BO304" s="90"/>
      <c r="BP304" s="91" t="n">
        <v>104</v>
      </c>
      <c r="BQ304" s="90"/>
      <c r="BR304" s="90"/>
      <c r="BS304" s="90"/>
      <c r="BT304" s="3"/>
      <c r="BU304" s="3"/>
      <c r="BV304" s="54" t="n">
        <v>84</v>
      </c>
      <c r="BW304" s="54" t="n">
        <v>62</v>
      </c>
      <c r="BX304" s="54" t="n">
        <v>56</v>
      </c>
      <c r="BY304" s="54" t="n">
        <v>50</v>
      </c>
      <c r="BZ304" s="54" t="n">
        <v>41</v>
      </c>
      <c r="CA304" s="16" t="s">
        <v>425</v>
      </c>
      <c r="CC304" s="5"/>
      <c r="CD304" s="5"/>
      <c r="CE304" s="5"/>
    </row>
    <row r="305" customFormat="false" ht="15" hidden="false" customHeight="false" outlineLevel="0" collapsed="false">
      <c r="B305" s="77" t="s">
        <v>426</v>
      </c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  <c r="AP305" s="92"/>
      <c r="AQ305" s="92"/>
      <c r="AR305" s="92"/>
      <c r="AS305" s="92"/>
      <c r="AT305" s="92"/>
      <c r="AU305" s="92"/>
      <c r="AV305" s="92"/>
      <c r="AW305" s="92"/>
      <c r="AX305" s="92"/>
      <c r="AY305" s="92"/>
      <c r="AZ305" s="92"/>
      <c r="BA305" s="92"/>
      <c r="BB305" s="92"/>
      <c r="BC305" s="92"/>
      <c r="BD305" s="92"/>
      <c r="BE305" s="92"/>
      <c r="BF305" s="92"/>
      <c r="BG305" s="92"/>
      <c r="BH305" s="92"/>
      <c r="BI305" s="92"/>
      <c r="BJ305" s="92"/>
      <c r="BK305" s="92"/>
      <c r="BL305" s="92"/>
      <c r="BM305" s="92"/>
      <c r="BN305" s="92"/>
      <c r="BO305" s="92"/>
      <c r="BP305" s="92"/>
      <c r="BQ305" s="92"/>
      <c r="BR305" s="92"/>
      <c r="BS305" s="92"/>
      <c r="BT305" s="81"/>
      <c r="BU305" s="81"/>
      <c r="BV305" s="81"/>
      <c r="BW305" s="82" t="n">
        <v>0.1</v>
      </c>
      <c r="BX305" s="82" t="n">
        <v>0.1</v>
      </c>
      <c r="BY305" s="82" t="n">
        <v>0.1</v>
      </c>
      <c r="BZ305" s="82" t="n">
        <v>0.1</v>
      </c>
      <c r="CA305" s="16"/>
      <c r="CC305" s="5"/>
      <c r="CD305" s="5"/>
      <c r="CE305" s="5"/>
    </row>
    <row r="306" customFormat="false" ht="15" hidden="false" customHeight="false" outlineLevel="0" collapsed="false">
      <c r="B306" s="77" t="s">
        <v>427</v>
      </c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78"/>
      <c r="BJ306" s="78"/>
      <c r="BK306" s="78"/>
      <c r="BL306" s="78"/>
      <c r="BM306" s="78"/>
      <c r="BN306" s="78"/>
      <c r="BO306" s="78"/>
      <c r="BP306" s="78"/>
      <c r="BQ306" s="78"/>
      <c r="BR306" s="78"/>
      <c r="BS306" s="78"/>
      <c r="BT306" s="38"/>
      <c r="BU306" s="38"/>
      <c r="BV306" s="38"/>
      <c r="BW306" s="49" t="n">
        <v>0.03</v>
      </c>
      <c r="BX306" s="49" t="n">
        <v>0.03</v>
      </c>
      <c r="BY306" s="49" t="n">
        <v>0.03</v>
      </c>
      <c r="BZ306" s="49" t="n">
        <v>0.03</v>
      </c>
      <c r="CA306" s="16" t="s">
        <v>428</v>
      </c>
      <c r="CC306" s="5"/>
      <c r="CD306" s="5"/>
      <c r="CE306" s="5"/>
    </row>
    <row r="307" customFormat="false" ht="15" hidden="false" customHeight="false" outlineLevel="0" collapsed="false">
      <c r="B307" s="77" t="s">
        <v>429</v>
      </c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  <c r="BI307" s="78"/>
      <c r="BJ307" s="78"/>
      <c r="BK307" s="78"/>
      <c r="BL307" s="78"/>
      <c r="BM307" s="78"/>
      <c r="BN307" s="78"/>
      <c r="BO307" s="78"/>
      <c r="BP307" s="78"/>
      <c r="BQ307" s="78"/>
      <c r="BR307" s="78"/>
      <c r="BS307" s="78"/>
      <c r="BT307" s="38"/>
      <c r="BU307" s="38"/>
      <c r="BV307" s="38"/>
      <c r="BW307" s="49" t="n">
        <v>0.07</v>
      </c>
      <c r="BX307" s="49" t="n">
        <v>0.07</v>
      </c>
      <c r="BY307" s="49" t="n">
        <v>0.07</v>
      </c>
      <c r="BZ307" s="49" t="n">
        <v>0.07</v>
      </c>
      <c r="CA307" s="16"/>
      <c r="CC307" s="5"/>
      <c r="CD307" s="5"/>
      <c r="CE307" s="5"/>
    </row>
    <row r="308" customFormat="false" ht="15" hidden="false" customHeight="false" outlineLevel="0" collapsed="false">
      <c r="B308" s="20" t="s">
        <v>430</v>
      </c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</row>
    <row r="309" customFormat="false" ht="15" hidden="false" customHeight="false" outlineLevel="0" collapsed="false">
      <c r="B309" s="77" t="s">
        <v>431</v>
      </c>
      <c r="C309" s="90"/>
      <c r="D309" s="90"/>
      <c r="E309" s="90"/>
      <c r="F309" s="90"/>
      <c r="G309" s="90"/>
      <c r="H309" s="90" t="n">
        <f aca="false">H272+H269</f>
        <v>1273</v>
      </c>
      <c r="I309" s="90"/>
      <c r="J309" s="90"/>
      <c r="K309" s="90"/>
      <c r="L309" s="90"/>
      <c r="M309" s="90"/>
      <c r="N309" s="90" t="n">
        <f aca="false">N272+N269</f>
        <v>1278</v>
      </c>
      <c r="O309" s="90"/>
      <c r="P309" s="90"/>
      <c r="Q309" s="90"/>
      <c r="R309" s="90"/>
      <c r="S309" s="90"/>
      <c r="T309" s="90" t="n">
        <f aca="false">T272+T269</f>
        <v>1279</v>
      </c>
      <c r="U309" s="90"/>
      <c r="V309" s="90"/>
      <c r="W309" s="90"/>
      <c r="X309" s="90"/>
      <c r="Y309" s="90"/>
      <c r="Z309" s="90" t="n">
        <f aca="false">Z272+Z269</f>
        <v>1283</v>
      </c>
      <c r="AA309" s="90"/>
      <c r="AB309" s="90"/>
      <c r="AC309" s="90"/>
      <c r="AD309" s="90"/>
      <c r="AE309" s="90"/>
      <c r="AF309" s="90" t="n">
        <f aca="false">AF272+AF269</f>
        <v>1286</v>
      </c>
      <c r="AG309" s="90"/>
      <c r="AH309" s="90"/>
      <c r="AI309" s="90"/>
      <c r="AJ309" s="90"/>
      <c r="AK309" s="90"/>
      <c r="AL309" s="90" t="n">
        <f aca="false">AL272+AL269</f>
        <v>1686</v>
      </c>
      <c r="AM309" s="90"/>
      <c r="AN309" s="90"/>
      <c r="AO309" s="90"/>
      <c r="AP309" s="90"/>
      <c r="AQ309" s="90"/>
      <c r="AR309" s="90" t="n">
        <f aca="false">AR272+AR269</f>
        <v>3298</v>
      </c>
      <c r="AS309" s="90"/>
      <c r="AT309" s="90"/>
      <c r="AU309" s="90"/>
      <c r="AV309" s="90"/>
      <c r="AW309" s="90"/>
      <c r="AX309" s="90" t="n">
        <f aca="false">AX272+AX269</f>
        <v>2905</v>
      </c>
      <c r="AY309" s="90"/>
      <c r="AZ309" s="90"/>
      <c r="BA309" s="90"/>
      <c r="BB309" s="90"/>
      <c r="BC309" s="90"/>
      <c r="BD309" s="90" t="n">
        <f aca="false">BD272+BD269</f>
        <v>2445</v>
      </c>
      <c r="BE309" s="90"/>
      <c r="BF309" s="90"/>
      <c r="BG309" s="90"/>
      <c r="BH309" s="90"/>
      <c r="BI309" s="90"/>
      <c r="BJ309" s="90" t="n">
        <f aca="false">BJ272+BJ269</f>
        <v>3203</v>
      </c>
      <c r="BK309" s="90"/>
      <c r="BL309" s="90"/>
      <c r="BM309" s="90"/>
      <c r="BN309" s="90"/>
      <c r="BO309" s="90"/>
      <c r="BP309" s="90" t="n">
        <f aca="false">BP272+BP269</f>
        <v>2700</v>
      </c>
      <c r="BQ309" s="90"/>
      <c r="BR309" s="90"/>
      <c r="BS309" s="90" t="n">
        <f aca="false">BS272+BS269</f>
        <v>2702</v>
      </c>
      <c r="BT309" s="3"/>
      <c r="BU309" s="3"/>
      <c r="BV309" s="54" t="n">
        <v>2700</v>
      </c>
      <c r="BW309" s="54" t="n">
        <v>2700</v>
      </c>
      <c r="BX309" s="54" t="n">
        <v>2700</v>
      </c>
      <c r="BY309" s="54" t="n">
        <v>2700</v>
      </c>
      <c r="BZ309" s="54" t="n">
        <v>2700</v>
      </c>
      <c r="CA309" s="16" t="s">
        <v>432</v>
      </c>
      <c r="CC309" s="5"/>
      <c r="CD309" s="5"/>
      <c r="CE309" s="5"/>
    </row>
    <row r="310" customFormat="false" ht="15" hidden="false" customHeight="false" outlineLevel="0" collapsed="false">
      <c r="B310" s="1" t="s">
        <v>433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 t="n">
        <f aca="false">N309-H309</f>
        <v>5</v>
      </c>
      <c r="O310" s="2"/>
      <c r="P310" s="2"/>
      <c r="Q310" s="2"/>
      <c r="R310" s="2"/>
      <c r="S310" s="2"/>
      <c r="T310" s="2" t="n">
        <f aca="false">T309-N309</f>
        <v>1</v>
      </c>
      <c r="U310" s="2"/>
      <c r="V310" s="2"/>
      <c r="W310" s="2"/>
      <c r="X310" s="2"/>
      <c r="Y310" s="2"/>
      <c r="Z310" s="2" t="n">
        <f aca="false">Z309-T309</f>
        <v>4</v>
      </c>
      <c r="AA310" s="2"/>
      <c r="AB310" s="2"/>
      <c r="AC310" s="2"/>
      <c r="AD310" s="2"/>
      <c r="AE310" s="2"/>
      <c r="AF310" s="2" t="n">
        <f aca="false">AF309-Z309</f>
        <v>3</v>
      </c>
      <c r="AG310" s="2"/>
      <c r="AH310" s="2"/>
      <c r="AI310" s="2"/>
      <c r="AJ310" s="2"/>
      <c r="AK310" s="2"/>
      <c r="AL310" s="2" t="n">
        <f aca="false">AL309-AF309</f>
        <v>400</v>
      </c>
      <c r="AM310" s="2"/>
      <c r="AN310" s="2"/>
      <c r="AO310" s="2"/>
      <c r="AP310" s="2"/>
      <c r="AQ310" s="2"/>
      <c r="AR310" s="2" t="n">
        <f aca="false">AR309-AL309</f>
        <v>1612</v>
      </c>
      <c r="AS310" s="2"/>
      <c r="AT310" s="2"/>
      <c r="AU310" s="2"/>
      <c r="AV310" s="2"/>
      <c r="AW310" s="2"/>
      <c r="AX310" s="2" t="n">
        <f aca="false">AX309-AR309</f>
        <v>-393</v>
      </c>
      <c r="AY310" s="2"/>
      <c r="AZ310" s="2"/>
      <c r="BA310" s="2"/>
      <c r="BB310" s="2"/>
      <c r="BC310" s="2"/>
      <c r="BD310" s="2" t="n">
        <f aca="false">BD309-AX309</f>
        <v>-460</v>
      </c>
      <c r="BE310" s="2"/>
      <c r="BF310" s="2"/>
      <c r="BG310" s="2"/>
      <c r="BH310" s="2"/>
      <c r="BI310" s="2"/>
      <c r="BJ310" s="2" t="n">
        <f aca="false">BJ309-BD309</f>
        <v>758</v>
      </c>
      <c r="BK310" s="2"/>
      <c r="BL310" s="2"/>
      <c r="BM310" s="2"/>
      <c r="BN310" s="2"/>
      <c r="BO310" s="2"/>
      <c r="BP310" s="2" t="n">
        <f aca="false">BP309-BJ309</f>
        <v>-503</v>
      </c>
      <c r="BQ310" s="2"/>
      <c r="BR310" s="2"/>
      <c r="BS310" s="2"/>
      <c r="BT310" s="3"/>
      <c r="BU310" s="3"/>
      <c r="BV310" s="3" t="n">
        <f aca="false">BV309-BP309</f>
        <v>0</v>
      </c>
      <c r="BW310" s="3" t="n">
        <f aca="false">BW309-BV309</f>
        <v>0</v>
      </c>
      <c r="BX310" s="3" t="n">
        <f aca="false">BX309-BW309</f>
        <v>0</v>
      </c>
      <c r="BY310" s="3" t="n">
        <f aca="false">BY309-BX309</f>
        <v>0</v>
      </c>
      <c r="BZ310" s="3" t="n">
        <f aca="false">BZ309-BY309</f>
        <v>0</v>
      </c>
      <c r="CA310" s="16"/>
      <c r="CC310" s="5"/>
      <c r="CD310" s="5"/>
      <c r="CE310" s="5"/>
    </row>
    <row r="311" customFormat="false" ht="15" hidden="false" customHeight="false" outlineLevel="0" collapsed="false">
      <c r="B311" s="77" t="s">
        <v>434</v>
      </c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 t="n">
        <f aca="false">IFERROR(N127/AVERAGE(N309,H309),"")</f>
        <v>0.0580164641317131</v>
      </c>
      <c r="O311" s="78"/>
      <c r="P311" s="78"/>
      <c r="Q311" s="78"/>
      <c r="R311" s="78"/>
      <c r="S311" s="78"/>
      <c r="T311" s="78" t="n">
        <f aca="false">IFERROR(T127/AVERAGE(T309,N309),"")</f>
        <v>0.073523660539695</v>
      </c>
      <c r="U311" s="78"/>
      <c r="V311" s="78"/>
      <c r="W311" s="78"/>
      <c r="X311" s="78"/>
      <c r="Y311" s="78"/>
      <c r="Z311" s="78" t="n">
        <f aca="false">IFERROR(Z127/AVERAGE(Z309,T309),"")</f>
        <v>0.0452771272443404</v>
      </c>
      <c r="AA311" s="78"/>
      <c r="AB311" s="78"/>
      <c r="AC311" s="78"/>
      <c r="AD311" s="78"/>
      <c r="AE311" s="78"/>
      <c r="AF311" s="78" t="n">
        <f aca="false">IFERROR(AF127/AVERAGE(AF309,Z309),"")</f>
        <v>0.0544959128065395</v>
      </c>
      <c r="AG311" s="78"/>
      <c r="AH311" s="78"/>
      <c r="AI311" s="78"/>
      <c r="AJ311" s="78"/>
      <c r="AK311" s="78"/>
      <c r="AL311" s="78" t="n">
        <f aca="false">IFERROR(AL127/AVERAGE(AL309,AF309),"")</f>
        <v>0.0767160161507402</v>
      </c>
      <c r="AM311" s="78"/>
      <c r="AN311" s="78"/>
      <c r="AO311" s="78"/>
      <c r="AP311" s="78"/>
      <c r="AQ311" s="78"/>
      <c r="AR311" s="78" t="n">
        <f aca="false">IFERROR(AR127/AVERAGE(AR309,AL309),"")</f>
        <v>0.0357142857142857</v>
      </c>
      <c r="AS311" s="78"/>
      <c r="AT311" s="78"/>
      <c r="AU311" s="78"/>
      <c r="AV311" s="78"/>
      <c r="AW311" s="78"/>
      <c r="AX311" s="78" t="n">
        <f aca="false">IFERROR(AX127/AVERAGE(AX309,AR309),"")</f>
        <v>0.0328873125906819</v>
      </c>
      <c r="AY311" s="78"/>
      <c r="AZ311" s="78"/>
      <c r="BA311" s="78"/>
      <c r="BB311" s="78"/>
      <c r="BC311" s="78"/>
      <c r="BD311" s="78" t="n">
        <f aca="false">IFERROR(BD127/AVERAGE(BD309,AX309),"")</f>
        <v>0.0355140186915888</v>
      </c>
      <c r="BE311" s="78"/>
      <c r="BF311" s="78"/>
      <c r="BG311" s="78"/>
      <c r="BH311" s="78"/>
      <c r="BI311" s="78"/>
      <c r="BJ311" s="78" t="n">
        <f aca="false">IFERROR(BJ127/AVERAGE(BJ309,BD309),"")</f>
        <v>0.0336402266288952</v>
      </c>
      <c r="BK311" s="78"/>
      <c r="BL311" s="78"/>
      <c r="BM311" s="78"/>
      <c r="BN311" s="78"/>
      <c r="BO311" s="78"/>
      <c r="BP311" s="78" t="n">
        <f aca="false">IFERROR(BP127/AVERAGE(BP309,BJ309),"")</f>
        <v>0.035575131289175</v>
      </c>
      <c r="BQ311" s="78"/>
      <c r="BR311" s="78"/>
      <c r="BS311" s="78"/>
      <c r="BT311" s="38"/>
      <c r="BU311" s="38"/>
      <c r="BV311" s="38" t="n">
        <f aca="false">IFERROR(BV127/AVERAGE(BV309,BP309),"")</f>
        <v>0.0388888888888889</v>
      </c>
      <c r="BW311" s="49" t="n">
        <v>0.04</v>
      </c>
      <c r="BX311" s="49" t="n">
        <v>0.04</v>
      </c>
      <c r="BY311" s="49" t="n">
        <v>0.04</v>
      </c>
      <c r="BZ311" s="49" t="n">
        <v>0.04</v>
      </c>
      <c r="CA311" s="16" t="s">
        <v>435</v>
      </c>
      <c r="CC311" s="5"/>
      <c r="CD311" s="5"/>
      <c r="CE311" s="5"/>
    </row>
    <row r="312" customFormat="false" ht="15" hidden="false" customHeight="false" outlineLevel="0" collapsed="false">
      <c r="B312" s="20" t="s">
        <v>436</v>
      </c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</row>
    <row r="313" customFormat="false" ht="15" hidden="false" customHeight="false" outlineLevel="0" collapsed="false">
      <c r="B313" s="35" t="s">
        <v>437</v>
      </c>
      <c r="C313" s="36"/>
      <c r="D313" s="36"/>
      <c r="E313" s="36"/>
      <c r="F313" s="36"/>
      <c r="G313" s="36"/>
      <c r="H313" s="36" t="n">
        <f aca="false">IFERROR(H102/H119,"")</f>
        <v>0.0256410256410256</v>
      </c>
      <c r="I313" s="36"/>
      <c r="J313" s="36"/>
      <c r="K313" s="36"/>
      <c r="L313" s="36"/>
      <c r="M313" s="36"/>
      <c r="N313" s="36" t="n">
        <f aca="false">IFERROR(N102/N119,"")</f>
        <v>0.0263157894736842</v>
      </c>
      <c r="O313" s="36"/>
      <c r="P313" s="36"/>
      <c r="Q313" s="36"/>
      <c r="R313" s="36"/>
      <c r="S313" s="36"/>
      <c r="T313" s="36" t="n">
        <f aca="false">IFERROR(T102/T119,"")</f>
        <v>0.0275500604757425</v>
      </c>
      <c r="U313" s="36"/>
      <c r="V313" s="36"/>
      <c r="W313" s="36"/>
      <c r="X313" s="36"/>
      <c r="Y313" s="36"/>
      <c r="Z313" s="36" t="n">
        <f aca="false">IFERROR(Z102/Z119,"")</f>
        <v>0.0248287671232877</v>
      </c>
      <c r="AA313" s="36"/>
      <c r="AB313" s="36"/>
      <c r="AC313" s="36"/>
      <c r="AD313" s="36"/>
      <c r="AE313" s="36"/>
      <c r="AF313" s="36" t="n">
        <f aca="false">IFERROR(AF102/AF119,"")</f>
        <v>0.025508484099337</v>
      </c>
      <c r="AG313" s="36"/>
      <c r="AH313" s="36"/>
      <c r="AI313" s="36"/>
      <c r="AJ313" s="36"/>
      <c r="AK313" s="36"/>
      <c r="AL313" s="36" t="n">
        <f aca="false">IFERROR(AL102/AL119,"")</f>
        <v>0.0263860698643307</v>
      </c>
      <c r="AM313" s="36"/>
      <c r="AN313" s="36"/>
      <c r="AO313" s="36"/>
      <c r="AP313" s="36"/>
      <c r="AQ313" s="36"/>
      <c r="AR313" s="36" t="n">
        <f aca="false">IFERROR(AR102/AR119,"")</f>
        <v>0.0307643847123058</v>
      </c>
      <c r="AS313" s="36"/>
      <c r="AT313" s="36"/>
      <c r="AU313" s="36"/>
      <c r="AV313" s="36"/>
      <c r="AW313" s="36"/>
      <c r="AX313" s="36" t="n">
        <f aca="false">IFERROR(AX102/AX119,"")</f>
        <v>0.0335331584863245</v>
      </c>
      <c r="AY313" s="36"/>
      <c r="AZ313" s="36"/>
      <c r="BA313" s="36"/>
      <c r="BB313" s="36"/>
      <c r="BC313" s="36"/>
      <c r="BD313" s="36" t="n">
        <f aca="false">IFERROR(BD102/BD119,"")</f>
        <v>0.0302950934171468</v>
      </c>
      <c r="BE313" s="36"/>
      <c r="BF313" s="36"/>
      <c r="BG313" s="36"/>
      <c r="BH313" s="36"/>
      <c r="BI313" s="36"/>
      <c r="BJ313" s="36" t="n">
        <f aca="false">IFERROR(BJ102/BJ119,"")</f>
        <v>0.0282618118768964</v>
      </c>
      <c r="BK313" s="36"/>
      <c r="BL313" s="36"/>
      <c r="BM313" s="36"/>
      <c r="BN313" s="36"/>
      <c r="BO313" s="36"/>
      <c r="BP313" s="36" t="n">
        <f aca="false">IFERROR(BP102/BP119,"")</f>
        <v>0.0263537327779558</v>
      </c>
      <c r="BQ313" s="36"/>
      <c r="BR313" s="36"/>
      <c r="BS313" s="36"/>
      <c r="BT313" s="38"/>
      <c r="BU313" s="38"/>
      <c r="BV313" s="38" t="n">
        <f aca="false">IFERROR(BV102/BV119,"")</f>
        <v>0.0249056603773585</v>
      </c>
      <c r="BW313" s="38" t="n">
        <f aca="false">IFERROR(BW102/BW119,"")</f>
        <v>0.0241313145243851</v>
      </c>
      <c r="BX313" s="38" t="n">
        <f aca="false">IFERROR(BX102/BX119,"")</f>
        <v>0.0241002128856706</v>
      </c>
      <c r="BY313" s="38" t="n">
        <f aca="false">IFERROR(BY102/BY119,"")</f>
        <v>0.0240774927533259</v>
      </c>
      <c r="BZ313" s="38" t="n">
        <f aca="false">IFERROR(BZ102/BZ119,"")</f>
        <v>0.0240597609688598</v>
      </c>
      <c r="CA313" s="16"/>
      <c r="CC313" s="40" t="n">
        <f aca="false">IFERROR(AVERAGE(BV313,BW313,BX313,BY313,BZ313),"n/m")</f>
        <v>0.02425488830192</v>
      </c>
      <c r="CD313" s="40" t="n">
        <f aca="false">IFERROR(AVERAGE(AR313,AX313,BD313,BJ313,BP313),"n/m")</f>
        <v>0.0298416362541259</v>
      </c>
      <c r="CE313" s="40" t="n">
        <f aca="false">IFERROR(AVERAGE(N313,T313,Z313,AF313,AL313,AR313,AX313,BD313,BJ313,BP313),"n/m")</f>
        <v>0.0279797352307011</v>
      </c>
    </row>
    <row r="314" customFormat="false" ht="15" hidden="false" customHeight="false" outlineLevel="0" collapsed="false">
      <c r="B314" s="35" t="s">
        <v>438</v>
      </c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7" t="n">
        <f aca="false">IFERROR(N253/H253-1,"")</f>
        <v>0.0870279146141215</v>
      </c>
      <c r="O314" s="36"/>
      <c r="P314" s="36"/>
      <c r="Q314" s="36"/>
      <c r="R314" s="36"/>
      <c r="S314" s="36"/>
      <c r="T314" s="37" t="n">
        <f aca="false">IFERROR(T253/N253-1,"")</f>
        <v>0.115307150050352</v>
      </c>
      <c r="U314" s="36"/>
      <c r="V314" s="36"/>
      <c r="W314" s="36"/>
      <c r="X314" s="36"/>
      <c r="Y314" s="36"/>
      <c r="Z314" s="37" t="n">
        <f aca="false">IFERROR(Z253/T253-1,"")</f>
        <v>0.136343115124153</v>
      </c>
      <c r="AA314" s="36"/>
      <c r="AB314" s="36"/>
      <c r="AC314" s="36"/>
      <c r="AD314" s="36"/>
      <c r="AE314" s="36"/>
      <c r="AF314" s="37" t="n">
        <f aca="false">IFERROR(AF253/Z253-1,"")</f>
        <v>0.125148986889154</v>
      </c>
      <c r="AG314" s="36"/>
      <c r="AH314" s="36"/>
      <c r="AI314" s="36"/>
      <c r="AJ314" s="36"/>
      <c r="AK314" s="36"/>
      <c r="AL314" s="37" t="n">
        <f aca="false">IFERROR(AL253/AF253-1,"")</f>
        <v>0.0515536723163841</v>
      </c>
      <c r="AM314" s="36"/>
      <c r="AN314" s="36"/>
      <c r="AO314" s="36"/>
      <c r="AP314" s="36"/>
      <c r="AQ314" s="36"/>
      <c r="AR314" s="37" t="n">
        <f aca="false">IFERROR(AR253/AL253-1,"")</f>
        <v>0.0433176628609806</v>
      </c>
      <c r="AS314" s="36"/>
      <c r="AT314" s="36"/>
      <c r="AU314" s="36"/>
      <c r="AV314" s="36"/>
      <c r="AW314" s="36"/>
      <c r="AX314" s="37" t="n">
        <f aca="false">IFERROR(AX253/AR253-1,"")</f>
        <v>0.0292887029288702</v>
      </c>
      <c r="AY314" s="36"/>
      <c r="AZ314" s="36"/>
      <c r="BA314" s="36"/>
      <c r="BB314" s="36"/>
      <c r="BC314" s="36"/>
      <c r="BD314" s="37" t="n">
        <f aca="false">IFERROR(BD253/AX253-1,"")</f>
        <v>0.030644152595372</v>
      </c>
      <c r="BE314" s="36"/>
      <c r="BF314" s="36"/>
      <c r="BG314" s="36"/>
      <c r="BH314" s="36"/>
      <c r="BI314" s="36"/>
      <c r="BJ314" s="37" t="n">
        <f aca="false">IFERROR(BJ253/BD253-1,"")</f>
        <v>0.0467233009708739</v>
      </c>
      <c r="BK314" s="36"/>
      <c r="BL314" s="36"/>
      <c r="BM314" s="36"/>
      <c r="BN314" s="36"/>
      <c r="BO314" s="36"/>
      <c r="BP314" s="37" t="n">
        <f aca="false">IFERROR(BP253/BJ253-1,"")</f>
        <v>0.0800000000000001</v>
      </c>
      <c r="BQ314" s="36"/>
      <c r="BR314" s="36"/>
      <c r="BS314" s="36"/>
      <c r="BT314" s="38"/>
      <c r="BU314" s="38"/>
      <c r="BV314" s="38" t="n">
        <f aca="false">IFERROR(BV253/BP253-1,"")</f>
        <v>0.0923913043478262</v>
      </c>
      <c r="BW314" s="38" t="n">
        <f aca="false">IFERROR(BW253/BV253-1,"")</f>
        <v>0.0762229991907091</v>
      </c>
      <c r="BX314" s="38" t="n">
        <f aca="false">IFERROR(BX253/BW253-1,"")</f>
        <v>0.0643079278808607</v>
      </c>
      <c r="BY314" s="38" t="n">
        <f aca="false">IFERROR(BY253/BX253-1,"")</f>
        <v>0.0534624594549447</v>
      </c>
      <c r="BZ314" s="38" t="n">
        <f aca="false">IFERROR(BZ253/BY253-1,"")</f>
        <v>0.0426952659095103</v>
      </c>
      <c r="CA314" s="16"/>
      <c r="CC314" s="5"/>
      <c r="CD314" s="5"/>
      <c r="CE314" s="5"/>
    </row>
    <row r="315" customFormat="false" ht="15" hidden="false" customHeight="false" outlineLevel="0" collapsed="false">
      <c r="B315" s="1" t="s">
        <v>439</v>
      </c>
      <c r="C315" s="2"/>
      <c r="D315" s="2"/>
      <c r="E315" s="2"/>
      <c r="F315" s="2"/>
      <c r="G315" s="2"/>
      <c r="H315" s="2" t="n">
        <f aca="false">H257-H273-H274-H266</f>
        <v>-1567</v>
      </c>
      <c r="I315" s="2"/>
      <c r="J315" s="2"/>
      <c r="K315" s="2"/>
      <c r="L315" s="2"/>
      <c r="M315" s="2"/>
      <c r="N315" s="2" t="n">
        <f aca="false">N257-N273-N274-N266</f>
        <v>-1694</v>
      </c>
      <c r="O315" s="2"/>
      <c r="P315" s="2"/>
      <c r="Q315" s="2"/>
      <c r="R315" s="2"/>
      <c r="S315" s="2"/>
      <c r="T315" s="2" t="n">
        <f aca="false">T257-T273-T274-T266</f>
        <v>-1475</v>
      </c>
      <c r="U315" s="2"/>
      <c r="V315" s="2"/>
      <c r="W315" s="2"/>
      <c r="X315" s="2"/>
      <c r="Y315" s="2"/>
      <c r="Z315" s="2" t="n">
        <f aca="false">Z257-Z273-Z274-Z266</f>
        <v>-1243</v>
      </c>
      <c r="AA315" s="2"/>
      <c r="AB315" s="2"/>
      <c r="AC315" s="2"/>
      <c r="AD315" s="2"/>
      <c r="AE315" s="2"/>
      <c r="AF315" s="2" t="n">
        <f aca="false">AF257-AF273-AF274-AF266</f>
        <v>-1485</v>
      </c>
      <c r="AG315" s="2"/>
      <c r="AH315" s="2"/>
      <c r="AI315" s="2"/>
      <c r="AJ315" s="2"/>
      <c r="AK315" s="2"/>
      <c r="AL315" s="2" t="n">
        <f aca="false">AL257-AL273-AL274-AL266</f>
        <v>-1494</v>
      </c>
      <c r="AM315" s="2"/>
      <c r="AN315" s="2"/>
      <c r="AO315" s="2"/>
      <c r="AP315" s="2"/>
      <c r="AQ315" s="2"/>
      <c r="AR315" s="2" t="n">
        <f aca="false">AR257-AR273-AR274-AR266</f>
        <v>-575</v>
      </c>
      <c r="AS315" s="2"/>
      <c r="AT315" s="2"/>
      <c r="AU315" s="2"/>
      <c r="AV315" s="2"/>
      <c r="AW315" s="2"/>
      <c r="AX315" s="2" t="n">
        <f aca="false">AX257-AX273-AX274-AX266</f>
        <v>-8</v>
      </c>
      <c r="AY315" s="2"/>
      <c r="AZ315" s="2"/>
      <c r="BA315" s="2"/>
      <c r="BB315" s="2"/>
      <c r="BC315" s="2"/>
      <c r="BD315" s="2" t="n">
        <f aca="false">BD257-BD273-BD274-BD266</f>
        <v>306</v>
      </c>
      <c r="BE315" s="2"/>
      <c r="BF315" s="2"/>
      <c r="BG315" s="2"/>
      <c r="BH315" s="2"/>
      <c r="BI315" s="2"/>
      <c r="BJ315" s="2" t="n">
        <f aca="false">BJ257-BJ273-BJ274-BJ266</f>
        <v>947</v>
      </c>
      <c r="BK315" s="2"/>
      <c r="BL315" s="2"/>
      <c r="BM315" s="2"/>
      <c r="BN315" s="2"/>
      <c r="BO315" s="2"/>
      <c r="BP315" s="2" t="n">
        <f aca="false">BP257-BP273-BP274-BP266</f>
        <v>1070</v>
      </c>
      <c r="BQ315" s="2"/>
      <c r="BR315" s="2"/>
      <c r="BS315" s="2" t="n">
        <f aca="false">BS257-BS273-BS274-BS266</f>
        <v>1164</v>
      </c>
      <c r="BT315" s="3"/>
      <c r="BU315" s="3"/>
      <c r="BV315" s="3" t="n">
        <f aca="false">BV257-BV273-BV274-BV266</f>
        <v>1239</v>
      </c>
      <c r="BW315" s="3" t="n">
        <f aca="false">BW257-BW273-BW274-BW266</f>
        <v>1408</v>
      </c>
      <c r="BX315" s="3" t="n">
        <f aca="false">BX257-BX273-BX274-BX266</f>
        <v>1577</v>
      </c>
      <c r="BY315" s="3" t="n">
        <f aca="false">BY257-BY273-BY274-BY266</f>
        <v>1746</v>
      </c>
      <c r="BZ315" s="3" t="n">
        <f aca="false">BZ257-BZ273-BZ274-BZ266</f>
        <v>1915</v>
      </c>
      <c r="CA315" s="16"/>
      <c r="CC315" s="5"/>
      <c r="CD315" s="5"/>
      <c r="CE315" s="5"/>
    </row>
    <row r="316" customFormat="false" ht="15" hidden="false" customHeight="false" outlineLevel="0" collapsed="false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3"/>
      <c r="BU316" s="3"/>
      <c r="BV316" s="3"/>
      <c r="BW316" s="3"/>
      <c r="BX316" s="3"/>
      <c r="BY316" s="3"/>
      <c r="BZ316" s="3"/>
      <c r="CA316" s="16"/>
      <c r="CC316" s="5"/>
      <c r="CD316" s="5"/>
      <c r="CE316" s="5"/>
    </row>
    <row r="317" customFormat="false" ht="15" hidden="false" customHeight="false" outlineLevel="0" collapsed="false">
      <c r="B317" s="15" t="s">
        <v>440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C317" s="15"/>
      <c r="CD317" s="15"/>
      <c r="CE317" s="15"/>
    </row>
    <row r="318" customFormat="false" ht="15" hidden="false" customHeight="false" outlineLevel="0" collapsed="false">
      <c r="B318" s="20" t="s">
        <v>441</v>
      </c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</row>
    <row r="319" customFormat="false" ht="15" hidden="false" customHeight="false" outlineLevel="0" collapsed="false">
      <c r="B319" s="1" t="s">
        <v>442</v>
      </c>
      <c r="C319" s="2"/>
      <c r="D319" s="2"/>
      <c r="E319" s="2"/>
      <c r="F319" s="2"/>
      <c r="G319" s="2"/>
      <c r="H319" s="2" t="n">
        <f aca="false">H97</f>
        <v>667</v>
      </c>
      <c r="I319" s="2"/>
      <c r="J319" s="2"/>
      <c r="K319" s="2"/>
      <c r="L319" s="2"/>
      <c r="M319" s="2"/>
      <c r="N319" s="2" t="n">
        <f aca="false">N97</f>
        <v>715</v>
      </c>
      <c r="O319" s="2"/>
      <c r="P319" s="2"/>
      <c r="Q319" s="2"/>
      <c r="R319" s="2"/>
      <c r="S319" s="2"/>
      <c r="T319" s="2" t="n">
        <f aca="false">T97</f>
        <v>688</v>
      </c>
      <c r="U319" s="2"/>
      <c r="V319" s="2"/>
      <c r="W319" s="2"/>
      <c r="X319" s="2"/>
      <c r="Y319" s="2"/>
      <c r="Z319" s="2" t="n">
        <f aca="false">Z97</f>
        <v>663</v>
      </c>
      <c r="AA319" s="2"/>
      <c r="AB319" s="2"/>
      <c r="AC319" s="2"/>
      <c r="AD319" s="2"/>
      <c r="AE319" s="2"/>
      <c r="AF319" s="2" t="n">
        <f aca="false">AF97</f>
        <v>631</v>
      </c>
      <c r="AG319" s="2"/>
      <c r="AH319" s="2"/>
      <c r="AI319" s="2"/>
      <c r="AJ319" s="2"/>
      <c r="AK319" s="2"/>
      <c r="AL319" s="2" t="n">
        <f aca="false">AL97</f>
        <v>555</v>
      </c>
      <c r="AM319" s="2"/>
      <c r="AN319" s="2"/>
      <c r="AO319" s="2"/>
      <c r="AP319" s="2"/>
      <c r="AQ319" s="2"/>
      <c r="AR319" s="2" t="n">
        <f aca="false">AR97</f>
        <v>683</v>
      </c>
      <c r="AS319" s="2"/>
      <c r="AT319" s="2"/>
      <c r="AU319" s="2"/>
      <c r="AV319" s="2"/>
      <c r="AW319" s="2"/>
      <c r="AX319" s="2" t="n">
        <f aca="false">AX97</f>
        <v>712</v>
      </c>
      <c r="AY319" s="2"/>
      <c r="AZ319" s="2"/>
      <c r="BA319" s="2"/>
      <c r="BB319" s="2"/>
      <c r="BC319" s="2"/>
      <c r="BD319" s="2" t="n">
        <f aca="false">BD97</f>
        <v>842</v>
      </c>
      <c r="BE319" s="2"/>
      <c r="BF319" s="2"/>
      <c r="BG319" s="2"/>
      <c r="BH319" s="2"/>
      <c r="BI319" s="2"/>
      <c r="BJ319" s="2" t="n">
        <f aca="false">BJ97</f>
        <v>573</v>
      </c>
      <c r="BK319" s="2"/>
      <c r="BL319" s="2"/>
      <c r="BM319" s="2"/>
      <c r="BN319" s="2"/>
      <c r="BO319" s="2"/>
      <c r="BP319" s="2" t="n">
        <f aca="false">BP97</f>
        <v>717</v>
      </c>
      <c r="BQ319" s="2"/>
      <c r="BR319" s="2"/>
      <c r="BS319" s="2"/>
      <c r="BT319" s="3"/>
      <c r="BU319" s="3"/>
      <c r="BV319" s="3" t="n">
        <f aca="false">BV97</f>
        <v>798.75</v>
      </c>
      <c r="BW319" s="3" t="n">
        <f aca="false">BW97</f>
        <v>927.888529701023</v>
      </c>
      <c r="BX319" s="3" t="n">
        <f aca="false">BX97</f>
        <v>1016.41604789536</v>
      </c>
      <c r="BY319" s="3" t="n">
        <f aca="false">BY97</f>
        <v>1108.53462610799</v>
      </c>
      <c r="BZ319" s="3" t="n">
        <f aca="false">BZ97</f>
        <v>1202.77964671479</v>
      </c>
      <c r="CA319" s="16"/>
      <c r="CC319" s="5"/>
      <c r="CD319" s="5"/>
      <c r="CE319" s="5"/>
    </row>
    <row r="320" customFormat="false" ht="15" hidden="false" customHeight="false" outlineLevel="0" collapsed="false">
      <c r="B320" s="35" t="s">
        <v>443</v>
      </c>
      <c r="C320" s="36"/>
      <c r="D320" s="36"/>
      <c r="E320" s="36"/>
      <c r="F320" s="36"/>
      <c r="G320" s="36"/>
      <c r="H320" s="36" t="n">
        <f aca="false">H132</f>
        <v>0.360759493670886</v>
      </c>
      <c r="I320" s="36"/>
      <c r="J320" s="36"/>
      <c r="K320" s="36"/>
      <c r="L320" s="36"/>
      <c r="M320" s="36"/>
      <c r="N320" s="36" t="n">
        <f aca="false">N132</f>
        <v>0.269132653061224</v>
      </c>
      <c r="O320" s="36"/>
      <c r="P320" s="36"/>
      <c r="Q320" s="36"/>
      <c r="R320" s="36"/>
      <c r="S320" s="36"/>
      <c r="T320" s="36" t="n">
        <f aca="false">T132</f>
        <v>0.379533678756477</v>
      </c>
      <c r="U320" s="36"/>
      <c r="V320" s="36"/>
      <c r="W320" s="36"/>
      <c r="X320" s="36"/>
      <c r="Y320" s="36"/>
      <c r="Z320" s="36" t="n">
        <f aca="false">Z132</f>
        <v>0.13903192584964</v>
      </c>
      <c r="AA320" s="36"/>
      <c r="AB320" s="36"/>
      <c r="AC320" s="36"/>
      <c r="AD320" s="36"/>
      <c r="AE320" s="36"/>
      <c r="AF320" s="36" t="n">
        <f aca="false">AF132</f>
        <v>0.196193265007321</v>
      </c>
      <c r="AG320" s="36"/>
      <c r="AH320" s="36"/>
      <c r="AI320" s="36"/>
      <c r="AJ320" s="36"/>
      <c r="AK320" s="36"/>
      <c r="AL320" s="36" t="n">
        <f aca="false">AL132</f>
        <v>0.140740740740741</v>
      </c>
      <c r="AM320" s="36"/>
      <c r="AN320" s="36"/>
      <c r="AO320" s="36"/>
      <c r="AP320" s="36"/>
      <c r="AQ320" s="36"/>
      <c r="AR320" s="36" t="n">
        <f aca="false">AR132</f>
        <v>0.12540192926045</v>
      </c>
      <c r="AS320" s="36"/>
      <c r="AT320" s="36"/>
      <c r="AU320" s="36"/>
      <c r="AV320" s="36"/>
      <c r="AW320" s="36"/>
      <c r="AX320" s="36" t="n">
        <f aca="false">AX132</f>
        <v>0.19471488178025</v>
      </c>
      <c r="AY320" s="36"/>
      <c r="AZ320" s="36"/>
      <c r="BA320" s="36"/>
      <c r="BB320" s="36"/>
      <c r="BC320" s="36"/>
      <c r="BD320" s="36" t="n">
        <f aca="false">BD132</f>
        <v>0.201641266119578</v>
      </c>
      <c r="BE320" s="36"/>
      <c r="BF320" s="36"/>
      <c r="BG320" s="36"/>
      <c r="BH320" s="36"/>
      <c r="BI320" s="36"/>
      <c r="BJ320" s="36" t="n">
        <f aca="false">BJ132</f>
        <v>0.144634525660964</v>
      </c>
      <c r="BK320" s="36"/>
      <c r="BL320" s="36"/>
      <c r="BM320" s="36"/>
      <c r="BN320" s="36"/>
      <c r="BO320" s="36"/>
      <c r="BP320" s="36" t="n">
        <f aca="false">BP132</f>
        <v>0.221364221364221</v>
      </c>
      <c r="BQ320" s="36"/>
      <c r="BR320" s="36"/>
      <c r="BS320" s="36"/>
      <c r="BT320" s="38"/>
      <c r="BU320" s="38"/>
      <c r="BV320" s="38" t="n">
        <f aca="false">BV132</f>
        <v>0.17</v>
      </c>
      <c r="BW320" s="38" t="n">
        <f aca="false">BW132</f>
        <v>0.18</v>
      </c>
      <c r="BX320" s="38" t="n">
        <f aca="false">BX132</f>
        <v>0.18</v>
      </c>
      <c r="BY320" s="38" t="n">
        <f aca="false">BY132</f>
        <v>0.18</v>
      </c>
      <c r="BZ320" s="38" t="n">
        <f aca="false">BZ132</f>
        <v>0.18</v>
      </c>
      <c r="CA320" s="16"/>
      <c r="CC320" s="5"/>
      <c r="CD320" s="5"/>
      <c r="CE320" s="5"/>
    </row>
    <row r="321" customFormat="false" ht="15" hidden="false" customHeight="false" outlineLevel="0" collapsed="false">
      <c r="B321" s="1" t="s">
        <v>444</v>
      </c>
      <c r="C321" s="2"/>
      <c r="D321" s="2"/>
      <c r="E321" s="2"/>
      <c r="F321" s="2"/>
      <c r="G321" s="2"/>
      <c r="H321" s="2" t="n">
        <f aca="false">IFERROR(H319*(1-H320),"n/a")</f>
        <v>426.373417721519</v>
      </c>
      <c r="I321" s="2"/>
      <c r="J321" s="2"/>
      <c r="K321" s="2"/>
      <c r="L321" s="2"/>
      <c r="M321" s="2"/>
      <c r="N321" s="2" t="n">
        <f aca="false">IFERROR(N319*(1-N320),"n/a")</f>
        <v>522.570153061225</v>
      </c>
      <c r="O321" s="2"/>
      <c r="P321" s="2"/>
      <c r="Q321" s="2"/>
      <c r="R321" s="2"/>
      <c r="S321" s="2"/>
      <c r="T321" s="2" t="n">
        <f aca="false">IFERROR(T319*(1-T320),"n/a")</f>
        <v>426.880829015544</v>
      </c>
      <c r="U321" s="2"/>
      <c r="V321" s="2"/>
      <c r="W321" s="2"/>
      <c r="X321" s="2"/>
      <c r="Y321" s="2"/>
      <c r="Z321" s="2" t="n">
        <f aca="false">IFERROR(Z319*(1-Z320),"n/a")</f>
        <v>570.821833161689</v>
      </c>
      <c r="AA321" s="2"/>
      <c r="AB321" s="2"/>
      <c r="AC321" s="2"/>
      <c r="AD321" s="2"/>
      <c r="AE321" s="2"/>
      <c r="AF321" s="2" t="n">
        <f aca="false">IFERROR(AF319*(1-AF320),"n/a")</f>
        <v>507.202049780381</v>
      </c>
      <c r="AG321" s="2"/>
      <c r="AH321" s="2"/>
      <c r="AI321" s="2"/>
      <c r="AJ321" s="2"/>
      <c r="AK321" s="2"/>
      <c r="AL321" s="2" t="n">
        <f aca="false">IFERROR(AL319*(1-AL320),"n/a")</f>
        <v>476.888888888889</v>
      </c>
      <c r="AM321" s="2"/>
      <c r="AN321" s="2"/>
      <c r="AO321" s="2"/>
      <c r="AP321" s="2"/>
      <c r="AQ321" s="2"/>
      <c r="AR321" s="2" t="n">
        <f aca="false">IFERROR(AR319*(1-AR320),"n/a")</f>
        <v>597.350482315113</v>
      </c>
      <c r="AS321" s="2"/>
      <c r="AT321" s="2"/>
      <c r="AU321" s="2"/>
      <c r="AV321" s="2"/>
      <c r="AW321" s="2"/>
      <c r="AX321" s="2" t="n">
        <f aca="false">IFERROR(AX319*(1-AX320),"n/a")</f>
        <v>573.363004172462</v>
      </c>
      <c r="AY321" s="2"/>
      <c r="AZ321" s="2"/>
      <c r="BA321" s="2"/>
      <c r="BB321" s="2"/>
      <c r="BC321" s="2"/>
      <c r="BD321" s="2" t="n">
        <f aca="false">IFERROR(BD319*(1-BD320),"n/a")</f>
        <v>672.218053927315</v>
      </c>
      <c r="BE321" s="2"/>
      <c r="BF321" s="2"/>
      <c r="BG321" s="2"/>
      <c r="BH321" s="2"/>
      <c r="BI321" s="2"/>
      <c r="BJ321" s="2" t="n">
        <f aca="false">IFERROR(BJ319*(1-BJ320),"n/a")</f>
        <v>490.124416796268</v>
      </c>
      <c r="BK321" s="2"/>
      <c r="BL321" s="2"/>
      <c r="BM321" s="2"/>
      <c r="BN321" s="2"/>
      <c r="BO321" s="2"/>
      <c r="BP321" s="2" t="n">
        <f aca="false">IFERROR(BP319*(1-BP320),"n/a")</f>
        <v>558.281853281853</v>
      </c>
      <c r="BQ321" s="2"/>
      <c r="BR321" s="2"/>
      <c r="BS321" s="2"/>
      <c r="BT321" s="3"/>
      <c r="BU321" s="3"/>
      <c r="BV321" s="3" t="n">
        <f aca="false">IFERROR(BV319*(1-BV320),"n/a")</f>
        <v>662.9625</v>
      </c>
      <c r="BW321" s="3" t="n">
        <f aca="false">IFERROR(BW319*(1-BW320),"n/a")</f>
        <v>760.868594354839</v>
      </c>
      <c r="BX321" s="3" t="n">
        <f aca="false">IFERROR(BX319*(1-BX320),"n/a")</f>
        <v>833.461159274194</v>
      </c>
      <c r="BY321" s="3" t="n">
        <f aca="false">IFERROR(BY319*(1-BY320),"n/a")</f>
        <v>908.998393408548</v>
      </c>
      <c r="BZ321" s="3" t="n">
        <f aca="false">IFERROR(BZ319*(1-BZ320),"n/a")</f>
        <v>986.279310306131</v>
      </c>
      <c r="CA321" s="16"/>
      <c r="CC321" s="5"/>
      <c r="CD321" s="5"/>
      <c r="CE321" s="5"/>
    </row>
    <row r="322" customFormat="false" ht="15" hidden="false" customHeight="false" outlineLevel="0" collapsed="false">
      <c r="B322" s="1" t="s">
        <v>445</v>
      </c>
      <c r="C322" s="2"/>
      <c r="D322" s="2"/>
      <c r="E322" s="2"/>
      <c r="F322" s="2"/>
      <c r="G322" s="2"/>
      <c r="H322" s="2" t="n">
        <f aca="false">IFERROR(H323+H324,"n/a")</f>
        <v>1869</v>
      </c>
      <c r="I322" s="2"/>
      <c r="J322" s="2"/>
      <c r="K322" s="2"/>
      <c r="L322" s="2"/>
      <c r="M322" s="2"/>
      <c r="N322" s="2" t="n">
        <f aca="false">IFERROR(N323+N324,"n/a")</f>
        <v>2211</v>
      </c>
      <c r="O322" s="2"/>
      <c r="P322" s="2"/>
      <c r="Q322" s="2"/>
      <c r="R322" s="2"/>
      <c r="S322" s="2"/>
      <c r="T322" s="2" t="n">
        <f aca="false">IFERROR(T323+T324,"n/a")</f>
        <v>2336</v>
      </c>
      <c r="U322" s="2"/>
      <c r="V322" s="2"/>
      <c r="W322" s="2"/>
      <c r="X322" s="2"/>
      <c r="Y322" s="2"/>
      <c r="Z322" s="2" t="n">
        <f aca="false">IFERROR(Z323+Z324,"n/a")</f>
        <v>2559</v>
      </c>
      <c r="AA322" s="2"/>
      <c r="AB322" s="2"/>
      <c r="AC322" s="2"/>
      <c r="AD322" s="2"/>
      <c r="AE322" s="2"/>
      <c r="AF322" s="2" t="n">
        <f aca="false">IFERROR(AF323+AF324,"n/a")</f>
        <v>2799</v>
      </c>
      <c r="AG322" s="2"/>
      <c r="AH322" s="2"/>
      <c r="AI322" s="2"/>
      <c r="AJ322" s="2"/>
      <c r="AK322" s="2"/>
      <c r="AL322" s="2" t="n">
        <f aca="false">IFERROR(AL323+AL324,"n/a")</f>
        <v>3075</v>
      </c>
      <c r="AM322" s="2"/>
      <c r="AN322" s="2"/>
      <c r="AO322" s="2"/>
      <c r="AP322" s="2"/>
      <c r="AQ322" s="2"/>
      <c r="AR322" s="2" t="n">
        <f aca="false">IFERROR(AR323+AR324,"n/a")</f>
        <v>5479</v>
      </c>
      <c r="AS322" s="2"/>
      <c r="AT322" s="2"/>
      <c r="AU322" s="2"/>
      <c r="AV322" s="2"/>
      <c r="AW322" s="2"/>
      <c r="AX322" s="2" t="n">
        <f aca="false">IFERROR(AX323+AX324,"n/a")</f>
        <v>5927</v>
      </c>
      <c r="AY322" s="2"/>
      <c r="AZ322" s="2"/>
      <c r="BA322" s="2"/>
      <c r="BB322" s="2"/>
      <c r="BC322" s="2"/>
      <c r="BD322" s="2" t="n">
        <f aca="false">IFERROR(BD323+BD324,"n/a")</f>
        <v>6108</v>
      </c>
      <c r="BE322" s="2"/>
      <c r="BF322" s="2"/>
      <c r="BG322" s="2"/>
      <c r="BH322" s="2"/>
      <c r="BI322" s="2"/>
      <c r="BJ322" s="2" t="n">
        <f aca="false">IFERROR(BJ323+BJ324,"n/a")</f>
        <v>7038</v>
      </c>
      <c r="BK322" s="2"/>
      <c r="BL322" s="2"/>
      <c r="BM322" s="2"/>
      <c r="BN322" s="2"/>
      <c r="BO322" s="2"/>
      <c r="BP322" s="2" t="n">
        <f aca="false">IFERROR(BP323+BP324,"n/a")</f>
        <v>6999</v>
      </c>
      <c r="BQ322" s="2"/>
      <c r="BR322" s="2"/>
      <c r="BS322" s="2"/>
      <c r="BT322" s="3"/>
      <c r="BU322" s="3"/>
      <c r="BV322" s="3" t="n">
        <f aca="false">IFERROR(BV323+BV324,"n/a")</f>
        <v>7225.0825</v>
      </c>
      <c r="BW322" s="3" t="n">
        <f aca="false">IFERROR(BW323+BW324,"n/a")</f>
        <v>7663.08482829638</v>
      </c>
      <c r="BX322" s="3" t="n">
        <f aca="false">IFERROR(BX323+BX324,"n/a")</f>
        <v>8014.3907541406</v>
      </c>
      <c r="BY322" s="3" t="n">
        <f aca="false">IFERROR(BY323+BY324,"n/a")</f>
        <v>8349.36887478351</v>
      </c>
      <c r="BZ322" s="3" t="n">
        <f aca="false">IFERROR(BZ323+BZ324,"n/a")</f>
        <v>8653.75661489904</v>
      </c>
      <c r="CA322" s="16"/>
      <c r="CC322" s="5"/>
      <c r="CD322" s="5"/>
      <c r="CE322" s="5"/>
    </row>
    <row r="323" customFormat="false" ht="15" hidden="false" customHeight="false" outlineLevel="0" collapsed="false">
      <c r="B323" s="1" t="s">
        <v>446</v>
      </c>
      <c r="C323" s="2"/>
      <c r="D323" s="2"/>
      <c r="E323" s="2"/>
      <c r="F323" s="2"/>
      <c r="G323" s="2"/>
      <c r="H323" s="2" t="n">
        <f aca="false">H286</f>
        <v>1490</v>
      </c>
      <c r="I323" s="2"/>
      <c r="J323" s="2"/>
      <c r="K323" s="2"/>
      <c r="L323" s="2"/>
      <c r="M323" s="2"/>
      <c r="N323" s="2" t="n">
        <f aca="false">N286</f>
        <v>1653</v>
      </c>
      <c r="O323" s="2"/>
      <c r="P323" s="2"/>
      <c r="Q323" s="2"/>
      <c r="R323" s="2"/>
      <c r="S323" s="2"/>
      <c r="T323" s="2" t="n">
        <f aca="false">T286</f>
        <v>1758</v>
      </c>
      <c r="U323" s="2"/>
      <c r="V323" s="2"/>
      <c r="W323" s="2"/>
      <c r="X323" s="2"/>
      <c r="Y323" s="2"/>
      <c r="Z323" s="2" t="n">
        <f aca="false">Z286</f>
        <v>1516</v>
      </c>
      <c r="AA323" s="2"/>
      <c r="AB323" s="2"/>
      <c r="AC323" s="2"/>
      <c r="AD323" s="2"/>
      <c r="AE323" s="2"/>
      <c r="AF323" s="2" t="n">
        <f aca="false">AF286</f>
        <v>1588</v>
      </c>
      <c r="AG323" s="2"/>
      <c r="AH323" s="2"/>
      <c r="AI323" s="2"/>
      <c r="AJ323" s="2"/>
      <c r="AK323" s="2"/>
      <c r="AL323" s="2" t="n">
        <f aca="false">AL286</f>
        <v>1901</v>
      </c>
      <c r="AM323" s="2"/>
      <c r="AN323" s="2"/>
      <c r="AO323" s="2"/>
      <c r="AP323" s="2"/>
      <c r="AQ323" s="2"/>
      <c r="AR323" s="2" t="n">
        <f aca="false">AR286</f>
        <v>2808</v>
      </c>
      <c r="AS323" s="2"/>
      <c r="AT323" s="2"/>
      <c r="AU323" s="2"/>
      <c r="AV323" s="2"/>
      <c r="AW323" s="2"/>
      <c r="AX323" s="2" t="n">
        <f aca="false">AX286</f>
        <v>3489</v>
      </c>
      <c r="AY323" s="2"/>
      <c r="AZ323" s="2"/>
      <c r="BA323" s="2"/>
      <c r="BB323" s="2"/>
      <c r="BC323" s="2"/>
      <c r="BD323" s="2" t="n">
        <f aca="false">BD286</f>
        <v>4093</v>
      </c>
      <c r="BE323" s="2"/>
      <c r="BF323" s="2"/>
      <c r="BG323" s="2"/>
      <c r="BH323" s="2"/>
      <c r="BI323" s="2"/>
      <c r="BJ323" s="2" t="n">
        <f aca="false">BJ286</f>
        <v>4666</v>
      </c>
      <c r="BK323" s="2"/>
      <c r="BL323" s="2"/>
      <c r="BM323" s="2"/>
      <c r="BN323" s="2"/>
      <c r="BO323" s="2"/>
      <c r="BP323" s="2" t="n">
        <f aca="false">BP286</f>
        <v>5073</v>
      </c>
      <c r="BQ323" s="2"/>
      <c r="BR323" s="2"/>
      <c r="BS323" s="2"/>
      <c r="BT323" s="3"/>
      <c r="BU323" s="3"/>
      <c r="BV323" s="3" t="n">
        <f aca="false">BV286</f>
        <v>5586.3185</v>
      </c>
      <c r="BW323" s="3" t="n">
        <f aca="false">BW286</f>
        <v>5996.87886884932</v>
      </c>
      <c r="BX323" s="3" t="n">
        <f aca="false">BX286</f>
        <v>6428.75073396871</v>
      </c>
      <c r="BY323" s="3" t="n">
        <f aca="false">BY286</f>
        <v>6885.51923128033</v>
      </c>
      <c r="BZ323" s="3" t="n">
        <f aca="false">BZ286</f>
        <v>7369.52368810083</v>
      </c>
      <c r="CA323" s="16"/>
      <c r="CC323" s="5"/>
      <c r="CD323" s="5"/>
      <c r="CE323" s="5"/>
    </row>
    <row r="324" customFormat="false" ht="15" hidden="false" customHeight="false" outlineLevel="0" collapsed="false">
      <c r="B324" s="1" t="s">
        <v>447</v>
      </c>
      <c r="C324" s="2"/>
      <c r="D324" s="2"/>
      <c r="E324" s="2"/>
      <c r="F324" s="2"/>
      <c r="G324" s="2"/>
      <c r="H324" s="2" t="n">
        <f aca="false">H309-H245</f>
        <v>379</v>
      </c>
      <c r="I324" s="2"/>
      <c r="J324" s="2"/>
      <c r="K324" s="2"/>
      <c r="L324" s="2"/>
      <c r="M324" s="2"/>
      <c r="N324" s="2" t="n">
        <f aca="false">N309-N245</f>
        <v>558</v>
      </c>
      <c r="O324" s="2"/>
      <c r="P324" s="2"/>
      <c r="Q324" s="2"/>
      <c r="R324" s="2"/>
      <c r="S324" s="2"/>
      <c r="T324" s="2" t="n">
        <f aca="false">T309-T245</f>
        <v>578</v>
      </c>
      <c r="U324" s="2"/>
      <c r="V324" s="2"/>
      <c r="W324" s="2"/>
      <c r="X324" s="2"/>
      <c r="Y324" s="2"/>
      <c r="Z324" s="2" t="n">
        <f aca="false">Z309-Z245</f>
        <v>1043</v>
      </c>
      <c r="AA324" s="2"/>
      <c r="AB324" s="2"/>
      <c r="AC324" s="2"/>
      <c r="AD324" s="2"/>
      <c r="AE324" s="2"/>
      <c r="AF324" s="2" t="n">
        <f aca="false">AF309-AF245</f>
        <v>1211</v>
      </c>
      <c r="AG324" s="2"/>
      <c r="AH324" s="2"/>
      <c r="AI324" s="2"/>
      <c r="AJ324" s="2"/>
      <c r="AK324" s="2"/>
      <c r="AL324" s="2" t="n">
        <f aca="false">AL309-AL245</f>
        <v>1174</v>
      </c>
      <c r="AM324" s="2"/>
      <c r="AN324" s="2"/>
      <c r="AO324" s="2"/>
      <c r="AP324" s="2"/>
      <c r="AQ324" s="2"/>
      <c r="AR324" s="2" t="n">
        <f aca="false">AR309-AR245</f>
        <v>2671</v>
      </c>
      <c r="AS324" s="2"/>
      <c r="AT324" s="2"/>
      <c r="AU324" s="2"/>
      <c r="AV324" s="2"/>
      <c r="AW324" s="2"/>
      <c r="AX324" s="2" t="n">
        <f aca="false">AX309-AX245</f>
        <v>2438</v>
      </c>
      <c r="AY324" s="2"/>
      <c r="AZ324" s="2"/>
      <c r="BA324" s="2"/>
      <c r="BB324" s="2"/>
      <c r="BC324" s="2"/>
      <c r="BD324" s="2" t="n">
        <f aca="false">BD309-BD245</f>
        <v>2015</v>
      </c>
      <c r="BE324" s="2"/>
      <c r="BF324" s="2"/>
      <c r="BG324" s="2"/>
      <c r="BH324" s="2"/>
      <c r="BI324" s="2"/>
      <c r="BJ324" s="2" t="n">
        <f aca="false">BJ309-BJ245</f>
        <v>2372</v>
      </c>
      <c r="BK324" s="2"/>
      <c r="BL324" s="2"/>
      <c r="BM324" s="2"/>
      <c r="BN324" s="2"/>
      <c r="BO324" s="2"/>
      <c r="BP324" s="2" t="n">
        <f aca="false">BP309-BP245</f>
        <v>1926</v>
      </c>
      <c r="BQ324" s="2"/>
      <c r="BR324" s="2"/>
      <c r="BS324" s="2"/>
      <c r="BT324" s="3"/>
      <c r="BU324" s="3"/>
      <c r="BV324" s="3" t="n">
        <f aca="false">BV309-BV245</f>
        <v>1638.764</v>
      </c>
      <c r="BW324" s="3" t="n">
        <f aca="false">BW309-BW245</f>
        <v>1666.20595944706</v>
      </c>
      <c r="BX324" s="3" t="n">
        <f aca="false">BX309-BX245</f>
        <v>1585.64002017189</v>
      </c>
      <c r="BY324" s="3" t="n">
        <f aca="false">BY309-BY245</f>
        <v>1463.84964350319</v>
      </c>
      <c r="BZ324" s="3" t="n">
        <f aca="false">BZ309-BZ245</f>
        <v>1284.23292679821</v>
      </c>
      <c r="CA324" s="16"/>
      <c r="CC324" s="5"/>
      <c r="CD324" s="5"/>
      <c r="CE324" s="5"/>
    </row>
    <row r="325" customFormat="false" ht="15" hidden="false" customHeight="false" outlineLevel="0" collapsed="false">
      <c r="B325" s="32" t="s">
        <v>448</v>
      </c>
      <c r="C325" s="93"/>
      <c r="D325" s="93"/>
      <c r="E325" s="93"/>
      <c r="F325" s="93"/>
      <c r="G325" s="93"/>
      <c r="H325" s="94" t="n">
        <f aca="false">IFERROR(H321/H322,"n/a")</f>
        <v>0.228129169460417</v>
      </c>
      <c r="I325" s="93"/>
      <c r="J325" s="93"/>
      <c r="K325" s="93"/>
      <c r="L325" s="93"/>
      <c r="M325" s="93"/>
      <c r="N325" s="94" t="n">
        <f aca="false">IFERROR(N321/N322,"n/a")</f>
        <v>0.236350137069753</v>
      </c>
      <c r="O325" s="93"/>
      <c r="P325" s="93"/>
      <c r="Q325" s="93"/>
      <c r="R325" s="93"/>
      <c r="S325" s="93"/>
      <c r="T325" s="94" t="n">
        <f aca="false">IFERROR(T321/T322,"n/a")</f>
        <v>0.182740080914188</v>
      </c>
      <c r="U325" s="93"/>
      <c r="V325" s="93"/>
      <c r="W325" s="93"/>
      <c r="X325" s="93"/>
      <c r="Y325" s="93"/>
      <c r="Z325" s="94" t="n">
        <f aca="false">IFERROR(Z321/Z322,"n/a")</f>
        <v>0.223064413115158</v>
      </c>
      <c r="AA325" s="93"/>
      <c r="AB325" s="93"/>
      <c r="AC325" s="93"/>
      <c r="AD325" s="93"/>
      <c r="AE325" s="93"/>
      <c r="AF325" s="94" t="n">
        <f aca="false">IFERROR(AF321/AF322,"n/a")</f>
        <v>0.181208306459586</v>
      </c>
      <c r="AG325" s="93"/>
      <c r="AH325" s="93"/>
      <c r="AI325" s="93"/>
      <c r="AJ325" s="93"/>
      <c r="AK325" s="93"/>
      <c r="AL325" s="94" t="n">
        <f aca="false">IFERROR(AL321/AL322,"n/a")</f>
        <v>0.155085817524842</v>
      </c>
      <c r="AM325" s="93"/>
      <c r="AN325" s="93"/>
      <c r="AO325" s="93"/>
      <c r="AP325" s="93"/>
      <c r="AQ325" s="93"/>
      <c r="AR325" s="94" t="n">
        <f aca="false">IFERROR(AR321/AR322,"n/a")</f>
        <v>0.109025457622762</v>
      </c>
      <c r="AS325" s="93"/>
      <c r="AT325" s="93"/>
      <c r="AU325" s="93"/>
      <c r="AV325" s="93"/>
      <c r="AW325" s="93"/>
      <c r="AX325" s="94" t="n">
        <f aca="false">IFERROR(AX321/AX322,"n/a")</f>
        <v>0.0967374732870696</v>
      </c>
      <c r="AY325" s="93"/>
      <c r="AZ325" s="93"/>
      <c r="BA325" s="93"/>
      <c r="BB325" s="93"/>
      <c r="BC325" s="93"/>
      <c r="BD325" s="94" t="n">
        <f aca="false">IFERROR(BD321/BD322,"n/a")</f>
        <v>0.110055346091571</v>
      </c>
      <c r="BE325" s="93"/>
      <c r="BF325" s="93"/>
      <c r="BG325" s="93"/>
      <c r="BH325" s="93"/>
      <c r="BI325" s="93"/>
      <c r="BJ325" s="94" t="n">
        <f aca="false">IFERROR(BJ321/BJ322,"n/a")</f>
        <v>0.0696397295817374</v>
      </c>
      <c r="BK325" s="93"/>
      <c r="BL325" s="93"/>
      <c r="BM325" s="93"/>
      <c r="BN325" s="93"/>
      <c r="BO325" s="93"/>
      <c r="BP325" s="94" t="n">
        <f aca="false">IFERROR(BP321/BP322,"n/a")</f>
        <v>0.0797659456039225</v>
      </c>
      <c r="BQ325" s="93"/>
      <c r="BR325" s="93"/>
      <c r="BS325" s="93"/>
      <c r="BT325" s="94"/>
      <c r="BU325" s="94"/>
      <c r="BV325" s="94" t="n">
        <f aca="false">IFERROR(BV321/BV322,"n/a")</f>
        <v>0.0917584678098831</v>
      </c>
      <c r="BW325" s="94" t="n">
        <f aca="false">IFERROR(BW321/BW322,"n/a")</f>
        <v>0.0992901176749718</v>
      </c>
      <c r="BX325" s="94" t="n">
        <f aca="false">IFERROR(BX321/BX322,"n/a")</f>
        <v>0.103995573068806</v>
      </c>
      <c r="BY325" s="94" t="n">
        <f aca="false">IFERROR(BY321/BY322,"n/a")</f>
        <v>0.108870311881162</v>
      </c>
      <c r="BZ325" s="94" t="n">
        <f aca="false">IFERROR(BZ321/BZ322,"n/a")</f>
        <v>0.113971232864126</v>
      </c>
      <c r="CA325" s="16"/>
      <c r="CC325" s="40" t="n">
        <f aca="false">IFERROR(AVERAGE(BV325,BW325,BX325,BY325,BZ325),"n/m")</f>
        <v>0.10357714065979</v>
      </c>
      <c r="CD325" s="40" t="n">
        <f aca="false">IFERROR(AVERAGE(AR325,AX325,BD325,BJ325,BP325),"n/m")</f>
        <v>0.0930447904374125</v>
      </c>
      <c r="CE325" s="40" t="n">
        <f aca="false">IFERROR(AVERAGE(N325,T325,Z325,AF325,AL325,AR325,AX325,BD325,BJ325,BP325),"n/m")</f>
        <v>0.144367270727059</v>
      </c>
    </row>
    <row r="326" customFormat="false" ht="15" hidden="false" customHeight="false" outlineLevel="0" collapsed="false">
      <c r="B326" s="35" t="s">
        <v>449</v>
      </c>
      <c r="C326" s="36"/>
      <c r="D326" s="36"/>
      <c r="E326" s="36"/>
      <c r="F326" s="36"/>
      <c r="G326" s="36"/>
      <c r="H326" s="36" t="n">
        <f aca="false">IFERROR(H319/H119,"n/a")</f>
        <v>0.095014245014245</v>
      </c>
      <c r="I326" s="36"/>
      <c r="J326" s="36"/>
      <c r="K326" s="36"/>
      <c r="L326" s="36"/>
      <c r="M326" s="36"/>
      <c r="N326" s="36" t="n">
        <f aca="false">IFERROR(N319/N119,"n/a")</f>
        <v>0.101160158460668</v>
      </c>
      <c r="O326" s="36"/>
      <c r="P326" s="36"/>
      <c r="Q326" s="36"/>
      <c r="R326" s="36"/>
      <c r="S326" s="36"/>
      <c r="T326" s="36" t="n">
        <f aca="false">IFERROR(T319/T119,"n/a")</f>
        <v>0.09246069076737</v>
      </c>
      <c r="U326" s="36"/>
      <c r="V326" s="36"/>
      <c r="W326" s="36"/>
      <c r="X326" s="36"/>
      <c r="Y326" s="36"/>
      <c r="Z326" s="36" t="n">
        <f aca="false">IFERROR(Z319/Z119,"n/a")</f>
        <v>0.0810909980430528</v>
      </c>
      <c r="AA326" s="36"/>
      <c r="AB326" s="36"/>
      <c r="AC326" s="36"/>
      <c r="AD326" s="36"/>
      <c r="AE326" s="36"/>
      <c r="AF326" s="36" t="n">
        <f aca="false">IFERROR(AF319/AF119,"n/a")</f>
        <v>0.0709068434655579</v>
      </c>
      <c r="AG326" s="36"/>
      <c r="AH326" s="36"/>
      <c r="AI326" s="36"/>
      <c r="AJ326" s="36"/>
      <c r="AK326" s="36"/>
      <c r="AL326" s="36" t="n">
        <f aca="false">IFERROR(AL319/AL119,"n/a")</f>
        <v>0.0592885375494071</v>
      </c>
      <c r="AM326" s="36"/>
      <c r="AN326" s="36"/>
      <c r="AO326" s="36"/>
      <c r="AP326" s="36"/>
      <c r="AQ326" s="36"/>
      <c r="AR326" s="36" t="n">
        <f aca="false">IFERROR(AR319/AR119,"n/a")</f>
        <v>0.0717135657286854</v>
      </c>
      <c r="AS326" s="36"/>
      <c r="AT326" s="36"/>
      <c r="AU326" s="36"/>
      <c r="AV326" s="36"/>
      <c r="AW326" s="36"/>
      <c r="AX326" s="36" t="n">
        <f aca="false">IFERROR(AX319/AX119,"n/a")</f>
        <v>0.0666916448107906</v>
      </c>
      <c r="AY326" s="36"/>
      <c r="AZ326" s="36"/>
      <c r="BA326" s="36"/>
      <c r="BB326" s="36"/>
      <c r="BC326" s="36"/>
      <c r="BD326" s="36" t="n">
        <f aca="false">IFERROR(BD319/BD119,"n/a")</f>
        <v>0.0735114370525581</v>
      </c>
      <c r="BE326" s="36"/>
      <c r="BF326" s="36"/>
      <c r="BG326" s="36"/>
      <c r="BH326" s="36"/>
      <c r="BI326" s="36"/>
      <c r="BJ326" s="36" t="n">
        <f aca="false">IFERROR(BJ319/BJ119,"n/a")</f>
        <v>0.0496749024707412</v>
      </c>
      <c r="BK326" s="36"/>
      <c r="BL326" s="36"/>
      <c r="BM326" s="36"/>
      <c r="BN326" s="36"/>
      <c r="BO326" s="36"/>
      <c r="BP326" s="36" t="n">
        <f aca="false">IFERROR(BP319/BP119,"n/a")</f>
        <v>0.0574335148990708</v>
      </c>
      <c r="BQ326" s="36"/>
      <c r="BR326" s="36"/>
      <c r="BS326" s="36"/>
      <c r="BT326" s="38"/>
      <c r="BU326" s="38"/>
      <c r="BV326" s="38" t="n">
        <f aca="false">IFERROR(BV319/BV119,"n/a")</f>
        <v>0.0602830188679245</v>
      </c>
      <c r="BW326" s="38" t="n">
        <f aca="false">IFERROR(BW319/BW119,"n/a")</f>
        <v>0.0659992752526428</v>
      </c>
      <c r="BX326" s="38" t="n">
        <f aca="false">IFERROR(BX319/BX119,"n/a")</f>
        <v>0.0685649269903091</v>
      </c>
      <c r="BY326" s="38" t="n">
        <f aca="false">IFERROR(BY319/BY119,"n/a")</f>
        <v>0.0711069713733799</v>
      </c>
      <c r="BZ326" s="38" t="n">
        <f aca="false">IFERROR(BZ319/BZ119,"n/a")</f>
        <v>0.0736374738833857</v>
      </c>
      <c r="CA326" s="16"/>
      <c r="CC326" s="5"/>
      <c r="CD326" s="5"/>
      <c r="CE326" s="5"/>
    </row>
    <row r="327" customFormat="false" ht="15" hidden="false" customHeight="false" outlineLevel="0" collapsed="false">
      <c r="B327" s="35" t="s">
        <v>450</v>
      </c>
      <c r="C327" s="43"/>
      <c r="D327" s="43"/>
      <c r="E327" s="43"/>
      <c r="F327" s="43"/>
      <c r="G327" s="43"/>
      <c r="H327" s="43" t="n">
        <f aca="false">IFERROR(H119/H322,"n/a")</f>
        <v>3.75601926163724</v>
      </c>
      <c r="I327" s="43"/>
      <c r="J327" s="43"/>
      <c r="K327" s="43"/>
      <c r="L327" s="43"/>
      <c r="M327" s="43"/>
      <c r="N327" s="43" t="n">
        <f aca="false">IFERROR(N119/N322,"n/a")</f>
        <v>3.19674355495251</v>
      </c>
      <c r="O327" s="43"/>
      <c r="P327" s="43"/>
      <c r="Q327" s="43"/>
      <c r="R327" s="43"/>
      <c r="S327" s="43"/>
      <c r="T327" s="43" t="n">
        <f aca="false">IFERROR(T119/T322,"n/a")</f>
        <v>3.1853595890411</v>
      </c>
      <c r="U327" s="43"/>
      <c r="V327" s="43"/>
      <c r="W327" s="43"/>
      <c r="X327" s="43"/>
      <c r="Y327" s="43"/>
      <c r="Z327" s="43" t="n">
        <f aca="false">IFERROR(Z119/Z322,"n/a")</f>
        <v>3.19499804611176</v>
      </c>
      <c r="AA327" s="43"/>
      <c r="AB327" s="43"/>
      <c r="AC327" s="43"/>
      <c r="AD327" s="43"/>
      <c r="AE327" s="43"/>
      <c r="AF327" s="43" t="n">
        <f aca="false">IFERROR(AF119/AF322,"n/a")</f>
        <v>3.17934976777421</v>
      </c>
      <c r="AG327" s="43"/>
      <c r="AH327" s="43"/>
      <c r="AI327" s="43"/>
      <c r="AJ327" s="43"/>
      <c r="AK327" s="43"/>
      <c r="AL327" s="43" t="n">
        <f aca="false">IFERROR(AL119/AL322,"n/a")</f>
        <v>3.04422764227642</v>
      </c>
      <c r="AM327" s="43"/>
      <c r="AN327" s="43"/>
      <c r="AO327" s="43"/>
      <c r="AP327" s="43"/>
      <c r="AQ327" s="43"/>
      <c r="AR327" s="43" t="n">
        <f aca="false">IFERROR(AR119/AR322,"n/a")</f>
        <v>1.73827340755612</v>
      </c>
      <c r="AS327" s="43"/>
      <c r="AT327" s="43"/>
      <c r="AU327" s="43"/>
      <c r="AV327" s="43"/>
      <c r="AW327" s="43"/>
      <c r="AX327" s="43" t="n">
        <f aca="false">IFERROR(AX119/AX322,"n/a")</f>
        <v>1.80124852370508</v>
      </c>
      <c r="AY327" s="43"/>
      <c r="AZ327" s="43"/>
      <c r="BA327" s="43"/>
      <c r="BB327" s="43"/>
      <c r="BC327" s="43"/>
      <c r="BD327" s="43" t="n">
        <f aca="false">IFERROR(BD119/BD322,"n/a")</f>
        <v>1.87524557956778</v>
      </c>
      <c r="BE327" s="43"/>
      <c r="BF327" s="43"/>
      <c r="BG327" s="43"/>
      <c r="BH327" s="43"/>
      <c r="BI327" s="43"/>
      <c r="BJ327" s="43" t="n">
        <f aca="false">IFERROR(BJ119/BJ322,"n/a")</f>
        <v>1.63895993179881</v>
      </c>
      <c r="BK327" s="43"/>
      <c r="BL327" s="43"/>
      <c r="BM327" s="43"/>
      <c r="BN327" s="43"/>
      <c r="BO327" s="43"/>
      <c r="BP327" s="43" t="n">
        <f aca="false">IFERROR(BP119/BP322,"n/a")</f>
        <v>1.78368338334048</v>
      </c>
      <c r="BQ327" s="43"/>
      <c r="BR327" s="43"/>
      <c r="BS327" s="43"/>
      <c r="BT327" s="44"/>
      <c r="BU327" s="44"/>
      <c r="BV327" s="44" t="n">
        <f aca="false">IFERROR(BV119/BV322,"n/a")</f>
        <v>1.83388909399997</v>
      </c>
      <c r="BW327" s="44" t="n">
        <f aca="false">IFERROR(BW119/BW322,"n/a")</f>
        <v>1.83464907601199</v>
      </c>
      <c r="BX327" s="44" t="n">
        <f aca="false">IFERROR(BX119/BX322,"n/a")</f>
        <v>1.8496901428048</v>
      </c>
      <c r="BY327" s="44" t="n">
        <f aca="false">IFERROR(BY119/BY322,"n/a")</f>
        <v>1.86716816173543</v>
      </c>
      <c r="BZ327" s="44" t="n">
        <f aca="false">IFERROR(BZ119/BZ322,"n/a")</f>
        <v>1.88748066766919</v>
      </c>
      <c r="CA327" s="16"/>
      <c r="CC327" s="5"/>
      <c r="CD327" s="5"/>
      <c r="CE327" s="5"/>
    </row>
    <row r="328" customFormat="false" ht="15" hidden="false" customHeight="false" outlineLevel="0" collapsed="false">
      <c r="B328" s="35" t="s">
        <v>451</v>
      </c>
      <c r="C328" s="36"/>
      <c r="D328" s="36"/>
      <c r="E328" s="36"/>
      <c r="F328" s="36"/>
      <c r="G328" s="36"/>
      <c r="H328" s="36" t="n">
        <f aca="false">IFERROR(1-H320,"n/a")</f>
        <v>0.639240506329114</v>
      </c>
      <c r="I328" s="36"/>
      <c r="J328" s="36"/>
      <c r="K328" s="36"/>
      <c r="L328" s="36"/>
      <c r="M328" s="36"/>
      <c r="N328" s="36" t="n">
        <f aca="false">IFERROR(1-N320,"n/a")</f>
        <v>0.730867346938776</v>
      </c>
      <c r="O328" s="36"/>
      <c r="P328" s="36"/>
      <c r="Q328" s="36"/>
      <c r="R328" s="36"/>
      <c r="S328" s="36"/>
      <c r="T328" s="36" t="n">
        <f aca="false">IFERROR(1-T320,"n/a")</f>
        <v>0.620466321243523</v>
      </c>
      <c r="U328" s="36"/>
      <c r="V328" s="36"/>
      <c r="W328" s="36"/>
      <c r="X328" s="36"/>
      <c r="Y328" s="36"/>
      <c r="Z328" s="36" t="n">
        <f aca="false">IFERROR(1-Z320,"n/a")</f>
        <v>0.860968074150361</v>
      </c>
      <c r="AA328" s="36"/>
      <c r="AB328" s="36"/>
      <c r="AC328" s="36"/>
      <c r="AD328" s="36"/>
      <c r="AE328" s="36"/>
      <c r="AF328" s="36" t="n">
        <f aca="false">IFERROR(1-AF320,"n/a")</f>
        <v>0.803806734992679</v>
      </c>
      <c r="AG328" s="36"/>
      <c r="AH328" s="36"/>
      <c r="AI328" s="36"/>
      <c r="AJ328" s="36"/>
      <c r="AK328" s="36"/>
      <c r="AL328" s="36" t="n">
        <f aca="false">IFERROR(1-AL320,"n/a")</f>
        <v>0.859259259259259</v>
      </c>
      <c r="AM328" s="36"/>
      <c r="AN328" s="36"/>
      <c r="AO328" s="36"/>
      <c r="AP328" s="36"/>
      <c r="AQ328" s="36"/>
      <c r="AR328" s="36" t="n">
        <f aca="false">IFERROR(1-AR320,"n/a")</f>
        <v>0.87459807073955</v>
      </c>
      <c r="AS328" s="36"/>
      <c r="AT328" s="36"/>
      <c r="AU328" s="36"/>
      <c r="AV328" s="36"/>
      <c r="AW328" s="36"/>
      <c r="AX328" s="36" t="n">
        <f aca="false">IFERROR(1-AX320,"n/a")</f>
        <v>0.80528511821975</v>
      </c>
      <c r="AY328" s="36"/>
      <c r="AZ328" s="36"/>
      <c r="BA328" s="36"/>
      <c r="BB328" s="36"/>
      <c r="BC328" s="36"/>
      <c r="BD328" s="36" t="n">
        <f aca="false">IFERROR(1-BD320,"n/a")</f>
        <v>0.798358733880422</v>
      </c>
      <c r="BE328" s="36"/>
      <c r="BF328" s="36"/>
      <c r="BG328" s="36"/>
      <c r="BH328" s="36"/>
      <c r="BI328" s="36"/>
      <c r="BJ328" s="36" t="n">
        <f aca="false">IFERROR(1-BJ320,"n/a")</f>
        <v>0.855365474339036</v>
      </c>
      <c r="BK328" s="36"/>
      <c r="BL328" s="36"/>
      <c r="BM328" s="36"/>
      <c r="BN328" s="36"/>
      <c r="BO328" s="36"/>
      <c r="BP328" s="36" t="n">
        <f aca="false">IFERROR(1-BP320,"n/a")</f>
        <v>0.778635778635779</v>
      </c>
      <c r="BQ328" s="36"/>
      <c r="BR328" s="36"/>
      <c r="BS328" s="36"/>
      <c r="BT328" s="38"/>
      <c r="BU328" s="38"/>
      <c r="BV328" s="38" t="n">
        <f aca="false">IFERROR(1-BV320,"n/a")</f>
        <v>0.83</v>
      </c>
      <c r="BW328" s="38" t="n">
        <f aca="false">IFERROR(1-BW320,"n/a")</f>
        <v>0.82</v>
      </c>
      <c r="BX328" s="38" t="n">
        <f aca="false">IFERROR(1-BX320,"n/a")</f>
        <v>0.82</v>
      </c>
      <c r="BY328" s="38" t="n">
        <f aca="false">IFERROR(1-BY320,"n/a")</f>
        <v>0.82</v>
      </c>
      <c r="BZ328" s="38" t="n">
        <f aca="false">IFERROR(1-BZ320,"n/a")</f>
        <v>0.82</v>
      </c>
      <c r="CA328" s="16"/>
      <c r="CC328" s="5"/>
      <c r="CD328" s="5"/>
      <c r="CE328" s="5"/>
    </row>
    <row r="329" customFormat="false" ht="15" hidden="false" customHeight="false" outlineLevel="0" collapsed="false">
      <c r="B329" s="35" t="s">
        <v>452</v>
      </c>
      <c r="C329" s="36"/>
      <c r="D329" s="36"/>
      <c r="E329" s="36"/>
      <c r="F329" s="36"/>
      <c r="G329" s="36"/>
      <c r="H329" s="36" t="n">
        <f aca="false">IFERROR(H326*H327*H328,"n/a")</f>
        <v>0.228129169460417</v>
      </c>
      <c r="I329" s="36"/>
      <c r="J329" s="36"/>
      <c r="K329" s="36"/>
      <c r="L329" s="36"/>
      <c r="M329" s="36"/>
      <c r="N329" s="36" t="n">
        <f aca="false">IFERROR(N326*N327*N328,"n/a")</f>
        <v>0.236350137069753</v>
      </c>
      <c r="O329" s="36"/>
      <c r="P329" s="36"/>
      <c r="Q329" s="36"/>
      <c r="R329" s="36"/>
      <c r="S329" s="36"/>
      <c r="T329" s="36" t="n">
        <f aca="false">IFERROR(T326*T327*T328,"n/a")</f>
        <v>0.182740080914188</v>
      </c>
      <c r="U329" s="36"/>
      <c r="V329" s="36"/>
      <c r="W329" s="36"/>
      <c r="X329" s="36"/>
      <c r="Y329" s="36"/>
      <c r="Z329" s="36" t="n">
        <f aca="false">IFERROR(Z326*Z327*Z328,"n/a")</f>
        <v>0.223064413115158</v>
      </c>
      <c r="AA329" s="36"/>
      <c r="AB329" s="36"/>
      <c r="AC329" s="36"/>
      <c r="AD329" s="36"/>
      <c r="AE329" s="36"/>
      <c r="AF329" s="36" t="n">
        <f aca="false">IFERROR(AF326*AF327*AF328,"n/a")</f>
        <v>0.181208306459586</v>
      </c>
      <c r="AG329" s="36"/>
      <c r="AH329" s="36"/>
      <c r="AI329" s="36"/>
      <c r="AJ329" s="36"/>
      <c r="AK329" s="36"/>
      <c r="AL329" s="36" t="n">
        <f aca="false">IFERROR(AL326*AL327*AL328,"n/a")</f>
        <v>0.155085817524842</v>
      </c>
      <c r="AM329" s="36"/>
      <c r="AN329" s="36"/>
      <c r="AO329" s="36"/>
      <c r="AP329" s="36"/>
      <c r="AQ329" s="36"/>
      <c r="AR329" s="36" t="n">
        <f aca="false">IFERROR(AR326*AR327*AR328,"n/a")</f>
        <v>0.109025457622762</v>
      </c>
      <c r="AS329" s="36"/>
      <c r="AT329" s="36"/>
      <c r="AU329" s="36"/>
      <c r="AV329" s="36"/>
      <c r="AW329" s="36"/>
      <c r="AX329" s="36" t="n">
        <f aca="false">IFERROR(AX326*AX327*AX328,"n/a")</f>
        <v>0.0967374732870696</v>
      </c>
      <c r="AY329" s="36"/>
      <c r="AZ329" s="36"/>
      <c r="BA329" s="36"/>
      <c r="BB329" s="36"/>
      <c r="BC329" s="36"/>
      <c r="BD329" s="36" t="n">
        <f aca="false">IFERROR(BD326*BD327*BD328,"n/a")</f>
        <v>0.110055346091571</v>
      </c>
      <c r="BE329" s="36"/>
      <c r="BF329" s="36"/>
      <c r="BG329" s="36"/>
      <c r="BH329" s="36"/>
      <c r="BI329" s="36"/>
      <c r="BJ329" s="36" t="n">
        <f aca="false">IFERROR(BJ326*BJ327*BJ328,"n/a")</f>
        <v>0.0696397295817374</v>
      </c>
      <c r="BK329" s="36"/>
      <c r="BL329" s="36"/>
      <c r="BM329" s="36"/>
      <c r="BN329" s="36"/>
      <c r="BO329" s="36"/>
      <c r="BP329" s="36" t="n">
        <f aca="false">IFERROR(BP326*BP327*BP328,"n/a")</f>
        <v>0.0797659456039225</v>
      </c>
      <c r="BQ329" s="36"/>
      <c r="BR329" s="36"/>
      <c r="BS329" s="36"/>
      <c r="BT329" s="38"/>
      <c r="BU329" s="38"/>
      <c r="BV329" s="38" t="n">
        <f aca="false">IFERROR(BV326*BV327*BV328,"n/a")</f>
        <v>0.0917584678098831</v>
      </c>
      <c r="BW329" s="38" t="n">
        <f aca="false">IFERROR(BW326*BW327*BW328,"n/a")</f>
        <v>0.0992901176749718</v>
      </c>
      <c r="BX329" s="38" t="n">
        <f aca="false">IFERROR(BX326*BX327*BX328,"n/a")</f>
        <v>0.103995573068806</v>
      </c>
      <c r="BY329" s="38" t="n">
        <f aca="false">IFERROR(BY326*BY327*BY328,"n/a")</f>
        <v>0.108870311881162</v>
      </c>
      <c r="BZ329" s="38" t="n">
        <f aca="false">IFERROR(BZ326*BZ327*BZ328,"n/a")</f>
        <v>0.113971232864126</v>
      </c>
      <c r="CA329" s="16"/>
      <c r="CC329" s="5"/>
      <c r="CD329" s="5"/>
      <c r="CE329" s="5"/>
    </row>
    <row r="330" customFormat="false" ht="15" hidden="false" customHeight="false" outlineLevel="0" collapsed="false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3"/>
      <c r="BU330" s="3"/>
      <c r="BV330" s="3"/>
      <c r="BW330" s="3"/>
      <c r="BX330" s="3"/>
      <c r="BY330" s="3"/>
      <c r="BZ330" s="3"/>
      <c r="CA330" s="16"/>
      <c r="CC330" s="5"/>
      <c r="CD330" s="5"/>
      <c r="CE330" s="5"/>
    </row>
    <row r="331" customFormat="false" ht="15" hidden="false" customHeight="false" outlineLevel="0" collapsed="false">
      <c r="B331" s="20" t="s">
        <v>453</v>
      </c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</row>
    <row r="332" customFormat="false" ht="15" hidden="false" customHeight="false" outlineLevel="0" collapsed="false">
      <c r="B332" s="1" t="s">
        <v>444</v>
      </c>
      <c r="C332" s="2"/>
      <c r="D332" s="2"/>
      <c r="E332" s="2"/>
      <c r="F332" s="2"/>
      <c r="G332" s="2"/>
      <c r="H332" s="2" t="n">
        <f aca="false">H321</f>
        <v>426.373417721519</v>
      </c>
      <c r="I332" s="2"/>
      <c r="J332" s="2"/>
      <c r="K332" s="2"/>
      <c r="L332" s="2"/>
      <c r="M332" s="2"/>
      <c r="N332" s="2" t="n">
        <f aca="false">N321</f>
        <v>522.570153061225</v>
      </c>
      <c r="O332" s="2"/>
      <c r="P332" s="2"/>
      <c r="Q332" s="2"/>
      <c r="R332" s="2"/>
      <c r="S332" s="2"/>
      <c r="T332" s="2" t="n">
        <f aca="false">T321</f>
        <v>426.880829015544</v>
      </c>
      <c r="U332" s="2"/>
      <c r="V332" s="2"/>
      <c r="W332" s="2"/>
      <c r="X332" s="2"/>
      <c r="Y332" s="2"/>
      <c r="Z332" s="2" t="n">
        <f aca="false">Z321</f>
        <v>570.821833161689</v>
      </c>
      <c r="AA332" s="2"/>
      <c r="AB332" s="2"/>
      <c r="AC332" s="2"/>
      <c r="AD332" s="2"/>
      <c r="AE332" s="2"/>
      <c r="AF332" s="2" t="n">
        <f aca="false">AF321</f>
        <v>507.202049780381</v>
      </c>
      <c r="AG332" s="2"/>
      <c r="AH332" s="2"/>
      <c r="AI332" s="2"/>
      <c r="AJ332" s="2"/>
      <c r="AK332" s="2"/>
      <c r="AL332" s="2" t="n">
        <f aca="false">AL321</f>
        <v>476.888888888889</v>
      </c>
      <c r="AM332" s="2"/>
      <c r="AN332" s="2"/>
      <c r="AO332" s="2"/>
      <c r="AP332" s="2"/>
      <c r="AQ332" s="2"/>
      <c r="AR332" s="2" t="n">
        <f aca="false">AR321</f>
        <v>597.350482315113</v>
      </c>
      <c r="AS332" s="2"/>
      <c r="AT332" s="2"/>
      <c r="AU332" s="2"/>
      <c r="AV332" s="2"/>
      <c r="AW332" s="2"/>
      <c r="AX332" s="2" t="n">
        <f aca="false">AX321</f>
        <v>573.363004172462</v>
      </c>
      <c r="AY332" s="2"/>
      <c r="AZ332" s="2"/>
      <c r="BA332" s="2"/>
      <c r="BB332" s="2"/>
      <c r="BC332" s="2"/>
      <c r="BD332" s="2" t="n">
        <f aca="false">BD321</f>
        <v>672.218053927315</v>
      </c>
      <c r="BE332" s="2"/>
      <c r="BF332" s="2"/>
      <c r="BG332" s="2"/>
      <c r="BH332" s="2"/>
      <c r="BI332" s="2"/>
      <c r="BJ332" s="2" t="n">
        <f aca="false">BJ321</f>
        <v>490.124416796268</v>
      </c>
      <c r="BK332" s="2"/>
      <c r="BL332" s="2"/>
      <c r="BM332" s="2"/>
      <c r="BN332" s="2"/>
      <c r="BO332" s="2"/>
      <c r="BP332" s="2" t="n">
        <f aca="false">BP321</f>
        <v>558.281853281853</v>
      </c>
      <c r="BQ332" s="2"/>
      <c r="BR332" s="2"/>
      <c r="BS332" s="2"/>
      <c r="BT332" s="3"/>
      <c r="BU332" s="3"/>
      <c r="BV332" s="3" t="n">
        <f aca="false">BV321</f>
        <v>662.9625</v>
      </c>
      <c r="BW332" s="3" t="n">
        <f aca="false">BW321</f>
        <v>760.868594354839</v>
      </c>
      <c r="BX332" s="3" t="n">
        <f aca="false">BX321</f>
        <v>833.461159274194</v>
      </c>
      <c r="BY332" s="3" t="n">
        <f aca="false">BY321</f>
        <v>908.998393408548</v>
      </c>
      <c r="BZ332" s="3" t="n">
        <f aca="false">BZ321</f>
        <v>986.279310306131</v>
      </c>
      <c r="CA332" s="16"/>
      <c r="CC332" s="5"/>
      <c r="CD332" s="5"/>
      <c r="CE332" s="5"/>
    </row>
    <row r="333" customFormat="false" ht="15" hidden="false" customHeight="false" outlineLevel="0" collapsed="false">
      <c r="B333" s="1" t="s">
        <v>454</v>
      </c>
      <c r="C333" s="2"/>
      <c r="D333" s="2"/>
      <c r="E333" s="2"/>
      <c r="F333" s="2"/>
      <c r="G333" s="2"/>
      <c r="H333" s="2" t="n">
        <f aca="false">H260</f>
        <v>6024</v>
      </c>
      <c r="I333" s="2"/>
      <c r="J333" s="2"/>
      <c r="K333" s="2"/>
      <c r="L333" s="2"/>
      <c r="M333" s="2"/>
      <c r="N333" s="2" t="n">
        <f aca="false">N260</f>
        <v>6352</v>
      </c>
      <c r="O333" s="2"/>
      <c r="P333" s="2"/>
      <c r="Q333" s="2"/>
      <c r="R333" s="2"/>
      <c r="S333" s="2"/>
      <c r="T333" s="2" t="n">
        <f aca="false">T260</f>
        <v>6374</v>
      </c>
      <c r="U333" s="2"/>
      <c r="V333" s="2"/>
      <c r="W333" s="2"/>
      <c r="X333" s="2"/>
      <c r="Y333" s="2"/>
      <c r="Z333" s="2" t="n">
        <f aca="false">Z260</f>
        <v>6383</v>
      </c>
      <c r="AA333" s="2"/>
      <c r="AB333" s="2"/>
      <c r="AC333" s="2"/>
      <c r="AD333" s="2"/>
      <c r="AE333" s="2"/>
      <c r="AF333" s="2" t="n">
        <f aca="false">AF260</f>
        <v>7031</v>
      </c>
      <c r="AG333" s="2"/>
      <c r="AH333" s="2"/>
      <c r="AI333" s="2"/>
      <c r="AJ333" s="2"/>
      <c r="AK333" s="2"/>
      <c r="AL333" s="2" t="n">
        <f aca="false">AL260</f>
        <v>8157</v>
      </c>
      <c r="AM333" s="2"/>
      <c r="AN333" s="2"/>
      <c r="AO333" s="2"/>
      <c r="AP333" s="2"/>
      <c r="AQ333" s="2"/>
      <c r="AR333" s="2" t="n">
        <f aca="false">AR260</f>
        <v>10627</v>
      </c>
      <c r="AS333" s="2"/>
      <c r="AT333" s="2"/>
      <c r="AU333" s="2"/>
      <c r="AV333" s="2"/>
      <c r="AW333" s="2"/>
      <c r="AX333" s="2" t="n">
        <f aca="false">AX260</f>
        <v>10857</v>
      </c>
      <c r="AY333" s="2"/>
      <c r="AZ333" s="2"/>
      <c r="BA333" s="2"/>
      <c r="BB333" s="2"/>
      <c r="BC333" s="2"/>
      <c r="BD333" s="2" t="n">
        <f aca="false">BD260</f>
        <v>11215</v>
      </c>
      <c r="BE333" s="2"/>
      <c r="BF333" s="2"/>
      <c r="BG333" s="2"/>
      <c r="BH333" s="2"/>
      <c r="BI333" s="2"/>
      <c r="BJ333" s="2" t="n">
        <f aca="false">BJ260</f>
        <v>12141</v>
      </c>
      <c r="BK333" s="2"/>
      <c r="BL333" s="2"/>
      <c r="BM333" s="2"/>
      <c r="BN333" s="2"/>
      <c r="BO333" s="2"/>
      <c r="BP333" s="2" t="n">
        <f aca="false">BP260</f>
        <v>12749</v>
      </c>
      <c r="BQ333" s="2"/>
      <c r="BR333" s="2"/>
      <c r="BS333" s="2"/>
      <c r="BT333" s="3"/>
      <c r="BU333" s="3"/>
      <c r="BV333" s="3" t="n">
        <f aca="false">BV260</f>
        <v>13317.3777635489</v>
      </c>
      <c r="BW333" s="3" t="n">
        <f aca="false">BW260</f>
        <v>13837.8811798173</v>
      </c>
      <c r="BX333" s="3" t="n">
        <f aca="false">BX260</f>
        <v>14437.3822558392</v>
      </c>
      <c r="BY333" s="3" t="n">
        <f aca="false">BY260</f>
        <v>15051.6678182623</v>
      </c>
      <c r="BZ333" s="3" t="n">
        <f aca="false">BZ260</f>
        <v>15689.6573299341</v>
      </c>
      <c r="CA333" s="16"/>
      <c r="CC333" s="5"/>
      <c r="CD333" s="5"/>
      <c r="CE333" s="5"/>
    </row>
    <row r="334" customFormat="false" ht="15" hidden="false" customHeight="false" outlineLevel="0" collapsed="false">
      <c r="B334" s="1" t="s">
        <v>455</v>
      </c>
      <c r="C334" s="2"/>
      <c r="D334" s="2"/>
      <c r="E334" s="2"/>
      <c r="F334" s="2"/>
      <c r="G334" s="2"/>
      <c r="H334" s="2" t="n">
        <f aca="false">-(H255+H256)</f>
        <v>-1451</v>
      </c>
      <c r="I334" s="2"/>
      <c r="J334" s="2"/>
      <c r="K334" s="2"/>
      <c r="L334" s="2"/>
      <c r="M334" s="2"/>
      <c r="N334" s="2" t="n">
        <f aca="false">-(N255+N256)</f>
        <v>-1782</v>
      </c>
      <c r="O334" s="2"/>
      <c r="P334" s="2"/>
      <c r="Q334" s="2"/>
      <c r="R334" s="2"/>
      <c r="S334" s="2"/>
      <c r="T334" s="2" t="n">
        <f aca="false">-(T255+T256)</f>
        <v>-1725</v>
      </c>
      <c r="U334" s="2"/>
      <c r="V334" s="2"/>
      <c r="W334" s="2"/>
      <c r="X334" s="2"/>
      <c r="Y334" s="2"/>
      <c r="Z334" s="2" t="n">
        <f aca="false">-(Z255+Z256)</f>
        <v>-1755</v>
      </c>
      <c r="AA334" s="2"/>
      <c r="AB334" s="2"/>
      <c r="AC334" s="2"/>
      <c r="AD334" s="2"/>
      <c r="AE334" s="2"/>
      <c r="AF334" s="2" t="n">
        <f aca="false">-(AF255+AF256)</f>
        <v>-1865</v>
      </c>
      <c r="AG334" s="2"/>
      <c r="AH334" s="2"/>
      <c r="AI334" s="2"/>
      <c r="AJ334" s="2"/>
      <c r="AK334" s="2"/>
      <c r="AL334" s="2" t="n">
        <f aca="false">-(AL255+AL256)</f>
        <v>-2129</v>
      </c>
      <c r="AM334" s="2"/>
      <c r="AN334" s="2"/>
      <c r="AO334" s="2"/>
      <c r="AP334" s="2"/>
      <c r="AQ334" s="2"/>
      <c r="AR334" s="2" t="n">
        <f aca="false">-(AR255+AR256)</f>
        <v>-3787</v>
      </c>
      <c r="AS334" s="2"/>
      <c r="AT334" s="2"/>
      <c r="AU334" s="2"/>
      <c r="AV334" s="2"/>
      <c r="AW334" s="2"/>
      <c r="AX334" s="2" t="n">
        <f aca="false">-(AX255+AX256)</f>
        <v>-3637</v>
      </c>
      <c r="AY334" s="2"/>
      <c r="AZ334" s="2"/>
      <c r="BA334" s="2"/>
      <c r="BB334" s="2"/>
      <c r="BC334" s="2"/>
      <c r="BD334" s="2" t="n">
        <f aca="false">-(BD255+BD256)</f>
        <v>-3509</v>
      </c>
      <c r="BE334" s="2"/>
      <c r="BF334" s="2"/>
      <c r="BG334" s="2"/>
      <c r="BH334" s="2"/>
      <c r="BI334" s="2"/>
      <c r="BJ334" s="2" t="n">
        <f aca="false">-(BJ255+BJ256)</f>
        <v>-3400</v>
      </c>
      <c r="BK334" s="2"/>
      <c r="BL334" s="2"/>
      <c r="BM334" s="2"/>
      <c r="BN334" s="2"/>
      <c r="BO334" s="2"/>
      <c r="BP334" s="2" t="n">
        <f aca="false">-(BP255+BP256)</f>
        <v>-3344</v>
      </c>
      <c r="BQ334" s="2"/>
      <c r="BR334" s="2"/>
      <c r="BS334" s="2"/>
      <c r="BT334" s="3"/>
      <c r="BU334" s="3"/>
      <c r="BV334" s="3" t="n">
        <f aca="false">-(BV255+BV256)</f>
        <v>-3260</v>
      </c>
      <c r="BW334" s="3" t="n">
        <f aca="false">-(BW255+BW256)</f>
        <v>-3198</v>
      </c>
      <c r="BX334" s="3" t="n">
        <f aca="false">-(BX255+BX256)</f>
        <v>-3142</v>
      </c>
      <c r="BY334" s="3" t="n">
        <f aca="false">-(BY255+BY256)</f>
        <v>-3092</v>
      </c>
      <c r="BZ334" s="3" t="n">
        <f aca="false">-(BZ255+BZ256)</f>
        <v>-3051</v>
      </c>
      <c r="CA334" s="16"/>
      <c r="CC334" s="5"/>
      <c r="CD334" s="5"/>
      <c r="CE334" s="5"/>
    </row>
    <row r="335" customFormat="false" ht="15" hidden="false" customHeight="false" outlineLevel="0" collapsed="false">
      <c r="B335" s="1" t="s">
        <v>456</v>
      </c>
      <c r="C335" s="2"/>
      <c r="D335" s="2"/>
      <c r="E335" s="2"/>
      <c r="F335" s="2"/>
      <c r="G335" s="2"/>
      <c r="H335" s="2" t="n">
        <f aca="false">-(H271-H269)</f>
        <v>-1274</v>
      </c>
      <c r="I335" s="2"/>
      <c r="J335" s="2"/>
      <c r="K335" s="2"/>
      <c r="L335" s="2"/>
      <c r="M335" s="2"/>
      <c r="N335" s="2" t="n">
        <f aca="false">-(N271-N269)</f>
        <v>-1343</v>
      </c>
      <c r="O335" s="2"/>
      <c r="P335" s="2"/>
      <c r="Q335" s="2"/>
      <c r="R335" s="2"/>
      <c r="S335" s="2"/>
      <c r="T335" s="2" t="n">
        <f aca="false">-(T271-T269)</f>
        <v>-1391</v>
      </c>
      <c r="U335" s="2"/>
      <c r="V335" s="2"/>
      <c r="W335" s="2"/>
      <c r="X335" s="2"/>
      <c r="Y335" s="2"/>
      <c r="Z335" s="2" t="n">
        <f aca="false">-(Z271-Z269)</f>
        <v>-1829</v>
      </c>
      <c r="AA335" s="2"/>
      <c r="AB335" s="2"/>
      <c r="AC335" s="2"/>
      <c r="AD335" s="2"/>
      <c r="AE335" s="2"/>
      <c r="AF335" s="2" t="n">
        <f aca="false">-(AF271-AF269)</f>
        <v>-1890</v>
      </c>
      <c r="AG335" s="2"/>
      <c r="AH335" s="2"/>
      <c r="AI335" s="2"/>
      <c r="AJ335" s="2"/>
      <c r="AK335" s="2"/>
      <c r="AL335" s="2" t="n">
        <f aca="false">-(AL271-AL269)</f>
        <v>-2226</v>
      </c>
      <c r="AM335" s="2"/>
      <c r="AN335" s="2"/>
      <c r="AO335" s="2"/>
      <c r="AP335" s="2"/>
      <c r="AQ335" s="2"/>
      <c r="AR335" s="2" t="n">
        <f aca="false">-(AR271-AR269)</f>
        <v>-2427</v>
      </c>
      <c r="AS335" s="2"/>
      <c r="AT335" s="2"/>
      <c r="AU335" s="2"/>
      <c r="AV335" s="2"/>
      <c r="AW335" s="2"/>
      <c r="AX335" s="2" t="n">
        <f aca="false">-(AX271-AX269)</f>
        <v>-2496</v>
      </c>
      <c r="AY335" s="2"/>
      <c r="AZ335" s="2"/>
      <c r="BA335" s="2"/>
      <c r="BB335" s="2"/>
      <c r="BC335" s="2"/>
      <c r="BD335" s="2" t="n">
        <f aca="false">-(BD271-BD269)</f>
        <v>-2801</v>
      </c>
      <c r="BE335" s="2"/>
      <c r="BF335" s="2"/>
      <c r="BG335" s="2"/>
      <c r="BH335" s="2"/>
      <c r="BI335" s="2"/>
      <c r="BJ335" s="2" t="n">
        <f aca="false">-(BJ271-BJ269)</f>
        <v>-2488</v>
      </c>
      <c r="BK335" s="2"/>
      <c r="BL335" s="2"/>
      <c r="BM335" s="2"/>
      <c r="BN335" s="2"/>
      <c r="BO335" s="2"/>
      <c r="BP335" s="2" t="n">
        <f aca="false">-(BP271-BP269)</f>
        <v>-3045</v>
      </c>
      <c r="BQ335" s="2"/>
      <c r="BR335" s="2"/>
      <c r="BS335" s="2"/>
      <c r="BT335" s="3"/>
      <c r="BU335" s="3"/>
      <c r="BV335" s="3" t="n">
        <f aca="false">-(BV271-BV269)</f>
        <v>-2980.05926354886</v>
      </c>
      <c r="BW335" s="3" t="n">
        <f aca="false">-(BW271-BW269)</f>
        <v>-3030.00231096796</v>
      </c>
      <c r="BX335" s="3" t="n">
        <f aca="false">-(BX271-BX269)</f>
        <v>-3147.63152187045</v>
      </c>
      <c r="BY335" s="3" t="n">
        <f aca="false">-(BY271-BY269)</f>
        <v>-3265.14858698201</v>
      </c>
      <c r="BZ335" s="3" t="n">
        <f aca="false">-(BZ271-BZ269)</f>
        <v>-3379.13364183331</v>
      </c>
      <c r="CA335" s="16"/>
      <c r="CC335" s="5"/>
      <c r="CD335" s="5"/>
      <c r="CE335" s="5"/>
    </row>
    <row r="336" customFormat="false" ht="15" hidden="false" customHeight="false" outlineLevel="0" collapsed="false">
      <c r="B336" s="26" t="s">
        <v>457</v>
      </c>
      <c r="C336" s="28"/>
      <c r="D336" s="28"/>
      <c r="E336" s="28"/>
      <c r="F336" s="28"/>
      <c r="G336" s="28"/>
      <c r="H336" s="28" t="n">
        <f aca="false">SUM(H333:H335)</f>
        <v>3299</v>
      </c>
      <c r="I336" s="28"/>
      <c r="J336" s="28"/>
      <c r="K336" s="28"/>
      <c r="L336" s="28"/>
      <c r="M336" s="28"/>
      <c r="N336" s="28" t="n">
        <f aca="false">SUM(N333:N335)</f>
        <v>3227</v>
      </c>
      <c r="O336" s="28"/>
      <c r="P336" s="28"/>
      <c r="Q336" s="28"/>
      <c r="R336" s="28"/>
      <c r="S336" s="28"/>
      <c r="T336" s="28" t="n">
        <f aca="false">SUM(T333:T335)</f>
        <v>3258</v>
      </c>
      <c r="U336" s="28"/>
      <c r="V336" s="28"/>
      <c r="W336" s="28"/>
      <c r="X336" s="28"/>
      <c r="Y336" s="28"/>
      <c r="Z336" s="28" t="n">
        <f aca="false">SUM(Z333:Z335)</f>
        <v>2799</v>
      </c>
      <c r="AA336" s="28"/>
      <c r="AB336" s="28"/>
      <c r="AC336" s="28"/>
      <c r="AD336" s="28"/>
      <c r="AE336" s="28"/>
      <c r="AF336" s="28" t="n">
        <f aca="false">SUM(AF333:AF335)</f>
        <v>3276</v>
      </c>
      <c r="AG336" s="28"/>
      <c r="AH336" s="28"/>
      <c r="AI336" s="28"/>
      <c r="AJ336" s="28"/>
      <c r="AK336" s="28"/>
      <c r="AL336" s="28" t="n">
        <f aca="false">SUM(AL333:AL335)</f>
        <v>3802</v>
      </c>
      <c r="AM336" s="28"/>
      <c r="AN336" s="28"/>
      <c r="AO336" s="28"/>
      <c r="AP336" s="28"/>
      <c r="AQ336" s="28"/>
      <c r="AR336" s="28" t="n">
        <f aca="false">SUM(AR333:AR335)</f>
        <v>4413</v>
      </c>
      <c r="AS336" s="28"/>
      <c r="AT336" s="28"/>
      <c r="AU336" s="28"/>
      <c r="AV336" s="28"/>
      <c r="AW336" s="28"/>
      <c r="AX336" s="28" t="n">
        <f aca="false">SUM(AX333:AX335)</f>
        <v>4724</v>
      </c>
      <c r="AY336" s="28"/>
      <c r="AZ336" s="28"/>
      <c r="BA336" s="28"/>
      <c r="BB336" s="28"/>
      <c r="BC336" s="28"/>
      <c r="BD336" s="28" t="n">
        <f aca="false">SUM(BD333:BD335)</f>
        <v>4905</v>
      </c>
      <c r="BE336" s="28"/>
      <c r="BF336" s="28"/>
      <c r="BG336" s="28"/>
      <c r="BH336" s="28"/>
      <c r="BI336" s="28"/>
      <c r="BJ336" s="28" t="n">
        <f aca="false">SUM(BJ333:BJ335)</f>
        <v>6253</v>
      </c>
      <c r="BK336" s="28"/>
      <c r="BL336" s="28"/>
      <c r="BM336" s="28"/>
      <c r="BN336" s="28"/>
      <c r="BO336" s="28"/>
      <c r="BP336" s="28" t="n">
        <f aca="false">SUM(BP333:BP335)</f>
        <v>6360</v>
      </c>
      <c r="BQ336" s="28"/>
      <c r="BR336" s="28"/>
      <c r="BS336" s="28"/>
      <c r="BT336" s="29"/>
      <c r="BU336" s="29"/>
      <c r="BV336" s="29" t="n">
        <f aca="false">SUM(BV333:BV335)</f>
        <v>7077.3185</v>
      </c>
      <c r="BW336" s="29" t="n">
        <f aca="false">SUM(BW333:BW335)</f>
        <v>7609.87886884932</v>
      </c>
      <c r="BX336" s="29" t="n">
        <f aca="false">SUM(BX333:BX335)</f>
        <v>8147.75073396871</v>
      </c>
      <c r="BY336" s="29" t="n">
        <f aca="false">SUM(BY333:BY335)</f>
        <v>8694.51923128033</v>
      </c>
      <c r="BZ336" s="29" t="n">
        <f aca="false">SUM(BZ333:BZ335)</f>
        <v>9259.52368810083</v>
      </c>
      <c r="CA336" s="16"/>
      <c r="CC336" s="5"/>
      <c r="CD336" s="5"/>
      <c r="CE336" s="5"/>
    </row>
    <row r="337" customFormat="false" ht="15" hidden="false" customHeight="false" outlineLevel="0" collapsed="false">
      <c r="B337" s="32" t="s">
        <v>458</v>
      </c>
      <c r="C337" s="93"/>
      <c r="D337" s="93"/>
      <c r="E337" s="93"/>
      <c r="F337" s="93"/>
      <c r="G337" s="93"/>
      <c r="H337" s="94" t="n">
        <f aca="false">IFERROR(H332/H336,"n/a")</f>
        <v>0.129243230591549</v>
      </c>
      <c r="I337" s="93"/>
      <c r="J337" s="93"/>
      <c r="K337" s="93"/>
      <c r="L337" s="93"/>
      <c r="M337" s="93"/>
      <c r="N337" s="94" t="n">
        <f aca="false">IFERROR(N332/N336,"n/a")</f>
        <v>0.161936830821576</v>
      </c>
      <c r="O337" s="93"/>
      <c r="P337" s="93"/>
      <c r="Q337" s="93"/>
      <c r="R337" s="93"/>
      <c r="S337" s="93"/>
      <c r="T337" s="94" t="n">
        <f aca="false">IFERROR(T332/T336,"n/a")</f>
        <v>0.131025423270578</v>
      </c>
      <c r="U337" s="93"/>
      <c r="V337" s="93"/>
      <c r="W337" s="93"/>
      <c r="X337" s="93"/>
      <c r="Y337" s="93"/>
      <c r="Z337" s="94" t="n">
        <f aca="false">IFERROR(Z332/Z336,"n/a")</f>
        <v>0.203937775334651</v>
      </c>
      <c r="AA337" s="93"/>
      <c r="AB337" s="93"/>
      <c r="AC337" s="93"/>
      <c r="AD337" s="93"/>
      <c r="AE337" s="93"/>
      <c r="AF337" s="94" t="n">
        <f aca="false">IFERROR(AF332/AF336,"n/a")</f>
        <v>0.154823580519042</v>
      </c>
      <c r="AG337" s="93"/>
      <c r="AH337" s="93"/>
      <c r="AI337" s="93"/>
      <c r="AJ337" s="93"/>
      <c r="AK337" s="93"/>
      <c r="AL337" s="94" t="n">
        <f aca="false">IFERROR(AL332/AL336,"n/a")</f>
        <v>0.125431059676194</v>
      </c>
      <c r="AM337" s="93"/>
      <c r="AN337" s="93"/>
      <c r="AO337" s="93"/>
      <c r="AP337" s="93"/>
      <c r="AQ337" s="93"/>
      <c r="AR337" s="94" t="n">
        <f aca="false">IFERROR(AR332/AR336,"n/a")</f>
        <v>0.135361541426493</v>
      </c>
      <c r="AS337" s="93"/>
      <c r="AT337" s="93"/>
      <c r="AU337" s="93"/>
      <c r="AV337" s="93"/>
      <c r="AW337" s="93"/>
      <c r="AX337" s="94" t="n">
        <f aca="false">IFERROR(AX332/AX336,"n/a")</f>
        <v>0.121372354820589</v>
      </c>
      <c r="AY337" s="93"/>
      <c r="AZ337" s="93"/>
      <c r="BA337" s="93"/>
      <c r="BB337" s="93"/>
      <c r="BC337" s="93"/>
      <c r="BD337" s="94" t="n">
        <f aca="false">IFERROR(BD332/BD336,"n/a")</f>
        <v>0.137047513542776</v>
      </c>
      <c r="BE337" s="93"/>
      <c r="BF337" s="93"/>
      <c r="BG337" s="93"/>
      <c r="BH337" s="93"/>
      <c r="BI337" s="93"/>
      <c r="BJ337" s="94" t="n">
        <f aca="false">IFERROR(BJ332/BJ336,"n/a")</f>
        <v>0.0783822831914709</v>
      </c>
      <c r="BK337" s="93"/>
      <c r="BL337" s="93"/>
      <c r="BM337" s="93"/>
      <c r="BN337" s="93"/>
      <c r="BO337" s="93"/>
      <c r="BP337" s="94" t="n">
        <f aca="false">IFERROR(BP332/BP336,"n/a")</f>
        <v>0.0877801656103543</v>
      </c>
      <c r="BQ337" s="93"/>
      <c r="BR337" s="93"/>
      <c r="BS337" s="93"/>
      <c r="BT337" s="94"/>
      <c r="BU337" s="94"/>
      <c r="BV337" s="94" t="n">
        <f aca="false">IFERROR(BV332/BV336,"n/a")</f>
        <v>0.0936742496469531</v>
      </c>
      <c r="BW337" s="94" t="n">
        <f aca="false">IFERROR(BW332/BW336,"n/a")</f>
        <v>0.0999843239909401</v>
      </c>
      <c r="BX337" s="94" t="n">
        <f aca="false">IFERROR(BX332/BX336,"n/a")</f>
        <v>0.102293404215156</v>
      </c>
      <c r="BY337" s="94" t="n">
        <f aca="false">IFERROR(BY332/BY336,"n/a")</f>
        <v>0.104548436690811</v>
      </c>
      <c r="BZ337" s="94" t="n">
        <f aca="false">IFERROR(BZ332/BZ336,"n/a")</f>
        <v>0.106515123620621</v>
      </c>
      <c r="CA337" s="16"/>
      <c r="CC337" s="40" t="n">
        <f aca="false">IFERROR(AVERAGE(BV337,BW337,BX337,BY337,BZ337),"n/m")</f>
        <v>0.101403107632896</v>
      </c>
      <c r="CD337" s="40" t="n">
        <f aca="false">IFERROR(AVERAGE(AR337,AX337,BD337,BJ337,BP337),"n/m")</f>
        <v>0.111988771718337</v>
      </c>
      <c r="CE337" s="40" t="n">
        <f aca="false">IFERROR(AVERAGE(N337,T337,Z337,AF337,AL337,AR337,AX337,BD337,BJ337,BP337),"n/m")</f>
        <v>0.133709852821372</v>
      </c>
    </row>
    <row r="338" customFormat="false" ht="15" hidden="false" customHeight="false" outlineLevel="0" collapsed="false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3"/>
      <c r="BU338" s="3"/>
      <c r="BV338" s="3"/>
      <c r="BW338" s="3"/>
      <c r="BX338" s="3"/>
      <c r="BY338" s="3"/>
      <c r="BZ338" s="3"/>
      <c r="CA338" s="16"/>
      <c r="CC338" s="5"/>
      <c r="CD338" s="5"/>
      <c r="CE338" s="5"/>
    </row>
    <row r="339" customFormat="false" ht="15" hidden="false" customHeight="false" outlineLevel="0" collapsed="false">
      <c r="B339" s="20" t="s">
        <v>459</v>
      </c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</row>
    <row r="340" customFormat="false" ht="15" hidden="false" customHeight="false" outlineLevel="0" collapsed="false">
      <c r="B340" s="1" t="s">
        <v>229</v>
      </c>
      <c r="C340" s="2"/>
      <c r="D340" s="2"/>
      <c r="E340" s="2"/>
      <c r="F340" s="2"/>
      <c r="G340" s="2"/>
      <c r="H340" s="2" t="n">
        <f aca="false">H133</f>
        <v>404</v>
      </c>
      <c r="I340" s="2"/>
      <c r="J340" s="2"/>
      <c r="K340" s="2"/>
      <c r="L340" s="2"/>
      <c r="M340" s="2"/>
      <c r="N340" s="2" t="n">
        <f aca="false">N133</f>
        <v>573</v>
      </c>
      <c r="O340" s="2"/>
      <c r="P340" s="2"/>
      <c r="Q340" s="2"/>
      <c r="R340" s="2"/>
      <c r="S340" s="2"/>
      <c r="T340" s="2" t="n">
        <f aca="false">T133</f>
        <v>479</v>
      </c>
      <c r="U340" s="2"/>
      <c r="V340" s="2"/>
      <c r="W340" s="2"/>
      <c r="X340" s="2"/>
      <c r="Y340" s="2"/>
      <c r="Z340" s="2" t="n">
        <f aca="false">Z133</f>
        <v>836</v>
      </c>
      <c r="AA340" s="2"/>
      <c r="AB340" s="2"/>
      <c r="AC340" s="2"/>
      <c r="AD340" s="2"/>
      <c r="AE340" s="2"/>
      <c r="AF340" s="2" t="n">
        <f aca="false">AF133</f>
        <v>549</v>
      </c>
      <c r="AG340" s="2"/>
      <c r="AH340" s="2"/>
      <c r="AI340" s="2"/>
      <c r="AJ340" s="2"/>
      <c r="AK340" s="2"/>
      <c r="AL340" s="2" t="n">
        <f aca="false">AL133</f>
        <v>696</v>
      </c>
      <c r="AM340" s="2"/>
      <c r="AN340" s="2"/>
      <c r="AO340" s="2"/>
      <c r="AP340" s="2"/>
      <c r="AQ340" s="2"/>
      <c r="AR340" s="2" t="n">
        <f aca="false">AR133</f>
        <v>544</v>
      </c>
      <c r="AS340" s="2"/>
      <c r="AT340" s="2"/>
      <c r="AU340" s="2"/>
      <c r="AV340" s="2"/>
      <c r="AW340" s="2"/>
      <c r="AX340" s="2" t="n">
        <f aca="false">AX133</f>
        <v>579</v>
      </c>
      <c r="AY340" s="2"/>
      <c r="AZ340" s="2"/>
      <c r="BA340" s="2"/>
      <c r="BB340" s="2"/>
      <c r="BC340" s="2"/>
      <c r="BD340" s="2" t="n">
        <f aca="false">BD133</f>
        <v>681</v>
      </c>
      <c r="BE340" s="2"/>
      <c r="BF340" s="2"/>
      <c r="BG340" s="2"/>
      <c r="BH340" s="2"/>
      <c r="BI340" s="2"/>
      <c r="BJ340" s="2" t="n">
        <f aca="false">BJ133</f>
        <v>550</v>
      </c>
      <c r="BK340" s="2"/>
      <c r="BL340" s="2"/>
      <c r="BM340" s="2"/>
      <c r="BN340" s="2"/>
      <c r="BO340" s="2"/>
      <c r="BP340" s="2" t="n">
        <f aca="false">BP133</f>
        <v>605</v>
      </c>
      <c r="BQ340" s="2"/>
      <c r="BR340" s="2"/>
      <c r="BS340" s="2"/>
      <c r="BT340" s="3"/>
      <c r="BU340" s="3"/>
      <c r="BV340" s="3" t="n">
        <f aca="false">BV133</f>
        <v>716.0825</v>
      </c>
      <c r="BW340" s="3" t="n">
        <f aca="false">BW133</f>
        <v>794.488594354839</v>
      </c>
      <c r="BX340" s="3" t="n">
        <f aca="false">BX133</f>
        <v>867.081159274194</v>
      </c>
      <c r="BY340" s="3" t="n">
        <f aca="false">BY133</f>
        <v>942.618393408548</v>
      </c>
      <c r="BZ340" s="3" t="n">
        <f aca="false">BZ133</f>
        <v>1019.89931030613</v>
      </c>
      <c r="CA340" s="16"/>
      <c r="CC340" s="5"/>
      <c r="CD340" s="5"/>
      <c r="CE340" s="5"/>
    </row>
    <row r="341" customFormat="false" ht="15" hidden="false" customHeight="false" outlineLevel="0" collapsed="false">
      <c r="B341" s="1" t="s">
        <v>402</v>
      </c>
      <c r="C341" s="2"/>
      <c r="D341" s="2"/>
      <c r="E341" s="2"/>
      <c r="F341" s="2"/>
      <c r="G341" s="2"/>
      <c r="H341" s="2" t="n">
        <f aca="false">H286</f>
        <v>1490</v>
      </c>
      <c r="I341" s="2"/>
      <c r="J341" s="2"/>
      <c r="K341" s="2"/>
      <c r="L341" s="2"/>
      <c r="M341" s="2"/>
      <c r="N341" s="2" t="n">
        <f aca="false">N286</f>
        <v>1653</v>
      </c>
      <c r="O341" s="2"/>
      <c r="P341" s="2"/>
      <c r="Q341" s="2"/>
      <c r="R341" s="2"/>
      <c r="S341" s="2"/>
      <c r="T341" s="2" t="n">
        <f aca="false">T286</f>
        <v>1758</v>
      </c>
      <c r="U341" s="2"/>
      <c r="V341" s="2"/>
      <c r="W341" s="2"/>
      <c r="X341" s="2"/>
      <c r="Y341" s="2"/>
      <c r="Z341" s="2" t="n">
        <f aca="false">Z286</f>
        <v>1516</v>
      </c>
      <c r="AA341" s="2"/>
      <c r="AB341" s="2"/>
      <c r="AC341" s="2"/>
      <c r="AD341" s="2"/>
      <c r="AE341" s="2"/>
      <c r="AF341" s="2" t="n">
        <f aca="false">AF286</f>
        <v>1588</v>
      </c>
      <c r="AG341" s="2"/>
      <c r="AH341" s="2"/>
      <c r="AI341" s="2"/>
      <c r="AJ341" s="2"/>
      <c r="AK341" s="2"/>
      <c r="AL341" s="2" t="n">
        <f aca="false">AL286</f>
        <v>1901</v>
      </c>
      <c r="AM341" s="2"/>
      <c r="AN341" s="2"/>
      <c r="AO341" s="2"/>
      <c r="AP341" s="2"/>
      <c r="AQ341" s="2"/>
      <c r="AR341" s="2" t="n">
        <f aca="false">AR286</f>
        <v>2808</v>
      </c>
      <c r="AS341" s="2"/>
      <c r="AT341" s="2"/>
      <c r="AU341" s="2"/>
      <c r="AV341" s="2"/>
      <c r="AW341" s="2"/>
      <c r="AX341" s="2" t="n">
        <f aca="false">AX286</f>
        <v>3489</v>
      </c>
      <c r="AY341" s="2"/>
      <c r="AZ341" s="2"/>
      <c r="BA341" s="2"/>
      <c r="BB341" s="2"/>
      <c r="BC341" s="2"/>
      <c r="BD341" s="2" t="n">
        <f aca="false">BD286</f>
        <v>4093</v>
      </c>
      <c r="BE341" s="2"/>
      <c r="BF341" s="2"/>
      <c r="BG341" s="2"/>
      <c r="BH341" s="2"/>
      <c r="BI341" s="2"/>
      <c r="BJ341" s="2" t="n">
        <f aca="false">BJ286</f>
        <v>4666</v>
      </c>
      <c r="BK341" s="2"/>
      <c r="BL341" s="2"/>
      <c r="BM341" s="2"/>
      <c r="BN341" s="2"/>
      <c r="BO341" s="2"/>
      <c r="BP341" s="2" t="n">
        <f aca="false">BP286</f>
        <v>5073</v>
      </c>
      <c r="BQ341" s="2"/>
      <c r="BR341" s="2"/>
      <c r="BS341" s="2"/>
      <c r="BT341" s="3"/>
      <c r="BU341" s="3"/>
      <c r="BV341" s="3" t="n">
        <f aca="false">BV286</f>
        <v>5586.3185</v>
      </c>
      <c r="BW341" s="3" t="n">
        <f aca="false">BW286</f>
        <v>5996.87886884932</v>
      </c>
      <c r="BX341" s="3" t="n">
        <f aca="false">BX286</f>
        <v>6428.75073396871</v>
      </c>
      <c r="BY341" s="3" t="n">
        <f aca="false">BY286</f>
        <v>6885.51923128033</v>
      </c>
      <c r="BZ341" s="3" t="n">
        <f aca="false">BZ286</f>
        <v>7369.52368810083</v>
      </c>
      <c r="CA341" s="16"/>
      <c r="CC341" s="5"/>
      <c r="CD341" s="5"/>
      <c r="CE341" s="5"/>
    </row>
    <row r="342" customFormat="false" ht="15" hidden="false" customHeight="false" outlineLevel="0" collapsed="false">
      <c r="B342" s="32" t="s">
        <v>460</v>
      </c>
      <c r="C342" s="93"/>
      <c r="D342" s="93"/>
      <c r="E342" s="93"/>
      <c r="F342" s="93"/>
      <c r="G342" s="93"/>
      <c r="H342" s="94" t="n">
        <f aca="false">IFERROR(H340/H341,"n/a")</f>
        <v>0.271140939597315</v>
      </c>
      <c r="I342" s="93"/>
      <c r="J342" s="93"/>
      <c r="K342" s="93"/>
      <c r="L342" s="93"/>
      <c r="M342" s="93"/>
      <c r="N342" s="94" t="n">
        <f aca="false">IFERROR(N340/N341,"n/a")</f>
        <v>0.346642468239564</v>
      </c>
      <c r="O342" s="93"/>
      <c r="P342" s="93"/>
      <c r="Q342" s="93"/>
      <c r="R342" s="93"/>
      <c r="S342" s="93"/>
      <c r="T342" s="94" t="n">
        <f aca="false">IFERROR(T340/T341,"n/a")</f>
        <v>0.272468714448237</v>
      </c>
      <c r="U342" s="93"/>
      <c r="V342" s="93"/>
      <c r="W342" s="93"/>
      <c r="X342" s="93"/>
      <c r="Y342" s="93"/>
      <c r="Z342" s="94" t="n">
        <f aca="false">IFERROR(Z340/Z341,"n/a")</f>
        <v>0.551451187335092</v>
      </c>
      <c r="AA342" s="93"/>
      <c r="AB342" s="93"/>
      <c r="AC342" s="93"/>
      <c r="AD342" s="93"/>
      <c r="AE342" s="93"/>
      <c r="AF342" s="94" t="n">
        <f aca="false">IFERROR(AF340/AF341,"n/a")</f>
        <v>0.345717884130982</v>
      </c>
      <c r="AG342" s="93"/>
      <c r="AH342" s="93"/>
      <c r="AI342" s="93"/>
      <c r="AJ342" s="93"/>
      <c r="AK342" s="93"/>
      <c r="AL342" s="94" t="n">
        <f aca="false">IFERROR(AL340/AL341,"n/a")</f>
        <v>0.36612309310889</v>
      </c>
      <c r="AM342" s="93"/>
      <c r="AN342" s="93"/>
      <c r="AO342" s="93"/>
      <c r="AP342" s="93"/>
      <c r="AQ342" s="93"/>
      <c r="AR342" s="94" t="n">
        <f aca="false">IFERROR(AR340/AR341,"n/a")</f>
        <v>0.193732193732194</v>
      </c>
      <c r="AS342" s="93"/>
      <c r="AT342" s="93"/>
      <c r="AU342" s="93"/>
      <c r="AV342" s="93"/>
      <c r="AW342" s="93"/>
      <c r="AX342" s="94" t="n">
        <f aca="false">IFERROR(AX340/AX341,"n/a")</f>
        <v>0.165950128976784</v>
      </c>
      <c r="AY342" s="93"/>
      <c r="AZ342" s="93"/>
      <c r="BA342" s="93"/>
      <c r="BB342" s="93"/>
      <c r="BC342" s="93"/>
      <c r="BD342" s="94" t="n">
        <f aca="false">IFERROR(BD340/BD341,"n/a")</f>
        <v>0.166381627168336</v>
      </c>
      <c r="BE342" s="93"/>
      <c r="BF342" s="93"/>
      <c r="BG342" s="93"/>
      <c r="BH342" s="93"/>
      <c r="BI342" s="93"/>
      <c r="BJ342" s="94" t="n">
        <f aca="false">IFERROR(BJ340/BJ341,"n/a")</f>
        <v>0.117873981997428</v>
      </c>
      <c r="BK342" s="93"/>
      <c r="BL342" s="93"/>
      <c r="BM342" s="93"/>
      <c r="BN342" s="93"/>
      <c r="BO342" s="93"/>
      <c r="BP342" s="94" t="n">
        <f aca="false">IFERROR(BP340/BP341,"n/a")</f>
        <v>0.119258821210329</v>
      </c>
      <c r="BQ342" s="93"/>
      <c r="BR342" s="93"/>
      <c r="BS342" s="93"/>
      <c r="BT342" s="94"/>
      <c r="BU342" s="94"/>
      <c r="BV342" s="94" t="n">
        <f aca="false">IFERROR(BV340/BV341,"n/a")</f>
        <v>0.128185047093179</v>
      </c>
      <c r="BW342" s="94" t="n">
        <f aca="false">IFERROR(BW340/BW341,"n/a")</f>
        <v>0.132483682217061</v>
      </c>
      <c r="BX342" s="94" t="n">
        <f aca="false">IFERROR(BX340/BX341,"n/a")</f>
        <v>0.134875529501034</v>
      </c>
      <c r="BY342" s="94" t="n">
        <f aca="false">IFERROR(BY340/BY341,"n/a")</f>
        <v>0.136898665408748</v>
      </c>
      <c r="BZ342" s="94" t="n">
        <f aca="false">IFERROR(BZ340/BZ341,"n/a")</f>
        <v>0.138394196622627</v>
      </c>
      <c r="CA342" s="16"/>
      <c r="CC342" s="40" t="n">
        <f aca="false">IFERROR(AVERAGE(BV342,BW342,BX342,BY342,BZ342),"n/m")</f>
        <v>0.13416742416853</v>
      </c>
      <c r="CD342" s="40" t="n">
        <f aca="false">IFERROR(AVERAGE(AR342,AX342,BD342,BJ342,BP342),"n/m")</f>
        <v>0.152639350617014</v>
      </c>
      <c r="CE342" s="40" t="n">
        <f aca="false">IFERROR(AVERAGE(N342,T342,Z342,AF342,AL342,AR342,AX342,BD342,BJ342,BP342),"n/m")</f>
        <v>0.264560010034784</v>
      </c>
    </row>
    <row r="343" customFormat="false" ht="15" hidden="false" customHeight="false" outlineLevel="0" collapsed="false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3"/>
      <c r="BU343" s="3"/>
      <c r="BV343" s="3"/>
      <c r="BW343" s="3"/>
      <c r="BX343" s="3"/>
      <c r="BY343" s="3"/>
      <c r="BZ343" s="3"/>
      <c r="CA343" s="16"/>
      <c r="CC343" s="5"/>
      <c r="CD343" s="5"/>
      <c r="CE343" s="5"/>
    </row>
    <row r="344" customFormat="false" ht="15" hidden="false" customHeight="false" outlineLevel="0" collapsed="false">
      <c r="B344" s="20" t="s">
        <v>461</v>
      </c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</row>
    <row r="345" customFormat="false" ht="15" hidden="false" customHeight="false" outlineLevel="0" collapsed="false">
      <c r="B345" s="1" t="s">
        <v>462</v>
      </c>
      <c r="C345" s="2"/>
      <c r="D345" s="2"/>
      <c r="E345" s="2"/>
      <c r="F345" s="2"/>
      <c r="G345" s="2"/>
      <c r="H345" s="2" t="n">
        <f aca="false">H324</f>
        <v>379</v>
      </c>
      <c r="I345" s="2"/>
      <c r="J345" s="2"/>
      <c r="K345" s="2"/>
      <c r="L345" s="2"/>
      <c r="M345" s="2"/>
      <c r="N345" s="2" t="n">
        <f aca="false">N324</f>
        <v>558</v>
      </c>
      <c r="O345" s="2"/>
      <c r="P345" s="2"/>
      <c r="Q345" s="2"/>
      <c r="R345" s="2"/>
      <c r="S345" s="2"/>
      <c r="T345" s="2" t="n">
        <f aca="false">T324</f>
        <v>578</v>
      </c>
      <c r="U345" s="2"/>
      <c r="V345" s="2"/>
      <c r="W345" s="2"/>
      <c r="X345" s="2"/>
      <c r="Y345" s="2"/>
      <c r="Z345" s="2" t="n">
        <f aca="false">Z324</f>
        <v>1043</v>
      </c>
      <c r="AA345" s="2"/>
      <c r="AB345" s="2"/>
      <c r="AC345" s="2"/>
      <c r="AD345" s="2"/>
      <c r="AE345" s="2"/>
      <c r="AF345" s="2" t="n">
        <f aca="false">AF324</f>
        <v>1211</v>
      </c>
      <c r="AG345" s="2"/>
      <c r="AH345" s="2"/>
      <c r="AI345" s="2"/>
      <c r="AJ345" s="2"/>
      <c r="AK345" s="2"/>
      <c r="AL345" s="2" t="n">
        <f aca="false">AL324</f>
        <v>1174</v>
      </c>
      <c r="AM345" s="2"/>
      <c r="AN345" s="2"/>
      <c r="AO345" s="2"/>
      <c r="AP345" s="2"/>
      <c r="AQ345" s="2"/>
      <c r="AR345" s="2" t="n">
        <f aca="false">AR324</f>
        <v>2671</v>
      </c>
      <c r="AS345" s="2"/>
      <c r="AT345" s="2"/>
      <c r="AU345" s="2"/>
      <c r="AV345" s="2"/>
      <c r="AW345" s="2"/>
      <c r="AX345" s="2" t="n">
        <f aca="false">AX324</f>
        <v>2438</v>
      </c>
      <c r="AY345" s="2"/>
      <c r="AZ345" s="2"/>
      <c r="BA345" s="2"/>
      <c r="BB345" s="2"/>
      <c r="BC345" s="2"/>
      <c r="BD345" s="2" t="n">
        <f aca="false">BD324</f>
        <v>2015</v>
      </c>
      <c r="BE345" s="2"/>
      <c r="BF345" s="2"/>
      <c r="BG345" s="2"/>
      <c r="BH345" s="2"/>
      <c r="BI345" s="2"/>
      <c r="BJ345" s="2" t="n">
        <f aca="false">BJ324</f>
        <v>2372</v>
      </c>
      <c r="BK345" s="2"/>
      <c r="BL345" s="2"/>
      <c r="BM345" s="2"/>
      <c r="BN345" s="2"/>
      <c r="BO345" s="2"/>
      <c r="BP345" s="2" t="n">
        <f aca="false">BP324</f>
        <v>1926</v>
      </c>
      <c r="BQ345" s="2"/>
      <c r="BR345" s="2"/>
      <c r="BS345" s="2"/>
      <c r="BT345" s="3"/>
      <c r="BU345" s="3"/>
      <c r="BV345" s="3" t="n">
        <f aca="false">BV324</f>
        <v>1638.764</v>
      </c>
      <c r="BW345" s="3" t="n">
        <f aca="false">BW324</f>
        <v>1666.20595944706</v>
      </c>
      <c r="BX345" s="3" t="n">
        <f aca="false">BX324</f>
        <v>1585.64002017189</v>
      </c>
      <c r="BY345" s="3" t="n">
        <f aca="false">BY324</f>
        <v>1463.84964350319</v>
      </c>
      <c r="BZ345" s="3" t="n">
        <f aca="false">BZ324</f>
        <v>1284.23292679821</v>
      </c>
      <c r="CA345" s="16"/>
      <c r="CC345" s="5"/>
      <c r="CD345" s="5"/>
      <c r="CE345" s="5"/>
    </row>
    <row r="346" customFormat="false" ht="15" hidden="false" customHeight="false" outlineLevel="0" collapsed="false">
      <c r="B346" s="1" t="s">
        <v>463</v>
      </c>
      <c r="C346" s="2"/>
      <c r="D346" s="2"/>
      <c r="E346" s="2"/>
      <c r="F346" s="2"/>
      <c r="G346" s="2"/>
      <c r="H346" s="2" t="n">
        <f aca="false">H103</f>
        <v>847</v>
      </c>
      <c r="I346" s="2"/>
      <c r="J346" s="2"/>
      <c r="K346" s="2"/>
      <c r="L346" s="2"/>
      <c r="M346" s="2"/>
      <c r="N346" s="2" t="n">
        <f aca="false">N103</f>
        <v>901</v>
      </c>
      <c r="O346" s="2"/>
      <c r="P346" s="2"/>
      <c r="Q346" s="2"/>
      <c r="R346" s="2"/>
      <c r="S346" s="2"/>
      <c r="T346" s="2" t="n">
        <f aca="false">T103</f>
        <v>893</v>
      </c>
      <c r="U346" s="2"/>
      <c r="V346" s="2"/>
      <c r="W346" s="2"/>
      <c r="X346" s="2"/>
      <c r="Y346" s="2"/>
      <c r="Z346" s="2" t="n">
        <f aca="false">Z103</f>
        <v>866</v>
      </c>
      <c r="AA346" s="2"/>
      <c r="AB346" s="2"/>
      <c r="AC346" s="2"/>
      <c r="AD346" s="2"/>
      <c r="AE346" s="2"/>
      <c r="AF346" s="2" t="n">
        <f aca="false">AF103</f>
        <v>858</v>
      </c>
      <c r="AG346" s="2"/>
      <c r="AH346" s="2"/>
      <c r="AI346" s="2"/>
      <c r="AJ346" s="2"/>
      <c r="AK346" s="2"/>
      <c r="AL346" s="2" t="n">
        <f aca="false">AL103</f>
        <v>802</v>
      </c>
      <c r="AM346" s="2"/>
      <c r="AN346" s="2"/>
      <c r="AO346" s="2"/>
      <c r="AP346" s="2"/>
      <c r="AQ346" s="2"/>
      <c r="AR346" s="2" t="n">
        <f aca="false">AR103</f>
        <v>976</v>
      </c>
      <c r="AS346" s="2"/>
      <c r="AT346" s="2"/>
      <c r="AU346" s="2"/>
      <c r="AV346" s="2"/>
      <c r="AW346" s="2"/>
      <c r="AX346" s="2" t="n">
        <f aca="false">AX103</f>
        <v>1070</v>
      </c>
      <c r="AY346" s="2"/>
      <c r="AZ346" s="2"/>
      <c r="BA346" s="2"/>
      <c r="BB346" s="2"/>
      <c r="BC346" s="2"/>
      <c r="BD346" s="2" t="n">
        <f aca="false">BD103</f>
        <v>1189</v>
      </c>
      <c r="BE346" s="2"/>
      <c r="BF346" s="2"/>
      <c r="BG346" s="2"/>
      <c r="BH346" s="2"/>
      <c r="BI346" s="2"/>
      <c r="BJ346" s="2" t="n">
        <f aca="false">BJ103</f>
        <v>899</v>
      </c>
      <c r="BK346" s="2"/>
      <c r="BL346" s="2"/>
      <c r="BM346" s="2"/>
      <c r="BN346" s="2"/>
      <c r="BO346" s="2"/>
      <c r="BP346" s="2" t="n">
        <f aca="false">BP103</f>
        <v>1046</v>
      </c>
      <c r="BQ346" s="2"/>
      <c r="BR346" s="2"/>
      <c r="BS346" s="2"/>
      <c r="BT346" s="3"/>
      <c r="BU346" s="3"/>
      <c r="BV346" s="3" t="n">
        <f aca="false">BV103</f>
        <v>1128.75</v>
      </c>
      <c r="BW346" s="3" t="n">
        <f aca="false">BW103</f>
        <v>1267.15240597954</v>
      </c>
      <c r="BX346" s="3" t="n">
        <f aca="false">BX103</f>
        <v>1373.68096758458</v>
      </c>
      <c r="BY346" s="3" t="n">
        <f aca="false">BY103</f>
        <v>1483.89493060997</v>
      </c>
      <c r="BZ346" s="3" t="n">
        <f aca="false">BZ103</f>
        <v>1595.76692984723</v>
      </c>
      <c r="CA346" s="16"/>
      <c r="CC346" s="5"/>
      <c r="CD346" s="5"/>
      <c r="CE346" s="5"/>
    </row>
    <row r="347" customFormat="false" ht="15" hidden="false" customHeight="false" outlineLevel="0" collapsed="false">
      <c r="B347" s="32" t="s">
        <v>464</v>
      </c>
      <c r="C347" s="95"/>
      <c r="D347" s="95"/>
      <c r="E347" s="95"/>
      <c r="F347" s="95"/>
      <c r="G347" s="95"/>
      <c r="H347" s="96" t="n">
        <f aca="false">IFERROR(H345/H346,"n/a")</f>
        <v>0.447461629279811</v>
      </c>
      <c r="I347" s="95"/>
      <c r="J347" s="95"/>
      <c r="K347" s="95"/>
      <c r="L347" s="95"/>
      <c r="M347" s="95"/>
      <c r="N347" s="96" t="n">
        <f aca="false">IFERROR(N345/N346,"n/a")</f>
        <v>0.619311875693674</v>
      </c>
      <c r="O347" s="95"/>
      <c r="P347" s="95"/>
      <c r="Q347" s="95"/>
      <c r="R347" s="95"/>
      <c r="S347" s="95"/>
      <c r="T347" s="96" t="n">
        <f aca="false">IFERROR(T345/T346,"n/a")</f>
        <v>0.647256438969765</v>
      </c>
      <c r="U347" s="95"/>
      <c r="V347" s="95"/>
      <c r="W347" s="95"/>
      <c r="X347" s="95"/>
      <c r="Y347" s="95"/>
      <c r="Z347" s="96" t="n">
        <f aca="false">IFERROR(Z345/Z346,"n/a")</f>
        <v>1.20438799076212</v>
      </c>
      <c r="AA347" s="95"/>
      <c r="AB347" s="95"/>
      <c r="AC347" s="95"/>
      <c r="AD347" s="95"/>
      <c r="AE347" s="95"/>
      <c r="AF347" s="96" t="n">
        <f aca="false">IFERROR(AF345/AF346,"n/a")</f>
        <v>1.41142191142191</v>
      </c>
      <c r="AG347" s="95"/>
      <c r="AH347" s="95"/>
      <c r="AI347" s="95"/>
      <c r="AJ347" s="95"/>
      <c r="AK347" s="95"/>
      <c r="AL347" s="96" t="n">
        <f aca="false">IFERROR(AL345/AL346,"n/a")</f>
        <v>1.46384039900249</v>
      </c>
      <c r="AM347" s="95"/>
      <c r="AN347" s="95"/>
      <c r="AO347" s="95"/>
      <c r="AP347" s="95"/>
      <c r="AQ347" s="95"/>
      <c r="AR347" s="96" t="n">
        <f aca="false">IFERROR(AR345/AR346,"n/a")</f>
        <v>2.73668032786885</v>
      </c>
      <c r="AS347" s="95"/>
      <c r="AT347" s="95"/>
      <c r="AU347" s="95"/>
      <c r="AV347" s="95"/>
      <c r="AW347" s="95"/>
      <c r="AX347" s="96" t="n">
        <f aca="false">IFERROR(AX345/AX346,"n/a")</f>
        <v>2.2785046728972</v>
      </c>
      <c r="AY347" s="95"/>
      <c r="AZ347" s="95"/>
      <c r="BA347" s="95"/>
      <c r="BB347" s="95"/>
      <c r="BC347" s="95"/>
      <c r="BD347" s="96" t="n">
        <f aca="false">IFERROR(BD345/BD346,"n/a")</f>
        <v>1.69470142977292</v>
      </c>
      <c r="BE347" s="95"/>
      <c r="BF347" s="95"/>
      <c r="BG347" s="95"/>
      <c r="BH347" s="95"/>
      <c r="BI347" s="95"/>
      <c r="BJ347" s="96" t="n">
        <f aca="false">IFERROR(BJ345/BJ346,"n/a")</f>
        <v>2.6384872080089</v>
      </c>
      <c r="BK347" s="95"/>
      <c r="BL347" s="95"/>
      <c r="BM347" s="95"/>
      <c r="BN347" s="95"/>
      <c r="BO347" s="95"/>
      <c r="BP347" s="96" t="n">
        <f aca="false">IFERROR(BP345/BP346,"n/a")</f>
        <v>1.84130019120459</v>
      </c>
      <c r="BQ347" s="95"/>
      <c r="BR347" s="95"/>
      <c r="BS347" s="95"/>
      <c r="BT347" s="96"/>
      <c r="BU347" s="96"/>
      <c r="BV347" s="96" t="n">
        <f aca="false">IFERROR(BV345/BV346,"n/a")</f>
        <v>1.45183964562569</v>
      </c>
      <c r="BW347" s="96" t="n">
        <f aca="false">IFERROR(BW345/BW346,"n/a")</f>
        <v>1.31492151345366</v>
      </c>
      <c r="BX347" s="96" t="n">
        <f aca="false">IFERROR(BX345/BX346,"n/a")</f>
        <v>1.1543000577201</v>
      </c>
      <c r="BY347" s="96" t="n">
        <f aca="false">IFERROR(BY345/BY346,"n/a")</f>
        <v>0.986491437706749</v>
      </c>
      <c r="BZ347" s="96" t="n">
        <f aca="false">IFERROR(BZ345/BZ346,"n/a")</f>
        <v>0.804774746723919</v>
      </c>
      <c r="CA347" s="16"/>
      <c r="CC347" s="5"/>
      <c r="CD347" s="5"/>
      <c r="CE347" s="5"/>
    </row>
    <row r="348" customFormat="false" ht="15" hidden="false" customHeight="false" outlineLevel="0" collapsed="false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3"/>
      <c r="BU348" s="3"/>
      <c r="BV348" s="3"/>
      <c r="BW348" s="3"/>
      <c r="BX348" s="3"/>
      <c r="BY348" s="3"/>
      <c r="BZ348" s="3"/>
      <c r="CA348" s="16"/>
      <c r="CC348" s="5"/>
      <c r="CD348" s="5"/>
      <c r="CE348" s="5"/>
    </row>
    <row r="349" customFormat="false" ht="15" hidden="false" customHeight="false" outlineLevel="0" collapsed="false">
      <c r="B349" s="15" t="s">
        <v>465</v>
      </c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 t="s">
        <v>466</v>
      </c>
      <c r="CC349" s="15"/>
      <c r="CD349" s="15"/>
      <c r="CE349" s="15"/>
    </row>
    <row r="350" customFormat="false" ht="15" hidden="false" customHeight="false" outlineLevel="0" collapsed="false">
      <c r="B350" s="77" t="s">
        <v>467</v>
      </c>
      <c r="C350" s="79"/>
      <c r="D350" s="79"/>
      <c r="E350" s="79"/>
      <c r="F350" s="79"/>
      <c r="G350" s="79"/>
      <c r="H350" s="97" t="n">
        <v>122.36</v>
      </c>
      <c r="I350" s="79"/>
      <c r="J350" s="79"/>
      <c r="K350" s="79"/>
      <c r="L350" s="79"/>
      <c r="M350" s="79"/>
      <c r="N350" s="97" t="n">
        <v>152.9</v>
      </c>
      <c r="O350" s="79"/>
      <c r="P350" s="79"/>
      <c r="Q350" s="79"/>
      <c r="R350" s="79"/>
      <c r="S350" s="79"/>
      <c r="T350" s="97" t="n">
        <v>212.38</v>
      </c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  <c r="AP350" s="79"/>
      <c r="AQ350" s="79"/>
      <c r="AR350" s="79"/>
      <c r="AS350" s="79"/>
      <c r="AT350" s="79"/>
      <c r="AU350" s="79"/>
      <c r="AV350" s="79"/>
      <c r="AW350" s="79"/>
      <c r="AX350" s="79"/>
      <c r="AY350" s="79"/>
      <c r="AZ350" s="79"/>
      <c r="BA350" s="79"/>
      <c r="BB350" s="79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  <c r="BP350" s="79"/>
      <c r="BQ350" s="79"/>
      <c r="BR350" s="79"/>
      <c r="BS350" s="79"/>
      <c r="BT350" s="70"/>
      <c r="BU350" s="70"/>
      <c r="BV350" s="98" t="n">
        <v>275</v>
      </c>
      <c r="BW350" s="70" t="n">
        <f aca="false">BV350</f>
        <v>275</v>
      </c>
      <c r="BX350" s="70" t="n">
        <f aca="false">BW350</f>
        <v>275</v>
      </c>
      <c r="BY350" s="70" t="n">
        <f aca="false">BX350</f>
        <v>275</v>
      </c>
      <c r="BZ350" s="70" t="n">
        <f aca="false">BY350</f>
        <v>275</v>
      </c>
      <c r="CA350" s="16"/>
      <c r="CC350" s="5"/>
      <c r="CD350" s="5"/>
      <c r="CE350" s="5"/>
    </row>
    <row r="351" customFormat="false" ht="15" hidden="false" customHeight="false" outlineLevel="0" collapsed="false">
      <c r="B351" s="1" t="s">
        <v>468</v>
      </c>
      <c r="C351" s="64"/>
      <c r="D351" s="64"/>
      <c r="E351" s="64"/>
      <c r="F351" s="64"/>
      <c r="G351" s="64"/>
      <c r="H351" s="64" t="n">
        <f aca="false">H137</f>
        <v>48.3</v>
      </c>
      <c r="I351" s="64"/>
      <c r="J351" s="64"/>
      <c r="K351" s="64"/>
      <c r="L351" s="64"/>
      <c r="M351" s="64"/>
      <c r="N351" s="64" t="n">
        <f aca="false">N137</f>
        <v>47.2</v>
      </c>
      <c r="O351" s="64"/>
      <c r="P351" s="64"/>
      <c r="Q351" s="64"/>
      <c r="R351" s="64"/>
      <c r="S351" s="64"/>
      <c r="T351" s="64" t="n">
        <f aca="false">T137</f>
        <v>45.8</v>
      </c>
      <c r="U351" s="64"/>
      <c r="V351" s="64"/>
      <c r="W351" s="64"/>
      <c r="X351" s="64"/>
      <c r="Y351" s="64"/>
      <c r="Z351" s="64" t="n">
        <f aca="false">Z137</f>
        <v>43.8</v>
      </c>
      <c r="AA351" s="64"/>
      <c r="AB351" s="64"/>
      <c r="AC351" s="64"/>
      <c r="AD351" s="64"/>
      <c r="AE351" s="64"/>
      <c r="AF351" s="64" t="n">
        <f aca="false">AF137</f>
        <v>41.4</v>
      </c>
      <c r="AG351" s="64"/>
      <c r="AH351" s="64"/>
      <c r="AI351" s="64"/>
      <c r="AJ351" s="64"/>
      <c r="AK351" s="64"/>
      <c r="AL351" s="64" t="n">
        <f aca="false">AL137</f>
        <v>40.6</v>
      </c>
      <c r="AM351" s="64"/>
      <c r="AN351" s="64"/>
      <c r="AO351" s="64"/>
      <c r="AP351" s="64"/>
      <c r="AQ351" s="64"/>
      <c r="AR351" s="64" t="n">
        <f aca="false">AR137</f>
        <v>40.3</v>
      </c>
      <c r="AS351" s="64"/>
      <c r="AT351" s="64"/>
      <c r="AU351" s="64"/>
      <c r="AV351" s="64"/>
      <c r="AW351" s="64"/>
      <c r="AX351" s="64" t="n">
        <f aca="false">AX137</f>
        <v>40.1</v>
      </c>
      <c r="AY351" s="64"/>
      <c r="AZ351" s="64"/>
      <c r="BA351" s="64"/>
      <c r="BB351" s="64"/>
      <c r="BC351" s="64"/>
      <c r="BD351" s="64" t="n">
        <f aca="false">BD137</f>
        <v>39.9</v>
      </c>
      <c r="BE351" s="64"/>
      <c r="BF351" s="64"/>
      <c r="BG351" s="64"/>
      <c r="BH351" s="64"/>
      <c r="BI351" s="64"/>
      <c r="BJ351" s="64" t="n">
        <f aca="false">BJ137</f>
        <v>39.4</v>
      </c>
      <c r="BK351" s="64"/>
      <c r="BL351" s="64"/>
      <c r="BM351" s="64"/>
      <c r="BN351" s="64"/>
      <c r="BO351" s="64"/>
      <c r="BP351" s="64" t="n">
        <f aca="false">BP137</f>
        <v>39.3</v>
      </c>
      <c r="BQ351" s="64"/>
      <c r="BR351" s="64"/>
      <c r="BS351" s="64"/>
      <c r="BT351" s="65"/>
      <c r="BU351" s="65"/>
      <c r="BV351" s="65" t="n">
        <f aca="false">BV137</f>
        <v>39.45</v>
      </c>
      <c r="BW351" s="65" t="n">
        <f aca="false">BW137</f>
        <v>39.485152931181</v>
      </c>
      <c r="BX351" s="65" t="n">
        <f aca="false">BX137</f>
        <v>38.8982882586014</v>
      </c>
      <c r="BY351" s="65" t="n">
        <f aca="false">BY137</f>
        <v>38.2060172674458</v>
      </c>
      <c r="BZ351" s="65" t="n">
        <f aca="false">BZ137</f>
        <v>37.4252851087478</v>
      </c>
      <c r="CA351" s="16"/>
      <c r="CC351" s="5"/>
      <c r="CD351" s="5"/>
      <c r="CE351" s="5"/>
    </row>
    <row r="352" customFormat="false" ht="15" hidden="false" customHeight="false" outlineLevel="0" collapsed="false">
      <c r="B352" s="1" t="s">
        <v>469</v>
      </c>
      <c r="C352" s="2"/>
      <c r="D352" s="2"/>
      <c r="E352" s="2"/>
      <c r="F352" s="2"/>
      <c r="G352" s="2"/>
      <c r="H352" s="2" t="n">
        <f aca="false">IFERROR(IF(ISNUMBER(H350),H350*H351,"n/a"),"n/a")</f>
        <v>5909.988</v>
      </c>
      <c r="I352" s="2"/>
      <c r="J352" s="2"/>
      <c r="K352" s="2"/>
      <c r="L352" s="2"/>
      <c r="M352" s="2"/>
      <c r="N352" s="2" t="n">
        <f aca="false">IFERROR(IF(ISNUMBER(N350),N350*N351,"n/a"),"n/a")</f>
        <v>7216.88</v>
      </c>
      <c r="O352" s="2"/>
      <c r="P352" s="2"/>
      <c r="Q352" s="2"/>
      <c r="R352" s="2"/>
      <c r="S352" s="2"/>
      <c r="T352" s="2" t="n">
        <f aca="false">IFERROR(IF(ISNUMBER(T350),T350*T351,"n/a"),"n/a")</f>
        <v>9727.004</v>
      </c>
      <c r="U352" s="2"/>
      <c r="V352" s="2"/>
      <c r="W352" s="2"/>
      <c r="X352" s="2"/>
      <c r="Y352" s="2"/>
      <c r="Z352" s="2" t="str">
        <f aca="false">IFERROR(IF(ISNUMBER(Z350),Z350*Z351,"n/a"),"n/a")</f>
        <v>n/a</v>
      </c>
      <c r="AA352" s="2"/>
      <c r="AB352" s="2"/>
      <c r="AC352" s="2"/>
      <c r="AD352" s="2"/>
      <c r="AE352" s="2"/>
      <c r="AF352" s="2" t="str">
        <f aca="false">IFERROR(IF(ISNUMBER(AF350),AF350*AF351,"n/a"),"n/a")</f>
        <v>n/a</v>
      </c>
      <c r="AG352" s="2"/>
      <c r="AH352" s="2"/>
      <c r="AI352" s="2"/>
      <c r="AJ352" s="2"/>
      <c r="AK352" s="2"/>
      <c r="AL352" s="2" t="str">
        <f aca="false">IFERROR(IF(ISNUMBER(AL350),AL350*AL351,"n/a"),"n/a")</f>
        <v>n/a</v>
      </c>
      <c r="AM352" s="2"/>
      <c r="AN352" s="2"/>
      <c r="AO352" s="2"/>
      <c r="AP352" s="2"/>
      <c r="AQ352" s="2"/>
      <c r="AR352" s="2" t="str">
        <f aca="false">IFERROR(IF(ISNUMBER(AR350),AR350*AR351,"n/a"),"n/a")</f>
        <v>n/a</v>
      </c>
      <c r="AS352" s="2"/>
      <c r="AT352" s="2"/>
      <c r="AU352" s="2"/>
      <c r="AV352" s="2"/>
      <c r="AW352" s="2"/>
      <c r="AX352" s="2" t="str">
        <f aca="false">IFERROR(IF(ISNUMBER(AX350),AX350*AX351,"n/a"),"n/a")</f>
        <v>n/a</v>
      </c>
      <c r="AY352" s="2"/>
      <c r="AZ352" s="2"/>
      <c r="BA352" s="2"/>
      <c r="BB352" s="2"/>
      <c r="BC352" s="2"/>
      <c r="BD352" s="2" t="str">
        <f aca="false">IFERROR(IF(ISNUMBER(BD350),BD350*BD351,"n/a"),"n/a")</f>
        <v>n/a</v>
      </c>
      <c r="BE352" s="2"/>
      <c r="BF352" s="2"/>
      <c r="BG352" s="2"/>
      <c r="BH352" s="2"/>
      <c r="BI352" s="2"/>
      <c r="BJ352" s="2" t="str">
        <f aca="false">IFERROR(IF(ISNUMBER(BJ350),BJ350*BJ351,"n/a"),"n/a")</f>
        <v>n/a</v>
      </c>
      <c r="BK352" s="2"/>
      <c r="BL352" s="2"/>
      <c r="BM352" s="2"/>
      <c r="BN352" s="2"/>
      <c r="BO352" s="2"/>
      <c r="BP352" s="2" t="str">
        <f aca="false">IFERROR(IF(ISNUMBER(BP350),BP350*BP351,"n/a"),"n/a")</f>
        <v>n/a</v>
      </c>
      <c r="BQ352" s="2"/>
      <c r="BR352" s="2"/>
      <c r="BS352" s="2"/>
      <c r="BT352" s="3"/>
      <c r="BU352" s="3"/>
      <c r="BV352" s="3" t="n">
        <f aca="false">IFERROR(IF(ISNUMBER(BV350),BV350*BV351,"n/a"),"n/a")</f>
        <v>10848.75</v>
      </c>
      <c r="BW352" s="3" t="n">
        <f aca="false">IFERROR(IF(ISNUMBER(BW350),BW350*BW351,"n/a"),"n/a")</f>
        <v>10858.4170560748</v>
      </c>
      <c r="BX352" s="3" t="n">
        <f aca="false">IFERROR(IF(ISNUMBER(BX350),BX350*BX351,"n/a"),"n/a")</f>
        <v>10697.0292711154</v>
      </c>
      <c r="BY352" s="3" t="n">
        <f aca="false">IFERROR(IF(ISNUMBER(BY350),BY350*BY351,"n/a"),"n/a")</f>
        <v>10506.6547485476</v>
      </c>
      <c r="BZ352" s="3" t="n">
        <f aca="false">IFERROR(IF(ISNUMBER(BZ350),BZ350*BZ351,"n/a"),"n/a")</f>
        <v>10291.9534049057</v>
      </c>
      <c r="CA352" s="16"/>
      <c r="CC352" s="5"/>
      <c r="CD352" s="5"/>
      <c r="CE352" s="5"/>
    </row>
    <row r="353" customFormat="false" ht="15" hidden="false" customHeight="false" outlineLevel="0" collapsed="false">
      <c r="B353" s="1" t="s">
        <v>470</v>
      </c>
      <c r="C353" s="2"/>
      <c r="D353" s="2"/>
      <c r="E353" s="2"/>
      <c r="F353" s="2"/>
      <c r="G353" s="2"/>
      <c r="H353" s="2" t="n">
        <f aca="false">H324</f>
        <v>379</v>
      </c>
      <c r="I353" s="2"/>
      <c r="J353" s="2"/>
      <c r="K353" s="2"/>
      <c r="L353" s="2"/>
      <c r="M353" s="2"/>
      <c r="N353" s="2" t="n">
        <f aca="false">N324</f>
        <v>558</v>
      </c>
      <c r="O353" s="2"/>
      <c r="P353" s="2"/>
      <c r="Q353" s="2"/>
      <c r="R353" s="2"/>
      <c r="S353" s="2"/>
      <c r="T353" s="2" t="n">
        <f aca="false">T324</f>
        <v>578</v>
      </c>
      <c r="U353" s="2"/>
      <c r="V353" s="2"/>
      <c r="W353" s="2"/>
      <c r="X353" s="2"/>
      <c r="Y353" s="2"/>
      <c r="Z353" s="2" t="n">
        <f aca="false">Z324</f>
        <v>1043</v>
      </c>
      <c r="AA353" s="2"/>
      <c r="AB353" s="2"/>
      <c r="AC353" s="2"/>
      <c r="AD353" s="2"/>
      <c r="AE353" s="2"/>
      <c r="AF353" s="2" t="n">
        <f aca="false">AF324</f>
        <v>1211</v>
      </c>
      <c r="AG353" s="2"/>
      <c r="AH353" s="2"/>
      <c r="AI353" s="2"/>
      <c r="AJ353" s="2"/>
      <c r="AK353" s="2"/>
      <c r="AL353" s="2" t="n">
        <f aca="false">AL324</f>
        <v>1174</v>
      </c>
      <c r="AM353" s="2"/>
      <c r="AN353" s="2"/>
      <c r="AO353" s="2"/>
      <c r="AP353" s="2"/>
      <c r="AQ353" s="2"/>
      <c r="AR353" s="2" t="n">
        <f aca="false">AR324</f>
        <v>2671</v>
      </c>
      <c r="AS353" s="2"/>
      <c r="AT353" s="2"/>
      <c r="AU353" s="2"/>
      <c r="AV353" s="2"/>
      <c r="AW353" s="2"/>
      <c r="AX353" s="2" t="n">
        <f aca="false">AX324</f>
        <v>2438</v>
      </c>
      <c r="AY353" s="2"/>
      <c r="AZ353" s="2"/>
      <c r="BA353" s="2"/>
      <c r="BB353" s="2"/>
      <c r="BC353" s="2"/>
      <c r="BD353" s="2" t="n">
        <f aca="false">BD324</f>
        <v>2015</v>
      </c>
      <c r="BE353" s="2"/>
      <c r="BF353" s="2"/>
      <c r="BG353" s="2"/>
      <c r="BH353" s="2"/>
      <c r="BI353" s="2"/>
      <c r="BJ353" s="2" t="n">
        <f aca="false">BJ324</f>
        <v>2372</v>
      </c>
      <c r="BK353" s="2"/>
      <c r="BL353" s="2"/>
      <c r="BM353" s="2"/>
      <c r="BN353" s="2"/>
      <c r="BO353" s="2"/>
      <c r="BP353" s="2" t="n">
        <f aca="false">BP324</f>
        <v>1926</v>
      </c>
      <c r="BQ353" s="2"/>
      <c r="BR353" s="2"/>
      <c r="BS353" s="2"/>
      <c r="BT353" s="3"/>
      <c r="BU353" s="3"/>
      <c r="BV353" s="3" t="n">
        <f aca="false">BV324</f>
        <v>1638.764</v>
      </c>
      <c r="BW353" s="3" t="n">
        <f aca="false">BW324</f>
        <v>1666.20595944706</v>
      </c>
      <c r="BX353" s="3" t="n">
        <f aca="false">BX324</f>
        <v>1585.64002017189</v>
      </c>
      <c r="BY353" s="3" t="n">
        <f aca="false">BY324</f>
        <v>1463.84964350319</v>
      </c>
      <c r="BZ353" s="3" t="n">
        <f aca="false">BZ324</f>
        <v>1284.23292679821</v>
      </c>
      <c r="CA353" s="16"/>
      <c r="CC353" s="5"/>
      <c r="CD353" s="5"/>
      <c r="CE353" s="5"/>
    </row>
    <row r="354" customFormat="false" ht="15" hidden="false" customHeight="false" outlineLevel="0" collapsed="false">
      <c r="B354" s="32" t="s">
        <v>471</v>
      </c>
      <c r="C354" s="28"/>
      <c r="D354" s="28"/>
      <c r="E354" s="28"/>
      <c r="F354" s="28"/>
      <c r="G354" s="28"/>
      <c r="H354" s="34" t="n">
        <f aca="false">IFERROR(H352+H353,"n/a")</f>
        <v>6288.988</v>
      </c>
      <c r="I354" s="28"/>
      <c r="J354" s="28"/>
      <c r="K354" s="28"/>
      <c r="L354" s="28"/>
      <c r="M354" s="28"/>
      <c r="N354" s="34" t="n">
        <f aca="false">IFERROR(N352+N353,"n/a")</f>
        <v>7774.88</v>
      </c>
      <c r="O354" s="28"/>
      <c r="P354" s="28"/>
      <c r="Q354" s="28"/>
      <c r="R354" s="28"/>
      <c r="S354" s="28"/>
      <c r="T354" s="34" t="n">
        <f aca="false">IFERROR(T352+T353,"n/a")</f>
        <v>10305.004</v>
      </c>
      <c r="U354" s="28"/>
      <c r="V354" s="28"/>
      <c r="W354" s="28"/>
      <c r="X354" s="28"/>
      <c r="Y354" s="28"/>
      <c r="Z354" s="34" t="str">
        <f aca="false">IFERROR(Z352+Z353,"n/a")</f>
        <v>n/a</v>
      </c>
      <c r="AA354" s="28"/>
      <c r="AB354" s="28"/>
      <c r="AC354" s="28"/>
      <c r="AD354" s="28"/>
      <c r="AE354" s="28"/>
      <c r="AF354" s="34" t="str">
        <f aca="false">IFERROR(AF352+AF353,"n/a")</f>
        <v>n/a</v>
      </c>
      <c r="AG354" s="28"/>
      <c r="AH354" s="28"/>
      <c r="AI354" s="28"/>
      <c r="AJ354" s="28"/>
      <c r="AK354" s="28"/>
      <c r="AL354" s="34" t="str">
        <f aca="false">IFERROR(AL352+AL353,"n/a")</f>
        <v>n/a</v>
      </c>
      <c r="AM354" s="28"/>
      <c r="AN354" s="28"/>
      <c r="AO354" s="28"/>
      <c r="AP354" s="28"/>
      <c r="AQ354" s="28"/>
      <c r="AR354" s="34" t="str">
        <f aca="false">IFERROR(AR352+AR353,"n/a")</f>
        <v>n/a</v>
      </c>
      <c r="AS354" s="28"/>
      <c r="AT354" s="28"/>
      <c r="AU354" s="28"/>
      <c r="AV354" s="28"/>
      <c r="AW354" s="28"/>
      <c r="AX354" s="34" t="str">
        <f aca="false">IFERROR(AX352+AX353,"n/a")</f>
        <v>n/a</v>
      </c>
      <c r="AY354" s="28"/>
      <c r="AZ354" s="28"/>
      <c r="BA354" s="28"/>
      <c r="BB354" s="28"/>
      <c r="BC354" s="28"/>
      <c r="BD354" s="34" t="str">
        <f aca="false">IFERROR(BD352+BD353,"n/a")</f>
        <v>n/a</v>
      </c>
      <c r="BE354" s="28"/>
      <c r="BF354" s="28"/>
      <c r="BG354" s="28"/>
      <c r="BH354" s="28"/>
      <c r="BI354" s="28"/>
      <c r="BJ354" s="34" t="str">
        <f aca="false">IFERROR(BJ352+BJ353,"n/a")</f>
        <v>n/a</v>
      </c>
      <c r="BK354" s="28"/>
      <c r="BL354" s="28"/>
      <c r="BM354" s="28"/>
      <c r="BN354" s="28"/>
      <c r="BO354" s="28"/>
      <c r="BP354" s="34" t="str">
        <f aca="false">IFERROR(BP352+BP353,"n/a")</f>
        <v>n/a</v>
      </c>
      <c r="BQ354" s="28"/>
      <c r="BR354" s="28"/>
      <c r="BS354" s="28"/>
      <c r="BT354" s="34"/>
      <c r="BU354" s="34"/>
      <c r="BV354" s="34" t="n">
        <f aca="false">IFERROR(BV352+BV353,"n/a")</f>
        <v>12487.514</v>
      </c>
      <c r="BW354" s="34" t="n">
        <f aca="false">IFERROR(BW352+BW353,"n/a")</f>
        <v>12524.6230155218</v>
      </c>
      <c r="BX354" s="34" t="n">
        <f aca="false">IFERROR(BX352+BX353,"n/a")</f>
        <v>12282.6692912873</v>
      </c>
      <c r="BY354" s="34" t="n">
        <f aca="false">IFERROR(BY352+BY353,"n/a")</f>
        <v>11970.5043920508</v>
      </c>
      <c r="BZ354" s="34" t="n">
        <f aca="false">IFERROR(BZ352+BZ353,"n/a")</f>
        <v>11576.1863317039</v>
      </c>
      <c r="CA354" s="16"/>
      <c r="CC354" s="5"/>
      <c r="CD354" s="5"/>
      <c r="CE354" s="5"/>
    </row>
    <row r="355" customFormat="false" ht="15" hidden="false" customHeight="false" outlineLevel="0" collapsed="false">
      <c r="B355" s="20" t="s">
        <v>472</v>
      </c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</row>
    <row r="356" customFormat="false" ht="15" hidden="false" customHeight="false" outlineLevel="0" collapsed="false">
      <c r="B356" s="35" t="s">
        <v>473</v>
      </c>
      <c r="C356" s="43"/>
      <c r="D356" s="43"/>
      <c r="E356" s="43"/>
      <c r="F356" s="43"/>
      <c r="G356" s="43"/>
      <c r="H356" s="43" t="n">
        <f aca="false">IFERROR(H354/H119,"n/a")</f>
        <v>0.895867236467236</v>
      </c>
      <c r="I356" s="43"/>
      <c r="J356" s="43"/>
      <c r="K356" s="43"/>
      <c r="L356" s="43"/>
      <c r="M356" s="43"/>
      <c r="N356" s="43" t="n">
        <f aca="false">IFERROR(N354/N119,"n/a")</f>
        <v>1.10001131861913</v>
      </c>
      <c r="O356" s="43"/>
      <c r="P356" s="43"/>
      <c r="Q356" s="43"/>
      <c r="R356" s="43"/>
      <c r="S356" s="43"/>
      <c r="T356" s="43" t="n">
        <f aca="false">IFERROR(T354/T119,"n/a")</f>
        <v>1.38489504098911</v>
      </c>
      <c r="U356" s="43"/>
      <c r="V356" s="43"/>
      <c r="W356" s="43"/>
      <c r="X356" s="43"/>
      <c r="Y356" s="43"/>
      <c r="Z356" s="43" t="str">
        <f aca="false">IFERROR(Z354/Z119,"n/a")</f>
        <v>n/a</v>
      </c>
      <c r="AA356" s="43"/>
      <c r="AB356" s="43"/>
      <c r="AC356" s="43"/>
      <c r="AD356" s="43"/>
      <c r="AE356" s="43"/>
      <c r="AF356" s="43" t="str">
        <f aca="false">IFERROR(AF354/AF119,"n/a")</f>
        <v>n/a</v>
      </c>
      <c r="AG356" s="43"/>
      <c r="AH356" s="43"/>
      <c r="AI356" s="43"/>
      <c r="AJ356" s="43"/>
      <c r="AK356" s="43"/>
      <c r="AL356" s="43" t="str">
        <f aca="false">IFERROR(AL354/AL119,"n/a")</f>
        <v>n/a</v>
      </c>
      <c r="AM356" s="43"/>
      <c r="AN356" s="43"/>
      <c r="AO356" s="43"/>
      <c r="AP356" s="43"/>
      <c r="AQ356" s="43"/>
      <c r="AR356" s="43" t="str">
        <f aca="false">IFERROR(AR354/AR119,"n/a")</f>
        <v>n/a</v>
      </c>
      <c r="AS356" s="43"/>
      <c r="AT356" s="43"/>
      <c r="AU356" s="43"/>
      <c r="AV356" s="43"/>
      <c r="AW356" s="43"/>
      <c r="AX356" s="43" t="str">
        <f aca="false">IFERROR(AX354/AX119,"n/a")</f>
        <v>n/a</v>
      </c>
      <c r="AY356" s="43"/>
      <c r="AZ356" s="43"/>
      <c r="BA356" s="43"/>
      <c r="BB356" s="43"/>
      <c r="BC356" s="43"/>
      <c r="BD356" s="43" t="str">
        <f aca="false">IFERROR(BD354/BD119,"n/a")</f>
        <v>n/a</v>
      </c>
      <c r="BE356" s="43"/>
      <c r="BF356" s="43"/>
      <c r="BG356" s="43"/>
      <c r="BH356" s="43"/>
      <c r="BI356" s="43"/>
      <c r="BJ356" s="43" t="str">
        <f aca="false">IFERROR(BJ354/BJ119,"n/a")</f>
        <v>n/a</v>
      </c>
      <c r="BK356" s="43"/>
      <c r="BL356" s="43"/>
      <c r="BM356" s="43"/>
      <c r="BN356" s="43"/>
      <c r="BO356" s="43"/>
      <c r="BP356" s="43" t="str">
        <f aca="false">IFERROR(BP354/BP119,"n/a")</f>
        <v>n/a</v>
      </c>
      <c r="BQ356" s="43"/>
      <c r="BR356" s="43"/>
      <c r="BS356" s="43"/>
      <c r="BT356" s="44"/>
      <c r="BU356" s="44"/>
      <c r="BV356" s="44" t="n">
        <f aca="false">IFERROR(BV354/BV119,"n/a")</f>
        <v>0.942453886792453</v>
      </c>
      <c r="BW356" s="44" t="n">
        <f aca="false">IFERROR(BW354/BW119,"n/a")</f>
        <v>0.890857053813734</v>
      </c>
      <c r="BX356" s="44" t="n">
        <f aca="false">IFERROR(BX354/BX119,"n/a")</f>
        <v>0.828558664482956</v>
      </c>
      <c r="BY356" s="44" t="n">
        <f aca="false">IFERROR(BY354/BY119,"n/a")</f>
        <v>0.767848196243495</v>
      </c>
      <c r="BZ356" s="44" t="n">
        <f aca="false">IFERROR(BZ354/BZ119,"n/a")</f>
        <v>0.708725925815557</v>
      </c>
      <c r="CA356" s="16"/>
      <c r="CC356" s="5"/>
      <c r="CD356" s="5"/>
      <c r="CE356" s="5"/>
    </row>
    <row r="357" customFormat="false" ht="15" hidden="false" customHeight="false" outlineLevel="0" collapsed="false">
      <c r="B357" s="35" t="s">
        <v>474</v>
      </c>
      <c r="C357" s="43"/>
      <c r="D357" s="43"/>
      <c r="E357" s="43"/>
      <c r="F357" s="43"/>
      <c r="G357" s="43"/>
      <c r="H357" s="43" t="n">
        <f aca="false">IFERROR(H354/H103,"n/a")</f>
        <v>7.42501534828808</v>
      </c>
      <c r="I357" s="43"/>
      <c r="J357" s="43"/>
      <c r="K357" s="43"/>
      <c r="L357" s="43"/>
      <c r="M357" s="43"/>
      <c r="N357" s="43" t="n">
        <f aca="false">IFERROR(N354/N103,"n/a")</f>
        <v>8.62916759156493</v>
      </c>
      <c r="O357" s="43"/>
      <c r="P357" s="43"/>
      <c r="Q357" s="43"/>
      <c r="R357" s="43"/>
      <c r="S357" s="43"/>
      <c r="T357" s="43" t="n">
        <f aca="false">IFERROR(T354/T103,"n/a")</f>
        <v>11.539758118701</v>
      </c>
      <c r="U357" s="43"/>
      <c r="V357" s="43"/>
      <c r="W357" s="43"/>
      <c r="X357" s="43"/>
      <c r="Y357" s="43"/>
      <c r="Z357" s="43" t="str">
        <f aca="false">IFERROR(Z354/Z103,"n/a")</f>
        <v>n/a</v>
      </c>
      <c r="AA357" s="43"/>
      <c r="AB357" s="43"/>
      <c r="AC357" s="43"/>
      <c r="AD357" s="43"/>
      <c r="AE357" s="43"/>
      <c r="AF357" s="43" t="str">
        <f aca="false">IFERROR(AF354/AF103,"n/a")</f>
        <v>n/a</v>
      </c>
      <c r="AG357" s="43"/>
      <c r="AH357" s="43"/>
      <c r="AI357" s="43"/>
      <c r="AJ357" s="43"/>
      <c r="AK357" s="43"/>
      <c r="AL357" s="43" t="str">
        <f aca="false">IFERROR(AL354/AL103,"n/a")</f>
        <v>n/a</v>
      </c>
      <c r="AM357" s="43"/>
      <c r="AN357" s="43"/>
      <c r="AO357" s="43"/>
      <c r="AP357" s="43"/>
      <c r="AQ357" s="43"/>
      <c r="AR357" s="43" t="str">
        <f aca="false">IFERROR(AR354/AR103,"n/a")</f>
        <v>n/a</v>
      </c>
      <c r="AS357" s="43"/>
      <c r="AT357" s="43"/>
      <c r="AU357" s="43"/>
      <c r="AV357" s="43"/>
      <c r="AW357" s="43"/>
      <c r="AX357" s="43" t="str">
        <f aca="false">IFERROR(AX354/AX103,"n/a")</f>
        <v>n/a</v>
      </c>
      <c r="AY357" s="43"/>
      <c r="AZ357" s="43"/>
      <c r="BA357" s="43"/>
      <c r="BB357" s="43"/>
      <c r="BC357" s="43"/>
      <c r="BD357" s="43" t="str">
        <f aca="false">IFERROR(BD354/BD103,"n/a")</f>
        <v>n/a</v>
      </c>
      <c r="BE357" s="43"/>
      <c r="BF357" s="43"/>
      <c r="BG357" s="43"/>
      <c r="BH357" s="43"/>
      <c r="BI357" s="43"/>
      <c r="BJ357" s="43" t="str">
        <f aca="false">IFERROR(BJ354/BJ103,"n/a")</f>
        <v>n/a</v>
      </c>
      <c r="BK357" s="43"/>
      <c r="BL357" s="43"/>
      <c r="BM357" s="43"/>
      <c r="BN357" s="43"/>
      <c r="BO357" s="43"/>
      <c r="BP357" s="43" t="str">
        <f aca="false">IFERROR(BP354/BP103,"n/a")</f>
        <v>n/a</v>
      </c>
      <c r="BQ357" s="43"/>
      <c r="BR357" s="43"/>
      <c r="BS357" s="43"/>
      <c r="BT357" s="44"/>
      <c r="BU357" s="44"/>
      <c r="BV357" s="44" t="n">
        <f aca="false">IFERROR(BV354/BV103,"n/a")</f>
        <v>11.0631353266888</v>
      </c>
      <c r="BW357" s="44" t="n">
        <f aca="false">IFERROR(BW354/BW103,"n/a")</f>
        <v>9.88406994803435</v>
      </c>
      <c r="BX357" s="44" t="n">
        <f aca="false">IFERROR(BX354/BX103,"n/a")</f>
        <v>8.94142787235713</v>
      </c>
      <c r="BY357" s="44" t="n">
        <f aca="false">IFERROR(BY354/BY103,"n/a")</f>
        <v>8.06694877455385</v>
      </c>
      <c r="BZ357" s="44" t="n">
        <f aca="false">IFERROR(BZ354/BZ103,"n/a")</f>
        <v>7.25430895651667</v>
      </c>
      <c r="CA357" s="16"/>
      <c r="CC357" s="5"/>
      <c r="CD357" s="5"/>
      <c r="CE357" s="5"/>
    </row>
    <row r="358" customFormat="false" ht="15" hidden="false" customHeight="false" outlineLevel="0" collapsed="false">
      <c r="B358" s="35" t="s">
        <v>475</v>
      </c>
      <c r="C358" s="43"/>
      <c r="D358" s="43"/>
      <c r="E358" s="43"/>
      <c r="F358" s="43"/>
      <c r="G358" s="43"/>
      <c r="H358" s="43" t="n">
        <f aca="false">IFERROR(H354/H97,"n/a")</f>
        <v>9.4287676161919</v>
      </c>
      <c r="I358" s="43"/>
      <c r="J358" s="43"/>
      <c r="K358" s="43"/>
      <c r="L358" s="43"/>
      <c r="M358" s="43"/>
      <c r="N358" s="43" t="n">
        <f aca="false">IFERROR(N354/N97,"n/a")</f>
        <v>10.873958041958</v>
      </c>
      <c r="O358" s="43"/>
      <c r="P358" s="43"/>
      <c r="Q358" s="43"/>
      <c r="R358" s="43"/>
      <c r="S358" s="43"/>
      <c r="T358" s="43" t="n">
        <f aca="false">IFERROR(T354/T97,"n/a")</f>
        <v>14.9782034883721</v>
      </c>
      <c r="U358" s="43"/>
      <c r="V358" s="43"/>
      <c r="W358" s="43"/>
      <c r="X358" s="43"/>
      <c r="Y358" s="43"/>
      <c r="Z358" s="43" t="str">
        <f aca="false">IFERROR(Z354/Z97,"n/a")</f>
        <v>n/a</v>
      </c>
      <c r="AA358" s="43"/>
      <c r="AB358" s="43"/>
      <c r="AC358" s="43"/>
      <c r="AD358" s="43"/>
      <c r="AE358" s="43"/>
      <c r="AF358" s="43" t="str">
        <f aca="false">IFERROR(AF354/AF97,"n/a")</f>
        <v>n/a</v>
      </c>
      <c r="AG358" s="43"/>
      <c r="AH358" s="43"/>
      <c r="AI358" s="43"/>
      <c r="AJ358" s="43"/>
      <c r="AK358" s="43"/>
      <c r="AL358" s="43" t="str">
        <f aca="false">IFERROR(AL354/AL97,"n/a")</f>
        <v>n/a</v>
      </c>
      <c r="AM358" s="43"/>
      <c r="AN358" s="43"/>
      <c r="AO358" s="43"/>
      <c r="AP358" s="43"/>
      <c r="AQ358" s="43"/>
      <c r="AR358" s="43" t="str">
        <f aca="false">IFERROR(AR354/AR97,"n/a")</f>
        <v>n/a</v>
      </c>
      <c r="AS358" s="43"/>
      <c r="AT358" s="43"/>
      <c r="AU358" s="43"/>
      <c r="AV358" s="43"/>
      <c r="AW358" s="43"/>
      <c r="AX358" s="43" t="str">
        <f aca="false">IFERROR(AX354/AX97,"n/a")</f>
        <v>n/a</v>
      </c>
      <c r="AY358" s="43"/>
      <c r="AZ358" s="43"/>
      <c r="BA358" s="43"/>
      <c r="BB358" s="43"/>
      <c r="BC358" s="43"/>
      <c r="BD358" s="43" t="str">
        <f aca="false">IFERROR(BD354/BD97,"n/a")</f>
        <v>n/a</v>
      </c>
      <c r="BE358" s="43"/>
      <c r="BF358" s="43"/>
      <c r="BG358" s="43"/>
      <c r="BH358" s="43"/>
      <c r="BI358" s="43"/>
      <c r="BJ358" s="43" t="str">
        <f aca="false">IFERROR(BJ354/BJ97,"n/a")</f>
        <v>n/a</v>
      </c>
      <c r="BK358" s="43"/>
      <c r="BL358" s="43"/>
      <c r="BM358" s="43"/>
      <c r="BN358" s="43"/>
      <c r="BO358" s="43"/>
      <c r="BP358" s="43" t="str">
        <f aca="false">IFERROR(BP354/BP97,"n/a")</f>
        <v>n/a</v>
      </c>
      <c r="BQ358" s="43"/>
      <c r="BR358" s="43"/>
      <c r="BS358" s="43"/>
      <c r="BT358" s="44"/>
      <c r="BU358" s="44"/>
      <c r="BV358" s="44" t="n">
        <f aca="false">IFERROR(BV354/BV97,"n/a")</f>
        <v>15.633820344288</v>
      </c>
      <c r="BW358" s="44" t="n">
        <f aca="false">IFERROR(BW354/BW97,"n/a")</f>
        <v>13.4979823703149</v>
      </c>
      <c r="BX358" s="44" t="n">
        <f aca="false">IFERROR(BX354/BX97,"n/a")</f>
        <v>12.0842929592861</v>
      </c>
      <c r="BY358" s="44" t="n">
        <f aca="false">IFERROR(BY354/BY97,"n/a")</f>
        <v>10.7984938946641</v>
      </c>
      <c r="BZ358" s="44" t="n">
        <f aca="false">IFERROR(BZ354/BZ97,"n/a")</f>
        <v>9.62452795349708</v>
      </c>
      <c r="CA358" s="16"/>
      <c r="CC358" s="5"/>
      <c r="CD358" s="5"/>
      <c r="CE358" s="5"/>
    </row>
    <row r="359" customFormat="false" ht="15" hidden="false" customHeight="false" outlineLevel="0" collapsed="false">
      <c r="B359" s="35" t="s">
        <v>476</v>
      </c>
      <c r="C359" s="43"/>
      <c r="D359" s="43"/>
      <c r="E359" s="43"/>
      <c r="F359" s="43"/>
      <c r="G359" s="43"/>
      <c r="H359" s="43" t="n">
        <f aca="false">IFERROR(H354/H322,"n/a")</f>
        <v>3.36489459604066</v>
      </c>
      <c r="I359" s="43"/>
      <c r="J359" s="43"/>
      <c r="K359" s="43"/>
      <c r="L359" s="43"/>
      <c r="M359" s="43"/>
      <c r="N359" s="43" t="n">
        <f aca="false">IFERROR(N354/N322,"n/a")</f>
        <v>3.51645409317051</v>
      </c>
      <c r="O359" s="43"/>
      <c r="P359" s="43"/>
      <c r="Q359" s="43"/>
      <c r="R359" s="43"/>
      <c r="S359" s="43"/>
      <c r="T359" s="43" t="n">
        <f aca="false">IFERROR(T354/T322,"n/a")</f>
        <v>4.41138869863014</v>
      </c>
      <c r="U359" s="43"/>
      <c r="V359" s="43"/>
      <c r="W359" s="43"/>
      <c r="X359" s="43"/>
      <c r="Y359" s="43"/>
      <c r="Z359" s="43" t="str">
        <f aca="false">IFERROR(Z354/Z322,"n/a")</f>
        <v>n/a</v>
      </c>
      <c r="AA359" s="43"/>
      <c r="AB359" s="43"/>
      <c r="AC359" s="43"/>
      <c r="AD359" s="43"/>
      <c r="AE359" s="43"/>
      <c r="AF359" s="43" t="str">
        <f aca="false">IFERROR(AF354/AF322,"n/a")</f>
        <v>n/a</v>
      </c>
      <c r="AG359" s="43"/>
      <c r="AH359" s="43"/>
      <c r="AI359" s="43"/>
      <c r="AJ359" s="43"/>
      <c r="AK359" s="43"/>
      <c r="AL359" s="43" t="str">
        <f aca="false">IFERROR(AL354/AL322,"n/a")</f>
        <v>n/a</v>
      </c>
      <c r="AM359" s="43"/>
      <c r="AN359" s="43"/>
      <c r="AO359" s="43"/>
      <c r="AP359" s="43"/>
      <c r="AQ359" s="43"/>
      <c r="AR359" s="43" t="str">
        <f aca="false">IFERROR(AR354/AR322,"n/a")</f>
        <v>n/a</v>
      </c>
      <c r="AS359" s="43"/>
      <c r="AT359" s="43"/>
      <c r="AU359" s="43"/>
      <c r="AV359" s="43"/>
      <c r="AW359" s="43"/>
      <c r="AX359" s="43" t="str">
        <f aca="false">IFERROR(AX354/AX322,"n/a")</f>
        <v>n/a</v>
      </c>
      <c r="AY359" s="43"/>
      <c r="AZ359" s="43"/>
      <c r="BA359" s="43"/>
      <c r="BB359" s="43"/>
      <c r="BC359" s="43"/>
      <c r="BD359" s="43" t="str">
        <f aca="false">IFERROR(BD354/BD322,"n/a")</f>
        <v>n/a</v>
      </c>
      <c r="BE359" s="43"/>
      <c r="BF359" s="43"/>
      <c r="BG359" s="43"/>
      <c r="BH359" s="43"/>
      <c r="BI359" s="43"/>
      <c r="BJ359" s="43" t="str">
        <f aca="false">IFERROR(BJ354/BJ322,"n/a")</f>
        <v>n/a</v>
      </c>
      <c r="BK359" s="43"/>
      <c r="BL359" s="43"/>
      <c r="BM359" s="43"/>
      <c r="BN359" s="43"/>
      <c r="BO359" s="43"/>
      <c r="BP359" s="43" t="str">
        <f aca="false">IFERROR(BP354/BP322,"n/a")</f>
        <v>n/a</v>
      </c>
      <c r="BQ359" s="43"/>
      <c r="BR359" s="43"/>
      <c r="BS359" s="43"/>
      <c r="BT359" s="44"/>
      <c r="BU359" s="44"/>
      <c r="BV359" s="44" t="n">
        <f aca="false">IFERROR(BV354/BV322,"n/a")</f>
        <v>1.72835590458656</v>
      </c>
      <c r="BW359" s="44" t="n">
        <f aca="false">IFERROR(BW354/BW322,"n/a")</f>
        <v>1.63441007063813</v>
      </c>
      <c r="BX359" s="44" t="n">
        <f aca="false">IFERROR(BX354/BX322,"n/a")</f>
        <v>1.53257679442963</v>
      </c>
      <c r="BY359" s="44" t="n">
        <f aca="false">IFERROR(BY354/BY322,"n/a")</f>
        <v>1.43370170507183</v>
      </c>
      <c r="BZ359" s="44" t="n">
        <f aca="false">IFERROR(BZ354/BZ322,"n/a")</f>
        <v>1.33770648365281</v>
      </c>
      <c r="CA359" s="16"/>
      <c r="CC359" s="5"/>
      <c r="CD359" s="5"/>
      <c r="CE359" s="5"/>
    </row>
    <row r="360" customFormat="false" ht="15" hidden="false" customHeight="false" outlineLevel="0" collapsed="false">
      <c r="B360" s="35" t="s">
        <v>477</v>
      </c>
      <c r="C360" s="43"/>
      <c r="D360" s="43"/>
      <c r="E360" s="43"/>
      <c r="F360" s="43"/>
      <c r="G360" s="43"/>
      <c r="H360" s="43" t="n">
        <f aca="false">IF(ISNUMBER(H350),IFERROR(H350/H139,"n/a"),"n/a")</f>
        <v>14.6286831683168</v>
      </c>
      <c r="I360" s="43"/>
      <c r="J360" s="43"/>
      <c r="K360" s="43"/>
      <c r="L360" s="43"/>
      <c r="M360" s="43"/>
      <c r="N360" s="43" t="n">
        <f aca="false">IF(ISNUMBER(N350),IFERROR(N350/N139,"n/a"),"n/a")</f>
        <v>12.5949040139616</v>
      </c>
      <c r="O360" s="43"/>
      <c r="P360" s="43"/>
      <c r="Q360" s="43"/>
      <c r="R360" s="43"/>
      <c r="S360" s="43"/>
      <c r="T360" s="43" t="n">
        <f aca="false">IF(ISNUMBER(T350),IFERROR(T350/T139,"n/a"),"n/a")</f>
        <v>20.3068977035491</v>
      </c>
      <c r="U360" s="43"/>
      <c r="V360" s="43"/>
      <c r="W360" s="43"/>
      <c r="X360" s="43"/>
      <c r="Y360" s="43"/>
      <c r="Z360" s="43" t="str">
        <f aca="false">IF(ISNUMBER(Z350),IFERROR(Z350/Z139,"n/a"),"n/a")</f>
        <v>n/a</v>
      </c>
      <c r="AA360" s="43"/>
      <c r="AB360" s="43"/>
      <c r="AC360" s="43"/>
      <c r="AD360" s="43"/>
      <c r="AE360" s="43"/>
      <c r="AF360" s="43" t="str">
        <f aca="false">IF(ISNUMBER(AF350),IFERROR(AF350/AF139,"n/a"),"n/a")</f>
        <v>n/a</v>
      </c>
      <c r="AG360" s="43"/>
      <c r="AH360" s="43"/>
      <c r="AI360" s="43"/>
      <c r="AJ360" s="43"/>
      <c r="AK360" s="43"/>
      <c r="AL360" s="43" t="str">
        <f aca="false">IF(ISNUMBER(AL350),IFERROR(AL350/AL139,"n/a"),"n/a")</f>
        <v>n/a</v>
      </c>
      <c r="AM360" s="43"/>
      <c r="AN360" s="43"/>
      <c r="AO360" s="43"/>
      <c r="AP360" s="43"/>
      <c r="AQ360" s="43"/>
      <c r="AR360" s="43" t="str">
        <f aca="false">IF(ISNUMBER(AR350),IFERROR(AR350/AR139,"n/a"),"n/a")</f>
        <v>n/a</v>
      </c>
      <c r="AS360" s="43"/>
      <c r="AT360" s="43"/>
      <c r="AU360" s="43"/>
      <c r="AV360" s="43"/>
      <c r="AW360" s="43"/>
      <c r="AX360" s="43" t="str">
        <f aca="false">IF(ISNUMBER(AX350),IFERROR(AX350/AX139,"n/a"),"n/a")</f>
        <v>n/a</v>
      </c>
      <c r="AY360" s="43"/>
      <c r="AZ360" s="43"/>
      <c r="BA360" s="43"/>
      <c r="BB360" s="43"/>
      <c r="BC360" s="43"/>
      <c r="BD360" s="43" t="str">
        <f aca="false">IF(ISNUMBER(BD350),IFERROR(BD350/BD139,"n/a"),"n/a")</f>
        <v>n/a</v>
      </c>
      <c r="BE360" s="43"/>
      <c r="BF360" s="43"/>
      <c r="BG360" s="43"/>
      <c r="BH360" s="43"/>
      <c r="BI360" s="43"/>
      <c r="BJ360" s="43" t="str">
        <f aca="false">IF(ISNUMBER(BJ350),IFERROR(BJ350/BJ139,"n/a"),"n/a")</f>
        <v>n/a</v>
      </c>
      <c r="BK360" s="43"/>
      <c r="BL360" s="43"/>
      <c r="BM360" s="43"/>
      <c r="BN360" s="43"/>
      <c r="BO360" s="43"/>
      <c r="BP360" s="43" t="str">
        <f aca="false">IF(ISNUMBER(BP350),IFERROR(BP350/BP139,"n/a"),"n/a")</f>
        <v>n/a</v>
      </c>
      <c r="BQ360" s="43"/>
      <c r="BR360" s="43"/>
      <c r="BS360" s="43"/>
      <c r="BT360" s="44"/>
      <c r="BU360" s="44"/>
      <c r="BV360" s="44" t="n">
        <f aca="false">IF(ISNUMBER(BV350),IFERROR(BV350/BV139,"n/a"),"n/a")</f>
        <v>15.1501398232746</v>
      </c>
      <c r="BW360" s="44" t="n">
        <f aca="false">IF(ISNUMBER(BW350),IFERROR(BW350/BW139,"n/a"),"n/a")</f>
        <v>13.6671780227283</v>
      </c>
      <c r="BX360" s="44" t="n">
        <f aca="false">IF(ISNUMBER(BX350),IFERROR(BX350/BX139,"n/a"),"n/a")</f>
        <v>12.3368258630709</v>
      </c>
      <c r="BY360" s="44" t="n">
        <f aca="false">IF(ISNUMBER(BY350),IFERROR(BY350/BY139,"n/a"),"n/a")</f>
        <v>11.1462441450512</v>
      </c>
      <c r="BZ360" s="44" t="n">
        <f aca="false">IF(ISNUMBER(BZ350),IFERROR(BZ350/BZ139,"n/a"),"n/a")</f>
        <v>10.0911465483945</v>
      </c>
      <c r="CA360" s="16"/>
      <c r="CC360" s="5"/>
      <c r="CD360" s="5"/>
      <c r="CE360" s="5"/>
    </row>
    <row r="361" customFormat="false" ht="15" hidden="false" customHeight="false" outlineLevel="0" collapsed="false">
      <c r="B361" s="35" t="s">
        <v>478</v>
      </c>
      <c r="C361" s="43"/>
      <c r="D361" s="43"/>
      <c r="E361" s="43"/>
      <c r="F361" s="43"/>
      <c r="G361" s="43"/>
      <c r="H361" s="43" t="n">
        <f aca="false">IF(ISNUMBER(H350),IFERROR(H350/H166,"n/a"),"n/a")</f>
        <v>17.1702149912841</v>
      </c>
      <c r="I361" s="43"/>
      <c r="J361" s="43"/>
      <c r="K361" s="43"/>
      <c r="L361" s="43"/>
      <c r="M361" s="43"/>
      <c r="N361" s="43" t="n">
        <f aca="false">IF(ISNUMBER(N350),IFERROR(N350/N166,"n/a"),"n/a")</f>
        <v>15.0336006665972</v>
      </c>
      <c r="O361" s="43"/>
      <c r="P361" s="43"/>
      <c r="Q361" s="43"/>
      <c r="R361" s="43"/>
      <c r="S361" s="43"/>
      <c r="T361" s="43" t="n">
        <f aca="false">IF(ISNUMBER(T350),IFERROR(T350/T166,"n/a"),"n/a")</f>
        <v>22.0442016997167</v>
      </c>
      <c r="U361" s="43"/>
      <c r="V361" s="43"/>
      <c r="W361" s="43"/>
      <c r="X361" s="43"/>
      <c r="Y361" s="43"/>
      <c r="Z361" s="43" t="str">
        <f aca="false">IF(ISNUMBER(Z350),IFERROR(Z350/Z166,"n/a"),"n/a")</f>
        <v>n/a</v>
      </c>
      <c r="AA361" s="43"/>
      <c r="AB361" s="43"/>
      <c r="AC361" s="43"/>
      <c r="AD361" s="43"/>
      <c r="AE361" s="43"/>
      <c r="AF361" s="43" t="str">
        <f aca="false">IF(ISNUMBER(AF350),IFERROR(AF350/AF166,"n/a"),"n/a")</f>
        <v>n/a</v>
      </c>
      <c r="AG361" s="43"/>
      <c r="AH361" s="43"/>
      <c r="AI361" s="43"/>
      <c r="AJ361" s="43"/>
      <c r="AK361" s="43"/>
      <c r="AL361" s="43" t="str">
        <f aca="false">IF(ISNUMBER(AL350),IFERROR(AL350/AL166,"n/a"),"n/a")</f>
        <v>n/a</v>
      </c>
      <c r="AM361" s="43"/>
      <c r="AN361" s="43"/>
      <c r="AO361" s="43"/>
      <c r="AP361" s="43"/>
      <c r="AQ361" s="43"/>
      <c r="AR361" s="43" t="str">
        <f aca="false">IF(ISNUMBER(AR350),IFERROR(AR350/AR166,"n/a"),"n/a")</f>
        <v>n/a</v>
      </c>
      <c r="AS361" s="43"/>
      <c r="AT361" s="43"/>
      <c r="AU361" s="43"/>
      <c r="AV361" s="43"/>
      <c r="AW361" s="43"/>
      <c r="AX361" s="43" t="str">
        <f aca="false">IF(ISNUMBER(AX350),IFERROR(AX350/AX166,"n/a"),"n/a")</f>
        <v>n/a</v>
      </c>
      <c r="AY361" s="43"/>
      <c r="AZ361" s="43"/>
      <c r="BA361" s="43"/>
      <c r="BB361" s="43"/>
      <c r="BC361" s="43"/>
      <c r="BD361" s="43" t="str">
        <f aca="false">IF(ISNUMBER(BD350),IFERROR(BD350/BD166,"n/a"),"n/a")</f>
        <v>n/a</v>
      </c>
      <c r="BE361" s="43"/>
      <c r="BF361" s="43"/>
      <c r="BG361" s="43"/>
      <c r="BH361" s="43"/>
      <c r="BI361" s="43"/>
      <c r="BJ361" s="43" t="str">
        <f aca="false">IF(ISNUMBER(BJ350),IFERROR(BJ350/BJ166,"n/a"),"n/a")</f>
        <v>n/a</v>
      </c>
      <c r="BK361" s="43"/>
      <c r="BL361" s="43"/>
      <c r="BM361" s="43"/>
      <c r="BN361" s="43"/>
      <c r="BO361" s="43"/>
      <c r="BP361" s="43" t="str">
        <f aca="false">IF(ISNUMBER(BP350),IFERROR(BP350/BP166,"n/a"),"n/a")</f>
        <v>n/a</v>
      </c>
      <c r="BQ361" s="43"/>
      <c r="BR361" s="43"/>
      <c r="BS361" s="43"/>
      <c r="BT361" s="44"/>
      <c r="BU361" s="44"/>
      <c r="BV361" s="44" t="n">
        <f aca="false">IF(ISNUMBER(BV350),IFERROR(BV350/BV166,"n/a"),"n/a")</f>
        <v>18.1304287880877</v>
      </c>
      <c r="BW361" s="44" t="n">
        <f aca="false">IF(ISNUMBER(BW350),IFERROR(BW350/BW166,"n/a"),"n/a")</f>
        <v>16.0442678693553</v>
      </c>
      <c r="BX361" s="44" t="n">
        <f aca="false">IF(ISNUMBER(BX350),IFERROR(BX350/BX166,"n/a"),"n/a")</f>
        <v>14.2746743569315</v>
      </c>
      <c r="BY361" s="44" t="n">
        <f aca="false">IF(ISNUMBER(BY350),IFERROR(BY350/BY166,"n/a"),"n/a")</f>
        <v>12.7367533564955</v>
      </c>
      <c r="BZ361" s="44" t="n">
        <f aca="false">IF(ISNUMBER(BZ350),IFERROR(BZ350/BZ166,"n/a"),"n/a")</f>
        <v>11.4077536580581</v>
      </c>
      <c r="CA361" s="16"/>
      <c r="CC361" s="5"/>
      <c r="CD361" s="5"/>
      <c r="CE361" s="5"/>
    </row>
    <row r="362" customFormat="false" ht="15" hidden="false" customHeight="false" outlineLevel="0" collapsed="false">
      <c r="B362" s="32" t="s">
        <v>479</v>
      </c>
      <c r="C362" s="93"/>
      <c r="D362" s="93"/>
      <c r="E362" s="93"/>
      <c r="F362" s="93"/>
      <c r="G362" s="93"/>
      <c r="H362" s="94" t="n">
        <f aca="false">IFERROR(H221/H352,"n/a")</f>
        <v>0.113875019712392</v>
      </c>
      <c r="I362" s="93"/>
      <c r="J362" s="93"/>
      <c r="K362" s="93"/>
      <c r="L362" s="93"/>
      <c r="M362" s="93"/>
      <c r="N362" s="94" t="n">
        <f aca="false">IFERROR(N221/N352,"n/a")</f>
        <v>0.0744088858343217</v>
      </c>
      <c r="O362" s="93"/>
      <c r="P362" s="93"/>
      <c r="Q362" s="93"/>
      <c r="R362" s="93"/>
      <c r="S362" s="93"/>
      <c r="T362" s="94" t="n">
        <f aca="false">IFERROR(T221/T352,"n/a")</f>
        <v>0.0465713800467235</v>
      </c>
      <c r="U362" s="93"/>
      <c r="V362" s="93"/>
      <c r="W362" s="93"/>
      <c r="X362" s="93"/>
      <c r="Y362" s="93"/>
      <c r="Z362" s="94" t="str">
        <f aca="false">IFERROR(Z221/Z352,"n/a")</f>
        <v>n/a</v>
      </c>
      <c r="AA362" s="93"/>
      <c r="AB362" s="93"/>
      <c r="AC362" s="93"/>
      <c r="AD362" s="93"/>
      <c r="AE362" s="93"/>
      <c r="AF362" s="94" t="str">
        <f aca="false">IFERROR(AF221/AF352,"n/a")</f>
        <v>n/a</v>
      </c>
      <c r="AG362" s="93"/>
      <c r="AH362" s="93"/>
      <c r="AI362" s="93"/>
      <c r="AJ362" s="93"/>
      <c r="AK362" s="93"/>
      <c r="AL362" s="94" t="str">
        <f aca="false">IFERROR(AL221/AL352,"n/a")</f>
        <v>n/a</v>
      </c>
      <c r="AM362" s="93"/>
      <c r="AN362" s="93"/>
      <c r="AO362" s="93"/>
      <c r="AP362" s="93"/>
      <c r="AQ362" s="93"/>
      <c r="AR362" s="94" t="str">
        <f aca="false">IFERROR(AR221/AR352,"n/a")</f>
        <v>n/a</v>
      </c>
      <c r="AS362" s="93"/>
      <c r="AT362" s="93"/>
      <c r="AU362" s="93"/>
      <c r="AV362" s="93"/>
      <c r="AW362" s="93"/>
      <c r="AX362" s="94" t="str">
        <f aca="false">IFERROR(AX221/AX352,"n/a")</f>
        <v>n/a</v>
      </c>
      <c r="AY362" s="93"/>
      <c r="AZ362" s="93"/>
      <c r="BA362" s="93"/>
      <c r="BB362" s="93"/>
      <c r="BC362" s="93"/>
      <c r="BD362" s="94" t="str">
        <f aca="false">IFERROR(BD221/BD352,"n/a")</f>
        <v>n/a</v>
      </c>
      <c r="BE362" s="93"/>
      <c r="BF362" s="93"/>
      <c r="BG362" s="93"/>
      <c r="BH362" s="93"/>
      <c r="BI362" s="93"/>
      <c r="BJ362" s="94" t="str">
        <f aca="false">IFERROR(BJ221/BJ352,"n/a")</f>
        <v>n/a</v>
      </c>
      <c r="BK362" s="93"/>
      <c r="BL362" s="93"/>
      <c r="BM362" s="93"/>
      <c r="BN362" s="93"/>
      <c r="BO362" s="93"/>
      <c r="BP362" s="94" t="str">
        <f aca="false">IFERROR(BP221/BP352,"n/a")</f>
        <v>n/a</v>
      </c>
      <c r="BQ362" s="93"/>
      <c r="BR362" s="93"/>
      <c r="BS362" s="93"/>
      <c r="BT362" s="94"/>
      <c r="BU362" s="94"/>
      <c r="BV362" s="94" t="n">
        <f aca="false">IFERROR(BV221/BV352,"n/a")</f>
        <v>0.0506970849176173</v>
      </c>
      <c r="BW362" s="94" t="n">
        <f aca="false">IFERROR(BW221/BW352,"n/a")</f>
        <v>0.0383560756515107</v>
      </c>
      <c r="BX362" s="94" t="n">
        <f aca="false">IFERROR(BX221/BX352,"n/a")</f>
        <v>0.0540126813516449</v>
      </c>
      <c r="BY362" s="94" t="n">
        <f aca="false">IFERROR(BY221/BY352,"n/a")</f>
        <v>0.0639252253776095</v>
      </c>
      <c r="BZ362" s="94" t="n">
        <f aca="false">IFERROR(BZ221/BZ352,"n/a")</f>
        <v>0.0759342312818963</v>
      </c>
      <c r="CA362" s="16"/>
      <c r="CC362" s="5"/>
      <c r="CD362" s="5"/>
      <c r="CE362" s="5"/>
    </row>
    <row r="363" customFormat="false" ht="15" hidden="false" customHeight="false" outlineLevel="0" collapsed="false">
      <c r="B363" s="35" t="s">
        <v>480</v>
      </c>
      <c r="C363" s="36"/>
      <c r="D363" s="36"/>
      <c r="E363" s="36"/>
      <c r="F363" s="36"/>
      <c r="G363" s="36"/>
      <c r="H363" s="36" t="n">
        <f aca="false">IF(ISNUMBER(H350),IFERROR(H140/H350,"n/a"),"n/a")</f>
        <v>0.013893429225237</v>
      </c>
      <c r="I363" s="36"/>
      <c r="J363" s="36"/>
      <c r="K363" s="36"/>
      <c r="L363" s="36"/>
      <c r="M363" s="36"/>
      <c r="N363" s="36" t="n">
        <f aca="false">IF(ISNUMBER(N350),IFERROR(N140/N350,"n/a"),"n/a")</f>
        <v>0.013734466971877</v>
      </c>
      <c r="O363" s="36"/>
      <c r="P363" s="36"/>
      <c r="Q363" s="36"/>
      <c r="R363" s="36"/>
      <c r="S363" s="36"/>
      <c r="T363" s="36" t="n">
        <f aca="false">IF(ISNUMBER(T350),IFERROR(T140/T350,"n/a"),"n/a")</f>
        <v>0.011865524060646</v>
      </c>
      <c r="U363" s="36"/>
      <c r="V363" s="36"/>
      <c r="W363" s="36"/>
      <c r="X363" s="36"/>
      <c r="Y363" s="36"/>
      <c r="Z363" s="36" t="str">
        <f aca="false">IF(ISNUMBER(Z350),IFERROR(Z140/Z350,"n/a"),"n/a")</f>
        <v>n/a</v>
      </c>
      <c r="AA363" s="36"/>
      <c r="AB363" s="36"/>
      <c r="AC363" s="36"/>
      <c r="AD363" s="36"/>
      <c r="AE363" s="36"/>
      <c r="AF363" s="36" t="str">
        <f aca="false">IF(ISNUMBER(AF350),IFERROR(AF140/AF350,"n/a"),"n/a")</f>
        <v>n/a</v>
      </c>
      <c r="AG363" s="36"/>
      <c r="AH363" s="36"/>
      <c r="AI363" s="36"/>
      <c r="AJ363" s="36"/>
      <c r="AK363" s="36"/>
      <c r="AL363" s="36" t="str">
        <f aca="false">IF(ISNUMBER(AL350),IFERROR(AL140/AL350,"n/a"),"n/a")</f>
        <v>n/a</v>
      </c>
      <c r="AM363" s="36"/>
      <c r="AN363" s="36"/>
      <c r="AO363" s="36"/>
      <c r="AP363" s="36"/>
      <c r="AQ363" s="36"/>
      <c r="AR363" s="36" t="str">
        <f aca="false">IF(ISNUMBER(AR350),IFERROR(AR140/AR350,"n/a"),"n/a")</f>
        <v>n/a</v>
      </c>
      <c r="AS363" s="36"/>
      <c r="AT363" s="36"/>
      <c r="AU363" s="36"/>
      <c r="AV363" s="36"/>
      <c r="AW363" s="36"/>
      <c r="AX363" s="36" t="str">
        <f aca="false">IF(ISNUMBER(AX350),IFERROR(AX140/AX350,"n/a"),"n/a")</f>
        <v>n/a</v>
      </c>
      <c r="AY363" s="36"/>
      <c r="AZ363" s="36"/>
      <c r="BA363" s="36"/>
      <c r="BB363" s="36"/>
      <c r="BC363" s="36"/>
      <c r="BD363" s="36" t="str">
        <f aca="false">IF(ISNUMBER(BD350),IFERROR(BD140/BD350,"n/a"),"n/a")</f>
        <v>n/a</v>
      </c>
      <c r="BE363" s="36"/>
      <c r="BF363" s="36"/>
      <c r="BG363" s="36"/>
      <c r="BH363" s="36"/>
      <c r="BI363" s="36"/>
      <c r="BJ363" s="36" t="str">
        <f aca="false">IF(ISNUMBER(BJ350),IFERROR(BJ140/BJ350,"n/a"),"n/a")</f>
        <v>n/a</v>
      </c>
      <c r="BK363" s="36"/>
      <c r="BL363" s="36"/>
      <c r="BM363" s="36"/>
      <c r="BN363" s="36"/>
      <c r="BO363" s="36"/>
      <c r="BP363" s="36" t="str">
        <f aca="false">IF(ISNUMBER(BP350),IFERROR(BP140/BP350,"n/a"),"n/a")</f>
        <v>n/a</v>
      </c>
      <c r="BQ363" s="36"/>
      <c r="BR363" s="36"/>
      <c r="BS363" s="36"/>
      <c r="BT363" s="38"/>
      <c r="BU363" s="38"/>
      <c r="BV363" s="38" t="n">
        <f aca="false">IF(ISNUMBER(BV350),IFERROR(BV140/BV350,"n/a"),"n/a")</f>
        <v>0.0200727272727273</v>
      </c>
      <c r="BW363" s="38" t="n">
        <f aca="false">IF(ISNUMBER(BW350),IFERROR(BW140/BW350,"n/a"),"n/a")</f>
        <v>0.0206749090909091</v>
      </c>
      <c r="BX363" s="38" t="n">
        <f aca="false">IF(ISNUMBER(BX350),IFERROR(BX140/BX350,"n/a"),"n/a")</f>
        <v>0.0212951563636364</v>
      </c>
      <c r="BY363" s="38" t="n">
        <f aca="false">IF(ISNUMBER(BY350),IFERROR(BY140/BY350,"n/a"),"n/a")</f>
        <v>0.0219340110545455</v>
      </c>
      <c r="BZ363" s="38" t="n">
        <f aca="false">IF(ISNUMBER(BZ350),IFERROR(BZ140/BZ350,"n/a"),"n/a")</f>
        <v>0.0225920313861818</v>
      </c>
      <c r="CA363" s="16"/>
      <c r="CC363" s="5"/>
      <c r="CD363" s="5"/>
      <c r="CE363" s="5"/>
    </row>
  </sheetData>
  <dataValidations count="1">
    <dataValidation allowBlank="false" errorStyle="stop" operator="between" prompt="Select scenario: Bull / Base / Bear" promptTitle="Scenario Toggle" showDropDown="false" showErrorMessage="true" showInputMessage="true" sqref="CA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4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9" min="9" style="0" width="13.6"/>
    <col collapsed="false" customWidth="true" hidden="false" outlineLevel="0" max="10" min="10" style="0" width="12.6"/>
    <col collapsed="false" customWidth="true" hidden="false" outlineLevel="0" max="14" min="14" style="0" width="41.4"/>
    <col collapsed="false" customWidth="true" hidden="false" outlineLevel="0" max="15" min="15" style="0" width="11.5"/>
    <col collapsed="false" customWidth="true" hidden="false" outlineLevel="0" max="26" min="26" style="0" width="41.4"/>
    <col collapsed="false" customWidth="true" hidden="false" outlineLevel="0" max="27" min="27" style="0" width="11.75"/>
  </cols>
  <sheetData>
    <row r="2" customFormat="false" ht="18" hidden="false" customHeight="true" outlineLevel="0" collapsed="false">
      <c r="B2" s="99" t="s">
        <v>481</v>
      </c>
      <c r="J2" s="100" t="s">
        <v>482</v>
      </c>
      <c r="K2" s="101" t="n">
        <f aca="false">Model!$BV$350</f>
        <v>275</v>
      </c>
    </row>
    <row r="3" customFormat="false" ht="18" hidden="false" customHeight="true" outlineLevel="0" collapsed="false">
      <c r="B3" s="9" t="s">
        <v>483</v>
      </c>
      <c r="J3" s="102" t="s">
        <v>484</v>
      </c>
      <c r="K3" s="103" t="n">
        <f aca="true">TODAY()</f>
        <v>46297</v>
      </c>
    </row>
    <row r="5" customFormat="false" ht="19.5" hidden="false" customHeight="true" outlineLevel="0" collapsed="false">
      <c r="B5" s="102" t="s">
        <v>485</v>
      </c>
      <c r="C5" s="104" t="str">
        <f aca="false">Model!CA2</f>
        <v>Base</v>
      </c>
      <c r="N5" s="105" t="s">
        <v>485</v>
      </c>
      <c r="O5" s="106" t="s">
        <v>81</v>
      </c>
      <c r="P5" s="107" t="s">
        <v>486</v>
      </c>
      <c r="Z5" s="105" t="s">
        <v>485</v>
      </c>
      <c r="AA5" s="108" t="s">
        <v>82</v>
      </c>
      <c r="AB5" s="107" t="s">
        <v>487</v>
      </c>
    </row>
    <row r="7" customFormat="false" ht="21.75" hidden="false" customHeight="true" outlineLevel="0" collapsed="false">
      <c r="B7" s="109" t="s">
        <v>488</v>
      </c>
      <c r="C7" s="110" t="s">
        <v>489</v>
      </c>
      <c r="D7" s="110" t="s">
        <v>68</v>
      </c>
      <c r="E7" s="110" t="s">
        <v>69</v>
      </c>
      <c r="F7" s="110" t="s">
        <v>70</v>
      </c>
      <c r="G7" s="110" t="s">
        <v>71</v>
      </c>
      <c r="H7" s="110" t="s">
        <v>72</v>
      </c>
      <c r="I7" s="110" t="s">
        <v>490</v>
      </c>
      <c r="J7" s="111" t="s">
        <v>491</v>
      </c>
      <c r="K7" s="111" t="s">
        <v>492</v>
      </c>
      <c r="L7" s="111" t="s">
        <v>493</v>
      </c>
      <c r="N7" s="112" t="s">
        <v>488</v>
      </c>
      <c r="O7" s="113" t="s">
        <v>489</v>
      </c>
      <c r="P7" s="113" t="s">
        <v>68</v>
      </c>
      <c r="Q7" s="113" t="s">
        <v>69</v>
      </c>
      <c r="R7" s="113" t="s">
        <v>70</v>
      </c>
      <c r="S7" s="113" t="s">
        <v>71</v>
      </c>
      <c r="T7" s="113" t="s">
        <v>72</v>
      </c>
      <c r="U7" s="113" t="s">
        <v>490</v>
      </c>
      <c r="V7" s="111" t="s">
        <v>491</v>
      </c>
      <c r="W7" s="111" t="s">
        <v>492</v>
      </c>
      <c r="X7" s="111" t="s">
        <v>493</v>
      </c>
      <c r="Z7" s="112" t="s">
        <v>488</v>
      </c>
      <c r="AA7" s="113" t="s">
        <v>489</v>
      </c>
      <c r="AB7" s="113" t="s">
        <v>68</v>
      </c>
      <c r="AC7" s="113" t="s">
        <v>69</v>
      </c>
      <c r="AD7" s="113" t="s">
        <v>70</v>
      </c>
      <c r="AE7" s="113" t="s">
        <v>71</v>
      </c>
      <c r="AF7" s="113" t="s">
        <v>72</v>
      </c>
      <c r="AG7" s="113" t="s">
        <v>490</v>
      </c>
      <c r="AH7" s="111" t="s">
        <v>491</v>
      </c>
      <c r="AI7" s="111" t="s">
        <v>492</v>
      </c>
      <c r="AJ7" s="111" t="s">
        <v>493</v>
      </c>
    </row>
    <row r="9" customFormat="false" ht="15" hidden="false" customHeight="false" outlineLevel="0" collapsed="false">
      <c r="B9" s="114" t="s">
        <v>494</v>
      </c>
      <c r="C9" s="115" t="n">
        <f aca="false">Model!BP119</f>
        <v>12484</v>
      </c>
      <c r="D9" s="116" t="n">
        <f aca="false">Model!BV119</f>
        <v>13250</v>
      </c>
      <c r="E9" s="116" t="n">
        <f aca="false">Model!BW119</f>
        <v>14059.0714996354</v>
      </c>
      <c r="F9" s="116" t="n">
        <f aca="false">Model!BX119</f>
        <v>14824.1395785198</v>
      </c>
      <c r="G9" s="116" t="n">
        <f aca="false">Model!BY119</f>
        <v>15589.6757335805</v>
      </c>
      <c r="H9" s="116" t="n">
        <f aca="false">Model!BZ119</f>
        <v>16333.7983133363</v>
      </c>
      <c r="I9" s="117" t="n">
        <f aca="false">IFERROR((H9/C9)^(1/5)-1,"n/m")</f>
        <v>0.0552289214630053</v>
      </c>
      <c r="N9" s="114" t="s">
        <v>494</v>
      </c>
      <c r="O9" s="118" t="n">
        <v>12484</v>
      </c>
      <c r="P9" s="118" t="n">
        <v>13450</v>
      </c>
      <c r="Q9" s="118" t="n">
        <v>14534.0660377459</v>
      </c>
      <c r="R9" s="118" t="n">
        <v>15614.6178681124</v>
      </c>
      <c r="S9" s="118" t="n">
        <v>16732.7472583138</v>
      </c>
      <c r="T9" s="118" t="n">
        <v>17865.852800902</v>
      </c>
      <c r="U9" s="117" t="n">
        <v>0.0743208348157955</v>
      </c>
      <c r="Z9" s="114" t="s">
        <v>494</v>
      </c>
      <c r="AA9" s="118" t="n">
        <v>12484</v>
      </c>
      <c r="AB9" s="118" t="n">
        <v>13050</v>
      </c>
      <c r="AC9" s="118" t="n">
        <v>13461.3328218021</v>
      </c>
      <c r="AD9" s="118" t="n">
        <v>13791.0420155713</v>
      </c>
      <c r="AE9" s="118" t="n">
        <v>14089.9795191012</v>
      </c>
      <c r="AF9" s="118" t="n">
        <v>14340.0277066669</v>
      </c>
      <c r="AG9" s="117" t="n">
        <v>0.0281092015470761</v>
      </c>
    </row>
    <row r="10" customFormat="false" ht="15" hidden="false" customHeight="false" outlineLevel="0" collapsed="false">
      <c r="B10" s="119" t="s">
        <v>495</v>
      </c>
      <c r="D10" s="120" t="n">
        <f aca="false">IFERROR(D9/C9-1,"")</f>
        <v>0.0613585389298301</v>
      </c>
      <c r="E10" s="120" t="n">
        <f aca="false">IFERROR(E9/D9-1,"")</f>
        <v>0.061061999972484</v>
      </c>
      <c r="F10" s="120" t="n">
        <f aca="false">IFERROR(F9/E9-1,"")</f>
        <v>0.0544181085432411</v>
      </c>
      <c r="G10" s="120" t="n">
        <f aca="false">IFERROR(G9/F9-1,"")</f>
        <v>0.0516411863910158</v>
      </c>
      <c r="H10" s="120" t="n">
        <f aca="false">IFERROR(H9/G9-1,"")</f>
        <v>0.0477317548146905</v>
      </c>
      <c r="N10" s="119" t="s">
        <v>495</v>
      </c>
      <c r="P10" s="120" t="n">
        <v>0.0773790451778276</v>
      </c>
      <c r="Q10" s="120" t="n">
        <v>0.0805997054086156</v>
      </c>
      <c r="R10" s="120" t="n">
        <v>0.0743461483909778</v>
      </c>
      <c r="S10" s="120" t="n">
        <v>0.0716078612775299</v>
      </c>
      <c r="T10" s="120" t="n">
        <v>0.0677178424496425</v>
      </c>
      <c r="Z10" s="119" t="s">
        <v>495</v>
      </c>
      <c r="AB10" s="120" t="n">
        <v>0.0453380326818327</v>
      </c>
      <c r="AC10" s="120" t="n">
        <v>0.0315197564599325</v>
      </c>
      <c r="AD10" s="120" t="n">
        <v>0.0244930571239697</v>
      </c>
      <c r="AE10" s="120" t="n">
        <v>0.0216762085992028</v>
      </c>
      <c r="AF10" s="120" t="n">
        <v>0.0177465259780369</v>
      </c>
    </row>
    <row r="12" customFormat="false" ht="15" hidden="false" customHeight="false" outlineLevel="0" collapsed="false">
      <c r="B12" s="114" t="s">
        <v>496</v>
      </c>
      <c r="C12" s="115" t="n">
        <f aca="false">Model!BP97</f>
        <v>717</v>
      </c>
      <c r="D12" s="116" t="n">
        <f aca="false">Model!BV97</f>
        <v>798.75</v>
      </c>
      <c r="E12" s="116" t="n">
        <f aca="false">Model!BW97</f>
        <v>927.888529701023</v>
      </c>
      <c r="F12" s="116" t="n">
        <f aca="false">Model!BX97</f>
        <v>1016.41604789536</v>
      </c>
      <c r="G12" s="116" t="n">
        <f aca="false">Model!BY97</f>
        <v>1108.53462610799</v>
      </c>
      <c r="H12" s="116" t="n">
        <f aca="false">Model!BZ97</f>
        <v>1202.77964671479</v>
      </c>
      <c r="I12" s="117" t="n">
        <f aca="false">IFERROR((H12/C12)^(1/5)-1,"n/m")</f>
        <v>0.109004690401905</v>
      </c>
      <c r="N12" s="114" t="s">
        <v>496</v>
      </c>
      <c r="O12" s="118" t="n">
        <v>717</v>
      </c>
      <c r="P12" s="118" t="n">
        <v>844</v>
      </c>
      <c r="Q12" s="118" t="n">
        <v>1031.91443745083</v>
      </c>
      <c r="R12" s="118" t="n">
        <v>1148.68864767899</v>
      </c>
      <c r="S12" s="118" t="n">
        <v>1273.48087265146</v>
      </c>
      <c r="T12" s="118" t="n">
        <v>1404.93403172493</v>
      </c>
      <c r="U12" s="117" t="n">
        <v>0.144003505854906</v>
      </c>
      <c r="Z12" s="114" t="s">
        <v>496</v>
      </c>
      <c r="AA12" s="118" t="n">
        <v>717</v>
      </c>
      <c r="AB12" s="118" t="n">
        <v>754.5</v>
      </c>
      <c r="AC12" s="118" t="n">
        <v>734.279457120378</v>
      </c>
      <c r="AD12" s="118" t="n">
        <v>787.452213109756</v>
      </c>
      <c r="AE12" s="118" t="n">
        <v>840.243387822581</v>
      </c>
      <c r="AF12" s="118" t="n">
        <v>891.397759079032</v>
      </c>
      <c r="AG12" s="117" t="n">
        <v>0.0445048874155782</v>
      </c>
    </row>
    <row r="13" customFormat="false" ht="15" hidden="false" customHeight="false" outlineLevel="0" collapsed="false">
      <c r="B13" s="119" t="s">
        <v>497</v>
      </c>
      <c r="C13" s="121" t="n">
        <f aca="false">IFERROR(C12/C9,"")</f>
        <v>0.0574335148990708</v>
      </c>
      <c r="D13" s="122" t="n">
        <f aca="false">IFERROR(D12/D9,"")</f>
        <v>0.0602830188679245</v>
      </c>
      <c r="E13" s="122" t="n">
        <f aca="false">IFERROR(E12/E9,"")</f>
        <v>0.0659992752526428</v>
      </c>
      <c r="F13" s="122" t="n">
        <f aca="false">IFERROR(F12/F9,"")</f>
        <v>0.0685649269903091</v>
      </c>
      <c r="G13" s="122" t="n">
        <f aca="false">IFERROR(G12/G9,"")</f>
        <v>0.0711069713733799</v>
      </c>
      <c r="H13" s="122" t="n">
        <f aca="false">IFERROR(H12/H9,"")</f>
        <v>0.0736374738833857</v>
      </c>
      <c r="J13" s="123" t="n">
        <f aca="false">AVERAGE(Model!H107,Model!N107,Model!T107,Model!Z107,Model!AF107,Model!AL107,Model!AR107,Model!AX107,Model!BD107,Model!BJ107,Model!BP107)</f>
        <v>0.0744496852965588</v>
      </c>
      <c r="K13" s="123" t="n">
        <f aca="false">MIN(Model!H107,Model!N107,Model!T107,Model!Z107,Model!AF107,Model!AL107,Model!AR107,Model!AX107,Model!BD107,Model!BJ107,Model!BP107)</f>
        <v>0.0496749024707412</v>
      </c>
      <c r="L13" s="123" t="n">
        <f aca="false">MAX(Model!H107,Model!N107,Model!T107,Model!Z107,Model!AF107,Model!AL107,Model!AR107,Model!AX107,Model!BD107,Model!BJ107,Model!BP107)</f>
        <v>0.101160158460668</v>
      </c>
      <c r="N13" s="119" t="s">
        <v>497</v>
      </c>
      <c r="O13" s="121" t="n">
        <v>0.0574335148990708</v>
      </c>
      <c r="P13" s="122" t="n">
        <v>0.0627509293680297</v>
      </c>
      <c r="Q13" s="122" t="n">
        <v>0.0709997074989807</v>
      </c>
      <c r="R13" s="122" t="n">
        <v>0.0735649541590642</v>
      </c>
      <c r="S13" s="122" t="n">
        <v>0.0761071002263967</v>
      </c>
      <c r="T13" s="122" t="n">
        <v>0.0786379495779788</v>
      </c>
      <c r="V13" s="124" t="n">
        <v>0.0744496852965588</v>
      </c>
      <c r="W13" s="124" t="n">
        <v>0.0496749024707412</v>
      </c>
      <c r="X13" s="124" t="n">
        <v>0.101160158460668</v>
      </c>
      <c r="Z13" s="119" t="s">
        <v>497</v>
      </c>
      <c r="AA13" s="121" t="n">
        <v>0.0574335148990708</v>
      </c>
      <c r="AB13" s="122" t="n">
        <v>0.057816091954023</v>
      </c>
      <c r="AC13" s="122" t="n">
        <v>0.0545473072273446</v>
      </c>
      <c r="AD13" s="122" t="n">
        <v>0.0570988190900045</v>
      </c>
      <c r="AE13" s="122" t="n">
        <v>0.0596341099490953</v>
      </c>
      <c r="AF13" s="122" t="n">
        <v>0.0621615088417582</v>
      </c>
      <c r="AH13" s="124" t="n">
        <v>0.0744496852965588</v>
      </c>
      <c r="AI13" s="124" t="n">
        <v>0.0496749024707412</v>
      </c>
      <c r="AJ13" s="124" t="n">
        <v>0.101160158460668</v>
      </c>
    </row>
    <row r="15" customFormat="false" ht="15" hidden="false" customHeight="false" outlineLevel="0" collapsed="false">
      <c r="B15" s="114" t="s">
        <v>498</v>
      </c>
      <c r="C15" s="115" t="n">
        <f aca="false">Model!BP126</f>
        <v>657</v>
      </c>
      <c r="D15" s="116" t="n">
        <f aca="false">Model!BV126</f>
        <v>734.75</v>
      </c>
      <c r="E15" s="116" t="n">
        <f aca="false">Model!BW126</f>
        <v>863.888529701023</v>
      </c>
      <c r="F15" s="116" t="n">
        <f aca="false">Model!BX126</f>
        <v>952.416047895358</v>
      </c>
      <c r="G15" s="116" t="n">
        <f aca="false">Model!BY126</f>
        <v>1044.53462610799</v>
      </c>
      <c r="H15" s="116" t="n">
        <f aca="false">Model!BZ126</f>
        <v>1138.77964671479</v>
      </c>
      <c r="I15" s="117" t="n">
        <f aca="false">IFERROR((H15/C15)^(1/5)-1,"n/m")</f>
        <v>0.11628442526659</v>
      </c>
      <c r="N15" s="114" t="s">
        <v>498</v>
      </c>
      <c r="O15" s="118" t="n">
        <v>657</v>
      </c>
      <c r="P15" s="118" t="n">
        <v>780</v>
      </c>
      <c r="Q15" s="118" t="n">
        <v>967.914437450826</v>
      </c>
      <c r="R15" s="118" t="n">
        <v>1084.68864767899</v>
      </c>
      <c r="S15" s="118" t="n">
        <v>1209.48087265146</v>
      </c>
      <c r="T15" s="118" t="n">
        <v>1340.93403172493</v>
      </c>
      <c r="U15" s="117" t="n">
        <v>0.153369356702072</v>
      </c>
      <c r="Z15" s="114" t="s">
        <v>498</v>
      </c>
      <c r="AA15" s="118" t="n">
        <v>657</v>
      </c>
      <c r="AB15" s="118" t="n">
        <v>690.499999999999</v>
      </c>
      <c r="AC15" s="118" t="n">
        <v>670.279457120377</v>
      </c>
      <c r="AD15" s="118" t="n">
        <v>723.452213109756</v>
      </c>
      <c r="AE15" s="118" t="n">
        <v>776.24338782258</v>
      </c>
      <c r="AF15" s="118" t="n">
        <v>827.397759079032</v>
      </c>
      <c r="AG15" s="117" t="n">
        <v>0.0472003872718845</v>
      </c>
    </row>
    <row r="16" customFormat="false" ht="15" hidden="false" customHeight="false" outlineLevel="0" collapsed="false">
      <c r="B16" s="72" t="s">
        <v>499</v>
      </c>
      <c r="D16" s="125" t="n">
        <f aca="false">IFERROR(D15/C15-1,"")</f>
        <v>0.118340943683409</v>
      </c>
      <c r="E16" s="125" t="n">
        <f aca="false">IFERROR(E15/D15-1,"")</f>
        <v>0.175758461655016</v>
      </c>
      <c r="F16" s="125" t="n">
        <f aca="false">IFERROR(F15/E15-1,"")</f>
        <v>0.102475626369265</v>
      </c>
      <c r="G16" s="125" t="n">
        <f aca="false">IFERROR(G15/F15-1,"")</f>
        <v>0.0967209429284508</v>
      </c>
      <c r="H16" s="125" t="n">
        <f aca="false">IFERROR(H15/G15-1,"")</f>
        <v>0.0902268036417055</v>
      </c>
      <c r="N16" s="72" t="s">
        <v>499</v>
      </c>
      <c r="P16" s="125" t="n">
        <v>0.187214611872145</v>
      </c>
      <c r="Q16" s="125" t="n">
        <v>0.240915945449777</v>
      </c>
      <c r="R16" s="125" t="n">
        <v>0.120645178654131</v>
      </c>
      <c r="S16" s="125" t="n">
        <v>0.1150488900566</v>
      </c>
      <c r="T16" s="125" t="n">
        <v>0.108685603919716</v>
      </c>
      <c r="Z16" s="72" t="s">
        <v>499</v>
      </c>
      <c r="AB16" s="125" t="n">
        <v>0.0509893455098924</v>
      </c>
      <c r="AC16" s="125" t="n">
        <v>-0.029283914380336</v>
      </c>
      <c r="AD16" s="125" t="n">
        <v>0.079329234134397</v>
      </c>
      <c r="AE16" s="125" t="n">
        <v>0.0729711980365657</v>
      </c>
      <c r="AF16" s="125" t="n">
        <v>0.065899912397249</v>
      </c>
    </row>
    <row r="17" customFormat="false" ht="15" hidden="false" customHeight="false" outlineLevel="0" collapsed="false">
      <c r="B17" s="119" t="s">
        <v>500</v>
      </c>
      <c r="C17" s="121" t="n">
        <f aca="false">IFERROR(C15/C9,"")</f>
        <v>0.0526273630246716</v>
      </c>
      <c r="D17" s="122" t="n">
        <f aca="false">IFERROR(D15/D9,"")</f>
        <v>0.0554528301886792</v>
      </c>
      <c r="E17" s="122" t="n">
        <f aca="false">IFERROR(E15/E9,"")</f>
        <v>0.0614470542897108</v>
      </c>
      <c r="F17" s="122" t="n">
        <f aca="false">IFERROR(F15/F9,"")</f>
        <v>0.0642476443810211</v>
      </c>
      <c r="G17" s="122" t="n">
        <f aca="false">IFERROR(G15/G9,"")</f>
        <v>0.0670016903467744</v>
      </c>
      <c r="H17" s="122" t="n">
        <f aca="false">IFERROR(H15/H9,"")</f>
        <v>0.0697192180819935</v>
      </c>
      <c r="J17" s="123" t="n">
        <f aca="false">AVERAGE(Model!H180,Model!N180,Model!T180,Model!Z180,Model!AF180,Model!AL180,Model!AR180,Model!AX180,Model!BD180,Model!BJ180,Model!BP180)</f>
        <v>0.0825173280327657</v>
      </c>
      <c r="K17" s="123" t="n">
        <f aca="false">MIN(Model!H180,Model!N180,Model!T180,Model!Z180,Model!AF180,Model!AL180,Model!AR180,Model!AX180,Model!BD180,Model!BJ180,Model!BP180)</f>
        <v>0.0463805808409189</v>
      </c>
      <c r="L17" s="123" t="n">
        <f aca="false">MAX(Model!H180,Model!N180,Model!T180,Model!Z180,Model!AF180,Model!AL180,Model!AR180,Model!AX180,Model!BD180,Model!BJ180,Model!BP180)</f>
        <v>0.121392190152801</v>
      </c>
      <c r="N17" s="119" t="s">
        <v>500</v>
      </c>
      <c r="O17" s="121" t="n">
        <v>0.0526273630246716</v>
      </c>
      <c r="P17" s="122" t="n">
        <v>0.0579925650557621</v>
      </c>
      <c r="Q17" s="122" t="n">
        <v>0.0665962597759699</v>
      </c>
      <c r="R17" s="122" t="n">
        <v>0.0694662307358865</v>
      </c>
      <c r="S17" s="122" t="n">
        <v>0.0722822650686075</v>
      </c>
      <c r="T17" s="122" t="n">
        <v>0.075055696846289</v>
      </c>
      <c r="V17" s="124" t="n">
        <v>0.0825173280327657</v>
      </c>
      <c r="W17" s="124" t="n">
        <v>0.0463805808409189</v>
      </c>
      <c r="X17" s="124" t="n">
        <v>0.121392190152801</v>
      </c>
      <c r="Z17" s="119" t="s">
        <v>500</v>
      </c>
      <c r="AA17" s="121" t="n">
        <v>0.0526273630246716</v>
      </c>
      <c r="AB17" s="122" t="n">
        <v>0.052911877394636</v>
      </c>
      <c r="AC17" s="122" t="n">
        <v>0.0497929488850306</v>
      </c>
      <c r="AD17" s="122" t="n">
        <v>0.0524581255203861</v>
      </c>
      <c r="AE17" s="122" t="n">
        <v>0.0550918748157341</v>
      </c>
      <c r="AF17" s="122" t="n">
        <v>0.0576984770185877</v>
      </c>
      <c r="AH17" s="124" t="n">
        <v>0.0825173280327657</v>
      </c>
      <c r="AI17" s="124" t="n">
        <v>0.0463805808409189</v>
      </c>
      <c r="AJ17" s="124" t="n">
        <v>0.121392190152801</v>
      </c>
    </row>
    <row r="19" customFormat="false" ht="15" hidden="false" customHeight="false" outlineLevel="0" collapsed="false">
      <c r="B19" s="114" t="s">
        <v>501</v>
      </c>
      <c r="C19" s="115" t="n">
        <f aca="false">Model!BP164</f>
        <v>502.3</v>
      </c>
      <c r="D19" s="116" t="n">
        <f aca="false">Model!BV164</f>
        <v>598.3725</v>
      </c>
      <c r="E19" s="116" t="n">
        <f aca="false">Model!BW164</f>
        <v>676.778594354839</v>
      </c>
      <c r="F19" s="116" t="n">
        <f aca="false">Model!BX164</f>
        <v>749.371159274194</v>
      </c>
      <c r="G19" s="116" t="n">
        <f aca="false">Model!BY164</f>
        <v>824.908393408548</v>
      </c>
      <c r="H19" s="116" t="n">
        <f aca="false">Model!BZ164</f>
        <v>902.189310306131</v>
      </c>
      <c r="I19" s="117" t="n">
        <f aca="false">IFERROR((H19/C19)^(1/5)-1,"n/m")</f>
        <v>0.124260363908172</v>
      </c>
      <c r="N19" s="114" t="s">
        <v>501</v>
      </c>
      <c r="O19" s="118" t="n">
        <v>502.3</v>
      </c>
      <c r="P19" s="118" t="n">
        <v>635.93</v>
      </c>
      <c r="Q19" s="118" t="n">
        <v>762.079838709677</v>
      </c>
      <c r="R19" s="118" t="n">
        <v>857.834691096774</v>
      </c>
      <c r="S19" s="118" t="n">
        <v>960.164315574194</v>
      </c>
      <c r="T19" s="118" t="n">
        <v>1067.95590601444</v>
      </c>
      <c r="U19" s="117" t="n">
        <v>0.162834822403598</v>
      </c>
      <c r="Z19" s="114" t="s">
        <v>501</v>
      </c>
      <c r="AA19" s="118" t="n">
        <v>502.3</v>
      </c>
      <c r="AB19" s="118" t="n">
        <v>561.644999999999</v>
      </c>
      <c r="AC19" s="118" t="n">
        <v>518.01915483871</v>
      </c>
      <c r="AD19" s="118" t="n">
        <v>561.62081475</v>
      </c>
      <c r="AE19" s="118" t="n">
        <v>604.909578014516</v>
      </c>
      <c r="AF19" s="118" t="n">
        <v>646.856162444806</v>
      </c>
      <c r="AG19" s="117" t="n">
        <v>0.0518865653452183</v>
      </c>
    </row>
    <row r="21" customFormat="false" ht="15" hidden="false" customHeight="false" outlineLevel="0" collapsed="false">
      <c r="B21" s="114" t="s">
        <v>502</v>
      </c>
      <c r="C21" s="126" t="n">
        <f aca="false">Model!BP137</f>
        <v>39.3</v>
      </c>
      <c r="D21" s="127" t="n">
        <f aca="false">Model!BV137</f>
        <v>39.45</v>
      </c>
      <c r="E21" s="127" t="n">
        <f aca="false">Model!BW137</f>
        <v>39.485152931181</v>
      </c>
      <c r="F21" s="127" t="n">
        <f aca="false">Model!BX137</f>
        <v>38.8982882586014</v>
      </c>
      <c r="G21" s="127" t="n">
        <f aca="false">Model!BY137</f>
        <v>38.2060172674458</v>
      </c>
      <c r="H21" s="127" t="n">
        <f aca="false">Model!BZ137</f>
        <v>37.4252851087478</v>
      </c>
      <c r="I21" s="117" t="n">
        <f aca="false">IFERROR((H21/C21)^(1/5)-1,"n/m")</f>
        <v>-0.00972796828904976</v>
      </c>
      <c r="N21" s="114" t="s">
        <v>502</v>
      </c>
      <c r="O21" s="128" t="n">
        <v>39.3</v>
      </c>
      <c r="P21" s="128" t="n">
        <v>39.45</v>
      </c>
      <c r="Q21" s="128" t="n">
        <v>38.6848130841121</v>
      </c>
      <c r="R21" s="128" t="n">
        <v>37.604852547662</v>
      </c>
      <c r="S21" s="128" t="n">
        <v>36.4517443005526</v>
      </c>
      <c r="T21" s="128" t="n">
        <v>35.2403231175987</v>
      </c>
      <c r="U21" s="117" t="n">
        <v>-0.0215706623820493</v>
      </c>
      <c r="Z21" s="114" t="s">
        <v>502</v>
      </c>
      <c r="AA21" s="128" t="n">
        <v>39.3</v>
      </c>
      <c r="AB21" s="128" t="n">
        <v>39.45</v>
      </c>
      <c r="AC21" s="128" t="n">
        <v>39.825</v>
      </c>
      <c r="AD21" s="128" t="n">
        <v>39.8955964792479</v>
      </c>
      <c r="AE21" s="128" t="n">
        <v>39.8177751626974</v>
      </c>
      <c r="AF21" s="128" t="n">
        <v>39.6112950363407</v>
      </c>
      <c r="AG21" s="117" t="n">
        <v>0.00157920301100867</v>
      </c>
    </row>
    <row r="23" customFormat="false" ht="15" hidden="false" customHeight="false" outlineLevel="0" collapsed="false">
      <c r="B23" s="114" t="s">
        <v>503</v>
      </c>
      <c r="C23" s="129" t="n">
        <f aca="false">Model!BP166</f>
        <v>12.7811704834606</v>
      </c>
      <c r="D23" s="130" t="n">
        <f aca="false">Model!BV166</f>
        <v>15.1678707224334</v>
      </c>
      <c r="E23" s="130" t="n">
        <f aca="false">Model!BW166</f>
        <v>17.1400778296187</v>
      </c>
      <c r="F23" s="130" t="n">
        <f aca="false">Model!BX166</f>
        <v>19.2648878092595</v>
      </c>
      <c r="G23" s="130" t="n">
        <f aca="false">Model!BY166</f>
        <v>21.5910595347877</v>
      </c>
      <c r="H23" s="130" t="n">
        <f aca="false">Model!BZ166</f>
        <v>24.1064111518352</v>
      </c>
      <c r="I23" s="117" t="n">
        <f aca="false">IFERROR((H23/C23)^(1/5)-1,"n/m")</f>
        <v>0.135304570771046</v>
      </c>
      <c r="N23" s="114" t="s">
        <v>503</v>
      </c>
      <c r="O23" s="131" t="n">
        <v>12.7811704834606</v>
      </c>
      <c r="P23" s="131" t="n">
        <v>16.1198986058302</v>
      </c>
      <c r="Q23" s="131" t="n">
        <v>19.6997161923128</v>
      </c>
      <c r="R23" s="131" t="n">
        <v>22.8118083965233</v>
      </c>
      <c r="S23" s="131" t="n">
        <v>26.3406960077803</v>
      </c>
      <c r="T23" s="131" t="n">
        <v>30.304940804618</v>
      </c>
      <c r="U23" s="117" t="n">
        <v>0.188470927532278</v>
      </c>
      <c r="Z23" s="114" t="s">
        <v>503</v>
      </c>
      <c r="AA23" s="131" t="n">
        <v>12.7811704834606</v>
      </c>
      <c r="AB23" s="131" t="n">
        <v>14.2368821292775</v>
      </c>
      <c r="AC23" s="131" t="n">
        <v>13.0073861855294</v>
      </c>
      <c r="AD23" s="131" t="n">
        <v>14.0772632649353</v>
      </c>
      <c r="AE23" s="131" t="n">
        <v>15.191948207624</v>
      </c>
      <c r="AF23" s="131" t="n">
        <v>16.3300937737925</v>
      </c>
      <c r="AG23" s="117" t="n">
        <v>0.0502280420589532</v>
      </c>
    </row>
    <row r="24" customFormat="false" ht="15" hidden="false" customHeight="false" outlineLevel="0" collapsed="false">
      <c r="B24" s="72" t="s">
        <v>504</v>
      </c>
      <c r="D24" s="125" t="n">
        <f aca="false">IFERROR(D23/C23-1,"")</f>
        <v>0.186735654771321</v>
      </c>
      <c r="E24" s="125" t="n">
        <f aca="false">IFERROR(E23/D23-1,"")</f>
        <v>0.130025310953391</v>
      </c>
      <c r="F24" s="125" t="n">
        <f aca="false">IFERROR(F23/E23-1,"")</f>
        <v>0.12396734721759</v>
      </c>
      <c r="G24" s="125" t="n">
        <f aca="false">IFERROR(G23/F23-1,"")</f>
        <v>0.120746705018965</v>
      </c>
      <c r="H24" s="125" t="n">
        <f aca="false">IFERROR(H23/G23-1,"")</f>
        <v>0.116499684186169</v>
      </c>
      <c r="N24" s="72" t="s">
        <v>504</v>
      </c>
      <c r="P24" s="125" t="n">
        <v>0.261222407344465</v>
      </c>
      <c r="Q24" s="125" t="n">
        <v>0.222074448110232</v>
      </c>
      <c r="R24" s="125" t="n">
        <v>0.157976499449515</v>
      </c>
      <c r="S24" s="125" t="n">
        <v>0.154695653668338</v>
      </c>
      <c r="T24" s="125" t="n">
        <v>0.150498862887554</v>
      </c>
      <c r="Z24" s="72" t="s">
        <v>504</v>
      </c>
      <c r="AB24" s="125" t="n">
        <v>0.11389501827714</v>
      </c>
      <c r="AC24" s="125" t="n">
        <v>-0.0863599159270773</v>
      </c>
      <c r="AD24" s="125" t="n">
        <v>0.0822515041950656</v>
      </c>
      <c r="AE24" s="125" t="n">
        <v>0.0791833555791461</v>
      </c>
      <c r="AF24" s="125" t="n">
        <v>0.0749176834079381</v>
      </c>
    </row>
    <row r="26" customFormat="false" ht="31.5" hidden="false" customHeight="true" outlineLevel="0" collapsed="false">
      <c r="B26" s="132" t="s">
        <v>505</v>
      </c>
      <c r="E26" s="133" t="n">
        <v>16.5</v>
      </c>
      <c r="F26" s="134" t="n">
        <f aca="false">E26</f>
        <v>16.5</v>
      </c>
      <c r="G26" s="134" t="n">
        <f aca="false">F26</f>
        <v>16.5</v>
      </c>
      <c r="H26" s="134" t="n">
        <f aca="false">G26</f>
        <v>16.5</v>
      </c>
      <c r="N26" s="132" t="s">
        <v>505</v>
      </c>
      <c r="Q26" s="135" t="n">
        <v>19</v>
      </c>
      <c r="R26" s="135" t="n">
        <v>19</v>
      </c>
      <c r="S26" s="135" t="n">
        <v>19</v>
      </c>
      <c r="T26" s="135" t="n">
        <v>19</v>
      </c>
      <c r="Z26" s="132" t="s">
        <v>505</v>
      </c>
      <c r="AC26" s="135" t="n">
        <v>14</v>
      </c>
      <c r="AD26" s="135" t="n">
        <v>14</v>
      </c>
      <c r="AE26" s="135" t="n">
        <v>14</v>
      </c>
      <c r="AF26" s="135" t="n">
        <v>14</v>
      </c>
    </row>
    <row r="27" customFormat="false" ht="15" hidden="false" customHeight="false" outlineLevel="0" collapsed="false">
      <c r="B27" s="13" t="s">
        <v>506</v>
      </c>
      <c r="E27" s="136" t="n">
        <f aca="false">E26*E23</f>
        <v>282.811284188708</v>
      </c>
      <c r="F27" s="136" t="n">
        <f aca="false">F26*F23</f>
        <v>317.870648852783</v>
      </c>
      <c r="G27" s="136" t="n">
        <f aca="false">G26*G23</f>
        <v>356.252482323997</v>
      </c>
      <c r="H27" s="136" t="n">
        <f aca="false">H26*H23</f>
        <v>397.755784005281</v>
      </c>
      <c r="N27" s="13" t="s">
        <v>506</v>
      </c>
      <c r="Q27" s="137" t="n">
        <v>374.294607653943</v>
      </c>
      <c r="R27" s="137" t="n">
        <v>433.424359533943</v>
      </c>
      <c r="S27" s="137" t="n">
        <v>500.473224147826</v>
      </c>
      <c r="T27" s="137" t="n">
        <v>575.793875287742</v>
      </c>
      <c r="Z27" s="13" t="s">
        <v>506</v>
      </c>
      <c r="AC27" s="137" t="n">
        <v>182.103406597412</v>
      </c>
      <c r="AD27" s="137" t="n">
        <v>197.081685709094</v>
      </c>
      <c r="AE27" s="137" t="n">
        <v>212.687274906736</v>
      </c>
      <c r="AF27" s="137" t="n">
        <v>228.621312833095</v>
      </c>
    </row>
    <row r="28" customFormat="false" ht="15" hidden="false" customHeight="false" outlineLevel="0" collapsed="false">
      <c r="B28" s="138" t="s">
        <v>507</v>
      </c>
      <c r="E28" s="139" t="n">
        <f aca="false">IFERROR(E27/$K$2-1,"")</f>
        <v>0.0284046697771216</v>
      </c>
      <c r="F28" s="139" t="n">
        <f aca="false">IFERROR(F27/$K$2-1,"")</f>
        <v>0.155893268555573</v>
      </c>
      <c r="G28" s="139" t="n">
        <f aca="false">IFERROR(G27/$K$2-1,"")</f>
        <v>0.29546357208726</v>
      </c>
      <c r="H28" s="139" t="n">
        <f aca="false">IFERROR(H27/$K$2-1,"")</f>
        <v>0.446384669110112</v>
      </c>
      <c r="N28" s="138" t="s">
        <v>507</v>
      </c>
      <c r="Q28" s="140" t="n">
        <v>0.361071300559793</v>
      </c>
      <c r="R28" s="140" t="n">
        <v>0.576088580123428</v>
      </c>
      <c r="S28" s="140" t="n">
        <v>0.819902633264821</v>
      </c>
      <c r="T28" s="140" t="n">
        <v>1.09379591013724</v>
      </c>
      <c r="Z28" s="138" t="s">
        <v>507</v>
      </c>
      <c r="AC28" s="140" t="n">
        <v>-0.337805794191231</v>
      </c>
      <c r="AD28" s="140" t="n">
        <v>-0.283339324694203</v>
      </c>
      <c r="AE28" s="140" t="n">
        <v>-0.226591727611869</v>
      </c>
      <c r="AF28" s="140" t="n">
        <v>-0.168649771516018</v>
      </c>
    </row>
    <row r="29" customFormat="false" ht="15" hidden="false" customHeight="false" outlineLevel="0" collapsed="false">
      <c r="B29" s="141" t="s">
        <v>508</v>
      </c>
      <c r="F29" s="142" t="n">
        <f aca="false">IFERROR((F27/$K$2)^(1/((DATE(VALUE(LEFT(F$7,4))-1,12,31)-$K$3)/365.25))-1,"")</f>
        <v>0.123329175269378</v>
      </c>
      <c r="G29" s="142" t="n">
        <f aca="false">IFERROR((G27/$K$2)^(1/((DATE(VALUE(LEFT(G$7,4))-1,12,31)-$K$3)/365.25))-1,"")</f>
        <v>0.122060327482242</v>
      </c>
      <c r="H29" s="142" t="n">
        <f aca="false">IFERROR((H27/$K$2)^(1/((DATE(VALUE(LEFT(H$7,4))-1,12,31)-$K$3)/365.25))-1,"")</f>
        <v>0.120372080852286</v>
      </c>
      <c r="N29" s="141" t="s">
        <v>508</v>
      </c>
      <c r="Q29" s="140"/>
      <c r="R29" s="140" t="n">
        <v>0.440811949642059</v>
      </c>
      <c r="S29" s="140" t="n">
        <v>0.305242893757985</v>
      </c>
      <c r="T29" s="140" t="n">
        <v>0.255560071314967</v>
      </c>
      <c r="Z29" s="141" t="s">
        <v>508</v>
      </c>
      <c r="AC29" s="140"/>
      <c r="AD29" s="140" t="n">
        <v>-0.234661837424063</v>
      </c>
      <c r="AE29" s="140" t="n">
        <v>-0.108020580101664</v>
      </c>
      <c r="AF29" s="140" t="n">
        <v>-0.055295359937106</v>
      </c>
    </row>
    <row r="31" customFormat="false" ht="15" hidden="false" customHeight="false" outlineLevel="0" collapsed="false">
      <c r="B31" s="114" t="s">
        <v>509</v>
      </c>
      <c r="C31" s="115" t="n">
        <f aca="false">Model!BP221</f>
        <v>800</v>
      </c>
      <c r="D31" s="116" t="n">
        <f aca="false">Model!BV221</f>
        <v>550</v>
      </c>
      <c r="E31" s="116" t="n">
        <f aca="false">Model!BW221</f>
        <v>416.486266058458</v>
      </c>
      <c r="F31" s="116" t="n">
        <f aca="false">Model!BX221</f>
        <v>577.775233429973</v>
      </c>
      <c r="G31" s="116" t="n">
        <f aca="false">Model!BY221</f>
        <v>671.640272765636</v>
      </c>
      <c r="H31" s="116" t="n">
        <f aca="false">Model!BZ221</f>
        <v>781.511570190606</v>
      </c>
      <c r="I31" s="117" t="n">
        <f aca="false">IFERROR((H31/C31)^(1/5)-1,"n/m")</f>
        <v>-0.00466543744000914</v>
      </c>
      <c r="N31" s="114" t="s">
        <v>509</v>
      </c>
      <c r="O31" s="118" t="n">
        <v>800</v>
      </c>
      <c r="P31" s="118" t="n">
        <v>600</v>
      </c>
      <c r="Q31" s="118" t="n">
        <v>490.651850288838</v>
      </c>
      <c r="R31" s="118" t="n">
        <v>673.100267727734</v>
      </c>
      <c r="S31" s="118" t="n">
        <v>790.663090721939</v>
      </c>
      <c r="T31" s="118" t="n">
        <v>929.266639777632</v>
      </c>
      <c r="U31" s="117" t="n">
        <v>0.0304100168111341</v>
      </c>
      <c r="Z31" s="114" t="s">
        <v>509</v>
      </c>
      <c r="AA31" s="118" t="n">
        <v>800</v>
      </c>
      <c r="AB31" s="118" t="n">
        <v>500</v>
      </c>
      <c r="AC31" s="118" t="n">
        <v>275.824680468482</v>
      </c>
      <c r="AD31" s="118" t="n">
        <v>409.152869946877</v>
      </c>
      <c r="AE31" s="118" t="n">
        <v>474.907892895521</v>
      </c>
      <c r="AF31" s="118" t="n">
        <v>551.568938640468</v>
      </c>
      <c r="AG31" s="117" t="n">
        <v>-0.0716709032499143</v>
      </c>
    </row>
    <row r="32" customFormat="false" ht="15" hidden="false" customHeight="false" outlineLevel="0" collapsed="false">
      <c r="B32" s="72" t="s">
        <v>510</v>
      </c>
      <c r="C32" s="143" t="n">
        <f aca="false">IFERROR(C31/C9,"")</f>
        <v>0.0640820249919897</v>
      </c>
      <c r="D32" s="144" t="n">
        <f aca="false">IFERROR(D31/D9,"")</f>
        <v>0.0415094339622642</v>
      </c>
      <c r="E32" s="144" t="n">
        <f aca="false">IFERROR(E31/E9,"")</f>
        <v>0.0296240236113216</v>
      </c>
      <c r="F32" s="144" t="n">
        <f aca="false">IFERROR(F31/F9,"")</f>
        <v>0.0389752963650701</v>
      </c>
      <c r="G32" s="144" t="n">
        <f aca="false">IFERROR(G31/G9,"")</f>
        <v>0.043082376070139</v>
      </c>
      <c r="H32" s="144" t="n">
        <f aca="false">IFERROR(H31/H9,"")</f>
        <v>0.0478462850586635</v>
      </c>
      <c r="J32" s="123" t="n">
        <f aca="false">AVERAGE(Model!H223,Model!N223,Model!T223,Model!Z223,Model!AF223,Model!AL223,Model!AR223,Model!AX223,Model!BD223,Model!BJ223,Model!BP223)</f>
        <v>0.0590260369515393</v>
      </c>
      <c r="K32" s="123" t="n">
        <f aca="false">MIN(Model!H223,Model!N223,Model!T223,Model!Z223,Model!AF223,Model!AL223,Model!AR223,Model!AX223,Model!BD223,Model!BJ223,Model!BP223)</f>
        <v>0.00346770697876029</v>
      </c>
      <c r="L32" s="123" t="n">
        <f aca="false">MAX(Model!H223,Model!N223,Model!T223,Model!Z223,Model!AF223,Model!AL223,Model!AR223,Model!AX223,Model!BD223,Model!BJ223,Model!BP223)</f>
        <v>0.0958689458689459</v>
      </c>
      <c r="N32" s="72" t="s">
        <v>510</v>
      </c>
      <c r="O32" s="143" t="n">
        <v>0.0640820249919897</v>
      </c>
      <c r="P32" s="144" t="n">
        <v>0.0446096654275093</v>
      </c>
      <c r="Q32" s="144" t="n">
        <v>0.0337587464522718</v>
      </c>
      <c r="R32" s="144" t="n">
        <v>0.0431070598981685</v>
      </c>
      <c r="S32" s="144" t="n">
        <v>0.0472524373024932</v>
      </c>
      <c r="T32" s="144" t="n">
        <v>0.0520135618564323</v>
      </c>
      <c r="V32" s="124" t="n">
        <v>0.0590260369515393</v>
      </c>
      <c r="W32" s="124" t="n">
        <v>0.00346770697876029</v>
      </c>
      <c r="X32" s="124" t="n">
        <v>0.0958689458689459</v>
      </c>
      <c r="Z32" s="72" t="s">
        <v>510</v>
      </c>
      <c r="AA32" s="143" t="n">
        <v>0.0640820249919897</v>
      </c>
      <c r="AB32" s="144" t="n">
        <v>0.0383141762452107</v>
      </c>
      <c r="AC32" s="144" t="n">
        <v>0.0204901464156472</v>
      </c>
      <c r="AD32" s="144" t="n">
        <v>0.0296680170711472</v>
      </c>
      <c r="AE32" s="144" t="n">
        <v>0.0337053643159459</v>
      </c>
      <c r="AF32" s="144" t="n">
        <v>0.0384635894660116</v>
      </c>
      <c r="AH32" s="124" t="n">
        <v>0.0590260369515393</v>
      </c>
      <c r="AI32" s="124" t="n">
        <v>0.00346770697876029</v>
      </c>
      <c r="AJ32" s="124" t="n">
        <v>0.0958689458689459</v>
      </c>
    </row>
    <row r="33" customFormat="false" ht="15" hidden="false" customHeight="false" outlineLevel="0" collapsed="false">
      <c r="B33" s="72" t="s">
        <v>511</v>
      </c>
      <c r="C33" s="145" t="n">
        <f aca="false">IFERROR(C31/C21,"")</f>
        <v>20.3562340966921</v>
      </c>
      <c r="D33" s="146" t="n">
        <f aca="false">IFERROR(D31/D21,"")</f>
        <v>13.9416983523447</v>
      </c>
      <c r="E33" s="146" t="n">
        <f aca="false">IFERROR(E31/E21,"")</f>
        <v>10.5479208041654</v>
      </c>
      <c r="F33" s="146" t="n">
        <f aca="false">IFERROR(F31/F21,"")</f>
        <v>14.8534873717023</v>
      </c>
      <c r="G33" s="146" t="n">
        <f aca="false">IFERROR(G31/G21,"")</f>
        <v>17.5794369788426</v>
      </c>
      <c r="H33" s="146" t="n">
        <f aca="false">IFERROR(H31/H21,"")</f>
        <v>20.8819136025215</v>
      </c>
      <c r="N33" s="72" t="s">
        <v>511</v>
      </c>
      <c r="O33" s="145" t="n">
        <v>20.3562340966921</v>
      </c>
      <c r="P33" s="146" t="n">
        <v>15.2091254752852</v>
      </c>
      <c r="Q33" s="146" t="n">
        <v>12.6833196588547</v>
      </c>
      <c r="R33" s="146" t="n">
        <v>17.8992928339399</v>
      </c>
      <c r="S33" s="146" t="n">
        <v>21.6906791675797</v>
      </c>
      <c r="T33" s="146" t="n">
        <v>26.3694131485862</v>
      </c>
      <c r="Z33" s="72" t="s">
        <v>511</v>
      </c>
      <c r="AA33" s="145" t="n">
        <v>20.3562340966921</v>
      </c>
      <c r="AB33" s="146" t="n">
        <v>12.6742712294043</v>
      </c>
      <c r="AC33" s="146" t="n">
        <v>6.92591790253565</v>
      </c>
      <c r="AD33" s="146" t="n">
        <v>10.2555897405796</v>
      </c>
      <c r="AE33" s="146" t="n">
        <v>11.9270323606737</v>
      </c>
      <c r="AF33" s="146" t="n">
        <v>13.9245368810699</v>
      </c>
    </row>
    <row r="34" customFormat="false" ht="15" hidden="false" customHeight="false" outlineLevel="0" collapsed="false">
      <c r="B34" s="119" t="s">
        <v>512</v>
      </c>
      <c r="E34" s="122" t="n">
        <f aca="false">IFERROR(E33/E$27,"")</f>
        <v>0.0372966758890966</v>
      </c>
      <c r="F34" s="122" t="n">
        <f aca="false">IFERROR(F33/F$27,"")</f>
        <v>0.0467280871175417</v>
      </c>
      <c r="G34" s="122" t="n">
        <f aca="false">IFERROR(G33/G$27,"")</f>
        <v>0.0493454441753331</v>
      </c>
      <c r="H34" s="122" t="n">
        <f aca="false">IFERROR(H33/H$27,"")</f>
        <v>0.0524993336168413</v>
      </c>
      <c r="N34" s="119" t="s">
        <v>512</v>
      </c>
      <c r="Q34" s="122" t="n">
        <v>0.0338859267526001</v>
      </c>
      <c r="R34" s="122" t="n">
        <v>0.0412973854381116</v>
      </c>
      <c r="S34" s="122" t="n">
        <v>0.0433403389452317</v>
      </c>
      <c r="T34" s="122" t="n">
        <v>0.0457966197285593</v>
      </c>
      <c r="Z34" s="119" t="s">
        <v>512</v>
      </c>
      <c r="AC34" s="122" t="n">
        <v>0.0380328848973553</v>
      </c>
      <c r="AD34" s="122" t="n">
        <v>0.052037254013128</v>
      </c>
      <c r="AE34" s="122" t="n">
        <v>0.0560777901071126</v>
      </c>
      <c r="AF34" s="122" t="n">
        <v>0.0609065563858235</v>
      </c>
    </row>
    <row r="35" customFormat="false" ht="15" hidden="false" customHeight="false" outlineLevel="0" collapsed="false">
      <c r="B35" s="114" t="s">
        <v>463</v>
      </c>
      <c r="C35" s="115" t="n">
        <f aca="false">Model!BP103</f>
        <v>1046</v>
      </c>
      <c r="D35" s="116" t="n">
        <f aca="false">Model!BV103</f>
        <v>1128.75</v>
      </c>
      <c r="E35" s="116" t="n">
        <f aca="false">Model!BW103</f>
        <v>1267.15240597954</v>
      </c>
      <c r="F35" s="116" t="n">
        <f aca="false">Model!BX103</f>
        <v>1373.68096758458</v>
      </c>
      <c r="G35" s="116" t="n">
        <f aca="false">Model!BY103</f>
        <v>1483.89493060997</v>
      </c>
      <c r="H35" s="116" t="n">
        <f aca="false">Model!BZ103</f>
        <v>1595.76692984723</v>
      </c>
      <c r="I35" s="117" t="n">
        <f aca="false">IFERROR((H35/C35)^(1/5)-1,"n/m")</f>
        <v>0.0881469653499425</v>
      </c>
      <c r="N35" s="114" t="s">
        <v>463</v>
      </c>
      <c r="O35" s="118" t="n">
        <v>1046</v>
      </c>
      <c r="P35" s="118" t="n">
        <v>1174</v>
      </c>
      <c r="Q35" s="118" t="n">
        <v>1382.74852557042</v>
      </c>
      <c r="R35" s="118" t="n">
        <v>1525.05470797797</v>
      </c>
      <c r="S35" s="118" t="n">
        <v>1676.35481878741</v>
      </c>
      <c r="T35" s="118" t="n">
        <v>1834.71268951697</v>
      </c>
      <c r="U35" s="117" t="n">
        <v>0.118941228191374</v>
      </c>
      <c r="Z35" s="114" t="s">
        <v>463</v>
      </c>
      <c r="AA35" s="118" t="n">
        <v>1046</v>
      </c>
      <c r="AB35" s="118" t="n">
        <v>1084.5</v>
      </c>
      <c r="AC35" s="118" t="n">
        <v>1059.05393548387</v>
      </c>
      <c r="AD35" s="118" t="n">
        <v>1119.85255662667</v>
      </c>
      <c r="AE35" s="118" t="n">
        <v>1179.6257485</v>
      </c>
      <c r="AF35" s="118" t="n">
        <v>1236.64300068903</v>
      </c>
      <c r="AG35" s="117" t="n">
        <v>0.0340523640754236</v>
      </c>
    </row>
    <row r="36" customFormat="false" ht="15" hidden="false" customHeight="false" outlineLevel="0" collapsed="false">
      <c r="B36" s="72" t="s">
        <v>513</v>
      </c>
      <c r="C36" s="143" t="n">
        <f aca="false">IFERROR(C35/C9,"")</f>
        <v>0.0837872476770266</v>
      </c>
      <c r="D36" s="144" t="n">
        <f aca="false">IFERROR(D35/D9,"")</f>
        <v>0.085188679245283</v>
      </c>
      <c r="E36" s="144" t="n">
        <f aca="false">IFERROR(E35/E9,"")</f>
        <v>0.0901305897770279</v>
      </c>
      <c r="F36" s="144" t="n">
        <f aca="false">IFERROR(F35/F9,"")</f>
        <v>0.0926651398759796</v>
      </c>
      <c r="G36" s="144" t="n">
        <f aca="false">IFERROR(G35/G9,"")</f>
        <v>0.0951844641267058</v>
      </c>
      <c r="H36" s="144" t="n">
        <f aca="false">IFERROR(H35/H9,"")</f>
        <v>0.0976972348522455</v>
      </c>
      <c r="J36" s="123" t="n">
        <f aca="false">AVERAGE(Model!H110,Model!N110,Model!T110,Model!Z110,Model!AF110,Model!AL110,Model!AR110,Model!AX110,Model!BD110,Model!BJ110,Model!BP110)</f>
        <v>0.102216810564562</v>
      </c>
      <c r="K36" s="123" t="n">
        <f aca="false">MIN(Model!H110,Model!N110,Model!T110,Model!Z110,Model!AF110,Model!AL110,Model!AR110,Model!AX110,Model!BD110,Model!BJ110,Model!BP110)</f>
        <v>0.0779367143476376</v>
      </c>
      <c r="L36" s="123" t="n">
        <f aca="false">MAX(Model!H110,Model!N110,Model!T110,Model!Z110,Model!AF110,Model!AL110,Model!AR110,Model!AX110,Model!BD110,Model!BJ110,Model!BP110)</f>
        <v>0.127475947934352</v>
      </c>
      <c r="N36" s="72" t="s">
        <v>513</v>
      </c>
      <c r="O36" s="143" t="n">
        <v>0.0837872476770266</v>
      </c>
      <c r="P36" s="144" t="n">
        <v>0.0872862453531599</v>
      </c>
      <c r="Q36" s="144" t="n">
        <v>0.0951384507253051</v>
      </c>
      <c r="R36" s="144" t="n">
        <v>0.0976683977065094</v>
      </c>
      <c r="S36" s="144" t="n">
        <v>0.100184075747304</v>
      </c>
      <c r="T36" s="144" t="n">
        <v>0.102693820998253</v>
      </c>
      <c r="V36" s="124" t="n">
        <v>0.102216810564562</v>
      </c>
      <c r="W36" s="124" t="n">
        <v>0.0779367143476376</v>
      </c>
      <c r="X36" s="124" t="n">
        <v>0.127475947934352</v>
      </c>
      <c r="Z36" s="72" t="s">
        <v>513</v>
      </c>
      <c r="AA36" s="143" t="n">
        <v>0.0837872476770266</v>
      </c>
      <c r="AB36" s="144" t="n">
        <v>0.0831034482758621</v>
      </c>
      <c r="AC36" s="144" t="n">
        <v>0.0786737798926282</v>
      </c>
      <c r="AD36" s="144" t="n">
        <v>0.0812014462259096</v>
      </c>
      <c r="AE36" s="144" t="n">
        <v>0.0837208987352205</v>
      </c>
      <c r="AF36" s="144" t="n">
        <v>0.0862371416558768</v>
      </c>
      <c r="AH36" s="124" t="n">
        <v>0.102216810564562</v>
      </c>
      <c r="AI36" s="124" t="n">
        <v>0.0779367143476376</v>
      </c>
      <c r="AJ36" s="124" t="n">
        <v>0.127475947934352</v>
      </c>
    </row>
    <row r="38" customFormat="false" ht="15" hidden="false" customHeight="false" outlineLevel="0" collapsed="false">
      <c r="B38" s="114" t="s">
        <v>514</v>
      </c>
      <c r="C38" s="115" t="n">
        <f aca="false">Model!BP324</f>
        <v>1926</v>
      </c>
      <c r="D38" s="116" t="n">
        <f aca="false">Model!BV324</f>
        <v>1638.764</v>
      </c>
      <c r="E38" s="116" t="n">
        <f aca="false">Model!BW324</f>
        <v>1666.20595944706</v>
      </c>
      <c r="F38" s="116" t="n">
        <f aca="false">Model!BX324</f>
        <v>1585.64002017189</v>
      </c>
      <c r="G38" s="116" t="n">
        <f aca="false">Model!BY324</f>
        <v>1463.84964350319</v>
      </c>
      <c r="H38" s="116" t="n">
        <f aca="false">Model!BZ324</f>
        <v>1284.23292679821</v>
      </c>
      <c r="N38" s="114" t="s">
        <v>514</v>
      </c>
      <c r="O38" s="118" t="n">
        <v>1926</v>
      </c>
      <c r="P38" s="118" t="n">
        <v>1738.764</v>
      </c>
      <c r="Q38" s="118" t="n">
        <v>1837.48996298219</v>
      </c>
      <c r="R38" s="118" t="n">
        <v>1804.02441258879</v>
      </c>
      <c r="S38" s="118" t="n">
        <v>1702.62970123544</v>
      </c>
      <c r="T38" s="118" t="n">
        <v>1511.68316422599</v>
      </c>
      <c r="Z38" s="114" t="s">
        <v>514</v>
      </c>
      <c r="AA38" s="118" t="n">
        <v>1926</v>
      </c>
      <c r="AB38" s="118" t="n">
        <v>1688.764</v>
      </c>
      <c r="AC38" s="118" t="n">
        <v>1658.79977953152</v>
      </c>
      <c r="AD38" s="118" t="n">
        <v>1552.69660822733</v>
      </c>
      <c r="AE38" s="118" t="n">
        <v>1437.36049818896</v>
      </c>
      <c r="AF38" s="118" t="n">
        <v>1301.26767438016</v>
      </c>
    </row>
    <row r="39" customFormat="false" ht="15" hidden="false" customHeight="false" outlineLevel="0" collapsed="false">
      <c r="B39" s="119" t="s">
        <v>515</v>
      </c>
      <c r="C39" s="147" t="n">
        <f aca="false">IFERROR(C38/C35,"")</f>
        <v>1.84130019120459</v>
      </c>
      <c r="D39" s="148" t="n">
        <f aca="false">IFERROR(D38/D35,"")</f>
        <v>1.45183964562569</v>
      </c>
      <c r="E39" s="148" t="n">
        <f aca="false">IFERROR(E38/E35,"")</f>
        <v>1.31492151345366</v>
      </c>
      <c r="F39" s="148" t="n">
        <f aca="false">IFERROR(F38/F35,"")</f>
        <v>1.1543000577201</v>
      </c>
      <c r="G39" s="148" t="n">
        <f aca="false">IFERROR(G38/G35,"")</f>
        <v>0.986491437706749</v>
      </c>
      <c r="H39" s="148" t="n">
        <f aca="false">IFERROR(H38/H35,"")</f>
        <v>0.804774746723919</v>
      </c>
      <c r="N39" s="119" t="s">
        <v>515</v>
      </c>
      <c r="O39" s="147" t="n">
        <v>1.84130019120459</v>
      </c>
      <c r="P39" s="148" t="n">
        <v>1.48105962521295</v>
      </c>
      <c r="Q39" s="148" t="n">
        <v>1.32886777964502</v>
      </c>
      <c r="R39" s="148" t="n">
        <v>1.18292439159819</v>
      </c>
      <c r="S39" s="148" t="n">
        <v>1.01567381926163</v>
      </c>
      <c r="T39" s="148" t="n">
        <v>0.82393454455475</v>
      </c>
      <c r="Z39" s="119" t="s">
        <v>515</v>
      </c>
      <c r="AA39" s="147" t="n">
        <v>1.84130019120459</v>
      </c>
      <c r="AB39" s="148" t="n">
        <v>1.55718211157215</v>
      </c>
      <c r="AC39" s="148" t="n">
        <v>1.56630339962207</v>
      </c>
      <c r="AD39" s="148" t="n">
        <v>1.38651878681646</v>
      </c>
      <c r="AE39" s="148" t="n">
        <v>1.21848857573403</v>
      </c>
      <c r="AF39" s="148" t="n">
        <v>1.05225814859674</v>
      </c>
    </row>
    <row r="41" customFormat="false" ht="15" hidden="false" customHeight="false" outlineLevel="0" collapsed="false">
      <c r="B41" s="114" t="s">
        <v>516</v>
      </c>
      <c r="C41" s="149" t="n">
        <f aca="false">Model!BP325</f>
        <v>0.0797659456039225</v>
      </c>
      <c r="D41" s="150" t="n">
        <f aca="false">Model!BV325</f>
        <v>0.0917584678098831</v>
      </c>
      <c r="E41" s="150" t="n">
        <f aca="false">Model!BW325</f>
        <v>0.0992901176749718</v>
      </c>
      <c r="F41" s="150" t="n">
        <f aca="false">Model!BX325</f>
        <v>0.103995573068806</v>
      </c>
      <c r="G41" s="150" t="n">
        <f aca="false">Model!BY325</f>
        <v>0.108870311881162</v>
      </c>
      <c r="H41" s="150" t="n">
        <f aca="false">Model!BZ325</f>
        <v>0.113971232864126</v>
      </c>
      <c r="J41" s="123" t="n">
        <f aca="false">AVERAGE(Model!H325,Model!N325,Model!T325,Model!Z325,Model!AF325,Model!AL325,Model!AR325,Model!AX325,Model!BD325,Model!BJ325,Model!BP325)</f>
        <v>0.151981988793728</v>
      </c>
      <c r="K41" s="123" t="n">
        <f aca="false">MIN(Model!H325,Model!N325,Model!T325,Model!Z325,Model!AF325,Model!AL325,Model!AR325,Model!AX325,Model!BD325,Model!BJ325,Model!BP325)</f>
        <v>0.0696397295817374</v>
      </c>
      <c r="L41" s="123" t="n">
        <f aca="false">MAX(Model!H325,Model!N325,Model!T325,Model!Z325,Model!AF325,Model!AL325,Model!AR325,Model!AX325,Model!BD325,Model!BJ325,Model!BP325)</f>
        <v>0.236350137069753</v>
      </c>
      <c r="N41" s="114" t="s">
        <v>516</v>
      </c>
      <c r="O41" s="151" t="n">
        <v>0.0797659456039225</v>
      </c>
      <c r="P41" s="151" t="n">
        <v>0.097123937975554</v>
      </c>
      <c r="Q41" s="151" t="n">
        <v>0.110440401691159</v>
      </c>
      <c r="R41" s="151" t="n">
        <v>0.117355916989437</v>
      </c>
      <c r="S41" s="151" t="n">
        <v>0.124650860975696</v>
      </c>
      <c r="T41" s="151" t="n">
        <v>0.132421613021235</v>
      </c>
      <c r="V41" s="124" t="n">
        <v>0.151981988793728</v>
      </c>
      <c r="W41" s="124" t="n">
        <v>0.0696397295817374</v>
      </c>
      <c r="X41" s="124" t="n">
        <v>0.236350137069753</v>
      </c>
      <c r="Z41" s="114" t="s">
        <v>516</v>
      </c>
      <c r="AA41" s="151" t="n">
        <v>0.0797659456039225</v>
      </c>
      <c r="AB41" s="151" t="n">
        <v>0.0865162043033258</v>
      </c>
      <c r="AC41" s="151" t="n">
        <v>0.078622193052322</v>
      </c>
      <c r="AD41" s="151" t="n">
        <v>0.0808104463969135</v>
      </c>
      <c r="AE41" s="151" t="n">
        <v>0.0829905087657715</v>
      </c>
      <c r="AF41" s="151" t="n">
        <v>0.0851804799146144</v>
      </c>
      <c r="AH41" s="124" t="n">
        <v>0.151981988793728</v>
      </c>
      <c r="AI41" s="124" t="n">
        <v>0.0696397295817374</v>
      </c>
      <c r="AJ41" s="124" t="n">
        <v>0.236350137069753</v>
      </c>
    </row>
    <row r="42" customFormat="false" ht="15" hidden="false" customHeight="false" outlineLevel="0" collapsed="false">
      <c r="B42" s="114" t="s">
        <v>517</v>
      </c>
      <c r="C42" s="149" t="n">
        <f aca="false">Model!BP337</f>
        <v>0.0877801656103543</v>
      </c>
      <c r="D42" s="150" t="n">
        <f aca="false">Model!BV337</f>
        <v>0.0936742496469531</v>
      </c>
      <c r="E42" s="150" t="n">
        <f aca="false">Model!BW337</f>
        <v>0.0999843239909401</v>
      </c>
      <c r="F42" s="150" t="n">
        <f aca="false">Model!BX337</f>
        <v>0.102293404215156</v>
      </c>
      <c r="G42" s="150" t="n">
        <f aca="false">Model!BY337</f>
        <v>0.104548436690811</v>
      </c>
      <c r="H42" s="150" t="n">
        <f aca="false">Model!BZ337</f>
        <v>0.106515123620621</v>
      </c>
      <c r="J42" s="123" t="n">
        <f aca="false">AVERAGE(Model!H337,Model!N337,Model!T337,Model!Z337,Model!AF337,Model!AL337,Model!AR337,Model!AX337,Model!BD337,Model!BJ337,Model!BP337)</f>
        <v>0.133303796255025</v>
      </c>
      <c r="K42" s="123" t="n">
        <f aca="false">MIN(Model!H337,Model!N337,Model!T337,Model!Z337,Model!AF337,Model!AL337,Model!AR337,Model!AX337,Model!BD337,Model!BJ337,Model!BP337)</f>
        <v>0.0783822831914709</v>
      </c>
      <c r="L42" s="123" t="n">
        <f aca="false">MAX(Model!H337,Model!N337,Model!T337,Model!Z337,Model!AF337,Model!AL337,Model!AR337,Model!AX337,Model!BD337,Model!BJ337,Model!BP337)</f>
        <v>0.203937775334651</v>
      </c>
      <c r="N42" s="114" t="s">
        <v>517</v>
      </c>
      <c r="O42" s="151" t="n">
        <v>0.0877801656103543</v>
      </c>
      <c r="P42" s="151" t="n">
        <v>0.100578962209808</v>
      </c>
      <c r="Q42" s="151" t="n">
        <v>0.113773977263677</v>
      </c>
      <c r="R42" s="151" t="n">
        <v>0.118612417319343</v>
      </c>
      <c r="S42" s="151" t="n">
        <v>0.12308798311758</v>
      </c>
      <c r="T42" s="151" t="n">
        <v>0.126903161897546</v>
      </c>
      <c r="V42" s="124" t="n">
        <v>0.133303796255025</v>
      </c>
      <c r="W42" s="124" t="n">
        <v>0.0783822831914709</v>
      </c>
      <c r="X42" s="124" t="n">
        <v>0.203937775334651</v>
      </c>
      <c r="Z42" s="114" t="s">
        <v>517</v>
      </c>
      <c r="AA42" s="151" t="n">
        <v>0.0877801656103543</v>
      </c>
      <c r="AB42" s="151" t="n">
        <v>0.088946368280731</v>
      </c>
      <c r="AC42" s="151" t="n">
        <v>0.0790952174429171</v>
      </c>
      <c r="AD42" s="151" t="n">
        <v>0.0791628457635287</v>
      </c>
      <c r="AE42" s="151" t="n">
        <v>0.0794346748927794</v>
      </c>
      <c r="AF42" s="151" t="n">
        <v>0.0797116505078893</v>
      </c>
      <c r="AH42" s="124" t="n">
        <v>0.133303796255025</v>
      </c>
      <c r="AI42" s="124" t="n">
        <v>0.0783822831914709</v>
      </c>
      <c r="AJ42" s="124" t="n">
        <v>0.203937775334651</v>
      </c>
    </row>
    <row r="44" customFormat="false" ht="15" hidden="false" customHeight="false" outlineLevel="0" collapsed="false">
      <c r="B44" s="105" t="s">
        <v>518</v>
      </c>
      <c r="E44" s="152" t="n">
        <f aca="false">E27*E21</f>
        <v>11166.8468068548</v>
      </c>
      <c r="F44" s="152" t="n">
        <f aca="false">F27*F21</f>
        <v>12364.6241280242</v>
      </c>
      <c r="G44" s="152" t="n">
        <f aca="false">G27*G21</f>
        <v>13610.988491241</v>
      </c>
      <c r="H44" s="152" t="n">
        <f aca="false">H27*H21</f>
        <v>14886.1236200512</v>
      </c>
      <c r="N44" s="105" t="s">
        <v>518</v>
      </c>
      <c r="Q44" s="137" t="n">
        <v>14479.5169354839</v>
      </c>
      <c r="R44" s="137" t="n">
        <v>16298.8591308388</v>
      </c>
      <c r="S44" s="137" t="n">
        <v>18243.1219959097</v>
      </c>
      <c r="T44" s="137" t="n">
        <v>20291.1622142744</v>
      </c>
      <c r="Z44" s="105" t="s">
        <v>518</v>
      </c>
      <c r="AC44" s="137" t="n">
        <v>7252.26816774192</v>
      </c>
      <c r="AD44" s="137" t="n">
        <v>7862.69140649998</v>
      </c>
      <c r="AE44" s="137" t="n">
        <v>8468.73409220323</v>
      </c>
      <c r="AF44" s="137" t="n">
        <v>9055.98627422727</v>
      </c>
    </row>
    <row r="45" customFormat="false" ht="15" hidden="false" customHeight="false" outlineLevel="0" collapsed="false">
      <c r="B45" s="72" t="s">
        <v>519</v>
      </c>
      <c r="E45" s="137" t="n">
        <f aca="false">E38</f>
        <v>1666.20595944706</v>
      </c>
      <c r="F45" s="137" t="n">
        <f aca="false">F38</f>
        <v>1585.64002017189</v>
      </c>
      <c r="G45" s="137" t="n">
        <f aca="false">G38</f>
        <v>1463.84964350319</v>
      </c>
      <c r="H45" s="137" t="n">
        <f aca="false">H38</f>
        <v>1284.23292679821</v>
      </c>
      <c r="N45" s="72" t="s">
        <v>519</v>
      </c>
      <c r="Q45" s="137" t="n">
        <v>1837.48996298219</v>
      </c>
      <c r="R45" s="137" t="n">
        <v>1804.02441258879</v>
      </c>
      <c r="S45" s="137" t="n">
        <v>1702.62970123544</v>
      </c>
      <c r="T45" s="137" t="n">
        <v>1511.68316422599</v>
      </c>
      <c r="Z45" s="72" t="s">
        <v>519</v>
      </c>
      <c r="AC45" s="137" t="n">
        <v>1658.79977953152</v>
      </c>
      <c r="AD45" s="137" t="n">
        <v>1552.69660822733</v>
      </c>
      <c r="AE45" s="137" t="n">
        <v>1437.36049818896</v>
      </c>
      <c r="AF45" s="137" t="n">
        <v>1301.26767438016</v>
      </c>
    </row>
    <row r="46" customFormat="false" ht="15" hidden="false" customHeight="false" outlineLevel="0" collapsed="false">
      <c r="B46" s="15" t="s">
        <v>520</v>
      </c>
      <c r="E46" s="136" t="n">
        <f aca="false">E44+E45</f>
        <v>12833.0527663019</v>
      </c>
      <c r="F46" s="136" t="n">
        <f aca="false">F44+F45</f>
        <v>13950.2641481961</v>
      </c>
      <c r="G46" s="136" t="n">
        <f aca="false">G44+G45</f>
        <v>15074.8381347442</v>
      </c>
      <c r="H46" s="136" t="n">
        <f aca="false">H44+H45</f>
        <v>16170.3565468494</v>
      </c>
      <c r="N46" s="15" t="s">
        <v>520</v>
      </c>
      <c r="Q46" s="137" t="n">
        <v>16317.0068984661</v>
      </c>
      <c r="R46" s="137" t="n">
        <v>18102.8835434276</v>
      </c>
      <c r="S46" s="137" t="n">
        <v>19945.7516971451</v>
      </c>
      <c r="T46" s="137" t="n">
        <v>21802.8453785004</v>
      </c>
      <c r="Z46" s="15" t="s">
        <v>520</v>
      </c>
      <c r="AC46" s="137" t="n">
        <v>8911.06794727344</v>
      </c>
      <c r="AD46" s="137" t="n">
        <v>9415.38801472731</v>
      </c>
      <c r="AE46" s="137" t="n">
        <v>9906.09459039219</v>
      </c>
      <c r="AF46" s="137" t="n">
        <v>10357.2539486074</v>
      </c>
    </row>
    <row r="47" customFormat="false" ht="15" hidden="false" customHeight="false" outlineLevel="0" collapsed="false">
      <c r="B47" s="153" t="s">
        <v>521</v>
      </c>
      <c r="E47" s="154" t="n">
        <f aca="false">IFERROR(E46/E35,"")</f>
        <v>10.1274737795898</v>
      </c>
      <c r="F47" s="154" t="n">
        <f aca="false">IFERROR(F46/F35,"")</f>
        <v>10.1553886800409</v>
      </c>
      <c r="G47" s="154" t="n">
        <f aca="false">IFERROR(G46/G35,"")</f>
        <v>10.1589659913101</v>
      </c>
      <c r="H47" s="154" t="n">
        <f aca="false">IFERROR(H46/H35,"")</f>
        <v>10.1332821506693</v>
      </c>
      <c r="N47" s="153" t="s">
        <v>521</v>
      </c>
      <c r="Q47" s="155" t="n">
        <v>11.8004153298481</v>
      </c>
      <c r="R47" s="155" t="n">
        <v>11.8703174704006</v>
      </c>
      <c r="S47" s="155" t="n">
        <v>11.8982875663357</v>
      </c>
      <c r="T47" s="155" t="n">
        <v>11.883520238932</v>
      </c>
      <c r="Z47" s="153" t="s">
        <v>521</v>
      </c>
      <c r="AC47" s="155" t="n">
        <v>8.41417764356078</v>
      </c>
      <c r="AD47" s="155" t="n">
        <v>8.40770328112593</v>
      </c>
      <c r="AE47" s="155" t="n">
        <v>8.3976588362781</v>
      </c>
      <c r="AF47" s="155" t="n">
        <v>8.37529824115496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99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6"/>
    <col collapsed="false" customWidth="true" hidden="false" outlineLevel="0" max="2" min="2" style="0" width="46"/>
    <col collapsed="false" customWidth="true" hidden="false" outlineLevel="0" max="14" min="3" style="0" width="12.6"/>
  </cols>
  <sheetData>
    <row r="2" customFormat="false" ht="17.35" hidden="false" customHeight="false" outlineLevel="0" collapsed="false">
      <c r="B2" s="156" t="s">
        <v>522</v>
      </c>
    </row>
    <row r="4" customFormat="false" ht="15" hidden="false" customHeight="false" outlineLevel="0" collapsed="false">
      <c r="B4" s="21" t="s">
        <v>523</v>
      </c>
    </row>
    <row r="5" customFormat="false" ht="15" hidden="false" customHeight="false" outlineLevel="0" collapsed="false">
      <c r="B5" s="1" t="s">
        <v>524</v>
      </c>
      <c r="C5" s="157" t="n">
        <v>0.0425</v>
      </c>
      <c r="D5" s="9" t="s">
        <v>525</v>
      </c>
    </row>
    <row r="6" customFormat="false" ht="15" hidden="false" customHeight="false" outlineLevel="0" collapsed="false">
      <c r="B6" s="1" t="s">
        <v>526</v>
      </c>
      <c r="C6" s="157" t="n">
        <v>0.055</v>
      </c>
      <c r="D6" s="9" t="s">
        <v>527</v>
      </c>
    </row>
    <row r="7" customFormat="false" ht="15" hidden="false" customHeight="false" outlineLevel="0" collapsed="false">
      <c r="B7" s="1" t="s">
        <v>528</v>
      </c>
      <c r="C7" s="158" t="n">
        <v>0.65</v>
      </c>
      <c r="D7" s="9" t="s">
        <v>529</v>
      </c>
    </row>
    <row r="8" customFormat="false" ht="15" hidden="false" customHeight="false" outlineLevel="0" collapsed="false">
      <c r="B8" s="1" t="s">
        <v>530</v>
      </c>
      <c r="C8" s="159" t="n">
        <f aca="false">C5+C7*C6</f>
        <v>0.07825</v>
      </c>
    </row>
    <row r="9" customFormat="false" ht="15" hidden="false" customHeight="false" outlineLevel="0" collapsed="false">
      <c r="B9" s="1" t="s">
        <v>531</v>
      </c>
      <c r="C9" s="157" t="n">
        <v>0.05</v>
      </c>
      <c r="D9" s="9" t="s">
        <v>532</v>
      </c>
    </row>
    <row r="10" customFormat="false" ht="15" hidden="false" customHeight="false" outlineLevel="0" collapsed="false">
      <c r="B10" s="1" t="s">
        <v>533</v>
      </c>
      <c r="C10" s="157" t="n">
        <v>0.21</v>
      </c>
      <c r="D10" s="9" t="s">
        <v>534</v>
      </c>
    </row>
    <row r="11" customFormat="false" ht="15" hidden="false" customHeight="false" outlineLevel="0" collapsed="false">
      <c r="B11" s="1" t="s">
        <v>535</v>
      </c>
      <c r="C11" s="159" t="n">
        <f aca="false">C9*(1-C10)</f>
        <v>0.0395</v>
      </c>
    </row>
    <row r="12" customFormat="false" ht="15" hidden="false" customHeight="false" outlineLevel="0" collapsed="false">
      <c r="B12" s="1" t="s">
        <v>536</v>
      </c>
      <c r="C12" s="157" t="n">
        <v>0.15</v>
      </c>
      <c r="D12" s="9" t="s">
        <v>537</v>
      </c>
    </row>
    <row r="13" customFormat="false" ht="15" hidden="false" customHeight="false" outlineLevel="0" collapsed="false">
      <c r="B13" s="105" t="s">
        <v>538</v>
      </c>
      <c r="C13" s="160" t="n">
        <f aca="false">C8*(1-C12)+C11*C12</f>
        <v>0.0724375</v>
      </c>
    </row>
    <row r="15" customFormat="false" ht="15" hidden="false" customHeight="false" outlineLevel="0" collapsed="false">
      <c r="B15" s="105" t="s">
        <v>539</v>
      </c>
      <c r="C15" s="161" t="n">
        <f aca="true">TODAY()</f>
        <v>46297</v>
      </c>
      <c r="D15" s="9" t="s">
        <v>540</v>
      </c>
    </row>
    <row r="16" customFormat="false" ht="15" hidden="false" customHeight="false" outlineLevel="0" collapsed="false">
      <c r="B16" s="21" t="s">
        <v>541</v>
      </c>
    </row>
    <row r="17" customFormat="false" ht="15" hidden="false" customHeight="false" outlineLevel="0" collapsed="false">
      <c r="D17" s="12" t="s">
        <v>68</v>
      </c>
      <c r="E17" s="12" t="s">
        <v>69</v>
      </c>
      <c r="F17" s="12" t="s">
        <v>70</v>
      </c>
      <c r="G17" s="12" t="s">
        <v>71</v>
      </c>
      <c r="H17" s="12" t="s">
        <v>72</v>
      </c>
      <c r="I17" s="12" t="s">
        <v>542</v>
      </c>
      <c r="J17" s="12" t="s">
        <v>543</v>
      </c>
      <c r="K17" s="12" t="s">
        <v>544</v>
      </c>
      <c r="L17" s="12" t="s">
        <v>545</v>
      </c>
      <c r="M17" s="12" t="s">
        <v>546</v>
      </c>
      <c r="N17" s="12" t="s">
        <v>547</v>
      </c>
    </row>
    <row r="18" customFormat="false" ht="15" hidden="false" customHeight="false" outlineLevel="0" collapsed="false">
      <c r="B18" s="1" t="s">
        <v>442</v>
      </c>
      <c r="D18" s="162" t="n">
        <f aca="false">Model!BV97</f>
        <v>798.75</v>
      </c>
      <c r="E18" s="162" t="n">
        <f aca="false">Model!BW97</f>
        <v>927.888529701023</v>
      </c>
      <c r="F18" s="162" t="n">
        <f aca="false">Model!BX97</f>
        <v>1016.41604789536</v>
      </c>
      <c r="G18" s="162" t="n">
        <f aca="false">Model!BY97</f>
        <v>1108.53462610799</v>
      </c>
      <c r="H18" s="162" t="n">
        <f aca="false">Model!BZ97</f>
        <v>1202.77964671479</v>
      </c>
      <c r="I18" s="137" t="n">
        <f aca="false">H18*(1+I$26)</f>
        <v>1250.89083258339</v>
      </c>
      <c r="J18" s="137" t="n">
        <f aca="false">I18*(1+J$26)</f>
        <v>1294.6720117238</v>
      </c>
      <c r="K18" s="137" t="n">
        <f aca="false">J18*(1+K$26)</f>
        <v>1333.51217207552</v>
      </c>
      <c r="L18" s="137" t="n">
        <f aca="false">K18*(1+L$26)</f>
        <v>1370.18375680759</v>
      </c>
      <c r="M18" s="137" t="n">
        <f aca="false">L18*(1+M$26)</f>
        <v>1404.43835072778</v>
      </c>
    </row>
    <row r="19" customFormat="false" ht="15" hidden="false" customHeight="false" outlineLevel="0" collapsed="false">
      <c r="B19" s="1" t="s">
        <v>548</v>
      </c>
      <c r="D19" s="163" t="n">
        <f aca="false">1-$C$10</f>
        <v>0.79</v>
      </c>
      <c r="E19" s="163" t="n">
        <f aca="false">1-$C$10</f>
        <v>0.79</v>
      </c>
      <c r="F19" s="163" t="n">
        <f aca="false">1-$C$10</f>
        <v>0.79</v>
      </c>
      <c r="G19" s="163" t="n">
        <f aca="false">1-$C$10</f>
        <v>0.79</v>
      </c>
      <c r="H19" s="163" t="n">
        <f aca="false">1-$C$10</f>
        <v>0.79</v>
      </c>
      <c r="I19" s="163" t="n">
        <f aca="false">1-$C$10</f>
        <v>0.79</v>
      </c>
      <c r="J19" s="163" t="n">
        <f aca="false">1-$C$10</f>
        <v>0.79</v>
      </c>
      <c r="K19" s="163" t="n">
        <f aca="false">1-$C$10</f>
        <v>0.79</v>
      </c>
      <c r="L19" s="163" t="n">
        <f aca="false">1-$C$10</f>
        <v>0.79</v>
      </c>
      <c r="M19" s="163" t="n">
        <f aca="false">1-$C$10</f>
        <v>0.79</v>
      </c>
    </row>
    <row r="20" customFormat="false" ht="15" hidden="false" customHeight="false" outlineLevel="0" collapsed="false">
      <c r="B20" s="105" t="s">
        <v>549</v>
      </c>
      <c r="D20" s="137" t="n">
        <f aca="false">D18*D19</f>
        <v>631.0125</v>
      </c>
      <c r="E20" s="137" t="n">
        <f aca="false">E18*E19</f>
        <v>733.031938463808</v>
      </c>
      <c r="F20" s="137" t="n">
        <f aca="false">F18*F19</f>
        <v>802.968677837333</v>
      </c>
      <c r="G20" s="137" t="n">
        <f aca="false">G18*G19</f>
        <v>875.742354625309</v>
      </c>
      <c r="H20" s="137" t="n">
        <f aca="false">H18*H19</f>
        <v>950.195920904687</v>
      </c>
      <c r="I20" s="137" t="n">
        <f aca="false">I18*I19</f>
        <v>988.203757740874</v>
      </c>
      <c r="J20" s="137" t="n">
        <f aca="false">J18*J19</f>
        <v>1022.7908892618</v>
      </c>
      <c r="K20" s="137" t="n">
        <f aca="false">K18*K19</f>
        <v>1053.47461593966</v>
      </c>
      <c r="L20" s="137" t="n">
        <f aca="false">L18*L19</f>
        <v>1082.445167878</v>
      </c>
      <c r="M20" s="137" t="n">
        <f aca="false">M18*M19</f>
        <v>1109.50629707495</v>
      </c>
    </row>
    <row r="21" customFormat="false" ht="15" hidden="false" customHeight="false" outlineLevel="0" collapsed="false">
      <c r="B21" s="1" t="s">
        <v>550</v>
      </c>
      <c r="D21" s="162" t="n">
        <f aca="false">Model!BV102</f>
        <v>330</v>
      </c>
      <c r="E21" s="162" t="n">
        <f aca="false">Model!BW102</f>
        <v>339.263876278521</v>
      </c>
      <c r="F21" s="162" t="n">
        <f aca="false">Model!BX102</f>
        <v>357.264919689221</v>
      </c>
      <c r="G21" s="162" t="n">
        <f aca="false">Model!BY102</f>
        <v>375.360304501987</v>
      </c>
      <c r="H21" s="162" t="n">
        <f aca="false">Model!BZ102</f>
        <v>392.987283132437</v>
      </c>
      <c r="I21" s="137" t="n">
        <f aca="false">H21*(1+I$26)</f>
        <v>408.706774457735</v>
      </c>
      <c r="J21" s="137" t="n">
        <f aca="false">I21*(1+J$26)</f>
        <v>423.011511563755</v>
      </c>
      <c r="K21" s="137" t="n">
        <f aca="false">J21*(1+K$26)</f>
        <v>435.701856910668</v>
      </c>
      <c r="L21" s="137" t="n">
        <f aca="false">K21*(1+L$26)</f>
        <v>447.683657975712</v>
      </c>
      <c r="M21" s="137" t="n">
        <f aca="false">L21*(1+M$26)</f>
        <v>458.875749425104</v>
      </c>
    </row>
    <row r="22" customFormat="false" ht="15" hidden="false" customHeight="false" outlineLevel="0" collapsed="false">
      <c r="B22" s="1" t="s">
        <v>551</v>
      </c>
      <c r="D22" s="162" t="n">
        <f aca="false">Model!BV204+Model!BV205</f>
        <v>-590.25</v>
      </c>
      <c r="E22" s="162" t="n">
        <f aca="false">Model!BW204+Model!BW205</f>
        <v>-587.510538734505</v>
      </c>
      <c r="F22" s="162" t="n">
        <f aca="false">Model!BX204+Model!BX205</f>
        <v>-582.96558314079</v>
      </c>
      <c r="G22" s="162" t="n">
        <f aca="false">Model!BY204+Model!BY205</f>
        <v>-574.61284000927</v>
      </c>
      <c r="H22" s="162" t="n">
        <f aca="false">Model!BZ204+Model!BZ205</f>
        <v>-561.682940966772</v>
      </c>
      <c r="I22" s="137" t="n">
        <f aca="false">H22*(1+I$26)</f>
        <v>-584.150258605442</v>
      </c>
      <c r="J22" s="137" t="n">
        <f aca="false">I22*(1+J$26)</f>
        <v>-604.595517656633</v>
      </c>
      <c r="K22" s="137" t="n">
        <f aca="false">J22*(1+K$26)</f>
        <v>-622.733383186332</v>
      </c>
      <c r="L22" s="137" t="n">
        <f aca="false">K22*(1+L$26)</f>
        <v>-639.858551223956</v>
      </c>
      <c r="M22" s="137" t="n">
        <f aca="false">L22*(1+M$26)</f>
        <v>-655.855015004555</v>
      </c>
    </row>
    <row r="23" customFormat="false" ht="15" hidden="false" customHeight="false" outlineLevel="0" collapsed="false">
      <c r="B23" s="1" t="s">
        <v>552</v>
      </c>
      <c r="D23" s="162" t="n">
        <f aca="false">SUM(Model!BV197:BV201)</f>
        <v>83.1675000000004</v>
      </c>
      <c r="E23" s="162" t="n">
        <f aca="false">SUM(Model!BW197:BW201)</f>
        <v>-80.7556658403963</v>
      </c>
      <c r="F23" s="162" t="n">
        <f aca="false">SUM(Model!BX197:BX201)</f>
        <v>-6.60526239265136</v>
      </c>
      <c r="G23" s="162" t="n">
        <f aca="false">SUM(Model!BY197:BY201)</f>
        <v>-6.7255851356291</v>
      </c>
      <c r="H23" s="162" t="n">
        <f aca="false">SUM(Model!BZ197:BZ201)</f>
        <v>-6.69208228119004</v>
      </c>
      <c r="I23" s="137" t="n">
        <f aca="false">H23*(1+I$26)</f>
        <v>-6.95976557243764</v>
      </c>
      <c r="J23" s="137" t="n">
        <f aca="false">I23*(1+J$26)</f>
        <v>-7.20335736747296</v>
      </c>
      <c r="K23" s="137" t="n">
        <f aca="false">J23*(1+K$26)</f>
        <v>-7.41945808849715</v>
      </c>
      <c r="L23" s="137" t="n">
        <f aca="false">K23*(1+L$26)</f>
        <v>-7.62349318593082</v>
      </c>
      <c r="M23" s="137" t="n">
        <f aca="false">L23*(1+M$26)</f>
        <v>-7.81408051557909</v>
      </c>
    </row>
    <row r="24" customFormat="false" ht="15" hidden="false" customHeight="false" outlineLevel="0" collapsed="false">
      <c r="B24" s="164" t="s">
        <v>553</v>
      </c>
      <c r="D24" s="165" t="n">
        <f aca="false">D20+D21+D22+D23</f>
        <v>453.93</v>
      </c>
      <c r="E24" s="165" t="n">
        <f aca="false">E20+E21+E22+E23</f>
        <v>404.029610167428</v>
      </c>
      <c r="F24" s="165" t="n">
        <f aca="false">F20+F21+F22+F23</f>
        <v>570.662751993112</v>
      </c>
      <c r="G24" s="165" t="n">
        <f aca="false">G20+G21+G22+G23</f>
        <v>669.764233982397</v>
      </c>
      <c r="H24" s="165" t="n">
        <f aca="false">H20+H21+H22+H23</f>
        <v>774.808180789163</v>
      </c>
      <c r="I24" s="165" t="n">
        <f aca="false">I20+I21+I22+I23</f>
        <v>805.800508020729</v>
      </c>
      <c r="J24" s="165" t="n">
        <f aca="false">J20+J21+J22+J23</f>
        <v>834.003525801454</v>
      </c>
      <c r="K24" s="165" t="n">
        <f aca="false">K20+K21+K22+K23</f>
        <v>859.023631575498</v>
      </c>
      <c r="L24" s="165" t="n">
        <f aca="false">L20+L21+L22+L23</f>
        <v>882.646781443824</v>
      </c>
      <c r="M24" s="165" t="n">
        <f aca="false">M20+M21+M22+M23</f>
        <v>904.71295097992</v>
      </c>
      <c r="N24" s="165" t="n">
        <f aca="false">M24*(1+$C$27)</f>
        <v>927.330774754418</v>
      </c>
    </row>
    <row r="25" customFormat="false" ht="15" hidden="false" customHeight="false" outlineLevel="0" collapsed="false">
      <c r="B25" s="164" t="s">
        <v>554</v>
      </c>
      <c r="N25" s="165" t="n">
        <f aca="false">N24/($C$13-$C$27)</f>
        <v>19548.4748301326</v>
      </c>
    </row>
    <row r="26" customFormat="false" ht="15" hidden="false" customHeight="false" outlineLevel="0" collapsed="false">
      <c r="B26" s="72" t="s">
        <v>555</v>
      </c>
      <c r="I26" s="166" t="n">
        <v>0.04</v>
      </c>
      <c r="J26" s="166" t="n">
        <v>0.035</v>
      </c>
      <c r="K26" s="166" t="n">
        <v>0.03</v>
      </c>
      <c r="L26" s="166" t="n">
        <v>0.0275</v>
      </c>
      <c r="M26" s="166" t="n">
        <v>0.025</v>
      </c>
    </row>
    <row r="27" customFormat="false" ht="15" hidden="false" customHeight="false" outlineLevel="0" collapsed="false">
      <c r="B27" s="1" t="s">
        <v>556</v>
      </c>
      <c r="C27" s="167" t="n">
        <v>0.025</v>
      </c>
    </row>
    <row r="29" customFormat="false" ht="15" hidden="false" customHeight="false" outlineLevel="0" collapsed="false">
      <c r="B29" s="1" t="s">
        <v>557</v>
      </c>
      <c r="D29" s="163" t="n">
        <f aca="false">(DATE(2026,12,31)-$C$15)/365.25</f>
        <v>0.246406570841889</v>
      </c>
      <c r="E29" s="163" t="n">
        <f aca="false">(DATE(2027,12,31)-$C$15)/365.25</f>
        <v>1.24572210814511</v>
      </c>
      <c r="F29" s="163" t="n">
        <f aca="false">(DATE(2028,12,31)-$C$15)/365.25</f>
        <v>2.24777549623546</v>
      </c>
      <c r="G29" s="163" t="n">
        <f aca="false">(DATE(2029,12,31)-$C$15)/365.25</f>
        <v>3.24709103353867</v>
      </c>
      <c r="H29" s="163" t="n">
        <f aca="false">(DATE(2030,12,31)-$C$15)/365.25</f>
        <v>4.24640657084189</v>
      </c>
      <c r="I29" s="163" t="n">
        <f aca="false">(DATE(2031,12,31)-$C$15)/365.25</f>
        <v>5.24572210814511</v>
      </c>
      <c r="J29" s="163" t="n">
        <f aca="false">(DATE(2032,12,31)-$C$15)/365.25</f>
        <v>6.24777549623546</v>
      </c>
      <c r="K29" s="163" t="n">
        <f aca="false">(DATE(2033,12,31)-$C$15)/365.25</f>
        <v>7.24709103353867</v>
      </c>
      <c r="L29" s="163" t="n">
        <f aca="false">(DATE(2034,12,31)-$C$15)/365.25</f>
        <v>8.24640657084189</v>
      </c>
      <c r="M29" s="163" t="n">
        <f aca="false">(DATE(2035,12,31)-$C$15)/365.25</f>
        <v>9.24572210814511</v>
      </c>
      <c r="N29" s="163" t="n">
        <f aca="false">M29</f>
        <v>9.24572210814511</v>
      </c>
    </row>
    <row r="30" customFormat="false" ht="15" hidden="false" customHeight="false" outlineLevel="0" collapsed="false">
      <c r="B30" s="1" t="s">
        <v>558</v>
      </c>
      <c r="D30" s="168" t="n">
        <f aca="false">1/(1+$C$13)^D29</f>
        <v>0.98291540497479</v>
      </c>
      <c r="E30" s="168" t="n">
        <f aca="false">1/(1+$C$13)^E29</f>
        <v>0.91656852318862</v>
      </c>
      <c r="F30" s="168" t="n">
        <f aca="false">1/(1+$C$13)^F29</f>
        <v>0.854536429129127</v>
      </c>
      <c r="G30" s="168" t="n">
        <f aca="false">1/(1+$C$13)^G29</f>
        <v>0.796855140222214</v>
      </c>
      <c r="H30" s="168" t="n">
        <f aca="false">1/(1+$C$13)^H29</f>
        <v>0.743067343712523</v>
      </c>
      <c r="I30" s="168" t="n">
        <f aca="false">1/(1+$C$13)^I29</f>
        <v>0.692910228499009</v>
      </c>
      <c r="J30" s="168" t="n">
        <f aca="false">1/(1+$C$13)^J29</f>
        <v>0.646015019486698</v>
      </c>
      <c r="K30" s="168" t="n">
        <f aca="false">1/(1+$C$13)^K29</f>
        <v>0.602408945237538</v>
      </c>
      <c r="L30" s="168" t="n">
        <f aca="false">1/(1+$C$13)^L29</f>
        <v>0.561746285079484</v>
      </c>
      <c r="M30" s="168" t="n">
        <f aca="false">1/(1+$C$13)^M29</f>
        <v>0.523828358286034</v>
      </c>
      <c r="N30" s="168" t="n">
        <f aca="false">1/(1+$C$13)^N29</f>
        <v>0.523828358286034</v>
      </c>
    </row>
    <row r="31" customFormat="false" ht="15" hidden="false" customHeight="false" outlineLevel="0" collapsed="false">
      <c r="B31" s="1" t="s">
        <v>559</v>
      </c>
      <c r="D31" s="137" t="n">
        <f aca="false">D24*D30</f>
        <v>446.174789780207</v>
      </c>
      <c r="E31" s="137" t="n">
        <f aca="false">E24*E30</f>
        <v>370.320823115633</v>
      </c>
      <c r="F31" s="137" t="n">
        <f aca="false">F24*F30</f>
        <v>487.652110325195</v>
      </c>
      <c r="G31" s="137" t="n">
        <f aca="false">G24*G30</f>
        <v>533.705072585867</v>
      </c>
      <c r="H31" s="137" t="n">
        <f aca="false">H24*H30</f>
        <v>575.734656785735</v>
      </c>
      <c r="I31" s="137" t="n">
        <f aca="false">I24*I30</f>
        <v>558.347414137261</v>
      </c>
      <c r="J31" s="137" t="n">
        <f aca="false">J24*J30</f>
        <v>538.778803972602</v>
      </c>
      <c r="K31" s="137" t="n">
        <f aca="false">K24*K30</f>
        <v>517.483519831515</v>
      </c>
      <c r="L31" s="137" t="n">
        <f aca="false">L24*L30</f>
        <v>495.823550513431</v>
      </c>
      <c r="M31" s="137" t="n">
        <f aca="false">M24*M30</f>
        <v>473.914299831924</v>
      </c>
      <c r="N31" s="137" t="n">
        <f aca="false">N25*N30</f>
        <v>10240.0454772642</v>
      </c>
    </row>
    <row r="32" customFormat="false" ht="15" hidden="false" customHeight="false" outlineLevel="0" collapsed="false">
      <c r="D32" s="169" t="s">
        <v>560</v>
      </c>
    </row>
    <row r="34" customFormat="false" ht="15" hidden="false" customHeight="false" outlineLevel="0" collapsed="false">
      <c r="B34" s="21" t="s">
        <v>561</v>
      </c>
    </row>
    <row r="35" customFormat="false" ht="15" hidden="false" customHeight="false" outlineLevel="0" collapsed="false">
      <c r="B35" s="1" t="s">
        <v>562</v>
      </c>
      <c r="C35" s="137" t="n">
        <f aca="false">SUM(D31:M31)</f>
        <v>4997.93504087937</v>
      </c>
    </row>
    <row r="36" customFormat="false" ht="15" hidden="false" customHeight="false" outlineLevel="0" collapsed="false">
      <c r="B36" s="1" t="s">
        <v>563</v>
      </c>
      <c r="C36" s="137" t="n">
        <f aca="false">N31</f>
        <v>10240.0454772642</v>
      </c>
    </row>
    <row r="37" customFormat="false" ht="15" hidden="false" customHeight="false" outlineLevel="0" collapsed="false">
      <c r="B37" s="26" t="s">
        <v>564</v>
      </c>
      <c r="C37" s="165" t="n">
        <f aca="false">C35+C36</f>
        <v>15237.9805181436</v>
      </c>
    </row>
    <row r="38" customFormat="false" ht="15" hidden="false" customHeight="false" outlineLevel="0" collapsed="false">
      <c r="B38" s="1" t="s">
        <v>565</v>
      </c>
      <c r="C38" s="162" t="n">
        <f aca="false">Model!BV324</f>
        <v>1638.764</v>
      </c>
    </row>
    <row r="39" customFormat="false" ht="15" hidden="false" customHeight="false" outlineLevel="0" collapsed="false">
      <c r="B39" s="1" t="s">
        <v>566</v>
      </c>
      <c r="C39" s="137" t="n">
        <f aca="false">C37-C38</f>
        <v>13599.2165181436</v>
      </c>
    </row>
    <row r="40" customFormat="false" ht="15" hidden="false" customHeight="false" outlineLevel="0" collapsed="false">
      <c r="B40" s="1" t="s">
        <v>567</v>
      </c>
      <c r="C40" s="170" t="n">
        <f aca="false">Model!BV137</f>
        <v>39.45</v>
      </c>
    </row>
    <row r="41" customFormat="false" ht="15" hidden="false" customHeight="false" outlineLevel="0" collapsed="false">
      <c r="B41" s="105" t="s">
        <v>568</v>
      </c>
      <c r="C41" s="171" t="n">
        <f aca="false">C39/C40</f>
        <v>344.720317316695</v>
      </c>
    </row>
    <row r="42" customFormat="false" ht="15" hidden="false" customHeight="false" outlineLevel="0" collapsed="false">
      <c r="B42" s="1" t="s">
        <v>569</v>
      </c>
      <c r="C42" s="172" t="n">
        <f aca="false">Model!BV350</f>
        <v>275</v>
      </c>
    </row>
    <row r="43" customFormat="false" ht="15" hidden="false" customHeight="false" outlineLevel="0" collapsed="false">
      <c r="B43" s="105" t="s">
        <v>570</v>
      </c>
      <c r="C43" s="173" t="n">
        <f aca="false">C41/C42-1</f>
        <v>0.253528426606163</v>
      </c>
    </row>
    <row r="46" customFormat="false" ht="15" hidden="false" customHeight="false" outlineLevel="0" collapsed="false">
      <c r="B46" s="21" t="s">
        <v>571</v>
      </c>
    </row>
    <row r="48" customFormat="false" ht="15" hidden="false" customHeight="false" outlineLevel="0" collapsed="false">
      <c r="B48" s="105" t="s">
        <v>572</v>
      </c>
    </row>
    <row r="49" customFormat="false" ht="15" hidden="false" customHeight="false" outlineLevel="0" collapsed="false">
      <c r="B49" s="105" t="s">
        <v>573</v>
      </c>
      <c r="D49" s="174" t="n">
        <v>0.06</v>
      </c>
      <c r="E49" s="174" t="n">
        <v>0.065</v>
      </c>
      <c r="F49" s="174" t="n">
        <v>0.07</v>
      </c>
      <c r="G49" s="174" t="n">
        <v>0.075</v>
      </c>
      <c r="H49" s="174" t="n">
        <v>0.08</v>
      </c>
    </row>
    <row r="50" customFormat="false" ht="15" hidden="false" customHeight="false" outlineLevel="0" collapsed="false">
      <c r="B50" s="174" t="n">
        <v>0.015</v>
      </c>
      <c r="D50" s="175" t="n">
        <f aca="false">IFERROR((SUMPRODUCT($D$24:$M$24/(1+D$49)^$D$29:$M$29)+($M$24*(1+$B50)/(D$49-$B50))/(1+D$49)^$M$29-$C$38)/$C$40,"")</f>
        <v>394.450665516827</v>
      </c>
      <c r="E50" s="175" t="n">
        <f aca="false">IFERROR((SUMPRODUCT($D$24:$M$24/(1+E$49)^$D$29:$M$29)+($M$24*(1+$B50)/(E$49-$B50))/(1+E$49)^$M$29-$C$38)/$C$40,"")</f>
        <v>349.617110985134</v>
      </c>
      <c r="F50" s="175" t="n">
        <f aca="false">IFERROR((SUMPRODUCT($D$24:$M$24/(1+F$49)^$D$29:$M$29)+($M$24*(1+$B50)/(F$49-$B50))/(1+F$49)^$M$29-$C$38)/$C$40,"")</f>
        <v>312.97415909579</v>
      </c>
      <c r="G50" s="175" t="n">
        <f aca="false">IFERROR((SUMPRODUCT($D$24:$M$24/(1+G$49)^$D$29:$M$29)+($M$24*(1+$B50)/(G$49-$B50))/(1+G$49)^$M$29-$C$38)/$C$40,"")</f>
        <v>282.473088821213</v>
      </c>
      <c r="H50" s="175" t="n">
        <f aca="false">IFERROR((SUMPRODUCT($D$24:$M$24/(1+H$49)^$D$29:$M$29)+($M$24*(1+$B50)/(H$49-$B50))/(1+H$49)^$M$29-$C$38)/$C$40,"")</f>
        <v>256.695591569352</v>
      </c>
    </row>
    <row r="51" customFormat="false" ht="15" hidden="false" customHeight="false" outlineLevel="0" collapsed="false">
      <c r="B51" s="174" t="n">
        <v>0.02</v>
      </c>
      <c r="D51" s="175" t="n">
        <f aca="false">IFERROR((SUMPRODUCT($D$24:$M$24/(1+D$49)^$D$29:$M$29)+($M$24*(1+$B51)/(D$49-$B51))/(1+D$49)^$M$29-$C$38)/$C$40,"")</f>
        <v>433.850660479558</v>
      </c>
      <c r="E51" s="175" t="n">
        <f aca="false">IFERROR((SUMPRODUCT($D$24:$M$24/(1+E$49)^$D$29:$M$29)+($M$24*(1+$B51)/(E$49-$B51))/(1+E$49)^$M$29-$C$38)/$C$40,"")</f>
        <v>379.937447739126</v>
      </c>
      <c r="F51" s="175" t="n">
        <f aca="false">IFERROR((SUMPRODUCT($D$24:$M$24/(1+F$49)^$D$29:$M$29)+($M$24*(1+$B51)/(F$49-$B51))/(1+F$49)^$M$29-$C$38)/$C$40,"")</f>
        <v>336.841863192324</v>
      </c>
      <c r="G51" s="175" t="n">
        <f aca="false">IFERROR((SUMPRODUCT($D$24:$M$24/(1+G$49)^$D$29:$M$29)+($M$24*(1+$B51)/(G$49-$B51))/(1+G$49)^$M$29-$C$38)/$C$40,"")</f>
        <v>301.612756644263</v>
      </c>
      <c r="H51" s="175" t="n">
        <f aca="false">IFERROR((SUMPRODUCT($D$24:$M$24/(1+H$49)^$D$29:$M$29)+($M$24*(1+$B51)/(H$49-$B51))/(1+H$49)^$M$29-$C$38)/$C$40,"")</f>
        <v>272.282723003968</v>
      </c>
    </row>
    <row r="52" customFormat="false" ht="15" hidden="false" customHeight="false" outlineLevel="0" collapsed="false">
      <c r="B52" s="174" t="n">
        <v>0.025</v>
      </c>
      <c r="D52" s="175" t="n">
        <f aca="false">IFERROR((SUMPRODUCT($D$24:$M$24/(1+D$49)^$D$29:$M$29)+($M$24*(1+$B52)/(D$49-$B52))/(1+D$49)^$M$29-$C$38)/$C$40,"")</f>
        <v>484.507796860212</v>
      </c>
      <c r="E52" s="175" t="n">
        <f aca="false">IFERROR((SUMPRODUCT($D$24:$M$24/(1+E$49)^$D$29:$M$29)+($M$24*(1+$B52)/(E$49-$B52))/(1+E$49)^$M$29-$C$38)/$C$40,"")</f>
        <v>417.837868681615</v>
      </c>
      <c r="F52" s="175" t="n">
        <f aca="false">IFERROR((SUMPRODUCT($D$24:$M$24/(1+F$49)^$D$29:$M$29)+($M$24*(1+$B52)/(F$49-$B52))/(1+F$49)^$M$29-$C$38)/$C$40,"")</f>
        <v>366.013501532531</v>
      </c>
      <c r="G52" s="175" t="n">
        <f aca="false">IFERROR((SUMPRODUCT($D$24:$M$24/(1+G$49)^$D$29:$M$29)+($M$24*(1+$B52)/(G$49-$B52))/(1+G$49)^$M$29-$C$38)/$C$40,"")</f>
        <v>324.580358031923</v>
      </c>
      <c r="H52" s="175" t="n">
        <f aca="false">IFERROR((SUMPRODUCT($D$24:$M$24/(1+H$49)^$D$29:$M$29)+($M$24*(1+$B52)/(H$49-$B52))/(1+H$49)^$M$29-$C$38)/$C$40,"")</f>
        <v>290.703878335788</v>
      </c>
    </row>
    <row r="53" customFormat="false" ht="15" hidden="false" customHeight="false" outlineLevel="0" collapsed="false">
      <c r="B53" s="174" t="n">
        <v>0.03</v>
      </c>
      <c r="D53" s="175" t="n">
        <f aca="false">IFERROR((SUMPRODUCT($D$24:$M$24/(1+D$49)^$D$29:$M$29)+($M$24*(1+$B53)/(D$49-$B53))/(1+D$49)^$M$29-$C$38)/$C$40,"")</f>
        <v>552.050645367752</v>
      </c>
      <c r="E53" s="175" t="n">
        <f aca="false">IFERROR((SUMPRODUCT($D$24:$M$24/(1+E$49)^$D$29:$M$29)+($M$24*(1+$B53)/(E$49-$B53))/(1+E$49)^$M$29-$C$38)/$C$40,"")</f>
        <v>466.566981321959</v>
      </c>
      <c r="F53" s="175" t="n">
        <f aca="false">IFERROR((SUMPRODUCT($D$24:$M$24/(1+F$49)^$D$29:$M$29)+($M$24*(1+$B53)/(F$49-$B53))/(1+F$49)^$M$29-$C$38)/$C$40,"")</f>
        <v>402.478049457791</v>
      </c>
      <c r="G53" s="175" t="n">
        <f aca="false">IFERROR((SUMPRODUCT($D$24:$M$24/(1+G$49)^$D$29:$M$29)+($M$24*(1+$B53)/(G$49-$B53))/(1+G$49)^$M$29-$C$38)/$C$40,"")</f>
        <v>352.651870839063</v>
      </c>
      <c r="H53" s="175" t="n">
        <f aca="false">IFERROR((SUMPRODUCT($D$24:$M$24/(1+H$49)^$D$29:$M$29)+($M$24*(1+$B53)/(H$49-$B53))/(1+H$49)^$M$29-$C$38)/$C$40,"")</f>
        <v>312.809264733972</v>
      </c>
    </row>
    <row r="54" customFormat="false" ht="15" hidden="false" customHeight="false" outlineLevel="0" collapsed="false">
      <c r="B54" s="174" t="n">
        <v>0.035</v>
      </c>
      <c r="D54" s="175" t="n">
        <f aca="false">IFERROR((SUMPRODUCT($D$24:$M$24/(1+D$49)^$D$29:$M$29)+($M$24*(1+$B54)/(D$49-$B54))/(1+D$49)^$M$29-$C$38)/$C$40,"")</f>
        <v>646.610633278306</v>
      </c>
      <c r="E54" s="175" t="n">
        <f aca="false">IFERROR((SUMPRODUCT($D$24:$M$24/(1+E$49)^$D$29:$M$29)+($M$24*(1+$B54)/(E$49-$B54))/(1+E$49)^$M$29-$C$38)/$C$40,"")</f>
        <v>531.539131509085</v>
      </c>
      <c r="F54" s="175" t="n">
        <f aca="false">IFERROR((SUMPRODUCT($D$24:$M$24/(1+F$49)^$D$29:$M$29)+($M$24*(1+$B54)/(F$49-$B54))/(1+F$49)^$M$29-$C$38)/$C$40,"")</f>
        <v>449.36103964741</v>
      </c>
      <c r="G54" s="175" t="n">
        <f aca="false">IFERROR((SUMPRODUCT($D$24:$M$24/(1+G$49)^$D$29:$M$29)+($M$24*(1+$B54)/(G$49-$B54))/(1+G$49)^$M$29-$C$38)/$C$40,"")</f>
        <v>387.741261847987</v>
      </c>
      <c r="H54" s="175" t="n">
        <f aca="false">IFERROR((SUMPRODUCT($D$24:$M$24/(1+H$49)^$D$29:$M$29)+($M$24*(1+$B54)/(H$49-$B54))/(1+H$49)^$M$29-$C$38)/$C$40,"")</f>
        <v>339.826959220641</v>
      </c>
    </row>
    <row r="57" customFormat="false" ht="15" hidden="false" customHeight="false" outlineLevel="0" collapsed="false">
      <c r="B57" s="21" t="s">
        <v>574</v>
      </c>
    </row>
    <row r="58" customFormat="false" ht="15" hidden="false" customHeight="false" outlineLevel="0" collapsed="false">
      <c r="B58" s="176" t="s">
        <v>575</v>
      </c>
    </row>
    <row r="60" customFormat="false" ht="15" hidden="false" customHeight="false" outlineLevel="0" collapsed="false">
      <c r="B60" s="15" t="s">
        <v>576</v>
      </c>
    </row>
    <row r="61" customFormat="false" ht="15" hidden="false" customHeight="false" outlineLevel="0" collapsed="false">
      <c r="B61" s="9" t="s">
        <v>577</v>
      </c>
    </row>
    <row r="62" customFormat="false" ht="15" hidden="false" customHeight="false" outlineLevel="0" collapsed="false">
      <c r="B62" s="9" t="s">
        <v>578</v>
      </c>
    </row>
    <row r="64" customFormat="false" ht="15" hidden="false" customHeight="false" outlineLevel="0" collapsed="false">
      <c r="B64" s="21" t="s">
        <v>579</v>
      </c>
      <c r="C64" s="22" t="s">
        <v>580</v>
      </c>
      <c r="D64" s="21" t="s">
        <v>581</v>
      </c>
    </row>
    <row r="65" customFormat="false" ht="15" hidden="false" customHeight="false" outlineLevel="0" collapsed="false">
      <c r="B65" s="1" t="s">
        <v>582</v>
      </c>
      <c r="C65" s="177" t="n">
        <f aca="false">$C$13</f>
        <v>0.0724375</v>
      </c>
      <c r="D65" s="178" t="s">
        <v>583</v>
      </c>
    </row>
    <row r="66" customFormat="false" ht="15" hidden="false" customHeight="false" outlineLevel="0" collapsed="false">
      <c r="B66" s="1" t="s">
        <v>584</v>
      </c>
      <c r="C66" s="179" t="n">
        <v>0.06</v>
      </c>
      <c r="D66" s="178" t="s">
        <v>585</v>
      </c>
    </row>
    <row r="67" customFormat="false" ht="15" hidden="false" customHeight="false" outlineLevel="0" collapsed="false">
      <c r="B67" s="1" t="s">
        <v>586</v>
      </c>
      <c r="C67" s="179" t="n">
        <v>0.12</v>
      </c>
      <c r="D67" s="178" t="s">
        <v>587</v>
      </c>
    </row>
    <row r="68" customFormat="false" ht="15" hidden="false" customHeight="false" outlineLevel="0" collapsed="false">
      <c r="B68" s="1" t="s">
        <v>588</v>
      </c>
      <c r="C68" s="180" t="n">
        <v>12</v>
      </c>
      <c r="D68" s="178" t="s">
        <v>589</v>
      </c>
    </row>
    <row r="70" customFormat="false" ht="15" hidden="false" customHeight="false" outlineLevel="0" collapsed="false">
      <c r="B70" s="21" t="s">
        <v>590</v>
      </c>
      <c r="C70" s="22" t="s">
        <v>580</v>
      </c>
    </row>
    <row r="71" customFormat="false" ht="15" hidden="false" customHeight="false" outlineLevel="0" collapsed="false">
      <c r="B71" s="1" t="s">
        <v>591</v>
      </c>
      <c r="C71" s="181" t="n">
        <f aca="false">1/C65</f>
        <v>13.8050043140638</v>
      </c>
    </row>
    <row r="72" customFormat="false" ht="15" hidden="false" customHeight="false" outlineLevel="0" collapsed="false">
      <c r="B72" s="1" t="s">
        <v>592</v>
      </c>
      <c r="C72" s="182" t="n">
        <f aca="false">1-C65/C67</f>
        <v>0.396354166666667</v>
      </c>
    </row>
    <row r="73" customFormat="false" ht="15" hidden="false" customHeight="false" outlineLevel="0" collapsed="false">
      <c r="B73" s="1" t="s">
        <v>593</v>
      </c>
      <c r="C73" s="182" t="n">
        <f aca="false">C66*C72/(C65*(C65-C66))</f>
        <v>26.3960007110617</v>
      </c>
    </row>
    <row r="74" customFormat="false" ht="15" hidden="false" customHeight="false" outlineLevel="0" collapsed="false">
      <c r="B74" s="1" t="s">
        <v>594</v>
      </c>
      <c r="C74" s="183" t="n">
        <f aca="false">1-((1+C66)/(1+C65))^C68</f>
        <v>0.130626327510523</v>
      </c>
    </row>
    <row r="75" customFormat="false" ht="15" hidden="false" customHeight="false" outlineLevel="0" collapsed="false">
      <c r="B75" s="1" t="s">
        <v>595</v>
      </c>
      <c r="C75" s="181" t="n">
        <f aca="false">C73*C74</f>
        <v>3.44801263385115</v>
      </c>
    </row>
    <row r="76" customFormat="false" ht="15" hidden="false" customHeight="false" outlineLevel="0" collapsed="false">
      <c r="B76" s="15" t="s">
        <v>596</v>
      </c>
      <c r="C76" s="184" t="n">
        <f aca="false">C71+C75</f>
        <v>17.253016947915</v>
      </c>
    </row>
    <row r="78" customFormat="false" ht="15" hidden="false" customHeight="false" outlineLevel="0" collapsed="false">
      <c r="B78" s="21" t="s">
        <v>597</v>
      </c>
      <c r="C78" s="21" t="s">
        <v>598</v>
      </c>
    </row>
    <row r="79" customFormat="false" ht="15" hidden="false" customHeight="false" outlineLevel="0" collapsed="false">
      <c r="B79" s="1" t="s">
        <v>599</v>
      </c>
      <c r="C79" s="185" t="n">
        <f aca="false">Model!BX97</f>
        <v>1016.41604789536</v>
      </c>
    </row>
    <row r="80" customFormat="false" ht="15" hidden="false" customHeight="false" outlineLevel="0" collapsed="false">
      <c r="B80" s="1" t="s">
        <v>600</v>
      </c>
      <c r="C80" s="186" t="n">
        <f aca="false">$C$10</f>
        <v>0.21</v>
      </c>
    </row>
    <row r="81" customFormat="false" ht="15" hidden="false" customHeight="false" outlineLevel="0" collapsed="false">
      <c r="B81" s="1" t="s">
        <v>601</v>
      </c>
      <c r="C81" s="187" t="n">
        <f aca="false">C79*(1-C80)</f>
        <v>802.968677837333</v>
      </c>
    </row>
    <row r="82" customFormat="false" ht="15" hidden="false" customHeight="false" outlineLevel="0" collapsed="false">
      <c r="B82" s="1" t="s">
        <v>602</v>
      </c>
      <c r="C82" s="188" t="n">
        <f aca="false">C76</f>
        <v>17.253016947915</v>
      </c>
    </row>
    <row r="83" customFormat="false" ht="15" hidden="false" customHeight="false" outlineLevel="0" collapsed="false">
      <c r="B83" s="1" t="s">
        <v>603</v>
      </c>
      <c r="C83" s="187" t="n">
        <f aca="false">C81*C82</f>
        <v>13853.6322073724</v>
      </c>
    </row>
    <row r="84" customFormat="false" ht="15" hidden="false" customHeight="false" outlineLevel="0" collapsed="false">
      <c r="B84" s="1" t="s">
        <v>604</v>
      </c>
      <c r="C84" s="185" t="n">
        <f aca="false">Model!BW324</f>
        <v>1666.20595944706</v>
      </c>
    </row>
    <row r="85" customFormat="false" ht="15" hidden="false" customHeight="false" outlineLevel="0" collapsed="false">
      <c r="B85" s="1" t="s">
        <v>605</v>
      </c>
      <c r="C85" s="187" t="n">
        <f aca="false">C83-C84</f>
        <v>12187.4262479253</v>
      </c>
    </row>
    <row r="86" customFormat="false" ht="15" hidden="false" customHeight="false" outlineLevel="0" collapsed="false">
      <c r="B86" s="1" t="s">
        <v>606</v>
      </c>
      <c r="C86" s="189" t="n">
        <f aca="false">Model!BX137</f>
        <v>38.8982882586014</v>
      </c>
    </row>
    <row r="87" customFormat="false" ht="15" hidden="false" customHeight="false" outlineLevel="0" collapsed="false">
      <c r="B87" s="15" t="s">
        <v>607</v>
      </c>
      <c r="C87" s="190" t="n">
        <f aca="false">C85/C86</f>
        <v>313.315232971219</v>
      </c>
    </row>
    <row r="89" customFormat="false" ht="15" hidden="false" customHeight="false" outlineLevel="0" collapsed="false">
      <c r="B89" s="1" t="s">
        <v>569</v>
      </c>
      <c r="C89" s="191" t="n">
        <f aca="false">C42</f>
        <v>275</v>
      </c>
    </row>
    <row r="90" customFormat="false" ht="15" hidden="false" customHeight="false" outlineLevel="0" collapsed="false">
      <c r="B90" s="105" t="s">
        <v>570</v>
      </c>
      <c r="C90" s="192" t="n">
        <f aca="false">C87/C89-1</f>
        <v>0.139328119895343</v>
      </c>
    </row>
    <row r="92" customFormat="false" ht="15" hidden="false" customHeight="false" outlineLevel="0" collapsed="false">
      <c r="B92" s="21" t="s">
        <v>608</v>
      </c>
      <c r="C92" s="21" t="s">
        <v>598</v>
      </c>
    </row>
    <row r="93" customFormat="false" ht="15" hidden="false" customHeight="false" outlineLevel="0" collapsed="false">
      <c r="B93" s="1" t="s">
        <v>609</v>
      </c>
      <c r="C93" s="187" t="n">
        <f aca="false">C42*C40</f>
        <v>10848.75</v>
      </c>
    </row>
    <row r="94" customFormat="false" ht="15" hidden="false" customHeight="false" outlineLevel="0" collapsed="false">
      <c r="B94" s="1" t="s">
        <v>610</v>
      </c>
      <c r="C94" s="187" t="n">
        <f aca="false">C38</f>
        <v>1638.764</v>
      </c>
    </row>
    <row r="95" customFormat="false" ht="15" hidden="false" customHeight="false" outlineLevel="0" collapsed="false">
      <c r="B95" s="1" t="s">
        <v>611</v>
      </c>
      <c r="C95" s="187" t="n">
        <f aca="false">C93+C94</f>
        <v>12487.514</v>
      </c>
    </row>
    <row r="96" customFormat="false" ht="15" hidden="false" customHeight="false" outlineLevel="0" collapsed="false">
      <c r="B96" s="15" t="s">
        <v>612</v>
      </c>
      <c r="C96" s="193" t="n">
        <f aca="false">C95/C81</f>
        <v>15.5516825807367</v>
      </c>
    </row>
    <row r="98" customFormat="false" ht="15" hidden="false" customHeight="false" outlineLevel="0" collapsed="false">
      <c r="B98" s="105" t="s">
        <v>613</v>
      </c>
      <c r="C98" s="194" t="n">
        <f aca="false">C76-C96</f>
        <v>1.70133436717833</v>
      </c>
    </row>
    <row r="99" customFormat="false" ht="15" hidden="false" customHeight="false" outlineLevel="0" collapsed="false">
      <c r="B99" s="195" t="s">
        <v>614</v>
      </c>
      <c r="C99" s="196" t="n">
        <f aca="false">C76/C96-1</f>
        <v>0.109398732796007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2.6"/>
    <col collapsed="false" customWidth="true" hidden="false" outlineLevel="0" max="13" min="4" style="0" width="10.1"/>
  </cols>
  <sheetData>
    <row r="2" customFormat="false" ht="17.35" hidden="false" customHeight="false" outlineLevel="0" collapsed="false">
      <c r="B2" s="197" t="s">
        <v>615</v>
      </c>
    </row>
    <row r="3" customFormat="false" ht="15" hidden="false" customHeight="false" outlineLevel="0" collapsed="false">
      <c r="B3" s="169" t="s">
        <v>616</v>
      </c>
    </row>
    <row r="7" customFormat="false" ht="15" hidden="false" customHeight="false" outlineLevel="0" collapsed="false">
      <c r="C7" s="15" t="n">
        <v>2015</v>
      </c>
      <c r="D7" s="15" t="n">
        <v>2016</v>
      </c>
      <c r="E7" s="15" t="n">
        <v>2017</v>
      </c>
      <c r="F7" s="15" t="n">
        <v>2018</v>
      </c>
      <c r="G7" s="15" t="n">
        <v>2019</v>
      </c>
      <c r="H7" s="15" t="n">
        <v>2020</v>
      </c>
      <c r="I7" s="15" t="n">
        <v>2021</v>
      </c>
      <c r="J7" s="15" t="n">
        <v>2022</v>
      </c>
      <c r="K7" s="15" t="n">
        <v>2023</v>
      </c>
      <c r="L7" s="15" t="n">
        <v>2024</v>
      </c>
      <c r="M7" s="15" t="n">
        <v>2025</v>
      </c>
    </row>
    <row r="8" customFormat="false" ht="15" hidden="false" customHeight="false" outlineLevel="0" collapsed="false">
      <c r="B8" s="1" t="s">
        <v>617</v>
      </c>
      <c r="C8" s="198" t="n">
        <f aca="false">0</f>
        <v>0</v>
      </c>
      <c r="D8" s="198" t="n">
        <f aca="false">IFERROR(Model!N172+0,0)</f>
        <v>0.00683760683760681</v>
      </c>
      <c r="E8" s="198" t="n">
        <f aca="false">IFERROR(Model!T172+0,0)</f>
        <v>0.00905489530277314</v>
      </c>
      <c r="F8" s="198" t="n">
        <f aca="false">IFERROR(Model!Z172+0,0)</f>
        <v>0.098777046095955</v>
      </c>
      <c r="G8" s="198" t="n">
        <f aca="false">IFERROR(Model!AF172+0,0)</f>
        <v>0.0884295499021526</v>
      </c>
      <c r="H8" s="198" t="n">
        <f aca="false">IFERROR(Model!AL172+0,0)</f>
        <v>0.0519159456118665</v>
      </c>
      <c r="I8" s="198" t="n">
        <f aca="false">IFERROR(Model!AR172+0,0)</f>
        <v>-0.0366413844674715</v>
      </c>
      <c r="J8" s="198" t="n">
        <f aca="false">IFERROR(Model!AX172+0,0)</f>
        <v>0.120957580848383</v>
      </c>
      <c r="K8" s="198" t="n">
        <f aca="false">IFERROR(Model!BD172+0,0)</f>
        <v>0.0728737354814537</v>
      </c>
      <c r="L8" s="198" t="n">
        <f aca="false">IFERROR(Model!BJ172+0,0)</f>
        <v>0.00707176532215814</v>
      </c>
      <c r="M8" s="198" t="n">
        <f aca="false">IFERROR(Model!BP172+0,0)</f>
        <v>0.0822713480710879</v>
      </c>
    </row>
    <row r="9" customFormat="false" ht="15" hidden="false" customHeight="false" outlineLevel="0" collapsed="false">
      <c r="B9" s="1" t="s">
        <v>618</v>
      </c>
      <c r="C9" s="198" t="n">
        <f aca="false">0</f>
        <v>0</v>
      </c>
      <c r="D9" s="198" t="n">
        <f aca="false">IFERROR(Model!N173+0,0)</f>
        <v>0</v>
      </c>
      <c r="E9" s="198" t="n">
        <f aca="false">IFERROR(Model!T173+0,0)</f>
        <v>0.0437181663837012</v>
      </c>
      <c r="F9" s="198" t="n">
        <f aca="false">IFERROR(Model!Z173+0,0)</f>
        <v>0</v>
      </c>
      <c r="G9" s="198" t="n">
        <f aca="false">IFERROR(Model!AF173+0,0)</f>
        <v>0</v>
      </c>
      <c r="H9" s="198" t="n">
        <f aca="false">IFERROR(Model!AL173+0,0)</f>
        <v>0</v>
      </c>
      <c r="I9" s="198" t="n">
        <f aca="false">IFERROR(Model!AR173+0,0)</f>
        <v>0.0540540540540541</v>
      </c>
      <c r="J9" s="198" t="n">
        <f aca="false">IFERROR(Model!AX173+0,0)</f>
        <v>0</v>
      </c>
      <c r="K9" s="198" t="n">
        <f aca="false">IFERROR(Model!BD173+0,0)</f>
        <v>0</v>
      </c>
      <c r="L9" s="198" t="n">
        <f aca="false">IFERROR(Model!BJ173+0,0)</f>
        <v>0</v>
      </c>
      <c r="M9" s="198" t="n">
        <f aca="false">IFERROR(Model!BP173+0,0)</f>
        <v>0</v>
      </c>
    </row>
    <row r="11" customFormat="false" ht="15" hidden="false" customHeight="false" outlineLevel="0" collapsed="false">
      <c r="C11" s="15" t="n">
        <f aca="false">C7</f>
        <v>2015</v>
      </c>
      <c r="D11" s="15" t="n">
        <f aca="false">D7</f>
        <v>2016</v>
      </c>
      <c r="E11" s="15" t="n">
        <f aca="false">E7</f>
        <v>2017</v>
      </c>
      <c r="F11" s="15" t="n">
        <f aca="false">F7</f>
        <v>2018</v>
      </c>
      <c r="G11" s="15" t="n">
        <f aca="false">G7</f>
        <v>2019</v>
      </c>
      <c r="H11" s="15" t="n">
        <f aca="false">H7</f>
        <v>2020</v>
      </c>
      <c r="I11" s="15" t="n">
        <f aca="false">I7</f>
        <v>2021</v>
      </c>
      <c r="J11" s="15" t="n">
        <f aca="false">J7</f>
        <v>2022</v>
      </c>
      <c r="K11" s="15" t="n">
        <f aca="false">K7</f>
        <v>2023</v>
      </c>
      <c r="L11" s="15" t="n">
        <f aca="false">L7</f>
        <v>2024</v>
      </c>
      <c r="M11" s="15" t="n">
        <f aca="false">M7</f>
        <v>2025</v>
      </c>
    </row>
    <row r="12" customFormat="false" ht="15" hidden="false" customHeight="false" outlineLevel="0" collapsed="false">
      <c r="B12" s="1" t="s">
        <v>619</v>
      </c>
      <c r="C12" s="162" t="n">
        <f aca="false">Model!H97</f>
        <v>667</v>
      </c>
      <c r="D12" s="162" t="n">
        <f aca="false">Model!N97</f>
        <v>715</v>
      </c>
      <c r="E12" s="162" t="n">
        <f aca="false">Model!T97</f>
        <v>688</v>
      </c>
      <c r="F12" s="162" t="n">
        <f aca="false">Model!Z97</f>
        <v>663</v>
      </c>
      <c r="G12" s="162" t="n">
        <f aca="false">Model!AF97</f>
        <v>631</v>
      </c>
      <c r="H12" s="162" t="n">
        <f aca="false">Model!AL97</f>
        <v>555</v>
      </c>
      <c r="I12" s="162" t="n">
        <f aca="false">Model!AR97</f>
        <v>683</v>
      </c>
      <c r="J12" s="162" t="n">
        <f aca="false">Model!AX97</f>
        <v>712</v>
      </c>
      <c r="K12" s="162" t="n">
        <f aca="false">Model!BD97</f>
        <v>842</v>
      </c>
      <c r="L12" s="162" t="n">
        <f aca="false">Model!BJ97</f>
        <v>573</v>
      </c>
      <c r="M12" s="162" t="n">
        <f aca="false">Model!BP97</f>
        <v>717</v>
      </c>
    </row>
    <row r="13" customFormat="false" ht="15" hidden="false" customHeight="false" outlineLevel="0" collapsed="false">
      <c r="B13" s="1" t="s">
        <v>498</v>
      </c>
      <c r="C13" s="162" t="n">
        <f aca="false">Model!H126</f>
        <v>769</v>
      </c>
      <c r="D13" s="162" t="n">
        <f aca="false">Model!N126</f>
        <v>858</v>
      </c>
      <c r="E13" s="162" t="n">
        <f aca="false">Model!T126</f>
        <v>881</v>
      </c>
      <c r="F13" s="162" t="n">
        <f aca="false">Model!Z126</f>
        <v>951</v>
      </c>
      <c r="G13" s="162" t="n">
        <f aca="false">Model!AF126</f>
        <v>736</v>
      </c>
      <c r="H13" s="162" t="n">
        <f aca="false">Model!AL126</f>
        <v>799</v>
      </c>
      <c r="I13" s="162" t="n">
        <f aca="false">Model!AR126</f>
        <v>513</v>
      </c>
      <c r="J13" s="162" t="n">
        <f aca="false">Model!AX126</f>
        <v>565</v>
      </c>
      <c r="K13" s="162" t="n">
        <f aca="false">Model!BD126</f>
        <v>781</v>
      </c>
      <c r="L13" s="162" t="n">
        <f aca="false">Model!BJ126</f>
        <v>535</v>
      </c>
      <c r="M13" s="162" t="n">
        <f aca="false">Model!BP126</f>
        <v>657</v>
      </c>
    </row>
    <row r="14" customFormat="false" ht="15" hidden="false" customHeight="false" outlineLevel="0" collapsed="false">
      <c r="B14" s="1" t="s">
        <v>620</v>
      </c>
      <c r="C14" s="198" t="n">
        <f aca="false">Model!H107</f>
        <v>0.095014245014245</v>
      </c>
      <c r="D14" s="198" t="n">
        <f aca="false">Model!N107</f>
        <v>0.101160158460668</v>
      </c>
      <c r="E14" s="198" t="n">
        <f aca="false">Model!T107</f>
        <v>0.09246069076737</v>
      </c>
      <c r="F14" s="198" t="n">
        <f aca="false">Model!Z107</f>
        <v>0.0810909980430528</v>
      </c>
      <c r="G14" s="198" t="n">
        <f aca="false">Model!AF107</f>
        <v>0.0709068434655579</v>
      </c>
      <c r="H14" s="198" t="n">
        <f aca="false">Model!AL107</f>
        <v>0.0592885375494071</v>
      </c>
      <c r="I14" s="198" t="n">
        <f aca="false">Model!AR107</f>
        <v>0.0717135657286854</v>
      </c>
      <c r="J14" s="198" t="n">
        <f aca="false">Model!AX107</f>
        <v>0.0666916448107906</v>
      </c>
      <c r="K14" s="198" t="n">
        <f aca="false">Model!BD107</f>
        <v>0.0735114370525581</v>
      </c>
      <c r="L14" s="198" t="n">
        <f aca="false">Model!BJ107</f>
        <v>0.0496749024707412</v>
      </c>
      <c r="M14" s="198" t="n">
        <f aca="false">Model!BP107</f>
        <v>0.0574335148990708</v>
      </c>
    </row>
    <row r="15" customFormat="false" ht="15" hidden="false" customHeight="false" outlineLevel="0" collapsed="false">
      <c r="B15" s="1" t="s">
        <v>621</v>
      </c>
      <c r="C15" s="198" t="n">
        <f aca="false">Model!H180</f>
        <v>0.10954415954416</v>
      </c>
      <c r="D15" s="198" t="n">
        <f aca="false">Model!N180</f>
        <v>0.121392190152801</v>
      </c>
      <c r="E15" s="198" t="n">
        <f aca="false">Model!T180</f>
        <v>0.11839806477624</v>
      </c>
      <c r="F15" s="198" t="n">
        <f aca="false">Model!Z180</f>
        <v>0.116316046966732</v>
      </c>
      <c r="G15" s="198" t="n">
        <f aca="false">Model!AF180</f>
        <v>0.0827059220137094</v>
      </c>
      <c r="H15" s="198" t="n">
        <f aca="false">Model!AL180</f>
        <v>0.0853541288323897</v>
      </c>
      <c r="I15" s="198" t="n">
        <f aca="false">Model!AR180</f>
        <v>0.0538639227215456</v>
      </c>
      <c r="J15" s="198" t="n">
        <f aca="false">Model!AX180</f>
        <v>0.0529224428624953</v>
      </c>
      <c r="K15" s="198" t="n">
        <f aca="false">Model!BD180</f>
        <v>0.0681857866247599</v>
      </c>
      <c r="L15" s="198" t="n">
        <f aca="false">Model!BJ180</f>
        <v>0.0463805808409189</v>
      </c>
      <c r="M15" s="198" t="n">
        <f aca="false">Model!BP180</f>
        <v>0.0526273630246716</v>
      </c>
    </row>
    <row r="17" customFormat="false" ht="15" hidden="false" customHeight="false" outlineLevel="0" collapsed="false">
      <c r="C17" s="15" t="n">
        <f aca="false">C7</f>
        <v>2015</v>
      </c>
      <c r="D17" s="15" t="n">
        <f aca="false">D7</f>
        <v>2016</v>
      </c>
      <c r="E17" s="15" t="n">
        <f aca="false">E7</f>
        <v>2017</v>
      </c>
      <c r="F17" s="15" t="n">
        <f aca="false">F7</f>
        <v>2018</v>
      </c>
      <c r="G17" s="15" t="n">
        <f aca="false">G7</f>
        <v>2019</v>
      </c>
      <c r="H17" s="15" t="n">
        <f aca="false">H7</f>
        <v>2020</v>
      </c>
      <c r="I17" s="15" t="n">
        <f aca="false">I7</f>
        <v>2021</v>
      </c>
      <c r="J17" s="15" t="n">
        <f aca="false">J7</f>
        <v>2022</v>
      </c>
      <c r="K17" s="15" t="n">
        <f aca="false">K7</f>
        <v>2023</v>
      </c>
      <c r="L17" s="15" t="n">
        <f aca="false">L7</f>
        <v>2024</v>
      </c>
      <c r="M17" s="15" t="n">
        <f aca="false">M7</f>
        <v>2025</v>
      </c>
    </row>
    <row r="18" customFormat="false" ht="15" hidden="false" customHeight="false" outlineLevel="0" collapsed="false">
      <c r="B18" s="1" t="s">
        <v>516</v>
      </c>
      <c r="C18" s="198" t="n">
        <f aca="false">IFERROR(Model!H325,NA())</f>
        <v>0.228129169460417</v>
      </c>
      <c r="D18" s="198" t="n">
        <f aca="false">IFERROR(Model!N325,NA())</f>
        <v>0.236350137069753</v>
      </c>
      <c r="E18" s="198" t="n">
        <f aca="false">IFERROR(Model!T325,NA())</f>
        <v>0.182740080914188</v>
      </c>
      <c r="F18" s="198" t="n">
        <f aca="false">IFERROR(Model!Z325,NA())</f>
        <v>0.223064413115158</v>
      </c>
      <c r="G18" s="198" t="n">
        <f aca="false">IFERROR(Model!AF325,NA())</f>
        <v>0.181208306459586</v>
      </c>
      <c r="H18" s="198" t="n">
        <f aca="false">IFERROR(Model!AL325,NA())</f>
        <v>0.155085817524842</v>
      </c>
      <c r="I18" s="198" t="n">
        <f aca="false">IFERROR(Model!AR325,NA())</f>
        <v>0.109025457622762</v>
      </c>
      <c r="J18" s="198" t="n">
        <f aca="false">IFERROR(Model!AX325,NA())</f>
        <v>0.0967374732870696</v>
      </c>
      <c r="K18" s="198" t="n">
        <f aca="false">IFERROR(Model!BD325,NA())</f>
        <v>0.110055346091571</v>
      </c>
      <c r="L18" s="198" t="n">
        <f aca="false">IFERROR(Model!BJ325,NA())</f>
        <v>0.0696397295817374</v>
      </c>
      <c r="M18" s="198" t="n">
        <f aca="false">IFERROR(Model!BP325,NA())</f>
        <v>0.0797659456039225</v>
      </c>
    </row>
    <row r="19" customFormat="false" ht="15" hidden="false" customHeight="false" outlineLevel="0" collapsed="false">
      <c r="B19" s="1" t="s">
        <v>517</v>
      </c>
      <c r="C19" s="198" t="n">
        <f aca="false">IFERROR(Model!H337,NA())</f>
        <v>0.129243230591549</v>
      </c>
      <c r="D19" s="198" t="n">
        <f aca="false">IFERROR(Model!N337,NA())</f>
        <v>0.161936830821576</v>
      </c>
      <c r="E19" s="198" t="n">
        <f aca="false">IFERROR(Model!T337,NA())</f>
        <v>0.131025423270578</v>
      </c>
      <c r="F19" s="198" t="n">
        <f aca="false">IFERROR(Model!Z337,NA())</f>
        <v>0.203937775334651</v>
      </c>
      <c r="G19" s="198" t="n">
        <f aca="false">IFERROR(Model!AF337,NA())</f>
        <v>0.154823580519042</v>
      </c>
      <c r="H19" s="198" t="n">
        <f aca="false">IFERROR(Model!AL337,NA())</f>
        <v>0.125431059676194</v>
      </c>
      <c r="I19" s="198" t="n">
        <f aca="false">IFERROR(Model!AR337,NA())</f>
        <v>0.135361541426493</v>
      </c>
      <c r="J19" s="198" t="n">
        <f aca="false">IFERROR(Model!AX337,NA())</f>
        <v>0.121372354820589</v>
      </c>
      <c r="K19" s="198" t="n">
        <f aca="false">IFERROR(Model!BD337,NA())</f>
        <v>0.137047513542776</v>
      </c>
      <c r="L19" s="198" t="n">
        <f aca="false">IFERROR(Model!BJ337,NA())</f>
        <v>0.0783822831914709</v>
      </c>
      <c r="M19" s="198" t="n">
        <f aca="false">IFERROR(Model!BP337,NA())</f>
        <v>0.0877801656103543</v>
      </c>
    </row>
    <row r="20" customFormat="false" ht="15" hidden="false" customHeight="false" outlineLevel="0" collapsed="false">
      <c r="B20" s="1" t="s">
        <v>622</v>
      </c>
      <c r="C20" s="198" t="n">
        <f aca="false">IFERROR(Model!H110,NA())</f>
        <v>0.120655270655271</v>
      </c>
      <c r="D20" s="198" t="n">
        <f aca="false">IFERROR(Model!N110,NA())</f>
        <v>0.127475947934352</v>
      </c>
      <c r="E20" s="198" t="n">
        <f aca="false">IFERROR(Model!T110,NA())</f>
        <v>0.120010751243112</v>
      </c>
      <c r="F20" s="198" t="n">
        <f aca="false">IFERROR(Model!Z110,NA())</f>
        <v>0.105919765166341</v>
      </c>
      <c r="G20" s="198" t="n">
        <f aca="false">IFERROR(Model!AF110,NA())</f>
        <v>0.0964153275648949</v>
      </c>
      <c r="H20" s="198" t="n">
        <f aca="false">IFERROR(Model!AL110,NA())</f>
        <v>0.0856746074137379</v>
      </c>
      <c r="I20" s="198" t="n">
        <f aca="false">IFERROR(Model!AR110,NA())</f>
        <v>0.102477950440991</v>
      </c>
      <c r="J20" s="198" t="n">
        <f aca="false">IFERROR(Model!AX110,NA())</f>
        <v>0.100224803297115</v>
      </c>
      <c r="K20" s="198" t="n">
        <f aca="false">IFERROR(Model!BD110,NA())</f>
        <v>0.103806530469705</v>
      </c>
      <c r="L20" s="198" t="n">
        <f aca="false">IFERROR(Model!BJ110,NA())</f>
        <v>0.0779367143476376</v>
      </c>
      <c r="M20" s="198" t="n">
        <f aca="false">IFERROR(Model!BP110,NA())</f>
        <v>0.0837872476770266</v>
      </c>
    </row>
    <row r="21" customFormat="false" ht="15" hidden="false" customHeight="false" outlineLevel="0" collapsed="false">
      <c r="B21" s="1" t="s">
        <v>623</v>
      </c>
      <c r="C21" s="198" t="n">
        <f aca="false">IFERROR(Model!H108,NA())</f>
        <v>0.120259019426457</v>
      </c>
      <c r="D21" s="198" t="n">
        <f aca="false">IFERROR(Model!N108,NA())</f>
        <v>0.1091386230318</v>
      </c>
      <c r="E21" s="198" t="n">
        <f aca="false">IFERROR(Model!T108,NA())</f>
        <v>0.101306196840826</v>
      </c>
      <c r="F21" s="198" t="n">
        <f aca="false">IFERROR(Model!Z108,NA())</f>
        <v>0.0868566797244361</v>
      </c>
      <c r="G21" s="198" t="n">
        <f aca="false">IFERROR(Model!AF108,NA())</f>
        <v>0.082840996660673</v>
      </c>
      <c r="H21" s="198" t="n">
        <f aca="false">IFERROR(Model!AL108,NA())</f>
        <v>0.0623105831009819</v>
      </c>
      <c r="I21" s="198" t="n">
        <f aca="false">IFERROR(Model!AR108,NA())</f>
        <v>0.0772799413990966</v>
      </c>
      <c r="J21" s="198" t="n">
        <f aca="false">IFERROR(Model!AX108,NA())</f>
        <v>0.0770600807409167</v>
      </c>
      <c r="K21" s="198" t="n">
        <f aca="false">IFERROR(Model!BD108,NA())</f>
        <v>0.0833989870568374</v>
      </c>
      <c r="L21" s="198" t="n">
        <f aca="false">IFERROR(Model!BJ108,NA())</f>
        <v>0.0523122710622711</v>
      </c>
      <c r="M21" s="198" t="n">
        <f aca="false">IFERROR(Model!BP108,NA())</f>
        <v>0.0588419405320814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2026-10-02T18:36:43Z</dcterms:created>
  <dc:creator>openpyxl</dc:creator>
  <dc:description/>
  <dc:language>en-US</dc:language>
  <cp:lastModifiedBy/>
  <dcterms:modified xsi:type="dcterms:W3CDTF">2026-10-02T18:36:47Z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