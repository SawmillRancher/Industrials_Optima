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3">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 numFmtId="186" formatCode="#,##0.00;\(#,##0.00\);\-"/>
  </numFmts>
  <fonts count="59">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olor rgb="FFA6A6A6"/>
      <sz val="12"/>
    </font>
    <font>
      <name val="Calibri"/>
      <b val="1"/>
      <color rgb="FF0000FF"/>
      <sz val="11"/>
    </font>
    <font>
      <name val="Calibri"/>
      <b val="1"/>
      <i val="1"/>
      <color rgb="FFC00000"/>
      <sz val="10"/>
    </font>
    <font>
      <name val="Calibri"/>
      <color rgb="FF0000FF"/>
      <sz val="11"/>
    </font>
  </fonts>
  <fills count="18">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310">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7" fontId="46" fillId="0" borderId="0" applyAlignment="1" pivotButton="0" quotePrefix="0" xfId="0">
      <alignment horizontal="right"/>
    </xf>
    <xf numFmtId="167" fontId="45" fillId="2" borderId="0" applyAlignment="1" pivotButton="0" quotePrefix="0" xfId="0">
      <alignment horizontal="right"/>
    </xf>
    <xf numFmtId="167" fontId="46" fillId="0" borderId="0" pivotButton="0" quotePrefix="0" xfId="0"/>
    <xf numFmtId="166" fontId="46" fillId="0" borderId="0" pivotButton="0" quotePrefix="0" xfId="0"/>
    <xf numFmtId="167" fontId="48" fillId="0" borderId="2" applyAlignment="1" pivotButton="0" quotePrefix="0" xfId="0">
      <alignment horizontal="right"/>
    </xf>
    <xf numFmtId="167" fontId="48" fillId="2" borderId="2" applyAlignment="1" pivotButton="0" quotePrefix="0" xfId="0">
      <alignment horizontal="right"/>
    </xf>
    <xf numFmtId="166" fontId="55" fillId="0" borderId="0" applyAlignment="1" pivotButton="0" quotePrefix="0" xfId="0">
      <alignment horizontal="right"/>
    </xf>
    <xf numFmtId="166" fontId="45" fillId="2" borderId="0" applyAlignment="1" pivotButton="0" quotePrefix="0" xfId="0">
      <alignment horizontal="right"/>
    </xf>
    <xf numFmtId="164" fontId="46" fillId="0" borderId="0" pivotButton="0" quotePrefix="0" xfId="0"/>
    <xf numFmtId="164" fontId="45" fillId="0" borderId="0" applyAlignment="1" pivotButton="0" quotePrefix="0" xfId="0">
      <alignment horizontal="right"/>
    </xf>
    <xf numFmtId="164" fontId="45" fillId="2" borderId="0" applyAlignment="1" pivotButton="0" quotePrefix="0" xfId="0">
      <alignment horizontal="right"/>
    </xf>
    <xf numFmtId="164" fontId="51" fillId="0" borderId="2" applyAlignment="1" pivotButton="0" quotePrefix="0" xfId="0">
      <alignment horizontal="right"/>
    </xf>
    <xf numFmtId="164" fontId="48" fillId="2" borderId="2" applyAlignment="1" pivotButton="0" quotePrefix="0" xfId="0">
      <alignment horizontal="right"/>
    </xf>
    <xf numFmtId="164" fontId="46" fillId="0" borderId="0" applyAlignment="1" pivotButton="0" quotePrefix="0" xfId="0">
      <alignment horizontal="right"/>
    </xf>
    <xf numFmtId="176" fontId="45" fillId="0" borderId="0" applyAlignment="1" pivotButton="0" quotePrefix="0" xfId="0">
      <alignment horizontal="right"/>
    </xf>
    <xf numFmtId="176" fontId="45" fillId="2" borderId="0" applyAlignment="1" pivotButton="0" quotePrefix="0" xfId="0">
      <alignment horizontal="right"/>
    </xf>
    <xf numFmtId="176" fontId="17" fillId="0" borderId="0" pivotButton="0" quotePrefix="0" xfId="0"/>
    <xf numFmtId="166" fontId="51" fillId="2" borderId="0" applyAlignment="1" pivotButton="0" quotePrefix="0" xfId="0">
      <alignment horizontal="right"/>
    </xf>
    <xf numFmtId="164" fontId="51" fillId="2" borderId="0" applyAlignment="1" pivotButton="0" quotePrefix="0" xfId="0">
      <alignment horizontal="right"/>
    </xf>
    <xf numFmtId="167" fontId="51" fillId="2" borderId="0" applyAlignment="1" pivotButton="0" quotePrefix="0" xfId="0">
      <alignment horizontal="right"/>
    </xf>
    <xf numFmtId="173" fontId="51" fillId="2" borderId="0" applyAlignment="1" pivotButton="0" quotePrefix="0" xfId="0">
      <alignment horizontal="right"/>
    </xf>
    <xf numFmtId="167" fontId="51" fillId="2" borderId="2" applyAlignment="1" pivotButton="0" quotePrefix="0" xfId="0">
      <alignment horizontal="right"/>
    </xf>
    <xf numFmtId="164" fontId="48" fillId="6" borderId="2" applyAlignment="1" pivotButton="0" quotePrefix="0" xfId="0">
      <alignment horizontal="right"/>
    </xf>
    <xf numFmtId="164" fontId="41" fillId="2" borderId="0" pivotButton="0" quotePrefix="0" xfId="0"/>
    <xf numFmtId="167" fontId="41" fillId="2" borderId="0" pivotButton="0" quotePrefix="0" xfId="0"/>
    <xf numFmtId="166" fontId="41" fillId="2" borderId="0" pivotButton="0" quotePrefix="0" xfId="0"/>
    <xf numFmtId="164" fontId="56" fillId="2" borderId="0" pivotButton="0" quotePrefix="0" xfId="0"/>
    <xf numFmtId="164" fontId="51" fillId="6" borderId="2" applyAlignment="1" pivotButton="0" quotePrefix="0" xfId="0">
      <alignment horizontal="right"/>
    </xf>
    <xf numFmtId="164" fontId="48" fillId="0" borderId="2" applyAlignment="1" pivotButton="0" quotePrefix="0" xfId="0">
      <alignment horizontal="right"/>
    </xf>
    <xf numFmtId="0" fontId="46" fillId="0" borderId="0" applyAlignment="1" pivotButton="0" quotePrefix="0" xfId="0">
      <alignment horizontal="right"/>
    </xf>
    <xf numFmtId="0" fontId="56" fillId="2" borderId="0" pivotButton="0" quotePrefix="0" xfId="0"/>
    <xf numFmtId="0" fontId="41" fillId="2" borderId="0" pivotButton="0" quotePrefix="0" xfId="0"/>
    <xf numFmtId="168" fontId="48" fillId="6" borderId="2" applyAlignment="1" pivotButton="0" quotePrefix="0" xfId="0">
      <alignment horizontal="right"/>
    </xf>
    <xf numFmtId="168" fontId="46" fillId="0" borderId="0" applyAlignment="1" pivotButton="0" quotePrefix="0" xfId="0">
      <alignment horizontal="right"/>
    </xf>
    <xf numFmtId="168" fontId="45" fillId="0" borderId="0" applyAlignment="1" pivotButton="0" quotePrefix="0" xfId="0">
      <alignment horizontal="right"/>
    </xf>
    <xf numFmtId="168" fontId="51" fillId="2" borderId="0" applyAlignment="1" pivotButton="0" quotePrefix="0" xfId="0">
      <alignment horizontal="right"/>
    </xf>
    <xf numFmtId="168" fontId="45" fillId="2" borderId="0" applyAlignment="1" pivotButton="0" quotePrefix="0" xfId="0">
      <alignment horizontal="right"/>
    </xf>
    <xf numFmtId="0" fontId="57" fillId="0" borderId="0" pivotButton="0" quotePrefix="0" xfId="0"/>
    <xf numFmtId="173" fontId="45" fillId="0" borderId="0" applyAlignment="1" pivotButton="0" quotePrefix="0" xfId="0">
      <alignment horizontal="right"/>
    </xf>
    <xf numFmtId="173" fontId="45" fillId="2" borderId="0" applyAlignment="1" pivotButton="0" quotePrefix="0" xfId="0">
      <alignment horizontal="right"/>
    </xf>
    <xf numFmtId="186" fontId="45" fillId="2" borderId="0" applyAlignment="1" pivotButton="0" quotePrefix="0" xfId="0">
      <alignment horizontal="right"/>
    </xf>
    <xf numFmtId="186" fontId="51" fillId="2" borderId="0" applyAlignment="1" pivotButton="0" quotePrefix="0" xfId="0">
      <alignment horizontal="right"/>
    </xf>
    <xf numFmtId="174" fontId="45" fillId="0" borderId="0" applyAlignment="1" pivotButton="0" quotePrefix="0" xfId="0">
      <alignment horizontal="right"/>
    </xf>
    <xf numFmtId="174" fontId="51" fillId="2" borderId="0" applyAlignment="1" pivotButton="0" quotePrefix="0" xfId="0">
      <alignment horizontal="right"/>
    </xf>
    <xf numFmtId="174" fontId="45" fillId="2" borderId="0" applyAlignment="1" pivotButton="0" quotePrefix="0" xfId="0">
      <alignment horizontal="right"/>
    </xf>
    <xf numFmtId="0" fontId="58" fillId="0" borderId="0" pivotButton="0" quotePrefix="0" xfId="0"/>
    <xf numFmtId="166" fontId="48" fillId="6" borderId="2" applyAlignment="1" pivotButton="0" quotePrefix="0" xfId="0">
      <alignment horizontal="right"/>
    </xf>
    <xf numFmtId="173" fontId="48" fillId="6" borderId="2"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Commercial Airplanes Drivers: Deliveries vs. Revenue per Delivery, y/y %</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Charts!$C$8:$V$8</c:f>
            </c:numRef>
          </c:val>
          <c:extLst>
            <c:ext xmlns:c16="http://schemas.microsoft.com/office/drawing/2014/chart" uri="{C3380CC4-5D6E-409C-BE32-E72D297353CC}">
              <c16:uniqueId val="{00000000-FF49-44E0-9EFD-670A32200F47}"/>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Charts!$C$9:$V$9</c:f>
            </c:numRef>
          </c:val>
          <c:extLst>
            <c:ext xmlns:c16="http://schemas.microsoft.com/office/drawing/2014/chart" uri="{C3380CC4-5D6E-409C-BE32-E72D297353CC}">
              <c16:uniqueId val="{00000001-FF49-44E0-9EFD-670A32200F47}"/>
            </c:ext>
          </c:extLst>
        </c:ser>
        <c:dLbls>
          <c:showLegendKey val="0"/>
          <c:showVal val="0"/>
          <c:showCatName val="0"/>
          <c:showSerName val="0"/>
          <c:showPercent val="0"/>
          <c:showBubbleSize val="0"/>
        </c:dLbls>
        <c:gapWidth val="150"/>
        <c:overlap val="100"/>
        <c:axId val="20044735"/>
        <c:axId val="65342648"/>
      </c:barChart>
      <c:catAx>
        <c:axId val="200447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42648"/>
        <c:crosses val="autoZero"/>
        <c:auto val="1"/>
        <c:lblAlgn val="ctr"/>
        <c:lblOffset val="100"/>
        <c:noMultiLvlLbl val="0"/>
      </c:catAx>
      <c:valAx>
        <c:axId val="653426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447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EBITDA (model) &amp; Earnings from Operations (USDm)</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Charts!$C$12:$V$12</c:f>
            </c:numRef>
          </c:val>
          <c:extLst>
            <c:ext xmlns:c16="http://schemas.microsoft.com/office/drawing/2014/chart" uri="{C3380CC4-5D6E-409C-BE32-E72D297353CC}">
              <c16:uniqueId val="{00000000-70F1-4400-9151-F0905619F4D5}"/>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Charts!$C$13:$V$13</c:f>
            </c:numRef>
          </c:val>
          <c:extLst>
            <c:ext xmlns:c16="http://schemas.microsoft.com/office/drawing/2014/chart" uri="{C3380CC4-5D6E-409C-BE32-E72D297353CC}">
              <c16:uniqueId val="{00000001-70F1-4400-9151-F0905619F4D5}"/>
            </c:ext>
          </c:extLst>
        </c:ser>
        <c:dLbls>
          <c:showLegendKey val="0"/>
          <c:showVal val="0"/>
          <c:showCatName val="0"/>
          <c:showSerName val="0"/>
          <c:showPercent val="0"/>
          <c:showBubbleSize val="0"/>
        </c:dLbls>
        <c:gapWidth val="150"/>
        <c:axId val="22608424"/>
        <c:axId val="81960370"/>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Charts!$C$14:$V$14</c:f>
            </c:numRef>
          </c:val>
          <c:smooth val="1"/>
          <c:extLst>
            <c:ext xmlns:c16="http://schemas.microsoft.com/office/drawing/2014/chart" uri="{C3380CC4-5D6E-409C-BE32-E72D297353CC}">
              <c16:uniqueId val="{00000002-70F1-4400-9151-F0905619F4D5}"/>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Charts!$C$15:$V$15</c:f>
            </c:numRef>
          </c:val>
          <c:smooth val="1"/>
          <c:extLst>
            <c:ext xmlns:c16="http://schemas.microsoft.com/office/drawing/2014/chart" uri="{C3380CC4-5D6E-409C-BE32-E72D297353CC}">
              <c16:uniqueId val="{00000003-70F1-4400-9151-F0905619F4D5}"/>
            </c:ext>
          </c:extLst>
        </c:ser>
        <c:dLbls>
          <c:showLegendKey val="0"/>
          <c:showVal val="0"/>
          <c:showCatName val="0"/>
          <c:showSerName val="0"/>
          <c:showPercent val="0"/>
          <c:showBubbleSize val="0"/>
        </c:dLbls>
        <c:hiLowLines>
          <c:spPr>
            <a:ln w="0">
              <a:noFill/>
            </a:ln>
          </c:spPr>
        </c:hiLowLines>
        <c:marker val="1"/>
        <c:smooth val="0"/>
        <c:axId val="99874911"/>
        <c:axId val="65694817"/>
      </c:lineChart>
      <c:catAx>
        <c:axId val="226084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60370"/>
        <c:crosses val="autoZero"/>
        <c:auto val="1"/>
        <c:lblAlgn val="ctr"/>
        <c:lblOffset val="100"/>
        <c:noMultiLvlLbl val="0"/>
      </c:catAx>
      <c:valAx>
        <c:axId val="81960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608424"/>
        <c:crosses val="autoZero"/>
        <c:crossBetween val="between"/>
      </c:valAx>
      <c:catAx>
        <c:axId val="998749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4817"/>
        <c:crosses val="autoZero"/>
        <c:auto val="1"/>
        <c:lblAlgn val="ctr"/>
        <c:lblOffset val="100"/>
        <c:noMultiLvlLbl val="0"/>
      </c:catAx>
      <c:valAx>
        <c:axId val="6569481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491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Returns Profile: ROIC, RONTA, Adjusted EBITDA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Charts!$C$18:$V$18</c:f>
            </c:numRef>
          </c:val>
          <c:smooth val="1"/>
          <c:extLst>
            <c:ext xmlns:c16="http://schemas.microsoft.com/office/drawing/2014/chart" uri="{C3380CC4-5D6E-409C-BE32-E72D297353CC}">
              <c16:uniqueId val="{00000000-D2EB-4AF7-A066-6A1A3BE056BF}"/>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Charts!$C$19:$V$19</c:f>
            </c:numRef>
          </c:val>
          <c:smooth val="1"/>
          <c:extLst>
            <c:ext xmlns:c16="http://schemas.microsoft.com/office/drawing/2014/chart" uri="{C3380CC4-5D6E-409C-BE32-E72D297353CC}">
              <c16:uniqueId val="{00000001-D2EB-4AF7-A066-6A1A3BE056BF}"/>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Charts!$C$20:$V$20</c:f>
            </c:numRef>
          </c:val>
          <c:smooth val="1"/>
          <c:extLst>
            <c:ext xmlns:c16="http://schemas.microsoft.com/office/drawing/2014/chart" uri="{C3380CC4-5D6E-409C-BE32-E72D297353CC}">
              <c16:uniqueId val="{00000002-D2EB-4AF7-A066-6A1A3BE056BF}"/>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Charts!$C$21:$V$21</c:f>
            </c:numRef>
          </c:val>
          <c:smooth val="1"/>
          <c:extLst>
            <c:ext xmlns:c16="http://schemas.microsoft.com/office/drawing/2014/chart" uri="{C3380CC4-5D6E-409C-BE32-E72D297353CC}">
              <c16:uniqueId val="{00000003-D2EB-4AF7-A066-6A1A3BE056BF}"/>
            </c:ext>
          </c:extLst>
        </c:ser>
        <c:dLbls>
          <c:showLegendKey val="0"/>
          <c:showVal val="0"/>
          <c:showCatName val="0"/>
          <c:showSerName val="0"/>
          <c:showPercent val="0"/>
          <c:showBubbleSize val="0"/>
        </c:dLbls>
        <c:hiLowLines>
          <c:spPr>
            <a:ln w="0">
              <a:noFill/>
            </a:ln>
          </c:spPr>
        </c:hiLowLines>
        <c:smooth val="0"/>
        <c:axId val="27004353"/>
        <c:axId val="61682655"/>
      </c:lineChart>
      <c:catAx>
        <c:axId val="270043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682655"/>
        <c:crosses val="autoZero"/>
        <c:auto val="1"/>
        <c:lblAlgn val="ctr"/>
        <c:lblOffset val="100"/>
        <c:noMultiLvlLbl val="0"/>
      </c:catAx>
      <c:valAx>
        <c:axId val="616826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04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BA model</author>
  </authors>
  <commentList>
    <comment ref="CG2" authorId="0" shapeId="0">
      <text>
        <t>Scenario toggle. Choose Bull / Base / Bear. Drives: 2026 delivery, BDS / BGS margin and free-cash-flow end-points (high / mid / low; UNVERIFIED call statements), 2H26 BCA margin, 2027E–2031E deliveries by program, revenue per delivery, segment growth and margins, M&amp;A and the leverage target for 2027E+ buybacks (scenario table CO:CS).</t>
      </text>
    </comment>
    <comment ref="B12" authorId="0" shapeId="0">
      <text>
        <t>Source: Boeing earnings releases (Form 8-K Item 2.02, Ex. 99.1) — deliveries table (commercial airplanes by program; footnote markers ignored). 737 = 737 Next-Generation to 2017, 737 NG + MAX from 2017.</t>
      </text>
    </comment>
    <comment ref="B24" authorId="0" shapeId="0">
      <text>
        <t>Source: Boeing earnings releases (Form 8-K Item 2.02, Ex. 99.1) — segment revenues and earnings from operations (as originally reported; Global Services formed Q3-17 with services moved out of BCA / BDS; 2019 realignment not recast).</t>
      </text>
    </comment>
    <comment ref="AF24" authorId="0" shapeId="0">
      <text>
        <t>Q3-17: Global Services formed — commercial services moved out of BCA (and government services out of BDS). Q1/Q2-17 columns are as originally reported on the prior structure.</t>
      </text>
    </comment>
    <comment ref="G33" authorId="0" shapeId="0">
      <text>
        <t>2010–11 releases print BMA / N&amp;SS / GS&amp;S without a BDS total; the total is the sum (no estimate).</t>
      </text>
    </comment>
    <comment ref="H33" authorId="0" shapeId="0">
      <text>
        <t>Sum of sub-segments (no total printed).</t>
      </text>
    </comment>
    <comment ref="B41" authorId="0" shapeId="0">
      <text>
        <t>Source: Boeing earnings releases (Form 8-K Item 2.02, Ex. 99.1) — segment table sub-segments (Integrated Defense Systems / Defense, Space &amp; Security).</t>
      </text>
    </comment>
    <comment ref="BU51" authorId="0" shapeId="0">
      <text>
        <t>Q4-25 includes the $9.6bn pre-tax gain on the Digital Aviation Solutions divestiture (closed 31-Oct-2025).</t>
      </text>
    </comment>
    <comment ref="B65" authorId="0" shapeId="0">
      <text>
        <t>Source: Boeing earnings releases (Form 8-K Item 2.02, Ex. 99.1) — unallocated items, eliminations and other detail table (share-based plans, deferred compensation, capitalized interest, pension, postretirement, eliminations).</t>
      </text>
    </comment>
    <comment ref="B67" authorId="0" shapeId="0">
      <text>
        <t>Source: Boeing earnings releases (Form 8-K Item 2.02, Ex. 99.1) — segment table (FAS/CAS service cost adjustment, 2018+) and the unallocated items detail (pension / postretirement, to 2017).</t>
      </text>
    </comment>
    <comment ref="B117" authorId="0" shapeId="0">
      <text>
        <t>Source: Boeing earnings releases (Form 8-K Item 2.02, Ex. 99.1) — consolidated statements of operations, as originally reported (2016–17 ASC 606 / ASU 2017-07 restatements in the 2018 releases are not recast).</t>
      </text>
    </comment>
    <comment ref="BU150" authorId="0" shapeId="0">
      <text>
        <t>Q4-25 diluted EPS ($10.23) is on the if-converted basis for the mandatory convertible preferred: net earnings attributable ($8,220m) ÷ 803.8m shares (release).</t>
      </text>
    </comment>
    <comment ref="B151" authorId="0" shapeId="0">
      <text>
        <t>Source: Boeing earnings releases (Form 8-K Item 2.02, Ex. 99.1) — statements of operations / core reconciliation (diluted weighted average shares; loss periods: diluted = basic).</t>
      </text>
    </comment>
    <comment ref="C155" authorId="0" shapeId="0">
      <text>
        <t>n/c: the FY2006 release prints diluted EPS $2.85, while net earnings $2,215m ÷ the 787.6m diluted shares shown = $2.81 (the presented share count is not the EPS denominator). Carried as published; documented exception.</t>
      </text>
    </comment>
    <comment ref="B163" authorId="0" shapeId="0">
      <text>
        <t>Source: Boeing earnings releases (Form 8-K Item 2.02, Ex. 99.1) — Table 1 summary and "Reconciliation of Non-GAAP Measures" (core operating earnings; FY2011 from the Q4-2012 release comparative).</t>
      </text>
    </comment>
    <comment ref="C165" authorId="0" shapeId="0">
      <text>
        <t>The 2006–07 releases published "adjusted EPS" on a different basis (e.g. FY2006 $3.62, excluding tax benefits and other items); not carried.</t>
      </text>
    </comment>
    <comment ref="H165" authorId="0" shapeId="0">
      <text>
        <t>Core operating earnings, core operating margin and core EPS were first published in the Q4-2012 release (30-Jan-2013) with FY2011 comparatives.</t>
      </text>
    </comment>
    <comment ref="AM165" authorId="0" shapeId="0">
      <text>
        <t>Q1-2018 release: 2017 restated on the new definition (FY2017 core EPS $12.33 vs $12.04 as originally published); the model keeps the originally published 2017 figures.</t>
      </text>
    </comment>
    <comment ref="B197" authorId="0" shapeId="0">
      <text>
        <t>Source: Boeing earnings releases (Form 8-K Item 2.02, Ex. 99.1) — core EPS reconciliation (published from the Q4-2012 release, FY2011 comparative).</t>
      </text>
    </comment>
    <comment ref="AV198" authorId="0" shapeId="0">
      <text>
        <t>Q4-20: published core EPS $(15.25) vs model $(15.23) (per-share items rounded in the release); within the ±0.025 tolerance stated in the label.</t>
      </text>
    </comment>
    <comment ref="B221" authorId="0" shapeId="0">
      <text>
        <t>Source: Boeing earnings releases (Form 8-K Item 2.02, Ex. 99.1) — consolidated statements of cash flows (year to date; discrete quarters derived: Q2 = H1 − Q1, Q3 = 9M − H1, Q4 = FY − 9M).</t>
      </text>
    </comment>
    <comment ref="B251" authorId="0" shapeId="0">
      <text>
        <t>Source: Boeing earnings releases (Form 8-K Item 2.02, Ex. 99.1) — Table 2 "Cash Flow" (free cash flow = operating cash flow − additions to PP&amp;E).</t>
      </text>
    </comment>
    <comment ref="B276" authorId="0" shapeId="0">
      <text>
        <t>Source: Boeing earnings releases (Form 8-K Item 2.02, Ex. 99.1) — consolidated statements of financial position; shares outstanding = 1,012,261,159 issued − treasury shares (caption; XBRL TreasuryStockCommonShares for 2017–19 year ends).</t>
      </text>
    </comment>
    <comment ref="B324" authorId="0" shapeId="0">
      <text>
        <t>Source: FY2025 10-K Note 2 (Spirit Acquisition, preliminary purchase-price allocation).</t>
      </text>
    </comment>
    <comment ref="B341" authorId="0" shapeId="0">
      <text>
        <t>Source: release balance sheets; FY2025 10-K debt note (scheduled principal payments); Q2-26 10-Q liquidity section.</t>
      </text>
    </comment>
  </commentList>
</comments>
</file>

<file path=xl/comments/comment2.xml><?xml version="1.0" encoding="utf-8"?>
<comments xmlns="http://schemas.openxmlformats.org/spreadsheetml/2006/main">
  <authors>
    <author>BA model</author>
  </authors>
  <commentList>
    <comment ref="N26" authorId="0" shapeId="0">
      <text>
        <t xml:space="preserve">P/E on core EPS (company definition). At $185 Boeing trades on depressed 2026E–27E core EPS (loss / break-even), so the P/E is applied to 2029E–31E earnings only. Exit multiples are assumptions: Base 30x, Bull 34x, Bear 22x (2015–18 core P/E ~15–25x at peak margins; recovery-stage premium). </t>
      </text>
    </comment>
    <comment ref="P40" authorId="0" shapeId="0">
      <text>
        <t>Snapshot (values) of Model rows 264, 263 and 265 (Share Buyback Schedule) with Model!CG2 = Bull / Bear. Base panel (D40:H42) is live-linked.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43</row>
      <rowOff>160560</rowOff>
    </from>
    <to>
      <col>12</col>
      <colOff>543600</colOff>
      <row>58</row>
      <rowOff>1800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64</row>
      <rowOff>160560</rowOff>
    </from>
    <to>
      <col>12</col>
      <colOff>543600</colOff>
      <row>79</row>
      <rowOff>2160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S411"/>
  <sheetViews>
    <sheetView showGridLines="0" tabSelected="1" zoomScale="70" zoomScaleNormal="70" workbookViewId="0">
      <pane xSplit="2" ySplit="7" topLeftCell="C8" activePane="bottomRight" state="frozen"/>
      <selection pane="topRight" activeCell="A1" sqref="A1"/>
      <selection pane="bottomLeft" activeCell="A1" sqref="A1"/>
      <selection pane="bottomRight" activeCell="C1" sqref="C1"/>
      <selection pane="bottomLeft" activeCell="A8" sqref="A8"/>
      <selection pane="bottomRight" activeCell="CA164" sqref="CA164"/>
    </sheetView>
  </sheetViews>
  <sheetFormatPr baseColWidth="8" defaultColWidth="8.5703125" defaultRowHeight="15" outlineLevelRow="2"/>
  <cols>
    <col width="2.42578125" customWidth="1" style="251" min="1" max="1"/>
    <col width="62" customWidth="1" style="251" min="2" max="2"/>
    <col width="13" customWidth="1" style="251" min="3" max="3"/>
    <col width="13" customWidth="1" style="251" min="4" max="4"/>
    <col width="13" customWidth="1" style="251" min="5" max="5"/>
    <col width="13" customWidth="1" style="251" min="6" max="6"/>
    <col width="13" customWidth="1" style="251" min="7" max="7"/>
    <col width="13" customWidth="1" style="251" min="8" max="8"/>
    <col width="13" customWidth="1" style="251" min="9" max="9"/>
    <col hidden="1" outlineLevel="1" width="9.5703125" customWidth="1" style="251" min="10" max="10"/>
    <col hidden="1" outlineLevel="1" width="9.5703125" customWidth="1" style="251" min="11" max="11"/>
    <col hidden="1" outlineLevel="1" width="9.5703125" customWidth="1" style="251" min="12" max="12"/>
    <col hidden="1" outlineLevel="1" width="9.5703125" customWidth="1" style="251" min="13" max="13"/>
    <col width="13" customWidth="1" style="251" min="14" max="14"/>
    <col hidden="1" outlineLevel="1" width="9.5703125" customWidth="1" style="251" min="15" max="15"/>
    <col hidden="1" outlineLevel="1" width="9.5703125" customWidth="1" style="251" min="16" max="16"/>
    <col hidden="1" outlineLevel="1" width="9.5703125" customWidth="1" style="251" min="17" max="17"/>
    <col hidden="1" outlineLevel="1" width="9.5703125" customWidth="1" style="251" min="18" max="18"/>
    <col width="13" customWidth="1" style="251" min="19" max="19"/>
    <col hidden="1" outlineLevel="1" width="9.5703125" customWidth="1" style="251" min="20" max="20"/>
    <col hidden="1" outlineLevel="1" width="9.5703125" customWidth="1" style="251" min="21" max="21"/>
    <col hidden="1" outlineLevel="1" width="9.5703125" customWidth="1" style="251" min="22" max="22"/>
    <col hidden="1" outlineLevel="1" width="9.5703125" customWidth="1" style="251" min="23" max="23"/>
    <col width="13" customWidth="1" style="251" min="24" max="24"/>
    <col hidden="1" outlineLevel="1" width="9.5703125" customWidth="1" style="251" min="25" max="25"/>
    <col hidden="1" outlineLevel="1" width="9.5703125" customWidth="1" style="251" min="26" max="26"/>
    <col hidden="1" outlineLevel="1" width="9.5703125" customWidth="1" style="251" min="27" max="27"/>
    <col hidden="1" outlineLevel="1" width="9.5703125" customWidth="1" style="251" min="28" max="28"/>
    <col width="13" customWidth="1" style="251" min="29" max="29"/>
    <col hidden="1" outlineLevel="1" width="9.5703125" customWidth="1" style="251" min="30" max="30"/>
    <col hidden="1" outlineLevel="1" width="9.5703125" customWidth="1" style="251" min="31" max="31"/>
    <col hidden="1" outlineLevel="1" width="9.5703125" customWidth="1" style="251" min="32" max="32"/>
    <col hidden="1" outlineLevel="1" width="9.5703125" customWidth="1" style="251" min="33" max="33"/>
    <col width="13" customWidth="1" style="251" min="34" max="34"/>
    <col hidden="1" outlineLevel="1" width="9.5703125" customWidth="1" style="251" min="35" max="35"/>
    <col hidden="1" outlineLevel="1" width="9.5703125" customWidth="1" style="251" min="36" max="36"/>
    <col hidden="1" outlineLevel="1" width="9.5703125" customWidth="1" style="251" min="37" max="37"/>
    <col hidden="1" outlineLevel="1" width="9.5703125" customWidth="1" style="251" min="38" max="38"/>
    <col width="13" customWidth="1" style="251" min="39" max="39"/>
    <col hidden="1" outlineLevel="1" width="9.5703125" customWidth="1" style="251" min="40" max="40"/>
    <col hidden="1" outlineLevel="1" width="9.5703125" customWidth="1" style="251" min="41" max="41"/>
    <col hidden="1" outlineLevel="1" width="9.5703125" customWidth="1" style="251" min="42" max="42"/>
    <col hidden="1" outlineLevel="1" width="9.5703125" customWidth="1" style="251" min="43" max="43"/>
    <col width="13" customWidth="1" style="251" min="44" max="44"/>
    <col hidden="1" outlineLevel="1" width="9.5703125" customWidth="1" style="251" min="45" max="45"/>
    <col hidden="1" outlineLevel="1" width="9.5703125" customWidth="1" style="251" min="46" max="46"/>
    <col hidden="1" outlineLevel="1" width="9.5703125" customWidth="1" style="251" min="47" max="47"/>
    <col hidden="1" outlineLevel="1" width="9.5703125" customWidth="1" style="251" min="48" max="48"/>
    <col width="13" customWidth="1" style="251" min="49" max="49"/>
    <col hidden="1" outlineLevel="1" width="9.5703125" customWidth="1" style="251" min="50" max="50"/>
    <col hidden="1" outlineLevel="1" width="9.5703125" customWidth="1" style="251" min="51" max="51"/>
    <col hidden="1" outlineLevel="1" width="9.5703125" customWidth="1" style="251" min="52" max="52"/>
    <col hidden="1" outlineLevel="1" width="9.5703125" customWidth="1" style="251" min="53" max="53"/>
    <col width="13" customWidth="1" style="251" min="54" max="54"/>
    <col hidden="1" outlineLevel="1" width="9.5703125" customWidth="1" style="251" min="55" max="55"/>
    <col hidden="1" outlineLevel="1" width="9.5703125" customWidth="1" style="251" min="56" max="56"/>
    <col hidden="1" outlineLevel="1" width="9.5703125" customWidth="1" style="251" min="57" max="57"/>
    <col hidden="1" outlineLevel="1" width="9.5703125" customWidth="1" style="251" min="58" max="58"/>
    <col width="13" customWidth="1" style="251" min="59" max="59"/>
    <col hidden="1" outlineLevel="1" width="9.5703125" customWidth="1" style="251" min="60" max="60"/>
    <col hidden="1" outlineLevel="1" width="9.5703125" customWidth="1" style="251" min="61" max="61"/>
    <col hidden="1" outlineLevel="1" width="9.5703125" customWidth="1" style="251" min="62" max="62"/>
    <col hidden="1" outlineLevel="1" width="9.5703125" customWidth="1" style="251" min="63" max="63"/>
    <col width="13" customWidth="1" style="251" min="64" max="64"/>
    <col hidden="1" outlineLevel="1" width="9.5703125" customWidth="1" style="251" min="65" max="65"/>
    <col hidden="1" outlineLevel="1" width="9.5703125" customWidth="1" style="251" min="66" max="66"/>
    <col hidden="1" outlineLevel="1" width="9.5703125" customWidth="1" style="251" min="67" max="67"/>
    <col hidden="1" outlineLevel="1" width="9.5703125" customWidth="1" style="251" min="68" max="68"/>
    <col width="13" customWidth="1" style="251" min="69" max="69"/>
    <col hidden="1" outlineLevel="1" width="9.5703125" customWidth="1" style="251" min="70" max="70"/>
    <col hidden="1" outlineLevel="1" width="9.5703125" customWidth="1" style="251" min="71" max="71"/>
    <col hidden="1" outlineLevel="1" width="9.5703125" customWidth="1" style="251" min="72" max="72"/>
    <col hidden="1" outlineLevel="1" width="9.5703125" customWidth="1" style="251" min="73" max="73"/>
    <col width="13" customWidth="1" style="251" min="74" max="74"/>
    <col hidden="1" outlineLevel="1" width="9.5703125" customWidth="1" style="251" min="75" max="75"/>
    <col hidden="1" outlineLevel="1" width="9.5703125" customWidth="1" style="251" min="76" max="76"/>
    <col hidden="1" outlineLevel="1" width="11.42578125" customWidth="1" style="251" min="77" max="77"/>
    <col hidden="1" outlineLevel="1" width="11.42578125" customWidth="1" style="251" min="78" max="78"/>
    <col width="14.140625" customWidth="1" style="251" min="79" max="79"/>
    <col width="13" customWidth="1" style="251" min="80" max="80"/>
    <col width="13" customWidth="1" style="251" min="81" max="81"/>
    <col width="13" customWidth="1" style="251" min="82" max="82"/>
    <col width="13" customWidth="1" style="251" min="83" max="83"/>
    <col width="13" customWidth="1" style="251" min="84" max="84"/>
    <col width="86.85546875" customWidth="1" style="251" min="85" max="85"/>
    <col width="2" customWidth="1" style="251" min="86" max="86"/>
    <col width="14.140625" customWidth="1" style="251" min="87" max="87"/>
    <col width="12.42578125" customWidth="1" style="251" min="88" max="88"/>
    <col width="13.42578125" customWidth="1" style="251" min="89" max="89"/>
    <col width="13" customWidth="1" style="251" min="90" max="90"/>
    <col width="2" customWidth="1" style="251" min="91" max="91"/>
    <col width="6" customWidth="1" style="251" min="92" max="92"/>
    <col width="46" customWidth="1" style="251" min="93" max="93"/>
    <col width="11.5703125" customWidth="1" style="251" min="94" max="94"/>
    <col width="13" customWidth="1" style="251" min="95" max="95"/>
    <col width="13" customWidth="1" style="251" min="96" max="96"/>
    <col width="60" customWidth="1" style="251" min="97" max="97"/>
  </cols>
  <sheetData>
    <row r="1" ht="15" customHeight="1" s="251">
      <c r="CG1" s="1" t="inlineStr">
        <is>
          <t>SCENARIO SWITCH ▼ (Bull / Base / Bear) — drives all scenario-linked forecast drivers</t>
        </is>
      </c>
    </row>
    <row r="2" ht="21" customHeight="1" s="251">
      <c r="B2" s="2" t="inlineStr">
        <is>
          <t>The Boeing Company (NYSE: BA) — 3-Statement Financial Model</t>
        </is>
      </c>
      <c r="CG2" s="3" t="inlineStr">
        <is>
          <t>Base</t>
        </is>
      </c>
    </row>
    <row r="3" ht="15" customHeight="1" s="251">
      <c r="B3" s="4" t="inlineStr">
        <is>
          <t>US GAAP as reported · USD millions (per-share data in USD; shares and deliveries in millions / units) · Fiscal years ended 31 December · Source: Boeing Forms 10-K / 10-Q, Form 8-K earnings releases (Ex. 99.1) and deal / financing filings, SEC EDGAR (CIK 0000012927); XBRL company facts for cross-checks; investor-relations releases at boeing.com are the same documents as filed on EDGAR. 2026 outlook figures are UNVERIFIED call statements (not in EDGAR filings)</t>
        </is>
      </c>
    </row>
    <row r="4" ht="15" customHeight="1" s="251">
      <c r="B4" s="5" t="inlineStr">
        <is>
          <t>Basis notes: as originally reported in each period's release. Segments: BCA, IDS→BDS (2010), BCC (to 2022), Other (to 2013); Global Services formed Q3-17; 2018 adoption of ASC 606 (2016–17 restated, not recast here) and ASU 2017-07 (FAS/CAS line; core definition change). Deals: Spirit AeroSystems acquired 8-Dec-25; Digital Aviation Solutions sold 31-Oct-25; Oct-24 equity raise ($18.2bn common + $5.75bn 6% mandatory convertible preferred, converts Oct-27). Q3/Q4-26E calibrated to 2026 delivery, BDS / BGS margin and FCF end-points (UNVERIFIED).</t>
        </is>
      </c>
    </row>
    <row r="5" ht="15" customHeight="1" s="251">
      <c r="BY5" s="153" t="n"/>
      <c r="BZ5" s="153" t="n"/>
      <c r="CA5" s="153" t="n"/>
      <c r="CB5" s="153" t="n"/>
      <c r="CC5" s="153" t="n"/>
      <c r="CD5" s="153" t="n"/>
      <c r="CE5" s="153" t="n"/>
      <c r="CF5" s="153" t="n"/>
      <c r="CI5" s="6" t="inlineStr">
        <is>
          <t>Forecast</t>
        </is>
      </c>
      <c r="CJ5" s="6" t="inlineStr">
        <is>
          <t>Historical</t>
        </is>
      </c>
      <c r="CK5" s="6" t="inlineStr">
        <is>
          <t>Historical</t>
        </is>
      </c>
      <c r="CL5" s="6" t="inlineStr">
        <is>
          <t>Historical</t>
        </is>
      </c>
    </row>
    <row r="6" ht="15" customHeight="1" s="251">
      <c r="B6" s="7" t="inlineStr">
        <is>
          <t>(USDm)</t>
        </is>
      </c>
      <c r="C6" s="8" t="n">
        <v>2006</v>
      </c>
      <c r="D6" s="8" t="n">
        <v>2007</v>
      </c>
      <c r="E6" s="8" t="n">
        <v>2008</v>
      </c>
      <c r="F6" s="8" t="n">
        <v>2009</v>
      </c>
      <c r="G6" s="8" t="n">
        <v>2010</v>
      </c>
      <c r="H6" s="8" t="n">
        <v>2011</v>
      </c>
      <c r="I6" s="8" t="n">
        <v>2012</v>
      </c>
      <c r="J6" s="8" t="inlineStr">
        <is>
          <t>Q1/13</t>
        </is>
      </c>
      <c r="K6" s="8" t="inlineStr">
        <is>
          <t>Q2/13</t>
        </is>
      </c>
      <c r="L6" s="8" t="inlineStr">
        <is>
          <t>Q3/13</t>
        </is>
      </c>
      <c r="M6" s="8" t="inlineStr">
        <is>
          <t>Q4/13</t>
        </is>
      </c>
      <c r="N6" s="8" t="n">
        <v>2013</v>
      </c>
      <c r="O6" s="8" t="inlineStr">
        <is>
          <t>Q1/14</t>
        </is>
      </c>
      <c r="P6" s="8" t="inlineStr">
        <is>
          <t>Q2/14</t>
        </is>
      </c>
      <c r="Q6" s="8" t="inlineStr">
        <is>
          <t>Q3/14</t>
        </is>
      </c>
      <c r="R6" s="8" t="inlineStr">
        <is>
          <t>Q4/14</t>
        </is>
      </c>
      <c r="S6" s="8" t="n">
        <v>2014</v>
      </c>
      <c r="T6" s="8" t="inlineStr">
        <is>
          <t>Q1/15</t>
        </is>
      </c>
      <c r="U6" s="8" t="inlineStr">
        <is>
          <t>Q2/15</t>
        </is>
      </c>
      <c r="V6" s="8" t="inlineStr">
        <is>
          <t>Q3/15</t>
        </is>
      </c>
      <c r="W6" s="8" t="inlineStr">
        <is>
          <t>Q4/15</t>
        </is>
      </c>
      <c r="X6" s="8" t="n">
        <v>2015</v>
      </c>
      <c r="Y6" s="8" t="inlineStr">
        <is>
          <t>Q1/16</t>
        </is>
      </c>
      <c r="Z6" s="8" t="inlineStr">
        <is>
          <t>Q2/16</t>
        </is>
      </c>
      <c r="AA6" s="8" t="inlineStr">
        <is>
          <t>Q3/16</t>
        </is>
      </c>
      <c r="AB6" s="8" t="inlineStr">
        <is>
          <t>Q4/16</t>
        </is>
      </c>
      <c r="AC6" s="8" t="n">
        <v>2016</v>
      </c>
      <c r="AD6" s="8" t="inlineStr">
        <is>
          <t>Q1/17</t>
        </is>
      </c>
      <c r="AE6" s="8" t="inlineStr">
        <is>
          <t>Q2/17</t>
        </is>
      </c>
      <c r="AF6" s="8" t="inlineStr">
        <is>
          <t>Q3/17</t>
        </is>
      </c>
      <c r="AG6" s="8" t="inlineStr">
        <is>
          <t>Q4/17</t>
        </is>
      </c>
      <c r="AH6" s="8" t="n">
        <v>2017</v>
      </c>
      <c r="AI6" s="8" t="inlineStr">
        <is>
          <t>Q1/18</t>
        </is>
      </c>
      <c r="AJ6" s="8" t="inlineStr">
        <is>
          <t>Q2/18</t>
        </is>
      </c>
      <c r="AK6" s="8" t="inlineStr">
        <is>
          <t>Q3/18</t>
        </is>
      </c>
      <c r="AL6" s="8" t="inlineStr">
        <is>
          <t>Q4/18</t>
        </is>
      </c>
      <c r="AM6" s="8" t="n">
        <v>2018</v>
      </c>
      <c r="AN6" s="8" t="inlineStr">
        <is>
          <t>Q1/19</t>
        </is>
      </c>
      <c r="AO6" s="8" t="inlineStr">
        <is>
          <t>Q2/19</t>
        </is>
      </c>
      <c r="AP6" s="8" t="inlineStr">
        <is>
          <t>Q3/19</t>
        </is>
      </c>
      <c r="AQ6" s="8" t="inlineStr">
        <is>
          <t>Q4/19</t>
        </is>
      </c>
      <c r="AR6" s="8" t="n">
        <v>2019</v>
      </c>
      <c r="AS6" s="8" t="inlineStr">
        <is>
          <t>Q1/20</t>
        </is>
      </c>
      <c r="AT6" s="8" t="inlineStr">
        <is>
          <t>Q2/20</t>
        </is>
      </c>
      <c r="AU6" s="8" t="inlineStr">
        <is>
          <t>Q3/20</t>
        </is>
      </c>
      <c r="AV6" s="8" t="inlineStr">
        <is>
          <t>Q4/20</t>
        </is>
      </c>
      <c r="AW6" s="8" t="n">
        <v>2020</v>
      </c>
      <c r="AX6" s="8" t="inlineStr">
        <is>
          <t>Q1/21</t>
        </is>
      </c>
      <c r="AY6" s="8" t="inlineStr">
        <is>
          <t>Q2/21</t>
        </is>
      </c>
      <c r="AZ6" s="8" t="inlineStr">
        <is>
          <t>Q3/21</t>
        </is>
      </c>
      <c r="BA6" s="8" t="inlineStr">
        <is>
          <t>Q4/21</t>
        </is>
      </c>
      <c r="BB6" s="8" t="n">
        <v>2021</v>
      </c>
      <c r="BC6" s="8" t="inlineStr">
        <is>
          <t>Q1/22</t>
        </is>
      </c>
      <c r="BD6" s="8" t="inlineStr">
        <is>
          <t>Q2/22</t>
        </is>
      </c>
      <c r="BE6" s="8" t="inlineStr">
        <is>
          <t>Q3/22</t>
        </is>
      </c>
      <c r="BF6" s="8" t="inlineStr">
        <is>
          <t>Q4/22</t>
        </is>
      </c>
      <c r="BG6" s="8" t="n">
        <v>2022</v>
      </c>
      <c r="BH6" s="8" t="inlineStr">
        <is>
          <t>Q1/23</t>
        </is>
      </c>
      <c r="BI6" s="8" t="inlineStr">
        <is>
          <t>Q2/23</t>
        </is>
      </c>
      <c r="BJ6" s="8" t="inlineStr">
        <is>
          <t>Q3/23</t>
        </is>
      </c>
      <c r="BK6" s="8" t="inlineStr">
        <is>
          <t>Q4/23</t>
        </is>
      </c>
      <c r="BL6" s="8" t="n">
        <v>2023</v>
      </c>
      <c r="BM6" s="8" t="inlineStr">
        <is>
          <t>Q1/24</t>
        </is>
      </c>
      <c r="BN6" s="8" t="inlineStr">
        <is>
          <t>Q2/24</t>
        </is>
      </c>
      <c r="BO6" s="8" t="inlineStr">
        <is>
          <t>Q3/24</t>
        </is>
      </c>
      <c r="BP6" s="8" t="inlineStr">
        <is>
          <t>Q4/24</t>
        </is>
      </c>
      <c r="BQ6" s="8" t="n">
        <v>2024</v>
      </c>
      <c r="BR6" s="8" t="inlineStr">
        <is>
          <t>Q1/25</t>
        </is>
      </c>
      <c r="BS6" s="8" t="inlineStr">
        <is>
          <t>Q2/25</t>
        </is>
      </c>
      <c r="BT6" s="8" t="inlineStr">
        <is>
          <t>Q3/25</t>
        </is>
      </c>
      <c r="BU6" s="8" t="inlineStr">
        <is>
          <t>Q4/25</t>
        </is>
      </c>
      <c r="BV6" s="8" t="n">
        <v>2025</v>
      </c>
      <c r="BW6" s="8" t="inlineStr">
        <is>
          <t>Q1/26</t>
        </is>
      </c>
      <c r="BX6" s="8" t="inlineStr">
        <is>
          <t>Q2/26</t>
        </is>
      </c>
      <c r="BY6" s="8" t="inlineStr">
        <is>
          <t>Q3/26E</t>
        </is>
      </c>
      <c r="BZ6" s="8" t="inlineStr">
        <is>
          <t>Q4/26E</t>
        </is>
      </c>
      <c r="CA6" s="8" t="inlineStr">
        <is>
          <t>2026E</t>
        </is>
      </c>
      <c r="CB6" s="8" t="inlineStr">
        <is>
          <t>2027E</t>
        </is>
      </c>
      <c r="CC6" s="8" t="inlineStr">
        <is>
          <t>2028E</t>
        </is>
      </c>
      <c r="CD6" s="8" t="inlineStr">
        <is>
          <t>2029E</t>
        </is>
      </c>
      <c r="CE6" s="8" t="inlineStr">
        <is>
          <t>2030E</t>
        </is>
      </c>
      <c r="CF6" s="8" t="inlineStr">
        <is>
          <t>2031E</t>
        </is>
      </c>
      <c r="CG6" s="8" t="inlineStr">
        <is>
          <t>Modelling Notes</t>
        </is>
      </c>
      <c r="CI6" s="6" t="inlineStr">
        <is>
          <t>5Y CAGR</t>
        </is>
      </c>
      <c r="CJ6" s="6" t="inlineStr">
        <is>
          <t>5Y CAGR</t>
        </is>
      </c>
      <c r="CK6" s="6" t="inlineStr">
        <is>
          <t>10Y CAGR</t>
        </is>
      </c>
      <c r="CL6" s="6" t="inlineStr">
        <is>
          <t>19Y CAGR</t>
        </is>
      </c>
    </row>
    <row r="7" ht="15" customHeight="1" s="251">
      <c r="CI7" s="9" t="inlineStr">
        <is>
          <t>26-'31</t>
        </is>
      </c>
      <c r="CJ7" s="9" t="inlineStr">
        <is>
          <t>20-'25</t>
        </is>
      </c>
      <c r="CK7" s="9" t="inlineStr">
        <is>
          <t>15-'25</t>
        </is>
      </c>
      <c r="CL7" s="9" t="inlineStr">
        <is>
          <t>06-'25</t>
        </is>
      </c>
    </row>
    <row r="8" ht="15" customHeight="1" s="251">
      <c r="B8" s="10" t="inlineStr">
        <is>
          <t>SEGMENT P&amp;L — COMMERCIAL AIRPLANES (deliveries × revenue per delivery) · DEFENSE, SPACE &amp; SECURITY · GLOBAL SERVICES → CORE OPERATING EARNINGS</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10" t="n"/>
      <c r="BZ8" s="10" t="n"/>
      <c r="CA8" s="10" t="n"/>
      <c r="CB8" s="10" t="n"/>
      <c r="CC8" s="10" t="n"/>
      <c r="CD8" s="10" t="n"/>
      <c r="CE8" s="10" t="n"/>
      <c r="CF8" s="10" t="n"/>
      <c r="CG8" s="10" t="inlineStr">
        <is>
          <t>SEGMENT BUILD — modelling logic (BCA deliveries × revenue per delivery × margin; BDS / BGS growth × margin; + unallocated items (core basis) = core operating earnings; + FAS/CAS service cost adjustment = earnings from operations)</t>
        </is>
      </c>
    </row>
    <row r="9" ht="15" customHeight="1" s="251">
      <c r="CO9" s="11" t="inlineStr">
        <is>
          <t>SCENARIO INPUT TABLE — driver assumptions per Bull / Base / Bear</t>
        </is>
      </c>
      <c r="CP9" s="12" t="inlineStr">
        <is>
          <t>Bull</t>
        </is>
      </c>
      <c r="CQ9" s="12" t="inlineStr">
        <is>
          <t>Base</t>
        </is>
      </c>
      <c r="CR9" s="12" t="inlineStr">
        <is>
          <t>Bear</t>
        </is>
      </c>
      <c r="CS9" s="13" t="inlineStr">
        <is>
          <t>Bull / Bear = Base + Δ (Δ inputs on each block header). Outlook block = high / mid / low end of the 2026 ranges (UNVERIFIED: earnings-call statements, not in EDGAR filings).</t>
        </is>
      </c>
    </row>
    <row r="10" ht="15" customHeight="1" s="251">
      <c r="B10" s="14" t="inlineStr">
        <is>
          <t>Commercial Airplanes (BCA) — 737, 767, 777 / 777X, 787 commercial jetliners; incl. Spirit AeroSystems Boeing-related operations from 8-Dec-2025; commercial services moved to Global Services from Q3-17</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c r="CG10" s="15" t="inlineStr">
        <is>
          <t>COMMERCIAL AIRPLANES — modelling logic</t>
        </is>
      </c>
    </row>
    <row r="11" ht="15" customHeight="1" s="251">
      <c r="B11" s="25" t="inlineStr">
        <is>
          <t xml:space="preserve">  Commercial airplane deliveries (units):</t>
        </is>
      </c>
      <c r="CG11" s="153" t="n"/>
      <c r="CO11" s="15" t="inlineStr">
        <is>
          <t>2026 outlook — Q4-25 call (27-Jan-2026), reaffirmed Q2-26 call (28-Jul-2026) — UNVERIFIED (earnings-call statement, not in an EDGAR filing)</t>
        </is>
      </c>
      <c r="CP11" s="21" t="inlineStr">
        <is>
          <t>High</t>
        </is>
      </c>
      <c r="CQ11" s="21" t="inlineStr">
        <is>
          <t>Mid</t>
        </is>
      </c>
      <c r="CR11" s="21" t="inlineStr">
        <is>
          <t>Low</t>
        </is>
      </c>
      <c r="CS11" s="13" t="inlineStr">
        <is>
          <t>Boeing publishes no numeric outlook in its 8-K releases (since 2019). Call statements: free cash flow $1–3bn (incl. ~$1bn Spirit drag and a ~$700m DOJ payment in Q3), ~500 737 and 90–100 787 deliveries, BDS margin ~2.5% (after the $280m VC-25B charge), BGS ~18%, BCA margins negative in 2026. Sources in manual_items.json.</t>
        </is>
      </c>
    </row>
    <row r="12" ht="15" customHeight="1" s="251">
      <c r="B12" s="25" t="inlineStr">
        <is>
          <t xml:space="preserve">    737 (Next-Generation / MAX)</t>
        </is>
      </c>
      <c r="C12" s="253" t="n">
        <v>302</v>
      </c>
      <c r="D12" s="253" t="n">
        <v>330</v>
      </c>
      <c r="E12" s="253" t="n">
        <v>290</v>
      </c>
      <c r="F12" s="253" t="n">
        <v>372</v>
      </c>
      <c r="G12" s="253" t="n">
        <v>376</v>
      </c>
      <c r="H12" s="253" t="n">
        <v>372</v>
      </c>
      <c r="I12" s="253" t="n">
        <v>415</v>
      </c>
      <c r="J12" s="253" t="n">
        <v>102</v>
      </c>
      <c r="K12" s="253" t="n">
        <v>116</v>
      </c>
      <c r="L12" s="253" t="n">
        <v>112</v>
      </c>
      <c r="M12" s="253" t="n">
        <v>110</v>
      </c>
      <c r="N12" s="253" t="n">
        <v>440</v>
      </c>
      <c r="O12" s="253" t="n">
        <v>115</v>
      </c>
      <c r="P12" s="253" t="n">
        <v>124</v>
      </c>
      <c r="Q12" s="253" t="n">
        <v>120</v>
      </c>
      <c r="R12" s="253" t="n">
        <v>126</v>
      </c>
      <c r="S12" s="253" t="n">
        <v>485</v>
      </c>
      <c r="T12" s="253" t="n">
        <v>121</v>
      </c>
      <c r="U12" s="253" t="n">
        <v>128</v>
      </c>
      <c r="V12" s="253" t="n">
        <v>126</v>
      </c>
      <c r="W12" s="253" t="n">
        <v>120</v>
      </c>
      <c r="X12" s="253" t="n">
        <v>495</v>
      </c>
      <c r="Y12" s="253" t="n">
        <v>121</v>
      </c>
      <c r="Z12" s="253" t="n">
        <v>127</v>
      </c>
      <c r="AA12" s="253" t="n">
        <v>120</v>
      </c>
      <c r="AB12" s="253" t="n">
        <v>122</v>
      </c>
      <c r="AC12" s="253" t="n">
        <v>490</v>
      </c>
      <c r="AD12" s="253" t="n">
        <v>113</v>
      </c>
      <c r="AE12" s="253" t="n">
        <v>123</v>
      </c>
      <c r="AF12" s="253" t="n">
        <v>145</v>
      </c>
      <c r="AG12" s="253" t="n">
        <v>148</v>
      </c>
      <c r="AH12" s="253" t="n">
        <v>529</v>
      </c>
      <c r="AI12" s="253" t="n">
        <v>132</v>
      </c>
      <c r="AJ12" s="253" t="n">
        <v>137</v>
      </c>
      <c r="AK12" s="253" t="n">
        <v>138</v>
      </c>
      <c r="AL12" s="253" t="n">
        <v>173</v>
      </c>
      <c r="AM12" s="253" t="n">
        <v>580</v>
      </c>
      <c r="AN12" s="253" t="n">
        <v>89</v>
      </c>
      <c r="AO12" s="253" t="n">
        <v>24</v>
      </c>
      <c r="AP12" s="253" t="n">
        <v>5</v>
      </c>
      <c r="AQ12" s="253" t="n">
        <v>9</v>
      </c>
      <c r="AR12" s="253" t="n">
        <v>127</v>
      </c>
      <c r="AS12" s="253" t="n">
        <v>5</v>
      </c>
      <c r="AT12" s="253" t="n">
        <v>4</v>
      </c>
      <c r="AU12" s="253" t="n">
        <v>3</v>
      </c>
      <c r="AV12" s="253" t="n">
        <v>31</v>
      </c>
      <c r="AW12" s="253" t="n">
        <v>43</v>
      </c>
      <c r="AX12" s="253" t="n">
        <v>63</v>
      </c>
      <c r="AY12" s="253" t="n">
        <v>50</v>
      </c>
      <c r="AZ12" s="253" t="n">
        <v>66</v>
      </c>
      <c r="BA12" s="253" t="n">
        <v>84</v>
      </c>
      <c r="BB12" s="253" t="n">
        <v>263</v>
      </c>
      <c r="BC12" s="253" t="n">
        <v>86</v>
      </c>
      <c r="BD12" s="253" t="n">
        <v>103</v>
      </c>
      <c r="BE12" s="253" t="n">
        <v>88</v>
      </c>
      <c r="BF12" s="253" t="n">
        <v>110</v>
      </c>
      <c r="BG12" s="253" t="n">
        <v>387</v>
      </c>
      <c r="BH12" s="253" t="n">
        <v>113</v>
      </c>
      <c r="BI12" s="253" t="n">
        <v>103</v>
      </c>
      <c r="BJ12" s="253" t="n">
        <v>70</v>
      </c>
      <c r="BK12" s="253" t="n">
        <v>110</v>
      </c>
      <c r="BL12" s="253" t="n">
        <v>396</v>
      </c>
      <c r="BM12" s="253" t="n">
        <v>67</v>
      </c>
      <c r="BN12" s="253" t="n">
        <v>70</v>
      </c>
      <c r="BO12" s="253" t="n">
        <v>92</v>
      </c>
      <c r="BP12" s="253" t="n">
        <v>36</v>
      </c>
      <c r="BQ12" s="253" t="n">
        <v>265</v>
      </c>
      <c r="BR12" s="253" t="n">
        <v>105</v>
      </c>
      <c r="BS12" s="253" t="n">
        <v>104</v>
      </c>
      <c r="BT12" s="253" t="n">
        <v>121</v>
      </c>
      <c r="BU12" s="253" t="n">
        <v>117</v>
      </c>
      <c r="BV12" s="253" t="n">
        <v>447</v>
      </c>
      <c r="BW12" s="253" t="n">
        <v>114</v>
      </c>
      <c r="BX12" s="253" t="n">
        <v>129</v>
      </c>
      <c r="BY12" s="254">
        <f>(CHOOSE(MATCH($CG$2,{"Bull","Base","Bear"},0),$CP$12,$CQ$12,$CR$12)-SUM(BW12:BX12))*IFERROR(BT12/(BT12+BU12),0.5)</f>
        <v>130.659663865546</v>
      </c>
      <c r="BZ12" s="254">
        <f>(CHOOSE(MATCH($CG$2,{"Bull","Base","Bear"},0),$CP$12,$CQ$12,$CR$12)-SUM(BW12:BX12))*IFERROR(BU12/(BT12+BU12),0.5)</f>
        <v>126.340336134454</v>
      </c>
      <c r="CA12" s="254">
        <f>SUM(BW12:BZ12)</f>
        <v>500</v>
      </c>
      <c r="CB12" s="254">
        <f>CHOOSE(MATCH($CG$2,{"Bull","Base","Bear"},0),$CP$34,$CQ$34,$CR$34)</f>
        <v>560</v>
      </c>
      <c r="CC12" s="254">
        <f>CHOOSE(MATCH($CG$2,{"Bull","Base","Bear"},0),$CP$35,$CQ$35,$CR$35)</f>
        <v>610</v>
      </c>
      <c r="CD12" s="254">
        <f>CHOOSE(MATCH($CG$2,{"Bull","Base","Bear"},0),$CP$36,$CQ$36,$CR$36)</f>
        <v>640</v>
      </c>
      <c r="CE12" s="254">
        <f>CHOOSE(MATCH($CG$2,{"Bull","Base","Bear"},0),$CP$37,$CQ$37,$CR$37)</f>
        <v>650</v>
      </c>
      <c r="CF12" s="254">
        <f>CHOOSE(MATCH($CG$2,{"Bull","Base","Bear"},0),$CP$38,$CQ$38,$CR$38)</f>
        <v>660</v>
      </c>
      <c r="CG12" s="19" t="inlineStr">
        <is>
          <t>History: release deliveries table. Q3/Q4-26E: (2026 delivery target − 1H26 actual) split by the Q3:Q4-25 pattern (target ~500, UNVERIFIED call statement). 2027E+: scenario lever (production rate: 42/month Q4-25, 47/month from mid-2026, 52/month planned — releases / 10-Q).</t>
        </is>
      </c>
      <c r="CI12" s="20">
        <f>IFERROR(IF(AND(CF12&gt;0,CA12&gt;0),(CF12/CA12)^(1/5)-1,"n/m"),"n/m")</f>
        <v>0.057096868374616</v>
      </c>
      <c r="CJ12" s="20">
        <f>IFERROR(IF(AND(BV12&gt;0,AW12&gt;0),(BV12/AW12)^(1/5)-1,"n/m"),"n/m")</f>
        <v>0.597231304751279</v>
      </c>
      <c r="CK12" s="20">
        <f>IFERROR(IF(AND(BV12&gt;0,X12&gt;0),(BV12/X12)^(1/10)-1,"n/m"),"n/m")</f>
        <v>-0.010148074057786</v>
      </c>
      <c r="CL12" s="20">
        <f>IFERROR(IF(AND(BV12&gt;0,C12&gt;0),(BV12/C12)^(1/19)-1,"n/m"),"n/m")</f>
        <v>0.0208529507355855</v>
      </c>
      <c r="CO12" s="25" t="inlineStr">
        <is>
          <t xml:space="preserve">  2026 737 deliveries (units)</t>
        </is>
      </c>
      <c r="CP12" s="255" t="n">
        <v>510</v>
      </c>
      <c r="CQ12" s="255" t="n">
        <v>500</v>
      </c>
      <c r="CR12" s="255" t="n">
        <v>480</v>
      </c>
      <c r="CS12" s="13" t="inlineStr">
        <is>
          <t>Target ~500 (UNVERIFIED (earnings-call statement, not in an EDGAR filing)); Bull / Bear ±. 1H26: 243. Drives Q3/Q4-26E 737 deliveries.</t>
        </is>
      </c>
    </row>
    <row r="13" ht="15" customHeight="1" s="251">
      <c r="B13" s="25" t="inlineStr">
        <is>
          <t xml:space="preserve">    747 (production ended 2023)</t>
        </is>
      </c>
      <c r="C13" s="253" t="n">
        <v>14</v>
      </c>
      <c r="D13" s="253" t="n">
        <v>16</v>
      </c>
      <c r="E13" s="253" t="n">
        <v>14</v>
      </c>
      <c r="F13" s="253" t="n">
        <v>8</v>
      </c>
      <c r="G13" s="253" t="n">
        <v>0</v>
      </c>
      <c r="H13" s="253" t="n">
        <v>9</v>
      </c>
      <c r="I13" s="253" t="n">
        <v>31</v>
      </c>
      <c r="J13" s="253" t="n">
        <v>6</v>
      </c>
      <c r="K13" s="253" t="n">
        <v>6</v>
      </c>
      <c r="L13" s="253" t="n">
        <v>4</v>
      </c>
      <c r="M13" s="253" t="n">
        <v>8</v>
      </c>
      <c r="N13" s="253" t="n">
        <v>24</v>
      </c>
      <c r="O13" s="253" t="n">
        <v>4</v>
      </c>
      <c r="P13" s="253" t="n">
        <v>2</v>
      </c>
      <c r="Q13" s="253" t="n">
        <v>6</v>
      </c>
      <c r="R13" s="253" t="n">
        <v>7</v>
      </c>
      <c r="S13" s="253" t="n">
        <v>19</v>
      </c>
      <c r="T13" s="253" t="n">
        <v>4</v>
      </c>
      <c r="U13" s="253" t="n">
        <v>5</v>
      </c>
      <c r="V13" s="253" t="n">
        <v>4</v>
      </c>
      <c r="W13" s="253" t="n">
        <v>5</v>
      </c>
      <c r="X13" s="253" t="n">
        <v>18</v>
      </c>
      <c r="Y13" s="253" t="n">
        <v>1</v>
      </c>
      <c r="Z13" s="253" t="n">
        <v>2</v>
      </c>
      <c r="AA13" s="253" t="n">
        <v>5</v>
      </c>
      <c r="AB13" s="253" t="n">
        <v>1</v>
      </c>
      <c r="AC13" s="253" t="n">
        <v>9</v>
      </c>
      <c r="AD13" s="253" t="n">
        <v>1</v>
      </c>
      <c r="AE13" s="253" t="n">
        <v>3</v>
      </c>
      <c r="AF13" s="253" t="n">
        <v>4</v>
      </c>
      <c r="AG13" s="253" t="n">
        <v>6</v>
      </c>
      <c r="AH13" s="253" t="n">
        <v>14</v>
      </c>
      <c r="AI13" s="253" t="n">
        <v>2</v>
      </c>
      <c r="AJ13" s="253" t="n">
        <v>1</v>
      </c>
      <c r="AK13" s="253" t="n">
        <v>2</v>
      </c>
      <c r="AL13" s="253" t="n">
        <v>1</v>
      </c>
      <c r="AM13" s="253" t="n">
        <v>6</v>
      </c>
      <c r="AN13" s="253" t="n">
        <v>2</v>
      </c>
      <c r="AO13" s="253" t="n">
        <v>2</v>
      </c>
      <c r="AP13" s="253" t="n">
        <v>1</v>
      </c>
      <c r="AQ13" s="253" t="n">
        <v>2</v>
      </c>
      <c r="AR13" s="253" t="n">
        <v>7</v>
      </c>
      <c r="AS13" s="253" t="n">
        <v>0</v>
      </c>
      <c r="AT13" s="253" t="n">
        <v>1</v>
      </c>
      <c r="AU13" s="253" t="n">
        <v>1</v>
      </c>
      <c r="AV13" s="253" t="n">
        <v>3</v>
      </c>
      <c r="AW13" s="253" t="n">
        <v>5</v>
      </c>
      <c r="AX13" s="253" t="n">
        <v>1</v>
      </c>
      <c r="AY13" s="253" t="n">
        <v>1</v>
      </c>
      <c r="AZ13" s="253" t="n">
        <v>2</v>
      </c>
      <c r="BA13" s="253" t="n">
        <v>3</v>
      </c>
      <c r="BB13" s="253" t="n">
        <v>7</v>
      </c>
      <c r="BC13" s="253" t="n">
        <v>1</v>
      </c>
      <c r="BD13" s="253" t="n">
        <v>2</v>
      </c>
      <c r="BE13" s="253" t="n">
        <v>0</v>
      </c>
      <c r="BF13" s="253" t="n">
        <v>2</v>
      </c>
      <c r="BG13" s="253" t="n">
        <v>5</v>
      </c>
      <c r="BH13" s="253" t="n">
        <v>1</v>
      </c>
      <c r="BI13" s="253" t="n">
        <v>0</v>
      </c>
      <c r="BJ13" s="253" t="n">
        <v>0</v>
      </c>
      <c r="BK13" s="253" t="n">
        <v>0</v>
      </c>
      <c r="BL13" s="253" t="n">
        <v>1</v>
      </c>
      <c r="BM13" s="253" t="n">
        <v>0</v>
      </c>
      <c r="BN13" s="253" t="n">
        <v>0</v>
      </c>
      <c r="BO13" s="253" t="n">
        <v>0</v>
      </c>
      <c r="BP13" s="253" t="n">
        <v>0</v>
      </c>
      <c r="BQ13" s="253" t="n">
        <v>0</v>
      </c>
      <c r="BR13" s="253" t="n">
        <v>0</v>
      </c>
      <c r="BS13" s="253" t="n">
        <v>0</v>
      </c>
      <c r="BT13" s="253" t="n">
        <v>0</v>
      </c>
      <c r="BU13" s="253" t="n">
        <v>0</v>
      </c>
      <c r="BV13" s="253" t="n">
        <v>0</v>
      </c>
      <c r="BW13" s="253" t="n">
        <v>0</v>
      </c>
      <c r="BX13" s="253" t="n">
        <v>0</v>
      </c>
      <c r="BY13" s="254">
        <f>0</f>
        <v>0</v>
      </c>
      <c r="BZ13" s="254">
        <f>0</f>
        <v>0</v>
      </c>
      <c r="CA13" s="254">
        <f>SUM(BW13:BZ13)</f>
        <v>0</v>
      </c>
      <c r="CB13" s="254">
        <f>0</f>
        <v>0</v>
      </c>
      <c r="CC13" s="254">
        <f>0</f>
        <v>0</v>
      </c>
      <c r="CD13" s="254">
        <f>0</f>
        <v>0</v>
      </c>
      <c r="CE13" s="254">
        <f>0</f>
        <v>0</v>
      </c>
      <c r="CF13" s="254">
        <f>0</f>
        <v>0</v>
      </c>
      <c r="CG13" s="19" t="n"/>
      <c r="CO13" s="25" t="inlineStr">
        <is>
          <t xml:space="preserve">  2026 787 deliveries (units)</t>
        </is>
      </c>
      <c r="CP13" s="255" t="n">
        <v>100</v>
      </c>
      <c r="CQ13" s="255" t="n">
        <v>95</v>
      </c>
      <c r="CR13" s="255" t="n">
        <v>90</v>
      </c>
      <c r="CS13" s="13" t="inlineStr">
        <is>
          <t>Target 90–100 (UNVERIFIED (earnings-call statement, not in an EDGAR filing)). 1H26: 40.</t>
        </is>
      </c>
    </row>
    <row r="14" ht="15" customHeight="1" s="251">
      <c r="B14" s="25" t="inlineStr">
        <is>
          <t xml:space="preserve">    767 (commercial / freighter; tanker deliveries counted in BDS)</t>
        </is>
      </c>
      <c r="C14" s="253" t="n">
        <v>12</v>
      </c>
      <c r="D14" s="253" t="n">
        <v>12</v>
      </c>
      <c r="E14" s="253" t="n">
        <v>10</v>
      </c>
      <c r="F14" s="253" t="n">
        <v>13</v>
      </c>
      <c r="G14" s="253" t="n">
        <v>12</v>
      </c>
      <c r="H14" s="253" t="n">
        <v>20</v>
      </c>
      <c r="I14" s="253" t="n">
        <v>26</v>
      </c>
      <c r="J14" s="253" t="n">
        <v>4</v>
      </c>
      <c r="K14" s="253" t="n">
        <v>8</v>
      </c>
      <c r="L14" s="253" t="n">
        <v>5</v>
      </c>
      <c r="M14" s="253" t="n">
        <v>4</v>
      </c>
      <c r="N14" s="253" t="n">
        <v>21</v>
      </c>
      <c r="O14" s="253" t="n">
        <v>0</v>
      </c>
      <c r="P14" s="253" t="n">
        <v>1</v>
      </c>
      <c r="Q14" s="253" t="n">
        <v>2</v>
      </c>
      <c r="R14" s="253" t="n">
        <v>3</v>
      </c>
      <c r="S14" s="253" t="n">
        <v>6</v>
      </c>
      <c r="T14" s="253" t="n">
        <v>5</v>
      </c>
      <c r="U14" s="253" t="n">
        <v>4</v>
      </c>
      <c r="V14" s="253" t="n">
        <v>5</v>
      </c>
      <c r="W14" s="253" t="n">
        <v>2</v>
      </c>
      <c r="X14" s="253" t="n">
        <v>16</v>
      </c>
      <c r="Y14" s="253" t="n">
        <v>1</v>
      </c>
      <c r="Z14" s="253" t="n">
        <v>4</v>
      </c>
      <c r="AA14" s="253" t="n">
        <v>5</v>
      </c>
      <c r="AB14" s="253" t="n">
        <v>3</v>
      </c>
      <c r="AC14" s="253" t="n">
        <v>13</v>
      </c>
      <c r="AD14" s="253" t="n">
        <v>2</v>
      </c>
      <c r="AE14" s="253" t="n">
        <v>3</v>
      </c>
      <c r="AF14" s="253" t="n">
        <v>2</v>
      </c>
      <c r="AG14" s="253" t="n">
        <v>3</v>
      </c>
      <c r="AH14" s="253" t="n">
        <v>10</v>
      </c>
      <c r="AI14" s="253" t="n">
        <v>4</v>
      </c>
      <c r="AJ14" s="253" t="n">
        <v>5</v>
      </c>
      <c r="AK14" s="253" t="n">
        <v>4</v>
      </c>
      <c r="AL14" s="253" t="n">
        <v>14</v>
      </c>
      <c r="AM14" s="253" t="n">
        <v>27</v>
      </c>
      <c r="AN14" s="253" t="n">
        <v>12</v>
      </c>
      <c r="AO14" s="253" t="n">
        <v>10</v>
      </c>
      <c r="AP14" s="253" t="n">
        <v>10</v>
      </c>
      <c r="AQ14" s="253" t="n">
        <v>11</v>
      </c>
      <c r="AR14" s="253" t="n">
        <v>43</v>
      </c>
      <c r="AS14" s="253" t="n">
        <v>10</v>
      </c>
      <c r="AT14" s="253" t="n">
        <v>4</v>
      </c>
      <c r="AU14" s="253" t="n">
        <v>6</v>
      </c>
      <c r="AV14" s="253" t="n">
        <v>10</v>
      </c>
      <c r="AW14" s="253" t="n">
        <v>30</v>
      </c>
      <c r="AX14" s="253" t="n">
        <v>5</v>
      </c>
      <c r="AY14" s="253" t="n">
        <v>8</v>
      </c>
      <c r="AZ14" s="253" t="n">
        <v>11</v>
      </c>
      <c r="BA14" s="253" t="n">
        <v>8</v>
      </c>
      <c r="BB14" s="253" t="n">
        <v>32</v>
      </c>
      <c r="BC14" s="253" t="n">
        <v>5</v>
      </c>
      <c r="BD14" s="253" t="n">
        <v>7</v>
      </c>
      <c r="BE14" s="253" t="n">
        <v>9</v>
      </c>
      <c r="BF14" s="253" t="n">
        <v>12</v>
      </c>
      <c r="BG14" s="253" t="n">
        <v>33</v>
      </c>
      <c r="BH14" s="253" t="n">
        <v>1</v>
      </c>
      <c r="BI14" s="253" t="n">
        <v>8</v>
      </c>
      <c r="BJ14" s="253" t="n">
        <v>8</v>
      </c>
      <c r="BK14" s="253" t="n">
        <v>15</v>
      </c>
      <c r="BL14" s="253" t="n">
        <v>32</v>
      </c>
      <c r="BM14" s="253" t="n">
        <v>3</v>
      </c>
      <c r="BN14" s="253" t="n">
        <v>6</v>
      </c>
      <c r="BO14" s="253" t="n">
        <v>6</v>
      </c>
      <c r="BP14" s="253" t="n">
        <v>3</v>
      </c>
      <c r="BQ14" s="253" t="n">
        <v>18</v>
      </c>
      <c r="BR14" s="253" t="n">
        <v>5</v>
      </c>
      <c r="BS14" s="253" t="n">
        <v>9</v>
      </c>
      <c r="BT14" s="253" t="n">
        <v>6</v>
      </c>
      <c r="BU14" s="253" t="n">
        <v>10</v>
      </c>
      <c r="BV14" s="253" t="n">
        <v>30</v>
      </c>
      <c r="BW14" s="253" t="n">
        <v>6</v>
      </c>
      <c r="BX14" s="253" t="n">
        <v>10</v>
      </c>
      <c r="BY14" s="254">
        <f>BT14*IFERROR(SUM(BW14:BX14)/SUM(BR14:BS14),1)</f>
        <v>6.85714285714286</v>
      </c>
      <c r="BZ14" s="254">
        <f>BU14*IFERROR(SUM(BW14:BX14)/SUM(BR14:BS14),1)</f>
        <v>11.4285714285714</v>
      </c>
      <c r="CA14" s="254">
        <f>SUM(BW14:BZ14)</f>
        <v>34.2857142857143</v>
      </c>
      <c r="CB14" s="254">
        <f>CHOOSE(MATCH($CG$2,{"Bull","Base","Bear"},0),$CP$52,$CQ$52,$CR$52)</f>
        <v>25</v>
      </c>
      <c r="CC14" s="254">
        <f>CHOOSE(MATCH($CG$2,{"Bull","Base","Bear"},0),$CP$53,$CQ$53,$CR$53)</f>
        <v>5</v>
      </c>
      <c r="CD14" s="254">
        <f>CHOOSE(MATCH($CG$2,{"Bull","Base","Bear"},0),$CP$54,$CQ$54,$CR$54)</f>
        <v>0</v>
      </c>
      <c r="CE14" s="254">
        <f>CHOOSE(MATCH($CG$2,{"Bull","Base","Bear"},0),$CP$55,$CQ$55,$CR$55)</f>
        <v>0</v>
      </c>
      <c r="CF14" s="254">
        <f>CHOOSE(MATCH($CG$2,{"Bull","Base","Bear"},0),$CP$56,$CQ$56,$CR$56)</f>
        <v>0</v>
      </c>
      <c r="CG14" s="19" t="inlineStr">
        <is>
          <t>Q3/Q4-26E: prior-year quarter × 1H26 y/y ratio. 767F production ends 2027 (assumption per program announcements in the 10-K); KC-46A tankers are BDS.</t>
        </is>
      </c>
      <c r="CO14" s="25" t="inlineStr">
        <is>
          <t xml:space="preserve">  2026 BDS operating margin</t>
        </is>
      </c>
      <c r="CP14" s="256" t="n">
        <v>0.03</v>
      </c>
      <c r="CQ14" s="256" t="n">
        <v>0.025</v>
      </c>
      <c r="CR14" s="256" t="n">
        <v>0.02</v>
      </c>
      <c r="CS14" s="13" t="inlineStr">
        <is>
          <t>~2.5% incl. the Q2-26 VC-25B charge (UNVERIFIED (earnings-call statement, not in an EDGAR filing)). Drives the Q3/Q4-26E BDS margin calibration.</t>
        </is>
      </c>
    </row>
    <row r="15" ht="15" customHeight="1" s="251">
      <c r="B15" s="25" t="inlineStr">
        <is>
          <t xml:space="preserve">    777 / 777X</t>
        </is>
      </c>
      <c r="C15" s="253" t="n">
        <v>65</v>
      </c>
      <c r="D15" s="253" t="n">
        <v>83</v>
      </c>
      <c r="E15" s="253" t="n">
        <v>61</v>
      </c>
      <c r="F15" s="253" t="n">
        <v>88</v>
      </c>
      <c r="G15" s="253" t="n">
        <v>74</v>
      </c>
      <c r="H15" s="253" t="n">
        <v>73</v>
      </c>
      <c r="I15" s="253" t="n">
        <v>83</v>
      </c>
      <c r="J15" s="253" t="n">
        <v>24</v>
      </c>
      <c r="K15" s="253" t="n">
        <v>23</v>
      </c>
      <c r="L15" s="253" t="n">
        <v>26</v>
      </c>
      <c r="M15" s="253" t="n">
        <v>25</v>
      </c>
      <c r="N15" s="253" t="n">
        <v>98</v>
      </c>
      <c r="O15" s="253" t="n">
        <v>24</v>
      </c>
      <c r="P15" s="253" t="n">
        <v>24</v>
      </c>
      <c r="Q15" s="253" t="n">
        <v>27</v>
      </c>
      <c r="R15" s="253" t="n">
        <v>24</v>
      </c>
      <c r="S15" s="253" t="n">
        <v>99</v>
      </c>
      <c r="T15" s="253" t="n">
        <v>24</v>
      </c>
      <c r="U15" s="253" t="n">
        <v>26</v>
      </c>
      <c r="V15" s="253" t="n">
        <v>27</v>
      </c>
      <c r="W15" s="253" t="n">
        <v>21</v>
      </c>
      <c r="X15" s="253" t="n">
        <v>98</v>
      </c>
      <c r="Y15" s="253" t="n">
        <v>23</v>
      </c>
      <c r="Z15" s="253" t="n">
        <v>28</v>
      </c>
      <c r="AA15" s="253" t="n">
        <v>22</v>
      </c>
      <c r="AB15" s="253" t="n">
        <v>26</v>
      </c>
      <c r="AC15" s="253" t="n">
        <v>99</v>
      </c>
      <c r="AD15" s="253" t="n">
        <v>21</v>
      </c>
      <c r="AE15" s="253" t="n">
        <v>21</v>
      </c>
      <c r="AF15" s="253" t="n">
        <v>16</v>
      </c>
      <c r="AG15" s="253" t="n">
        <v>16</v>
      </c>
      <c r="AH15" s="253" t="n">
        <v>74</v>
      </c>
      <c r="AI15" s="253" t="n">
        <v>12</v>
      </c>
      <c r="AJ15" s="253" t="n">
        <v>13</v>
      </c>
      <c r="AK15" s="253" t="n">
        <v>12</v>
      </c>
      <c r="AL15" s="253" t="n">
        <v>11</v>
      </c>
      <c r="AM15" s="253" t="n">
        <v>48</v>
      </c>
      <c r="AN15" s="253" t="n">
        <v>10</v>
      </c>
      <c r="AO15" s="253" t="n">
        <v>12</v>
      </c>
      <c r="AP15" s="253" t="n">
        <v>11</v>
      </c>
      <c r="AQ15" s="253" t="n">
        <v>12</v>
      </c>
      <c r="AR15" s="253" t="n">
        <v>45</v>
      </c>
      <c r="AS15" s="253" t="n">
        <v>6</v>
      </c>
      <c r="AT15" s="253" t="n">
        <v>4</v>
      </c>
      <c r="AU15" s="253" t="n">
        <v>5</v>
      </c>
      <c r="AV15" s="253" t="n">
        <v>11</v>
      </c>
      <c r="AW15" s="253" t="n">
        <v>26</v>
      </c>
      <c r="AX15" s="253" t="n">
        <v>6</v>
      </c>
      <c r="AY15" s="253" t="n">
        <v>8</v>
      </c>
      <c r="AZ15" s="253" t="n">
        <v>6</v>
      </c>
      <c r="BA15" s="253" t="n">
        <v>4</v>
      </c>
      <c r="BB15" s="253" t="n">
        <v>24</v>
      </c>
      <c r="BC15" s="253" t="n">
        <v>3</v>
      </c>
      <c r="BD15" s="253" t="n">
        <v>9</v>
      </c>
      <c r="BE15" s="253" t="n">
        <v>6</v>
      </c>
      <c r="BF15" s="253" t="n">
        <v>6</v>
      </c>
      <c r="BG15" s="253" t="n">
        <v>24</v>
      </c>
      <c r="BH15" s="253" t="n">
        <v>4</v>
      </c>
      <c r="BI15" s="253" t="n">
        <v>5</v>
      </c>
      <c r="BJ15" s="253" t="n">
        <v>8</v>
      </c>
      <c r="BK15" s="253" t="n">
        <v>9</v>
      </c>
      <c r="BL15" s="253" t="n">
        <v>26</v>
      </c>
      <c r="BM15" s="253" t="n">
        <v>0</v>
      </c>
      <c r="BN15" s="253" t="n">
        <v>7</v>
      </c>
      <c r="BO15" s="253" t="n">
        <v>4</v>
      </c>
      <c r="BP15" s="253" t="n">
        <v>3</v>
      </c>
      <c r="BQ15" s="253" t="n">
        <v>14</v>
      </c>
      <c r="BR15" s="253" t="n">
        <v>7</v>
      </c>
      <c r="BS15" s="253" t="n">
        <v>13</v>
      </c>
      <c r="BT15" s="253" t="n">
        <v>9</v>
      </c>
      <c r="BU15" s="253" t="n">
        <v>6</v>
      </c>
      <c r="BV15" s="253" t="n">
        <v>35</v>
      </c>
      <c r="BW15" s="253" t="n">
        <v>8</v>
      </c>
      <c r="BX15" s="253" t="n">
        <v>7</v>
      </c>
      <c r="BY15" s="254">
        <f>BT15*IFERROR(SUM(BW15:BX15)/SUM(BR15:BS15),1)</f>
        <v>6.75</v>
      </c>
      <c r="BZ15" s="254">
        <f>BU15*IFERROR(SUM(BW15:BX15)/SUM(BR15:BS15),1)</f>
        <v>4.5</v>
      </c>
      <c r="CA15" s="254">
        <f>SUM(BW15:BZ15)</f>
        <v>26.25</v>
      </c>
      <c r="CB15" s="254">
        <f>CHOOSE(MATCH($CG$2,{"Bull","Base","Bear"},0),$CP$46,$CQ$46,$CR$46)</f>
        <v>35</v>
      </c>
      <c r="CC15" s="254">
        <f>CHOOSE(MATCH($CG$2,{"Bull","Base","Bear"},0),$CP$47,$CQ$47,$CR$47)</f>
        <v>55</v>
      </c>
      <c r="CD15" s="254">
        <f>CHOOSE(MATCH($CG$2,{"Bull","Base","Bear"},0),$CP$48,$CQ$48,$CR$48)</f>
        <v>65</v>
      </c>
      <c r="CE15" s="254">
        <f>CHOOSE(MATCH($CG$2,{"Bull","Base","Bear"},0),$CP$49,$CQ$49,$CR$49)</f>
        <v>70</v>
      </c>
      <c r="CF15" s="254">
        <f>CHOOSE(MATCH($CG$2,{"Bull","Base","Bear"},0),$CP$50,$CQ$50,$CR$50)</f>
        <v>70</v>
      </c>
      <c r="CG15" s="19" t="inlineStr">
        <is>
          <t>Q3/Q4-26E: prior-year quarter × 1H26 y/y. 777X certification / first delivery assumed 2027 (lever).</t>
        </is>
      </c>
      <c r="CO15" s="25" t="inlineStr">
        <is>
          <t xml:space="preserve">  2026 BGS operating margin</t>
        </is>
      </c>
      <c r="CP15" s="256" t="n">
        <v>0.185</v>
      </c>
      <c r="CQ15" s="256" t="n">
        <v>0.18</v>
      </c>
      <c r="CR15" s="256" t="n">
        <v>0.175</v>
      </c>
      <c r="CS15" s="13" t="inlineStr">
        <is>
          <t>~18% (UNVERIFIED (earnings-call statement, not in an EDGAR filing)). Drives the Q3/Q4-26E BGS margin calibration.</t>
        </is>
      </c>
    </row>
    <row r="16" ht="15" customHeight="1" s="251">
      <c r="B16" s="25" t="inlineStr">
        <is>
          <t xml:space="preserve">    787</t>
        </is>
      </c>
      <c r="C16" s="253" t="n">
        <v>0</v>
      </c>
      <c r="D16" s="253" t="n">
        <v>0</v>
      </c>
      <c r="E16" s="253" t="n">
        <v>0</v>
      </c>
      <c r="F16" s="253" t="n">
        <v>0</v>
      </c>
      <c r="G16" s="253" t="n">
        <v>0</v>
      </c>
      <c r="H16" s="253" t="n">
        <v>3</v>
      </c>
      <c r="I16" s="253" t="n">
        <v>46</v>
      </c>
      <c r="J16" s="253" t="n">
        <v>1</v>
      </c>
      <c r="K16" s="253" t="n">
        <v>16</v>
      </c>
      <c r="L16" s="253" t="n">
        <v>23</v>
      </c>
      <c r="M16" s="253" t="n">
        <v>25</v>
      </c>
      <c r="N16" s="253" t="n">
        <v>65</v>
      </c>
      <c r="O16" s="253" t="n">
        <v>18</v>
      </c>
      <c r="P16" s="253" t="n">
        <v>30</v>
      </c>
      <c r="Q16" s="253" t="n">
        <v>31</v>
      </c>
      <c r="R16" s="253" t="n">
        <v>35</v>
      </c>
      <c r="S16" s="253" t="n">
        <v>114</v>
      </c>
      <c r="T16" s="253" t="n">
        <v>30</v>
      </c>
      <c r="U16" s="253" t="n">
        <v>34</v>
      </c>
      <c r="V16" s="253" t="n">
        <v>37</v>
      </c>
      <c r="W16" s="253" t="n">
        <v>34</v>
      </c>
      <c r="X16" s="253" t="n">
        <v>135</v>
      </c>
      <c r="Y16" s="253" t="n">
        <v>30</v>
      </c>
      <c r="Z16" s="253" t="n">
        <v>38</v>
      </c>
      <c r="AA16" s="253" t="n">
        <v>36</v>
      </c>
      <c r="AB16" s="253" t="n">
        <v>33</v>
      </c>
      <c r="AC16" s="253" t="n">
        <v>137</v>
      </c>
      <c r="AD16" s="253" t="n">
        <v>32</v>
      </c>
      <c r="AE16" s="253" t="n">
        <v>33</v>
      </c>
      <c r="AF16" s="253" t="n">
        <v>35</v>
      </c>
      <c r="AG16" s="253" t="n">
        <v>36</v>
      </c>
      <c r="AH16" s="253" t="n">
        <v>136</v>
      </c>
      <c r="AI16" s="253" t="n">
        <v>34</v>
      </c>
      <c r="AJ16" s="253" t="n">
        <v>38</v>
      </c>
      <c r="AK16" s="253" t="n">
        <v>34</v>
      </c>
      <c r="AL16" s="253" t="n">
        <v>39</v>
      </c>
      <c r="AM16" s="253" t="n">
        <v>145</v>
      </c>
      <c r="AN16" s="253" t="n">
        <v>36</v>
      </c>
      <c r="AO16" s="253" t="n">
        <v>42</v>
      </c>
      <c r="AP16" s="253" t="n">
        <v>35</v>
      </c>
      <c r="AQ16" s="253" t="n">
        <v>45</v>
      </c>
      <c r="AR16" s="253" t="n">
        <v>158</v>
      </c>
      <c r="AS16" s="253" t="n">
        <v>29</v>
      </c>
      <c r="AT16" s="253" t="n">
        <v>7</v>
      </c>
      <c r="AU16" s="253" t="n">
        <v>13</v>
      </c>
      <c r="AV16" s="253" t="n">
        <v>4</v>
      </c>
      <c r="AW16" s="253" t="n">
        <v>53</v>
      </c>
      <c r="AX16" s="253" t="n">
        <v>2</v>
      </c>
      <c r="AY16" s="253" t="n">
        <v>12</v>
      </c>
      <c r="AZ16" s="253" t="n">
        <v>0</v>
      </c>
      <c r="BA16" s="253" t="n">
        <v>0</v>
      </c>
      <c r="BB16" s="253" t="n">
        <v>14</v>
      </c>
      <c r="BC16" s="253" t="n">
        <v>0</v>
      </c>
      <c r="BD16" s="253" t="n">
        <v>0</v>
      </c>
      <c r="BE16" s="253" t="n">
        <v>9</v>
      </c>
      <c r="BF16" s="253" t="n">
        <v>22</v>
      </c>
      <c r="BG16" s="253" t="n">
        <v>31</v>
      </c>
      <c r="BH16" s="253" t="n">
        <v>11</v>
      </c>
      <c r="BI16" s="253" t="n">
        <v>20</v>
      </c>
      <c r="BJ16" s="253" t="n">
        <v>19</v>
      </c>
      <c r="BK16" s="253" t="n">
        <v>23</v>
      </c>
      <c r="BL16" s="253" t="n">
        <v>73</v>
      </c>
      <c r="BM16" s="253" t="n">
        <v>13</v>
      </c>
      <c r="BN16" s="253" t="n">
        <v>9</v>
      </c>
      <c r="BO16" s="253" t="n">
        <v>14</v>
      </c>
      <c r="BP16" s="253" t="n">
        <v>15</v>
      </c>
      <c r="BQ16" s="253" t="n">
        <v>51</v>
      </c>
      <c r="BR16" s="253" t="n">
        <v>13</v>
      </c>
      <c r="BS16" s="253" t="n">
        <v>24</v>
      </c>
      <c r="BT16" s="253" t="n">
        <v>24</v>
      </c>
      <c r="BU16" s="253" t="n">
        <v>27</v>
      </c>
      <c r="BV16" s="253" t="n">
        <v>88</v>
      </c>
      <c r="BW16" s="253" t="n">
        <v>15</v>
      </c>
      <c r="BX16" s="253" t="n">
        <v>25</v>
      </c>
      <c r="BY16" s="254">
        <f>(CHOOSE(MATCH($CG$2,{"Bull","Base","Bear"},0),$CP$13,$CQ$13,$CR$13)-SUM(BW16:BX16))*IFERROR(BT16/(BT16+BU16),0.5)</f>
        <v>25.8823529411765</v>
      </c>
      <c r="BZ16" s="254">
        <f>(CHOOSE(MATCH($CG$2,{"Bull","Base","Bear"},0),$CP$13,$CQ$13,$CR$13)-SUM(BW16:BX16))*IFERROR(BU16/(BT16+BU16),0.5)</f>
        <v>29.1176470588235</v>
      </c>
      <c r="CA16" s="254">
        <f>SUM(BW16:BZ16)</f>
        <v>95</v>
      </c>
      <c r="CB16" s="254">
        <f>CHOOSE(MATCH($CG$2,{"Bull","Base","Bear"},0),$CP$40,$CQ$40,$CR$40)</f>
        <v>110</v>
      </c>
      <c r="CC16" s="254">
        <f>CHOOSE(MATCH($CG$2,{"Bull","Base","Bear"},0),$CP$41,$CQ$41,$CR$41)</f>
        <v>125</v>
      </c>
      <c r="CD16" s="254">
        <f>CHOOSE(MATCH($CG$2,{"Bull","Base","Bear"},0),$CP$42,$CQ$42,$CR$42)</f>
        <v>135</v>
      </c>
      <c r="CE16" s="254">
        <f>CHOOSE(MATCH($CG$2,{"Bull","Base","Bear"},0),$CP$43,$CQ$43,$CR$43)</f>
        <v>140</v>
      </c>
      <c r="CF16" s="254">
        <f>CHOOSE(MATCH($CG$2,{"Bull","Base","Bear"},0),$CP$44,$CQ$44,$CR$44)</f>
        <v>140</v>
      </c>
      <c r="CG16" s="19" t="inlineStr">
        <is>
          <t>Q3/Q4-26E: 2026 target 90–100 (UNVERIFIED call statement) less 1H26; 787 production transitioning to 8/month (Q4-25 release). 2027E+: lever.</t>
        </is>
      </c>
      <c r="CI16" s="20">
        <f>IFERROR(IF(AND(CF16&gt;0,CA16&gt;0),(CF16/CA16)^(1/5)-1,"n/m"),"n/m")</f>
        <v>0.0806396196004002</v>
      </c>
      <c r="CJ16" s="20">
        <f>IFERROR(IF(AND(BV16&gt;0,AW16&gt;0),(BV16/AW16)^(1/5)-1,"n/m"),"n/m")</f>
        <v>0.106729179522454</v>
      </c>
      <c r="CK16" s="20">
        <f>IFERROR(IF(AND(BV16&gt;0,X16&gt;0),(BV16/X16)^(1/10)-1,"n/m"),"n/m")</f>
        <v>-0.0418910647854855</v>
      </c>
      <c r="CL16" s="20" t="str">
        <f>IFERROR(IF(AND(BV16&gt;0,C16&gt;0),(BV16/C16)^(1/19)-1,"n/m"),"n/m")</f>
        <v>n/m</v>
      </c>
      <c r="CO16" s="25" t="inlineStr">
        <is>
          <t xml:space="preserve">  2026 free cash flow ($m)</t>
        </is>
      </c>
      <c r="CP16" s="255" t="n">
        <v>3000</v>
      </c>
      <c r="CQ16" s="255" t="n">
        <v>2000</v>
      </c>
      <c r="CR16" s="255" t="n">
        <v>1000</v>
      </c>
      <c r="CS16" s="13" t="inlineStr">
        <is>
          <t>$1–3bn (UNVERIFIED (earnings-call statement, not in an EDGAR filing)); 1H26 −$823m. Solved through 2026E year-end inventories.</t>
        </is>
      </c>
    </row>
    <row r="17" ht="15" customHeight="1" s="251">
      <c r="B17" s="25" t="inlineStr">
        <is>
          <t xml:space="preserve">    717 (ended 2006)</t>
        </is>
      </c>
      <c r="C17" s="253" t="n">
        <v>5</v>
      </c>
      <c r="D17" s="253" t="n">
        <v>0</v>
      </c>
      <c r="E17" s="253" t="n">
        <v>0</v>
      </c>
      <c r="F17" s="253" t="n">
        <v>0</v>
      </c>
      <c r="G17" s="253" t="n">
        <v>0</v>
      </c>
      <c r="H17" s="253" t="n">
        <v>0</v>
      </c>
      <c r="I17" s="253" t="n">
        <v>0</v>
      </c>
      <c r="J17" s="253" t="n">
        <v>0</v>
      </c>
      <c r="K17" s="253" t="n">
        <v>0</v>
      </c>
      <c r="L17" s="253" t="n">
        <v>0</v>
      </c>
      <c r="M17" s="253" t="n">
        <v>0</v>
      </c>
      <c r="N17" s="253" t="n">
        <v>0</v>
      </c>
      <c r="O17" s="253" t="n">
        <v>0</v>
      </c>
      <c r="P17" s="253" t="n">
        <v>0</v>
      </c>
      <c r="Q17" s="253" t="n">
        <v>0</v>
      </c>
      <c r="R17" s="253" t="n">
        <v>0</v>
      </c>
      <c r="S17" s="253" t="n">
        <v>0</v>
      </c>
      <c r="T17" s="253" t="n">
        <v>0</v>
      </c>
      <c r="U17" s="253" t="n">
        <v>0</v>
      </c>
      <c r="V17" s="253" t="n">
        <v>0</v>
      </c>
      <c r="W17" s="253" t="n">
        <v>0</v>
      </c>
      <c r="X17" s="253" t="n">
        <v>0</v>
      </c>
      <c r="Y17" s="253" t="n">
        <v>0</v>
      </c>
      <c r="Z17" s="253" t="n">
        <v>0</v>
      </c>
      <c r="AA17" s="253" t="n">
        <v>0</v>
      </c>
      <c r="AB17" s="253" t="n">
        <v>0</v>
      </c>
      <c r="AC17" s="253" t="n">
        <v>0</v>
      </c>
      <c r="AD17" s="253" t="n">
        <v>0</v>
      </c>
      <c r="AE17" s="253" t="n">
        <v>0</v>
      </c>
      <c r="AF17" s="253" t="n">
        <v>0</v>
      </c>
      <c r="AG17" s="253" t="n">
        <v>0</v>
      </c>
      <c r="AH17" s="253" t="n">
        <v>0</v>
      </c>
      <c r="AI17" s="253" t="n">
        <v>0</v>
      </c>
      <c r="AJ17" s="253" t="n">
        <v>0</v>
      </c>
      <c r="AK17" s="253" t="n">
        <v>0</v>
      </c>
      <c r="AL17" s="253" t="n">
        <v>0</v>
      </c>
      <c r="AM17" s="253" t="n">
        <v>0</v>
      </c>
      <c r="AN17" s="253" t="n">
        <v>0</v>
      </c>
      <c r="AO17" s="253" t="n">
        <v>0</v>
      </c>
      <c r="AP17" s="253" t="n">
        <v>0</v>
      </c>
      <c r="AQ17" s="253" t="n">
        <v>0</v>
      </c>
      <c r="AR17" s="253" t="n">
        <v>0</v>
      </c>
      <c r="AS17" s="253" t="n">
        <v>0</v>
      </c>
      <c r="AT17" s="253" t="n">
        <v>0</v>
      </c>
      <c r="AU17" s="253" t="n">
        <v>0</v>
      </c>
      <c r="AV17" s="253" t="n">
        <v>0</v>
      </c>
      <c r="AW17" s="253" t="n">
        <v>0</v>
      </c>
      <c r="AX17" s="253" t="n">
        <v>0</v>
      </c>
      <c r="AY17" s="253" t="n">
        <v>0</v>
      </c>
      <c r="AZ17" s="253" t="n">
        <v>0</v>
      </c>
      <c r="BA17" s="253" t="n">
        <v>0</v>
      </c>
      <c r="BB17" s="253" t="n">
        <v>0</v>
      </c>
      <c r="BC17" s="253" t="n">
        <v>0</v>
      </c>
      <c r="BD17" s="253" t="n">
        <v>0</v>
      </c>
      <c r="BE17" s="253" t="n">
        <v>0</v>
      </c>
      <c r="BF17" s="253" t="n">
        <v>0</v>
      </c>
      <c r="BG17" s="253" t="n">
        <v>0</v>
      </c>
      <c r="BH17" s="253" t="n">
        <v>0</v>
      </c>
      <c r="BI17" s="253" t="n">
        <v>0</v>
      </c>
      <c r="BJ17" s="253" t="n">
        <v>0</v>
      </c>
      <c r="BK17" s="253" t="n">
        <v>0</v>
      </c>
      <c r="BL17" s="253" t="n">
        <v>0</v>
      </c>
      <c r="BM17" s="253" t="n">
        <v>0</v>
      </c>
      <c r="BN17" s="253" t="n">
        <v>0</v>
      </c>
      <c r="BO17" s="253" t="n">
        <v>0</v>
      </c>
      <c r="BP17" s="253" t="n">
        <v>0</v>
      </c>
      <c r="BQ17" s="253" t="n">
        <v>0</v>
      </c>
      <c r="BR17" s="253" t="n">
        <v>0</v>
      </c>
      <c r="BS17" s="253" t="n">
        <v>0</v>
      </c>
      <c r="BT17" s="253" t="n">
        <v>0</v>
      </c>
      <c r="BU17" s="253" t="n">
        <v>0</v>
      </c>
      <c r="BV17" s="253" t="n">
        <v>0</v>
      </c>
      <c r="BW17" s="253" t="n">
        <v>0</v>
      </c>
      <c r="BX17" s="253" t="n">
        <v>0</v>
      </c>
      <c r="BY17" s="254">
        <f>0</f>
        <v>0</v>
      </c>
      <c r="BZ17" s="254">
        <f>0</f>
        <v>0</v>
      </c>
      <c r="CA17" s="254">
        <f>SUM(BW17:BZ17)</f>
        <v>0</v>
      </c>
      <c r="CB17" s="254">
        <f>0</f>
        <v>0</v>
      </c>
      <c r="CC17" s="254">
        <f>0</f>
        <v>0</v>
      </c>
      <c r="CD17" s="254">
        <f>0</f>
        <v>0</v>
      </c>
      <c r="CE17" s="254">
        <f>0</f>
        <v>0</v>
      </c>
      <c r="CF17" s="254">
        <f>0</f>
        <v>0</v>
      </c>
      <c r="CG17" s="19" t="n"/>
      <c r="CO17" s="25" t="inlineStr">
        <is>
          <t xml:space="preserve">  2H26 BCA operating margin (assumption, not guidance)</t>
        </is>
      </c>
      <c r="CP17" s="256" t="n">
        <v>-0.005</v>
      </c>
      <c r="CQ17" s="256" t="n">
        <v>-0.02</v>
      </c>
      <c r="CR17" s="256" t="n">
        <v>-0.04</v>
      </c>
      <c r="CS17" s="13" t="inlineStr">
        <is>
          <t>Assumption: 1H26 −4.2% (Q2 −2.7%); company indicated negative BCA margins in 2026 (UNVERIFIED (earnings-call statement, not in an EDGAR filing)).</t>
        </is>
      </c>
    </row>
    <row r="18" ht="15" customHeight="1" s="251">
      <c r="B18" s="16" t="inlineStr">
        <is>
          <t xml:space="preserve">  Total commercial deliveries</t>
        </is>
      </c>
      <c r="C18" s="257">
        <f>N(C12)+N(C13)+N(C14)+N(C15)+N(C16)+N(C17)</f>
        <v>398</v>
      </c>
      <c r="D18" s="257">
        <f>N(D12)+N(D13)+N(D14)+N(D15)+N(D16)+N(D17)</f>
        <v>441</v>
      </c>
      <c r="E18" s="257">
        <f>N(E12)+N(E13)+N(E14)+N(E15)+N(E16)+N(E17)</f>
        <v>375</v>
      </c>
      <c r="F18" s="257">
        <f>N(F12)+N(F13)+N(F14)+N(F15)+N(F16)+N(F17)</f>
        <v>481</v>
      </c>
      <c r="G18" s="257">
        <f>N(G12)+N(G13)+N(G14)+N(G15)+N(G16)+N(G17)</f>
        <v>462</v>
      </c>
      <c r="H18" s="257">
        <f>N(H12)+N(H13)+N(H14)+N(H15)+N(H16)+N(H17)</f>
        <v>477</v>
      </c>
      <c r="I18" s="257">
        <f>N(I12)+N(I13)+N(I14)+N(I15)+N(I16)+N(I17)</f>
        <v>601</v>
      </c>
      <c r="J18" s="257">
        <f>N(J12)+N(J13)+N(J14)+N(J15)+N(J16)+N(J17)</f>
        <v>137</v>
      </c>
      <c r="K18" s="257">
        <f>N(K12)+N(K13)+N(K14)+N(K15)+N(K16)+N(K17)</f>
        <v>169</v>
      </c>
      <c r="L18" s="257">
        <f>N(L12)+N(L13)+N(L14)+N(L15)+N(L16)+N(L17)</f>
        <v>170</v>
      </c>
      <c r="M18" s="257">
        <f>N(M12)+N(M13)+N(M14)+N(M15)+N(M16)+N(M17)</f>
        <v>172</v>
      </c>
      <c r="N18" s="257">
        <f>N(N12)+N(N13)+N(N14)+N(N15)+N(N16)+N(N17)</f>
        <v>648</v>
      </c>
      <c r="O18" s="257">
        <f>N(O12)+N(O13)+N(O14)+N(O15)+N(O16)+N(O17)</f>
        <v>161</v>
      </c>
      <c r="P18" s="257">
        <f>N(P12)+N(P13)+N(P14)+N(P15)+N(P16)+N(P17)</f>
        <v>181</v>
      </c>
      <c r="Q18" s="257">
        <f>N(Q12)+N(Q13)+N(Q14)+N(Q15)+N(Q16)+N(Q17)</f>
        <v>186</v>
      </c>
      <c r="R18" s="257">
        <f>N(R12)+N(R13)+N(R14)+N(R15)+N(R16)+N(R17)</f>
        <v>195</v>
      </c>
      <c r="S18" s="257">
        <f>N(S12)+N(S13)+N(S14)+N(S15)+N(S16)+N(S17)</f>
        <v>723</v>
      </c>
      <c r="T18" s="257">
        <f>N(T12)+N(T13)+N(T14)+N(T15)+N(T16)+N(T17)</f>
        <v>184</v>
      </c>
      <c r="U18" s="257">
        <f>N(U12)+N(U13)+N(U14)+N(U15)+N(U16)+N(U17)</f>
        <v>197</v>
      </c>
      <c r="V18" s="257">
        <f>N(V12)+N(V13)+N(V14)+N(V15)+N(V16)+N(V17)</f>
        <v>199</v>
      </c>
      <c r="W18" s="257">
        <f>N(W12)+N(W13)+N(W14)+N(W15)+N(W16)+N(W17)</f>
        <v>182</v>
      </c>
      <c r="X18" s="257">
        <f>N(X12)+N(X13)+N(X14)+N(X15)+N(X16)+N(X17)</f>
        <v>762</v>
      </c>
      <c r="Y18" s="257">
        <f>N(Y12)+N(Y13)+N(Y14)+N(Y15)+N(Y16)+N(Y17)</f>
        <v>176</v>
      </c>
      <c r="Z18" s="257">
        <f>N(Z12)+N(Z13)+N(Z14)+N(Z15)+N(Z16)+N(Z17)</f>
        <v>199</v>
      </c>
      <c r="AA18" s="257">
        <f>N(AA12)+N(AA13)+N(AA14)+N(AA15)+N(AA16)+N(AA17)</f>
        <v>188</v>
      </c>
      <c r="AB18" s="257">
        <f>N(AB12)+N(AB13)+N(AB14)+N(AB15)+N(AB16)+N(AB17)</f>
        <v>185</v>
      </c>
      <c r="AC18" s="257">
        <f>N(AC12)+N(AC13)+N(AC14)+N(AC15)+N(AC16)+N(AC17)</f>
        <v>748</v>
      </c>
      <c r="AD18" s="257">
        <f>N(AD12)+N(AD13)+N(AD14)+N(AD15)+N(AD16)+N(AD17)</f>
        <v>169</v>
      </c>
      <c r="AE18" s="257">
        <f>N(AE12)+N(AE13)+N(AE14)+N(AE15)+N(AE16)+N(AE17)</f>
        <v>183</v>
      </c>
      <c r="AF18" s="257">
        <f>N(AF12)+N(AF13)+N(AF14)+N(AF15)+N(AF16)+N(AF17)</f>
        <v>202</v>
      </c>
      <c r="AG18" s="257">
        <f>N(AG12)+N(AG13)+N(AG14)+N(AG15)+N(AG16)+N(AG17)</f>
        <v>209</v>
      </c>
      <c r="AH18" s="257">
        <f>N(AH12)+N(AH13)+N(AH14)+N(AH15)+N(AH16)+N(AH17)</f>
        <v>763</v>
      </c>
      <c r="AI18" s="257">
        <f>N(AI12)+N(AI13)+N(AI14)+N(AI15)+N(AI16)+N(AI17)</f>
        <v>184</v>
      </c>
      <c r="AJ18" s="257">
        <f>N(AJ12)+N(AJ13)+N(AJ14)+N(AJ15)+N(AJ16)+N(AJ17)</f>
        <v>194</v>
      </c>
      <c r="AK18" s="257">
        <f>N(AK12)+N(AK13)+N(AK14)+N(AK15)+N(AK16)+N(AK17)</f>
        <v>190</v>
      </c>
      <c r="AL18" s="257">
        <f>N(AL12)+N(AL13)+N(AL14)+N(AL15)+N(AL16)+N(AL17)</f>
        <v>238</v>
      </c>
      <c r="AM18" s="257">
        <f>N(AM12)+N(AM13)+N(AM14)+N(AM15)+N(AM16)+N(AM17)</f>
        <v>806</v>
      </c>
      <c r="AN18" s="257">
        <f>N(AN12)+N(AN13)+N(AN14)+N(AN15)+N(AN16)+N(AN17)</f>
        <v>149</v>
      </c>
      <c r="AO18" s="257">
        <f>N(AO12)+N(AO13)+N(AO14)+N(AO15)+N(AO16)+N(AO17)</f>
        <v>90</v>
      </c>
      <c r="AP18" s="257">
        <f>N(AP12)+N(AP13)+N(AP14)+N(AP15)+N(AP16)+N(AP17)</f>
        <v>62</v>
      </c>
      <c r="AQ18" s="257">
        <f>N(AQ12)+N(AQ13)+N(AQ14)+N(AQ15)+N(AQ16)+N(AQ17)</f>
        <v>79</v>
      </c>
      <c r="AR18" s="257">
        <f>N(AR12)+N(AR13)+N(AR14)+N(AR15)+N(AR16)+N(AR17)</f>
        <v>380</v>
      </c>
      <c r="AS18" s="257">
        <f>N(AS12)+N(AS13)+N(AS14)+N(AS15)+N(AS16)+N(AS17)</f>
        <v>50</v>
      </c>
      <c r="AT18" s="257">
        <f>N(AT12)+N(AT13)+N(AT14)+N(AT15)+N(AT16)+N(AT17)</f>
        <v>20</v>
      </c>
      <c r="AU18" s="257">
        <f>N(AU12)+N(AU13)+N(AU14)+N(AU15)+N(AU16)+N(AU17)</f>
        <v>28</v>
      </c>
      <c r="AV18" s="257">
        <f>N(AV12)+N(AV13)+N(AV14)+N(AV15)+N(AV16)+N(AV17)</f>
        <v>59</v>
      </c>
      <c r="AW18" s="257">
        <f>N(AW12)+N(AW13)+N(AW14)+N(AW15)+N(AW16)+N(AW17)</f>
        <v>157</v>
      </c>
      <c r="AX18" s="257">
        <f>N(AX12)+N(AX13)+N(AX14)+N(AX15)+N(AX16)+N(AX17)</f>
        <v>77</v>
      </c>
      <c r="AY18" s="257">
        <f>N(AY12)+N(AY13)+N(AY14)+N(AY15)+N(AY16)+N(AY17)</f>
        <v>79</v>
      </c>
      <c r="AZ18" s="257">
        <f>N(AZ12)+N(AZ13)+N(AZ14)+N(AZ15)+N(AZ16)+N(AZ17)</f>
        <v>85</v>
      </c>
      <c r="BA18" s="257">
        <f>N(BA12)+N(BA13)+N(BA14)+N(BA15)+N(BA16)+N(BA17)</f>
        <v>99</v>
      </c>
      <c r="BB18" s="257">
        <f>N(BB12)+N(BB13)+N(BB14)+N(BB15)+N(BB16)+N(BB17)</f>
        <v>340</v>
      </c>
      <c r="BC18" s="257">
        <f>N(BC12)+N(BC13)+N(BC14)+N(BC15)+N(BC16)+N(BC17)</f>
        <v>95</v>
      </c>
      <c r="BD18" s="257">
        <f>N(BD12)+N(BD13)+N(BD14)+N(BD15)+N(BD16)+N(BD17)</f>
        <v>121</v>
      </c>
      <c r="BE18" s="257">
        <f>N(BE12)+N(BE13)+N(BE14)+N(BE15)+N(BE16)+N(BE17)</f>
        <v>112</v>
      </c>
      <c r="BF18" s="257">
        <f>N(BF12)+N(BF13)+N(BF14)+N(BF15)+N(BF16)+N(BF17)</f>
        <v>152</v>
      </c>
      <c r="BG18" s="257">
        <f>N(BG12)+N(BG13)+N(BG14)+N(BG15)+N(BG16)+N(BG17)</f>
        <v>480</v>
      </c>
      <c r="BH18" s="257">
        <f>N(BH12)+N(BH13)+N(BH14)+N(BH15)+N(BH16)+N(BH17)</f>
        <v>130</v>
      </c>
      <c r="BI18" s="257">
        <f>N(BI12)+N(BI13)+N(BI14)+N(BI15)+N(BI16)+N(BI17)</f>
        <v>136</v>
      </c>
      <c r="BJ18" s="257">
        <f>N(BJ12)+N(BJ13)+N(BJ14)+N(BJ15)+N(BJ16)+N(BJ17)</f>
        <v>105</v>
      </c>
      <c r="BK18" s="257">
        <f>N(BK12)+N(BK13)+N(BK14)+N(BK15)+N(BK16)+N(BK17)</f>
        <v>157</v>
      </c>
      <c r="BL18" s="257">
        <f>N(BL12)+N(BL13)+N(BL14)+N(BL15)+N(BL16)+N(BL17)</f>
        <v>528</v>
      </c>
      <c r="BM18" s="257">
        <f>N(BM12)+N(BM13)+N(BM14)+N(BM15)+N(BM16)+N(BM17)</f>
        <v>83</v>
      </c>
      <c r="BN18" s="257">
        <f>N(BN12)+N(BN13)+N(BN14)+N(BN15)+N(BN16)+N(BN17)</f>
        <v>92</v>
      </c>
      <c r="BO18" s="257">
        <f>N(BO12)+N(BO13)+N(BO14)+N(BO15)+N(BO16)+N(BO17)</f>
        <v>116</v>
      </c>
      <c r="BP18" s="257">
        <f>N(BP12)+N(BP13)+N(BP14)+N(BP15)+N(BP16)+N(BP17)</f>
        <v>57</v>
      </c>
      <c r="BQ18" s="257">
        <f>N(BQ12)+N(BQ13)+N(BQ14)+N(BQ15)+N(BQ16)+N(BQ17)</f>
        <v>348</v>
      </c>
      <c r="BR18" s="257">
        <f>N(BR12)+N(BR13)+N(BR14)+N(BR15)+N(BR16)+N(BR17)</f>
        <v>130</v>
      </c>
      <c r="BS18" s="257">
        <f>N(BS12)+N(BS13)+N(BS14)+N(BS15)+N(BS16)+N(BS17)</f>
        <v>150</v>
      </c>
      <c r="BT18" s="257">
        <f>N(BT12)+N(BT13)+N(BT14)+N(BT15)+N(BT16)+N(BT17)</f>
        <v>160</v>
      </c>
      <c r="BU18" s="257">
        <f>N(BU12)+N(BU13)+N(BU14)+N(BU15)+N(BU16)+N(BU17)</f>
        <v>160</v>
      </c>
      <c r="BV18" s="257">
        <f>N(BV12)+N(BV13)+N(BV14)+N(BV15)+N(BV16)+N(BV17)</f>
        <v>600</v>
      </c>
      <c r="BW18" s="257">
        <f>N(BW12)+N(BW13)+N(BW14)+N(BW15)+N(BW16)+N(BW17)</f>
        <v>143</v>
      </c>
      <c r="BX18" s="257">
        <f>N(BX12)+N(BX13)+N(BX14)+N(BX15)+N(BX16)+N(BX17)</f>
        <v>171</v>
      </c>
      <c r="BY18" s="258">
        <f>N(BY12)+N(BY13)+N(BY14)+N(BY15)+N(BY16)+N(BY17)</f>
        <v>170.149159663866</v>
      </c>
      <c r="BZ18" s="258">
        <f>N(BZ12)+N(BZ13)+N(BZ14)+N(BZ15)+N(BZ16)+N(BZ17)</f>
        <v>171.386554621849</v>
      </c>
      <c r="CA18" s="258">
        <f>N(CA12)+N(CA13)+N(CA14)+N(CA15)+N(CA16)+N(CA17)</f>
        <v>655.535714285714</v>
      </c>
      <c r="CB18" s="258">
        <f>N(CB12)+N(CB13)+N(CB14)+N(CB15)+N(CB16)+N(CB17)</f>
        <v>730</v>
      </c>
      <c r="CC18" s="258">
        <f>N(CC12)+N(CC13)+N(CC14)+N(CC15)+N(CC16)+N(CC17)</f>
        <v>795</v>
      </c>
      <c r="CD18" s="258">
        <f>N(CD12)+N(CD13)+N(CD14)+N(CD15)+N(CD16)+N(CD17)</f>
        <v>840</v>
      </c>
      <c r="CE18" s="258">
        <f>N(CE12)+N(CE13)+N(CE14)+N(CE15)+N(CE16)+N(CE17)</f>
        <v>860</v>
      </c>
      <c r="CF18" s="258">
        <f>N(CF12)+N(CF13)+N(CF14)+N(CF15)+N(CF16)+N(CF17)</f>
        <v>870</v>
      </c>
      <c r="CG18" s="153" t="n"/>
      <c r="CI18" s="20">
        <f>IFERROR(IF(AND(CF18&gt;0,CA18&gt;0),(CF18/CA18)^(1/5)-1,"n/m"),"n/m")</f>
        <v>0.0582409887853017</v>
      </c>
      <c r="CJ18" s="20">
        <f>IFERROR(IF(AND(BV18&gt;0,AW18&gt;0),(BV18/AW18)^(1/5)-1,"n/m"),"n/m")</f>
        <v>0.307525958076912</v>
      </c>
      <c r="CK18" s="20">
        <f>IFERROR(IF(AND(BV18&gt;0,X18&gt;0),(BV18/X18)^(1/10)-1,"n/m"),"n/m")</f>
        <v>-0.023618306921918</v>
      </c>
      <c r="CL18" s="20">
        <f>IFERROR(IF(AND(BV18&gt;0,C18&gt;0),(BV18/C18)^(1/19)-1,"n/m"),"n/m")</f>
        <v>0.0218391448082855</v>
      </c>
      <c r="CO18" s="25" t="inlineStr">
        <is>
          <t xml:space="preserve">  2H26 share repurchases ($m)</t>
        </is>
      </c>
      <c r="CP18" s="255" t="n">
        <v>0</v>
      </c>
      <c r="CQ18" s="255" t="n">
        <v>0</v>
      </c>
      <c r="CR18" s="255" t="n">
        <v>0</v>
      </c>
      <c r="CS18" s="13" t="inlineStr">
        <is>
          <t>No repurchases since Q1-2020; deleveraging priority.</t>
        </is>
      </c>
    </row>
    <row r="19" ht="15" customHeight="1" s="251">
      <c r="B19" s="22" t="inlineStr">
        <is>
          <t xml:space="preserve">    Deliveries y/y %</t>
        </is>
      </c>
      <c r="C19" s="23" t="n"/>
      <c r="D19" s="259">
        <f>IF(AND(ISNUMBER(D18),ISNUMBER(C18)),IF(C18&gt;0,IFERROR(D18/C18-1,""),"n/m"),"")</f>
        <v>0.108040201005025</v>
      </c>
      <c r="E19" s="259">
        <f>IF(AND(ISNUMBER(E18),ISNUMBER(D18)),IF(D18&gt;0,IFERROR(E18/D18-1,""),"n/m"),"")</f>
        <v>-0.149659863945578</v>
      </c>
      <c r="F19" s="259">
        <f>IF(AND(ISNUMBER(F18),ISNUMBER(E18)),IF(E18&gt;0,IFERROR(F18/E18-1,""),"n/m"),"")</f>
        <v>0.282666666666667</v>
      </c>
      <c r="G19" s="259">
        <f>IF(AND(ISNUMBER(G18),ISNUMBER(F18)),IF(F18&gt;0,IFERROR(G18/F18-1,""),"n/m"),"")</f>
        <v>-0.0395010395010395</v>
      </c>
      <c r="H19" s="259">
        <f>IF(AND(ISNUMBER(H18),ISNUMBER(G18)),IF(G18&gt;0,IFERROR(H18/G18-1,""),"n/m"),"")</f>
        <v>0.0324675324675325</v>
      </c>
      <c r="I19" s="259">
        <f>IF(AND(ISNUMBER(I18),ISNUMBER(H18)),IF(H18&gt;0,IFERROR(I18/H18-1,""),"n/m"),"")</f>
        <v>0.259958071278826</v>
      </c>
      <c r="J19" s="23" t="n"/>
      <c r="K19" s="23" t="n"/>
      <c r="L19" s="23" t="n"/>
      <c r="M19" s="23" t="n"/>
      <c r="N19" s="259">
        <f>IF(AND(ISNUMBER(N18),ISNUMBER(I18)),IF(I18&gt;0,IFERROR(N18/I18-1,""),"n/m"),"")</f>
        <v>0.0782029950083194</v>
      </c>
      <c r="O19" s="259">
        <f>IF(AND(ISNUMBER(O18),ISNUMBER(J18)),IF(J18&gt;0,IFERROR(O18/J18-1,""),"n/m"),"")</f>
        <v>0.175182481751825</v>
      </c>
      <c r="P19" s="259">
        <f>IF(AND(ISNUMBER(P18),ISNUMBER(K18)),IF(K18&gt;0,IFERROR(P18/K18-1,""),"n/m"),"")</f>
        <v>0.0710059171597632</v>
      </c>
      <c r="Q19" s="259">
        <f>IF(AND(ISNUMBER(Q18),ISNUMBER(L18)),IF(L18&gt;0,IFERROR(Q18/L18-1,""),"n/m"),"")</f>
        <v>0.0941176470588236</v>
      </c>
      <c r="R19" s="259">
        <f>IF(AND(ISNUMBER(R18),ISNUMBER(M18)),IF(M18&gt;0,IFERROR(R18/M18-1,""),"n/m"),"")</f>
        <v>0.133720930232558</v>
      </c>
      <c r="S19" s="259">
        <f>IF(AND(ISNUMBER(S18),ISNUMBER(N18)),IF(N18&gt;0,IFERROR(S18/N18-1,""),"n/m"),"")</f>
        <v>0.115740740740741</v>
      </c>
      <c r="T19" s="259">
        <f>IF(AND(ISNUMBER(T18),ISNUMBER(O18)),IF(O18&gt;0,IFERROR(T18/O18-1,""),"n/m"),"")</f>
        <v>0.142857142857143</v>
      </c>
      <c r="U19" s="259">
        <f>IF(AND(ISNUMBER(U18),ISNUMBER(P18)),IF(P18&gt;0,IFERROR(U18/P18-1,""),"n/m"),"")</f>
        <v>0.0883977900552486</v>
      </c>
      <c r="V19" s="259">
        <f>IF(AND(ISNUMBER(V18),ISNUMBER(Q18)),IF(Q18&gt;0,IFERROR(V18/Q18-1,""),"n/m"),"")</f>
        <v>0.0698924731182795</v>
      </c>
      <c r="W19" s="259">
        <f>IF(AND(ISNUMBER(W18),ISNUMBER(R18)),IF(R18&gt;0,IFERROR(W18/R18-1,""),"n/m"),"")</f>
        <v>-0.0666666666666667</v>
      </c>
      <c r="X19" s="259">
        <f>IF(AND(ISNUMBER(X18),ISNUMBER(S18)),IF(S18&gt;0,IFERROR(X18/S18-1,""),"n/m"),"")</f>
        <v>0.053941908713693</v>
      </c>
      <c r="Y19" s="259">
        <f>IF(AND(ISNUMBER(Y18),ISNUMBER(T18)),IF(T18&gt;0,IFERROR(Y18/T18-1,""),"n/m"),"")</f>
        <v>-0.0434782608695652</v>
      </c>
      <c r="Z19" s="259">
        <f>IF(AND(ISNUMBER(Z18),ISNUMBER(U18)),IF(U18&gt;0,IFERROR(Z18/U18-1,""),"n/m"),"")</f>
        <v>0.0101522842639594</v>
      </c>
      <c r="AA19" s="259">
        <f>IF(AND(ISNUMBER(AA18),ISNUMBER(V18)),IF(V18&gt;0,IFERROR(AA18/V18-1,""),"n/m"),"")</f>
        <v>-0.0552763819095478</v>
      </c>
      <c r="AB19" s="259">
        <f>IF(AND(ISNUMBER(AB18),ISNUMBER(W18)),IF(W18&gt;0,IFERROR(AB18/W18-1,""),"n/m"),"")</f>
        <v>0.0164835164835164</v>
      </c>
      <c r="AC19" s="259">
        <f>IF(AND(ISNUMBER(AC18),ISNUMBER(X18)),IF(X18&gt;0,IFERROR(AC18/X18-1,""),"n/m"),"")</f>
        <v>-0.0183727034120735</v>
      </c>
      <c r="AD19" s="259">
        <f>IF(AND(ISNUMBER(AD18),ISNUMBER(Y18)),IF(Y18&gt;0,IFERROR(AD18/Y18-1,""),"n/m"),"")</f>
        <v>-0.0397727272727273</v>
      </c>
      <c r="AE19" s="259">
        <f>IF(AND(ISNUMBER(AE18),ISNUMBER(Z18)),IF(Z18&gt;0,IFERROR(AE18/Z18-1,""),"n/m"),"")</f>
        <v>-0.0804020100502513</v>
      </c>
      <c r="AF19" s="259">
        <f>IF(AND(ISNUMBER(AF18),ISNUMBER(AA18)),IF(AA18&gt;0,IFERROR(AF18/AA18-1,""),"n/m"),"")</f>
        <v>0.074468085106383</v>
      </c>
      <c r="AG19" s="259">
        <f>IF(AND(ISNUMBER(AG18),ISNUMBER(AB18)),IF(AB18&gt;0,IFERROR(AG18/AB18-1,""),"n/m"),"")</f>
        <v>0.12972972972973</v>
      </c>
      <c r="AH19" s="259">
        <f>IF(AND(ISNUMBER(AH18),ISNUMBER(AC18)),IF(AC18&gt;0,IFERROR(AH18/AC18-1,""),"n/m"),"")</f>
        <v>0.0200534759358288</v>
      </c>
      <c r="AI19" s="259">
        <f>IF(AND(ISNUMBER(AI18),ISNUMBER(AD18)),IF(AD18&gt;0,IFERROR(AI18/AD18-1,""),"n/m"),"")</f>
        <v>0.0887573964497042</v>
      </c>
      <c r="AJ19" s="259">
        <f>IF(AND(ISNUMBER(AJ18),ISNUMBER(AE18)),IF(AE18&gt;0,IFERROR(AJ18/AE18-1,""),"n/m"),"")</f>
        <v>0.0601092896174864</v>
      </c>
      <c r="AK19" s="259">
        <f>IF(AND(ISNUMBER(AK18),ISNUMBER(AF18)),IF(AF18&gt;0,IFERROR(AK18/AF18-1,""),"n/m"),"")</f>
        <v>-0.0594059405940595</v>
      </c>
      <c r="AL19" s="259">
        <f>IF(AND(ISNUMBER(AL18),ISNUMBER(AG18)),IF(AG18&gt;0,IFERROR(AL18/AG18-1,""),"n/m"),"")</f>
        <v>0.138755980861244</v>
      </c>
      <c r="AM19" s="259">
        <f>IF(AND(ISNUMBER(AM18),ISNUMBER(AH18)),IF(AH18&gt;0,IFERROR(AM18/AH18-1,""),"n/m"),"")</f>
        <v>0.056356487549148</v>
      </c>
      <c r="AN19" s="259">
        <f>IF(AND(ISNUMBER(AN18),ISNUMBER(AI18)),IF(AI18&gt;0,IFERROR(AN18/AI18-1,""),"n/m"),"")</f>
        <v>-0.190217391304348</v>
      </c>
      <c r="AO19" s="259">
        <f>IF(AND(ISNUMBER(AO18),ISNUMBER(AJ18)),IF(AJ18&gt;0,IFERROR(AO18/AJ18-1,""),"n/m"),"")</f>
        <v>-0.536082474226804</v>
      </c>
      <c r="AP19" s="259">
        <f>IF(AND(ISNUMBER(AP18),ISNUMBER(AK18)),IF(AK18&gt;0,IFERROR(AP18/AK18-1,""),"n/m"),"")</f>
        <v>-0.673684210526316</v>
      </c>
      <c r="AQ19" s="259">
        <f>IF(AND(ISNUMBER(AQ18),ISNUMBER(AL18)),IF(AL18&gt;0,IFERROR(AQ18/AL18-1,""),"n/m"),"")</f>
        <v>-0.668067226890756</v>
      </c>
      <c r="AR19" s="259">
        <f>IF(AND(ISNUMBER(AR18),ISNUMBER(AM18)),IF(AM18&gt;0,IFERROR(AR18/AM18-1,""),"n/m"),"")</f>
        <v>-0.528535980148883</v>
      </c>
      <c r="AS19" s="259">
        <f>IF(AND(ISNUMBER(AS18),ISNUMBER(AN18)),IF(AN18&gt;0,IFERROR(AS18/AN18-1,""),"n/m"),"")</f>
        <v>-0.664429530201342</v>
      </c>
      <c r="AT19" s="259">
        <f>IF(AND(ISNUMBER(AT18),ISNUMBER(AO18)),IF(AO18&gt;0,IFERROR(AT18/AO18-1,""),"n/m"),"")</f>
        <v>-0.777777777777778</v>
      </c>
      <c r="AU19" s="259">
        <f>IF(AND(ISNUMBER(AU18),ISNUMBER(AP18)),IF(AP18&gt;0,IFERROR(AU18/AP18-1,""),"n/m"),"")</f>
        <v>-0.548387096774194</v>
      </c>
      <c r="AV19" s="259">
        <f>IF(AND(ISNUMBER(AV18),ISNUMBER(AQ18)),IF(AQ18&gt;0,IFERROR(AV18/AQ18-1,""),"n/m"),"")</f>
        <v>-0.253164556962025</v>
      </c>
      <c r="AW19" s="259">
        <f>IF(AND(ISNUMBER(AW18),ISNUMBER(AR18)),IF(AR18&gt;0,IFERROR(AW18/AR18-1,""),"n/m"),"")</f>
        <v>-0.586842105263158</v>
      </c>
      <c r="AX19" s="259">
        <f>IF(AND(ISNUMBER(AX18),ISNUMBER(AS18)),IF(AS18&gt;0,IFERROR(AX18/AS18-1,""),"n/m"),"")</f>
        <v>0.54</v>
      </c>
      <c r="AY19" s="259">
        <f>IF(AND(ISNUMBER(AY18),ISNUMBER(AT18)),IF(AT18&gt;0,IFERROR(AY18/AT18-1,""),"n/m"),"")</f>
        <v>2.95</v>
      </c>
      <c r="AZ19" s="259">
        <f>IF(AND(ISNUMBER(AZ18),ISNUMBER(AU18)),IF(AU18&gt;0,IFERROR(AZ18/AU18-1,""),"n/m"),"")</f>
        <v>2.03571428571429</v>
      </c>
      <c r="BA19" s="259">
        <f>IF(AND(ISNUMBER(BA18),ISNUMBER(AV18)),IF(AV18&gt;0,IFERROR(BA18/AV18-1,""),"n/m"),"")</f>
        <v>0.677966101694915</v>
      </c>
      <c r="BB19" s="259">
        <f>IF(AND(ISNUMBER(BB18),ISNUMBER(AW18)),IF(AW18&gt;0,IFERROR(BB18/AW18-1,""),"n/m"),"")</f>
        <v>1.1656050955414</v>
      </c>
      <c r="BC19" s="259">
        <f>IF(AND(ISNUMBER(BC18),ISNUMBER(AX18)),IF(AX18&gt;0,IFERROR(BC18/AX18-1,""),"n/m"),"")</f>
        <v>0.233766233766234</v>
      </c>
      <c r="BD19" s="259">
        <f>IF(AND(ISNUMBER(BD18),ISNUMBER(AY18)),IF(AY18&gt;0,IFERROR(BD18/AY18-1,""),"n/m"),"")</f>
        <v>0.531645569620253</v>
      </c>
      <c r="BE19" s="259">
        <f>IF(AND(ISNUMBER(BE18),ISNUMBER(AZ18)),IF(AZ18&gt;0,IFERROR(BE18/AZ18-1,""),"n/m"),"")</f>
        <v>0.317647058823529</v>
      </c>
      <c r="BF19" s="259">
        <f>IF(AND(ISNUMBER(BF18),ISNUMBER(BA18)),IF(BA18&gt;0,IFERROR(BF18/BA18-1,""),"n/m"),"")</f>
        <v>0.535353535353535</v>
      </c>
      <c r="BG19" s="259">
        <f>IF(AND(ISNUMBER(BG18),ISNUMBER(BB18)),IF(BB18&gt;0,IFERROR(BG18/BB18-1,""),"n/m"),"")</f>
        <v>0.411764705882353</v>
      </c>
      <c r="BH19" s="259">
        <f>IF(AND(ISNUMBER(BH18),ISNUMBER(BC18)),IF(BC18&gt;0,IFERROR(BH18/BC18-1,""),"n/m"),"")</f>
        <v>0.368421052631579</v>
      </c>
      <c r="BI19" s="259">
        <f>IF(AND(ISNUMBER(BI18),ISNUMBER(BD18)),IF(BD18&gt;0,IFERROR(BI18/BD18-1,""),"n/m"),"")</f>
        <v>0.12396694214876</v>
      </c>
      <c r="BJ19" s="259">
        <f>IF(AND(ISNUMBER(BJ18),ISNUMBER(BE18)),IF(BE18&gt;0,IFERROR(BJ18/BE18-1,""),"n/m"),"")</f>
        <v>-0.0625</v>
      </c>
      <c r="BK19" s="259">
        <f>IF(AND(ISNUMBER(BK18),ISNUMBER(BF18)),IF(BF18&gt;0,IFERROR(BK18/BF18-1,""),"n/m"),"")</f>
        <v>0.0328947368421053</v>
      </c>
      <c r="BL19" s="259">
        <f>IF(AND(ISNUMBER(BL18),ISNUMBER(BG18)),IF(BG18&gt;0,IFERROR(BL18/BG18-1,""),"n/m"),"")</f>
        <v>0.1</v>
      </c>
      <c r="BM19" s="259">
        <f>IF(AND(ISNUMBER(BM18),ISNUMBER(BH18)),IF(BH18&gt;0,IFERROR(BM18/BH18-1,""),"n/m"),"")</f>
        <v>-0.361538461538462</v>
      </c>
      <c r="BN19" s="259">
        <f>IF(AND(ISNUMBER(BN18),ISNUMBER(BI18)),IF(BI18&gt;0,IFERROR(BN18/BI18-1,""),"n/m"),"")</f>
        <v>-0.323529411764706</v>
      </c>
      <c r="BO19" s="259">
        <f>IF(AND(ISNUMBER(BO18),ISNUMBER(BJ18)),IF(BJ18&gt;0,IFERROR(BO18/BJ18-1,""),"n/m"),"")</f>
        <v>0.104761904761905</v>
      </c>
      <c r="BP19" s="259">
        <f>IF(AND(ISNUMBER(BP18),ISNUMBER(BK18)),IF(BK18&gt;0,IFERROR(BP18/BK18-1,""),"n/m"),"")</f>
        <v>-0.636942675159236</v>
      </c>
      <c r="BQ19" s="259">
        <f>IF(AND(ISNUMBER(BQ18),ISNUMBER(BL18)),IF(BL18&gt;0,IFERROR(BQ18/BL18-1,""),"n/m"),"")</f>
        <v>-0.340909090909091</v>
      </c>
      <c r="BR19" s="259">
        <f>IF(AND(ISNUMBER(BR18),ISNUMBER(BM18)),IF(BM18&gt;0,IFERROR(BR18/BM18-1,""),"n/m"),"")</f>
        <v>0.566265060240964</v>
      </c>
      <c r="BS19" s="259">
        <f>IF(AND(ISNUMBER(BS18),ISNUMBER(BN18)),IF(BN18&gt;0,IFERROR(BS18/BN18-1,""),"n/m"),"")</f>
        <v>0.630434782608696</v>
      </c>
      <c r="BT19" s="259">
        <f>IF(AND(ISNUMBER(BT18),ISNUMBER(BO18)),IF(BO18&gt;0,IFERROR(BT18/BO18-1,""),"n/m"),"")</f>
        <v>0.379310344827586</v>
      </c>
      <c r="BU19" s="259">
        <f>IF(AND(ISNUMBER(BU18),ISNUMBER(BP18)),IF(BP18&gt;0,IFERROR(BU18/BP18-1,""),"n/m"),"")</f>
        <v>1.80701754385965</v>
      </c>
      <c r="BV19" s="259">
        <f>IF(AND(ISNUMBER(BV18),ISNUMBER(BQ18)),IF(BQ18&gt;0,IFERROR(BV18/BQ18-1,""),"n/m"),"")</f>
        <v>0.724137931034483</v>
      </c>
      <c r="BW19" s="259">
        <f>IF(AND(ISNUMBER(BW18),ISNUMBER(BR18)),IF(BR18&gt;0,IFERROR(BW18/BR18-1,""),"n/m"),"")</f>
        <v>0.1</v>
      </c>
      <c r="BX19" s="259">
        <f>IF(AND(ISNUMBER(BX18),ISNUMBER(BS18)),IF(BS18&gt;0,IFERROR(BX18/BS18-1,""),"n/m"),"")</f>
        <v>0.14</v>
      </c>
      <c r="BY19" s="260">
        <f>IF(AND(ISNUMBER(BY18),ISNUMBER(BT18)),IF(BT18&gt;0,IFERROR(BY18/BT18-1,""),"n/m"),"")</f>
        <v>0.0634322478991596</v>
      </c>
      <c r="BZ19" s="260">
        <f>IF(AND(ISNUMBER(BZ18),ISNUMBER(BU18)),IF(BU18&gt;0,IFERROR(BZ18/BU18-1,""),"n/m"),"")</f>
        <v>0.0711659663865547</v>
      </c>
      <c r="CA19" s="260">
        <f>IF(AND(ISNUMBER(CA18),ISNUMBER(BV18)),IF(BV18&gt;0,IFERROR(CA18/BV18-1,""),"n/m"),"")</f>
        <v>0.0925595238095238</v>
      </c>
      <c r="CB19" s="260">
        <f>IF(AND(ISNUMBER(CB18),ISNUMBER(CA18)),IF(CA18&gt;0,IFERROR(CB18/CA18-1,""),"n/m"),"")</f>
        <v>0.113593026423318</v>
      </c>
      <c r="CC19" s="260">
        <f>IF(AND(ISNUMBER(CC18),ISNUMBER(CB18)),IF(CB18&gt;0,IFERROR(CC18/CB18-1,""),"n/m"),"")</f>
        <v>0.0890410958904109</v>
      </c>
      <c r="CD19" s="260">
        <f>IF(AND(ISNUMBER(CD18),ISNUMBER(CC18)),IF(CC18&gt;0,IFERROR(CD18/CC18-1,""),"n/m"),"")</f>
        <v>0.0566037735849057</v>
      </c>
      <c r="CE19" s="260">
        <f>IF(AND(ISNUMBER(CE18),ISNUMBER(CD18)),IF(CD18&gt;0,IFERROR(CE18/CD18-1,""),"n/m"),"")</f>
        <v>0.0238095238095237</v>
      </c>
      <c r="CF19" s="260">
        <f>IF(AND(ISNUMBER(CF18),ISNUMBER(CE18)),IF(CE18&gt;0,IFERROR(CF18/CE18-1,""),"n/m"),"")</f>
        <v>0.0116279069767442</v>
      </c>
      <c r="CG19" s="153" t="n"/>
      <c r="CI19" s="37">
        <f>IFERROR(AVERAGE(CB19,CC19,CD19,CE19,CF19),"n/m")</f>
        <v>0.0589350653369805</v>
      </c>
      <c r="CJ19" s="37">
        <f>IFERROR(AVERAGE(BB19,BG19,BL19,BQ19,BV19),"n/m")</f>
        <v>0.412119728309829</v>
      </c>
      <c r="CK19" s="37">
        <f>IFERROR(AVERAGE(AC19,AH19,AM19,AR19,AW19,BB19,BG19,BL19,BQ19,BV19),"n/m")</f>
        <v>0.100325781621001</v>
      </c>
      <c r="CL19" s="37">
        <f>IFERROR(AVERAGE(C19,D19,E19,F19,G19,H19,I19,N19,S19,X19,AC19,AH19,AM19,AR19,AW19,BB19,BG19,BL19,BQ19,BV19),"n/m")</f>
        <v>0.091848159402326</v>
      </c>
    </row>
    <row r="20" ht="15" customHeight="1" s="251">
      <c r="B20" s="156" t="inlineStr">
        <is>
          <t xml:space="preserve">  Memo: total deliveries as reported</t>
        </is>
      </c>
      <c r="C20" s="253" t="n">
        <v>398</v>
      </c>
      <c r="D20" s="253" t="n">
        <v>441</v>
      </c>
      <c r="E20" s="253" t="n">
        <v>375</v>
      </c>
      <c r="F20" s="253" t="n">
        <v>481</v>
      </c>
      <c r="G20" s="253" t="n">
        <v>462</v>
      </c>
      <c r="H20" s="253" t="n">
        <v>477</v>
      </c>
      <c r="I20" s="253" t="n">
        <v>601</v>
      </c>
      <c r="J20" s="253" t="n">
        <v>137</v>
      </c>
      <c r="K20" s="253" t="n">
        <v>169</v>
      </c>
      <c r="L20" s="253" t="n">
        <v>170</v>
      </c>
      <c r="M20" s="253" t="n">
        <v>172</v>
      </c>
      <c r="N20" s="253" t="n">
        <v>648</v>
      </c>
      <c r="O20" s="253" t="n">
        <v>161</v>
      </c>
      <c r="P20" s="253" t="n">
        <v>181</v>
      </c>
      <c r="Q20" s="253" t="n">
        <v>186</v>
      </c>
      <c r="R20" s="253" t="n">
        <v>195</v>
      </c>
      <c r="S20" s="253" t="n">
        <v>723</v>
      </c>
      <c r="T20" s="253" t="n">
        <v>184</v>
      </c>
      <c r="U20" s="253" t="n">
        <v>197</v>
      </c>
      <c r="V20" s="253" t="n">
        <v>199</v>
      </c>
      <c r="W20" s="253" t="n">
        <v>182</v>
      </c>
      <c r="X20" s="253" t="n">
        <v>762</v>
      </c>
      <c r="Y20" s="253" t="n">
        <v>176</v>
      </c>
      <c r="Z20" s="253" t="n">
        <v>199</v>
      </c>
      <c r="AA20" s="253" t="n">
        <v>188</v>
      </c>
      <c r="AB20" s="253" t="n">
        <v>185</v>
      </c>
      <c r="AC20" s="253" t="n">
        <v>748</v>
      </c>
      <c r="AD20" s="253" t="n">
        <v>169</v>
      </c>
      <c r="AE20" s="253" t="n">
        <v>183</v>
      </c>
      <c r="AF20" s="253" t="n">
        <v>202</v>
      </c>
      <c r="AG20" s="253" t="n">
        <v>209</v>
      </c>
      <c r="AH20" s="253" t="n">
        <v>763</v>
      </c>
      <c r="AI20" s="253" t="n">
        <v>184</v>
      </c>
      <c r="AJ20" s="253" t="n">
        <v>194</v>
      </c>
      <c r="AK20" s="253" t="n">
        <v>190</v>
      </c>
      <c r="AL20" s="253" t="n">
        <v>238</v>
      </c>
      <c r="AM20" s="253" t="n">
        <v>806</v>
      </c>
      <c r="AN20" s="253" t="n">
        <v>149</v>
      </c>
      <c r="AO20" s="253" t="n">
        <v>90</v>
      </c>
      <c r="AP20" s="253" t="n">
        <v>62</v>
      </c>
      <c r="AQ20" s="253" t="n">
        <v>79</v>
      </c>
      <c r="AR20" s="253" t="n">
        <v>380</v>
      </c>
      <c r="AS20" s="253" t="n">
        <v>50</v>
      </c>
      <c r="AT20" s="253" t="n">
        <v>20</v>
      </c>
      <c r="AU20" s="253" t="n">
        <v>28</v>
      </c>
      <c r="AV20" s="253" t="n">
        <v>59</v>
      </c>
      <c r="AW20" s="253" t="n">
        <v>157</v>
      </c>
      <c r="AX20" s="253" t="n">
        <v>77</v>
      </c>
      <c r="AY20" s="253" t="n">
        <v>79</v>
      </c>
      <c r="AZ20" s="253" t="n">
        <v>85</v>
      </c>
      <c r="BA20" s="253" t="n">
        <v>99</v>
      </c>
      <c r="BB20" s="253" t="n">
        <v>340</v>
      </c>
      <c r="BC20" s="253" t="n">
        <v>95</v>
      </c>
      <c r="BD20" s="253" t="n">
        <v>121</v>
      </c>
      <c r="BE20" s="253" t="n">
        <v>112</v>
      </c>
      <c r="BF20" s="253" t="n">
        <v>152</v>
      </c>
      <c r="BG20" s="253" t="n">
        <v>480</v>
      </c>
      <c r="BH20" s="253" t="n">
        <v>130</v>
      </c>
      <c r="BI20" s="253" t="n">
        <v>136</v>
      </c>
      <c r="BJ20" s="253" t="n">
        <v>105</v>
      </c>
      <c r="BK20" s="253" t="n">
        <v>157</v>
      </c>
      <c r="BL20" s="253" t="n">
        <v>528</v>
      </c>
      <c r="BM20" s="253" t="n">
        <v>83</v>
      </c>
      <c r="BN20" s="253" t="n">
        <v>92</v>
      </c>
      <c r="BO20" s="253" t="n">
        <v>116</v>
      </c>
      <c r="BP20" s="253" t="n">
        <v>57</v>
      </c>
      <c r="BQ20" s="253" t="n">
        <v>348</v>
      </c>
      <c r="BR20" s="253" t="n">
        <v>130</v>
      </c>
      <c r="BS20" s="253" t="n">
        <v>150</v>
      </c>
      <c r="BT20" s="253" t="n">
        <v>160</v>
      </c>
      <c r="BU20" s="253" t="n">
        <v>160</v>
      </c>
      <c r="BV20" s="253" t="n">
        <v>600</v>
      </c>
      <c r="BW20" s="253" t="n">
        <v>143</v>
      </c>
      <c r="BX20" s="253" t="n">
        <v>171</v>
      </c>
      <c r="BY20" s="153" t="n"/>
      <c r="BZ20" s="153" t="n"/>
      <c r="CA20" s="153" t="n"/>
      <c r="CB20" s="153" t="n"/>
      <c r="CC20" s="153" t="n"/>
      <c r="CD20" s="153" t="n"/>
      <c r="CE20" s="153" t="n"/>
      <c r="CF20" s="153" t="n"/>
      <c r="CG20" s="153" t="n"/>
      <c r="CO20" s="15" t="inlineStr">
        <is>
          <t>Q3/Q4-26E point estimates (all cases; assumptions unless stated)</t>
        </is>
      </c>
      <c r="CP20" s="21" t="n"/>
      <c r="CQ20" s="21" t="n"/>
      <c r="CR20" s="21" t="n"/>
    </row>
    <row r="21" ht="15" customHeight="1" s="251">
      <c r="B21" s="57" t="inlineStr">
        <is>
          <t xml:space="preserve">  Check: program deliveries vs total as reported (should be 0)</t>
        </is>
      </c>
      <c r="C21" s="211">
        <f>IF(ISNUMBER(C20),ROUND(C18-C20,1),"")</f>
        <v>0</v>
      </c>
      <c r="D21" s="211">
        <f>IF(ISNUMBER(D20),ROUND(D18-D20,1),"")</f>
        <v>0</v>
      </c>
      <c r="E21" s="211">
        <f>IF(ISNUMBER(E20),ROUND(E18-E20,1),"")</f>
        <v>0</v>
      </c>
      <c r="F21" s="211">
        <f>IF(ISNUMBER(F20),ROUND(F18-F20,1),"")</f>
        <v>0</v>
      </c>
      <c r="G21" s="211">
        <f>IF(ISNUMBER(G20),ROUND(G18-G20,1),"")</f>
        <v>0</v>
      </c>
      <c r="H21" s="211">
        <f>IF(ISNUMBER(H20),ROUND(H18-H20,1),"")</f>
        <v>0</v>
      </c>
      <c r="I21" s="211">
        <f>IF(ISNUMBER(I20),ROUND(I18-I20,1),"")</f>
        <v>0</v>
      </c>
      <c r="J21" s="211">
        <f>IF(ISNUMBER(J20),ROUND(J18-J20,1),"")</f>
        <v>0</v>
      </c>
      <c r="K21" s="211">
        <f>IF(ISNUMBER(K20),ROUND(K18-K20,1),"")</f>
        <v>0</v>
      </c>
      <c r="L21" s="211">
        <f>IF(ISNUMBER(L20),ROUND(L18-L20,1),"")</f>
        <v>0</v>
      </c>
      <c r="M21" s="211">
        <f>IF(ISNUMBER(M20),ROUND(M18-M20,1),"")</f>
        <v>0</v>
      </c>
      <c r="N21" s="211">
        <f>IF(ISNUMBER(N20),ROUND(N18-N20,1),"")</f>
        <v>0</v>
      </c>
      <c r="O21" s="211">
        <f>IF(ISNUMBER(O20),ROUND(O18-O20,1),"")</f>
        <v>0</v>
      </c>
      <c r="P21" s="211">
        <f>IF(ISNUMBER(P20),ROUND(P18-P20,1),"")</f>
        <v>0</v>
      </c>
      <c r="Q21" s="211">
        <f>IF(ISNUMBER(Q20),ROUND(Q18-Q20,1),"")</f>
        <v>0</v>
      </c>
      <c r="R21" s="211">
        <f>IF(ISNUMBER(R20),ROUND(R18-R20,1),"")</f>
        <v>0</v>
      </c>
      <c r="S21" s="211">
        <f>IF(ISNUMBER(S20),ROUND(S18-S20,1),"")</f>
        <v>0</v>
      </c>
      <c r="T21" s="211">
        <f>IF(ISNUMBER(T20),ROUND(T18-T20,1),"")</f>
        <v>0</v>
      </c>
      <c r="U21" s="211">
        <f>IF(ISNUMBER(U20),ROUND(U18-U20,1),"")</f>
        <v>0</v>
      </c>
      <c r="V21" s="211">
        <f>IF(ISNUMBER(V20),ROUND(V18-V20,1),"")</f>
        <v>0</v>
      </c>
      <c r="W21" s="211">
        <f>IF(ISNUMBER(W20),ROUND(W18-W20,1),"")</f>
        <v>0</v>
      </c>
      <c r="X21" s="211">
        <f>IF(ISNUMBER(X20),ROUND(X18-X20,1),"")</f>
        <v>0</v>
      </c>
      <c r="Y21" s="211">
        <f>IF(ISNUMBER(Y20),ROUND(Y18-Y20,1),"")</f>
        <v>0</v>
      </c>
      <c r="Z21" s="211">
        <f>IF(ISNUMBER(Z20),ROUND(Z18-Z20,1),"")</f>
        <v>0</v>
      </c>
      <c r="AA21" s="211">
        <f>IF(ISNUMBER(AA20),ROUND(AA18-AA20,1),"")</f>
        <v>0</v>
      </c>
      <c r="AB21" s="211">
        <f>IF(ISNUMBER(AB20),ROUND(AB18-AB20,1),"")</f>
        <v>0</v>
      </c>
      <c r="AC21" s="211">
        <f>IF(ISNUMBER(AC20),ROUND(AC18-AC20,1),"")</f>
        <v>0</v>
      </c>
      <c r="AD21" s="211">
        <f>IF(ISNUMBER(AD20),ROUND(AD18-AD20,1),"")</f>
        <v>0</v>
      </c>
      <c r="AE21" s="211">
        <f>IF(ISNUMBER(AE20),ROUND(AE18-AE20,1),"")</f>
        <v>0</v>
      </c>
      <c r="AF21" s="211">
        <f>IF(ISNUMBER(AF20),ROUND(AF18-AF20,1),"")</f>
        <v>0</v>
      </c>
      <c r="AG21" s="211">
        <f>IF(ISNUMBER(AG20),ROUND(AG18-AG20,1),"")</f>
        <v>0</v>
      </c>
      <c r="AH21" s="211">
        <f>IF(ISNUMBER(AH20),ROUND(AH18-AH20,1),"")</f>
        <v>0</v>
      </c>
      <c r="AI21" s="211">
        <f>IF(ISNUMBER(AI20),ROUND(AI18-AI20,1),"")</f>
        <v>0</v>
      </c>
      <c r="AJ21" s="211">
        <f>IF(ISNUMBER(AJ20),ROUND(AJ18-AJ20,1),"")</f>
        <v>0</v>
      </c>
      <c r="AK21" s="211">
        <f>IF(ISNUMBER(AK20),ROUND(AK18-AK20,1),"")</f>
        <v>0</v>
      </c>
      <c r="AL21" s="211">
        <f>IF(ISNUMBER(AL20),ROUND(AL18-AL20,1),"")</f>
        <v>0</v>
      </c>
      <c r="AM21" s="211">
        <f>IF(ISNUMBER(AM20),ROUND(AM18-AM20,1),"")</f>
        <v>0</v>
      </c>
      <c r="AN21" s="211">
        <f>IF(ISNUMBER(AN20),ROUND(AN18-AN20,1),"")</f>
        <v>0</v>
      </c>
      <c r="AO21" s="211">
        <f>IF(ISNUMBER(AO20),ROUND(AO18-AO20,1),"")</f>
        <v>0</v>
      </c>
      <c r="AP21" s="211">
        <f>IF(ISNUMBER(AP20),ROUND(AP18-AP20,1),"")</f>
        <v>0</v>
      </c>
      <c r="AQ21" s="211">
        <f>IF(ISNUMBER(AQ20),ROUND(AQ18-AQ20,1),"")</f>
        <v>0</v>
      </c>
      <c r="AR21" s="211">
        <f>IF(ISNUMBER(AR20),ROUND(AR18-AR20,1),"")</f>
        <v>0</v>
      </c>
      <c r="AS21" s="211">
        <f>IF(ISNUMBER(AS20),ROUND(AS18-AS20,1),"")</f>
        <v>0</v>
      </c>
      <c r="AT21" s="211">
        <f>IF(ISNUMBER(AT20),ROUND(AT18-AT20,1),"")</f>
        <v>0</v>
      </c>
      <c r="AU21" s="211">
        <f>IF(ISNUMBER(AU20),ROUND(AU18-AU20,1),"")</f>
        <v>0</v>
      </c>
      <c r="AV21" s="211">
        <f>IF(ISNUMBER(AV20),ROUND(AV18-AV20,1),"")</f>
        <v>0</v>
      </c>
      <c r="AW21" s="211">
        <f>IF(ISNUMBER(AW20),ROUND(AW18-AW20,1),"")</f>
        <v>0</v>
      </c>
      <c r="AX21" s="211">
        <f>IF(ISNUMBER(AX20),ROUND(AX18-AX20,1),"")</f>
        <v>0</v>
      </c>
      <c r="AY21" s="211">
        <f>IF(ISNUMBER(AY20),ROUND(AY18-AY20,1),"")</f>
        <v>0</v>
      </c>
      <c r="AZ21" s="211">
        <f>IF(ISNUMBER(AZ20),ROUND(AZ18-AZ20,1),"")</f>
        <v>0</v>
      </c>
      <c r="BA21" s="211">
        <f>IF(ISNUMBER(BA20),ROUND(BA18-BA20,1),"")</f>
        <v>0</v>
      </c>
      <c r="BB21" s="211">
        <f>IF(ISNUMBER(BB20),ROUND(BB18-BB20,1),"")</f>
        <v>0</v>
      </c>
      <c r="BC21" s="211">
        <f>IF(ISNUMBER(BC20),ROUND(BC18-BC20,1),"")</f>
        <v>0</v>
      </c>
      <c r="BD21" s="211">
        <f>IF(ISNUMBER(BD20),ROUND(BD18-BD20,1),"")</f>
        <v>0</v>
      </c>
      <c r="BE21" s="211">
        <f>IF(ISNUMBER(BE20),ROUND(BE18-BE20,1),"")</f>
        <v>0</v>
      </c>
      <c r="BF21" s="211">
        <f>IF(ISNUMBER(BF20),ROUND(BF18-BF20,1),"")</f>
        <v>0</v>
      </c>
      <c r="BG21" s="211">
        <f>IF(ISNUMBER(BG20),ROUND(BG18-BG20,1),"")</f>
        <v>0</v>
      </c>
      <c r="BH21" s="211">
        <f>IF(ISNUMBER(BH20),ROUND(BH18-BH20,1),"")</f>
        <v>0</v>
      </c>
      <c r="BI21" s="211">
        <f>IF(ISNUMBER(BI20),ROUND(BI18-BI20,1),"")</f>
        <v>0</v>
      </c>
      <c r="BJ21" s="211">
        <f>IF(ISNUMBER(BJ20),ROUND(BJ18-BJ20,1),"")</f>
        <v>0</v>
      </c>
      <c r="BK21" s="211">
        <f>IF(ISNUMBER(BK20),ROUND(BK18-BK20,1),"")</f>
        <v>0</v>
      </c>
      <c r="BL21" s="211">
        <f>IF(ISNUMBER(BL20),ROUND(BL18-BL20,1),"")</f>
        <v>0</v>
      </c>
      <c r="BM21" s="211">
        <f>IF(ISNUMBER(BM20),ROUND(BM18-BM20,1),"")</f>
        <v>0</v>
      </c>
      <c r="BN21" s="211">
        <f>IF(ISNUMBER(BN20),ROUND(BN18-BN20,1),"")</f>
        <v>0</v>
      </c>
      <c r="BO21" s="211">
        <f>IF(ISNUMBER(BO20),ROUND(BO18-BO20,1),"")</f>
        <v>0</v>
      </c>
      <c r="BP21" s="211">
        <f>IF(ISNUMBER(BP20),ROUND(BP18-BP20,1),"")</f>
        <v>0</v>
      </c>
      <c r="BQ21" s="211">
        <f>IF(ISNUMBER(BQ20),ROUND(BQ18-BQ20,1),"")</f>
        <v>0</v>
      </c>
      <c r="BR21" s="211">
        <f>IF(ISNUMBER(BR20),ROUND(BR18-BR20,1),"")</f>
        <v>0</v>
      </c>
      <c r="BS21" s="211">
        <f>IF(ISNUMBER(BS20),ROUND(BS18-BS20,1),"")</f>
        <v>0</v>
      </c>
      <c r="BT21" s="211">
        <f>IF(ISNUMBER(BT20),ROUND(BT18-BT20,1),"")</f>
        <v>0</v>
      </c>
      <c r="BU21" s="211">
        <f>IF(ISNUMBER(BU20),ROUND(BU18-BU20,1),"")</f>
        <v>0</v>
      </c>
      <c r="BV21" s="211">
        <f>IF(ISNUMBER(BV20),ROUND(BV18-BV20,1),"")</f>
        <v>0</v>
      </c>
      <c r="BW21" s="211">
        <f>IF(ISNUMBER(BW20),ROUND(BW18-BW20,1),"")</f>
        <v>0</v>
      </c>
      <c r="BX21" s="211">
        <f>IF(ISNUMBER(BX20),ROUND(BX18-BX20,1),"")</f>
        <v>0</v>
      </c>
      <c r="BY21" s="153" t="n"/>
      <c r="BZ21" s="153" t="n"/>
      <c r="CA21" s="153" t="n"/>
      <c r="CB21" s="153" t="n"/>
      <c r="CC21" s="153" t="n"/>
      <c r="CD21" s="153" t="n"/>
      <c r="CE21" s="153" t="n"/>
      <c r="CF21" s="153" t="n"/>
      <c r="CG21" s="153" t="n"/>
      <c r="CO21" s="25" t="inlineStr">
        <is>
          <t xml:space="preserve">  Q3/Q4-26E unallocated items, core basis ($m per quarter)</t>
        </is>
      </c>
      <c r="CQ21" s="261" t="n">
        <v>-480</v>
      </c>
      <c r="CS21" s="13" t="inlineStr">
        <is>
          <t>1H26 −$978m (Q1 −$348m, Q2 −$630m). Assumption.</t>
        </is>
      </c>
    </row>
    <row r="22" ht="15" customHeight="1" s="251">
      <c r="B22" s="25" t="inlineStr">
        <is>
          <t xml:space="preserve">  Revenue per delivery (BCA revenue ÷ deliveries, $m; includes non-delivery revenue)</t>
        </is>
      </c>
      <c r="C22" s="262">
        <f>IFERROR(C24/C18,"")</f>
        <v>71.5201005025126</v>
      </c>
      <c r="D22" s="262">
        <f>IFERROR(D24/D18,"")</f>
        <v>75.7052154195011</v>
      </c>
      <c r="E22" s="262">
        <f>IFERROR(E24/E18,"")</f>
        <v>75.368</v>
      </c>
      <c r="F22" s="262">
        <f>IFERROR(F24/F18,"")</f>
        <v>70.7920997920998</v>
      </c>
      <c r="G22" s="262">
        <f>IFERROR(G24/G18,"")</f>
        <v>68.9047619047619</v>
      </c>
      <c r="H22" s="262">
        <f>IFERROR(H24/H18,"")</f>
        <v>75.8301886792453</v>
      </c>
      <c r="I22" s="262">
        <f>IFERROR(I24/I18,"")</f>
        <v>81.7420965058236</v>
      </c>
      <c r="J22" s="262">
        <f>IFERROR(J24/J18,"")</f>
        <v>78.029197080292</v>
      </c>
      <c r="K22" s="262">
        <f>IFERROR(K24/K18,"")</f>
        <v>80.6153846153846</v>
      </c>
      <c r="L22" s="262">
        <f>IFERROR(L24/L18,"")</f>
        <v>82.2764705882353</v>
      </c>
      <c r="M22" s="262">
        <f>IFERROR(M24/M18,"")</f>
        <v>85.3488372093023</v>
      </c>
      <c r="N22" s="262">
        <f>IFERROR(N24/N18,"")</f>
        <v>81.7608024691358</v>
      </c>
      <c r="O22" s="262">
        <f>IFERROR(O24/O18,"")</f>
        <v>79.111801242236</v>
      </c>
      <c r="P22" s="262">
        <f>IFERROR(P24/P18,"")</f>
        <v>79.0276243093923</v>
      </c>
      <c r="Q22" s="262">
        <f>IFERROR(Q24/Q18,"")</f>
        <v>86.6129032258065</v>
      </c>
      <c r="R22" s="262">
        <f>IFERROR(R24/R18,"")</f>
        <v>86.3538461538462</v>
      </c>
      <c r="S22" s="262">
        <f>IFERROR(S24/S18,"")</f>
        <v>82.9737206085754</v>
      </c>
      <c r="T22" s="262">
        <f>IFERROR(T24/T18,"")</f>
        <v>83.5923913043478</v>
      </c>
      <c r="U22" s="262">
        <f>IFERROR(U24/U18,"")</f>
        <v>85.6700507614213</v>
      </c>
      <c r="V22" s="262">
        <f>IFERROR(V24/V18,"")</f>
        <v>88.9045226130653</v>
      </c>
      <c r="W22" s="262">
        <f>IFERROR(W24/W18,"")</f>
        <v>88.4505494505495</v>
      </c>
      <c r="X22" s="262">
        <f>IFERROR(X24/X18,"")</f>
        <v>86.6771653543307</v>
      </c>
      <c r="Y22" s="262">
        <f>IFERROR(Y24/Y18,"")</f>
        <v>81.8125</v>
      </c>
      <c r="Z22" s="262">
        <f>IFERROR(Z24/Z18,"")</f>
        <v>87.7185929648241</v>
      </c>
      <c r="AA22" s="262">
        <f>IFERROR(AA24/AA18,"")</f>
        <v>90.281914893617</v>
      </c>
      <c r="AB22" s="262">
        <f>IFERROR(AB24/AB18,"")</f>
        <v>87.7891891891892</v>
      </c>
      <c r="AC22" s="262">
        <f>IFERROR(AC24/AC18,"")</f>
        <v>86.9906417112299</v>
      </c>
      <c r="AD22" s="262">
        <f>IFERROR(AD24/AD18,"")</f>
        <v>84.6449704142012</v>
      </c>
      <c r="AE22" s="262">
        <f>IFERROR(AE24/AE18,"")</f>
        <v>85.8633879781421</v>
      </c>
      <c r="AF22" s="262">
        <f>IFERROR(AF24/AF18,"")</f>
        <v>74.1683168316832</v>
      </c>
      <c r="AG22" s="262">
        <f>IFERROR(AG24/AG18,"")</f>
        <v>74</v>
      </c>
      <c r="AH22" s="262">
        <f>IFERROR(AH24/AH18,"")</f>
        <v>74.3499344692005</v>
      </c>
      <c r="AI22" s="262">
        <f>IFERROR(AI24/AI18,"")</f>
        <v>74.1956521739131</v>
      </c>
      <c r="AJ22" s="262">
        <f>IFERROR(AJ24/AJ18,"")</f>
        <v>74.6443298969072</v>
      </c>
      <c r="AK22" s="262">
        <f>IFERROR(AK24/AK18,"")</f>
        <v>80.4</v>
      </c>
      <c r="AL22" s="262">
        <f>IFERROR(AL24/AL18,"")</f>
        <v>72.7142857142857</v>
      </c>
      <c r="AM22" s="262">
        <f>IFERROR(AM24/AM18,"")</f>
        <v>75.3287841191067</v>
      </c>
      <c r="AN22" s="262">
        <f>IFERROR(AN24/AN18,"")</f>
        <v>79.3422818791946</v>
      </c>
      <c r="AO22" s="262">
        <f>IFERROR(AO24/AO18,"")</f>
        <v>52.4666666666667</v>
      </c>
      <c r="AP22" s="262">
        <f>IFERROR(AP24/AP18,"")</f>
        <v>133.048387096774</v>
      </c>
      <c r="AQ22" s="262">
        <f>IFERROR(AQ24/AQ18,"")</f>
        <v>94.4556962025316</v>
      </c>
      <c r="AR22" s="262">
        <f>IFERROR(AR24/AR18,"")</f>
        <v>84.8815789473684</v>
      </c>
      <c r="AS22" s="262">
        <f>IFERROR(AS24/AS18,"")</f>
        <v>124.1</v>
      </c>
      <c r="AT22" s="262">
        <f>IFERROR(AT24/AT18,"")</f>
        <v>81.65</v>
      </c>
      <c r="AU22" s="262">
        <f>IFERROR(AU24/AU18,"")</f>
        <v>128.428571428571</v>
      </c>
      <c r="AV22" s="262">
        <f>IFERROR(AV24/AV18,"")</f>
        <v>80.135593220339</v>
      </c>
      <c r="AW22" s="262">
        <f>IFERROR(AW24/AW18,"")</f>
        <v>102.942675159236</v>
      </c>
      <c r="AX22" s="262">
        <f>IFERROR(AX24/AX18,"")</f>
        <v>55.4415584415584</v>
      </c>
      <c r="AY22" s="262">
        <f>IFERROR(AY24/AY18,"")</f>
        <v>76.1392405063291</v>
      </c>
      <c r="AZ22" s="262">
        <f>IFERROR(AZ24/AZ18,"")</f>
        <v>52.4588235294118</v>
      </c>
      <c r="BA22" s="262">
        <f>IFERROR(BA24/BA18,"")</f>
        <v>47.979797979798</v>
      </c>
      <c r="BB22" s="262">
        <f>IFERROR(BB24/BB18,"")</f>
        <v>57.3323529411765</v>
      </c>
      <c r="BC22" s="262">
        <f>IFERROR(BC24/BC18,"")</f>
        <v>43.8</v>
      </c>
      <c r="BD22" s="262">
        <f>IFERROR(BD24/BD18,"")</f>
        <v>51.396694214876</v>
      </c>
      <c r="BE22" s="262">
        <f>IFERROR(BE24/BE18,"")</f>
        <v>55.9196428571429</v>
      </c>
      <c r="BF22" s="262">
        <f>IFERROR(BF24/BF18,"")</f>
        <v>60.6842105263158</v>
      </c>
      <c r="BG22" s="262">
        <f>IFERROR(BG24/BG18,"")</f>
        <v>53.8895833333333</v>
      </c>
      <c r="BH22" s="262">
        <f>IFERROR(BH24/BH18,"")</f>
        <v>51.5692307692308</v>
      </c>
      <c r="BI22" s="262">
        <f>IFERROR(BI24/BI18,"")</f>
        <v>65</v>
      </c>
      <c r="BJ22" s="262">
        <f>IFERROR(BJ24/BJ18,"")</f>
        <v>75.0095238095238</v>
      </c>
      <c r="BK22" s="262">
        <f>IFERROR(BK24/BK18,"")</f>
        <v>66.7579617834395</v>
      </c>
      <c r="BL22" s="262">
        <f>IFERROR(BL24/BL18,"")</f>
        <v>64.2064393939394</v>
      </c>
      <c r="BM22" s="262">
        <f>IFERROR(BM24/BM18,"")</f>
        <v>56.0602409638554</v>
      </c>
      <c r="BN22" s="262">
        <f>IFERROR(BN24/BN18,"")</f>
        <v>65.25</v>
      </c>
      <c r="BO22" s="262">
        <f>IFERROR(BO24/BO18,"")</f>
        <v>64.1637931034483</v>
      </c>
      <c r="BP22" s="262">
        <f>IFERROR(BP24/BP18,"")</f>
        <v>83.5438596491228</v>
      </c>
      <c r="BQ22" s="262">
        <f>IFERROR(BQ24/BQ18,"")</f>
        <v>65.6925287356322</v>
      </c>
      <c r="BR22" s="262">
        <f>IFERROR(BR24/BR18,"")</f>
        <v>62.6692307692308</v>
      </c>
      <c r="BS22" s="262">
        <f>IFERROR(BS24/BS18,"")</f>
        <v>72.4933333333333</v>
      </c>
      <c r="BT22" s="262">
        <f>IFERROR(BT24/BT18,"")</f>
        <v>69.3375</v>
      </c>
      <c r="BU22" s="262">
        <f>IFERROR(BU24/BU18,"")</f>
        <v>71.11875</v>
      </c>
      <c r="BV22" s="262">
        <f>IFERROR(BV24/BV18,"")</f>
        <v>69.1566666666667</v>
      </c>
      <c r="BW22" s="262">
        <f>IFERROR(BW24/BW18,"")</f>
        <v>64.3566433566434</v>
      </c>
      <c r="BX22" s="262">
        <f>IFERROR(BX24/BX18,"")</f>
        <v>68.719298245614</v>
      </c>
      <c r="BY22" s="263">
        <f>IFERROR(SUM(BW24:BX24)/SUM(BW18:BX18),"")</f>
        <v>66.7324840764331</v>
      </c>
      <c r="BZ22" s="263">
        <f>IFERROR(SUM(BW24:BX24)/SUM(BW18:BX18),"")</f>
        <v>66.7324840764331</v>
      </c>
      <c r="CA22" s="263">
        <f>IFERROR(CA24/CA18,"")</f>
        <v>66.7324840764331</v>
      </c>
      <c r="CB22" s="263">
        <f>CA22*(1+CB23)</f>
        <v>69.4017834394905</v>
      </c>
      <c r="CC22" s="263">
        <f>CB22*(1+CC23)</f>
        <v>71.4838369426752</v>
      </c>
      <c r="CD22" s="263">
        <f>CC22*(1+CD23)</f>
        <v>73.6283520509554</v>
      </c>
      <c r="CE22" s="263">
        <f>CD22*(1+CE23)</f>
        <v>75.8372026124841</v>
      </c>
      <c r="CF22" s="263">
        <f>CE22*(1+CF23)</f>
        <v>78.1123186908586</v>
      </c>
      <c r="CG22" s="19" t="inlineStr">
        <is>
          <t>Q3/Q4-26E: 1H26 average (737-heavy mix, Spirit included). 2027E+: prior year × (1 + scenario lever: price escalation + widebody / 777X mix).</t>
        </is>
      </c>
      <c r="CI22" s="20">
        <f>IFERROR(IF(AND(CF22&gt;0,CA22&gt;0),(CF22/CA22)^(1/5)-1,"n/m"),"n/m")</f>
        <v>0.0319922779490762</v>
      </c>
      <c r="CJ22" s="20">
        <f>IFERROR(IF(AND(BV22&gt;0,AW22&gt;0),(BV22/AW22)^(1/5)-1,"n/m"),"n/m")</f>
        <v>-0.0764769902479812</v>
      </c>
      <c r="CK22" s="20">
        <f>IFERROR(IF(AND(BV22&gt;0,X22&gt;0),(BV22/X22)^(1/10)-1,"n/m"),"n/m")</f>
        <v>-0.0223285451746312</v>
      </c>
      <c r="CL22" s="20">
        <f>IFERROR(IF(AND(BV22&gt;0,C22&gt;0),(BV22/C22)^(1/19)-1,"n/m"),"n/m")</f>
        <v>-0.00176707235247153</v>
      </c>
      <c r="CO22" s="25" t="inlineStr">
        <is>
          <t xml:space="preserve">  Q3/Q4-26E FAS/CAS service cost adjustment ($m per quarter)</t>
        </is>
      </c>
      <c r="CQ22" s="261" t="n">
        <v>155</v>
      </c>
      <c r="CS22" s="13" t="inlineStr">
        <is>
          <t>Q1 and Q2-26 $155m each.</t>
        </is>
      </c>
    </row>
    <row r="23" ht="15" customHeight="1" s="251">
      <c r="B23" s="22" t="inlineStr">
        <is>
          <t xml:space="preserve">    Revenue per delivery y/y %</t>
        </is>
      </c>
      <c r="C23" s="23" t="n"/>
      <c r="D23" s="259">
        <f>IF(AND(ISNUMBER(D22),ISNUMBER(C22)),IF(C22&gt;0,IFERROR(D22/C22-1,""),"n/m"),"")</f>
        <v>0.058516625222605</v>
      </c>
      <c r="E23" s="259">
        <f>IF(AND(ISNUMBER(E22),ISNUMBER(D22)),IF(D22&gt;0,IFERROR(E22/D22-1,""),"n/m"),"")</f>
        <v>-0.00445432217096986</v>
      </c>
      <c r="F23" s="259">
        <f>IF(AND(ISNUMBER(F22),ISNUMBER(E22)),IF(E22&gt;0,IFERROR(F22/E22-1,""),"n/m"),"")</f>
        <v>-0.0607140989266028</v>
      </c>
      <c r="G23" s="259">
        <f>IF(AND(ISNUMBER(G22),ISNUMBER(F22)),IF(F22&gt;0,IFERROR(G22/F22-1,""),"n/m"),"")</f>
        <v>-0.0266602896775286</v>
      </c>
      <c r="H23" s="259">
        <f>IF(AND(ISNUMBER(H22),ISNUMBER(G22)),IF(G22&gt;0,IFERROR(H22/G22-1,""),"n/m"),"")</f>
        <v>0.100507230313857</v>
      </c>
      <c r="I23" s="259">
        <f>IF(AND(ISNUMBER(I22),ISNUMBER(H22)),IF(H22&gt;0,IFERROR(I22/H22-1,""),"n/m"),"")</f>
        <v>0.0779624570312645</v>
      </c>
      <c r="J23" s="23" t="n"/>
      <c r="K23" s="23" t="n"/>
      <c r="L23" s="23" t="n"/>
      <c r="M23" s="23" t="n"/>
      <c r="N23" s="259">
        <f>IF(AND(ISNUMBER(N22),ISNUMBER(I22)),IF(I22&gt;0,IFERROR(N22/I22-1,""),"n/m"),"")</f>
        <v>0.00022884124718825</v>
      </c>
      <c r="O23" s="259">
        <f>IF(AND(ISNUMBER(O22),ISNUMBER(J22)),IF(J22&gt;0,IFERROR(O22/J22-1,""),"n/m"),"")</f>
        <v>0.0138743470707519</v>
      </c>
      <c r="P23" s="259">
        <f>IF(AND(ISNUMBER(P22),ISNUMBER(K22)),IF(K22&gt;0,IFERROR(P22/K22-1,""),"n/m"),"")</f>
        <v>-0.0196954999789127</v>
      </c>
      <c r="Q23" s="259">
        <f>IF(AND(ISNUMBER(Q22),ISNUMBER(L22)),IF(L22&gt;0,IFERROR(Q22/L22-1,""),"n/m"),"")</f>
        <v>0.0527056229632583</v>
      </c>
      <c r="R23" s="259">
        <f>IF(AND(ISNUMBER(R22),ISNUMBER(M22)),IF(M22&gt;0,IFERROR(R22/M22-1,""),"n/m"),"")</f>
        <v>0.0117753091595052</v>
      </c>
      <c r="S23" s="259">
        <f>IF(AND(ISNUMBER(S22),ISNUMBER(N22)),IF(N22&gt;0,IFERROR(S22/N22-1,""),"n/m"),"")</f>
        <v>0.0148349588410346</v>
      </c>
      <c r="T23" s="259">
        <f>IF(AND(ISNUMBER(T22),ISNUMBER(O22)),IF(O22&gt;0,IFERROR(T22/O22-1,""),"n/m"),"")</f>
        <v>0.0566361780639082</v>
      </c>
      <c r="U23" s="259">
        <f>IF(AND(ISNUMBER(U22),ISNUMBER(P22)),IF(P22&gt;0,IFERROR(U22/P22-1,""),"n/m"),"")</f>
        <v>0.0840519566427054</v>
      </c>
      <c r="V23" s="259">
        <f>IF(AND(ISNUMBER(V22),ISNUMBER(Q22)),IF(Q22&gt;0,IFERROR(V22/Q22-1,""),"n/m"),"")</f>
        <v>0.0264581754208659</v>
      </c>
      <c r="W23" s="259">
        <f>IF(AND(ISNUMBER(W22),ISNUMBER(R22)),IF(R22&gt;0,IFERROR(W22/R22-1,""),"n/m"),"")</f>
        <v>0.0242803695502787</v>
      </c>
      <c r="X23" s="259">
        <f>IF(AND(ISNUMBER(X22),ISNUMBER(S22)),IF(S22&gt;0,IFERROR(X22/S22-1,""),"n/m"),"")</f>
        <v>0.0446339481777147</v>
      </c>
      <c r="Y23" s="259">
        <f>IF(AND(ISNUMBER(Y22),ISNUMBER(T22)),IF(T22&gt;0,IFERROR(Y22/T22-1,""),"n/m"),"")</f>
        <v>-0.0212925037383785</v>
      </c>
      <c r="Z23" s="259">
        <f>IF(AND(ISNUMBER(Z22),ISNUMBER(U22)),IF(U22&gt;0,IFERROR(Z22/U22-1,""),"n/m"),"")</f>
        <v>0.0239119994116461</v>
      </c>
      <c r="AA23" s="259">
        <f>IF(AND(ISNUMBER(AA22),ISNUMBER(V22)),IF(V22&gt;0,IFERROR(AA22/V22-1,""),"n/m"),"")</f>
        <v>0.0154929382675666</v>
      </c>
      <c r="AB23" s="259">
        <f>IF(AND(ISNUMBER(AB22),ISNUMBER(W22)),IF(W22&gt;0,IFERROR(AB22/W22-1,""),"n/m"),"")</f>
        <v>-0.00747717527441716</v>
      </c>
      <c r="AC23" s="259">
        <f>IF(AND(ISNUMBER(AC22),ISNUMBER(X22)),IF(X22&gt;0,IFERROR(AC22/X22-1,""),"n/m"),"")</f>
        <v>0.00361659677745285</v>
      </c>
      <c r="AD23" s="259">
        <f>IF(AND(ISNUMBER(AD22),ISNUMBER(Y22)),IF(Y22&gt;0,IFERROR(AD22/Y22-1,""),"n/m"),"")</f>
        <v>0.0346214871101749</v>
      </c>
      <c r="AE23" s="259">
        <f>IF(AND(ISNUMBER(AE22),ISNUMBER(Z22)),IF(Z22&gt;0,IFERROR(AE22/Z22-1,""),"n/m"),"")</f>
        <v>-0.021149506894462</v>
      </c>
      <c r="AF23" s="259">
        <f>IF(AND(ISNUMBER(AF22),ISNUMBER(AA22)),IF(AA22&gt;0,IFERROR(AF22/AA22-1,""),"n/m"),"")</f>
        <v>-0.178480907066727</v>
      </c>
      <c r="AG23" s="259">
        <f>IF(AND(ISNUMBER(AG22),ISNUMBER(AB22)),IF(AB22&gt;0,IFERROR(AG22/AB22-1,""),"n/m"),"")</f>
        <v>-0.157071608891078</v>
      </c>
      <c r="AH23" s="259">
        <f>IF(AND(ISNUMBER(AH22),ISNUMBER(AC22)),IF(AC22&gt;0,IFERROR(AH22/AC22-1,""),"n/m"),"")</f>
        <v>-0.145311116154206</v>
      </c>
      <c r="AI23" s="259">
        <f>IF(AND(ISNUMBER(AI22),ISNUMBER(AD22)),IF(AD22&gt;0,IFERROR(AI22/AD22-1,""),"n/m"),"")</f>
        <v>-0.123448778931052</v>
      </c>
      <c r="AJ23" s="259">
        <f>IF(AND(ISNUMBER(AJ22),ISNUMBER(AE22)),IF(AE22&gt;0,IFERROR(AJ22/AE22-1,""),"n/m"),"")</f>
        <v>-0.130661721432316</v>
      </c>
      <c r="AK23" s="259">
        <f>IF(AND(ISNUMBER(AK22),ISNUMBER(AF22)),IF(AF22&gt;0,IFERROR(AK22/AF22-1,""),"n/m"),"")</f>
        <v>0.0840208249899881</v>
      </c>
      <c r="AL23" s="259">
        <f>IF(AND(ISNUMBER(AL22),ISNUMBER(AG22)),IF(AG22&gt;0,IFERROR(AL22/AG22-1,""),"n/m"),"")</f>
        <v>-0.0173745173745175</v>
      </c>
      <c r="AM23" s="259">
        <f>IF(AND(ISNUMBER(AM22),ISNUMBER(AH22)),IF(AH22&gt;0,IFERROR(AM22/AH22-1,""),"n/m"),"")</f>
        <v>0.0131654406543111</v>
      </c>
      <c r="AN23" s="259">
        <f>IF(AND(ISNUMBER(AN22),ISNUMBER(AI22)),IF(AI22&gt;0,IFERROR(AN22/AI22-1,""),"n/m"),"")</f>
        <v>0.0693656508769274</v>
      </c>
      <c r="AO23" s="259">
        <f>IF(AND(ISNUMBER(AO22),ISNUMBER(AJ22)),IF(AJ22&gt;0,IFERROR(AO22/AJ22-1,""),"n/m"),"")</f>
        <v>-0.297111157148447</v>
      </c>
      <c r="AP23" s="259">
        <f>IF(AND(ISNUMBER(AP22),ISNUMBER(AK22)),IF(AK22&gt;0,IFERROR(AP22/AK22-1,""),"n/m"),"")</f>
        <v>0.654830685283261</v>
      </c>
      <c r="AQ23" s="259">
        <f>IF(AND(ISNUMBER(AQ22),ISNUMBER(AL22)),IF(AL22&gt;0,IFERROR(AQ22/AL22-1,""),"n/m"),"")</f>
        <v>0.298997786675288</v>
      </c>
      <c r="AR23" s="259">
        <f>IF(AND(ISNUMBER(AR22),ISNUMBER(AM22)),IF(AM22&gt;0,IFERROR(AR22/AM22-1,""),"n/m"),"")</f>
        <v>0.126814669053429</v>
      </c>
      <c r="AS23" s="259">
        <f>IF(AND(ISNUMBER(AS22),ISNUMBER(AN22)),IF(AN22&gt;0,IFERROR(AS22/AN22-1,""),"n/m"),"")</f>
        <v>0.564109287768567</v>
      </c>
      <c r="AT23" s="259">
        <f>IF(AND(ISNUMBER(AT22),ISNUMBER(AO22)),IF(AO22&gt;0,IFERROR(AT22/AO22-1,""),"n/m"),"")</f>
        <v>0.556226175349428</v>
      </c>
      <c r="AU23" s="259">
        <f>IF(AND(ISNUMBER(AU22),ISNUMBER(AP22)),IF(AP22&gt;0,IFERROR(AU22/AP22-1,""),"n/m"),"")</f>
        <v>-0.0347228235457113</v>
      </c>
      <c r="AV23" s="259">
        <f>IF(AND(ISNUMBER(AV22),ISNUMBER(AQ22)),IF(AQ22&gt;0,IFERROR(AV22/AQ22-1,""),"n/m"),"")</f>
        <v>-0.151606557972825</v>
      </c>
      <c r="AW23" s="259">
        <f>IF(AND(ISNUMBER(AW22),ISNUMBER(AR22)),IF(AR22&gt;0,IFERROR(AW22/AR22-1,""),"n/m"),"")</f>
        <v>0.212779927468906</v>
      </c>
      <c r="AX23" s="259">
        <f>IF(AND(ISNUMBER(AX22),ISNUMBER(AS22)),IF(AS22&gt;0,IFERROR(AX22/AS22-1,""),"n/m"),"")</f>
        <v>-0.553250939229988</v>
      </c>
      <c r="AY23" s="259">
        <f>IF(AND(ISNUMBER(AY22),ISNUMBER(AT22)),IF(AT22&gt;0,IFERROR(AY22/AT22-1,""),"n/m"),"")</f>
        <v>-0.067492461649368</v>
      </c>
      <c r="AZ23" s="259">
        <f>IF(AND(ISNUMBER(AZ22),ISNUMBER(AU22)),IF(AU22&gt;0,IFERROR(AZ22/AU22-1,""),"n/m"),"")</f>
        <v>-0.59153307596676</v>
      </c>
      <c r="BA23" s="259">
        <f>IF(AND(ISNUMBER(BA22),ISNUMBER(AV22)),IF(AV22&gt;0,IFERROR(BA22/AV22-1,""),"n/m"),"")</f>
        <v>-0.40126732639423</v>
      </c>
      <c r="BB23" s="259">
        <f>IF(AND(ISNUMBER(BB22),ISNUMBER(AW22)),IF(AW22&gt;0,IFERROR(BB22/AW22-1,""),"n/m"),"")</f>
        <v>-0.443065251097345</v>
      </c>
      <c r="BC23" s="259">
        <f>IF(AND(ISNUMBER(BC22),ISNUMBER(AX22)),IF(AX22&gt;0,IFERROR(BC22/AX22-1,""),"n/m"),"")</f>
        <v>-0.20997891777934</v>
      </c>
      <c r="BD23" s="259">
        <f>IF(AND(ISNUMBER(BD22),ISNUMBER(AY22)),IF(AY22&gt;0,IFERROR(BD22/AY22-1,""),"n/m"),"")</f>
        <v>-0.324964448383174</v>
      </c>
      <c r="BE23" s="259">
        <f>IF(AND(ISNUMBER(BE22),ISNUMBER(AZ22)),IF(AZ22&gt;0,IFERROR(BE22/AZ22-1,""),"n/m"),"")</f>
        <v>0.0659721109793996</v>
      </c>
      <c r="BF23" s="259">
        <f>IF(AND(ISNUMBER(BF22),ISNUMBER(BA22)),IF(BA22&gt;0,IFERROR(BF22/BA22-1,""),"n/m"),"")</f>
        <v>0.264786703601108</v>
      </c>
      <c r="BG23" s="259">
        <f>IF(AND(ISNUMBER(BG22),ISNUMBER(BB22)),IF(BB22&gt;0,IFERROR(BG22/BB22-1,""),"n/m"),"")</f>
        <v>-0.060049333948939</v>
      </c>
      <c r="BH23" s="259">
        <f>IF(AND(ISNUMBER(BH22),ISNUMBER(BC22)),IF(BC22&gt;0,IFERROR(BH22/BC22-1,""),"n/m"),"")</f>
        <v>0.177379697927643</v>
      </c>
      <c r="BI23" s="259">
        <f>IF(AND(ISNUMBER(BI22),ISNUMBER(BD22)),IF(BD22&gt;0,IFERROR(BI22/BD22-1,""),"n/m"),"")</f>
        <v>0.26467277697379</v>
      </c>
      <c r="BJ23" s="259">
        <f>IF(AND(ISNUMBER(BJ22),ISNUMBER(BE22)),IF(BE22&gt;0,IFERROR(BJ22/BE22-1,""),"n/m"),"")</f>
        <v>0.341380595029007</v>
      </c>
      <c r="BK23" s="259">
        <f>IF(AND(ISNUMBER(BK22),ISNUMBER(BF22)),IF(BF22&gt;0,IFERROR(BK22/BF22-1,""),"n/m"),"")</f>
        <v>0.100087835113053</v>
      </c>
      <c r="BL23" s="259">
        <f>IF(AND(ISNUMBER(BL22),ISNUMBER(BG22)),IF(BG22&gt;0,IFERROR(BL22/BG22-1,""),"n/m"),"")</f>
        <v>0.191444346429463</v>
      </c>
      <c r="BM23" s="259">
        <f>IF(AND(ISNUMBER(BM22),ISNUMBER(BH22)),IF(BH22&gt;0,IFERROR(BM22/BH22-1,""),"n/m"),"")</f>
        <v>0.0870870115306093</v>
      </c>
      <c r="BN23" s="259">
        <f>IF(AND(ISNUMBER(BN22),ISNUMBER(BI22)),IF(BI22&gt;0,IFERROR(BN22/BI22-1,""),"n/m"),"")</f>
        <v>0.00384615384615383</v>
      </c>
      <c r="BO23" s="259">
        <f>IF(AND(ISNUMBER(BO22),ISNUMBER(BJ22)),IF(BJ22&gt;0,IFERROR(BO22/BJ22-1,""),"n/m"),"")</f>
        <v>-0.144591381937269</v>
      </c>
      <c r="BP23" s="259">
        <f>IF(AND(ISNUMBER(BP22),ISNUMBER(BK22)),IF(BK22&gt;0,IFERROR(BP22/BK22-1,""),"n/m"),"")</f>
        <v>0.251444133662082</v>
      </c>
      <c r="BQ23" s="259">
        <f>IF(AND(ISNUMBER(BQ22),ISNUMBER(BL22)),IF(BL22&gt;0,IFERROR(BQ22/BL22-1,""),"n/m"),"")</f>
        <v>0.0231454875199491</v>
      </c>
      <c r="BR23" s="259">
        <f>IF(AND(ISNUMBER(BR22),ISNUMBER(BM22)),IF(BM22&gt;0,IFERROR(BR22/BM22-1,""),"n/m"),"")</f>
        <v>0.117890856188729</v>
      </c>
      <c r="BS23" s="259">
        <f>IF(AND(ISNUMBER(BS22),ISNUMBER(BN22)),IF(BN22&gt;0,IFERROR(BS22/BN22-1,""),"n/m"),"")</f>
        <v>0.111008939974457</v>
      </c>
      <c r="BT23" s="259">
        <f>IF(AND(ISNUMBER(BT22),ISNUMBER(BO22)),IF(BO22&gt;0,IFERROR(BT22/BO22-1,""),"n/m"),"")</f>
        <v>0.0806328093510682</v>
      </c>
      <c r="BU23" s="259">
        <f>IF(AND(ISNUMBER(BU22),ISNUMBER(BP22)),IF(BP22&gt;0,IFERROR(BU22/BP22-1,""),"n/m"),"")</f>
        <v>-0.14872558798824</v>
      </c>
      <c r="BV23" s="259">
        <f>IF(AND(ISNUMBER(BV22),ISNUMBER(BQ22)),IF(BQ22&gt;0,IFERROR(BV22/BQ22-1,""),"n/m"),"")</f>
        <v>0.0527326013735183</v>
      </c>
      <c r="BW23" s="259">
        <f>IF(AND(ISNUMBER(BW22),ISNUMBER(BR22)),IF(BR22&gt;0,IFERROR(BW22/BR22-1,""),"n/m"),"")</f>
        <v>0.026925694901637</v>
      </c>
      <c r="BX23" s="259">
        <f>IF(AND(ISNUMBER(BX22),ISNUMBER(BS22)),IF(BS22&gt;0,IFERROR(BX22/BS22-1,""),"n/m"),"")</f>
        <v>-0.0520604435495581</v>
      </c>
      <c r="BY23" s="260">
        <f>IF(AND(ISNUMBER(BY22),ISNUMBER(BT22)),IF(BT22&gt;0,IFERROR(BY22/BT22-1,""),"n/m"),"")</f>
        <v>-0.037570087233703</v>
      </c>
      <c r="BZ23" s="260">
        <f>IF(AND(ISNUMBER(BZ22),ISNUMBER(BU22)),IF(BU22&gt;0,IFERROR(BZ22/BU22-1,""),"n/m"),"")</f>
        <v>-0.0616752392803147</v>
      </c>
      <c r="CA23" s="260">
        <f>IF(AND(ISNUMBER(CA22),ISNUMBER(BV22)),IF(BV22&gt;0,IFERROR(CA22/BV22-1,""),"n/m"),"")</f>
        <v>-0.0350534909659258</v>
      </c>
      <c r="CB23" s="260">
        <f>CHOOSE(MATCH($CG$2,{"Bull","Base","Bear"},0),$CP$58,$CQ$58,$CR$58)</f>
        <v>0.04</v>
      </c>
      <c r="CC23" s="260">
        <f>CHOOSE(MATCH($CG$2,{"Bull","Base","Bear"},0),$CP$59,$CQ$59,$CR$59)</f>
        <v>0.03</v>
      </c>
      <c r="CD23" s="260">
        <f>CHOOSE(MATCH($CG$2,{"Bull","Base","Bear"},0),$CP$60,$CQ$60,$CR$60)</f>
        <v>0.03</v>
      </c>
      <c r="CE23" s="260">
        <f>CHOOSE(MATCH($CG$2,{"Bull","Base","Bear"},0),$CP$61,$CQ$61,$CR$61)</f>
        <v>0.03</v>
      </c>
      <c r="CF23" s="260">
        <f>CHOOSE(MATCH($CG$2,{"Bull","Base","Bear"},0),$CP$62,$CQ$62,$CR$62)</f>
        <v>0.03</v>
      </c>
      <c r="CG23" s="153" t="n"/>
      <c r="CI23" s="37">
        <f>IFERROR(AVERAGE(CB23,CC23,CD23,CE23,CF23),"n/m")</f>
        <v>0.032</v>
      </c>
      <c r="CJ23" s="37">
        <f>IFERROR(AVERAGE(BB23,BG23,BL23,BQ23,BV23),"n/m")</f>
        <v>-0.0471584299446708</v>
      </c>
      <c r="CK23" s="37">
        <f>IFERROR(AVERAGE(AC23,AH23,AM23,AR23,AW23,BB23,BG23,BL23,BQ23,BV23),"n/m")</f>
        <v>-0.00247266319234613</v>
      </c>
      <c r="CL23" s="37">
        <f>IFERROR(AVERAGE(C23,D23,E23,F23,G23,H23,I23,N23,S23,X23,AC23,AH23,AM23,AR23,AW23,BB23,BG23,BL23,BQ23,BV23),"n/m")</f>
        <v>0.00948045884921587</v>
      </c>
      <c r="CO23" s="25" t="inlineStr">
        <is>
          <t xml:space="preserve">  Q3/Q4-26E depreciation &amp; amortization ($m per quarter)</t>
        </is>
      </c>
      <c r="CQ23" s="261" t="n">
        <v>585</v>
      </c>
      <c r="CS23" s="13" t="inlineStr">
        <is>
          <t>1H26 $1,169m.</t>
        </is>
      </c>
    </row>
    <row r="24" ht="15" customHeight="1" s="251">
      <c r="B24" s="16" t="inlineStr">
        <is>
          <t xml:space="preserve">  BCA revenues</t>
        </is>
      </c>
      <c r="C24" s="264" t="n">
        <v>28465</v>
      </c>
      <c r="D24" s="264" t="n">
        <v>33386</v>
      </c>
      <c r="E24" s="264" t="n">
        <v>28263</v>
      </c>
      <c r="F24" s="264" t="n">
        <v>34051</v>
      </c>
      <c r="G24" s="264" t="n">
        <v>31834</v>
      </c>
      <c r="H24" s="264" t="n">
        <v>36171</v>
      </c>
      <c r="I24" s="264" t="n">
        <v>49127</v>
      </c>
      <c r="J24" s="264" t="n">
        <v>10690</v>
      </c>
      <c r="K24" s="264" t="n">
        <v>13624</v>
      </c>
      <c r="L24" s="264" t="n">
        <v>13987</v>
      </c>
      <c r="M24" s="264" t="n">
        <v>14680</v>
      </c>
      <c r="N24" s="264" t="n">
        <v>52981</v>
      </c>
      <c r="O24" s="264" t="n">
        <v>12737</v>
      </c>
      <c r="P24" s="264" t="n">
        <v>14304</v>
      </c>
      <c r="Q24" s="264" t="n">
        <v>16110</v>
      </c>
      <c r="R24" s="264" t="n">
        <v>16839</v>
      </c>
      <c r="S24" s="264" t="n">
        <v>59990</v>
      </c>
      <c r="T24" s="264" t="n">
        <v>15381</v>
      </c>
      <c r="U24" s="264" t="n">
        <v>16877</v>
      </c>
      <c r="V24" s="264" t="n">
        <v>17692</v>
      </c>
      <c r="W24" s="264" t="n">
        <v>16098</v>
      </c>
      <c r="X24" s="264" t="n">
        <v>66048</v>
      </c>
      <c r="Y24" s="264" t="n">
        <v>14399</v>
      </c>
      <c r="Z24" s="264" t="n">
        <v>17456</v>
      </c>
      <c r="AA24" s="264" t="n">
        <v>16973</v>
      </c>
      <c r="AB24" s="264" t="n">
        <v>16241</v>
      </c>
      <c r="AC24" s="264" t="n">
        <v>65069</v>
      </c>
      <c r="AD24" s="264" t="n">
        <v>14305</v>
      </c>
      <c r="AE24" s="264" t="n">
        <v>15713</v>
      </c>
      <c r="AF24" s="264" t="n">
        <v>14982</v>
      </c>
      <c r="AG24" s="264" t="n">
        <v>15466</v>
      </c>
      <c r="AH24" s="264" t="n">
        <v>56729</v>
      </c>
      <c r="AI24" s="264" t="n">
        <v>13652</v>
      </c>
      <c r="AJ24" s="264" t="n">
        <v>14481</v>
      </c>
      <c r="AK24" s="264" t="n">
        <v>15276</v>
      </c>
      <c r="AL24" s="264" t="n">
        <v>17306</v>
      </c>
      <c r="AM24" s="264" t="n">
        <v>60715</v>
      </c>
      <c r="AN24" s="264" t="n">
        <v>11822</v>
      </c>
      <c r="AO24" s="264" t="n">
        <v>4722</v>
      </c>
      <c r="AP24" s="264" t="n">
        <v>8249</v>
      </c>
      <c r="AQ24" s="264" t="n">
        <v>7462</v>
      </c>
      <c r="AR24" s="264" t="n">
        <v>32255</v>
      </c>
      <c r="AS24" s="264" t="n">
        <v>6205</v>
      </c>
      <c r="AT24" s="264" t="n">
        <v>1633</v>
      </c>
      <c r="AU24" s="264" t="n">
        <v>3596</v>
      </c>
      <c r="AV24" s="264" t="n">
        <v>4728</v>
      </c>
      <c r="AW24" s="264" t="n">
        <v>16162</v>
      </c>
      <c r="AX24" s="264" t="n">
        <v>4269</v>
      </c>
      <c r="AY24" s="264" t="n">
        <v>6015</v>
      </c>
      <c r="AZ24" s="264" t="n">
        <v>4459</v>
      </c>
      <c r="BA24" s="264" t="n">
        <v>4750</v>
      </c>
      <c r="BB24" s="264" t="n">
        <v>19493</v>
      </c>
      <c r="BC24" s="264" t="n">
        <v>4161</v>
      </c>
      <c r="BD24" s="264" t="n">
        <v>6219</v>
      </c>
      <c r="BE24" s="264" t="n">
        <v>6263</v>
      </c>
      <c r="BF24" s="264" t="n">
        <v>9224</v>
      </c>
      <c r="BG24" s="264" t="n">
        <v>25867</v>
      </c>
      <c r="BH24" s="264" t="n">
        <v>6704</v>
      </c>
      <c r="BI24" s="264" t="n">
        <v>8840</v>
      </c>
      <c r="BJ24" s="264" t="n">
        <v>7876</v>
      </c>
      <c r="BK24" s="264" t="n">
        <v>10481</v>
      </c>
      <c r="BL24" s="264" t="n">
        <v>33901</v>
      </c>
      <c r="BM24" s="264" t="n">
        <v>4653</v>
      </c>
      <c r="BN24" s="264" t="n">
        <v>6003</v>
      </c>
      <c r="BO24" s="264" t="n">
        <v>7443</v>
      </c>
      <c r="BP24" s="264" t="n">
        <v>4762</v>
      </c>
      <c r="BQ24" s="264" t="n">
        <v>22861</v>
      </c>
      <c r="BR24" s="264" t="n">
        <v>8147</v>
      </c>
      <c r="BS24" s="264" t="n">
        <v>10874</v>
      </c>
      <c r="BT24" s="264" t="n">
        <v>11094</v>
      </c>
      <c r="BU24" s="264" t="n">
        <v>11379</v>
      </c>
      <c r="BV24" s="264" t="n">
        <v>41494</v>
      </c>
      <c r="BW24" s="264" t="n">
        <v>9203</v>
      </c>
      <c r="BX24" s="264" t="n">
        <v>11751</v>
      </c>
      <c r="BY24" s="265">
        <f>BY18*BY22</f>
        <v>11354.4760878874</v>
      </c>
      <c r="BZ24" s="265">
        <f>BZ18*BZ22</f>
        <v>11437.0505272173</v>
      </c>
      <c r="CA24" s="265">
        <f>SUM(BW24:BZ24)</f>
        <v>43745.5266151046</v>
      </c>
      <c r="CB24" s="265">
        <f>CB18*CB22</f>
        <v>50663.301910828</v>
      </c>
      <c r="CC24" s="265">
        <f>CC18*CC22</f>
        <v>56829.6503694268</v>
      </c>
      <c r="CD24" s="265">
        <f>CD18*CD22</f>
        <v>61847.8157228026</v>
      </c>
      <c r="CE24" s="265">
        <f>CE18*CE22</f>
        <v>65219.9942467363</v>
      </c>
      <c r="CF24" s="265">
        <f>CF18*CF22</f>
        <v>67957.717261047</v>
      </c>
      <c r="CG24" s="153" t="inlineStr">
        <is>
          <t>As reported (segment table). Forecast = deliveries × revenue per delivery.</t>
        </is>
      </c>
      <c r="CI24" s="20">
        <f>IFERROR(IF(AND(CF24&gt;0,CA24&gt;0),(CF24/CA24)^(1/5)-1,"n/m"),"n/m")</f>
        <v>0.0920965286356263</v>
      </c>
      <c r="CJ24" s="20">
        <f>IFERROR(IF(AND(BV24&gt;0,AW24&gt;0),(BV24/AW24)^(1/5)-1,"n/m"),"n/m")</f>
        <v>0.207530308132082</v>
      </c>
      <c r="CK24" s="20">
        <f>IFERROR(IF(AND(BV24&gt;0,X24&gt;0),(BV24/X24)^(1/10)-1,"n/m"),"n/m")</f>
        <v>-0.045419489663495</v>
      </c>
      <c r="CL24" s="20">
        <f>IFERROR(IF(AND(BV24&gt;0,C24&gt;0),(BV24/C24)^(1/19)-1,"n/m"),"n/m")</f>
        <v>0.0200334811068217</v>
      </c>
      <c r="CO24" s="25" t="inlineStr">
        <is>
          <t xml:space="preserve">  Q3/Q4-26E non-operating pension &amp; postretirement income ($m per quarter)</t>
        </is>
      </c>
      <c r="CQ24" s="261" t="n">
        <v>-64</v>
      </c>
      <c r="CS24" s="13" t="inlineStr">
        <is>
          <t>Q1 −$65m, Q2 −$64m (expense).</t>
        </is>
      </c>
    </row>
    <row r="25" ht="15" customHeight="1" s="251">
      <c r="B25" s="22" t="inlineStr">
        <is>
          <t xml:space="preserve">  BCA revenues y/y %</t>
        </is>
      </c>
      <c r="C25" s="23" t="n"/>
      <c r="D25" s="259">
        <f>IF(AND(ISNUMBER(D24),ISNUMBER(C24)),IF(C24&gt;0,IFERROR(D24/C24-1,""),"n/m"),"")</f>
        <v>0.172878974178816</v>
      </c>
      <c r="E25" s="259">
        <f>IF(AND(ISNUMBER(E24),ISNUMBER(D24)),IF(D24&gt;0,IFERROR(E24/D24-1,""),"n/m"),"")</f>
        <v>-0.153447552866471</v>
      </c>
      <c r="F25" s="259">
        <f>IF(AND(ISNUMBER(F24),ISNUMBER(E24)),IF(E24&gt;0,IFERROR(F24/E24-1,""),"n/m"),"")</f>
        <v>0.204790715776811</v>
      </c>
      <c r="G25" s="259">
        <f>IF(AND(ISNUMBER(G24),ISNUMBER(F24)),IF(F24&gt;0,IFERROR(G24/F24-1,""),"n/m"),"")</f>
        <v>-0.0651082200229068</v>
      </c>
      <c r="H25" s="259">
        <f>IF(AND(ISNUMBER(H24),ISNUMBER(G24)),IF(G24&gt;0,IFERROR(H24/G24-1,""),"n/m"),"")</f>
        <v>0.136237984544826</v>
      </c>
      <c r="I25" s="259">
        <f>IF(AND(ISNUMBER(I24),ISNUMBER(H24)),IF(H24&gt;0,IFERROR(I24/H24-1,""),"n/m"),"")</f>
        <v>0.358187498272097</v>
      </c>
      <c r="J25" s="23" t="n"/>
      <c r="K25" s="23" t="n"/>
      <c r="L25" s="23" t="n"/>
      <c r="M25" s="23" t="n"/>
      <c r="N25" s="259">
        <f>IF(AND(ISNUMBER(N24),ISNUMBER(I24)),IF(I24&gt;0,IFERROR(N24/I24-1,""),"n/m"),"")</f>
        <v>0.0784497323264193</v>
      </c>
      <c r="O25" s="259">
        <f>IF(AND(ISNUMBER(O24),ISNUMBER(J24)),IF(J24&gt;0,IFERROR(O24/J24-1,""),"n/m"),"")</f>
        <v>0.191487371375117</v>
      </c>
      <c r="P25" s="259">
        <f>IF(AND(ISNUMBER(P24),ISNUMBER(K24)),IF(K24&gt;0,IFERROR(P24/K24-1,""),"n/m"),"")</f>
        <v>0.0499119201409277</v>
      </c>
      <c r="Q25" s="259">
        <f>IF(AND(ISNUMBER(Q24),ISNUMBER(L24)),IF(L24&gt;0,IFERROR(Q24/L24-1,""),"n/m"),"")</f>
        <v>0.151783799242153</v>
      </c>
      <c r="R25" s="259">
        <f>IF(AND(ISNUMBER(R24),ISNUMBER(M24)),IF(M24&gt;0,IFERROR(R24/M24-1,""),"n/m"),"")</f>
        <v>0.147070844686648</v>
      </c>
      <c r="S25" s="259">
        <f>IF(AND(ISNUMBER(S24),ISNUMBER(N24)),IF(N24&gt;0,IFERROR(S24/N24-1,""),"n/m"),"")</f>
        <v>0.132292708706895</v>
      </c>
      <c r="T25" s="259">
        <f>IF(AND(ISNUMBER(T24),ISNUMBER(O24)),IF(O24&gt;0,IFERROR(T24/O24-1,""),"n/m"),"")</f>
        <v>0.20758420350161</v>
      </c>
      <c r="U25" s="259">
        <f>IF(AND(ISNUMBER(U24),ISNUMBER(P24)),IF(P24&gt;0,IFERROR(U24/P24-1,""),"n/m"),"")</f>
        <v>0.179879753914989</v>
      </c>
      <c r="V25" s="259">
        <f>IF(AND(ISNUMBER(V24),ISNUMBER(Q24)),IF(Q24&gt;0,IFERROR(V24/Q24-1,""),"n/m"),"")</f>
        <v>0.0981998758535072</v>
      </c>
      <c r="W25" s="259">
        <f>IF(AND(ISNUMBER(W24),ISNUMBER(R24)),IF(R24&gt;0,IFERROR(W24/R24-1,""),"n/m"),"")</f>
        <v>-0.0440049884197399</v>
      </c>
      <c r="X25" s="259">
        <f>IF(AND(ISNUMBER(X24),ISNUMBER(S24)),IF(S24&gt;0,IFERROR(X24/S24-1,""),"n/m"),"")</f>
        <v>0.100983497249542</v>
      </c>
      <c r="Y25" s="259">
        <f>IF(AND(ISNUMBER(Y24),ISNUMBER(T24)),IF(T24&gt;0,IFERROR(Y24/T24-1,""),"n/m"),"")</f>
        <v>-0.0638450035758403</v>
      </c>
      <c r="Z25" s="259">
        <f>IF(AND(ISNUMBER(Z24),ISNUMBER(U24)),IF(U24&gt;0,IFERROR(Z24/U24-1,""),"n/m"),"")</f>
        <v>0.0343070450909522</v>
      </c>
      <c r="AA25" s="259">
        <f>IF(AND(ISNUMBER(AA24),ISNUMBER(V24)),IF(V24&gt;0,IFERROR(AA24/V24-1,""),"n/m"),"")</f>
        <v>-0.0406398372145602</v>
      </c>
      <c r="AB25" s="259">
        <f>IF(AND(ISNUMBER(AB24),ISNUMBER(W24)),IF(W24&gt;0,IFERROR(AB24/W24-1,""),"n/m"),"")</f>
        <v>0.0088830910672133</v>
      </c>
      <c r="AC25" s="259">
        <f>IF(AND(ISNUMBER(AC24),ISNUMBER(X24)),IF(X24&gt;0,IFERROR(AC24/X24-1,""),"n/m"),"")</f>
        <v>-0.0148225532945736</v>
      </c>
      <c r="AD25" s="259">
        <f>IF(AND(ISNUMBER(AD24),ISNUMBER(Y24)),IF(Y24&gt;0,IFERROR(AD24/Y24-1,""),"n/m"),"")</f>
        <v>-0.00652823112716161</v>
      </c>
      <c r="AE25" s="259">
        <f>IF(AND(ISNUMBER(AE24),ISNUMBER(Z24)),IF(Z24&gt;0,IFERROR(AE24/Z24-1,""),"n/m"),"")</f>
        <v>-0.0998510540788268</v>
      </c>
      <c r="AF25" s="259">
        <f>IF(AND(ISNUMBER(AF24),ISNUMBER(AA24)),IF(AA24&gt;0,IFERROR(AF24/AA24-1,""),"n/m"),"")</f>
        <v>-0.117303953337654</v>
      </c>
      <c r="AG25" s="259">
        <f>IF(AND(ISNUMBER(AG24),ISNUMBER(AB24)),IF(AB24&gt;0,IFERROR(AG24/AB24-1,""),"n/m"),"")</f>
        <v>-0.0477187365310018</v>
      </c>
      <c r="AH25" s="259">
        <f>IF(AND(ISNUMBER(AH24),ISNUMBER(AC24)),IF(AC24&gt;0,IFERROR(AH24/AC24-1,""),"n/m"),"")</f>
        <v>-0.128171633189384</v>
      </c>
      <c r="AI25" s="259">
        <f>IF(AND(ISNUMBER(AI24),ISNUMBER(AD24)),IF(AD24&gt;0,IFERROR(AI24/AD24-1,""),"n/m"),"")</f>
        <v>-0.0456483746941628</v>
      </c>
      <c r="AJ25" s="259">
        <f>IF(AND(ISNUMBER(AJ24),ISNUMBER(AE24)),IF(AE24&gt;0,IFERROR(AJ24/AE24-1,""),"n/m"),"")</f>
        <v>-0.078406415070324</v>
      </c>
      <c r="AK25" s="259">
        <f>IF(AND(ISNUMBER(AK24),ISNUMBER(AF24)),IF(AF24&gt;0,IFERROR(AK24/AF24-1,""),"n/m"),"")</f>
        <v>0.0196235482579095</v>
      </c>
      <c r="AL25" s="259">
        <f>IF(AND(ISNUMBER(AL24),ISNUMBER(AG24)),IF(AG24&gt;0,IFERROR(AL24/AG24-1,""),"n/m"),"")</f>
        <v>0.118970645286435</v>
      </c>
      <c r="AM25" s="259">
        <f>IF(AND(ISNUMBER(AM24),ISNUMBER(AH24)),IF(AH24&gt;0,IFERROR(AM24/AH24-1,""),"n/m"),"")</f>
        <v>0.070263886195773</v>
      </c>
      <c r="AN25" s="259">
        <f>IF(AND(ISNUMBER(AN24),ISNUMBER(AI24)),IF(AI24&gt;0,IFERROR(AN24/AI24-1,""),"n/m"),"")</f>
        <v>-0.134046293583358</v>
      </c>
      <c r="AO25" s="259">
        <f>IF(AND(ISNUMBER(AO24),ISNUMBER(AJ24)),IF(AJ24&gt;0,IFERROR(AO24/AJ24-1,""),"n/m"),"")</f>
        <v>-0.673917547130723</v>
      </c>
      <c r="AP25" s="259">
        <f>IF(AND(ISNUMBER(AP24),ISNUMBER(AK24)),IF(AK24&gt;0,IFERROR(AP24/AK24-1,""),"n/m"),"")</f>
        <v>-0.460002618486515</v>
      </c>
      <c r="AQ25" s="259">
        <f>IF(AND(ISNUMBER(AQ24),ISNUMBER(AL24)),IF(AL24&gt;0,IFERROR(AQ24/AL24-1,""),"n/m"),"")</f>
        <v>-0.568820062406102</v>
      </c>
      <c r="AR25" s="259">
        <f>IF(AND(ISNUMBER(AR24),ISNUMBER(AM24)),IF(AM24&gt;0,IFERROR(AR24/AM24-1,""),"n/m"),"")</f>
        <v>-0.468747426500865</v>
      </c>
      <c r="AS25" s="259">
        <f>IF(AND(ISNUMBER(AS24),ISNUMBER(AN24)),IF(AN24&gt;0,IFERROR(AS24/AN24-1,""),"n/m"),"")</f>
        <v>-0.475131111487058</v>
      </c>
      <c r="AT25" s="259">
        <f>IF(AND(ISNUMBER(AT24),ISNUMBER(AO24)),IF(AO24&gt;0,IFERROR(AT24/AO24-1,""),"n/m"),"")</f>
        <v>-0.65417196103346</v>
      </c>
      <c r="AU25" s="259">
        <f>IF(AND(ISNUMBER(AU24),ISNUMBER(AP24)),IF(AP24&gt;0,IFERROR(AU24/AP24-1,""),"n/m"),"")</f>
        <v>-0.56406837192387</v>
      </c>
      <c r="AV25" s="259">
        <f>IF(AND(ISNUMBER(AV24),ISNUMBER(AQ24)),IF(AQ24&gt;0,IFERROR(AV24/AQ24-1,""),"n/m"),"")</f>
        <v>-0.366389707853123</v>
      </c>
      <c r="AW25" s="259">
        <f>IF(AND(ISNUMBER(AW24),ISNUMBER(AR24)),IF(AR24&gt;0,IFERROR(AW24/AR24-1,""),"n/m"),"")</f>
        <v>-0.498930398387847</v>
      </c>
      <c r="AX25" s="259">
        <f>IF(AND(ISNUMBER(AX24),ISNUMBER(AS24)),IF(AS24&gt;0,IFERROR(AX24/AS24-1,""),"n/m"),"")</f>
        <v>-0.312006446414182</v>
      </c>
      <c r="AY25" s="259">
        <f>IF(AND(ISNUMBER(AY24),ISNUMBER(AT24)),IF(AT24&gt;0,IFERROR(AY24/AT24-1,""),"n/m"),"")</f>
        <v>2.683404776485</v>
      </c>
      <c r="AZ25" s="259">
        <f>IF(AND(ISNUMBER(AZ24),ISNUMBER(AU24)),IF(AU24&gt;0,IFERROR(AZ24/AU24-1,""),"n/m"),"")</f>
        <v>0.239988876529477</v>
      </c>
      <c r="BA25" s="259">
        <f>IF(AND(ISNUMBER(BA24),ISNUMBER(AV24)),IF(AV24&gt;0,IFERROR(BA24/AV24-1,""),"n/m"),"")</f>
        <v>0.00465313028764802</v>
      </c>
      <c r="BB25" s="259">
        <f>IF(AND(ISNUMBER(BB24),ISNUMBER(AW24)),IF(AW24&gt;0,IFERROR(BB24/AW24-1,""),"n/m"),"")</f>
        <v>0.20610073010766</v>
      </c>
      <c r="BC25" s="259">
        <f>IF(AND(ISNUMBER(BC24),ISNUMBER(AX24)),IF(AX24&gt;0,IFERROR(BC24/AX24-1,""),"n/m"),"")</f>
        <v>-0.0252986647926915</v>
      </c>
      <c r="BD25" s="259">
        <f>IF(AND(ISNUMBER(BD24),ISNUMBER(AY24)),IF(AY24&gt;0,IFERROR(BD24/AY24-1,""),"n/m"),"")</f>
        <v>0.0339152119700747</v>
      </c>
      <c r="BE25" s="259">
        <f>IF(AND(ISNUMBER(BE24),ISNUMBER(AZ24)),IF(AZ24&gt;0,IFERROR(BE24/AZ24-1,""),"n/m"),"")</f>
        <v>0.404575016819915</v>
      </c>
      <c r="BF25" s="259">
        <f>IF(AND(ISNUMBER(BF24),ISNUMBER(BA24)),IF(BA24&gt;0,IFERROR(BF24/BA24-1,""),"n/m"),"")</f>
        <v>0.941894736842105</v>
      </c>
      <c r="BG25" s="259">
        <f>IF(AND(ISNUMBER(BG24),ISNUMBER(BB24)),IF(BB24&gt;0,IFERROR(BG24/BB24-1,""),"n/m"),"")</f>
        <v>0.326989175601498</v>
      </c>
      <c r="BH25" s="259">
        <f>IF(AND(ISNUMBER(BH24),ISNUMBER(BC24)),IF(BC24&gt;0,IFERROR(BH24/BC24-1,""),"n/m"),"")</f>
        <v>0.611151165585196</v>
      </c>
      <c r="BI25" s="259">
        <f>IF(AND(ISNUMBER(BI24),ISNUMBER(BD24)),IF(BD24&gt;0,IFERROR(BI24/BD24-1,""),"n/m"),"")</f>
        <v>0.421450393954012</v>
      </c>
      <c r="BJ25" s="259">
        <f>IF(AND(ISNUMBER(BJ24),ISNUMBER(BE24)),IF(BE24&gt;0,IFERROR(BJ24/BE24-1,""),"n/m"),"")</f>
        <v>0.257544307839694</v>
      </c>
      <c r="BK25" s="259">
        <f>IF(AND(ISNUMBER(BK24),ISNUMBER(BF24)),IF(BF24&gt;0,IFERROR(BK24/BF24-1,""),"n/m"),"")</f>
        <v>0.136274934952298</v>
      </c>
      <c r="BL25" s="259">
        <f>IF(AND(ISNUMBER(BL24),ISNUMBER(BG24)),IF(BG24&gt;0,IFERROR(BL24/BG24-1,""),"n/m"),"")</f>
        <v>0.310588781072409</v>
      </c>
      <c r="BM25" s="259">
        <f>IF(AND(ISNUMBER(BM24),ISNUMBER(BH24)),IF(BH24&gt;0,IFERROR(BM24/BH24-1,""),"n/m"),"")</f>
        <v>-0.305936754176611</v>
      </c>
      <c r="BN25" s="259">
        <f>IF(AND(ISNUMBER(BN24),ISNUMBER(BI24)),IF(BI24&gt;0,IFERROR(BN24/BI24-1,""),"n/m"),"")</f>
        <v>-0.320927601809955</v>
      </c>
      <c r="BO25" s="259">
        <f>IF(AND(ISNUMBER(BO24),ISNUMBER(BJ24)),IF(BJ24&gt;0,IFERROR(BO24/BJ24-1,""),"n/m"),"")</f>
        <v>-0.0549771457592687</v>
      </c>
      <c r="BP25" s="259">
        <f>IF(AND(ISNUMBER(BP24),ISNUMBER(BK24)),IF(BK24&gt;0,IFERROR(BP24/BK24-1,""),"n/m"),"")</f>
        <v>-0.545654040644977</v>
      </c>
      <c r="BQ25" s="259">
        <f>IF(AND(ISNUMBER(BQ24),ISNUMBER(BL24)),IF(BL24&gt;0,IFERROR(BQ24/BL24-1,""),"n/m"),"")</f>
        <v>-0.325654110498215</v>
      </c>
      <c r="BR25" s="259">
        <f>IF(AND(ISNUMBER(BR24),ISNUMBER(BM24)),IF(BM24&gt;0,IFERROR(BR24/BM24-1,""),"n/m"),"")</f>
        <v>0.750913389211262</v>
      </c>
      <c r="BS25" s="259">
        <f>IF(AND(ISNUMBER(BS24),ISNUMBER(BN24)),IF(BN24&gt;0,IFERROR(BS24/BN24-1,""),"n/m"),"")</f>
        <v>0.811427619523572</v>
      </c>
      <c r="BT25" s="259">
        <f>IF(AND(ISNUMBER(BT24),ISNUMBER(BO24)),IF(BO24&gt;0,IFERROR(BT24/BO24-1,""),"n/m"),"")</f>
        <v>0.490528012898025</v>
      </c>
      <c r="BU25" s="259">
        <f>IF(AND(ISNUMBER(BU24),ISNUMBER(BP24)),IF(BP24&gt;0,IFERROR(BU24/BP24-1,""),"n/m"),"")</f>
        <v>1.38954220915582</v>
      </c>
      <c r="BV25" s="259">
        <f>IF(AND(ISNUMBER(BV24),ISNUMBER(BQ24)),IF(BQ24&gt;0,IFERROR(BV24/BQ24-1,""),"n/m"),"")</f>
        <v>0.815056209264687</v>
      </c>
      <c r="BW25" s="259">
        <f>IF(AND(ISNUMBER(BW24),ISNUMBER(BR24)),IF(BR24&gt;0,IFERROR(BW24/BR24-1,""),"n/m"),"")</f>
        <v>0.129618264391801</v>
      </c>
      <c r="BX25" s="259">
        <f>IF(AND(ISNUMBER(BX24),ISNUMBER(BS24)),IF(BS24&gt;0,IFERROR(BX24/BS24-1,""),"n/m"),"")</f>
        <v>0.0806510943535037</v>
      </c>
      <c r="BY25" s="260">
        <f>IF(AND(ISNUMBER(BY24),ISNUMBER(BT24)),IF(BT24&gt;0,IFERROR(BY24/BT24-1,""),"n/m"),"")</f>
        <v>0.0234790055784553</v>
      </c>
      <c r="BZ25" s="260">
        <f>IF(AND(ISNUMBER(BZ24),ISNUMBER(BU24)),IF(BU24&gt;0,IFERROR(BZ24/BU24-1,""),"n/m"),"")</f>
        <v>0.00510154910073446</v>
      </c>
      <c r="CA25" s="260">
        <f>IF(AND(ISNUMBER(CA24),ISNUMBER(BV24)),IF(BV24&gt;0,IFERROR(CA24/BV24-1,""),"n/m"),"")</f>
        <v>0.0542614984119305</v>
      </c>
      <c r="CB25" s="260">
        <f>IF(AND(ISNUMBER(CB24),ISNUMBER(CA24)),IF(CA24&gt;0,IFERROR(CB24/CA24-1,""),"n/m"),"")</f>
        <v>0.158136747480251</v>
      </c>
      <c r="CC25" s="260">
        <f>IF(AND(ISNUMBER(CC24),ISNUMBER(CB24)),IF(CB24&gt;0,IFERROR(CC24/CB24-1,""),"n/m"),"")</f>
        <v>0.121712328767123</v>
      </c>
      <c r="CD25" s="260">
        <f>IF(AND(ISNUMBER(CD24),ISNUMBER(CC24)),IF(CC24&gt;0,IFERROR(CD24/CC24-1,""),"n/m"),"")</f>
        <v>0.088301886792453</v>
      </c>
      <c r="CE25" s="260">
        <f>IF(AND(ISNUMBER(CE24),ISNUMBER(CD24)),IF(CD24&gt;0,IFERROR(CE24/CD24-1,""),"n/m"),"")</f>
        <v>0.0545238095238096</v>
      </c>
      <c r="CF25" s="260">
        <f>IF(AND(ISNUMBER(CF24),ISNUMBER(CE24)),IF(CE24&gt;0,IFERROR(CF24/CE24-1,""),"n/m"),"")</f>
        <v>0.0419767441860466</v>
      </c>
      <c r="CG25" s="153" t="n"/>
      <c r="CO25" s="25" t="inlineStr">
        <is>
          <t xml:space="preserve">  Q3/Q4-26E interest &amp; other income ($m per quarter)</t>
        </is>
      </c>
      <c r="CQ25" s="261" t="n">
        <v>150</v>
      </c>
      <c r="CS25" s="13" t="inlineStr">
        <is>
          <t>Q2-26 $143m on ~$20bn cash &amp; investments. Assumption.</t>
        </is>
      </c>
    </row>
    <row r="26" ht="15" customHeight="1" s="251">
      <c r="B26" s="25" t="inlineStr">
        <is>
          <t xml:space="preserve">  BCA earnings / (loss) from operations</t>
        </is>
      </c>
      <c r="C26" s="266" t="n">
        <v>2733</v>
      </c>
      <c r="D26" s="266" t="n">
        <v>3584</v>
      </c>
      <c r="E26" s="266" t="n">
        <v>1186</v>
      </c>
      <c r="F26" s="266" t="n">
        <v>-583</v>
      </c>
      <c r="G26" s="266" t="n">
        <v>3006</v>
      </c>
      <c r="H26" s="266" t="n">
        <v>3495</v>
      </c>
      <c r="I26" s="266" t="n">
        <v>4711</v>
      </c>
      <c r="J26" s="266" t="n">
        <v>1219</v>
      </c>
      <c r="K26" s="266" t="n">
        <v>1453</v>
      </c>
      <c r="L26" s="266" t="n">
        <v>1617</v>
      </c>
      <c r="M26" s="266" t="n">
        <v>1506</v>
      </c>
      <c r="N26" s="266" t="n">
        <v>5795</v>
      </c>
      <c r="O26" s="266" t="n">
        <v>1502</v>
      </c>
      <c r="P26" s="266" t="n">
        <v>1550</v>
      </c>
      <c r="Q26" s="266" t="n">
        <v>1797</v>
      </c>
      <c r="R26" s="266" t="n">
        <v>1562</v>
      </c>
      <c r="S26" s="266" t="n">
        <v>6411</v>
      </c>
      <c r="T26" s="266" t="n">
        <v>1617</v>
      </c>
      <c r="U26" s="266" t="n">
        <v>1206</v>
      </c>
      <c r="V26" s="266" t="n">
        <v>1768</v>
      </c>
      <c r="W26" s="266" t="n">
        <v>566</v>
      </c>
      <c r="X26" s="266" t="n">
        <v>5157</v>
      </c>
      <c r="Y26" s="266" t="n">
        <v>1033</v>
      </c>
      <c r="Z26" s="266" t="n">
        <v>-973</v>
      </c>
      <c r="AA26" s="266" t="n">
        <v>1597</v>
      </c>
      <c r="AB26" s="266" t="n">
        <v>1473</v>
      </c>
      <c r="AC26" s="266" t="n">
        <v>3130</v>
      </c>
      <c r="AD26" s="266" t="n">
        <v>1215</v>
      </c>
      <c r="AE26" s="266" t="n">
        <v>1567</v>
      </c>
      <c r="AF26" s="266" t="n">
        <v>1483</v>
      </c>
      <c r="AG26" s="266" t="n">
        <v>1784</v>
      </c>
      <c r="AH26" s="266" t="n">
        <v>5432</v>
      </c>
      <c r="AI26" s="266" t="n">
        <v>1508</v>
      </c>
      <c r="AJ26" s="266" t="n">
        <v>1644</v>
      </c>
      <c r="AK26" s="266" t="n">
        <v>2023</v>
      </c>
      <c r="AL26" s="266" t="n">
        <v>2704</v>
      </c>
      <c r="AM26" s="266" t="n">
        <v>7879</v>
      </c>
      <c r="AN26" s="266" t="n">
        <v>1173</v>
      </c>
      <c r="AO26" s="266" t="n">
        <v>-4946</v>
      </c>
      <c r="AP26" s="266" t="n">
        <v>-40</v>
      </c>
      <c r="AQ26" s="266" t="n">
        <v>-2844</v>
      </c>
      <c r="AR26" s="266" t="n">
        <v>-6657</v>
      </c>
      <c r="AS26" s="266" t="n">
        <v>-2068</v>
      </c>
      <c r="AT26" s="266" t="n">
        <v>-2762</v>
      </c>
      <c r="AU26" s="266" t="n">
        <v>-1369</v>
      </c>
      <c r="AV26" s="266" t="n">
        <v>-7648</v>
      </c>
      <c r="AW26" s="266" t="n">
        <v>-13847</v>
      </c>
      <c r="AX26" s="266" t="n">
        <v>-856</v>
      </c>
      <c r="AY26" s="266" t="n">
        <v>-472</v>
      </c>
      <c r="AZ26" s="266" t="n">
        <v>-693</v>
      </c>
      <c r="BA26" s="266" t="n">
        <v>-4454</v>
      </c>
      <c r="BB26" s="266" t="n">
        <v>-6475</v>
      </c>
      <c r="BC26" s="266" t="n">
        <v>-859</v>
      </c>
      <c r="BD26" s="266" t="n">
        <v>-242</v>
      </c>
      <c r="BE26" s="266" t="n">
        <v>-643</v>
      </c>
      <c r="BF26" s="266" t="n">
        <v>-626</v>
      </c>
      <c r="BG26" s="266" t="n">
        <v>-2370</v>
      </c>
      <c r="BH26" s="266" t="n">
        <v>-615</v>
      </c>
      <c r="BI26" s="266" t="n">
        <v>-383</v>
      </c>
      <c r="BJ26" s="266" t="n">
        <v>-678</v>
      </c>
      <c r="BK26" s="266" t="n">
        <v>41</v>
      </c>
      <c r="BL26" s="266" t="n">
        <v>-1635</v>
      </c>
      <c r="BM26" s="266" t="n">
        <v>-1143</v>
      </c>
      <c r="BN26" s="266" t="n">
        <v>-715</v>
      </c>
      <c r="BO26" s="266" t="n">
        <v>-4021</v>
      </c>
      <c r="BP26" s="266" t="n">
        <v>-2090</v>
      </c>
      <c r="BQ26" s="266" t="n">
        <v>-7969</v>
      </c>
      <c r="BR26" s="266" t="n">
        <v>-537</v>
      </c>
      <c r="BS26" s="266" t="n">
        <v>-557</v>
      </c>
      <c r="BT26" s="266" t="n">
        <v>-5353</v>
      </c>
      <c r="BU26" s="266" t="n">
        <v>-632</v>
      </c>
      <c r="BV26" s="266" t="n">
        <v>-7079</v>
      </c>
      <c r="BW26" s="266" t="n">
        <v>-563</v>
      </c>
      <c r="BX26" s="266" t="n">
        <v>-322</v>
      </c>
      <c r="BY26" s="263">
        <f>BY24*BY27</f>
        <v>-227.089521757748</v>
      </c>
      <c r="BZ26" s="263">
        <f>BZ24*BZ27</f>
        <v>-228.741010544345</v>
      </c>
      <c r="CA26" s="263">
        <f>SUM(BW26:BZ26)</f>
        <v>-1340.83053230209</v>
      </c>
      <c r="CB26" s="263">
        <f>CB24*CB27</f>
        <v>1519.89905732484</v>
      </c>
      <c r="CC26" s="263">
        <f>CC24*CC27</f>
        <v>3409.77902216561</v>
      </c>
      <c r="CD26" s="263">
        <f>CD24*CD27</f>
        <v>5566.30341505223</v>
      </c>
      <c r="CE26" s="263">
        <f>CE24*CE27</f>
        <v>7174.199367141</v>
      </c>
      <c r="CF26" s="263">
        <f>CF24*CF27</f>
        <v>8154.92607132564</v>
      </c>
      <c r="CG26" s="19" t="inlineStr">
        <is>
          <t>As reported (incl. reach-forward losses: 787 2016–21, 777X 2024–25, 767 / 737 abnormal costs). Forecast = revenues × margin.</t>
        </is>
      </c>
      <c r="CI26" s="20" t="str">
        <f>IFERROR(IF(AND(CF26&gt;0,CA26&gt;0),(CF26/CA26)^(1/5)-1,"n/m"),"n/m")</f>
        <v>n/m</v>
      </c>
      <c r="CJ26" s="20" t="str">
        <f>IFERROR(IF(AND(BV26&gt;0,AW26&gt;0),(BV26/AW26)^(1/5)-1,"n/m"),"n/m")</f>
        <v>n/m</v>
      </c>
      <c r="CK26" s="20" t="str">
        <f>IFERROR(IF(AND(BV26&gt;0,X26&gt;0),(BV26/X26)^(1/10)-1,"n/m"),"n/m")</f>
        <v>n/m</v>
      </c>
      <c r="CL26" s="20" t="str">
        <f>IFERROR(IF(AND(BV26&gt;0,C26&gt;0),(BV26/C26)^(1/19)-1,"n/m"),"n/m")</f>
        <v>n/m</v>
      </c>
      <c r="CO26" s="25" t="inlineStr">
        <is>
          <t xml:space="preserve">  Q3/Q4-26E interest and debt expense ($m per quarter)</t>
        </is>
      </c>
      <c r="CQ26" s="261" t="n">
        <v>590</v>
      </c>
      <c r="CS26" s="13" t="inlineStr">
        <is>
          <t>Q2-26 $600m; debt $45.9bn at 30-Jun-2026. Assumption.</t>
        </is>
      </c>
    </row>
    <row r="27" ht="15" customHeight="1" s="251">
      <c r="B27" s="25" t="inlineStr">
        <is>
          <t xml:space="preserve">  BCA operating margin %</t>
        </is>
      </c>
      <c r="C27" s="215">
        <f>IF(AND(ISNUMBER(C26),ISNUMBER(C24)),IFERROR(C26/C24,""),"")</f>
        <v>0.0960126471104866</v>
      </c>
      <c r="D27" s="215">
        <f>IF(AND(ISNUMBER(D26),ISNUMBER(D24)),IFERROR(D26/D24,""),"")</f>
        <v>0.107350386389505</v>
      </c>
      <c r="E27" s="215">
        <f>IF(AND(ISNUMBER(E26),ISNUMBER(E24)),IFERROR(E26/E24,""),"")</f>
        <v>0.041962990482256</v>
      </c>
      <c r="F27" s="215">
        <f>IF(AND(ISNUMBER(F26),ISNUMBER(F24)),IFERROR(F26/F24,""),"")</f>
        <v>-0.0171213767583918</v>
      </c>
      <c r="G27" s="215">
        <f>IF(AND(ISNUMBER(G26),ISNUMBER(G24)),IFERROR(G26/G24,""),"")</f>
        <v>0.0944273418357731</v>
      </c>
      <c r="H27" s="215">
        <f>IF(AND(ISNUMBER(H26),ISNUMBER(H24)),IFERROR(H26/H24,""),"")</f>
        <v>0.0966243675872937</v>
      </c>
      <c r="I27" s="215">
        <f>IF(AND(ISNUMBER(I26),ISNUMBER(I24)),IFERROR(I26/I24,""),"")</f>
        <v>0.095894314735278</v>
      </c>
      <c r="J27" s="215">
        <f>IF(AND(ISNUMBER(J26),ISNUMBER(J24)),IFERROR(J26/J24,""),"")</f>
        <v>0.114031805425631</v>
      </c>
      <c r="K27" s="215">
        <f>IF(AND(ISNUMBER(K26),ISNUMBER(K24)),IFERROR(K26/K24,""),"")</f>
        <v>0.106650029359953</v>
      </c>
      <c r="L27" s="215">
        <f>IF(AND(ISNUMBER(L26),ISNUMBER(L24)),IFERROR(L26/L24,""),"")</f>
        <v>0.115607349681847</v>
      </c>
      <c r="M27" s="215">
        <f>IF(AND(ISNUMBER(M26),ISNUMBER(M24)),IFERROR(M26/M24,""),"")</f>
        <v>0.102588555858311</v>
      </c>
      <c r="N27" s="215">
        <f>IF(AND(ISNUMBER(N26),ISNUMBER(N24)),IFERROR(N26/N24,""),"")</f>
        <v>0.109378833921595</v>
      </c>
      <c r="O27" s="215">
        <f>IF(AND(ISNUMBER(O26),ISNUMBER(O24)),IFERROR(O26/O24,""),"")</f>
        <v>0.117924157964984</v>
      </c>
      <c r="P27" s="215">
        <f>IF(AND(ISNUMBER(P26),ISNUMBER(P24)),IFERROR(P26/P24,""),"")</f>
        <v>0.10836129753915</v>
      </c>
      <c r="Q27" s="215">
        <f>IF(AND(ISNUMBER(Q26),ISNUMBER(Q24)),IFERROR(Q26/Q24,""),"")</f>
        <v>0.111545623836127</v>
      </c>
      <c r="R27" s="215">
        <f>IF(AND(ISNUMBER(R26),ISNUMBER(R24)),IFERROR(R26/R24,""),"")</f>
        <v>0.0927608527822317</v>
      </c>
      <c r="S27" s="215">
        <f>IF(AND(ISNUMBER(S26),ISNUMBER(S24)),IFERROR(S26/S24,""),"")</f>
        <v>0.106867811301884</v>
      </c>
      <c r="T27" s="215">
        <f>IF(AND(ISNUMBER(T26),ISNUMBER(T24)),IFERROR(T26/T24,""),"")</f>
        <v>0.105129705480788</v>
      </c>
      <c r="U27" s="215">
        <f>IF(AND(ISNUMBER(U26),ISNUMBER(U24)),IFERROR(U26/U24,""),"")</f>
        <v>0.0714581975469574</v>
      </c>
      <c r="V27" s="215">
        <f>IF(AND(ISNUMBER(V26),ISNUMBER(V24)),IFERROR(V26/V24,""),"")</f>
        <v>0.0999321727334388</v>
      </c>
      <c r="W27" s="215">
        <f>IF(AND(ISNUMBER(W26),ISNUMBER(W24)),IFERROR(W26/W24,""),"")</f>
        <v>0.035159647161138</v>
      </c>
      <c r="X27" s="215">
        <f>IF(AND(ISNUMBER(X26),ISNUMBER(X24)),IFERROR(X26/X24,""),"")</f>
        <v>0.0780795784883721</v>
      </c>
      <c r="Y27" s="215">
        <f>IF(AND(ISNUMBER(Y26),ISNUMBER(Y24)),IFERROR(Y26/Y24,""),"")</f>
        <v>0.0717410931314675</v>
      </c>
      <c r="Z27" s="215">
        <f>IF(AND(ISNUMBER(Z26),ISNUMBER(Z24)),IFERROR(Z26/Z24,""),"")</f>
        <v>-0.0557401466544455</v>
      </c>
      <c r="AA27" s="215">
        <f>IF(AND(ISNUMBER(AA26),ISNUMBER(AA24)),IFERROR(AA26/AA24,""),"")</f>
        <v>0.0940906145053909</v>
      </c>
      <c r="AB27" s="215">
        <f>IF(AND(ISNUMBER(AB26),ISNUMBER(AB24)),IFERROR(AB26/AB24,""),"")</f>
        <v>0.0906963856905363</v>
      </c>
      <c r="AC27" s="215">
        <f>IF(AND(ISNUMBER(AC26),ISNUMBER(AC24)),IFERROR(AC26/AC24,""),"")</f>
        <v>0.048102783199373</v>
      </c>
      <c r="AD27" s="215">
        <f>IF(AND(ISNUMBER(AD26),ISNUMBER(AD24)),IFERROR(AD26/AD24,""),"")</f>
        <v>0.0849353372946522</v>
      </c>
      <c r="AE27" s="215">
        <f>IF(AND(ISNUMBER(AE26),ISNUMBER(AE24)),IFERROR(AE26/AE24,""),"")</f>
        <v>0.099726341246102</v>
      </c>
      <c r="AF27" s="215">
        <f>IF(AND(ISNUMBER(AF26),ISNUMBER(AF24)),IFERROR(AF26/AF24,""),"")</f>
        <v>0.0989854492057135</v>
      </c>
      <c r="AG27" s="215">
        <f>IF(AND(ISNUMBER(AG26),ISNUMBER(AG24)),IFERROR(AG26/AG24,""),"")</f>
        <v>0.115349799560326</v>
      </c>
      <c r="AH27" s="215">
        <f>IF(AND(ISNUMBER(AH26),ISNUMBER(AH24)),IFERROR(AH26/AH24,""),"")</f>
        <v>0.095753494685258</v>
      </c>
      <c r="AI27" s="215">
        <f>IF(AND(ISNUMBER(AI26),ISNUMBER(AI24)),IFERROR(AI26/AI24,""),"")</f>
        <v>0.110460005859947</v>
      </c>
      <c r="AJ27" s="215">
        <f>IF(AND(ISNUMBER(AJ26),ISNUMBER(AJ24)),IFERROR(AJ26/AJ24,""),"")</f>
        <v>0.113528071265797</v>
      </c>
      <c r="AK27" s="215">
        <f>IF(AND(ISNUMBER(AK26),ISNUMBER(AK24)),IFERROR(AK26/AK24,""),"")</f>
        <v>0.132429955485729</v>
      </c>
      <c r="AL27" s="215">
        <f>IF(AND(ISNUMBER(AL26),ISNUMBER(AL24)),IFERROR(AL26/AL24,""),"")</f>
        <v>0.156246388535768</v>
      </c>
      <c r="AM27" s="215">
        <f>IF(AND(ISNUMBER(AM26),ISNUMBER(AM24)),IFERROR(AM26/AM24,""),"")</f>
        <v>0.1297702379972</v>
      </c>
      <c r="AN27" s="215">
        <f>IF(AND(ISNUMBER(AN26),ISNUMBER(AN24)),IFERROR(AN26/AN24,""),"")</f>
        <v>0.0992217898832685</v>
      </c>
      <c r="AO27" s="215">
        <f>IF(AND(ISNUMBER(AO26),ISNUMBER(AO24)),IFERROR(AO26/AO24,""),"")</f>
        <v>-1.04743752647183</v>
      </c>
      <c r="AP27" s="215">
        <f>IF(AND(ISNUMBER(AP26),ISNUMBER(AP24)),IFERROR(AP26/AP24,""),"")</f>
        <v>-0.00484907261486241</v>
      </c>
      <c r="AQ27" s="215">
        <f>IF(AND(ISNUMBER(AQ26),ISNUMBER(AQ24)),IFERROR(AQ26/AQ24,""),"")</f>
        <v>-0.381131064057893</v>
      </c>
      <c r="AR27" s="215">
        <f>IF(AND(ISNUMBER(AR26),ISNUMBER(AR24)),IFERROR(AR26/AR24,""),"")</f>
        <v>-0.206386606727639</v>
      </c>
      <c r="AS27" s="215">
        <f>IF(AND(ISNUMBER(AS26),ISNUMBER(AS24)),IFERROR(AS26/AS24,""),"")</f>
        <v>-0.333279613215149</v>
      </c>
      <c r="AT27" s="215">
        <f>IF(AND(ISNUMBER(AT26),ISNUMBER(AT24)),IFERROR(AT26/AT24,""),"")</f>
        <v>-1.69136558481323</v>
      </c>
      <c r="AU27" s="215">
        <f>IF(AND(ISNUMBER(AU26),ISNUMBER(AU24)),IFERROR(AU26/AU24,""),"")</f>
        <v>-0.380700778642937</v>
      </c>
      <c r="AV27" s="215">
        <f>IF(AND(ISNUMBER(AV26),ISNUMBER(AV24)),IFERROR(AV26/AV24,""),"")</f>
        <v>-1.6175972927242</v>
      </c>
      <c r="AW27" s="215">
        <f>IF(AND(ISNUMBER(AW26),ISNUMBER(AW24)),IFERROR(AW26/AW24,""),"")</f>
        <v>-0.856762776884049</v>
      </c>
      <c r="AX27" s="215">
        <f>IF(AND(ISNUMBER(AX26),ISNUMBER(AX24)),IFERROR(AX26/AX24,""),"")</f>
        <v>-0.200515343171703</v>
      </c>
      <c r="AY27" s="215">
        <f>IF(AND(ISNUMBER(AY26),ISNUMBER(AY24)),IFERROR(AY26/AY24,""),"")</f>
        <v>-0.0784704904405653</v>
      </c>
      <c r="AZ27" s="215">
        <f>IF(AND(ISNUMBER(AZ26),ISNUMBER(AZ24)),IFERROR(AZ26/AZ24,""),"")</f>
        <v>-0.15541601255887</v>
      </c>
      <c r="BA27" s="215">
        <f>IF(AND(ISNUMBER(BA26),ISNUMBER(BA24)),IFERROR(BA26/BA24,""),"")</f>
        <v>-0.937684210526316</v>
      </c>
      <c r="BB27" s="215">
        <f>IF(AND(ISNUMBER(BB26),ISNUMBER(BB24)),IFERROR(BB26/BB24,""),"")</f>
        <v>-0.332170522751757</v>
      </c>
      <c r="BC27" s="215">
        <f>IF(AND(ISNUMBER(BC26),ISNUMBER(BC24)),IFERROR(BC26/BC24,""),"")</f>
        <v>-0.206440759432829</v>
      </c>
      <c r="BD27" s="215">
        <f>IF(AND(ISNUMBER(BD26),ISNUMBER(BD24)),IFERROR(BD26/BD24,""),"")</f>
        <v>-0.0389130085222705</v>
      </c>
      <c r="BE27" s="215">
        <f>IF(AND(ISNUMBER(BE26),ISNUMBER(BE24)),IFERROR(BE26/BE24,""),"")</f>
        <v>-0.102666453776146</v>
      </c>
      <c r="BF27" s="215">
        <f>IF(AND(ISNUMBER(BF26),ISNUMBER(BF24)),IFERROR(BF26/BF24,""),"")</f>
        <v>-0.0678664353859497</v>
      </c>
      <c r="BG27" s="215">
        <f>IF(AND(ISNUMBER(BG26),ISNUMBER(BG24)),IFERROR(BG26/BG24,""),"")</f>
        <v>-0.0916225306374918</v>
      </c>
      <c r="BH27" s="215">
        <f>IF(AND(ISNUMBER(BH26),ISNUMBER(BH24)),IFERROR(BH26/BH24,""),"")</f>
        <v>-0.091736276849642</v>
      </c>
      <c r="BI27" s="215">
        <f>IF(AND(ISNUMBER(BI26),ISNUMBER(BI24)),IFERROR(BI26/BI24,""),"")</f>
        <v>-0.0433257918552036</v>
      </c>
      <c r="BJ27" s="215">
        <f>IF(AND(ISNUMBER(BJ26),ISNUMBER(BJ24)),IFERROR(BJ26/BJ24,""),"")</f>
        <v>-0.0860843067546978</v>
      </c>
      <c r="BK27" s="215">
        <f>IF(AND(ISNUMBER(BK26),ISNUMBER(BK24)),IFERROR(BK26/BK24,""),"")</f>
        <v>0.00391184047323729</v>
      </c>
      <c r="BL27" s="215">
        <f>IF(AND(ISNUMBER(BL26),ISNUMBER(BL24)),IFERROR(BL26/BL24,""),"")</f>
        <v>-0.0482286658210672</v>
      </c>
      <c r="BM27" s="215">
        <f>IF(AND(ISNUMBER(BM26),ISNUMBER(BM24)),IFERROR(BM26/BM24,""),"")</f>
        <v>-0.245647969052224</v>
      </c>
      <c r="BN27" s="215">
        <f>IF(AND(ISNUMBER(BN26),ISNUMBER(BN24)),IFERROR(BN26/BN24,""),"")</f>
        <v>-0.119107113110112</v>
      </c>
      <c r="BO27" s="215">
        <f>IF(AND(ISNUMBER(BO26),ISNUMBER(BO24)),IFERROR(BO26/BO24,""),"")</f>
        <v>-0.540239150880022</v>
      </c>
      <c r="BP27" s="215">
        <f>IF(AND(ISNUMBER(BP26),ISNUMBER(BP24)),IFERROR(BP26/BP24,""),"")</f>
        <v>-0.438891222175557</v>
      </c>
      <c r="BQ27" s="215">
        <f>IF(AND(ISNUMBER(BQ26),ISNUMBER(BQ24)),IFERROR(BQ26/BQ24,""),"")</f>
        <v>-0.348584926293688</v>
      </c>
      <c r="BR27" s="215">
        <f>IF(AND(ISNUMBER(BR26),ISNUMBER(BR24)),IFERROR(BR26/BR24,""),"")</f>
        <v>-0.0659138333128759</v>
      </c>
      <c r="BS27" s="215">
        <f>IF(AND(ISNUMBER(BS26),ISNUMBER(BS24)),IFERROR(BS26/BS24,""),"")</f>
        <v>-0.0512231009748023</v>
      </c>
      <c r="BT27" s="215">
        <f>IF(AND(ISNUMBER(BT26),ISNUMBER(BT24)),IFERROR(BT26/BT24,""),"")</f>
        <v>-0.482513070127997</v>
      </c>
      <c r="BU27" s="215">
        <f>IF(AND(ISNUMBER(BU26),ISNUMBER(BU24)),IFERROR(BU26/BU24,""),"")</f>
        <v>-0.0555409086914492</v>
      </c>
      <c r="BV27" s="215">
        <f>IF(AND(ISNUMBER(BV26),ISNUMBER(BV24)),IFERROR(BV26/BV24,""),"")</f>
        <v>-0.170602978743915</v>
      </c>
      <c r="BW27" s="215">
        <f>IF(AND(ISNUMBER(BW26),ISNUMBER(BW24)),IFERROR(BW26/BW24,""),"")</f>
        <v>-0.0611757035749212</v>
      </c>
      <c r="BX27" s="215">
        <f>IF(AND(ISNUMBER(BX26),ISNUMBER(BX24)),IFERROR(BX26/BX24,""),"")</f>
        <v>-0.0274019232405753</v>
      </c>
      <c r="BY27" s="260">
        <f>CHOOSE(MATCH($CG$2,{"Bull","Base","Bear"},0),$CP$17,$CQ$17,$CR$17)</f>
        <v>-0.02</v>
      </c>
      <c r="BZ27" s="260">
        <f>CHOOSE(MATCH($CG$2,{"Bull","Base","Bear"},0),$CP$17,$CQ$17,$CR$17)</f>
        <v>-0.02</v>
      </c>
      <c r="CA27" s="260">
        <f>IF(AND(ISNUMBER(CA26),ISNUMBER(CA24)),IFERROR(CA26/CA24,""),"")</f>
        <v>-0.030650689020146</v>
      </c>
      <c r="CB27" s="260">
        <f>CHOOSE(MATCH($CG$2,{"Bull","Base","Bear"},0),$CP$64,$CQ$64,$CR$64)</f>
        <v>0.03</v>
      </c>
      <c r="CC27" s="260">
        <f>CHOOSE(MATCH($CG$2,{"Bull","Base","Bear"},0),$CP$65,$CQ$65,$CR$65)</f>
        <v>0.06</v>
      </c>
      <c r="CD27" s="260">
        <f>CHOOSE(MATCH($CG$2,{"Bull","Base","Bear"},0),$CP$66,$CQ$66,$CR$66)</f>
        <v>0.09</v>
      </c>
      <c r="CE27" s="260">
        <f>CHOOSE(MATCH($CG$2,{"Bull","Base","Bear"},0),$CP$67,$CQ$67,$CR$67)</f>
        <v>0.11</v>
      </c>
      <c r="CF27" s="260">
        <f>CHOOSE(MATCH($CG$2,{"Bull","Base","Bear"},0),$CP$68,$CQ$68,$CR$68)</f>
        <v>0.12</v>
      </c>
      <c r="CG27" s="153" t="inlineStr">
        <is>
          <t>Q3/Q4-26E: 2H26 margin assumption (scenario; 1H26 −4.2% incl. Spirit integration; company said BCA margins stay negative in 2026 — UNVERIFIED). 2027E+: lever.</t>
        </is>
      </c>
      <c r="CI27" s="37">
        <f>IFERROR(AVERAGE(CB27,CC27,CD27,CE27,CF27),"n/m")</f>
        <v>0.082</v>
      </c>
      <c r="CJ27" s="37">
        <f>IFERROR(AVERAGE(BB27,BG27,BL27,BQ27,BV27),"n/m")</f>
        <v>-0.198241924849584</v>
      </c>
      <c r="CK27" s="37">
        <f>IFERROR(AVERAGE(AC27,AH27,AM27,AR27,AW27,BB27,BG27,BL27,BQ27,BV27),"n/m")</f>
        <v>-0.178073249197778</v>
      </c>
      <c r="CL27" s="37">
        <f>IFERROR(AVERAGE(C27,D27,E27,F27,G27,H27,I27,N27,S27,X27,AC27,AH27,AM27,AR27,AW27,BB27,BG27,BL27,BQ27,BV27),"n/m")</f>
        <v>-0.0485627798441863</v>
      </c>
      <c r="CO27" s="25" t="inlineStr">
        <is>
          <t xml:space="preserve">  Q3/Q4-26E effective tax rate</t>
        </is>
      </c>
      <c r="CQ27" s="256" t="n">
        <v>0.1</v>
      </c>
      <c r="CS27" s="13" t="inlineStr">
        <is>
          <t>Valuation allowance; 2025 GAAP rate 15.1%. Assumption.</t>
        </is>
      </c>
    </row>
    <row r="28" ht="15" customHeight="1" s="251">
      <c r="B28" s="25" t="inlineStr">
        <is>
          <t xml:space="preserve">  Incremental BCA margin (Δ earnings / Δ revenues)</t>
        </is>
      </c>
      <c r="C28" s="36" t="n"/>
      <c r="D28" s="215">
        <f>IFERROR((D26-C26)/(D24-C24),"")</f>
        <v>0.172932330827068</v>
      </c>
      <c r="E28" s="215">
        <f>IFERROR((E26-D26)/(E24-D24),"")</f>
        <v>0.468085106382979</v>
      </c>
      <c r="F28" s="215">
        <f>IFERROR((F26-E26)/(F24-E24),"")</f>
        <v>-0.305632342778162</v>
      </c>
      <c r="G28" s="215">
        <f>IFERROR((G26-F26)/(G24-F24),"")</f>
        <v>-1.61885430762291</v>
      </c>
      <c r="H28" s="215">
        <f>IFERROR((H26-G26)/(H24-G24),"")</f>
        <v>0.112750749365921</v>
      </c>
      <c r="I28" s="215">
        <f>IFERROR((I26-H26)/(I24-H24),"")</f>
        <v>0.0938561284347021</v>
      </c>
      <c r="J28" s="36" t="n"/>
      <c r="K28" s="36" t="n"/>
      <c r="L28" s="36" t="n"/>
      <c r="M28" s="36" t="n"/>
      <c r="N28" s="215">
        <f>IFERROR((N26-I26)/(N24-I24),"")</f>
        <v>0.281266216917488</v>
      </c>
      <c r="O28" s="215">
        <f>IFERROR((O26-J26)/(O24-J24),"")</f>
        <v>0.138251099169516</v>
      </c>
      <c r="P28" s="215">
        <f>IFERROR((P26-K26)/(P24-K24),"")</f>
        <v>0.142647058823529</v>
      </c>
      <c r="Q28" s="215">
        <f>IFERROR((Q26-L26)/(Q24-L24),"")</f>
        <v>0.0847856806406029</v>
      </c>
      <c r="R28" s="215">
        <f>IFERROR((R26-M26)/(R24-M24),"")</f>
        <v>0.0259379342288096</v>
      </c>
      <c r="S28" s="215">
        <f>IFERROR((S26-N26)/(S24-N24),"")</f>
        <v>0.087887002425453</v>
      </c>
      <c r="T28" s="215">
        <f>IFERROR((T26-O26)/(T24-O24),"")</f>
        <v>0.0434947049924357</v>
      </c>
      <c r="U28" s="215">
        <f>IFERROR((U26-P26)/(U24-P24),"")</f>
        <v>-0.133696074621065</v>
      </c>
      <c r="V28" s="215">
        <f>IFERROR((V26-Q26)/(V24-Q24),"")</f>
        <v>-0.0183312262958281</v>
      </c>
      <c r="W28" s="215">
        <f>IFERROR((W26-R26)/(W24-R24),"")</f>
        <v>1.34412955465587</v>
      </c>
      <c r="X28" s="215">
        <f>IFERROR((X26-S26)/(X24-S24),"")</f>
        <v>-0.206999009574117</v>
      </c>
      <c r="Y28" s="215">
        <f>IFERROR((Y26-T26)/(Y24-T24),"")</f>
        <v>0.594704684317719</v>
      </c>
      <c r="Z28" s="215">
        <f>IFERROR((Z26-U26)/(Z24-U24),"")</f>
        <v>-3.76338514680484</v>
      </c>
      <c r="AA28" s="215">
        <f>IFERROR((AA26-V26)/(AA24-V24),"")</f>
        <v>0.237830319888734</v>
      </c>
      <c r="AB28" s="215">
        <f>IFERROR((AB26-W26)/(AB24-W24),"")</f>
        <v>6.34265734265734</v>
      </c>
      <c r="AC28" s="215">
        <f>IFERROR((AC26-X26)/(AC24-X24),"")</f>
        <v>2.07048008171604</v>
      </c>
      <c r="AD28" s="215">
        <f>IFERROR((AD26-Y26)/(AD24-Y24),"")</f>
        <v>-1.93617021276596</v>
      </c>
      <c r="AE28" s="215">
        <f>IFERROR((AE26-Z26)/(AE24-Z24),"")</f>
        <v>-1.45725760183592</v>
      </c>
      <c r="AF28" s="215">
        <f>IFERROR((AF26-AA26)/(AF24-AA24),"")</f>
        <v>0.0572576594676042</v>
      </c>
      <c r="AG28" s="215">
        <f>IFERROR((AG26-AB26)/(AG24-AB24),"")</f>
        <v>-0.401290322580645</v>
      </c>
      <c r="AH28" s="215">
        <f>IFERROR((AH26-AC26)/(AH24-AC24),"")</f>
        <v>-0.276019184652278</v>
      </c>
      <c r="AI28" s="215">
        <f>IFERROR((AI26-AD26)/(AI24-AD24),"")</f>
        <v>-0.448698315467075</v>
      </c>
      <c r="AJ28" s="215">
        <f>IFERROR((AJ26-AE26)/(AJ24-AE24),"")</f>
        <v>-0.0625</v>
      </c>
      <c r="AK28" s="215">
        <f>IFERROR((AK26-AF26)/(AK24-AF24),"")</f>
        <v>1.83673469387755</v>
      </c>
      <c r="AL28" s="215">
        <f>IFERROR((AL26-AG26)/(AL24-AG24),"")</f>
        <v>0.5</v>
      </c>
      <c r="AM28" s="215">
        <f>IFERROR((AM26-AH26)/(AM24-AH24),"")</f>
        <v>0.613898645258404</v>
      </c>
      <c r="AN28" s="215">
        <f>IFERROR((AN26-AI26)/(AN24-AI24),"")</f>
        <v>0.183060109289618</v>
      </c>
      <c r="AO28" s="215">
        <f>IFERROR((AO26-AJ26)/(AO24-AJ24),"")</f>
        <v>0.675274105953479</v>
      </c>
      <c r="AP28" s="215">
        <f>IFERROR((AP26-AK26)/(AP24-AK24),"")</f>
        <v>0.293581898391917</v>
      </c>
      <c r="AQ28" s="215">
        <f>IFERROR((AQ26-AL26)/(AQ24-AL24),"")</f>
        <v>0.563592035757822</v>
      </c>
      <c r="AR28" s="215">
        <f>IFERROR((AR26-AM26)/(AR24-AM24),"")</f>
        <v>0.510751932536894</v>
      </c>
      <c r="AS28" s="215">
        <f>IFERROR((AS26-AN26)/(AS24-AN24),"")</f>
        <v>0.576998397721204</v>
      </c>
      <c r="AT28" s="215">
        <f>IFERROR((AT26-AO26)/(AT24-AO24),"")</f>
        <v>-0.707024927160894</v>
      </c>
      <c r="AU28" s="215">
        <f>IFERROR((AU26-AP26)/(AU24-AP24),"")</f>
        <v>0.285622179239201</v>
      </c>
      <c r="AV28" s="215">
        <f>IFERROR((AV26-AQ26)/(AV24-AQ24),"")</f>
        <v>1.75713240673007</v>
      </c>
      <c r="AW28" s="215">
        <f>IFERROR((AW26-AR26)/(AW24-AR24),"")</f>
        <v>0.446778102280495</v>
      </c>
      <c r="AX28" s="215">
        <f>IFERROR((AX26-AS26)/(AX24-AS24),"")</f>
        <v>-0.62603305785124</v>
      </c>
      <c r="AY28" s="215">
        <f>IFERROR((AY26-AT26)/(AY24-AT24),"")</f>
        <v>0.52259242355089</v>
      </c>
      <c r="AZ28" s="215">
        <f>IFERROR((AZ26-AU26)/(AZ24-AU24),"")</f>
        <v>0.783314020857474</v>
      </c>
      <c r="BA28" s="215">
        <f>IFERROR((BA26-AV26)/(BA24-AV24),"")</f>
        <v>145.181818181818</v>
      </c>
      <c r="BB28" s="215">
        <f>IFERROR((BB26-AW26)/(BB24-AW24),"")</f>
        <v>2.21314920444311</v>
      </c>
      <c r="BC28" s="215">
        <f>IFERROR((BC26-AX26)/(BC24-AX24),"")</f>
        <v>0.0277777777777778</v>
      </c>
      <c r="BD28" s="215">
        <f>IFERROR((BD26-AY26)/(BD24-AY24),"")</f>
        <v>1.12745098039216</v>
      </c>
      <c r="BE28" s="215">
        <f>IFERROR((BE26-AZ26)/(BE24-AZ24),"")</f>
        <v>0.0277161862527716</v>
      </c>
      <c r="BF28" s="215">
        <f>IFERROR((BF26-BA26)/(BF24-BA24),"")</f>
        <v>0.855610192221726</v>
      </c>
      <c r="BG28" s="215">
        <f>IFERROR((BG26-BB26)/(BG24-BB24),"")</f>
        <v>0.644022591779103</v>
      </c>
      <c r="BH28" s="215">
        <f>IFERROR((BH26-BC26)/(BH24-BC24),"")</f>
        <v>0.0959496657491152</v>
      </c>
      <c r="BI28" s="215">
        <f>IFERROR((BI26-BD26)/(BI24-BD24),"")</f>
        <v>-0.0537962609690958</v>
      </c>
      <c r="BJ28" s="215">
        <f>IFERROR((BJ26-BE26)/(BJ24-BE24),"")</f>
        <v>-0.0216986980781153</v>
      </c>
      <c r="BK28" s="215">
        <f>IFERROR((BK26-BF26)/(BK24-BF24),"")</f>
        <v>0.530628480509149</v>
      </c>
      <c r="BL28" s="215">
        <f>IFERROR((BL26-BG26)/(BL24-BG24),"")</f>
        <v>0.0914861837191934</v>
      </c>
      <c r="BM28" s="215">
        <f>IFERROR((BM26-BH26)/(BM24-BH24),"")</f>
        <v>0.257435397367138</v>
      </c>
      <c r="BN28" s="215">
        <f>IFERROR((BN26-BI26)/(BN24-BI24),"")</f>
        <v>0.117025026436376</v>
      </c>
      <c r="BO28" s="215">
        <f>IFERROR((BO26-BJ26)/(BO24-BJ24),"")</f>
        <v>7.72055427251732</v>
      </c>
      <c r="BP28" s="215">
        <f>IFERROR((BP26-BK26)/(BP24-BK24),"")</f>
        <v>0.372617590487848</v>
      </c>
      <c r="BQ28" s="215">
        <f>IFERROR((BQ26-BL26)/(BQ24-BL24),"")</f>
        <v>0.573731884057971</v>
      </c>
      <c r="BR28" s="215">
        <f>IFERROR((BR26-BM26)/(BR24-BM24),"")</f>
        <v>0.173440183171151</v>
      </c>
      <c r="BS28" s="215">
        <f>IFERROR((BS26-BN26)/(BS24-BN24),"")</f>
        <v>0.0324368712789982</v>
      </c>
      <c r="BT28" s="215">
        <f>IFERROR((BT26-BO26)/(BT24-BO24),"")</f>
        <v>-0.364831552999178</v>
      </c>
      <c r="BU28" s="215">
        <f>IFERROR((BU26-BP26)/(BU24-BP24),"")</f>
        <v>0.220341544506574</v>
      </c>
      <c r="BV28" s="215">
        <f>IFERROR((BV26-BQ26)/(BV24-BQ24),"")</f>
        <v>0.0477647185101701</v>
      </c>
      <c r="BW28" s="215">
        <f>IFERROR((BW26-BR26)/(BW24-BR24),"")</f>
        <v>-0.0246212121212121</v>
      </c>
      <c r="BX28" s="215">
        <f>IFERROR((BX26-BS26)/(BX24-BS24),"")</f>
        <v>0.267958950969213</v>
      </c>
      <c r="BY28" s="260">
        <f>IFERROR((BY26-BT26)/(BY24-BT24),"")</f>
        <v>19.6790059303195</v>
      </c>
      <c r="BZ28" s="260">
        <f>IFERROR((BZ26-BU26)/(BZ24-BU24),"")</f>
        <v>6.94668952697765</v>
      </c>
      <c r="CA28" s="260">
        <f>IFERROR((CA26-BV26)/(CA24-BV24),"")</f>
        <v>2.54856834878286</v>
      </c>
      <c r="CB28" s="260">
        <f>IFERROR((CB26-CA26)/(CB24-CA24),"")</f>
        <v>0.413533176105829</v>
      </c>
      <c r="CC28" s="260">
        <f>IFERROR((CC26-CB26)/(CC24-CB24),"")</f>
        <v>0.306482836240856</v>
      </c>
      <c r="CD28" s="260">
        <f>IFERROR((CD26-CC26)/(CD24-CC24),"")</f>
        <v>0.429743589743589</v>
      </c>
      <c r="CE28" s="260">
        <f>IFERROR((CE26-CD26)/(CE24-CD24),"")</f>
        <v>0.476812227074236</v>
      </c>
      <c r="CF28" s="260">
        <f>IFERROR((CF26-CE26)/(CF24-CE24),"")</f>
        <v>0.358227146814404</v>
      </c>
      <c r="CG28" s="153" t="n"/>
      <c r="CO28" s="25" t="inlineStr">
        <is>
          <t xml:space="preserve">  2026 capital expenditures ($m)</t>
        </is>
      </c>
      <c r="CQ28" s="261" t="n">
        <v>4200</v>
      </c>
      <c r="CS28" s="13" t="inlineStr">
        <is>
          <t>1H26 $2,008m; not guided in EDGAR filings. Assumption.</t>
        </is>
      </c>
    </row>
    <row r="29" ht="15" customHeight="1" s="251">
      <c r="B29" s="156" t="inlineStr">
        <is>
          <t xml:space="preserve">  Memo: BCA backlog at period end ($m)</t>
        </is>
      </c>
      <c r="C29" s="34" t="n"/>
      <c r="D29" s="34" t="n"/>
      <c r="E29" s="253" t="n">
        <v>278600</v>
      </c>
      <c r="F29" s="253" t="n">
        <v>250500</v>
      </c>
      <c r="G29" s="34" t="n"/>
      <c r="H29" s="253" t="n">
        <v>293300</v>
      </c>
      <c r="I29" s="253" t="n">
        <v>317300</v>
      </c>
      <c r="J29" s="253" t="n">
        <v>322000</v>
      </c>
      <c r="K29" s="253" t="n">
        <v>337700</v>
      </c>
      <c r="L29" s="253" t="n">
        <v>344300</v>
      </c>
      <c r="M29" s="253" t="n">
        <v>373000</v>
      </c>
      <c r="N29" s="253" t="n">
        <v>373000</v>
      </c>
      <c r="O29" s="253" t="n">
        <v>374000</v>
      </c>
      <c r="P29" s="253" t="n">
        <v>376300</v>
      </c>
      <c r="Q29" s="253" t="n">
        <v>429600</v>
      </c>
      <c r="R29" s="253" t="n">
        <v>440100</v>
      </c>
      <c r="S29" s="253" t="n">
        <v>440100</v>
      </c>
      <c r="T29" s="253" t="n">
        <v>435000</v>
      </c>
      <c r="U29" s="253" t="n">
        <v>430800</v>
      </c>
      <c r="V29" s="253" t="n">
        <v>426000</v>
      </c>
      <c r="W29" s="253" t="n">
        <v>431400</v>
      </c>
      <c r="X29" s="253" t="n">
        <v>431400</v>
      </c>
      <c r="Y29" s="253" t="n">
        <v>423000</v>
      </c>
      <c r="Z29" s="253" t="n">
        <v>416600</v>
      </c>
      <c r="AA29" s="253" t="n">
        <v>408800</v>
      </c>
      <c r="AB29" s="253" t="n">
        <v>416200</v>
      </c>
      <c r="AC29" s="253" t="n">
        <v>416200</v>
      </c>
      <c r="AD29" s="253" t="n">
        <v>415100</v>
      </c>
      <c r="AE29" s="253" t="n">
        <v>423400</v>
      </c>
      <c r="AF29" s="253" t="n">
        <v>412185</v>
      </c>
      <c r="AG29" s="253" t="n">
        <v>421345</v>
      </c>
      <c r="AH29" s="253" t="n">
        <v>421345</v>
      </c>
      <c r="AI29" s="253" t="n">
        <v>415377</v>
      </c>
      <c r="AJ29" s="34" t="n"/>
      <c r="AK29" s="34" t="n"/>
      <c r="AL29" s="34" t="n"/>
      <c r="AM29" s="34" t="n"/>
      <c r="AN29" s="34" t="n"/>
      <c r="AO29" s="34" t="n"/>
      <c r="AP29" s="34" t="n"/>
      <c r="AQ29" s="34" t="n"/>
      <c r="AR29" s="34" t="n"/>
      <c r="AS29" s="34" t="n"/>
      <c r="AT29" s="34" t="n"/>
      <c r="AU29" s="253" t="n">
        <v>312684</v>
      </c>
      <c r="AV29" s="253" t="n">
        <v>281588</v>
      </c>
      <c r="AW29" s="253" t="n">
        <v>281588</v>
      </c>
      <c r="AX29" s="253" t="n">
        <v>282621</v>
      </c>
      <c r="AY29" s="253" t="n">
        <v>285332</v>
      </c>
      <c r="AZ29" s="253" t="n">
        <v>289644</v>
      </c>
      <c r="BA29" s="253" t="n">
        <v>296882</v>
      </c>
      <c r="BB29" s="253" t="n">
        <v>296882</v>
      </c>
      <c r="BC29" s="253" t="n">
        <v>290930</v>
      </c>
      <c r="BD29" s="253" t="n">
        <v>297044</v>
      </c>
      <c r="BE29" s="253" t="n">
        <v>307168</v>
      </c>
      <c r="BF29" s="253" t="n">
        <v>329824</v>
      </c>
      <c r="BG29" s="253" t="n">
        <v>329824</v>
      </c>
      <c r="BH29" s="253" t="n">
        <v>333656</v>
      </c>
      <c r="BI29" s="253" t="n">
        <v>362866</v>
      </c>
      <c r="BJ29" s="253" t="n">
        <v>392105</v>
      </c>
      <c r="BK29" s="253" t="n">
        <v>440507</v>
      </c>
      <c r="BL29" s="253" t="n">
        <v>440507</v>
      </c>
      <c r="BM29" s="253" t="n">
        <v>447533</v>
      </c>
      <c r="BN29" s="253" t="n">
        <v>436574</v>
      </c>
      <c r="BO29" s="253" t="n">
        <v>427733</v>
      </c>
      <c r="BP29" s="253" t="n">
        <v>435175</v>
      </c>
      <c r="BQ29" s="253" t="n">
        <v>435175</v>
      </c>
      <c r="BR29" s="253" t="n">
        <v>460447</v>
      </c>
      <c r="BS29" s="253" t="n">
        <v>522197</v>
      </c>
      <c r="BT29" s="253" t="n">
        <v>534613</v>
      </c>
      <c r="BU29" s="253" t="n">
        <v>567290</v>
      </c>
      <c r="BV29" s="253" t="n">
        <v>567290</v>
      </c>
      <c r="BW29" s="253" t="n">
        <v>575583</v>
      </c>
      <c r="BX29" s="253" t="n">
        <v>596724</v>
      </c>
      <c r="BY29" s="153" t="n"/>
      <c r="BZ29" s="153" t="n"/>
      <c r="CA29" s="153" t="n"/>
      <c r="CB29" s="153" t="n"/>
      <c r="CC29" s="153" t="n"/>
      <c r="CD29" s="153" t="n"/>
      <c r="CE29" s="153" t="n"/>
      <c r="CF29" s="153" t="n"/>
      <c r="CG29" s="153" t="n"/>
      <c r="CO29" s="25" t="inlineStr">
        <is>
          <t xml:space="preserve">  Q3/Q4-26E preferred dividends ($m per quarter)</t>
        </is>
      </c>
      <c r="CQ29" s="261" t="n">
        <v>86.25</v>
      </c>
      <c r="CS29" s="13" t="inlineStr">
        <is>
          <t>$5,750m × 6.00% ÷ 4.</t>
        </is>
      </c>
    </row>
    <row r="30" ht="15" customHeight="1" s="251">
      <c r="B30" s="156" t="inlineStr">
        <is>
          <t xml:space="preserve">  Memo: BCA backlog ÷ annual BCA revenues (years)</t>
        </is>
      </c>
      <c r="C30" s="267">
        <f>IF(ISNUMBER(C29),IFERROR(C29/(C24*1),""),"")</f>
      </c>
      <c r="D30" s="267">
        <f>IF(ISNUMBER(D29),IFERROR(D29/(D24*1),""),"")</f>
      </c>
      <c r="E30" s="267">
        <f>IF(ISNUMBER(E29),IFERROR(E29/(E24*1),""),"")</f>
        <v>9.85741074903584</v>
      </c>
      <c r="F30" s="267">
        <f>IF(ISNUMBER(F29),IFERROR(F29/(F24*1),""),"")</f>
        <v>7.35661214061261</v>
      </c>
      <c r="G30" s="267">
        <f>IF(ISNUMBER(G29),IFERROR(G29/(G24*1),""),"")</f>
      </c>
      <c r="H30" s="267">
        <f>IF(ISNUMBER(H29),IFERROR(H29/(H24*1),""),"")</f>
        <v>8.10870586934284</v>
      </c>
      <c r="I30" s="267">
        <f>IF(ISNUMBER(I29),IFERROR(I29/(I24*1),""),"")</f>
        <v>6.45877012640707</v>
      </c>
      <c r="J30" s="267">
        <f>IF(ISNUMBER(J29),IFERROR(J29/(J24*4),""),"")</f>
        <v>7.53040224508887</v>
      </c>
      <c r="K30" s="267">
        <f>IF(ISNUMBER(K29),IFERROR(K29/(K24*4),""),"")</f>
        <v>6.19678508514386</v>
      </c>
      <c r="L30" s="267">
        <f>IF(ISNUMBER(L29),IFERROR(L29/(L24*4),""),"")</f>
        <v>6.15392864803031</v>
      </c>
      <c r="M30" s="267">
        <f>IF(ISNUMBER(M29),IFERROR(M29/(M24*4),""),"")</f>
        <v>6.35217983651226</v>
      </c>
      <c r="N30" s="267">
        <f>IF(ISNUMBER(N29),IFERROR(N29/(N24*1),""),"")</f>
        <v>7.04025971574716</v>
      </c>
      <c r="O30" s="267">
        <f>IF(ISNUMBER(O29),IFERROR(O29/(O24*4),""),"")</f>
        <v>7.34081808903195</v>
      </c>
      <c r="P30" s="267">
        <f>IF(ISNUMBER(P29),IFERROR(P29/(P24*4),""),"")</f>
        <v>6.57683165548098</v>
      </c>
      <c r="Q30" s="267">
        <f>IF(ISNUMBER(Q29),IFERROR(Q29/(Q24*4),""),"")</f>
        <v>6.66666666666667</v>
      </c>
      <c r="R30" s="267">
        <f>IF(ISNUMBER(R29),IFERROR(R29/(R24*4),""),"")</f>
        <v>6.53393907001603</v>
      </c>
      <c r="S30" s="267">
        <f>IF(ISNUMBER(S29),IFERROR(S29/(S24*1),""),"")</f>
        <v>7.33622270378396</v>
      </c>
      <c r="T30" s="267">
        <f>IF(ISNUMBER(T29),IFERROR(T29/(T24*4),""),"")</f>
        <v>7.07041154671348</v>
      </c>
      <c r="U30" s="267">
        <f>IF(ISNUMBER(U29),IFERROR(U29/(U24*4),""),"")</f>
        <v>6.38146590033774</v>
      </c>
      <c r="V30" s="267">
        <f>IF(ISNUMBER(V29),IFERROR(V29/(V24*4),""),"")</f>
        <v>6.01966990730274</v>
      </c>
      <c r="W30" s="267">
        <f>IF(ISNUMBER(W29),IFERROR(W29/(W24*4),""),"")</f>
        <v>6.69959001118151</v>
      </c>
      <c r="X30" s="267">
        <f>IF(ISNUMBER(X29),IFERROR(X29/(X24*1),""),"")</f>
        <v>6.53161337209302</v>
      </c>
      <c r="Y30" s="267">
        <f>IF(ISNUMBER(Y29),IFERROR(Y29/(Y24*4),""),"")</f>
        <v>7.34426001805681</v>
      </c>
      <c r="Z30" s="267">
        <f>IF(ISNUMBER(Z29),IFERROR(Z29/(Z24*4),""),"")</f>
        <v>5.96642988084326</v>
      </c>
      <c r="AA30" s="267">
        <f>IF(ISNUMBER(AA29),IFERROR(AA29/(AA24*4),""),"")</f>
        <v>6.02132799151594</v>
      </c>
      <c r="AB30" s="267">
        <f>IF(ISNUMBER(AB29),IFERROR(AB29/(AB24*4),""),"")</f>
        <v>6.4066252078074</v>
      </c>
      <c r="AC30" s="267">
        <f>IF(ISNUMBER(AC29),IFERROR(AC29/(AC24*1),""),"")</f>
        <v>6.39628701839586</v>
      </c>
      <c r="AD30" s="267">
        <f>IF(ISNUMBER(AD29),IFERROR(AD29/(AD24*4),""),"")</f>
        <v>7.25445648374694</v>
      </c>
      <c r="AE30" s="267">
        <f>IF(ISNUMBER(AE29),IFERROR(AE29/(AE24*4),""),"")</f>
        <v>6.73646025583911</v>
      </c>
      <c r="AF30" s="267">
        <f>IF(ISNUMBER(AF29),IFERROR(AF29/(AF24*4),""),"")</f>
        <v>6.87800360432519</v>
      </c>
      <c r="AG30" s="267">
        <f>IF(ISNUMBER(AG29),IFERROR(AG29/(AG24*4),""),"")</f>
        <v>6.81082697530066</v>
      </c>
      <c r="AH30" s="267">
        <f>IF(ISNUMBER(AH29),IFERROR(AH29/(AH24*1),""),"")</f>
        <v>7.42732993706922</v>
      </c>
      <c r="AI30" s="267">
        <f>IF(ISNUMBER(AI29),IFERROR(AI29/(AI24*4),""),"")</f>
        <v>7.60652285379432</v>
      </c>
      <c r="AJ30" s="267">
        <f>IF(ISNUMBER(AJ29),IFERROR(AJ29/(AJ24*4),""),"")</f>
      </c>
      <c r="AK30" s="267">
        <f>IF(ISNUMBER(AK29),IFERROR(AK29/(AK24*4),""),"")</f>
      </c>
      <c r="AL30" s="267">
        <f>IF(ISNUMBER(AL29),IFERROR(AL29/(AL24*4),""),"")</f>
      </c>
      <c r="AM30" s="267">
        <f>IF(ISNUMBER(AM29),IFERROR(AM29/(AM24*1),""),"")</f>
      </c>
      <c r="AN30" s="267">
        <f>IF(ISNUMBER(AN29),IFERROR(AN29/(AN24*4),""),"")</f>
      </c>
      <c r="AO30" s="267">
        <f>IF(ISNUMBER(AO29),IFERROR(AO29/(AO24*4),""),"")</f>
      </c>
      <c r="AP30" s="267">
        <f>IF(ISNUMBER(AP29),IFERROR(AP29/(AP24*4),""),"")</f>
      </c>
      <c r="AQ30" s="267">
        <f>IF(ISNUMBER(AQ29),IFERROR(AQ29/(AQ24*4),""),"")</f>
      </c>
      <c r="AR30" s="267">
        <f>IF(ISNUMBER(AR29),IFERROR(AR29/(AR24*1),""),"")</f>
      </c>
      <c r="AS30" s="267">
        <f>IF(ISNUMBER(AS29),IFERROR(AS29/(AS24*4),""),"")</f>
      </c>
      <c r="AT30" s="267">
        <f>IF(ISNUMBER(AT29),IFERROR(AT29/(AT24*4),""),"")</f>
      </c>
      <c r="AU30" s="267">
        <f>IF(ISNUMBER(AU29),IFERROR(AU29/(AU24*4),""),"")</f>
        <v>21.7383203559511</v>
      </c>
      <c r="AV30" s="267">
        <f>IF(ISNUMBER(AV29),IFERROR(AV29/(AV24*4),""),"")</f>
        <v>14.8893824027073</v>
      </c>
      <c r="AW30" s="267">
        <f>IF(ISNUMBER(AW29),IFERROR(AW29/(AW24*1),""),"")</f>
        <v>17.4228437074619</v>
      </c>
      <c r="AX30" s="267">
        <f>IF(ISNUMBER(AX29),IFERROR(AX29/(AX24*4),""),"")</f>
        <v>16.5507730147576</v>
      </c>
      <c r="AY30" s="267">
        <f>IF(ISNUMBER(AY29),IFERROR(AY29/(AY24*4),""),"")</f>
        <v>11.8591853699086</v>
      </c>
      <c r="AZ30" s="267">
        <f>IF(ISNUMBER(AZ29),IFERROR(AZ29/(AZ24*4),""),"")</f>
        <v>16.239291320924</v>
      </c>
      <c r="BA30" s="267">
        <f>IF(ISNUMBER(BA29),IFERROR(BA29/(BA24*4),""),"")</f>
        <v>15.6253684210526</v>
      </c>
      <c r="BB30" s="267">
        <f>IF(ISNUMBER(BB29),IFERROR(BB29/(BB24*1),""),"")</f>
        <v>15.2301851946853</v>
      </c>
      <c r="BC30" s="267">
        <f>IF(ISNUMBER(BC29),IFERROR(BC29/(BC24*4),""),"")</f>
        <v>17.4795722182168</v>
      </c>
      <c r="BD30" s="267">
        <f>IF(ISNUMBER(BD29),IFERROR(BD29/(BD24*4),""),"")</f>
        <v>11.9409872969931</v>
      </c>
      <c r="BE30" s="267">
        <f>IF(ISNUMBER(BE29),IFERROR(BE29/(BE24*4),""),"")</f>
        <v>12.2612166693278</v>
      </c>
      <c r="BF30" s="267">
        <f>IF(ISNUMBER(BF29),IFERROR(BF29/(BF24*4),""),"")</f>
        <v>8.93928881179532</v>
      </c>
      <c r="BG30" s="267">
        <f>IF(ISNUMBER(BG29),IFERROR(BG29/(BG24*1),""),"")</f>
        <v>12.7507635210886</v>
      </c>
      <c r="BH30" s="267">
        <f>IF(ISNUMBER(BH29),IFERROR(BH29/(BH24*4),""),"")</f>
        <v>12.4424224343675</v>
      </c>
      <c r="BI30" s="267">
        <f>IF(ISNUMBER(BI29),IFERROR(BI29/(BI24*4),""),"")</f>
        <v>10.2620475113122</v>
      </c>
      <c r="BJ30" s="267">
        <f>IF(ISNUMBER(BJ29),IFERROR(BJ29/(BJ24*4),""),"")</f>
        <v>12.4461973082783</v>
      </c>
      <c r="BK30" s="267">
        <f>IF(ISNUMBER(BK29),IFERROR(BK29/(BK24*4),""),"")</f>
        <v>10.5072750691728</v>
      </c>
      <c r="BL30" s="267">
        <f>IF(ISNUMBER(BL29),IFERROR(BL29/(BL24*1),""),"")</f>
        <v>12.9939234830831</v>
      </c>
      <c r="BM30" s="267">
        <f>IF(ISNUMBER(BM29),IFERROR(BM29/(BM24*4),""),"")</f>
        <v>24.0454008166774</v>
      </c>
      <c r="BN30" s="267">
        <f>IF(ISNUMBER(BN29),IFERROR(BN29/(BN24*4),""),"")</f>
        <v>18.1814925870398</v>
      </c>
      <c r="BO30" s="267">
        <f>IF(ISNUMBER(BO29),IFERROR(BO29/(BO24*4),""),"")</f>
        <v>14.3669555286847</v>
      </c>
      <c r="BP30" s="267">
        <f>IF(ISNUMBER(BP29),IFERROR(BP29/(BP24*4),""),"")</f>
        <v>22.8462305753885</v>
      </c>
      <c r="BQ30" s="267">
        <f>IF(ISNUMBER(BQ29),IFERROR(BQ29/(BQ24*1),""),"")</f>
        <v>19.0356939766414</v>
      </c>
      <c r="BR30" s="267">
        <f>IF(ISNUMBER(BR29),IFERROR(BR29/(BR24*4),""),"")</f>
        <v>14.1293420891126</v>
      </c>
      <c r="BS30" s="267">
        <f>IF(ISNUMBER(BS29),IFERROR(BS29/(BS24*4),""),"")</f>
        <v>12.0056327018576</v>
      </c>
      <c r="BT30" s="267">
        <f>IF(ISNUMBER(BT29),IFERROR(BT29/(BT24*4),""),"")</f>
        <v>12.0473454119344</v>
      </c>
      <c r="BU30" s="267">
        <f>IF(ISNUMBER(BU29),IFERROR(BU29/(BU24*4),""),"")</f>
        <v>12.4635293083751</v>
      </c>
      <c r="BV30" s="267">
        <f>IF(ISNUMBER(BV29),IFERROR(BV29/(BV24*1),""),"")</f>
        <v>13.6716151732781</v>
      </c>
      <c r="BW30" s="267">
        <f>IF(ISNUMBER(BW29),IFERROR(BW29/(BW24*4),""),"")</f>
        <v>15.6357437792024</v>
      </c>
      <c r="BX30" s="267">
        <f>IF(ISNUMBER(BX29),IFERROR(BX29/(BX24*4),""),"")</f>
        <v>12.6951748787337</v>
      </c>
      <c r="BY30" s="268">
        <f>IF(ISNUMBER(BY29),IFERROR(BY29/(BY24*4),""),"")</f>
      </c>
      <c r="BZ30" s="268">
        <f>IF(ISNUMBER(BZ29),IFERROR(BZ29/(BZ24*4),""),"")</f>
      </c>
      <c r="CA30" s="268">
        <f>IF(ISNUMBER(CA29),IFERROR(CA29/(CA24*1),""),"")</f>
      </c>
      <c r="CB30" s="268">
        <f>IF(ISNUMBER(CB29),IFERROR(CB29/(CB24*1),""),"")</f>
      </c>
      <c r="CC30" s="268">
        <f>IF(ISNUMBER(CC29),IFERROR(CC29/(CC24*1),""),"")</f>
      </c>
      <c r="CD30" s="268">
        <f>IF(ISNUMBER(CD29),IFERROR(CD29/(CD24*1),""),"")</f>
      </c>
      <c r="CE30" s="268">
        <f>IF(ISNUMBER(CE29),IFERROR(CE29/(CE24*1),""),"")</f>
      </c>
      <c r="CF30" s="268">
        <f>IF(ISNUMBER(CF29),IFERROR(CF29/(CF24*1),""),"")</f>
      </c>
      <c r="CG30" s="153" t="n"/>
    </row>
    <row r="31" ht="15" customHeight="1" s="251">
      <c r="CO31" s="25" t="inlineStr">
        <is>
          <t xml:space="preserve">  Maximum net debt / adjusted EBITDA before buybacks (x) — buyback floor 2027E+</t>
        </is>
      </c>
      <c r="CP31" s="269" t="n">
        <v>1</v>
      </c>
      <c r="CQ31" s="269" t="n">
        <v>0.5</v>
      </c>
      <c r="CR31" s="269" t="n">
        <v>0</v>
      </c>
      <c r="CS31" s="13" t="inlineStr">
        <is>
          <t>Buybacks resume only once net debt / adjusted EBITDA (model) is below the target; Boeing's stated priority is debt reduction to protect its investment-grade rating (10-K). Net debt ~$26bn at 30-Jun-2026 (≈7x 2026E adjusted EBITDA). Targets are assumptions: Bull 1.0x / Base 0.5x / Bear 0.0x (higher target = earlier, larger buybacks).</t>
        </is>
      </c>
    </row>
    <row r="32" ht="15" customHeight="1" s="251">
      <c r="B32" s="14" t="inlineStr">
        <is>
          <t>Defense, Space &amp; Security (BDS) — military aircraft, space &amp; weapons (Integrated Defense Systems to 2009; Global Services &amp; Support moved to BGS in Q3-17)</t>
        </is>
      </c>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5" t="inlineStr">
        <is>
          <t>DEFENSE, SPACE &amp; SECURITY — modelling logic</t>
        </is>
      </c>
    </row>
    <row r="33" ht="15" customHeight="1" s="251">
      <c r="B33" s="16" t="inlineStr">
        <is>
          <t xml:space="preserve">  BDS revenues</t>
        </is>
      </c>
      <c r="C33" s="264" t="n">
        <v>32439</v>
      </c>
      <c r="D33" s="264" t="n">
        <v>32080</v>
      </c>
      <c r="E33" s="264" t="n">
        <v>32047</v>
      </c>
      <c r="F33" s="264" t="n">
        <v>33661</v>
      </c>
      <c r="G33" s="264" t="n">
        <v>31943</v>
      </c>
      <c r="H33" s="264" t="n">
        <v>31976</v>
      </c>
      <c r="I33" s="264" t="n">
        <v>32607</v>
      </c>
      <c r="J33" s="264" t="n">
        <v>8110</v>
      </c>
      <c r="K33" s="264" t="n">
        <v>8186</v>
      </c>
      <c r="L33" s="264" t="n">
        <v>8046</v>
      </c>
      <c r="M33" s="264" t="n">
        <v>8855</v>
      </c>
      <c r="N33" s="264" t="n">
        <v>33197</v>
      </c>
      <c r="O33" s="264" t="n">
        <v>7633</v>
      </c>
      <c r="P33" s="264" t="n">
        <v>7747</v>
      </c>
      <c r="Q33" s="264" t="n">
        <v>7913</v>
      </c>
      <c r="R33" s="264" t="n">
        <v>7588</v>
      </c>
      <c r="S33" s="264" t="n">
        <v>30881</v>
      </c>
      <c r="T33" s="264" t="n">
        <v>6709</v>
      </c>
      <c r="U33" s="264" t="n">
        <v>7544</v>
      </c>
      <c r="V33" s="264" t="n">
        <v>8350</v>
      </c>
      <c r="W33" s="264" t="n">
        <v>7785</v>
      </c>
      <c r="X33" s="264" t="n">
        <v>30388</v>
      </c>
      <c r="Y33" s="264" t="n">
        <v>7956</v>
      </c>
      <c r="Z33" s="264" t="n">
        <v>7174</v>
      </c>
      <c r="AA33" s="264" t="n">
        <v>7508</v>
      </c>
      <c r="AB33" s="264" t="n">
        <v>6860</v>
      </c>
      <c r="AC33" s="264" t="n">
        <v>29498</v>
      </c>
      <c r="AD33" s="264" t="n">
        <v>6532</v>
      </c>
      <c r="AE33" s="264" t="n">
        <v>6886</v>
      </c>
      <c r="AF33" s="264" t="n">
        <v>5470</v>
      </c>
      <c r="AG33" s="264" t="n">
        <v>5537</v>
      </c>
      <c r="AH33" s="264" t="n">
        <v>21057</v>
      </c>
      <c r="AI33" s="264" t="n">
        <v>5762</v>
      </c>
      <c r="AJ33" s="264" t="n">
        <v>5593</v>
      </c>
      <c r="AK33" s="264" t="n">
        <v>5729</v>
      </c>
      <c r="AL33" s="264" t="n">
        <v>6111</v>
      </c>
      <c r="AM33" s="264" t="n">
        <v>23195</v>
      </c>
      <c r="AN33" s="264" t="n">
        <v>6611</v>
      </c>
      <c r="AO33" s="264" t="n">
        <v>6612</v>
      </c>
      <c r="AP33" s="264" t="n">
        <v>7042</v>
      </c>
      <c r="AQ33" s="264" t="n">
        <v>5962</v>
      </c>
      <c r="AR33" s="264" t="n">
        <v>26227</v>
      </c>
      <c r="AS33" s="264" t="n">
        <v>6042</v>
      </c>
      <c r="AT33" s="264" t="n">
        <v>6588</v>
      </c>
      <c r="AU33" s="264" t="n">
        <v>6848</v>
      </c>
      <c r="AV33" s="264" t="n">
        <v>6779</v>
      </c>
      <c r="AW33" s="264" t="n">
        <v>26257</v>
      </c>
      <c r="AX33" s="264" t="n">
        <v>7185</v>
      </c>
      <c r="AY33" s="264" t="n">
        <v>6876</v>
      </c>
      <c r="AZ33" s="264" t="n">
        <v>6617</v>
      </c>
      <c r="BA33" s="264" t="n">
        <v>5862</v>
      </c>
      <c r="BB33" s="264" t="n">
        <v>26540</v>
      </c>
      <c r="BC33" s="264" t="n">
        <v>5483</v>
      </c>
      <c r="BD33" s="264" t="n">
        <v>6191</v>
      </c>
      <c r="BE33" s="264" t="n">
        <v>5307</v>
      </c>
      <c r="BF33" s="264" t="n">
        <v>6181</v>
      </c>
      <c r="BG33" s="264" t="n">
        <v>23162</v>
      </c>
      <c r="BH33" s="264" t="n">
        <v>6539</v>
      </c>
      <c r="BI33" s="264" t="n">
        <v>6167</v>
      </c>
      <c r="BJ33" s="264" t="n">
        <v>5481</v>
      </c>
      <c r="BK33" s="264" t="n">
        <v>6746</v>
      </c>
      <c r="BL33" s="264" t="n">
        <v>24933</v>
      </c>
      <c r="BM33" s="264" t="n">
        <v>6950</v>
      </c>
      <c r="BN33" s="264" t="n">
        <v>6021</v>
      </c>
      <c r="BO33" s="264" t="n">
        <v>5536</v>
      </c>
      <c r="BP33" s="264" t="n">
        <v>5411</v>
      </c>
      <c r="BQ33" s="264" t="n">
        <v>23918</v>
      </c>
      <c r="BR33" s="264" t="n">
        <v>6298</v>
      </c>
      <c r="BS33" s="264" t="n">
        <v>6617</v>
      </c>
      <c r="BT33" s="264" t="n">
        <v>6902</v>
      </c>
      <c r="BU33" s="264" t="n">
        <v>7417</v>
      </c>
      <c r="BV33" s="264" t="n">
        <v>27234</v>
      </c>
      <c r="BW33" s="264" t="n">
        <v>7599</v>
      </c>
      <c r="BX33" s="264" t="n">
        <v>7483</v>
      </c>
      <c r="BY33" s="265">
        <f>BT33*(1+BY34)</f>
        <v>8060.08238482385</v>
      </c>
      <c r="BZ33" s="265">
        <f>BU33*(1+BZ34)</f>
        <v>8661.49392179636</v>
      </c>
      <c r="CA33" s="265">
        <f>SUM(BW33:BZ33)</f>
        <v>31803.5763066202</v>
      </c>
      <c r="CB33" s="265">
        <f>CA33*(1+CB34)</f>
        <v>33393.7551219512</v>
      </c>
      <c r="CC33" s="265">
        <f>CB33*(1+CC34)</f>
        <v>35063.4428780488</v>
      </c>
      <c r="CD33" s="265">
        <f>CC33*(1+CD34)</f>
        <v>36641.297807561</v>
      </c>
      <c r="CE33" s="265">
        <f>CD33*(1+CE34)</f>
        <v>38106.9497198634</v>
      </c>
      <c r="CF33" s="265">
        <f>CE33*(1+CF34)</f>
        <v>39631.227708658</v>
      </c>
      <c r="CG33" s="153" t="inlineStr">
        <is>
          <t>As reported (2006–Q2-17 incl. Global Services &amp; Support; 2010–11 = Σ sub-segments, no total printed). Forecast = prior year / prior-year quarter × (1 + growth).</t>
        </is>
      </c>
      <c r="CI33" s="20">
        <f>IFERROR(IF(AND(CF33&gt;0,CA33&gt;0),(CF33/CA33)^(1/5)-1,"n/m"),"n/m")</f>
        <v>0.0449904305562865</v>
      </c>
      <c r="CJ33" s="20">
        <f>IFERROR(IF(AND(BV33&gt;0,AW33&gt;0),(BV33/AW33)^(1/5)-1,"n/m"),"n/m")</f>
        <v>0.00733347368210047</v>
      </c>
      <c r="CK33" s="20">
        <f>IFERROR(IF(AND(BV33&gt;0,X33&gt;0),(BV33/X33)^(1/10)-1,"n/m"),"n/m")</f>
        <v>-0.0108983381696742</v>
      </c>
      <c r="CL33" s="20">
        <f>IFERROR(IF(AND(BV33&gt;0,C33&gt;0),(BV33/C33)^(1/19)-1,"n/m"),"n/m")</f>
        <v>-0.00916277462961457</v>
      </c>
      <c r="CO33" s="15" t="inlineStr">
        <is>
          <t>D737 (737 deliveries, units)</t>
        </is>
      </c>
      <c r="CP33" s="50" t="n">
        <v>30</v>
      </c>
      <c r="CQ33" s="21" t="inlineStr">
        <is>
          <t>Δ →</t>
        </is>
      </c>
      <c r="CR33" s="50" t="n">
        <v>-60</v>
      </c>
      <c r="CS33" s="13" t="inlineStr">
        <is>
          <t>Rate 47/month from mid-2026, 52/month planned (Everett North Line); 737-7/-10 first deliveries 2027 (Q2-26 release). 2018 peak 580.</t>
        </is>
      </c>
    </row>
    <row r="34" ht="15" customHeight="1" s="251">
      <c r="B34" s="22" t="inlineStr">
        <is>
          <t xml:space="preserve">  BDS revenues y/y %</t>
        </is>
      </c>
      <c r="C34" s="23" t="n"/>
      <c r="D34" s="259">
        <f>IF(AND(ISNUMBER(D33),ISNUMBER(C33)),IF(C33&gt;0,IFERROR(D33/C33-1,""),"n/m"),"")</f>
        <v>-0.0110669256142298</v>
      </c>
      <c r="E34" s="259">
        <f>IF(AND(ISNUMBER(E33),ISNUMBER(D33)),IF(D33&gt;0,IFERROR(E33/D33-1,""),"n/m"),"")</f>
        <v>-0.00102867830423936</v>
      </c>
      <c r="F34" s="259">
        <f>IF(AND(ISNUMBER(F33),ISNUMBER(E33)),IF(E33&gt;0,IFERROR(F33/E33-1,""),"n/m"),"")</f>
        <v>0.0503635285674167</v>
      </c>
      <c r="G34" s="259">
        <f>IF(AND(ISNUMBER(G33),ISNUMBER(F33)),IF(F33&gt;0,IFERROR(G33/F33-1,""),"n/m"),"")</f>
        <v>-0.0510382935741659</v>
      </c>
      <c r="H34" s="259">
        <f>IF(AND(ISNUMBER(H33),ISNUMBER(G33)),IF(G33&gt;0,IFERROR(H33/G33-1,""),"n/m"),"")</f>
        <v>0.00103309019190423</v>
      </c>
      <c r="I34" s="259">
        <f>IF(AND(ISNUMBER(I33),ISNUMBER(H33)),IF(H33&gt;0,IFERROR(I33/H33-1,""),"n/m"),"")</f>
        <v>0.0197335501626219</v>
      </c>
      <c r="J34" s="23" t="n"/>
      <c r="K34" s="23" t="n"/>
      <c r="L34" s="23" t="n"/>
      <c r="M34" s="23" t="n"/>
      <c r="N34" s="259">
        <f>IF(AND(ISNUMBER(N33),ISNUMBER(I33)),IF(I33&gt;0,IFERROR(N33/I33-1,""),"n/m"),"")</f>
        <v>0.0180942742355936</v>
      </c>
      <c r="O34" s="259">
        <f>IF(AND(ISNUMBER(O33),ISNUMBER(J33)),IF(J33&gt;0,IFERROR(O33/J33-1,""),"n/m"),"")</f>
        <v>-0.0588162762022195</v>
      </c>
      <c r="P34" s="259">
        <f>IF(AND(ISNUMBER(P33),ISNUMBER(K33)),IF(K33&gt;0,IFERROR(P33/K33-1,""),"n/m"),"")</f>
        <v>-0.0536281456144637</v>
      </c>
      <c r="Q34" s="259">
        <f>IF(AND(ISNUMBER(Q33),ISNUMBER(L33)),IF(L33&gt;0,IFERROR(Q33/L33-1,""),"n/m"),"")</f>
        <v>-0.0165299527715636</v>
      </c>
      <c r="R34" s="259">
        <f>IF(AND(ISNUMBER(R33),ISNUMBER(M33)),IF(M33&gt;0,IFERROR(R33/M33-1,""),"n/m"),"")</f>
        <v>-0.143083003952569</v>
      </c>
      <c r="S34" s="259">
        <f>IF(AND(ISNUMBER(S33),ISNUMBER(N33)),IF(N33&gt;0,IFERROR(S33/N33-1,""),"n/m"),"")</f>
        <v>-0.0697653402415881</v>
      </c>
      <c r="T34" s="259">
        <f>IF(AND(ISNUMBER(T33),ISNUMBER(O33)),IF(O33&gt;0,IFERROR(T33/O33-1,""),"n/m"),"")</f>
        <v>-0.121053321105725</v>
      </c>
      <c r="U34" s="259">
        <f>IF(AND(ISNUMBER(U33),ISNUMBER(P33)),IF(P33&gt;0,IFERROR(U33/P33-1,""),"n/m"),"")</f>
        <v>-0.0262036917516458</v>
      </c>
      <c r="V34" s="259">
        <f>IF(AND(ISNUMBER(V33),ISNUMBER(Q33)),IF(Q33&gt;0,IFERROR(V33/Q33-1,""),"n/m"),"")</f>
        <v>0.0552255781625173</v>
      </c>
      <c r="W34" s="259">
        <f>IF(AND(ISNUMBER(W33),ISNUMBER(R33)),IF(R33&gt;0,IFERROR(W33/R33-1,""),"n/m"),"")</f>
        <v>0.0259620453347391</v>
      </c>
      <c r="X34" s="259">
        <f>IF(AND(ISNUMBER(X33),ISNUMBER(S33)),IF(S33&gt;0,IFERROR(X33/S33-1,""),"n/m"),"")</f>
        <v>-0.0159645089213433</v>
      </c>
      <c r="Y34" s="259">
        <f>IF(AND(ISNUMBER(Y33),ISNUMBER(T33)),IF(T33&gt;0,IFERROR(Y33/T33-1,""),"n/m"),"")</f>
        <v>0.185869727232076</v>
      </c>
      <c r="Z34" s="259">
        <f>IF(AND(ISNUMBER(Z33),ISNUMBER(U33)),IF(U33&gt;0,IFERROR(Z33/U33-1,""),"n/m"),"")</f>
        <v>-0.0490455991516436</v>
      </c>
      <c r="AA34" s="259">
        <f>IF(AND(ISNUMBER(AA33),ISNUMBER(V33)),IF(V33&gt;0,IFERROR(AA33/V33-1,""),"n/m"),"")</f>
        <v>-0.100838323353293</v>
      </c>
      <c r="AB34" s="259">
        <f>IF(AND(ISNUMBER(AB33),ISNUMBER(W33)),IF(W33&gt;0,IFERROR(AB33/W33-1,""),"n/m"),"")</f>
        <v>-0.118818240205523</v>
      </c>
      <c r="AC34" s="259">
        <f>IF(AND(ISNUMBER(AC33),ISNUMBER(X33)),IF(X33&gt;0,IFERROR(AC33/X33-1,""),"n/m"),"")</f>
        <v>-0.0292878767934711</v>
      </c>
      <c r="AD34" s="259">
        <f>IF(AND(ISNUMBER(AD33),ISNUMBER(Y33)),IF(Y33&gt;0,IFERROR(AD33/Y33-1,""),"n/m"),"")</f>
        <v>-0.178984414278532</v>
      </c>
      <c r="AE34" s="259">
        <f>IF(AND(ISNUMBER(AE33),ISNUMBER(Z33)),IF(Z33&gt;0,IFERROR(AE33/Z33-1,""),"n/m"),"")</f>
        <v>-0.0401449679397825</v>
      </c>
      <c r="AF34" s="259">
        <f>IF(AND(ISNUMBER(AF33),ISNUMBER(AA33)),IF(AA33&gt;0,IFERROR(AF33/AA33-1,""),"n/m"),"")</f>
        <v>-0.27144379328716</v>
      </c>
      <c r="AG34" s="259">
        <f>IF(AND(ISNUMBER(AG33),ISNUMBER(AB33)),IF(AB33&gt;0,IFERROR(AG33/AB33-1,""),"n/m"),"")</f>
        <v>-0.192857142857143</v>
      </c>
      <c r="AH34" s="259">
        <f>IF(AND(ISNUMBER(AH33),ISNUMBER(AC33)),IF(AC33&gt;0,IFERROR(AH33/AC33-1,""),"n/m"),"")</f>
        <v>-0.286154993558885</v>
      </c>
      <c r="AI34" s="259">
        <f>IF(AND(ISNUMBER(AI33),ISNUMBER(AD33)),IF(AD33&gt;0,IFERROR(AI33/AD33-1,""),"n/m"),"")</f>
        <v>-0.117881200244948</v>
      </c>
      <c r="AJ34" s="259">
        <f>IF(AND(ISNUMBER(AJ33),ISNUMBER(AE33)),IF(AE33&gt;0,IFERROR(AJ33/AE33-1,""),"n/m"),"")</f>
        <v>-0.187772291606157</v>
      </c>
      <c r="AK34" s="259">
        <f>IF(AND(ISNUMBER(AK33),ISNUMBER(AF33)),IF(AF33&gt;0,IFERROR(AK33/AF33-1,""),"n/m"),"")</f>
        <v>0.0473491773308958</v>
      </c>
      <c r="AL34" s="259">
        <f>IF(AND(ISNUMBER(AL33),ISNUMBER(AG33)),IF(AG33&gt;0,IFERROR(AL33/AG33-1,""),"n/m"),"")</f>
        <v>0.103666245259166</v>
      </c>
      <c r="AM34" s="259">
        <f>IF(AND(ISNUMBER(AM33),ISNUMBER(AH33)),IF(AH33&gt;0,IFERROR(AM33/AH33-1,""),"n/m"),"")</f>
        <v>0.10153393170917</v>
      </c>
      <c r="AN34" s="259">
        <f>IF(AND(ISNUMBER(AN33),ISNUMBER(AI33)),IF(AI33&gt;0,IFERROR(AN33/AI33-1,""),"n/m"),"")</f>
        <v>0.147344671988893</v>
      </c>
      <c r="AO34" s="259">
        <f>IF(AND(ISNUMBER(AO33),ISNUMBER(AJ33)),IF(AJ33&gt;0,IFERROR(AO33/AJ33-1,""),"n/m"),"")</f>
        <v>0.182192025746469</v>
      </c>
      <c r="AP34" s="259">
        <f>IF(AND(ISNUMBER(AP33),ISNUMBER(AK33)),IF(AK33&gt;0,IFERROR(AP33/AK33-1,""),"n/m"),"")</f>
        <v>0.22918484901379</v>
      </c>
      <c r="AQ34" s="259">
        <f>IF(AND(ISNUMBER(AQ33),ISNUMBER(AL33)),IF(AL33&gt;0,IFERROR(AQ33/AL33-1,""),"n/m"),"")</f>
        <v>-0.0243822614956636</v>
      </c>
      <c r="AR34" s="259">
        <f>IF(AND(ISNUMBER(AR33),ISNUMBER(AM33)),IF(AM33&gt;0,IFERROR(AR33/AM33-1,""),"n/m"),"")</f>
        <v>0.130717827117913</v>
      </c>
      <c r="AS34" s="259">
        <f>IF(AND(ISNUMBER(AS33),ISNUMBER(AN33)),IF(AN33&gt;0,IFERROR(AS33/AN33-1,""),"n/m"),"")</f>
        <v>-0.0860686734230828</v>
      </c>
      <c r="AT34" s="259">
        <f>IF(AND(ISNUMBER(AT33),ISNUMBER(AO33)),IF(AO33&gt;0,IFERROR(AT33/AO33-1,""),"n/m"),"")</f>
        <v>-0.00362976406533577</v>
      </c>
      <c r="AU34" s="259">
        <f>IF(AND(ISNUMBER(AU33),ISNUMBER(AP33)),IF(AP33&gt;0,IFERROR(AU33/AP33-1,""),"n/m"),"")</f>
        <v>-0.0275489917637035</v>
      </c>
      <c r="AV34" s="259">
        <f>IF(AND(ISNUMBER(AV33),ISNUMBER(AQ33)),IF(AQ33&gt;0,IFERROR(AV33/AQ33-1,""),"n/m"),"")</f>
        <v>0.137034552163704</v>
      </c>
      <c r="AW34" s="259">
        <f>IF(AND(ISNUMBER(AW33),ISNUMBER(AR33)),IF(AR33&gt;0,IFERROR(AW33/AR33-1,""),"n/m"),"")</f>
        <v>0.00114385938155337</v>
      </c>
      <c r="AX34" s="259">
        <f>IF(AND(ISNUMBER(AX33),ISNUMBER(AS33)),IF(AS33&gt;0,IFERROR(AX33/AS33-1,""),"n/m"),"")</f>
        <v>0.189175769612711</v>
      </c>
      <c r="AY34" s="259">
        <f>IF(AND(ISNUMBER(AY33),ISNUMBER(AT33)),IF(AT33&gt;0,IFERROR(AY33/AT33-1,""),"n/m"),"")</f>
        <v>0.0437158469945356</v>
      </c>
      <c r="AZ34" s="259">
        <f>IF(AND(ISNUMBER(AZ33),ISNUMBER(AU33)),IF(AU33&gt;0,IFERROR(AZ33/AU33-1,""),"n/m"),"")</f>
        <v>-0.033732476635514</v>
      </c>
      <c r="BA34" s="259">
        <f>IF(AND(ISNUMBER(BA33),ISNUMBER(AV33)),IF(AV33&gt;0,IFERROR(BA33/AV33-1,""),"n/m"),"")</f>
        <v>-0.135270688892167</v>
      </c>
      <c r="BB34" s="259">
        <f>IF(AND(ISNUMBER(BB33),ISNUMBER(AW33)),IF(AW33&gt;0,IFERROR(BB33/AW33-1,""),"n/m"),"")</f>
        <v>0.0107780782267586</v>
      </c>
      <c r="BC34" s="259">
        <f>IF(AND(ISNUMBER(BC33),ISNUMBER(AX33)),IF(AX33&gt;0,IFERROR(BC33/AX33-1,""),"n/m"),"")</f>
        <v>-0.236882393876131</v>
      </c>
      <c r="BD34" s="259">
        <f>IF(AND(ISNUMBER(BD33),ISNUMBER(AY33)),IF(AY33&gt;0,IFERROR(BD33/AY33-1,""),"n/m"),"")</f>
        <v>-0.0996218731820826</v>
      </c>
      <c r="BE34" s="259">
        <f>IF(AND(ISNUMBER(BE33),ISNUMBER(AZ33)),IF(AZ33&gt;0,IFERROR(BE33/AZ33-1,""),"n/m"),"")</f>
        <v>-0.197974913102615</v>
      </c>
      <c r="BF34" s="259">
        <f>IF(AND(ISNUMBER(BF33),ISNUMBER(BA33)),IF(BA33&gt;0,IFERROR(BF33/BA33-1,""),"n/m"),"")</f>
        <v>0.054418287273968</v>
      </c>
      <c r="BG34" s="259">
        <f>IF(AND(ISNUMBER(BG33),ISNUMBER(BB33)),IF(BB33&gt;0,IFERROR(BG33/BB33-1,""),"n/m"),"")</f>
        <v>-0.127279577995479</v>
      </c>
      <c r="BH34" s="259">
        <f>IF(AND(ISNUMBER(BH33),ISNUMBER(BC33)),IF(BC33&gt;0,IFERROR(BH33/BC33-1,""),"n/m"),"")</f>
        <v>0.192595294546781</v>
      </c>
      <c r="BI34" s="259">
        <f>IF(AND(ISNUMBER(BI33),ISNUMBER(BD33)),IF(BD33&gt;0,IFERROR(BI33/BD33-1,""),"n/m"),"")</f>
        <v>-0.00387659505734128</v>
      </c>
      <c r="BJ34" s="259">
        <f>IF(AND(ISNUMBER(BJ33),ISNUMBER(BE33)),IF(BE33&gt;0,IFERROR(BJ33/BE33-1,""),"n/m"),"")</f>
        <v>0.0327868852459017</v>
      </c>
      <c r="BK34" s="259">
        <f>IF(AND(ISNUMBER(BK33),ISNUMBER(BF33)),IF(BF33&gt;0,IFERROR(BK33/BF33-1,""),"n/m"),"")</f>
        <v>0.0914091570943214</v>
      </c>
      <c r="BL34" s="259">
        <f>IF(AND(ISNUMBER(BL33),ISNUMBER(BG33)),IF(BG33&gt;0,IFERROR(BL33/BG33-1,""),"n/m"),"")</f>
        <v>0.0764614454710302</v>
      </c>
      <c r="BM34" s="259">
        <f>IF(AND(ISNUMBER(BM33),ISNUMBER(BH33)),IF(BH33&gt;0,IFERROR(BM33/BH33-1,""),"n/m"),"")</f>
        <v>0.0628536473466892</v>
      </c>
      <c r="BN34" s="259">
        <f>IF(AND(ISNUMBER(BN33),ISNUMBER(BI33)),IF(BI33&gt;0,IFERROR(BN33/BI33-1,""),"n/m"),"")</f>
        <v>-0.0236743959785958</v>
      </c>
      <c r="BO34" s="259">
        <f>IF(AND(ISNUMBER(BO33),ISNUMBER(BJ33)),IF(BJ33&gt;0,IFERROR(BO33/BJ33-1,""),"n/m"),"")</f>
        <v>0.0100346652070791</v>
      </c>
      <c r="BP34" s="259">
        <f>IF(AND(ISNUMBER(BP33),ISNUMBER(BK33)),IF(BK33&gt;0,IFERROR(BP33/BK33-1,""),"n/m"),"")</f>
        <v>-0.197895048917877</v>
      </c>
      <c r="BQ34" s="259">
        <f>IF(AND(ISNUMBER(BQ33),ISNUMBER(BL33)),IF(BL33&gt;0,IFERROR(BQ33/BL33-1,""),"n/m"),"")</f>
        <v>-0.0407091003890426</v>
      </c>
      <c r="BR34" s="259">
        <f>IF(AND(ISNUMBER(BR33),ISNUMBER(BM33)),IF(BM33&gt;0,IFERROR(BR33/BM33-1,""),"n/m"),"")</f>
        <v>-0.0938129496402878</v>
      </c>
      <c r="BS34" s="259">
        <f>IF(AND(ISNUMBER(BS33),ISNUMBER(BN33)),IF(BN33&gt;0,IFERROR(BS33/BN33-1,""),"n/m"),"")</f>
        <v>0.0989868792559376</v>
      </c>
      <c r="BT34" s="259">
        <f>IF(AND(ISNUMBER(BT33),ISNUMBER(BO33)),IF(BO33&gt;0,IFERROR(BT33/BO33-1,""),"n/m"),"")</f>
        <v>0.246748554913295</v>
      </c>
      <c r="BU34" s="259">
        <f>IF(AND(ISNUMBER(BU33),ISNUMBER(BP33)),IF(BP33&gt;0,IFERROR(BU33/BP33-1,""),"n/m"),"")</f>
        <v>0.370726298281279</v>
      </c>
      <c r="BV34" s="259">
        <f>IF(AND(ISNUMBER(BV33),ISNUMBER(BQ33)),IF(BQ33&gt;0,IFERROR(BV33/BQ33-1,""),"n/m"),"")</f>
        <v>0.138640354544694</v>
      </c>
      <c r="BW34" s="259">
        <f>IF(AND(ISNUMBER(BW33),ISNUMBER(BR33)),IF(BR33&gt;0,IFERROR(BW33/BR33-1,""),"n/m"),"")</f>
        <v>0.206573515401715</v>
      </c>
      <c r="BX34" s="259">
        <f>IF(AND(ISNUMBER(BX33),ISNUMBER(BS33)),IF(BS33&gt;0,IFERROR(BX33/BS33-1,""),"n/m"),"")</f>
        <v>0.130875018890736</v>
      </c>
      <c r="BY34" s="260">
        <f>IFERROR(SUM(BW33:BX33)/SUM(BR33:BS33)-1,0)</f>
        <v>0.167789392179636</v>
      </c>
      <c r="BZ34" s="260">
        <f>IFERROR(SUM(BW33:BX33)/SUM(BR33:BS33)-1,0)</f>
        <v>0.167789392179636</v>
      </c>
      <c r="CA34" s="260">
        <f>IF(AND(ISNUMBER(CA33),ISNUMBER(BV33)),IF(BV33&gt;0,IFERROR(CA33/BV33-1,""),"n/m"),"")</f>
        <v>0.167789392179636</v>
      </c>
      <c r="CB34" s="260">
        <f>CHOOSE(MATCH($CG$2,{"Bull","Base","Bear"},0),$CP$70,$CQ$70,$CR$70)</f>
        <v>0.05</v>
      </c>
      <c r="CC34" s="260">
        <f>CHOOSE(MATCH($CG$2,{"Bull","Base","Bear"},0),$CP$71,$CQ$71,$CR$71)</f>
        <v>0.05</v>
      </c>
      <c r="CD34" s="260">
        <f>CHOOSE(MATCH($CG$2,{"Bull","Base","Bear"},0),$CP$72,$CQ$72,$CR$72)</f>
        <v>0.045</v>
      </c>
      <c r="CE34" s="260">
        <f>CHOOSE(MATCH($CG$2,{"Bull","Base","Bear"},0),$CP$73,$CQ$73,$CR$73)</f>
        <v>0.04</v>
      </c>
      <c r="CF34" s="260">
        <f>CHOOSE(MATCH($CG$2,{"Bull","Base","Bear"},0),$CP$74,$CQ$74,$CR$74)</f>
        <v>0.04</v>
      </c>
      <c r="CG34" s="153" t="inlineStr">
        <is>
          <t>Q3/Q4-26E: 1H26 y/y. 2027E+: scenario lever.</t>
        </is>
      </c>
      <c r="CI34" s="37">
        <f>IFERROR(AVERAGE(CB34,CC34,CD34,CE34,CF34),"n/m")</f>
        <v>0.045</v>
      </c>
      <c r="CJ34" s="37">
        <f>IFERROR(AVERAGE(BB34,BG34,BL34,BQ34,BV34),"n/m")</f>
        <v>0.0115782399715924</v>
      </c>
      <c r="CK34" s="37">
        <f>IFERROR(AVERAGE(AC34,AH34,AM34,AR34,AW34,BB34,BG34,BL34,BQ34,BV34),"n/m")</f>
        <v>-0.00241560522857575</v>
      </c>
      <c r="CL34" s="37">
        <f>IFERROR(AVERAGE(C34,D34,E34,F34,G34,H34,I34,N34,S34,X34,AC34,AH34,AM34,AR34,AW34,BB34,BG34,BL34,BQ34,BV34),"n/m")</f>
        <v>-0.00441028188335724</v>
      </c>
      <c r="CO34" s="25" t="inlineStr">
        <is>
          <t xml:space="preserve">  2027E</t>
        </is>
      </c>
      <c r="CP34" s="51">
        <f>MAX(0,CQ34+$CP$33)</f>
        <v>590</v>
      </c>
      <c r="CQ34" s="26" t="n">
        <v>560</v>
      </c>
      <c r="CR34" s="51">
        <f>MAX(0,CQ34+$CR$33)</f>
        <v>500</v>
      </c>
    </row>
    <row r="35" ht="15" customHeight="1" s="251">
      <c r="B35" s="25" t="inlineStr">
        <is>
          <t xml:space="preserve">  BDS earnings / (loss) from operations</t>
        </is>
      </c>
      <c r="C35" s="266" t="n">
        <v>3032</v>
      </c>
      <c r="D35" s="266" t="n">
        <v>3440</v>
      </c>
      <c r="E35" s="266" t="n">
        <v>3232</v>
      </c>
      <c r="F35" s="266" t="n">
        <v>3299</v>
      </c>
      <c r="G35" s="266" t="n">
        <v>2875</v>
      </c>
      <c r="H35" s="266" t="n">
        <v>3158</v>
      </c>
      <c r="I35" s="266" t="n">
        <v>3068</v>
      </c>
      <c r="J35" s="266" t="n">
        <v>832</v>
      </c>
      <c r="K35" s="266" t="n">
        <v>776</v>
      </c>
      <c r="L35" s="266" t="n">
        <v>673</v>
      </c>
      <c r="M35" s="266" t="n">
        <v>954</v>
      </c>
      <c r="N35" s="266" t="n">
        <v>3235</v>
      </c>
      <c r="O35" s="266" t="n">
        <v>778</v>
      </c>
      <c r="P35" s="266" t="n">
        <v>582</v>
      </c>
      <c r="Q35" s="266" t="n">
        <v>856</v>
      </c>
      <c r="R35" s="266" t="n">
        <v>917</v>
      </c>
      <c r="S35" s="266" t="n">
        <v>3133</v>
      </c>
      <c r="T35" s="266" t="n">
        <v>743</v>
      </c>
      <c r="U35" s="266" t="n">
        <v>546</v>
      </c>
      <c r="V35" s="266" t="n">
        <v>1022</v>
      </c>
      <c r="W35" s="266" t="n">
        <v>963</v>
      </c>
      <c r="X35" s="266" t="n">
        <v>3274</v>
      </c>
      <c r="Y35" s="266" t="n">
        <v>822</v>
      </c>
      <c r="Z35" s="266" t="n">
        <v>593</v>
      </c>
      <c r="AA35" s="266" t="n">
        <v>784</v>
      </c>
      <c r="AB35" s="266" t="n">
        <v>809</v>
      </c>
      <c r="AC35" s="266" t="n">
        <v>3008</v>
      </c>
      <c r="AD35" s="266" t="n">
        <v>737</v>
      </c>
      <c r="AE35" s="266" t="n">
        <v>890</v>
      </c>
      <c r="AF35" s="266" t="n">
        <v>559</v>
      </c>
      <c r="AG35" s="266" t="n">
        <v>553</v>
      </c>
      <c r="AH35" s="266" t="n">
        <v>2223</v>
      </c>
      <c r="AI35" s="266" t="n">
        <v>649</v>
      </c>
      <c r="AJ35" s="266" t="n">
        <v>521</v>
      </c>
      <c r="AK35" s="266" t="n">
        <v>-245</v>
      </c>
      <c r="AL35" s="266" t="n">
        <v>669</v>
      </c>
      <c r="AM35" s="266" t="n">
        <v>1594</v>
      </c>
      <c r="AN35" s="266" t="n">
        <v>847</v>
      </c>
      <c r="AO35" s="266" t="n">
        <v>975</v>
      </c>
      <c r="AP35" s="266" t="n">
        <v>755</v>
      </c>
      <c r="AQ35" s="266" t="n">
        <v>31</v>
      </c>
      <c r="AR35" s="266" t="n">
        <v>2608</v>
      </c>
      <c r="AS35" s="266" t="n">
        <v>-191</v>
      </c>
      <c r="AT35" s="266" t="n">
        <v>600</v>
      </c>
      <c r="AU35" s="266" t="n">
        <v>628</v>
      </c>
      <c r="AV35" s="266" t="n">
        <v>502</v>
      </c>
      <c r="AW35" s="266" t="n">
        <v>1539</v>
      </c>
      <c r="AX35" s="266" t="n">
        <v>405</v>
      </c>
      <c r="AY35" s="266" t="n">
        <v>958</v>
      </c>
      <c r="AZ35" s="266" t="n">
        <v>436</v>
      </c>
      <c r="BA35" s="266" t="n">
        <v>-255</v>
      </c>
      <c r="BB35" s="266" t="n">
        <v>1544</v>
      </c>
      <c r="BC35" s="266" t="n">
        <v>-929</v>
      </c>
      <c r="BD35" s="266" t="n">
        <v>71</v>
      </c>
      <c r="BE35" s="266" t="n">
        <v>-2798</v>
      </c>
      <c r="BF35" s="266" t="n">
        <v>112</v>
      </c>
      <c r="BG35" s="266" t="n">
        <v>-3544</v>
      </c>
      <c r="BH35" s="266" t="n">
        <v>-212</v>
      </c>
      <c r="BI35" s="266" t="n">
        <v>-527</v>
      </c>
      <c r="BJ35" s="266" t="n">
        <v>-924</v>
      </c>
      <c r="BK35" s="266" t="n">
        <v>-101</v>
      </c>
      <c r="BL35" s="266" t="n">
        <v>-1764</v>
      </c>
      <c r="BM35" s="266" t="n">
        <v>151</v>
      </c>
      <c r="BN35" s="266" t="n">
        <v>-913</v>
      </c>
      <c r="BO35" s="266" t="n">
        <v>-2384</v>
      </c>
      <c r="BP35" s="266" t="n">
        <v>-2267</v>
      </c>
      <c r="BQ35" s="266" t="n">
        <v>-5413</v>
      </c>
      <c r="BR35" s="266" t="n">
        <v>155</v>
      </c>
      <c r="BS35" s="266" t="n">
        <v>110</v>
      </c>
      <c r="BT35" s="266" t="n">
        <v>114</v>
      </c>
      <c r="BU35" s="266" t="n">
        <v>-507</v>
      </c>
      <c r="BV35" s="266" t="n">
        <v>-128</v>
      </c>
      <c r="BW35" s="266" t="n">
        <v>233</v>
      </c>
      <c r="BX35" s="266" t="n">
        <v>-15</v>
      </c>
      <c r="BY35" s="263">
        <f>BY33*BY36</f>
        <v>278.166847664454</v>
      </c>
      <c r="BZ35" s="263">
        <f>BZ33*BZ36</f>
        <v>298.922560001051</v>
      </c>
      <c r="CA35" s="263">
        <f>SUM(BW35:BZ35)</f>
        <v>795.089407665505</v>
      </c>
      <c r="CB35" s="263">
        <f>CB33*CB36</f>
        <v>2003.62530731707</v>
      </c>
      <c r="CC35" s="263">
        <f>CC33*CC36</f>
        <v>2629.75821585366</v>
      </c>
      <c r="CD35" s="263">
        <f>CD33*CD36</f>
        <v>3114.51031364268</v>
      </c>
      <c r="CE35" s="263">
        <f>CE33*CE36</f>
        <v>3429.62547478771</v>
      </c>
      <c r="CF35" s="263">
        <f>CF33*CF36</f>
        <v>3566.81049377922</v>
      </c>
      <c r="CG35" s="19" t="inlineStr">
        <is>
          <t>As reported (incl. fixed-price development charges: KC-46A, T-7A, MQ-25, VC-25B, Starliner, commercial crew).</t>
        </is>
      </c>
      <c r="CI35" s="20">
        <f>IFERROR(IF(AND(CF35&gt;0,CA35&gt;0),(CF35/CA35)^(1/5)-1,"n/m"),"n/m")</f>
        <v>0.35012137673968</v>
      </c>
      <c r="CJ35" s="20" t="str">
        <f>IFERROR(IF(AND(BV35&gt;0,AW35&gt;0),(BV35/AW35)^(1/5)-1,"n/m"),"n/m")</f>
        <v>n/m</v>
      </c>
      <c r="CK35" s="20" t="str">
        <f>IFERROR(IF(AND(BV35&gt;0,X35&gt;0),(BV35/X35)^(1/10)-1,"n/m"),"n/m")</f>
        <v>n/m</v>
      </c>
      <c r="CL35" s="20" t="str">
        <f>IFERROR(IF(AND(BV35&gt;0,C35&gt;0),(BV35/C35)^(1/19)-1,"n/m"),"n/m")</f>
        <v>n/m</v>
      </c>
      <c r="CO35" s="25" t="inlineStr">
        <is>
          <t xml:space="preserve">  2028E</t>
        </is>
      </c>
      <c r="CP35" s="51">
        <f>MAX(0,CQ35+$CP$33)</f>
        <v>640</v>
      </c>
      <c r="CQ35" s="26" t="n">
        <v>610</v>
      </c>
      <c r="CR35" s="51">
        <f>MAX(0,CQ35+$CR$33)</f>
        <v>550</v>
      </c>
    </row>
    <row r="36" ht="15" customHeight="1" s="251">
      <c r="B36" s="25" t="inlineStr">
        <is>
          <t xml:space="preserve">  BDS operating margin %</t>
        </is>
      </c>
      <c r="C36" s="215">
        <f>IF(AND(ISNUMBER(C35),ISNUMBER(C33)),IFERROR(C35/C33,""),"")</f>
        <v>0.0934677394494282</v>
      </c>
      <c r="D36" s="215">
        <f>IF(AND(ISNUMBER(D35),ISNUMBER(D33)),IFERROR(D35/D33,""),"")</f>
        <v>0.107231920199501</v>
      </c>
      <c r="E36" s="215">
        <f>IF(AND(ISNUMBER(E35),ISNUMBER(E33)),IFERROR(E35/E33,""),"")</f>
        <v>0.100851873810341</v>
      </c>
      <c r="F36" s="215">
        <f>IF(AND(ISNUMBER(F35),ISNUMBER(F33)),IFERROR(F35/F33,""),"")</f>
        <v>0.098006595169484</v>
      </c>
      <c r="G36" s="215">
        <f>IF(AND(ISNUMBER(G35),ISNUMBER(G33)),IFERROR(G35/G33,""),"")</f>
        <v>0.0900040697492408</v>
      </c>
      <c r="H36" s="215">
        <f>IF(AND(ISNUMBER(H35),ISNUMBER(H33)),IFERROR(H35/H33,""),"")</f>
        <v>0.0987615711783838</v>
      </c>
      <c r="I36" s="215">
        <f>IF(AND(ISNUMBER(I35),ISNUMBER(I33)),IFERROR(I35/I33,""),"")</f>
        <v>0.0940902260250866</v>
      </c>
      <c r="J36" s="215">
        <f>IF(AND(ISNUMBER(J35),ISNUMBER(J33)),IFERROR(J35/J33,""),"")</f>
        <v>0.102589395807645</v>
      </c>
      <c r="K36" s="215">
        <f>IF(AND(ISNUMBER(K35),ISNUMBER(K33)),IFERROR(K35/K33,""),"")</f>
        <v>0.094795993159052</v>
      </c>
      <c r="L36" s="215">
        <f>IF(AND(ISNUMBER(L35),ISNUMBER(L33)),IFERROR(L35/L33,""),"")</f>
        <v>0.0836440467312951</v>
      </c>
      <c r="M36" s="215">
        <f>IF(AND(ISNUMBER(M35),ISNUMBER(M33)),IFERROR(M35/M33,""),"")</f>
        <v>0.107735742518351</v>
      </c>
      <c r="N36" s="215">
        <f>IF(AND(ISNUMBER(N35),ISNUMBER(N33)),IFERROR(N35/N33,""),"")</f>
        <v>0.097448564629334</v>
      </c>
      <c r="O36" s="215">
        <f>IF(AND(ISNUMBER(O35),ISNUMBER(O33)),IFERROR(O35/O33,""),"")</f>
        <v>0.101925848290318</v>
      </c>
      <c r="P36" s="215">
        <f>IF(AND(ISNUMBER(P35),ISNUMBER(P33)),IFERROR(P35/P33,""),"")</f>
        <v>0.0751258551697431</v>
      </c>
      <c r="Q36" s="215">
        <f>IF(AND(ISNUMBER(Q35),ISNUMBER(Q33)),IFERROR(Q35/Q33,""),"")</f>
        <v>0.10817641855175</v>
      </c>
      <c r="R36" s="215">
        <f>IF(AND(ISNUMBER(R35),ISNUMBER(R33)),IFERROR(R35/R33,""),"")</f>
        <v>0.120848708487085</v>
      </c>
      <c r="S36" s="215">
        <f>IF(AND(ISNUMBER(S35),ISNUMBER(S33)),IFERROR(S35/S33,""),"")</f>
        <v>0.101453968459571</v>
      </c>
      <c r="T36" s="215">
        <f>IF(AND(ISNUMBER(T35),ISNUMBER(T33)),IFERROR(T35/T33,""),"")</f>
        <v>0.110746758086153</v>
      </c>
      <c r="U36" s="215">
        <f>IF(AND(ISNUMBER(U35),ISNUMBER(U33)),IFERROR(U35/U33,""),"")</f>
        <v>0.0723753976670201</v>
      </c>
      <c r="V36" s="215">
        <f>IF(AND(ISNUMBER(V35),ISNUMBER(V33)),IFERROR(V35/V33,""),"")</f>
        <v>0.122395209580838</v>
      </c>
      <c r="W36" s="215">
        <f>IF(AND(ISNUMBER(W35),ISNUMBER(W33)),IFERROR(W35/W33,""),"")</f>
        <v>0.123699421965318</v>
      </c>
      <c r="X36" s="215">
        <f>IF(AND(ISNUMBER(X35),ISNUMBER(X33)),IFERROR(X35/X33,""),"")</f>
        <v>0.107739897327893</v>
      </c>
      <c r="Y36" s="215">
        <f>IF(AND(ISNUMBER(Y35),ISNUMBER(Y33)),IFERROR(Y35/Y33,""),"")</f>
        <v>0.103318250377074</v>
      </c>
      <c r="Z36" s="215">
        <f>IF(AND(ISNUMBER(Z35),ISNUMBER(Z33)),IFERROR(Z35/Z33,""),"")</f>
        <v>0.0826596041260106</v>
      </c>
      <c r="AA36" s="215">
        <f>IF(AND(ISNUMBER(AA35),ISNUMBER(AA33)),IFERROR(AA35/AA33,""),"")</f>
        <v>0.104421949920085</v>
      </c>
      <c r="AB36" s="215">
        <f>IF(AND(ISNUMBER(AB35),ISNUMBER(AB33)),IFERROR(AB35/AB33,""),"")</f>
        <v>0.117930029154519</v>
      </c>
      <c r="AC36" s="215">
        <f>IF(AND(ISNUMBER(AC35),ISNUMBER(AC33)),IFERROR(AC35/AC33,""),"")</f>
        <v>0.101973015119669</v>
      </c>
      <c r="AD36" s="215">
        <f>IF(AND(ISNUMBER(AD35),ISNUMBER(AD33)),IFERROR(AD35/AD33,""),"")</f>
        <v>0.112829148805879</v>
      </c>
      <c r="AE36" s="215">
        <f>IF(AND(ISNUMBER(AE35),ISNUMBER(AE33)),IFERROR(AE35/AE33,""),"")</f>
        <v>0.129247749056056</v>
      </c>
      <c r="AF36" s="215">
        <f>IF(AND(ISNUMBER(AF35),ISNUMBER(AF33)),IFERROR(AF35/AF33,""),"")</f>
        <v>0.102193784277879</v>
      </c>
      <c r="AG36" s="215">
        <f>IF(AND(ISNUMBER(AG35),ISNUMBER(AG33)),IFERROR(AG35/AG33,""),"")</f>
        <v>0.0998735777496839</v>
      </c>
      <c r="AH36" s="215">
        <f>IF(AND(ISNUMBER(AH35),ISNUMBER(AH33)),IFERROR(AH35/AH33,""),"")</f>
        <v>0.105570594101724</v>
      </c>
      <c r="AI36" s="215">
        <f>IF(AND(ISNUMBER(AI35),ISNUMBER(AI33)),IFERROR(AI35/AI33,""),"")</f>
        <v>0.112634501909059</v>
      </c>
      <c r="AJ36" s="215">
        <f>IF(AND(ISNUMBER(AJ35),ISNUMBER(AJ33)),IFERROR(AJ35/AJ33,""),"")</f>
        <v>0.0931521544788128</v>
      </c>
      <c r="AK36" s="215">
        <f>IF(AND(ISNUMBER(AK35),ISNUMBER(AK33)),IFERROR(AK35/AK33,""),"")</f>
        <v>-0.0427648804328853</v>
      </c>
      <c r="AL36" s="215">
        <f>IF(AND(ISNUMBER(AL35),ISNUMBER(AL33)),IFERROR(AL35/AL33,""),"")</f>
        <v>0.10947471772214</v>
      </c>
      <c r="AM36" s="215">
        <f>IF(AND(ISNUMBER(AM35),ISNUMBER(AM33)),IFERROR(AM35/AM33,""),"")</f>
        <v>0.0687217072644967</v>
      </c>
      <c r="AN36" s="215">
        <f>IF(AND(ISNUMBER(AN35),ISNUMBER(AN33)),IFERROR(AN35/AN33,""),"")</f>
        <v>0.128119800332779</v>
      </c>
      <c r="AO36" s="215">
        <f>IF(AND(ISNUMBER(AO35),ISNUMBER(AO33)),IFERROR(AO35/AO33,""),"")</f>
        <v>0.147459165154265</v>
      </c>
      <c r="AP36" s="215">
        <f>IF(AND(ISNUMBER(AP35),ISNUMBER(AP33)),IFERROR(AP35/AP33,""),"")</f>
        <v>0.107213859698949</v>
      </c>
      <c r="AQ36" s="215">
        <f>IF(AND(ISNUMBER(AQ35),ISNUMBER(AQ33)),IFERROR(AQ35/AQ33,""),"")</f>
        <v>0.00519959745051996</v>
      </c>
      <c r="AR36" s="215">
        <f>IF(AND(ISNUMBER(AR35),ISNUMBER(AR33)),IFERROR(AR35/AR33,""),"")</f>
        <v>0.0994395089030389</v>
      </c>
      <c r="AS36" s="215">
        <f>IF(AND(ISNUMBER(AS35),ISNUMBER(AS33)),IFERROR(AS35/AS33,""),"")</f>
        <v>-0.0316120489904005</v>
      </c>
      <c r="AT36" s="215">
        <f>IF(AND(ISNUMBER(AT35),ISNUMBER(AT33)),IFERROR(AT35/AT33,""),"")</f>
        <v>0.0910746812386157</v>
      </c>
      <c r="AU36" s="215">
        <f>IF(AND(ISNUMBER(AU35),ISNUMBER(AU33)),IFERROR(AU35/AU33,""),"")</f>
        <v>0.0917056074766355</v>
      </c>
      <c r="AV36" s="215">
        <f>IF(AND(ISNUMBER(AV35),ISNUMBER(AV33)),IFERROR(AV35/AV33,""),"")</f>
        <v>0.0740522200914589</v>
      </c>
      <c r="AW36" s="215">
        <f>IF(AND(ISNUMBER(AW35),ISNUMBER(AW33)),IFERROR(AW35/AW33,""),"")</f>
        <v>0.0586129413108885</v>
      </c>
      <c r="AX36" s="215">
        <f>IF(AND(ISNUMBER(AX35),ISNUMBER(AX33)),IFERROR(AX35/AX33,""),"")</f>
        <v>0.0563674321503132</v>
      </c>
      <c r="AY36" s="215">
        <f>IF(AND(ISNUMBER(AY35),ISNUMBER(AY33)),IFERROR(AY35/AY33,""),"")</f>
        <v>0.139325189063409</v>
      </c>
      <c r="AZ36" s="215">
        <f>IF(AND(ISNUMBER(AZ35),ISNUMBER(AZ33)),IFERROR(AZ35/AZ33,""),"")</f>
        <v>0.0658908871089618</v>
      </c>
      <c r="BA36" s="215">
        <f>IF(AND(ISNUMBER(BA35),ISNUMBER(BA33)),IFERROR(BA35/BA33,""),"")</f>
        <v>-0.0435005117707267</v>
      </c>
      <c r="BB36" s="215">
        <f>IF(AND(ISNUMBER(BB35),ISNUMBER(BB33)),IFERROR(BB35/BB33,""),"")</f>
        <v>0.0581763376036172</v>
      </c>
      <c r="BC36" s="215">
        <f>IF(AND(ISNUMBER(BC35),ISNUMBER(BC33)),IFERROR(BC35/BC33,""),"")</f>
        <v>-0.169432792267007</v>
      </c>
      <c r="BD36" s="215">
        <f>IF(AND(ISNUMBER(BD35),ISNUMBER(BD33)),IFERROR(BD35/BD33,""),"")</f>
        <v>0.011468260377968</v>
      </c>
      <c r="BE36" s="215">
        <f>IF(AND(ISNUMBER(BE35),ISNUMBER(BE33)),IFERROR(BE35/BE33,""),"")</f>
        <v>-0.527228189184097</v>
      </c>
      <c r="BF36" s="215">
        <f>IF(AND(ISNUMBER(BF35),ISNUMBER(BF33)),IFERROR(BF35/BF33,""),"")</f>
        <v>0.0181200453001133</v>
      </c>
      <c r="BG36" s="215">
        <f>IF(AND(ISNUMBER(BG35),ISNUMBER(BG33)),IFERROR(BG35/BG33,""),"")</f>
        <v>-0.15300923927122</v>
      </c>
      <c r="BH36" s="215">
        <f>IF(AND(ISNUMBER(BH35),ISNUMBER(BH33)),IFERROR(BH35/BH33,""),"")</f>
        <v>-0.0324208594586328</v>
      </c>
      <c r="BI36" s="215">
        <f>IF(AND(ISNUMBER(BI35),ISNUMBER(BI33)),IFERROR(BI35/BI33,""),"")</f>
        <v>-0.0854548402789039</v>
      </c>
      <c r="BJ36" s="215">
        <f>IF(AND(ISNUMBER(BJ35),ISNUMBER(BJ33)),IFERROR(BJ35/BJ33,""),"")</f>
        <v>-0.168582375478927</v>
      </c>
      <c r="BK36" s="215">
        <f>IF(AND(ISNUMBER(BK35),ISNUMBER(BK33)),IFERROR(BK35/BK33,""),"")</f>
        <v>-0.0149718351615772</v>
      </c>
      <c r="BL36" s="215">
        <f>IF(AND(ISNUMBER(BL35),ISNUMBER(BL33)),IFERROR(BL35/BL33,""),"")</f>
        <v>-0.0707496089519913</v>
      </c>
      <c r="BM36" s="215">
        <f>IF(AND(ISNUMBER(BM35),ISNUMBER(BM33)),IFERROR(BM35/BM33,""),"")</f>
        <v>0.021726618705036</v>
      </c>
      <c r="BN36" s="215">
        <f>IF(AND(ISNUMBER(BN35),ISNUMBER(BN33)),IFERROR(BN35/BN33,""),"")</f>
        <v>-0.151635940873609</v>
      </c>
      <c r="BO36" s="215">
        <f>IF(AND(ISNUMBER(BO35),ISNUMBER(BO33)),IFERROR(BO35/BO33,""),"")</f>
        <v>-0.430635838150289</v>
      </c>
      <c r="BP36" s="215">
        <f>IF(AND(ISNUMBER(BP35),ISNUMBER(BP33)),IFERROR(BP35/BP33,""),"")</f>
        <v>-0.418961374976899</v>
      </c>
      <c r="BQ36" s="215">
        <f>IF(AND(ISNUMBER(BQ35),ISNUMBER(BQ33)),IFERROR(BQ35/BQ33,""),"")</f>
        <v>-0.226314909273351</v>
      </c>
      <c r="BR36" s="215">
        <f>IF(AND(ISNUMBER(BR35),ISNUMBER(BR33)),IFERROR(BR35/BR33,""),"")</f>
        <v>0.0246109876151159</v>
      </c>
      <c r="BS36" s="215">
        <f>IF(AND(ISNUMBER(BS35),ISNUMBER(BS33)),IFERROR(BS35/BS33,""),"")</f>
        <v>0.016623847665105</v>
      </c>
      <c r="BT36" s="215">
        <f>IF(AND(ISNUMBER(BT35),ISNUMBER(BT33)),IFERROR(BT35/BT33,""),"")</f>
        <v>0.0165169516082295</v>
      </c>
      <c r="BU36" s="215">
        <f>IF(AND(ISNUMBER(BU35),ISNUMBER(BU33)),IFERROR(BU35/BU33,""),"")</f>
        <v>-0.0683564783605231</v>
      </c>
      <c r="BV36" s="215">
        <f>IF(AND(ISNUMBER(BV35),ISNUMBER(BV33)),IFERROR(BV35/BV33,""),"")</f>
        <v>-0.00470000734376148</v>
      </c>
      <c r="BW36" s="215">
        <f>IF(AND(ISNUMBER(BW35),ISNUMBER(BW33)),IFERROR(BW35/BW33,""),"")</f>
        <v>0.0306619292012107</v>
      </c>
      <c r="BX36" s="215">
        <f>IF(AND(ISNUMBER(BX35),ISNUMBER(BX33)),IFERROR(BX35/BX33,""),"")</f>
        <v>-0.00200454363223306</v>
      </c>
      <c r="BY36" s="260">
        <f>BY37+$BZ$94</f>
        <v>0.0345116630802941</v>
      </c>
      <c r="BZ36" s="260">
        <f>BZ37+$BZ$94</f>
        <v>0.0345116630802941</v>
      </c>
      <c r="CA36" s="260">
        <f>IF(AND(ISNUMBER(CA35),ISNUMBER(CA33)),IFERROR(CA35/CA33,""),"")</f>
        <v>0.025</v>
      </c>
      <c r="CB36" s="260">
        <f>CHOOSE(MATCH($CG$2,{"Bull","Base","Bear"},0),$CP$76,$CQ$76,$CR$76)</f>
        <v>0.06</v>
      </c>
      <c r="CC36" s="260">
        <f>CHOOSE(MATCH($CG$2,{"Bull","Base","Bear"},0),$CP$77,$CQ$77,$CR$77)</f>
        <v>0.075</v>
      </c>
      <c r="CD36" s="260">
        <f>CHOOSE(MATCH($CG$2,{"Bull","Base","Bear"},0),$CP$78,$CQ$78,$CR$78)</f>
        <v>0.085</v>
      </c>
      <c r="CE36" s="260">
        <f>CHOOSE(MATCH($CG$2,{"Bull","Base","Bear"},0),$CP$79,$CQ$79,$CR$79)</f>
        <v>0.09</v>
      </c>
      <c r="CF36" s="260">
        <f>CHOOSE(MATCH($CG$2,{"Bull","Base","Bear"},0),$CP$80,$CQ$80,$CR$80)</f>
        <v>0.09</v>
      </c>
      <c r="CG36" s="153" t="inlineStr">
        <is>
          <t>Q3/Q4-26E: 1H26 margin + calibration Δ (2026 BDS margin target). 2027E+: lever.</t>
        </is>
      </c>
      <c r="CI36" s="37">
        <f>IFERROR(AVERAGE(CB36,CC36,CD36,CE36,CF36),"n/m")</f>
        <v>0.08</v>
      </c>
      <c r="CJ36" s="37">
        <f>IFERROR(AVERAGE(BB36,BG36,BL36,BQ36,BV36),"n/m")</f>
        <v>-0.0793194854473413</v>
      </c>
      <c r="CK36" s="37">
        <f>IFERROR(AVERAGE(AC36,AH36,AM36,AR36,AW36,BB36,BG36,BL36,BQ36,BV36),"n/m")</f>
        <v>0.00377203394631107</v>
      </c>
      <c r="CL36" s="37">
        <f>IFERROR(AVERAGE(C36,D36,E36,F36,G36,H36,I36,N36,S36,X36,AC36,AH36,AM36,AR36,AW36,BB36,BG36,BL36,BQ36,BV36),"n/m")</f>
        <v>0.0513388382730687</v>
      </c>
      <c r="CO36" s="25" t="inlineStr">
        <is>
          <t xml:space="preserve">  2029E</t>
        </is>
      </c>
      <c r="CP36" s="51">
        <f>MAX(0,CQ36+$CP$33)</f>
        <v>670</v>
      </c>
      <c r="CQ36" s="26" t="n">
        <v>640</v>
      </c>
      <c r="CR36" s="51">
        <f>MAX(0,CQ36+$CR$33)</f>
        <v>580</v>
      </c>
    </row>
    <row r="37" ht="15" customHeight="1" s="251">
      <c r="B37" s="25" t="inlineStr">
        <is>
          <t xml:space="preserve">  Q3/Q4-26E margin before calibration (1H26 margin)</t>
        </is>
      </c>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36" t="n"/>
      <c r="AN37" s="36" t="n"/>
      <c r="AO37" s="36" t="n"/>
      <c r="AP37" s="36" t="n"/>
      <c r="AQ37" s="36" t="n"/>
      <c r="AR37" s="36" t="n"/>
      <c r="AS37" s="36" t="n"/>
      <c r="AT37" s="36" t="n"/>
      <c r="AU37" s="36" t="n"/>
      <c r="AV37" s="36" t="n"/>
      <c r="AW37" s="36" t="n"/>
      <c r="AX37" s="36" t="n"/>
      <c r="AY37" s="36" t="n"/>
      <c r="AZ37" s="36" t="n"/>
      <c r="BA37" s="36" t="n"/>
      <c r="BB37" s="36" t="n"/>
      <c r="BC37" s="36" t="n"/>
      <c r="BD37" s="36" t="n"/>
      <c r="BE37" s="36" t="n"/>
      <c r="BF37" s="36" t="n"/>
      <c r="BG37" s="36" t="n"/>
      <c r="BH37" s="36" t="n"/>
      <c r="BI37" s="36" t="n"/>
      <c r="BJ37" s="36" t="n"/>
      <c r="BK37" s="36" t="n"/>
      <c r="BL37" s="36" t="n"/>
      <c r="BM37" s="36" t="n"/>
      <c r="BN37" s="36" t="n"/>
      <c r="BO37" s="36" t="n"/>
      <c r="BP37" s="36" t="n"/>
      <c r="BQ37" s="36" t="n"/>
      <c r="BR37" s="36" t="n"/>
      <c r="BS37" s="36" t="n"/>
      <c r="BT37" s="36" t="n"/>
      <c r="BU37" s="36" t="n"/>
      <c r="BV37" s="36" t="n"/>
      <c r="BW37" s="36" t="n"/>
      <c r="BX37" s="36" t="n"/>
      <c r="BY37" s="260">
        <f>IFERROR(SUM(BW35:BX35)/SUM(BW33:BX33),0)</f>
        <v>0.01445431640366</v>
      </c>
      <c r="BZ37" s="260">
        <f>IFERROR(SUM(BW35:BX35)/SUM(BW33:BX33),0)</f>
        <v>0.01445431640366</v>
      </c>
      <c r="CA37" s="24" t="n"/>
      <c r="CB37" s="46" t="n"/>
      <c r="CC37" s="46" t="n"/>
      <c r="CD37" s="46" t="n"/>
      <c r="CE37" s="46" t="n"/>
      <c r="CF37" s="46" t="n"/>
      <c r="CG37" s="19" t="n"/>
      <c r="CO37" s="25" t="inlineStr">
        <is>
          <t xml:space="preserve">  2030E</t>
        </is>
      </c>
      <c r="CP37" s="51">
        <f>MAX(0,CQ37+$CP$33)</f>
        <v>680</v>
      </c>
      <c r="CQ37" s="26" t="n">
        <v>650</v>
      </c>
      <c r="CR37" s="51">
        <f>MAX(0,CQ37+$CR$33)</f>
        <v>590</v>
      </c>
    </row>
    <row r="38" ht="15" customHeight="1" s="251">
      <c r="B38" s="25" t="inlineStr">
        <is>
          <t xml:space="preserve">  Incremental BDS margin</t>
        </is>
      </c>
      <c r="C38" s="36" t="n"/>
      <c r="D38" s="215">
        <f>IFERROR((D35-C35)/(D33-C33),"")</f>
        <v>-1.13649025069638</v>
      </c>
      <c r="E38" s="215">
        <f>IFERROR((E35-D35)/(E33-D33),"")</f>
        <v>6.3030303030303</v>
      </c>
      <c r="F38" s="215">
        <f>IFERROR((F35-E35)/(F33-E33),"")</f>
        <v>0.0415117719950434</v>
      </c>
      <c r="G38" s="215">
        <f>IFERROR((G35-F35)/(G33-F33),"")</f>
        <v>0.246798603026775</v>
      </c>
      <c r="H38" s="215">
        <f>IFERROR((H35-G35)/(H33-G33),"")</f>
        <v>8.57575757575758</v>
      </c>
      <c r="I38" s="215">
        <f>IFERROR((I35-H35)/(I33-H33),"")</f>
        <v>-0.142630744849445</v>
      </c>
      <c r="J38" s="36" t="n"/>
      <c r="K38" s="36" t="n"/>
      <c r="L38" s="36" t="n"/>
      <c r="M38" s="36" t="n"/>
      <c r="N38" s="215">
        <f>IFERROR((N35-I35)/(N33-I33),"")</f>
        <v>0.283050847457627</v>
      </c>
      <c r="O38" s="215">
        <f>IFERROR((O35-J35)/(O33-J33),"")</f>
        <v>0.113207547169811</v>
      </c>
      <c r="P38" s="215">
        <f>IFERROR((P35-K35)/(P33-K33),"")</f>
        <v>0.441913439635535</v>
      </c>
      <c r="Q38" s="215">
        <f>IFERROR((Q35-L35)/(Q33-L33),"")</f>
        <v>-1.37593984962406</v>
      </c>
      <c r="R38" s="215">
        <f>IFERROR((R35-M35)/(R33-M33),"")</f>
        <v>0.0292028413575375</v>
      </c>
      <c r="S38" s="215">
        <f>IFERROR((S35-N35)/(S33-N33),"")</f>
        <v>0.0440414507772021</v>
      </c>
      <c r="T38" s="215">
        <f>IFERROR((T35-O35)/(T33-O33),"")</f>
        <v>0.0378787878787879</v>
      </c>
      <c r="U38" s="215">
        <f>IFERROR((U35-P35)/(U33-P33),"")</f>
        <v>0.177339901477833</v>
      </c>
      <c r="V38" s="215">
        <f>IFERROR((V35-Q35)/(V33-Q33),"")</f>
        <v>0.379862700228833</v>
      </c>
      <c r="W38" s="215">
        <f>IFERROR((W35-R35)/(W33-R33),"")</f>
        <v>0.233502538071066</v>
      </c>
      <c r="X38" s="215">
        <f>IFERROR((X35-S35)/(X33-S33),"")</f>
        <v>-0.286004056795132</v>
      </c>
      <c r="Y38" s="215">
        <f>IFERROR((Y35-T35)/(Y33-T33),"")</f>
        <v>0.0633520449077787</v>
      </c>
      <c r="Z38" s="215">
        <f>IFERROR((Z35-U35)/(Z33-U33),"")</f>
        <v>-0.127027027027027</v>
      </c>
      <c r="AA38" s="215">
        <f>IFERROR((AA35-V35)/(AA33-V33),"")</f>
        <v>0.282660332541568</v>
      </c>
      <c r="AB38" s="215">
        <f>IFERROR((AB35-W35)/(AB33-W33),"")</f>
        <v>0.166486486486486</v>
      </c>
      <c r="AC38" s="215">
        <f>IFERROR((AC35-X35)/(AC33-X33),"")</f>
        <v>0.298876404494382</v>
      </c>
      <c r="AD38" s="215">
        <f>IFERROR((AD35-Y35)/(AD33-Y33),"")</f>
        <v>0.0596910112359551</v>
      </c>
      <c r="AE38" s="215">
        <f>IFERROR((AE35-Z35)/(AE33-Z33),"")</f>
        <v>-1.03125</v>
      </c>
      <c r="AF38" s="215">
        <f>IFERROR((AF35-AA35)/(AF33-AA33),"")</f>
        <v>0.110402355250245</v>
      </c>
      <c r="AG38" s="215">
        <f>IFERROR((AG35-AB35)/(AG33-AB33),"")</f>
        <v>0.193499622071051</v>
      </c>
      <c r="AH38" s="215">
        <f>IFERROR((AH35-AC35)/(AH33-AC33),"")</f>
        <v>0.0929984598981163</v>
      </c>
      <c r="AI38" s="215">
        <f>IFERROR((AI35-AD35)/(AI33-AD33),"")</f>
        <v>0.114285714285714</v>
      </c>
      <c r="AJ38" s="215">
        <f>IFERROR((AJ35-AE35)/(AJ33-AE33),"")</f>
        <v>0.28538283062645</v>
      </c>
      <c r="AK38" s="215">
        <f>IFERROR((AK35-AF35)/(AK33-AF33),"")</f>
        <v>-3.1042471042471</v>
      </c>
      <c r="AL38" s="215">
        <f>IFERROR((AL35-AG35)/(AL33-AG33),"")</f>
        <v>0.202090592334495</v>
      </c>
      <c r="AM38" s="215">
        <f>IFERROR((AM35-AH35)/(AM33-AH33),"")</f>
        <v>-0.294200187090739</v>
      </c>
      <c r="AN38" s="215">
        <f>IFERROR((AN35-AI35)/(AN33-AI33),"")</f>
        <v>0.23321554770318</v>
      </c>
      <c r="AO38" s="215">
        <f>IFERROR((AO35-AJ35)/(AO33-AJ33),"")</f>
        <v>0.445534838076546</v>
      </c>
      <c r="AP38" s="215">
        <f>IFERROR((AP35-AK35)/(AP33-AK33),"")</f>
        <v>0.761614623000762</v>
      </c>
      <c r="AQ38" s="215">
        <f>IFERROR((AQ35-AL35)/(AQ33-AL33),"")</f>
        <v>4.28187919463087</v>
      </c>
      <c r="AR38" s="215">
        <f>IFERROR((AR35-AM35)/(AR33-AM33),"")</f>
        <v>0.3344327176781</v>
      </c>
      <c r="AS38" s="215">
        <f>IFERROR((AS35-AN35)/(AS33-AN33),"")</f>
        <v>1.82425307557118</v>
      </c>
      <c r="AT38" s="215">
        <f>IFERROR((AT35-AO35)/(AT33-AO33),"")</f>
        <v>15.625</v>
      </c>
      <c r="AU38" s="215">
        <f>IFERROR((AU35-AP35)/(AU33-AP33),"")</f>
        <v>0.654639175257732</v>
      </c>
      <c r="AV38" s="215">
        <f>IFERROR((AV35-AQ35)/(AV33-AQ33),"")</f>
        <v>0.576499388004896</v>
      </c>
      <c r="AW38" s="215">
        <f>IFERROR((AW35-AR35)/(AW33-AR33),"")</f>
        <v>-35.6333333333333</v>
      </c>
      <c r="AX38" s="215">
        <f>IFERROR((AX35-AS35)/(AX33-AS33),"")</f>
        <v>0.521434820647419</v>
      </c>
      <c r="AY38" s="215">
        <f>IFERROR((AY35-AT35)/(AY33-AT33),"")</f>
        <v>1.24305555555556</v>
      </c>
      <c r="AZ38" s="215">
        <f>IFERROR((AZ35-AU35)/(AZ33-AU33),"")</f>
        <v>0.831168831168831</v>
      </c>
      <c r="BA38" s="215">
        <f>IFERROR((BA35-AV35)/(BA33-AV33),"")</f>
        <v>0.825517993456925</v>
      </c>
      <c r="BB38" s="215">
        <f>IFERROR((BB35-AW35)/(BB33-AW33),"")</f>
        <v>0.0176678445229682</v>
      </c>
      <c r="BC38" s="215">
        <f>IFERROR((BC35-AX35)/(BC33-AX33),"")</f>
        <v>0.783783783783784</v>
      </c>
      <c r="BD38" s="215">
        <f>IFERROR((BD35-AY35)/(BD33-AY33),"")</f>
        <v>1.29489051094891</v>
      </c>
      <c r="BE38" s="215">
        <f>IFERROR((BE35-AZ35)/(BE33-AZ33),"")</f>
        <v>2.46870229007634</v>
      </c>
      <c r="BF38" s="215">
        <f>IFERROR((BF35-BA35)/(BF33-BA33),"")</f>
        <v>1.15047021943574</v>
      </c>
      <c r="BG38" s="215">
        <f>IFERROR((BG35-BB35)/(BG33-BB33),"")</f>
        <v>1.50621669626998</v>
      </c>
      <c r="BH38" s="215">
        <f>IFERROR((BH35-BC35)/(BH33-BC33),"")</f>
        <v>0.678977272727273</v>
      </c>
      <c r="BI38" s="215">
        <f>IFERROR((BI35-BD35)/(BI33-BD33),"")</f>
        <v>24.9166666666667</v>
      </c>
      <c r="BJ38" s="215">
        <f>IFERROR((BJ35-BE35)/(BJ33-BE33),"")</f>
        <v>10.7701149425287</v>
      </c>
      <c r="BK38" s="215">
        <f>IFERROR((BK35-BF35)/(BK33-BF33),"")</f>
        <v>-0.376991150442478</v>
      </c>
      <c r="BL38" s="215">
        <f>IFERROR((BL35-BG35)/(BL33-BG33),"")</f>
        <v>1.00508187464709</v>
      </c>
      <c r="BM38" s="215">
        <f>IFERROR((BM35-BH35)/(BM33-BH33),"")</f>
        <v>0.883211678832117</v>
      </c>
      <c r="BN38" s="215">
        <f>IFERROR((BN35-BI35)/(BN33-BI33),"")</f>
        <v>2.64383561643836</v>
      </c>
      <c r="BO38" s="215">
        <f>IFERROR((BO35-BJ35)/(BO33-BJ33),"")</f>
        <v>-26.5454545454545</v>
      </c>
      <c r="BP38" s="215">
        <f>IFERROR((BP35-BK35)/(BP33-BK33),"")</f>
        <v>1.62247191011236</v>
      </c>
      <c r="BQ38" s="215">
        <f>IFERROR((BQ35-BL35)/(BQ33-BL33),"")</f>
        <v>3.59507389162562</v>
      </c>
      <c r="BR38" s="215">
        <f>IFERROR((BR35-BM35)/(BR33-BM33),"")</f>
        <v>-0.00613496932515337</v>
      </c>
      <c r="BS38" s="215">
        <f>IFERROR((BS35-BN35)/(BS33-BN33),"")</f>
        <v>1.71644295302013</v>
      </c>
      <c r="BT38" s="215">
        <f>IFERROR((BT35-BO35)/(BT33-BO33),"")</f>
        <v>1.82869692532943</v>
      </c>
      <c r="BU38" s="215">
        <f>IFERROR((BU35-BP35)/(BU33-BP33),"")</f>
        <v>0.877367896311067</v>
      </c>
      <c r="BV38" s="215">
        <f>IFERROR((BV35-BQ35)/(BV33-BQ33),"")</f>
        <v>1.5937876960193</v>
      </c>
      <c r="BW38" s="215">
        <f>IFERROR((BW35-BR35)/(BW33-BR33),"")</f>
        <v>0.0599538816295158</v>
      </c>
      <c r="BX38" s="215">
        <f>IFERROR((BX35-BS35)/(BX33-BS33),"")</f>
        <v>-0.144341801385681</v>
      </c>
      <c r="BY38" s="260">
        <f>IFERROR((BY35-BT35)/(BY33-BT33),"")</f>
        <v>0.141757486182147</v>
      </c>
      <c r="BZ38" s="260">
        <f>IFERROR((BZ35-BU35)/(BZ33-BU33),"")</f>
        <v>0.647590595571367</v>
      </c>
      <c r="CA38" s="260">
        <f>IFERROR((CA35-BV35)/(CA33-BV33),"")</f>
        <v>0.202007657980932</v>
      </c>
      <c r="CB38" s="260">
        <f>IFERROR((CB35-CA35)/(CB33-CA33),"")</f>
        <v>0.759999999999999</v>
      </c>
      <c r="CC38" s="260">
        <f>IFERROR((CC35-CB35)/(CC33-CB33),"")</f>
        <v>0.375</v>
      </c>
      <c r="CD38" s="260">
        <f>IFERROR((CD35-CC35)/(CD33-CC33),"")</f>
        <v>0.307222222222223</v>
      </c>
      <c r="CE38" s="260">
        <f>IFERROR((CE35-CD35)/(CE33-CD33),"")</f>
        <v>0.215</v>
      </c>
      <c r="CF38" s="260">
        <f>IFERROR((CF35-CE35)/(CF33-CE33),"")</f>
        <v>0.0900000000000002</v>
      </c>
      <c r="CG38" s="153" t="n"/>
      <c r="CO38" s="25" t="inlineStr">
        <is>
          <t xml:space="preserve">  2031E</t>
        </is>
      </c>
      <c r="CP38" s="51">
        <f>MAX(0,CQ38+$CP$33)</f>
        <v>690</v>
      </c>
      <c r="CQ38" s="26" t="n">
        <v>660</v>
      </c>
      <c r="CR38" s="51">
        <f>MAX(0,CQ38+$CR$33)</f>
        <v>600</v>
      </c>
    </row>
    <row r="39" ht="15" customHeight="1" s="251">
      <c r="B39" s="156" t="inlineStr">
        <is>
          <t xml:space="preserve">  Memo: BDS backlog at period end ($m)</t>
        </is>
      </c>
      <c r="C39" s="34" t="n"/>
      <c r="D39" s="34" t="n"/>
      <c r="E39" s="253" t="n">
        <v>45300</v>
      </c>
      <c r="F39" s="34" t="n"/>
      <c r="G39" s="34" t="n"/>
      <c r="H39" s="34" t="n"/>
      <c r="I39" s="253" t="n">
        <v>55100</v>
      </c>
      <c r="J39" s="253" t="n">
        <v>51600</v>
      </c>
      <c r="K39" s="253" t="n">
        <v>51500</v>
      </c>
      <c r="L39" s="253" t="n">
        <v>50900</v>
      </c>
      <c r="M39" s="253" t="n">
        <v>49600</v>
      </c>
      <c r="N39" s="253" t="n">
        <v>49600</v>
      </c>
      <c r="O39" s="253" t="n">
        <v>48700</v>
      </c>
      <c r="P39" s="253" t="n">
        <v>49700</v>
      </c>
      <c r="Q39" s="253" t="n">
        <v>45500</v>
      </c>
      <c r="R39" s="253" t="n">
        <v>46900</v>
      </c>
      <c r="S39" s="253" t="n">
        <v>46900</v>
      </c>
      <c r="T39" s="253" t="n">
        <v>47600</v>
      </c>
      <c r="U39" s="253" t="n">
        <v>48400</v>
      </c>
      <c r="V39" s="253" t="n">
        <v>46200</v>
      </c>
      <c r="W39" s="253" t="n">
        <v>45200</v>
      </c>
      <c r="X39" s="253" t="n">
        <v>45200</v>
      </c>
      <c r="Y39" s="253" t="n">
        <v>47200</v>
      </c>
      <c r="Z39" s="253" t="n">
        <v>46400</v>
      </c>
      <c r="AA39" s="253" t="n">
        <v>40100</v>
      </c>
      <c r="AB39" s="253" t="n">
        <v>42100</v>
      </c>
      <c r="AC39" s="253" t="n">
        <v>42100</v>
      </c>
      <c r="AD39" s="253" t="n">
        <v>46400</v>
      </c>
      <c r="AE39" s="253" t="n">
        <v>44200</v>
      </c>
      <c r="AF39" s="253" t="n">
        <v>45852</v>
      </c>
      <c r="AG39" s="253" t="n">
        <v>49577</v>
      </c>
      <c r="AH39" s="253" t="n">
        <v>49577</v>
      </c>
      <c r="AI39" s="253" t="n">
        <v>50404</v>
      </c>
      <c r="AJ39" s="34" t="n"/>
      <c r="AK39" s="34" t="n"/>
      <c r="AL39" s="34" t="n"/>
      <c r="AM39" s="34" t="n"/>
      <c r="AN39" s="34" t="n"/>
      <c r="AO39" s="34" t="n"/>
      <c r="AP39" s="34" t="n"/>
      <c r="AQ39" s="34" t="n"/>
      <c r="AR39" s="34" t="n"/>
      <c r="AS39" s="34" t="n"/>
      <c r="AT39" s="34" t="n"/>
      <c r="AU39" s="253" t="n">
        <v>62375</v>
      </c>
      <c r="AV39" s="253" t="n">
        <v>60847</v>
      </c>
      <c r="AW39" s="253" t="n">
        <v>60847</v>
      </c>
      <c r="AX39" s="253" t="n">
        <v>61269</v>
      </c>
      <c r="AY39" s="253" t="n">
        <v>58705</v>
      </c>
      <c r="AZ39" s="253" t="n">
        <v>58435</v>
      </c>
      <c r="BA39" s="253" t="n">
        <v>59828</v>
      </c>
      <c r="BB39" s="253" t="n">
        <v>59828</v>
      </c>
      <c r="BC39" s="253" t="n">
        <v>59739</v>
      </c>
      <c r="BD39" s="253" t="n">
        <v>55401</v>
      </c>
      <c r="BE39" s="253" t="n">
        <v>54740</v>
      </c>
      <c r="BF39" s="253" t="n">
        <v>54373</v>
      </c>
      <c r="BG39" s="253" t="n">
        <v>54373</v>
      </c>
      <c r="BH39" s="253" t="n">
        <v>58150</v>
      </c>
      <c r="BI39" s="253" t="n">
        <v>57505</v>
      </c>
      <c r="BJ39" s="253" t="n">
        <v>57802</v>
      </c>
      <c r="BK39" s="253" t="n">
        <v>59012</v>
      </c>
      <c r="BL39" s="253" t="n">
        <v>59012</v>
      </c>
      <c r="BM39" s="253" t="n">
        <v>60744</v>
      </c>
      <c r="BN39" s="253" t="n">
        <v>59055</v>
      </c>
      <c r="BO39" s="253" t="n">
        <v>61621</v>
      </c>
      <c r="BP39" s="253" t="n">
        <v>64023</v>
      </c>
      <c r="BQ39" s="253" t="n">
        <v>64023</v>
      </c>
      <c r="BR39" s="253" t="n">
        <v>61567</v>
      </c>
      <c r="BS39" s="253" t="n">
        <v>73957</v>
      </c>
      <c r="BT39" s="253" t="n">
        <v>76084</v>
      </c>
      <c r="BU39" s="253" t="n">
        <v>84786</v>
      </c>
      <c r="BV39" s="253" t="n">
        <v>84786</v>
      </c>
      <c r="BW39" s="253" t="n">
        <v>85821</v>
      </c>
      <c r="BX39" s="253" t="n">
        <v>85322</v>
      </c>
      <c r="BY39" s="153" t="n"/>
      <c r="BZ39" s="153" t="n"/>
      <c r="CA39" s="153" t="n"/>
      <c r="CB39" s="153" t="n"/>
      <c r="CC39" s="153" t="n"/>
      <c r="CD39" s="153" t="n"/>
      <c r="CE39" s="153" t="n"/>
      <c r="CF39" s="153" t="n"/>
      <c r="CG39" s="153" t="n"/>
      <c r="CO39" s="15" t="inlineStr">
        <is>
          <t>D787 (787 deliveries, units)</t>
        </is>
      </c>
      <c r="CP39" s="50" t="n">
        <v>10</v>
      </c>
      <c r="CQ39" s="21" t="inlineStr">
        <is>
          <t>Δ →</t>
        </is>
      </c>
      <c r="CR39" s="50" t="n">
        <v>-15</v>
      </c>
      <c r="CS39" s="13" t="inlineStr">
        <is>
          <t>Rate 8/month (Q4-25 release) rising toward 10; 2019 peak 158.</t>
        </is>
      </c>
    </row>
    <row r="40" ht="15" customHeight="1" s="251">
      <c r="B40" s="25" t="inlineStr">
        <is>
          <t xml:space="preserve">  Legacy sub-segments, as originally reported (memo):</t>
        </is>
      </c>
      <c r="CG40" s="153" t="n"/>
      <c r="CO40" s="25" t="inlineStr">
        <is>
          <t xml:space="preserve">  2027E</t>
        </is>
      </c>
      <c r="CP40" s="51">
        <f>MAX(0,CQ40+$CP$39)</f>
        <v>120</v>
      </c>
      <c r="CQ40" s="26" t="n">
        <v>110</v>
      </c>
      <c r="CR40" s="51">
        <f>MAX(0,CQ40+$CR$39)</f>
        <v>95</v>
      </c>
    </row>
    <row r="41" ht="15" customHeight="1" s="251">
      <c r="B41" s="156" t="inlineStr">
        <is>
          <t xml:space="preserve">    Boeing Military Aircraft (2008–16) — revenues</t>
        </is>
      </c>
      <c r="C41" s="34" t="n"/>
      <c r="D41" s="34" t="n"/>
      <c r="E41" s="266" t="n">
        <v>13492</v>
      </c>
      <c r="F41" s="266" t="n">
        <v>14057</v>
      </c>
      <c r="G41" s="266" t="n">
        <v>14238</v>
      </c>
      <c r="H41" s="266" t="n">
        <v>14947</v>
      </c>
      <c r="I41" s="266" t="n">
        <v>16384</v>
      </c>
      <c r="J41" s="266" t="n">
        <v>4109</v>
      </c>
      <c r="K41" s="266" t="n">
        <v>3889</v>
      </c>
      <c r="L41" s="266" t="n">
        <v>3543</v>
      </c>
      <c r="M41" s="266" t="n">
        <v>4395</v>
      </c>
      <c r="N41" s="266" t="n">
        <v>15936</v>
      </c>
      <c r="O41" s="266" t="n">
        <v>3458</v>
      </c>
      <c r="P41" s="266" t="n">
        <v>3523</v>
      </c>
      <c r="Q41" s="266" t="n">
        <v>3537</v>
      </c>
      <c r="R41" s="266" t="n">
        <v>2993</v>
      </c>
      <c r="S41" s="266" t="n">
        <v>13511</v>
      </c>
      <c r="T41" s="266" t="n">
        <v>2744</v>
      </c>
      <c r="U41" s="266" t="n">
        <v>3488</v>
      </c>
      <c r="V41" s="266" t="n">
        <v>4051</v>
      </c>
      <c r="W41" s="266" t="n">
        <v>3199</v>
      </c>
      <c r="X41" s="266" t="n">
        <v>13482</v>
      </c>
      <c r="Y41" s="266" t="n">
        <v>3659</v>
      </c>
      <c r="Z41" s="266" t="n">
        <v>2979</v>
      </c>
      <c r="AA41" s="266" t="n">
        <v>3260</v>
      </c>
      <c r="AB41" s="266" t="n">
        <v>2617</v>
      </c>
      <c r="AC41" s="266" t="n">
        <v>12515</v>
      </c>
      <c r="AD41" s="266" t="n">
        <v>2636</v>
      </c>
      <c r="AE41" s="266" t="n">
        <v>2904</v>
      </c>
      <c r="AF41" s="34" t="n"/>
      <c r="AG41" s="34" t="n"/>
      <c r="AH41" s="34" t="n"/>
      <c r="AI41" s="34" t="n"/>
      <c r="AJ41" s="34" t="n"/>
      <c r="AK41" s="34" t="n"/>
      <c r="AL41" s="34" t="n"/>
      <c r="AM41" s="34" t="n"/>
      <c r="AN41" s="34" t="n"/>
      <c r="AO41" s="34" t="n"/>
      <c r="AP41" s="34" t="n"/>
      <c r="AQ41" s="34" t="n"/>
      <c r="AR41" s="34" t="n"/>
      <c r="AS41" s="34" t="n"/>
      <c r="AT41" s="34" t="n"/>
      <c r="AU41" s="34" t="n"/>
      <c r="AV41" s="34" t="n"/>
      <c r="AW41" s="34" t="n"/>
      <c r="AX41" s="34" t="n"/>
      <c r="AY41" s="34" t="n"/>
      <c r="AZ41" s="34" t="n"/>
      <c r="BA41" s="34" t="n"/>
      <c r="BB41" s="34" t="n"/>
      <c r="BC41" s="34" t="n"/>
      <c r="BD41" s="34" t="n"/>
      <c r="BE41" s="34" t="n"/>
      <c r="BF41" s="34" t="n"/>
      <c r="BG41" s="34" t="n"/>
      <c r="BH41" s="34" t="n"/>
      <c r="BI41" s="34" t="n"/>
      <c r="BJ41" s="34" t="n"/>
      <c r="BK41" s="34" t="n"/>
      <c r="BL41" s="34" t="n"/>
      <c r="BM41" s="34" t="n"/>
      <c r="BN41" s="34" t="n"/>
      <c r="BO41" s="34" t="n"/>
      <c r="BP41" s="34" t="n"/>
      <c r="BQ41" s="34" t="n"/>
      <c r="BR41" s="34" t="n"/>
      <c r="BS41" s="34" t="n"/>
      <c r="BT41" s="34" t="n"/>
      <c r="BU41" s="34" t="n"/>
      <c r="BV41" s="34" t="n"/>
      <c r="BW41" s="34" t="n"/>
      <c r="BX41" s="34" t="n"/>
      <c r="BY41" s="153" t="n"/>
      <c r="BZ41" s="153" t="n"/>
      <c r="CA41" s="153" t="n"/>
      <c r="CB41" s="153" t="n"/>
      <c r="CC41" s="153" t="n"/>
      <c r="CD41" s="153" t="n"/>
      <c r="CE41" s="153" t="n"/>
      <c r="CF41" s="153" t="n"/>
      <c r="CG41" s="153" t="n"/>
      <c r="CO41" s="25" t="inlineStr">
        <is>
          <t xml:space="preserve">  2028E</t>
        </is>
      </c>
      <c r="CP41" s="51">
        <f>MAX(0,CQ41+$CP$39)</f>
        <v>135</v>
      </c>
      <c r="CQ41" s="26" t="n">
        <v>125</v>
      </c>
      <c r="CR41" s="51">
        <f>MAX(0,CQ41+$CR$39)</f>
        <v>110</v>
      </c>
    </row>
    <row r="42" ht="15" customHeight="1" s="251">
      <c r="B42" s="156" t="inlineStr">
        <is>
          <t xml:space="preserve">    Network &amp; Space Systems (2006–16) — revenues</t>
        </is>
      </c>
      <c r="C42" s="266" t="n">
        <v>11980</v>
      </c>
      <c r="D42" s="266" t="n">
        <v>11696</v>
      </c>
      <c r="E42" s="266" t="n">
        <v>11338</v>
      </c>
      <c r="F42" s="266" t="n">
        <v>10877</v>
      </c>
      <c r="G42" s="266" t="n">
        <v>9455</v>
      </c>
      <c r="H42" s="266" t="n">
        <v>8673</v>
      </c>
      <c r="I42" s="266" t="n">
        <v>7584</v>
      </c>
      <c r="J42" s="266" t="n">
        <v>1960</v>
      </c>
      <c r="K42" s="266" t="n">
        <v>2049</v>
      </c>
      <c r="L42" s="266" t="n">
        <v>2231</v>
      </c>
      <c r="M42" s="266" t="n">
        <v>2272</v>
      </c>
      <c r="N42" s="266" t="n">
        <v>8512</v>
      </c>
      <c r="O42" s="266" t="n">
        <v>1876</v>
      </c>
      <c r="P42" s="266" t="n">
        <v>1920</v>
      </c>
      <c r="Q42" s="266" t="n">
        <v>2027</v>
      </c>
      <c r="R42" s="266" t="n">
        <v>2180</v>
      </c>
      <c r="S42" s="266" t="n">
        <v>8003</v>
      </c>
      <c r="T42" s="266" t="n">
        <v>1732</v>
      </c>
      <c r="U42" s="266" t="n">
        <v>1938</v>
      </c>
      <c r="V42" s="266" t="n">
        <v>2127</v>
      </c>
      <c r="W42" s="266" t="n">
        <v>1954</v>
      </c>
      <c r="X42" s="266" t="n">
        <v>7751</v>
      </c>
      <c r="Y42" s="266" t="n">
        <v>1735</v>
      </c>
      <c r="Z42" s="266" t="n">
        <v>1810</v>
      </c>
      <c r="AA42" s="266" t="n">
        <v>1701</v>
      </c>
      <c r="AB42" s="266" t="n">
        <v>1800</v>
      </c>
      <c r="AC42" s="266" t="n">
        <v>7046</v>
      </c>
      <c r="AD42" s="266" t="n">
        <v>1564</v>
      </c>
      <c r="AE42" s="266" t="n">
        <v>1674</v>
      </c>
      <c r="AF42" s="34" t="n"/>
      <c r="AG42" s="34" t="n"/>
      <c r="AH42" s="34" t="n"/>
      <c r="AI42" s="34" t="n"/>
      <c r="AJ42" s="34" t="n"/>
      <c r="AK42" s="34" t="n"/>
      <c r="AL42" s="34" t="n"/>
      <c r="AM42" s="34" t="n"/>
      <c r="AN42" s="34" t="n"/>
      <c r="AO42" s="34" t="n"/>
      <c r="AP42" s="34" t="n"/>
      <c r="AQ42" s="34" t="n"/>
      <c r="AR42" s="34" t="n"/>
      <c r="AS42" s="34" t="n"/>
      <c r="AT42" s="34" t="n"/>
      <c r="AU42" s="34" t="n"/>
      <c r="AV42" s="34" t="n"/>
      <c r="AW42" s="34" t="n"/>
      <c r="AX42" s="34" t="n"/>
      <c r="AY42" s="34" t="n"/>
      <c r="AZ42" s="34" t="n"/>
      <c r="BA42" s="34" t="n"/>
      <c r="BB42" s="34" t="n"/>
      <c r="BC42" s="34" t="n"/>
      <c r="BD42" s="34" t="n"/>
      <c r="BE42" s="34" t="n"/>
      <c r="BF42" s="34" t="n"/>
      <c r="BG42" s="34" t="n"/>
      <c r="BH42" s="34" t="n"/>
      <c r="BI42" s="34" t="n"/>
      <c r="BJ42" s="34" t="n"/>
      <c r="BK42" s="34" t="n"/>
      <c r="BL42" s="34" t="n"/>
      <c r="BM42" s="34" t="n"/>
      <c r="BN42" s="34" t="n"/>
      <c r="BO42" s="34" t="n"/>
      <c r="BP42" s="34" t="n"/>
      <c r="BQ42" s="34" t="n"/>
      <c r="BR42" s="34" t="n"/>
      <c r="BS42" s="34" t="n"/>
      <c r="BT42" s="34" t="n"/>
      <c r="BU42" s="34" t="n"/>
      <c r="BV42" s="34" t="n"/>
      <c r="BW42" s="34" t="n"/>
      <c r="BX42" s="34" t="n"/>
      <c r="BY42" s="153" t="n"/>
      <c r="BZ42" s="153" t="n"/>
      <c r="CA42" s="153" t="n"/>
      <c r="CB42" s="153" t="n"/>
      <c r="CC42" s="153" t="n"/>
      <c r="CD42" s="153" t="n"/>
      <c r="CE42" s="153" t="n"/>
      <c r="CF42" s="153" t="n"/>
      <c r="CG42" s="153" t="n"/>
      <c r="CO42" s="25" t="inlineStr">
        <is>
          <t xml:space="preserve">  2029E</t>
        </is>
      </c>
      <c r="CP42" s="51">
        <f>MAX(0,CQ42+$CP$39)</f>
        <v>145</v>
      </c>
      <c r="CQ42" s="26" t="n">
        <v>135</v>
      </c>
      <c r="CR42" s="51">
        <f>MAX(0,CQ42+$CR$39)</f>
        <v>120</v>
      </c>
    </row>
    <row r="43" ht="15" customHeight="1" s="251">
      <c r="B43" s="156" t="inlineStr">
        <is>
          <t xml:space="preserve">    Global Services &amp; Support (2008–Q2-17) — revenues</t>
        </is>
      </c>
      <c r="C43" s="34" t="n"/>
      <c r="D43" s="34" t="n"/>
      <c r="E43" s="266" t="n">
        <v>7217</v>
      </c>
      <c r="F43" s="266" t="n">
        <v>8727</v>
      </c>
      <c r="G43" s="266" t="n">
        <v>8250</v>
      </c>
      <c r="H43" s="266" t="n">
        <v>8356</v>
      </c>
      <c r="I43" s="266" t="n">
        <v>8639</v>
      </c>
      <c r="J43" s="266" t="n">
        <v>2041</v>
      </c>
      <c r="K43" s="266" t="n">
        <v>2248</v>
      </c>
      <c r="L43" s="266" t="n">
        <v>2272</v>
      </c>
      <c r="M43" s="266" t="n">
        <v>2188</v>
      </c>
      <c r="N43" s="266" t="n">
        <v>8749</v>
      </c>
      <c r="O43" s="266" t="n">
        <v>2299</v>
      </c>
      <c r="P43" s="266" t="n">
        <v>2304</v>
      </c>
      <c r="Q43" s="266" t="n">
        <v>2349</v>
      </c>
      <c r="R43" s="266" t="n">
        <v>2415</v>
      </c>
      <c r="S43" s="266" t="n">
        <v>9367</v>
      </c>
      <c r="T43" s="266" t="n">
        <v>2233</v>
      </c>
      <c r="U43" s="266" t="n">
        <v>2118</v>
      </c>
      <c r="V43" s="266" t="n">
        <v>2172</v>
      </c>
      <c r="W43" s="266" t="n">
        <v>2632</v>
      </c>
      <c r="X43" s="266" t="n">
        <v>9155</v>
      </c>
      <c r="Y43" s="266" t="n">
        <v>2562</v>
      </c>
      <c r="Z43" s="266" t="n">
        <v>2385</v>
      </c>
      <c r="AA43" s="266" t="n">
        <v>2547</v>
      </c>
      <c r="AB43" s="266" t="n">
        <v>2443</v>
      </c>
      <c r="AC43" s="266" t="n">
        <v>9937</v>
      </c>
      <c r="AD43" s="266" t="n">
        <v>2332</v>
      </c>
      <c r="AE43" s="266" t="n">
        <v>2308</v>
      </c>
      <c r="AF43" s="34" t="n"/>
      <c r="AG43" s="34" t="n"/>
      <c r="AH43" s="34" t="n"/>
      <c r="AI43" s="34" t="n"/>
      <c r="AJ43" s="34" t="n"/>
      <c r="AK43" s="34" t="n"/>
      <c r="AL43" s="34" t="n"/>
      <c r="AM43" s="34" t="n"/>
      <c r="AN43" s="34" t="n"/>
      <c r="AO43" s="34" t="n"/>
      <c r="AP43" s="34" t="n"/>
      <c r="AQ43" s="34" t="n"/>
      <c r="AR43" s="34" t="n"/>
      <c r="AS43" s="34" t="n"/>
      <c r="AT43" s="34" t="n"/>
      <c r="AU43" s="34" t="n"/>
      <c r="AV43" s="34" t="n"/>
      <c r="AW43" s="34" t="n"/>
      <c r="AX43" s="34" t="n"/>
      <c r="AY43" s="34" t="n"/>
      <c r="AZ43" s="34" t="n"/>
      <c r="BA43" s="34" t="n"/>
      <c r="BB43" s="34" t="n"/>
      <c r="BC43" s="34" t="n"/>
      <c r="BD43" s="34" t="n"/>
      <c r="BE43" s="34" t="n"/>
      <c r="BF43" s="34" t="n"/>
      <c r="BG43" s="34" t="n"/>
      <c r="BH43" s="34" t="n"/>
      <c r="BI43" s="34" t="n"/>
      <c r="BJ43" s="34" t="n"/>
      <c r="BK43" s="34" t="n"/>
      <c r="BL43" s="34" t="n"/>
      <c r="BM43" s="34" t="n"/>
      <c r="BN43" s="34" t="n"/>
      <c r="BO43" s="34" t="n"/>
      <c r="BP43" s="34" t="n"/>
      <c r="BQ43" s="34" t="n"/>
      <c r="BR43" s="34" t="n"/>
      <c r="BS43" s="34" t="n"/>
      <c r="BT43" s="34" t="n"/>
      <c r="BU43" s="34" t="n"/>
      <c r="BV43" s="34" t="n"/>
      <c r="BW43" s="34" t="n"/>
      <c r="BX43" s="34" t="n"/>
      <c r="BY43" s="153" t="n"/>
      <c r="BZ43" s="153" t="n"/>
      <c r="CA43" s="153" t="n"/>
      <c r="CB43" s="153" t="n"/>
      <c r="CC43" s="153" t="n"/>
      <c r="CD43" s="153" t="n"/>
      <c r="CE43" s="153" t="n"/>
      <c r="CF43" s="153" t="n"/>
      <c r="CG43" s="153" t="n"/>
      <c r="CO43" s="25" t="inlineStr">
        <is>
          <t xml:space="preserve">  2030E</t>
        </is>
      </c>
      <c r="CP43" s="51">
        <f>MAX(0,CQ43+$CP$39)</f>
        <v>150</v>
      </c>
      <c r="CQ43" s="26" t="n">
        <v>140</v>
      </c>
      <c r="CR43" s="51">
        <f>MAX(0,CQ43+$CR$39)</f>
        <v>125</v>
      </c>
    </row>
    <row r="44" ht="15" customHeight="1" s="251">
      <c r="B44" s="156" t="inlineStr">
        <is>
          <t xml:space="preserve">    Precision Engagement &amp; Mobility Systems (2006–07) — revenues</t>
        </is>
      </c>
      <c r="C44" s="266" t="n">
        <v>14350</v>
      </c>
      <c r="D44" s="266" t="n">
        <v>13685</v>
      </c>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c r="AA44" s="34" t="n"/>
      <c r="AB44" s="34" t="n"/>
      <c r="AC44" s="34" t="n"/>
      <c r="AD44" s="34" t="n"/>
      <c r="AE44" s="34" t="n"/>
      <c r="AF44" s="34" t="n"/>
      <c r="AG44" s="34" t="n"/>
      <c r="AH44" s="34" t="n"/>
      <c r="AI44" s="34" t="n"/>
      <c r="AJ44" s="34" t="n"/>
      <c r="AK44" s="34" t="n"/>
      <c r="AL44" s="34" t="n"/>
      <c r="AM44" s="34" t="n"/>
      <c r="AN44" s="34" t="n"/>
      <c r="AO44" s="34" t="n"/>
      <c r="AP44" s="34" t="n"/>
      <c r="AQ44" s="34" t="n"/>
      <c r="AR44" s="34" t="n"/>
      <c r="AS44" s="34" t="n"/>
      <c r="AT44" s="34" t="n"/>
      <c r="AU44" s="34" t="n"/>
      <c r="AV44" s="34" t="n"/>
      <c r="AW44" s="34" t="n"/>
      <c r="AX44" s="34" t="n"/>
      <c r="AY44" s="34" t="n"/>
      <c r="AZ44" s="34" t="n"/>
      <c r="BA44" s="34" t="n"/>
      <c r="BB44" s="34" t="n"/>
      <c r="BC44" s="34" t="n"/>
      <c r="BD44" s="34" t="n"/>
      <c r="BE44" s="34" t="n"/>
      <c r="BF44" s="34" t="n"/>
      <c r="BG44" s="34" t="n"/>
      <c r="BH44" s="34" t="n"/>
      <c r="BI44" s="34" t="n"/>
      <c r="BJ44" s="34" t="n"/>
      <c r="BK44" s="34" t="n"/>
      <c r="BL44" s="34" t="n"/>
      <c r="BM44" s="34" t="n"/>
      <c r="BN44" s="34" t="n"/>
      <c r="BO44" s="34" t="n"/>
      <c r="BP44" s="34" t="n"/>
      <c r="BQ44" s="34" t="n"/>
      <c r="BR44" s="34" t="n"/>
      <c r="BS44" s="34" t="n"/>
      <c r="BT44" s="34" t="n"/>
      <c r="BU44" s="34" t="n"/>
      <c r="BV44" s="34" t="n"/>
      <c r="BW44" s="34" t="n"/>
      <c r="BX44" s="34" t="n"/>
      <c r="BY44" s="153" t="n"/>
      <c r="BZ44" s="153" t="n"/>
      <c r="CA44" s="153" t="n"/>
      <c r="CB44" s="153" t="n"/>
      <c r="CC44" s="153" t="n"/>
      <c r="CD44" s="153" t="n"/>
      <c r="CE44" s="153" t="n"/>
      <c r="CF44" s="153" t="n"/>
      <c r="CG44" s="153" t="n"/>
      <c r="CO44" s="25" t="inlineStr">
        <is>
          <t xml:space="preserve">  2031E</t>
        </is>
      </c>
      <c r="CP44" s="51">
        <f>MAX(0,CQ44+$CP$39)</f>
        <v>150</v>
      </c>
      <c r="CQ44" s="26" t="n">
        <v>140</v>
      </c>
      <c r="CR44" s="51">
        <f>MAX(0,CQ44+$CR$39)</f>
        <v>125</v>
      </c>
    </row>
    <row r="45" ht="15" customHeight="1" s="251">
      <c r="B45" s="156" t="inlineStr">
        <is>
          <t xml:space="preserve">    Support Systems (2006–07) — revenues</t>
        </is>
      </c>
      <c r="C45" s="266" t="n">
        <v>6109</v>
      </c>
      <c r="D45" s="266" t="n">
        <v>6699</v>
      </c>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c r="Z45" s="34" t="n"/>
      <c r="AA45" s="34" t="n"/>
      <c r="AB45" s="34" t="n"/>
      <c r="AC45" s="34" t="n"/>
      <c r="AD45" s="34" t="n"/>
      <c r="AE45" s="34" t="n"/>
      <c r="AF45" s="34" t="n"/>
      <c r="AG45" s="34" t="n"/>
      <c r="AH45" s="34" t="n"/>
      <c r="AI45" s="34" t="n"/>
      <c r="AJ45" s="34" t="n"/>
      <c r="AK45" s="34" t="n"/>
      <c r="AL45" s="34" t="n"/>
      <c r="AM45" s="34" t="n"/>
      <c r="AN45" s="34" t="n"/>
      <c r="AO45" s="34" t="n"/>
      <c r="AP45" s="34" t="n"/>
      <c r="AQ45" s="34" t="n"/>
      <c r="AR45" s="34" t="n"/>
      <c r="AS45" s="34" t="n"/>
      <c r="AT45" s="34" t="n"/>
      <c r="AU45" s="34" t="n"/>
      <c r="AV45" s="34" t="n"/>
      <c r="AW45" s="34" t="n"/>
      <c r="AX45" s="34" t="n"/>
      <c r="AY45" s="34" t="n"/>
      <c r="AZ45" s="34" t="n"/>
      <c r="BA45" s="34" t="n"/>
      <c r="BB45" s="34" t="n"/>
      <c r="BC45" s="34" t="n"/>
      <c r="BD45" s="34" t="n"/>
      <c r="BE45" s="34" t="n"/>
      <c r="BF45" s="34" t="n"/>
      <c r="BG45" s="34" t="n"/>
      <c r="BH45" s="34" t="n"/>
      <c r="BI45" s="34" t="n"/>
      <c r="BJ45" s="34" t="n"/>
      <c r="BK45" s="34" t="n"/>
      <c r="BL45" s="34" t="n"/>
      <c r="BM45" s="34" t="n"/>
      <c r="BN45" s="34" t="n"/>
      <c r="BO45" s="34" t="n"/>
      <c r="BP45" s="34" t="n"/>
      <c r="BQ45" s="34" t="n"/>
      <c r="BR45" s="34" t="n"/>
      <c r="BS45" s="34" t="n"/>
      <c r="BT45" s="34" t="n"/>
      <c r="BU45" s="34" t="n"/>
      <c r="BV45" s="34" t="n"/>
      <c r="BW45" s="34" t="n"/>
      <c r="BX45" s="34" t="n"/>
      <c r="BY45" s="153" t="n"/>
      <c r="BZ45" s="153" t="n"/>
      <c r="CA45" s="153" t="n"/>
      <c r="CB45" s="153" t="n"/>
      <c r="CC45" s="153" t="n"/>
      <c r="CD45" s="153" t="n"/>
      <c r="CE45" s="153" t="n"/>
      <c r="CF45" s="153" t="n"/>
      <c r="CG45" s="153" t="n"/>
      <c r="CO45" s="15" t="inlineStr">
        <is>
          <t>D777 (777 / 777X deliveries, units)</t>
        </is>
      </c>
      <c r="CP45" s="50" t="n">
        <v>5</v>
      </c>
      <c r="CQ45" s="21" t="inlineStr">
        <is>
          <t>Δ →</t>
        </is>
      </c>
      <c r="CR45" s="50" t="n">
        <v>-15</v>
      </c>
      <c r="CS45" s="13" t="inlineStr">
        <is>
          <t>777X certification / first delivery assumed 2027; 2025: 35. Assumption.</t>
        </is>
      </c>
    </row>
    <row r="46" ht="15" customHeight="1" s="251">
      <c r="B46" s="57" t="inlineStr">
        <is>
          <t xml:space="preserve">    Check: legacy sub-segments vs BDS revenues (should be 0)</t>
        </is>
      </c>
      <c r="C46" s="262">
        <f>IF(ISNUMBER(C42),ROUND(N(C41)+N(C42)+N(C43)+N(C44)+N(C45)-C33,1),"")</f>
        <v>0</v>
      </c>
      <c r="D46" s="262">
        <f>IF(ISNUMBER(D42),ROUND(N(D41)+N(D42)+N(D43)+N(D44)+N(D45)-D33,1),"")</f>
        <v>0</v>
      </c>
      <c r="E46" s="262">
        <f>IF(ISNUMBER(E42),ROUND(N(E41)+N(E42)+N(E43)+N(E44)+N(E45)-E33,1),"")</f>
        <v>0</v>
      </c>
      <c r="F46" s="262">
        <f>IF(ISNUMBER(F42),ROUND(N(F41)+N(F42)+N(F43)+N(F44)+N(F45)-F33,1),"")</f>
        <v>0</v>
      </c>
      <c r="G46" s="262">
        <f>IF(ISNUMBER(G42),ROUND(N(G41)+N(G42)+N(G43)+N(G44)+N(G45)-G33,1),"")</f>
        <v>0</v>
      </c>
      <c r="H46" s="262">
        <f>IF(ISNUMBER(H42),ROUND(N(H41)+N(H42)+N(H43)+N(H44)+N(H45)-H33,1),"")</f>
        <v>0</v>
      </c>
      <c r="I46" s="262">
        <f>IF(ISNUMBER(I42),ROUND(N(I41)+N(I42)+N(I43)+N(I44)+N(I45)-I33,1),"")</f>
        <v>0</v>
      </c>
      <c r="J46" s="262">
        <f>IF(ISNUMBER(J42),ROUND(N(J41)+N(J42)+N(J43)+N(J44)+N(J45)-J33,1),"")</f>
        <v>0</v>
      </c>
      <c r="K46" s="262">
        <f>IF(ISNUMBER(K42),ROUND(N(K41)+N(K42)+N(K43)+N(K44)+N(K45)-K33,1),"")</f>
        <v>0</v>
      </c>
      <c r="L46" s="262">
        <f>IF(ISNUMBER(L42),ROUND(N(L41)+N(L42)+N(L43)+N(L44)+N(L45)-L33,1),"")</f>
        <v>0</v>
      </c>
      <c r="M46" s="262">
        <f>IF(ISNUMBER(M42),ROUND(N(M41)+N(M42)+N(M43)+N(M44)+N(M45)-M33,1),"")</f>
        <v>0</v>
      </c>
      <c r="N46" s="262">
        <f>IF(ISNUMBER(N42),ROUND(N(N41)+N(N42)+N(N43)+N(N44)+N(N45)-N33,1),"")</f>
        <v>0</v>
      </c>
      <c r="O46" s="262">
        <f>IF(ISNUMBER(O42),ROUND(N(O41)+N(O42)+N(O43)+N(O44)+N(O45)-O33,1),"")</f>
        <v>0</v>
      </c>
      <c r="P46" s="262">
        <f>IF(ISNUMBER(P42),ROUND(N(P41)+N(P42)+N(P43)+N(P44)+N(P45)-P33,1),"")</f>
        <v>0</v>
      </c>
      <c r="Q46" s="262">
        <f>IF(ISNUMBER(Q42),ROUND(N(Q41)+N(Q42)+N(Q43)+N(Q44)+N(Q45)-Q33,1),"")</f>
        <v>0</v>
      </c>
      <c r="R46" s="262">
        <f>IF(ISNUMBER(R42),ROUND(N(R41)+N(R42)+N(R43)+N(R44)+N(R45)-R33,1),"")</f>
        <v>0</v>
      </c>
      <c r="S46" s="262">
        <f>IF(ISNUMBER(S42),ROUND(N(S41)+N(S42)+N(S43)+N(S44)+N(S45)-S33,1),"")</f>
        <v>0</v>
      </c>
      <c r="T46" s="262">
        <f>IF(ISNUMBER(T42),ROUND(N(T41)+N(T42)+N(T43)+N(T44)+N(T45)-T33,1),"")</f>
        <v>0</v>
      </c>
      <c r="U46" s="262">
        <f>IF(ISNUMBER(U42),ROUND(N(U41)+N(U42)+N(U43)+N(U44)+N(U45)-U33,1),"")</f>
        <v>0</v>
      </c>
      <c r="V46" s="262">
        <f>IF(ISNUMBER(V42),ROUND(N(V41)+N(V42)+N(V43)+N(V44)+N(V45)-V33,1),"")</f>
        <v>0</v>
      </c>
      <c r="W46" s="262">
        <f>IF(ISNUMBER(W42),ROUND(N(W41)+N(W42)+N(W43)+N(W44)+N(W45)-W33,1),"")</f>
        <v>0</v>
      </c>
      <c r="X46" s="262">
        <f>IF(ISNUMBER(X42),ROUND(N(X41)+N(X42)+N(X43)+N(X44)+N(X45)-X33,1),"")</f>
        <v>0</v>
      </c>
      <c r="Y46" s="262">
        <f>IF(ISNUMBER(Y42),ROUND(N(Y41)+N(Y42)+N(Y43)+N(Y44)+N(Y45)-Y33,1),"")</f>
        <v>0</v>
      </c>
      <c r="Z46" s="262">
        <f>IF(ISNUMBER(Z42),ROUND(N(Z41)+N(Z42)+N(Z43)+N(Z44)+N(Z45)-Z33,1),"")</f>
        <v>0</v>
      </c>
      <c r="AA46" s="262">
        <f>IF(ISNUMBER(AA42),ROUND(N(AA41)+N(AA42)+N(AA43)+N(AA44)+N(AA45)-AA33,1),"")</f>
        <v>0</v>
      </c>
      <c r="AB46" s="262">
        <f>IF(ISNUMBER(AB42),ROUND(N(AB41)+N(AB42)+N(AB43)+N(AB44)+N(AB45)-AB33,1),"")</f>
        <v>0</v>
      </c>
      <c r="AC46" s="262">
        <f>IF(ISNUMBER(AC42),ROUND(N(AC41)+N(AC42)+N(AC43)+N(AC44)+N(AC45)-AC33,1),"")</f>
        <v>0</v>
      </c>
      <c r="AD46" s="262">
        <f>IF(ISNUMBER(AD42),ROUND(N(AD41)+N(AD42)+N(AD43)+N(AD44)+N(AD45)-AD33,1),"")</f>
        <v>0</v>
      </c>
      <c r="AE46" s="262">
        <f>IF(ISNUMBER(AE42),ROUND(N(AE41)+N(AE42)+N(AE43)+N(AE44)+N(AE45)-AE33,1),"")</f>
        <v>0</v>
      </c>
      <c r="AF46" s="262">
        <f>IF(ISNUMBER(AF42),ROUND(N(AF41)+N(AF42)+N(AF43)+N(AF44)+N(AF45)-AF33,1),"")</f>
      </c>
      <c r="AG46" s="262">
        <f>IF(ISNUMBER(AG42),ROUND(N(AG41)+N(AG42)+N(AG43)+N(AG44)+N(AG45)-AG33,1),"")</f>
      </c>
      <c r="AH46" s="262">
        <f>IF(ISNUMBER(AH42),ROUND(N(AH41)+N(AH42)+N(AH43)+N(AH44)+N(AH45)-AH33,1),"")</f>
      </c>
      <c r="AI46" s="262">
        <f>IF(ISNUMBER(AI42),ROUND(N(AI41)+N(AI42)+N(AI43)+N(AI44)+N(AI45)-AI33,1),"")</f>
      </c>
      <c r="AJ46" s="262">
        <f>IF(ISNUMBER(AJ42),ROUND(N(AJ41)+N(AJ42)+N(AJ43)+N(AJ44)+N(AJ45)-AJ33,1),"")</f>
      </c>
      <c r="AK46" s="262">
        <f>IF(ISNUMBER(AK42),ROUND(N(AK41)+N(AK42)+N(AK43)+N(AK44)+N(AK45)-AK33,1),"")</f>
      </c>
      <c r="AL46" s="262">
        <f>IF(ISNUMBER(AL42),ROUND(N(AL41)+N(AL42)+N(AL43)+N(AL44)+N(AL45)-AL33,1),"")</f>
      </c>
      <c r="AM46" s="262">
        <f>IF(ISNUMBER(AM42),ROUND(N(AM41)+N(AM42)+N(AM43)+N(AM44)+N(AM45)-AM33,1),"")</f>
      </c>
      <c r="AN46" s="262">
        <f>IF(ISNUMBER(AN42),ROUND(N(AN41)+N(AN42)+N(AN43)+N(AN44)+N(AN45)-AN33,1),"")</f>
      </c>
      <c r="AO46" s="262">
        <f>IF(ISNUMBER(AO42),ROUND(N(AO41)+N(AO42)+N(AO43)+N(AO44)+N(AO45)-AO33,1),"")</f>
      </c>
      <c r="AP46" s="262">
        <f>IF(ISNUMBER(AP42),ROUND(N(AP41)+N(AP42)+N(AP43)+N(AP44)+N(AP45)-AP33,1),"")</f>
      </c>
      <c r="AQ46" s="262">
        <f>IF(ISNUMBER(AQ42),ROUND(N(AQ41)+N(AQ42)+N(AQ43)+N(AQ44)+N(AQ45)-AQ33,1),"")</f>
      </c>
      <c r="AR46" s="262">
        <f>IF(ISNUMBER(AR42),ROUND(N(AR41)+N(AR42)+N(AR43)+N(AR44)+N(AR45)-AR33,1),"")</f>
      </c>
      <c r="AS46" s="262">
        <f>IF(ISNUMBER(AS42),ROUND(N(AS41)+N(AS42)+N(AS43)+N(AS44)+N(AS45)-AS33,1),"")</f>
      </c>
      <c r="AT46" s="262">
        <f>IF(ISNUMBER(AT42),ROUND(N(AT41)+N(AT42)+N(AT43)+N(AT44)+N(AT45)-AT33,1),"")</f>
      </c>
      <c r="AU46" s="262">
        <f>IF(ISNUMBER(AU42),ROUND(N(AU41)+N(AU42)+N(AU43)+N(AU44)+N(AU45)-AU33,1),"")</f>
      </c>
      <c r="AV46" s="262">
        <f>IF(ISNUMBER(AV42),ROUND(N(AV41)+N(AV42)+N(AV43)+N(AV44)+N(AV45)-AV33,1),"")</f>
      </c>
      <c r="AW46" s="262">
        <f>IF(ISNUMBER(AW42),ROUND(N(AW41)+N(AW42)+N(AW43)+N(AW44)+N(AW45)-AW33,1),"")</f>
      </c>
      <c r="AX46" s="262">
        <f>IF(ISNUMBER(AX42),ROUND(N(AX41)+N(AX42)+N(AX43)+N(AX44)+N(AX45)-AX33,1),"")</f>
      </c>
      <c r="AY46" s="262">
        <f>IF(ISNUMBER(AY42),ROUND(N(AY41)+N(AY42)+N(AY43)+N(AY44)+N(AY45)-AY33,1),"")</f>
      </c>
      <c r="AZ46" s="262">
        <f>IF(ISNUMBER(AZ42),ROUND(N(AZ41)+N(AZ42)+N(AZ43)+N(AZ44)+N(AZ45)-AZ33,1),"")</f>
      </c>
      <c r="BA46" s="262">
        <f>IF(ISNUMBER(BA42),ROUND(N(BA41)+N(BA42)+N(BA43)+N(BA44)+N(BA45)-BA33,1),"")</f>
      </c>
      <c r="BB46" s="262">
        <f>IF(ISNUMBER(BB42),ROUND(N(BB41)+N(BB42)+N(BB43)+N(BB44)+N(BB45)-BB33,1),"")</f>
      </c>
      <c r="BC46" s="262">
        <f>IF(ISNUMBER(BC42),ROUND(N(BC41)+N(BC42)+N(BC43)+N(BC44)+N(BC45)-BC33,1),"")</f>
      </c>
      <c r="BD46" s="262">
        <f>IF(ISNUMBER(BD42),ROUND(N(BD41)+N(BD42)+N(BD43)+N(BD44)+N(BD45)-BD33,1),"")</f>
      </c>
      <c r="BE46" s="262">
        <f>IF(ISNUMBER(BE42),ROUND(N(BE41)+N(BE42)+N(BE43)+N(BE44)+N(BE45)-BE33,1),"")</f>
      </c>
      <c r="BF46" s="262">
        <f>IF(ISNUMBER(BF42),ROUND(N(BF41)+N(BF42)+N(BF43)+N(BF44)+N(BF45)-BF33,1),"")</f>
      </c>
      <c r="BG46" s="262">
        <f>IF(ISNUMBER(BG42),ROUND(N(BG41)+N(BG42)+N(BG43)+N(BG44)+N(BG45)-BG33,1),"")</f>
      </c>
      <c r="BH46" s="262">
        <f>IF(ISNUMBER(BH42),ROUND(N(BH41)+N(BH42)+N(BH43)+N(BH44)+N(BH45)-BH33,1),"")</f>
      </c>
      <c r="BI46" s="262">
        <f>IF(ISNUMBER(BI42),ROUND(N(BI41)+N(BI42)+N(BI43)+N(BI44)+N(BI45)-BI33,1),"")</f>
      </c>
      <c r="BJ46" s="262">
        <f>IF(ISNUMBER(BJ42),ROUND(N(BJ41)+N(BJ42)+N(BJ43)+N(BJ44)+N(BJ45)-BJ33,1),"")</f>
      </c>
      <c r="BK46" s="262">
        <f>IF(ISNUMBER(BK42),ROUND(N(BK41)+N(BK42)+N(BK43)+N(BK44)+N(BK45)-BK33,1),"")</f>
      </c>
      <c r="BL46" s="262">
        <f>IF(ISNUMBER(BL42),ROUND(N(BL41)+N(BL42)+N(BL43)+N(BL44)+N(BL45)-BL33,1),"")</f>
      </c>
      <c r="BM46" s="262">
        <f>IF(ISNUMBER(BM42),ROUND(N(BM41)+N(BM42)+N(BM43)+N(BM44)+N(BM45)-BM33,1),"")</f>
      </c>
      <c r="BN46" s="262">
        <f>IF(ISNUMBER(BN42),ROUND(N(BN41)+N(BN42)+N(BN43)+N(BN44)+N(BN45)-BN33,1),"")</f>
      </c>
      <c r="BO46" s="262">
        <f>IF(ISNUMBER(BO42),ROUND(N(BO41)+N(BO42)+N(BO43)+N(BO44)+N(BO45)-BO33,1),"")</f>
      </c>
      <c r="BP46" s="262">
        <f>IF(ISNUMBER(BP42),ROUND(N(BP41)+N(BP42)+N(BP43)+N(BP44)+N(BP45)-BP33,1),"")</f>
      </c>
      <c r="BQ46" s="262">
        <f>IF(ISNUMBER(BQ42),ROUND(N(BQ41)+N(BQ42)+N(BQ43)+N(BQ44)+N(BQ45)-BQ33,1),"")</f>
      </c>
      <c r="BR46" s="262">
        <f>IF(ISNUMBER(BR42),ROUND(N(BR41)+N(BR42)+N(BR43)+N(BR44)+N(BR45)-BR33,1),"")</f>
      </c>
      <c r="BS46" s="262">
        <f>IF(ISNUMBER(BS42),ROUND(N(BS41)+N(BS42)+N(BS43)+N(BS44)+N(BS45)-BS33,1),"")</f>
      </c>
      <c r="BT46" s="262">
        <f>IF(ISNUMBER(BT42),ROUND(N(BT41)+N(BT42)+N(BT43)+N(BT44)+N(BT45)-BT33,1),"")</f>
      </c>
      <c r="BU46" s="262">
        <f>IF(ISNUMBER(BU42),ROUND(N(BU41)+N(BU42)+N(BU43)+N(BU44)+N(BU45)-BU33,1),"")</f>
      </c>
      <c r="BV46" s="262">
        <f>IF(ISNUMBER(BV42),ROUND(N(BV41)+N(BV42)+N(BV43)+N(BV44)+N(BV45)-BV33,1),"")</f>
      </c>
      <c r="BW46" s="262">
        <f>IF(ISNUMBER(BW42),ROUND(N(BW41)+N(BW42)+N(BW43)+N(BW44)+N(BW45)-BW33,1),"")</f>
      </c>
      <c r="BX46" s="262">
        <f>IF(ISNUMBER(BX42),ROUND(N(BX41)+N(BX42)+N(BX43)+N(BX44)+N(BX45)-BX33,1),"")</f>
      </c>
      <c r="BY46" s="153" t="n"/>
      <c r="BZ46" s="153" t="n"/>
      <c r="CA46" s="153" t="n"/>
      <c r="CB46" s="153" t="n"/>
      <c r="CC46" s="153" t="n"/>
      <c r="CD46" s="153" t="n"/>
      <c r="CE46" s="153" t="n"/>
      <c r="CF46" s="153" t="n"/>
      <c r="CG46" s="153" t="n"/>
      <c r="CO46" s="25" t="inlineStr">
        <is>
          <t xml:space="preserve">  2027E</t>
        </is>
      </c>
      <c r="CP46" s="51">
        <f>MAX(0,CQ46+$CP$45)</f>
        <v>40</v>
      </c>
      <c r="CQ46" s="26" t="n">
        <v>35</v>
      </c>
      <c r="CR46" s="51">
        <f>MAX(0,CQ46+$CR$45)</f>
        <v>20</v>
      </c>
    </row>
    <row r="47" ht="15" customHeight="1" s="251">
      <c r="CO47" s="25" t="inlineStr">
        <is>
          <t xml:space="preserve">  2028E</t>
        </is>
      </c>
      <c r="CP47" s="51">
        <f>MAX(0,CQ47+$CP$45)</f>
        <v>60</v>
      </c>
      <c r="CQ47" s="26" t="n">
        <v>55</v>
      </c>
      <c r="CR47" s="51">
        <f>MAX(0,CQ47+$CR$45)</f>
        <v>40</v>
      </c>
    </row>
    <row r="48" ht="15" customHeight="1" s="251">
      <c r="B48" s="14" t="inlineStr">
        <is>
          <t>Global Services (BGS) — commercial &amp; government services, parts, training, digital (formed Q3-17; Digital Aviation Solutions incl. Jeppesen sold 31-Oct-2025)</t>
        </is>
      </c>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c r="CE48" s="14" t="n"/>
      <c r="CF48" s="14" t="n"/>
      <c r="CG48" s="15" t="inlineStr">
        <is>
          <t>GLOBAL SERVICES — modelling logic</t>
        </is>
      </c>
      <c r="CO48" s="25" t="inlineStr">
        <is>
          <t xml:space="preserve">  2029E</t>
        </is>
      </c>
      <c r="CP48" s="51">
        <f>MAX(0,CQ48+$CP$45)</f>
        <v>70</v>
      </c>
      <c r="CQ48" s="26" t="n">
        <v>65</v>
      </c>
      <c r="CR48" s="51">
        <f>MAX(0,CQ48+$CR$45)</f>
        <v>50</v>
      </c>
    </row>
    <row r="49" ht="15" customHeight="1" s="251">
      <c r="B49" s="16" t="inlineStr">
        <is>
          <t xml:space="preserve">  BGS revenues</t>
        </is>
      </c>
      <c r="C49" s="264" t="n">
        <v>0</v>
      </c>
      <c r="D49" s="264" t="n">
        <v>0</v>
      </c>
      <c r="E49" s="264" t="n">
        <v>0</v>
      </c>
      <c r="F49" s="264" t="n">
        <v>0</v>
      </c>
      <c r="G49" s="264" t="n">
        <v>0</v>
      </c>
      <c r="H49" s="264" t="n">
        <v>0</v>
      </c>
      <c r="I49" s="264" t="n">
        <v>0</v>
      </c>
      <c r="J49" s="264" t="n">
        <v>0</v>
      </c>
      <c r="K49" s="264" t="n">
        <v>0</v>
      </c>
      <c r="L49" s="264" t="n">
        <v>0</v>
      </c>
      <c r="M49" s="264" t="n">
        <v>0</v>
      </c>
      <c r="N49" s="264" t="n">
        <v>0</v>
      </c>
      <c r="O49" s="264" t="n">
        <v>0</v>
      </c>
      <c r="P49" s="264" t="n">
        <v>0</v>
      </c>
      <c r="Q49" s="264" t="n">
        <v>0</v>
      </c>
      <c r="R49" s="264" t="n">
        <v>0</v>
      </c>
      <c r="S49" s="264" t="n">
        <v>0</v>
      </c>
      <c r="T49" s="264" t="n">
        <v>0</v>
      </c>
      <c r="U49" s="264" t="n">
        <v>0</v>
      </c>
      <c r="V49" s="264" t="n">
        <v>0</v>
      </c>
      <c r="W49" s="264" t="n">
        <v>0</v>
      </c>
      <c r="X49" s="264" t="n">
        <v>0</v>
      </c>
      <c r="Y49" s="264" t="n">
        <v>0</v>
      </c>
      <c r="Z49" s="264" t="n">
        <v>0</v>
      </c>
      <c r="AA49" s="264" t="n">
        <v>0</v>
      </c>
      <c r="AB49" s="264" t="n">
        <v>0</v>
      </c>
      <c r="AC49" s="264" t="n">
        <v>0</v>
      </c>
      <c r="AD49" s="264" t="n">
        <v>0</v>
      </c>
      <c r="AE49" s="264" t="n">
        <v>0</v>
      </c>
      <c r="AF49" s="264" t="n">
        <v>3568</v>
      </c>
      <c r="AG49" s="264" t="n">
        <v>4001</v>
      </c>
      <c r="AH49" s="264" t="n">
        <v>14639</v>
      </c>
      <c r="AI49" s="264" t="n">
        <v>3943</v>
      </c>
      <c r="AJ49" s="264" t="n">
        <v>4090</v>
      </c>
      <c r="AK49" s="264" t="n">
        <v>4091</v>
      </c>
      <c r="AL49" s="264" t="n">
        <v>4894</v>
      </c>
      <c r="AM49" s="264" t="n">
        <v>17018</v>
      </c>
      <c r="AN49" s="264" t="n">
        <v>4619</v>
      </c>
      <c r="AO49" s="264" t="n">
        <v>4543</v>
      </c>
      <c r="AP49" s="264" t="n">
        <v>4658</v>
      </c>
      <c r="AQ49" s="264" t="n">
        <v>4648</v>
      </c>
      <c r="AR49" s="264" t="n">
        <v>18468</v>
      </c>
      <c r="AS49" s="264" t="n">
        <v>4628</v>
      </c>
      <c r="AT49" s="264" t="n">
        <v>3488</v>
      </c>
      <c r="AU49" s="264" t="n">
        <v>3694</v>
      </c>
      <c r="AV49" s="264" t="n">
        <v>3733</v>
      </c>
      <c r="AW49" s="264" t="n">
        <v>15543</v>
      </c>
      <c r="AX49" s="264" t="n">
        <v>3749</v>
      </c>
      <c r="AY49" s="264" t="n">
        <v>4067</v>
      </c>
      <c r="AZ49" s="264" t="n">
        <v>4221</v>
      </c>
      <c r="BA49" s="264" t="n">
        <v>4291</v>
      </c>
      <c r="BB49" s="264" t="n">
        <v>16328</v>
      </c>
      <c r="BC49" s="264" t="n">
        <v>4314</v>
      </c>
      <c r="BD49" s="264" t="n">
        <v>4298</v>
      </c>
      <c r="BE49" s="264" t="n">
        <v>4432</v>
      </c>
      <c r="BF49" s="264" t="n">
        <v>4567</v>
      </c>
      <c r="BG49" s="264" t="n">
        <v>17611</v>
      </c>
      <c r="BH49" s="264" t="n">
        <v>4720</v>
      </c>
      <c r="BI49" s="264" t="n">
        <v>4746</v>
      </c>
      <c r="BJ49" s="264" t="n">
        <v>4812</v>
      </c>
      <c r="BK49" s="264" t="n">
        <v>4849</v>
      </c>
      <c r="BL49" s="264" t="n">
        <v>19127</v>
      </c>
      <c r="BM49" s="264" t="n">
        <v>5045</v>
      </c>
      <c r="BN49" s="264" t="n">
        <v>4889</v>
      </c>
      <c r="BO49" s="264" t="n">
        <v>4901</v>
      </c>
      <c r="BP49" s="264" t="n">
        <v>5119</v>
      </c>
      <c r="BQ49" s="264" t="n">
        <v>19954</v>
      </c>
      <c r="BR49" s="264" t="n">
        <v>5063</v>
      </c>
      <c r="BS49" s="264" t="n">
        <v>5281</v>
      </c>
      <c r="BT49" s="264" t="n">
        <v>5370</v>
      </c>
      <c r="BU49" s="264" t="n">
        <v>5209</v>
      </c>
      <c r="BV49" s="264" t="n">
        <v>20923</v>
      </c>
      <c r="BW49" s="264" t="n">
        <v>5370</v>
      </c>
      <c r="BX49" s="264" t="n">
        <v>5344</v>
      </c>
      <c r="BY49" s="265">
        <f>BT49*(1+BY50)</f>
        <v>5562.08236658933</v>
      </c>
      <c r="BZ49" s="265">
        <f>BU49*(1+BZ50)</f>
        <v>5395.32347254447</v>
      </c>
      <c r="CA49" s="265">
        <f>SUM(BW49:BZ49)</f>
        <v>21671.4058391338</v>
      </c>
      <c r="CB49" s="265">
        <f>CA49*(1+CB50)</f>
        <v>22754.9761310905</v>
      </c>
      <c r="CC49" s="265">
        <f>CB49*(1+CC50)</f>
        <v>24120.2746989559</v>
      </c>
      <c r="CD49" s="265">
        <f>CC49*(1+CD50)</f>
        <v>25567.4911808933</v>
      </c>
      <c r="CE49" s="265">
        <f>CD49*(1+CE50)</f>
        <v>26845.8657399379</v>
      </c>
      <c r="CF49" s="265">
        <f>CE49*(1+CF50)</f>
        <v>28188.1590269348</v>
      </c>
      <c r="CG49" s="153" t="inlineStr">
        <is>
          <t>As reported from Q3-17 (Q1/Q2-17 and earlier: services inside BCA / BDS).</t>
        </is>
      </c>
      <c r="CI49" s="20">
        <f>IFERROR(IF(AND(CF49&gt;0,CA49&gt;0),(CF49/CA49)^(1/5)-1,"n/m"),"n/m")</f>
        <v>0.0539886291215479</v>
      </c>
      <c r="CJ49" s="20">
        <f>IFERROR(IF(AND(BV49&gt;0,AW49&gt;0),(BV49/AW49)^(1/5)-1,"n/m"),"n/m")</f>
        <v>0.0612502892202209</v>
      </c>
      <c r="CK49" s="20" t="str">
        <f>IFERROR(IF(AND(BV49&gt;0,X49&gt;0),(BV49/X49)^(1/10)-1,"n/m"),"n/m")</f>
        <v>n/m</v>
      </c>
      <c r="CL49" s="20" t="str">
        <f>IFERROR(IF(AND(BV49&gt;0,C49&gt;0),(BV49/C49)^(1/19)-1,"n/m"),"n/m")</f>
        <v>n/m</v>
      </c>
      <c r="CO49" s="25" t="inlineStr">
        <is>
          <t xml:space="preserve">  2030E</t>
        </is>
      </c>
      <c r="CP49" s="51">
        <f>MAX(0,CQ49+$CP$45)</f>
        <v>75</v>
      </c>
      <c r="CQ49" s="26" t="n">
        <v>70</v>
      </c>
      <c r="CR49" s="51">
        <f>MAX(0,CQ49+$CR$45)</f>
        <v>55</v>
      </c>
    </row>
    <row r="50" ht="15" customHeight="1" s="251">
      <c r="B50" s="22" t="inlineStr">
        <is>
          <t xml:space="preserve">  BGS revenues y/y %</t>
        </is>
      </c>
      <c r="C50" s="23" t="n"/>
      <c r="D50" s="259" t="str">
        <f>IF(AND(ISNUMBER(D49),ISNUMBER(C49)),IF(C49&gt;0,IFERROR(D49/C49-1,""),"n/m"),"")</f>
        <v>n/m</v>
      </c>
      <c r="E50" s="259" t="str">
        <f>IF(AND(ISNUMBER(E49),ISNUMBER(D49)),IF(D49&gt;0,IFERROR(E49/D49-1,""),"n/m"),"")</f>
        <v>n/m</v>
      </c>
      <c r="F50" s="259" t="str">
        <f>IF(AND(ISNUMBER(F49),ISNUMBER(E49)),IF(E49&gt;0,IFERROR(F49/E49-1,""),"n/m"),"")</f>
        <v>n/m</v>
      </c>
      <c r="G50" s="259" t="str">
        <f>IF(AND(ISNUMBER(G49),ISNUMBER(F49)),IF(F49&gt;0,IFERROR(G49/F49-1,""),"n/m"),"")</f>
        <v>n/m</v>
      </c>
      <c r="H50" s="259" t="str">
        <f>IF(AND(ISNUMBER(H49),ISNUMBER(G49)),IF(G49&gt;0,IFERROR(H49/G49-1,""),"n/m"),"")</f>
        <v>n/m</v>
      </c>
      <c r="I50" s="259" t="str">
        <f>IF(AND(ISNUMBER(I49),ISNUMBER(H49)),IF(H49&gt;0,IFERROR(I49/H49-1,""),"n/m"),"")</f>
        <v>n/m</v>
      </c>
      <c r="J50" s="23" t="n"/>
      <c r="K50" s="23" t="n"/>
      <c r="L50" s="23" t="n"/>
      <c r="M50" s="23" t="n"/>
      <c r="N50" s="259" t="str">
        <f>IF(AND(ISNUMBER(N49),ISNUMBER(I49)),IF(I49&gt;0,IFERROR(N49/I49-1,""),"n/m"),"")</f>
        <v>n/m</v>
      </c>
      <c r="O50" s="259" t="str">
        <f>IF(AND(ISNUMBER(O49),ISNUMBER(J49)),IF(J49&gt;0,IFERROR(O49/J49-1,""),"n/m"),"")</f>
        <v>n/m</v>
      </c>
      <c r="P50" s="259" t="str">
        <f>IF(AND(ISNUMBER(P49),ISNUMBER(K49)),IF(K49&gt;0,IFERROR(P49/K49-1,""),"n/m"),"")</f>
        <v>n/m</v>
      </c>
      <c r="Q50" s="259" t="str">
        <f>IF(AND(ISNUMBER(Q49),ISNUMBER(L49)),IF(L49&gt;0,IFERROR(Q49/L49-1,""),"n/m"),"")</f>
        <v>n/m</v>
      </c>
      <c r="R50" s="259" t="str">
        <f>IF(AND(ISNUMBER(R49),ISNUMBER(M49)),IF(M49&gt;0,IFERROR(R49/M49-1,""),"n/m"),"")</f>
        <v>n/m</v>
      </c>
      <c r="S50" s="259" t="str">
        <f>IF(AND(ISNUMBER(S49),ISNUMBER(N49)),IF(N49&gt;0,IFERROR(S49/N49-1,""),"n/m"),"")</f>
        <v>n/m</v>
      </c>
      <c r="T50" s="259" t="str">
        <f>IF(AND(ISNUMBER(T49),ISNUMBER(O49)),IF(O49&gt;0,IFERROR(T49/O49-1,""),"n/m"),"")</f>
        <v>n/m</v>
      </c>
      <c r="U50" s="259" t="str">
        <f>IF(AND(ISNUMBER(U49),ISNUMBER(P49)),IF(P49&gt;0,IFERROR(U49/P49-1,""),"n/m"),"")</f>
        <v>n/m</v>
      </c>
      <c r="V50" s="259" t="str">
        <f>IF(AND(ISNUMBER(V49),ISNUMBER(Q49)),IF(Q49&gt;0,IFERROR(V49/Q49-1,""),"n/m"),"")</f>
        <v>n/m</v>
      </c>
      <c r="W50" s="259" t="str">
        <f>IF(AND(ISNUMBER(W49),ISNUMBER(R49)),IF(R49&gt;0,IFERROR(W49/R49-1,""),"n/m"),"")</f>
        <v>n/m</v>
      </c>
      <c r="X50" s="259" t="str">
        <f>IF(AND(ISNUMBER(X49),ISNUMBER(S49)),IF(S49&gt;0,IFERROR(X49/S49-1,""),"n/m"),"")</f>
        <v>n/m</v>
      </c>
      <c r="Y50" s="259" t="str">
        <f>IF(AND(ISNUMBER(Y49),ISNUMBER(T49)),IF(T49&gt;0,IFERROR(Y49/T49-1,""),"n/m"),"")</f>
        <v>n/m</v>
      </c>
      <c r="Z50" s="259" t="str">
        <f>IF(AND(ISNUMBER(Z49),ISNUMBER(U49)),IF(U49&gt;0,IFERROR(Z49/U49-1,""),"n/m"),"")</f>
        <v>n/m</v>
      </c>
      <c r="AA50" s="259" t="str">
        <f>IF(AND(ISNUMBER(AA49),ISNUMBER(V49)),IF(V49&gt;0,IFERROR(AA49/V49-1,""),"n/m"),"")</f>
        <v>n/m</v>
      </c>
      <c r="AB50" s="259" t="str">
        <f>IF(AND(ISNUMBER(AB49),ISNUMBER(W49)),IF(W49&gt;0,IFERROR(AB49/W49-1,""),"n/m"),"")</f>
        <v>n/m</v>
      </c>
      <c r="AC50" s="259" t="str">
        <f>IF(AND(ISNUMBER(AC49),ISNUMBER(X49)),IF(X49&gt;0,IFERROR(AC49/X49-1,""),"n/m"),"")</f>
        <v>n/m</v>
      </c>
      <c r="AD50" s="259" t="str">
        <f>IF(AND(ISNUMBER(AD49),ISNUMBER(Y49)),IF(Y49&gt;0,IFERROR(AD49/Y49-1,""),"n/m"),"")</f>
        <v>n/m</v>
      </c>
      <c r="AE50" s="259" t="str">
        <f>IF(AND(ISNUMBER(AE49),ISNUMBER(Z49)),IF(Z49&gt;0,IFERROR(AE49/Z49-1,""),"n/m"),"")</f>
        <v>n/m</v>
      </c>
      <c r="AF50" s="259" t="str">
        <f>IF(AND(ISNUMBER(AF49),ISNUMBER(AA49)),IF(AA49&gt;0,IFERROR(AF49/AA49-1,""),"n/m"),"")</f>
        <v>n/m</v>
      </c>
      <c r="AG50" s="259" t="str">
        <f>IF(AND(ISNUMBER(AG49),ISNUMBER(AB49)),IF(AB49&gt;0,IFERROR(AG49/AB49-1,""),"n/m"),"")</f>
        <v>n/m</v>
      </c>
      <c r="AH50" s="259" t="str">
        <f>IF(AND(ISNUMBER(AH49),ISNUMBER(AC49)),IF(AC49&gt;0,IFERROR(AH49/AC49-1,""),"n/m"),"")</f>
        <v>n/m</v>
      </c>
      <c r="AI50" s="259" t="str">
        <f>IF(AND(ISNUMBER(AI49),ISNUMBER(AD49)),IF(AD49&gt;0,IFERROR(AI49/AD49-1,""),"n/m"),"")</f>
        <v>n/m</v>
      </c>
      <c r="AJ50" s="259" t="str">
        <f>IF(AND(ISNUMBER(AJ49),ISNUMBER(AE49)),IF(AE49&gt;0,IFERROR(AJ49/AE49-1,""),"n/m"),"")</f>
        <v>n/m</v>
      </c>
      <c r="AK50" s="259">
        <f>IF(AND(ISNUMBER(AK49),ISNUMBER(AF49)),IF(AF49&gt;0,IFERROR(AK49/AF49-1,""),"n/m"),"")</f>
        <v>0.146580717488789</v>
      </c>
      <c r="AL50" s="259">
        <f>IF(AND(ISNUMBER(AL49),ISNUMBER(AG49)),IF(AG49&gt;0,IFERROR(AL49/AG49-1,""),"n/m"),"")</f>
        <v>0.223194201449638</v>
      </c>
      <c r="AM50" s="259">
        <f>IF(AND(ISNUMBER(AM49),ISNUMBER(AH49)),IF(AH49&gt;0,IFERROR(AM49/AH49-1,""),"n/m"),"")</f>
        <v>0.162511100485006</v>
      </c>
      <c r="AN50" s="259">
        <f>IF(AND(ISNUMBER(AN49),ISNUMBER(AI49)),IF(AI49&gt;0,IFERROR(AN49/AI49-1,""),"n/m"),"")</f>
        <v>0.171443063657114</v>
      </c>
      <c r="AO50" s="259">
        <f>IF(AND(ISNUMBER(AO49),ISNUMBER(AJ49)),IF(AJ49&gt;0,IFERROR(AO49/AJ49-1,""),"n/m"),"")</f>
        <v>0.110757946210269</v>
      </c>
      <c r="AP50" s="259">
        <f>IF(AND(ISNUMBER(AP49),ISNUMBER(AK49)),IF(AK49&gt;0,IFERROR(AP49/AK49-1,""),"n/m"),"")</f>
        <v>0.138596920068443</v>
      </c>
      <c r="AQ50" s="259">
        <f>IF(AND(ISNUMBER(AQ49),ISNUMBER(AL49)),IF(AL49&gt;0,IFERROR(AQ49/AL49-1,""),"n/m"),"")</f>
        <v>-0.0502656313853699</v>
      </c>
      <c r="AR50" s="259">
        <f>IF(AND(ISNUMBER(AR49),ISNUMBER(AM49)),IF(AM49&gt;0,IFERROR(AR49/AM49-1,""),"n/m"),"")</f>
        <v>0.0852039017510871</v>
      </c>
      <c r="AS50" s="259">
        <f>IF(AND(ISNUMBER(AS49),ISNUMBER(AN49)),IF(AN49&gt;0,IFERROR(AS49/AN49-1,""),"n/m"),"")</f>
        <v>0.00194847369560502</v>
      </c>
      <c r="AT50" s="259">
        <f>IF(AND(ISNUMBER(AT49),ISNUMBER(AO49)),IF(AO49&gt;0,IFERROR(AT49/AO49-1,""),"n/m"),"")</f>
        <v>-0.232225401716927</v>
      </c>
      <c r="AU50" s="259">
        <f>IF(AND(ISNUMBER(AU49),ISNUMBER(AP49)),IF(AP49&gt;0,IFERROR(AU49/AP49-1,""),"n/m"),"")</f>
        <v>-0.206955775010734</v>
      </c>
      <c r="AV50" s="259">
        <f>IF(AND(ISNUMBER(AV49),ISNUMBER(AQ49)),IF(AQ49&gt;0,IFERROR(AV49/AQ49-1,""),"n/m"),"")</f>
        <v>-0.196858864027539</v>
      </c>
      <c r="AW50" s="259">
        <f>IF(AND(ISNUMBER(AW49),ISNUMBER(AR49)),IF(AR49&gt;0,IFERROR(AW49/AR49-1,""),"n/m"),"")</f>
        <v>-0.158382066276803</v>
      </c>
      <c r="AX50" s="259">
        <f>IF(AND(ISNUMBER(AX49),ISNUMBER(AS49)),IF(AS49&gt;0,IFERROR(AX49/AS49-1,""),"n/m"),"")</f>
        <v>-0.189930855661193</v>
      </c>
      <c r="AY50" s="259">
        <f>IF(AND(ISNUMBER(AY49),ISNUMBER(AT49)),IF(AT49&gt;0,IFERROR(AY49/AT49-1,""),"n/m"),"")</f>
        <v>0.165997706422018</v>
      </c>
      <c r="AZ50" s="259">
        <f>IF(AND(ISNUMBER(AZ49),ISNUMBER(AU49)),IF(AU49&gt;0,IFERROR(AZ49/AU49-1,""),"n/m"),"")</f>
        <v>0.142663779101245</v>
      </c>
      <c r="BA50" s="259">
        <f>IF(AND(ISNUMBER(BA49),ISNUMBER(AV49)),IF(AV49&gt;0,IFERROR(BA49/AV49-1,""),"n/m"),"")</f>
        <v>0.149477631931422</v>
      </c>
      <c r="BB50" s="259">
        <f>IF(AND(ISNUMBER(BB49),ISNUMBER(AW49)),IF(AW49&gt;0,IFERROR(BB49/AW49-1,""),"n/m"),"")</f>
        <v>0.0505050505050506</v>
      </c>
      <c r="BC50" s="259">
        <f>IF(AND(ISNUMBER(BC49),ISNUMBER(AX49)),IF(AX49&gt;0,IFERROR(BC49/AX49-1,""),"n/m"),"")</f>
        <v>0.150706855161376</v>
      </c>
      <c r="BD50" s="259">
        <f>IF(AND(ISNUMBER(BD49),ISNUMBER(AY49)),IF(AY49&gt;0,IFERROR(BD49/AY49-1,""),"n/m"),"")</f>
        <v>0.0567986230636832</v>
      </c>
      <c r="BE50" s="259">
        <f>IF(AND(ISNUMBER(BE49),ISNUMBER(AZ49)),IF(AZ49&gt;0,IFERROR(BE49/AZ49-1,""),"n/m"),"")</f>
        <v>0.0499881544657663</v>
      </c>
      <c r="BF50" s="259">
        <f>IF(AND(ISNUMBER(BF49),ISNUMBER(BA49)),IF(BA49&gt;0,IFERROR(BF49/BA49-1,""),"n/m"),"")</f>
        <v>0.0643206711722208</v>
      </c>
      <c r="BG50" s="259">
        <f>IF(AND(ISNUMBER(BG49),ISNUMBER(BB49)),IF(BB49&gt;0,IFERROR(BG49/BB49-1,""),"n/m"),"")</f>
        <v>0.0785766780989712</v>
      </c>
      <c r="BH50" s="259">
        <f>IF(AND(ISNUMBER(BH49),ISNUMBER(BC49)),IF(BC49&gt;0,IFERROR(BH49/BC49-1,""),"n/m"),"")</f>
        <v>0.0941121928604543</v>
      </c>
      <c r="BI50" s="259">
        <f>IF(AND(ISNUMBER(BI49),ISNUMBER(BD49)),IF(BD49&gt;0,IFERROR(BI49/BD49-1,""),"n/m"),"")</f>
        <v>0.104234527687296</v>
      </c>
      <c r="BJ50" s="259">
        <f>IF(AND(ISNUMBER(BJ49),ISNUMBER(BE49)),IF(BE49&gt;0,IFERROR(BJ49/BE49-1,""),"n/m"),"")</f>
        <v>0.0857400722021662</v>
      </c>
      <c r="BK50" s="259">
        <f>IF(AND(ISNUMBER(BK49),ISNUMBER(BF49)),IF(BF49&gt;0,IFERROR(BK49/BF49-1,""),"n/m"),"")</f>
        <v>0.0617473177140355</v>
      </c>
      <c r="BL50" s="259">
        <f>IF(AND(ISNUMBER(BL49),ISNUMBER(BG49)),IF(BG49&gt;0,IFERROR(BL49/BG49-1,""),"n/m"),"")</f>
        <v>0.0860825620350918</v>
      </c>
      <c r="BM50" s="259">
        <f>IF(AND(ISNUMBER(BM49),ISNUMBER(BH49)),IF(BH49&gt;0,IFERROR(BM49/BH49-1,""),"n/m"),"")</f>
        <v>0.0688559322033899</v>
      </c>
      <c r="BN50" s="259">
        <f>IF(AND(ISNUMBER(BN49),ISNUMBER(BI49)),IF(BI49&gt;0,IFERROR(BN49/BI49-1,""),"n/m"),"")</f>
        <v>0.0301306363253266</v>
      </c>
      <c r="BO50" s="259">
        <f>IF(AND(ISNUMBER(BO49),ISNUMBER(BJ49)),IF(BJ49&gt;0,IFERROR(BO49/BJ49-1,""),"n/m"),"")</f>
        <v>0.0184954280964256</v>
      </c>
      <c r="BP50" s="259">
        <f>IF(AND(ISNUMBER(BP49),ISNUMBER(BK49)),IF(BK49&gt;0,IFERROR(BP49/BK49-1,""),"n/m"),"")</f>
        <v>0.055681583831718</v>
      </c>
      <c r="BQ50" s="259">
        <f>IF(AND(ISNUMBER(BQ49),ISNUMBER(BL49)),IF(BL49&gt;0,IFERROR(BQ49/BL49-1,""),"n/m"),"")</f>
        <v>0.0432373085167563</v>
      </c>
      <c r="BR50" s="259">
        <f>IF(AND(ISNUMBER(BR49),ISNUMBER(BM49)),IF(BM49&gt;0,IFERROR(BR49/BM49-1,""),"n/m"),"")</f>
        <v>0.00356788899900895</v>
      </c>
      <c r="BS50" s="259">
        <f>IF(AND(ISNUMBER(BS49),ISNUMBER(BN49)),IF(BN49&gt;0,IFERROR(BS49/BN49-1,""),"n/m"),"")</f>
        <v>0.0801799959091838</v>
      </c>
      <c r="BT50" s="259">
        <f>IF(AND(ISNUMBER(BT49),ISNUMBER(BO49)),IF(BO49&gt;0,IFERROR(BT49/BO49-1,""),"n/m"),"")</f>
        <v>0.0956947561722097</v>
      </c>
      <c r="BU50" s="259">
        <f>IF(AND(ISNUMBER(BU49),ISNUMBER(BP49)),IF(BP49&gt;0,IFERROR(BU49/BP49-1,""),"n/m"),"")</f>
        <v>0.0175815588982222</v>
      </c>
      <c r="BV50" s="259">
        <f>IF(AND(ISNUMBER(BV49),ISNUMBER(BQ49)),IF(BQ49&gt;0,IFERROR(BV49/BQ49-1,""),"n/m"),"")</f>
        <v>0.0485616918913501</v>
      </c>
      <c r="BW50" s="259">
        <f>IF(AND(ISNUMBER(BW49),ISNUMBER(BR49)),IF(BR49&gt;0,IFERROR(BW49/BR49-1,""),"n/m"),"")</f>
        <v>0.0606359865692276</v>
      </c>
      <c r="BX50" s="259">
        <f>IF(AND(ISNUMBER(BX49),ISNUMBER(BS49)),IF(BS49&gt;0,IFERROR(BX49/BS49-1,""),"n/m"),"")</f>
        <v>0.0119295587956827</v>
      </c>
      <c r="BY50" s="260">
        <f>IFERROR(SUM(BW49:BX49)/SUM(BR49:BS49)-1,0)</f>
        <v>0.035769528228925</v>
      </c>
      <c r="BZ50" s="260">
        <f>IFERROR(SUM(BW49:BX49)/SUM(BR49:BS49)-1,0)</f>
        <v>0.035769528228925</v>
      </c>
      <c r="CA50" s="260">
        <f>IF(AND(ISNUMBER(CA49),ISNUMBER(BV49)),IF(BV49&gt;0,IFERROR(CA49/BV49-1,""),"n/m"),"")</f>
        <v>0.035769528228925</v>
      </c>
      <c r="CB50" s="260">
        <f>CHOOSE(MATCH($CG$2,{"Bull","Base","Bear"},0),$CP$82,$CQ$82,$CR$82)</f>
        <v>0.05</v>
      </c>
      <c r="CC50" s="260">
        <f>CHOOSE(MATCH($CG$2,{"Bull","Base","Bear"},0),$CP$83,$CQ$83,$CR$83)</f>
        <v>0.06</v>
      </c>
      <c r="CD50" s="260">
        <f>CHOOSE(MATCH($CG$2,{"Bull","Base","Bear"},0),$CP$84,$CQ$84,$CR$84)</f>
        <v>0.06</v>
      </c>
      <c r="CE50" s="260">
        <f>CHOOSE(MATCH($CG$2,{"Bull","Base","Bear"},0),$CP$85,$CQ$85,$CR$85)</f>
        <v>0.05</v>
      </c>
      <c r="CF50" s="260">
        <f>CHOOSE(MATCH($CG$2,{"Bull","Base","Bear"},0),$CP$86,$CQ$86,$CR$86)</f>
        <v>0.05</v>
      </c>
      <c r="CG50" s="153" t="inlineStr">
        <is>
          <t>Q3/Q4-26E: 1H26 y/y (1H25 includes the divested Digital Aviation Solutions business; Q4-25 two months). 2027E+: lever.</t>
        </is>
      </c>
      <c r="CI50" s="37">
        <f>IFERROR(AVERAGE(CB50,CC50,CD50,CE50,CF50),"n/m")</f>
        <v>0.054</v>
      </c>
      <c r="CJ50" s="37">
        <f>IFERROR(AVERAGE(BB50,BG50,BL50,BQ50,BV50),"n/m")</f>
        <v>0.061392658209444</v>
      </c>
      <c r="CK50" s="37">
        <f>IFERROR(AVERAGE(AC50,AH50,AM50,AR50,AW50,BB50,BG50,BL50,BQ50,BV50),"n/m")</f>
        <v>0.0495370283758137</v>
      </c>
      <c r="CL50" s="37">
        <f>IFERROR(AVERAGE(C50,D50,E50,F50,G50,H50,I50,N50,S50,X50,AC50,AH50,AM50,AR50,AW50,BB50,BG50,BL50,BQ50,BV50),"n/m")</f>
        <v>0.0495370283758137</v>
      </c>
      <c r="CO50" s="25" t="inlineStr">
        <is>
          <t xml:space="preserve">  2031E</t>
        </is>
      </c>
      <c r="CP50" s="51">
        <f>MAX(0,CQ50+$CP$45)</f>
        <v>75</v>
      </c>
      <c r="CQ50" s="26" t="n">
        <v>70</v>
      </c>
      <c r="CR50" s="51">
        <f>MAX(0,CQ50+$CR$45)</f>
        <v>55</v>
      </c>
    </row>
    <row r="51" ht="15" customHeight="1" s="251">
      <c r="B51" s="25" t="inlineStr">
        <is>
          <t xml:space="preserve">  BGS earnings from operations</t>
        </is>
      </c>
      <c r="C51" s="266" t="n">
        <v>0</v>
      </c>
      <c r="D51" s="266" t="n">
        <v>0</v>
      </c>
      <c r="E51" s="266" t="n">
        <v>0</v>
      </c>
      <c r="F51" s="266" t="n">
        <v>0</v>
      </c>
      <c r="G51" s="266" t="n">
        <v>0</v>
      </c>
      <c r="H51" s="266" t="n">
        <v>0</v>
      </c>
      <c r="I51" s="266" t="n">
        <v>0</v>
      </c>
      <c r="J51" s="266" t="n">
        <v>0</v>
      </c>
      <c r="K51" s="266" t="n">
        <v>0</v>
      </c>
      <c r="L51" s="266" t="n">
        <v>0</v>
      </c>
      <c r="M51" s="266" t="n">
        <v>0</v>
      </c>
      <c r="N51" s="266" t="n">
        <v>0</v>
      </c>
      <c r="O51" s="266" t="n">
        <v>0</v>
      </c>
      <c r="P51" s="266" t="n">
        <v>0</v>
      </c>
      <c r="Q51" s="266" t="n">
        <v>0</v>
      </c>
      <c r="R51" s="266" t="n">
        <v>0</v>
      </c>
      <c r="S51" s="266" t="n">
        <v>0</v>
      </c>
      <c r="T51" s="266" t="n">
        <v>0</v>
      </c>
      <c r="U51" s="266" t="n">
        <v>0</v>
      </c>
      <c r="V51" s="266" t="n">
        <v>0</v>
      </c>
      <c r="W51" s="266" t="n">
        <v>0</v>
      </c>
      <c r="X51" s="266" t="n">
        <v>0</v>
      </c>
      <c r="Y51" s="266" t="n">
        <v>0</v>
      </c>
      <c r="Z51" s="266" t="n">
        <v>0</v>
      </c>
      <c r="AA51" s="266" t="n">
        <v>0</v>
      </c>
      <c r="AB51" s="266" t="n">
        <v>0</v>
      </c>
      <c r="AC51" s="266" t="n">
        <v>0</v>
      </c>
      <c r="AD51" s="266" t="n">
        <v>0</v>
      </c>
      <c r="AE51" s="266" t="n">
        <v>0</v>
      </c>
      <c r="AF51" s="266" t="n">
        <v>506</v>
      </c>
      <c r="AG51" s="266" t="n">
        <v>617</v>
      </c>
      <c r="AH51" s="266" t="n">
        <v>2256</v>
      </c>
      <c r="AI51" s="266" t="n">
        <v>644</v>
      </c>
      <c r="AJ51" s="266" t="n">
        <v>603</v>
      </c>
      <c r="AK51" s="266" t="n">
        <v>543</v>
      </c>
      <c r="AL51" s="266" t="n">
        <v>732</v>
      </c>
      <c r="AM51" s="266" t="n">
        <v>2522</v>
      </c>
      <c r="AN51" s="266" t="n">
        <v>653</v>
      </c>
      <c r="AO51" s="266" t="n">
        <v>687</v>
      </c>
      <c r="AP51" s="266" t="n">
        <v>673</v>
      </c>
      <c r="AQ51" s="266" t="n">
        <v>684</v>
      </c>
      <c r="AR51" s="266" t="n">
        <v>2697</v>
      </c>
      <c r="AS51" s="266" t="n">
        <v>708</v>
      </c>
      <c r="AT51" s="266" t="n">
        <v>-672</v>
      </c>
      <c r="AU51" s="266" t="n">
        <v>271</v>
      </c>
      <c r="AV51" s="266" t="n">
        <v>143</v>
      </c>
      <c r="AW51" s="266" t="n">
        <v>450</v>
      </c>
      <c r="AX51" s="266" t="n">
        <v>441</v>
      </c>
      <c r="AY51" s="266" t="n">
        <v>531</v>
      </c>
      <c r="AZ51" s="266" t="n">
        <v>644</v>
      </c>
      <c r="BA51" s="266" t="n">
        <v>401</v>
      </c>
      <c r="BB51" s="266" t="n">
        <v>2017</v>
      </c>
      <c r="BC51" s="266" t="n">
        <v>632</v>
      </c>
      <c r="BD51" s="266" t="n">
        <v>728</v>
      </c>
      <c r="BE51" s="266" t="n">
        <v>733</v>
      </c>
      <c r="BF51" s="266" t="n">
        <v>634</v>
      </c>
      <c r="BG51" s="266" t="n">
        <v>2727</v>
      </c>
      <c r="BH51" s="266" t="n">
        <v>847</v>
      </c>
      <c r="BI51" s="266" t="n">
        <v>856</v>
      </c>
      <c r="BJ51" s="266" t="n">
        <v>784</v>
      </c>
      <c r="BK51" s="266" t="n">
        <v>842</v>
      </c>
      <c r="BL51" s="266" t="n">
        <v>3329</v>
      </c>
      <c r="BM51" s="266" t="n">
        <v>916</v>
      </c>
      <c r="BN51" s="266" t="n">
        <v>870</v>
      </c>
      <c r="BO51" s="266" t="n">
        <v>834</v>
      </c>
      <c r="BP51" s="266" t="n">
        <v>998</v>
      </c>
      <c r="BQ51" s="266" t="n">
        <v>3618</v>
      </c>
      <c r="BR51" s="266" t="n">
        <v>943</v>
      </c>
      <c r="BS51" s="266" t="n">
        <v>1049</v>
      </c>
      <c r="BT51" s="266" t="n">
        <v>938</v>
      </c>
      <c r="BU51" s="266" t="n">
        <v>10544</v>
      </c>
      <c r="BV51" s="266" t="n">
        <v>13474</v>
      </c>
      <c r="BW51" s="266" t="n">
        <v>971</v>
      </c>
      <c r="BX51" s="266" t="n">
        <v>968</v>
      </c>
      <c r="BY51" s="263">
        <f>BY49*BY52</f>
        <v>995.855079318152</v>
      </c>
      <c r="BZ51" s="263">
        <f>BZ49*BZ52</f>
        <v>965.997971725932</v>
      </c>
      <c r="CA51" s="263">
        <f>SUM(BW51:BZ51)</f>
        <v>3900.85305104408</v>
      </c>
      <c r="CB51" s="263">
        <f>CB49*CB52</f>
        <v>4095.89570359629</v>
      </c>
      <c r="CC51" s="263">
        <f>CC49*CC52</f>
        <v>4341.64944581207</v>
      </c>
      <c r="CD51" s="263">
        <f>CD49*CD52</f>
        <v>4602.14841256079</v>
      </c>
      <c r="CE51" s="263">
        <f>CE49*CE52</f>
        <v>4832.25583318883</v>
      </c>
      <c r="CF51" s="263">
        <f>CF49*CF52</f>
        <v>5073.86862484827</v>
      </c>
      <c r="CG51" s="19" t="inlineStr">
        <is>
          <t>As reported; Q4-25 includes the $9.6bn gain on the Digital Aviation Solutions sale (in "gain on dispositions").</t>
        </is>
      </c>
      <c r="CI51" s="20">
        <f>IFERROR(IF(AND(CF51&gt;0,CA51&gt;0),(CF51/CA51)^(1/5)-1,"n/m"),"n/m")</f>
        <v>0.0539886291215479</v>
      </c>
      <c r="CJ51" s="20">
        <f>IFERROR(IF(AND(BV51&gt;0,AW51&gt;0),(BV51/AW51)^(1/5)-1,"n/m"),"n/m")</f>
        <v>0.973589408740014</v>
      </c>
      <c r="CK51" s="20" t="str">
        <f>IFERROR(IF(AND(BV51&gt;0,X51&gt;0),(BV51/X51)^(1/10)-1,"n/m"),"n/m")</f>
        <v>n/m</v>
      </c>
      <c r="CL51" s="20" t="str">
        <f>IFERROR(IF(AND(BV51&gt;0,C51&gt;0),(BV51/C51)^(1/19)-1,"n/m"),"n/m")</f>
        <v>n/m</v>
      </c>
      <c r="CO51" s="15" t="inlineStr">
        <is>
          <t>D767 (767 commercial deliveries, units)</t>
        </is>
      </c>
      <c r="CP51" s="50" t="n">
        <v>0</v>
      </c>
      <c r="CQ51" s="21" t="inlineStr">
        <is>
          <t>Δ →</t>
        </is>
      </c>
      <c r="CR51" s="50" t="n">
        <v>0</v>
      </c>
      <c r="CS51" s="13" t="inlineStr">
        <is>
          <t>767F production ends 2027 (assumption); 2025: 30.</t>
        </is>
      </c>
    </row>
    <row r="52" ht="15" customHeight="1" s="251">
      <c r="B52" s="25" t="inlineStr">
        <is>
          <t xml:space="preserve">  BGS operating margin %</t>
        </is>
      </c>
      <c r="C52" s="215">
        <f>IF(AND(ISNUMBER(C51),ISNUMBER(C49)),IFERROR(C51/C49,""),"")</f>
      </c>
      <c r="D52" s="215">
        <f>IF(AND(ISNUMBER(D51),ISNUMBER(D49)),IFERROR(D51/D49,""),"")</f>
      </c>
      <c r="E52" s="215">
        <f>IF(AND(ISNUMBER(E51),ISNUMBER(E49)),IFERROR(E51/E49,""),"")</f>
      </c>
      <c r="F52" s="215">
        <f>IF(AND(ISNUMBER(F51),ISNUMBER(F49)),IFERROR(F51/F49,""),"")</f>
      </c>
      <c r="G52" s="215">
        <f>IF(AND(ISNUMBER(G51),ISNUMBER(G49)),IFERROR(G51/G49,""),"")</f>
      </c>
      <c r="H52" s="215">
        <f>IF(AND(ISNUMBER(H51),ISNUMBER(H49)),IFERROR(H51/H49,""),"")</f>
      </c>
      <c r="I52" s="215">
        <f>IF(AND(ISNUMBER(I51),ISNUMBER(I49)),IFERROR(I51/I49,""),"")</f>
      </c>
      <c r="J52" s="215">
        <f>IF(AND(ISNUMBER(J51),ISNUMBER(J49)),IFERROR(J51/J49,""),"")</f>
      </c>
      <c r="K52" s="215">
        <f>IF(AND(ISNUMBER(K51),ISNUMBER(K49)),IFERROR(K51/K49,""),"")</f>
      </c>
      <c r="L52" s="215">
        <f>IF(AND(ISNUMBER(L51),ISNUMBER(L49)),IFERROR(L51/L49,""),"")</f>
      </c>
      <c r="M52" s="215">
        <f>IF(AND(ISNUMBER(M51),ISNUMBER(M49)),IFERROR(M51/M49,""),"")</f>
      </c>
      <c r="N52" s="215">
        <f>IF(AND(ISNUMBER(N51),ISNUMBER(N49)),IFERROR(N51/N49,""),"")</f>
      </c>
      <c r="O52" s="215">
        <f>IF(AND(ISNUMBER(O51),ISNUMBER(O49)),IFERROR(O51/O49,""),"")</f>
      </c>
      <c r="P52" s="215">
        <f>IF(AND(ISNUMBER(P51),ISNUMBER(P49)),IFERROR(P51/P49,""),"")</f>
      </c>
      <c r="Q52" s="215">
        <f>IF(AND(ISNUMBER(Q51),ISNUMBER(Q49)),IFERROR(Q51/Q49,""),"")</f>
      </c>
      <c r="R52" s="215">
        <f>IF(AND(ISNUMBER(R51),ISNUMBER(R49)),IFERROR(R51/R49,""),"")</f>
      </c>
      <c r="S52" s="215">
        <f>IF(AND(ISNUMBER(S51),ISNUMBER(S49)),IFERROR(S51/S49,""),"")</f>
      </c>
      <c r="T52" s="215">
        <f>IF(AND(ISNUMBER(T51),ISNUMBER(T49)),IFERROR(T51/T49,""),"")</f>
      </c>
      <c r="U52" s="215">
        <f>IF(AND(ISNUMBER(U51),ISNUMBER(U49)),IFERROR(U51/U49,""),"")</f>
      </c>
      <c r="V52" s="215">
        <f>IF(AND(ISNUMBER(V51),ISNUMBER(V49)),IFERROR(V51/V49,""),"")</f>
      </c>
      <c r="W52" s="215">
        <f>IF(AND(ISNUMBER(W51),ISNUMBER(W49)),IFERROR(W51/W49,""),"")</f>
      </c>
      <c r="X52" s="215">
        <f>IF(AND(ISNUMBER(X51),ISNUMBER(X49)),IFERROR(X51/X49,""),"")</f>
      </c>
      <c r="Y52" s="215">
        <f>IF(AND(ISNUMBER(Y51),ISNUMBER(Y49)),IFERROR(Y51/Y49,""),"")</f>
      </c>
      <c r="Z52" s="215">
        <f>IF(AND(ISNUMBER(Z51),ISNUMBER(Z49)),IFERROR(Z51/Z49,""),"")</f>
      </c>
      <c r="AA52" s="215">
        <f>IF(AND(ISNUMBER(AA51),ISNUMBER(AA49)),IFERROR(AA51/AA49,""),"")</f>
      </c>
      <c r="AB52" s="215">
        <f>IF(AND(ISNUMBER(AB51),ISNUMBER(AB49)),IFERROR(AB51/AB49,""),"")</f>
      </c>
      <c r="AC52" s="215">
        <f>IF(AND(ISNUMBER(AC51),ISNUMBER(AC49)),IFERROR(AC51/AC49,""),"")</f>
      </c>
      <c r="AD52" s="215">
        <f>IF(AND(ISNUMBER(AD51),ISNUMBER(AD49)),IFERROR(AD51/AD49,""),"")</f>
      </c>
      <c r="AE52" s="215">
        <f>IF(AND(ISNUMBER(AE51),ISNUMBER(AE49)),IFERROR(AE51/AE49,""),"")</f>
      </c>
      <c r="AF52" s="215">
        <f>IF(AND(ISNUMBER(AF51),ISNUMBER(AF49)),IFERROR(AF51/AF49,""),"")</f>
        <v>0.141816143497758</v>
      </c>
      <c r="AG52" s="215">
        <f>IF(AND(ISNUMBER(AG51),ISNUMBER(AG49)),IFERROR(AG51/AG49,""),"")</f>
        <v>0.154211447138215</v>
      </c>
      <c r="AH52" s="215">
        <f>IF(AND(ISNUMBER(AH51),ISNUMBER(AH49)),IFERROR(AH51/AH49,""),"")</f>
        <v>0.154108887219072</v>
      </c>
      <c r="AI52" s="215">
        <f>IF(AND(ISNUMBER(AI51),ISNUMBER(AI49)),IFERROR(AI51/AI49,""),"")</f>
        <v>0.163327415673345</v>
      </c>
      <c r="AJ52" s="215">
        <f>IF(AND(ISNUMBER(AJ51),ISNUMBER(AJ49)),IFERROR(AJ51/AJ49,""),"")</f>
        <v>0.147432762836186</v>
      </c>
      <c r="AK52" s="215">
        <f>IF(AND(ISNUMBER(AK51),ISNUMBER(AK49)),IFERROR(AK51/AK49,""),"")</f>
        <v>0.13273038376925</v>
      </c>
      <c r="AL52" s="215">
        <f>IF(AND(ISNUMBER(AL51),ISNUMBER(AL49)),IFERROR(AL51/AL49,""),"")</f>
        <v>0.14957090314671</v>
      </c>
      <c r="AM52" s="215">
        <f>IF(AND(ISNUMBER(AM51),ISNUMBER(AM49)),IFERROR(AM51/AM49,""),"")</f>
        <v>0.148196027735339</v>
      </c>
      <c r="AN52" s="215">
        <f>IF(AND(ISNUMBER(AN51),ISNUMBER(AN49)),IFERROR(AN51/AN49,""),"")</f>
        <v>0.141372591470015</v>
      </c>
      <c r="AO52" s="215">
        <f>IF(AND(ISNUMBER(AO51),ISNUMBER(AO49)),IFERROR(AO51/AO49,""),"")</f>
        <v>0.151221659696236</v>
      </c>
      <c r="AP52" s="215">
        <f>IF(AND(ISNUMBER(AP51),ISNUMBER(AP49)),IFERROR(AP51/AP49,""),"")</f>
        <v>0.144482610562473</v>
      </c>
      <c r="AQ52" s="215">
        <f>IF(AND(ISNUMBER(AQ51),ISNUMBER(AQ49)),IFERROR(AQ51/AQ49,""),"")</f>
        <v>0.147160068846816</v>
      </c>
      <c r="AR52" s="215">
        <f>IF(AND(ISNUMBER(AR51),ISNUMBER(AR49)),IFERROR(AR51/AR49,""),"")</f>
        <v>0.146036387264457</v>
      </c>
      <c r="AS52" s="215">
        <f>IF(AND(ISNUMBER(AS51),ISNUMBER(AS49)),IFERROR(AS51/AS49,""),"")</f>
        <v>0.152981849611063</v>
      </c>
      <c r="AT52" s="215">
        <f>IF(AND(ISNUMBER(AT51),ISNUMBER(AT49)),IFERROR(AT51/AT49,""),"")</f>
        <v>-0.192660550458716</v>
      </c>
      <c r="AU52" s="215">
        <f>IF(AND(ISNUMBER(AU51),ISNUMBER(AU49)),IFERROR(AU51/AU49,""),"")</f>
        <v>0.0733622089875474</v>
      </c>
      <c r="AV52" s="215">
        <f>IF(AND(ISNUMBER(AV51),ISNUMBER(AV49)),IFERROR(AV51/AV49,""),"")</f>
        <v>0.0383069916956871</v>
      </c>
      <c r="AW52" s="215">
        <f>IF(AND(ISNUMBER(AW51),ISNUMBER(AW49)),IFERROR(AW51/AW49,""),"")</f>
        <v>0.0289519397799653</v>
      </c>
      <c r="AX52" s="215">
        <f>IF(AND(ISNUMBER(AX51),ISNUMBER(AX49)),IFERROR(AX51/AX49,""),"")</f>
        <v>0.117631368364897</v>
      </c>
      <c r="AY52" s="215">
        <f>IF(AND(ISNUMBER(AY51),ISNUMBER(AY49)),IFERROR(AY51/AY49,""),"")</f>
        <v>0.130563068600934</v>
      </c>
      <c r="AZ52" s="215">
        <f>IF(AND(ISNUMBER(AZ51),ISNUMBER(AZ49)),IFERROR(AZ51/AZ49,""),"")</f>
        <v>0.15257048092869</v>
      </c>
      <c r="BA52" s="215">
        <f>IF(AND(ISNUMBER(BA51),ISNUMBER(BA49)),IFERROR(BA51/BA49,""),"")</f>
        <v>0.0934514099277558</v>
      </c>
      <c r="BB52" s="215">
        <f>IF(AND(ISNUMBER(BB51),ISNUMBER(BB49)),IFERROR(BB51/BB49,""),"")</f>
        <v>0.123530132288094</v>
      </c>
      <c r="BC52" s="215">
        <f>IF(AND(ISNUMBER(BC51),ISNUMBER(BC49)),IFERROR(BC51/BC49,""),"")</f>
        <v>0.146499768196569</v>
      </c>
      <c r="BD52" s="215">
        <f>IF(AND(ISNUMBER(BD51),ISNUMBER(BD49)),IFERROR(BD51/BD49,""),"")</f>
        <v>0.169381107491857</v>
      </c>
      <c r="BE52" s="215">
        <f>IF(AND(ISNUMBER(BE51),ISNUMBER(BE49)),IFERROR(BE51/BE49,""),"")</f>
        <v>0.165388086642599</v>
      </c>
      <c r="BF52" s="215">
        <f>IF(AND(ISNUMBER(BF51),ISNUMBER(BF49)),IFERROR(BF51/BF49,""),"")</f>
        <v>0.138821983796803</v>
      </c>
      <c r="BG52" s="215">
        <f>IF(AND(ISNUMBER(BG51),ISNUMBER(BG49)),IFERROR(BG51/BG49,""),"")</f>
        <v>0.154846402816422</v>
      </c>
      <c r="BH52" s="215">
        <f>IF(AND(ISNUMBER(BH51),ISNUMBER(BH49)),IFERROR(BH51/BH49,""),"")</f>
        <v>0.179449152542373</v>
      </c>
      <c r="BI52" s="215">
        <f>IF(AND(ISNUMBER(BI51),ISNUMBER(BI49)),IFERROR(BI51/BI49,""),"")</f>
        <v>0.180362410450906</v>
      </c>
      <c r="BJ52" s="215">
        <f>IF(AND(ISNUMBER(BJ51),ISNUMBER(BJ49)),IFERROR(BJ51/BJ49,""),"")</f>
        <v>0.162926018287614</v>
      </c>
      <c r="BK52" s="215">
        <f>IF(AND(ISNUMBER(BK51),ISNUMBER(BK49)),IFERROR(BK51/BK49,""),"")</f>
        <v>0.173644050319654</v>
      </c>
      <c r="BL52" s="215">
        <f>IF(AND(ISNUMBER(BL51),ISNUMBER(BL49)),IFERROR(BL51/BL49,""),"")</f>
        <v>0.174047158467088</v>
      </c>
      <c r="BM52" s="215">
        <f>IF(AND(ISNUMBER(BM51),ISNUMBER(BM49)),IFERROR(BM51/BM49,""),"")</f>
        <v>0.181565906838454</v>
      </c>
      <c r="BN52" s="215">
        <f>IF(AND(ISNUMBER(BN51),ISNUMBER(BN49)),IFERROR(BN51/BN49,""),"")</f>
        <v>0.177950501124974</v>
      </c>
      <c r="BO52" s="215">
        <f>IF(AND(ISNUMBER(BO51),ISNUMBER(BO49)),IFERROR(BO51/BO49,""),"")</f>
        <v>0.170169353193226</v>
      </c>
      <c r="BP52" s="215">
        <f>IF(AND(ISNUMBER(BP51),ISNUMBER(BP49)),IFERROR(BP51/BP49,""),"")</f>
        <v>0.194959953115843</v>
      </c>
      <c r="BQ52" s="215">
        <f>IF(AND(ISNUMBER(BQ51),ISNUMBER(BQ49)),IFERROR(BQ51/BQ49,""),"")</f>
        <v>0.181317029167084</v>
      </c>
      <c r="BR52" s="215">
        <f>IF(AND(ISNUMBER(BR51),ISNUMBER(BR49)),IFERROR(BR51/BR49,""),"")</f>
        <v>0.18625320955955</v>
      </c>
      <c r="BS52" s="215">
        <f>IF(AND(ISNUMBER(BS51),ISNUMBER(BS49)),IFERROR(BS51/BS49,""),"")</f>
        <v>0.198636621851922</v>
      </c>
      <c r="BT52" s="215">
        <f>IF(AND(ISNUMBER(BT51),ISNUMBER(BT49)),IFERROR(BT51/BT49,""),"")</f>
        <v>0.174674115456238</v>
      </c>
      <c r="BU52" s="215">
        <f>IF(AND(ISNUMBER(BU51),ISNUMBER(BU49)),IFERROR(BU51/BU49,""),"")</f>
        <v>2.02418890382031</v>
      </c>
      <c r="BV52" s="215">
        <f>IF(AND(ISNUMBER(BV51),ISNUMBER(BV49)),IFERROR(BV51/BV49,""),"")</f>
        <v>0.643980308751135</v>
      </c>
      <c r="BW52" s="215">
        <f>IF(AND(ISNUMBER(BW51),ISNUMBER(BW49)),IFERROR(BW51/BW49,""),"")</f>
        <v>0.180819366852886</v>
      </c>
      <c r="BX52" s="215">
        <f>IF(AND(ISNUMBER(BX51),ISNUMBER(BX49)),IFERROR(BX51/BX49,""),"")</f>
        <v>0.181137724550898</v>
      </c>
      <c r="BY52" s="260">
        <f>BY53+$BZ$97</f>
        <v>0.179043569239484</v>
      </c>
      <c r="BZ52" s="260">
        <f>BZ53+$BZ$97</f>
        <v>0.179043569239484</v>
      </c>
      <c r="CA52" s="260">
        <f>IF(AND(ISNUMBER(CA51),ISNUMBER(CA49)),IFERROR(CA51/CA49,""),"")</f>
        <v>0.18</v>
      </c>
      <c r="CB52" s="260">
        <f>CHOOSE(MATCH($CG$2,{"Bull","Base","Bear"},0),$CP$88,$CQ$88,$CR$88)</f>
        <v>0.18</v>
      </c>
      <c r="CC52" s="260">
        <f>CHOOSE(MATCH($CG$2,{"Bull","Base","Bear"},0),$CP$89,$CQ$89,$CR$89)</f>
        <v>0.18</v>
      </c>
      <c r="CD52" s="260">
        <f>CHOOSE(MATCH($CG$2,{"Bull","Base","Bear"},0),$CP$90,$CQ$90,$CR$90)</f>
        <v>0.18</v>
      </c>
      <c r="CE52" s="260">
        <f>CHOOSE(MATCH($CG$2,{"Bull","Base","Bear"},0),$CP$91,$CQ$91,$CR$91)</f>
        <v>0.18</v>
      </c>
      <c r="CF52" s="260">
        <f>CHOOSE(MATCH($CG$2,{"Bull","Base","Bear"},0),$CP$92,$CQ$92,$CR$92)</f>
        <v>0.18</v>
      </c>
      <c r="CG52" s="153" t="inlineStr">
        <is>
          <t>Q3/Q4-26E: 1H26 margin + calibration Δ (2026 BGS margin target). 2027E+: lever.</t>
        </is>
      </c>
      <c r="CI52" s="37">
        <f>IFERROR(AVERAGE(CB52,CC52,CD52,CE52,CF52),"n/m")</f>
        <v>0.18</v>
      </c>
      <c r="CJ52" s="37">
        <f>IFERROR(AVERAGE(BB52,BG52,BL52,BQ52,BV52),"n/m")</f>
        <v>0.255544206297965</v>
      </c>
      <c r="CK52" s="37">
        <f>IFERROR(AVERAGE(AC52,AH52,AM52,AR52,AW52,BB52,BG52,BL52,BQ52,BV52),"n/m")</f>
        <v>0.195001585943184</v>
      </c>
      <c r="CL52" s="37">
        <f>IFERROR(AVERAGE(C52,D52,E52,F52,G52,H52,I52,N52,S52,X52,AC52,AH52,AM52,AR52,AW52,BB52,BG52,BL52,BQ52,BV52),"n/m")</f>
        <v>0.195001585943184</v>
      </c>
      <c r="CO52" s="25" t="inlineStr">
        <is>
          <t xml:space="preserve">  2027E</t>
        </is>
      </c>
      <c r="CP52" s="51">
        <f>MAX(0,CQ52+$CP$51)</f>
        <v>25</v>
      </c>
      <c r="CQ52" s="26" t="n">
        <v>25</v>
      </c>
      <c r="CR52" s="51">
        <f>MAX(0,CQ52+$CR$51)</f>
        <v>25</v>
      </c>
    </row>
    <row r="53" ht="15" customHeight="1" s="251">
      <c r="B53" s="25" t="inlineStr">
        <is>
          <t xml:space="preserve">  Q3/Q4-26E margin before calibration (1H26 margin)</t>
        </is>
      </c>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6" t="n"/>
      <c r="AL53" s="36" t="n"/>
      <c r="AM53" s="36" t="n"/>
      <c r="AN53" s="36" t="n"/>
      <c r="AO53" s="36" t="n"/>
      <c r="AP53" s="36" t="n"/>
      <c r="AQ53" s="36" t="n"/>
      <c r="AR53" s="36" t="n"/>
      <c r="AS53" s="36" t="n"/>
      <c r="AT53" s="36" t="n"/>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c r="BP53" s="36" t="n"/>
      <c r="BQ53" s="36" t="n"/>
      <c r="BR53" s="36" t="n"/>
      <c r="BS53" s="36" t="n"/>
      <c r="BT53" s="36" t="n"/>
      <c r="BU53" s="36" t="n"/>
      <c r="BV53" s="36" t="n"/>
      <c r="BW53" s="36" t="n"/>
      <c r="BX53" s="36" t="n"/>
      <c r="BY53" s="260">
        <f>IFERROR(SUM(BW51:BX51)/SUM(BW49:BX49),0)</f>
        <v>0.180978159417584</v>
      </c>
      <c r="BZ53" s="260">
        <f>IFERROR(SUM(BW51:BX51)/SUM(BW49:BX49),0)</f>
        <v>0.180978159417584</v>
      </c>
      <c r="CA53" s="24" t="n"/>
      <c r="CB53" s="46" t="n"/>
      <c r="CC53" s="46" t="n"/>
      <c r="CD53" s="46" t="n"/>
      <c r="CE53" s="46" t="n"/>
      <c r="CF53" s="46" t="n"/>
      <c r="CG53" s="19" t="n"/>
      <c r="CO53" s="25" t="inlineStr">
        <is>
          <t xml:space="preserve">  2028E</t>
        </is>
      </c>
      <c r="CP53" s="51">
        <f>MAX(0,CQ53+$CP$51)</f>
        <v>5</v>
      </c>
      <c r="CQ53" s="26" t="n">
        <v>5</v>
      </c>
      <c r="CR53" s="51">
        <f>MAX(0,CQ53+$CR$51)</f>
        <v>5</v>
      </c>
    </row>
    <row r="54" collapsed="1" ht="15" customHeight="1" s="251">
      <c r="B54" s="25" t="inlineStr">
        <is>
          <t xml:space="preserve">  Incremental BGS margin</t>
        </is>
      </c>
      <c r="C54" s="36" t="n"/>
      <c r="D54" s="215">
        <f>IFERROR((D51-C51)/(D49-C49),"")</f>
      </c>
      <c r="E54" s="215">
        <f>IFERROR((E51-D51)/(E49-D49),"")</f>
      </c>
      <c r="F54" s="215">
        <f>IFERROR((F51-E51)/(F49-E49),"")</f>
      </c>
      <c r="G54" s="215">
        <f>IFERROR((G51-F51)/(G49-F49),"")</f>
      </c>
      <c r="H54" s="215">
        <f>IFERROR((H51-G51)/(H49-G49),"")</f>
      </c>
      <c r="I54" s="215">
        <f>IFERROR((I51-H51)/(I49-H49),"")</f>
      </c>
      <c r="J54" s="36" t="n"/>
      <c r="K54" s="36" t="n"/>
      <c r="L54" s="36" t="n"/>
      <c r="M54" s="36" t="n"/>
      <c r="N54" s="215">
        <f>IFERROR((N51-I51)/(N49-I49),"")</f>
      </c>
      <c r="O54" s="215">
        <f>IFERROR((O51-J51)/(O49-J49),"")</f>
      </c>
      <c r="P54" s="215">
        <f>IFERROR((P51-K51)/(P49-K49),"")</f>
      </c>
      <c r="Q54" s="215">
        <f>IFERROR((Q51-L51)/(Q49-L49),"")</f>
      </c>
      <c r="R54" s="215">
        <f>IFERROR((R51-M51)/(R49-M49),"")</f>
      </c>
      <c r="S54" s="215">
        <f>IFERROR((S51-N51)/(S49-N49),"")</f>
      </c>
      <c r="T54" s="215">
        <f>IFERROR((T51-O51)/(T49-O49),"")</f>
      </c>
      <c r="U54" s="215">
        <f>IFERROR((U51-P51)/(U49-P49),"")</f>
      </c>
      <c r="V54" s="215">
        <f>IFERROR((V51-Q51)/(V49-Q49),"")</f>
      </c>
      <c r="W54" s="215">
        <f>IFERROR((W51-R51)/(W49-R49),"")</f>
      </c>
      <c r="X54" s="215">
        <f>IFERROR((X51-S51)/(X49-S49),"")</f>
      </c>
      <c r="Y54" s="215">
        <f>IFERROR((Y51-T51)/(Y49-T49),"")</f>
      </c>
      <c r="Z54" s="215">
        <f>IFERROR((Z51-U51)/(Z49-U49),"")</f>
      </c>
      <c r="AA54" s="215">
        <f>IFERROR((AA51-V51)/(AA49-V49),"")</f>
      </c>
      <c r="AB54" s="215">
        <f>IFERROR((AB51-W51)/(AB49-W49),"")</f>
      </c>
      <c r="AC54" s="215">
        <f>IFERROR((AC51-X51)/(AC49-X49),"")</f>
      </c>
      <c r="AD54" s="215">
        <f>IFERROR((AD51-Y51)/(AD49-Y49),"")</f>
      </c>
      <c r="AE54" s="215">
        <f>IFERROR((AE51-Z51)/(AE49-Z49),"")</f>
      </c>
      <c r="AF54" s="215">
        <f>IFERROR((AF51-AA51)/(AF49-AA49),"")</f>
        <v>0.141816143497758</v>
      </c>
      <c r="AG54" s="215">
        <f>IFERROR((AG51-AB51)/(AG49-AB49),"")</f>
        <v>0.154211447138215</v>
      </c>
      <c r="AH54" s="215">
        <f>IFERROR((AH51-AC51)/(AH49-AC49),"")</f>
        <v>0.154108887219072</v>
      </c>
      <c r="AI54" s="215">
        <f>IFERROR((AI51-AD51)/(AI49-AD49),"")</f>
        <v>0.163327415673345</v>
      </c>
      <c r="AJ54" s="215">
        <f>IFERROR((AJ51-AE51)/(AJ49-AE49),"")</f>
        <v>0.147432762836186</v>
      </c>
      <c r="AK54" s="215">
        <f>IFERROR((AK51-AF51)/(AK49-AF49),"")</f>
        <v>0.0707456978967495</v>
      </c>
      <c r="AL54" s="215">
        <f>IFERROR((AL51-AG51)/(AL49-AG49),"")</f>
        <v>0.128779395296753</v>
      </c>
      <c r="AM54" s="215">
        <f>IFERROR((AM51-AH51)/(AM49-AH49),"")</f>
        <v>0.111811685582177</v>
      </c>
      <c r="AN54" s="215">
        <f>IFERROR((AN51-AI51)/(AN49-AI49),"")</f>
        <v>0.0133136094674556</v>
      </c>
      <c r="AO54" s="215">
        <f>IFERROR((AO51-AJ51)/(AO49-AJ49),"")</f>
        <v>0.185430463576159</v>
      </c>
      <c r="AP54" s="215">
        <f>IFERROR((AP51-AK51)/(AP49-AK49),"")</f>
        <v>0.229276895943563</v>
      </c>
      <c r="AQ54" s="215">
        <f>IFERROR((AQ51-AL51)/(AQ49-AL49),"")</f>
        <v>0.195121951219512</v>
      </c>
      <c r="AR54" s="215">
        <f>IFERROR((AR51-AM51)/(AR49-AM49),"")</f>
        <v>0.120689655172414</v>
      </c>
      <c r="AS54" s="215">
        <f>IFERROR((AS51-AN51)/(AS49-AN49),"")</f>
        <v>6.11111111111111</v>
      </c>
      <c r="AT54" s="215">
        <f>IFERROR((AT51-AO51)/(AT49-AO49),"")</f>
        <v>1.28815165876777</v>
      </c>
      <c r="AU54" s="215">
        <f>IFERROR((AU51-AP51)/(AU49-AP49),"")</f>
        <v>0.41701244813278</v>
      </c>
      <c r="AV54" s="215">
        <f>IFERROR((AV51-AQ51)/(AV49-AQ49),"")</f>
        <v>0.591256830601093</v>
      </c>
      <c r="AW54" s="215">
        <f>IFERROR((AW51-AR51)/(AW49-AR49),"")</f>
        <v>0.768205128205128</v>
      </c>
      <c r="AX54" s="215">
        <f>IFERROR((AX51-AS51)/(AX49-AS49),"")</f>
        <v>0.303754266211604</v>
      </c>
      <c r="AY54" s="215">
        <f>IFERROR((AY51-AT51)/(AY49-AT49),"")</f>
        <v>2.07772020725389</v>
      </c>
      <c r="AZ54" s="215">
        <f>IFERROR((AZ51-AU51)/(AZ49-AU49),"")</f>
        <v>0.707779886148008</v>
      </c>
      <c r="BA54" s="215">
        <f>IFERROR((BA51-AV51)/(BA49-AV49),"")</f>
        <v>0.462365591397849</v>
      </c>
      <c r="BB54" s="215">
        <f>IFERROR((BB51-AW51)/(BB49-AW49),"")</f>
        <v>1.99617834394904</v>
      </c>
      <c r="BC54" s="215">
        <f>IFERROR((BC51-AX51)/(BC49-AX49),"")</f>
        <v>0.338053097345133</v>
      </c>
      <c r="BD54" s="215">
        <f>IFERROR((BD51-AY51)/(BD49-AY49),"")</f>
        <v>0.852813852813853</v>
      </c>
      <c r="BE54" s="215">
        <f>IFERROR((BE51-AZ51)/(BE49-AZ49),"")</f>
        <v>0.421800947867299</v>
      </c>
      <c r="BF54" s="215">
        <f>IFERROR((BF51-BA51)/(BF49-BA49),"")</f>
        <v>0.844202898550725</v>
      </c>
      <c r="BG54" s="215">
        <f>IFERROR((BG51-BB51)/(BG49-BB49),"")</f>
        <v>0.553390491036633</v>
      </c>
      <c r="BH54" s="215">
        <f>IFERROR((BH51-BC51)/(BH49-BC49),"")</f>
        <v>0.529556650246305</v>
      </c>
      <c r="BI54" s="215">
        <f>IFERROR((BI51-BD51)/(BI49-BD49),"")</f>
        <v>0.285714285714286</v>
      </c>
      <c r="BJ54" s="215">
        <f>IFERROR((BJ51-BE51)/(BJ49-BE49),"")</f>
        <v>0.134210526315789</v>
      </c>
      <c r="BK54" s="215">
        <f>IFERROR((BK51-BF51)/(BK49-BF49),"")</f>
        <v>0.73758865248227</v>
      </c>
      <c r="BL54" s="215">
        <f>IFERROR((BL51-BG51)/(BL49-BG49),"")</f>
        <v>0.397097625329815</v>
      </c>
      <c r="BM54" s="215">
        <f>IFERROR((BM51-BH51)/(BM49-BH49),"")</f>
        <v>0.212307692307692</v>
      </c>
      <c r="BN54" s="215">
        <f>IFERROR((BN51-BI51)/(BN49-BI49),"")</f>
        <v>0.0979020979020979</v>
      </c>
      <c r="BO54" s="215">
        <f>IFERROR((BO51-BJ51)/(BO49-BJ49),"")</f>
        <v>0.561797752808989</v>
      </c>
      <c r="BP54" s="215">
        <f>IFERROR((BP51-BK51)/(BP49-BK49),"")</f>
        <v>0.577777777777778</v>
      </c>
      <c r="BQ54" s="215">
        <f>IFERROR((BQ51-BL51)/(BQ49-BL49),"")</f>
        <v>0.349455864570738</v>
      </c>
      <c r="BR54" s="215">
        <f>IFERROR((BR51-BM51)/(BR49-BM49),"")</f>
        <v>1.5</v>
      </c>
      <c r="BS54" s="215">
        <f>IFERROR((BS51-BN51)/(BS49-BN49),"")</f>
        <v>0.456632653061224</v>
      </c>
      <c r="BT54" s="215">
        <f>IFERROR((BT51-BO51)/(BT49-BO49),"")</f>
        <v>0.221748400852878</v>
      </c>
      <c r="BU54" s="215">
        <f>IFERROR((BU51-BP51)/(BU49-BP49),"")</f>
        <v>106.066666666667</v>
      </c>
      <c r="BV54" s="215">
        <f>IFERROR((BV51-BQ51)/(BV49-BQ49),"")</f>
        <v>10.171310629515</v>
      </c>
      <c r="BW54" s="215">
        <f>IFERROR((BW51-BR51)/(BW49-BR49),"")</f>
        <v>0.0912052117263844</v>
      </c>
      <c r="BX54" s="215">
        <f>IFERROR((BX51-BS51)/(BX49-BS49),"")</f>
        <v>-1.28571428571429</v>
      </c>
      <c r="BY54" s="260">
        <f>IFERROR((BY51-BT51)/(BY49-BT49),"")</f>
        <v>0.301199325817587</v>
      </c>
      <c r="BZ54" s="260">
        <f>IFERROR((BZ51-BU51)/(BZ49-BU49),"")</f>
        <v>-51.4052357305013</v>
      </c>
      <c r="CA54" s="260">
        <f>IFERROR((CA51-BV51)/(CA49-BV49),"")</f>
        <v>-12.7913846316804</v>
      </c>
      <c r="CB54" s="260">
        <f>IFERROR((CB51-CA51)/(CB49-CA49),"")</f>
        <v>0.18</v>
      </c>
      <c r="CC54" s="260">
        <f>IFERROR((CC51-CB51)/(CC49-CB49),"")</f>
        <v>0.18</v>
      </c>
      <c r="CD54" s="260">
        <f>IFERROR((CD51-CC51)/(CD49-CC49),"")</f>
        <v>0.18</v>
      </c>
      <c r="CE54" s="260">
        <f>IFERROR((CE51-CD51)/(CE49-CD49),"")</f>
        <v>0.18</v>
      </c>
      <c r="CF54" s="260">
        <f>IFERROR((CF51-CE51)/(CF49-CE49),"")</f>
        <v>0.18</v>
      </c>
      <c r="CG54" s="153" t="n"/>
      <c r="CO54" s="25" t="inlineStr">
        <is>
          <t xml:space="preserve">  2029E</t>
        </is>
      </c>
      <c r="CP54" s="51">
        <f>MAX(0,CQ54+$CP$51)</f>
        <v>0</v>
      </c>
      <c r="CQ54" s="26" t="n">
        <v>0</v>
      </c>
      <c r="CR54" s="51">
        <f>MAX(0,CQ54+$CR$51)</f>
        <v>0</v>
      </c>
    </row>
    <row r="55" ht="15" customHeight="1" s="251">
      <c r="B55" s="156" t="inlineStr">
        <is>
          <t xml:space="preserve">  Memo: BGS backlog at period end ($m)</t>
        </is>
      </c>
      <c r="C55" s="34" t="n"/>
      <c r="D55" s="34" t="n"/>
      <c r="E55" s="34" t="n"/>
      <c r="F55" s="34" t="n"/>
      <c r="G55" s="34" t="n"/>
      <c r="H55" s="34" t="n"/>
      <c r="I55" s="34" t="n"/>
      <c r="J55" s="34" t="n"/>
      <c r="K55" s="34" t="n"/>
      <c r="L55" s="34" t="n"/>
      <c r="M55" s="34" t="n"/>
      <c r="N55" s="34" t="n"/>
      <c r="O55" s="34" t="n"/>
      <c r="P55" s="34" t="n"/>
      <c r="Q55" s="34" t="n"/>
      <c r="R55" s="34" t="n"/>
      <c r="S55" s="34" t="n"/>
      <c r="T55" s="34" t="n"/>
      <c r="U55" s="34" t="n"/>
      <c r="V55" s="34" t="n"/>
      <c r="W55" s="34" t="n"/>
      <c r="X55" s="34" t="n"/>
      <c r="Y55" s="34" t="n"/>
      <c r="Z55" s="34" t="n"/>
      <c r="AA55" s="34" t="n"/>
      <c r="AB55" s="34" t="n"/>
      <c r="AC55" s="34" t="n"/>
      <c r="AD55" s="34" t="n"/>
      <c r="AE55" s="34" t="n"/>
      <c r="AF55" s="253" t="n">
        <v>16251</v>
      </c>
      <c r="AG55" s="253" t="n">
        <v>17223</v>
      </c>
      <c r="AH55" s="253" t="n">
        <v>17223</v>
      </c>
      <c r="AI55" s="253" t="n">
        <v>20464</v>
      </c>
      <c r="AJ55" s="34" t="n"/>
      <c r="AK55" s="34" t="n"/>
      <c r="AL55" s="34" t="n"/>
      <c r="AM55" s="34" t="n"/>
      <c r="AN55" s="34" t="n"/>
      <c r="AO55" s="34" t="n"/>
      <c r="AP55" s="34" t="n"/>
      <c r="AQ55" s="34" t="n"/>
      <c r="AR55" s="34" t="n"/>
      <c r="AS55" s="34" t="n"/>
      <c r="AT55" s="34" t="n"/>
      <c r="AU55" s="253" t="n">
        <v>17464</v>
      </c>
      <c r="AV55" s="253" t="n">
        <v>20632</v>
      </c>
      <c r="AW55" s="253" t="n">
        <v>20632</v>
      </c>
      <c r="AX55" s="253" t="n">
        <v>19614</v>
      </c>
      <c r="AY55" s="253" t="n">
        <v>19029</v>
      </c>
      <c r="AZ55" s="253" t="n">
        <v>18781</v>
      </c>
      <c r="BA55" s="253" t="n">
        <v>20496</v>
      </c>
      <c r="BB55" s="253" t="n">
        <v>20496</v>
      </c>
      <c r="BC55" s="253" t="n">
        <v>19822</v>
      </c>
      <c r="BD55" s="253" t="n">
        <v>18960</v>
      </c>
      <c r="BE55" s="253" t="n">
        <v>19072</v>
      </c>
      <c r="BF55" s="253" t="n">
        <v>19338</v>
      </c>
      <c r="BG55" s="253" t="n">
        <v>19338</v>
      </c>
      <c r="BH55" s="253" t="n">
        <v>18835</v>
      </c>
      <c r="BI55" s="253" t="n">
        <v>18455</v>
      </c>
      <c r="BJ55" s="253" t="n">
        <v>18441</v>
      </c>
      <c r="BK55" s="253" t="n">
        <v>19869</v>
      </c>
      <c r="BL55" s="253" t="n">
        <v>19869</v>
      </c>
      <c r="BM55" s="253" t="n">
        <v>19693</v>
      </c>
      <c r="BN55" s="253" t="n">
        <v>19487</v>
      </c>
      <c r="BO55" s="253" t="n">
        <v>20449</v>
      </c>
      <c r="BP55" s="253" t="n">
        <v>21403</v>
      </c>
      <c r="BQ55" s="253" t="n">
        <v>21403</v>
      </c>
      <c r="BR55" s="253" t="n">
        <v>22036</v>
      </c>
      <c r="BS55" s="253" t="n">
        <v>21939</v>
      </c>
      <c r="BT55" s="253" t="n">
        <v>24634</v>
      </c>
      <c r="BU55" s="253" t="n">
        <v>29720</v>
      </c>
      <c r="BV55" s="253" t="n">
        <v>29720</v>
      </c>
      <c r="BW55" s="253" t="n">
        <v>32957</v>
      </c>
      <c r="BX55" s="253" t="n">
        <v>32840</v>
      </c>
      <c r="BY55" s="153" t="n"/>
      <c r="BZ55" s="153" t="n"/>
      <c r="CA55" s="153" t="n"/>
      <c r="CB55" s="153" t="n"/>
      <c r="CC55" s="153" t="n"/>
      <c r="CD55" s="153" t="n"/>
      <c r="CE55" s="153" t="n"/>
      <c r="CF55" s="153" t="n"/>
      <c r="CG55" s="153" t="n"/>
      <c r="CO55" s="25" t="inlineStr">
        <is>
          <t xml:space="preserve">  2030E</t>
        </is>
      </c>
      <c r="CP55" s="51">
        <f>MAX(0,CQ55+$CP$51)</f>
        <v>0</v>
      </c>
      <c r="CQ55" s="26" t="n">
        <v>0</v>
      </c>
      <c r="CR55" s="51">
        <f>MAX(0,CQ55+$CR$51)</f>
        <v>0</v>
      </c>
    </row>
    <row r="56" ht="15" customHeight="1" s="251">
      <c r="CO56" s="25" t="inlineStr">
        <is>
          <t xml:space="preserve">  2031E</t>
        </is>
      </c>
      <c r="CP56" s="51">
        <f>MAX(0,CQ56+$CP$51)</f>
        <v>0</v>
      </c>
      <c r="CQ56" s="26" t="n">
        <v>0</v>
      </c>
      <c r="CR56" s="51">
        <f>MAX(0,CQ56+$CR$51)</f>
        <v>0</v>
      </c>
    </row>
    <row r="57" ht="15" customHeight="1" s="251">
      <c r="B57" s="14" t="inlineStr">
        <is>
          <t>Boeing Capital, Other segment, unallocated items and the pension line</t>
        </is>
      </c>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c r="BR57" s="14" t="n"/>
      <c r="BS57" s="14" t="n"/>
      <c r="BT57" s="14" t="n"/>
      <c r="BU57" s="14" t="n"/>
      <c r="BV57" s="14" t="n"/>
      <c r="BW57" s="14" t="n"/>
      <c r="BX57" s="14" t="n"/>
      <c r="BY57" s="14" t="n"/>
      <c r="BZ57" s="14" t="n"/>
      <c r="CA57" s="14" t="n"/>
      <c r="CB57" s="14" t="n"/>
      <c r="CC57" s="14" t="n"/>
      <c r="CD57" s="14" t="n"/>
      <c r="CE57" s="14" t="n"/>
      <c r="CF57" s="14" t="n"/>
      <c r="CG57" s="15" t="inlineStr">
        <is>
          <t>BCC / OTHER / UNALLOCATED — history as reported; forecast: unallocated (core basis) and FAS/CAS as inputs</t>
        </is>
      </c>
      <c r="CO57" s="15" t="inlineStr">
        <is>
          <t>BCA_RPD (BCA revenue per delivery y/y)</t>
        </is>
      </c>
      <c r="CP57" s="41" t="n">
        <v>0.01</v>
      </c>
      <c r="CQ57" s="21" t="inlineStr">
        <is>
          <t>Δ →</t>
        </is>
      </c>
      <c r="CR57" s="41" t="n">
        <v>-0.01</v>
      </c>
      <c r="CS57" s="13" t="inlineStr">
        <is>
          <t>Price escalation ~2–3% + widebody / 777X mix; 1H26 $66.7m per delivery (2025 $69.2m; 2018 $75.3m).</t>
        </is>
      </c>
    </row>
    <row r="58" ht="15" customHeight="1" s="251">
      <c r="B58" s="25" t="inlineStr">
        <is>
          <t xml:space="preserve">  Boeing Capital (BCC) revenues (separate segment to 2022; in unallocated from 2023)</t>
        </is>
      </c>
      <c r="C58" s="266" t="n">
        <v>1025</v>
      </c>
      <c r="D58" s="266" t="n">
        <v>815</v>
      </c>
      <c r="E58" s="266" t="n">
        <v>703</v>
      </c>
      <c r="F58" s="266" t="n">
        <v>660</v>
      </c>
      <c r="G58" s="266" t="n">
        <v>639</v>
      </c>
      <c r="H58" s="266" t="n">
        <v>532</v>
      </c>
      <c r="I58" s="266" t="n">
        <v>441</v>
      </c>
      <c r="J58" s="266" t="n">
        <v>105</v>
      </c>
      <c r="K58" s="266" t="n">
        <v>104</v>
      </c>
      <c r="L58" s="266" t="n">
        <v>94</v>
      </c>
      <c r="M58" s="266" t="n">
        <v>105</v>
      </c>
      <c r="N58" s="266" t="n">
        <v>408</v>
      </c>
      <c r="O58" s="266" t="n">
        <v>82</v>
      </c>
      <c r="P58" s="266" t="n">
        <v>90</v>
      </c>
      <c r="Q58" s="266" t="n">
        <v>91</v>
      </c>
      <c r="R58" s="266" t="n">
        <v>153</v>
      </c>
      <c r="S58" s="266" t="n">
        <v>416</v>
      </c>
      <c r="T58" s="266" t="n">
        <v>86</v>
      </c>
      <c r="U58" s="266" t="n">
        <v>115</v>
      </c>
      <c r="V58" s="266" t="n">
        <v>114</v>
      </c>
      <c r="W58" s="266" t="n">
        <v>98</v>
      </c>
      <c r="X58" s="266" t="n">
        <v>413</v>
      </c>
      <c r="Y58" s="266" t="n">
        <v>64</v>
      </c>
      <c r="Z58" s="266" t="n">
        <v>84</v>
      </c>
      <c r="AA58" s="266" t="n">
        <v>63</v>
      </c>
      <c r="AB58" s="266" t="n">
        <v>87</v>
      </c>
      <c r="AC58" s="266" t="n">
        <v>298</v>
      </c>
      <c r="AD58" s="266" t="n">
        <v>92</v>
      </c>
      <c r="AE58" s="266" t="n">
        <v>72</v>
      </c>
      <c r="AF58" s="266" t="n">
        <v>70</v>
      </c>
      <c r="AG58" s="266" t="n">
        <v>73</v>
      </c>
      <c r="AH58" s="266" t="n">
        <v>307</v>
      </c>
      <c r="AI58" s="266" t="n">
        <v>65</v>
      </c>
      <c r="AJ58" s="266" t="n">
        <v>72</v>
      </c>
      <c r="AK58" s="266" t="n">
        <v>77</v>
      </c>
      <c r="AL58" s="266" t="n">
        <v>60</v>
      </c>
      <c r="AM58" s="266" t="n">
        <v>274</v>
      </c>
      <c r="AN58" s="266" t="n">
        <v>66</v>
      </c>
      <c r="AO58" s="266" t="n">
        <v>75</v>
      </c>
      <c r="AP58" s="266" t="n">
        <v>66</v>
      </c>
      <c r="AQ58" s="266" t="n">
        <v>37</v>
      </c>
      <c r="AR58" s="266" t="n">
        <v>244</v>
      </c>
      <c r="AS58" s="266" t="n">
        <v>65</v>
      </c>
      <c r="AT58" s="266" t="n">
        <v>69</v>
      </c>
      <c r="AU58" s="266" t="n">
        <v>71</v>
      </c>
      <c r="AV58" s="266" t="n">
        <v>56</v>
      </c>
      <c r="AW58" s="266" t="n">
        <v>261</v>
      </c>
      <c r="AX58" s="266" t="n">
        <v>60</v>
      </c>
      <c r="AY58" s="266" t="n">
        <v>78</v>
      </c>
      <c r="AZ58" s="266" t="n">
        <v>71</v>
      </c>
      <c r="BA58" s="266" t="n">
        <v>63</v>
      </c>
      <c r="BB58" s="266" t="n">
        <v>272</v>
      </c>
      <c r="BC58" s="266" t="n">
        <v>46</v>
      </c>
      <c r="BD58" s="266" t="n">
        <v>52</v>
      </c>
      <c r="BE58" s="266" t="n">
        <v>52</v>
      </c>
      <c r="BF58" s="266" t="n">
        <v>49</v>
      </c>
      <c r="BG58" s="266" t="n">
        <v>199</v>
      </c>
      <c r="BH58" s="266" t="n">
        <v>0</v>
      </c>
      <c r="BI58" s="266" t="n">
        <v>0</v>
      </c>
      <c r="BJ58" s="266" t="n">
        <v>0</v>
      </c>
      <c r="BK58" s="266" t="n">
        <v>0</v>
      </c>
      <c r="BL58" s="266" t="n">
        <v>0</v>
      </c>
      <c r="BM58" s="266" t="n">
        <v>0</v>
      </c>
      <c r="BN58" s="266" t="n">
        <v>0</v>
      </c>
      <c r="BO58" s="266" t="n">
        <v>0</v>
      </c>
      <c r="BP58" s="266" t="n">
        <v>0</v>
      </c>
      <c r="BQ58" s="266" t="n">
        <v>0</v>
      </c>
      <c r="BR58" s="266" t="n">
        <v>0</v>
      </c>
      <c r="BS58" s="266" t="n">
        <v>0</v>
      </c>
      <c r="BT58" s="266" t="n">
        <v>0</v>
      </c>
      <c r="BU58" s="266" t="n">
        <v>0</v>
      </c>
      <c r="BV58" s="266" t="n">
        <v>0</v>
      </c>
      <c r="BW58" s="266" t="n">
        <v>0</v>
      </c>
      <c r="BX58" s="266" t="n">
        <v>0</v>
      </c>
      <c r="BY58" s="263">
        <f>0</f>
        <v>0</v>
      </c>
      <c r="BZ58" s="263">
        <f>0</f>
        <v>0</v>
      </c>
      <c r="CA58" s="263">
        <f>SUM(BW58:BZ58)</f>
        <v>0</v>
      </c>
      <c r="CB58" s="263">
        <f>0</f>
        <v>0</v>
      </c>
      <c r="CC58" s="263">
        <f>0</f>
        <v>0</v>
      </c>
      <c r="CD58" s="263">
        <f>0</f>
        <v>0</v>
      </c>
      <c r="CE58" s="263">
        <f>0</f>
        <v>0</v>
      </c>
      <c r="CF58" s="263">
        <f>0</f>
        <v>0</v>
      </c>
      <c r="CG58" s="19" t="n"/>
      <c r="CO58" s="25" t="inlineStr">
        <is>
          <t xml:space="preserve">  2027E</t>
        </is>
      </c>
      <c r="CP58" s="33">
        <f>CQ58+$CP$57</f>
        <v>0.05</v>
      </c>
      <c r="CQ58" s="42" t="n">
        <v>0.04</v>
      </c>
      <c r="CR58" s="33">
        <f>CQ58+$CR$57</f>
        <v>0.03</v>
      </c>
    </row>
    <row r="59" ht="15" customHeight="1" s="251">
      <c r="B59" s="25" t="inlineStr">
        <is>
          <t xml:space="preserve">  BCC earnings from operations</t>
        </is>
      </c>
      <c r="C59" s="266" t="n">
        <v>291</v>
      </c>
      <c r="D59" s="266" t="n">
        <v>234</v>
      </c>
      <c r="E59" s="266" t="n">
        <v>169</v>
      </c>
      <c r="F59" s="266" t="n">
        <v>126</v>
      </c>
      <c r="G59" s="266" t="n">
        <v>152</v>
      </c>
      <c r="H59" s="266" t="n">
        <v>125</v>
      </c>
      <c r="I59" s="266" t="n">
        <v>82</v>
      </c>
      <c r="J59" s="266" t="n">
        <v>44</v>
      </c>
      <c r="K59" s="266" t="n">
        <v>19</v>
      </c>
      <c r="L59" s="266" t="n">
        <v>35</v>
      </c>
      <c r="M59" s="266" t="n">
        <v>9</v>
      </c>
      <c r="N59" s="266" t="n">
        <v>107</v>
      </c>
      <c r="O59" s="266" t="n">
        <v>44</v>
      </c>
      <c r="P59" s="266" t="n">
        <v>33</v>
      </c>
      <c r="Q59" s="266" t="n">
        <v>-11</v>
      </c>
      <c r="R59" s="266" t="n">
        <v>26</v>
      </c>
      <c r="S59" s="266" t="n">
        <v>92</v>
      </c>
      <c r="T59" s="266" t="n">
        <v>20</v>
      </c>
      <c r="U59" s="266" t="n">
        <v>11</v>
      </c>
      <c r="V59" s="266" t="n">
        <v>10</v>
      </c>
      <c r="W59" s="266" t="n">
        <v>9</v>
      </c>
      <c r="X59" s="266" t="n">
        <v>50</v>
      </c>
      <c r="Y59" s="266" t="n">
        <v>5</v>
      </c>
      <c r="Z59" s="266" t="n">
        <v>18</v>
      </c>
      <c r="AA59" s="266" t="n">
        <v>13</v>
      </c>
      <c r="AB59" s="266" t="n">
        <v>23</v>
      </c>
      <c r="AC59" s="266" t="n">
        <v>59</v>
      </c>
      <c r="AD59" s="266" t="n">
        <v>39</v>
      </c>
      <c r="AE59" s="266" t="n">
        <v>25</v>
      </c>
      <c r="AF59" s="266" t="n">
        <v>23</v>
      </c>
      <c r="AG59" s="266" t="n">
        <v>27</v>
      </c>
      <c r="AH59" s="266" t="n">
        <v>114</v>
      </c>
      <c r="AI59" s="266" t="n">
        <v>20</v>
      </c>
      <c r="AJ59" s="266" t="n">
        <v>24</v>
      </c>
      <c r="AK59" s="266" t="n">
        <v>27</v>
      </c>
      <c r="AL59" s="266" t="n">
        <v>8</v>
      </c>
      <c r="AM59" s="266" t="n">
        <v>79</v>
      </c>
      <c r="AN59" s="266" t="n">
        <v>20</v>
      </c>
      <c r="AO59" s="266" t="n">
        <v>37</v>
      </c>
      <c r="AP59" s="266" t="n">
        <v>29</v>
      </c>
      <c r="AQ59" s="266" t="n">
        <v>-58</v>
      </c>
      <c r="AR59" s="266" t="n">
        <v>28</v>
      </c>
      <c r="AS59" s="266" t="n">
        <v>24</v>
      </c>
      <c r="AT59" s="266" t="n">
        <v>-7</v>
      </c>
      <c r="AU59" s="266" t="n">
        <v>30</v>
      </c>
      <c r="AV59" s="266" t="n">
        <v>16</v>
      </c>
      <c r="AW59" s="266" t="n">
        <v>63</v>
      </c>
      <c r="AX59" s="266" t="n">
        <v>21</v>
      </c>
      <c r="AY59" s="266" t="n">
        <v>36</v>
      </c>
      <c r="AZ59" s="266" t="n">
        <v>42</v>
      </c>
      <c r="BA59" s="266" t="n">
        <v>7</v>
      </c>
      <c r="BB59" s="266" t="n">
        <v>106</v>
      </c>
      <c r="BC59" s="266" t="n">
        <v>-36</v>
      </c>
      <c r="BD59" s="266" t="n">
        <v>27</v>
      </c>
      <c r="BE59" s="266" t="n">
        <v>23</v>
      </c>
      <c r="BF59" s="266" t="n">
        <v>15</v>
      </c>
      <c r="BG59" s="266" t="n">
        <v>29</v>
      </c>
      <c r="BH59" s="266" t="n">
        <v>0</v>
      </c>
      <c r="BI59" s="266" t="n">
        <v>0</v>
      </c>
      <c r="BJ59" s="266" t="n">
        <v>0</v>
      </c>
      <c r="BK59" s="266" t="n">
        <v>0</v>
      </c>
      <c r="BL59" s="266" t="n">
        <v>0</v>
      </c>
      <c r="BM59" s="266" t="n">
        <v>0</v>
      </c>
      <c r="BN59" s="266" t="n">
        <v>0</v>
      </c>
      <c r="BO59" s="266" t="n">
        <v>0</v>
      </c>
      <c r="BP59" s="266" t="n">
        <v>0</v>
      </c>
      <c r="BQ59" s="266" t="n">
        <v>0</v>
      </c>
      <c r="BR59" s="266" t="n">
        <v>0</v>
      </c>
      <c r="BS59" s="266" t="n">
        <v>0</v>
      </c>
      <c r="BT59" s="266" t="n">
        <v>0</v>
      </c>
      <c r="BU59" s="266" t="n">
        <v>0</v>
      </c>
      <c r="BV59" s="266" t="n">
        <v>0</v>
      </c>
      <c r="BW59" s="266" t="n">
        <v>0</v>
      </c>
      <c r="BX59" s="266" t="n">
        <v>0</v>
      </c>
      <c r="BY59" s="263">
        <f>0</f>
        <v>0</v>
      </c>
      <c r="BZ59" s="263">
        <f>0</f>
        <v>0</v>
      </c>
      <c r="CA59" s="263">
        <f>SUM(BW59:BZ59)</f>
        <v>0</v>
      </c>
      <c r="CB59" s="263">
        <f>0</f>
        <v>0</v>
      </c>
      <c r="CC59" s="263">
        <f>0</f>
        <v>0</v>
      </c>
      <c r="CD59" s="263">
        <f>0</f>
        <v>0</v>
      </c>
      <c r="CE59" s="263">
        <f>0</f>
        <v>0</v>
      </c>
      <c r="CF59" s="263">
        <f>0</f>
        <v>0</v>
      </c>
      <c r="CG59" s="19" t="n"/>
      <c r="CO59" s="25" t="inlineStr">
        <is>
          <t xml:space="preserve">  2028E</t>
        </is>
      </c>
      <c r="CP59" s="33">
        <f>CQ59+$CP$57</f>
        <v>0.04</v>
      </c>
      <c r="CQ59" s="42" t="n">
        <v>0.03</v>
      </c>
      <c r="CR59" s="33">
        <f>CQ59+$CR$57</f>
        <v>0.02</v>
      </c>
    </row>
    <row r="60" ht="15" customHeight="1" s="251">
      <c r="B60" s="25" t="inlineStr">
        <is>
          <t xml:space="preserve">  Other segment revenues (to 2013; Engineering, Operations &amp; Technology, Connexion, Shared Services)</t>
        </is>
      </c>
      <c r="C60" s="266" t="n">
        <v>299</v>
      </c>
      <c r="D60" s="266" t="n">
        <v>280</v>
      </c>
      <c r="E60" s="266" t="n">
        <v>567</v>
      </c>
      <c r="F60" s="266" t="n">
        <v>165</v>
      </c>
      <c r="G60" s="266" t="n">
        <v>138</v>
      </c>
      <c r="H60" s="266" t="n">
        <v>138</v>
      </c>
      <c r="I60" s="266" t="n">
        <v>133</v>
      </c>
      <c r="J60" s="266" t="n">
        <v>27</v>
      </c>
      <c r="K60" s="266" t="n">
        <v>27</v>
      </c>
      <c r="L60" s="266" t="n">
        <v>26</v>
      </c>
      <c r="M60" s="266" t="n">
        <v>22</v>
      </c>
      <c r="N60" s="266" t="n">
        <v>102</v>
      </c>
      <c r="O60" s="266" t="n">
        <v>20</v>
      </c>
      <c r="P60" s="266" t="n">
        <v>22</v>
      </c>
      <c r="Q60" s="266" t="n">
        <v>0</v>
      </c>
      <c r="R60" s="266" t="n">
        <v>0</v>
      </c>
      <c r="S60" s="266" t="n">
        <v>0</v>
      </c>
      <c r="T60" s="266" t="n">
        <v>0</v>
      </c>
      <c r="U60" s="266" t="n">
        <v>0</v>
      </c>
      <c r="V60" s="266" t="n">
        <v>0</v>
      </c>
      <c r="W60" s="266" t="n">
        <v>0</v>
      </c>
      <c r="X60" s="266" t="n">
        <v>0</v>
      </c>
      <c r="Y60" s="266" t="n">
        <v>0</v>
      </c>
      <c r="Z60" s="266" t="n">
        <v>0</v>
      </c>
      <c r="AA60" s="266" t="n">
        <v>0</v>
      </c>
      <c r="AB60" s="266" t="n">
        <v>0</v>
      </c>
      <c r="AC60" s="266" t="n">
        <v>0</v>
      </c>
      <c r="AD60" s="266" t="n">
        <v>0</v>
      </c>
      <c r="AE60" s="266" t="n">
        <v>0</v>
      </c>
      <c r="AF60" s="266" t="n">
        <v>0</v>
      </c>
      <c r="AG60" s="266" t="n">
        <v>0</v>
      </c>
      <c r="AH60" s="266" t="n">
        <v>0</v>
      </c>
      <c r="AI60" s="266" t="n">
        <v>0</v>
      </c>
      <c r="AJ60" s="266" t="n">
        <v>0</v>
      </c>
      <c r="AK60" s="266" t="n">
        <v>0</v>
      </c>
      <c r="AL60" s="266" t="n">
        <v>0</v>
      </c>
      <c r="AM60" s="266" t="n">
        <v>0</v>
      </c>
      <c r="AN60" s="266" t="n">
        <v>0</v>
      </c>
      <c r="AO60" s="266" t="n">
        <v>0</v>
      </c>
      <c r="AP60" s="266" t="n">
        <v>0</v>
      </c>
      <c r="AQ60" s="266" t="n">
        <v>0</v>
      </c>
      <c r="AR60" s="266" t="n">
        <v>0</v>
      </c>
      <c r="AS60" s="266" t="n">
        <v>0</v>
      </c>
      <c r="AT60" s="266" t="n">
        <v>0</v>
      </c>
      <c r="AU60" s="266" t="n">
        <v>0</v>
      </c>
      <c r="AV60" s="266" t="n">
        <v>0</v>
      </c>
      <c r="AW60" s="266" t="n">
        <v>0</v>
      </c>
      <c r="AX60" s="266" t="n">
        <v>0</v>
      </c>
      <c r="AY60" s="266" t="n">
        <v>0</v>
      </c>
      <c r="AZ60" s="266" t="n">
        <v>0</v>
      </c>
      <c r="BA60" s="266" t="n">
        <v>0</v>
      </c>
      <c r="BB60" s="266" t="n">
        <v>0</v>
      </c>
      <c r="BC60" s="266" t="n">
        <v>0</v>
      </c>
      <c r="BD60" s="266" t="n">
        <v>0</v>
      </c>
      <c r="BE60" s="266" t="n">
        <v>0</v>
      </c>
      <c r="BF60" s="266" t="n">
        <v>0</v>
      </c>
      <c r="BG60" s="266" t="n">
        <v>0</v>
      </c>
      <c r="BH60" s="266" t="n">
        <v>0</v>
      </c>
      <c r="BI60" s="266" t="n">
        <v>0</v>
      </c>
      <c r="BJ60" s="266" t="n">
        <v>0</v>
      </c>
      <c r="BK60" s="266" t="n">
        <v>0</v>
      </c>
      <c r="BL60" s="266" t="n">
        <v>0</v>
      </c>
      <c r="BM60" s="266" t="n">
        <v>0</v>
      </c>
      <c r="BN60" s="266" t="n">
        <v>0</v>
      </c>
      <c r="BO60" s="266" t="n">
        <v>0</v>
      </c>
      <c r="BP60" s="266" t="n">
        <v>0</v>
      </c>
      <c r="BQ60" s="266" t="n">
        <v>0</v>
      </c>
      <c r="BR60" s="266" t="n">
        <v>0</v>
      </c>
      <c r="BS60" s="266" t="n">
        <v>0</v>
      </c>
      <c r="BT60" s="266" t="n">
        <v>0</v>
      </c>
      <c r="BU60" s="266" t="n">
        <v>0</v>
      </c>
      <c r="BV60" s="266" t="n">
        <v>0</v>
      </c>
      <c r="BW60" s="266" t="n">
        <v>0</v>
      </c>
      <c r="BX60" s="266" t="n">
        <v>0</v>
      </c>
      <c r="BY60" s="263">
        <f>0</f>
        <v>0</v>
      </c>
      <c r="BZ60" s="263">
        <f>0</f>
        <v>0</v>
      </c>
      <c r="CA60" s="263">
        <f>SUM(BW60:BZ60)</f>
        <v>0</v>
      </c>
      <c r="CB60" s="263">
        <f>0</f>
        <v>0</v>
      </c>
      <c r="CC60" s="263">
        <f>0</f>
        <v>0</v>
      </c>
      <c r="CD60" s="263">
        <f>0</f>
        <v>0</v>
      </c>
      <c r="CE60" s="263">
        <f>0</f>
        <v>0</v>
      </c>
      <c r="CF60" s="263">
        <f>0</f>
        <v>0</v>
      </c>
      <c r="CG60" s="19" t="n"/>
      <c r="CO60" s="25" t="inlineStr">
        <is>
          <t xml:space="preserve">  2029E</t>
        </is>
      </c>
      <c r="CP60" s="33">
        <f>CQ60+$CP$57</f>
        <v>0.04</v>
      </c>
      <c r="CQ60" s="42" t="n">
        <v>0.03</v>
      </c>
      <c r="CR60" s="33">
        <f>CQ60+$CR$57</f>
        <v>0.02</v>
      </c>
    </row>
    <row r="61" ht="15" customHeight="1" s="251">
      <c r="B61" s="25" t="inlineStr">
        <is>
          <t xml:space="preserve">  Other segment earnings / (loss)</t>
        </is>
      </c>
      <c r="C61" s="266" t="n">
        <v>-738</v>
      </c>
      <c r="D61" s="266" t="n">
        <v>-243</v>
      </c>
      <c r="E61" s="266" t="n">
        <v>-292</v>
      </c>
      <c r="F61" s="266" t="n">
        <v>-152</v>
      </c>
      <c r="G61" s="266" t="n">
        <v>-327</v>
      </c>
      <c r="H61" s="266" t="n">
        <v>54</v>
      </c>
      <c r="I61" s="266" t="n">
        <v>-159</v>
      </c>
      <c r="J61" s="266" t="n">
        <v>-58</v>
      </c>
      <c r="K61" s="266" t="n">
        <v>-43</v>
      </c>
      <c r="L61" s="266" t="n">
        <v>44</v>
      </c>
      <c r="M61" s="266" t="n">
        <v>-99</v>
      </c>
      <c r="N61" s="266" t="n">
        <v>-156</v>
      </c>
      <c r="O61" s="266" t="n">
        <v>-62</v>
      </c>
      <c r="P61" s="266" t="n">
        <v>-48</v>
      </c>
      <c r="Q61" s="266" t="n">
        <v>0</v>
      </c>
      <c r="R61" s="266" t="n">
        <v>0</v>
      </c>
      <c r="S61" s="266" t="n">
        <v>0</v>
      </c>
      <c r="T61" s="266" t="n">
        <v>0</v>
      </c>
      <c r="U61" s="266" t="n">
        <v>0</v>
      </c>
      <c r="V61" s="266" t="n">
        <v>0</v>
      </c>
      <c r="W61" s="266" t="n">
        <v>0</v>
      </c>
      <c r="X61" s="266" t="n">
        <v>0</v>
      </c>
      <c r="Y61" s="266" t="n">
        <v>0</v>
      </c>
      <c r="Z61" s="266" t="n">
        <v>0</v>
      </c>
      <c r="AA61" s="266" t="n">
        <v>0</v>
      </c>
      <c r="AB61" s="266" t="n">
        <v>0</v>
      </c>
      <c r="AC61" s="266" t="n">
        <v>0</v>
      </c>
      <c r="AD61" s="266" t="n">
        <v>0</v>
      </c>
      <c r="AE61" s="266" t="n">
        <v>0</v>
      </c>
      <c r="AF61" s="266" t="n">
        <v>0</v>
      </c>
      <c r="AG61" s="266" t="n">
        <v>0</v>
      </c>
      <c r="AH61" s="266" t="n">
        <v>0</v>
      </c>
      <c r="AI61" s="266" t="n">
        <v>0</v>
      </c>
      <c r="AJ61" s="266" t="n">
        <v>0</v>
      </c>
      <c r="AK61" s="266" t="n">
        <v>0</v>
      </c>
      <c r="AL61" s="266" t="n">
        <v>0</v>
      </c>
      <c r="AM61" s="266" t="n">
        <v>0</v>
      </c>
      <c r="AN61" s="266" t="n">
        <v>0</v>
      </c>
      <c r="AO61" s="266" t="n">
        <v>0</v>
      </c>
      <c r="AP61" s="266" t="n">
        <v>0</v>
      </c>
      <c r="AQ61" s="266" t="n">
        <v>0</v>
      </c>
      <c r="AR61" s="266" t="n">
        <v>0</v>
      </c>
      <c r="AS61" s="266" t="n">
        <v>0</v>
      </c>
      <c r="AT61" s="266" t="n">
        <v>0</v>
      </c>
      <c r="AU61" s="266" t="n">
        <v>0</v>
      </c>
      <c r="AV61" s="266" t="n">
        <v>0</v>
      </c>
      <c r="AW61" s="266" t="n">
        <v>0</v>
      </c>
      <c r="AX61" s="266" t="n">
        <v>0</v>
      </c>
      <c r="AY61" s="266" t="n">
        <v>0</v>
      </c>
      <c r="AZ61" s="266" t="n">
        <v>0</v>
      </c>
      <c r="BA61" s="266" t="n">
        <v>0</v>
      </c>
      <c r="BB61" s="266" t="n">
        <v>0</v>
      </c>
      <c r="BC61" s="266" t="n">
        <v>0</v>
      </c>
      <c r="BD61" s="266" t="n">
        <v>0</v>
      </c>
      <c r="BE61" s="266" t="n">
        <v>0</v>
      </c>
      <c r="BF61" s="266" t="n">
        <v>0</v>
      </c>
      <c r="BG61" s="266" t="n">
        <v>0</v>
      </c>
      <c r="BH61" s="266" t="n">
        <v>0</v>
      </c>
      <c r="BI61" s="266" t="n">
        <v>0</v>
      </c>
      <c r="BJ61" s="266" t="n">
        <v>0</v>
      </c>
      <c r="BK61" s="266" t="n">
        <v>0</v>
      </c>
      <c r="BL61" s="266" t="n">
        <v>0</v>
      </c>
      <c r="BM61" s="266" t="n">
        <v>0</v>
      </c>
      <c r="BN61" s="266" t="n">
        <v>0</v>
      </c>
      <c r="BO61" s="266" t="n">
        <v>0</v>
      </c>
      <c r="BP61" s="266" t="n">
        <v>0</v>
      </c>
      <c r="BQ61" s="266" t="n">
        <v>0</v>
      </c>
      <c r="BR61" s="266" t="n">
        <v>0</v>
      </c>
      <c r="BS61" s="266" t="n">
        <v>0</v>
      </c>
      <c r="BT61" s="266" t="n">
        <v>0</v>
      </c>
      <c r="BU61" s="266" t="n">
        <v>0</v>
      </c>
      <c r="BV61" s="266" t="n">
        <v>0</v>
      </c>
      <c r="BW61" s="266" t="n">
        <v>0</v>
      </c>
      <c r="BX61" s="266" t="n">
        <v>0</v>
      </c>
      <c r="BY61" s="263">
        <f>0</f>
        <v>0</v>
      </c>
      <c r="BZ61" s="263">
        <f>0</f>
        <v>0</v>
      </c>
      <c r="CA61" s="263">
        <f>SUM(BW61:BZ61)</f>
        <v>0</v>
      </c>
      <c r="CB61" s="263">
        <f>0</f>
        <v>0</v>
      </c>
      <c r="CC61" s="263">
        <f>0</f>
        <v>0</v>
      </c>
      <c r="CD61" s="263">
        <f>0</f>
        <v>0</v>
      </c>
      <c r="CE61" s="263">
        <f>0</f>
        <v>0</v>
      </c>
      <c r="CF61" s="263">
        <f>0</f>
        <v>0</v>
      </c>
      <c r="CG61" s="19" t="n"/>
      <c r="CO61" s="25" t="inlineStr">
        <is>
          <t xml:space="preserve">  2030E</t>
        </is>
      </c>
      <c r="CP61" s="33">
        <f>CQ61+$CP$57</f>
        <v>0.04</v>
      </c>
      <c r="CQ61" s="42" t="n">
        <v>0.03</v>
      </c>
      <c r="CR61" s="33">
        <f>CQ61+$CR$57</f>
        <v>0.02</v>
      </c>
    </row>
    <row r="62" ht="15" customHeight="1" s="251">
      <c r="B62" s="25" t="inlineStr">
        <is>
          <t xml:space="preserve">  Unallocated items, eliminations and other — revenues</t>
        </is>
      </c>
      <c r="C62" s="266" t="n">
        <v>-698</v>
      </c>
      <c r="D62" s="266" t="n">
        <v>-174</v>
      </c>
      <c r="E62" s="266" t="n">
        <v>-655</v>
      </c>
      <c r="F62" s="266" t="n">
        <v>-256</v>
      </c>
      <c r="G62" s="266" t="n">
        <v>-248</v>
      </c>
      <c r="H62" s="266" t="n">
        <v>-82</v>
      </c>
      <c r="I62" s="266" t="n">
        <v>-610</v>
      </c>
      <c r="J62" s="266" t="n">
        <v>-39</v>
      </c>
      <c r="K62" s="266" t="n">
        <v>-126</v>
      </c>
      <c r="L62" s="266" t="n">
        <v>-23</v>
      </c>
      <c r="M62" s="266" t="n">
        <v>123</v>
      </c>
      <c r="N62" s="266" t="n">
        <v>-65</v>
      </c>
      <c r="O62" s="266" t="n">
        <v>-7</v>
      </c>
      <c r="P62" s="266" t="n">
        <v>-118</v>
      </c>
      <c r="Q62" s="266" t="n">
        <v>-330</v>
      </c>
      <c r="R62" s="266" t="n">
        <v>-112</v>
      </c>
      <c r="S62" s="266" t="n">
        <v>-525</v>
      </c>
      <c r="T62" s="266" t="n">
        <v>-27</v>
      </c>
      <c r="U62" s="266" t="n">
        <v>7</v>
      </c>
      <c r="V62" s="266" t="n">
        <v>-307</v>
      </c>
      <c r="W62" s="266" t="n">
        <v>-408</v>
      </c>
      <c r="X62" s="266" t="n">
        <v>-735</v>
      </c>
      <c r="Y62" s="266" t="n">
        <v>213</v>
      </c>
      <c r="Z62" s="266" t="n">
        <v>41</v>
      </c>
      <c r="AA62" s="266" t="n">
        <v>-646</v>
      </c>
      <c r="AB62" s="266" t="n">
        <v>98</v>
      </c>
      <c r="AC62" s="266" t="n">
        <v>-294</v>
      </c>
      <c r="AD62" s="266" t="n">
        <v>47</v>
      </c>
      <c r="AE62" s="266" t="n">
        <v>68</v>
      </c>
      <c r="AF62" s="266" t="n">
        <v>219</v>
      </c>
      <c r="AG62" s="266" t="n">
        <v>291</v>
      </c>
      <c r="AH62" s="266" t="n">
        <v>660</v>
      </c>
      <c r="AI62" s="266" t="n">
        <v>-40</v>
      </c>
      <c r="AJ62" s="266" t="n">
        <v>22</v>
      </c>
      <c r="AK62" s="266" t="n">
        <v>-27</v>
      </c>
      <c r="AL62" s="266" t="n">
        <v>-30</v>
      </c>
      <c r="AM62" s="266" t="n">
        <v>-75</v>
      </c>
      <c r="AN62" s="266" t="n">
        <v>-201</v>
      </c>
      <c r="AO62" s="266" t="n">
        <v>-201</v>
      </c>
      <c r="AP62" s="266" t="n">
        <v>-35</v>
      </c>
      <c r="AQ62" s="266" t="n">
        <v>-198</v>
      </c>
      <c r="AR62" s="266" t="n">
        <v>-635</v>
      </c>
      <c r="AS62" s="266" t="n">
        <v>-32</v>
      </c>
      <c r="AT62" s="266" t="n">
        <v>29</v>
      </c>
      <c r="AU62" s="266" t="n">
        <v>-70</v>
      </c>
      <c r="AV62" s="266" t="n">
        <v>8</v>
      </c>
      <c r="AW62" s="266" t="n">
        <v>-65</v>
      </c>
      <c r="AX62" s="266" t="n">
        <v>-46</v>
      </c>
      <c r="AY62" s="266" t="n">
        <v>-38</v>
      </c>
      <c r="AZ62" s="266" t="n">
        <v>-90</v>
      </c>
      <c r="BA62" s="266" t="n">
        <v>-173</v>
      </c>
      <c r="BB62" s="266" t="n">
        <v>-347</v>
      </c>
      <c r="BC62" s="266" t="n">
        <v>-13</v>
      </c>
      <c r="BD62" s="266" t="n">
        <v>-79</v>
      </c>
      <c r="BE62" s="266" t="n">
        <v>-98</v>
      </c>
      <c r="BF62" s="266" t="n">
        <v>-41</v>
      </c>
      <c r="BG62" s="266" t="n">
        <v>-231</v>
      </c>
      <c r="BH62" s="266" t="n">
        <v>-42</v>
      </c>
      <c r="BI62" s="266" t="n">
        <v>-2</v>
      </c>
      <c r="BJ62" s="266" t="n">
        <v>-65</v>
      </c>
      <c r="BK62" s="266" t="n">
        <v>-58</v>
      </c>
      <c r="BL62" s="266" t="n">
        <v>-167</v>
      </c>
      <c r="BM62" s="266" t="n">
        <v>-79</v>
      </c>
      <c r="BN62" s="266" t="n">
        <v>-47</v>
      </c>
      <c r="BO62" s="266" t="n">
        <v>-40</v>
      </c>
      <c r="BP62" s="266" t="n">
        <v>-50</v>
      </c>
      <c r="BQ62" s="266" t="n">
        <v>-216</v>
      </c>
      <c r="BR62" s="266" t="n">
        <v>-12</v>
      </c>
      <c r="BS62" s="266" t="n">
        <v>-23</v>
      </c>
      <c r="BT62" s="266" t="n">
        <v>-96</v>
      </c>
      <c r="BU62" s="266" t="n">
        <v>-57</v>
      </c>
      <c r="BV62" s="266" t="n">
        <v>-188</v>
      </c>
      <c r="BW62" s="266" t="n">
        <v>45</v>
      </c>
      <c r="BX62" s="266" t="n">
        <v>-18</v>
      </c>
      <c r="BY62" s="263">
        <f>SUM(BW62:BX62)/2</f>
        <v>13.5</v>
      </c>
      <c r="BZ62" s="263">
        <f>SUM(BW62:BX62)/2</f>
        <v>13.5</v>
      </c>
      <c r="CA62" s="263">
        <f>SUM(BW62:BZ62)</f>
        <v>54</v>
      </c>
      <c r="CB62" s="263">
        <f>(CB24+CB33+CB49)*CB63</f>
        <v>-213.624066327739</v>
      </c>
      <c r="CC62" s="263">
        <f>(CC24+CC33+CC49)*CC63</f>
        <v>-232.026735892863</v>
      </c>
      <c r="CD62" s="263">
        <f>(CD24+CD33+CD49)*CD63</f>
        <v>-248.113209422514</v>
      </c>
      <c r="CE62" s="263">
        <f>(CE24+CE33+CE49)*CE63</f>
        <v>-260.345619413075</v>
      </c>
      <c r="CF62" s="263">
        <f>(CF24+CF33+CF49)*CF63</f>
        <v>-271.55420799328</v>
      </c>
      <c r="CG62" s="19" t="n"/>
      <c r="CO62" s="25" t="inlineStr">
        <is>
          <t xml:space="preserve">  2031E</t>
        </is>
      </c>
      <c r="CP62" s="33">
        <f>CQ62+$CP$57</f>
        <v>0.04</v>
      </c>
      <c r="CQ62" s="42" t="n">
        <v>0.03</v>
      </c>
      <c r="CR62" s="33">
        <f>CQ62+$CR$57</f>
        <v>0.02</v>
      </c>
    </row>
    <row r="63" ht="15" customHeight="1" s="251">
      <c r="B63" s="25" t="inlineStr">
        <is>
          <t xml:space="preserve">    % of segment revenues</t>
        </is>
      </c>
      <c r="C63" s="215">
        <f>IFERROR(C62/(C24+C33+N(C49)),"")</f>
        <v>-0.0114606593983975</v>
      </c>
      <c r="D63" s="215">
        <f>IFERROR(D62/(D24+D33+N(D49)),"")</f>
        <v>-0.00265786820639721</v>
      </c>
      <c r="E63" s="215">
        <f>IFERROR(E62/(E24+E33+N(E49)),"")</f>
        <v>-0.0108605538053391</v>
      </c>
      <c r="F63" s="215">
        <f>IFERROR(F62/(F24+F33+N(F49)),"")</f>
        <v>-0.00378071833648393</v>
      </c>
      <c r="G63" s="215">
        <f>IFERROR(G62/(G24+G33+N(G49)),"")</f>
        <v>-0.00388854916349154</v>
      </c>
      <c r="H63" s="215">
        <f>IFERROR(H62/(H24+H33+N(H49)),"")</f>
        <v>-0.00120328114223664</v>
      </c>
      <c r="I63" s="215">
        <f>IFERROR(I62/(I24+I33+N(I49)),"")</f>
        <v>-0.00746323439449923</v>
      </c>
      <c r="J63" s="215">
        <f>IFERROR(J62/(J24+J33+N(J49)),"")</f>
        <v>-0.00207446808510638</v>
      </c>
      <c r="K63" s="215">
        <f>IFERROR(K62/(K24+K33+N(K49)),"")</f>
        <v>-0.00577716643741403</v>
      </c>
      <c r="L63" s="215">
        <f>IFERROR(L62/(L24+L33+N(L49)),"")</f>
        <v>-0.00104388871238597</v>
      </c>
      <c r="M63" s="215">
        <f>IFERROR(M62/(M24+M33+N(M49)),"")</f>
        <v>0.00522625876354366</v>
      </c>
      <c r="N63" s="215">
        <f>IFERROR(N62/(N24+N33+N(N49)),"")</f>
        <v>-0.000754252825547123</v>
      </c>
      <c r="O63" s="215">
        <f>IFERROR(O62/(O24+O33+N(O49)),"")</f>
        <v>-0.000343642611683849</v>
      </c>
      <c r="P63" s="215">
        <f>IFERROR(P62/(P24+P33+N(P49)),"")</f>
        <v>-0.00535123123667861</v>
      </c>
      <c r="Q63" s="215">
        <f>IFERROR(Q62/(Q24+Q33+N(Q49)),"")</f>
        <v>-0.0137368355326146</v>
      </c>
      <c r="R63" s="215">
        <f>IFERROR(R62/(R24+R33+N(R49)),"")</f>
        <v>-0.00458509026896467</v>
      </c>
      <c r="S63" s="215">
        <f>IFERROR(S62/(S24+S33+N(S49)),"")</f>
        <v>-0.00577742073928976</v>
      </c>
      <c r="T63" s="215">
        <f>IFERROR(T62/(T24+T33+N(T49)),"")</f>
        <v>-0.00122227252150294</v>
      </c>
      <c r="U63" s="215">
        <f>IFERROR(U62/(U24+U33+N(U49)),"")</f>
        <v>0.000286638548789976</v>
      </c>
      <c r="V63" s="215">
        <f>IFERROR(V62/(V24+V33+N(V49)),"")</f>
        <v>-0.0117886491052915</v>
      </c>
      <c r="W63" s="215">
        <f>IFERROR(W62/(W24+W33+N(W49)),"")</f>
        <v>-0.0170832809948499</v>
      </c>
      <c r="X63" s="215">
        <f>IFERROR(X62/(X24+X33+N(X49)),"")</f>
        <v>-0.00762163507403874</v>
      </c>
      <c r="Y63" s="215">
        <f>IFERROR(Y62/(Y24+Y33+N(Y49)),"")</f>
        <v>0.0095280697830463</v>
      </c>
      <c r="Z63" s="215">
        <f>IFERROR(Z62/(Z24+Z33+N(Z49)),"")</f>
        <v>0.00166463662200568</v>
      </c>
      <c r="AA63" s="215">
        <f>IFERROR(AA62/(AA24+AA33+N(AA49)),"")</f>
        <v>-0.0263878109554348</v>
      </c>
      <c r="AB63" s="215">
        <f>IFERROR(AB62/(AB24+AB33+N(AB49)),"")</f>
        <v>0.00424224059564521</v>
      </c>
      <c r="AC63" s="215">
        <f>IFERROR(AC62/(AC24+AC33+N(AC49)),"")</f>
        <v>-0.00310890691255935</v>
      </c>
      <c r="AD63" s="215">
        <f>IFERROR(AD62/(AD24+AD33+N(AD49)),"")</f>
        <v>0.00225560301386956</v>
      </c>
      <c r="AE63" s="215">
        <f>IFERROR(AE62/(AE24+AE33+N(AE49)),"")</f>
        <v>0.00300898269834948</v>
      </c>
      <c r="AF63" s="215">
        <f>IFERROR(AF62/(AF24+AF33+N(AF49)),"")</f>
        <v>0.00911740216486262</v>
      </c>
      <c r="AG63" s="215">
        <f>IFERROR(AG62/(AG24+AG33+N(AG49)),"")</f>
        <v>0.0116381378979363</v>
      </c>
      <c r="AH63" s="215">
        <f>IFERROR(AH62/(AH24+AH33+N(AH49)),"")</f>
        <v>0.00714092507438464</v>
      </c>
      <c r="AI63" s="215">
        <f>IFERROR(AI62/(AI24+AI33+N(AI49)),"")</f>
        <v>-0.00171254870060367</v>
      </c>
      <c r="AJ63" s="215">
        <f>IFERROR(AJ62/(AJ24+AJ33+N(AJ49)),"")</f>
        <v>0.000910445290514815</v>
      </c>
      <c r="AK63" s="215">
        <f>IFERROR(AK62/(AK24+AK33+N(AK49)),"")</f>
        <v>-0.00107586866432898</v>
      </c>
      <c r="AL63" s="215">
        <f>IFERROR(AL62/(AL24+AL33+N(AL49)),"")</f>
        <v>-0.00105965878986966</v>
      </c>
      <c r="AM63" s="215">
        <f>IFERROR(AM62/(AM24+AM33+N(AM49)),"")</f>
        <v>-0.000743103994927077</v>
      </c>
      <c r="AN63" s="215">
        <f>IFERROR(AN62/(AN24+AN33+N(AN49)),"")</f>
        <v>-0.00871941697032795</v>
      </c>
      <c r="AO63" s="215">
        <f>IFERROR(AO62/(AO24+AO33+N(AO49)),"")</f>
        <v>-0.0126598223845815</v>
      </c>
      <c r="AP63" s="215">
        <f>IFERROR(AP62/(AP24+AP33+N(AP49)),"")</f>
        <v>-0.00175447390846659</v>
      </c>
      <c r="AQ63" s="215">
        <f>IFERROR(AQ62/(AQ24+AQ33+N(AQ49)),"")</f>
        <v>-0.0109561752988048</v>
      </c>
      <c r="AR63" s="215">
        <f>IFERROR(AR62/(AR24+AR33+N(AR49)),"")</f>
        <v>-0.00825211176088369</v>
      </c>
      <c r="AS63" s="215">
        <f>IFERROR(AS62/(AS24+AS33+N(AS49)),"")</f>
        <v>-0.0018962962962963</v>
      </c>
      <c r="AT63" s="215">
        <f>IFERROR(AT62/(AT24+AT33+N(AT49)),"")</f>
        <v>0.00247672730378341</v>
      </c>
      <c r="AU63" s="215">
        <f>IFERROR(AU62/(AU24+AU33+N(AU49)),"")</f>
        <v>-0.00495119536002263</v>
      </c>
      <c r="AV63" s="215">
        <f>IFERROR(AV62/(AV24+AV33+N(AV49)),"")</f>
        <v>0.0005249343832021</v>
      </c>
      <c r="AW63" s="215">
        <f>IFERROR(AW62/(AW24+AW33+N(AW49)),"")</f>
        <v>-0.00112142438149132</v>
      </c>
      <c r="AX63" s="215">
        <f>IFERROR(AX62/(AX24+AX33+N(AX49)),"")</f>
        <v>-0.00302571860816944</v>
      </c>
      <c r="AY63" s="215">
        <f>IFERROR(AY62/(AY24+AY33+N(AY49)),"")</f>
        <v>-0.0022408302865904</v>
      </c>
      <c r="AZ63" s="215">
        <f>IFERROR(AZ62/(AZ24+AZ33+N(AZ49)),"")</f>
        <v>-0.00588350656991567</v>
      </c>
      <c r="BA63" s="215">
        <f>IFERROR(BA62/(BA24+BA33+N(BA49)),"")</f>
        <v>-0.0116084009930886</v>
      </c>
      <c r="BB63" s="215">
        <f>IFERROR(BB62/(BB24+BB33+N(BB49)),"")</f>
        <v>-0.00556437517037892</v>
      </c>
      <c r="BC63" s="215">
        <f>IFERROR(BC62/(BC24+BC33+N(BC49)),"")</f>
        <v>-0.000931365525146869</v>
      </c>
      <c r="BD63" s="215">
        <f>IFERROR(BD62/(BD24+BD33+N(BD49)),"")</f>
        <v>-0.00472827388077568</v>
      </c>
      <c r="BE63" s="215">
        <f>IFERROR(BE62/(BE24+BE33+N(BE49)),"")</f>
        <v>-0.00612423447069116</v>
      </c>
      <c r="BF63" s="215">
        <f>IFERROR(BF62/(BF24+BF33+N(BF49)),"")</f>
        <v>-0.00205287402363309</v>
      </c>
      <c r="BG63" s="215">
        <f>IFERROR(BG62/(BG24+BG33+N(BG49)),"")</f>
        <v>-0.00346638655462185</v>
      </c>
      <c r="BH63" s="215">
        <f>IFERROR(BH62/(BH24+BH33+N(BH49)),"")</f>
        <v>-0.0023381395089907</v>
      </c>
      <c r="BI63" s="215">
        <f>IFERROR(BI62/(BI24+BI33+N(BI49)),"")</f>
        <v>-0.000101250442970688</v>
      </c>
      <c r="BJ63" s="215">
        <f>IFERROR(BJ62/(BJ24+BJ33+N(BJ49)),"")</f>
        <v>-0.00357752215311795</v>
      </c>
      <c r="BK63" s="215">
        <f>IFERROR(BK62/(BK24+BK33+N(BK49)),"")</f>
        <v>-0.00262728755209277</v>
      </c>
      <c r="BL63" s="215">
        <f>IFERROR(BL62/(BL24+BL33+N(BL49)),"")</f>
        <v>-0.00214209668937033</v>
      </c>
      <c r="BM63" s="215">
        <f>IFERROR(BM62/(BM24+BM33+N(BM49)),"")</f>
        <v>-0.00474531475252283</v>
      </c>
      <c r="BN63" s="215">
        <f>IFERROR(BN62/(BN24+BN33+N(BN49)),"")</f>
        <v>-0.00277892745225566</v>
      </c>
      <c r="BO63" s="215">
        <f>IFERROR(BO62/(BO24+BO33+N(BO49)),"")</f>
        <v>-0.00223713646532438</v>
      </c>
      <c r="BP63" s="215">
        <f>IFERROR(BP62/(BP24+BP33+N(BP49)),"")</f>
        <v>-0.00326968349463772</v>
      </c>
      <c r="BQ63" s="215">
        <f>IFERROR(BQ62/(BQ24+BQ33+N(BQ49)),"")</f>
        <v>-0.00323677940449253</v>
      </c>
      <c r="BR63" s="215">
        <f>IFERROR(BR62/(BR24+BR33+N(BR49)),"")</f>
        <v>-0.000615132253434489</v>
      </c>
      <c r="BS63" s="215">
        <f>IFERROR(BS62/(BS24+BS33+N(BS49)),"")</f>
        <v>-0.00101001229580186</v>
      </c>
      <c r="BT63" s="215">
        <f>IFERROR(BT62/(BT24+BT33+N(BT49)),"")</f>
        <v>-0.0041085337670119</v>
      </c>
      <c r="BU63" s="215">
        <f>IFERROR(BU62/(BU24+BU33+N(BU49)),"")</f>
        <v>-0.00237450531139346</v>
      </c>
      <c r="BV63" s="215">
        <f>IFERROR(BV62/(BV24+BV33+N(BV49)),"")</f>
        <v>-0.00209702066903883</v>
      </c>
      <c r="BW63" s="215">
        <f>IFERROR(BW62/(BW24+BW33+N(BW49)),"")</f>
        <v>0.00202958686631788</v>
      </c>
      <c r="BX63" s="215">
        <f>IFERROR(BX62/(BX24+BX33+N(BX49)),"")</f>
        <v>-0.000732362275205468</v>
      </c>
      <c r="BY63" s="260">
        <f>IFERROR(BY62/(BY24+BY33+N(BY49)),"")</f>
        <v>0.000540505029753955</v>
      </c>
      <c r="BZ63" s="260">
        <f>IFERROR(BZ62/(BZ24+BZ33+N(BZ49)),"")</f>
        <v>0.000529539104914878</v>
      </c>
      <c r="CA63" s="260">
        <f>IFERROR(CA62/(CA24+CA33+N(CA49)),"")</f>
        <v>0.000555438360570898</v>
      </c>
      <c r="CB63" s="270" t="n">
        <v>-0.002</v>
      </c>
      <c r="CC63" s="270" t="n">
        <v>-0.002</v>
      </c>
      <c r="CD63" s="270" t="n">
        <v>-0.002</v>
      </c>
      <c r="CE63" s="270" t="n">
        <v>-0.002</v>
      </c>
      <c r="CF63" s="270" t="n">
        <v>-0.002</v>
      </c>
      <c r="CG63" s="153" t="n"/>
      <c r="CO63" s="15" t="inlineStr">
        <is>
          <t>BCA_M (BCA operating margin)</t>
        </is>
      </c>
      <c r="CP63" s="41" t="n">
        <v>0.02</v>
      </c>
      <c r="CQ63" s="21" t="inlineStr">
        <is>
          <t>Δ →</t>
        </is>
      </c>
      <c r="CR63" s="41" t="n">
        <v>-0.03</v>
      </c>
      <c r="CS63" s="13" t="inlineStr">
        <is>
          <t>Positive margins from 2027 (company indication, UNVERIFIED); 2017–18 margins 9.4% / 13.0% at 760–806 deliveries; Spirit integration and abnormal costs fade.</t>
        </is>
      </c>
    </row>
    <row r="64" ht="15" customHeight="1" s="251">
      <c r="B64" s="156" t="inlineStr">
        <is>
          <t xml:space="preserve">  Unallocated items, eliminations and other — earnings, as reported</t>
        </is>
      </c>
      <c r="C64" s="266" t="n">
        <v>-2304</v>
      </c>
      <c r="D64" s="266" t="n">
        <v>-1185</v>
      </c>
      <c r="E64" s="266" t="n">
        <v>-307</v>
      </c>
      <c r="F64" s="266" t="n">
        <v>-594</v>
      </c>
      <c r="G64" s="266" t="n">
        <v>-735</v>
      </c>
      <c r="H64" s="266" t="n">
        <v>-988</v>
      </c>
      <c r="I64" s="266" t="n">
        <v>-1391</v>
      </c>
      <c r="J64" s="266" t="n">
        <v>-509</v>
      </c>
      <c r="K64" s="266" t="n">
        <v>-489</v>
      </c>
      <c r="L64" s="266" t="n">
        <v>-566</v>
      </c>
      <c r="M64" s="266" t="n">
        <v>-855</v>
      </c>
      <c r="N64" s="266" t="n">
        <v>-2419</v>
      </c>
      <c r="O64" s="266" t="n">
        <v>-720</v>
      </c>
      <c r="P64" s="266" t="n">
        <v>-330</v>
      </c>
      <c r="Q64" s="266" t="n">
        <v>-523</v>
      </c>
      <c r="R64" s="266" t="n">
        <v>-480</v>
      </c>
      <c r="S64" s="266" t="n">
        <v>-2163</v>
      </c>
      <c r="T64" s="266" t="n">
        <v>-361</v>
      </c>
      <c r="U64" s="266" t="n">
        <v>-80</v>
      </c>
      <c r="V64" s="266" t="n">
        <v>-220</v>
      </c>
      <c r="W64" s="266" t="n">
        <v>-377</v>
      </c>
      <c r="X64" s="266" t="n">
        <v>-1038</v>
      </c>
      <c r="Y64" s="266" t="n">
        <v>-72</v>
      </c>
      <c r="Z64" s="266" t="n">
        <v>-57</v>
      </c>
      <c r="AA64" s="266" t="n">
        <v>-112</v>
      </c>
      <c r="AB64" s="266" t="n">
        <v>-122</v>
      </c>
      <c r="AC64" s="266" t="n">
        <v>-363</v>
      </c>
      <c r="AD64" s="266" t="n">
        <v>33</v>
      </c>
      <c r="AE64" s="266" t="n">
        <v>53</v>
      </c>
      <c r="AF64" s="266" t="n">
        <v>118</v>
      </c>
      <c r="AG64" s="266" t="n">
        <v>49</v>
      </c>
      <c r="AH64" s="266" t="n">
        <v>253</v>
      </c>
      <c r="AI64" s="266" t="n">
        <v>-311</v>
      </c>
      <c r="AJ64" s="266" t="n">
        <v>-399</v>
      </c>
      <c r="AK64" s="266" t="n">
        <v>-458</v>
      </c>
      <c r="AL64" s="266" t="n">
        <v>-246</v>
      </c>
      <c r="AM64" s="266" t="n">
        <v>-1414</v>
      </c>
      <c r="AN64" s="266" t="n">
        <v>-707</v>
      </c>
      <c r="AO64" s="266" t="n">
        <v>-498</v>
      </c>
      <c r="AP64" s="266" t="n">
        <v>-522</v>
      </c>
      <c r="AQ64" s="266" t="n">
        <v>-339</v>
      </c>
      <c r="AR64" s="266" t="n">
        <v>-2066</v>
      </c>
      <c r="AS64" s="266" t="n">
        <v>-173</v>
      </c>
      <c r="AT64" s="266" t="n">
        <v>-478</v>
      </c>
      <c r="AU64" s="266" t="n">
        <v>-314</v>
      </c>
      <c r="AV64" s="266" t="n">
        <v>-1390</v>
      </c>
      <c r="AW64" s="266" t="n">
        <v>-2355</v>
      </c>
      <c r="AX64" s="266" t="n">
        <v>-364</v>
      </c>
      <c r="AY64" s="266" t="n">
        <v>-298</v>
      </c>
      <c r="AZ64" s="266" t="n">
        <v>-370</v>
      </c>
      <c r="BA64" s="266" t="n">
        <v>-235</v>
      </c>
      <c r="BB64" s="266" t="n">
        <v>-1267</v>
      </c>
      <c r="BC64" s="266" t="n">
        <v>-260</v>
      </c>
      <c r="BD64" s="266" t="n">
        <v>-94</v>
      </c>
      <c r="BE64" s="266" t="n">
        <v>-393</v>
      </c>
      <c r="BF64" s="266" t="n">
        <v>-785</v>
      </c>
      <c r="BG64" s="266" t="n">
        <v>-1532</v>
      </c>
      <c r="BH64" s="266" t="n">
        <v>-460</v>
      </c>
      <c r="BI64" s="266" t="n">
        <v>-336</v>
      </c>
      <c r="BJ64" s="266" t="n">
        <v>-271</v>
      </c>
      <c r="BK64" s="266" t="n">
        <v>-692</v>
      </c>
      <c r="BL64" s="266" t="n">
        <v>-1759</v>
      </c>
      <c r="BM64" s="266" t="n">
        <v>-312</v>
      </c>
      <c r="BN64" s="266" t="n">
        <v>-634</v>
      </c>
      <c r="BO64" s="266" t="n">
        <v>-418</v>
      </c>
      <c r="BP64" s="266" t="n">
        <v>-683</v>
      </c>
      <c r="BQ64" s="266" t="n">
        <v>-2047</v>
      </c>
      <c r="BR64" s="266" t="n">
        <v>-362</v>
      </c>
      <c r="BS64" s="266" t="n">
        <v>-1035</v>
      </c>
      <c r="BT64" s="266" t="n">
        <v>-748</v>
      </c>
      <c r="BU64" s="266" t="n">
        <v>-886</v>
      </c>
      <c r="BV64" s="266" t="n">
        <v>-3031</v>
      </c>
      <c r="BW64" s="266" t="n">
        <v>-348</v>
      </c>
      <c r="BX64" s="266" t="n">
        <v>-630</v>
      </c>
      <c r="BY64" s="153" t="n"/>
      <c r="BZ64" s="153" t="n"/>
      <c r="CA64" s="153" t="n"/>
      <c r="CB64" s="153" t="n"/>
      <c r="CC64" s="153" t="n"/>
      <c r="CD64" s="153" t="n"/>
      <c r="CE64" s="153" t="n"/>
      <c r="CF64" s="153" t="n"/>
      <c r="CG64" s="153" t="inlineStr">
        <is>
          <t>As reported in the segment table: to 2017 includes unallocated pension / postretirement expense (and the 2006 DOJ settlement, $571m); from 2018 excludes the FAS/CAS service cost adjustment (separate line).</t>
        </is>
      </c>
      <c r="CO64" s="25" t="inlineStr">
        <is>
          <t xml:space="preserve">  2027E</t>
        </is>
      </c>
      <c r="CP64" s="33">
        <f>CQ64+$CP$63</f>
        <v>0.05</v>
      </c>
      <c r="CQ64" s="42" t="n">
        <v>0.03</v>
      </c>
      <c r="CR64" s="33">
        <f>CQ64+$CR$63</f>
        <v>0</v>
      </c>
    </row>
    <row r="65" ht="15" customHeight="1" s="251">
      <c r="B65" s="25" t="inlineStr">
        <is>
          <t xml:space="preserve">  Unallocated items, eliminations and other — core basis (excl. pension items)</t>
        </is>
      </c>
      <c r="C65" s="262">
        <f>C64-N(C67)</f>
        <v>-2304</v>
      </c>
      <c r="D65" s="262">
        <f>D64-N(D67)</f>
        <v>-499</v>
      </c>
      <c r="E65" s="262">
        <f>E64-N(E67)</f>
        <v>-20</v>
      </c>
      <c r="F65" s="262">
        <f>F64-N(F67)</f>
        <v>-611</v>
      </c>
      <c r="G65" s="262">
        <f>G64-N(G67)</f>
        <v>-730</v>
      </c>
      <c r="H65" s="262">
        <f>H64-N(H67)</f>
        <v>-471</v>
      </c>
      <c r="I65" s="262">
        <f>I64-N(I67)</f>
        <v>-492</v>
      </c>
      <c r="J65" s="262">
        <f>J64-N(J67)</f>
        <v>-170</v>
      </c>
      <c r="K65" s="262">
        <f>K64-N(K67)</f>
        <v>-177</v>
      </c>
      <c r="L65" s="262">
        <f>L64-N(L67)</f>
        <v>-226</v>
      </c>
      <c r="M65" s="262">
        <f>M64-N(M67)</f>
        <v>-532</v>
      </c>
      <c r="N65" s="262">
        <f>N64-N(N67)</f>
        <v>-1105</v>
      </c>
      <c r="O65" s="262">
        <f>O64-N(O67)</f>
        <v>-167</v>
      </c>
      <c r="P65" s="262">
        <f>P64-N(P67)</f>
        <v>-126</v>
      </c>
      <c r="Q65" s="262">
        <f>Q64-N(Q67)</f>
        <v>-212</v>
      </c>
      <c r="R65" s="262">
        <f>R64-N(R67)</f>
        <v>-161</v>
      </c>
      <c r="S65" s="262">
        <f>S64-N(S67)</f>
        <v>-776</v>
      </c>
      <c r="T65" s="262">
        <f>T64-N(T67)</f>
        <v>-248</v>
      </c>
      <c r="U65" s="262">
        <f>U64-N(U67)</f>
        <v>-50</v>
      </c>
      <c r="V65" s="262">
        <f>V64-N(V67)</f>
        <v>-163</v>
      </c>
      <c r="W65" s="262">
        <f>W64-N(W67)</f>
        <v>-279</v>
      </c>
      <c r="X65" s="262">
        <f>X64-N(X67)</f>
        <v>-740</v>
      </c>
      <c r="Y65" s="262">
        <f>Y64-N(Y67)</f>
        <v>-166</v>
      </c>
      <c r="Z65" s="262">
        <f>Z64-N(Z67)</f>
        <v>-126</v>
      </c>
      <c r="AA65" s="262">
        <f>AA64-N(AA67)</f>
        <v>-200</v>
      </c>
      <c r="AB65" s="262">
        <f>AB64-N(AB67)</f>
        <v>-241</v>
      </c>
      <c r="AC65" s="262">
        <f>AC64-N(AC67)</f>
        <v>-733</v>
      </c>
      <c r="AD65" s="262">
        <f>AD64-N(AD67)</f>
        <v>-282</v>
      </c>
      <c r="AE65" s="262">
        <f>AE64-N(AE67)</f>
        <v>-270</v>
      </c>
      <c r="AF65" s="262">
        <f>AF64-N(AF67)</f>
        <v>-198</v>
      </c>
      <c r="AG65" s="262">
        <f>AG64-N(AG67)</f>
        <v>-305</v>
      </c>
      <c r="AH65" s="262">
        <f>AH64-N(AH67)</f>
        <v>-1055</v>
      </c>
      <c r="AI65" s="262">
        <f>AI64</f>
        <v>-311</v>
      </c>
      <c r="AJ65" s="262">
        <f>AJ64</f>
        <v>-399</v>
      </c>
      <c r="AK65" s="262">
        <f>AK64</f>
        <v>-458</v>
      </c>
      <c r="AL65" s="262">
        <f>AL64</f>
        <v>-246</v>
      </c>
      <c r="AM65" s="262">
        <f>AM64</f>
        <v>-1414</v>
      </c>
      <c r="AN65" s="262">
        <f>AN64</f>
        <v>-707</v>
      </c>
      <c r="AO65" s="262">
        <f>AO64</f>
        <v>-498</v>
      </c>
      <c r="AP65" s="262">
        <f>AP64</f>
        <v>-522</v>
      </c>
      <c r="AQ65" s="262">
        <f>AQ64</f>
        <v>-339</v>
      </c>
      <c r="AR65" s="262">
        <f>AR64</f>
        <v>-2066</v>
      </c>
      <c r="AS65" s="262">
        <f>AS64</f>
        <v>-173</v>
      </c>
      <c r="AT65" s="262">
        <f>AT64</f>
        <v>-478</v>
      </c>
      <c r="AU65" s="262">
        <f>AU64</f>
        <v>-314</v>
      </c>
      <c r="AV65" s="262">
        <f>AV64</f>
        <v>-1390</v>
      </c>
      <c r="AW65" s="262">
        <f>AW64</f>
        <v>-2355</v>
      </c>
      <c r="AX65" s="262">
        <f>AX64</f>
        <v>-364</v>
      </c>
      <c r="AY65" s="262">
        <f>AY64</f>
        <v>-298</v>
      </c>
      <c r="AZ65" s="262">
        <f>AZ64</f>
        <v>-370</v>
      </c>
      <c r="BA65" s="262">
        <f>BA64</f>
        <v>-235</v>
      </c>
      <c r="BB65" s="262">
        <f>BB64</f>
        <v>-1267</v>
      </c>
      <c r="BC65" s="262">
        <f>BC64</f>
        <v>-260</v>
      </c>
      <c r="BD65" s="262">
        <f>BD64</f>
        <v>-94</v>
      </c>
      <c r="BE65" s="262">
        <f>BE64</f>
        <v>-393</v>
      </c>
      <c r="BF65" s="262">
        <f>BF64</f>
        <v>-785</v>
      </c>
      <c r="BG65" s="262">
        <f>BG64</f>
        <v>-1532</v>
      </c>
      <c r="BH65" s="262">
        <f>BH64</f>
        <v>-460</v>
      </c>
      <c r="BI65" s="262">
        <f>BI64</f>
        <v>-336</v>
      </c>
      <c r="BJ65" s="262">
        <f>BJ64</f>
        <v>-271</v>
      </c>
      <c r="BK65" s="262">
        <f>BK64</f>
        <v>-692</v>
      </c>
      <c r="BL65" s="262">
        <f>BL64</f>
        <v>-1759</v>
      </c>
      <c r="BM65" s="262">
        <f>BM64</f>
        <v>-312</v>
      </c>
      <c r="BN65" s="262">
        <f>BN64</f>
        <v>-634</v>
      </c>
      <c r="BO65" s="262">
        <f>BO64</f>
        <v>-418</v>
      </c>
      <c r="BP65" s="262">
        <f>BP64</f>
        <v>-683</v>
      </c>
      <c r="BQ65" s="262">
        <f>BQ64</f>
        <v>-2047</v>
      </c>
      <c r="BR65" s="262">
        <f>BR64</f>
        <v>-362</v>
      </c>
      <c r="BS65" s="262">
        <f>BS64</f>
        <v>-1035</v>
      </c>
      <c r="BT65" s="262">
        <f>BT64</f>
        <v>-748</v>
      </c>
      <c r="BU65" s="262">
        <f>BU64</f>
        <v>-886</v>
      </c>
      <c r="BV65" s="262">
        <f>BV64</f>
        <v>-3031</v>
      </c>
      <c r="BW65" s="262">
        <f>BW64</f>
        <v>-348</v>
      </c>
      <c r="BX65" s="262">
        <f>BX64</f>
        <v>-630</v>
      </c>
      <c r="BY65" s="263">
        <f>$CQ$21</f>
        <v>-480</v>
      </c>
      <c r="BZ65" s="263">
        <f>$CQ$21</f>
        <v>-480</v>
      </c>
      <c r="CA65" s="263">
        <f>SUM(BW65:BZ65)</f>
        <v>-1938</v>
      </c>
      <c r="CB65" s="263">
        <f>(CB24+CB33+CB49)*CB66</f>
        <v>-2136.2406632774</v>
      </c>
      <c r="CC65" s="263">
        <f>(CC24+CC33+CC49)*CC66</f>
        <v>-2204.2539909822</v>
      </c>
      <c r="CD65" s="263">
        <f>(CD24+CD33+CD49)*CD66</f>
        <v>-2233.01888480262</v>
      </c>
      <c r="CE65" s="263">
        <f>(CE24+CE33+CE49)*CE66</f>
        <v>-2212.93776501114</v>
      </c>
      <c r="CF65" s="263">
        <f>(CF24+CF33+CF49)*CF66</f>
        <v>-2172.43366394624</v>
      </c>
      <c r="CG65" s="19" t="inlineStr">
        <is>
          <t>Share-based plans, deferred compensation, capitalized interest, unallocated R&amp;D, eliminations and other (2025 incl. the $445m DOJ non-prosecution agreement charge). History: as reported less the pension item to 2017. Q3/Q4-26E: point estimate. 2027E+: % of segment revenues.</t>
        </is>
      </c>
      <c r="CO65" s="25" t="inlineStr">
        <is>
          <t xml:space="preserve">  2028E</t>
        </is>
      </c>
      <c r="CP65" s="33">
        <f>CQ65+$CP$63</f>
        <v>0.08</v>
      </c>
      <c r="CQ65" s="42" t="n">
        <v>0.06</v>
      </c>
      <c r="CR65" s="33">
        <f>CQ65+$CR$63</f>
        <v>0.03</v>
      </c>
    </row>
    <row r="66" ht="15" customHeight="1" s="251">
      <c r="B66" s="25" t="inlineStr">
        <is>
          <t xml:space="preserve">    Unallocated (core basis) % of segment revenues</t>
        </is>
      </c>
      <c r="C66" s="215">
        <f>IFERROR(C65/(C24+C33+N(C49)),"")</f>
        <v>-0.0378300275843951</v>
      </c>
      <c r="D66" s="215">
        <f>IFERROR(D65/(D24+D33+N(D49)),"")</f>
        <v>-0.00762227721259891</v>
      </c>
      <c r="E66" s="215">
        <f>IFERROR(E65/(E24+E33+N(E49)),"")</f>
        <v>-0.000331619963521804</v>
      </c>
      <c r="F66" s="215">
        <f>IFERROR(F65/(F24+F33+N(F49)),"")</f>
        <v>-0.00902351134215501</v>
      </c>
      <c r="G66" s="215">
        <f>IFERROR(G65/(G24+G33+N(G49)),"")</f>
        <v>-0.011446132618342</v>
      </c>
      <c r="H66" s="215">
        <f>IFERROR(H65/(H24+H33+N(H49)),"")</f>
        <v>-0.00691152948772507</v>
      </c>
      <c r="I66" s="215">
        <f>IFERROR(I65/(I24+I33+N(I49)),"")</f>
        <v>-0.00601952675753053</v>
      </c>
      <c r="J66" s="215">
        <f>IFERROR(J65/(J24+J33+N(J49)),"")</f>
        <v>-0.00904255319148936</v>
      </c>
      <c r="K66" s="215">
        <f>IFERROR(K65/(K24+K33+N(K49)),"")</f>
        <v>-0.00811554332874828</v>
      </c>
      <c r="L66" s="215">
        <f>IFERROR(L65/(L24+L33+N(L49)),"")</f>
        <v>-0.010257341260836</v>
      </c>
      <c r="M66" s="215">
        <f>IFERROR(M65/(M24+M33+N(M49)),"")</f>
        <v>-0.0226046314000425</v>
      </c>
      <c r="N66" s="215">
        <f>IFERROR(N65/(N24+N33+N(N49)),"")</f>
        <v>-0.0128222980343011</v>
      </c>
      <c r="O66" s="215">
        <f>IFERROR(O65/(O24+O33+N(O49)),"")</f>
        <v>-0.00819833087874325</v>
      </c>
      <c r="P66" s="215">
        <f>IFERROR(P65/(P24+P33+N(P49)),"")</f>
        <v>-0.00571402657475852</v>
      </c>
      <c r="Q66" s="215">
        <f>IFERROR(Q65/(Q24+Q33+N(Q49)),"")</f>
        <v>-0.00882487616034633</v>
      </c>
      <c r="R66" s="215">
        <f>IFERROR(R65/(R24+R33+N(R49)),"")</f>
        <v>-0.00659106726163671</v>
      </c>
      <c r="S66" s="215">
        <f>IFERROR(S65/(S24+S33+N(S49)),"")</f>
        <v>-0.00853957808321687</v>
      </c>
      <c r="T66" s="215">
        <f>IFERROR(T65/(T24+T33+N(T49)),"")</f>
        <v>-0.0112267994567678</v>
      </c>
      <c r="U66" s="215">
        <f>IFERROR(U65/(U24+U33+N(U49)),"")</f>
        <v>-0.00204741820564268</v>
      </c>
      <c r="V66" s="215">
        <f>IFERROR(V65/(V24+V33+N(V49)),"")</f>
        <v>-0.00625911988326549</v>
      </c>
      <c r="W66" s="215">
        <f>IFERROR(W65/(W24+W33+N(W49)),"")</f>
        <v>-0.0116819495038312</v>
      </c>
      <c r="X66" s="215">
        <f>IFERROR(X65/(X24+X33+N(X49)),"")</f>
        <v>-0.00767348293168526</v>
      </c>
      <c r="Y66" s="215">
        <f>IFERROR(Y65/(Y24+Y33+N(Y49)),"")</f>
        <v>-0.00742563184969805</v>
      </c>
      <c r="Z66" s="215">
        <f>IFERROR(Z65/(Z24+Z33+N(Z49)),"")</f>
        <v>-0.00511571254567601</v>
      </c>
      <c r="AA66" s="215">
        <f>IFERROR(AA65/(AA24+AA33+N(AA49)),"")</f>
        <v>-0.0081696009149953</v>
      </c>
      <c r="AB66" s="215">
        <f>IFERROR(AB65/(AB24+AB33+N(AB49)),"")</f>
        <v>-0.0104324488117398</v>
      </c>
      <c r="AC66" s="215">
        <f>IFERROR(AC65/(AC24+AC33+N(AC49)),"")</f>
        <v>-0.00775111825478232</v>
      </c>
      <c r="AD66" s="215">
        <f>IFERROR(AD65/(AD24+AD33+N(AD49)),"")</f>
        <v>-0.0135336180832174</v>
      </c>
      <c r="AE66" s="215">
        <f>IFERROR(AE65/(AE24+AE33+N(AE49)),"")</f>
        <v>-0.01194743130227</v>
      </c>
      <c r="AF66" s="215">
        <f>IFERROR(AF65/(AF24+AF33+N(AF49)),"")</f>
        <v>-0.00824313072439634</v>
      </c>
      <c r="AG66" s="215">
        <f>IFERROR(AG65/(AG24+AG33+N(AG49)),"")</f>
        <v>-0.01219804831227</v>
      </c>
      <c r="AH66" s="215">
        <f>IFERROR(AH65/(AH24+AH33+N(AH49)),"")</f>
        <v>-0.0114146605355694</v>
      </c>
      <c r="AI66" s="215">
        <f>IFERROR(AI65/(AI24+AI33+N(AI49)),"")</f>
        <v>-0.0133150661471936</v>
      </c>
      <c r="AJ66" s="215">
        <f>IFERROR(AJ65/(AJ24+AJ33+N(AJ49)),"")</f>
        <v>-0.0165121668597914</v>
      </c>
      <c r="AK66" s="215">
        <f>IFERROR(AK65/(AK24+AK33+N(AK49)),"")</f>
        <v>-0.0182499203060249</v>
      </c>
      <c r="AL66" s="215">
        <f>IFERROR(AL65/(AL24+AL33+N(AL49)),"")</f>
        <v>-0.00868920207693123</v>
      </c>
      <c r="AM66" s="215">
        <f>IFERROR(AM65/(AM24+AM33+N(AM49)),"")</f>
        <v>-0.0140099873176918</v>
      </c>
      <c r="AN66" s="215">
        <f>IFERROR(AN65/(AN24+AN33+N(AN49)),"")</f>
        <v>-0.0306697900399098</v>
      </c>
      <c r="AO66" s="215">
        <f>IFERROR(AO65/(AO24+AO33+N(AO49)),"")</f>
        <v>-0.0313661271020974</v>
      </c>
      <c r="AP66" s="215">
        <f>IFERROR(AP65/(AP24+AP33+N(AP49)),"")</f>
        <v>-0.0261667251491303</v>
      </c>
      <c r="AQ66" s="215">
        <f>IFERROR(AQ65/(AQ24+AQ33+N(AQ49)),"")</f>
        <v>-0.0187583001328021</v>
      </c>
      <c r="AR66" s="215">
        <f>IFERROR(AR65/(AR24+AR33+N(AR49)),"")</f>
        <v>-0.0268486029889539</v>
      </c>
      <c r="AS66" s="215">
        <f>IFERROR(AS65/(AS24+AS33+N(AS49)),"")</f>
        <v>-0.0102518518518519</v>
      </c>
      <c r="AT66" s="215">
        <f>IFERROR(AT65/(AT24+AT33+N(AT49)),"")</f>
        <v>-0.0408232983175335</v>
      </c>
      <c r="AU66" s="215">
        <f>IFERROR(AU65/(AU24+AU33+N(AU49)),"")</f>
        <v>-0.0222096477578158</v>
      </c>
      <c r="AV66" s="215">
        <f>IFERROR(AV65/(AV24+AV33+N(AV49)),"")</f>
        <v>-0.0912073490813648</v>
      </c>
      <c r="AW66" s="215">
        <f>IFERROR(AW65/(AW24+AW33+N(AW49)),"")</f>
        <v>-0.0406300679755702</v>
      </c>
      <c r="AX66" s="215">
        <f>IFERROR(AX65/(AX24+AX33+N(AX49)),"")</f>
        <v>-0.0239426428994277</v>
      </c>
      <c r="AY66" s="215">
        <f>IFERROR(AY65/(AY24+AY33+N(AY49)),"")</f>
        <v>-0.0175728269843142</v>
      </c>
      <c r="AZ66" s="215">
        <f>IFERROR(AZ65/(AZ24+AZ33+N(AZ49)),"")</f>
        <v>-0.0241877492318755</v>
      </c>
      <c r="BA66" s="215">
        <f>IFERROR(BA65/(BA24+BA33+N(BA49)),"")</f>
        <v>-0.0157686371871435</v>
      </c>
      <c r="BB66" s="215">
        <f>IFERROR(BB65/(BB24+BB33+N(BB49)),"")</f>
        <v>-0.0203171854203749</v>
      </c>
      <c r="BC66" s="215">
        <f>IFERROR(BC65/(BC24+BC33+N(BC49)),"")</f>
        <v>-0.0186273105029374</v>
      </c>
      <c r="BD66" s="215">
        <f>IFERROR(BD65/(BD24+BD33+N(BD49)),"")</f>
        <v>-0.00562604740244194</v>
      </c>
      <c r="BE66" s="215">
        <f>IFERROR(BE65/(BE24+BE33+N(BE49)),"")</f>
        <v>-0.0245594300712411</v>
      </c>
      <c r="BF66" s="215">
        <f>IFERROR(BF65/(BF24+BF33+N(BF49)),"")</f>
        <v>-0.039305027037853</v>
      </c>
      <c r="BG66" s="215">
        <f>IFERROR(BG65/(BG24+BG33+N(BG49)),"")</f>
        <v>-0.0229891956782713</v>
      </c>
      <c r="BH66" s="215">
        <f>IFERROR(BH65/(BH24+BH33+N(BH49)),"")</f>
        <v>-0.0256081946222791</v>
      </c>
      <c r="BI66" s="215">
        <f>IFERROR(BI65/(BI24+BI33+N(BI49)),"")</f>
        <v>-0.0170100744190756</v>
      </c>
      <c r="BJ66" s="215">
        <f>IFERROR(BJ65/(BJ24+BJ33+N(BJ49)),"")</f>
        <v>-0.0149155154383841</v>
      </c>
      <c r="BK66" s="215">
        <f>IFERROR(BK65/(BK24+BK33+N(BK49)),"")</f>
        <v>-0.0313462583801413</v>
      </c>
      <c r="BL66" s="215">
        <f>IFERROR(BL65/(BL24+BL33+N(BL49)),"")</f>
        <v>-0.0225625633329485</v>
      </c>
      <c r="BM66" s="215">
        <f>IFERROR(BM65/(BM24+BM33+N(BM49)),"")</f>
        <v>-0.0187409899086977</v>
      </c>
      <c r="BN66" s="215">
        <f>IFERROR(BN65/(BN24+BN33+N(BN49)),"")</f>
        <v>-0.0374859575474487</v>
      </c>
      <c r="BO66" s="215">
        <f>IFERROR(BO65/(BO24+BO33+N(BO49)),"")</f>
        <v>-0.0233780760626398</v>
      </c>
      <c r="BP66" s="215">
        <f>IFERROR(BP65/(BP24+BP33+N(BP49)),"")</f>
        <v>-0.0446638765367512</v>
      </c>
      <c r="BQ66" s="215">
        <f>IFERROR(BQ65/(BQ24+BQ33+N(BQ49)),"")</f>
        <v>-0.030674478893501</v>
      </c>
      <c r="BR66" s="215">
        <f>IFERROR(BR65/(BR24+BR33+N(BR49)),"")</f>
        <v>-0.0185564896452737</v>
      </c>
      <c r="BS66" s="215">
        <f>IFERROR(BS65/(BS24+BS33+N(BS49)),"")</f>
        <v>-0.0454505533110838</v>
      </c>
      <c r="BT66" s="215">
        <f>IFERROR(BT65/(BT24+BT33+N(BT49)),"")</f>
        <v>-0.032012325601301</v>
      </c>
      <c r="BU66" s="215">
        <f>IFERROR(BU65/(BU24+BU33+N(BU49)),"")</f>
        <v>-0.0369089772963966</v>
      </c>
      <c r="BV66" s="215">
        <f>IFERROR(BV65/(BV24+BV33+N(BV49)),"")</f>
        <v>-0.0338088811056207</v>
      </c>
      <c r="BW66" s="215">
        <f>IFERROR(BW65/(BW24+BW33+N(BW49)),"")</f>
        <v>-0.0156954717661916</v>
      </c>
      <c r="BX66" s="215">
        <f>IFERROR(BX65/(BX24+BX33+N(BX49)),"")</f>
        <v>-0.0256326796321914</v>
      </c>
      <c r="BY66" s="260">
        <f>IFERROR(BY65/(BY24+BY33+N(BY49)),"")</f>
        <v>-0.019217956613474</v>
      </c>
      <c r="BZ66" s="260">
        <f>IFERROR(BZ65/(BZ24+BZ33+N(BZ49)),"")</f>
        <v>-0.0188280570636401</v>
      </c>
      <c r="CA66" s="260">
        <f>IFERROR(CA65/(CA24+CA33+N(CA49)),"")</f>
        <v>-0.0199340656071556</v>
      </c>
      <c r="CB66" s="270" t="n">
        <v>-0.02</v>
      </c>
      <c r="CC66" s="270" t="n">
        <v>-0.019</v>
      </c>
      <c r="CD66" s="270" t="n">
        <v>-0.018</v>
      </c>
      <c r="CE66" s="270" t="n">
        <v>-0.017</v>
      </c>
      <c r="CF66" s="270" t="n">
        <v>-0.016</v>
      </c>
      <c r="CG66" s="153" t="n"/>
      <c r="CI66" s="37">
        <f>IFERROR(AVERAGE(CB66,CC66,CD66,CE66,CF66),"n/m")</f>
        <v>-0.018</v>
      </c>
      <c r="CJ66" s="37">
        <f>IFERROR(AVERAGE(BB66,BG66,BL66,BQ66,BV66),"n/m")</f>
        <v>-0.0260704608861433</v>
      </c>
      <c r="CK66" s="37">
        <f>IFERROR(AVERAGE(AC66,AH66,AM66,AR66,AW66,BB66,BG66,BL66,BQ66,BV66),"n/m")</f>
        <v>-0.0231006741503284</v>
      </c>
      <c r="CL66" s="37">
        <f>IFERROR(AVERAGE(C66,D66,E66,F66,G66,H66,I66,N66,S66,X66,AC66,AH66,AM66,AR66,AW66,BB66,BG66,BL66,BQ66,BV66),"n/m")</f>
        <v>-0.0169613362759378</v>
      </c>
      <c r="CO66" s="25" t="inlineStr">
        <is>
          <t xml:space="preserve">  2029E</t>
        </is>
      </c>
      <c r="CP66" s="33">
        <f>CQ66+$CP$63</f>
        <v>0.11</v>
      </c>
      <c r="CQ66" s="42" t="n">
        <v>0.09</v>
      </c>
      <c r="CR66" s="33">
        <f>CQ66+$CR$63</f>
        <v>0.06</v>
      </c>
    </row>
    <row r="67" ht="15" customHeight="1" s="251">
      <c r="B67" s="25" t="inlineStr">
        <is>
          <t xml:space="preserve">  Pension line in earnings from operations: FAS/CAS service cost adjustment (2018+, income) / unallocated pension &amp; postretirement expense (to 2017)</t>
        </is>
      </c>
      <c r="C67" s="34" t="n"/>
      <c r="D67" s="266" t="n">
        <v>-686</v>
      </c>
      <c r="E67" s="266" t="n">
        <v>-287</v>
      </c>
      <c r="F67" s="266" t="n">
        <v>17</v>
      </c>
      <c r="G67" s="266" t="n">
        <v>-5</v>
      </c>
      <c r="H67" s="266" t="n">
        <v>-517</v>
      </c>
      <c r="I67" s="266" t="n">
        <v>-899</v>
      </c>
      <c r="J67" s="266" t="n">
        <v>-339</v>
      </c>
      <c r="K67" s="266" t="n">
        <v>-312</v>
      </c>
      <c r="L67" s="266" t="n">
        <v>-340</v>
      </c>
      <c r="M67" s="266" t="n">
        <v>-323</v>
      </c>
      <c r="N67" s="266" t="n">
        <v>-1314</v>
      </c>
      <c r="O67" s="266" t="n">
        <v>-553</v>
      </c>
      <c r="P67" s="266" t="n">
        <v>-204</v>
      </c>
      <c r="Q67" s="266" t="n">
        <v>-311</v>
      </c>
      <c r="R67" s="266" t="n">
        <v>-319</v>
      </c>
      <c r="S67" s="266" t="n">
        <v>-1387</v>
      </c>
      <c r="T67" s="266" t="n">
        <v>-113</v>
      </c>
      <c r="U67" s="266" t="n">
        <v>-30</v>
      </c>
      <c r="V67" s="266" t="n">
        <v>-57</v>
      </c>
      <c r="W67" s="266" t="n">
        <v>-98</v>
      </c>
      <c r="X67" s="266" t="n">
        <v>-298</v>
      </c>
      <c r="Y67" s="266" t="n">
        <v>94</v>
      </c>
      <c r="Z67" s="266" t="n">
        <v>69</v>
      </c>
      <c r="AA67" s="266" t="n">
        <v>88</v>
      </c>
      <c r="AB67" s="266" t="n">
        <v>119</v>
      </c>
      <c r="AC67" s="266" t="n">
        <v>370</v>
      </c>
      <c r="AD67" s="266" t="n">
        <v>315</v>
      </c>
      <c r="AE67" s="266" t="n">
        <v>323</v>
      </c>
      <c r="AF67" s="266" t="n">
        <v>316</v>
      </c>
      <c r="AG67" s="266" t="n">
        <v>354</v>
      </c>
      <c r="AH67" s="266" t="n">
        <v>1308</v>
      </c>
      <c r="AI67" s="266" t="n">
        <v>365</v>
      </c>
      <c r="AJ67" s="266" t="n">
        <v>317</v>
      </c>
      <c r="AK67" s="266" t="n">
        <v>337</v>
      </c>
      <c r="AL67" s="266" t="n">
        <v>308</v>
      </c>
      <c r="AM67" s="266" t="n">
        <v>1327</v>
      </c>
      <c r="AN67" s="266" t="n">
        <v>364</v>
      </c>
      <c r="AO67" s="266" t="n">
        <v>365</v>
      </c>
      <c r="AP67" s="266" t="n">
        <v>364</v>
      </c>
      <c r="AQ67" s="266" t="n">
        <v>322</v>
      </c>
      <c r="AR67" s="266" t="n">
        <v>1415</v>
      </c>
      <c r="AS67" s="266" t="n">
        <v>347</v>
      </c>
      <c r="AT67" s="266" t="n">
        <v>355</v>
      </c>
      <c r="AU67" s="266" t="n">
        <v>353</v>
      </c>
      <c r="AV67" s="266" t="n">
        <v>328</v>
      </c>
      <c r="AW67" s="266" t="n">
        <v>1383</v>
      </c>
      <c r="AX67" s="266" t="n">
        <v>270</v>
      </c>
      <c r="AY67" s="266" t="n">
        <v>268</v>
      </c>
      <c r="AZ67" s="266" t="n">
        <v>270</v>
      </c>
      <c r="BA67" s="266" t="n">
        <v>365</v>
      </c>
      <c r="BB67" s="266" t="n">
        <v>1173</v>
      </c>
      <c r="BC67" s="266" t="n">
        <v>283</v>
      </c>
      <c r="BD67" s="266" t="n">
        <v>284</v>
      </c>
      <c r="BE67" s="266" t="n">
        <v>279</v>
      </c>
      <c r="BF67" s="266" t="n">
        <v>297</v>
      </c>
      <c r="BG67" s="266" t="n">
        <v>1143</v>
      </c>
      <c r="BH67" s="266" t="n">
        <v>291</v>
      </c>
      <c r="BI67" s="266" t="n">
        <v>291</v>
      </c>
      <c r="BJ67" s="266" t="n">
        <v>281</v>
      </c>
      <c r="BK67" s="266" t="n">
        <v>193</v>
      </c>
      <c r="BL67" s="266" t="n">
        <v>1056</v>
      </c>
      <c r="BM67" s="266" t="n">
        <v>302</v>
      </c>
      <c r="BN67" s="266" t="n">
        <v>302</v>
      </c>
      <c r="BO67" s="266" t="n">
        <v>228</v>
      </c>
      <c r="BP67" s="266" t="n">
        <v>272</v>
      </c>
      <c r="BQ67" s="266" t="n">
        <v>1104</v>
      </c>
      <c r="BR67" s="266" t="n">
        <v>262</v>
      </c>
      <c r="BS67" s="266" t="n">
        <v>257</v>
      </c>
      <c r="BT67" s="266" t="n">
        <v>268</v>
      </c>
      <c r="BU67" s="266" t="n">
        <v>258</v>
      </c>
      <c r="BV67" s="266" t="n">
        <v>1045</v>
      </c>
      <c r="BW67" s="266" t="n">
        <v>155</v>
      </c>
      <c r="BX67" s="266" t="n">
        <v>155</v>
      </c>
      <c r="BY67" s="263">
        <f>$CQ$22</f>
        <v>155</v>
      </c>
      <c r="BZ67" s="263">
        <f>$CQ$22</f>
        <v>155</v>
      </c>
      <c r="CA67" s="263">
        <f>SUM(BW67:BZ67)</f>
        <v>620</v>
      </c>
      <c r="CB67" s="271" t="n">
        <v>600</v>
      </c>
      <c r="CC67" s="271" t="n">
        <v>550</v>
      </c>
      <c r="CD67" s="271" t="n">
        <v>500</v>
      </c>
      <c r="CE67" s="271" t="n">
        <v>450</v>
      </c>
      <c r="CF67" s="271" t="n">
        <v>400</v>
      </c>
      <c r="CG67" s="19" t="inlineStr">
        <is>
          <t>2018+: FAS/CAS service cost adjustment (CAS pension / postretirement cost allocated to US government contracts less FAS service cost). To 2017: −unallocated pension and postretirement expense (unallocated items detail; 2006–07 not disclosed). Q3/Q4-26E: 1H26 run-rate; 2027E+: input (declining CAS recovery).</t>
        </is>
      </c>
      <c r="CO67" s="25" t="inlineStr">
        <is>
          <t xml:space="preserve">  2030E</t>
        </is>
      </c>
      <c r="CP67" s="33">
        <f>CQ67+$CP$63</f>
        <v>0.13</v>
      </c>
      <c r="CQ67" s="42" t="n">
        <v>0.11</v>
      </c>
      <c r="CR67" s="33">
        <f>CQ67+$CR$63</f>
        <v>0.08</v>
      </c>
    </row>
    <row r="68" ht="15" customHeight="1" s="251">
      <c r="CO68" s="25" t="inlineStr">
        <is>
          <t xml:space="preserve">  2031E</t>
        </is>
      </c>
      <c r="CP68" s="33">
        <f>CQ68+$CP$63</f>
        <v>0.14</v>
      </c>
      <c r="CQ68" s="42" t="n">
        <v>0.12</v>
      </c>
      <c r="CR68" s="33">
        <f>CQ68+$CR$63</f>
        <v>0.09</v>
      </c>
    </row>
    <row r="69" ht="15" customHeight="1" s="251">
      <c r="B69" s="14" t="inlineStr">
        <is>
          <t>Future acquisitions (M&amp;A lever — none assumed: deleveraging after the Spirit acquisition)</t>
        </is>
      </c>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c r="BR69" s="14" t="n"/>
      <c r="BS69" s="14" t="n"/>
      <c r="BT69" s="14" t="n"/>
      <c r="BU69" s="14" t="n"/>
      <c r="BV69" s="14" t="n"/>
      <c r="BW69" s="14" t="n"/>
      <c r="BX69" s="14" t="n"/>
      <c r="BY69" s="14" t="n"/>
      <c r="BZ69" s="14" t="n"/>
      <c r="CA69" s="14" t="n"/>
      <c r="CB69" s="14" t="n"/>
      <c r="CC69" s="14" t="n"/>
      <c r="CD69" s="14" t="n"/>
      <c r="CE69" s="14" t="n"/>
      <c r="CF69" s="14" t="n"/>
      <c r="CG69" s="15" t="inlineStr">
        <is>
          <t>M&amp;A LEVER — acquired revenue = spend ÷ EV/sales; mid-year convention (scenario spend 0 in all cases)</t>
        </is>
      </c>
      <c r="CO69" s="15" t="inlineStr">
        <is>
          <t>BDS_G (BDS revenue growth)</t>
        </is>
      </c>
      <c r="CP69" s="41" t="n">
        <v>0.02</v>
      </c>
      <c r="CQ69" s="21" t="inlineStr">
        <is>
          <t>Δ →</t>
        </is>
      </c>
      <c r="CR69" s="41" t="n">
        <v>-0.02</v>
      </c>
      <c r="CS69" s="13" t="inlineStr">
        <is>
          <t>1H26 +17% y/y; backlog $85bn (Q2-26); US / allied defense budgets.</t>
        </is>
      </c>
    </row>
    <row r="70" ht="15" customHeight="1" s="251">
      <c r="B70" s="25" t="inlineStr">
        <is>
          <t xml:space="preserve">  Acquisition spend (USDm, scenario)</t>
        </is>
      </c>
      <c r="C70" s="34" t="n"/>
      <c r="D70" s="34" t="n"/>
      <c r="E70" s="34" t="n"/>
      <c r="F70" s="34" t="n"/>
      <c r="G70" s="34" t="n"/>
      <c r="H70" s="34" t="n"/>
      <c r="I70" s="34" t="n"/>
      <c r="J70" s="34" t="n"/>
      <c r="K70" s="34" t="n"/>
      <c r="L70" s="34" t="n"/>
      <c r="M70" s="34" t="n"/>
      <c r="N70" s="34" t="n"/>
      <c r="O70" s="34" t="n"/>
      <c r="P70" s="34" t="n"/>
      <c r="Q70" s="34" t="n"/>
      <c r="R70" s="34" t="n"/>
      <c r="S70" s="34" t="n"/>
      <c r="T70" s="34" t="n"/>
      <c r="U70" s="34" t="n"/>
      <c r="V70" s="34" t="n"/>
      <c r="W70" s="34" t="n"/>
      <c r="X70" s="34" t="n"/>
      <c r="Y70" s="34" t="n"/>
      <c r="Z70" s="34" t="n"/>
      <c r="AA70" s="34" t="n"/>
      <c r="AB70" s="34" t="n"/>
      <c r="AC70" s="34" t="n"/>
      <c r="AD70" s="34" t="n"/>
      <c r="AE70" s="34" t="n"/>
      <c r="AF70" s="34" t="n"/>
      <c r="AG70" s="34" t="n"/>
      <c r="AH70" s="34" t="n"/>
      <c r="AI70" s="34" t="n"/>
      <c r="AJ70" s="34" t="n"/>
      <c r="AK70" s="34" t="n"/>
      <c r="AL70" s="34" t="n"/>
      <c r="AM70" s="34" t="n"/>
      <c r="AN70" s="34" t="n"/>
      <c r="AO70" s="34" t="n"/>
      <c r="AP70" s="34" t="n"/>
      <c r="AQ70" s="34" t="n"/>
      <c r="AR70" s="34" t="n"/>
      <c r="AS70" s="34" t="n"/>
      <c r="AT70" s="34" t="n"/>
      <c r="AU70" s="34" t="n"/>
      <c r="AV70" s="34" t="n"/>
      <c r="AW70" s="34" t="n"/>
      <c r="AX70" s="34" t="n"/>
      <c r="AY70" s="34" t="n"/>
      <c r="AZ70" s="34" t="n"/>
      <c r="BA70" s="34" t="n"/>
      <c r="BB70" s="34" t="n"/>
      <c r="BC70" s="34" t="n"/>
      <c r="BD70" s="34" t="n"/>
      <c r="BE70" s="34" t="n"/>
      <c r="BF70" s="34" t="n"/>
      <c r="BG70" s="34" t="n"/>
      <c r="BH70" s="34" t="n"/>
      <c r="BI70" s="34" t="n"/>
      <c r="BJ70" s="34" t="n"/>
      <c r="BK70" s="34" t="n"/>
      <c r="BL70" s="34" t="n"/>
      <c r="BM70" s="34" t="n"/>
      <c r="BN70" s="34" t="n"/>
      <c r="BO70" s="34" t="n"/>
      <c r="BP70" s="34" t="n"/>
      <c r="BQ70" s="34" t="n"/>
      <c r="BR70" s="34" t="n"/>
      <c r="BS70" s="34" t="n"/>
      <c r="BT70" s="34" t="n"/>
      <c r="BU70" s="34" t="n"/>
      <c r="BV70" s="34" t="n"/>
      <c r="BW70" s="34" t="n"/>
      <c r="BX70" s="34" t="n"/>
      <c r="BY70" s="35" t="n"/>
      <c r="BZ70" s="35" t="n"/>
      <c r="CA70" s="272" t="n">
        <v>0</v>
      </c>
      <c r="CB70" s="254">
        <f>MAX(0,CHOOSE(MATCH($CG$2,{"Bull","Base","Bear"},0),$CP$94,$CQ$94,$CR$94))</f>
        <v>0</v>
      </c>
      <c r="CC70" s="254">
        <f>MAX(0,CHOOSE(MATCH($CG$2,{"Bull","Base","Bear"},0),$CP$95,$CQ$95,$CR$95))</f>
        <v>0</v>
      </c>
      <c r="CD70" s="254">
        <f>MAX(0,CHOOSE(MATCH($CG$2,{"Bull","Base","Bear"},0),$CP$96,$CQ$96,$CR$96))</f>
        <v>0</v>
      </c>
      <c r="CE70" s="254">
        <f>MAX(0,CHOOSE(MATCH($CG$2,{"Bull","Base","Bear"},0),$CP$97,$CQ$97,$CR$97))</f>
        <v>0</v>
      </c>
      <c r="CF70" s="254">
        <f>MAX(0,CHOOSE(MATCH($CG$2,{"Bull","Base","Bear"},0),$CP$98,$CQ$98,$CR$98))</f>
        <v>0</v>
      </c>
      <c r="CG70" s="19" t="inlineStr">
        <is>
          <t>Scenario lever M&amp;A_spend (zero in all cases).</t>
        </is>
      </c>
      <c r="CO70" s="25" t="inlineStr">
        <is>
          <t xml:space="preserve">  2027E</t>
        </is>
      </c>
      <c r="CP70" s="33">
        <f>CQ70+$CP$69</f>
        <v>0.07</v>
      </c>
      <c r="CQ70" s="42" t="n">
        <v>0.05</v>
      </c>
      <c r="CR70" s="33">
        <f>CQ70+$CR$69</f>
        <v>0.03</v>
      </c>
    </row>
    <row r="71" ht="15" customHeight="1" s="251">
      <c r="B71" s="25" t="inlineStr">
        <is>
          <t xml:space="preserve">  Purchase multiple — EV / sales (x)</t>
        </is>
      </c>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c r="AF71" s="36" t="n"/>
      <c r="AG71" s="36" t="n"/>
      <c r="AH71" s="36" t="n"/>
      <c r="AI71" s="36" t="n"/>
      <c r="AJ71" s="36" t="n"/>
      <c r="AK71" s="36" t="n"/>
      <c r="AL71" s="36" t="n"/>
      <c r="AM71" s="36" t="n"/>
      <c r="AN71" s="36" t="n"/>
      <c r="AO71" s="36" t="n"/>
      <c r="AP71" s="36" t="n"/>
      <c r="AQ71" s="36" t="n"/>
      <c r="AR71" s="36" t="n"/>
      <c r="AS71" s="36" t="n"/>
      <c r="AT71" s="36" t="n"/>
      <c r="AU71" s="36" t="n"/>
      <c r="AV71" s="36" t="n"/>
      <c r="AW71" s="36" t="n"/>
      <c r="AX71" s="36" t="n"/>
      <c r="AY71" s="36" t="n"/>
      <c r="AZ71" s="36" t="n"/>
      <c r="BA71" s="36" t="n"/>
      <c r="BB71" s="36" t="n"/>
      <c r="BC71" s="36" t="n"/>
      <c r="BD71" s="36" t="n"/>
      <c r="BE71" s="36" t="n"/>
      <c r="BF71" s="36" t="n"/>
      <c r="BG71" s="36" t="n"/>
      <c r="BH71" s="36" t="n"/>
      <c r="BI71" s="36" t="n"/>
      <c r="BJ71" s="36" t="n"/>
      <c r="BK71" s="36" t="n"/>
      <c r="BL71" s="36" t="n"/>
      <c r="BM71" s="36" t="n"/>
      <c r="BN71" s="36" t="n"/>
      <c r="BO71" s="36" t="n"/>
      <c r="BP71" s="36" t="n"/>
      <c r="BQ71" s="36" t="n"/>
      <c r="BR71" s="36" t="n"/>
      <c r="BS71" s="36" t="n"/>
      <c r="BT71" s="36" t="n"/>
      <c r="BU71" s="36" t="n"/>
      <c r="BV71" s="36" t="n"/>
      <c r="BW71" s="36" t="n"/>
      <c r="BX71" s="36" t="n"/>
      <c r="BY71" s="24" t="n"/>
      <c r="BZ71" s="24" t="n"/>
      <c r="CA71" s="273" t="n">
        <v>0</v>
      </c>
      <c r="CB71" s="273" t="n">
        <v>1</v>
      </c>
      <c r="CC71" s="273" t="n">
        <v>1</v>
      </c>
      <c r="CD71" s="273" t="n">
        <v>1</v>
      </c>
      <c r="CE71" s="273" t="n">
        <v>1</v>
      </c>
      <c r="CF71" s="273" t="n">
        <v>1</v>
      </c>
      <c r="CG71" s="19" t="inlineStr">
        <is>
          <t>Spirit AeroSystems: $8.4bn total consideration (10-K Note 2) for the Boeing-related operations. 1.0x input (assumption; unused at zero spend).</t>
        </is>
      </c>
      <c r="CO71" s="25" t="inlineStr">
        <is>
          <t xml:space="preserve">  2028E</t>
        </is>
      </c>
      <c r="CP71" s="33">
        <f>CQ71+$CP$69</f>
        <v>0.07</v>
      </c>
      <c r="CQ71" s="42" t="n">
        <v>0.05</v>
      </c>
      <c r="CR71" s="33">
        <f>CQ71+$CR$69</f>
        <v>0.03</v>
      </c>
    </row>
    <row r="72" collapsed="1" ht="15" customHeight="1" s="251">
      <c r="B72" s="25" t="inlineStr">
        <is>
          <t xml:space="preserve">  Annualised revenue acquired in the year</t>
        </is>
      </c>
      <c r="C72" s="34" t="n"/>
      <c r="D72" s="34" t="n"/>
      <c r="E72" s="34" t="n"/>
      <c r="F72" s="34" t="n"/>
      <c r="G72" s="34" t="n"/>
      <c r="H72" s="34" t="n"/>
      <c r="I72" s="34" t="n"/>
      <c r="J72" s="34" t="n"/>
      <c r="K72" s="34" t="n"/>
      <c r="L72" s="34" t="n"/>
      <c r="M72" s="34" t="n"/>
      <c r="N72" s="34" t="n"/>
      <c r="O72" s="34" t="n"/>
      <c r="P72" s="34" t="n"/>
      <c r="Q72" s="34" t="n"/>
      <c r="R72" s="34" t="n"/>
      <c r="S72" s="34" t="n"/>
      <c r="T72" s="34" t="n"/>
      <c r="U72" s="34" t="n"/>
      <c r="V72" s="34" t="n"/>
      <c r="W72" s="34" t="n"/>
      <c r="X72" s="34" t="n"/>
      <c r="Y72" s="34" t="n"/>
      <c r="Z72" s="34" t="n"/>
      <c r="AA72" s="34" t="n"/>
      <c r="AB72" s="34" t="n"/>
      <c r="AC72" s="34" t="n"/>
      <c r="AD72" s="34" t="n"/>
      <c r="AE72" s="34" t="n"/>
      <c r="AF72" s="34" t="n"/>
      <c r="AG72" s="34" t="n"/>
      <c r="AH72" s="34" t="n"/>
      <c r="AI72" s="34" t="n"/>
      <c r="AJ72" s="34" t="n"/>
      <c r="AK72" s="34" t="n"/>
      <c r="AL72" s="34" t="n"/>
      <c r="AM72" s="34" t="n"/>
      <c r="AN72" s="34" t="n"/>
      <c r="AO72" s="34" t="n"/>
      <c r="AP72" s="34" t="n"/>
      <c r="AQ72" s="34" t="n"/>
      <c r="AR72" s="34" t="n"/>
      <c r="AS72" s="34" t="n"/>
      <c r="AT72" s="34" t="n"/>
      <c r="AU72" s="34" t="n"/>
      <c r="AV72" s="34" t="n"/>
      <c r="AW72" s="34" t="n"/>
      <c r="AX72" s="34" t="n"/>
      <c r="AY72" s="34" t="n"/>
      <c r="AZ72" s="34" t="n"/>
      <c r="BA72" s="34" t="n"/>
      <c r="BB72" s="34" t="n"/>
      <c r="BC72" s="34" t="n"/>
      <c r="BD72" s="34" t="n"/>
      <c r="BE72" s="34" t="n"/>
      <c r="BF72" s="34" t="n"/>
      <c r="BG72" s="34" t="n"/>
      <c r="BH72" s="34" t="n"/>
      <c r="BI72" s="34" t="n"/>
      <c r="BJ72" s="34" t="n"/>
      <c r="BK72" s="34" t="n"/>
      <c r="BL72" s="34" t="n"/>
      <c r="BM72" s="34" t="n"/>
      <c r="BN72" s="34" t="n"/>
      <c r="BO72" s="34" t="n"/>
      <c r="BP72" s="34" t="n"/>
      <c r="BQ72" s="34" t="n"/>
      <c r="BR72" s="34" t="n"/>
      <c r="BS72" s="34" t="n"/>
      <c r="BT72" s="34" t="n"/>
      <c r="BU72" s="34" t="n"/>
      <c r="BV72" s="34" t="n"/>
      <c r="BW72" s="34" t="n"/>
      <c r="BX72" s="34" t="n"/>
      <c r="BY72" s="35" t="n"/>
      <c r="BZ72" s="35" t="n"/>
      <c r="CA72" s="272" t="n">
        <v>0</v>
      </c>
      <c r="CB72" s="254">
        <f>IFERROR(CB70/CB71,0)</f>
        <v>0</v>
      </c>
      <c r="CC72" s="254">
        <f>IFERROR(CC70/CC71,0)</f>
        <v>0</v>
      </c>
      <c r="CD72" s="254">
        <f>IFERROR(CD70/CD71,0)</f>
        <v>0</v>
      </c>
      <c r="CE72" s="254">
        <f>IFERROR(CE70/CE71,0)</f>
        <v>0</v>
      </c>
      <c r="CF72" s="254">
        <f>IFERROR(CF70/CF71,0)</f>
        <v>0</v>
      </c>
      <c r="CG72" s="19" t="n"/>
      <c r="CO72" s="25" t="inlineStr">
        <is>
          <t xml:space="preserve">  2029E</t>
        </is>
      </c>
      <c r="CP72" s="33">
        <f>CQ72+$CP$69</f>
        <v>0.065</v>
      </c>
      <c r="CQ72" s="42" t="n">
        <v>0.045</v>
      </c>
      <c r="CR72" s="33">
        <f>CQ72+$CR$69</f>
        <v>0.025</v>
      </c>
    </row>
    <row r="73" ht="15" customHeight="1" s="251">
      <c r="B73" s="16" t="inlineStr">
        <is>
          <t xml:space="preserve">  Revenue from future acquisitions</t>
        </is>
      </c>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c r="AC73" s="43" t="n"/>
      <c r="AD73" s="43" t="n"/>
      <c r="AE73" s="43" t="n"/>
      <c r="AF73" s="43" t="n"/>
      <c r="AG73" s="43" t="n"/>
      <c r="AH73" s="43" t="n"/>
      <c r="AI73" s="43" t="n"/>
      <c r="AJ73" s="43" t="n"/>
      <c r="AK73" s="43" t="n"/>
      <c r="AL73" s="43" t="n"/>
      <c r="AM73" s="43" t="n"/>
      <c r="AN73" s="43" t="n"/>
      <c r="AO73" s="43" t="n"/>
      <c r="AP73" s="43" t="n"/>
      <c r="AQ73" s="43" t="n"/>
      <c r="AR73" s="43" t="n"/>
      <c r="AS73" s="43" t="n"/>
      <c r="AT73" s="43" t="n"/>
      <c r="AU73" s="43" t="n"/>
      <c r="AV73" s="43" t="n"/>
      <c r="AW73" s="43" t="n"/>
      <c r="AX73" s="43" t="n"/>
      <c r="AY73" s="43" t="n"/>
      <c r="AZ73" s="43" t="n"/>
      <c r="BA73" s="43" t="n"/>
      <c r="BB73" s="43" t="n"/>
      <c r="BC73" s="43" t="n"/>
      <c r="BD73" s="43" t="n"/>
      <c r="BE73" s="43" t="n"/>
      <c r="BF73" s="43" t="n"/>
      <c r="BG73" s="43" t="n"/>
      <c r="BH73" s="43" t="n"/>
      <c r="BI73" s="43" t="n"/>
      <c r="BJ73" s="43" t="n"/>
      <c r="BK73" s="43" t="n"/>
      <c r="BL73" s="43" t="n"/>
      <c r="BM73" s="43" t="n"/>
      <c r="BN73" s="43" t="n"/>
      <c r="BO73" s="43" t="n"/>
      <c r="BP73" s="43" t="n"/>
      <c r="BQ73" s="43" t="n"/>
      <c r="BR73" s="43" t="n"/>
      <c r="BS73" s="43" t="n"/>
      <c r="BT73" s="43" t="n"/>
      <c r="BU73" s="43" t="n"/>
      <c r="BV73" s="43" t="n"/>
      <c r="BW73" s="43" t="n"/>
      <c r="BX73" s="43" t="n"/>
      <c r="BY73" s="32" t="n"/>
      <c r="BZ73" s="32" t="n"/>
      <c r="CA73" s="274" t="n">
        <v>0</v>
      </c>
      <c r="CB73" s="258">
        <f>CA73+0.5*CB72+0.5*CA72</f>
        <v>0</v>
      </c>
      <c r="CC73" s="258">
        <f>CB73+0.5*CC72+0.5*CB72</f>
        <v>0</v>
      </c>
      <c r="CD73" s="258">
        <f>CC73+0.5*CD72+0.5*CC72</f>
        <v>0</v>
      </c>
      <c r="CE73" s="258">
        <f>CD73+0.5*CE72+0.5*CD72</f>
        <v>0</v>
      </c>
      <c r="CF73" s="258">
        <f>CE73+0.5*CF72+0.5*CE72</f>
        <v>0</v>
      </c>
      <c r="CG73" s="153" t="n"/>
      <c r="CO73" s="25" t="inlineStr">
        <is>
          <t xml:space="preserve">  2030E</t>
        </is>
      </c>
      <c r="CP73" s="33">
        <f>CQ73+$CP$69</f>
        <v>0.06</v>
      </c>
      <c r="CQ73" s="42" t="n">
        <v>0.04</v>
      </c>
      <c r="CR73" s="33">
        <f>CQ73+$CR$69</f>
        <v>0.02</v>
      </c>
    </row>
    <row r="74" ht="15" customHeight="1" s="251">
      <c r="B74" s="25" t="inlineStr">
        <is>
          <t xml:space="preserve">  Operating margin of acquired businesses %</t>
        </is>
      </c>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c r="AF74" s="36" t="n"/>
      <c r="AG74" s="36" t="n"/>
      <c r="AH74" s="36" t="n"/>
      <c r="AI74" s="36" t="n"/>
      <c r="AJ74" s="36" t="n"/>
      <c r="AK74" s="36" t="n"/>
      <c r="AL74" s="36" t="n"/>
      <c r="AM74" s="36" t="n"/>
      <c r="AN74" s="36" t="n"/>
      <c r="AO74" s="36" t="n"/>
      <c r="AP74" s="36" t="n"/>
      <c r="AQ74" s="36" t="n"/>
      <c r="AR74" s="36" t="n"/>
      <c r="AS74" s="36" t="n"/>
      <c r="AT74" s="36" t="n"/>
      <c r="AU74" s="36" t="n"/>
      <c r="AV74" s="36" t="n"/>
      <c r="AW74" s="36" t="n"/>
      <c r="AX74" s="36" t="n"/>
      <c r="AY74" s="36" t="n"/>
      <c r="AZ74" s="36" t="n"/>
      <c r="BA74" s="36" t="n"/>
      <c r="BB74" s="36" t="n"/>
      <c r="BC74" s="36" t="n"/>
      <c r="BD74" s="36" t="n"/>
      <c r="BE74" s="36" t="n"/>
      <c r="BF74" s="36" t="n"/>
      <c r="BG74" s="36" t="n"/>
      <c r="BH74" s="36" t="n"/>
      <c r="BI74" s="36" t="n"/>
      <c r="BJ74" s="36" t="n"/>
      <c r="BK74" s="36" t="n"/>
      <c r="BL74" s="36" t="n"/>
      <c r="BM74" s="36" t="n"/>
      <c r="BN74" s="36" t="n"/>
      <c r="BO74" s="36" t="n"/>
      <c r="BP74" s="36" t="n"/>
      <c r="BQ74" s="36" t="n"/>
      <c r="BR74" s="36" t="n"/>
      <c r="BS74" s="36" t="n"/>
      <c r="BT74" s="36" t="n"/>
      <c r="BU74" s="36" t="n"/>
      <c r="BV74" s="36" t="n"/>
      <c r="BW74" s="36" t="n"/>
      <c r="BX74" s="36" t="n"/>
      <c r="BY74" s="24" t="n"/>
      <c r="BZ74" s="24" t="n"/>
      <c r="CA74" s="270" t="n">
        <v>0</v>
      </c>
      <c r="CB74" s="270" t="n">
        <v>0.08</v>
      </c>
      <c r="CC74" s="270" t="n">
        <v>0.08</v>
      </c>
      <c r="CD74" s="270" t="n">
        <v>0.08</v>
      </c>
      <c r="CE74" s="270" t="n">
        <v>0.08</v>
      </c>
      <c r="CF74" s="270" t="n">
        <v>0.08</v>
      </c>
      <c r="CG74" s="19" t="n"/>
      <c r="CO74" s="25" t="inlineStr">
        <is>
          <t xml:space="preserve">  2031E</t>
        </is>
      </c>
      <c r="CP74" s="33">
        <f>CQ74+$CP$69</f>
        <v>0.06</v>
      </c>
      <c r="CQ74" s="42" t="n">
        <v>0.04</v>
      </c>
      <c r="CR74" s="33">
        <f>CQ74+$CR$69</f>
        <v>0.02</v>
      </c>
    </row>
    <row r="75" ht="15" customHeight="1" s="251">
      <c r="B75" s="25" t="inlineStr">
        <is>
          <t xml:space="preserve">  Earnings from future acquisitions</t>
        </is>
      </c>
      <c r="C75" s="34" t="n"/>
      <c r="D75" s="34" t="n"/>
      <c r="E75" s="34" t="n"/>
      <c r="F75" s="34" t="n"/>
      <c r="G75" s="34" t="n"/>
      <c r="H75" s="34" t="n"/>
      <c r="I75" s="34" t="n"/>
      <c r="J75" s="34" t="n"/>
      <c r="K75" s="34" t="n"/>
      <c r="L75" s="34" t="n"/>
      <c r="M75" s="34" t="n"/>
      <c r="N75" s="34" t="n"/>
      <c r="O75" s="34" t="n"/>
      <c r="P75" s="34" t="n"/>
      <c r="Q75" s="34" t="n"/>
      <c r="R75" s="34" t="n"/>
      <c r="S75" s="34" t="n"/>
      <c r="T75" s="34" t="n"/>
      <c r="U75" s="34" t="n"/>
      <c r="V75" s="34" t="n"/>
      <c r="W75" s="34" t="n"/>
      <c r="X75" s="34" t="n"/>
      <c r="Y75" s="34" t="n"/>
      <c r="Z75" s="34" t="n"/>
      <c r="AA75" s="34" t="n"/>
      <c r="AB75" s="34" t="n"/>
      <c r="AC75" s="34" t="n"/>
      <c r="AD75" s="34" t="n"/>
      <c r="AE75" s="34" t="n"/>
      <c r="AF75" s="34" t="n"/>
      <c r="AG75" s="34" t="n"/>
      <c r="AH75" s="34" t="n"/>
      <c r="AI75" s="34" t="n"/>
      <c r="AJ75" s="34" t="n"/>
      <c r="AK75" s="34" t="n"/>
      <c r="AL75" s="34" t="n"/>
      <c r="AM75" s="34" t="n"/>
      <c r="AN75" s="34" t="n"/>
      <c r="AO75" s="34" t="n"/>
      <c r="AP75" s="34" t="n"/>
      <c r="AQ75" s="34" t="n"/>
      <c r="AR75" s="34" t="n"/>
      <c r="AS75" s="34" t="n"/>
      <c r="AT75" s="34" t="n"/>
      <c r="AU75" s="34" t="n"/>
      <c r="AV75" s="34" t="n"/>
      <c r="AW75" s="34" t="n"/>
      <c r="AX75" s="34" t="n"/>
      <c r="AY75" s="34" t="n"/>
      <c r="AZ75" s="34" t="n"/>
      <c r="BA75" s="34" t="n"/>
      <c r="BB75" s="34" t="n"/>
      <c r="BC75" s="34" t="n"/>
      <c r="BD75" s="34" t="n"/>
      <c r="BE75" s="34" t="n"/>
      <c r="BF75" s="34" t="n"/>
      <c r="BG75" s="34" t="n"/>
      <c r="BH75" s="34" t="n"/>
      <c r="BI75" s="34" t="n"/>
      <c r="BJ75" s="34" t="n"/>
      <c r="BK75" s="34" t="n"/>
      <c r="BL75" s="34" t="n"/>
      <c r="BM75" s="34" t="n"/>
      <c r="BN75" s="34" t="n"/>
      <c r="BO75" s="34" t="n"/>
      <c r="BP75" s="34" t="n"/>
      <c r="BQ75" s="34" t="n"/>
      <c r="BR75" s="34" t="n"/>
      <c r="BS75" s="34" t="n"/>
      <c r="BT75" s="34" t="n"/>
      <c r="BU75" s="34" t="n"/>
      <c r="BV75" s="34" t="n"/>
      <c r="BW75" s="34" t="n"/>
      <c r="BX75" s="34" t="n"/>
      <c r="BY75" s="35" t="n"/>
      <c r="BZ75" s="35" t="n"/>
      <c r="CA75" s="272" t="n">
        <v>0</v>
      </c>
      <c r="CB75" s="254">
        <f>CB73*CB74</f>
        <v>0</v>
      </c>
      <c r="CC75" s="254">
        <f>CC73*CC74</f>
        <v>0</v>
      </c>
      <c r="CD75" s="254">
        <f>CD73*CD74</f>
        <v>0</v>
      </c>
      <c r="CE75" s="254">
        <f>CE73*CE74</f>
        <v>0</v>
      </c>
      <c r="CF75" s="254">
        <f>CF73*CF74</f>
        <v>0</v>
      </c>
      <c r="CG75" s="19" t="n"/>
      <c r="CO75" s="15" t="inlineStr">
        <is>
          <t>BDS_M (BDS operating margin)</t>
        </is>
      </c>
      <c r="CP75" s="41" t="n">
        <v>0.01</v>
      </c>
      <c r="CQ75" s="21" t="inlineStr">
        <is>
          <t>Δ →</t>
        </is>
      </c>
      <c r="CR75" s="41" t="n">
        <v>-0.02</v>
      </c>
      <c r="CS75" s="13" t="inlineStr">
        <is>
          <t>Fixed-price development programs maturing (KC-46A, T-7A, MQ-25 Milestone C, VC-25B); 2013–17 margins 9–11%; high-single-digit long-term (UNVERIFIED).</t>
        </is>
      </c>
    </row>
    <row r="76" ht="15" customHeight="1" s="251">
      <c r="B76" s="25" t="inlineStr">
        <is>
          <t xml:space="preserve">  PP&amp;E % of spend</t>
        </is>
      </c>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c r="AF76" s="36" t="n"/>
      <c r="AG76" s="36" t="n"/>
      <c r="AH76" s="36" t="n"/>
      <c r="AI76" s="36" t="n"/>
      <c r="AJ76" s="36" t="n"/>
      <c r="AK76" s="36" t="n"/>
      <c r="AL76" s="36" t="n"/>
      <c r="AM76" s="36" t="n"/>
      <c r="AN76" s="36" t="n"/>
      <c r="AO76" s="36" t="n"/>
      <c r="AP76" s="36" t="n"/>
      <c r="AQ76" s="36" t="n"/>
      <c r="AR76" s="36" t="n"/>
      <c r="AS76" s="36" t="n"/>
      <c r="AT76" s="36" t="n"/>
      <c r="AU76" s="36" t="n"/>
      <c r="AV76" s="36" t="n"/>
      <c r="AW76" s="36" t="n"/>
      <c r="AX76" s="36" t="n"/>
      <c r="AY76" s="36" t="n"/>
      <c r="AZ76" s="36" t="n"/>
      <c r="BA76" s="36" t="n"/>
      <c r="BB76" s="36" t="n"/>
      <c r="BC76" s="36" t="n"/>
      <c r="BD76" s="36" t="n"/>
      <c r="BE76" s="36" t="n"/>
      <c r="BF76" s="36" t="n"/>
      <c r="BG76" s="36" t="n"/>
      <c r="BH76" s="36" t="n"/>
      <c r="BI76" s="36" t="n"/>
      <c r="BJ76" s="36" t="n"/>
      <c r="BK76" s="36" t="n"/>
      <c r="BL76" s="36" t="n"/>
      <c r="BM76" s="36" t="n"/>
      <c r="BN76" s="36" t="n"/>
      <c r="BO76" s="36" t="n"/>
      <c r="BP76" s="36" t="n"/>
      <c r="BQ76" s="36" t="n"/>
      <c r="BR76" s="36" t="n"/>
      <c r="BS76" s="36" t="n"/>
      <c r="BT76" s="36" t="n"/>
      <c r="BU76" s="36" t="n"/>
      <c r="BV76" s="36" t="n"/>
      <c r="BW76" s="36" t="n"/>
      <c r="BX76" s="36" t="n"/>
      <c r="BY76" s="24" t="n"/>
      <c r="BZ76" s="24" t="n"/>
      <c r="CA76" s="270" t="n">
        <v>0</v>
      </c>
      <c r="CB76" s="270" t="n">
        <v>0.25</v>
      </c>
      <c r="CC76" s="270" t="n">
        <v>0.25</v>
      </c>
      <c r="CD76" s="270" t="n">
        <v>0.25</v>
      </c>
      <c r="CE76" s="270" t="n">
        <v>0.25</v>
      </c>
      <c r="CF76" s="270" t="n">
        <v>0.25</v>
      </c>
      <c r="CG76" s="19" t="n"/>
      <c r="CO76" s="25" t="inlineStr">
        <is>
          <t xml:space="preserve">  2027E</t>
        </is>
      </c>
      <c r="CP76" s="33">
        <f>CQ76+$CP$75</f>
        <v>0.07</v>
      </c>
      <c r="CQ76" s="42" t="n">
        <v>0.06</v>
      </c>
      <c r="CR76" s="33">
        <f>CQ76+$CR$75</f>
        <v>0.04</v>
      </c>
    </row>
    <row r="77" ht="15" customHeight="1" s="251">
      <c r="B77" s="25" t="inlineStr">
        <is>
          <t xml:space="preserve">  Acquired intangibles % of spend</t>
        </is>
      </c>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c r="AF77" s="36" t="n"/>
      <c r="AG77" s="36" t="n"/>
      <c r="AH77" s="36" t="n"/>
      <c r="AI77" s="36" t="n"/>
      <c r="AJ77" s="36" t="n"/>
      <c r="AK77" s="36" t="n"/>
      <c r="AL77" s="36" t="n"/>
      <c r="AM77" s="36" t="n"/>
      <c r="AN77" s="36" t="n"/>
      <c r="AO77" s="36" t="n"/>
      <c r="AP77" s="36" t="n"/>
      <c r="AQ77" s="36" t="n"/>
      <c r="AR77" s="36" t="n"/>
      <c r="AS77" s="36" t="n"/>
      <c r="AT77" s="36" t="n"/>
      <c r="AU77" s="36" t="n"/>
      <c r="AV77" s="36" t="n"/>
      <c r="AW77" s="36" t="n"/>
      <c r="AX77" s="36" t="n"/>
      <c r="AY77" s="36" t="n"/>
      <c r="AZ77" s="36" t="n"/>
      <c r="BA77" s="36" t="n"/>
      <c r="BB77" s="36" t="n"/>
      <c r="BC77" s="36" t="n"/>
      <c r="BD77" s="36" t="n"/>
      <c r="BE77" s="36" t="n"/>
      <c r="BF77" s="36" t="n"/>
      <c r="BG77" s="36" t="n"/>
      <c r="BH77" s="36" t="n"/>
      <c r="BI77" s="36" t="n"/>
      <c r="BJ77" s="36" t="n"/>
      <c r="BK77" s="36" t="n"/>
      <c r="BL77" s="36" t="n"/>
      <c r="BM77" s="36" t="n"/>
      <c r="BN77" s="36" t="n"/>
      <c r="BO77" s="36" t="n"/>
      <c r="BP77" s="36" t="n"/>
      <c r="BQ77" s="36" t="n"/>
      <c r="BR77" s="36" t="n"/>
      <c r="BS77" s="36" t="n"/>
      <c r="BT77" s="36" t="n"/>
      <c r="BU77" s="36" t="n"/>
      <c r="BV77" s="36" t="n"/>
      <c r="BW77" s="36" t="n"/>
      <c r="BX77" s="36" t="n"/>
      <c r="BY77" s="24" t="n"/>
      <c r="BZ77" s="24" t="n"/>
      <c r="CA77" s="270" t="n">
        <v>0</v>
      </c>
      <c r="CB77" s="270" t="n">
        <v>0.05</v>
      </c>
      <c r="CC77" s="270" t="n">
        <v>0.05</v>
      </c>
      <c r="CD77" s="270" t="n">
        <v>0.05</v>
      </c>
      <c r="CE77" s="270" t="n">
        <v>0.05</v>
      </c>
      <c r="CF77" s="270" t="n">
        <v>0.05</v>
      </c>
      <c r="CG77" s="19" t="inlineStr">
        <is>
          <t>Spirit PPA: intangibles $109m (1%), PP&amp;E $2.4bn, goodwill $10.0bn.</t>
        </is>
      </c>
      <c r="CO77" s="25" t="inlineStr">
        <is>
          <t xml:space="preserve">  2028E</t>
        </is>
      </c>
      <c r="CP77" s="33">
        <f>CQ77+$CP$75</f>
        <v>0.085</v>
      </c>
      <c r="CQ77" s="42" t="n">
        <v>0.075</v>
      </c>
      <c r="CR77" s="33">
        <f>CQ77+$CR$75</f>
        <v>0.055</v>
      </c>
    </row>
    <row r="78" ht="15" customHeight="1" s="251">
      <c r="CO78" s="25" t="inlineStr">
        <is>
          <t xml:space="preserve">  2029E</t>
        </is>
      </c>
      <c r="CP78" s="33">
        <f>CQ78+$CP$75</f>
        <v>0.095</v>
      </c>
      <c r="CQ78" s="42" t="n">
        <v>0.08500000000000001</v>
      </c>
      <c r="CR78" s="33">
        <f>CQ78+$CR$75</f>
        <v>0.065</v>
      </c>
    </row>
    <row r="79" ht="15" customHeight="1" s="251">
      <c r="B79" s="14" t="inlineStr">
        <is>
          <t>Group Total — revenues, core operating earnings &amp; earnings from operations (segment build) → 2026 calibration</t>
        </is>
      </c>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c r="BR79" s="14" t="n"/>
      <c r="BS79" s="14" t="n"/>
      <c r="BT79" s="14" t="n"/>
      <c r="BU79" s="14" t="n"/>
      <c r="BV79" s="14" t="n"/>
      <c r="BW79" s="14" t="n"/>
      <c r="BX79" s="14" t="n"/>
      <c r="BY79" s="14" t="n"/>
      <c r="BZ79" s="14" t="n"/>
      <c r="CA79" s="14" t="n"/>
      <c r="CB79" s="14" t="n"/>
      <c r="CC79" s="14" t="n"/>
      <c r="CD79" s="14" t="n"/>
      <c r="CE79" s="14" t="n"/>
      <c r="CF79" s="14" t="n"/>
      <c r="CG79" s="15" t="inlineStr">
        <is>
          <t>GROUP TOTAL (CONSOLIDATED) — modelling logic</t>
        </is>
      </c>
      <c r="CO79" s="25" t="inlineStr">
        <is>
          <t xml:space="preserve">  2030E</t>
        </is>
      </c>
      <c r="CP79" s="33">
        <f>CQ79+$CP$75</f>
        <v>0.1</v>
      </c>
      <c r="CQ79" s="42" t="n">
        <v>0.09</v>
      </c>
      <c r="CR79" s="33">
        <f>CQ79+$CR$75</f>
        <v>0.07</v>
      </c>
    </row>
    <row r="80" collapsed="1" ht="15" customHeight="1" s="251">
      <c r="B80" s="55" t="inlineStr">
        <is>
          <t>Total revenues (segment build)</t>
        </is>
      </c>
      <c r="C80" s="275">
        <f>N(C24)+N(C33)+N(C49)+N(C58)+N(C60)+N(C62)</f>
        <v>61530</v>
      </c>
      <c r="D80" s="275">
        <f>N(D24)+N(D33)+N(D49)+N(D58)+N(D60)+N(D62)</f>
        <v>66387</v>
      </c>
      <c r="E80" s="275">
        <f>N(E24)+N(E33)+N(E49)+N(E58)+N(E60)+N(E62)</f>
        <v>60925</v>
      </c>
      <c r="F80" s="275">
        <f>N(F24)+N(F33)+N(F49)+N(F58)+N(F60)+N(F62)</f>
        <v>68281</v>
      </c>
      <c r="G80" s="275">
        <f>N(G24)+N(G33)+N(G49)+N(G58)+N(G60)+N(G62)</f>
        <v>64306</v>
      </c>
      <c r="H80" s="275">
        <f>N(H24)+N(H33)+N(H49)+N(H58)+N(H60)+N(H62)</f>
        <v>68735</v>
      </c>
      <c r="I80" s="275">
        <f>N(I24)+N(I33)+N(I49)+N(I58)+N(I60)+N(I62)</f>
        <v>81698</v>
      </c>
      <c r="J80" s="275">
        <f>N(J24)+N(J33)+N(J49)+N(J58)+N(J60)+N(J62)</f>
        <v>18893</v>
      </c>
      <c r="K80" s="275">
        <f>N(K24)+N(K33)+N(K49)+N(K58)+N(K60)+N(K62)</f>
        <v>21815</v>
      </c>
      <c r="L80" s="275">
        <f>N(L24)+N(L33)+N(L49)+N(L58)+N(L60)+N(L62)</f>
        <v>22130</v>
      </c>
      <c r="M80" s="275">
        <f>N(M24)+N(M33)+N(M49)+N(M58)+N(M60)+N(M62)</f>
        <v>23785</v>
      </c>
      <c r="N80" s="275">
        <f>N(N24)+N(N33)+N(N49)+N(N58)+N(N60)+N(N62)</f>
        <v>86623</v>
      </c>
      <c r="O80" s="275">
        <f>N(O24)+N(O33)+N(O49)+N(O58)+N(O60)+N(O62)</f>
        <v>20465</v>
      </c>
      <c r="P80" s="275">
        <f>N(P24)+N(P33)+N(P49)+N(P58)+N(P60)+N(P62)</f>
        <v>22045</v>
      </c>
      <c r="Q80" s="275">
        <f>N(Q24)+N(Q33)+N(Q49)+N(Q58)+N(Q60)+N(Q62)</f>
        <v>23784</v>
      </c>
      <c r="R80" s="275">
        <f>N(R24)+N(R33)+N(R49)+N(R58)+N(R60)+N(R62)</f>
        <v>24468</v>
      </c>
      <c r="S80" s="275">
        <f>N(S24)+N(S33)+N(S49)+N(S58)+N(S60)+N(S62)</f>
        <v>90762</v>
      </c>
      <c r="T80" s="275">
        <f>N(T24)+N(T33)+N(T49)+N(T58)+N(T60)+N(T62)</f>
        <v>22149</v>
      </c>
      <c r="U80" s="275">
        <f>N(U24)+N(U33)+N(U49)+N(U58)+N(U60)+N(U62)</f>
        <v>24543</v>
      </c>
      <c r="V80" s="275">
        <f>N(V24)+N(V33)+N(V49)+N(V58)+N(V60)+N(V62)</f>
        <v>25849</v>
      </c>
      <c r="W80" s="275">
        <f>N(W24)+N(W33)+N(W49)+N(W58)+N(W60)+N(W62)</f>
        <v>23573</v>
      </c>
      <c r="X80" s="275">
        <f>N(X24)+N(X33)+N(X49)+N(X58)+N(X60)+N(X62)</f>
        <v>96114</v>
      </c>
      <c r="Y80" s="275">
        <f>N(Y24)+N(Y33)+N(Y49)+N(Y58)+N(Y60)+N(Y62)</f>
        <v>22632</v>
      </c>
      <c r="Z80" s="275">
        <f>N(Z24)+N(Z33)+N(Z49)+N(Z58)+N(Z60)+N(Z62)</f>
        <v>24755</v>
      </c>
      <c r="AA80" s="275">
        <f>N(AA24)+N(AA33)+N(AA49)+N(AA58)+N(AA60)+N(AA62)</f>
        <v>23898</v>
      </c>
      <c r="AB80" s="275">
        <f>N(AB24)+N(AB33)+N(AB49)+N(AB58)+N(AB60)+N(AB62)</f>
        <v>23286</v>
      </c>
      <c r="AC80" s="275">
        <f>N(AC24)+N(AC33)+N(AC49)+N(AC58)+N(AC60)+N(AC62)</f>
        <v>94571</v>
      </c>
      <c r="AD80" s="275">
        <f>N(AD24)+N(AD33)+N(AD49)+N(AD58)+N(AD60)+N(AD62)</f>
        <v>20976</v>
      </c>
      <c r="AE80" s="275">
        <f>N(AE24)+N(AE33)+N(AE49)+N(AE58)+N(AE60)+N(AE62)</f>
        <v>22739</v>
      </c>
      <c r="AF80" s="275">
        <f>N(AF24)+N(AF33)+N(AF49)+N(AF58)+N(AF60)+N(AF62)</f>
        <v>24309</v>
      </c>
      <c r="AG80" s="275">
        <f>N(AG24)+N(AG33)+N(AG49)+N(AG58)+N(AG60)+N(AG62)</f>
        <v>25368</v>
      </c>
      <c r="AH80" s="275">
        <f>N(AH24)+N(AH33)+N(AH49)+N(AH58)+N(AH60)+N(AH62)</f>
        <v>93392</v>
      </c>
      <c r="AI80" s="275">
        <f>N(AI24)+N(AI33)+N(AI49)+N(AI58)+N(AI60)+N(AI62)</f>
        <v>23382</v>
      </c>
      <c r="AJ80" s="275">
        <f>N(AJ24)+N(AJ33)+N(AJ49)+N(AJ58)+N(AJ60)+N(AJ62)</f>
        <v>24258</v>
      </c>
      <c r="AK80" s="275">
        <f>N(AK24)+N(AK33)+N(AK49)+N(AK58)+N(AK60)+N(AK62)</f>
        <v>25146</v>
      </c>
      <c r="AL80" s="275">
        <f>N(AL24)+N(AL33)+N(AL49)+N(AL58)+N(AL60)+N(AL62)</f>
        <v>28341</v>
      </c>
      <c r="AM80" s="275">
        <f>N(AM24)+N(AM33)+N(AM49)+N(AM58)+N(AM60)+N(AM62)</f>
        <v>101127</v>
      </c>
      <c r="AN80" s="275">
        <f>N(AN24)+N(AN33)+N(AN49)+N(AN58)+N(AN60)+N(AN62)</f>
        <v>22917</v>
      </c>
      <c r="AO80" s="275">
        <f>N(AO24)+N(AO33)+N(AO49)+N(AO58)+N(AO60)+N(AO62)</f>
        <v>15751</v>
      </c>
      <c r="AP80" s="275">
        <f>N(AP24)+N(AP33)+N(AP49)+N(AP58)+N(AP60)+N(AP62)</f>
        <v>19980</v>
      </c>
      <c r="AQ80" s="275">
        <f>N(AQ24)+N(AQ33)+N(AQ49)+N(AQ58)+N(AQ60)+N(AQ62)</f>
        <v>17911</v>
      </c>
      <c r="AR80" s="275">
        <f>N(AR24)+N(AR33)+N(AR49)+N(AR58)+N(AR60)+N(AR62)</f>
        <v>76559</v>
      </c>
      <c r="AS80" s="275">
        <f>N(AS24)+N(AS33)+N(AS49)+N(AS58)+N(AS60)+N(AS62)</f>
        <v>16908</v>
      </c>
      <c r="AT80" s="275">
        <f>N(AT24)+N(AT33)+N(AT49)+N(AT58)+N(AT60)+N(AT62)</f>
        <v>11807</v>
      </c>
      <c r="AU80" s="275">
        <f>N(AU24)+N(AU33)+N(AU49)+N(AU58)+N(AU60)+N(AU62)</f>
        <v>14139</v>
      </c>
      <c r="AV80" s="275">
        <f>N(AV24)+N(AV33)+N(AV49)+N(AV58)+N(AV60)+N(AV62)</f>
        <v>15304</v>
      </c>
      <c r="AW80" s="275">
        <f>N(AW24)+N(AW33)+N(AW49)+N(AW58)+N(AW60)+N(AW62)</f>
        <v>58158</v>
      </c>
      <c r="AX80" s="275">
        <f>N(AX24)+N(AX33)+N(AX49)+N(AX58)+N(AX60)+N(AX62)</f>
        <v>15217</v>
      </c>
      <c r="AY80" s="275">
        <f>N(AY24)+N(AY33)+N(AY49)+N(AY58)+N(AY60)+N(AY62)</f>
        <v>16998</v>
      </c>
      <c r="AZ80" s="275">
        <f>N(AZ24)+N(AZ33)+N(AZ49)+N(AZ58)+N(AZ60)+N(AZ62)</f>
        <v>15278</v>
      </c>
      <c r="BA80" s="275">
        <f>N(BA24)+N(BA33)+N(BA49)+N(BA58)+N(BA60)+N(BA62)</f>
        <v>14793</v>
      </c>
      <c r="BB80" s="275">
        <f>N(BB24)+N(BB33)+N(BB49)+N(BB58)+N(BB60)+N(BB62)</f>
        <v>62286</v>
      </c>
      <c r="BC80" s="275">
        <f>N(BC24)+N(BC33)+N(BC49)+N(BC58)+N(BC60)+N(BC62)</f>
        <v>13991</v>
      </c>
      <c r="BD80" s="275">
        <f>N(BD24)+N(BD33)+N(BD49)+N(BD58)+N(BD60)+N(BD62)</f>
        <v>16681</v>
      </c>
      <c r="BE80" s="275">
        <f>N(BE24)+N(BE33)+N(BE49)+N(BE58)+N(BE60)+N(BE62)</f>
        <v>15956</v>
      </c>
      <c r="BF80" s="275">
        <f>N(BF24)+N(BF33)+N(BF49)+N(BF58)+N(BF60)+N(BF62)</f>
        <v>19980</v>
      </c>
      <c r="BG80" s="275">
        <f>N(BG24)+N(BG33)+N(BG49)+N(BG58)+N(BG60)+N(BG62)</f>
        <v>66608</v>
      </c>
      <c r="BH80" s="275">
        <f>N(BH24)+N(BH33)+N(BH49)+N(BH58)+N(BH60)+N(BH62)</f>
        <v>17921</v>
      </c>
      <c r="BI80" s="275">
        <f>N(BI24)+N(BI33)+N(BI49)+N(BI58)+N(BI60)+N(BI62)</f>
        <v>19751</v>
      </c>
      <c r="BJ80" s="275">
        <f>N(BJ24)+N(BJ33)+N(BJ49)+N(BJ58)+N(BJ60)+N(BJ62)</f>
        <v>18104</v>
      </c>
      <c r="BK80" s="275">
        <f>N(BK24)+N(BK33)+N(BK49)+N(BK58)+N(BK60)+N(BK62)</f>
        <v>22018</v>
      </c>
      <c r="BL80" s="275">
        <f>N(BL24)+N(BL33)+N(BL49)+N(BL58)+N(BL60)+N(BL62)</f>
        <v>77794</v>
      </c>
      <c r="BM80" s="275">
        <f>N(BM24)+N(BM33)+N(BM49)+N(BM58)+N(BM60)+N(BM62)</f>
        <v>16569</v>
      </c>
      <c r="BN80" s="275">
        <f>N(BN24)+N(BN33)+N(BN49)+N(BN58)+N(BN60)+N(BN62)</f>
        <v>16866</v>
      </c>
      <c r="BO80" s="275">
        <f>N(BO24)+N(BO33)+N(BO49)+N(BO58)+N(BO60)+N(BO62)</f>
        <v>17840</v>
      </c>
      <c r="BP80" s="275">
        <f>N(BP24)+N(BP33)+N(BP49)+N(BP58)+N(BP60)+N(BP62)</f>
        <v>15242</v>
      </c>
      <c r="BQ80" s="275">
        <f>N(BQ24)+N(BQ33)+N(BQ49)+N(BQ58)+N(BQ60)+N(BQ62)</f>
        <v>66517</v>
      </c>
      <c r="BR80" s="275">
        <f>N(BR24)+N(BR33)+N(BR49)+N(BR58)+N(BR60)+N(BR62)</f>
        <v>19496</v>
      </c>
      <c r="BS80" s="275">
        <f>N(BS24)+N(BS33)+N(BS49)+N(BS58)+N(BS60)+N(BS62)</f>
        <v>22749</v>
      </c>
      <c r="BT80" s="275">
        <f>N(BT24)+N(BT33)+N(BT49)+N(BT58)+N(BT60)+N(BT62)</f>
        <v>23270</v>
      </c>
      <c r="BU80" s="275">
        <f>N(BU24)+N(BU33)+N(BU49)+N(BU58)+N(BU60)+N(BU62)</f>
        <v>23948</v>
      </c>
      <c r="BV80" s="275">
        <f>N(BV24)+N(BV33)+N(BV49)+N(BV58)+N(BV60)+N(BV62)</f>
        <v>89463</v>
      </c>
      <c r="BW80" s="275">
        <f>N(BW24)+N(BW33)+N(BW49)+N(BW58)+N(BW60)+N(BW62)</f>
        <v>22217</v>
      </c>
      <c r="BX80" s="275">
        <f>N(BX24)+N(BX33)+N(BX49)+N(BX58)+N(BX60)+N(BX62)</f>
        <v>24560</v>
      </c>
      <c r="BY80" s="275">
        <f>N(BY24)+N(BY33)+N(BY49)+N(BY58)+N(BY60)+N(BY62)+N(BY73)</f>
        <v>24990.1408393006</v>
      </c>
      <c r="BZ80" s="275">
        <f>N(BZ24)+N(BZ33)+N(BZ49)+N(BZ58)+N(BZ60)+N(BZ62)+N(BZ73)</f>
        <v>25507.3679215581</v>
      </c>
      <c r="CA80" s="275">
        <f>N(CA24)+N(CA33)+N(CA49)+N(CA58)+N(CA60)+N(CA62)+N(CA73)</f>
        <v>97274.5087608587</v>
      </c>
      <c r="CB80" s="275">
        <f>N(CB24)+N(CB33)+N(CB49)+N(CB58)+N(CB60)+N(CB62)+N(CB73)</f>
        <v>106598.409097542</v>
      </c>
      <c r="CC80" s="275">
        <f>N(CC24)+N(CC33)+N(CC49)+N(CC58)+N(CC60)+N(CC62)+N(CC73)</f>
        <v>115781.341210539</v>
      </c>
      <c r="CD80" s="275">
        <f>N(CD24)+N(CD33)+N(CD49)+N(CD58)+N(CD60)+N(CD62)+N(CD73)</f>
        <v>123808.491501834</v>
      </c>
      <c r="CE80" s="275">
        <f>N(CE24)+N(CE33)+N(CE49)+N(CE58)+N(CE60)+N(CE62)+N(CE73)</f>
        <v>129912.464087125</v>
      </c>
      <c r="CF80" s="275">
        <f>N(CF24)+N(CF33)+N(CF49)+N(CF58)+N(CF60)+N(CF62)+N(CF73)</f>
        <v>135505.549788647</v>
      </c>
      <c r="CG80" s="153" t="inlineStr">
        <is>
          <t>Σ segments + BCC + Other + unallocated / eliminations (+ future acquisitions).</t>
        </is>
      </c>
      <c r="CI80" s="20">
        <f>IFERROR(IF(AND(CF80&gt;0,CA80&gt;0),(CF80/CA80)^(1/5)-1,"n/m"),"n/m")</f>
        <v>0.068542024844142</v>
      </c>
      <c r="CJ80" s="20">
        <f>IFERROR(IF(AND(BV80&gt;0,AW80&gt;0),(BV80/AW80)^(1/5)-1,"n/m"),"n/m")</f>
        <v>0.0899505600378272</v>
      </c>
      <c r="CK80" s="20">
        <f>IFERROR(IF(AND(BV80&gt;0,X80&gt;0),(BV80/X80)^(1/10)-1,"n/m"),"n/m")</f>
        <v>-0.00714533532889228</v>
      </c>
      <c r="CL80" s="20">
        <f>IFERROR(IF(AND(BV80&gt;0,C80&gt;0),(BV80/C80)^(1/19)-1,"n/m"),"n/m")</f>
        <v>0.0198953400885245</v>
      </c>
      <c r="CO80" s="25" t="inlineStr">
        <is>
          <t xml:space="preserve">  2031E</t>
        </is>
      </c>
      <c r="CP80" s="33">
        <f>CQ80+$CP$75</f>
        <v>0.1</v>
      </c>
      <c r="CQ80" s="42" t="n">
        <v>0.09</v>
      </c>
      <c r="CR80" s="33">
        <f>CQ80+$CR$75</f>
        <v>0.07</v>
      </c>
    </row>
    <row r="81" ht="15" customHeight="1" s="251">
      <c r="B81" s="22" t="inlineStr">
        <is>
          <t xml:space="preserve">  Total revenues y/y %</t>
        </is>
      </c>
      <c r="C81" s="23" t="n"/>
      <c r="D81" s="259">
        <f>IF(AND(ISNUMBER(D80),ISNUMBER(C80)),IF(C80&gt;0,IFERROR(D80/C80-1,""),"n/m"),"")</f>
        <v>0.0789371038517797</v>
      </c>
      <c r="E81" s="259">
        <f>IF(AND(ISNUMBER(E80),ISNUMBER(D80)),IF(D80&gt;0,IFERROR(E80/D80-1,""),"n/m"),"")</f>
        <v>-0.082275144230045</v>
      </c>
      <c r="F81" s="259">
        <f>IF(AND(ISNUMBER(F80),ISNUMBER(E80)),IF(E80&gt;0,IFERROR(F80/E80-1,""),"n/m"),"")</f>
        <v>0.120738613048831</v>
      </c>
      <c r="G81" s="259">
        <f>IF(AND(ISNUMBER(G80),ISNUMBER(F80)),IF(F80&gt;0,IFERROR(G80/F80-1,""),"n/m"),"")</f>
        <v>-0.0582153161201505</v>
      </c>
      <c r="H81" s="259">
        <f>IF(AND(ISNUMBER(H80),ISNUMBER(G80)),IF(G80&gt;0,IFERROR(H80/G80-1,""),"n/m"),"")</f>
        <v>0.0688738220383791</v>
      </c>
      <c r="I81" s="259">
        <f>IF(AND(ISNUMBER(I80),ISNUMBER(H80)),IF(H80&gt;0,IFERROR(I80/H80-1,""),"n/m"),"")</f>
        <v>0.188593875027279</v>
      </c>
      <c r="J81" s="23" t="n"/>
      <c r="K81" s="23" t="n"/>
      <c r="L81" s="23" t="n"/>
      <c r="M81" s="23" t="n"/>
      <c r="N81" s="259">
        <f>IF(AND(ISNUMBER(N80),ISNUMBER(I80)),IF(I80&gt;0,IFERROR(N80/I80-1,""),"n/m"),"")</f>
        <v>0.0602829934637323</v>
      </c>
      <c r="O81" s="259">
        <f>IF(AND(ISNUMBER(O80),ISNUMBER(J80)),IF(J80&gt;0,IFERROR(O80/J80-1,""),"n/m"),"")</f>
        <v>0.0832054199968242</v>
      </c>
      <c r="P81" s="259">
        <f>IF(AND(ISNUMBER(P80),ISNUMBER(K80)),IF(K80&gt;0,IFERROR(P80/K80-1,""),"n/m"),"")</f>
        <v>0.0105432042172817</v>
      </c>
      <c r="Q81" s="259">
        <f>IF(AND(ISNUMBER(Q80),ISNUMBER(L80)),IF(L80&gt;0,IFERROR(Q80/L80-1,""),"n/m"),"")</f>
        <v>0.0747401717126073</v>
      </c>
      <c r="R81" s="259">
        <f>IF(AND(ISNUMBER(R80),ISNUMBER(M80)),IF(M80&gt;0,IFERROR(R80/M80-1,""),"n/m"),"")</f>
        <v>0.0287155770443557</v>
      </c>
      <c r="S81" s="259">
        <f>IF(AND(ISNUMBER(S80),ISNUMBER(N80)),IF(N80&gt;0,IFERROR(S80/N80-1,""),"n/m"),"")</f>
        <v>0.0477817669672027</v>
      </c>
      <c r="T81" s="259">
        <f>IF(AND(ISNUMBER(T80),ISNUMBER(O80)),IF(O80&gt;0,IFERROR(T80/O80-1,""),"n/m"),"")</f>
        <v>0.0822868311751772</v>
      </c>
      <c r="U81" s="259">
        <f>IF(AND(ISNUMBER(U80),ISNUMBER(P80)),IF(P80&gt;0,IFERROR(U80/P80-1,""),"n/m"),"")</f>
        <v>0.113313676570651</v>
      </c>
      <c r="V81" s="259">
        <f>IF(AND(ISNUMBER(V80),ISNUMBER(Q80)),IF(Q80&gt;0,IFERROR(V80/Q80-1,""),"n/m"),"")</f>
        <v>0.0868230743356879</v>
      </c>
      <c r="W81" s="259">
        <f>IF(AND(ISNUMBER(W80),ISNUMBER(R80)),IF(R80&gt;0,IFERROR(W80/R80-1,""),"n/m"),"")</f>
        <v>-0.0365783880987413</v>
      </c>
      <c r="X81" s="259">
        <f>IF(AND(ISNUMBER(X80),ISNUMBER(S80)),IF(S80&gt;0,IFERROR(X80/S80-1,""),"n/m"),"")</f>
        <v>0.058967409268196</v>
      </c>
      <c r="Y81" s="259">
        <f>IF(AND(ISNUMBER(Y80),ISNUMBER(T80)),IF(T80&gt;0,IFERROR(Y80/T80-1,""),"n/m"),"")</f>
        <v>0.0218068535825544</v>
      </c>
      <c r="Z81" s="259">
        <f>IF(AND(ISNUMBER(Z80),ISNUMBER(U80)),IF(U80&gt;0,IFERROR(Z80/U80-1,""),"n/m"),"")</f>
        <v>0.00863790082711979</v>
      </c>
      <c r="AA81" s="259">
        <f>IF(AND(ISNUMBER(AA80),ISNUMBER(V80)),IF(V80&gt;0,IFERROR(AA80/V80-1,""),"n/m"),"")</f>
        <v>-0.0754768076134473</v>
      </c>
      <c r="AB81" s="259">
        <f>IF(AND(ISNUMBER(AB80),ISNUMBER(W80)),IF(W80&gt;0,IFERROR(AB80/W80-1,""),"n/m"),"")</f>
        <v>-0.0121749459126967</v>
      </c>
      <c r="AC81" s="259">
        <f>IF(AND(ISNUMBER(AC80),ISNUMBER(X80)),IF(X80&gt;0,IFERROR(AC80/X80-1,""),"n/m"),"")</f>
        <v>-0.0160538527165658</v>
      </c>
      <c r="AD81" s="259">
        <f>IF(AND(ISNUMBER(AD80),ISNUMBER(Y80)),IF(Y80&gt;0,IFERROR(AD80/Y80-1,""),"n/m"),"")</f>
        <v>-0.073170731707317</v>
      </c>
      <c r="AE81" s="259">
        <f>IF(AND(ISNUMBER(AE80),ISNUMBER(Z80)),IF(Z80&gt;0,IFERROR(AE80/Z80-1,""),"n/m"),"")</f>
        <v>-0.0814380933144819</v>
      </c>
      <c r="AF81" s="259">
        <f>IF(AND(ISNUMBER(AF80),ISNUMBER(AA80)),IF(AA80&gt;0,IFERROR(AF80/AA80-1,""),"n/m"),"")</f>
        <v>0.0171980918905348</v>
      </c>
      <c r="AG81" s="259">
        <f>IF(AND(ISNUMBER(AG80),ISNUMBER(AB80)),IF(AB80&gt;0,IFERROR(AG80/AB80-1,""),"n/m"),"")</f>
        <v>0.0894099458902344</v>
      </c>
      <c r="AH81" s="259">
        <f>IF(AND(ISNUMBER(AH80),ISNUMBER(AC80)),IF(AC80&gt;0,IFERROR(AH80/AC80-1,""),"n/m"),"")</f>
        <v>-0.0124668238677819</v>
      </c>
      <c r="AI81" s="259">
        <f>IF(AND(ISNUMBER(AI80),ISNUMBER(AD80)),IF(AD80&gt;0,IFERROR(AI80/AD80-1,""),"n/m"),"")</f>
        <v>0.114702517162471</v>
      </c>
      <c r="AJ81" s="259">
        <f>IF(AND(ISNUMBER(AJ80),ISNUMBER(AE80)),IF(AE80&gt;0,IFERROR(AJ80/AE80-1,""),"n/m"),"")</f>
        <v>0.0668015304103082</v>
      </c>
      <c r="AK81" s="259">
        <f>IF(AND(ISNUMBER(AK80),ISNUMBER(AF80)),IF(AF80&gt;0,IFERROR(AK80/AF80-1,""),"n/m"),"")</f>
        <v>0.0344316919659387</v>
      </c>
      <c r="AL81" s="259">
        <f>IF(AND(ISNUMBER(AL80),ISNUMBER(AG80)),IF(AG80&gt;0,IFERROR(AL80/AG80-1,""),"n/m"),"")</f>
        <v>0.117194891201514</v>
      </c>
      <c r="AM81" s="259">
        <f>IF(AND(ISNUMBER(AM80),ISNUMBER(AH80)),IF(AH80&gt;0,IFERROR(AM80/AH80-1,""),"n/m"),"")</f>
        <v>0.0828229398663698</v>
      </c>
      <c r="AN81" s="259">
        <f>IF(AND(ISNUMBER(AN80),ISNUMBER(AI80)),IF(AI80&gt;0,IFERROR(AN80/AI80-1,""),"n/m"),"")</f>
        <v>-0.0198870926353605</v>
      </c>
      <c r="AO81" s="259">
        <f>IF(AND(ISNUMBER(AO80),ISNUMBER(AJ80)),IF(AJ80&gt;0,IFERROR(AO80/AJ80-1,""),"n/m"),"")</f>
        <v>-0.350688432682002</v>
      </c>
      <c r="AP81" s="259">
        <f>IF(AND(ISNUMBER(AP80),ISNUMBER(AK80)),IF(AK80&gt;0,IFERROR(AP80/AK80-1,""),"n/m"),"")</f>
        <v>-0.205440229062276</v>
      </c>
      <c r="AQ81" s="259">
        <f>IF(AND(ISNUMBER(AQ80),ISNUMBER(AL80)),IF(AL80&gt;0,IFERROR(AQ80/AL80-1,""),"n/m"),"")</f>
        <v>-0.36801806569987</v>
      </c>
      <c r="AR81" s="259">
        <f>IF(AND(ISNUMBER(AR80),ISNUMBER(AM80)),IF(AM80&gt;0,IFERROR(AR80/AM80-1,""),"n/m"),"")</f>
        <v>-0.242942043173435</v>
      </c>
      <c r="AS81" s="259">
        <f>IF(AND(ISNUMBER(AS80),ISNUMBER(AN80)),IF(AN80&gt;0,IFERROR(AS80/AN80-1,""),"n/m"),"")</f>
        <v>-0.262207095169525</v>
      </c>
      <c r="AT81" s="259">
        <f>IF(AND(ISNUMBER(AT80),ISNUMBER(AO80)),IF(AO80&gt;0,IFERROR(AT80/AO80-1,""),"n/m"),"")</f>
        <v>-0.250396800203162</v>
      </c>
      <c r="AU81" s="259">
        <f>IF(AND(ISNUMBER(AU80),ISNUMBER(AP80)),IF(AP80&gt;0,IFERROR(AU80/AP80-1,""),"n/m"),"")</f>
        <v>-0.292342342342342</v>
      </c>
      <c r="AV81" s="259">
        <f>IF(AND(ISNUMBER(AV80),ISNUMBER(AQ80)),IF(AQ80&gt;0,IFERROR(AV80/AQ80-1,""),"n/m"),"")</f>
        <v>-0.14555301211546</v>
      </c>
      <c r="AW81" s="259">
        <f>IF(AND(ISNUMBER(AW80),ISNUMBER(AR80)),IF(AR80&gt;0,IFERROR(AW80/AR80-1,""),"n/m"),"")</f>
        <v>-0.240350579291788</v>
      </c>
      <c r="AX81" s="259">
        <f>IF(AND(ISNUMBER(AX80),ISNUMBER(AS80)),IF(AS80&gt;0,IFERROR(AX80/AS80-1,""),"n/m"),"")</f>
        <v>-0.100011828720132</v>
      </c>
      <c r="AY81" s="259">
        <f>IF(AND(ISNUMBER(AY80),ISNUMBER(AT80)),IF(AT80&gt;0,IFERROR(AY80/AT80-1,""),"n/m"),"")</f>
        <v>0.439654442280003</v>
      </c>
      <c r="AZ81" s="259">
        <f>IF(AND(ISNUMBER(AZ80),ISNUMBER(AU80)),IF(AU80&gt;0,IFERROR(AZ80/AU80-1,""),"n/m"),"")</f>
        <v>0.0805573237145485</v>
      </c>
      <c r="BA81" s="259">
        <f>IF(AND(ISNUMBER(BA80),ISNUMBER(AV80)),IF(AV80&gt;0,IFERROR(BA80/AV80-1,""),"n/m"),"")</f>
        <v>-0.0333899634082593</v>
      </c>
      <c r="BB81" s="259">
        <f>IF(AND(ISNUMBER(BB80),ISNUMBER(AW80)),IF(AW80&gt;0,IFERROR(BB80/AW80-1,""),"n/m"),"")</f>
        <v>0.0709790570514806</v>
      </c>
      <c r="BC81" s="259">
        <f>IF(AND(ISNUMBER(BC80),ISNUMBER(AX80)),IF(AX80&gt;0,IFERROR(BC80/AX80-1,""),"n/m"),"")</f>
        <v>-0.0805677860287836</v>
      </c>
      <c r="BD81" s="259">
        <f>IF(AND(ISNUMBER(BD80),ISNUMBER(AY80)),IF(AY80&gt;0,IFERROR(BD80/AY80-1,""),"n/m"),"")</f>
        <v>-0.0186492528532769</v>
      </c>
      <c r="BE81" s="259">
        <f>IF(AND(ISNUMBER(BE80),ISNUMBER(AZ80)),IF(AZ80&gt;0,IFERROR(BE80/AZ80-1,""),"n/m"),"")</f>
        <v>0.0443775363267442</v>
      </c>
      <c r="BF81" s="259">
        <f>IF(AND(ISNUMBER(BF80),ISNUMBER(BA80)),IF(BA80&gt;0,IFERROR(BF80/BA80-1,""),"n/m"),"")</f>
        <v>0.350638815656054</v>
      </c>
      <c r="BG81" s="259">
        <f>IF(AND(ISNUMBER(BG80),ISNUMBER(BB80)),IF(BB80&gt;0,IFERROR(BG80/BB80-1,""),"n/m"),"")</f>
        <v>0.0693895899560093</v>
      </c>
      <c r="BH81" s="259">
        <f>IF(AND(ISNUMBER(BH80),ISNUMBER(BC80)),IF(BC80&gt;0,IFERROR(BH80/BC80-1,""),"n/m"),"")</f>
        <v>0.28089486098206</v>
      </c>
      <c r="BI81" s="259">
        <f>IF(AND(ISNUMBER(BI80),ISNUMBER(BD80)),IF(BD80&gt;0,IFERROR(BI80/BD80-1,""),"n/m"),"")</f>
        <v>0.184041724117259</v>
      </c>
      <c r="BJ81" s="259">
        <f>IF(AND(ISNUMBER(BJ80),ISNUMBER(BE80)),IF(BE80&gt;0,IFERROR(BJ80/BE80-1,""),"n/m"),"")</f>
        <v>0.134620205565305</v>
      </c>
      <c r="BK81" s="259">
        <f>IF(AND(ISNUMBER(BK80),ISNUMBER(BF80)),IF(BF80&gt;0,IFERROR(BK80/BF80-1,""),"n/m"),"")</f>
        <v>0.102002002002002</v>
      </c>
      <c r="BL81" s="259">
        <f>IF(AND(ISNUMBER(BL80),ISNUMBER(BG80)),IF(BG80&gt;0,IFERROR(BL80/BG80-1,""),"n/m"),"")</f>
        <v>0.167937785251021</v>
      </c>
      <c r="BM81" s="259">
        <f>IF(AND(ISNUMBER(BM80),ISNUMBER(BH80)),IF(BH80&gt;0,IFERROR(BM80/BH80-1,""),"n/m"),"")</f>
        <v>-0.0754422186261927</v>
      </c>
      <c r="BN81" s="259">
        <f>IF(AND(ISNUMBER(BN80),ISNUMBER(BI80)),IF(BI80&gt;0,IFERROR(BN80/BI80-1,""),"n/m"),"")</f>
        <v>-0.146068553490962</v>
      </c>
      <c r="BO81" s="259">
        <f>IF(AND(ISNUMBER(BO80),ISNUMBER(BJ80)),IF(BJ80&gt;0,IFERROR(BO80/BJ80-1,""),"n/m"),"")</f>
        <v>-0.0145824127264693</v>
      </c>
      <c r="BP81" s="259">
        <f>IF(AND(ISNUMBER(BP80),ISNUMBER(BK80)),IF(BK80&gt;0,IFERROR(BP80/BK80-1,""),"n/m"),"")</f>
        <v>-0.307748206013262</v>
      </c>
      <c r="BQ81" s="259">
        <f>IF(AND(ISNUMBER(BQ80),ISNUMBER(BL80)),IF(BL80&gt;0,IFERROR(BQ80/BL80-1,""),"n/m"),"")</f>
        <v>-0.144959765534617</v>
      </c>
      <c r="BR81" s="259">
        <f>IF(AND(ISNUMBER(BR80),ISNUMBER(BM80)),IF(BM80&gt;0,IFERROR(BR80/BM80-1,""),"n/m"),"")</f>
        <v>0.176655199468888</v>
      </c>
      <c r="BS81" s="259">
        <f>IF(AND(ISNUMBER(BS80),ISNUMBER(BN80)),IF(BN80&gt;0,IFERROR(BS80/BN80-1,""),"n/m"),"")</f>
        <v>0.348808253290644</v>
      </c>
      <c r="BT81" s="259">
        <f>IF(AND(ISNUMBER(BT80),ISNUMBER(BO80)),IF(BO80&gt;0,IFERROR(BT80/BO80-1,""),"n/m"),"")</f>
        <v>0.304372197309417</v>
      </c>
      <c r="BU81" s="259">
        <f>IF(AND(ISNUMBER(BU80),ISNUMBER(BP80)),IF(BP80&gt;0,IFERROR(BU80/BP80-1,""),"n/m"),"")</f>
        <v>0.571184883873507</v>
      </c>
      <c r="BV81" s="259">
        <f>IF(AND(ISNUMBER(BV80),ISNUMBER(BQ80)),IF(BQ80&gt;0,IFERROR(BV80/BQ80-1,""),"n/m"),"")</f>
        <v>0.344964445179428</v>
      </c>
      <c r="BW81" s="259">
        <f>IF(AND(ISNUMBER(BW80),ISNUMBER(BR80)),IF(BR80&gt;0,IFERROR(BW80/BR80-1,""),"n/m"),"")</f>
        <v>0.139567090685269</v>
      </c>
      <c r="BX81" s="259">
        <f>IF(AND(ISNUMBER(BX80),ISNUMBER(BS80)),IF(BS80&gt;0,IFERROR(BX80/BS80-1,""),"n/m"),"")</f>
        <v>0.079607894852521</v>
      </c>
      <c r="BY81" s="260">
        <f>IF(AND(ISNUMBER(BY80),ISNUMBER(BT80)),IF(BT80&gt;0,IFERROR(BY80/BT80-1,""),"n/m"),"")</f>
        <v>0.0739209643017</v>
      </c>
      <c r="BZ81" s="260">
        <f>IF(AND(ISNUMBER(BZ80),ISNUMBER(BU80)),IF(BU80&gt;0,IFERROR(BZ80/BU80-1,""),"n/m"),"")</f>
        <v>0.0651147453465044</v>
      </c>
      <c r="CA81" s="260">
        <f>IF(AND(ISNUMBER(CA80),ISNUMBER(BV80)),IF(BV80&gt;0,IFERROR(CA80/BV80-1,""),"n/m"),"")</f>
        <v>0.0873155244163357</v>
      </c>
      <c r="CB81" s="260">
        <f>IF(AND(ISNUMBER(CB80),ISNUMBER(CA80)),IF(CA80&gt;0,IFERROR(CB80/CA80-1,""),"n/m"),"")</f>
        <v>0.0958514255734295</v>
      </c>
      <c r="CC81" s="260">
        <f>IF(AND(ISNUMBER(CC80),ISNUMBER(CB80)),IF(CB80&gt;0,IFERROR(CC80/CB80-1,""),"n/m"),"")</f>
        <v>0.0861451140850875</v>
      </c>
      <c r="CD81" s="260">
        <f>IF(AND(ISNUMBER(CD80),ISNUMBER(CC80)),IF(CC80&gt;0,IFERROR(CD80/CC80-1,""),"n/m"),"")</f>
        <v>0.0693302582900557</v>
      </c>
      <c r="CE81" s="260">
        <f>IF(AND(ISNUMBER(CE80),ISNUMBER(CD80)),IF(CD80&gt;0,IFERROR(CE80/CD80-1,""),"n/m"),"")</f>
        <v>0.049301728106427</v>
      </c>
      <c r="CF81" s="260">
        <f>IF(AND(ISNUMBER(CF80),ISNUMBER(CE80)),IF(CE80&gt;0,IFERROR(CF80/CE80-1,""),"n/m"),"")</f>
        <v>0.0430527258552416</v>
      </c>
      <c r="CG81" s="153" t="n"/>
      <c r="CO81" s="15" t="inlineStr">
        <is>
          <t>BGS_G (BGS revenue growth)</t>
        </is>
      </c>
      <c r="CP81" s="41" t="n">
        <v>0.01</v>
      </c>
      <c r="CQ81" s="21" t="inlineStr">
        <is>
          <t>Δ →</t>
        </is>
      </c>
      <c r="CR81" s="41" t="n">
        <v>-0.02</v>
      </c>
      <c r="CS81" s="13" t="inlineStr">
        <is>
          <t>Ex-Digital Aviation Solutions base; fleet utilisation, parts and government services; backlog $33bn.</t>
        </is>
      </c>
    </row>
    <row r="82" ht="15" customHeight="1" s="251">
      <c r="B82" s="57" t="inlineStr">
        <is>
          <t xml:space="preserve">  Check: segment build vs consolidated revenues (should be 0)</t>
        </is>
      </c>
      <c r="C82" s="262">
        <f>IF(ISNUMBER(C118),ROUND(C80-C118,1),"")</f>
        <v>0</v>
      </c>
      <c r="D82" s="262">
        <f>IF(ISNUMBER(D118),ROUND(D80-D118,1),"")</f>
        <v>0</v>
      </c>
      <c r="E82" s="262">
        <f>IF(ISNUMBER(E118),ROUND(E80-E118,1),"")</f>
        <v>0</v>
      </c>
      <c r="F82" s="262">
        <f>IF(ISNUMBER(F118),ROUND(F80-F118,1),"")</f>
        <v>0</v>
      </c>
      <c r="G82" s="262">
        <f>IF(ISNUMBER(G118),ROUND(G80-G118,1),"")</f>
        <v>0</v>
      </c>
      <c r="H82" s="262">
        <f>IF(ISNUMBER(H118),ROUND(H80-H118,1),"")</f>
        <v>0</v>
      </c>
      <c r="I82" s="262">
        <f>IF(ISNUMBER(I118),ROUND(I80-I118,1),"")</f>
        <v>0</v>
      </c>
      <c r="J82" s="262">
        <f>IF(ISNUMBER(J118),ROUND(J80-J118,1),"")</f>
        <v>0</v>
      </c>
      <c r="K82" s="262">
        <f>IF(ISNUMBER(K118),ROUND(K80-K118,1),"")</f>
        <v>0</v>
      </c>
      <c r="L82" s="262">
        <f>IF(ISNUMBER(L118),ROUND(L80-L118,1),"")</f>
        <v>0</v>
      </c>
      <c r="M82" s="262">
        <f>IF(ISNUMBER(M118),ROUND(M80-M118,1),"")</f>
        <v>0</v>
      </c>
      <c r="N82" s="262">
        <f>IF(ISNUMBER(N118),ROUND(N80-N118,1),"")</f>
        <v>0</v>
      </c>
      <c r="O82" s="262">
        <f>IF(ISNUMBER(O118),ROUND(O80-O118,1),"")</f>
        <v>0</v>
      </c>
      <c r="P82" s="262">
        <f>IF(ISNUMBER(P118),ROUND(P80-P118,1),"")</f>
        <v>0</v>
      </c>
      <c r="Q82" s="262">
        <f>IF(ISNUMBER(Q118),ROUND(Q80-Q118,1),"")</f>
        <v>0</v>
      </c>
      <c r="R82" s="262">
        <f>IF(ISNUMBER(R118),ROUND(R80-R118,1),"")</f>
        <v>0</v>
      </c>
      <c r="S82" s="262">
        <f>IF(ISNUMBER(S118),ROUND(S80-S118,1),"")</f>
        <v>0</v>
      </c>
      <c r="T82" s="262">
        <f>IF(ISNUMBER(T118),ROUND(T80-T118,1),"")</f>
        <v>0</v>
      </c>
      <c r="U82" s="262">
        <f>IF(ISNUMBER(U118),ROUND(U80-U118,1),"")</f>
        <v>0</v>
      </c>
      <c r="V82" s="262">
        <f>IF(ISNUMBER(V118),ROUND(V80-V118,1),"")</f>
        <v>0</v>
      </c>
      <c r="W82" s="262">
        <f>IF(ISNUMBER(W118),ROUND(W80-W118,1),"")</f>
        <v>0</v>
      </c>
      <c r="X82" s="262">
        <f>IF(ISNUMBER(X118),ROUND(X80-X118,1),"")</f>
        <v>0</v>
      </c>
      <c r="Y82" s="262">
        <f>IF(ISNUMBER(Y118),ROUND(Y80-Y118,1),"")</f>
        <v>0</v>
      </c>
      <c r="Z82" s="262">
        <f>IF(ISNUMBER(Z118),ROUND(Z80-Z118,1),"")</f>
        <v>0</v>
      </c>
      <c r="AA82" s="262">
        <f>IF(ISNUMBER(AA118),ROUND(AA80-AA118,1),"")</f>
        <v>0</v>
      </c>
      <c r="AB82" s="262">
        <f>IF(ISNUMBER(AB118),ROUND(AB80-AB118,1),"")</f>
        <v>0</v>
      </c>
      <c r="AC82" s="262">
        <f>IF(ISNUMBER(AC118),ROUND(AC80-AC118,1),"")</f>
        <v>0</v>
      </c>
      <c r="AD82" s="262">
        <f>IF(ISNUMBER(AD118),ROUND(AD80-AD118,1),"")</f>
        <v>0</v>
      </c>
      <c r="AE82" s="262">
        <f>IF(ISNUMBER(AE118),ROUND(AE80-AE118,1),"")</f>
        <v>0</v>
      </c>
      <c r="AF82" s="262">
        <f>IF(ISNUMBER(AF118),ROUND(AF80-AF118,1),"")</f>
        <v>0</v>
      </c>
      <c r="AG82" s="262">
        <f>IF(ISNUMBER(AG118),ROUND(AG80-AG118,1),"")</f>
        <v>0</v>
      </c>
      <c r="AH82" s="262">
        <f>IF(ISNUMBER(AH118),ROUND(AH80-AH118,1),"")</f>
        <v>0</v>
      </c>
      <c r="AI82" s="262">
        <f>IF(ISNUMBER(AI118),ROUND(AI80-AI118,1),"")</f>
        <v>0</v>
      </c>
      <c r="AJ82" s="262">
        <f>IF(ISNUMBER(AJ118),ROUND(AJ80-AJ118,1),"")</f>
        <v>0</v>
      </c>
      <c r="AK82" s="262">
        <f>IF(ISNUMBER(AK118),ROUND(AK80-AK118,1),"")</f>
        <v>0</v>
      </c>
      <c r="AL82" s="262">
        <f>IF(ISNUMBER(AL118),ROUND(AL80-AL118,1),"")</f>
        <v>0</v>
      </c>
      <c r="AM82" s="262">
        <f>IF(ISNUMBER(AM118),ROUND(AM80-AM118,1),"")</f>
        <v>0</v>
      </c>
      <c r="AN82" s="262">
        <f>IF(ISNUMBER(AN118),ROUND(AN80-AN118,1),"")</f>
        <v>0</v>
      </c>
      <c r="AO82" s="262">
        <f>IF(ISNUMBER(AO118),ROUND(AO80-AO118,1),"")</f>
        <v>0</v>
      </c>
      <c r="AP82" s="262">
        <f>IF(ISNUMBER(AP118),ROUND(AP80-AP118,1),"")</f>
        <v>0</v>
      </c>
      <c r="AQ82" s="262">
        <f>IF(ISNUMBER(AQ118),ROUND(AQ80-AQ118,1),"")</f>
        <v>0</v>
      </c>
      <c r="AR82" s="262">
        <f>IF(ISNUMBER(AR118),ROUND(AR80-AR118,1),"")</f>
        <v>0</v>
      </c>
      <c r="AS82" s="262">
        <f>IF(ISNUMBER(AS118),ROUND(AS80-AS118,1),"")</f>
        <v>0</v>
      </c>
      <c r="AT82" s="262">
        <f>IF(ISNUMBER(AT118),ROUND(AT80-AT118,1),"")</f>
        <v>0</v>
      </c>
      <c r="AU82" s="262">
        <f>IF(ISNUMBER(AU118),ROUND(AU80-AU118,1),"")</f>
        <v>0</v>
      </c>
      <c r="AV82" s="262">
        <f>IF(ISNUMBER(AV118),ROUND(AV80-AV118,1),"")</f>
        <v>0</v>
      </c>
      <c r="AW82" s="262">
        <f>IF(ISNUMBER(AW118),ROUND(AW80-AW118,1),"")</f>
        <v>0</v>
      </c>
      <c r="AX82" s="262">
        <f>IF(ISNUMBER(AX118),ROUND(AX80-AX118,1),"")</f>
        <v>0</v>
      </c>
      <c r="AY82" s="262">
        <f>IF(ISNUMBER(AY118),ROUND(AY80-AY118,1),"")</f>
        <v>0</v>
      </c>
      <c r="AZ82" s="262">
        <f>IF(ISNUMBER(AZ118),ROUND(AZ80-AZ118,1),"")</f>
        <v>0</v>
      </c>
      <c r="BA82" s="262">
        <f>IF(ISNUMBER(BA118),ROUND(BA80-BA118,1),"")</f>
        <v>0</v>
      </c>
      <c r="BB82" s="262">
        <f>IF(ISNUMBER(BB118),ROUND(BB80-BB118,1),"")</f>
        <v>0</v>
      </c>
      <c r="BC82" s="262">
        <f>IF(ISNUMBER(BC118),ROUND(BC80-BC118,1),"")</f>
        <v>0</v>
      </c>
      <c r="BD82" s="262">
        <f>IF(ISNUMBER(BD118),ROUND(BD80-BD118,1),"")</f>
        <v>0</v>
      </c>
      <c r="BE82" s="262">
        <f>IF(ISNUMBER(BE118),ROUND(BE80-BE118,1),"")</f>
        <v>0</v>
      </c>
      <c r="BF82" s="262">
        <f>IF(ISNUMBER(BF118),ROUND(BF80-BF118,1),"")</f>
        <v>0</v>
      </c>
      <c r="BG82" s="262">
        <f>IF(ISNUMBER(BG118),ROUND(BG80-BG118,1),"")</f>
        <v>0</v>
      </c>
      <c r="BH82" s="262">
        <f>IF(ISNUMBER(BH118),ROUND(BH80-BH118,1),"")</f>
        <v>0</v>
      </c>
      <c r="BI82" s="262">
        <f>IF(ISNUMBER(BI118),ROUND(BI80-BI118,1),"")</f>
        <v>0</v>
      </c>
      <c r="BJ82" s="262">
        <f>IF(ISNUMBER(BJ118),ROUND(BJ80-BJ118,1),"")</f>
        <v>0</v>
      </c>
      <c r="BK82" s="262">
        <f>IF(ISNUMBER(BK118),ROUND(BK80-BK118,1),"")</f>
        <v>0</v>
      </c>
      <c r="BL82" s="262">
        <f>IF(ISNUMBER(BL118),ROUND(BL80-BL118,1),"")</f>
        <v>0</v>
      </c>
      <c r="BM82" s="262">
        <f>IF(ISNUMBER(BM118),ROUND(BM80-BM118,1),"")</f>
        <v>0</v>
      </c>
      <c r="BN82" s="262">
        <f>IF(ISNUMBER(BN118),ROUND(BN80-BN118,1),"")</f>
        <v>0</v>
      </c>
      <c r="BO82" s="262">
        <f>IF(ISNUMBER(BO118),ROUND(BO80-BO118,1),"")</f>
        <v>0</v>
      </c>
      <c r="BP82" s="262">
        <f>IF(ISNUMBER(BP118),ROUND(BP80-BP118,1),"")</f>
        <v>0</v>
      </c>
      <c r="BQ82" s="262">
        <f>IF(ISNUMBER(BQ118),ROUND(BQ80-BQ118,1),"")</f>
        <v>0</v>
      </c>
      <c r="BR82" s="262">
        <f>IF(ISNUMBER(BR118),ROUND(BR80-BR118,1),"")</f>
        <v>0</v>
      </c>
      <c r="BS82" s="262">
        <f>IF(ISNUMBER(BS118),ROUND(BS80-BS118,1),"")</f>
        <v>0</v>
      </c>
      <c r="BT82" s="262">
        <f>IF(ISNUMBER(BT118),ROUND(BT80-BT118,1),"")</f>
        <v>0</v>
      </c>
      <c r="BU82" s="262">
        <f>IF(ISNUMBER(BU118),ROUND(BU80-BU118,1),"")</f>
        <v>0</v>
      </c>
      <c r="BV82" s="262">
        <f>IF(ISNUMBER(BV118),ROUND(BV80-BV118,1),"")</f>
        <v>0</v>
      </c>
      <c r="BW82" s="262">
        <f>IF(ISNUMBER(BW118),ROUND(BW80-BW118,1),"")</f>
        <v>0</v>
      </c>
      <c r="BX82" s="262">
        <f>IF(ISNUMBER(BX118),ROUND(BX80-BX118,1),"")</f>
        <v>0</v>
      </c>
      <c r="BY82" s="153" t="n"/>
      <c r="BZ82" s="153" t="n"/>
      <c r="CA82" s="153" t="n"/>
      <c r="CB82" s="153" t="n"/>
      <c r="CC82" s="153" t="n"/>
      <c r="CD82" s="153" t="n"/>
      <c r="CE82" s="153" t="n"/>
      <c r="CF82" s="153" t="n"/>
      <c r="CG82" s="153" t="n"/>
      <c r="CO82" s="25" t="inlineStr">
        <is>
          <t xml:space="preserve">  2027E</t>
        </is>
      </c>
      <c r="CP82" s="33">
        <f>CQ82+$CP$81</f>
        <v>0.06</v>
      </c>
      <c r="CQ82" s="42" t="n">
        <v>0.05</v>
      </c>
      <c r="CR82" s="33">
        <f>CQ82+$CR$81</f>
        <v>0.03</v>
      </c>
    </row>
    <row r="83" ht="15" customHeight="1" s="251">
      <c r="B83" s="55" t="inlineStr">
        <is>
          <t>Core operating earnings (segment build)</t>
        </is>
      </c>
      <c r="C83" s="275">
        <f>N(C26)+N(C35)+N(C51)+N(C59)+N(C61)+N(C65)</f>
        <v>3014</v>
      </c>
      <c r="D83" s="275">
        <f>N(D26)+N(D35)+N(D51)+N(D59)+N(D61)+N(D65)</f>
        <v>6516</v>
      </c>
      <c r="E83" s="275">
        <f>N(E26)+N(E35)+N(E51)+N(E59)+N(E61)+N(E65)</f>
        <v>4275</v>
      </c>
      <c r="F83" s="275">
        <f>N(F26)+N(F35)+N(F51)+N(F59)+N(F61)+N(F65)</f>
        <v>2079</v>
      </c>
      <c r="G83" s="275">
        <f>N(G26)+N(G35)+N(G51)+N(G59)+N(G61)+N(G65)</f>
        <v>4976</v>
      </c>
      <c r="H83" s="275">
        <f>N(H26)+N(H35)+N(H51)+N(H59)+N(H61)+N(H65)</f>
        <v>6361</v>
      </c>
      <c r="I83" s="275">
        <f>N(I26)+N(I35)+N(I51)+N(I59)+N(I61)+N(I65)</f>
        <v>7210</v>
      </c>
      <c r="J83" s="275">
        <f>N(J26)+N(J35)+N(J51)+N(J59)+N(J61)+N(J65)</f>
        <v>1867</v>
      </c>
      <c r="K83" s="275">
        <f>N(K26)+N(K35)+N(K51)+N(K59)+N(K61)+N(K65)</f>
        <v>2028</v>
      </c>
      <c r="L83" s="275">
        <f>N(L26)+N(L35)+N(L51)+N(L59)+N(L61)+N(L65)</f>
        <v>2143</v>
      </c>
      <c r="M83" s="275">
        <f>N(M26)+N(M35)+N(M51)+N(M59)+N(M61)+N(M65)</f>
        <v>1838</v>
      </c>
      <c r="N83" s="275">
        <f>N(N26)+N(N35)+N(N51)+N(N59)+N(N61)+N(N65)</f>
        <v>7876</v>
      </c>
      <c r="O83" s="275">
        <f>N(O26)+N(O35)+N(O51)+N(O59)+N(O61)+N(O65)</f>
        <v>2095</v>
      </c>
      <c r="P83" s="275">
        <f>N(P26)+N(P35)+N(P51)+N(P59)+N(P61)+N(P65)</f>
        <v>1991</v>
      </c>
      <c r="Q83" s="275">
        <f>N(Q26)+N(Q35)+N(Q51)+N(Q59)+N(Q61)+N(Q65)</f>
        <v>2430</v>
      </c>
      <c r="R83" s="275">
        <f>N(R26)+N(R35)+N(R51)+N(R59)+N(R61)+N(R65)</f>
        <v>2344</v>
      </c>
      <c r="S83" s="275">
        <f>N(S26)+N(S35)+N(S51)+N(S59)+N(S61)+N(S65)</f>
        <v>8860</v>
      </c>
      <c r="T83" s="275">
        <f>N(T26)+N(T35)+N(T51)+N(T59)+N(T61)+N(T65)</f>
        <v>2132</v>
      </c>
      <c r="U83" s="275">
        <f>N(U26)+N(U35)+N(U51)+N(U59)+N(U61)+N(U65)</f>
        <v>1713</v>
      </c>
      <c r="V83" s="275">
        <f>N(V26)+N(V35)+N(V51)+N(V59)+N(V61)+N(V65)</f>
        <v>2637</v>
      </c>
      <c r="W83" s="275">
        <f>N(W26)+N(W35)+N(W51)+N(W59)+N(W61)+N(W65)</f>
        <v>1259</v>
      </c>
      <c r="X83" s="275">
        <f>N(X26)+N(X35)+N(X51)+N(X59)+N(X61)+N(X65)</f>
        <v>7741</v>
      </c>
      <c r="Y83" s="275">
        <f>N(Y26)+N(Y35)+N(Y51)+N(Y59)+N(Y61)+N(Y65)</f>
        <v>1694</v>
      </c>
      <c r="Z83" s="275">
        <f>N(Z26)+N(Z35)+N(Z51)+N(Z59)+N(Z61)+N(Z65)</f>
        <v>-488</v>
      </c>
      <c r="AA83" s="275">
        <f>N(AA26)+N(AA35)+N(AA51)+N(AA59)+N(AA61)+N(AA65)</f>
        <v>2194</v>
      </c>
      <c r="AB83" s="275">
        <f>N(AB26)+N(AB35)+N(AB51)+N(AB59)+N(AB61)+N(AB65)</f>
        <v>2064</v>
      </c>
      <c r="AC83" s="275">
        <f>N(AC26)+N(AC35)+N(AC51)+N(AC59)+N(AC61)+N(AC65)</f>
        <v>5464</v>
      </c>
      <c r="AD83" s="275">
        <f>N(AD26)+N(AD35)+N(AD51)+N(AD59)+N(AD61)+N(AD65)</f>
        <v>1709</v>
      </c>
      <c r="AE83" s="275">
        <f>N(AE26)+N(AE35)+N(AE51)+N(AE59)+N(AE61)+N(AE65)</f>
        <v>2212</v>
      </c>
      <c r="AF83" s="275">
        <f>N(AF26)+N(AF35)+N(AF51)+N(AF59)+N(AF61)+N(AF65)</f>
        <v>2373</v>
      </c>
      <c r="AG83" s="275">
        <f>N(AG26)+N(AG35)+N(AG51)+N(AG59)+N(AG61)+N(AG65)</f>
        <v>2676</v>
      </c>
      <c r="AH83" s="275">
        <f>N(AH26)+N(AH35)+N(AH51)+N(AH59)+N(AH61)+N(AH65)</f>
        <v>8970</v>
      </c>
      <c r="AI83" s="275">
        <f>N(AI26)+N(AI35)+N(AI51)+N(AI59)+N(AI61)+N(AI65)</f>
        <v>2510</v>
      </c>
      <c r="AJ83" s="275">
        <f>N(AJ26)+N(AJ35)+N(AJ51)+N(AJ59)+N(AJ61)+N(AJ65)</f>
        <v>2393</v>
      </c>
      <c r="AK83" s="275">
        <f>N(AK26)+N(AK35)+N(AK51)+N(AK59)+N(AK61)+N(AK65)</f>
        <v>1890</v>
      </c>
      <c r="AL83" s="275">
        <f>N(AL26)+N(AL35)+N(AL51)+N(AL59)+N(AL61)+N(AL65)</f>
        <v>3867</v>
      </c>
      <c r="AM83" s="275">
        <f>N(AM26)+N(AM35)+N(AM51)+N(AM59)+N(AM61)+N(AM65)</f>
        <v>10660</v>
      </c>
      <c r="AN83" s="275">
        <f>N(AN26)+N(AN35)+N(AN51)+N(AN59)+N(AN61)+N(AN65)</f>
        <v>1986</v>
      </c>
      <c r="AO83" s="275">
        <f>N(AO26)+N(AO35)+N(AO51)+N(AO59)+N(AO61)+N(AO65)</f>
        <v>-3745</v>
      </c>
      <c r="AP83" s="275">
        <f>N(AP26)+N(AP35)+N(AP51)+N(AP59)+N(AP61)+N(AP65)</f>
        <v>895</v>
      </c>
      <c r="AQ83" s="275">
        <f>N(AQ26)+N(AQ35)+N(AQ51)+N(AQ59)+N(AQ61)+N(AQ65)</f>
        <v>-2526</v>
      </c>
      <c r="AR83" s="275">
        <f>N(AR26)+N(AR35)+N(AR51)+N(AR59)+N(AR61)+N(AR65)</f>
        <v>-3390</v>
      </c>
      <c r="AS83" s="275">
        <f>N(AS26)+N(AS35)+N(AS51)+N(AS59)+N(AS61)+N(AS65)</f>
        <v>-1700</v>
      </c>
      <c r="AT83" s="275">
        <f>N(AT26)+N(AT35)+N(AT51)+N(AT59)+N(AT61)+N(AT65)</f>
        <v>-3319</v>
      </c>
      <c r="AU83" s="275">
        <f>N(AU26)+N(AU35)+N(AU51)+N(AU59)+N(AU61)+N(AU65)</f>
        <v>-754</v>
      </c>
      <c r="AV83" s="275">
        <f>N(AV26)+N(AV35)+N(AV51)+N(AV59)+N(AV61)+N(AV65)</f>
        <v>-8377</v>
      </c>
      <c r="AW83" s="275">
        <f>N(AW26)+N(AW35)+N(AW51)+N(AW59)+N(AW61)+N(AW65)</f>
        <v>-14150</v>
      </c>
      <c r="AX83" s="275">
        <f>N(AX26)+N(AX35)+N(AX51)+N(AX59)+N(AX61)+N(AX65)</f>
        <v>-353</v>
      </c>
      <c r="AY83" s="275">
        <f>N(AY26)+N(AY35)+N(AY51)+N(AY59)+N(AY61)+N(AY65)</f>
        <v>755</v>
      </c>
      <c r="AZ83" s="275">
        <f>N(AZ26)+N(AZ35)+N(AZ51)+N(AZ59)+N(AZ61)+N(AZ65)</f>
        <v>59</v>
      </c>
      <c r="BA83" s="275">
        <f>N(BA26)+N(BA35)+N(BA51)+N(BA59)+N(BA61)+N(BA65)</f>
        <v>-4536</v>
      </c>
      <c r="BB83" s="275">
        <f>N(BB26)+N(BB35)+N(BB51)+N(BB59)+N(BB61)+N(BB65)</f>
        <v>-4075</v>
      </c>
      <c r="BC83" s="275">
        <f>N(BC26)+N(BC35)+N(BC51)+N(BC59)+N(BC61)+N(BC65)</f>
        <v>-1452</v>
      </c>
      <c r="BD83" s="275">
        <f>N(BD26)+N(BD35)+N(BD51)+N(BD59)+N(BD61)+N(BD65)</f>
        <v>490</v>
      </c>
      <c r="BE83" s="275">
        <f>N(BE26)+N(BE35)+N(BE51)+N(BE59)+N(BE61)+N(BE65)</f>
        <v>-3078</v>
      </c>
      <c r="BF83" s="275">
        <f>N(BF26)+N(BF35)+N(BF51)+N(BF59)+N(BF61)+N(BF65)</f>
        <v>-650</v>
      </c>
      <c r="BG83" s="275">
        <f>N(BG26)+N(BG35)+N(BG51)+N(BG59)+N(BG61)+N(BG65)</f>
        <v>-4690</v>
      </c>
      <c r="BH83" s="275">
        <f>N(BH26)+N(BH35)+N(BH51)+N(BH59)+N(BH61)+N(BH65)</f>
        <v>-440</v>
      </c>
      <c r="BI83" s="275">
        <f>N(BI26)+N(BI35)+N(BI51)+N(BI59)+N(BI61)+N(BI65)</f>
        <v>-390</v>
      </c>
      <c r="BJ83" s="275">
        <f>N(BJ26)+N(BJ35)+N(BJ51)+N(BJ59)+N(BJ61)+N(BJ65)</f>
        <v>-1089</v>
      </c>
      <c r="BK83" s="275">
        <f>N(BK26)+N(BK35)+N(BK51)+N(BK59)+N(BK61)+N(BK65)</f>
        <v>90</v>
      </c>
      <c r="BL83" s="275">
        <f>N(BL26)+N(BL35)+N(BL51)+N(BL59)+N(BL61)+N(BL65)</f>
        <v>-1829</v>
      </c>
      <c r="BM83" s="275">
        <f>N(BM26)+N(BM35)+N(BM51)+N(BM59)+N(BM61)+N(BM65)</f>
        <v>-388</v>
      </c>
      <c r="BN83" s="275">
        <f>N(BN26)+N(BN35)+N(BN51)+N(BN59)+N(BN61)+N(BN65)</f>
        <v>-1392</v>
      </c>
      <c r="BO83" s="275">
        <f>N(BO26)+N(BO35)+N(BO51)+N(BO59)+N(BO61)+N(BO65)</f>
        <v>-5989</v>
      </c>
      <c r="BP83" s="275">
        <f>N(BP26)+N(BP35)+N(BP51)+N(BP59)+N(BP61)+N(BP65)</f>
        <v>-4042</v>
      </c>
      <c r="BQ83" s="275">
        <f>N(BQ26)+N(BQ35)+N(BQ51)+N(BQ59)+N(BQ61)+N(BQ65)</f>
        <v>-11811</v>
      </c>
      <c r="BR83" s="275">
        <f>N(BR26)+N(BR35)+N(BR51)+N(BR59)+N(BR61)+N(BR65)</f>
        <v>199</v>
      </c>
      <c r="BS83" s="275">
        <f>N(BS26)+N(BS35)+N(BS51)+N(BS59)+N(BS61)+N(BS65)</f>
        <v>-433</v>
      </c>
      <c r="BT83" s="275">
        <f>N(BT26)+N(BT35)+N(BT51)+N(BT59)+N(BT61)+N(BT65)</f>
        <v>-5049</v>
      </c>
      <c r="BU83" s="275">
        <f>N(BU26)+N(BU35)+N(BU51)+N(BU59)+N(BU61)+N(BU65)</f>
        <v>8519</v>
      </c>
      <c r="BV83" s="275">
        <f>N(BV26)+N(BV35)+N(BV51)+N(BV59)+N(BV61)+N(BV65)</f>
        <v>3236</v>
      </c>
      <c r="BW83" s="275">
        <f>N(BW26)+N(BW35)+N(BW51)+N(BW59)+N(BW61)+N(BW65)</f>
        <v>293</v>
      </c>
      <c r="BX83" s="275">
        <f>N(BX26)+N(BX35)+N(BX51)+N(BX59)+N(BX61)+N(BX65)</f>
        <v>1</v>
      </c>
      <c r="BY83" s="275">
        <f>N(BY26)+N(BY35)+N(BY51)+N(BY59)+N(BY61)+N(BY65)+N(BY75)</f>
        <v>566.932405224858</v>
      </c>
      <c r="BZ83" s="275">
        <f>N(BZ26)+N(BZ35)+N(BZ51)+N(BZ59)+N(BZ61)+N(BZ65)+N(BZ75)</f>
        <v>556.179521182638</v>
      </c>
      <c r="CA83" s="275">
        <f>N(CA26)+N(CA35)+N(CA51)+N(CA59)+N(CA61)+N(CA65)+N(CA75)</f>
        <v>1417.1119264075</v>
      </c>
      <c r="CB83" s="275">
        <f>N(CB26)+N(CB35)+N(CB51)+N(CB59)+N(CB61)+N(CB65)+N(CB75)</f>
        <v>5483.17940496081</v>
      </c>
      <c r="CC83" s="275">
        <f>N(CC26)+N(CC35)+N(CC51)+N(CC59)+N(CC61)+N(CC65)+N(CC75)</f>
        <v>8176.93269284913</v>
      </c>
      <c r="CD83" s="275">
        <f>N(CD26)+N(CD35)+N(CD51)+N(CD59)+N(CD61)+N(CD65)+N(CD75)</f>
        <v>11049.9432564531</v>
      </c>
      <c r="CE83" s="275">
        <f>N(CE26)+N(CE35)+N(CE51)+N(CE59)+N(CE61)+N(CE65)+N(CE75)</f>
        <v>13223.1429101064</v>
      </c>
      <c r="CF83" s="275">
        <f>N(CF26)+N(CF35)+N(CF51)+N(CF59)+N(CF61)+N(CF65)+N(CF75)</f>
        <v>14623.1715260069</v>
      </c>
      <c r="CG83" s="153" t="inlineStr">
        <is>
          <t>Σ segment earnings + BCC + Other + unallocated items (core basis). Company "core operating earnings" (non-GAAP, published from FY2011 / Q4-12). Drives the GAAP P&amp;L.</t>
        </is>
      </c>
      <c r="CI83" s="20">
        <f>IFERROR(IF(AND(CF83&gt;0,CA83&gt;0),(CF83/CA83)^(1/5)-1,"n/m"),"n/m")</f>
        <v>0.594878061927097</v>
      </c>
      <c r="CJ83" s="20" t="str">
        <f>IFERROR(IF(AND(BV83&gt;0,AW83&gt;0),(BV83/AW83)^(1/5)-1,"n/m"),"n/m")</f>
        <v>n/m</v>
      </c>
      <c r="CK83" s="20">
        <f>IFERROR(IF(AND(BV83&gt;0,X83&gt;0),(BV83/X83)^(1/10)-1,"n/m"),"n/m")</f>
        <v>-0.0835238985259417</v>
      </c>
      <c r="CL83" s="20">
        <f>IFERROR(IF(AND(BV83&gt;0,C83&gt;0),(BV83/C83)^(1/19)-1,"n/m"),"n/m")</f>
        <v>0.00374752547899448</v>
      </c>
      <c r="CO83" s="25" t="inlineStr">
        <is>
          <t xml:space="preserve">  2028E</t>
        </is>
      </c>
      <c r="CP83" s="33">
        <f>CQ83+$CP$81</f>
        <v>0.07</v>
      </c>
      <c r="CQ83" s="42" t="n">
        <v>0.06</v>
      </c>
      <c r="CR83" s="33">
        <f>CQ83+$CR$81</f>
        <v>0.04</v>
      </c>
    </row>
    <row r="84" ht="15" customHeight="1" s="251">
      <c r="B84" s="25" t="inlineStr">
        <is>
          <t xml:space="preserve">  Core operating margin %</t>
        </is>
      </c>
      <c r="C84" s="215">
        <f>IF(AND(ISNUMBER(C83),ISNUMBER(C80)),IFERROR(C83/C80,""),"")</f>
        <v>0.0489842353323582</v>
      </c>
      <c r="D84" s="215">
        <f>IF(AND(ISNUMBER(D83),ISNUMBER(D80)),IFERROR(D83/D80,""),"")</f>
        <v>0.0981517465768901</v>
      </c>
      <c r="E84" s="215">
        <f>IF(AND(ISNUMBER(E83),ISNUMBER(E80)),IFERROR(E83/E80,""),"")</f>
        <v>0.0701682396389003</v>
      </c>
      <c r="F84" s="215">
        <f>IF(AND(ISNUMBER(F83),ISNUMBER(F80)),IFERROR(F83/F80,""),"")</f>
        <v>0.0304477087330297</v>
      </c>
      <c r="G84" s="215">
        <f>IF(AND(ISNUMBER(G83),ISNUMBER(G80)),IFERROR(G83/G80,""),"")</f>
        <v>0.0773800267471154</v>
      </c>
      <c r="H84" s="215">
        <f>IF(AND(ISNUMBER(H83),ISNUMBER(H80)),IFERROR(H83/H80,""),"")</f>
        <v>0.0925438277442351</v>
      </c>
      <c r="I84" s="215">
        <f>IF(AND(ISNUMBER(I83),ISNUMBER(I80)),IFERROR(I83/I80,""),"")</f>
        <v>0.0882518543905604</v>
      </c>
      <c r="J84" s="215">
        <f>IF(AND(ISNUMBER(J83),ISNUMBER(J80)),IFERROR(J83/J80,""),"")</f>
        <v>0.0988196686603504</v>
      </c>
      <c r="K84" s="215">
        <f>IF(AND(ISNUMBER(K83),ISNUMBER(K80)),IFERROR(K83/K80,""),"")</f>
        <v>0.0929635571854229</v>
      </c>
      <c r="L84" s="215">
        <f>IF(AND(ISNUMBER(L83),ISNUMBER(L80)),IFERROR(L83/L80,""),"")</f>
        <v>0.0968368730230456</v>
      </c>
      <c r="M84" s="215">
        <f>IF(AND(ISNUMBER(M83),ISNUMBER(M80)),IFERROR(M83/M80,""),"")</f>
        <v>0.0772755938616775</v>
      </c>
      <c r="N84" s="215">
        <f>IF(AND(ISNUMBER(N83),ISNUMBER(N80)),IFERROR(N83/N80,""),"")</f>
        <v>0.0909227341468201</v>
      </c>
      <c r="O84" s="215">
        <f>IF(AND(ISNUMBER(O83),ISNUMBER(O80)),IFERROR(O83/O80,""),"")</f>
        <v>0.102369899828976</v>
      </c>
      <c r="P84" s="215">
        <f>IF(AND(ISNUMBER(P83),ISNUMBER(P80)),IFERROR(P83/P80,""),"")</f>
        <v>0.0903152642322522</v>
      </c>
      <c r="Q84" s="215">
        <f>IF(AND(ISNUMBER(Q83),ISNUMBER(Q80)),IFERROR(Q83/Q80,""),"")</f>
        <v>0.102169525731584</v>
      </c>
      <c r="R84" s="215">
        <f>IF(AND(ISNUMBER(R83),ISNUMBER(R80)),IFERROR(R83/R80,""),"")</f>
        <v>0.0957985940820664</v>
      </c>
      <c r="S84" s="215">
        <f>IF(AND(ISNUMBER(S83),ISNUMBER(S80)),IFERROR(S83/S80,""),"")</f>
        <v>0.0976179458363632</v>
      </c>
      <c r="T84" s="215">
        <f>IF(AND(ISNUMBER(T83),ISNUMBER(T80)),IFERROR(T83/T80,""),"")</f>
        <v>0.0962571673664725</v>
      </c>
      <c r="U84" s="215">
        <f>IF(AND(ISNUMBER(U83),ISNUMBER(U80)),IFERROR(U83/U80,""),"")</f>
        <v>0.0697958684757365</v>
      </c>
      <c r="V84" s="215">
        <f>IF(AND(ISNUMBER(V83),ISNUMBER(V80)),IFERROR(V83/V80,""),"")</f>
        <v>0.102015551858873</v>
      </c>
      <c r="W84" s="215">
        <f>IF(AND(ISNUMBER(W83),ISNUMBER(W80)),IFERROR(W83/W80,""),"")</f>
        <v>0.0534085606414118</v>
      </c>
      <c r="X84" s="215">
        <f>IF(AND(ISNUMBER(X83),ISNUMBER(X80)),IFERROR(X83/X80,""),"")</f>
        <v>0.0805397756830431</v>
      </c>
      <c r="Y84" s="215">
        <f>IF(AND(ISNUMBER(Y83),ISNUMBER(Y80)),IFERROR(Y83/Y80,""),"")</f>
        <v>0.0748497702368328</v>
      </c>
      <c r="Z84" s="215">
        <f>IF(AND(ISNUMBER(Z83),ISNUMBER(Z80)),IFERROR(Z83/Z80,""),"")</f>
        <v>-0.019713189254696</v>
      </c>
      <c r="AA84" s="215">
        <f>IF(AND(ISNUMBER(AA83),ISNUMBER(AA80)),IFERROR(AA83/AA80,""),"")</f>
        <v>0.0918068457611516</v>
      </c>
      <c r="AB84" s="215">
        <f>IF(AND(ISNUMBER(AB83),ISNUMBER(AB80)),IFERROR(AB83/AB80,""),"")</f>
        <v>0.0886369492398866</v>
      </c>
      <c r="AC84" s="215">
        <f>IF(AND(ISNUMBER(AC83),ISNUMBER(AC80)),IFERROR(AC83/AC80,""),"")</f>
        <v>0.0577766968732487</v>
      </c>
      <c r="AD84" s="215">
        <f>IF(AND(ISNUMBER(AD83),ISNUMBER(AD80)),IFERROR(AD83/AD80,""),"")</f>
        <v>0.0814740655987796</v>
      </c>
      <c r="AE84" s="215">
        <f>IF(AND(ISNUMBER(AE83),ISNUMBER(AE80)),IFERROR(AE83/AE80,""),"")</f>
        <v>0.0972778046527992</v>
      </c>
      <c r="AF84" s="215">
        <f>IF(AND(ISNUMBER(AF83),ISNUMBER(AF80)),IFERROR(AF83/AF80,""),"")</f>
        <v>0.0976181661113168</v>
      </c>
      <c r="AG84" s="215">
        <f>IF(AND(ISNUMBER(AG83),ISNUMBER(AG80)),IFERROR(AG83/AG80,""),"")</f>
        <v>0.105487228003784</v>
      </c>
      <c r="AH84" s="215">
        <f>IF(AND(ISNUMBER(AH83),ISNUMBER(AH80)),IFERROR(AH83/AH80,""),"")</f>
        <v>0.0960467706013363</v>
      </c>
      <c r="AI84" s="215">
        <f>IF(AND(ISNUMBER(AI83),ISNUMBER(AI80)),IFERROR(AI83/AI80,""),"")</f>
        <v>0.107347532289796</v>
      </c>
      <c r="AJ84" s="215">
        <f>IF(AND(ISNUMBER(AJ83),ISNUMBER(AJ80)),IFERROR(AJ83/AJ80,""),"")</f>
        <v>0.0986478687443318</v>
      </c>
      <c r="AK84" s="215">
        <f>IF(AND(ISNUMBER(AK83),ISNUMBER(AK80)),IFERROR(AK83/AK80,""),"")</f>
        <v>0.0751610594130279</v>
      </c>
      <c r="AL84" s="215">
        <f>IF(AND(ISNUMBER(AL83),ISNUMBER(AL80)),IFERROR(AL83/AL80,""),"")</f>
        <v>0.136445432412406</v>
      </c>
      <c r="AM84" s="215">
        <f>IF(AND(ISNUMBER(AM83),ISNUMBER(AM80)),IFERROR(AM83/AM80,""),"")</f>
        <v>0.105412006684664</v>
      </c>
      <c r="AN84" s="215">
        <f>IF(AND(ISNUMBER(AN83),ISNUMBER(AN80)),IFERROR(AN83/AN80,""),"")</f>
        <v>0.0866605576646158</v>
      </c>
      <c r="AO84" s="215">
        <f>IF(AND(ISNUMBER(AO83),ISNUMBER(AO80)),IFERROR(AO83/AO80,""),"")</f>
        <v>-0.237762681734493</v>
      </c>
      <c r="AP84" s="215">
        <f>IF(AND(ISNUMBER(AP83),ISNUMBER(AP80)),IFERROR(AP83/AP80,""),"")</f>
        <v>0.0447947947947948</v>
      </c>
      <c r="AQ84" s="215">
        <f>IF(AND(ISNUMBER(AQ83),ISNUMBER(AQ80)),IFERROR(AQ83/AQ80,""),"")</f>
        <v>-0.14103065155491</v>
      </c>
      <c r="AR84" s="215">
        <f>IF(AND(ISNUMBER(AR83),ISNUMBER(AR80)),IFERROR(AR83/AR80,""),"")</f>
        <v>-0.0442795752295615</v>
      </c>
      <c r="AS84" s="215">
        <f>IF(AND(ISNUMBER(AS83),ISNUMBER(AS80)),IFERROR(AS83/AS80,""),"")</f>
        <v>-0.100544121126094</v>
      </c>
      <c r="AT84" s="215">
        <f>IF(AND(ISNUMBER(AT83),ISNUMBER(AT80)),IFERROR(AT83/AT80,""),"")</f>
        <v>-0.281104429575675</v>
      </c>
      <c r="AU84" s="215">
        <f>IF(AND(ISNUMBER(AU83),ISNUMBER(AU80)),IFERROR(AU83/AU80,""),"")</f>
        <v>-0.0533276752245562</v>
      </c>
      <c r="AV84" s="215">
        <f>IF(AND(ISNUMBER(AV83),ISNUMBER(AV80)),IFERROR(AV83/AV80,""),"")</f>
        <v>-0.547373235755358</v>
      </c>
      <c r="AW84" s="215">
        <f>IF(AND(ISNUMBER(AW83),ISNUMBER(AW80)),IFERROR(AW83/AW80,""),"")</f>
        <v>-0.243302727053888</v>
      </c>
      <c r="AX84" s="215">
        <f>IF(AND(ISNUMBER(AX83),ISNUMBER(AX80)),IFERROR(AX83/AX80,""),"")</f>
        <v>-0.023197739370441</v>
      </c>
      <c r="AY84" s="215">
        <f>IF(AND(ISNUMBER(AY83),ISNUMBER(AY80)),IFERROR(AY83/AY80,""),"")</f>
        <v>0.0444169902341452</v>
      </c>
      <c r="AZ84" s="215">
        <f>IF(AND(ISNUMBER(AZ83),ISNUMBER(AZ80)),IFERROR(AZ83/AZ80,""),"")</f>
        <v>0.00386176201073439</v>
      </c>
      <c r="BA84" s="215">
        <f>IF(AND(ISNUMBER(BA83),ISNUMBER(BA80)),IFERROR(BA83/BA80,""),"")</f>
        <v>-0.306631514905699</v>
      </c>
      <c r="BB84" s="215">
        <f>IF(AND(ISNUMBER(BB83),ISNUMBER(BB80)),IFERROR(BB83/BB80,""),"")</f>
        <v>-0.0654240118164596</v>
      </c>
      <c r="BC84" s="215">
        <f>IF(AND(ISNUMBER(BC83),ISNUMBER(BC80)),IFERROR(BC83/BC80,""),"")</f>
        <v>-0.103781002072761</v>
      </c>
      <c r="BD84" s="215">
        <f>IF(AND(ISNUMBER(BD83),ISNUMBER(BD80)),IFERROR(BD83/BD80,""),"")</f>
        <v>0.029374737725556</v>
      </c>
      <c r="BE84" s="215">
        <f>IF(AND(ISNUMBER(BE83),ISNUMBER(BE80)),IFERROR(BE83/BE80,""),"")</f>
        <v>-0.192905490097769</v>
      </c>
      <c r="BF84" s="215">
        <f>IF(AND(ISNUMBER(BF83),ISNUMBER(BF80)),IFERROR(BF83/BF80,""),"")</f>
        <v>-0.0325325325325325</v>
      </c>
      <c r="BG84" s="215">
        <f>IF(AND(ISNUMBER(BG83),ISNUMBER(BG80)),IFERROR(BG83/BG80,""),"")</f>
        <v>-0.0704119625270238</v>
      </c>
      <c r="BH84" s="215">
        <f>IF(AND(ISNUMBER(BH83),ISNUMBER(BH80)),IFERROR(BH83/BH80,""),"")</f>
        <v>-0.0245522013280509</v>
      </c>
      <c r="BI84" s="215">
        <f>IF(AND(ISNUMBER(BI83),ISNUMBER(BI80)),IFERROR(BI83/BI80,""),"")</f>
        <v>-0.0197458356538909</v>
      </c>
      <c r="BJ84" s="215">
        <f>IF(AND(ISNUMBER(BJ83),ISNUMBER(BJ80)),IFERROR(BJ83/BJ80,""),"")</f>
        <v>-0.0601524524966858</v>
      </c>
      <c r="BK84" s="215">
        <f>IF(AND(ISNUMBER(BK83),ISNUMBER(BK80)),IFERROR(BK83/BK80,""),"")</f>
        <v>0.00408756471977473</v>
      </c>
      <c r="BL84" s="215">
        <f>IF(AND(ISNUMBER(BL83),ISNUMBER(BL80)),IFERROR(BL83/BL80,""),"")</f>
        <v>-0.0235108106023601</v>
      </c>
      <c r="BM84" s="215">
        <f>IF(AND(ISNUMBER(BM83),ISNUMBER(BM80)),IFERROR(BM83/BM80,""),"")</f>
        <v>-0.0234172249381375</v>
      </c>
      <c r="BN84" s="215">
        <f>IF(AND(ISNUMBER(BN83),ISNUMBER(BN80)),IFERROR(BN83/BN80,""),"")</f>
        <v>-0.0825329064389897</v>
      </c>
      <c r="BO84" s="215">
        <f>IF(AND(ISNUMBER(BO83),ISNUMBER(BO80)),IFERROR(BO83/BO80,""),"")</f>
        <v>-0.335706278026906</v>
      </c>
      <c r="BP84" s="215">
        <f>IF(AND(ISNUMBER(BP83),ISNUMBER(BP80)),IFERROR(BP83/BP80,""),"")</f>
        <v>-0.265188295499278</v>
      </c>
      <c r="BQ84" s="215">
        <f>IF(AND(ISNUMBER(BQ83),ISNUMBER(BQ80)),IFERROR(BQ83/BQ80,""),"")</f>
        <v>-0.177563630350136</v>
      </c>
      <c r="BR84" s="215">
        <f>IF(AND(ISNUMBER(BR83),ISNUMBER(BR80)),IFERROR(BR83/BR80,""),"")</f>
        <v>0.0102072219942552</v>
      </c>
      <c r="BS84" s="215">
        <f>IF(AND(ISNUMBER(BS83),ISNUMBER(BS80)),IFERROR(BS83/BS80,""),"")</f>
        <v>-0.0190338036836784</v>
      </c>
      <c r="BT84" s="215">
        <f>IF(AND(ISNUMBER(BT83),ISNUMBER(BT80)),IFERROR(BT83/BT80,""),"")</f>
        <v>-0.216974645466266</v>
      </c>
      <c r="BU84" s="215">
        <f>IF(AND(ISNUMBER(BU83),ISNUMBER(BU80)),IFERROR(BU83/BU80,""),"")</f>
        <v>0.355729079672624</v>
      </c>
      <c r="BV84" s="215">
        <f>IF(AND(ISNUMBER(BV83),ISNUMBER(BV80)),IFERROR(BV83/BV80,""),"")</f>
        <v>0.0361713781116216</v>
      </c>
      <c r="BW84" s="215">
        <f>IF(AND(ISNUMBER(BW83),ISNUMBER(BW80)),IFERROR(BW83/BW80,""),"")</f>
        <v>0.0131880992033128</v>
      </c>
      <c r="BX84" s="215">
        <f>IF(AND(ISNUMBER(BX83),ISNUMBER(BX80)),IFERROR(BX83/BX80,""),"")</f>
        <v>4.07166123778502e-05</v>
      </c>
      <c r="BY84" s="260">
        <f>IF(AND(ISNUMBER(BY83),ISNUMBER(BY80)),IFERROR(BY83/BY80,""),"")</f>
        <v>0.0226862429015716</v>
      </c>
      <c r="BZ84" s="260">
        <f>IF(AND(ISNUMBER(BZ83),ISNUMBER(BZ80)),IFERROR(BZ83/BZ80,""),"")</f>
        <v>0.0218046614175574</v>
      </c>
      <c r="CA84" s="260">
        <f>IF(AND(ISNUMBER(CA83),ISNUMBER(CA80)),IFERROR(CA83/CA80,""),"")</f>
        <v>0.014568173558104</v>
      </c>
      <c r="CB84" s="260">
        <f>IF(AND(ISNUMBER(CB83),ISNUMBER(CB80)),IFERROR(CB83/CB80,""),"")</f>
        <v>0.0514377226769254</v>
      </c>
      <c r="CC84" s="260">
        <f>IF(AND(ISNUMBER(CC83),ISNUMBER(CC80)),IFERROR(CC83/CC80,""),"")</f>
        <v>0.0706239244368406</v>
      </c>
      <c r="CD84" s="260">
        <f>IF(AND(ISNUMBER(CD83),ISNUMBER(CD80)),IFERROR(CD83/CD80,""),"")</f>
        <v>0.0892502858439994</v>
      </c>
      <c r="CE84" s="260">
        <f>IF(AND(ISNUMBER(CE83),ISNUMBER(CE80)),IFERROR(CE83/CE80,""),"")</f>
        <v>0.10178502119118</v>
      </c>
      <c r="CF84" s="260">
        <f>IF(AND(ISNUMBER(CF83),ISNUMBER(CF80)),IFERROR(CF83/CF80,""),"")</f>
        <v>0.107915665069182</v>
      </c>
      <c r="CG84" s="153" t="n"/>
      <c r="CI84" s="37">
        <f>IFERROR(AVERAGE(CB84,CC84,CD84,CE84,CF84),"n/m")</f>
        <v>0.0842025238436254</v>
      </c>
      <c r="CJ84" s="37">
        <f>IFERROR(AVERAGE(BB84,BG84,BL84,BQ84,BV84),"n/m")</f>
        <v>-0.0601478074368716</v>
      </c>
      <c r="CK84" s="37">
        <f>IFERROR(AVERAGE(AC84,AH84,AM84,AR84,AW84,BB84,BG84,BL84,BQ84,BV84),"n/m")</f>
        <v>-0.0329085865308558</v>
      </c>
      <c r="CL84" s="37">
        <f>IFERROR(AVERAGE(C84,D84,E84,F84,G84,H84,I84,N84,S84,X84,AC84,AH84,AM84,AR84,AW84,BB84,BG84,BL84,BQ84,BV84),"n/m")</f>
        <v>0.0222961114760379</v>
      </c>
      <c r="CO84" s="25" t="inlineStr">
        <is>
          <t xml:space="preserve">  2029E</t>
        </is>
      </c>
      <c r="CP84" s="33">
        <f>CQ84+$CP$81</f>
        <v>0.07</v>
      </c>
      <c r="CQ84" s="42" t="n">
        <v>0.06</v>
      </c>
      <c r="CR84" s="33">
        <f>CQ84+$CR$81</f>
        <v>0.04</v>
      </c>
    </row>
    <row r="85" ht="15" customHeight="1" s="251">
      <c r="B85" s="55" t="inlineStr">
        <is>
          <t>Earnings / (loss) from operations (segment build: core + pension line)</t>
        </is>
      </c>
      <c r="C85" s="275">
        <f>C83+N(C67)</f>
        <v>3014</v>
      </c>
      <c r="D85" s="275">
        <f>D83+N(D67)</f>
        <v>5830</v>
      </c>
      <c r="E85" s="275">
        <f>E83+N(E67)</f>
        <v>3988</v>
      </c>
      <c r="F85" s="275">
        <f>F83+N(F67)</f>
        <v>2096</v>
      </c>
      <c r="G85" s="275">
        <f>G83+N(G67)</f>
        <v>4971</v>
      </c>
      <c r="H85" s="275">
        <f>H83+N(H67)</f>
        <v>5844</v>
      </c>
      <c r="I85" s="275">
        <f>I83+N(I67)</f>
        <v>6311</v>
      </c>
      <c r="J85" s="275">
        <f>J83+N(J67)</f>
        <v>1528</v>
      </c>
      <c r="K85" s="275">
        <f>K83+N(K67)</f>
        <v>1716</v>
      </c>
      <c r="L85" s="275">
        <f>L83+N(L67)</f>
        <v>1803</v>
      </c>
      <c r="M85" s="275">
        <f>M83+N(M67)</f>
        <v>1515</v>
      </c>
      <c r="N85" s="275">
        <f>N83+N(N67)</f>
        <v>6562</v>
      </c>
      <c r="O85" s="275">
        <f>O83+N(O67)</f>
        <v>1542</v>
      </c>
      <c r="P85" s="275">
        <f>P83+N(P67)</f>
        <v>1787</v>
      </c>
      <c r="Q85" s="275">
        <f>Q83+N(Q67)</f>
        <v>2119</v>
      </c>
      <c r="R85" s="275">
        <f>R83+N(R67)</f>
        <v>2025</v>
      </c>
      <c r="S85" s="275">
        <f>S83+N(S67)</f>
        <v>7473</v>
      </c>
      <c r="T85" s="275">
        <f>T83+N(T67)</f>
        <v>2019</v>
      </c>
      <c r="U85" s="275">
        <f>U83+N(U67)</f>
        <v>1683</v>
      </c>
      <c r="V85" s="275">
        <f>V83+N(V67)</f>
        <v>2580</v>
      </c>
      <c r="W85" s="275">
        <f>W83+N(W67)</f>
        <v>1161</v>
      </c>
      <c r="X85" s="275">
        <f>X83+N(X67)</f>
        <v>7443</v>
      </c>
      <c r="Y85" s="275">
        <f>Y83+N(Y67)</f>
        <v>1788</v>
      </c>
      <c r="Z85" s="275">
        <f>Z83+N(Z67)</f>
        <v>-419</v>
      </c>
      <c r="AA85" s="275">
        <f>AA83+N(AA67)</f>
        <v>2282</v>
      </c>
      <c r="AB85" s="275">
        <f>AB83+N(AB67)</f>
        <v>2183</v>
      </c>
      <c r="AC85" s="275">
        <f>AC83+N(AC67)</f>
        <v>5834</v>
      </c>
      <c r="AD85" s="275">
        <f>AD83+N(AD67)</f>
        <v>2024</v>
      </c>
      <c r="AE85" s="275">
        <f>AE83+N(AE67)</f>
        <v>2535</v>
      </c>
      <c r="AF85" s="275">
        <f>AF83+N(AF67)</f>
        <v>2689</v>
      </c>
      <c r="AG85" s="275">
        <f>AG83+N(AG67)</f>
        <v>3030</v>
      </c>
      <c r="AH85" s="275">
        <f>AH83+N(AH67)</f>
        <v>10278</v>
      </c>
      <c r="AI85" s="275">
        <f>AI83+N(AI67)</f>
        <v>2875</v>
      </c>
      <c r="AJ85" s="275">
        <f>AJ83+N(AJ67)</f>
        <v>2710</v>
      </c>
      <c r="AK85" s="275">
        <f>AK83+N(AK67)</f>
        <v>2227</v>
      </c>
      <c r="AL85" s="275">
        <f>AL83+N(AL67)</f>
        <v>4175</v>
      </c>
      <c r="AM85" s="275">
        <f>AM83+N(AM67)</f>
        <v>11987</v>
      </c>
      <c r="AN85" s="275">
        <f>AN83+N(AN67)</f>
        <v>2350</v>
      </c>
      <c r="AO85" s="275">
        <f>AO83+N(AO67)</f>
        <v>-3380</v>
      </c>
      <c r="AP85" s="275">
        <f>AP83+N(AP67)</f>
        <v>1259</v>
      </c>
      <c r="AQ85" s="275">
        <f>AQ83+N(AQ67)</f>
        <v>-2204</v>
      </c>
      <c r="AR85" s="275">
        <f>AR83+N(AR67)</f>
        <v>-1975</v>
      </c>
      <c r="AS85" s="275">
        <f>AS83+N(AS67)</f>
        <v>-1353</v>
      </c>
      <c r="AT85" s="275">
        <f>AT83+N(AT67)</f>
        <v>-2964</v>
      </c>
      <c r="AU85" s="275">
        <f>AU83+N(AU67)</f>
        <v>-401</v>
      </c>
      <c r="AV85" s="275">
        <f>AV83+N(AV67)</f>
        <v>-8049</v>
      </c>
      <c r="AW85" s="275">
        <f>AW83+N(AW67)</f>
        <v>-12767</v>
      </c>
      <c r="AX85" s="275">
        <f>AX83+N(AX67)</f>
        <v>-83</v>
      </c>
      <c r="AY85" s="275">
        <f>AY83+N(AY67)</f>
        <v>1023</v>
      </c>
      <c r="AZ85" s="275">
        <f>AZ83+N(AZ67)</f>
        <v>329</v>
      </c>
      <c r="BA85" s="275">
        <f>BA83+N(BA67)</f>
        <v>-4171</v>
      </c>
      <c r="BB85" s="275">
        <f>BB83+N(BB67)</f>
        <v>-2902</v>
      </c>
      <c r="BC85" s="275">
        <f>BC83+N(BC67)</f>
        <v>-1169</v>
      </c>
      <c r="BD85" s="275">
        <f>BD83+N(BD67)</f>
        <v>774</v>
      </c>
      <c r="BE85" s="275">
        <f>BE83+N(BE67)</f>
        <v>-2799</v>
      </c>
      <c r="BF85" s="275">
        <f>BF83+N(BF67)</f>
        <v>-353</v>
      </c>
      <c r="BG85" s="275">
        <f>BG83+N(BG67)</f>
        <v>-3547</v>
      </c>
      <c r="BH85" s="275">
        <f>BH83+N(BH67)</f>
        <v>-149</v>
      </c>
      <c r="BI85" s="275">
        <f>BI83+N(BI67)</f>
        <v>-99</v>
      </c>
      <c r="BJ85" s="275">
        <f>BJ83+N(BJ67)</f>
        <v>-808</v>
      </c>
      <c r="BK85" s="275">
        <f>BK83+N(BK67)</f>
        <v>283</v>
      </c>
      <c r="BL85" s="275">
        <f>BL83+N(BL67)</f>
        <v>-773</v>
      </c>
      <c r="BM85" s="275">
        <f>BM83+N(BM67)</f>
        <v>-86</v>
      </c>
      <c r="BN85" s="275">
        <f>BN83+N(BN67)</f>
        <v>-1090</v>
      </c>
      <c r="BO85" s="275">
        <f>BO83+N(BO67)</f>
        <v>-5761</v>
      </c>
      <c r="BP85" s="275">
        <f>BP83+N(BP67)</f>
        <v>-3770</v>
      </c>
      <c r="BQ85" s="275">
        <f>BQ83+N(BQ67)</f>
        <v>-10707</v>
      </c>
      <c r="BR85" s="275">
        <f>BR83+N(BR67)</f>
        <v>461</v>
      </c>
      <c r="BS85" s="275">
        <f>BS83+N(BS67)</f>
        <v>-176</v>
      </c>
      <c r="BT85" s="275">
        <f>BT83+N(BT67)</f>
        <v>-4781</v>
      </c>
      <c r="BU85" s="275">
        <f>BU83+N(BU67)</f>
        <v>8777</v>
      </c>
      <c r="BV85" s="275">
        <f>BV83+N(BV67)</f>
        <v>4281</v>
      </c>
      <c r="BW85" s="275">
        <f>BW83+N(BW67)</f>
        <v>448</v>
      </c>
      <c r="BX85" s="275">
        <f>BX83+N(BX67)</f>
        <v>156</v>
      </c>
      <c r="BY85" s="275">
        <f>BY83+N(BY67)</f>
        <v>721.932405224858</v>
      </c>
      <c r="BZ85" s="275">
        <f>BZ83+N(BZ67)</f>
        <v>711.179521182638</v>
      </c>
      <c r="CA85" s="275">
        <f>CA83+N(CA67)</f>
        <v>2037.1119264075</v>
      </c>
      <c r="CB85" s="275">
        <f>CB83+N(CB67)</f>
        <v>6083.17940496081</v>
      </c>
      <c r="CC85" s="275">
        <f>CC83+N(CC67)</f>
        <v>8726.93269284913</v>
      </c>
      <c r="CD85" s="275">
        <f>CD83+N(CD67)</f>
        <v>11549.9432564531</v>
      </c>
      <c r="CE85" s="275">
        <f>CE83+N(CE67)</f>
        <v>13673.1429101064</v>
      </c>
      <c r="CF85" s="275">
        <f>CF83+N(CF67)</f>
        <v>15023.1715260069</v>
      </c>
      <c r="CG85" s="153" t="n"/>
      <c r="CO85" s="25" t="inlineStr">
        <is>
          <t xml:space="preserve">  2030E</t>
        </is>
      </c>
      <c r="CP85" s="33">
        <f>CQ85+$CP$81</f>
        <v>0.06</v>
      </c>
      <c r="CQ85" s="42" t="n">
        <v>0.05</v>
      </c>
      <c r="CR85" s="33">
        <f>CQ85+$CR$81</f>
        <v>0.03</v>
      </c>
    </row>
    <row r="86" ht="15" customHeight="1" s="251">
      <c r="B86" s="57" t="inlineStr">
        <is>
          <t xml:space="preserve">  Check: segment build vs reported earnings from operations (should be 0)</t>
        </is>
      </c>
      <c r="C86" s="262">
        <f>IF(ISNUMBER(C130),ROUND(C85-C130,1),"")</f>
        <v>0</v>
      </c>
      <c r="D86" s="262">
        <f>IF(ISNUMBER(D130),ROUND(D85-D130,1),"")</f>
        <v>0</v>
      </c>
      <c r="E86" s="262">
        <f>IF(ISNUMBER(E130),ROUND(E85-E130,1),"")</f>
        <v>0</v>
      </c>
      <c r="F86" s="262">
        <f>IF(ISNUMBER(F130),ROUND(F85-F130,1),"")</f>
        <v>0</v>
      </c>
      <c r="G86" s="262">
        <f>IF(ISNUMBER(G130),ROUND(G85-G130,1),"")</f>
        <v>0</v>
      </c>
      <c r="H86" s="262">
        <f>IF(ISNUMBER(H130),ROUND(H85-H130,1),"")</f>
        <v>0</v>
      </c>
      <c r="I86" s="262">
        <f>IF(ISNUMBER(I130),ROUND(I85-I130,1),"")</f>
        <v>0</v>
      </c>
      <c r="J86" s="262">
        <f>IF(ISNUMBER(J130),ROUND(J85-J130,1),"")</f>
        <v>0</v>
      </c>
      <c r="K86" s="262">
        <f>IF(ISNUMBER(K130),ROUND(K85-K130,1),"")</f>
        <v>0</v>
      </c>
      <c r="L86" s="262">
        <f>IF(ISNUMBER(L130),ROUND(L85-L130,1),"")</f>
        <v>0</v>
      </c>
      <c r="M86" s="262">
        <f>IF(ISNUMBER(M130),ROUND(M85-M130,1),"")</f>
        <v>0</v>
      </c>
      <c r="N86" s="262">
        <f>IF(ISNUMBER(N130),ROUND(N85-N130,1),"")</f>
        <v>0</v>
      </c>
      <c r="O86" s="262">
        <f>IF(ISNUMBER(O130),ROUND(O85-O130,1),"")</f>
        <v>0</v>
      </c>
      <c r="P86" s="262">
        <f>IF(ISNUMBER(P130),ROUND(P85-P130,1),"")</f>
        <v>0</v>
      </c>
      <c r="Q86" s="262">
        <f>IF(ISNUMBER(Q130),ROUND(Q85-Q130,1),"")</f>
        <v>0</v>
      </c>
      <c r="R86" s="262">
        <f>IF(ISNUMBER(R130),ROUND(R85-R130,1),"")</f>
        <v>0</v>
      </c>
      <c r="S86" s="262">
        <f>IF(ISNUMBER(S130),ROUND(S85-S130,1),"")</f>
        <v>0</v>
      </c>
      <c r="T86" s="262">
        <f>IF(ISNUMBER(T130),ROUND(T85-T130,1),"")</f>
        <v>0</v>
      </c>
      <c r="U86" s="262">
        <f>IF(ISNUMBER(U130),ROUND(U85-U130,1),"")</f>
        <v>0</v>
      </c>
      <c r="V86" s="262">
        <f>IF(ISNUMBER(V130),ROUND(V85-V130,1),"")</f>
        <v>0</v>
      </c>
      <c r="W86" s="262">
        <f>IF(ISNUMBER(W130),ROUND(W85-W130,1),"")</f>
        <v>0</v>
      </c>
      <c r="X86" s="262">
        <f>IF(ISNUMBER(X130),ROUND(X85-X130,1),"")</f>
        <v>0</v>
      </c>
      <c r="Y86" s="262">
        <f>IF(ISNUMBER(Y130),ROUND(Y85-Y130,1),"")</f>
        <v>0</v>
      </c>
      <c r="Z86" s="262">
        <f>IF(ISNUMBER(Z130),ROUND(Z85-Z130,1),"")</f>
        <v>0</v>
      </c>
      <c r="AA86" s="262">
        <f>IF(ISNUMBER(AA130),ROUND(AA85-AA130,1),"")</f>
        <v>0</v>
      </c>
      <c r="AB86" s="262">
        <f>IF(ISNUMBER(AB130),ROUND(AB85-AB130,1),"")</f>
        <v>0</v>
      </c>
      <c r="AC86" s="262">
        <f>IF(ISNUMBER(AC130),ROUND(AC85-AC130,1),"")</f>
        <v>0</v>
      </c>
      <c r="AD86" s="262">
        <f>IF(ISNUMBER(AD130),ROUND(AD85-AD130,1),"")</f>
        <v>0</v>
      </c>
      <c r="AE86" s="262">
        <f>IF(ISNUMBER(AE130),ROUND(AE85-AE130,1),"")</f>
        <v>0</v>
      </c>
      <c r="AF86" s="262">
        <f>IF(ISNUMBER(AF130),ROUND(AF85-AF130,1),"")</f>
        <v>0</v>
      </c>
      <c r="AG86" s="262">
        <f>IF(ISNUMBER(AG130),ROUND(AG85-AG130,1),"")</f>
        <v>0</v>
      </c>
      <c r="AH86" s="262">
        <f>IF(ISNUMBER(AH130),ROUND(AH85-AH130,1),"")</f>
        <v>0</v>
      </c>
      <c r="AI86" s="262">
        <f>IF(ISNUMBER(AI130),ROUND(AI85-AI130,1),"")</f>
        <v>0</v>
      </c>
      <c r="AJ86" s="262">
        <f>IF(ISNUMBER(AJ130),ROUND(AJ85-AJ130,1),"")</f>
        <v>0</v>
      </c>
      <c r="AK86" s="262">
        <f>IF(ISNUMBER(AK130),ROUND(AK85-AK130,1),"")</f>
        <v>0</v>
      </c>
      <c r="AL86" s="262">
        <f>IF(ISNUMBER(AL130),ROUND(AL85-AL130,1),"")</f>
        <v>0</v>
      </c>
      <c r="AM86" s="262">
        <f>IF(ISNUMBER(AM130),ROUND(AM85-AM130,1),"")</f>
        <v>0</v>
      </c>
      <c r="AN86" s="262">
        <f>IF(ISNUMBER(AN130),ROUND(AN85-AN130,1),"")</f>
        <v>0</v>
      </c>
      <c r="AO86" s="262">
        <f>IF(ISNUMBER(AO130),ROUND(AO85-AO130,1),"")</f>
        <v>0</v>
      </c>
      <c r="AP86" s="262">
        <f>IF(ISNUMBER(AP130),ROUND(AP85-AP130,1),"")</f>
        <v>0</v>
      </c>
      <c r="AQ86" s="262">
        <f>IF(ISNUMBER(AQ130),ROUND(AQ85-AQ130,1),"")</f>
        <v>0</v>
      </c>
      <c r="AR86" s="262">
        <f>IF(ISNUMBER(AR130),ROUND(AR85-AR130,1),"")</f>
        <v>0</v>
      </c>
      <c r="AS86" s="262">
        <f>IF(ISNUMBER(AS130),ROUND(AS85-AS130,1),"")</f>
        <v>0</v>
      </c>
      <c r="AT86" s="262">
        <f>IF(ISNUMBER(AT130),ROUND(AT85-AT130,1),"")</f>
        <v>0</v>
      </c>
      <c r="AU86" s="262">
        <f>IF(ISNUMBER(AU130),ROUND(AU85-AU130,1),"")</f>
        <v>0</v>
      </c>
      <c r="AV86" s="262">
        <f>IF(ISNUMBER(AV130),ROUND(AV85-AV130,1),"")</f>
        <v>0</v>
      </c>
      <c r="AW86" s="262">
        <f>IF(ISNUMBER(AW130),ROUND(AW85-AW130,1),"")</f>
        <v>0</v>
      </c>
      <c r="AX86" s="262">
        <f>IF(ISNUMBER(AX130),ROUND(AX85-AX130,1),"")</f>
        <v>0</v>
      </c>
      <c r="AY86" s="262">
        <f>IF(ISNUMBER(AY130),ROUND(AY85-AY130,1),"")</f>
        <v>0</v>
      </c>
      <c r="AZ86" s="262">
        <f>IF(ISNUMBER(AZ130),ROUND(AZ85-AZ130,1),"")</f>
        <v>0</v>
      </c>
      <c r="BA86" s="262">
        <f>IF(ISNUMBER(BA130),ROUND(BA85-BA130,1),"")</f>
        <v>0</v>
      </c>
      <c r="BB86" s="262">
        <f>IF(ISNUMBER(BB130),ROUND(BB85-BB130,1),"")</f>
        <v>0</v>
      </c>
      <c r="BC86" s="262">
        <f>IF(ISNUMBER(BC130),ROUND(BC85-BC130,1),"")</f>
        <v>0</v>
      </c>
      <c r="BD86" s="262">
        <f>IF(ISNUMBER(BD130),ROUND(BD85-BD130,1),"")</f>
        <v>0</v>
      </c>
      <c r="BE86" s="262">
        <f>IF(ISNUMBER(BE130),ROUND(BE85-BE130,1),"")</f>
        <v>0</v>
      </c>
      <c r="BF86" s="262">
        <f>IF(ISNUMBER(BF130),ROUND(BF85-BF130,1),"")</f>
        <v>0</v>
      </c>
      <c r="BG86" s="262">
        <f>IF(ISNUMBER(BG130),ROUND(BG85-BG130,1),"")</f>
        <v>0</v>
      </c>
      <c r="BH86" s="262">
        <f>IF(ISNUMBER(BH130),ROUND(BH85-BH130,1),"")</f>
        <v>0</v>
      </c>
      <c r="BI86" s="262">
        <f>IF(ISNUMBER(BI130),ROUND(BI85-BI130,1),"")</f>
        <v>0</v>
      </c>
      <c r="BJ86" s="262">
        <f>IF(ISNUMBER(BJ130),ROUND(BJ85-BJ130,1),"")</f>
        <v>0</v>
      </c>
      <c r="BK86" s="262">
        <f>IF(ISNUMBER(BK130),ROUND(BK85-BK130,1),"")</f>
        <v>0</v>
      </c>
      <c r="BL86" s="262">
        <f>IF(ISNUMBER(BL130),ROUND(BL85-BL130,1),"")</f>
        <v>0</v>
      </c>
      <c r="BM86" s="262">
        <f>IF(ISNUMBER(BM130),ROUND(BM85-BM130,1),"")</f>
        <v>0</v>
      </c>
      <c r="BN86" s="262">
        <f>IF(ISNUMBER(BN130),ROUND(BN85-BN130,1),"")</f>
        <v>0</v>
      </c>
      <c r="BO86" s="262">
        <f>IF(ISNUMBER(BO130),ROUND(BO85-BO130,1),"")</f>
        <v>0</v>
      </c>
      <c r="BP86" s="262">
        <f>IF(ISNUMBER(BP130),ROUND(BP85-BP130,1),"")</f>
        <v>0</v>
      </c>
      <c r="BQ86" s="262">
        <f>IF(ISNUMBER(BQ130),ROUND(BQ85-BQ130,1),"")</f>
        <v>0</v>
      </c>
      <c r="BR86" s="262">
        <f>IF(ISNUMBER(BR130),ROUND(BR85-BR130,1),"")</f>
        <v>0</v>
      </c>
      <c r="BS86" s="262">
        <f>IF(ISNUMBER(BS130),ROUND(BS85-BS130,1),"")</f>
        <v>0</v>
      </c>
      <c r="BT86" s="262">
        <f>IF(ISNUMBER(BT130),ROUND(BT85-BT130,1),"")</f>
        <v>0</v>
      </c>
      <c r="BU86" s="262">
        <f>IF(ISNUMBER(BU130),ROUND(BU85-BU130,1),"")</f>
        <v>0</v>
      </c>
      <c r="BV86" s="262">
        <f>IF(ISNUMBER(BV130),ROUND(BV85-BV130,1),"")</f>
        <v>0</v>
      </c>
      <c r="BW86" s="262">
        <f>IF(ISNUMBER(BW130),ROUND(BW85-BW130,1),"")</f>
        <v>0</v>
      </c>
      <c r="BX86" s="262">
        <f>IF(ISNUMBER(BX130),ROUND(BX85-BX130,1),"")</f>
        <v>0</v>
      </c>
      <c r="BY86" s="153" t="n"/>
      <c r="BZ86" s="153" t="n"/>
      <c r="CA86" s="153" t="n"/>
      <c r="CB86" s="153" t="n"/>
      <c r="CC86" s="153" t="n"/>
      <c r="CD86" s="153" t="n"/>
      <c r="CE86" s="153" t="n"/>
      <c r="CF86" s="153" t="n"/>
      <c r="CG86" s="153" t="n"/>
      <c r="CO86" s="25" t="inlineStr">
        <is>
          <t xml:space="preserve">  2031E</t>
        </is>
      </c>
      <c r="CP86" s="33">
        <f>CQ86+$CP$81</f>
        <v>0.06</v>
      </c>
      <c r="CQ86" s="42" t="n">
        <v>0.05</v>
      </c>
      <c r="CR86" s="33">
        <f>CQ86+$CR$81</f>
        <v>0.03</v>
      </c>
    </row>
    <row r="87" ht="15" customHeight="1" s="251">
      <c r="B87" s="57" t="inlineStr">
        <is>
          <t xml:space="preserve">  Check: segment build vs core operating earnings bridge (should be 0)</t>
        </is>
      </c>
      <c r="C87" s="262">
        <f>IF(ISNUMBER(C161),ROUND(C83-C161,1),"")</f>
        <v>0</v>
      </c>
      <c r="D87" s="262">
        <f>IF(ISNUMBER(D161),ROUND(D83-D161,1),"")</f>
        <v>0</v>
      </c>
      <c r="E87" s="262">
        <f>IF(ISNUMBER(E161),ROUND(E83-E161,1),"")</f>
        <v>0</v>
      </c>
      <c r="F87" s="262">
        <f>IF(ISNUMBER(F161),ROUND(F83-F161,1),"")</f>
        <v>0</v>
      </c>
      <c r="G87" s="262">
        <f>IF(ISNUMBER(G161),ROUND(G83-G161,1),"")</f>
        <v>0</v>
      </c>
      <c r="H87" s="262">
        <f>IF(ISNUMBER(H161),ROUND(H83-H161,1),"")</f>
        <v>0</v>
      </c>
      <c r="I87" s="262">
        <f>IF(ISNUMBER(I161),ROUND(I83-I161,1),"")</f>
        <v>0</v>
      </c>
      <c r="J87" s="262">
        <f>IF(ISNUMBER(J161),ROUND(J83-J161,1),"")</f>
        <v>0</v>
      </c>
      <c r="K87" s="262">
        <f>IF(ISNUMBER(K161),ROUND(K83-K161,1),"")</f>
        <v>0</v>
      </c>
      <c r="L87" s="262">
        <f>IF(ISNUMBER(L161),ROUND(L83-L161,1),"")</f>
        <v>0</v>
      </c>
      <c r="M87" s="262">
        <f>IF(ISNUMBER(M161),ROUND(M83-M161,1),"")</f>
        <v>0</v>
      </c>
      <c r="N87" s="262">
        <f>IF(ISNUMBER(N161),ROUND(N83-N161,1),"")</f>
        <v>0</v>
      </c>
      <c r="O87" s="262">
        <f>IF(ISNUMBER(O161),ROUND(O83-O161,1),"")</f>
        <v>0</v>
      </c>
      <c r="P87" s="262">
        <f>IF(ISNUMBER(P161),ROUND(P83-P161,1),"")</f>
        <v>0</v>
      </c>
      <c r="Q87" s="262">
        <f>IF(ISNUMBER(Q161),ROUND(Q83-Q161,1),"")</f>
        <v>0</v>
      </c>
      <c r="R87" s="262">
        <f>IF(ISNUMBER(R161),ROUND(R83-R161,1),"")</f>
        <v>0</v>
      </c>
      <c r="S87" s="262">
        <f>IF(ISNUMBER(S161),ROUND(S83-S161,1),"")</f>
        <v>0</v>
      </c>
      <c r="T87" s="262">
        <f>IF(ISNUMBER(T161),ROUND(T83-T161,1),"")</f>
        <v>0</v>
      </c>
      <c r="U87" s="262">
        <f>IF(ISNUMBER(U161),ROUND(U83-U161,1),"")</f>
        <v>0</v>
      </c>
      <c r="V87" s="262">
        <f>IF(ISNUMBER(V161),ROUND(V83-V161,1),"")</f>
        <v>0</v>
      </c>
      <c r="W87" s="262">
        <f>IF(ISNUMBER(W161),ROUND(W83-W161,1),"")</f>
        <v>0</v>
      </c>
      <c r="X87" s="262">
        <f>IF(ISNUMBER(X161),ROUND(X83-X161,1),"")</f>
        <v>0</v>
      </c>
      <c r="Y87" s="262">
        <f>IF(ISNUMBER(Y161),ROUND(Y83-Y161,1),"")</f>
        <v>0</v>
      </c>
      <c r="Z87" s="262">
        <f>IF(ISNUMBER(Z161),ROUND(Z83-Z161,1),"")</f>
        <v>0</v>
      </c>
      <c r="AA87" s="262">
        <f>IF(ISNUMBER(AA161),ROUND(AA83-AA161,1),"")</f>
        <v>0</v>
      </c>
      <c r="AB87" s="262">
        <f>IF(ISNUMBER(AB161),ROUND(AB83-AB161,1),"")</f>
        <v>0</v>
      </c>
      <c r="AC87" s="262">
        <f>IF(ISNUMBER(AC161),ROUND(AC83-AC161,1),"")</f>
        <v>0</v>
      </c>
      <c r="AD87" s="262">
        <f>IF(ISNUMBER(AD161),ROUND(AD83-AD161,1),"")</f>
        <v>0</v>
      </c>
      <c r="AE87" s="262">
        <f>IF(ISNUMBER(AE161),ROUND(AE83-AE161,1),"")</f>
        <v>0</v>
      </c>
      <c r="AF87" s="262">
        <f>IF(ISNUMBER(AF161),ROUND(AF83-AF161,1),"")</f>
        <v>0</v>
      </c>
      <c r="AG87" s="262">
        <f>IF(ISNUMBER(AG161),ROUND(AG83-AG161,1),"")</f>
        <v>0</v>
      </c>
      <c r="AH87" s="262">
        <f>IF(ISNUMBER(AH161),ROUND(AH83-AH161,1),"")</f>
        <v>0</v>
      </c>
      <c r="AI87" s="262">
        <f>IF(ISNUMBER(AI161),ROUND(AI83-AI161,1),"")</f>
        <v>0</v>
      </c>
      <c r="AJ87" s="262">
        <f>IF(ISNUMBER(AJ161),ROUND(AJ83-AJ161,1),"")</f>
        <v>0</v>
      </c>
      <c r="AK87" s="262">
        <f>IF(ISNUMBER(AK161),ROUND(AK83-AK161,1),"")</f>
        <v>0</v>
      </c>
      <c r="AL87" s="262">
        <f>IF(ISNUMBER(AL161),ROUND(AL83-AL161,1),"")</f>
        <v>0</v>
      </c>
      <c r="AM87" s="262">
        <f>IF(ISNUMBER(AM161),ROUND(AM83-AM161,1),"")</f>
        <v>0</v>
      </c>
      <c r="AN87" s="262">
        <f>IF(ISNUMBER(AN161),ROUND(AN83-AN161,1),"")</f>
        <v>0</v>
      </c>
      <c r="AO87" s="262">
        <f>IF(ISNUMBER(AO161),ROUND(AO83-AO161,1),"")</f>
        <v>0</v>
      </c>
      <c r="AP87" s="262">
        <f>IF(ISNUMBER(AP161),ROUND(AP83-AP161,1),"")</f>
        <v>0</v>
      </c>
      <c r="AQ87" s="262">
        <f>IF(ISNUMBER(AQ161),ROUND(AQ83-AQ161,1),"")</f>
        <v>0</v>
      </c>
      <c r="AR87" s="262">
        <f>IF(ISNUMBER(AR161),ROUND(AR83-AR161,1),"")</f>
        <v>0</v>
      </c>
      <c r="AS87" s="262">
        <f>IF(ISNUMBER(AS161),ROUND(AS83-AS161,1),"")</f>
        <v>0</v>
      </c>
      <c r="AT87" s="262">
        <f>IF(ISNUMBER(AT161),ROUND(AT83-AT161,1),"")</f>
        <v>0</v>
      </c>
      <c r="AU87" s="262">
        <f>IF(ISNUMBER(AU161),ROUND(AU83-AU161,1),"")</f>
        <v>0</v>
      </c>
      <c r="AV87" s="262">
        <f>IF(ISNUMBER(AV161),ROUND(AV83-AV161,1),"")</f>
        <v>0</v>
      </c>
      <c r="AW87" s="262">
        <f>IF(ISNUMBER(AW161),ROUND(AW83-AW161,1),"")</f>
        <v>0</v>
      </c>
      <c r="AX87" s="262">
        <f>IF(ISNUMBER(AX161),ROUND(AX83-AX161,1),"")</f>
        <v>0</v>
      </c>
      <c r="AY87" s="262">
        <f>IF(ISNUMBER(AY161),ROUND(AY83-AY161,1),"")</f>
        <v>0</v>
      </c>
      <c r="AZ87" s="262">
        <f>IF(ISNUMBER(AZ161),ROUND(AZ83-AZ161,1),"")</f>
        <v>0</v>
      </c>
      <c r="BA87" s="262">
        <f>IF(ISNUMBER(BA161),ROUND(BA83-BA161,1),"")</f>
        <v>0</v>
      </c>
      <c r="BB87" s="262">
        <f>IF(ISNUMBER(BB161),ROUND(BB83-BB161,1),"")</f>
        <v>0</v>
      </c>
      <c r="BC87" s="262">
        <f>IF(ISNUMBER(BC161),ROUND(BC83-BC161,1),"")</f>
        <v>0</v>
      </c>
      <c r="BD87" s="262">
        <f>IF(ISNUMBER(BD161),ROUND(BD83-BD161,1),"")</f>
        <v>0</v>
      </c>
      <c r="BE87" s="262">
        <f>IF(ISNUMBER(BE161),ROUND(BE83-BE161,1),"")</f>
        <v>0</v>
      </c>
      <c r="BF87" s="262">
        <f>IF(ISNUMBER(BF161),ROUND(BF83-BF161,1),"")</f>
        <v>0</v>
      </c>
      <c r="BG87" s="262">
        <f>IF(ISNUMBER(BG161),ROUND(BG83-BG161,1),"")</f>
        <v>0</v>
      </c>
      <c r="BH87" s="262">
        <f>IF(ISNUMBER(BH161),ROUND(BH83-BH161,1),"")</f>
        <v>0</v>
      </c>
      <c r="BI87" s="262">
        <f>IF(ISNUMBER(BI161),ROUND(BI83-BI161,1),"")</f>
        <v>0</v>
      </c>
      <c r="BJ87" s="262">
        <f>IF(ISNUMBER(BJ161),ROUND(BJ83-BJ161,1),"")</f>
        <v>0</v>
      </c>
      <c r="BK87" s="262">
        <f>IF(ISNUMBER(BK161),ROUND(BK83-BK161,1),"")</f>
        <v>0</v>
      </c>
      <c r="BL87" s="262">
        <f>IF(ISNUMBER(BL161),ROUND(BL83-BL161,1),"")</f>
        <v>0</v>
      </c>
      <c r="BM87" s="262">
        <f>IF(ISNUMBER(BM161),ROUND(BM83-BM161,1),"")</f>
        <v>0</v>
      </c>
      <c r="BN87" s="262">
        <f>IF(ISNUMBER(BN161),ROUND(BN83-BN161,1),"")</f>
        <v>0</v>
      </c>
      <c r="BO87" s="262">
        <f>IF(ISNUMBER(BO161),ROUND(BO83-BO161,1),"")</f>
        <v>0</v>
      </c>
      <c r="BP87" s="262">
        <f>IF(ISNUMBER(BP161),ROUND(BP83-BP161,1),"")</f>
        <v>0</v>
      </c>
      <c r="BQ87" s="262">
        <f>IF(ISNUMBER(BQ161),ROUND(BQ83-BQ161,1),"")</f>
        <v>0</v>
      </c>
      <c r="BR87" s="262">
        <f>IF(ISNUMBER(BR161),ROUND(BR83-BR161,1),"")</f>
        <v>0</v>
      </c>
      <c r="BS87" s="262">
        <f>IF(ISNUMBER(BS161),ROUND(BS83-BS161,1),"")</f>
        <v>0</v>
      </c>
      <c r="BT87" s="262">
        <f>IF(ISNUMBER(BT161),ROUND(BT83-BT161,1),"")</f>
        <v>0</v>
      </c>
      <c r="BU87" s="262">
        <f>IF(ISNUMBER(BU161),ROUND(BU83-BU161,1),"")</f>
        <v>0</v>
      </c>
      <c r="BV87" s="262">
        <f>IF(ISNUMBER(BV161),ROUND(BV83-BV161,1),"")</f>
        <v>0</v>
      </c>
      <c r="BW87" s="262">
        <f>IF(ISNUMBER(BW161),ROUND(BW83-BW161,1),"")</f>
        <v>0</v>
      </c>
      <c r="BX87" s="262">
        <f>IF(ISNUMBER(BX161),ROUND(BX83-BX161,1),"")</f>
        <v>0</v>
      </c>
      <c r="BY87" s="276">
        <f>IF(ISNUMBER(BY161),ROUND(BY83-BY161,1),"")</f>
        <v>0</v>
      </c>
      <c r="BZ87" s="276">
        <f>IF(ISNUMBER(BZ161),ROUND(BZ83-BZ161,1),"")</f>
        <v>0</v>
      </c>
      <c r="CA87" s="276">
        <f>IF(ISNUMBER(CA161),ROUND(CA83-CA161,1),"")</f>
        <v>0</v>
      </c>
      <c r="CB87" s="276">
        <f>IF(ISNUMBER(CB161),ROUND(CB83-CB161,1),"")</f>
        <v>0</v>
      </c>
      <c r="CC87" s="276">
        <f>IF(ISNUMBER(CC161),ROUND(CC83-CC161,1),"")</f>
        <v>0</v>
      </c>
      <c r="CD87" s="276">
        <f>IF(ISNUMBER(CD161),ROUND(CD83-CD161,1),"")</f>
        <v>0</v>
      </c>
      <c r="CE87" s="276">
        <f>IF(ISNUMBER(CE161),ROUND(CE83-CE161,1),"")</f>
        <v>0</v>
      </c>
      <c r="CF87" s="276">
        <f>IF(ISNUMBER(CF161),ROUND(CF83-CF161,1),"")</f>
        <v>0</v>
      </c>
      <c r="CG87" s="153" t="n"/>
      <c r="CO87" s="15" t="inlineStr">
        <is>
          <t>BGS_M (BGS operating margin)</t>
        </is>
      </c>
      <c r="CP87" s="41" t="n">
        <v>0.005</v>
      </c>
      <c r="CQ87" s="21" t="inlineStr">
        <is>
          <t>Δ →</t>
        </is>
      </c>
      <c r="CR87" s="41" t="n">
        <v>-0.01</v>
      </c>
      <c r="CS87" s="13" t="inlineStr">
        <is>
          <t>2023–24 18–19%; 1H26 18.1%.</t>
        </is>
      </c>
    </row>
    <row r="88" collapsed="1" ht="15" customHeight="1" s="251">
      <c r="B88" s="25" t="inlineStr">
        <is>
          <t xml:space="preserve">  2026 calibration (Q3/Q4-26E) — guidance end-points are UNVERIFIED (earnings-call statements; Boeing has published no numeric outlook in its releases since 2019):</t>
        </is>
      </c>
      <c r="CG88" s="153" t="n"/>
      <c r="CO88" s="25" t="inlineStr">
        <is>
          <t xml:space="preserve">  2027E</t>
        </is>
      </c>
      <c r="CP88" s="33">
        <f>CQ88+$CP$87</f>
        <v>0.185</v>
      </c>
      <c r="CQ88" s="42" t="n">
        <v>0.18</v>
      </c>
      <c r="CR88" s="33">
        <f>CQ88+$CR$87</f>
        <v>0.17</v>
      </c>
    </row>
    <row r="89" ht="15" customHeight="1" s="251">
      <c r="B89" s="156" t="inlineStr">
        <is>
          <t xml:space="preserve">  Memo: 2026 737 delivery target (scenario end-point)</t>
        </is>
      </c>
      <c r="C89" s="34" t="n"/>
      <c r="D89" s="34" t="n"/>
      <c r="E89" s="34" t="n"/>
      <c r="F89" s="34" t="n"/>
      <c r="G89" s="34" t="n"/>
      <c r="H89" s="34" t="n"/>
      <c r="I89" s="34" t="n"/>
      <c r="J89" s="34" t="n"/>
      <c r="K89" s="34" t="n"/>
      <c r="L89" s="34" t="n"/>
      <c r="M89" s="34" t="n"/>
      <c r="N89" s="34" t="n"/>
      <c r="O89" s="34" t="n"/>
      <c r="P89" s="34" t="n"/>
      <c r="Q89" s="34" t="n"/>
      <c r="R89" s="34" t="n"/>
      <c r="S89" s="34" t="n"/>
      <c r="T89" s="34" t="n"/>
      <c r="U89" s="34" t="n"/>
      <c r="V89" s="34" t="n"/>
      <c r="W89" s="34" t="n"/>
      <c r="X89" s="34" t="n"/>
      <c r="Y89" s="34" t="n"/>
      <c r="Z89" s="34" t="n"/>
      <c r="AA89" s="34" t="n"/>
      <c r="AB89" s="34" t="n"/>
      <c r="AC89" s="34" t="n"/>
      <c r="AD89" s="34" t="n"/>
      <c r="AE89" s="34" t="n"/>
      <c r="AF89" s="34" t="n"/>
      <c r="AG89" s="34" t="n"/>
      <c r="AH89" s="34" t="n"/>
      <c r="AI89" s="34" t="n"/>
      <c r="AJ89" s="34" t="n"/>
      <c r="AK89" s="34" t="n"/>
      <c r="AL89" s="34" t="n"/>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4" t="n"/>
      <c r="BM89" s="34" t="n"/>
      <c r="BN89" s="34" t="n"/>
      <c r="BO89" s="34" t="n"/>
      <c r="BP89" s="34" t="n"/>
      <c r="BQ89" s="34" t="n"/>
      <c r="BR89" s="34" t="n"/>
      <c r="BS89" s="34" t="n"/>
      <c r="BT89" s="34" t="n"/>
      <c r="BU89" s="34" t="n"/>
      <c r="BV89" s="34" t="n"/>
      <c r="BW89" s="34" t="n"/>
      <c r="BX89" s="34" t="n"/>
      <c r="BY89" s="153" t="n"/>
      <c r="BZ89" s="153" t="n"/>
      <c r="CA89" s="277">
        <f>CHOOSE(MATCH($CG$2,{"Bull","Base","Bear"},0),$CP$12,$CQ$12,$CR$12)</f>
        <v>500</v>
      </c>
      <c r="CB89" s="153" t="n"/>
      <c r="CC89" s="153" t="n"/>
      <c r="CD89" s="153" t="n"/>
      <c r="CE89" s="153" t="n"/>
      <c r="CF89" s="153" t="n"/>
      <c r="CG89" s="153" t="n"/>
      <c r="CO89" s="25" t="inlineStr">
        <is>
          <t xml:space="preserve">  2028E</t>
        </is>
      </c>
      <c r="CP89" s="33">
        <f>CQ89+$CP$87</f>
        <v>0.185</v>
      </c>
      <c r="CQ89" s="42" t="n">
        <v>0.18</v>
      </c>
      <c r="CR89" s="33">
        <f>CQ89+$CR$87</f>
        <v>0.17</v>
      </c>
    </row>
    <row r="90" ht="15" customHeight="1" s="251">
      <c r="B90" s="57" t="inlineStr">
        <is>
          <t xml:space="preserve">  Check: 2026E 737 deliveries vs target (should be 0)</t>
        </is>
      </c>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c r="AA90" s="44" t="n"/>
      <c r="AB90" s="44" t="n"/>
      <c r="AC90" s="44" t="n"/>
      <c r="AD90" s="44" t="n"/>
      <c r="AE90" s="44" t="n"/>
      <c r="AF90" s="44" t="n"/>
      <c r="AG90" s="44" t="n"/>
      <c r="AH90" s="44" t="n"/>
      <c r="AI90" s="44" t="n"/>
      <c r="AJ90" s="44" t="n"/>
      <c r="AK90" s="44" t="n"/>
      <c r="AL90" s="44" t="n"/>
      <c r="AM90" s="44" t="n"/>
      <c r="AN90" s="44" t="n"/>
      <c r="AO90" s="44" t="n"/>
      <c r="AP90" s="44" t="n"/>
      <c r="AQ90" s="44" t="n"/>
      <c r="AR90" s="44" t="n"/>
      <c r="AS90" s="44" t="n"/>
      <c r="AT90" s="44" t="n"/>
      <c r="AU90" s="44" t="n"/>
      <c r="AV90" s="44" t="n"/>
      <c r="AW90" s="44" t="n"/>
      <c r="AX90" s="44" t="n"/>
      <c r="AY90" s="44" t="n"/>
      <c r="AZ90" s="44" t="n"/>
      <c r="BA90" s="44" t="n"/>
      <c r="BB90" s="44" t="n"/>
      <c r="BC90" s="44" t="n"/>
      <c r="BD90" s="44" t="n"/>
      <c r="BE90" s="44" t="n"/>
      <c r="BF90" s="44" t="n"/>
      <c r="BG90" s="44" t="n"/>
      <c r="BH90" s="44" t="n"/>
      <c r="BI90" s="44" t="n"/>
      <c r="BJ90" s="44" t="n"/>
      <c r="BK90" s="44" t="n"/>
      <c r="BL90" s="44" t="n"/>
      <c r="BM90" s="44" t="n"/>
      <c r="BN90" s="44" t="n"/>
      <c r="BO90" s="44" t="n"/>
      <c r="BP90" s="44" t="n"/>
      <c r="BQ90" s="44" t="n"/>
      <c r="BR90" s="44" t="n"/>
      <c r="BS90" s="44" t="n"/>
      <c r="BT90" s="44" t="n"/>
      <c r="BU90" s="44" t="n"/>
      <c r="BV90" s="44" t="n"/>
      <c r="BW90" s="44" t="n"/>
      <c r="BX90" s="44" t="n"/>
      <c r="BY90" s="153" t="n"/>
      <c r="BZ90" s="153" t="n"/>
      <c r="CA90" s="277">
        <f>ROUND(CA12-CA89,1)</f>
        <v>0</v>
      </c>
      <c r="CB90" s="153" t="n"/>
      <c r="CC90" s="153" t="n"/>
      <c r="CD90" s="153" t="n"/>
      <c r="CE90" s="153" t="n"/>
      <c r="CF90" s="153" t="n"/>
      <c r="CG90" s="153" t="n"/>
      <c r="CO90" s="25" t="inlineStr">
        <is>
          <t xml:space="preserve">  2029E</t>
        </is>
      </c>
      <c r="CP90" s="33">
        <f>CQ90+$CP$87</f>
        <v>0.185</v>
      </c>
      <c r="CQ90" s="42" t="n">
        <v>0.18</v>
      </c>
      <c r="CR90" s="33">
        <f>CQ90+$CR$87</f>
        <v>0.17</v>
      </c>
    </row>
    <row r="91" ht="15" customHeight="1" s="251">
      <c r="B91" s="156" t="inlineStr">
        <is>
          <t xml:space="preserve">  Memo: 2026 787 delivery target (scenario end-point)</t>
        </is>
      </c>
      <c r="C91" s="34" t="n"/>
      <c r="D91" s="34" t="n"/>
      <c r="E91" s="34" t="n"/>
      <c r="F91" s="34" t="n"/>
      <c r="G91" s="34" t="n"/>
      <c r="H91" s="34" t="n"/>
      <c r="I91" s="34" t="n"/>
      <c r="J91" s="34" t="n"/>
      <c r="K91" s="34" t="n"/>
      <c r="L91" s="34" t="n"/>
      <c r="M91" s="34" t="n"/>
      <c r="N91" s="34" t="n"/>
      <c r="O91" s="34" t="n"/>
      <c r="P91" s="34" t="n"/>
      <c r="Q91" s="34" t="n"/>
      <c r="R91" s="34" t="n"/>
      <c r="S91" s="34" t="n"/>
      <c r="T91" s="34" t="n"/>
      <c r="U91" s="34" t="n"/>
      <c r="V91" s="34" t="n"/>
      <c r="W91" s="34" t="n"/>
      <c r="X91" s="34" t="n"/>
      <c r="Y91" s="34" t="n"/>
      <c r="Z91" s="34" t="n"/>
      <c r="AA91" s="34" t="n"/>
      <c r="AB91" s="34" t="n"/>
      <c r="AC91" s="34" t="n"/>
      <c r="AD91" s="34" t="n"/>
      <c r="AE91" s="34" t="n"/>
      <c r="AF91" s="34" t="n"/>
      <c r="AG91" s="34" t="n"/>
      <c r="AH91" s="34" t="n"/>
      <c r="AI91" s="34" t="n"/>
      <c r="AJ91" s="34" t="n"/>
      <c r="AK91" s="34" t="n"/>
      <c r="AL91" s="34" t="n"/>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4" t="n"/>
      <c r="BM91" s="34" t="n"/>
      <c r="BN91" s="34" t="n"/>
      <c r="BO91" s="34" t="n"/>
      <c r="BP91" s="34" t="n"/>
      <c r="BQ91" s="34" t="n"/>
      <c r="BR91" s="34" t="n"/>
      <c r="BS91" s="34" t="n"/>
      <c r="BT91" s="34" t="n"/>
      <c r="BU91" s="34" t="n"/>
      <c r="BV91" s="34" t="n"/>
      <c r="BW91" s="34" t="n"/>
      <c r="BX91" s="34" t="n"/>
      <c r="BY91" s="153" t="n"/>
      <c r="BZ91" s="153" t="n"/>
      <c r="CA91" s="277">
        <f>CHOOSE(MATCH($CG$2,{"Bull","Base","Bear"},0),$CP$13,$CQ$13,$CR$13)</f>
        <v>95</v>
      </c>
      <c r="CB91" s="153" t="n"/>
      <c r="CC91" s="153" t="n"/>
      <c r="CD91" s="153" t="n"/>
      <c r="CE91" s="153" t="n"/>
      <c r="CF91" s="153" t="n"/>
      <c r="CG91" s="153" t="n"/>
      <c r="CO91" s="25" t="inlineStr">
        <is>
          <t xml:space="preserve">  2030E</t>
        </is>
      </c>
      <c r="CP91" s="33">
        <f>CQ91+$CP$87</f>
        <v>0.185</v>
      </c>
      <c r="CQ91" s="42" t="n">
        <v>0.18</v>
      </c>
      <c r="CR91" s="33">
        <f>CQ91+$CR$87</f>
        <v>0.17</v>
      </c>
    </row>
    <row r="92" ht="15" customHeight="1" s="251">
      <c r="B92" s="57" t="inlineStr">
        <is>
          <t xml:space="preserve">  Check: 2026E 787 deliveries vs target (should be 0)</t>
        </is>
      </c>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c r="AA92" s="44" t="n"/>
      <c r="AB92" s="44" t="n"/>
      <c r="AC92" s="44" t="n"/>
      <c r="AD92" s="44" t="n"/>
      <c r="AE92" s="44" t="n"/>
      <c r="AF92" s="44" t="n"/>
      <c r="AG92" s="44" t="n"/>
      <c r="AH92" s="44" t="n"/>
      <c r="AI92" s="44" t="n"/>
      <c r="AJ92" s="44" t="n"/>
      <c r="AK92" s="44" t="n"/>
      <c r="AL92" s="44" t="n"/>
      <c r="AM92" s="44" t="n"/>
      <c r="AN92" s="44" t="n"/>
      <c r="AO92" s="44" t="n"/>
      <c r="AP92" s="44" t="n"/>
      <c r="AQ92" s="44" t="n"/>
      <c r="AR92" s="44" t="n"/>
      <c r="AS92" s="44" t="n"/>
      <c r="AT92" s="44" t="n"/>
      <c r="AU92" s="44" t="n"/>
      <c r="AV92" s="44" t="n"/>
      <c r="AW92" s="44" t="n"/>
      <c r="AX92" s="44" t="n"/>
      <c r="AY92" s="44" t="n"/>
      <c r="AZ92" s="44" t="n"/>
      <c r="BA92" s="44" t="n"/>
      <c r="BB92" s="44" t="n"/>
      <c r="BC92" s="44" t="n"/>
      <c r="BD92" s="44" t="n"/>
      <c r="BE92" s="44" t="n"/>
      <c r="BF92" s="44" t="n"/>
      <c r="BG92" s="44" t="n"/>
      <c r="BH92" s="44" t="n"/>
      <c r="BI92" s="44" t="n"/>
      <c r="BJ92" s="44" t="n"/>
      <c r="BK92" s="44" t="n"/>
      <c r="BL92" s="44" t="n"/>
      <c r="BM92" s="44" t="n"/>
      <c r="BN92" s="44" t="n"/>
      <c r="BO92" s="44" t="n"/>
      <c r="BP92" s="44" t="n"/>
      <c r="BQ92" s="44" t="n"/>
      <c r="BR92" s="44" t="n"/>
      <c r="BS92" s="44" t="n"/>
      <c r="BT92" s="44" t="n"/>
      <c r="BU92" s="44" t="n"/>
      <c r="BV92" s="44" t="n"/>
      <c r="BW92" s="44" t="n"/>
      <c r="BX92" s="44" t="n"/>
      <c r="BY92" s="153" t="n"/>
      <c r="BZ92" s="153" t="n"/>
      <c r="CA92" s="277">
        <f>ROUND(CA16-CA91,1)</f>
        <v>0</v>
      </c>
      <c r="CB92" s="153" t="n"/>
      <c r="CC92" s="153" t="n"/>
      <c r="CD92" s="153" t="n"/>
      <c r="CE92" s="153" t="n"/>
      <c r="CF92" s="153" t="n"/>
      <c r="CG92" s="153" t="n"/>
      <c r="CO92" s="25" t="inlineStr">
        <is>
          <t xml:space="preserve">  2031E</t>
        </is>
      </c>
      <c r="CP92" s="33">
        <f>CQ92+$CP$87</f>
        <v>0.185</v>
      </c>
      <c r="CQ92" s="42" t="n">
        <v>0.18</v>
      </c>
      <c r="CR92" s="33">
        <f>CQ92+$CR$87</f>
        <v>0.17</v>
      </c>
    </row>
    <row r="93" ht="15" customHeight="1" s="251">
      <c r="B93" s="156" t="inlineStr">
        <is>
          <t xml:space="preserve">  Memo: 2026 BDS operating margin target (scenario end-point)</t>
        </is>
      </c>
      <c r="C93" s="34" t="n"/>
      <c r="D93" s="34" t="n"/>
      <c r="E93" s="34" t="n"/>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c r="AA93" s="34" t="n"/>
      <c r="AB93" s="34" t="n"/>
      <c r="AC93" s="34" t="n"/>
      <c r="AD93" s="34" t="n"/>
      <c r="AE93" s="34" t="n"/>
      <c r="AF93" s="34" t="n"/>
      <c r="AG93" s="34" t="n"/>
      <c r="AH93" s="34" t="n"/>
      <c r="AI93" s="34" t="n"/>
      <c r="AJ93" s="34" t="n"/>
      <c r="AK93" s="34" t="n"/>
      <c r="AL93" s="34" t="n"/>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4" t="n"/>
      <c r="BM93" s="34" t="n"/>
      <c r="BN93" s="34" t="n"/>
      <c r="BO93" s="34" t="n"/>
      <c r="BP93" s="34" t="n"/>
      <c r="BQ93" s="34" t="n"/>
      <c r="BR93" s="34" t="n"/>
      <c r="BS93" s="34" t="n"/>
      <c r="BT93" s="34" t="n"/>
      <c r="BU93" s="34" t="n"/>
      <c r="BV93" s="34" t="n"/>
      <c r="BW93" s="34" t="n"/>
      <c r="BX93" s="34" t="n"/>
      <c r="BY93" s="153" t="n"/>
      <c r="BZ93" s="153" t="n"/>
      <c r="CA93" s="278">
        <f>CHOOSE(MATCH($CG$2,{"Bull","Base","Bear"},0),$CP$14,$CQ$14,$CR$14)</f>
        <v>0.025</v>
      </c>
      <c r="CB93" s="153" t="n"/>
      <c r="CC93" s="153" t="n"/>
      <c r="CD93" s="153" t="n"/>
      <c r="CE93" s="153" t="n"/>
      <c r="CF93" s="153" t="n"/>
      <c r="CG93" s="153" t="n"/>
      <c r="CO93" s="15" t="inlineStr">
        <is>
          <t>M&amp;A_spend (acquisitions, $m)</t>
        </is>
      </c>
      <c r="CP93" s="50" t="n">
        <v>0</v>
      </c>
      <c r="CQ93" s="21" t="inlineStr">
        <is>
          <t>Δ →</t>
        </is>
      </c>
      <c r="CR93" s="50" t="n">
        <v>0</v>
      </c>
      <c r="CS93" s="13" t="inlineStr">
        <is>
          <t>None assumed (deleveraging after Spirit).</t>
        </is>
      </c>
    </row>
    <row r="94" ht="15" customHeight="1" s="251">
      <c r="B94" s="25" t="inlineStr">
        <is>
          <t xml:space="preserve">  Calibration: Δ BDS margin applied to Q3/Q4-26E (closed form)</t>
        </is>
      </c>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c r="BP94" s="36" t="n"/>
      <c r="BQ94" s="36" t="n"/>
      <c r="BR94" s="36" t="n"/>
      <c r="BS94" s="36" t="n"/>
      <c r="BT94" s="36" t="n"/>
      <c r="BU94" s="36" t="n"/>
      <c r="BV94" s="36" t="n"/>
      <c r="BW94" s="36" t="n"/>
      <c r="BX94" s="36" t="n"/>
      <c r="BY94" s="260">
        <f>($CA$93*$CA$33-SUM(BW35:BX35)-BY37*BY33-BZ37*BZ33)/(BY33+BZ33)</f>
        <v>0.0200573466766341</v>
      </c>
      <c r="BZ94" s="260">
        <f>($CA$93*$CA$33-SUM(BW35:BX35)-BY37*BY33-BZ37*BZ33)/(BY33+BZ33)</f>
        <v>0.0200573466766341</v>
      </c>
      <c r="CA94" s="24" t="n"/>
      <c r="CB94" s="46" t="n"/>
      <c r="CC94" s="46" t="n"/>
      <c r="CD94" s="46" t="n"/>
      <c r="CE94" s="46" t="n"/>
      <c r="CF94" s="46" t="n"/>
      <c r="CG94" s="19" t="inlineStr">
        <is>
          <t>Solves one uniform shift on the 1H26 BDS margin so that the 2026E margin = the target for the active scenario.</t>
        </is>
      </c>
      <c r="CO94" s="25" t="inlineStr">
        <is>
          <t xml:space="preserve">  2027E</t>
        </is>
      </c>
      <c r="CP94" s="51">
        <f>MAX(0,CQ94+$CP$93)</f>
        <v>0</v>
      </c>
      <c r="CQ94" s="26" t="n">
        <v>0</v>
      </c>
      <c r="CR94" s="51">
        <f>MAX(0,CQ94+$CR$93)</f>
        <v>0</v>
      </c>
    </row>
    <row r="95" ht="15" customHeight="1" s="251">
      <c r="B95" s="57" t="inlineStr">
        <is>
          <t xml:space="preserve">  Check: 2026E BDS margin vs target (should be 0.0%)</t>
        </is>
      </c>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c r="AA95" s="44" t="n"/>
      <c r="AB95" s="44" t="n"/>
      <c r="AC95" s="44" t="n"/>
      <c r="AD95" s="44" t="n"/>
      <c r="AE95" s="44" t="n"/>
      <c r="AF95" s="44" t="n"/>
      <c r="AG95" s="44" t="n"/>
      <c r="AH95" s="44" t="n"/>
      <c r="AI95" s="44" t="n"/>
      <c r="AJ95" s="44" t="n"/>
      <c r="AK95" s="44" t="n"/>
      <c r="AL95" s="44" t="n"/>
      <c r="AM95" s="44" t="n"/>
      <c r="AN95" s="44" t="n"/>
      <c r="AO95" s="44" t="n"/>
      <c r="AP95" s="44" t="n"/>
      <c r="AQ95" s="44" t="n"/>
      <c r="AR95" s="44" t="n"/>
      <c r="AS95" s="44" t="n"/>
      <c r="AT95" s="44" t="n"/>
      <c r="AU95" s="44" t="n"/>
      <c r="AV95" s="44" t="n"/>
      <c r="AW95" s="44" t="n"/>
      <c r="AX95" s="44" t="n"/>
      <c r="AY95" s="44" t="n"/>
      <c r="AZ95" s="44" t="n"/>
      <c r="BA95" s="44" t="n"/>
      <c r="BB95" s="44" t="n"/>
      <c r="BC95" s="44" t="n"/>
      <c r="BD95" s="44" t="n"/>
      <c r="BE95" s="44" t="n"/>
      <c r="BF95" s="44" t="n"/>
      <c r="BG95" s="44" t="n"/>
      <c r="BH95" s="44" t="n"/>
      <c r="BI95" s="44" t="n"/>
      <c r="BJ95" s="44" t="n"/>
      <c r="BK95" s="44" t="n"/>
      <c r="BL95" s="44" t="n"/>
      <c r="BM95" s="44" t="n"/>
      <c r="BN95" s="44" t="n"/>
      <c r="BO95" s="44" t="n"/>
      <c r="BP95" s="44" t="n"/>
      <c r="BQ95" s="44" t="n"/>
      <c r="BR95" s="44" t="n"/>
      <c r="BS95" s="44" t="n"/>
      <c r="BT95" s="44" t="n"/>
      <c r="BU95" s="44" t="n"/>
      <c r="BV95" s="44" t="n"/>
      <c r="BW95" s="44" t="n"/>
      <c r="BX95" s="44" t="n"/>
      <c r="BY95" s="153" t="n"/>
      <c r="BZ95" s="153" t="n"/>
      <c r="CA95" s="278">
        <f>ROUND(CA36-CA93,4)</f>
        <v>0</v>
      </c>
      <c r="CB95" s="153" t="n"/>
      <c r="CC95" s="153" t="n"/>
      <c r="CD95" s="153" t="n"/>
      <c r="CE95" s="153" t="n"/>
      <c r="CF95" s="153" t="n"/>
      <c r="CG95" s="153" t="n"/>
      <c r="CO95" s="25" t="inlineStr">
        <is>
          <t xml:space="preserve">  2028E</t>
        </is>
      </c>
      <c r="CP95" s="51">
        <f>MAX(0,CQ95+$CP$93)</f>
        <v>0</v>
      </c>
      <c r="CQ95" s="26" t="n">
        <v>0</v>
      </c>
      <c r="CR95" s="51">
        <f>MAX(0,CQ95+$CR$93)</f>
        <v>0</v>
      </c>
    </row>
    <row r="96" ht="15" customHeight="1" s="251">
      <c r="B96" s="156" t="inlineStr">
        <is>
          <t xml:space="preserve">  Memo: 2026 BGS operating margin target (scenario end-point)</t>
        </is>
      </c>
      <c r="C96" s="34" t="n"/>
      <c r="D96" s="34" t="n"/>
      <c r="E96" s="34" t="n"/>
      <c r="F96" s="34" t="n"/>
      <c r="G96" s="34" t="n"/>
      <c r="H96" s="34" t="n"/>
      <c r="I96" s="34" t="n"/>
      <c r="J96" s="34" t="n"/>
      <c r="K96" s="34" t="n"/>
      <c r="L96" s="34" t="n"/>
      <c r="M96" s="34" t="n"/>
      <c r="N96" s="34" t="n"/>
      <c r="O96" s="34" t="n"/>
      <c r="P96" s="34" t="n"/>
      <c r="Q96" s="34" t="n"/>
      <c r="R96" s="34" t="n"/>
      <c r="S96" s="34" t="n"/>
      <c r="T96" s="34" t="n"/>
      <c r="U96" s="34" t="n"/>
      <c r="V96" s="34" t="n"/>
      <c r="W96" s="34" t="n"/>
      <c r="X96" s="34" t="n"/>
      <c r="Y96" s="34" t="n"/>
      <c r="Z96" s="34" t="n"/>
      <c r="AA96" s="34" t="n"/>
      <c r="AB96" s="34" t="n"/>
      <c r="AC96" s="34" t="n"/>
      <c r="AD96" s="34" t="n"/>
      <c r="AE96" s="34" t="n"/>
      <c r="AF96" s="34" t="n"/>
      <c r="AG96" s="34" t="n"/>
      <c r="AH96" s="34" t="n"/>
      <c r="AI96" s="34" t="n"/>
      <c r="AJ96" s="34" t="n"/>
      <c r="AK96" s="34" t="n"/>
      <c r="AL96" s="34" t="n"/>
      <c r="AM96" s="34" t="n"/>
      <c r="AN96" s="34" t="n"/>
      <c r="AO96" s="34" t="n"/>
      <c r="AP96" s="34" t="n"/>
      <c r="AQ96" s="34" t="n"/>
      <c r="AR96" s="34" t="n"/>
      <c r="AS96" s="34" t="n"/>
      <c r="AT96" s="34" t="n"/>
      <c r="AU96" s="34" t="n"/>
      <c r="AV96" s="34" t="n"/>
      <c r="AW96" s="34" t="n"/>
      <c r="AX96" s="34" t="n"/>
      <c r="AY96" s="34" t="n"/>
      <c r="AZ96" s="34" t="n"/>
      <c r="BA96" s="34" t="n"/>
      <c r="BB96" s="34" t="n"/>
      <c r="BC96" s="34" t="n"/>
      <c r="BD96" s="34" t="n"/>
      <c r="BE96" s="34" t="n"/>
      <c r="BF96" s="34" t="n"/>
      <c r="BG96" s="34" t="n"/>
      <c r="BH96" s="34" t="n"/>
      <c r="BI96" s="34" t="n"/>
      <c r="BJ96" s="34" t="n"/>
      <c r="BK96" s="34" t="n"/>
      <c r="BL96" s="34" t="n"/>
      <c r="BM96" s="34" t="n"/>
      <c r="BN96" s="34" t="n"/>
      <c r="BO96" s="34" t="n"/>
      <c r="BP96" s="34" t="n"/>
      <c r="BQ96" s="34" t="n"/>
      <c r="BR96" s="34" t="n"/>
      <c r="BS96" s="34" t="n"/>
      <c r="BT96" s="34" t="n"/>
      <c r="BU96" s="34" t="n"/>
      <c r="BV96" s="34" t="n"/>
      <c r="BW96" s="34" t="n"/>
      <c r="BX96" s="34" t="n"/>
      <c r="BY96" s="153" t="n"/>
      <c r="BZ96" s="153" t="n"/>
      <c r="CA96" s="278">
        <f>CHOOSE(MATCH($CG$2,{"Bull","Base","Bear"},0),$CP$15,$CQ$15,$CR$15)</f>
        <v>0.18</v>
      </c>
      <c r="CB96" s="153" t="n"/>
      <c r="CC96" s="153" t="n"/>
      <c r="CD96" s="153" t="n"/>
      <c r="CE96" s="153" t="n"/>
      <c r="CF96" s="153" t="n"/>
      <c r="CG96" s="153" t="n"/>
      <c r="CO96" s="25" t="inlineStr">
        <is>
          <t xml:space="preserve">  2029E</t>
        </is>
      </c>
      <c r="CP96" s="51">
        <f>MAX(0,CQ96+$CP$93)</f>
        <v>0</v>
      </c>
      <c r="CQ96" s="26" t="n">
        <v>0</v>
      </c>
      <c r="CR96" s="51">
        <f>MAX(0,CQ96+$CR$93)</f>
        <v>0</v>
      </c>
    </row>
    <row r="97" ht="15" customHeight="1" s="251">
      <c r="B97" s="25" t="inlineStr">
        <is>
          <t xml:space="preserve">  Calibration: Δ BGS margin applied to Q3/Q4-26E (closed form)</t>
        </is>
      </c>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c r="BP97" s="36" t="n"/>
      <c r="BQ97" s="36" t="n"/>
      <c r="BR97" s="36" t="n"/>
      <c r="BS97" s="36" t="n"/>
      <c r="BT97" s="36" t="n"/>
      <c r="BU97" s="36" t="n"/>
      <c r="BV97" s="36" t="n"/>
      <c r="BW97" s="36" t="n"/>
      <c r="BX97" s="36" t="n"/>
      <c r="BY97" s="260">
        <f>($CA$96*$CA$49-SUM(BW51:BX51)-BY53*BY49-BZ53*BZ49)/(BY49+BZ49)</f>
        <v>-0.0019345901781</v>
      </c>
      <c r="BZ97" s="260">
        <f>($CA$96*$CA$49-SUM(BW51:BX51)-BY53*BY49-BZ53*BZ49)/(BY49+BZ49)</f>
        <v>-0.0019345901781</v>
      </c>
      <c r="CA97" s="24" t="n"/>
      <c r="CB97" s="46" t="n"/>
      <c r="CC97" s="46" t="n"/>
      <c r="CD97" s="46" t="n"/>
      <c r="CE97" s="46" t="n"/>
      <c r="CF97" s="46" t="n"/>
      <c r="CG97" s="19" t="n"/>
      <c r="CO97" s="25" t="inlineStr">
        <is>
          <t xml:space="preserve">  2030E</t>
        </is>
      </c>
      <c r="CP97" s="51">
        <f>MAX(0,CQ97+$CP$93)</f>
        <v>0</v>
      </c>
      <c r="CQ97" s="26" t="n">
        <v>0</v>
      </c>
      <c r="CR97" s="51">
        <f>MAX(0,CQ97+$CR$93)</f>
        <v>0</v>
      </c>
    </row>
    <row r="98" ht="15" customHeight="1" s="251">
      <c r="B98" s="57" t="inlineStr">
        <is>
          <t xml:space="preserve">  Check: 2026E BGS margin vs target (should be 0.0%)</t>
        </is>
      </c>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c r="AA98" s="44" t="n"/>
      <c r="AB98" s="44" t="n"/>
      <c r="AC98" s="44" t="n"/>
      <c r="AD98" s="44" t="n"/>
      <c r="AE98" s="44" t="n"/>
      <c r="AF98" s="44" t="n"/>
      <c r="AG98" s="44" t="n"/>
      <c r="AH98" s="44" t="n"/>
      <c r="AI98" s="44" t="n"/>
      <c r="AJ98" s="44" t="n"/>
      <c r="AK98" s="44" t="n"/>
      <c r="AL98" s="44" t="n"/>
      <c r="AM98" s="44" t="n"/>
      <c r="AN98" s="44" t="n"/>
      <c r="AO98" s="44" t="n"/>
      <c r="AP98" s="44" t="n"/>
      <c r="AQ98" s="44" t="n"/>
      <c r="AR98" s="44" t="n"/>
      <c r="AS98" s="44" t="n"/>
      <c r="AT98" s="44" t="n"/>
      <c r="AU98" s="44" t="n"/>
      <c r="AV98" s="44" t="n"/>
      <c r="AW98" s="44" t="n"/>
      <c r="AX98" s="44" t="n"/>
      <c r="AY98" s="44" t="n"/>
      <c r="AZ98" s="44" t="n"/>
      <c r="BA98" s="44" t="n"/>
      <c r="BB98" s="44" t="n"/>
      <c r="BC98" s="44" t="n"/>
      <c r="BD98" s="44" t="n"/>
      <c r="BE98" s="44" t="n"/>
      <c r="BF98" s="44" t="n"/>
      <c r="BG98" s="44" t="n"/>
      <c r="BH98" s="44" t="n"/>
      <c r="BI98" s="44" t="n"/>
      <c r="BJ98" s="44" t="n"/>
      <c r="BK98" s="44" t="n"/>
      <c r="BL98" s="44" t="n"/>
      <c r="BM98" s="44" t="n"/>
      <c r="BN98" s="44" t="n"/>
      <c r="BO98" s="44" t="n"/>
      <c r="BP98" s="44" t="n"/>
      <c r="BQ98" s="44" t="n"/>
      <c r="BR98" s="44" t="n"/>
      <c r="BS98" s="44" t="n"/>
      <c r="BT98" s="44" t="n"/>
      <c r="BU98" s="44" t="n"/>
      <c r="BV98" s="44" t="n"/>
      <c r="BW98" s="44" t="n"/>
      <c r="BX98" s="44" t="n"/>
      <c r="BY98" s="153" t="n"/>
      <c r="BZ98" s="153" t="n"/>
      <c r="CA98" s="278">
        <f>ROUND(CA52-CA96,4)</f>
        <v>0</v>
      </c>
      <c r="CB98" s="153" t="n"/>
      <c r="CC98" s="153" t="n"/>
      <c r="CD98" s="153" t="n"/>
      <c r="CE98" s="153" t="n"/>
      <c r="CF98" s="153" t="n"/>
      <c r="CG98" s="153" t="n"/>
      <c r="CO98" s="25" t="inlineStr">
        <is>
          <t xml:space="preserve">  2031E</t>
        </is>
      </c>
      <c r="CP98" s="51">
        <f>MAX(0,CQ98+$CP$93)</f>
        <v>0</v>
      </c>
      <c r="CQ98" s="26" t="n">
        <v>0</v>
      </c>
      <c r="CR98" s="51">
        <f>MAX(0,CQ98+$CR$93)</f>
        <v>0</v>
      </c>
    </row>
    <row r="99" ht="15" customHeight="1" s="251">
      <c r="B99" s="156" t="inlineStr">
        <is>
          <t xml:space="preserve">  Memo: 2026 free cash flow target (scenario end-point; solved through year-end inventories — see balance sheet)</t>
        </is>
      </c>
      <c r="C99" s="34" t="n"/>
      <c r="D99" s="34" t="n"/>
      <c r="E99" s="34" t="n"/>
      <c r="F99" s="34" t="n"/>
      <c r="G99" s="34" t="n"/>
      <c r="H99" s="34" t="n"/>
      <c r="I99" s="34" t="n"/>
      <c r="J99" s="34" t="n"/>
      <c r="K99" s="34" t="n"/>
      <c r="L99" s="34" t="n"/>
      <c r="M99" s="34" t="n"/>
      <c r="N99" s="34" t="n"/>
      <c r="O99" s="34" t="n"/>
      <c r="P99" s="34" t="n"/>
      <c r="Q99" s="34" t="n"/>
      <c r="R99" s="34" t="n"/>
      <c r="S99" s="34" t="n"/>
      <c r="T99" s="34" t="n"/>
      <c r="U99" s="34" t="n"/>
      <c r="V99" s="34" t="n"/>
      <c r="W99" s="34" t="n"/>
      <c r="X99" s="34" t="n"/>
      <c r="Y99" s="34" t="n"/>
      <c r="Z99" s="34" t="n"/>
      <c r="AA99" s="34" t="n"/>
      <c r="AB99" s="34" t="n"/>
      <c r="AC99" s="34" t="n"/>
      <c r="AD99" s="34" t="n"/>
      <c r="AE99" s="34" t="n"/>
      <c r="AF99" s="34" t="n"/>
      <c r="AG99" s="34" t="n"/>
      <c r="AH99" s="34" t="n"/>
      <c r="AI99" s="34" t="n"/>
      <c r="AJ99" s="34" t="n"/>
      <c r="AK99" s="34" t="n"/>
      <c r="AL99" s="34" t="n"/>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4" t="n"/>
      <c r="BM99" s="34" t="n"/>
      <c r="BN99" s="34" t="n"/>
      <c r="BO99" s="34" t="n"/>
      <c r="BP99" s="34" t="n"/>
      <c r="BQ99" s="34" t="n"/>
      <c r="BR99" s="34" t="n"/>
      <c r="BS99" s="34" t="n"/>
      <c r="BT99" s="34" t="n"/>
      <c r="BU99" s="34" t="n"/>
      <c r="BV99" s="34" t="n"/>
      <c r="BW99" s="34" t="n"/>
      <c r="BX99" s="34" t="n"/>
      <c r="BY99" s="153" t="n"/>
      <c r="BZ99" s="153" t="n"/>
      <c r="CA99" s="277">
        <f>CHOOSE(MATCH($CG$2,{"Bull","Base","Bear"},0),$CP$16,$CQ$16,$CR$16)</f>
        <v>2000</v>
      </c>
      <c r="CB99" s="153" t="n"/>
      <c r="CC99" s="153" t="n"/>
      <c r="CD99" s="153" t="n"/>
      <c r="CE99" s="153" t="n"/>
      <c r="CF99" s="153" t="n"/>
      <c r="CG99" s="153" t="n"/>
    </row>
    <row r="100" ht="15" customHeight="1" s="251">
      <c r="B100" s="57" t="inlineStr">
        <is>
          <t xml:space="preserve">  Check: 2026E free cash flow vs target (should be 0)</t>
        </is>
      </c>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c r="AA100" s="44" t="n"/>
      <c r="AB100" s="44" t="n"/>
      <c r="AC100" s="44" t="n"/>
      <c r="AD100" s="44" t="n"/>
      <c r="AE100" s="44" t="n"/>
      <c r="AF100" s="44" t="n"/>
      <c r="AG100" s="44" t="n"/>
      <c r="AH100" s="44" t="n"/>
      <c r="AI100" s="44" t="n"/>
      <c r="AJ100" s="44" t="n"/>
      <c r="AK100" s="44" t="n"/>
      <c r="AL100" s="44" t="n"/>
      <c r="AM100" s="44" t="n"/>
      <c r="AN100" s="44" t="n"/>
      <c r="AO100" s="44" t="n"/>
      <c r="AP100" s="44" t="n"/>
      <c r="AQ100" s="44" t="n"/>
      <c r="AR100" s="44" t="n"/>
      <c r="AS100" s="44" t="n"/>
      <c r="AT100" s="44" t="n"/>
      <c r="AU100" s="44" t="n"/>
      <c r="AV100" s="44" t="n"/>
      <c r="AW100" s="44" t="n"/>
      <c r="AX100" s="44" t="n"/>
      <c r="AY100" s="44" t="n"/>
      <c r="AZ100" s="44" t="n"/>
      <c r="BA100" s="44" t="n"/>
      <c r="BB100" s="44" t="n"/>
      <c r="BC100" s="44" t="n"/>
      <c r="BD100" s="44" t="n"/>
      <c r="BE100" s="44" t="n"/>
      <c r="BF100" s="44" t="n"/>
      <c r="BG100" s="44" t="n"/>
      <c r="BH100" s="44" t="n"/>
      <c r="BI100" s="44" t="n"/>
      <c r="BJ100" s="44" t="n"/>
      <c r="BK100" s="44" t="n"/>
      <c r="BL100" s="44" t="n"/>
      <c r="BM100" s="44" t="n"/>
      <c r="BN100" s="44" t="n"/>
      <c r="BO100" s="44" t="n"/>
      <c r="BP100" s="44" t="n"/>
      <c r="BQ100" s="44" t="n"/>
      <c r="BR100" s="44" t="n"/>
      <c r="BS100" s="44" t="n"/>
      <c r="BT100" s="44" t="n"/>
      <c r="BU100" s="44" t="n"/>
      <c r="BV100" s="44" t="n"/>
      <c r="BW100" s="44" t="n"/>
      <c r="BX100" s="44" t="n"/>
      <c r="BY100" s="153" t="n"/>
      <c r="BZ100" s="153" t="n"/>
      <c r="CA100" s="277">
        <f>ROUND(CA250-CA99,1)</f>
        <v>0</v>
      </c>
      <c r="CB100" s="153" t="n"/>
      <c r="CC100" s="153" t="n"/>
      <c r="CD100" s="153" t="n"/>
      <c r="CE100" s="153" t="n"/>
      <c r="CF100" s="153" t="n"/>
      <c r="CG100" s="153" t="n"/>
    </row>
    <row r="101" ht="15" customHeight="1" s="251">
      <c r="B101" s="156" t="inlineStr">
        <is>
          <t xml:space="preserve">  Memo: 2H26 BCA margin (scenario assumption — information; company indicated negative BCA margins in 2026, UNVERIFIED)</t>
        </is>
      </c>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c r="AA101" s="34" t="n"/>
      <c r="AB101" s="34" t="n"/>
      <c r="AC101" s="34" t="n"/>
      <c r="AD101" s="34" t="n"/>
      <c r="AE101" s="34" t="n"/>
      <c r="AF101" s="34" t="n"/>
      <c r="AG101" s="34" t="n"/>
      <c r="AH101" s="34" t="n"/>
      <c r="AI101" s="34" t="n"/>
      <c r="AJ101" s="34" t="n"/>
      <c r="AK101" s="34" t="n"/>
      <c r="AL101" s="34" t="n"/>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4" t="n"/>
      <c r="BM101" s="34" t="n"/>
      <c r="BN101" s="34" t="n"/>
      <c r="BO101" s="34" t="n"/>
      <c r="BP101" s="34" t="n"/>
      <c r="BQ101" s="34" t="n"/>
      <c r="BR101" s="34" t="n"/>
      <c r="BS101" s="34" t="n"/>
      <c r="BT101" s="34" t="n"/>
      <c r="BU101" s="34" t="n"/>
      <c r="BV101" s="34" t="n"/>
      <c r="BW101" s="34" t="n"/>
      <c r="BX101" s="34" t="n"/>
      <c r="BY101" s="153" t="n"/>
      <c r="BZ101" s="153" t="n"/>
      <c r="CA101" s="278">
        <f>CHOOSE(MATCH($CG$2,{"Bull","Base","Bear"},0),$CP$17,$CQ$17,$CR$17)</f>
        <v>-0.02</v>
      </c>
      <c r="CB101" s="153" t="n"/>
      <c r="CC101" s="153" t="n"/>
      <c r="CD101" s="153" t="n"/>
      <c r="CE101" s="153" t="n"/>
      <c r="CF101" s="153" t="n"/>
      <c r="CG101" s="153" t="n"/>
    </row>
    <row r="102" ht="15" customHeight="1" s="251">
      <c r="CO102" s="11" t="n"/>
      <c r="CP102" s="12" t="n"/>
      <c r="CQ102" s="12" t="n"/>
      <c r="CR102" s="12" t="n"/>
      <c r="CS102" s="13" t="n"/>
    </row>
    <row r="103" ht="15" customHeight="1" s="251">
      <c r="B103" s="14" t="inlineStr">
        <is>
          <t>Cost drivers, D&amp;A, pension and other income</t>
        </is>
      </c>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c r="BR103" s="14" t="n"/>
      <c r="BS103" s="14" t="n"/>
      <c r="BT103" s="14" t="n"/>
      <c r="BU103" s="14" t="n"/>
      <c r="BV103" s="14" t="n"/>
      <c r="BW103" s="14" t="n"/>
      <c r="BX103" s="14" t="n"/>
      <c r="BY103" s="14" t="n"/>
      <c r="BZ103" s="14" t="n"/>
      <c r="CA103" s="14" t="n"/>
      <c r="CB103" s="14" t="n"/>
      <c r="CC103" s="14" t="n"/>
      <c r="CD103" s="14" t="n"/>
      <c r="CE103" s="14" t="n"/>
      <c r="CF103" s="14" t="n"/>
      <c r="CG103" s="15" t="inlineStr">
        <is>
          <t>COST DRIVERS — inputs that drive forecast cost lines (Q3/Q4-26E: point estimates / 1H26 ratios; 2027E+: % of revenues or inputs)</t>
        </is>
      </c>
    </row>
    <row r="104" ht="15" customHeight="1" s="251">
      <c r="B104" s="25" t="inlineStr">
        <is>
          <t xml:space="preserve">  Depreciation &amp; amortization (cash-flow statement)</t>
        </is>
      </c>
      <c r="C104" s="266" t="n">
        <v>1545</v>
      </c>
      <c r="D104" s="266" t="n">
        <v>1486</v>
      </c>
      <c r="E104" s="266" t="n">
        <v>1491</v>
      </c>
      <c r="F104" s="266" t="n">
        <v>1666</v>
      </c>
      <c r="G104" s="266" t="n">
        <v>1727</v>
      </c>
      <c r="H104" s="266" t="n">
        <v>1457</v>
      </c>
      <c r="I104" s="266" t="n">
        <v>1811</v>
      </c>
      <c r="J104" s="266" t="n">
        <v>429</v>
      </c>
      <c r="K104" s="266" t="n">
        <v>436</v>
      </c>
      <c r="L104" s="266" t="n">
        <v>458</v>
      </c>
      <c r="M104" s="266" t="n">
        <v>521</v>
      </c>
      <c r="N104" s="266" t="n">
        <v>1844</v>
      </c>
      <c r="O104" s="266" t="n">
        <v>448</v>
      </c>
      <c r="P104" s="266" t="n">
        <v>452</v>
      </c>
      <c r="Q104" s="266" t="n">
        <v>478</v>
      </c>
      <c r="R104" s="266" t="n">
        <v>528</v>
      </c>
      <c r="S104" s="266" t="n">
        <v>1906</v>
      </c>
      <c r="T104" s="266" t="n">
        <v>459</v>
      </c>
      <c r="U104" s="266" t="n">
        <v>453</v>
      </c>
      <c r="V104" s="266" t="n">
        <v>437</v>
      </c>
      <c r="W104" s="266" t="n">
        <v>484</v>
      </c>
      <c r="X104" s="266" t="n">
        <v>1833</v>
      </c>
      <c r="Y104" s="266" t="n">
        <v>443</v>
      </c>
      <c r="Z104" s="266" t="n">
        <v>447</v>
      </c>
      <c r="AA104" s="266" t="n">
        <v>474</v>
      </c>
      <c r="AB104" s="266" t="n">
        <v>546</v>
      </c>
      <c r="AC104" s="266" t="n">
        <v>1910</v>
      </c>
      <c r="AD104" s="266" t="n">
        <v>471</v>
      </c>
      <c r="AE104" s="266" t="n">
        <v>494</v>
      </c>
      <c r="AF104" s="266" t="n">
        <v>522</v>
      </c>
      <c r="AG104" s="266" t="n">
        <v>582</v>
      </c>
      <c r="AH104" s="266" t="n">
        <v>2069</v>
      </c>
      <c r="AI104" s="266" t="n">
        <v>501</v>
      </c>
      <c r="AJ104" s="266" t="n">
        <v>507</v>
      </c>
      <c r="AK104" s="266" t="n">
        <v>523</v>
      </c>
      <c r="AL104" s="266" t="n">
        <v>583</v>
      </c>
      <c r="AM104" s="266" t="n">
        <v>2114</v>
      </c>
      <c r="AN104" s="266" t="n">
        <v>521</v>
      </c>
      <c r="AO104" s="266" t="n">
        <v>546</v>
      </c>
      <c r="AP104" s="266" t="n">
        <v>576</v>
      </c>
      <c r="AQ104" s="266" t="n">
        <v>628</v>
      </c>
      <c r="AR104" s="266" t="n">
        <v>2271</v>
      </c>
      <c r="AS104" s="266" t="n">
        <v>556</v>
      </c>
      <c r="AT104" s="266" t="n">
        <v>547</v>
      </c>
      <c r="AU104" s="266" t="n">
        <v>565</v>
      </c>
      <c r="AV104" s="266" t="n">
        <v>578</v>
      </c>
      <c r="AW104" s="266" t="n">
        <v>2246</v>
      </c>
      <c r="AX104" s="266" t="n">
        <v>536</v>
      </c>
      <c r="AY104" s="266" t="n">
        <v>551</v>
      </c>
      <c r="AZ104" s="266" t="n">
        <v>523</v>
      </c>
      <c r="BA104" s="266" t="n">
        <v>534</v>
      </c>
      <c r="BB104" s="266" t="n">
        <v>2144</v>
      </c>
      <c r="BC104" s="266" t="n">
        <v>486</v>
      </c>
      <c r="BD104" s="266" t="n">
        <v>498</v>
      </c>
      <c r="BE104" s="266" t="n">
        <v>493</v>
      </c>
      <c r="BF104" s="266" t="n">
        <v>502</v>
      </c>
      <c r="BG104" s="266" t="n">
        <v>1979</v>
      </c>
      <c r="BH104" s="266" t="n">
        <v>457</v>
      </c>
      <c r="BI104" s="266" t="n">
        <v>456</v>
      </c>
      <c r="BJ104" s="266" t="n">
        <v>467</v>
      </c>
      <c r="BK104" s="266" t="n">
        <v>481</v>
      </c>
      <c r="BL104" s="266" t="n">
        <v>1861</v>
      </c>
      <c r="BM104" s="266" t="n">
        <v>442</v>
      </c>
      <c r="BN104" s="266" t="n">
        <v>441</v>
      </c>
      <c r="BO104" s="266" t="n">
        <v>444</v>
      </c>
      <c r="BP104" s="266" t="n">
        <v>509</v>
      </c>
      <c r="BQ104" s="266" t="n">
        <v>1836</v>
      </c>
      <c r="BR104" s="266" t="n">
        <v>466</v>
      </c>
      <c r="BS104" s="266" t="n">
        <v>460</v>
      </c>
      <c r="BT104" s="266" t="n">
        <v>491</v>
      </c>
      <c r="BU104" s="266" t="n">
        <v>536</v>
      </c>
      <c r="BV104" s="266" t="n">
        <v>1953</v>
      </c>
      <c r="BW104" s="266" t="n">
        <v>573</v>
      </c>
      <c r="BX104" s="266" t="n">
        <v>596</v>
      </c>
      <c r="BY104" s="263">
        <f>$CQ$23</f>
        <v>585</v>
      </c>
      <c r="BZ104" s="263">
        <f>$CQ$23</f>
        <v>585</v>
      </c>
      <c r="CA104" s="263">
        <f>SUM(BW104:BZ104)</f>
        <v>2339</v>
      </c>
      <c r="CB104" s="263">
        <f>CB117*CB105</f>
        <v>2558.36181834101</v>
      </c>
      <c r="CC104" s="263">
        <f>CC117*CC105</f>
        <v>2778.75218905293</v>
      </c>
      <c r="CD104" s="263">
        <f>CD117*CD105</f>
        <v>2847.59530454219</v>
      </c>
      <c r="CE104" s="263">
        <f>CE117*CE105</f>
        <v>2987.98667400387</v>
      </c>
      <c r="CF104" s="263">
        <f>CF117*CF105</f>
        <v>3116.62764513887</v>
      </c>
      <c r="CG104" s="19" t="inlineStr">
        <is>
          <t>Q3/Q4-26E: 1H26 run-rate (Spirit PP&amp;E added $2.4bn). 2027E+: % of revenues.</t>
        </is>
      </c>
      <c r="CI104" s="20">
        <f>IFERROR(IF(AND(CF104&gt;0,CA104&gt;0),(CF104/CA104)^(1/5)-1,"n/m"),"n/m")</f>
        <v>0.0590852981711481</v>
      </c>
      <c r="CJ104" s="20">
        <f>IFERROR(IF(AND(BV104&gt;0,AW104&gt;0),(BV104/AW104)^(1/5)-1,"n/m"),"n/m")</f>
        <v>-0.0275696648711143</v>
      </c>
      <c r="CK104" s="20">
        <f>IFERROR(IF(AND(BV104&gt;0,X104&gt;0),(BV104/X104)^(1/10)-1,"n/m"),"n/m")</f>
        <v>0.00636141671185264</v>
      </c>
      <c r="CL104" s="20">
        <f>IFERROR(IF(AND(BV104&gt;0,C104&gt;0),(BV104/C104)^(1/19)-1,"n/m"),"n/m")</f>
        <v>0.0124102038422367</v>
      </c>
    </row>
    <row r="105" ht="15" customHeight="1" s="251">
      <c r="B105" s="25" t="inlineStr">
        <is>
          <t xml:space="preserve">  D&amp;A % of revenues</t>
        </is>
      </c>
      <c r="C105" s="215">
        <f>IF(AND(ISNUMBER(C104),ISNUMBER(C117)),IFERROR(C104/C117,""),"")</f>
        <v>0.0251097025841053</v>
      </c>
      <c r="D105" s="215">
        <f>IF(AND(ISNUMBER(D104),ISNUMBER(D117)),IFERROR(D104/D117,""),"")</f>
        <v>0.0223839004624399</v>
      </c>
      <c r="E105" s="215">
        <f>IF(AND(ISNUMBER(E104),ISNUMBER(E117)),IFERROR(E104/E117,""),"")</f>
        <v>0.0244727123512515</v>
      </c>
      <c r="F105" s="215">
        <f>IF(AND(ISNUMBER(F104),ISNUMBER(F117)),IFERROR(F104/F117,""),"")</f>
        <v>0.0243991740015524</v>
      </c>
      <c r="G105" s="215">
        <f>IF(AND(ISNUMBER(G104),ISNUMBER(G117)),IFERROR(G104/G117,""),"")</f>
        <v>0.0268559698939446</v>
      </c>
      <c r="H105" s="215">
        <f>IF(AND(ISNUMBER(H104),ISNUMBER(H117)),IFERROR(H104/H117,""),"")</f>
        <v>0.0211973521495599</v>
      </c>
      <c r="I105" s="215">
        <f>IF(AND(ISNUMBER(I104),ISNUMBER(I117)),IFERROR(I104/I117,""),"")</f>
        <v>0.0221670053122475</v>
      </c>
      <c r="J105" s="215">
        <f>IF(AND(ISNUMBER(J104),ISNUMBER(J117)),IFERROR(J104/J117,""),"")</f>
        <v>0.0227068226327211</v>
      </c>
      <c r="K105" s="215">
        <f>IF(AND(ISNUMBER(K104),ISNUMBER(K117)),IFERROR(K104/K117,""),"")</f>
        <v>0.0199862479944992</v>
      </c>
      <c r="L105" s="215">
        <f>IF(AND(ISNUMBER(L104),ISNUMBER(L117)),IFERROR(L104/L117,""),"")</f>
        <v>0.02069588793493</v>
      </c>
      <c r="M105" s="215">
        <f>IF(AND(ISNUMBER(M104),ISNUMBER(M117)),IFERROR(M104/M117,""),"")</f>
        <v>0.0219045616985495</v>
      </c>
      <c r="N105" s="215">
        <f>IF(AND(ISNUMBER(N104),ISNUMBER(N117)),IFERROR(N104/N117,""),"")</f>
        <v>0.0212876487768837</v>
      </c>
      <c r="O105" s="215">
        <f>IF(AND(ISNUMBER(O104),ISNUMBER(O117)),IFERROR(O104/O117,""),"")</f>
        <v>0.0218910334717811</v>
      </c>
      <c r="P105" s="215">
        <f>IF(AND(ISNUMBER(P104),ISNUMBER(P117)),IFERROR(P104/P117,""),"")</f>
        <v>0.0205035155364028</v>
      </c>
      <c r="Q105" s="215">
        <f>IF(AND(ISNUMBER(Q104),ISNUMBER(Q117)),IFERROR(Q104/Q117,""),"")</f>
        <v>0.0200975445677767</v>
      </c>
      <c r="R105" s="215">
        <f>IF(AND(ISNUMBER(R104),ISNUMBER(R117)),IFERROR(R104/R117,""),"")</f>
        <v>0.0215792054928887</v>
      </c>
      <c r="S105" s="215">
        <f>IF(AND(ISNUMBER(S104),ISNUMBER(S117)),IFERROR(S104/S117,""),"")</f>
        <v>0.0209999779643463</v>
      </c>
      <c r="T105" s="215">
        <f>IF(AND(ISNUMBER(T104),ISNUMBER(T117)),IFERROR(T104/T117,""),"")</f>
        <v>0.020723283218204</v>
      </c>
      <c r="U105" s="215">
        <f>IF(AND(ISNUMBER(U104),ISNUMBER(U117)),IFERROR(U104/U117,""),"")</f>
        <v>0.0184574012956851</v>
      </c>
      <c r="V105" s="215">
        <f>IF(AND(ISNUMBER(V104),ISNUMBER(V117)),IFERROR(V104/V117,""),"")</f>
        <v>0.0169058764362258</v>
      </c>
      <c r="W105" s="215">
        <f>IF(AND(ISNUMBER(W104),ISNUMBER(W117)),IFERROR(W104/W117,""),"")</f>
        <v>0.0205319645356976</v>
      </c>
      <c r="X105" s="215">
        <f>IF(AND(ISNUMBER(X104),ISNUMBER(X117)),IFERROR(X104/X117,""),"")</f>
        <v>0.0190711030651102</v>
      </c>
      <c r="Y105" s="215">
        <f>IF(AND(ISNUMBER(Y104),ISNUMBER(Y117)),IFERROR(Y104/Y117,""),"")</f>
        <v>0.0195740544361965</v>
      </c>
      <c r="Z105" s="215">
        <f>IF(AND(ISNUMBER(Z104),ISNUMBER(Z117)),IFERROR(Z104/Z117,""),"")</f>
        <v>0.0180569581902646</v>
      </c>
      <c r="AA105" s="215">
        <f>IF(AND(ISNUMBER(AA104),ISNUMBER(AA117)),IFERROR(AA104/AA117,""),"")</f>
        <v>0.0198342957569671</v>
      </c>
      <c r="AB105" s="215">
        <f>IF(AND(ISNUMBER(AB104),ISNUMBER(AB117)),IFERROR(AB104/AB117,""),"")</f>
        <v>0.0234475650605514</v>
      </c>
      <c r="AC105" s="215">
        <f>IF(AND(ISNUMBER(AC104),ISNUMBER(AC117)),IFERROR(AC104/AC117,""),"")</f>
        <v>0.0201964661471276</v>
      </c>
      <c r="AD105" s="215">
        <f>IF(AND(ISNUMBER(AD104),ISNUMBER(AD117)),IFERROR(AD104/AD117,""),"")</f>
        <v>0.022454233409611</v>
      </c>
      <c r="AE105" s="215">
        <f>IF(AND(ISNUMBER(AE104),ISNUMBER(AE117)),IFERROR(AE104/AE117,""),"")</f>
        <v>0.0217247900083557</v>
      </c>
      <c r="AF105" s="215">
        <f>IF(AND(ISNUMBER(AF104),ISNUMBER(AF117)),IFERROR(AF104/AF117,""),"")</f>
        <v>0.0214735283228434</v>
      </c>
      <c r="AG105" s="215">
        <f>IF(AND(ISNUMBER(AG104),ISNUMBER(AG117)),IFERROR(AG104/AG117,""),"")</f>
        <v>0.0229422894985809</v>
      </c>
      <c r="AH105" s="215">
        <f>IF(AND(ISNUMBER(AH104),ISNUMBER(AH117)),IFERROR(AH104/AH117,""),"")</f>
        <v>0.0221539318142882</v>
      </c>
      <c r="AI105" s="215">
        <f>IF(AND(ISNUMBER(AI104),ISNUMBER(AI117)),IFERROR(AI104/AI117,""),"")</f>
        <v>0.0214267385168078</v>
      </c>
      <c r="AJ105" s="215">
        <f>IF(AND(ISNUMBER(AJ104),ISNUMBER(AJ117)),IFERROR(AJ104/AJ117,""),"")</f>
        <v>0.0209003215434084</v>
      </c>
      <c r="AK105" s="215">
        <f>IF(AND(ISNUMBER(AK104),ISNUMBER(AK117)),IFERROR(AK104/AK117,""),"")</f>
        <v>0.020798536546568</v>
      </c>
      <c r="AL105" s="215">
        <f>IF(AND(ISNUMBER(AL104),ISNUMBER(AL117)),IFERROR(AL104/AL117,""),"")</f>
        <v>0.0205709043435306</v>
      </c>
      <c r="AM105" s="215">
        <f>IF(AND(ISNUMBER(AM104),ISNUMBER(AM117)),IFERROR(AM104/AM117,""),"")</f>
        <v>0.0209044073293977</v>
      </c>
      <c r="AN105" s="215">
        <f>IF(AND(ISNUMBER(AN104),ISNUMBER(AN117)),IFERROR(AN104/AN117,""),"")</f>
        <v>0.0227342147750578</v>
      </c>
      <c r="AO105" s="215">
        <f>IF(AND(ISNUMBER(AO104),ISNUMBER(AO117)),IFERROR(AO104/AO117,""),"")</f>
        <v>0.0346644657482065</v>
      </c>
      <c r="AP105" s="215">
        <f>IF(AND(ISNUMBER(AP104),ISNUMBER(AP117)),IFERROR(AP104/AP117,""),"")</f>
        <v>0.0288288288288288</v>
      </c>
      <c r="AQ105" s="215">
        <f>IF(AND(ISNUMBER(AQ104),ISNUMBER(AQ117)),IFERROR(AQ104/AQ117,""),"")</f>
        <v>0.0350622522472224</v>
      </c>
      <c r="AR105" s="215">
        <f>IF(AND(ISNUMBER(AR104),ISNUMBER(AR117)),IFERROR(AR104/AR117,""),"")</f>
        <v>0.0296633968573257</v>
      </c>
      <c r="AS105" s="215">
        <f>IF(AND(ISNUMBER(AS104),ISNUMBER(AS117)),IFERROR(AS104/AS117,""),"")</f>
        <v>0.032883841968299</v>
      </c>
      <c r="AT105" s="215">
        <f>IF(AND(ISNUMBER(AT104),ISNUMBER(AT117)),IFERROR(AT104/AT117,""),"")</f>
        <v>0.046328449225036</v>
      </c>
      <c r="AU105" s="215">
        <f>IF(AND(ISNUMBER(AU104),ISNUMBER(AU117)),IFERROR(AU104/AU117,""),"")</f>
        <v>0.03996039323856</v>
      </c>
      <c r="AV105" s="215">
        <f>IF(AND(ISNUMBER(AV104),ISNUMBER(AV117)),IFERROR(AV104/AV117,""),"")</f>
        <v>0.0377679038159958</v>
      </c>
      <c r="AW105" s="215">
        <f>IF(AND(ISNUMBER(AW104),ISNUMBER(AW117)),IFERROR(AW104/AW117,""),"")</f>
        <v>0.0386189346263627</v>
      </c>
      <c r="AX105" s="215">
        <f>IF(AND(ISNUMBER(AX104),ISNUMBER(AX117)),IFERROR(AX104/AX117,""),"")</f>
        <v>0.0352237628967602</v>
      </c>
      <c r="AY105" s="215">
        <f>IF(AND(ISNUMBER(AY104),ISNUMBER(AY117)),IFERROR(AY104/AY117,""),"")</f>
        <v>0.0324155783033298</v>
      </c>
      <c r="AZ105" s="215">
        <f>IF(AND(ISNUMBER(AZ104),ISNUMBER(AZ117)),IFERROR(AZ104/AZ117,""),"")</f>
        <v>0.0342322293493913</v>
      </c>
      <c r="BA105" s="215">
        <f>IF(AND(ISNUMBER(BA104),ISNUMBER(BA117)),IFERROR(BA104/BA117,""),"")</f>
        <v>0.0360981545325492</v>
      </c>
      <c r="BB105" s="215">
        <f>IF(AND(ISNUMBER(BB104),ISNUMBER(BB117)),IFERROR(BB104/BB117,""),"")</f>
        <v>0.0344218604501814</v>
      </c>
      <c r="BC105" s="215">
        <f>IF(AND(ISNUMBER(BC104),ISNUMBER(BC117)),IFERROR(BC104/BC117,""),"")</f>
        <v>0.0347366163962547</v>
      </c>
      <c r="BD105" s="215">
        <f>IF(AND(ISNUMBER(BD104),ISNUMBER(BD117)),IFERROR(BD104/BD117,""),"")</f>
        <v>0.029854325280259</v>
      </c>
      <c r="BE105" s="215">
        <f>IF(AND(ISNUMBER(BE104),ISNUMBER(BE117)),IFERROR(BE104/BE117,""),"")</f>
        <v>0.030897468037102</v>
      </c>
      <c r="BF105" s="215">
        <f>IF(AND(ISNUMBER(BF104),ISNUMBER(BF117)),IFERROR(BF104/BF117,""),"")</f>
        <v>0.0251251251251251</v>
      </c>
      <c r="BG105" s="215">
        <f>IF(AND(ISNUMBER(BG104),ISNUMBER(BG117)),IFERROR(BG104/BG117,""),"")</f>
        <v>0.0297111458083113</v>
      </c>
      <c r="BH105" s="215">
        <f>IF(AND(ISNUMBER(BH104),ISNUMBER(BH117)),IFERROR(BH104/BH117,""),"")</f>
        <v>0.0255008091066347</v>
      </c>
      <c r="BI105" s="215">
        <f>IF(AND(ISNUMBER(BI104),ISNUMBER(BI117)),IFERROR(BI104/BI117,""),"")</f>
        <v>0.0230874386107033</v>
      </c>
      <c r="BJ105" s="215">
        <f>IF(AND(ISNUMBER(BJ104),ISNUMBER(BJ117)),IFERROR(BJ104/BJ117,""),"")</f>
        <v>0.0257954043305347</v>
      </c>
      <c r="BK105" s="215">
        <f>IF(AND(ISNUMBER(BK104),ISNUMBER(BK117)),IFERROR(BK104/BK117,""),"")</f>
        <v>0.0218457625579072</v>
      </c>
      <c r="BL105" s="215">
        <f>IF(AND(ISNUMBER(BL104),ISNUMBER(BL117)),IFERROR(BL104/BL117,""),"")</f>
        <v>0.023922153379438</v>
      </c>
      <c r="BM105" s="215">
        <f>IF(AND(ISNUMBER(BM104),ISNUMBER(BM117)),IFERROR(BM104/BM117,""),"")</f>
        <v>0.02667632325427</v>
      </c>
      <c r="BN105" s="215">
        <f>IF(AND(ISNUMBER(BN104),ISNUMBER(BN117)),IFERROR(BN104/BN117,""),"")</f>
        <v>0.0261472785485592</v>
      </c>
      <c r="BO105" s="215">
        <f>IF(AND(ISNUMBER(BO104),ISNUMBER(BO117)),IFERROR(BO104/BO117,""),"")</f>
        <v>0.0248878923766816</v>
      </c>
      <c r="BP105" s="215">
        <f>IF(AND(ISNUMBER(BP104),ISNUMBER(BP117)),IFERROR(BP104/BP117,""),"")</f>
        <v>0.0333945676420417</v>
      </c>
      <c r="BQ105" s="215">
        <f>IF(AND(ISNUMBER(BQ104),ISNUMBER(BQ117)),IFERROR(BQ104/BQ117,""),"")</f>
        <v>0.0276019664146008</v>
      </c>
      <c r="BR105" s="215">
        <f>IF(AND(ISNUMBER(BR104),ISNUMBER(BR117)),IFERROR(BR104/BR117,""),"")</f>
        <v>0.0239023389413213</v>
      </c>
      <c r="BS105" s="215">
        <f>IF(AND(ISNUMBER(BS104),ISNUMBER(BS117)),IFERROR(BS104/BS117,""),"")</f>
        <v>0.0202206690403974</v>
      </c>
      <c r="BT105" s="215">
        <f>IF(AND(ISNUMBER(BT104),ISNUMBER(BT117)),IFERROR(BT104/BT117,""),"")</f>
        <v>0.021100128921358</v>
      </c>
      <c r="BU105" s="215">
        <f>IF(AND(ISNUMBER(BU104),ISNUMBER(BU117)),IFERROR(BU104/BU117,""),"")</f>
        <v>0.022381827292467</v>
      </c>
      <c r="BV105" s="215">
        <f>IF(AND(ISNUMBER(BV104),ISNUMBER(BV117)),IFERROR(BV104/BV117,""),"")</f>
        <v>0.0218302538479595</v>
      </c>
      <c r="BW105" s="215">
        <f>IF(AND(ISNUMBER(BW104),ISNUMBER(BW117)),IFERROR(BW104/BW117,""),"")</f>
        <v>0.0257910608993113</v>
      </c>
      <c r="BX105" s="215">
        <f>IF(AND(ISNUMBER(BX104),ISNUMBER(BX117)),IFERROR(BX104/BX117,""),"")</f>
        <v>0.0242671009771987</v>
      </c>
      <c r="BY105" s="260">
        <f>IF(AND(ISNUMBER(BY104),ISNUMBER(BY117)),IFERROR(BY104/BY117,""),"")</f>
        <v>0.0234092318151326</v>
      </c>
      <c r="BZ105" s="260">
        <f>IF(AND(ISNUMBER(BZ104),ISNUMBER(BZ117)),IFERROR(BZ104/BZ117,""),"")</f>
        <v>0.0229345498053359</v>
      </c>
      <c r="CA105" s="260">
        <f>IF(AND(ISNUMBER(CA104),ISNUMBER(CA117)),IFERROR(CA104/CA117,""),"")</f>
        <v>0.0240453540171582</v>
      </c>
      <c r="CB105" s="270" t="n">
        <v>0.024</v>
      </c>
      <c r="CC105" s="270" t="n">
        <v>0.024</v>
      </c>
      <c r="CD105" s="270" t="n">
        <v>0.023</v>
      </c>
      <c r="CE105" s="270" t="n">
        <v>0.023</v>
      </c>
      <c r="CF105" s="270" t="n">
        <v>0.023</v>
      </c>
      <c r="CG105" s="153" t="n"/>
      <c r="CI105" s="37">
        <f>IFERROR(AVERAGE(CB105,CC105,CD105,CE105,CF105),"n/m")</f>
        <v>0.0234</v>
      </c>
      <c r="CJ105" s="37">
        <f>IFERROR(AVERAGE(BB105,BG105,BL105,BQ105,BV105),"n/m")</f>
        <v>0.0274974759800982</v>
      </c>
      <c r="CK105" s="37">
        <f>IFERROR(AVERAGE(AC105,AH105,AM105,AR105,AW105,BB105,BG105,BL105,BQ105,BV105),"n/m")</f>
        <v>0.0269024516674993</v>
      </c>
      <c r="CL105" s="37">
        <f>IFERROR(AVERAGE(C105,D105,E105,F105,G105,H105,I105,N105,S105,X105,AC105,AH105,AM105,AR105,AW105,BB105,BG105,BL105,BQ105,BV105),"n/m")</f>
        <v>0.0248484531618217</v>
      </c>
    </row>
    <row r="106" ht="15" customHeight="1" s="251">
      <c r="B106" s="156" t="inlineStr">
        <is>
          <t xml:space="preserve">  Memo: amortization of acquired intangibles — 10-K schedule (included in D&amp;A)</t>
        </is>
      </c>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c r="AA106" s="34" t="n"/>
      <c r="AB106" s="34" t="n"/>
      <c r="AC106" s="34" t="n"/>
      <c r="AD106" s="34" t="n"/>
      <c r="AE106" s="34" t="n"/>
      <c r="AF106" s="34" t="n"/>
      <c r="AG106" s="34" t="n"/>
      <c r="AH106" s="34" t="n"/>
      <c r="AI106" s="34" t="n"/>
      <c r="AJ106" s="34" t="n"/>
      <c r="AK106" s="34" t="n"/>
      <c r="AL106" s="34" t="n"/>
      <c r="AM106" s="34" t="n"/>
      <c r="AN106" s="34" t="n"/>
      <c r="AO106" s="34" t="n"/>
      <c r="AP106" s="34" t="n"/>
      <c r="AQ106" s="34" t="n"/>
      <c r="AR106" s="34" t="n"/>
      <c r="AS106" s="34" t="n"/>
      <c r="AT106" s="34" t="n"/>
      <c r="AU106" s="34" t="n"/>
      <c r="AV106" s="34" t="n"/>
      <c r="AW106" s="34" t="n"/>
      <c r="AX106" s="34" t="n"/>
      <c r="AY106" s="34" t="n"/>
      <c r="AZ106" s="34" t="n"/>
      <c r="BA106" s="34" t="n"/>
      <c r="BB106" s="34" t="n"/>
      <c r="BC106" s="34" t="n"/>
      <c r="BD106" s="34" t="n"/>
      <c r="BE106" s="34" t="n"/>
      <c r="BF106" s="34" t="n"/>
      <c r="BG106" s="34" t="n"/>
      <c r="BH106" s="34" t="n"/>
      <c r="BI106" s="34" t="n"/>
      <c r="BJ106" s="34" t="n"/>
      <c r="BK106" s="34" t="n"/>
      <c r="BL106" s="34" t="n"/>
      <c r="BM106" s="34" t="n"/>
      <c r="BN106" s="34" t="n"/>
      <c r="BO106" s="34" t="n"/>
      <c r="BP106" s="34" t="n"/>
      <c r="BQ106" s="34" t="n"/>
      <c r="BR106" s="34" t="n"/>
      <c r="BS106" s="34" t="n"/>
      <c r="BT106" s="34" t="n"/>
      <c r="BU106" s="34" t="n"/>
      <c r="BV106" s="34" t="n"/>
      <c r="BW106" s="34" t="n"/>
      <c r="BX106" s="34" t="n"/>
      <c r="BY106" s="153" t="n"/>
      <c r="BZ106" s="153" t="n"/>
      <c r="CA106" s="153" t="n"/>
      <c r="CB106" s="279" t="n">
        <v>182</v>
      </c>
      <c r="CC106" s="279" t="n">
        <v>155</v>
      </c>
      <c r="CD106" s="279" t="n">
        <v>150</v>
      </c>
      <c r="CE106" s="279" t="n">
        <v>144</v>
      </c>
      <c r="CF106" s="279" t="n">
        <v>140</v>
      </c>
      <c r="CG106" s="153" t="inlineStr">
        <is>
          <t>FY2025 10-K Note 4: 2026 $197m, 2027 $182m, 2028 $155m, 2029 $150m, 2030 $144m; 2031 $140m assumed. Spirit intangibles ($109m, ~5-year life) included.</t>
        </is>
      </c>
    </row>
    <row r="107" ht="15" customHeight="1" s="251">
      <c r="B107" s="25" t="inlineStr">
        <is>
          <t xml:space="preserve">  G&amp;A % of revenues</t>
        </is>
      </c>
      <c r="C107" s="215">
        <f>IF(AND(ISNUMBER(C124),ISNUMBER(C117)),IFERROR(C124/C117,""),"")</f>
        <v>0.0677880708597432</v>
      </c>
      <c r="D107" s="215">
        <f>IF(AND(ISNUMBER(D124),ISNUMBER(D117)),IFERROR(D124/D117,""),"")</f>
        <v>0.053188124180939</v>
      </c>
      <c r="E107" s="215">
        <f>IF(AND(ISNUMBER(E124),ISNUMBER(E117)),IFERROR(E124/E117,""),"")</f>
        <v>0.0506196142798523</v>
      </c>
      <c r="F107" s="215">
        <f>IF(AND(ISNUMBER(F124),ISNUMBER(F117)),IFERROR(F124/F117,""),"")</f>
        <v>0.0492669996045752</v>
      </c>
      <c r="G107" s="215">
        <f>IF(AND(ISNUMBER(G124),ISNUMBER(G117)),IFERROR(G124/G117,""),"")</f>
        <v>0.0566665629956769</v>
      </c>
      <c r="H107" s="215">
        <f>IF(AND(ISNUMBER(H124),ISNUMBER(H117)),IFERROR(H124/H117,""),"")</f>
        <v>0.0495817269222376</v>
      </c>
      <c r="I107" s="215">
        <f>IF(AND(ISNUMBER(I124),ISNUMBER(I117)),IFERROR(I124/I117,""),"")</f>
        <v>0.0454968297877549</v>
      </c>
      <c r="J107" s="215">
        <f>IF(AND(ISNUMBER(J124),ISNUMBER(J117)),IFERROR(J124/J117,""),"")</f>
        <v>0.0513946964484201</v>
      </c>
      <c r="K107" s="215">
        <f>IF(AND(ISNUMBER(K124),ISNUMBER(K117)),IFERROR(K124/K117,""),"")</f>
        <v>0.0425853770341508</v>
      </c>
      <c r="L107" s="215">
        <f>IF(AND(ISNUMBER(L124),ISNUMBER(L117)),IFERROR(L124/L117,""),"")</f>
        <v>0.0431992769995481</v>
      </c>
      <c r="M107" s="215">
        <f>IF(AND(ISNUMBER(M124),ISNUMBER(M117)),IFERROR(M124/M117,""),"")</f>
        <v>0.046247635064116</v>
      </c>
      <c r="N107" s="215">
        <f>IF(AND(ISNUMBER(N124),ISNUMBER(N117)),IFERROR(N124/N117,""),"")</f>
        <v>0.0456691640788243</v>
      </c>
      <c r="O107" s="215">
        <f>IF(AND(ISNUMBER(O124),ISNUMBER(O117)),IFERROR(O124/O117,""),"")</f>
        <v>0.0428536525775715</v>
      </c>
      <c r="P107" s="215">
        <f>IF(AND(ISNUMBER(P124),ISNUMBER(P117)),IFERROR(P124/P117,""),"")</f>
        <v>0.0416420957133137</v>
      </c>
      <c r="Q107" s="215">
        <f>IF(AND(ISNUMBER(Q124),ISNUMBER(Q117)),IFERROR(Q124/Q117,""),"")</f>
        <v>0.0391860073999327</v>
      </c>
      <c r="R107" s="215">
        <f>IF(AND(ISNUMBER(R124),ISNUMBER(R117)),IFERROR(R124/R117,""),"")</f>
        <v>0.042504495667811</v>
      </c>
      <c r="S107" s="215">
        <f>IF(AND(ISNUMBER(S124),ISNUMBER(S117)),IFERROR(S124/S117,""),"")</f>
        <v>0.0415041537207201</v>
      </c>
      <c r="T107" s="215">
        <f>IF(AND(ISNUMBER(T124),ISNUMBER(T117)),IFERROR(T124/T117,""),"")</f>
        <v>0.0426655830963023</v>
      </c>
      <c r="U107" s="215">
        <f>IF(AND(ISNUMBER(U124),ISNUMBER(U117)),IFERROR(U124/U117,""),"")</f>
        <v>0.0309660595689199</v>
      </c>
      <c r="V107" s="215">
        <f>IF(AND(ISNUMBER(V124),ISNUMBER(V117)),IFERROR(V124/V117,""),"")</f>
        <v>0.0343920461139696</v>
      </c>
      <c r="W107" s="215">
        <f>IF(AND(ISNUMBER(W124),ISNUMBER(W117)),IFERROR(W124/W117,""),"")</f>
        <v>0.039494336741187</v>
      </c>
      <c r="X107" s="215">
        <f>IF(AND(ISNUMBER(X124),ISNUMBER(X117)),IFERROR(X124/X117,""),"")</f>
        <v>0.036675198202135</v>
      </c>
      <c r="Y107" s="215">
        <f>IF(AND(ISNUMBER(Y124),ISNUMBER(Y117)),IFERROR(Y124/Y117,""),"")</f>
        <v>0.039236479321315</v>
      </c>
      <c r="Z107" s="215">
        <f>IF(AND(ISNUMBER(Z124),ISNUMBER(Z117)),IFERROR(Z124/Z117,""),"")</f>
        <v>0.0325590789739447</v>
      </c>
      <c r="AA107" s="215">
        <f>IF(AND(ISNUMBER(AA124),ISNUMBER(AA117)),IFERROR(AA124/AA117,""),"")</f>
        <v>0.0386224788685246</v>
      </c>
      <c r="AB107" s="215">
        <f>IF(AND(ISNUMBER(AB124),ISNUMBER(AB117)),IFERROR(AB124/AB117,""),"")</f>
        <v>0.0429013140943056</v>
      </c>
      <c r="AC107" s="215">
        <f>IF(AND(ISNUMBER(AC124),ISNUMBER(AC117)),IFERROR(AC124/AC117,""),"")</f>
        <v>0.0382358228209493</v>
      </c>
      <c r="AD107" s="215">
        <f>IF(AND(ISNUMBER(AD124),ISNUMBER(AD117)),IFERROR(AD124/AD117,""),"")</f>
        <v>0.0444794050343249</v>
      </c>
      <c r="AE107" s="215">
        <f>IF(AND(ISNUMBER(AE124),ISNUMBER(AE117)),IFERROR(AE124/AE117,""),"")</f>
        <v>0.0457364000175909</v>
      </c>
      <c r="AF107" s="215">
        <f>IF(AND(ISNUMBER(AF124),ISNUMBER(AF117)),IFERROR(AF124/AF117,""),"")</f>
        <v>0.0376403801061335</v>
      </c>
      <c r="AG107" s="215">
        <f>IF(AND(ISNUMBER(AG124),ISNUMBER(AG117)),IFERROR(AG124/AG117,""),"")</f>
        <v>0.0475402081362346</v>
      </c>
      <c r="AH107" s="215">
        <f>IF(AND(ISNUMBER(AH124),ISNUMBER(AH117)),IFERROR(AH124/AH117,""),"")</f>
        <v>0.043836731197533</v>
      </c>
      <c r="AI107" s="215">
        <f>IF(AND(ISNUMBER(AI124),ISNUMBER(AI117)),IFERROR(AI124/AI117,""),"")</f>
        <v>0.042639637327859</v>
      </c>
      <c r="AJ107" s="215">
        <f>IF(AND(ISNUMBER(AJ124),ISNUMBER(AJ117)),IFERROR(AJ124/AJ117,""),"")</f>
        <v>0.0492208755874351</v>
      </c>
      <c r="AK107" s="215">
        <f>IF(AND(ISNUMBER(AK124),ISNUMBER(AK117)),IFERROR(AK124/AK117,""),"")</f>
        <v>0.0458919907738805</v>
      </c>
      <c r="AL107" s="215">
        <f>IF(AND(ISNUMBER(AL124),ISNUMBER(AL117)),IFERROR(AL124/AL117,""),"")</f>
        <v>0.0431177446102819</v>
      </c>
      <c r="AM107" s="215">
        <f>IF(AND(ISNUMBER(AM124),ISNUMBER(AM117)),IFERROR(AM124/AM117,""),"")</f>
        <v>0.0451610351340394</v>
      </c>
      <c r="AN107" s="215">
        <f>IF(AND(ISNUMBER(AN124),ISNUMBER(AN117)),IFERROR(AN124/AN117,""),"")</f>
        <v>0.0516647030588646</v>
      </c>
      <c r="AO107" s="215">
        <f>IF(AND(ISNUMBER(AO124),ISNUMBER(AO117)),IFERROR(AO124/AO117,""),"")</f>
        <v>0.0426639578439464</v>
      </c>
      <c r="AP107" s="215">
        <f>IF(AND(ISNUMBER(AP124),ISNUMBER(AP117)),IFERROR(AP124/AP117,""),"")</f>
        <v>0.0501001001001001</v>
      </c>
      <c r="AQ107" s="215">
        <f>IF(AND(ISNUMBER(AQ124),ISNUMBER(AQ117)),IFERROR(AQ124/AQ117,""),"")</f>
        <v>0.0587348556752833</v>
      </c>
      <c r="AR107" s="215">
        <f>IF(AND(ISNUMBER(AR124),ISNUMBER(AR117)),IFERROR(AR124/AR117,""),"")</f>
        <v>0.051058660640813</v>
      </c>
      <c r="AS107" s="215">
        <f>IF(AND(ISNUMBER(AS124),ISNUMBER(AS117)),IFERROR(AS124/AS117,""),"")</f>
        <v>0.0516323633782825</v>
      </c>
      <c r="AT107" s="215">
        <f>IF(AND(ISNUMBER(AT124),ISNUMBER(AT117)),IFERROR(AT124/AT117,""),"")</f>
        <v>0.0983314982637419</v>
      </c>
      <c r="AU107" s="215">
        <f>IF(AND(ISNUMBER(AU124),ISNUMBER(AU117)),IFERROR(AU124/AU117,""),"")</f>
        <v>0.0675436735271236</v>
      </c>
      <c r="AV107" s="215">
        <f>IF(AND(ISNUMBER(AV124),ISNUMBER(AV117)),IFERROR(AV124/AV117,""),"")</f>
        <v>0.119445896497648</v>
      </c>
      <c r="AW107" s="215">
        <f>IF(AND(ISNUMBER(AW124),ISNUMBER(AW117)),IFERROR(AW124/AW117,""),"")</f>
        <v>0.0828260944324083</v>
      </c>
      <c r="AX107" s="215">
        <f>IF(AND(ISNUMBER(AX124),ISNUMBER(AX117)),IFERROR(AX124/AX117,""),"")</f>
        <v>0.0678188867713741</v>
      </c>
      <c r="AY107" s="215">
        <f>IF(AND(ISNUMBER(AY124),ISNUMBER(AY117)),IFERROR(AY124/AY117,""),"")</f>
        <v>0.061183668666902</v>
      </c>
      <c r="AZ107" s="215">
        <f>IF(AND(ISNUMBER(AZ124),ISNUMBER(AZ117)),IFERROR(AZ124/AZ117,""),"")</f>
        <v>0.0718025919622987</v>
      </c>
      <c r="BA107" s="215">
        <f>IF(AND(ISNUMBER(BA124),ISNUMBER(BA117)),IFERROR(BA124/BA117,""),"")</f>
        <v>0.0667883458392483</v>
      </c>
      <c r="BB107" s="215">
        <f>IF(AND(ISNUMBER(BB124),ISNUMBER(BB117)),IFERROR(BB124/BB117,""),"")</f>
        <v>0.0667405195389012</v>
      </c>
      <c r="BC107" s="215">
        <f>IF(AND(ISNUMBER(BC124),ISNUMBER(BC117)),IFERROR(BC124/BC117,""),"")</f>
        <v>0.061682510185119</v>
      </c>
      <c r="BD107" s="215">
        <f>IF(AND(ISNUMBER(BD124),ISNUMBER(BD117)),IFERROR(BD124/BD117,""),"")</f>
        <v>0.0400455608176968</v>
      </c>
      <c r="BE107" s="215">
        <f>IF(AND(ISNUMBER(BE124),ISNUMBER(BE117)),IFERROR(BE124/BE117,""),"")</f>
        <v>0.0768362998245174</v>
      </c>
      <c r="BF107" s="215">
        <f>IF(AND(ISNUMBER(BF124),ISNUMBER(BF117)),IFERROR(BF124/BF117,""),"")</f>
        <v>0.0715715715715716</v>
      </c>
      <c r="BG107" s="215">
        <f>IF(AND(ISNUMBER(BG124),ISNUMBER(BG117)),IFERROR(BG124/BG117,""),"")</f>
        <v>0.0628603170790296</v>
      </c>
      <c r="BH107" s="215">
        <f>IF(AND(ISNUMBER(BH124),ISNUMBER(BH117)),IFERROR(BH124/BH117,""),"")</f>
        <v>0.0727637966631326</v>
      </c>
      <c r="BI107" s="215">
        <f>IF(AND(ISNUMBER(BI124),ISNUMBER(BI117)),IFERROR(BI124/BI117,""),"")</f>
        <v>0.0651106273100096</v>
      </c>
      <c r="BJ107" s="215">
        <f>IF(AND(ISNUMBER(BJ124),ISNUMBER(BJ117)),IFERROR(BJ124/BJ117,""),"")</f>
        <v>0.0576115775519222</v>
      </c>
      <c r="BK107" s="215">
        <f>IF(AND(ISNUMBER(BK124),ISNUMBER(BK117)),IFERROR(BK124/BK117,""),"")</f>
        <v>0.0697156871650468</v>
      </c>
      <c r="BL107" s="215">
        <f>IF(AND(ISNUMBER(BL124),ISNUMBER(BL117)),IFERROR(BL124/BL117,""),"")</f>
        <v>0.0664318584980847</v>
      </c>
      <c r="BM107" s="215">
        <f>IF(AND(ISNUMBER(BM124),ISNUMBER(BM117)),IFERROR(BM124/BM117,""),"")</f>
        <v>0.0700706137968495</v>
      </c>
      <c r="BN107" s="215">
        <f>IF(AND(ISNUMBER(BN124),ISNUMBER(BN117)),IFERROR(BN124/BN117,""),"")</f>
        <v>0.0816435432230523</v>
      </c>
      <c r="BO107" s="215">
        <f>IF(AND(ISNUMBER(BO124),ISNUMBER(BO117)),IFERROR(BO124/BO117,""),"")</f>
        <v>0.0608183856502242</v>
      </c>
      <c r="BP107" s="215">
        <f>IF(AND(ISNUMBER(BP124),ISNUMBER(BP117)),IFERROR(BP124/BP117,""),"")</f>
        <v>0.0917202466867865</v>
      </c>
      <c r="BQ107" s="215">
        <f>IF(AND(ISNUMBER(BQ124),ISNUMBER(BQ117)),IFERROR(BQ124/BQ117,""),"")</f>
        <v>0.0754844626185787</v>
      </c>
      <c r="BR107" s="215">
        <f>IF(AND(ISNUMBER(BR124),ISNUMBER(BR117)),IFERROR(BR124/BR117,""),"")</f>
        <v>0.0570373409930242</v>
      </c>
      <c r="BS107" s="215">
        <f>IF(AND(ISNUMBER(BS124),ISNUMBER(BS117)),IFERROR(BS124/BS117,""),"")</f>
        <v>0.078816651281375</v>
      </c>
      <c r="BT107" s="215">
        <f>IF(AND(ISNUMBER(BT124),ISNUMBER(BT117)),IFERROR(BT124/BT117,""),"")</f>
        <v>0.0654061022776107</v>
      </c>
      <c r="BU107" s="215">
        <f>IF(AND(ISNUMBER(BU124),ISNUMBER(BU117)),IFERROR(BU124/BU117,""),"")</f>
        <v>0.0694421246033072</v>
      </c>
      <c r="BV107" s="215">
        <f>IF(AND(ISNUMBER(BV124),ISNUMBER(BV117)),IFERROR(BV124/BV117,""),"")</f>
        <v>0.0680728345796586</v>
      </c>
      <c r="BW107" s="215">
        <f>IF(AND(ISNUMBER(BW124),ISNUMBER(BW117)),IFERROR(BW124/BW117,""),"")</f>
        <v>0.0538776612503938</v>
      </c>
      <c r="BX107" s="215">
        <f>IF(AND(ISNUMBER(BX124),ISNUMBER(BX117)),IFERROR(BX124/BX117,""),"")</f>
        <v>0.05814332247557</v>
      </c>
      <c r="BY107" s="260">
        <f>IFERROR(SUM(BW124:BX124)/SUM(BW117:BX117),"")</f>
        <v>0.0561173226158155</v>
      </c>
      <c r="BZ107" s="260">
        <f>IFERROR(SUM(BW124:BX124)/SUM(BW117:BX117),"")</f>
        <v>0.0561173226158155</v>
      </c>
      <c r="CA107" s="260">
        <f>IF(AND(ISNUMBER(CA124),ISNUMBER(CA117)),IFERROR(CA124/CA117,""),"")</f>
        <v>0.0561173226158155</v>
      </c>
      <c r="CB107" s="270" t="n">
        <v>0.058</v>
      </c>
      <c r="CC107" s="270" t="n">
        <v>0.057</v>
      </c>
      <c r="CD107" s="270" t="n">
        <v>0.056</v>
      </c>
      <c r="CE107" s="270" t="n">
        <v>0.055</v>
      </c>
      <c r="CF107" s="270" t="n">
        <v>0.055</v>
      </c>
      <c r="CG107" s="153" t="inlineStr">
        <is>
          <t>Q3/Q4-26E: 1H26 ratio; 2027E+: input. Cost of products &amp; services is implied (earnings from operations from the build).</t>
        </is>
      </c>
      <c r="CI107" s="37">
        <f>IFERROR(AVERAGE(CB107,CC107,CD107,CE107,CF107),"n/m")</f>
        <v>0.0562</v>
      </c>
      <c r="CJ107" s="37">
        <f>IFERROR(AVERAGE(BB107,BG107,BL107,BQ107,BV107),"n/m")</f>
        <v>0.0679179984628505</v>
      </c>
      <c r="CK107" s="37">
        <f>IFERROR(AVERAGE(AC107,AH107,AM107,AR107,AW107,BB107,BG107,BL107,BQ107,BV107),"n/m")</f>
        <v>0.0600708336539996</v>
      </c>
      <c r="CL107" s="37">
        <f>IFERROR(AVERAGE(C107,D107,E107,F107,G107,H107,I107,N107,S107,X107,AC107,AH107,AM107,AR107,AW107,BB107,BG107,BL107,BQ107,BV107),"n/m")</f>
        <v>0.0548582390586227</v>
      </c>
    </row>
    <row r="108" ht="15" customHeight="1" s="251">
      <c r="B108" s="25" t="inlineStr">
        <is>
          <t xml:space="preserve">  R&amp;D % of revenues</t>
        </is>
      </c>
      <c r="C108" s="215">
        <f>IF(AND(ISNUMBER(C125),ISNUMBER(C117)),IFERROR(C125/C117,""),"")</f>
        <v>0.0529335283601495</v>
      </c>
      <c r="D108" s="215">
        <f>IF(AND(ISNUMBER(D125),ISNUMBER(D117)),IFERROR(D125/D117,""),"")</f>
        <v>0.0579932818172233</v>
      </c>
      <c r="E108" s="215">
        <f>IF(AND(ISNUMBER(E125),ISNUMBER(E117)),IFERROR(E125/E117,""),"")</f>
        <v>0.0618465326220763</v>
      </c>
      <c r="F108" s="215">
        <f>IF(AND(ISNUMBER(F125),ISNUMBER(F117)),IFERROR(F125/F117,""),"")</f>
        <v>0.0952827287239496</v>
      </c>
      <c r="G108" s="215">
        <f>IF(AND(ISNUMBER(G125),ISNUMBER(G117)),IFERROR(G125/G117,""),"")</f>
        <v>0.0640842223120704</v>
      </c>
      <c r="H108" s="215">
        <f>IF(AND(ISNUMBER(H125),ISNUMBER(H117)),IFERROR(H125/H117,""),"")</f>
        <v>0.0570015276060231</v>
      </c>
      <c r="I108" s="215">
        <f>IF(AND(ISNUMBER(I125),ISNUMBER(I117)),IFERROR(I125/I117,""),"")</f>
        <v>0.0403681852676932</v>
      </c>
      <c r="J108" s="215">
        <f>IF(AND(ISNUMBER(J125),ISNUMBER(J117)),IFERROR(J125/J117,""),"")</f>
        <v>0.0373154078230032</v>
      </c>
      <c r="K108" s="215">
        <f>IF(AND(ISNUMBER(K125),ISNUMBER(K117)),IFERROR(K125/K117,""),"")</f>
        <v>0.0349759339903736</v>
      </c>
      <c r="L108" s="215">
        <f>IF(AND(ISNUMBER(L125),ISNUMBER(L117)),IFERROR(L125/L117,""),"")</f>
        <v>0.0341165838228649</v>
      </c>
      <c r="M108" s="215">
        <f>IF(AND(ISNUMBER(M125),ISNUMBER(M117)),IFERROR(M125/M117,""),"")</f>
        <v>0.0356527223039731</v>
      </c>
      <c r="N108" s="215">
        <f>IF(AND(ISNUMBER(N125),ISNUMBER(N117)),IFERROR(N125/N117,""),"")</f>
        <v>0.0354524779792896</v>
      </c>
      <c r="O108" s="215">
        <f>IF(AND(ISNUMBER(O125),ISNUMBER(O117)),IFERROR(O125/O117,""),"")</f>
        <v>0.0395309064256047</v>
      </c>
      <c r="P108" s="215">
        <f>IF(AND(ISNUMBER(P125),ISNUMBER(P117)),IFERROR(P125/P117,""),"")</f>
        <v>0.0332501701066001</v>
      </c>
      <c r="Q108" s="215">
        <f>IF(AND(ISNUMBER(Q125),ISNUMBER(Q117)),IFERROR(Q125/Q117,""),"")</f>
        <v>0.0315338042381433</v>
      </c>
      <c r="R108" s="215">
        <f>IF(AND(ISNUMBER(R125),ISNUMBER(R117)),IFERROR(R125/R117,""),"")</f>
        <v>0.0308566290665359</v>
      </c>
      <c r="S108" s="215">
        <f>IF(AND(ISNUMBER(S125),ISNUMBER(S117)),IFERROR(S125/S117,""),"")</f>
        <v>0.0335713183931601</v>
      </c>
      <c r="T108" s="215">
        <f>IF(AND(ISNUMBER(T125),ISNUMBER(T117)),IFERROR(T125/T117,""),"")</f>
        <v>0.0347194004243984</v>
      </c>
      <c r="U108" s="215">
        <f>IF(AND(ISNUMBER(U125),ISNUMBER(U117)),IFERROR(U125/U117,""),"")</f>
        <v>0.0325958521778104</v>
      </c>
      <c r="V108" s="215">
        <f>IF(AND(ISNUMBER(V125),ISNUMBER(V117)),IFERROR(V125/V117,""),"")</f>
        <v>0.0331540871987311</v>
      </c>
      <c r="W108" s="215">
        <f>IF(AND(ISNUMBER(W125),ISNUMBER(W117)),IFERROR(W125/W117,""),"")</f>
        <v>0.0383913799686082</v>
      </c>
      <c r="X108" s="215">
        <f>IF(AND(ISNUMBER(X125),ISNUMBER(X117)),IFERROR(X125/X117,""),"")</f>
        <v>0.0346567617620742</v>
      </c>
      <c r="Y108" s="215">
        <f>IF(AND(ISNUMBER(Y125),ISNUMBER(Y117)),IFERROR(Y125/Y117,""),"")</f>
        <v>0.0405178508306822</v>
      </c>
      <c r="Z108" s="215">
        <f>IF(AND(ISNUMBER(Z125),ISNUMBER(Z117)),IFERROR(Z125/Z117,""),"")</f>
        <v>0.0859220359523329</v>
      </c>
      <c r="AA108" s="215">
        <f>IF(AND(ISNUMBER(AA125),ISNUMBER(AA117)),IFERROR(AA125/AA117,""),"")</f>
        <v>0.0358607414846431</v>
      </c>
      <c r="AB108" s="215">
        <f>IF(AND(ISNUMBER(AB125),ISNUMBER(AB117)),IFERROR(AB125/AB117,""),"")</f>
        <v>0.0311775315640299</v>
      </c>
      <c r="AC108" s="215">
        <f>IF(AND(ISNUMBER(AC125),ISNUMBER(AC117)),IFERROR(AC125/AC117,""),"")</f>
        <v>0.0489262035930676</v>
      </c>
      <c r="AD108" s="215">
        <f>IF(AND(ISNUMBER(AD125),ISNUMBER(AD117)),IFERROR(AD125/AD117,""),"")</f>
        <v>0.0399504195270786</v>
      </c>
      <c r="AE108" s="215">
        <f>IF(AND(ISNUMBER(AE125),ISNUMBER(AE117)),IFERROR(AE125/AE117,""),"")</f>
        <v>0.0357535511675975</v>
      </c>
      <c r="AF108" s="215">
        <f>IF(AND(ISNUMBER(AF125),ISNUMBER(AF117)),IFERROR(AF125/AF117,""),"")</f>
        <v>0.0315521000452507</v>
      </c>
      <c r="AG108" s="215">
        <f>IF(AND(ISNUMBER(AG125),ISNUMBER(AG117)),IFERROR(AG125/AG117,""),"")</f>
        <v>0.0299984232103437</v>
      </c>
      <c r="AH108" s="215">
        <f>IF(AND(ISNUMBER(AH125),ISNUMBER(AH117)),IFERROR(AH125/AH117,""),"")</f>
        <v>0.0340393181428816</v>
      </c>
      <c r="AI108" s="215">
        <f>IF(AND(ISNUMBER(AI125),ISNUMBER(AI117)),IFERROR(AI125/AI117,""),"")</f>
        <v>0.0326747070396031</v>
      </c>
      <c r="AJ108" s="215">
        <f>IF(AND(ISNUMBER(AJ125),ISNUMBER(AJ117)),IFERROR(AJ125/AJ117,""),"")</f>
        <v>0.0340918459889521</v>
      </c>
      <c r="AK108" s="215">
        <f>IF(AND(ISNUMBER(AK125),ISNUMBER(AK117)),IFERROR(AK125/AK117,""),"")</f>
        <v>0.0328481667064344</v>
      </c>
      <c r="AL108" s="215">
        <f>IF(AND(ISNUMBER(AL125),ISNUMBER(AL117)),IFERROR(AL125/AL117,""),"")</f>
        <v>0.0300624536890018</v>
      </c>
      <c r="AM108" s="215">
        <f>IF(AND(ISNUMBER(AM125),ISNUMBER(AM117)),IFERROR(AM125/AM117,""),"")</f>
        <v>0.0323256894795653</v>
      </c>
      <c r="AN108" s="215">
        <f>IF(AND(ISNUMBER(AN125),ISNUMBER(AN117)),IFERROR(AN125/AN117,""),"")</f>
        <v>0.0377885412575817</v>
      </c>
      <c r="AO108" s="215">
        <f>IF(AND(ISNUMBER(AO125),ISNUMBER(AO117)),IFERROR(AO125/AO117,""),"")</f>
        <v>0.0524411148498508</v>
      </c>
      <c r="AP108" s="215">
        <f>IF(AND(ISNUMBER(AP125),ISNUMBER(AP117)),IFERROR(AP125/AP117,""),"")</f>
        <v>0.0389389389389389</v>
      </c>
      <c r="AQ108" s="215">
        <f>IF(AND(ISNUMBER(AQ125),ISNUMBER(AQ117)),IFERROR(AQ125/AQ117,""),"")</f>
        <v>0.0418178772821171</v>
      </c>
      <c r="AR108" s="215">
        <f>IF(AND(ISNUMBER(AR125),ISNUMBER(AR117)),IFERROR(AR125/AR117,""),"")</f>
        <v>0.042046003735681</v>
      </c>
      <c r="AS108" s="215">
        <f>IF(AND(ISNUMBER(AS125),ISNUMBER(AS117)),IFERROR(AS125/AS117,""),"")</f>
        <v>0.0397444996451384</v>
      </c>
      <c r="AT108" s="215">
        <f>IF(AND(ISNUMBER(AT125),ISNUMBER(AT117)),IFERROR(AT125/AT117,""),"")</f>
        <v>0.052934699754383</v>
      </c>
      <c r="AU108" s="215">
        <f>IF(AND(ISNUMBER(AU125),ISNUMBER(AU117)),IFERROR(AU125/AU117,""),"")</f>
        <v>0.0405969304759884</v>
      </c>
      <c r="AV108" s="215">
        <f>IF(AND(ISNUMBER(AV125),ISNUMBER(AV117)),IFERROR(AV125/AV117,""),"")</f>
        <v>0.0395321484579195</v>
      </c>
      <c r="AW108" s="215">
        <f>IF(AND(ISNUMBER(AW125),ISNUMBER(AW117)),IFERROR(AW125/AW117,""),"")</f>
        <v>0.0425736785996767</v>
      </c>
      <c r="AX108" s="215">
        <f>IF(AND(ISNUMBER(AX125),ISNUMBER(AX117)),IFERROR(AX125/AX117,""),"")</f>
        <v>0.0327922718012749</v>
      </c>
      <c r="AY108" s="215">
        <f>IF(AND(ISNUMBER(AY125),ISNUMBER(AY117)),IFERROR(AY125/AY117,""),"")</f>
        <v>0.0292387339687022</v>
      </c>
      <c r="AZ108" s="215">
        <f>IF(AND(ISNUMBER(AZ125),ISNUMBER(AZ117)),IFERROR(AZ125/AZ117,""),"")</f>
        <v>0.0376358162063097</v>
      </c>
      <c r="BA108" s="215">
        <f>IF(AND(ISNUMBER(BA125),ISNUMBER(BA117)),IFERROR(BA125/BA117,""),"")</f>
        <v>0.0458324883390793</v>
      </c>
      <c r="BB108" s="215">
        <f>IF(AND(ISNUMBER(BB125),ISNUMBER(BB117)),IFERROR(BB125/BB117,""),"")</f>
        <v>0.0361076325337957</v>
      </c>
      <c r="BC108" s="215">
        <f>IF(AND(ISNUMBER(BC125),ISNUMBER(BC117)),IFERROR(BC125/BC117,""),"")</f>
        <v>0.0452433707383318</v>
      </c>
      <c r="BD108" s="215">
        <f>IF(AND(ISNUMBER(BD125),ISNUMBER(BD117)),IFERROR(BD125/BD117,""),"")</f>
        <v>0.0418440141478329</v>
      </c>
      <c r="BE108" s="215">
        <f>IF(AND(ISNUMBER(BE125),ISNUMBER(BE117)),IFERROR(BE125/BE117,""),"")</f>
        <v>0.0455627976936576</v>
      </c>
      <c r="BF108" s="215">
        <f>IF(AND(ISNUMBER(BF125),ISNUMBER(BF117)),IFERROR(BF125/BF117,""),"")</f>
        <v>0.0397397397397397</v>
      </c>
      <c r="BG108" s="215">
        <f>IF(AND(ISNUMBER(BG125),ISNUMBER(BG117)),IFERROR(BG125/BG117,""),"")</f>
        <v>0.0428176795580111</v>
      </c>
      <c r="BH108" s="215">
        <f>IF(AND(ISNUMBER(BH125),ISNUMBER(BH117)),IFERROR(BH125/BH117,""),"")</f>
        <v>0.0413481390547402</v>
      </c>
      <c r="BI108" s="215">
        <f>IF(AND(ISNUMBER(BI125),ISNUMBER(BI117)),IFERROR(BI125/BI117,""),"")</f>
        <v>0.0403523872209002</v>
      </c>
      <c r="BJ108" s="215">
        <f>IF(AND(ISNUMBER(BJ125),ISNUMBER(BJ117)),IFERROR(BJ125/BJ117,""),"")</f>
        <v>0.0529164825452939</v>
      </c>
      <c r="BK108" s="215">
        <f>IF(AND(ISNUMBER(BK125),ISNUMBER(BK117)),IFERROR(BK125/BK117,""),"")</f>
        <v>0.0400127168680171</v>
      </c>
      <c r="BL108" s="215">
        <f>IF(AND(ISNUMBER(BL125),ISNUMBER(BL117)),IFERROR(BL125/BL117,""),"")</f>
        <v>0.0434095174435046</v>
      </c>
      <c r="BM108" s="215">
        <f>IF(AND(ISNUMBER(BM125),ISNUMBER(BM117)),IFERROR(BM125/BM117,""),"")</f>
        <v>0.0523869877482045</v>
      </c>
      <c r="BN108" s="215">
        <f>IF(AND(ISNUMBER(BN125),ISNUMBER(BN117)),IFERROR(BN125/BN117,""),"")</f>
        <v>0.0565635005336179</v>
      </c>
      <c r="BO108" s="215">
        <f>IF(AND(ISNUMBER(BO125),ISNUMBER(BO117)),IFERROR(BO125/BO117,""),"")</f>
        <v>0.0646860986547085</v>
      </c>
      <c r="BP108" s="215">
        <f>IF(AND(ISNUMBER(BP125),ISNUMBER(BP117)),IFERROR(BP125/BP117,""),"")</f>
        <v>0.0548484450859467</v>
      </c>
      <c r="BQ108" s="215">
        <f>IF(AND(ISNUMBER(BQ125),ISNUMBER(BQ117)),IFERROR(BQ125/BQ117,""),"")</f>
        <v>0.0573086579370687</v>
      </c>
      <c r="BR108" s="215">
        <f>IF(AND(ISNUMBER(BR125),ISNUMBER(BR117)),IFERROR(BR125/BR117,""),"")</f>
        <v>0.0432909314731227</v>
      </c>
      <c r="BS108" s="215">
        <f>IF(AND(ISNUMBER(BS125),ISNUMBER(BS117)),IFERROR(BS125/BS117,""),"")</f>
        <v>0.040001758319047</v>
      </c>
      <c r="BT108" s="215">
        <f>IF(AND(ISNUMBER(BT125),ISNUMBER(BT117)),IFERROR(BT125/BT117,""),"")</f>
        <v>0.0385474860335196</v>
      </c>
      <c r="BU108" s="215">
        <f>IF(AND(ISNUMBER(BU125),ISNUMBER(BU117)),IFERROR(BU125/BU117,""),"")</f>
        <v>0.0402538834140638</v>
      </c>
      <c r="BV108" s="215">
        <f>IF(AND(ISNUMBER(BV125),ISNUMBER(BV117)),IFERROR(BV125/BV117,""),"")</f>
        <v>0.040407766339157</v>
      </c>
      <c r="BW108" s="215">
        <f>IF(AND(ISNUMBER(BW125),ISNUMBER(BW117)),IFERROR(BW125/BW117,""),"")</f>
        <v>0.0406445514695954</v>
      </c>
      <c r="BX108" s="215">
        <f>IF(AND(ISNUMBER(BX125),ISNUMBER(BX117)),IFERROR(BX125/BX117,""),"")</f>
        <v>0.0375</v>
      </c>
      <c r="BY108" s="260">
        <f>IFERROR(SUM(BW125:BX125)/SUM(BW117:BX117),"")</f>
        <v>0.0389935224576181</v>
      </c>
      <c r="BZ108" s="260">
        <f>IFERROR(SUM(BW125:BX125)/SUM(BW117:BX117),"")</f>
        <v>0.0389935224576181</v>
      </c>
      <c r="CA108" s="260">
        <f>IF(AND(ISNUMBER(CA125),ISNUMBER(CA117)),IFERROR(CA125/CA117,""),"")</f>
        <v>0.0389935224576181</v>
      </c>
      <c r="CB108" s="270" t="n">
        <v>0.039</v>
      </c>
      <c r="CC108" s="270" t="n">
        <v>0.038</v>
      </c>
      <c r="CD108" s="270" t="n">
        <v>0.037</v>
      </c>
      <c r="CE108" s="270" t="n">
        <v>0.037</v>
      </c>
      <c r="CF108" s="270" t="n">
        <v>0.037</v>
      </c>
      <c r="CG108" s="153" t="n"/>
      <c r="CI108" s="37">
        <f>IFERROR(AVERAGE(CB108,CC108,CD108,CE108,CF108),"n/m")</f>
        <v>0.0376</v>
      </c>
      <c r="CJ108" s="37">
        <f>IFERROR(AVERAGE(BB108,BG108,BL108,BQ108,BV108),"n/m")</f>
        <v>0.0440102507623074</v>
      </c>
      <c r="CK108" s="37">
        <f>IFERROR(AVERAGE(AC108,AH108,AM108,AR108,AW108,BB108,BG108,BL108,BQ108,BV108),"n/m")</f>
        <v>0.0419962147362409</v>
      </c>
      <c r="CL108" s="37">
        <f>IFERROR(AVERAGE(C108,D108,E108,F108,G108,H108,I108,N108,S108,X108,AC108,AH108,AM108,AR108,AW108,BB108,BG108,BL108,BQ108,BV108),"n/m")</f>
        <v>0.0476576356103059</v>
      </c>
    </row>
    <row r="109" ht="15" customHeight="1" s="251">
      <c r="B109" s="25" t="inlineStr">
        <is>
          <t xml:space="preserve">  Share-based plans expense (cash-flow statement)</t>
        </is>
      </c>
      <c r="C109" s="266" t="n">
        <v>743</v>
      </c>
      <c r="D109" s="266" t="n">
        <v>287</v>
      </c>
      <c r="E109" s="266" t="n">
        <v>209</v>
      </c>
      <c r="F109" s="266" t="n">
        <v>238</v>
      </c>
      <c r="G109" s="266" t="n">
        <v>215</v>
      </c>
      <c r="H109" s="266" t="n">
        <v>186</v>
      </c>
      <c r="I109" s="266" t="n">
        <v>193</v>
      </c>
      <c r="J109" s="266" t="n">
        <v>58</v>
      </c>
      <c r="K109" s="266" t="n">
        <v>49</v>
      </c>
      <c r="L109" s="266" t="n">
        <v>49</v>
      </c>
      <c r="M109" s="266" t="n">
        <v>50</v>
      </c>
      <c r="N109" s="266" t="n">
        <v>206</v>
      </c>
      <c r="O109" s="266" t="n">
        <v>52</v>
      </c>
      <c r="P109" s="266" t="n">
        <v>49</v>
      </c>
      <c r="Q109" s="266" t="n">
        <v>51</v>
      </c>
      <c r="R109" s="266" t="n">
        <v>43</v>
      </c>
      <c r="S109" s="266" t="n">
        <v>195</v>
      </c>
      <c r="T109" s="266" t="n">
        <v>50</v>
      </c>
      <c r="U109" s="266" t="n">
        <v>44</v>
      </c>
      <c r="V109" s="266" t="n">
        <v>47</v>
      </c>
      <c r="W109" s="266" t="n">
        <v>48</v>
      </c>
      <c r="X109" s="266" t="n">
        <v>189</v>
      </c>
      <c r="Y109" s="266" t="n">
        <v>51</v>
      </c>
      <c r="Z109" s="266" t="n">
        <v>46</v>
      </c>
      <c r="AA109" s="266" t="n">
        <v>47</v>
      </c>
      <c r="AB109" s="266" t="n">
        <v>46</v>
      </c>
      <c r="AC109" s="266" t="n">
        <v>190</v>
      </c>
      <c r="AD109" s="266" t="n">
        <v>50</v>
      </c>
      <c r="AE109" s="266" t="n">
        <v>48</v>
      </c>
      <c r="AF109" s="266" t="n">
        <v>53</v>
      </c>
      <c r="AG109" s="266" t="n">
        <v>51</v>
      </c>
      <c r="AH109" s="266" t="n">
        <v>202</v>
      </c>
      <c r="AI109" s="266" t="n">
        <v>45</v>
      </c>
      <c r="AJ109" s="266" t="n">
        <v>53</v>
      </c>
      <c r="AK109" s="266" t="n">
        <v>52</v>
      </c>
      <c r="AL109" s="266" t="n">
        <v>52</v>
      </c>
      <c r="AM109" s="266" t="n">
        <v>202</v>
      </c>
      <c r="AN109" s="266" t="n">
        <v>47</v>
      </c>
      <c r="AO109" s="266" t="n">
        <v>57</v>
      </c>
      <c r="AP109" s="266" t="n">
        <v>56</v>
      </c>
      <c r="AQ109" s="266" t="n">
        <v>52</v>
      </c>
      <c r="AR109" s="266" t="n">
        <v>212</v>
      </c>
      <c r="AS109" s="266" t="n">
        <v>55</v>
      </c>
      <c r="AT109" s="266" t="n">
        <v>60</v>
      </c>
      <c r="AU109" s="266" t="n">
        <v>50</v>
      </c>
      <c r="AV109" s="266" t="n">
        <v>85</v>
      </c>
      <c r="AW109" s="266" t="n">
        <v>250</v>
      </c>
      <c r="AX109" s="266" t="n">
        <v>321</v>
      </c>
      <c r="AY109" s="266" t="n">
        <v>172</v>
      </c>
      <c r="AZ109" s="266" t="n">
        <v>184</v>
      </c>
      <c r="BA109" s="266" t="n">
        <v>156</v>
      </c>
      <c r="BB109" s="266" t="n">
        <v>833</v>
      </c>
      <c r="BC109" s="266" t="n">
        <v>203</v>
      </c>
      <c r="BD109" s="266" t="n">
        <v>149</v>
      </c>
      <c r="BE109" s="266" t="n">
        <v>176</v>
      </c>
      <c r="BF109" s="266" t="n">
        <v>197</v>
      </c>
      <c r="BG109" s="266" t="n">
        <v>725</v>
      </c>
      <c r="BH109" s="266" t="n">
        <v>222</v>
      </c>
      <c r="BI109" s="266" t="n">
        <v>159</v>
      </c>
      <c r="BJ109" s="266" t="n">
        <v>167</v>
      </c>
      <c r="BK109" s="266" t="n">
        <v>142</v>
      </c>
      <c r="BL109" s="266" t="n">
        <v>690</v>
      </c>
      <c r="BM109" s="266" t="n">
        <v>119</v>
      </c>
      <c r="BN109" s="266" t="n">
        <v>89</v>
      </c>
      <c r="BO109" s="266" t="n">
        <v>102</v>
      </c>
      <c r="BP109" s="266" t="n">
        <v>97</v>
      </c>
      <c r="BQ109" s="266" t="n">
        <v>407</v>
      </c>
      <c r="BR109" s="266" t="n">
        <v>135</v>
      </c>
      <c r="BS109" s="266" t="n">
        <v>119</v>
      </c>
      <c r="BT109" s="266" t="n">
        <v>89</v>
      </c>
      <c r="BU109" s="266" t="n">
        <v>83</v>
      </c>
      <c r="BV109" s="266" t="n">
        <v>426</v>
      </c>
      <c r="BW109" s="266" t="n">
        <v>161</v>
      </c>
      <c r="BX109" s="266" t="n">
        <v>103</v>
      </c>
      <c r="BY109" s="263">
        <f>SUM(BW109:BX109)/2</f>
        <v>132</v>
      </c>
      <c r="BZ109" s="263">
        <f>SUM(BW109:BX109)/2</f>
        <v>132</v>
      </c>
      <c r="CA109" s="263">
        <f>SUM(BW109:BZ109)</f>
        <v>528</v>
      </c>
      <c r="CB109" s="263">
        <f>CB117*CB110</f>
        <v>532.99204548771</v>
      </c>
      <c r="CC109" s="263">
        <f>CC117*CC110</f>
        <v>578.906706052693</v>
      </c>
      <c r="CD109" s="263">
        <f>CD117*CD110</f>
        <v>619.042457509171</v>
      </c>
      <c r="CE109" s="263">
        <f>CE117*CE110</f>
        <v>649.562320435623</v>
      </c>
      <c r="CF109" s="263">
        <f>CF117*CF110</f>
        <v>677.527748943233</v>
      </c>
      <c r="CG109" s="19" t="n"/>
    </row>
    <row r="110" ht="15" customHeight="1" s="251">
      <c r="B110" s="25" t="inlineStr">
        <is>
          <t xml:space="preserve">  Share-based plans expense % of revenues</t>
        </is>
      </c>
      <c r="C110" s="215">
        <f>IF(AND(ISNUMBER(C109),ISNUMBER(C117)),IFERROR(C109/C117,""),"")</f>
        <v>0.0120754103689257</v>
      </c>
      <c r="D110" s="215">
        <f>IF(AND(ISNUMBER(D109),ISNUMBER(D117)),IFERROR(D109/D117,""),"")</f>
        <v>0.00432313555364755</v>
      </c>
      <c r="E110" s="215">
        <f>IF(AND(ISNUMBER(E109),ISNUMBER(E117)),IFERROR(E109/E117,""),"")</f>
        <v>0.00343044727123513</v>
      </c>
      <c r="F110" s="215">
        <f>IF(AND(ISNUMBER(F109),ISNUMBER(F117)),IFERROR(F109/F117,""),"")</f>
        <v>0.00348559628593606</v>
      </c>
      <c r="G110" s="215">
        <f>IF(AND(ISNUMBER(G109),ISNUMBER(G117)),IFERROR(G109/G117,""),"")</f>
        <v>0.00334338941933879</v>
      </c>
      <c r="H110" s="215">
        <f>IF(AND(ISNUMBER(H109),ISNUMBER(H117)),IFERROR(H109/H117,""),"")</f>
        <v>0.00270604495526297</v>
      </c>
      <c r="I110" s="215">
        <f>IF(AND(ISNUMBER(I109),ISNUMBER(I117)),IFERROR(I109/I117,""),"")</f>
        <v>0.00236235893167519</v>
      </c>
      <c r="J110" s="215">
        <f>IF(AND(ISNUMBER(J109),ISNUMBER(J117)),IFERROR(J109/J117,""),"")</f>
        <v>0.00306992007621871</v>
      </c>
      <c r="K110" s="215">
        <f>IF(AND(ISNUMBER(K109),ISNUMBER(K117)),IFERROR(K109/K117,""),"")</f>
        <v>0.00224616089846436</v>
      </c>
      <c r="L110" s="215">
        <f>IF(AND(ISNUMBER(L109),ISNUMBER(L117)),IFERROR(L109/L117,""),"")</f>
        <v>0.00221418888386805</v>
      </c>
      <c r="M110" s="215">
        <f>IF(AND(ISNUMBER(M109),ISNUMBER(M117)),IFERROR(M109/M117,""),"")</f>
        <v>0.00210216523018709</v>
      </c>
      <c r="N110" s="215">
        <f>IF(AND(ISNUMBER(N109),ISNUMBER(N117)),IFERROR(N109/N117,""),"")</f>
        <v>0.00237812128418549</v>
      </c>
      <c r="O110" s="215">
        <f>IF(AND(ISNUMBER(O109),ISNUMBER(O117)),IFERROR(O109/O117,""),"")</f>
        <v>0.00254092352797459</v>
      </c>
      <c r="P110" s="215">
        <f>IF(AND(ISNUMBER(P109),ISNUMBER(P117)),IFERROR(P109/P117,""),"")</f>
        <v>0.00222272624177818</v>
      </c>
      <c r="Q110" s="215">
        <f>IF(AND(ISNUMBER(Q109),ISNUMBER(Q117)),IFERROR(Q109/Q117,""),"")</f>
        <v>0.00214429868819374</v>
      </c>
      <c r="R110" s="215">
        <f>IF(AND(ISNUMBER(R109),ISNUMBER(R117)),IFERROR(R109/R117,""),"")</f>
        <v>0.00175739741703449</v>
      </c>
      <c r="S110" s="215">
        <f>IF(AND(ISNUMBER(S109),ISNUMBER(S117)),IFERROR(S109/S117,""),"")</f>
        <v>0.0021484762345475</v>
      </c>
      <c r="T110" s="215">
        <f>IF(AND(ISNUMBER(T109),ISNUMBER(T117)),IFERROR(T109/T117,""),"")</f>
        <v>0.00225743825906362</v>
      </c>
      <c r="U110" s="215">
        <f>IF(AND(ISNUMBER(U109),ISNUMBER(U117)),IFERROR(U109/U117,""),"")</f>
        <v>0.00179277186977957</v>
      </c>
      <c r="V110" s="215">
        <f>IF(AND(ISNUMBER(V109),ISNUMBER(V117)),IFERROR(V109/V117,""),"")</f>
        <v>0.00181825215675655</v>
      </c>
      <c r="W110" s="215">
        <f>IF(AND(ISNUMBER(W109),ISNUMBER(W117)),IFERROR(W109/W117,""),"")</f>
        <v>0.00203622788783778</v>
      </c>
      <c r="X110" s="215">
        <f>IF(AND(ISNUMBER(X109),ISNUMBER(X117)),IFERROR(X109/X117,""),"")</f>
        <v>0.00196641488232724</v>
      </c>
      <c r="Y110" s="215">
        <f>IF(AND(ISNUMBER(Y109),ISNUMBER(Y117)),IFERROR(Y109/Y117,""),"")</f>
        <v>0.00225344644750795</v>
      </c>
      <c r="Z110" s="215">
        <f>IF(AND(ISNUMBER(Z109),ISNUMBER(Z117)),IFERROR(Z109/Z117,""),"")</f>
        <v>0.00185821046253282</v>
      </c>
      <c r="AA110" s="215">
        <f>IF(AND(ISNUMBER(AA109),ISNUMBER(AA117)),IFERROR(AA109/AA117,""),"")</f>
        <v>0.00196669177337016</v>
      </c>
      <c r="AB110" s="215">
        <f>IF(AND(ISNUMBER(AB109),ISNUMBER(AB117)),IFERROR(AB109/AB117,""),"")</f>
        <v>0.00197543588422228</v>
      </c>
      <c r="AC110" s="215">
        <f>IF(AND(ISNUMBER(AC109),ISNUMBER(AC117)),IFERROR(AC109/AC117,""),"")</f>
        <v>0.00200907254866714</v>
      </c>
      <c r="AD110" s="215">
        <f>IF(AND(ISNUMBER(AD109),ISNUMBER(AD117)),IFERROR(AD109/AD117,""),"")</f>
        <v>0.00238367658276125</v>
      </c>
      <c r="AE110" s="215">
        <f>IF(AND(ISNUMBER(AE109),ISNUMBER(AE117)),IFERROR(AE109/AE117,""),"")</f>
        <v>0.00211091077004266</v>
      </c>
      <c r="AF110" s="215">
        <f>IF(AND(ISNUMBER(AF109),ISNUMBER(AF117)),IFERROR(AF109/AF117,""),"")</f>
        <v>0.00218026245423506</v>
      </c>
      <c r="AG110" s="215">
        <f>IF(AND(ISNUMBER(AG109),ISNUMBER(AG117)),IFERROR(AG109/AG117,""),"")</f>
        <v>0.00201040681173132</v>
      </c>
      <c r="AH110" s="215">
        <f>IF(AND(ISNUMBER(AH109),ISNUMBER(AH117)),IFERROR(AH109/AH117,""),"")</f>
        <v>0.00216292616069899</v>
      </c>
      <c r="AI110" s="215">
        <f>IF(AND(ISNUMBER(AI109),ISNUMBER(AI117)),IFERROR(AI109/AI117,""),"")</f>
        <v>0.00192455735180908</v>
      </c>
      <c r="AJ110" s="215">
        <f>IF(AND(ISNUMBER(AJ109),ISNUMBER(AJ117)),IFERROR(AJ109/AJ117,""),"")</f>
        <v>0.00218484623629318</v>
      </c>
      <c r="AK110" s="215">
        <f>IF(AND(ISNUMBER(AK109),ISNUMBER(AK117)),IFERROR(AK109/AK117,""),"")</f>
        <v>0.00206792332776585</v>
      </c>
      <c r="AL110" s="215">
        <f>IF(AND(ISNUMBER(AL109),ISNUMBER(AL117)),IFERROR(AL109/AL117,""),"")</f>
        <v>0.00183479764299072</v>
      </c>
      <c r="AM110" s="215">
        <f>IF(AND(ISNUMBER(AM109),ISNUMBER(AM117)),IFERROR(AM109/AM117,""),"")</f>
        <v>0.00199748830678256</v>
      </c>
      <c r="AN110" s="215">
        <f>IF(AND(ISNUMBER(AN109),ISNUMBER(AN117)),IFERROR(AN109/AN117,""),"")</f>
        <v>0.00205087925993804</v>
      </c>
      <c r="AO110" s="215">
        <f>IF(AND(ISNUMBER(AO109),ISNUMBER(AO117)),IFERROR(AO109/AO117,""),"")</f>
        <v>0.00361881785283474</v>
      </c>
      <c r="AP110" s="215">
        <f>IF(AND(ISNUMBER(AP109),ISNUMBER(AP117)),IFERROR(AP109/AP117,""),"")</f>
        <v>0.0028028028028028</v>
      </c>
      <c r="AQ110" s="215">
        <f>IF(AND(ISNUMBER(AQ109),ISNUMBER(AQ117)),IFERROR(AQ109/AQ117,""),"")</f>
        <v>0.00290324381664899</v>
      </c>
      <c r="AR110" s="215">
        <f>IF(AND(ISNUMBER(AR109),ISNUMBER(AR117)),IFERROR(AR109/AR117,""),"")</f>
        <v>0.0027691061795478</v>
      </c>
      <c r="AS110" s="215">
        <f>IF(AND(ISNUMBER(AS109),ISNUMBER(AS117)),IFERROR(AS109/AS117,""),"")</f>
        <v>0.00325289803643246</v>
      </c>
      <c r="AT110" s="215">
        <f>IF(AND(ISNUMBER(AT109),ISNUMBER(AT117)),IFERROR(AT109/AT117,""),"")</f>
        <v>0.00508173117642077</v>
      </c>
      <c r="AU110" s="215">
        <f>IF(AND(ISNUMBER(AU109),ISNUMBER(AU117)),IFERROR(AU109/AU117,""),"")</f>
        <v>0.00353631798571328</v>
      </c>
      <c r="AV110" s="215">
        <f>IF(AND(ISNUMBER(AV109),ISNUMBER(AV117)),IFERROR(AV109/AV117,""),"")</f>
        <v>0.00555410350235233</v>
      </c>
      <c r="AW110" s="215">
        <f>IF(AND(ISNUMBER(AW109),ISNUMBER(AW117)),IFERROR(AW109/AW117,""),"")</f>
        <v>0.00429863475360226</v>
      </c>
      <c r="AX110" s="215">
        <f>IF(AND(ISNUMBER(AX109),ISNUMBER(AX117)),IFERROR(AX109/AX117,""),"")</f>
        <v>0.0210948281527239</v>
      </c>
      <c r="AY110" s="215">
        <f>IF(AND(ISNUMBER(AY109),ISNUMBER(AY117)),IFERROR(AY109/AY117,""),"")</f>
        <v>0.0101188375102953</v>
      </c>
      <c r="AZ110" s="215">
        <f>IF(AND(ISNUMBER(AZ109),ISNUMBER(AZ117)),IFERROR(AZ109/AZ117,""),"")</f>
        <v>0.0120434611860191</v>
      </c>
      <c r="BA110" s="215">
        <f>IF(AND(ISNUMBER(BA109),ISNUMBER(BA117)),IFERROR(BA109/BA117,""),"")</f>
        <v>0.0105455282904076</v>
      </c>
      <c r="BB110" s="215">
        <f>IF(AND(ISNUMBER(BB109),ISNUMBER(BB117)),IFERROR(BB109/BB117,""),"")</f>
        <v>0.0133737918633401</v>
      </c>
      <c r="BC110" s="215">
        <f>IF(AND(ISNUMBER(BC109),ISNUMBER(BC117)),IFERROR(BC109/BC117,""),"")</f>
        <v>0.0145093274247731</v>
      </c>
      <c r="BD110" s="215">
        <f>IF(AND(ISNUMBER(BD109),ISNUMBER(BD117)),IFERROR(BD109/BD117,""),"")</f>
        <v>0.00893231820634255</v>
      </c>
      <c r="BE110" s="215">
        <f>IF(AND(ISNUMBER(BE109),ISNUMBER(BE117)),IFERROR(BE109/BE117,""),"")</f>
        <v>0.0110303334168965</v>
      </c>
      <c r="BF110" s="215">
        <f>IF(AND(ISNUMBER(BF109),ISNUMBER(BF117)),IFERROR(BF109/BF117,""),"")</f>
        <v>0.00985985985985986</v>
      </c>
      <c r="BG110" s="215">
        <f>IF(AND(ISNUMBER(BG109),ISNUMBER(BG117)),IFERROR(BG109/BG117,""),"")</f>
        <v>0.0108845784290175</v>
      </c>
      <c r="BH110" s="215">
        <f>IF(AND(ISNUMBER(BH109),ISNUMBER(BH117)),IFERROR(BH109/BH117,""),"")</f>
        <v>0.0123877015791529</v>
      </c>
      <c r="BI110" s="215">
        <f>IF(AND(ISNUMBER(BI109),ISNUMBER(BI117)),IFERROR(BI109/BI117,""),"")</f>
        <v>0.00805022530504785</v>
      </c>
      <c r="BJ110" s="215">
        <f>IF(AND(ISNUMBER(BJ109),ISNUMBER(BJ117)),IFERROR(BJ109/BJ117,""),"")</f>
        <v>0.00922448077772868</v>
      </c>
      <c r="BK110" s="215">
        <f>IF(AND(ISNUMBER(BK109),ISNUMBER(BK117)),IFERROR(BK109/BK117,""),"")</f>
        <v>0.00644926878008902</v>
      </c>
      <c r="BL110" s="215">
        <f>IF(AND(ISNUMBER(BL109),ISNUMBER(BL117)),IFERROR(BL109/BL117,""),"")</f>
        <v>0.00886957863074273</v>
      </c>
      <c r="BM110" s="215">
        <f>IF(AND(ISNUMBER(BM109),ISNUMBER(BM117)),IFERROR(BM109/BM117,""),"")</f>
        <v>0.00718208702999578</v>
      </c>
      <c r="BN110" s="215">
        <f>IF(AND(ISNUMBER(BN109),ISNUMBER(BN117)),IFERROR(BN109/BN117,""),"")</f>
        <v>0.00527688841456184</v>
      </c>
      <c r="BO110" s="215">
        <f>IF(AND(ISNUMBER(BO109),ISNUMBER(BO117)),IFERROR(BO109/BO117,""),"")</f>
        <v>0.00571748878923767</v>
      </c>
      <c r="BP110" s="215">
        <f>IF(AND(ISNUMBER(BP109),ISNUMBER(BP117)),IFERROR(BP109/BP117,""),"")</f>
        <v>0.00636399422647947</v>
      </c>
      <c r="BQ110" s="215">
        <f>IF(AND(ISNUMBER(BQ109),ISNUMBER(BQ117)),IFERROR(BQ109/BQ117,""),"")</f>
        <v>0.00611873656358525</v>
      </c>
      <c r="BR110" s="215">
        <f>IF(AND(ISNUMBER(BR109),ISNUMBER(BR117)),IFERROR(BR109/BR117,""),"")</f>
        <v>0.00692449733278621</v>
      </c>
      <c r="BS110" s="215">
        <f>IF(AND(ISNUMBER(BS109),ISNUMBER(BS117)),IFERROR(BS109/BS117,""),"")</f>
        <v>0.00523099916479845</v>
      </c>
      <c r="BT110" s="215">
        <f>IF(AND(ISNUMBER(BT109),ISNUMBER(BT117)),IFERROR(BT109/BT117,""),"")</f>
        <v>0.00382466695315857</v>
      </c>
      <c r="BU110" s="215">
        <f>IF(AND(ISNUMBER(BU109),ISNUMBER(BU117)),IFERROR(BU109/BU117,""),"")</f>
        <v>0.00346584265909471</v>
      </c>
      <c r="BV110" s="215">
        <f>IF(AND(ISNUMBER(BV109),ISNUMBER(BV117)),IFERROR(BV109/BV117,""),"")</f>
        <v>0.00476174507897119</v>
      </c>
      <c r="BW110" s="215">
        <f>IF(AND(ISNUMBER(BW109),ISNUMBER(BW117)),IFERROR(BW109/BW117,""),"")</f>
        <v>0.00724670297519917</v>
      </c>
      <c r="BX110" s="215">
        <f>IF(AND(ISNUMBER(BX109),ISNUMBER(BX117)),IFERROR(BX109/BX117,""),"")</f>
        <v>0.00419381107491857</v>
      </c>
      <c r="BY110" s="260">
        <f>IF(AND(ISNUMBER(BY109),ISNUMBER(BY117)),IFERROR(BY109/BY117,""),"")</f>
        <v>0.00528208307623506</v>
      </c>
      <c r="BZ110" s="260">
        <f>IF(AND(ISNUMBER(BZ109),ISNUMBER(BZ117)),IFERROR(BZ109/BZ117,""),"")</f>
        <v>0.00517497534069117</v>
      </c>
      <c r="CA110" s="260">
        <f>IF(AND(ISNUMBER(CA109),ISNUMBER(CA117)),IFERROR(CA109/CA117,""),"")</f>
        <v>0.00542793797394592</v>
      </c>
      <c r="CB110" s="270" t="n">
        <v>0.005</v>
      </c>
      <c r="CC110" s="270" t="n">
        <v>0.005</v>
      </c>
      <c r="CD110" s="270" t="n">
        <v>0.005</v>
      </c>
      <c r="CE110" s="270" t="n">
        <v>0.005</v>
      </c>
      <c r="CF110" s="270" t="n">
        <v>0.005</v>
      </c>
      <c r="CG110" s="153" t="n"/>
      <c r="CI110" s="37">
        <f>IFERROR(AVERAGE(CB110,CC110,CD110,CE110,CF110),"n/m")</f>
        <v>0.005</v>
      </c>
      <c r="CJ110" s="37">
        <f>IFERROR(AVERAGE(BB110,BG110,BL110,BQ110,BV110),"n/m")</f>
        <v>0.00880168611313136</v>
      </c>
      <c r="CK110" s="37">
        <f>IFERROR(AVERAGE(AC110,AH110,AM110,AR110,AW110,BB110,BG110,BL110,BQ110,BV110),"n/m")</f>
        <v>0.00572456585149555</v>
      </c>
      <c r="CL110" s="37">
        <f>IFERROR(AVERAGE(C110,D110,E110,F110,G110,H110,I110,N110,S110,X110,AC110,AH110,AM110,AR110,AW110,BB110,BG110,BL110,BQ110,BV110),"n/m")</f>
        <v>0.00477325268510186</v>
      </c>
    </row>
    <row r="111" ht="15" customHeight="1" s="251">
      <c r="B111" s="25" t="inlineStr">
        <is>
          <t xml:space="preserve">  Treasury shares issued for 401(k) contributions (non-cash; cash-flow statement, from 2020)</t>
        </is>
      </c>
      <c r="C111" s="266" t="n">
        <v>0</v>
      </c>
      <c r="D111" s="266" t="n">
        <v>0</v>
      </c>
      <c r="E111" s="266" t="n">
        <v>0</v>
      </c>
      <c r="F111" s="266" t="n">
        <v>0</v>
      </c>
      <c r="G111" s="266" t="n">
        <v>0</v>
      </c>
      <c r="H111" s="266" t="n">
        <v>0</v>
      </c>
      <c r="I111" s="266" t="n">
        <v>0</v>
      </c>
      <c r="J111" s="266" t="n">
        <v>0</v>
      </c>
      <c r="K111" s="266" t="n">
        <v>0</v>
      </c>
      <c r="L111" s="266" t="n">
        <v>0</v>
      </c>
      <c r="M111" s="266" t="n">
        <v>0</v>
      </c>
      <c r="N111" s="266" t="n">
        <v>0</v>
      </c>
      <c r="O111" s="266" t="n">
        <v>0</v>
      </c>
      <c r="P111" s="266" t="n">
        <v>0</v>
      </c>
      <c r="Q111" s="266" t="n">
        <v>0</v>
      </c>
      <c r="R111" s="266" t="n">
        <v>0</v>
      </c>
      <c r="S111" s="266" t="n">
        <v>0</v>
      </c>
      <c r="T111" s="266" t="n">
        <v>0</v>
      </c>
      <c r="U111" s="266" t="n">
        <v>0</v>
      </c>
      <c r="V111" s="266" t="n">
        <v>0</v>
      </c>
      <c r="W111" s="266" t="n">
        <v>0</v>
      </c>
      <c r="X111" s="266" t="n">
        <v>0</v>
      </c>
      <c r="Y111" s="266" t="n">
        <v>0</v>
      </c>
      <c r="Z111" s="266" t="n">
        <v>0</v>
      </c>
      <c r="AA111" s="266" t="n">
        <v>0</v>
      </c>
      <c r="AB111" s="266" t="n">
        <v>0</v>
      </c>
      <c r="AC111" s="266" t="n">
        <v>0</v>
      </c>
      <c r="AD111" s="266" t="n">
        <v>0</v>
      </c>
      <c r="AE111" s="266" t="n">
        <v>0</v>
      </c>
      <c r="AF111" s="266" t="n">
        <v>0</v>
      </c>
      <c r="AG111" s="266" t="n">
        <v>0</v>
      </c>
      <c r="AH111" s="266" t="n">
        <v>0</v>
      </c>
      <c r="AI111" s="266" t="n">
        <v>0</v>
      </c>
      <c r="AJ111" s="266" t="n">
        <v>0</v>
      </c>
      <c r="AK111" s="266" t="n">
        <v>0</v>
      </c>
      <c r="AL111" s="266" t="n">
        <v>0</v>
      </c>
      <c r="AM111" s="266" t="n">
        <v>0</v>
      </c>
      <c r="AN111" s="266" t="n">
        <v>0</v>
      </c>
      <c r="AO111" s="266" t="n">
        <v>0</v>
      </c>
      <c r="AP111" s="266" t="n">
        <v>0</v>
      </c>
      <c r="AQ111" s="266" t="n">
        <v>0</v>
      </c>
      <c r="AR111" s="266" t="n">
        <v>0</v>
      </c>
      <c r="AS111" s="266" t="n">
        <v>0</v>
      </c>
      <c r="AT111" s="266" t="n">
        <v>0</v>
      </c>
      <c r="AU111" s="266" t="n">
        <v>0</v>
      </c>
      <c r="AV111" s="266" t="n">
        <v>195</v>
      </c>
      <c r="AW111" s="266" t="n">
        <v>195</v>
      </c>
      <c r="AX111" s="266" t="n">
        <v>306</v>
      </c>
      <c r="AY111" s="266" t="n">
        <v>322</v>
      </c>
      <c r="AZ111" s="266" t="n">
        <v>323</v>
      </c>
      <c r="BA111" s="266" t="n">
        <v>282</v>
      </c>
      <c r="BB111" s="266" t="n">
        <v>1233</v>
      </c>
      <c r="BC111" s="266" t="n">
        <v>329</v>
      </c>
      <c r="BD111" s="266" t="n">
        <v>283</v>
      </c>
      <c r="BE111" s="266" t="n">
        <v>316</v>
      </c>
      <c r="BF111" s="266" t="n">
        <v>287</v>
      </c>
      <c r="BG111" s="266" t="n">
        <v>1215</v>
      </c>
      <c r="BH111" s="266" t="n">
        <v>553</v>
      </c>
      <c r="BI111" s="266" t="n">
        <v>309</v>
      </c>
      <c r="BJ111" s="266" t="n">
        <v>342</v>
      </c>
      <c r="BK111" s="266" t="n">
        <v>311</v>
      </c>
      <c r="BL111" s="266" t="n">
        <v>1515</v>
      </c>
      <c r="BM111" s="266" t="n">
        <v>606</v>
      </c>
      <c r="BN111" s="266" t="n">
        <v>347</v>
      </c>
      <c r="BO111" s="266" t="n">
        <v>362</v>
      </c>
      <c r="BP111" s="266" t="n">
        <v>286</v>
      </c>
      <c r="BQ111" s="266" t="n">
        <v>1601</v>
      </c>
      <c r="BR111" s="266" t="n">
        <v>418</v>
      </c>
      <c r="BS111" s="266" t="n">
        <v>375</v>
      </c>
      <c r="BT111" s="266" t="n">
        <v>380</v>
      </c>
      <c r="BU111" s="266" t="n">
        <v>357</v>
      </c>
      <c r="BV111" s="266" t="n">
        <v>1530</v>
      </c>
      <c r="BW111" s="266" t="n">
        <v>466</v>
      </c>
      <c r="BX111" s="266" t="n">
        <v>389</v>
      </c>
      <c r="BY111" s="263">
        <f>SUM(BW111:BX111)/2</f>
        <v>427.5</v>
      </c>
      <c r="BZ111" s="263">
        <f>SUM(BW111:BX111)/2</f>
        <v>427.5</v>
      </c>
      <c r="CA111" s="263">
        <f>SUM(BW111:BZ111)</f>
        <v>1710</v>
      </c>
      <c r="CB111" s="263">
        <f>CA111*(1+0.03)</f>
        <v>1761.3</v>
      </c>
      <c r="CC111" s="263">
        <f>CB111*(1+0.03)</f>
        <v>1814.139</v>
      </c>
      <c r="CD111" s="263">
        <f>CC111*(1+0.03)</f>
        <v>1868.56317</v>
      </c>
      <c r="CE111" s="263">
        <f>CD111*(1+0.03)</f>
        <v>1924.6200651</v>
      </c>
      <c r="CF111" s="263">
        <f>CE111*(1+0.03)</f>
        <v>1982.358667053</v>
      </c>
      <c r="CG111" s="19" t="inlineStr">
        <is>
          <t>Company match paid in treasury shares since 2020 (non-cash expense; adds to equity and to the share count). 2027E+: +3% p.a. (assumption).</t>
        </is>
      </c>
    </row>
    <row r="112" ht="15" customHeight="1" s="251">
      <c r="B112" s="25" t="inlineStr">
        <is>
          <t xml:space="preserve">  Non-operating pension &amp; postretirement income / (expense) (in other income; core reconciliation, 2018+)</t>
        </is>
      </c>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c r="AA112" s="34" t="n"/>
      <c r="AB112" s="34" t="n"/>
      <c r="AC112" s="34" t="n"/>
      <c r="AD112" s="34" t="n"/>
      <c r="AE112" s="34" t="n"/>
      <c r="AF112" s="34" t="n"/>
      <c r="AG112" s="34" t="n"/>
      <c r="AH112" s="34" t="n"/>
      <c r="AI112" s="266" t="n">
        <v>18</v>
      </c>
      <c r="AJ112" s="266" t="n">
        <v>-18</v>
      </c>
      <c r="AK112" s="266" t="n">
        <v>21</v>
      </c>
      <c r="AL112" s="266" t="n">
        <v>21</v>
      </c>
      <c r="AM112" s="266" t="n">
        <v>42</v>
      </c>
      <c r="AN112" s="266" t="n">
        <v>66</v>
      </c>
      <c r="AO112" s="266" t="n">
        <v>68</v>
      </c>
      <c r="AP112" s="266" t="n">
        <v>66</v>
      </c>
      <c r="AQ112" s="266" t="n">
        <v>67</v>
      </c>
      <c r="AR112" s="266" t="n">
        <v>267</v>
      </c>
      <c r="AS112" s="266" t="n">
        <v>74</v>
      </c>
      <c r="AT112" s="266" t="n">
        <v>70</v>
      </c>
      <c r="AU112" s="266" t="n">
        <v>74</v>
      </c>
      <c r="AV112" s="266" t="n">
        <v>106</v>
      </c>
      <c r="AW112" s="266" t="n">
        <v>324</v>
      </c>
      <c r="AX112" s="266" t="n">
        <v>182</v>
      </c>
      <c r="AY112" s="266" t="n">
        <v>180</v>
      </c>
      <c r="AZ112" s="266" t="n">
        <v>35</v>
      </c>
      <c r="BA112" s="266" t="n">
        <v>132</v>
      </c>
      <c r="BB112" s="266" t="n">
        <v>529</v>
      </c>
      <c r="BC112" s="266" t="n">
        <v>235</v>
      </c>
      <c r="BD112" s="266" t="n">
        <v>235</v>
      </c>
      <c r="BE112" s="266" t="n">
        <v>240</v>
      </c>
      <c r="BF112" s="266" t="n">
        <v>229</v>
      </c>
      <c r="BG112" s="266" t="n">
        <v>939</v>
      </c>
      <c r="BH112" s="266" t="n">
        <v>149</v>
      </c>
      <c r="BI112" s="266" t="n">
        <v>148</v>
      </c>
      <c r="BJ112" s="266" t="n">
        <v>149</v>
      </c>
      <c r="BK112" s="266" t="n">
        <v>141</v>
      </c>
      <c r="BL112" s="266" t="n">
        <v>587</v>
      </c>
      <c r="BM112" s="266" t="n">
        <v>141</v>
      </c>
      <c r="BN112" s="266" t="n">
        <v>141</v>
      </c>
      <c r="BO112" s="266" t="n">
        <v>141</v>
      </c>
      <c r="BP112" s="266" t="n">
        <v>126</v>
      </c>
      <c r="BQ112" s="266" t="n">
        <v>549</v>
      </c>
      <c r="BR112" s="266" t="n">
        <v>48</v>
      </c>
      <c r="BS112" s="266" t="n">
        <v>46</v>
      </c>
      <c r="BT112" s="266" t="n">
        <v>47</v>
      </c>
      <c r="BU112" s="266" t="n">
        <v>54</v>
      </c>
      <c r="BV112" s="266" t="n">
        <v>195</v>
      </c>
      <c r="BW112" s="266" t="n">
        <v>-65</v>
      </c>
      <c r="BX112" s="266" t="n">
        <v>-64</v>
      </c>
      <c r="BY112" s="263">
        <f>$CQ$24</f>
        <v>-64</v>
      </c>
      <c r="BZ112" s="263">
        <f>$CQ$24</f>
        <v>-64</v>
      </c>
      <c r="CA112" s="263">
        <f>SUM(BW112:BZ112)</f>
        <v>-257</v>
      </c>
      <c r="CB112" s="271" t="n">
        <v>-250</v>
      </c>
      <c r="CC112" s="271" t="n">
        <v>-250</v>
      </c>
      <c r="CD112" s="271" t="n">
        <v>-250</v>
      </c>
      <c r="CE112" s="271" t="n">
        <v>-250</v>
      </c>
      <c r="CF112" s="271" t="n">
        <v>-250</v>
      </c>
      <c r="CG112" s="19" t="inlineStr">
        <is>
          <t>2018+ (ASU 2017-07): non-service pension cost below earnings from operations; adjusted out of core EPS. 2026 turned to an expense (1H26 −$129m). 2027E+: input (assumption).</t>
        </is>
      </c>
    </row>
    <row r="113" ht="15" customHeight="1" s="251">
      <c r="B113" s="25" t="inlineStr">
        <is>
          <t xml:space="preserve">  Interest &amp; other income (other income, net excl. non-operating pension)</t>
        </is>
      </c>
      <c r="C113" s="262">
        <f>IF(ISNUMBER(C132),C132-N(C112),"")</f>
        <v>420</v>
      </c>
      <c r="D113" s="262">
        <f>IF(ISNUMBER(D132),D132-N(D112),"")</f>
        <v>484</v>
      </c>
      <c r="E113" s="262">
        <f>IF(ISNUMBER(E132),E132-N(E112),"")</f>
        <v>247</v>
      </c>
      <c r="F113" s="262">
        <f>IF(ISNUMBER(F132),F132-N(F112),"")</f>
        <v>-26</v>
      </c>
      <c r="G113" s="262">
        <f>IF(ISNUMBER(G132),G132-N(G112),"")</f>
        <v>52</v>
      </c>
      <c r="H113" s="262">
        <f>IF(ISNUMBER(H132),H132-N(H112),"")</f>
        <v>47</v>
      </c>
      <c r="I113" s="262">
        <f>IF(ISNUMBER(I132),I132-N(I112),"")</f>
        <v>62</v>
      </c>
      <c r="J113" s="262">
        <f>IF(ISNUMBER(J132),J132-N(J112),"")</f>
        <v>9</v>
      </c>
      <c r="K113" s="262">
        <f>IF(ISNUMBER(K132),K132-N(K112),"")</f>
        <v>13</v>
      </c>
      <c r="L113" s="262">
        <f>IF(ISNUMBER(L132),L132-N(L112),"")</f>
        <v>19</v>
      </c>
      <c r="M113" s="262">
        <f>IF(ISNUMBER(M132),M132-N(M112),"")</f>
        <v>15</v>
      </c>
      <c r="N113" s="262">
        <f>IF(ISNUMBER(N132),N132-N(N112),"")</f>
        <v>56</v>
      </c>
      <c r="O113" s="262">
        <f>IF(ISNUMBER(O132),O132-N(O112),"")</f>
        <v>9</v>
      </c>
      <c r="P113" s="262">
        <f>IF(ISNUMBER(P132),P132-N(P112),"")</f>
        <v>11</v>
      </c>
      <c r="Q113" s="262">
        <f>IF(ISNUMBER(Q132),Q132-N(Q112),"")</f>
        <v>-9</v>
      </c>
      <c r="R113" s="262">
        <f>IF(ISNUMBER(R132),R132-N(R112),"")</f>
        <v>-14</v>
      </c>
      <c r="S113" s="262">
        <f>IF(ISNUMBER(S132),S132-N(S112),"")</f>
        <v>-3</v>
      </c>
      <c r="T113" s="262">
        <f>IF(ISNUMBER(T132),T132-N(T112),"")</f>
        <v>-12</v>
      </c>
      <c r="U113" s="262">
        <f>IF(ISNUMBER(U132),U132-N(U112),"")</f>
        <v>15</v>
      </c>
      <c r="V113" s="262">
        <f>IF(ISNUMBER(V132),V132-N(V112),"")</f>
        <v>-26</v>
      </c>
      <c r="W113" s="262">
        <f>IF(ISNUMBER(W132),W132-N(W112),"")</f>
        <v>10</v>
      </c>
      <c r="X113" s="262">
        <f>IF(ISNUMBER(X132),X132-N(X112),"")</f>
        <v>-13</v>
      </c>
      <c r="Y113" s="262">
        <f>IF(ISNUMBER(Y132),Y132-N(Y112),"")</f>
        <v>26</v>
      </c>
      <c r="Z113" s="262">
        <f>IF(ISNUMBER(Z132),Z132-N(Z112),"")</f>
        <v>13</v>
      </c>
      <c r="AA113" s="262">
        <f>IF(ISNUMBER(AA132),AA132-N(AA112),"")</f>
        <v>2</v>
      </c>
      <c r="AB113" s="262">
        <f>IF(ISNUMBER(AB132),AB132-N(AB112),"")</f>
        <v>-1</v>
      </c>
      <c r="AC113" s="262">
        <f>IF(ISNUMBER(AC132),AC132-N(AC112),"")</f>
        <v>40</v>
      </c>
      <c r="AD113" s="262">
        <f>IF(ISNUMBER(AD132),AD132-N(AD112),"")</f>
        <v>22</v>
      </c>
      <c r="AE113" s="262">
        <f>IF(ISNUMBER(AE132),AE132-N(AE112),"")</f>
        <v>27</v>
      </c>
      <c r="AF113" s="262">
        <f>IF(ISNUMBER(AF132),AF132-N(AF112),"")</f>
        <v>45</v>
      </c>
      <c r="AG113" s="262">
        <f>IF(ISNUMBER(AG132),AG132-N(AG112),"")</f>
        <v>35</v>
      </c>
      <c r="AH113" s="262">
        <f>IF(ISNUMBER(AH132),AH132-N(AH112),"")</f>
        <v>129</v>
      </c>
      <c r="AI113" s="262">
        <f>IF(ISNUMBER(AI132),AI132-N(AI112),"")</f>
        <v>48</v>
      </c>
      <c r="AJ113" s="262">
        <f>IF(ISNUMBER(AJ132),AJ132-N(AJ112),"")</f>
        <v>3</v>
      </c>
      <c r="AK113" s="262">
        <f>IF(ISNUMBER(AK132),AK132-N(AK112),"")</f>
        <v>-9</v>
      </c>
      <c r="AL113" s="262">
        <f>IF(ISNUMBER(AL132),AL132-N(AL112),"")</f>
        <v>8</v>
      </c>
      <c r="AM113" s="262">
        <f>IF(ISNUMBER(AM132),AM132-N(AM112),"")</f>
        <v>50</v>
      </c>
      <c r="AN113" s="262">
        <f>IF(ISNUMBER(AN132),AN132-N(AN112),"")</f>
        <v>40</v>
      </c>
      <c r="AO113" s="262">
        <f>IF(ISNUMBER(AO132),AO132-N(AO112),"")</f>
        <v>39</v>
      </c>
      <c r="AP113" s="262">
        <f>IF(ISNUMBER(AP132),AP132-N(AP112),"")</f>
        <v>55</v>
      </c>
      <c r="AQ113" s="262">
        <f>IF(ISNUMBER(AQ132),AQ132-N(AQ112),"")</f>
        <v>37</v>
      </c>
      <c r="AR113" s="262">
        <f>IF(ISNUMBER(AR132),AR132-N(AR112),"")</f>
        <v>171</v>
      </c>
      <c r="AS113" s="262">
        <f>IF(ISNUMBER(AS132),AS132-N(AS112),"")</f>
        <v>38</v>
      </c>
      <c r="AT113" s="262">
        <f>IF(ISNUMBER(AT132),AT132-N(AT112),"")</f>
        <v>24</v>
      </c>
      <c r="AU113" s="262">
        <f>IF(ISNUMBER(AU132),AU132-N(AU112),"")</f>
        <v>45</v>
      </c>
      <c r="AV113" s="262">
        <f>IF(ISNUMBER(AV132),AV132-N(AV112),"")</f>
        <v>16</v>
      </c>
      <c r="AW113" s="262">
        <f>IF(ISNUMBER(AW132),AW132-N(AW112),"")</f>
        <v>123</v>
      </c>
      <c r="AX113" s="262">
        <f>IF(ISNUMBER(AX132),AX132-N(AX112),"")</f>
        <v>8</v>
      </c>
      <c r="AY113" s="262">
        <f>IF(ISNUMBER(AY132),AY132-N(AY112),"")</f>
        <v>19</v>
      </c>
      <c r="AZ113" s="262">
        <f>IF(ISNUMBER(AZ132),AZ132-N(AZ112),"")</f>
        <v>-5</v>
      </c>
      <c r="BA113" s="262">
        <f>IF(ISNUMBER(BA132),BA132-N(BA112),"")</f>
        <v>0</v>
      </c>
      <c r="BB113" s="262">
        <f>IF(ISNUMBER(BB132),BB132-N(BB112),"")</f>
        <v>22</v>
      </c>
      <c r="BC113" s="262">
        <f>IF(ISNUMBER(BC132),BC132-N(BC112),"")</f>
        <v>-54</v>
      </c>
      <c r="BD113" s="262">
        <f>IF(ISNUMBER(BD132),BD132-N(BD112),"")</f>
        <v>18</v>
      </c>
      <c r="BE113" s="262">
        <f>IF(ISNUMBER(BE132),BE132-N(BE112),"")</f>
        <v>48</v>
      </c>
      <c r="BF113" s="262">
        <f>IF(ISNUMBER(BF132),BF132-N(BF112),"")</f>
        <v>107</v>
      </c>
      <c r="BG113" s="262">
        <f>IF(ISNUMBER(BG132),BG132-N(BG112),"")</f>
        <v>119</v>
      </c>
      <c r="BH113" s="262">
        <f>IF(ISNUMBER(BH132),BH132-N(BH112),"")</f>
        <v>153</v>
      </c>
      <c r="BI113" s="262">
        <f>IF(ISNUMBER(BI132),BI132-N(BI112),"")</f>
        <v>172</v>
      </c>
      <c r="BJ113" s="262">
        <f>IF(ISNUMBER(BJ132),BJ132-N(BJ112),"")</f>
        <v>148</v>
      </c>
      <c r="BK113" s="262">
        <f>IF(ISNUMBER(BK132),BK132-N(BK112),"")</f>
        <v>167</v>
      </c>
      <c r="BL113" s="262">
        <f>IF(ISNUMBER(BL132),BL132-N(BL112),"")</f>
        <v>640</v>
      </c>
      <c r="BM113" s="262">
        <f>IF(ISNUMBER(BM132),BM132-N(BM112),"")</f>
        <v>136</v>
      </c>
      <c r="BN113" s="262">
        <f>IF(ISNUMBER(BN132),BN132-N(BN112),"")</f>
        <v>107</v>
      </c>
      <c r="BO113" s="262">
        <f>IF(ISNUMBER(BO132),BO132-N(BO112),"")</f>
        <v>124</v>
      </c>
      <c r="BP113" s="262">
        <f>IF(ISNUMBER(BP132),BP132-N(BP112),"")</f>
        <v>306</v>
      </c>
      <c r="BQ113" s="262">
        <f>IF(ISNUMBER(BQ132),BQ132-N(BQ112),"")</f>
        <v>673</v>
      </c>
      <c r="BR113" s="262">
        <f>IF(ISNUMBER(BR132),BR132-N(BR112),"")</f>
        <v>275</v>
      </c>
      <c r="BS113" s="262">
        <f>IF(ISNUMBER(BS132),BS132-N(BS112),"")</f>
        <v>279</v>
      </c>
      <c r="BT113" s="262">
        <f>IF(ISNUMBER(BT132),BT132-N(BT112),"")</f>
        <v>229</v>
      </c>
      <c r="BU113" s="262">
        <f>IF(ISNUMBER(BU132),BU132-N(BU112),"")</f>
        <v>147</v>
      </c>
      <c r="BV113" s="262">
        <f>IF(ISNUMBER(BV132),BV132-N(BV112),"")</f>
        <v>930</v>
      </c>
      <c r="BW113" s="262">
        <f>IF(ISNUMBER(BW132),BW132-N(BW112),"")</f>
        <v>259</v>
      </c>
      <c r="BX113" s="262">
        <f>IF(ISNUMBER(BX132),BX132-N(BX112),"")</f>
        <v>143</v>
      </c>
      <c r="BY113" s="263">
        <f>$CQ$25</f>
        <v>150</v>
      </c>
      <c r="BZ113" s="263">
        <f>$CQ$25</f>
        <v>150</v>
      </c>
      <c r="CA113" s="263">
        <f>SUM(BW113:BZ113)</f>
        <v>702</v>
      </c>
      <c r="CB113" s="263">
        <f>(CA276+CA277)*CB354</f>
        <v>793.5375</v>
      </c>
      <c r="CC113" s="263">
        <f>(CB276+CB277)*CC354</f>
        <v>862.638394522685</v>
      </c>
      <c r="CD113" s="263">
        <f>(CC276+CC277)*CD354</f>
        <v>1184.32793725768</v>
      </c>
      <c r="CE113" s="263">
        <f>(CD276+CD277)*CE354</f>
        <v>1139.31057518258</v>
      </c>
      <c r="CF113" s="263">
        <f>(CE276+CE277)*CF354</f>
        <v>1098.82273227807</v>
      </c>
      <c r="CG113" s="19" t="inlineStr">
        <is>
          <t>Mostly interest on cash and short-term investments. Q3/Q4-26E: point estimate; 2027E+: yield × opening cash &amp; short-term investments.</t>
        </is>
      </c>
    </row>
    <row r="114" ht="15" customHeight="1" s="251">
      <c r="B114" s="25" t="inlineStr">
        <is>
          <t xml:space="preserve">  Income / (loss) from operating investments (ULA and other JVs; input)</t>
        </is>
      </c>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c r="AA114" s="34" t="n"/>
      <c r="AB114" s="34" t="n"/>
      <c r="AC114" s="34" t="n"/>
      <c r="AD114" s="34" t="n"/>
      <c r="AE114" s="34" t="n"/>
      <c r="AF114" s="34" t="n"/>
      <c r="AG114" s="34" t="n"/>
      <c r="AH114" s="34" t="n"/>
      <c r="AI114" s="34" t="n"/>
      <c r="AJ114" s="34" t="n"/>
      <c r="AK114" s="34" t="n"/>
      <c r="AL114" s="34" t="n"/>
      <c r="AM114" s="34" t="n"/>
      <c r="AN114" s="34" t="n"/>
      <c r="AO114" s="34" t="n"/>
      <c r="AP114" s="34" t="n"/>
      <c r="AQ114" s="34" t="n"/>
      <c r="AR114" s="34" t="n"/>
      <c r="AS114" s="34" t="n"/>
      <c r="AT114" s="34" t="n"/>
      <c r="AU114" s="34" t="n"/>
      <c r="AV114" s="34" t="n"/>
      <c r="AW114" s="34" t="n"/>
      <c r="AX114" s="34" t="n"/>
      <c r="AY114" s="34" t="n"/>
      <c r="AZ114" s="34" t="n"/>
      <c r="BA114" s="34" t="n"/>
      <c r="BB114" s="34" t="n"/>
      <c r="BC114" s="34" t="n"/>
      <c r="BD114" s="34" t="n"/>
      <c r="BE114" s="34" t="n"/>
      <c r="BF114" s="34" t="n"/>
      <c r="BG114" s="34" t="n"/>
      <c r="BH114" s="34" t="n"/>
      <c r="BI114" s="34" t="n"/>
      <c r="BJ114" s="34" t="n"/>
      <c r="BK114" s="34" t="n"/>
      <c r="BL114" s="34" t="n"/>
      <c r="BM114" s="34" t="n"/>
      <c r="BN114" s="34" t="n"/>
      <c r="BO114" s="34" t="n"/>
      <c r="BP114" s="34" t="n"/>
      <c r="BQ114" s="34" t="n"/>
      <c r="BR114" s="34" t="n"/>
      <c r="BS114" s="34" t="n"/>
      <c r="BT114" s="34" t="n"/>
      <c r="BU114" s="34" t="n"/>
      <c r="BV114" s="34" t="n"/>
      <c r="BW114" s="34" t="n"/>
      <c r="BX114" s="34" t="n"/>
      <c r="BY114" s="271" t="n">
        <v>0</v>
      </c>
      <c r="BZ114" s="271" t="n">
        <v>0</v>
      </c>
      <c r="CA114" s="35" t="n"/>
      <c r="CB114" s="271" t="n">
        <v>0</v>
      </c>
      <c r="CC114" s="271" t="n">
        <v>0</v>
      </c>
      <c r="CD114" s="271" t="n">
        <v>0</v>
      </c>
      <c r="CE114" s="271" t="n">
        <v>0</v>
      </c>
      <c r="CF114" s="271" t="n">
        <v>0</v>
      </c>
      <c r="CG114" s="19" t="n"/>
    </row>
    <row r="115" ht="15" customHeight="1" s="251">
      <c r="CO115" s="11" t="n"/>
      <c r="CP115" s="12" t="n"/>
      <c r="CQ115" s="12" t="n"/>
      <c r="CR115" s="12" t="n"/>
      <c r="CS115" s="13" t="n"/>
    </row>
    <row r="116" ht="15" customHeight="1" s="251">
      <c r="B116" s="10" t="inlineStr">
        <is>
          <t>CONSOLIDATED STATEMENTS OF OPERATIONS (US GAAP, as presented)</t>
        </is>
      </c>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c r="BJ116" s="10" t="n"/>
      <c r="BK116" s="10" t="n"/>
      <c r="BL116" s="10" t="n"/>
      <c r="BM116" s="10" t="n"/>
      <c r="BN116" s="10" t="n"/>
      <c r="BO116" s="10" t="n"/>
      <c r="BP116" s="10" t="n"/>
      <c r="BQ116" s="10" t="n"/>
      <c r="BR116" s="10" t="n"/>
      <c r="BS116" s="10" t="n"/>
      <c r="BT116" s="10" t="n"/>
      <c r="BU116" s="10" t="n"/>
      <c r="BV116" s="10" t="n"/>
      <c r="BW116" s="10" t="n"/>
      <c r="BX116" s="10" t="n"/>
      <c r="BY116" s="10" t="n"/>
      <c r="BZ116" s="10" t="n"/>
      <c r="CA116" s="10" t="n"/>
      <c r="CB116" s="10" t="n"/>
      <c r="CC116" s="10" t="n"/>
      <c r="CD116" s="10" t="n"/>
      <c r="CE116" s="10" t="n"/>
      <c r="CF116" s="10" t="n"/>
      <c r="CG116" s="10" t="inlineStr">
        <is>
          <t>CONSOLIDATED IS — forecast logic (earnings from operations from the build; cost of products &amp; services implied)</t>
        </is>
      </c>
    </row>
    <row r="117" ht="15" customHeight="1" s="251">
      <c r="B117" s="55" t="inlineStr">
        <is>
          <t>Total revenues</t>
        </is>
      </c>
      <c r="C117" s="280" t="n">
        <v>61530</v>
      </c>
      <c r="D117" s="280" t="n">
        <v>66387</v>
      </c>
      <c r="E117" s="280" t="n">
        <v>60925</v>
      </c>
      <c r="F117" s="280" t="n">
        <v>68281</v>
      </c>
      <c r="G117" s="280" t="n">
        <v>64306</v>
      </c>
      <c r="H117" s="280" t="n">
        <v>68735</v>
      </c>
      <c r="I117" s="280" t="n">
        <v>81698</v>
      </c>
      <c r="J117" s="280" t="n">
        <v>18893</v>
      </c>
      <c r="K117" s="280" t="n">
        <v>21815</v>
      </c>
      <c r="L117" s="280" t="n">
        <v>22130</v>
      </c>
      <c r="M117" s="280" t="n">
        <v>23785</v>
      </c>
      <c r="N117" s="280" t="n">
        <v>86623</v>
      </c>
      <c r="O117" s="280" t="n">
        <v>20465</v>
      </c>
      <c r="P117" s="280" t="n">
        <v>22045</v>
      </c>
      <c r="Q117" s="280" t="n">
        <v>23784</v>
      </c>
      <c r="R117" s="280" t="n">
        <v>24468</v>
      </c>
      <c r="S117" s="280" t="n">
        <v>90762</v>
      </c>
      <c r="T117" s="280" t="n">
        <v>22149</v>
      </c>
      <c r="U117" s="280" t="n">
        <v>24543</v>
      </c>
      <c r="V117" s="280" t="n">
        <v>25849</v>
      </c>
      <c r="W117" s="280" t="n">
        <v>23573</v>
      </c>
      <c r="X117" s="280" t="n">
        <v>96114</v>
      </c>
      <c r="Y117" s="280" t="n">
        <v>22632</v>
      </c>
      <c r="Z117" s="280" t="n">
        <v>24755</v>
      </c>
      <c r="AA117" s="280" t="n">
        <v>23898</v>
      </c>
      <c r="AB117" s="280" t="n">
        <v>23286</v>
      </c>
      <c r="AC117" s="280" t="n">
        <v>94571</v>
      </c>
      <c r="AD117" s="280" t="n">
        <v>20976</v>
      </c>
      <c r="AE117" s="280" t="n">
        <v>22739</v>
      </c>
      <c r="AF117" s="280" t="n">
        <v>24309</v>
      </c>
      <c r="AG117" s="280" t="n">
        <v>25368</v>
      </c>
      <c r="AH117" s="280" t="n">
        <v>93392</v>
      </c>
      <c r="AI117" s="280" t="n">
        <v>23382</v>
      </c>
      <c r="AJ117" s="280" t="n">
        <v>24258</v>
      </c>
      <c r="AK117" s="280" t="n">
        <v>25146</v>
      </c>
      <c r="AL117" s="280" t="n">
        <v>28341</v>
      </c>
      <c r="AM117" s="280" t="n">
        <v>101127</v>
      </c>
      <c r="AN117" s="280" t="n">
        <v>22917</v>
      </c>
      <c r="AO117" s="280" t="n">
        <v>15751</v>
      </c>
      <c r="AP117" s="280" t="n">
        <v>19980</v>
      </c>
      <c r="AQ117" s="280" t="n">
        <v>17911</v>
      </c>
      <c r="AR117" s="280" t="n">
        <v>76559</v>
      </c>
      <c r="AS117" s="280" t="n">
        <v>16908</v>
      </c>
      <c r="AT117" s="280" t="n">
        <v>11807</v>
      </c>
      <c r="AU117" s="280" t="n">
        <v>14139</v>
      </c>
      <c r="AV117" s="280" t="n">
        <v>15304</v>
      </c>
      <c r="AW117" s="280" t="n">
        <v>58158</v>
      </c>
      <c r="AX117" s="280" t="n">
        <v>15217</v>
      </c>
      <c r="AY117" s="280" t="n">
        <v>16998</v>
      </c>
      <c r="AZ117" s="280" t="n">
        <v>15278</v>
      </c>
      <c r="BA117" s="280" t="n">
        <v>14793</v>
      </c>
      <c r="BB117" s="280" t="n">
        <v>62286</v>
      </c>
      <c r="BC117" s="280" t="n">
        <v>13991</v>
      </c>
      <c r="BD117" s="280" t="n">
        <v>16681</v>
      </c>
      <c r="BE117" s="280" t="n">
        <v>15956</v>
      </c>
      <c r="BF117" s="280" t="n">
        <v>19980</v>
      </c>
      <c r="BG117" s="280" t="n">
        <v>66608</v>
      </c>
      <c r="BH117" s="280" t="n">
        <v>17921</v>
      </c>
      <c r="BI117" s="280" t="n">
        <v>19751</v>
      </c>
      <c r="BJ117" s="280" t="n">
        <v>18104</v>
      </c>
      <c r="BK117" s="280" t="n">
        <v>22018</v>
      </c>
      <c r="BL117" s="280" t="n">
        <v>77794</v>
      </c>
      <c r="BM117" s="280" t="n">
        <v>16569</v>
      </c>
      <c r="BN117" s="280" t="n">
        <v>16866</v>
      </c>
      <c r="BO117" s="280" t="n">
        <v>17840</v>
      </c>
      <c r="BP117" s="280" t="n">
        <v>15242</v>
      </c>
      <c r="BQ117" s="280" t="n">
        <v>66517</v>
      </c>
      <c r="BR117" s="280" t="n">
        <v>19496</v>
      </c>
      <c r="BS117" s="280" t="n">
        <v>22749</v>
      </c>
      <c r="BT117" s="280" t="n">
        <v>23270</v>
      </c>
      <c r="BU117" s="280" t="n">
        <v>23948</v>
      </c>
      <c r="BV117" s="280" t="n">
        <v>89463</v>
      </c>
      <c r="BW117" s="280" t="n">
        <v>22217</v>
      </c>
      <c r="BX117" s="280" t="n">
        <v>24560</v>
      </c>
      <c r="BY117" s="275">
        <f>BY80</f>
        <v>24990.1408393006</v>
      </c>
      <c r="BZ117" s="275">
        <f>BZ80</f>
        <v>25507.3679215581</v>
      </c>
      <c r="CA117" s="275">
        <f>SUM(BW117:BZ117)</f>
        <v>97274.5087608587</v>
      </c>
      <c r="CB117" s="275">
        <f>CB80</f>
        <v>106598.409097542</v>
      </c>
      <c r="CC117" s="275">
        <f>CC80</f>
        <v>115781.341210539</v>
      </c>
      <c r="CD117" s="275">
        <f>CD80</f>
        <v>123808.491501834</v>
      </c>
      <c r="CE117" s="275">
        <f>CE80</f>
        <v>129912.464087125</v>
      </c>
      <c r="CF117" s="275">
        <f>CF80</f>
        <v>135505.549788647</v>
      </c>
      <c r="CG117" s="153" t="inlineStr">
        <is>
          <t>Sales of products + sales of services. Forecast linked to the segment build.</t>
        </is>
      </c>
      <c r="CI117" s="20">
        <f>IFERROR(IF(AND(CF117&gt;0,CA117&gt;0),(CF117/CA117)^(1/5)-1,"n/m"),"n/m")</f>
        <v>0.068542024844142</v>
      </c>
      <c r="CJ117" s="20">
        <f>IFERROR(IF(AND(BV117&gt;0,AW117&gt;0),(BV117/AW117)^(1/5)-1,"n/m"),"n/m")</f>
        <v>0.0899505600378272</v>
      </c>
      <c r="CK117" s="20">
        <f>IFERROR(IF(AND(BV117&gt;0,X117&gt;0),(BV117/X117)^(1/10)-1,"n/m"),"n/m")</f>
        <v>-0.00714533532889228</v>
      </c>
      <c r="CL117" s="20">
        <f>IFERROR(IF(AND(BV117&gt;0,C117&gt;0),(BV117/C117)^(1/19)-1,"n/m"),"n/m")</f>
        <v>0.0198953400885245</v>
      </c>
    </row>
    <row r="118" ht="15" customHeight="1" s="251">
      <c r="B118" s="156" t="inlineStr">
        <is>
          <t xml:space="preserve">  Memo: total revenues as reported</t>
        </is>
      </c>
      <c r="C118" s="266" t="n">
        <v>61530</v>
      </c>
      <c r="D118" s="266" t="n">
        <v>66387</v>
      </c>
      <c r="E118" s="266" t="n">
        <v>60925</v>
      </c>
      <c r="F118" s="266" t="n">
        <v>68281</v>
      </c>
      <c r="G118" s="266" t="n">
        <v>64306</v>
      </c>
      <c r="H118" s="266" t="n">
        <v>68735</v>
      </c>
      <c r="I118" s="266" t="n">
        <v>81698</v>
      </c>
      <c r="J118" s="266" t="n">
        <v>18893</v>
      </c>
      <c r="K118" s="266" t="n">
        <v>21815</v>
      </c>
      <c r="L118" s="266" t="n">
        <v>22130</v>
      </c>
      <c r="M118" s="266" t="n">
        <v>23785</v>
      </c>
      <c r="N118" s="266" t="n">
        <v>86623</v>
      </c>
      <c r="O118" s="266" t="n">
        <v>20465</v>
      </c>
      <c r="P118" s="266" t="n">
        <v>22045</v>
      </c>
      <c r="Q118" s="266" t="n">
        <v>23784</v>
      </c>
      <c r="R118" s="266" t="n">
        <v>24468</v>
      </c>
      <c r="S118" s="266" t="n">
        <v>90762</v>
      </c>
      <c r="T118" s="266" t="n">
        <v>22149</v>
      </c>
      <c r="U118" s="266" t="n">
        <v>24543</v>
      </c>
      <c r="V118" s="266" t="n">
        <v>25849</v>
      </c>
      <c r="W118" s="266" t="n">
        <v>23573</v>
      </c>
      <c r="X118" s="266" t="n">
        <v>96114</v>
      </c>
      <c r="Y118" s="266" t="n">
        <v>22632</v>
      </c>
      <c r="Z118" s="266" t="n">
        <v>24755</v>
      </c>
      <c r="AA118" s="266" t="n">
        <v>23898</v>
      </c>
      <c r="AB118" s="266" t="n">
        <v>23286</v>
      </c>
      <c r="AC118" s="266" t="n">
        <v>94571</v>
      </c>
      <c r="AD118" s="266" t="n">
        <v>20976</v>
      </c>
      <c r="AE118" s="266" t="n">
        <v>22739</v>
      </c>
      <c r="AF118" s="266" t="n">
        <v>24309</v>
      </c>
      <c r="AG118" s="266" t="n">
        <v>25368</v>
      </c>
      <c r="AH118" s="266" t="n">
        <v>93392</v>
      </c>
      <c r="AI118" s="266" t="n">
        <v>23382</v>
      </c>
      <c r="AJ118" s="266" t="n">
        <v>24258</v>
      </c>
      <c r="AK118" s="266" t="n">
        <v>25146</v>
      </c>
      <c r="AL118" s="266" t="n">
        <v>28341</v>
      </c>
      <c r="AM118" s="266" t="n">
        <v>101127</v>
      </c>
      <c r="AN118" s="266" t="n">
        <v>22917</v>
      </c>
      <c r="AO118" s="266" t="n">
        <v>15751</v>
      </c>
      <c r="AP118" s="266" t="n">
        <v>19980</v>
      </c>
      <c r="AQ118" s="266" t="n">
        <v>17911</v>
      </c>
      <c r="AR118" s="266" t="n">
        <v>76559</v>
      </c>
      <c r="AS118" s="266" t="n">
        <v>16908</v>
      </c>
      <c r="AT118" s="266" t="n">
        <v>11807</v>
      </c>
      <c r="AU118" s="266" t="n">
        <v>14139</v>
      </c>
      <c r="AV118" s="266" t="n">
        <v>15304</v>
      </c>
      <c r="AW118" s="266" t="n">
        <v>58158</v>
      </c>
      <c r="AX118" s="266" t="n">
        <v>15217</v>
      </c>
      <c r="AY118" s="266" t="n">
        <v>16998</v>
      </c>
      <c r="AZ118" s="266" t="n">
        <v>15278</v>
      </c>
      <c r="BA118" s="266" t="n">
        <v>14793</v>
      </c>
      <c r="BB118" s="266" t="n">
        <v>62286</v>
      </c>
      <c r="BC118" s="266" t="n">
        <v>13991</v>
      </c>
      <c r="BD118" s="266" t="n">
        <v>16681</v>
      </c>
      <c r="BE118" s="266" t="n">
        <v>15956</v>
      </c>
      <c r="BF118" s="266" t="n">
        <v>19980</v>
      </c>
      <c r="BG118" s="266" t="n">
        <v>66608</v>
      </c>
      <c r="BH118" s="266" t="n">
        <v>17921</v>
      </c>
      <c r="BI118" s="266" t="n">
        <v>19751</v>
      </c>
      <c r="BJ118" s="266" t="n">
        <v>18104</v>
      </c>
      <c r="BK118" s="266" t="n">
        <v>22018</v>
      </c>
      <c r="BL118" s="266" t="n">
        <v>77794</v>
      </c>
      <c r="BM118" s="266" t="n">
        <v>16569</v>
      </c>
      <c r="BN118" s="266" t="n">
        <v>16866</v>
      </c>
      <c r="BO118" s="266" t="n">
        <v>17840</v>
      </c>
      <c r="BP118" s="266" t="n">
        <v>15242</v>
      </c>
      <c r="BQ118" s="266" t="n">
        <v>66517</v>
      </c>
      <c r="BR118" s="266" t="n">
        <v>19496</v>
      </c>
      <c r="BS118" s="266" t="n">
        <v>22749</v>
      </c>
      <c r="BT118" s="266" t="n">
        <v>23270</v>
      </c>
      <c r="BU118" s="266" t="n">
        <v>23948</v>
      </c>
      <c r="BV118" s="266" t="n">
        <v>89463</v>
      </c>
      <c r="BW118" s="266" t="n">
        <v>22217</v>
      </c>
      <c r="BX118" s="266" t="n">
        <v>24560</v>
      </c>
      <c r="BY118" s="153" t="n"/>
      <c r="BZ118" s="153" t="n"/>
      <c r="CA118" s="153" t="n"/>
      <c r="CB118" s="153" t="n"/>
      <c r="CC118" s="153" t="n"/>
      <c r="CD118" s="153" t="n"/>
      <c r="CE118" s="153" t="n"/>
      <c r="CF118" s="153" t="n"/>
      <c r="CG118" s="153" t="n"/>
    </row>
    <row r="119" ht="15" customHeight="1" s="251">
      <c r="B119" s="25" t="inlineStr">
        <is>
          <t>Cost of products &amp; services</t>
        </is>
      </c>
      <c r="C119" s="266" t="n">
        <v>50084</v>
      </c>
      <c r="D119" s="266" t="n">
        <v>53107</v>
      </c>
      <c r="E119" s="266" t="n">
        <v>50107</v>
      </c>
      <c r="F119" s="266" t="n">
        <v>56365</v>
      </c>
      <c r="G119" s="266" t="n">
        <v>51683</v>
      </c>
      <c r="H119" s="266" t="n">
        <v>55739</v>
      </c>
      <c r="I119" s="266" t="n">
        <v>68556</v>
      </c>
      <c r="J119" s="266" t="n">
        <v>15737</v>
      </c>
      <c r="K119" s="266" t="n">
        <v>18432</v>
      </c>
      <c r="L119" s="266" t="n">
        <v>18656</v>
      </c>
      <c r="M119" s="266" t="n">
        <v>20368</v>
      </c>
      <c r="N119" s="266" t="n">
        <v>73193</v>
      </c>
      <c r="O119" s="266" t="n">
        <v>17278</v>
      </c>
      <c r="P119" s="266" t="n">
        <v>18653</v>
      </c>
      <c r="Q119" s="266" t="n">
        <v>20057</v>
      </c>
      <c r="R119" s="266" t="n">
        <v>20695</v>
      </c>
      <c r="S119" s="266" t="n">
        <v>76683</v>
      </c>
      <c r="T119" s="266" t="n">
        <v>18480</v>
      </c>
      <c r="U119" s="266" t="n">
        <v>21333</v>
      </c>
      <c r="V119" s="266" t="n">
        <v>21584</v>
      </c>
      <c r="W119" s="266" t="n">
        <v>20627</v>
      </c>
      <c r="X119" s="266" t="n">
        <v>82024</v>
      </c>
      <c r="Y119" s="266" t="n">
        <v>19081</v>
      </c>
      <c r="Z119" s="266" t="n">
        <v>22309</v>
      </c>
      <c r="AA119" s="266" t="n">
        <v>19890</v>
      </c>
      <c r="AB119" s="266" t="n">
        <v>19451</v>
      </c>
      <c r="AC119" s="266" t="n">
        <v>80731</v>
      </c>
      <c r="AD119" s="266" t="n">
        <v>17251</v>
      </c>
      <c r="AE119" s="266" t="n">
        <v>18375</v>
      </c>
      <c r="AF119" s="266" t="n">
        <v>19960</v>
      </c>
      <c r="AG119" s="266" t="n">
        <v>20410</v>
      </c>
      <c r="AH119" s="266" t="n">
        <v>75996</v>
      </c>
      <c r="AI119" s="266" t="n">
        <v>18808</v>
      </c>
      <c r="AJ119" s="266" t="n">
        <v>19519</v>
      </c>
      <c r="AK119" s="266" t="n">
        <v>21022</v>
      </c>
      <c r="AL119" s="266" t="n">
        <v>22072</v>
      </c>
      <c r="AM119" s="266" t="n">
        <v>81421</v>
      </c>
      <c r="AN119" s="266" t="n">
        <v>18627</v>
      </c>
      <c r="AO119" s="266" t="n">
        <v>17794</v>
      </c>
      <c r="AP119" s="266" t="n">
        <v>16915</v>
      </c>
      <c r="AQ119" s="266" t="n">
        <v>18695</v>
      </c>
      <c r="AR119" s="266" t="n">
        <v>72031</v>
      </c>
      <c r="AS119" s="266" t="n">
        <v>16756</v>
      </c>
      <c r="AT119" s="266" t="n">
        <v>12967</v>
      </c>
      <c r="AU119" s="266" t="n">
        <v>13095</v>
      </c>
      <c r="AV119" s="266" t="n">
        <v>20982</v>
      </c>
      <c r="AW119" s="266" t="n">
        <v>63800</v>
      </c>
      <c r="AX119" s="266" t="n">
        <v>13799</v>
      </c>
      <c r="AY119" s="266" t="n">
        <v>14579</v>
      </c>
      <c r="AZ119" s="266" t="n">
        <v>13559</v>
      </c>
      <c r="BA119" s="266" t="n">
        <v>17300</v>
      </c>
      <c r="BB119" s="266" t="n">
        <v>59237</v>
      </c>
      <c r="BC119" s="266" t="n">
        <v>13638</v>
      </c>
      <c r="BD119" s="266" t="n">
        <v>14553</v>
      </c>
      <c r="BE119" s="266" t="n">
        <v>16771</v>
      </c>
      <c r="BF119" s="266" t="n">
        <v>18116</v>
      </c>
      <c r="BG119" s="266" t="n">
        <v>63078</v>
      </c>
      <c r="BH119" s="266" t="n">
        <v>15998</v>
      </c>
      <c r="BI119" s="266" t="n">
        <v>17812</v>
      </c>
      <c r="BJ119" s="266" t="n">
        <v>16939</v>
      </c>
      <c r="BK119" s="266" t="n">
        <v>19321</v>
      </c>
      <c r="BL119" s="266" t="n">
        <v>70070</v>
      </c>
      <c r="BM119" s="266" t="n">
        <v>14693</v>
      </c>
      <c r="BN119" s="266" t="n">
        <v>15637</v>
      </c>
      <c r="BO119" s="266" t="n">
        <v>21347</v>
      </c>
      <c r="BP119" s="266" t="n">
        <v>16831</v>
      </c>
      <c r="BQ119" s="266" t="n">
        <v>68508</v>
      </c>
      <c r="BR119" s="266" t="n">
        <v>17079</v>
      </c>
      <c r="BS119" s="266" t="n">
        <v>20314</v>
      </c>
      <c r="BT119" s="266" t="n">
        <v>25645</v>
      </c>
      <c r="BU119" s="266" t="n">
        <v>22136</v>
      </c>
      <c r="BV119" s="266" t="n">
        <v>85174</v>
      </c>
      <c r="BW119" s="266" t="n">
        <v>19671</v>
      </c>
      <c r="BX119" s="266" t="n">
        <v>22146</v>
      </c>
      <c r="BY119" s="263">
        <f>BY117-BY121-BY120</f>
        <v>21891.3750203457</v>
      </c>
      <c r="BZ119" s="263">
        <f>BZ117-BZ121-BZ120</f>
        <v>22370.1610817571</v>
      </c>
      <c r="CA119" s="263">
        <f>SUM(BW119:BZ119)</f>
        <v>86078.5361021028</v>
      </c>
      <c r="CB119" s="263">
        <f>CB117-CB121-CB120</f>
        <v>90175.1840101196</v>
      </c>
      <c r="CC119" s="263">
        <f>CC117-CC121-CC120</f>
        <v>96055.1811026883</v>
      </c>
      <c r="CD119" s="263">
        <f>CD117-CD121-CD120</f>
        <v>100744.358535711</v>
      </c>
      <c r="CE119" s="263">
        <f>CE117-CE121-CE120</f>
        <v>104287.374481003</v>
      </c>
      <c r="CF119" s="263">
        <f>CF117-CF121-CF120</f>
        <v>108015.867682084</v>
      </c>
      <c r="CG119" s="19" t="n"/>
    </row>
    <row r="120" ht="15" customHeight="1" s="251">
      <c r="B120" s="25" t="inlineStr">
        <is>
          <t>Boeing Capital interest expense (to 2023)</t>
        </is>
      </c>
      <c r="C120" s="266" t="n">
        <v>353</v>
      </c>
      <c r="D120" s="266" t="n">
        <v>295</v>
      </c>
      <c r="E120" s="266" t="n">
        <v>223</v>
      </c>
      <c r="F120" s="266" t="n">
        <v>175</v>
      </c>
      <c r="G120" s="266" t="n">
        <v>160</v>
      </c>
      <c r="H120" s="266" t="n">
        <v>128</v>
      </c>
      <c r="I120" s="266" t="n">
        <v>88</v>
      </c>
      <c r="J120" s="266" t="n">
        <v>19</v>
      </c>
      <c r="K120" s="266" t="n">
        <v>18</v>
      </c>
      <c r="L120" s="266" t="n">
        <v>18</v>
      </c>
      <c r="M120" s="266" t="n">
        <v>20</v>
      </c>
      <c r="N120" s="266" t="n">
        <v>75</v>
      </c>
      <c r="O120" s="266" t="n">
        <v>18</v>
      </c>
      <c r="P120" s="266" t="n">
        <v>17</v>
      </c>
      <c r="Q120" s="266" t="n">
        <v>18</v>
      </c>
      <c r="R120" s="266" t="n">
        <v>16</v>
      </c>
      <c r="S120" s="266" t="n">
        <v>69</v>
      </c>
      <c r="T120" s="266" t="n">
        <v>16</v>
      </c>
      <c r="U120" s="266" t="n">
        <v>17</v>
      </c>
      <c r="V120" s="266" t="n">
        <v>16</v>
      </c>
      <c r="W120" s="266" t="n">
        <v>15</v>
      </c>
      <c r="X120" s="266" t="n">
        <v>64</v>
      </c>
      <c r="Y120" s="266" t="n">
        <v>16</v>
      </c>
      <c r="Z120" s="266" t="n">
        <v>16</v>
      </c>
      <c r="AA120" s="266" t="n">
        <v>14</v>
      </c>
      <c r="AB120" s="266" t="n">
        <v>13</v>
      </c>
      <c r="AC120" s="266" t="n">
        <v>59</v>
      </c>
      <c r="AD120" s="266" t="n">
        <v>13</v>
      </c>
      <c r="AE120" s="266" t="n">
        <v>13</v>
      </c>
      <c r="AF120" s="266" t="n">
        <v>27</v>
      </c>
      <c r="AG120" s="266" t="n">
        <v>17</v>
      </c>
      <c r="AH120" s="266" t="n">
        <v>70</v>
      </c>
      <c r="AI120" s="266" t="n">
        <v>16</v>
      </c>
      <c r="AJ120" s="266" t="n">
        <v>17</v>
      </c>
      <c r="AK120" s="266" t="n">
        <v>18</v>
      </c>
      <c r="AL120" s="266" t="n">
        <v>18</v>
      </c>
      <c r="AM120" s="266" t="n">
        <v>69</v>
      </c>
      <c r="AN120" s="266" t="n">
        <v>18</v>
      </c>
      <c r="AO120" s="266" t="n">
        <v>16</v>
      </c>
      <c r="AP120" s="266" t="n">
        <v>15</v>
      </c>
      <c r="AQ120" s="266" t="n">
        <v>13</v>
      </c>
      <c r="AR120" s="266" t="n">
        <v>62</v>
      </c>
      <c r="AS120" s="266" t="n">
        <v>12</v>
      </c>
      <c r="AT120" s="266" t="n">
        <v>11</v>
      </c>
      <c r="AU120" s="266" t="n">
        <v>10</v>
      </c>
      <c r="AV120" s="266" t="n">
        <v>10</v>
      </c>
      <c r="AW120" s="266" t="n">
        <v>43</v>
      </c>
      <c r="AX120" s="266" t="n">
        <v>9</v>
      </c>
      <c r="AY120" s="266" t="n">
        <v>9</v>
      </c>
      <c r="AZ120" s="266" t="n">
        <v>7</v>
      </c>
      <c r="BA120" s="266" t="n">
        <v>7</v>
      </c>
      <c r="BB120" s="266" t="n">
        <v>32</v>
      </c>
      <c r="BC120" s="266" t="n">
        <v>7</v>
      </c>
      <c r="BD120" s="266" t="n">
        <v>6</v>
      </c>
      <c r="BE120" s="266" t="n">
        <v>7</v>
      </c>
      <c r="BF120" s="266" t="n">
        <v>8</v>
      </c>
      <c r="BG120" s="266" t="n">
        <v>28</v>
      </c>
      <c r="BH120" s="266" t="n">
        <v>0</v>
      </c>
      <c r="BI120" s="266" t="n">
        <v>0</v>
      </c>
      <c r="BJ120" s="266" t="n">
        <v>0</v>
      </c>
      <c r="BK120" s="266" t="n">
        <v>0</v>
      </c>
      <c r="BL120" s="266" t="n">
        <v>0</v>
      </c>
      <c r="BM120" s="266" t="n">
        <v>0</v>
      </c>
      <c r="BN120" s="266" t="n">
        <v>0</v>
      </c>
      <c r="BO120" s="266" t="n">
        <v>0</v>
      </c>
      <c r="BP120" s="266" t="n">
        <v>0</v>
      </c>
      <c r="BQ120" s="266" t="n">
        <v>0</v>
      </c>
      <c r="BR120" s="266" t="n">
        <v>0</v>
      </c>
      <c r="BS120" s="266" t="n">
        <v>0</v>
      </c>
      <c r="BT120" s="266" t="n">
        <v>0</v>
      </c>
      <c r="BU120" s="266" t="n">
        <v>0</v>
      </c>
      <c r="BV120" s="266" t="n">
        <v>0</v>
      </c>
      <c r="BW120" s="266" t="n">
        <v>0</v>
      </c>
      <c r="BX120" s="266" t="n">
        <v>0</v>
      </c>
      <c r="BY120" s="263">
        <f>0</f>
        <v>0</v>
      </c>
      <c r="BZ120" s="263">
        <f>0</f>
        <v>0</v>
      </c>
      <c r="CA120" s="263">
        <f>SUM(BW120:BZ120)</f>
        <v>0</v>
      </c>
      <c r="CB120" s="263">
        <f>0</f>
        <v>0</v>
      </c>
      <c r="CC120" s="263">
        <f>0</f>
        <v>0</v>
      </c>
      <c r="CD120" s="263">
        <f>0</f>
        <v>0</v>
      </c>
      <c r="CE120" s="263">
        <f>0</f>
        <v>0</v>
      </c>
      <c r="CF120" s="263">
        <f>0</f>
        <v>0</v>
      </c>
      <c r="CG120" s="19" t="n"/>
    </row>
    <row r="121" ht="15" customHeight="1" s="251">
      <c r="B121" s="16" t="inlineStr">
        <is>
          <t>Gross profit (revenues − cost of products &amp; services − BCC interest)</t>
        </is>
      </c>
      <c r="C121" s="281">
        <f>C117-C119-C120</f>
        <v>11093</v>
      </c>
      <c r="D121" s="281">
        <f>D117-D119-D120</f>
        <v>12985</v>
      </c>
      <c r="E121" s="281">
        <f>E117-E119-E120</f>
        <v>10595</v>
      </c>
      <c r="F121" s="281">
        <f>F117-F119-F120</f>
        <v>11741</v>
      </c>
      <c r="G121" s="281">
        <f>G117-G119-G120</f>
        <v>12463</v>
      </c>
      <c r="H121" s="281">
        <f>H117-H119-H120</f>
        <v>12868</v>
      </c>
      <c r="I121" s="281">
        <f>I117-I119-I120</f>
        <v>13054</v>
      </c>
      <c r="J121" s="281">
        <f>J117-J119-J120</f>
        <v>3137</v>
      </c>
      <c r="K121" s="281">
        <f>K117-K119-K120</f>
        <v>3365</v>
      </c>
      <c r="L121" s="281">
        <f>L117-L119-L120</f>
        <v>3456</v>
      </c>
      <c r="M121" s="281">
        <f>M117-M119-M120</f>
        <v>3397</v>
      </c>
      <c r="N121" s="281">
        <f>N117-N119-N120</f>
        <v>13355</v>
      </c>
      <c r="O121" s="281">
        <f>O117-O119-O120</f>
        <v>3169</v>
      </c>
      <c r="P121" s="281">
        <f>P117-P119-P120</f>
        <v>3375</v>
      </c>
      <c r="Q121" s="281">
        <f>Q117-Q119-Q120</f>
        <v>3709</v>
      </c>
      <c r="R121" s="281">
        <f>R117-R119-R120</f>
        <v>3757</v>
      </c>
      <c r="S121" s="281">
        <f>S117-S119-S120</f>
        <v>14010</v>
      </c>
      <c r="T121" s="281">
        <f>T117-T119-T120</f>
        <v>3653</v>
      </c>
      <c r="U121" s="281">
        <f>U117-U119-U120</f>
        <v>3193</v>
      </c>
      <c r="V121" s="281">
        <f>V117-V119-V120</f>
        <v>4249</v>
      </c>
      <c r="W121" s="281">
        <f>W117-W119-W120</f>
        <v>2931</v>
      </c>
      <c r="X121" s="281">
        <f>X117-X119-X120</f>
        <v>14026</v>
      </c>
      <c r="Y121" s="281">
        <f>Y117-Y119-Y120</f>
        <v>3535</v>
      </c>
      <c r="Z121" s="281">
        <f>Z117-Z119-Z120</f>
        <v>2430</v>
      </c>
      <c r="AA121" s="281">
        <f>AA117-AA119-AA120</f>
        <v>3994</v>
      </c>
      <c r="AB121" s="281">
        <f>AB117-AB119-AB120</f>
        <v>3822</v>
      </c>
      <c r="AC121" s="281">
        <f>AC117-AC119-AC120</f>
        <v>13781</v>
      </c>
      <c r="AD121" s="281">
        <f>AD117-AD119-AD120</f>
        <v>3712</v>
      </c>
      <c r="AE121" s="281">
        <f>AE117-AE119-AE120</f>
        <v>4351</v>
      </c>
      <c r="AF121" s="281">
        <f>AF117-AF119-AF120</f>
        <v>4322</v>
      </c>
      <c r="AG121" s="281">
        <f>AG117-AG119-AG120</f>
        <v>4941</v>
      </c>
      <c r="AH121" s="281">
        <f>AH117-AH119-AH120</f>
        <v>17326</v>
      </c>
      <c r="AI121" s="281">
        <f>AI117-AI119-AI120</f>
        <v>4558</v>
      </c>
      <c r="AJ121" s="281">
        <f>AJ117-AJ119-AJ120</f>
        <v>4722</v>
      </c>
      <c r="AK121" s="281">
        <f>AK117-AK119-AK120</f>
        <v>4106</v>
      </c>
      <c r="AL121" s="281">
        <f>AL117-AL119-AL120</f>
        <v>6251</v>
      </c>
      <c r="AM121" s="281">
        <f>AM117-AM119-AM120</f>
        <v>19637</v>
      </c>
      <c r="AN121" s="281">
        <f>AN117-AN119-AN120</f>
        <v>4272</v>
      </c>
      <c r="AO121" s="281">
        <f>AO117-AO119-AO120</f>
        <v>-2059</v>
      </c>
      <c r="AP121" s="281">
        <f>AP117-AP119-AP120</f>
        <v>3050</v>
      </c>
      <c r="AQ121" s="281">
        <f>AQ117-AQ119-AQ120</f>
        <v>-797</v>
      </c>
      <c r="AR121" s="281">
        <f>AR117-AR119-AR120</f>
        <v>4466</v>
      </c>
      <c r="AS121" s="281">
        <f>AS117-AS119-AS120</f>
        <v>140</v>
      </c>
      <c r="AT121" s="281">
        <f>AT117-AT119-AT120</f>
        <v>-1171</v>
      </c>
      <c r="AU121" s="281">
        <f>AU117-AU119-AU120</f>
        <v>1034</v>
      </c>
      <c r="AV121" s="281">
        <f>AV117-AV119-AV120</f>
        <v>-5688</v>
      </c>
      <c r="AW121" s="281">
        <f>AW117-AW119-AW120</f>
        <v>-5685</v>
      </c>
      <c r="AX121" s="281">
        <f>AX117-AX119-AX120</f>
        <v>1409</v>
      </c>
      <c r="AY121" s="281">
        <f>AY117-AY119-AY120</f>
        <v>2410</v>
      </c>
      <c r="AZ121" s="281">
        <f>AZ117-AZ119-AZ120</f>
        <v>1712</v>
      </c>
      <c r="BA121" s="281">
        <f>BA117-BA119-BA120</f>
        <v>-2514</v>
      </c>
      <c r="BB121" s="281">
        <f>BB117-BB119-BB120</f>
        <v>3017</v>
      </c>
      <c r="BC121" s="281">
        <f>BC117-BC119-BC120</f>
        <v>346</v>
      </c>
      <c r="BD121" s="281">
        <f>BD117-BD119-BD120</f>
        <v>2122</v>
      </c>
      <c r="BE121" s="281">
        <f>BE117-BE119-BE120</f>
        <v>-822</v>
      </c>
      <c r="BF121" s="281">
        <f>BF117-BF119-BF120</f>
        <v>1856</v>
      </c>
      <c r="BG121" s="281">
        <f>BG117-BG119-BG120</f>
        <v>3502</v>
      </c>
      <c r="BH121" s="281">
        <f>BH117-BH119-BH120</f>
        <v>1923</v>
      </c>
      <c r="BI121" s="281">
        <f>BI117-BI119-BI120</f>
        <v>1939</v>
      </c>
      <c r="BJ121" s="281">
        <f>BJ117-BJ119-BJ120</f>
        <v>1165</v>
      </c>
      <c r="BK121" s="281">
        <f>BK117-BK119-BK120</f>
        <v>2697</v>
      </c>
      <c r="BL121" s="281">
        <f>BL117-BL119-BL120</f>
        <v>7724</v>
      </c>
      <c r="BM121" s="281">
        <f>BM117-BM119-BM120</f>
        <v>1876</v>
      </c>
      <c r="BN121" s="281">
        <f>BN117-BN119-BN120</f>
        <v>1229</v>
      </c>
      <c r="BO121" s="281">
        <f>BO117-BO119-BO120</f>
        <v>-3507</v>
      </c>
      <c r="BP121" s="281">
        <f>BP117-BP119-BP120</f>
        <v>-1589</v>
      </c>
      <c r="BQ121" s="281">
        <f>BQ117-BQ119-BQ120</f>
        <v>-1991</v>
      </c>
      <c r="BR121" s="281">
        <f>BR117-BR119-BR120</f>
        <v>2417</v>
      </c>
      <c r="BS121" s="281">
        <f>BS117-BS119-BS120</f>
        <v>2435</v>
      </c>
      <c r="BT121" s="281">
        <f>BT117-BT119-BT120</f>
        <v>-2375</v>
      </c>
      <c r="BU121" s="281">
        <f>BU117-BU119-BU120</f>
        <v>1812</v>
      </c>
      <c r="BV121" s="281">
        <f>BV117-BV119-BV120</f>
        <v>4289</v>
      </c>
      <c r="BW121" s="281">
        <f>BW117-BW119-BW120</f>
        <v>2546</v>
      </c>
      <c r="BX121" s="281">
        <f>BX117-BX119-BX120</f>
        <v>2414</v>
      </c>
      <c r="BY121" s="265">
        <f>BY128+BY124+BY125-BY123-BY126+BY127</f>
        <v>3098.76581895486</v>
      </c>
      <c r="BZ121" s="265">
        <f>BZ128+BZ124+BZ125-BZ123-BZ126+BZ127</f>
        <v>3137.20683980102</v>
      </c>
      <c r="CA121" s="265">
        <f>CA128+CA124+CA125-CA123-CA126+CA127</f>
        <v>11195.9726587559</v>
      </c>
      <c r="CB121" s="265">
        <f>CB128+CB124+CB125-CB123-CB126+CB127</f>
        <v>16423.2250874224</v>
      </c>
      <c r="CC121" s="265">
        <f>CC128+CC124+CC125-CC123-CC126+CC127</f>
        <v>19726.1601078503</v>
      </c>
      <c r="CD121" s="265">
        <f>CD128+CD124+CD125-CD123-CD126+CD127</f>
        <v>23064.1329661237</v>
      </c>
      <c r="CE121" s="265">
        <f>CE128+CE124+CE125-CE123-CE126+CE127</f>
        <v>25625.0896061219</v>
      </c>
      <c r="CF121" s="265">
        <f>CF128+CF124+CF125-CF123-CF126+CF127</f>
        <v>27489.6821065624</v>
      </c>
      <c r="CG121" s="153" t="inlineStr">
        <is>
          <t>Forecast = earnings from operations + G&amp;A + R&amp;D − income from operating investments − gains (implied by the build).</t>
        </is>
      </c>
      <c r="CI121" s="20">
        <f>IFERROR(IF(AND(CF121&gt;0,CA121&gt;0),(CF121/CA121)^(1/5)-1,"n/m"),"n/m")</f>
        <v>0.19679999218679</v>
      </c>
      <c r="CJ121" s="20" t="str">
        <f>IFERROR(IF(AND(BV121&gt;0,AW121&gt;0),(BV121/AW121)^(1/5)-1,"n/m"),"n/m")</f>
        <v>n/m</v>
      </c>
      <c r="CK121" s="20">
        <f>IFERROR(IF(AND(BV121&gt;0,X121&gt;0),(BV121/X121)^(1/10)-1,"n/m"),"n/m")</f>
        <v>-0.111735672746821</v>
      </c>
      <c r="CL121" s="20">
        <f>IFERROR(IF(AND(BV121&gt;0,C121&gt;0),(BV121/C121)^(1/19)-1,"n/m"),"n/m")</f>
        <v>-0.0487836259381166</v>
      </c>
    </row>
    <row r="122" ht="15" customHeight="1" s="251">
      <c r="B122" s="25" t="inlineStr">
        <is>
          <t xml:space="preserve">  Gross margin %</t>
        </is>
      </c>
      <c r="C122" s="215">
        <f>IF(AND(ISNUMBER(C121),ISNUMBER(C117)),IFERROR(C121/C117,""),"")</f>
        <v>0.180286039330408</v>
      </c>
      <c r="D122" s="215">
        <f>IF(AND(ISNUMBER(D121),ISNUMBER(D117)),IFERROR(D121/D117,""),"")</f>
        <v>0.195595523219908</v>
      </c>
      <c r="E122" s="215">
        <f>IF(AND(ISNUMBER(E121),ISNUMBER(E117)),IFERROR(E121/E117,""),"")</f>
        <v>0.173902338941321</v>
      </c>
      <c r="F122" s="215">
        <f>IF(AND(ISNUMBER(F121),ISNUMBER(F117)),IFERROR(F121/F117,""),"")</f>
        <v>0.171951201651997</v>
      </c>
      <c r="G122" s="215">
        <f>IF(AND(ISNUMBER(G121),ISNUMBER(G117)),IFERROR(G121/G117,""),"")</f>
        <v>0.193807731782415</v>
      </c>
      <c r="H122" s="215">
        <f>IF(AND(ISNUMBER(H121),ISNUMBER(H117)),IFERROR(H121/H117,""),"")</f>
        <v>0.187211755292064</v>
      </c>
      <c r="I122" s="215">
        <f>IF(AND(ISNUMBER(I121),ISNUMBER(I117)),IFERROR(I121/I117,""),"")</f>
        <v>0.159783593233617</v>
      </c>
      <c r="J122" s="215">
        <f>IF(AND(ISNUMBER(J121),ISNUMBER(J117)),IFERROR(J121/J117,""),"")</f>
        <v>0.166040332398243</v>
      </c>
      <c r="K122" s="215">
        <f>IF(AND(ISNUMBER(K121),ISNUMBER(K117)),IFERROR(K121/K117,""),"")</f>
        <v>0.154251661700665</v>
      </c>
      <c r="L122" s="215">
        <f>IF(AND(ISNUMBER(L121),ISNUMBER(L117)),IFERROR(L121/L117,""),"")</f>
        <v>0.156168097605061</v>
      </c>
      <c r="M122" s="215">
        <f>IF(AND(ISNUMBER(M121),ISNUMBER(M117)),IFERROR(M121/M117,""),"")</f>
        <v>0.142821105738911</v>
      </c>
      <c r="N122" s="215">
        <f>IF(AND(ISNUMBER(N121),ISNUMBER(N117)),IFERROR(N121/N117,""),"")</f>
        <v>0.154173833739307</v>
      </c>
      <c r="O122" s="215">
        <f>IF(AND(ISNUMBER(O121),ISNUMBER(O117)),IFERROR(O121/O117,""),"")</f>
        <v>0.154849743464452</v>
      </c>
      <c r="P122" s="215">
        <f>IF(AND(ISNUMBER(P121),ISNUMBER(P117)),IFERROR(P121/P117,""),"")</f>
        <v>0.153095940122477</v>
      </c>
      <c r="Q122" s="215">
        <f>IF(AND(ISNUMBER(Q121),ISNUMBER(Q117)),IFERROR(Q121/Q117,""),"")</f>
        <v>0.155945173225698</v>
      </c>
      <c r="R122" s="215">
        <f>IF(AND(ISNUMBER(R121),ISNUMBER(R117)),IFERROR(R121/R117,""),"")</f>
        <v>0.153547490599967</v>
      </c>
      <c r="S122" s="215">
        <f>IF(AND(ISNUMBER(S121),ISNUMBER(S117)),IFERROR(S121/S117,""),"")</f>
        <v>0.154359754082105</v>
      </c>
      <c r="T122" s="215">
        <f>IF(AND(ISNUMBER(T121),ISNUMBER(T117)),IFERROR(T121/T117,""),"")</f>
        <v>0.164928439207188</v>
      </c>
      <c r="U122" s="215">
        <f>IF(AND(ISNUMBER(U121),ISNUMBER(U117)),IFERROR(U121/U117,""),"")</f>
        <v>0.130098195004686</v>
      </c>
      <c r="V122" s="215">
        <f>IF(AND(ISNUMBER(V121),ISNUMBER(V117)),IFERROR(V121/V117,""),"")</f>
        <v>0.164377732214012</v>
      </c>
      <c r="W122" s="215">
        <f>IF(AND(ISNUMBER(W121),ISNUMBER(W117)),IFERROR(W121/W117,""),"")</f>
        <v>0.124337165401094</v>
      </c>
      <c r="X122" s="215">
        <f>IF(AND(ISNUMBER(X121),ISNUMBER(X117)),IFERROR(X121/X117,""),"")</f>
        <v>0.145930873754084</v>
      </c>
      <c r="Y122" s="215">
        <f>IF(AND(ISNUMBER(Y121),ISNUMBER(Y117)),IFERROR(Y121/Y117,""),"")</f>
        <v>0.156194768469424</v>
      </c>
      <c r="Z122" s="215">
        <f>IF(AND(ISNUMBER(Z121),ISNUMBER(Z117)),IFERROR(Z121/Z117,""),"")</f>
        <v>0.0981619874772773</v>
      </c>
      <c r="AA122" s="215">
        <f>IF(AND(ISNUMBER(AA121),ISNUMBER(AA117)),IFERROR(AA121/AA117,""),"")</f>
        <v>0.167126956230647</v>
      </c>
      <c r="AB122" s="215">
        <f>IF(AND(ISNUMBER(AB121),ISNUMBER(AB117)),IFERROR(AB121/AB117,""),"")</f>
        <v>0.16413295542386</v>
      </c>
      <c r="AC122" s="215">
        <f>IF(AND(ISNUMBER(AC121),ISNUMBER(AC117)),IFERROR(AC121/AC117,""),"")</f>
        <v>0.145721204174641</v>
      </c>
      <c r="AD122" s="215">
        <f>IF(AND(ISNUMBER(AD121),ISNUMBER(AD117)),IFERROR(AD121/AD117,""),"")</f>
        <v>0.176964149504195</v>
      </c>
      <c r="AE122" s="215">
        <f>IF(AND(ISNUMBER(AE121),ISNUMBER(AE117)),IFERROR(AE121/AE117,""),"")</f>
        <v>0.191345265842825</v>
      </c>
      <c r="AF122" s="215">
        <f>IF(AND(ISNUMBER(AF121),ISNUMBER(AF117)),IFERROR(AF121/AF117,""),"")</f>
        <v>0.177794232588753</v>
      </c>
      <c r="AG122" s="215">
        <f>IF(AND(ISNUMBER(AG121),ISNUMBER(AG117)),IFERROR(AG121/AG117,""),"")</f>
        <v>0.194772942289499</v>
      </c>
      <c r="AH122" s="215">
        <f>IF(AND(ISNUMBER(AH121),ISNUMBER(AH117)),IFERROR(AH121/AH117,""),"")</f>
        <v>0.185519102278568</v>
      </c>
      <c r="AI122" s="215">
        <f>IF(AND(ISNUMBER(AI121),ISNUMBER(AI117)),IFERROR(AI121/AI117,""),"")</f>
        <v>0.194936275767685</v>
      </c>
      <c r="AJ122" s="215">
        <f>IF(AND(ISNUMBER(AJ121),ISNUMBER(AJ117)),IFERROR(AJ121/AJ117,""),"")</f>
        <v>0.194657432599555</v>
      </c>
      <c r="AK122" s="215">
        <f>IF(AND(ISNUMBER(AK121),ISNUMBER(AK117)),IFERROR(AK121/AK117,""),"")</f>
        <v>0.163286407380896</v>
      </c>
      <c r="AL122" s="215">
        <f>IF(AND(ISNUMBER(AL121),ISNUMBER(AL117)),IFERROR(AL121/AL117,""),"")</f>
        <v>0.220563847429519</v>
      </c>
      <c r="AM122" s="215">
        <f>IF(AND(ISNUMBER(AM121),ISNUMBER(AM117)),IFERROR(AM121/AM117,""),"")</f>
        <v>0.194181573664798</v>
      </c>
      <c r="AN122" s="215">
        <f>IF(AND(ISNUMBER(AN121),ISNUMBER(AN117)),IFERROR(AN121/AN117,""),"")</f>
        <v>0.186411834009687</v>
      </c>
      <c r="AO122" s="215">
        <f>IF(AND(ISNUMBER(AO121),ISNUMBER(AO117)),IFERROR(AO121/AO117,""),"")</f>
        <v>-0.130721858929592</v>
      </c>
      <c r="AP122" s="215">
        <f>IF(AND(ISNUMBER(AP121),ISNUMBER(AP117)),IFERROR(AP121/AP117,""),"")</f>
        <v>0.152652652652653</v>
      </c>
      <c r="AQ122" s="215">
        <f>IF(AND(ISNUMBER(AQ121),ISNUMBER(AQ117)),IFERROR(AQ121/AQ117,""),"")</f>
        <v>-0.0444977946513316</v>
      </c>
      <c r="AR122" s="215">
        <f>IF(AND(ISNUMBER(AR121),ISNUMBER(AR117)),IFERROR(AR121/AR117,""),"")</f>
        <v>0.0583340952729268</v>
      </c>
      <c r="AS122" s="215">
        <f>IF(AND(ISNUMBER(AS121),ISNUMBER(AS117)),IFERROR(AS121/AS117,""),"")</f>
        <v>0.00828010409273717</v>
      </c>
      <c r="AT122" s="215">
        <f>IF(AND(ISNUMBER(AT121),ISNUMBER(AT117)),IFERROR(AT121/AT117,""),"")</f>
        <v>-0.099178453459812</v>
      </c>
      <c r="AU122" s="215">
        <f>IF(AND(ISNUMBER(AU121),ISNUMBER(AU117)),IFERROR(AU121/AU117,""),"")</f>
        <v>0.0731310559445505</v>
      </c>
      <c r="AV122" s="215">
        <f>IF(AND(ISNUMBER(AV121),ISNUMBER(AV117)),IFERROR(AV121/AV117,""),"")</f>
        <v>-0.371667537898589</v>
      </c>
      <c r="AW122" s="215">
        <f>IF(AND(ISNUMBER(AW121),ISNUMBER(AW117)),IFERROR(AW121/AW117,""),"")</f>
        <v>-0.0977509542969153</v>
      </c>
      <c r="AX122" s="215">
        <f>IF(AND(ISNUMBER(AX121),ISNUMBER(AX117)),IFERROR(AX121/AX117,""),"")</f>
        <v>0.0925938095551029</v>
      </c>
      <c r="AY122" s="215">
        <f>IF(AND(ISNUMBER(AY121),ISNUMBER(AY117)),IFERROR(AY121/AY117,""),"")</f>
        <v>0.141781386045417</v>
      </c>
      <c r="AZ122" s="215">
        <f>IF(AND(ISNUMBER(AZ121),ISNUMBER(AZ117)),IFERROR(AZ121/AZ117,""),"")</f>
        <v>0.1120565519047</v>
      </c>
      <c r="BA122" s="215">
        <f>IF(AND(ISNUMBER(BA121),ISNUMBER(BA117)),IFERROR(BA121/BA117,""),"")</f>
        <v>-0.169945244372338</v>
      </c>
      <c r="BB122" s="215">
        <f>IF(AND(ISNUMBER(BB121),ISNUMBER(BB117)),IFERROR(BB121/BB117,""),"")</f>
        <v>0.0484378512025174</v>
      </c>
      <c r="BC122" s="215">
        <f>IF(AND(ISNUMBER(BC121),ISNUMBER(BC117)),IFERROR(BC121/BC117,""),"")</f>
        <v>0.0247301836895147</v>
      </c>
      <c r="BD122" s="215">
        <f>IF(AND(ISNUMBER(BD121),ISNUMBER(BD117)),IFERROR(BD121/BD117,""),"")</f>
        <v>0.127210598884959</v>
      </c>
      <c r="BE122" s="215">
        <f>IF(AND(ISNUMBER(BE121),ISNUMBER(BE117)),IFERROR(BE121/BE117,""),"")</f>
        <v>-0.0515166708448233</v>
      </c>
      <c r="BF122" s="215">
        <f>IF(AND(ISNUMBER(BF121),ISNUMBER(BF117)),IFERROR(BF121/BF117,""),"")</f>
        <v>0.0928928928928929</v>
      </c>
      <c r="BG122" s="215">
        <f>IF(AND(ISNUMBER(BG121),ISNUMBER(BG117)),IFERROR(BG121/BG117,""),"")</f>
        <v>0.0525762671150613</v>
      </c>
      <c r="BH122" s="215">
        <f>IF(AND(ISNUMBER(BH121),ISNUMBER(BH117)),IFERROR(BH121/BH117,""),"")</f>
        <v>0.107304279895095</v>
      </c>
      <c r="BI122" s="215">
        <f>IF(AND(ISNUMBER(BI121),ISNUMBER(BI117)),IFERROR(BI121/BI117,""),"")</f>
        <v>0.0981722444433193</v>
      </c>
      <c r="BJ122" s="215">
        <f>IF(AND(ISNUMBER(BJ121),ISNUMBER(BJ117)),IFERROR(BJ121/BJ117,""),"")</f>
        <v>0.06435041979673</v>
      </c>
      <c r="BK122" s="215">
        <f>IF(AND(ISNUMBER(BK121),ISNUMBER(BK117)),IFERROR(BK121/BK117,""),"")</f>
        <v>0.122490689435916</v>
      </c>
      <c r="BL122" s="215">
        <f>IF(AND(ISNUMBER(BL121),ISNUMBER(BL117)),IFERROR(BL121/BL117,""),"")</f>
        <v>0.0992878628171838</v>
      </c>
      <c r="BM122" s="215">
        <f>IF(AND(ISNUMBER(BM121),ISNUMBER(BM117)),IFERROR(BM121/BM117,""),"")</f>
        <v>0.113223489649345</v>
      </c>
      <c r="BN122" s="215">
        <f>IF(AND(ISNUMBER(BN121),ISNUMBER(BN117)),IFERROR(BN121/BN117,""),"")</f>
        <v>0.0728684928258034</v>
      </c>
      <c r="BO122" s="215">
        <f>IF(AND(ISNUMBER(BO121),ISNUMBER(BO117)),IFERROR(BO121/BO117,""),"")</f>
        <v>-0.196580717488789</v>
      </c>
      <c r="BP122" s="215">
        <f>IF(AND(ISNUMBER(BP121),ISNUMBER(BP117)),IFERROR(BP121/BP117,""),"")</f>
        <v>-0.10425141057604</v>
      </c>
      <c r="BQ122" s="215">
        <f>IF(AND(ISNUMBER(BQ121),ISNUMBER(BQ117)),IFERROR(BQ121/BQ117,""),"")</f>
        <v>-0.0299321977840251</v>
      </c>
      <c r="BR122" s="215">
        <f>IF(AND(ISNUMBER(BR121),ISNUMBER(BR117)),IFERROR(BR121/BR117,""),"")</f>
        <v>0.123974148543291</v>
      </c>
      <c r="BS122" s="215">
        <f>IF(AND(ISNUMBER(BS121),ISNUMBER(BS117)),IFERROR(BS121/BS117,""),"")</f>
        <v>0.107037671985582</v>
      </c>
      <c r="BT122" s="215">
        <f>IF(AND(ISNUMBER(BT121),ISNUMBER(BT117)),IFERROR(BT121/BT117,""),"")</f>
        <v>-0.102062741727546</v>
      </c>
      <c r="BU122" s="215">
        <f>IF(AND(ISNUMBER(BU121),ISNUMBER(BU117)),IFERROR(BU121/BU117,""),"")</f>
        <v>0.0756639385334892</v>
      </c>
      <c r="BV122" s="215">
        <f>IF(AND(ISNUMBER(BV121),ISNUMBER(BV117)),IFERROR(BV121/BV117,""),"")</f>
        <v>0.0479416071448532</v>
      </c>
      <c r="BW122" s="215">
        <f>IF(AND(ISNUMBER(BW121),ISNUMBER(BW117)),IFERROR(BW121/BW117,""),"")</f>
        <v>0.114596930278615</v>
      </c>
      <c r="BX122" s="215">
        <f>IF(AND(ISNUMBER(BX121),ISNUMBER(BX117)),IFERROR(BX121/BX117,""),"")</f>
        <v>0.0982899022801303</v>
      </c>
      <c r="BY122" s="260">
        <f>IF(AND(ISNUMBER(BY121),ISNUMBER(BY117)),IFERROR(BY121/BY117,""),"")</f>
        <v>0.123999534011493</v>
      </c>
      <c r="BZ122" s="260">
        <f>IF(AND(ISNUMBER(BZ121),ISNUMBER(BZ117)),IFERROR(BZ121/BZ117,""),"")</f>
        <v>0.122992182080439</v>
      </c>
      <c r="CA122" s="260">
        <f>IF(AND(ISNUMBER(CA121),ISNUMBER(CA117)),IFERROR(CA121/CA117,""),"")</f>
        <v>0.115096676419927</v>
      </c>
      <c r="CB122" s="260">
        <f>IF(AND(ISNUMBER(CB121),ISNUMBER(CB117)),IFERROR(CB121/CB117,""),"")</f>
        <v>0.154066324502033</v>
      </c>
      <c r="CC122" s="260">
        <f>IF(AND(ISNUMBER(CC121),ISNUMBER(CC117)),IFERROR(CC121/CC117,""),"")</f>
        <v>0.170374258076523</v>
      </c>
      <c r="CD122" s="260">
        <f>IF(AND(ISNUMBER(CD121),ISNUMBER(CD117)),IFERROR(CD121/CD117,""),"")</f>
        <v>0.186288781054908</v>
      </c>
      <c r="CE122" s="260">
        <f>IF(AND(ISNUMBER(CE121),ISNUMBER(CE117)),IFERROR(CE121/CE117,""),"")</f>
        <v>0.19724889206117</v>
      </c>
      <c r="CF122" s="260">
        <f>IF(AND(ISNUMBER(CF121),ISNUMBER(CF117)),IFERROR(CF121/CF117,""),"")</f>
        <v>0.202867573685647</v>
      </c>
      <c r="CG122" s="153" t="n"/>
      <c r="CI122" s="37">
        <f>IFERROR(AVERAGE(CB122,CC122,CD122,CE122,CF122),"n/m")</f>
        <v>0.182169165876056</v>
      </c>
      <c r="CJ122" s="37">
        <f>IFERROR(AVERAGE(BB122,BG122,BL122,BQ122,BV122),"n/m")</f>
        <v>0.0436622780991181</v>
      </c>
      <c r="CK122" s="37">
        <f>IFERROR(AVERAGE(AC122,AH122,AM122,AR122,AW122,BB122,BG122,BL122,BQ122,BV122),"n/m")</f>
        <v>0.0704316411589609</v>
      </c>
      <c r="CL122" s="37">
        <f>IFERROR(AVERAGE(C122,D122,E122,F122,G122,H122,I122,N122,S122,X122,AC122,AH122,AM122,AR122,AW122,BB122,BG122,BL122,BQ122,BV122),"n/m")</f>
        <v>0.121065952830842</v>
      </c>
    </row>
    <row r="123" ht="15" customHeight="1" s="251">
      <c r="B123" s="25" t="inlineStr">
        <is>
          <t>Income / (loss) from operating investments, net</t>
        </is>
      </c>
      <c r="C123" s="266" t="n">
        <v>146</v>
      </c>
      <c r="D123" s="266" t="n">
        <v>188</v>
      </c>
      <c r="E123" s="266" t="n">
        <v>241</v>
      </c>
      <c r="F123" s="266" t="n">
        <v>249</v>
      </c>
      <c r="G123" s="266" t="n">
        <v>267</v>
      </c>
      <c r="H123" s="266" t="n">
        <v>278</v>
      </c>
      <c r="I123" s="266" t="n">
        <v>268</v>
      </c>
      <c r="J123" s="266" t="n">
        <v>45</v>
      </c>
      <c r="K123" s="266" t="n">
        <v>43</v>
      </c>
      <c r="L123" s="266" t="n">
        <v>59</v>
      </c>
      <c r="M123" s="266" t="n">
        <v>67</v>
      </c>
      <c r="N123" s="266" t="n">
        <v>214</v>
      </c>
      <c r="O123" s="266" t="n">
        <v>59</v>
      </c>
      <c r="P123" s="266" t="n">
        <v>61</v>
      </c>
      <c r="Q123" s="266" t="n">
        <v>92</v>
      </c>
      <c r="R123" s="266" t="n">
        <v>75</v>
      </c>
      <c r="S123" s="266" t="n">
        <v>287</v>
      </c>
      <c r="T123" s="266" t="n">
        <v>79</v>
      </c>
      <c r="U123" s="266" t="n">
        <v>50</v>
      </c>
      <c r="V123" s="266" t="n">
        <v>78</v>
      </c>
      <c r="W123" s="266" t="n">
        <v>67</v>
      </c>
      <c r="X123" s="266" t="n">
        <v>274</v>
      </c>
      <c r="Y123" s="266" t="n">
        <v>54</v>
      </c>
      <c r="Z123" s="266" t="n">
        <v>97</v>
      </c>
      <c r="AA123" s="266" t="n">
        <v>69</v>
      </c>
      <c r="AB123" s="266" t="n">
        <v>83</v>
      </c>
      <c r="AC123" s="266" t="n">
        <v>303</v>
      </c>
      <c r="AD123" s="266" t="n">
        <v>81</v>
      </c>
      <c r="AE123" s="266" t="n">
        <v>39</v>
      </c>
      <c r="AF123" s="266" t="n">
        <v>49</v>
      </c>
      <c r="AG123" s="266" t="n">
        <v>35</v>
      </c>
      <c r="AH123" s="266" t="n">
        <v>204</v>
      </c>
      <c r="AI123" s="266" t="n">
        <v>74</v>
      </c>
      <c r="AJ123" s="266" t="n">
        <v>6</v>
      </c>
      <c r="AK123" s="266" t="n">
        <v>32</v>
      </c>
      <c r="AL123" s="266" t="n">
        <v>-1</v>
      </c>
      <c r="AM123" s="266" t="n">
        <v>111</v>
      </c>
      <c r="AN123" s="266" t="n">
        <v>20</v>
      </c>
      <c r="AO123" s="266" t="n">
        <v>-15</v>
      </c>
      <c r="AP123" s="266" t="n">
        <v>-8</v>
      </c>
      <c r="AQ123" s="266" t="n">
        <v>-1</v>
      </c>
      <c r="AR123" s="266" t="n">
        <v>-4</v>
      </c>
      <c r="AS123" s="266" t="n">
        <v>-2</v>
      </c>
      <c r="AT123" s="266" t="n">
        <v>-45</v>
      </c>
      <c r="AU123" s="266" t="n">
        <v>-14</v>
      </c>
      <c r="AV123" s="266" t="n">
        <v>70</v>
      </c>
      <c r="AW123" s="266" t="n">
        <v>9</v>
      </c>
      <c r="AX123" s="266" t="n">
        <v>37</v>
      </c>
      <c r="AY123" s="266" t="n">
        <v>38</v>
      </c>
      <c r="AZ123" s="266" t="n">
        <v>120</v>
      </c>
      <c r="BA123" s="266" t="n">
        <v>15</v>
      </c>
      <c r="BB123" s="266" t="n">
        <v>210</v>
      </c>
      <c r="BC123" s="266" t="n">
        <v>-20</v>
      </c>
      <c r="BD123" s="266" t="n">
        <v>17</v>
      </c>
      <c r="BE123" s="266" t="n">
        <v>-24</v>
      </c>
      <c r="BF123" s="266" t="n">
        <v>11</v>
      </c>
      <c r="BG123" s="266" t="n">
        <v>-16</v>
      </c>
      <c r="BH123" s="266" t="n">
        <v>-27</v>
      </c>
      <c r="BI123" s="266" t="n">
        <v>44</v>
      </c>
      <c r="BJ123" s="266" t="n">
        <v>28</v>
      </c>
      <c r="BK123" s="266" t="n">
        <v>1</v>
      </c>
      <c r="BL123" s="266" t="n">
        <v>46</v>
      </c>
      <c r="BM123" s="266" t="n">
        <v>67</v>
      </c>
      <c r="BN123" s="266" t="n">
        <v>7</v>
      </c>
      <c r="BO123" s="266" t="n">
        <v>-15</v>
      </c>
      <c r="BP123" s="266" t="n">
        <v>12</v>
      </c>
      <c r="BQ123" s="266" t="n">
        <v>71</v>
      </c>
      <c r="BR123" s="266" t="n">
        <v>3</v>
      </c>
      <c r="BS123" s="266" t="n">
        <v>25</v>
      </c>
      <c r="BT123" s="266" t="n">
        <v>14</v>
      </c>
      <c r="BU123" s="266" t="n">
        <v>-17</v>
      </c>
      <c r="BV123" s="266" t="n">
        <v>25</v>
      </c>
      <c r="BW123" s="266" t="n">
        <v>-10</v>
      </c>
      <c r="BX123" s="266" t="n">
        <v>24</v>
      </c>
      <c r="BY123" s="263">
        <f>BY114</f>
        <v>0</v>
      </c>
      <c r="BZ123" s="263">
        <f>BZ114</f>
        <v>0</v>
      </c>
      <c r="CA123" s="263">
        <f>SUM(BW123:BZ123)</f>
        <v>14</v>
      </c>
      <c r="CB123" s="263">
        <f>CB114</f>
        <v>0</v>
      </c>
      <c r="CC123" s="263">
        <f>CC114</f>
        <v>0</v>
      </c>
      <c r="CD123" s="263">
        <f>CD114</f>
        <v>0</v>
      </c>
      <c r="CE123" s="263">
        <f>CE114</f>
        <v>0</v>
      </c>
      <c r="CF123" s="263">
        <f>CF114</f>
        <v>0</v>
      </c>
      <c r="CG123" s="19" t="n"/>
    </row>
    <row r="124" ht="15" customHeight="1" s="251">
      <c r="B124" s="25" t="inlineStr">
        <is>
          <t>General and administrative expense</t>
        </is>
      </c>
      <c r="C124" s="266" t="n">
        <v>4171</v>
      </c>
      <c r="D124" s="266" t="n">
        <v>3531</v>
      </c>
      <c r="E124" s="266" t="n">
        <v>3084</v>
      </c>
      <c r="F124" s="266" t="n">
        <v>3364</v>
      </c>
      <c r="G124" s="266" t="n">
        <v>3644</v>
      </c>
      <c r="H124" s="266" t="n">
        <v>3408</v>
      </c>
      <c r="I124" s="266" t="n">
        <v>3717</v>
      </c>
      <c r="J124" s="266" t="n">
        <v>971</v>
      </c>
      <c r="K124" s="266" t="n">
        <v>929</v>
      </c>
      <c r="L124" s="266" t="n">
        <v>956</v>
      </c>
      <c r="M124" s="266" t="n">
        <v>1100</v>
      </c>
      <c r="N124" s="266" t="n">
        <v>3956</v>
      </c>
      <c r="O124" s="266" t="n">
        <v>877</v>
      </c>
      <c r="P124" s="266" t="n">
        <v>918</v>
      </c>
      <c r="Q124" s="266" t="n">
        <v>932</v>
      </c>
      <c r="R124" s="266" t="n">
        <v>1040</v>
      </c>
      <c r="S124" s="266" t="n">
        <v>3767</v>
      </c>
      <c r="T124" s="266" t="n">
        <v>945</v>
      </c>
      <c r="U124" s="266" t="n">
        <v>760</v>
      </c>
      <c r="V124" s="266" t="n">
        <v>889</v>
      </c>
      <c r="W124" s="266" t="n">
        <v>931</v>
      </c>
      <c r="X124" s="266" t="n">
        <v>3525</v>
      </c>
      <c r="Y124" s="266" t="n">
        <v>888</v>
      </c>
      <c r="Z124" s="266" t="n">
        <v>806</v>
      </c>
      <c r="AA124" s="266" t="n">
        <v>923</v>
      </c>
      <c r="AB124" s="266" t="n">
        <v>999</v>
      </c>
      <c r="AC124" s="266" t="n">
        <v>3616</v>
      </c>
      <c r="AD124" s="266" t="n">
        <v>933</v>
      </c>
      <c r="AE124" s="266" t="n">
        <v>1040</v>
      </c>
      <c r="AF124" s="266" t="n">
        <v>915</v>
      </c>
      <c r="AG124" s="266" t="n">
        <v>1206</v>
      </c>
      <c r="AH124" s="266" t="n">
        <v>4094</v>
      </c>
      <c r="AI124" s="266" t="n">
        <v>997</v>
      </c>
      <c r="AJ124" s="266" t="n">
        <v>1194</v>
      </c>
      <c r="AK124" s="266" t="n">
        <v>1154</v>
      </c>
      <c r="AL124" s="266" t="n">
        <v>1222</v>
      </c>
      <c r="AM124" s="266" t="n">
        <v>4567</v>
      </c>
      <c r="AN124" s="266" t="n">
        <v>1184</v>
      </c>
      <c r="AO124" s="266" t="n">
        <v>672</v>
      </c>
      <c r="AP124" s="266" t="n">
        <v>1001</v>
      </c>
      <c r="AQ124" s="266" t="n">
        <v>1052</v>
      </c>
      <c r="AR124" s="266" t="n">
        <v>3909</v>
      </c>
      <c r="AS124" s="266" t="n">
        <v>873</v>
      </c>
      <c r="AT124" s="266" t="n">
        <v>1161</v>
      </c>
      <c r="AU124" s="266" t="n">
        <v>955</v>
      </c>
      <c r="AV124" s="266" t="n">
        <v>1828</v>
      </c>
      <c r="AW124" s="266" t="n">
        <v>4817</v>
      </c>
      <c r="AX124" s="266" t="n">
        <v>1032</v>
      </c>
      <c r="AY124" s="266" t="n">
        <v>1040</v>
      </c>
      <c r="AZ124" s="266" t="n">
        <v>1097</v>
      </c>
      <c r="BA124" s="266" t="n">
        <v>988</v>
      </c>
      <c r="BB124" s="266" t="n">
        <v>4157</v>
      </c>
      <c r="BC124" s="266" t="n">
        <v>863</v>
      </c>
      <c r="BD124" s="266" t="n">
        <v>668</v>
      </c>
      <c r="BE124" s="266" t="n">
        <v>1226</v>
      </c>
      <c r="BF124" s="266" t="n">
        <v>1430</v>
      </c>
      <c r="BG124" s="266" t="n">
        <v>4187</v>
      </c>
      <c r="BH124" s="266" t="n">
        <v>1304</v>
      </c>
      <c r="BI124" s="266" t="n">
        <v>1286</v>
      </c>
      <c r="BJ124" s="266" t="n">
        <v>1043</v>
      </c>
      <c r="BK124" s="266" t="n">
        <v>1535</v>
      </c>
      <c r="BL124" s="266" t="n">
        <v>5168</v>
      </c>
      <c r="BM124" s="266" t="n">
        <v>1161</v>
      </c>
      <c r="BN124" s="266" t="n">
        <v>1377</v>
      </c>
      <c r="BO124" s="266" t="n">
        <v>1085</v>
      </c>
      <c r="BP124" s="266" t="n">
        <v>1398</v>
      </c>
      <c r="BQ124" s="266" t="n">
        <v>5021</v>
      </c>
      <c r="BR124" s="266" t="n">
        <v>1112</v>
      </c>
      <c r="BS124" s="266" t="n">
        <v>1793</v>
      </c>
      <c r="BT124" s="266" t="n">
        <v>1522</v>
      </c>
      <c r="BU124" s="266" t="n">
        <v>1663</v>
      </c>
      <c r="BV124" s="266" t="n">
        <v>6090</v>
      </c>
      <c r="BW124" s="266" t="n">
        <v>1197</v>
      </c>
      <c r="BX124" s="266" t="n">
        <v>1428</v>
      </c>
      <c r="BY124" s="263">
        <f>BY117*BY107</f>
        <v>1402.37979569369</v>
      </c>
      <c r="BZ124" s="263">
        <f>BZ117*BZ107</f>
        <v>1431.40519473438</v>
      </c>
      <c r="CA124" s="263">
        <f>SUM(BW124:BZ124)</f>
        <v>5458.78499042807</v>
      </c>
      <c r="CB124" s="263">
        <f>CB117*CB107</f>
        <v>6182.70772765744</v>
      </c>
      <c r="CC124" s="263">
        <f>CC117*CC107</f>
        <v>6599.5364490007</v>
      </c>
      <c r="CD124" s="263">
        <f>CD117*CD107</f>
        <v>6933.27552410272</v>
      </c>
      <c r="CE124" s="263">
        <f>CE117*CE107</f>
        <v>7145.18552479185</v>
      </c>
      <c r="CF124" s="263">
        <f>CF117*CF107</f>
        <v>7452.80523837556</v>
      </c>
      <c r="CG124" s="19" t="n"/>
      <c r="CI124" s="20">
        <f>IFERROR(IF(AND(CF124&gt;0,CA124&gt;0),(CF124/CA124)^(1/5)-1,"n/m"),"n/m")</f>
        <v>0.0642526902534213</v>
      </c>
      <c r="CJ124" s="20">
        <f>IFERROR(IF(AND(BV124&gt;0,AW124&gt;0),(BV124/AW124)^(1/5)-1,"n/m"),"n/m")</f>
        <v>0.0480165217620887</v>
      </c>
      <c r="CK124" s="20">
        <f>IFERROR(IF(AND(BV124&gt;0,X124&gt;0),(BV124/X124)^(1/10)-1,"n/m"),"n/m")</f>
        <v>0.0561991584783312</v>
      </c>
      <c r="CL124" s="20">
        <f>IFERROR(IF(AND(BV124&gt;0,C124&gt;0),(BV124/C124)^(1/19)-1,"n/m"),"n/m")</f>
        <v>0.0201203857793641</v>
      </c>
    </row>
    <row r="125" ht="15" customHeight="1" s="251">
      <c r="B125" s="25" t="inlineStr">
        <is>
          <t>Research and development expense, net</t>
        </is>
      </c>
      <c r="C125" s="266" t="n">
        <v>3257</v>
      </c>
      <c r="D125" s="266" t="n">
        <v>3850</v>
      </c>
      <c r="E125" s="266" t="n">
        <v>3768</v>
      </c>
      <c r="F125" s="266" t="n">
        <v>6506</v>
      </c>
      <c r="G125" s="266" t="n">
        <v>4121</v>
      </c>
      <c r="H125" s="266" t="n">
        <v>3918</v>
      </c>
      <c r="I125" s="266" t="n">
        <v>3298</v>
      </c>
      <c r="J125" s="266" t="n">
        <v>705</v>
      </c>
      <c r="K125" s="266" t="n">
        <v>763</v>
      </c>
      <c r="L125" s="266" t="n">
        <v>755</v>
      </c>
      <c r="M125" s="266" t="n">
        <v>848</v>
      </c>
      <c r="N125" s="266" t="n">
        <v>3071</v>
      </c>
      <c r="O125" s="266" t="n">
        <v>809</v>
      </c>
      <c r="P125" s="266" t="n">
        <v>733</v>
      </c>
      <c r="Q125" s="266" t="n">
        <v>750</v>
      </c>
      <c r="R125" s="266" t="n">
        <v>755</v>
      </c>
      <c r="S125" s="266" t="n">
        <v>3047</v>
      </c>
      <c r="T125" s="266" t="n">
        <v>769</v>
      </c>
      <c r="U125" s="266" t="n">
        <v>800</v>
      </c>
      <c r="V125" s="266" t="n">
        <v>857</v>
      </c>
      <c r="W125" s="266" t="n">
        <v>905</v>
      </c>
      <c r="X125" s="266" t="n">
        <v>3331</v>
      </c>
      <c r="Y125" s="266" t="n">
        <v>917</v>
      </c>
      <c r="Z125" s="266" t="n">
        <v>2127</v>
      </c>
      <c r="AA125" s="266" t="n">
        <v>857</v>
      </c>
      <c r="AB125" s="266" t="n">
        <v>726</v>
      </c>
      <c r="AC125" s="266" t="n">
        <v>4627</v>
      </c>
      <c r="AD125" s="266" t="n">
        <v>838</v>
      </c>
      <c r="AE125" s="266" t="n">
        <v>813</v>
      </c>
      <c r="AF125" s="266" t="n">
        <v>767</v>
      </c>
      <c r="AG125" s="266" t="n">
        <v>761</v>
      </c>
      <c r="AH125" s="266" t="n">
        <v>3179</v>
      </c>
      <c r="AI125" s="266" t="n">
        <v>764</v>
      </c>
      <c r="AJ125" s="266" t="n">
        <v>827</v>
      </c>
      <c r="AK125" s="266" t="n">
        <v>826</v>
      </c>
      <c r="AL125" s="266" t="n">
        <v>852</v>
      </c>
      <c r="AM125" s="266" t="n">
        <v>3269</v>
      </c>
      <c r="AN125" s="266" t="n">
        <v>866</v>
      </c>
      <c r="AO125" s="266" t="n">
        <v>826</v>
      </c>
      <c r="AP125" s="266" t="n">
        <v>778</v>
      </c>
      <c r="AQ125" s="266" t="n">
        <v>749</v>
      </c>
      <c r="AR125" s="266" t="n">
        <v>3219</v>
      </c>
      <c r="AS125" s="266" t="n">
        <v>672</v>
      </c>
      <c r="AT125" s="266" t="n">
        <v>625</v>
      </c>
      <c r="AU125" s="266" t="n">
        <v>574</v>
      </c>
      <c r="AV125" s="266" t="n">
        <v>605</v>
      </c>
      <c r="AW125" s="266" t="n">
        <v>2476</v>
      </c>
      <c r="AX125" s="266" t="n">
        <v>499</v>
      </c>
      <c r="AY125" s="266" t="n">
        <v>497</v>
      </c>
      <c r="AZ125" s="266" t="n">
        <v>575</v>
      </c>
      <c r="BA125" s="266" t="n">
        <v>678</v>
      </c>
      <c r="BB125" s="266" t="n">
        <v>2249</v>
      </c>
      <c r="BC125" s="266" t="n">
        <v>633</v>
      </c>
      <c r="BD125" s="266" t="n">
        <v>698</v>
      </c>
      <c r="BE125" s="266" t="n">
        <v>727</v>
      </c>
      <c r="BF125" s="266" t="n">
        <v>794</v>
      </c>
      <c r="BG125" s="266" t="n">
        <v>2852</v>
      </c>
      <c r="BH125" s="266" t="n">
        <v>741</v>
      </c>
      <c r="BI125" s="266" t="n">
        <v>797</v>
      </c>
      <c r="BJ125" s="266" t="n">
        <v>958</v>
      </c>
      <c r="BK125" s="266" t="n">
        <v>881</v>
      </c>
      <c r="BL125" s="266" t="n">
        <v>3377</v>
      </c>
      <c r="BM125" s="266" t="n">
        <v>868</v>
      </c>
      <c r="BN125" s="266" t="n">
        <v>954</v>
      </c>
      <c r="BO125" s="266" t="n">
        <v>1154</v>
      </c>
      <c r="BP125" s="266" t="n">
        <v>836</v>
      </c>
      <c r="BQ125" s="266" t="n">
        <v>3812</v>
      </c>
      <c r="BR125" s="266" t="n">
        <v>844</v>
      </c>
      <c r="BS125" s="266" t="n">
        <v>910</v>
      </c>
      <c r="BT125" s="266" t="n">
        <v>897</v>
      </c>
      <c r="BU125" s="266" t="n">
        <v>964</v>
      </c>
      <c r="BV125" s="266" t="n">
        <v>3615</v>
      </c>
      <c r="BW125" s="266" t="n">
        <v>903</v>
      </c>
      <c r="BX125" s="266" t="n">
        <v>921</v>
      </c>
      <c r="BY125" s="263">
        <f>BY117*BY108</f>
        <v>974.453618036305</v>
      </c>
      <c r="BZ125" s="263">
        <f>BZ117*BZ108</f>
        <v>994.622123884002</v>
      </c>
      <c r="CA125" s="263">
        <f>SUM(BW125:BZ125)</f>
        <v>3793.07574192031</v>
      </c>
      <c r="CB125" s="263">
        <f>CB117*CB108</f>
        <v>4157.33795480414</v>
      </c>
      <c r="CC125" s="263">
        <f>CC117*CC108</f>
        <v>4399.69096600047</v>
      </c>
      <c r="CD125" s="263">
        <f>CD117*CD108</f>
        <v>4580.91418556787</v>
      </c>
      <c r="CE125" s="263">
        <f>CE117*CE108</f>
        <v>4806.76117122361</v>
      </c>
      <c r="CF125" s="263">
        <f>CF117*CF108</f>
        <v>5013.70534217992</v>
      </c>
      <c r="CG125" s="19" t="n"/>
      <c r="CI125" s="20">
        <f>IFERROR(IF(AND(CF125&gt;0,CA125&gt;0),(CF125/CA125)^(1/5)-1,"n/m"),"n/m")</f>
        <v>0.0573857623149052</v>
      </c>
      <c r="CJ125" s="20">
        <f>IFERROR(IF(AND(BV125&gt;0,AW125&gt;0),(BV125/AW125)^(1/5)-1,"n/m"),"n/m")</f>
        <v>0.0786276084542243</v>
      </c>
      <c r="CK125" s="20">
        <f>IFERROR(IF(AND(BV125&gt;0,X125&gt;0),(BV125/X125)^(1/10)-1,"n/m"),"n/m")</f>
        <v>0.00821549310174885</v>
      </c>
      <c r="CL125" s="20">
        <f>IFERROR(IF(AND(BV125&gt;0,C125&gt;0),(BV125/C125)^(1/19)-1,"n/m"),"n/m")</f>
        <v>0.00550379206177976</v>
      </c>
    </row>
    <row r="126" ht="15" customHeight="1" s="251">
      <c r="B126" s="25" t="inlineStr">
        <is>
          <t>Gain / (loss) on dispositions, net</t>
        </is>
      </c>
      <c r="C126" s="266" t="n">
        <v>-226</v>
      </c>
      <c r="D126" s="266" t="n">
        <v>38</v>
      </c>
      <c r="E126" s="266" t="n">
        <v>4</v>
      </c>
      <c r="F126" s="266" t="n">
        <v>-24</v>
      </c>
      <c r="G126" s="266" t="n">
        <v>6</v>
      </c>
      <c r="H126" s="266" t="n">
        <v>24</v>
      </c>
      <c r="I126" s="266" t="n">
        <v>4</v>
      </c>
      <c r="J126" s="266" t="n">
        <v>22</v>
      </c>
      <c r="K126" s="266" t="n">
        <v>0</v>
      </c>
      <c r="L126" s="266" t="n">
        <v>-1</v>
      </c>
      <c r="M126" s="266" t="n">
        <v>-1</v>
      </c>
      <c r="N126" s="266" t="n">
        <v>20</v>
      </c>
      <c r="O126" s="266" t="n">
        <v>0</v>
      </c>
      <c r="P126" s="266" t="n">
        <v>2</v>
      </c>
      <c r="Q126" s="266" t="n">
        <v>0</v>
      </c>
      <c r="R126" s="266" t="n">
        <v>-12</v>
      </c>
      <c r="S126" s="266" t="n">
        <v>-10</v>
      </c>
      <c r="T126" s="266" t="n">
        <v>1</v>
      </c>
      <c r="U126" s="266" t="n">
        <v>0</v>
      </c>
      <c r="V126" s="266" t="n">
        <v>-1</v>
      </c>
      <c r="W126" s="266" t="n">
        <v>-1</v>
      </c>
      <c r="X126" s="266" t="n">
        <v>-1</v>
      </c>
      <c r="Y126" s="266" t="n">
        <v>4</v>
      </c>
      <c r="Z126" s="266" t="n">
        <v>-13</v>
      </c>
      <c r="AA126" s="266" t="n">
        <v>-1</v>
      </c>
      <c r="AB126" s="266" t="n">
        <v>3</v>
      </c>
      <c r="AC126" s="266" t="n">
        <v>-7</v>
      </c>
      <c r="AD126" s="266" t="n">
        <v>2</v>
      </c>
      <c r="AE126" s="266" t="n">
        <v>-2</v>
      </c>
      <c r="AF126" s="266" t="n">
        <v>0</v>
      </c>
      <c r="AG126" s="266" t="n">
        <v>21</v>
      </c>
      <c r="AH126" s="266" t="n">
        <v>21</v>
      </c>
      <c r="AI126" s="266" t="n">
        <v>4</v>
      </c>
      <c r="AJ126" s="266" t="n">
        <v>3</v>
      </c>
      <c r="AK126" s="266" t="n">
        <v>69</v>
      </c>
      <c r="AL126" s="266" t="n">
        <v>-1</v>
      </c>
      <c r="AM126" s="266" t="n">
        <v>75</v>
      </c>
      <c r="AN126" s="266" t="n">
        <v>108</v>
      </c>
      <c r="AO126" s="266" t="n">
        <v>192</v>
      </c>
      <c r="AP126" s="266" t="n">
        <v>-4</v>
      </c>
      <c r="AQ126" s="266" t="n">
        <v>395</v>
      </c>
      <c r="AR126" s="266" t="n">
        <v>691</v>
      </c>
      <c r="AS126" s="266" t="n">
        <v>54</v>
      </c>
      <c r="AT126" s="266" t="n">
        <v>38</v>
      </c>
      <c r="AU126" s="266" t="n">
        <v>108</v>
      </c>
      <c r="AV126" s="266" t="n">
        <v>2</v>
      </c>
      <c r="AW126" s="266" t="n">
        <v>202</v>
      </c>
      <c r="AX126" s="266" t="n">
        <v>2</v>
      </c>
      <c r="AY126" s="266" t="n">
        <v>112</v>
      </c>
      <c r="AZ126" s="266" t="n">
        <v>169</v>
      </c>
      <c r="BA126" s="266" t="n">
        <v>-6</v>
      </c>
      <c r="BB126" s="266" t="n">
        <v>277</v>
      </c>
      <c r="BC126" s="266" t="n">
        <v>1</v>
      </c>
      <c r="BD126" s="266" t="n">
        <v>1</v>
      </c>
      <c r="BE126" s="266" t="n">
        <v>0</v>
      </c>
      <c r="BF126" s="266" t="n">
        <v>4</v>
      </c>
      <c r="BG126" s="266" t="n">
        <v>6</v>
      </c>
      <c r="BH126" s="266" t="n">
        <v>0</v>
      </c>
      <c r="BI126" s="266" t="n">
        <v>1</v>
      </c>
      <c r="BJ126" s="266" t="n">
        <v>0</v>
      </c>
      <c r="BK126" s="266" t="n">
        <v>1</v>
      </c>
      <c r="BL126" s="266" t="n">
        <v>2</v>
      </c>
      <c r="BM126" s="266" t="n">
        <v>0</v>
      </c>
      <c r="BN126" s="266" t="n">
        <v>5</v>
      </c>
      <c r="BO126" s="266" t="n">
        <v>0</v>
      </c>
      <c r="BP126" s="266" t="n">
        <v>41</v>
      </c>
      <c r="BQ126" s="266" t="n">
        <v>46</v>
      </c>
      <c r="BR126" s="266" t="n">
        <v>-3</v>
      </c>
      <c r="BS126" s="266" t="n">
        <v>67</v>
      </c>
      <c r="BT126" s="266" t="n">
        <v>-1</v>
      </c>
      <c r="BU126" s="266" t="n">
        <v>9609</v>
      </c>
      <c r="BV126" s="266" t="n">
        <v>9672</v>
      </c>
      <c r="BW126" s="266" t="n">
        <v>12</v>
      </c>
      <c r="BX126" s="266" t="n">
        <v>67</v>
      </c>
      <c r="BY126" s="263">
        <f>0</f>
        <v>0</v>
      </c>
      <c r="BZ126" s="263">
        <f>0</f>
        <v>0</v>
      </c>
      <c r="CA126" s="263">
        <f>SUM(BW126:BZ126)</f>
        <v>79</v>
      </c>
      <c r="CB126" s="263">
        <f>0</f>
        <v>0</v>
      </c>
      <c r="CC126" s="263">
        <f>0</f>
        <v>0</v>
      </c>
      <c r="CD126" s="263">
        <f>0</f>
        <v>0</v>
      </c>
      <c r="CE126" s="263">
        <f>0</f>
        <v>0</v>
      </c>
      <c r="CF126" s="263">
        <f>0</f>
        <v>0</v>
      </c>
      <c r="CG126" s="19" t="inlineStr">
        <is>
          <t>FY2025: $9.6bn gain on the Digital Aviation Solutions divestiture (Q4-25; inside BGS earnings, in core EPS).</t>
        </is>
      </c>
    </row>
    <row r="127" ht="15" customHeight="1" s="251">
      <c r="B127" s="25" t="inlineStr">
        <is>
          <t>Other operating items shown separately (FY2006: settlement with the U.S. Department of Justice, net)</t>
        </is>
      </c>
      <c r="C127" s="266" t="n">
        <v>571</v>
      </c>
      <c r="D127" s="266" t="n">
        <v>0</v>
      </c>
      <c r="E127" s="266" t="n">
        <v>0</v>
      </c>
      <c r="F127" s="266" t="n">
        <v>0</v>
      </c>
      <c r="G127" s="266" t="n">
        <v>0</v>
      </c>
      <c r="H127" s="266" t="n">
        <v>0</v>
      </c>
      <c r="I127" s="266" t="n">
        <v>0</v>
      </c>
      <c r="J127" s="266" t="n">
        <v>0</v>
      </c>
      <c r="K127" s="266" t="n">
        <v>0</v>
      </c>
      <c r="L127" s="266" t="n">
        <v>0</v>
      </c>
      <c r="M127" s="266" t="n">
        <v>0</v>
      </c>
      <c r="N127" s="266" t="n">
        <v>0</v>
      </c>
      <c r="O127" s="266" t="n">
        <v>0</v>
      </c>
      <c r="P127" s="266" t="n">
        <v>0</v>
      </c>
      <c r="Q127" s="266" t="n">
        <v>0</v>
      </c>
      <c r="R127" s="266" t="n">
        <v>0</v>
      </c>
      <c r="S127" s="266" t="n">
        <v>0</v>
      </c>
      <c r="T127" s="266" t="n">
        <v>0</v>
      </c>
      <c r="U127" s="266" t="n">
        <v>0</v>
      </c>
      <c r="V127" s="266" t="n">
        <v>0</v>
      </c>
      <c r="W127" s="266" t="n">
        <v>0</v>
      </c>
      <c r="X127" s="266" t="n">
        <v>0</v>
      </c>
      <c r="Y127" s="266" t="n">
        <v>0</v>
      </c>
      <c r="Z127" s="266" t="n">
        <v>0</v>
      </c>
      <c r="AA127" s="266" t="n">
        <v>0</v>
      </c>
      <c r="AB127" s="266" t="n">
        <v>0</v>
      </c>
      <c r="AC127" s="266" t="n">
        <v>0</v>
      </c>
      <c r="AD127" s="266" t="n">
        <v>0</v>
      </c>
      <c r="AE127" s="266" t="n">
        <v>0</v>
      </c>
      <c r="AF127" s="266" t="n">
        <v>0</v>
      </c>
      <c r="AG127" s="266" t="n">
        <v>0</v>
      </c>
      <c r="AH127" s="266" t="n">
        <v>0</v>
      </c>
      <c r="AI127" s="266" t="n">
        <v>0</v>
      </c>
      <c r="AJ127" s="266" t="n">
        <v>0</v>
      </c>
      <c r="AK127" s="266" t="n">
        <v>0</v>
      </c>
      <c r="AL127" s="266" t="n">
        <v>0</v>
      </c>
      <c r="AM127" s="266" t="n">
        <v>0</v>
      </c>
      <c r="AN127" s="266" t="n">
        <v>0</v>
      </c>
      <c r="AO127" s="266" t="n">
        <v>0</v>
      </c>
      <c r="AP127" s="266" t="n">
        <v>0</v>
      </c>
      <c r="AQ127" s="266" t="n">
        <v>0</v>
      </c>
      <c r="AR127" s="266" t="n">
        <v>0</v>
      </c>
      <c r="AS127" s="266" t="n">
        <v>0</v>
      </c>
      <c r="AT127" s="266" t="n">
        <v>0</v>
      </c>
      <c r="AU127" s="266" t="n">
        <v>0</v>
      </c>
      <c r="AV127" s="266" t="n">
        <v>0</v>
      </c>
      <c r="AW127" s="266" t="n">
        <v>0</v>
      </c>
      <c r="AX127" s="266" t="n">
        <v>0</v>
      </c>
      <c r="AY127" s="266" t="n">
        <v>0</v>
      </c>
      <c r="AZ127" s="266" t="n">
        <v>0</v>
      </c>
      <c r="BA127" s="266" t="n">
        <v>0</v>
      </c>
      <c r="BB127" s="266" t="n">
        <v>0</v>
      </c>
      <c r="BC127" s="266" t="n">
        <v>0</v>
      </c>
      <c r="BD127" s="266" t="n">
        <v>0</v>
      </c>
      <c r="BE127" s="266" t="n">
        <v>0</v>
      </c>
      <c r="BF127" s="266" t="n">
        <v>0</v>
      </c>
      <c r="BG127" s="266" t="n">
        <v>0</v>
      </c>
      <c r="BH127" s="266" t="n">
        <v>0</v>
      </c>
      <c r="BI127" s="266" t="n">
        <v>0</v>
      </c>
      <c r="BJ127" s="266" t="n">
        <v>0</v>
      </c>
      <c r="BK127" s="266" t="n">
        <v>0</v>
      </c>
      <c r="BL127" s="266" t="n">
        <v>0</v>
      </c>
      <c r="BM127" s="266" t="n">
        <v>0</v>
      </c>
      <c r="BN127" s="266" t="n">
        <v>0</v>
      </c>
      <c r="BO127" s="266" t="n">
        <v>0</v>
      </c>
      <c r="BP127" s="266" t="n">
        <v>0</v>
      </c>
      <c r="BQ127" s="266" t="n">
        <v>0</v>
      </c>
      <c r="BR127" s="266" t="n">
        <v>0</v>
      </c>
      <c r="BS127" s="266" t="n">
        <v>0</v>
      </c>
      <c r="BT127" s="266" t="n">
        <v>0</v>
      </c>
      <c r="BU127" s="266" t="n">
        <v>0</v>
      </c>
      <c r="BV127" s="266" t="n">
        <v>0</v>
      </c>
      <c r="BW127" s="266" t="n">
        <v>0</v>
      </c>
      <c r="BX127" s="266" t="n">
        <v>0</v>
      </c>
      <c r="BY127" s="263">
        <f>0</f>
        <v>0</v>
      </c>
      <c r="BZ127" s="263">
        <f>0</f>
        <v>0</v>
      </c>
      <c r="CA127" s="263">
        <f>SUM(BW127:BZ127)</f>
        <v>0</v>
      </c>
      <c r="CB127" s="263">
        <f>0</f>
        <v>0</v>
      </c>
      <c r="CC127" s="263">
        <f>0</f>
        <v>0</v>
      </c>
      <c r="CD127" s="263">
        <f>0</f>
        <v>0</v>
      </c>
      <c r="CE127" s="263">
        <f>0</f>
        <v>0</v>
      </c>
      <c r="CF127" s="263">
        <f>0</f>
        <v>0</v>
      </c>
      <c r="CG127" s="19" t="n"/>
    </row>
    <row r="128" ht="15" customHeight="1" s="251">
      <c r="B128" s="55" t="inlineStr">
        <is>
          <t>Earnings / (loss) from operations</t>
        </is>
      </c>
      <c r="C128" s="275">
        <f>C121+C123-C124-C125+C126-C127</f>
        <v>3014</v>
      </c>
      <c r="D128" s="275">
        <f>D121+D123-D124-D125+D126-D127</f>
        <v>5830</v>
      </c>
      <c r="E128" s="275">
        <f>E121+E123-E124-E125+E126-E127</f>
        <v>3988</v>
      </c>
      <c r="F128" s="275">
        <f>F121+F123-F124-F125+F126-F127</f>
        <v>2096</v>
      </c>
      <c r="G128" s="275">
        <f>G121+G123-G124-G125+G126-G127</f>
        <v>4971</v>
      </c>
      <c r="H128" s="275">
        <f>H121+H123-H124-H125+H126-H127</f>
        <v>5844</v>
      </c>
      <c r="I128" s="275">
        <f>I121+I123-I124-I125+I126-I127</f>
        <v>6311</v>
      </c>
      <c r="J128" s="275">
        <f>J121+J123-J124-J125+J126-J127</f>
        <v>1528</v>
      </c>
      <c r="K128" s="275">
        <f>K121+K123-K124-K125+K126-K127</f>
        <v>1716</v>
      </c>
      <c r="L128" s="275">
        <f>L121+L123-L124-L125+L126-L127</f>
        <v>1803</v>
      </c>
      <c r="M128" s="275">
        <f>M121+M123-M124-M125+M126-M127</f>
        <v>1515</v>
      </c>
      <c r="N128" s="275">
        <f>N121+N123-N124-N125+N126-N127</f>
        <v>6562</v>
      </c>
      <c r="O128" s="275">
        <f>O121+O123-O124-O125+O126-O127</f>
        <v>1542</v>
      </c>
      <c r="P128" s="275">
        <f>P121+P123-P124-P125+P126-P127</f>
        <v>1787</v>
      </c>
      <c r="Q128" s="275">
        <f>Q121+Q123-Q124-Q125+Q126-Q127</f>
        <v>2119</v>
      </c>
      <c r="R128" s="275">
        <f>R121+R123-R124-R125+R126-R127</f>
        <v>2025</v>
      </c>
      <c r="S128" s="275">
        <f>S121+S123-S124-S125+S126-S127</f>
        <v>7473</v>
      </c>
      <c r="T128" s="275">
        <f>T121+T123-T124-T125+T126-T127</f>
        <v>2019</v>
      </c>
      <c r="U128" s="275">
        <f>U121+U123-U124-U125+U126-U127</f>
        <v>1683</v>
      </c>
      <c r="V128" s="275">
        <f>V121+V123-V124-V125+V126-V127</f>
        <v>2580</v>
      </c>
      <c r="W128" s="275">
        <f>W121+W123-W124-W125+W126-W127</f>
        <v>1161</v>
      </c>
      <c r="X128" s="275">
        <f>X121+X123-X124-X125+X126-X127</f>
        <v>7443</v>
      </c>
      <c r="Y128" s="275">
        <f>Y121+Y123-Y124-Y125+Y126-Y127</f>
        <v>1788</v>
      </c>
      <c r="Z128" s="275">
        <f>Z121+Z123-Z124-Z125+Z126-Z127</f>
        <v>-419</v>
      </c>
      <c r="AA128" s="275">
        <f>AA121+AA123-AA124-AA125+AA126-AA127</f>
        <v>2282</v>
      </c>
      <c r="AB128" s="275">
        <f>AB121+AB123-AB124-AB125+AB126-AB127</f>
        <v>2183</v>
      </c>
      <c r="AC128" s="275">
        <f>AC121+AC123-AC124-AC125+AC126-AC127</f>
        <v>5834</v>
      </c>
      <c r="AD128" s="275">
        <f>AD121+AD123-AD124-AD125+AD126-AD127</f>
        <v>2024</v>
      </c>
      <c r="AE128" s="275">
        <f>AE121+AE123-AE124-AE125+AE126-AE127</f>
        <v>2535</v>
      </c>
      <c r="AF128" s="275">
        <f>AF121+AF123-AF124-AF125+AF126-AF127</f>
        <v>2689</v>
      </c>
      <c r="AG128" s="275">
        <f>AG121+AG123-AG124-AG125+AG126-AG127</f>
        <v>3030</v>
      </c>
      <c r="AH128" s="275">
        <f>AH121+AH123-AH124-AH125+AH126-AH127</f>
        <v>10278</v>
      </c>
      <c r="AI128" s="275">
        <f>AI121+AI123-AI124-AI125+AI126-AI127</f>
        <v>2875</v>
      </c>
      <c r="AJ128" s="275">
        <f>AJ121+AJ123-AJ124-AJ125+AJ126-AJ127</f>
        <v>2710</v>
      </c>
      <c r="AK128" s="275">
        <f>AK121+AK123-AK124-AK125+AK126-AK127</f>
        <v>2227</v>
      </c>
      <c r="AL128" s="275">
        <f>AL121+AL123-AL124-AL125+AL126-AL127</f>
        <v>4175</v>
      </c>
      <c r="AM128" s="275">
        <f>AM121+AM123-AM124-AM125+AM126-AM127</f>
        <v>11987</v>
      </c>
      <c r="AN128" s="275">
        <f>AN121+AN123-AN124-AN125+AN126-AN127</f>
        <v>2350</v>
      </c>
      <c r="AO128" s="275">
        <f>AO121+AO123-AO124-AO125+AO126-AO127</f>
        <v>-3380</v>
      </c>
      <c r="AP128" s="275">
        <f>AP121+AP123-AP124-AP125+AP126-AP127</f>
        <v>1259</v>
      </c>
      <c r="AQ128" s="275">
        <f>AQ121+AQ123-AQ124-AQ125+AQ126-AQ127</f>
        <v>-2204</v>
      </c>
      <c r="AR128" s="275">
        <f>AR121+AR123-AR124-AR125+AR126-AR127</f>
        <v>-1975</v>
      </c>
      <c r="AS128" s="275">
        <f>AS121+AS123-AS124-AS125+AS126-AS127</f>
        <v>-1353</v>
      </c>
      <c r="AT128" s="275">
        <f>AT121+AT123-AT124-AT125+AT126-AT127</f>
        <v>-2964</v>
      </c>
      <c r="AU128" s="275">
        <f>AU121+AU123-AU124-AU125+AU126-AU127</f>
        <v>-401</v>
      </c>
      <c r="AV128" s="275">
        <f>AV121+AV123-AV124-AV125+AV126-AV127</f>
        <v>-8049</v>
      </c>
      <c r="AW128" s="275">
        <f>AW121+AW123-AW124-AW125+AW126-AW127</f>
        <v>-12767</v>
      </c>
      <c r="AX128" s="275">
        <f>AX121+AX123-AX124-AX125+AX126-AX127</f>
        <v>-83</v>
      </c>
      <c r="AY128" s="275">
        <f>AY121+AY123-AY124-AY125+AY126-AY127</f>
        <v>1023</v>
      </c>
      <c r="AZ128" s="275">
        <f>AZ121+AZ123-AZ124-AZ125+AZ126-AZ127</f>
        <v>329</v>
      </c>
      <c r="BA128" s="275">
        <f>BA121+BA123-BA124-BA125+BA126-BA127</f>
        <v>-4171</v>
      </c>
      <c r="BB128" s="275">
        <f>BB121+BB123-BB124-BB125+BB126-BB127</f>
        <v>-2902</v>
      </c>
      <c r="BC128" s="275">
        <f>BC121+BC123-BC124-BC125+BC126-BC127</f>
        <v>-1169</v>
      </c>
      <c r="BD128" s="275">
        <f>BD121+BD123-BD124-BD125+BD126-BD127</f>
        <v>774</v>
      </c>
      <c r="BE128" s="275">
        <f>BE121+BE123-BE124-BE125+BE126-BE127</f>
        <v>-2799</v>
      </c>
      <c r="BF128" s="275">
        <f>BF121+BF123-BF124-BF125+BF126-BF127</f>
        <v>-353</v>
      </c>
      <c r="BG128" s="275">
        <f>BG121+BG123-BG124-BG125+BG126-BG127</f>
        <v>-3547</v>
      </c>
      <c r="BH128" s="275">
        <f>BH121+BH123-BH124-BH125+BH126-BH127</f>
        <v>-149</v>
      </c>
      <c r="BI128" s="275">
        <f>BI121+BI123-BI124-BI125+BI126-BI127</f>
        <v>-99</v>
      </c>
      <c r="BJ128" s="275">
        <f>BJ121+BJ123-BJ124-BJ125+BJ126-BJ127</f>
        <v>-808</v>
      </c>
      <c r="BK128" s="275">
        <f>BK121+BK123-BK124-BK125+BK126-BK127</f>
        <v>283</v>
      </c>
      <c r="BL128" s="275">
        <f>BL121+BL123-BL124-BL125+BL126-BL127</f>
        <v>-773</v>
      </c>
      <c r="BM128" s="275">
        <f>BM121+BM123-BM124-BM125+BM126-BM127</f>
        <v>-86</v>
      </c>
      <c r="BN128" s="275">
        <f>BN121+BN123-BN124-BN125+BN126-BN127</f>
        <v>-1090</v>
      </c>
      <c r="BO128" s="275">
        <f>BO121+BO123-BO124-BO125+BO126-BO127</f>
        <v>-5761</v>
      </c>
      <c r="BP128" s="275">
        <f>BP121+BP123-BP124-BP125+BP126-BP127</f>
        <v>-3770</v>
      </c>
      <c r="BQ128" s="275">
        <f>BQ121+BQ123-BQ124-BQ125+BQ126-BQ127</f>
        <v>-10707</v>
      </c>
      <c r="BR128" s="275">
        <f>BR121+BR123-BR124-BR125+BR126-BR127</f>
        <v>461</v>
      </c>
      <c r="BS128" s="275">
        <f>BS121+BS123-BS124-BS125+BS126-BS127</f>
        <v>-176</v>
      </c>
      <c r="BT128" s="275">
        <f>BT121+BT123-BT124-BT125+BT126-BT127</f>
        <v>-4781</v>
      </c>
      <c r="BU128" s="275">
        <f>BU121+BU123-BU124-BU125+BU126-BU127</f>
        <v>8777</v>
      </c>
      <c r="BV128" s="275">
        <f>BV121+BV123-BV124-BV125+BV126-BV127</f>
        <v>4281</v>
      </c>
      <c r="BW128" s="275">
        <f>BW121+BW123-BW124-BW125+BW126-BW127</f>
        <v>448</v>
      </c>
      <c r="BX128" s="275">
        <f>BX121+BX123-BX124-BX125+BX126-BX127</f>
        <v>156</v>
      </c>
      <c r="BY128" s="275">
        <f>BY85</f>
        <v>721.932405224858</v>
      </c>
      <c r="BZ128" s="275">
        <f>BZ85</f>
        <v>711.179521182638</v>
      </c>
      <c r="CA128" s="275">
        <f>CA85</f>
        <v>2037.1119264075</v>
      </c>
      <c r="CB128" s="275">
        <f>CB85</f>
        <v>6083.17940496081</v>
      </c>
      <c r="CC128" s="275">
        <f>CC85</f>
        <v>8726.93269284913</v>
      </c>
      <c r="CD128" s="275">
        <f>CD85</f>
        <v>11549.9432564531</v>
      </c>
      <c r="CE128" s="275">
        <f>CE85</f>
        <v>13673.1429101064</v>
      </c>
      <c r="CF128" s="275">
        <f>CF85</f>
        <v>15023.1715260069</v>
      </c>
      <c r="CG128" s="153" t="inlineStr">
        <is>
          <t>Forecast = core operating earnings + FAS/CAS service cost adjustment (segment build).</t>
        </is>
      </c>
      <c r="CI128" s="20">
        <f>IFERROR(IF(AND(CF128&gt;0,CA128&gt;0),(CF128/CA128)^(1/5)-1,"n/m"),"n/m")</f>
        <v>0.491246189264686</v>
      </c>
      <c r="CJ128" s="20" t="str">
        <f>IFERROR(IF(AND(BV128&gt;0,AW128&gt;0),(BV128/AW128)^(1/5)-1,"n/m"),"n/m")</f>
        <v>n/m</v>
      </c>
      <c r="CK128" s="20">
        <f>IFERROR(IF(AND(BV128&gt;0,X128&gt;0),(BV128/X128)^(1/10)-1,"n/m"),"n/m")</f>
        <v>-0.0538070215693555</v>
      </c>
      <c r="CL128" s="20">
        <f>IFERROR(IF(AND(BV128&gt;0,C128&gt;0),(BV128/C128)^(1/19)-1,"n/m"),"n/m")</f>
        <v>0.0186410103616754</v>
      </c>
    </row>
    <row r="129" ht="15" customHeight="1" s="251">
      <c r="B129" s="25" t="inlineStr">
        <is>
          <t xml:space="preserve">  Operating margin %</t>
        </is>
      </c>
      <c r="C129" s="215">
        <f>IF(AND(ISNUMBER(C128),ISNUMBER(C117)),IFERROR(C128/C117,""),"")</f>
        <v>0.0489842353323582</v>
      </c>
      <c r="D129" s="215">
        <f>IF(AND(ISNUMBER(D128),ISNUMBER(D117)),IFERROR(D128/D117,""),"")</f>
        <v>0.0878183981803666</v>
      </c>
      <c r="E129" s="215">
        <f>IF(AND(ISNUMBER(E128),ISNUMBER(E117)),IFERROR(E128/E117,""),"")</f>
        <v>0.0654575297496922</v>
      </c>
      <c r="F129" s="215">
        <f>IF(AND(ISNUMBER(F128),ISNUMBER(F117)),IFERROR(F128/F117,""),"")</f>
        <v>0.0306966798963108</v>
      </c>
      <c r="G129" s="215">
        <f>IF(AND(ISNUMBER(G128),ISNUMBER(G117)),IFERROR(G128/G117,""),"")</f>
        <v>0.0773022735048052</v>
      </c>
      <c r="H129" s="215">
        <f>IF(AND(ISNUMBER(H128),ISNUMBER(H117)),IFERROR(H128/H117,""),"")</f>
        <v>0.0850221866589074</v>
      </c>
      <c r="I129" s="215">
        <f>IF(AND(ISNUMBER(I128),ISNUMBER(I117)),IFERROR(I128/I117,""),"")</f>
        <v>0.077247913045607</v>
      </c>
      <c r="J129" s="215">
        <f>IF(AND(ISNUMBER(J128),ISNUMBER(J117)),IFERROR(J128/J117,""),"")</f>
        <v>0.0808765151114169</v>
      </c>
      <c r="K129" s="215">
        <f>IF(AND(ISNUMBER(K128),ISNUMBER(K117)),IFERROR(K128/K117,""),"")</f>
        <v>0.0786614714645886</v>
      </c>
      <c r="L129" s="215">
        <f>IF(AND(ISNUMBER(L128),ISNUMBER(L117)),IFERROR(L128/L117,""),"")</f>
        <v>0.0814731134206959</v>
      </c>
      <c r="M129" s="215">
        <f>IF(AND(ISNUMBER(M128),ISNUMBER(M117)),IFERROR(M128/M117,""),"")</f>
        <v>0.0636956064746689</v>
      </c>
      <c r="N129" s="215">
        <f>IF(AND(ISNUMBER(N128),ISNUMBER(N117)),IFERROR(N128/N117,""),"")</f>
        <v>0.0757535527515787</v>
      </c>
      <c r="O129" s="215">
        <f>IF(AND(ISNUMBER(O128),ISNUMBER(O117)),IFERROR(O128/O117,""),"")</f>
        <v>0.0753481553872465</v>
      </c>
      <c r="P129" s="215">
        <f>IF(AND(ISNUMBER(P128),ISNUMBER(P117)),IFERROR(P128/P117,""),"")</f>
        <v>0.0810614651848492</v>
      </c>
      <c r="Q129" s="215">
        <f>IF(AND(ISNUMBER(Q128),ISNUMBER(Q117)),IFERROR(Q128/Q117,""),"")</f>
        <v>0.0890935082408342</v>
      </c>
      <c r="R129" s="215">
        <f>IF(AND(ISNUMBER(R128),ISNUMBER(R117)),IFERROR(R128/R117,""),"")</f>
        <v>0.0827611574301128</v>
      </c>
      <c r="S129" s="215">
        <f>IF(AND(ISNUMBER(S128),ISNUMBER(S117)),IFERROR(S128/S117,""),"")</f>
        <v>0.0823362200039664</v>
      </c>
      <c r="T129" s="215">
        <f>IF(AND(ISNUMBER(T128),ISNUMBER(T117)),IFERROR(T128/T117,""),"")</f>
        <v>0.0911553569009888</v>
      </c>
      <c r="U129" s="215">
        <f>IF(AND(ISNUMBER(U128),ISNUMBER(U117)),IFERROR(U128/U117,""),"")</f>
        <v>0.0685735240190686</v>
      </c>
      <c r="V129" s="215">
        <f>IF(AND(ISNUMBER(V128),ISNUMBER(V117)),IFERROR(V128/V117,""),"")</f>
        <v>0.0998104375411041</v>
      </c>
      <c r="W129" s="215">
        <f>IF(AND(ISNUMBER(W128),ISNUMBER(W117)),IFERROR(W128/W117,""),"")</f>
        <v>0.0492512620370763</v>
      </c>
      <c r="X129" s="215">
        <f>IF(AND(ISNUMBER(X128),ISNUMBER(X117)),IFERROR(X128/X117,""),"")</f>
        <v>0.077439290842125</v>
      </c>
      <c r="Y129" s="215">
        <f>IF(AND(ISNUMBER(Y128),ISNUMBER(Y117)),IFERROR(Y128/Y117,""),"")</f>
        <v>0.0790031813361612</v>
      </c>
      <c r="Z129" s="215">
        <f>IF(AND(ISNUMBER(Z128),ISNUMBER(Z117)),IFERROR(Z128/Z117,""),"")</f>
        <v>-0.0169258735608968</v>
      </c>
      <c r="AA129" s="215">
        <f>IF(AND(ISNUMBER(AA128),ISNUMBER(AA117)),IFERROR(AA128/AA117,""),"")</f>
        <v>0.0954891622729936</v>
      </c>
      <c r="AB129" s="215">
        <f>IF(AND(ISNUMBER(AB128),ISNUMBER(AB117)),IFERROR(AB128/AB117,""),"")</f>
        <v>0.093747315983853</v>
      </c>
      <c r="AC129" s="215">
        <f>IF(AND(ISNUMBER(AC128),ISNUMBER(AC117)),IFERROR(AC128/AC117,""),"")</f>
        <v>0.0616891013101268</v>
      </c>
      <c r="AD129" s="215">
        <f>IF(AND(ISNUMBER(AD128),ISNUMBER(AD117)),IFERROR(AD128/AD117,""),"")</f>
        <v>0.0964912280701754</v>
      </c>
      <c r="AE129" s="215">
        <f>IF(AND(ISNUMBER(AE128),ISNUMBER(AE117)),IFERROR(AE128/AE117,""),"")</f>
        <v>0.111482475042878</v>
      </c>
      <c r="AF129" s="215">
        <f>IF(AND(ISNUMBER(AF128),ISNUMBER(AF117)),IFERROR(AF128/AF117,""),"")</f>
        <v>0.11061746678185</v>
      </c>
      <c r="AG129" s="215">
        <f>IF(AND(ISNUMBER(AG128),ISNUMBER(AG117)),IFERROR(AG128/AG117,""),"")</f>
        <v>0.119441816461684</v>
      </c>
      <c r="AH129" s="215">
        <f>IF(AND(ISNUMBER(AH128),ISNUMBER(AH117)),IFERROR(AH128/AH117,""),"")</f>
        <v>0.110052252869625</v>
      </c>
      <c r="AI129" s="215">
        <f>IF(AND(ISNUMBER(AI128),ISNUMBER(AI117)),IFERROR(AI128/AI117,""),"")</f>
        <v>0.122957830810025</v>
      </c>
      <c r="AJ129" s="215">
        <f>IF(AND(ISNUMBER(AJ128),ISNUMBER(AJ117)),IFERROR(AJ128/AJ117,""),"")</f>
        <v>0.111715722648199</v>
      </c>
      <c r="AK129" s="215">
        <f>IF(AND(ISNUMBER(AK128),ISNUMBER(AK117)),IFERROR(AK128/AK117,""),"")</f>
        <v>0.0885627932872027</v>
      </c>
      <c r="AL129" s="215">
        <f>IF(AND(ISNUMBER(AL128),ISNUMBER(AL117)),IFERROR(AL128/AL117,""),"")</f>
        <v>0.14731307999012</v>
      </c>
      <c r="AM129" s="215">
        <f>IF(AND(ISNUMBER(AM128),ISNUMBER(AM117)),IFERROR(AM128/AM117,""),"")</f>
        <v>0.118534120462389</v>
      </c>
      <c r="AN129" s="215">
        <f>IF(AND(ISNUMBER(AN128),ISNUMBER(AN117)),IFERROR(AN128/AN117,""),"")</f>
        <v>0.102543962996902</v>
      </c>
      <c r="AO129" s="215">
        <f>IF(AND(ISNUMBER(AO128),ISNUMBER(AO117)),IFERROR(AO128/AO117,""),"")</f>
        <v>-0.21458954986985</v>
      </c>
      <c r="AP129" s="215">
        <f>IF(AND(ISNUMBER(AP128),ISNUMBER(AP117)),IFERROR(AP128/AP117,""),"")</f>
        <v>0.063013013013013</v>
      </c>
      <c r="AQ129" s="215">
        <f>IF(AND(ISNUMBER(AQ128),ISNUMBER(AQ117)),IFERROR(AQ128/AQ117,""),"")</f>
        <v>-0.12305287253643</v>
      </c>
      <c r="AR129" s="215">
        <f>IF(AND(ISNUMBER(AR128),ISNUMBER(AR117)),IFERROR(AR128/AR117,""),"")</f>
        <v>-0.0257970976632401</v>
      </c>
      <c r="AS129" s="215">
        <f>IF(AND(ISNUMBER(AS128),ISNUMBER(AS117)),IFERROR(AS128/AS117,""),"")</f>
        <v>-0.0800212916962385</v>
      </c>
      <c r="AT129" s="215">
        <f>IF(AND(ISNUMBER(AT128),ISNUMBER(AT117)),IFERROR(AT128/AT117,""),"")</f>
        <v>-0.251037520115186</v>
      </c>
      <c r="AU129" s="215">
        <f>IF(AND(ISNUMBER(AU128),ISNUMBER(AU117)),IFERROR(AU128/AU117,""),"")</f>
        <v>-0.0283612702454205</v>
      </c>
      <c r="AV129" s="215">
        <f>IF(AND(ISNUMBER(AV128),ISNUMBER(AV117)),IFERROR(AV128/AV117,""),"")</f>
        <v>-0.525940930475693</v>
      </c>
      <c r="AW129" s="215">
        <f>IF(AND(ISNUMBER(AW128),ISNUMBER(AW117)),IFERROR(AW128/AW117,""),"")</f>
        <v>-0.21952267959696</v>
      </c>
      <c r="AX129" s="215">
        <f>IF(AND(ISNUMBER(AX128),ISNUMBER(AX117)),IFERROR(AX128/AX117,""),"")</f>
        <v>-0.00545442597095354</v>
      </c>
      <c r="AY129" s="215">
        <f>IF(AND(ISNUMBER(AY128),ISNUMBER(AY117)),IFERROR(AY128/AY117,""),"")</f>
        <v>0.0601835510060007</v>
      </c>
      <c r="AZ129" s="215">
        <f>IF(AND(ISNUMBER(AZ128),ISNUMBER(AZ117)),IFERROR(AZ128/AZ117,""),"")</f>
        <v>0.0215342322293494</v>
      </c>
      <c r="BA129" s="215">
        <f>IF(AND(ISNUMBER(BA128),ISNUMBER(BA117)),IFERROR(BA128/BA117,""),"")</f>
        <v>-0.281957682687758</v>
      </c>
      <c r="BB129" s="215">
        <f>IF(AND(ISNUMBER(BB128),ISNUMBER(BB117)),IFERROR(BB128/BB117,""),"")</f>
        <v>-0.0465915293966542</v>
      </c>
      <c r="BC129" s="215">
        <f>IF(AND(ISNUMBER(BC128),ISNUMBER(BC117)),IFERROR(BC128/BC117,""),"")</f>
        <v>-0.0835537131012794</v>
      </c>
      <c r="BD129" s="215">
        <f>IF(AND(ISNUMBER(BD128),ISNUMBER(BD117)),IFERROR(BD128/BD117,""),"")</f>
        <v>0.0464000959175109</v>
      </c>
      <c r="BE129" s="215">
        <f>IF(AND(ISNUMBER(BE128),ISNUMBER(BE117)),IFERROR(BE128/BE117,""),"")</f>
        <v>-0.17541990473803</v>
      </c>
      <c r="BF129" s="215">
        <f>IF(AND(ISNUMBER(BF128),ISNUMBER(BF117)),IFERROR(BF128/BF117,""),"")</f>
        <v>-0.0176676676676677</v>
      </c>
      <c r="BG129" s="215">
        <f>IF(AND(ISNUMBER(BG128),ISNUMBER(BG117)),IFERROR(BG128/BG117,""),"")</f>
        <v>-0.0532518616382417</v>
      </c>
      <c r="BH129" s="215">
        <f>IF(AND(ISNUMBER(BH128),ISNUMBER(BH117)),IFERROR(BH128/BH117,""),"")</f>
        <v>-0.00831426817699905</v>
      </c>
      <c r="BI129" s="215">
        <f>IF(AND(ISNUMBER(BI128),ISNUMBER(BI117)),IFERROR(BI128/BI117,""),"")</f>
        <v>-0.00501240443521847</v>
      </c>
      <c r="BJ129" s="215">
        <f>IF(AND(ISNUMBER(BJ128),ISNUMBER(BJ117)),IFERROR(BJ128/BJ117,""),"")</f>
        <v>-0.0446310207688909</v>
      </c>
      <c r="BK129" s="215">
        <f>IF(AND(ISNUMBER(BK128),ISNUMBER(BK117)),IFERROR(BK128/BK117,""),"")</f>
        <v>0.0128531201744028</v>
      </c>
      <c r="BL129" s="215">
        <f>IF(AND(ISNUMBER(BL128),ISNUMBER(BL117)),IFERROR(BL128/BL117,""),"")</f>
        <v>-0.0099364989587886</v>
      </c>
      <c r="BM129" s="215">
        <f>IF(AND(ISNUMBER(BM128),ISNUMBER(BM117)),IFERROR(BM128/BM117,""),"")</f>
        <v>-0.00519041583680367</v>
      </c>
      <c r="BN129" s="215">
        <f>IF(AND(ISNUMBER(BN128),ISNUMBER(BN117)),IFERROR(BN128/BN117,""),"")</f>
        <v>-0.0646270603581169</v>
      </c>
      <c r="BO129" s="215">
        <f>IF(AND(ISNUMBER(BO128),ISNUMBER(BO117)),IFERROR(BO128/BO117,""),"")</f>
        <v>-0.32292600896861</v>
      </c>
      <c r="BP129" s="215">
        <f>IF(AND(ISNUMBER(BP128),ISNUMBER(BP117)),IFERROR(BP128/BP117,""),"")</f>
        <v>-0.247342868389975</v>
      </c>
      <c r="BQ129" s="215">
        <f>IF(AND(ISNUMBER(BQ128),ISNUMBER(BQ117)),IFERROR(BQ128/BQ117,""),"")</f>
        <v>-0.160966369499526</v>
      </c>
      <c r="BR129" s="215">
        <f>IF(AND(ISNUMBER(BR128),ISNUMBER(BR117)),IFERROR(BR128/BR117,""),"")</f>
        <v>0.023645876077144</v>
      </c>
      <c r="BS129" s="215">
        <f>IF(AND(ISNUMBER(BS128),ISNUMBER(BS117)),IFERROR(BS128/BS117,""),"")</f>
        <v>-0.00773660380676074</v>
      </c>
      <c r="BT129" s="215">
        <f>IF(AND(ISNUMBER(BT128),ISNUMBER(BT117)),IFERROR(BT128/BT117,""),"")</f>
        <v>-0.205457670820799</v>
      </c>
      <c r="BU129" s="215">
        <f>IF(AND(ISNUMBER(BU128),ISNUMBER(BU117)),IFERROR(BU128/BU117,""),"")</f>
        <v>0.366502421914147</v>
      </c>
      <c r="BV129" s="215">
        <f>IF(AND(ISNUMBER(BV128),ISNUMBER(BV117)),IFERROR(BV128/BV117,""),"")</f>
        <v>0.0478521847020556</v>
      </c>
      <c r="BW129" s="215">
        <f>IF(AND(ISNUMBER(BW128),ISNUMBER(BW117)),IFERROR(BW128/BW117,""),"")</f>
        <v>0.0201647387135977</v>
      </c>
      <c r="BX129" s="215">
        <f>IF(AND(ISNUMBER(BX128),ISNUMBER(BX117)),IFERROR(BX128/BX117,""),"")</f>
        <v>0.00635179153094463</v>
      </c>
      <c r="BY129" s="260">
        <f>IF(AND(ISNUMBER(BY128),ISNUMBER(BY117)),IFERROR(BY128/BY117,""),"")</f>
        <v>0.0288886889380598</v>
      </c>
      <c r="BZ129" s="260">
        <f>IF(AND(ISNUMBER(BZ128),ISNUMBER(BZ117)),IFERROR(BZ128/BZ117,""),"")</f>
        <v>0.0278813370070053</v>
      </c>
      <c r="CA129" s="260">
        <f>IF(AND(ISNUMBER(CA128),ISNUMBER(CA117)),IFERROR(CA128/CA117,""),"")</f>
        <v>0.0209418886032678</v>
      </c>
      <c r="CB129" s="260">
        <f>IF(AND(ISNUMBER(CB128),ISNUMBER(CB117)),IFERROR(CB128/CB117,""),"")</f>
        <v>0.0570663245020331</v>
      </c>
      <c r="CC129" s="260">
        <f>IF(AND(ISNUMBER(CC128),ISNUMBER(CC117)),IFERROR(CC128/CC117,""),"")</f>
        <v>0.0753742580765233</v>
      </c>
      <c r="CD129" s="260">
        <f>IF(AND(ISNUMBER(CD128),ISNUMBER(CD117)),IFERROR(CD128/CD117,""),"")</f>
        <v>0.0932887810549082</v>
      </c>
      <c r="CE129" s="260">
        <f>IF(AND(ISNUMBER(CE128),ISNUMBER(CE117)),IFERROR(CE128/CE117,""),"")</f>
        <v>0.10524889206117</v>
      </c>
      <c r="CF129" s="260">
        <f>IF(AND(ISNUMBER(CF128),ISNUMBER(CF117)),IFERROR(CF128/CF117,""),"")</f>
        <v>0.110867573685647</v>
      </c>
      <c r="CG129" s="153" t="n"/>
      <c r="CI129" s="37">
        <f>IFERROR(AVERAGE(CB129,CC129,CD129,CE129,CF129),"n/m")</f>
        <v>0.0883691658760563</v>
      </c>
      <c r="CJ129" s="37">
        <f>IFERROR(AVERAGE(BB129,BG129,BL129,BQ129,BV129),"n/m")</f>
        <v>-0.0445788149582311</v>
      </c>
      <c r="CK129" s="37">
        <f>IFERROR(AVERAGE(AC129,AH129,AM129,AR129,AW129,BB129,BG129,BL129,BQ129,BV129),"n/m")</f>
        <v>-0.0177938377409215</v>
      </c>
      <c r="CL129" s="37">
        <f>IFERROR(AVERAGE(C129,D129,E129,F129,G129,H129,I129,N129,S129,X129,AC129,AH129,AM129,AR129,AW129,BB129,BG129,BL129,BQ129,BV129),"n/m")</f>
        <v>0.0265059951278251</v>
      </c>
    </row>
    <row r="130" ht="15" customHeight="1" s="251">
      <c r="B130" s="156" t="inlineStr">
        <is>
          <t xml:space="preserve">  Memo: earnings from operations as reported</t>
        </is>
      </c>
      <c r="C130" s="266" t="n">
        <v>3014</v>
      </c>
      <c r="D130" s="266" t="n">
        <v>5830</v>
      </c>
      <c r="E130" s="266" t="n">
        <v>3988</v>
      </c>
      <c r="F130" s="266" t="n">
        <v>2096</v>
      </c>
      <c r="G130" s="266" t="n">
        <v>4971</v>
      </c>
      <c r="H130" s="266" t="n">
        <v>5844</v>
      </c>
      <c r="I130" s="266" t="n">
        <v>6311</v>
      </c>
      <c r="J130" s="266" t="n">
        <v>1528</v>
      </c>
      <c r="K130" s="266" t="n">
        <v>1716</v>
      </c>
      <c r="L130" s="266" t="n">
        <v>1803</v>
      </c>
      <c r="M130" s="266" t="n">
        <v>1515</v>
      </c>
      <c r="N130" s="266" t="n">
        <v>6562</v>
      </c>
      <c r="O130" s="266" t="n">
        <v>1542</v>
      </c>
      <c r="P130" s="266" t="n">
        <v>1787</v>
      </c>
      <c r="Q130" s="266" t="n">
        <v>2119</v>
      </c>
      <c r="R130" s="266" t="n">
        <v>2025</v>
      </c>
      <c r="S130" s="266" t="n">
        <v>7473</v>
      </c>
      <c r="T130" s="266" t="n">
        <v>2019</v>
      </c>
      <c r="U130" s="266" t="n">
        <v>1683</v>
      </c>
      <c r="V130" s="266" t="n">
        <v>2580</v>
      </c>
      <c r="W130" s="266" t="n">
        <v>1161</v>
      </c>
      <c r="X130" s="266" t="n">
        <v>7443</v>
      </c>
      <c r="Y130" s="266" t="n">
        <v>1788</v>
      </c>
      <c r="Z130" s="266" t="n">
        <v>-419</v>
      </c>
      <c r="AA130" s="266" t="n">
        <v>2282</v>
      </c>
      <c r="AB130" s="266" t="n">
        <v>2183</v>
      </c>
      <c r="AC130" s="266" t="n">
        <v>5834</v>
      </c>
      <c r="AD130" s="266" t="n">
        <v>2024</v>
      </c>
      <c r="AE130" s="266" t="n">
        <v>2535</v>
      </c>
      <c r="AF130" s="266" t="n">
        <v>2689</v>
      </c>
      <c r="AG130" s="266" t="n">
        <v>3030</v>
      </c>
      <c r="AH130" s="266" t="n">
        <v>10278</v>
      </c>
      <c r="AI130" s="266" t="n">
        <v>2875</v>
      </c>
      <c r="AJ130" s="266" t="n">
        <v>2710</v>
      </c>
      <c r="AK130" s="266" t="n">
        <v>2227</v>
      </c>
      <c r="AL130" s="266" t="n">
        <v>4175</v>
      </c>
      <c r="AM130" s="266" t="n">
        <v>11987</v>
      </c>
      <c r="AN130" s="266" t="n">
        <v>2350</v>
      </c>
      <c r="AO130" s="266" t="n">
        <v>-3380</v>
      </c>
      <c r="AP130" s="266" t="n">
        <v>1259</v>
      </c>
      <c r="AQ130" s="266" t="n">
        <v>-2204</v>
      </c>
      <c r="AR130" s="266" t="n">
        <v>-1975</v>
      </c>
      <c r="AS130" s="266" t="n">
        <v>-1353</v>
      </c>
      <c r="AT130" s="266" t="n">
        <v>-2964</v>
      </c>
      <c r="AU130" s="266" t="n">
        <v>-401</v>
      </c>
      <c r="AV130" s="266" t="n">
        <v>-8049</v>
      </c>
      <c r="AW130" s="266" t="n">
        <v>-12767</v>
      </c>
      <c r="AX130" s="266" t="n">
        <v>-83</v>
      </c>
      <c r="AY130" s="266" t="n">
        <v>1023</v>
      </c>
      <c r="AZ130" s="266" t="n">
        <v>329</v>
      </c>
      <c r="BA130" s="266" t="n">
        <v>-4171</v>
      </c>
      <c r="BB130" s="266" t="n">
        <v>-2902</v>
      </c>
      <c r="BC130" s="266" t="n">
        <v>-1169</v>
      </c>
      <c r="BD130" s="266" t="n">
        <v>774</v>
      </c>
      <c r="BE130" s="266" t="n">
        <v>-2799</v>
      </c>
      <c r="BF130" s="266" t="n">
        <v>-353</v>
      </c>
      <c r="BG130" s="266" t="n">
        <v>-3547</v>
      </c>
      <c r="BH130" s="266" t="n">
        <v>-149</v>
      </c>
      <c r="BI130" s="266" t="n">
        <v>-99</v>
      </c>
      <c r="BJ130" s="266" t="n">
        <v>-808</v>
      </c>
      <c r="BK130" s="266" t="n">
        <v>283</v>
      </c>
      <c r="BL130" s="266" t="n">
        <v>-773</v>
      </c>
      <c r="BM130" s="266" t="n">
        <v>-86</v>
      </c>
      <c r="BN130" s="266" t="n">
        <v>-1090</v>
      </c>
      <c r="BO130" s="266" t="n">
        <v>-5761</v>
      </c>
      <c r="BP130" s="266" t="n">
        <v>-3770</v>
      </c>
      <c r="BQ130" s="266" t="n">
        <v>-10707</v>
      </c>
      <c r="BR130" s="266" t="n">
        <v>461</v>
      </c>
      <c r="BS130" s="266" t="n">
        <v>-176</v>
      </c>
      <c r="BT130" s="266" t="n">
        <v>-4781</v>
      </c>
      <c r="BU130" s="266" t="n">
        <v>8777</v>
      </c>
      <c r="BV130" s="266" t="n">
        <v>4281</v>
      </c>
      <c r="BW130" s="266" t="n">
        <v>448</v>
      </c>
      <c r="BX130" s="266" t="n">
        <v>156</v>
      </c>
      <c r="BY130" s="153" t="n"/>
      <c r="BZ130" s="153" t="n"/>
      <c r="CA130" s="153" t="n"/>
      <c r="CB130" s="153" t="n"/>
      <c r="CC130" s="153" t="n"/>
      <c r="CD130" s="153" t="n"/>
      <c r="CE130" s="153" t="n"/>
      <c r="CF130" s="153" t="n"/>
      <c r="CG130" s="153" t="n"/>
    </row>
    <row r="131" ht="15" customHeight="1" s="251">
      <c r="B131" s="57" t="inlineStr">
        <is>
          <t xml:space="preserve">  Check: statement lines vs reported earnings from operations (should be 0)</t>
        </is>
      </c>
      <c r="C131" s="262">
        <f>IF(ISNUMBER(C130),ROUND(C128-C130,1),"")</f>
        <v>0</v>
      </c>
      <c r="D131" s="262">
        <f>IF(ISNUMBER(D130),ROUND(D128-D130,1),"")</f>
        <v>0</v>
      </c>
      <c r="E131" s="262">
        <f>IF(ISNUMBER(E130),ROUND(E128-E130,1),"")</f>
        <v>0</v>
      </c>
      <c r="F131" s="262">
        <f>IF(ISNUMBER(F130),ROUND(F128-F130,1),"")</f>
        <v>0</v>
      </c>
      <c r="G131" s="262">
        <f>IF(ISNUMBER(G130),ROUND(G128-G130,1),"")</f>
        <v>0</v>
      </c>
      <c r="H131" s="262">
        <f>IF(ISNUMBER(H130),ROUND(H128-H130,1),"")</f>
        <v>0</v>
      </c>
      <c r="I131" s="262">
        <f>IF(ISNUMBER(I130),ROUND(I128-I130,1),"")</f>
        <v>0</v>
      </c>
      <c r="J131" s="262">
        <f>IF(ISNUMBER(J130),ROUND(J128-J130,1),"")</f>
        <v>0</v>
      </c>
      <c r="K131" s="262">
        <f>IF(ISNUMBER(K130),ROUND(K128-K130,1),"")</f>
        <v>0</v>
      </c>
      <c r="L131" s="262">
        <f>IF(ISNUMBER(L130),ROUND(L128-L130,1),"")</f>
        <v>0</v>
      </c>
      <c r="M131" s="262">
        <f>IF(ISNUMBER(M130),ROUND(M128-M130,1),"")</f>
        <v>0</v>
      </c>
      <c r="N131" s="262">
        <f>IF(ISNUMBER(N130),ROUND(N128-N130,1),"")</f>
        <v>0</v>
      </c>
      <c r="O131" s="262">
        <f>IF(ISNUMBER(O130),ROUND(O128-O130,1),"")</f>
        <v>0</v>
      </c>
      <c r="P131" s="262">
        <f>IF(ISNUMBER(P130),ROUND(P128-P130,1),"")</f>
        <v>0</v>
      </c>
      <c r="Q131" s="262">
        <f>IF(ISNUMBER(Q130),ROUND(Q128-Q130,1),"")</f>
        <v>0</v>
      </c>
      <c r="R131" s="262">
        <f>IF(ISNUMBER(R130),ROUND(R128-R130,1),"")</f>
        <v>0</v>
      </c>
      <c r="S131" s="262">
        <f>IF(ISNUMBER(S130),ROUND(S128-S130,1),"")</f>
        <v>0</v>
      </c>
      <c r="T131" s="262">
        <f>IF(ISNUMBER(T130),ROUND(T128-T130,1),"")</f>
        <v>0</v>
      </c>
      <c r="U131" s="262">
        <f>IF(ISNUMBER(U130),ROUND(U128-U130,1),"")</f>
        <v>0</v>
      </c>
      <c r="V131" s="262">
        <f>IF(ISNUMBER(V130),ROUND(V128-V130,1),"")</f>
        <v>0</v>
      </c>
      <c r="W131" s="262">
        <f>IF(ISNUMBER(W130),ROUND(W128-W130,1),"")</f>
        <v>0</v>
      </c>
      <c r="X131" s="262">
        <f>IF(ISNUMBER(X130),ROUND(X128-X130,1),"")</f>
        <v>0</v>
      </c>
      <c r="Y131" s="262">
        <f>IF(ISNUMBER(Y130),ROUND(Y128-Y130,1),"")</f>
        <v>0</v>
      </c>
      <c r="Z131" s="262">
        <f>IF(ISNUMBER(Z130),ROUND(Z128-Z130,1),"")</f>
        <v>0</v>
      </c>
      <c r="AA131" s="262">
        <f>IF(ISNUMBER(AA130),ROUND(AA128-AA130,1),"")</f>
        <v>0</v>
      </c>
      <c r="AB131" s="262">
        <f>IF(ISNUMBER(AB130),ROUND(AB128-AB130,1),"")</f>
        <v>0</v>
      </c>
      <c r="AC131" s="262">
        <f>IF(ISNUMBER(AC130),ROUND(AC128-AC130,1),"")</f>
        <v>0</v>
      </c>
      <c r="AD131" s="262">
        <f>IF(ISNUMBER(AD130),ROUND(AD128-AD130,1),"")</f>
        <v>0</v>
      </c>
      <c r="AE131" s="262">
        <f>IF(ISNUMBER(AE130),ROUND(AE128-AE130,1),"")</f>
        <v>0</v>
      </c>
      <c r="AF131" s="262">
        <f>IF(ISNUMBER(AF130),ROUND(AF128-AF130,1),"")</f>
        <v>0</v>
      </c>
      <c r="AG131" s="262">
        <f>IF(ISNUMBER(AG130),ROUND(AG128-AG130,1),"")</f>
        <v>0</v>
      </c>
      <c r="AH131" s="262">
        <f>IF(ISNUMBER(AH130),ROUND(AH128-AH130,1),"")</f>
        <v>0</v>
      </c>
      <c r="AI131" s="262">
        <f>IF(ISNUMBER(AI130),ROUND(AI128-AI130,1),"")</f>
        <v>0</v>
      </c>
      <c r="AJ131" s="262">
        <f>IF(ISNUMBER(AJ130),ROUND(AJ128-AJ130,1),"")</f>
        <v>0</v>
      </c>
      <c r="AK131" s="262">
        <f>IF(ISNUMBER(AK130),ROUND(AK128-AK130,1),"")</f>
        <v>0</v>
      </c>
      <c r="AL131" s="262">
        <f>IF(ISNUMBER(AL130),ROUND(AL128-AL130,1),"")</f>
        <v>0</v>
      </c>
      <c r="AM131" s="262">
        <f>IF(ISNUMBER(AM130),ROUND(AM128-AM130,1),"")</f>
        <v>0</v>
      </c>
      <c r="AN131" s="262">
        <f>IF(ISNUMBER(AN130),ROUND(AN128-AN130,1),"")</f>
        <v>0</v>
      </c>
      <c r="AO131" s="262">
        <f>IF(ISNUMBER(AO130),ROUND(AO128-AO130,1),"")</f>
        <v>0</v>
      </c>
      <c r="AP131" s="262">
        <f>IF(ISNUMBER(AP130),ROUND(AP128-AP130,1),"")</f>
        <v>0</v>
      </c>
      <c r="AQ131" s="262">
        <f>IF(ISNUMBER(AQ130),ROUND(AQ128-AQ130,1),"")</f>
        <v>0</v>
      </c>
      <c r="AR131" s="262">
        <f>IF(ISNUMBER(AR130),ROUND(AR128-AR130,1),"")</f>
        <v>0</v>
      </c>
      <c r="AS131" s="262">
        <f>IF(ISNUMBER(AS130),ROUND(AS128-AS130,1),"")</f>
        <v>0</v>
      </c>
      <c r="AT131" s="262">
        <f>IF(ISNUMBER(AT130),ROUND(AT128-AT130,1),"")</f>
        <v>0</v>
      </c>
      <c r="AU131" s="262">
        <f>IF(ISNUMBER(AU130),ROUND(AU128-AU130,1),"")</f>
        <v>0</v>
      </c>
      <c r="AV131" s="262">
        <f>IF(ISNUMBER(AV130),ROUND(AV128-AV130,1),"")</f>
        <v>0</v>
      </c>
      <c r="AW131" s="262">
        <f>IF(ISNUMBER(AW130),ROUND(AW128-AW130,1),"")</f>
        <v>0</v>
      </c>
      <c r="AX131" s="262">
        <f>IF(ISNUMBER(AX130),ROUND(AX128-AX130,1),"")</f>
        <v>0</v>
      </c>
      <c r="AY131" s="262">
        <f>IF(ISNUMBER(AY130),ROUND(AY128-AY130,1),"")</f>
        <v>0</v>
      </c>
      <c r="AZ131" s="262">
        <f>IF(ISNUMBER(AZ130),ROUND(AZ128-AZ130,1),"")</f>
        <v>0</v>
      </c>
      <c r="BA131" s="262">
        <f>IF(ISNUMBER(BA130),ROUND(BA128-BA130,1),"")</f>
        <v>0</v>
      </c>
      <c r="BB131" s="262">
        <f>IF(ISNUMBER(BB130),ROUND(BB128-BB130,1),"")</f>
        <v>0</v>
      </c>
      <c r="BC131" s="262">
        <f>IF(ISNUMBER(BC130),ROUND(BC128-BC130,1),"")</f>
        <v>0</v>
      </c>
      <c r="BD131" s="262">
        <f>IF(ISNUMBER(BD130),ROUND(BD128-BD130,1),"")</f>
        <v>0</v>
      </c>
      <c r="BE131" s="262">
        <f>IF(ISNUMBER(BE130),ROUND(BE128-BE130,1),"")</f>
        <v>0</v>
      </c>
      <c r="BF131" s="262">
        <f>IF(ISNUMBER(BF130),ROUND(BF128-BF130,1),"")</f>
        <v>0</v>
      </c>
      <c r="BG131" s="262">
        <f>IF(ISNUMBER(BG130),ROUND(BG128-BG130,1),"")</f>
        <v>0</v>
      </c>
      <c r="BH131" s="262">
        <f>IF(ISNUMBER(BH130),ROUND(BH128-BH130,1),"")</f>
        <v>0</v>
      </c>
      <c r="BI131" s="262">
        <f>IF(ISNUMBER(BI130),ROUND(BI128-BI130,1),"")</f>
        <v>0</v>
      </c>
      <c r="BJ131" s="262">
        <f>IF(ISNUMBER(BJ130),ROUND(BJ128-BJ130,1),"")</f>
        <v>0</v>
      </c>
      <c r="BK131" s="262">
        <f>IF(ISNUMBER(BK130),ROUND(BK128-BK130,1),"")</f>
        <v>0</v>
      </c>
      <c r="BL131" s="262">
        <f>IF(ISNUMBER(BL130),ROUND(BL128-BL130,1),"")</f>
        <v>0</v>
      </c>
      <c r="BM131" s="262">
        <f>IF(ISNUMBER(BM130),ROUND(BM128-BM130,1),"")</f>
        <v>0</v>
      </c>
      <c r="BN131" s="262">
        <f>IF(ISNUMBER(BN130),ROUND(BN128-BN130,1),"")</f>
        <v>0</v>
      </c>
      <c r="BO131" s="262">
        <f>IF(ISNUMBER(BO130),ROUND(BO128-BO130,1),"")</f>
        <v>0</v>
      </c>
      <c r="BP131" s="262">
        <f>IF(ISNUMBER(BP130),ROUND(BP128-BP130,1),"")</f>
        <v>0</v>
      </c>
      <c r="BQ131" s="262">
        <f>IF(ISNUMBER(BQ130),ROUND(BQ128-BQ130,1),"")</f>
        <v>0</v>
      </c>
      <c r="BR131" s="262">
        <f>IF(ISNUMBER(BR130),ROUND(BR128-BR130,1),"")</f>
        <v>0</v>
      </c>
      <c r="BS131" s="262">
        <f>IF(ISNUMBER(BS130),ROUND(BS128-BS130,1),"")</f>
        <v>0</v>
      </c>
      <c r="BT131" s="262">
        <f>IF(ISNUMBER(BT130),ROUND(BT128-BT130,1),"")</f>
        <v>0</v>
      </c>
      <c r="BU131" s="262">
        <f>IF(ISNUMBER(BU130),ROUND(BU128-BU130,1),"")</f>
        <v>0</v>
      </c>
      <c r="BV131" s="262">
        <f>IF(ISNUMBER(BV130),ROUND(BV128-BV130,1),"")</f>
        <v>0</v>
      </c>
      <c r="BW131" s="262">
        <f>IF(ISNUMBER(BW130),ROUND(BW128-BW130,1),"")</f>
        <v>0</v>
      </c>
      <c r="BX131" s="262">
        <f>IF(ISNUMBER(BX130),ROUND(BX128-BX130,1),"")</f>
        <v>0</v>
      </c>
      <c r="BY131" s="153" t="n"/>
      <c r="BZ131" s="153" t="n"/>
      <c r="CA131" s="153" t="n"/>
      <c r="CB131" s="153" t="n"/>
      <c r="CC131" s="153" t="n"/>
      <c r="CD131" s="153" t="n"/>
      <c r="CE131" s="153" t="n"/>
      <c r="CF131" s="153" t="n"/>
      <c r="CG131" s="153" t="n"/>
    </row>
    <row r="132" ht="15" customHeight="1" s="251">
      <c r="B132" s="25" t="inlineStr">
        <is>
          <t>Other income / (expense), net</t>
        </is>
      </c>
      <c r="C132" s="266" t="n">
        <v>420</v>
      </c>
      <c r="D132" s="266" t="n">
        <v>484</v>
      </c>
      <c r="E132" s="266" t="n">
        <v>247</v>
      </c>
      <c r="F132" s="266" t="n">
        <v>-26</v>
      </c>
      <c r="G132" s="266" t="n">
        <v>52</v>
      </c>
      <c r="H132" s="266" t="n">
        <v>47</v>
      </c>
      <c r="I132" s="266" t="n">
        <v>62</v>
      </c>
      <c r="J132" s="266" t="n">
        <v>9</v>
      </c>
      <c r="K132" s="266" t="n">
        <v>13</v>
      </c>
      <c r="L132" s="266" t="n">
        <v>19</v>
      </c>
      <c r="M132" s="266" t="n">
        <v>15</v>
      </c>
      <c r="N132" s="266" t="n">
        <v>56</v>
      </c>
      <c r="O132" s="266" t="n">
        <v>9</v>
      </c>
      <c r="P132" s="266" t="n">
        <v>11</v>
      </c>
      <c r="Q132" s="266" t="n">
        <v>-9</v>
      </c>
      <c r="R132" s="266" t="n">
        <v>-14</v>
      </c>
      <c r="S132" s="266" t="n">
        <v>-3</v>
      </c>
      <c r="T132" s="266" t="n">
        <v>-12</v>
      </c>
      <c r="U132" s="266" t="n">
        <v>15</v>
      </c>
      <c r="V132" s="266" t="n">
        <v>-26</v>
      </c>
      <c r="W132" s="266" t="n">
        <v>10</v>
      </c>
      <c r="X132" s="266" t="n">
        <v>-13</v>
      </c>
      <c r="Y132" s="266" t="n">
        <v>26</v>
      </c>
      <c r="Z132" s="266" t="n">
        <v>13</v>
      </c>
      <c r="AA132" s="266" t="n">
        <v>2</v>
      </c>
      <c r="AB132" s="266" t="n">
        <v>-1</v>
      </c>
      <c r="AC132" s="266" t="n">
        <v>40</v>
      </c>
      <c r="AD132" s="266" t="n">
        <v>22</v>
      </c>
      <c r="AE132" s="266" t="n">
        <v>27</v>
      </c>
      <c r="AF132" s="266" t="n">
        <v>45</v>
      </c>
      <c r="AG132" s="266" t="n">
        <v>35</v>
      </c>
      <c r="AH132" s="266" t="n">
        <v>129</v>
      </c>
      <c r="AI132" s="266" t="n">
        <v>66</v>
      </c>
      <c r="AJ132" s="266" t="n">
        <v>-15</v>
      </c>
      <c r="AK132" s="266" t="n">
        <v>12</v>
      </c>
      <c r="AL132" s="266" t="n">
        <v>29</v>
      </c>
      <c r="AM132" s="266" t="n">
        <v>92</v>
      </c>
      <c r="AN132" s="266" t="n">
        <v>106</v>
      </c>
      <c r="AO132" s="266" t="n">
        <v>107</v>
      </c>
      <c r="AP132" s="266" t="n">
        <v>121</v>
      </c>
      <c r="AQ132" s="266" t="n">
        <v>104</v>
      </c>
      <c r="AR132" s="266" t="n">
        <v>438</v>
      </c>
      <c r="AS132" s="266" t="n">
        <v>112</v>
      </c>
      <c r="AT132" s="266" t="n">
        <v>94</v>
      </c>
      <c r="AU132" s="266" t="n">
        <v>119</v>
      </c>
      <c r="AV132" s="266" t="n">
        <v>122</v>
      </c>
      <c r="AW132" s="266" t="n">
        <v>447</v>
      </c>
      <c r="AX132" s="266" t="n">
        <v>190</v>
      </c>
      <c r="AY132" s="266" t="n">
        <v>199</v>
      </c>
      <c r="AZ132" s="266" t="n">
        <v>30</v>
      </c>
      <c r="BA132" s="266" t="n">
        <v>132</v>
      </c>
      <c r="BB132" s="266" t="n">
        <v>551</v>
      </c>
      <c r="BC132" s="266" t="n">
        <v>181</v>
      </c>
      <c r="BD132" s="266" t="n">
        <v>253</v>
      </c>
      <c r="BE132" s="266" t="n">
        <v>288</v>
      </c>
      <c r="BF132" s="266" t="n">
        <v>336</v>
      </c>
      <c r="BG132" s="266" t="n">
        <v>1058</v>
      </c>
      <c r="BH132" s="266" t="n">
        <v>302</v>
      </c>
      <c r="BI132" s="266" t="n">
        <v>320</v>
      </c>
      <c r="BJ132" s="266" t="n">
        <v>297</v>
      </c>
      <c r="BK132" s="266" t="n">
        <v>308</v>
      </c>
      <c r="BL132" s="266" t="n">
        <v>1227</v>
      </c>
      <c r="BM132" s="266" t="n">
        <v>277</v>
      </c>
      <c r="BN132" s="266" t="n">
        <v>248</v>
      </c>
      <c r="BO132" s="266" t="n">
        <v>265</v>
      </c>
      <c r="BP132" s="266" t="n">
        <v>432</v>
      </c>
      <c r="BQ132" s="266" t="n">
        <v>1222</v>
      </c>
      <c r="BR132" s="266" t="n">
        <v>323</v>
      </c>
      <c r="BS132" s="266" t="n">
        <v>325</v>
      </c>
      <c r="BT132" s="266" t="n">
        <v>276</v>
      </c>
      <c r="BU132" s="266" t="n">
        <v>201</v>
      </c>
      <c r="BV132" s="266" t="n">
        <v>1125</v>
      </c>
      <c r="BW132" s="266" t="n">
        <v>194</v>
      </c>
      <c r="BX132" s="266" t="n">
        <v>79</v>
      </c>
      <c r="BY132" s="263">
        <f>BY112+BY113</f>
        <v>86</v>
      </c>
      <c r="BZ132" s="263">
        <f>BZ112+BZ113</f>
        <v>86</v>
      </c>
      <c r="CA132" s="263">
        <f>SUM(BW132:BZ132)</f>
        <v>445</v>
      </c>
      <c r="CB132" s="263">
        <f>CB112+CB113</f>
        <v>543.5375</v>
      </c>
      <c r="CC132" s="263">
        <f>CC112+CC113</f>
        <v>612.638394522685</v>
      </c>
      <c r="CD132" s="263">
        <f>CD112+CD113</f>
        <v>934.32793725768</v>
      </c>
      <c r="CE132" s="263">
        <f>CE112+CE113</f>
        <v>889.310575182583</v>
      </c>
      <c r="CF132" s="263">
        <f>CF112+CF113</f>
        <v>848.822732278071</v>
      </c>
      <c r="CG132" s="19" t="inlineStr">
        <is>
          <t>Interest income on cash &amp; investments + non-operating pension / postretirement income (2018+).</t>
        </is>
      </c>
    </row>
    <row r="133" ht="15" customHeight="1" s="251">
      <c r="B133" s="25" t="inlineStr">
        <is>
          <t>Interest and debt expense</t>
        </is>
      </c>
      <c r="C133" s="266" t="n">
        <v>240</v>
      </c>
      <c r="D133" s="266" t="n">
        <v>196</v>
      </c>
      <c r="E133" s="266" t="n">
        <v>202</v>
      </c>
      <c r="F133" s="266" t="n">
        <v>339</v>
      </c>
      <c r="G133" s="266" t="n">
        <v>516</v>
      </c>
      <c r="H133" s="266" t="n">
        <v>498</v>
      </c>
      <c r="I133" s="266" t="n">
        <v>463</v>
      </c>
      <c r="J133" s="266" t="n">
        <v>99</v>
      </c>
      <c r="K133" s="266" t="n">
        <v>96</v>
      </c>
      <c r="L133" s="266" t="n">
        <v>95</v>
      </c>
      <c r="M133" s="266" t="n">
        <v>96</v>
      </c>
      <c r="N133" s="266" t="n">
        <v>386</v>
      </c>
      <c r="O133" s="266" t="n">
        <v>92</v>
      </c>
      <c r="P133" s="266" t="n">
        <v>81</v>
      </c>
      <c r="Q133" s="266" t="n">
        <v>79</v>
      </c>
      <c r="R133" s="266" t="n">
        <v>81</v>
      </c>
      <c r="S133" s="266" t="n">
        <v>333</v>
      </c>
      <c r="T133" s="266" t="n">
        <v>61</v>
      </c>
      <c r="U133" s="266" t="n">
        <v>75</v>
      </c>
      <c r="V133" s="266" t="n">
        <v>67</v>
      </c>
      <c r="W133" s="266" t="n">
        <v>72</v>
      </c>
      <c r="X133" s="266" t="n">
        <v>275</v>
      </c>
      <c r="Y133" s="266" t="n">
        <v>73</v>
      </c>
      <c r="Z133" s="266" t="n">
        <v>73</v>
      </c>
      <c r="AA133" s="266" t="n">
        <v>81</v>
      </c>
      <c r="AB133" s="266" t="n">
        <v>79</v>
      </c>
      <c r="AC133" s="266" t="n">
        <v>306</v>
      </c>
      <c r="AD133" s="266" t="n">
        <v>87</v>
      </c>
      <c r="AE133" s="266" t="n">
        <v>93</v>
      </c>
      <c r="AF133" s="266" t="n">
        <v>87</v>
      </c>
      <c r="AG133" s="266" t="n">
        <v>93</v>
      </c>
      <c r="AH133" s="266" t="n">
        <v>360</v>
      </c>
      <c r="AI133" s="266" t="n">
        <v>102</v>
      </c>
      <c r="AJ133" s="266" t="n">
        <v>109</v>
      </c>
      <c r="AK133" s="266" t="n">
        <v>106</v>
      </c>
      <c r="AL133" s="266" t="n">
        <v>158</v>
      </c>
      <c r="AM133" s="266" t="n">
        <v>475</v>
      </c>
      <c r="AN133" s="266" t="n">
        <v>123</v>
      </c>
      <c r="AO133" s="266" t="n">
        <v>154</v>
      </c>
      <c r="AP133" s="266" t="n">
        <v>203</v>
      </c>
      <c r="AQ133" s="266" t="n">
        <v>242</v>
      </c>
      <c r="AR133" s="266" t="n">
        <v>722</v>
      </c>
      <c r="AS133" s="266" t="n">
        <v>262</v>
      </c>
      <c r="AT133" s="266" t="n">
        <v>553</v>
      </c>
      <c r="AU133" s="266" t="n">
        <v>643</v>
      </c>
      <c r="AV133" s="266" t="n">
        <v>698</v>
      </c>
      <c r="AW133" s="266" t="n">
        <v>2156</v>
      </c>
      <c r="AX133" s="266" t="n">
        <v>679</v>
      </c>
      <c r="AY133" s="266" t="n">
        <v>673</v>
      </c>
      <c r="AZ133" s="266" t="n">
        <v>669</v>
      </c>
      <c r="BA133" s="266" t="n">
        <v>661</v>
      </c>
      <c r="BB133" s="266" t="n">
        <v>2682</v>
      </c>
      <c r="BC133" s="266" t="n">
        <v>630</v>
      </c>
      <c r="BD133" s="266" t="n">
        <v>650</v>
      </c>
      <c r="BE133" s="266" t="n">
        <v>621</v>
      </c>
      <c r="BF133" s="266" t="n">
        <v>632</v>
      </c>
      <c r="BG133" s="266" t="n">
        <v>2533</v>
      </c>
      <c r="BH133" s="266" t="n">
        <v>649</v>
      </c>
      <c r="BI133" s="266" t="n">
        <v>621</v>
      </c>
      <c r="BJ133" s="266" t="n">
        <v>589</v>
      </c>
      <c r="BK133" s="266" t="n">
        <v>600</v>
      </c>
      <c r="BL133" s="266" t="n">
        <v>2459</v>
      </c>
      <c r="BM133" s="266" t="n">
        <v>569</v>
      </c>
      <c r="BN133" s="266" t="n">
        <v>673</v>
      </c>
      <c r="BO133" s="266" t="n">
        <v>728</v>
      </c>
      <c r="BP133" s="266" t="n">
        <v>755</v>
      </c>
      <c r="BQ133" s="266" t="n">
        <v>2725</v>
      </c>
      <c r="BR133" s="266" t="n">
        <v>708</v>
      </c>
      <c r="BS133" s="266" t="n">
        <v>710</v>
      </c>
      <c r="BT133" s="266" t="n">
        <v>694</v>
      </c>
      <c r="BU133" s="266" t="n">
        <v>659</v>
      </c>
      <c r="BV133" s="266" t="n">
        <v>2771</v>
      </c>
      <c r="BW133" s="266" t="n">
        <v>616</v>
      </c>
      <c r="BX133" s="266" t="n">
        <v>600</v>
      </c>
      <c r="BY133" s="263">
        <f>$CQ$26</f>
        <v>590</v>
      </c>
      <c r="BZ133" s="263">
        <f>$CQ$26</f>
        <v>590</v>
      </c>
      <c r="CA133" s="263">
        <f>SUM(BW133:BZ133)</f>
        <v>2396</v>
      </c>
      <c r="CB133" s="263">
        <f>CA342*CB352+CA349*CB353</f>
        <v>2386.8</v>
      </c>
      <c r="CC133" s="263">
        <f>CB342*CC352+CB349*CC353</f>
        <v>2157.844</v>
      </c>
      <c r="CD133" s="263">
        <f>CC342*CD352+CC349*CD353</f>
        <v>2086.63</v>
      </c>
      <c r="CE133" s="263">
        <f>CD342*CE352+CD349*CE353</f>
        <v>2093.5265</v>
      </c>
      <c r="CF133" s="263">
        <f>CE342*CF352+CE349*CF353</f>
        <v>2093.5265</v>
      </c>
      <c r="CG133" s="19" t="inlineStr">
        <is>
          <t>Q3/Q4-26E: point estimate (Q2-26 $600m on $45.9bn). 2027E+ = rate × opening notes + rate × opening revolver / CP (no circularity).</t>
        </is>
      </c>
    </row>
    <row r="134" ht="15" customHeight="1" s="251">
      <c r="B134" s="16" t="inlineStr">
        <is>
          <t>Earnings / (loss) before income taxes</t>
        </is>
      </c>
      <c r="C134" s="281">
        <f>C128+C132-C133</f>
        <v>3194</v>
      </c>
      <c r="D134" s="281">
        <f>D128+D132-D133</f>
        <v>6118</v>
      </c>
      <c r="E134" s="281">
        <f>E128+E132-E133</f>
        <v>4033</v>
      </c>
      <c r="F134" s="281">
        <f>F128+F132-F133</f>
        <v>1731</v>
      </c>
      <c r="G134" s="281">
        <f>G128+G132-G133</f>
        <v>4507</v>
      </c>
      <c r="H134" s="281">
        <f>H128+H132-H133</f>
        <v>5393</v>
      </c>
      <c r="I134" s="281">
        <f>I128+I132-I133</f>
        <v>5910</v>
      </c>
      <c r="J134" s="281">
        <f>J128+J132-J133</f>
        <v>1438</v>
      </c>
      <c r="K134" s="281">
        <f>K128+K132-K133</f>
        <v>1633</v>
      </c>
      <c r="L134" s="281">
        <f>L128+L132-L133</f>
        <v>1727</v>
      </c>
      <c r="M134" s="281">
        <f>M128+M132-M133</f>
        <v>1434</v>
      </c>
      <c r="N134" s="281">
        <f>N128+N132-N133</f>
        <v>6232</v>
      </c>
      <c r="O134" s="281">
        <f>O128+O132-O133</f>
        <v>1459</v>
      </c>
      <c r="P134" s="281">
        <f>P128+P132-P133</f>
        <v>1717</v>
      </c>
      <c r="Q134" s="281">
        <f>Q128+Q132-Q133</f>
        <v>2031</v>
      </c>
      <c r="R134" s="281">
        <f>R128+R132-R133</f>
        <v>1930</v>
      </c>
      <c r="S134" s="281">
        <f>S128+S132-S133</f>
        <v>7137</v>
      </c>
      <c r="T134" s="281">
        <f>T128+T132-T133</f>
        <v>1946</v>
      </c>
      <c r="U134" s="281">
        <f>U128+U132-U133</f>
        <v>1623</v>
      </c>
      <c r="V134" s="281">
        <f>V128+V132-V133</f>
        <v>2487</v>
      </c>
      <c r="W134" s="281">
        <f>W128+W132-W133</f>
        <v>1099</v>
      </c>
      <c r="X134" s="281">
        <f>X128+X132-X133</f>
        <v>7155</v>
      </c>
      <c r="Y134" s="281">
        <f>Y128+Y132-Y133</f>
        <v>1741</v>
      </c>
      <c r="Z134" s="281">
        <f>Z128+Z132-Z133</f>
        <v>-479</v>
      </c>
      <c r="AA134" s="281">
        <f>AA128+AA132-AA133</f>
        <v>2203</v>
      </c>
      <c r="AB134" s="281">
        <f>AB128+AB132-AB133</f>
        <v>2103</v>
      </c>
      <c r="AC134" s="281">
        <f>AC128+AC132-AC133</f>
        <v>5568</v>
      </c>
      <c r="AD134" s="281">
        <f>AD128+AD132-AD133</f>
        <v>1959</v>
      </c>
      <c r="AE134" s="281">
        <f>AE128+AE132-AE133</f>
        <v>2469</v>
      </c>
      <c r="AF134" s="281">
        <f>AF128+AF132-AF133</f>
        <v>2647</v>
      </c>
      <c r="AG134" s="281">
        <f>AG128+AG132-AG133</f>
        <v>2972</v>
      </c>
      <c r="AH134" s="281">
        <f>AH128+AH132-AH133</f>
        <v>10047</v>
      </c>
      <c r="AI134" s="281">
        <f>AI128+AI132-AI133</f>
        <v>2839</v>
      </c>
      <c r="AJ134" s="281">
        <f>AJ128+AJ132-AJ133</f>
        <v>2586</v>
      </c>
      <c r="AK134" s="281">
        <f>AK128+AK132-AK133</f>
        <v>2133</v>
      </c>
      <c r="AL134" s="281">
        <f>AL128+AL132-AL133</f>
        <v>4046</v>
      </c>
      <c r="AM134" s="281">
        <f>AM128+AM132-AM133</f>
        <v>11604</v>
      </c>
      <c r="AN134" s="281">
        <f>AN128+AN132-AN133</f>
        <v>2333</v>
      </c>
      <c r="AO134" s="281">
        <f>AO128+AO132-AO133</f>
        <v>-3427</v>
      </c>
      <c r="AP134" s="281">
        <f>AP128+AP132-AP133</f>
        <v>1177</v>
      </c>
      <c r="AQ134" s="281">
        <f>AQ128+AQ132-AQ133</f>
        <v>-2342</v>
      </c>
      <c r="AR134" s="281">
        <f>AR128+AR132-AR133</f>
        <v>-2259</v>
      </c>
      <c r="AS134" s="281">
        <f>AS128+AS132-AS133</f>
        <v>-1503</v>
      </c>
      <c r="AT134" s="281">
        <f>AT128+AT132-AT133</f>
        <v>-3423</v>
      </c>
      <c r="AU134" s="281">
        <f>AU128+AU132-AU133</f>
        <v>-925</v>
      </c>
      <c r="AV134" s="281">
        <f>AV128+AV132-AV133</f>
        <v>-8625</v>
      </c>
      <c r="AW134" s="281">
        <f>AW128+AW132-AW133</f>
        <v>-14476</v>
      </c>
      <c r="AX134" s="281">
        <f>AX128+AX132-AX133</f>
        <v>-572</v>
      </c>
      <c r="AY134" s="281">
        <f>AY128+AY132-AY133</f>
        <v>549</v>
      </c>
      <c r="AZ134" s="281">
        <f>AZ128+AZ132-AZ133</f>
        <v>-310</v>
      </c>
      <c r="BA134" s="281">
        <f>BA128+BA132-BA133</f>
        <v>-4700</v>
      </c>
      <c r="BB134" s="281">
        <f>BB128+BB132-BB133</f>
        <v>-5033</v>
      </c>
      <c r="BC134" s="281">
        <f>BC128+BC132-BC133</f>
        <v>-1618</v>
      </c>
      <c r="BD134" s="281">
        <f>BD128+BD132-BD133</f>
        <v>377</v>
      </c>
      <c r="BE134" s="281">
        <f>BE128+BE132-BE133</f>
        <v>-3132</v>
      </c>
      <c r="BF134" s="281">
        <f>BF128+BF132-BF133</f>
        <v>-649</v>
      </c>
      <c r="BG134" s="281">
        <f>BG128+BG132-BG133</f>
        <v>-5022</v>
      </c>
      <c r="BH134" s="281">
        <f>BH128+BH132-BH133</f>
        <v>-496</v>
      </c>
      <c r="BI134" s="281">
        <f>BI128+BI132-BI133</f>
        <v>-400</v>
      </c>
      <c r="BJ134" s="281">
        <f>BJ128+BJ132-BJ133</f>
        <v>-1100</v>
      </c>
      <c r="BK134" s="281">
        <f>BK128+BK132-BK133</f>
        <v>-9</v>
      </c>
      <c r="BL134" s="281">
        <f>BL128+BL132-BL133</f>
        <v>-2005</v>
      </c>
      <c r="BM134" s="281">
        <f>BM128+BM132-BM133</f>
        <v>-378</v>
      </c>
      <c r="BN134" s="281">
        <f>BN128+BN132-BN133</f>
        <v>-1515</v>
      </c>
      <c r="BO134" s="281">
        <f>BO128+BO132-BO133</f>
        <v>-6224</v>
      </c>
      <c r="BP134" s="281">
        <f>BP128+BP132-BP133</f>
        <v>-4093</v>
      </c>
      <c r="BQ134" s="281">
        <f>BQ128+BQ132-BQ133</f>
        <v>-12210</v>
      </c>
      <c r="BR134" s="281">
        <f>BR128+BR132-BR133</f>
        <v>76</v>
      </c>
      <c r="BS134" s="281">
        <f>BS128+BS132-BS133</f>
        <v>-561</v>
      </c>
      <c r="BT134" s="281">
        <f>BT128+BT132-BT133</f>
        <v>-5199</v>
      </c>
      <c r="BU134" s="281">
        <f>BU128+BU132-BU133</f>
        <v>8319</v>
      </c>
      <c r="BV134" s="281">
        <f>BV128+BV132-BV133</f>
        <v>2635</v>
      </c>
      <c r="BW134" s="281">
        <f>BW128+BW132-BW133</f>
        <v>26</v>
      </c>
      <c r="BX134" s="281">
        <f>BX128+BX132-BX133</f>
        <v>-365</v>
      </c>
      <c r="BY134" s="265">
        <f>BY128+BY132-BY133</f>
        <v>217.932405224858</v>
      </c>
      <c r="BZ134" s="265">
        <f>BZ128+BZ132-BZ133</f>
        <v>207.179521182638</v>
      </c>
      <c r="CA134" s="265">
        <f>CA128+CA132-CA133</f>
        <v>86.111926407496</v>
      </c>
      <c r="CB134" s="265">
        <f>CB128+CB132-CB133</f>
        <v>4239.91690496081</v>
      </c>
      <c r="CC134" s="265">
        <f>CC128+CC132-CC133</f>
        <v>7181.72708737182</v>
      </c>
      <c r="CD134" s="265">
        <f>CD128+CD132-CD133</f>
        <v>10397.6411937108</v>
      </c>
      <c r="CE134" s="265">
        <f>CE128+CE132-CE133</f>
        <v>12468.926985289</v>
      </c>
      <c r="CF134" s="265">
        <f>CF128+CF132-CF133</f>
        <v>13778.467758285</v>
      </c>
      <c r="CG134" s="153" t="n"/>
    </row>
    <row r="135" ht="15" customHeight="1" s="251">
      <c r="B135" s="25" t="inlineStr">
        <is>
          <t>Income tax (expense) / benefit — shown as expense</t>
        </is>
      </c>
      <c r="C135" s="266" t="n">
        <v>988</v>
      </c>
      <c r="D135" s="266" t="n">
        <v>2060</v>
      </c>
      <c r="E135" s="266" t="n">
        <v>1349</v>
      </c>
      <c r="F135" s="266" t="n">
        <v>396</v>
      </c>
      <c r="G135" s="266" t="n">
        <v>1196</v>
      </c>
      <c r="H135" s="266" t="n">
        <v>1382</v>
      </c>
      <c r="I135" s="266" t="n">
        <v>2007</v>
      </c>
      <c r="J135" s="266" t="n">
        <v>332</v>
      </c>
      <c r="K135" s="266" t="n">
        <v>546</v>
      </c>
      <c r="L135" s="266" t="n">
        <v>567</v>
      </c>
      <c r="M135" s="266" t="n">
        <v>201</v>
      </c>
      <c r="N135" s="266" t="n">
        <v>1646</v>
      </c>
      <c r="O135" s="266" t="n">
        <v>494</v>
      </c>
      <c r="P135" s="266" t="n">
        <v>64</v>
      </c>
      <c r="Q135" s="266" t="n">
        <v>669</v>
      </c>
      <c r="R135" s="266" t="n">
        <v>464</v>
      </c>
      <c r="S135" s="266" t="n">
        <v>1691</v>
      </c>
      <c r="T135" s="266" t="n">
        <v>610</v>
      </c>
      <c r="U135" s="266" t="n">
        <v>513</v>
      </c>
      <c r="V135" s="266" t="n">
        <v>783</v>
      </c>
      <c r="W135" s="266" t="n">
        <v>73</v>
      </c>
      <c r="X135" s="266" t="n">
        <v>1979</v>
      </c>
      <c r="Y135" s="266" t="n">
        <v>522</v>
      </c>
      <c r="Z135" s="266" t="n">
        <v>-245</v>
      </c>
      <c r="AA135" s="266" t="n">
        <v>-76</v>
      </c>
      <c r="AB135" s="266" t="n">
        <v>472</v>
      </c>
      <c r="AC135" s="266" t="n">
        <v>673</v>
      </c>
      <c r="AD135" s="266" t="n">
        <v>508</v>
      </c>
      <c r="AE135" s="266" t="n">
        <v>708</v>
      </c>
      <c r="AF135" s="266" t="n">
        <v>794</v>
      </c>
      <c r="AG135" s="266" t="n">
        <v>-160</v>
      </c>
      <c r="AH135" s="266" t="n">
        <v>1850</v>
      </c>
      <c r="AI135" s="266" t="n">
        <v>362</v>
      </c>
      <c r="AJ135" s="266" t="n">
        <v>390</v>
      </c>
      <c r="AK135" s="266" t="n">
        <v>-230</v>
      </c>
      <c r="AL135" s="266" t="n">
        <v>622</v>
      </c>
      <c r="AM135" s="266" t="n">
        <v>1144</v>
      </c>
      <c r="AN135" s="266" t="n">
        <v>184</v>
      </c>
      <c r="AO135" s="266" t="n">
        <v>-485</v>
      </c>
      <c r="AP135" s="266" t="n">
        <v>10</v>
      </c>
      <c r="AQ135" s="266" t="n">
        <v>-1332</v>
      </c>
      <c r="AR135" s="266" t="n">
        <v>-1623</v>
      </c>
      <c r="AS135" s="266" t="n">
        <v>-862</v>
      </c>
      <c r="AT135" s="266" t="n">
        <v>-1028</v>
      </c>
      <c r="AU135" s="266" t="n">
        <v>-459</v>
      </c>
      <c r="AV135" s="266" t="n">
        <v>-186</v>
      </c>
      <c r="AW135" s="266" t="n">
        <v>-2535</v>
      </c>
      <c r="AX135" s="266" t="n">
        <v>-11</v>
      </c>
      <c r="AY135" s="266" t="n">
        <v>-18</v>
      </c>
      <c r="AZ135" s="266" t="n">
        <v>-178</v>
      </c>
      <c r="BA135" s="266" t="n">
        <v>-536</v>
      </c>
      <c r="BB135" s="266" t="n">
        <v>-743</v>
      </c>
      <c r="BC135" s="266" t="n">
        <v>-376</v>
      </c>
      <c r="BD135" s="266" t="n">
        <v>217</v>
      </c>
      <c r="BE135" s="266" t="n">
        <v>176</v>
      </c>
      <c r="BF135" s="266" t="n">
        <v>14</v>
      </c>
      <c r="BG135" s="266" t="n">
        <v>31</v>
      </c>
      <c r="BH135" s="266" t="n">
        <v>-71</v>
      </c>
      <c r="BI135" s="266" t="n">
        <v>-251</v>
      </c>
      <c r="BJ135" s="266" t="n">
        <v>538</v>
      </c>
      <c r="BK135" s="266" t="n">
        <v>21</v>
      </c>
      <c r="BL135" s="266" t="n">
        <v>237</v>
      </c>
      <c r="BM135" s="266" t="n">
        <v>-23</v>
      </c>
      <c r="BN135" s="266" t="n">
        <v>-76</v>
      </c>
      <c r="BO135" s="266" t="n">
        <v>-50</v>
      </c>
      <c r="BP135" s="266" t="n">
        <v>-232</v>
      </c>
      <c r="BQ135" s="266" t="n">
        <v>-381</v>
      </c>
      <c r="BR135" s="266" t="n">
        <v>107</v>
      </c>
      <c r="BS135" s="266" t="n">
        <v>51</v>
      </c>
      <c r="BT135" s="266" t="n">
        <v>140</v>
      </c>
      <c r="BU135" s="266" t="n">
        <v>99</v>
      </c>
      <c r="BV135" s="266" t="n">
        <v>397</v>
      </c>
      <c r="BW135" s="266" t="n">
        <v>33</v>
      </c>
      <c r="BX135" s="266" t="n">
        <v>63</v>
      </c>
      <c r="BY135" s="263">
        <f>BY134*BY136</f>
        <v>21.7932405224858</v>
      </c>
      <c r="BZ135" s="263">
        <f>BZ134*BZ136</f>
        <v>20.7179521182638</v>
      </c>
      <c r="CA135" s="263">
        <f>SUM(BW135:BZ135)</f>
        <v>138.51119264075</v>
      </c>
      <c r="CB135" s="263">
        <f>CB134*CB136</f>
        <v>423.991690496081</v>
      </c>
      <c r="CC135" s="263">
        <f>CC134*CC136</f>
        <v>861.807250484618</v>
      </c>
      <c r="CD135" s="263">
        <f>CD134*CD136</f>
        <v>1559.64617905661</v>
      </c>
      <c r="CE135" s="263">
        <f>CE134*CE136</f>
        <v>2244.40685735202</v>
      </c>
      <c r="CF135" s="263">
        <f>CF134*CF136</f>
        <v>2755.69355165699</v>
      </c>
      <c r="CG135" s="19" t="n"/>
    </row>
    <row r="136" ht="15" customHeight="1" s="251">
      <c r="B136" s="25" t="inlineStr">
        <is>
          <t xml:space="preserve">  Effective tax rate</t>
        </is>
      </c>
      <c r="C136" s="215">
        <f>IFERROR(C135/C134,"")</f>
        <v>0.309329993738259</v>
      </c>
      <c r="D136" s="215">
        <f>IFERROR(D135/D134,"")</f>
        <v>0.336711343576332</v>
      </c>
      <c r="E136" s="215">
        <f>IFERROR(E135/E134,"")</f>
        <v>0.334490453756509</v>
      </c>
      <c r="F136" s="215">
        <f>IFERROR(F135/F134,"")</f>
        <v>0.228769497400347</v>
      </c>
      <c r="G136" s="215">
        <f>IFERROR(G135/G134,"")</f>
        <v>0.265364987796761</v>
      </c>
      <c r="H136" s="215">
        <f>IFERROR(H135/H134,"")</f>
        <v>0.256258112367884</v>
      </c>
      <c r="I136" s="215">
        <f>IFERROR(I135/I134,"")</f>
        <v>0.339593908629442</v>
      </c>
      <c r="J136" s="215">
        <f>IFERROR(J135/J134,"")</f>
        <v>0.230876216968011</v>
      </c>
      <c r="K136" s="215">
        <f>IFERROR(K135/K134,"")</f>
        <v>0.334353949785671</v>
      </c>
      <c r="L136" s="215">
        <f>IFERROR(L135/L134,"")</f>
        <v>0.328314997104806</v>
      </c>
      <c r="M136" s="215">
        <f>IFERROR(M135/M134,"")</f>
        <v>0.140167364016736</v>
      </c>
      <c r="N136" s="215">
        <f>IFERROR(N135/N134,"")</f>
        <v>0.264120667522465</v>
      </c>
      <c r="O136" s="215">
        <f>IFERROR(O135/O134,"")</f>
        <v>0.338588074023304</v>
      </c>
      <c r="P136" s="215">
        <f>IFERROR(P135/P134,"")</f>
        <v>0.0372743156668608</v>
      </c>
      <c r="Q136" s="215">
        <f>IFERROR(Q135/Q134,"")</f>
        <v>0.329394387001477</v>
      </c>
      <c r="R136" s="215">
        <f>IFERROR(R135/R134,"")</f>
        <v>0.240414507772021</v>
      </c>
      <c r="S136" s="215">
        <f>IFERROR(S135/S134,"")</f>
        <v>0.236934286114614</v>
      </c>
      <c r="T136" s="215">
        <f>IFERROR(T135/T134,"")</f>
        <v>0.313463514902364</v>
      </c>
      <c r="U136" s="215">
        <f>IFERROR(U135/U134,"")</f>
        <v>0.316081330868762</v>
      </c>
      <c r="V136" s="215">
        <f>IFERROR(V135/V134,"")</f>
        <v>0.314837153196622</v>
      </c>
      <c r="W136" s="215">
        <f>IFERROR(W135/W134,"")</f>
        <v>0.0664240218380346</v>
      </c>
      <c r="X136" s="215">
        <f>IFERROR(X135/X134,"")</f>
        <v>0.276589797344514</v>
      </c>
      <c r="Y136" s="215">
        <f>IFERROR(Y135/Y134,"")</f>
        <v>0.299827685238369</v>
      </c>
      <c r="Z136" s="215">
        <f>IFERROR(Z135/Z134,"")</f>
        <v>0.511482254697286</v>
      </c>
      <c r="AA136" s="215">
        <f>IFERROR(AA135/AA134,"")</f>
        <v>-0.0344984112573763</v>
      </c>
      <c r="AB136" s="215">
        <f>IFERROR(AB135/AB134,"")</f>
        <v>0.224441274369948</v>
      </c>
      <c r="AC136" s="215">
        <f>IFERROR(AC135/AC134,"")</f>
        <v>0.120869252873563</v>
      </c>
      <c r="AD136" s="215">
        <f>IFERROR(AD135/AD134,"")</f>
        <v>0.259315977539561</v>
      </c>
      <c r="AE136" s="215">
        <f>IFERROR(AE135/AE134,"")</f>
        <v>0.286755771567436</v>
      </c>
      <c r="AF136" s="215">
        <f>IFERROR(AF135/AF134,"")</f>
        <v>0.299962221382697</v>
      </c>
      <c r="AG136" s="215">
        <f>IFERROR(AG135/AG134,"")</f>
        <v>-0.053835800807537</v>
      </c>
      <c r="AH136" s="215">
        <f>IFERROR(AH135/AH134,"")</f>
        <v>0.184134567532597</v>
      </c>
      <c r="AI136" s="215">
        <f>IFERROR(AI135/AI134,"")</f>
        <v>0.127509686509334</v>
      </c>
      <c r="AJ136" s="215">
        <f>IFERROR(AJ135/AJ134,"")</f>
        <v>0.150812064965197</v>
      </c>
      <c r="AK136" s="215">
        <f>IFERROR(AK135/AK134,"")</f>
        <v>-0.107829348335677</v>
      </c>
      <c r="AL136" s="215">
        <f>IFERROR(AL135/AL134,"")</f>
        <v>0.153732081067721</v>
      </c>
      <c r="AM136" s="215">
        <f>IFERROR(AM135/AM134,"")</f>
        <v>0.0985866942433644</v>
      </c>
      <c r="AN136" s="215">
        <f>IFERROR(AN135/AN134,"")</f>
        <v>0.0788684097728247</v>
      </c>
      <c r="AO136" s="215">
        <f>IFERROR(AO135/AO134,"")</f>
        <v>0.141523198132477</v>
      </c>
      <c r="AP136" s="215">
        <f>IFERROR(AP135/AP134,"")</f>
        <v>0.00849617672047579</v>
      </c>
      <c r="AQ136" s="215">
        <f>IFERROR(AQ135/AQ134,"")</f>
        <v>0.568744662681469</v>
      </c>
      <c r="AR136" s="215">
        <f>IFERROR(AR135/AR134,"")</f>
        <v>0.718459495351926</v>
      </c>
      <c r="AS136" s="215">
        <f>IFERROR(AS135/AS134,"")</f>
        <v>0.573519627411843</v>
      </c>
      <c r="AT136" s="215">
        <f>IFERROR(AT135/AT134,"")</f>
        <v>0.300321355536079</v>
      </c>
      <c r="AU136" s="215">
        <f>IFERROR(AU135/AU134,"")</f>
        <v>0.496216216216216</v>
      </c>
      <c r="AV136" s="215">
        <f>IFERROR(AV135/AV134,"")</f>
        <v>0.0215652173913043</v>
      </c>
      <c r="AW136" s="215">
        <f>IFERROR(AW135/AW134,"")</f>
        <v>0.175117435755734</v>
      </c>
      <c r="AX136" s="215">
        <f>IFERROR(AX135/AX134,"")</f>
        <v>0.0192307692307692</v>
      </c>
      <c r="AY136" s="215">
        <f>IFERROR(AY135/AY134,"")</f>
        <v>-0.0327868852459016</v>
      </c>
      <c r="AZ136" s="215">
        <f>IFERROR(AZ135/AZ134,"")</f>
        <v>0.574193548387097</v>
      </c>
      <c r="BA136" s="215">
        <f>IFERROR(BA135/BA134,"")</f>
        <v>0.114042553191489</v>
      </c>
      <c r="BB136" s="215">
        <f>IFERROR(BB135/BB134,"")</f>
        <v>0.14762567057421</v>
      </c>
      <c r="BC136" s="215">
        <f>IFERROR(BC135/BC134,"")</f>
        <v>0.23238566131026</v>
      </c>
      <c r="BD136" s="215">
        <f>IFERROR(BD135/BD134,"")</f>
        <v>0.575596816976127</v>
      </c>
      <c r="BE136" s="215">
        <f>IFERROR(BE135/BE134,"")</f>
        <v>-0.0561941251596424</v>
      </c>
      <c r="BF136" s="215">
        <f>IFERROR(BF135/BF134,"")</f>
        <v>-0.0215716486902928</v>
      </c>
      <c r="BG136" s="215">
        <f>IFERROR(BG135/BG134,"")</f>
        <v>-0.00617283950617284</v>
      </c>
      <c r="BH136" s="215">
        <f>IFERROR(BH135/BH134,"")</f>
        <v>0.143145161290323</v>
      </c>
      <c r="BI136" s="215">
        <f>IFERROR(BI135/BI134,"")</f>
        <v>0.6275</v>
      </c>
      <c r="BJ136" s="215">
        <f>IFERROR(BJ135/BJ134,"")</f>
        <v>-0.489090909090909</v>
      </c>
      <c r="BK136" s="215">
        <f>IFERROR(BK135/BK134,"")</f>
        <v>-2.33333333333333</v>
      </c>
      <c r="BL136" s="215">
        <f>IFERROR(BL135/BL134,"")</f>
        <v>-0.118204488778055</v>
      </c>
      <c r="BM136" s="215">
        <f>IFERROR(BM135/BM134,"")</f>
        <v>0.0608465608465608</v>
      </c>
      <c r="BN136" s="215">
        <f>IFERROR(BN135/BN134,"")</f>
        <v>0.0501650165016502</v>
      </c>
      <c r="BO136" s="215">
        <f>IFERROR(BO135/BO134,"")</f>
        <v>0.00803341902313625</v>
      </c>
      <c r="BP136" s="215">
        <f>IFERROR(BP135/BP134,"")</f>
        <v>0.0566821402394332</v>
      </c>
      <c r="BQ136" s="215">
        <f>IFERROR(BQ135/BQ134,"")</f>
        <v>0.0312039312039312</v>
      </c>
      <c r="BR136" s="215">
        <f>IFERROR(BR135/BR134,"")</f>
        <v>1.40789473684211</v>
      </c>
      <c r="BS136" s="215">
        <f>IFERROR(BS135/BS134,"")</f>
        <v>-0.0909090909090909</v>
      </c>
      <c r="BT136" s="215">
        <f>IFERROR(BT135/BT134,"")</f>
        <v>-0.0269282554337373</v>
      </c>
      <c r="BU136" s="215">
        <f>IFERROR(BU135/BU134,"")</f>
        <v>0.0119004688063469</v>
      </c>
      <c r="BV136" s="215">
        <f>IFERROR(BV135/BV134,"")</f>
        <v>0.150664136622391</v>
      </c>
      <c r="BW136" s="215">
        <f>IFERROR(BW135/BW134,"")</f>
        <v>1.26923076923077</v>
      </c>
      <c r="BX136" s="215">
        <f>IFERROR(BX135/BX134,"")</f>
        <v>-0.172602739726027</v>
      </c>
      <c r="BY136" s="260">
        <f>$CQ$27</f>
        <v>0.1</v>
      </c>
      <c r="BZ136" s="260">
        <f>$CQ$27</f>
        <v>0.1</v>
      </c>
      <c r="CA136" s="260">
        <f>IFERROR(CA135/CA134,"")</f>
        <v>1.6085018466001</v>
      </c>
      <c r="CB136" s="270" t="n">
        <v>0.1</v>
      </c>
      <c r="CC136" s="270" t="n">
        <v>0.12</v>
      </c>
      <c r="CD136" s="270" t="n">
        <v>0.15</v>
      </c>
      <c r="CE136" s="270" t="n">
        <v>0.18</v>
      </c>
      <c r="CF136" s="270" t="n">
        <v>0.2</v>
      </c>
      <c r="CG136" s="153" t="inlineStr">
        <is>
          <t>Valuation allowance ($9.8bn at YE25) keeps the GAAP rate low while losses / credits are used. Forecast inputs (assumption).</t>
        </is>
      </c>
    </row>
    <row r="137" ht="15" customHeight="1" s="251">
      <c r="B137" s="25" t="inlineStr">
        <is>
          <t>Net earnings / (loss) from continuing operations</t>
        </is>
      </c>
      <c r="C137" s="262">
        <f>C134-C135</f>
        <v>2206</v>
      </c>
      <c r="D137" s="262">
        <f>D134-D135</f>
        <v>4058</v>
      </c>
      <c r="E137" s="262">
        <f>E134-E135</f>
        <v>2684</v>
      </c>
      <c r="F137" s="262">
        <f>F134-F135</f>
        <v>1335</v>
      </c>
      <c r="G137" s="262">
        <f>G134-G135</f>
        <v>3311</v>
      </c>
      <c r="H137" s="262">
        <f>H134-H135</f>
        <v>4011</v>
      </c>
      <c r="I137" s="262">
        <f>I134-I135</f>
        <v>3903</v>
      </c>
      <c r="J137" s="262">
        <f>J134-J135</f>
        <v>1106</v>
      </c>
      <c r="K137" s="262">
        <f>K134-K135</f>
        <v>1087</v>
      </c>
      <c r="L137" s="262">
        <f>L134-L135</f>
        <v>1160</v>
      </c>
      <c r="M137" s="262">
        <f>M134-M135</f>
        <v>1233</v>
      </c>
      <c r="N137" s="262">
        <f>N134-N135</f>
        <v>4586</v>
      </c>
      <c r="O137" s="262">
        <f>O134-O135</f>
        <v>965</v>
      </c>
      <c r="P137" s="262">
        <f>P134-P135</f>
        <v>1653</v>
      </c>
      <c r="Q137" s="262">
        <f>Q134-Q135</f>
        <v>1362</v>
      </c>
      <c r="R137" s="262">
        <f>R134-R135</f>
        <v>1466</v>
      </c>
      <c r="S137" s="262">
        <f>S134-S135</f>
        <v>5446</v>
      </c>
      <c r="T137" s="262">
        <f>T134-T135</f>
        <v>1336</v>
      </c>
      <c r="U137" s="262">
        <f>U134-U135</f>
        <v>1110</v>
      </c>
      <c r="V137" s="262">
        <f>V134-V135</f>
        <v>1704</v>
      </c>
      <c r="W137" s="262">
        <f>W134-W135</f>
        <v>1026</v>
      </c>
      <c r="X137" s="262">
        <f>X134-X135</f>
        <v>5176</v>
      </c>
      <c r="Y137" s="262">
        <f>Y134-Y135</f>
        <v>1219</v>
      </c>
      <c r="Z137" s="262">
        <f>Z134-Z135</f>
        <v>-234</v>
      </c>
      <c r="AA137" s="262">
        <f>AA134-AA135</f>
        <v>2279</v>
      </c>
      <c r="AB137" s="262">
        <f>AB134-AB135</f>
        <v>1631</v>
      </c>
      <c r="AC137" s="262">
        <f>AC134-AC135</f>
        <v>4895</v>
      </c>
      <c r="AD137" s="262">
        <f>AD134-AD135</f>
        <v>1451</v>
      </c>
      <c r="AE137" s="262">
        <f>AE134-AE135</f>
        <v>1761</v>
      </c>
      <c r="AF137" s="262">
        <f>AF134-AF135</f>
        <v>1853</v>
      </c>
      <c r="AG137" s="262">
        <f>AG134-AG135</f>
        <v>3132</v>
      </c>
      <c r="AH137" s="262">
        <f>AH134-AH135</f>
        <v>8197</v>
      </c>
      <c r="AI137" s="262">
        <f>AI134-AI135</f>
        <v>2477</v>
      </c>
      <c r="AJ137" s="262">
        <f>AJ134-AJ135</f>
        <v>2196</v>
      </c>
      <c r="AK137" s="262">
        <f>AK134-AK135</f>
        <v>2363</v>
      </c>
      <c r="AL137" s="262">
        <f>AL134-AL135</f>
        <v>3424</v>
      </c>
      <c r="AM137" s="262">
        <f>AM134-AM135</f>
        <v>10460</v>
      </c>
      <c r="AN137" s="262">
        <f>AN134-AN135</f>
        <v>2149</v>
      </c>
      <c r="AO137" s="262">
        <f>AO134-AO135</f>
        <v>-2942</v>
      </c>
      <c r="AP137" s="262">
        <f>AP134-AP135</f>
        <v>1167</v>
      </c>
      <c r="AQ137" s="262">
        <f>AQ134-AQ135</f>
        <v>-1010</v>
      </c>
      <c r="AR137" s="262">
        <f>AR134-AR135</f>
        <v>-636</v>
      </c>
      <c r="AS137" s="262">
        <f>AS134-AS135</f>
        <v>-641</v>
      </c>
      <c r="AT137" s="262">
        <f>AT134-AT135</f>
        <v>-2395</v>
      </c>
      <c r="AU137" s="262">
        <f>AU134-AU135</f>
        <v>-466</v>
      </c>
      <c r="AV137" s="262">
        <f>AV134-AV135</f>
        <v>-8439</v>
      </c>
      <c r="AW137" s="262">
        <f>AW134-AW135</f>
        <v>-11941</v>
      </c>
      <c r="AX137" s="262">
        <f>AX134-AX135</f>
        <v>-561</v>
      </c>
      <c r="AY137" s="262">
        <f>AY134-AY135</f>
        <v>567</v>
      </c>
      <c r="AZ137" s="262">
        <f>AZ134-AZ135</f>
        <v>-132</v>
      </c>
      <c r="BA137" s="262">
        <f>BA134-BA135</f>
        <v>-4164</v>
      </c>
      <c r="BB137" s="262">
        <f>BB134-BB135</f>
        <v>-4290</v>
      </c>
      <c r="BC137" s="262">
        <f>BC134-BC135</f>
        <v>-1242</v>
      </c>
      <c r="BD137" s="262">
        <f>BD134-BD135</f>
        <v>160</v>
      </c>
      <c r="BE137" s="262">
        <f>BE134-BE135</f>
        <v>-3308</v>
      </c>
      <c r="BF137" s="262">
        <f>BF134-BF135</f>
        <v>-663</v>
      </c>
      <c r="BG137" s="262">
        <f>BG134-BG135</f>
        <v>-5053</v>
      </c>
      <c r="BH137" s="262">
        <f>BH134-BH135</f>
        <v>-425</v>
      </c>
      <c r="BI137" s="262">
        <f>BI134-BI135</f>
        <v>-149</v>
      </c>
      <c r="BJ137" s="262">
        <f>BJ134-BJ135</f>
        <v>-1638</v>
      </c>
      <c r="BK137" s="262">
        <f>BK134-BK135</f>
        <v>-30</v>
      </c>
      <c r="BL137" s="262">
        <f>BL134-BL135</f>
        <v>-2242</v>
      </c>
      <c r="BM137" s="262">
        <f>BM134-BM135</f>
        <v>-355</v>
      </c>
      <c r="BN137" s="262">
        <f>BN134-BN135</f>
        <v>-1439</v>
      </c>
      <c r="BO137" s="262">
        <f>BO134-BO135</f>
        <v>-6174</v>
      </c>
      <c r="BP137" s="262">
        <f>BP134-BP135</f>
        <v>-3861</v>
      </c>
      <c r="BQ137" s="262">
        <f>BQ134-BQ135</f>
        <v>-11829</v>
      </c>
      <c r="BR137" s="262">
        <f>BR134-BR135</f>
        <v>-31</v>
      </c>
      <c r="BS137" s="262">
        <f>BS134-BS135</f>
        <v>-612</v>
      </c>
      <c r="BT137" s="262">
        <f>BT134-BT135</f>
        <v>-5339</v>
      </c>
      <c r="BU137" s="262">
        <f>BU134-BU135</f>
        <v>8220</v>
      </c>
      <c r="BV137" s="262">
        <f>BV134-BV135</f>
        <v>2238</v>
      </c>
      <c r="BW137" s="262">
        <f>BW134-BW135</f>
        <v>-7</v>
      </c>
      <c r="BX137" s="262">
        <f>BX134-BX135</f>
        <v>-428</v>
      </c>
      <c r="BY137" s="263">
        <f>BY134-BY135</f>
        <v>196.139164702372</v>
      </c>
      <c r="BZ137" s="263">
        <f>BZ134-BZ135</f>
        <v>186.461569064374</v>
      </c>
      <c r="CA137" s="263">
        <f>CA134-CA135</f>
        <v>-52.3992662332536</v>
      </c>
      <c r="CB137" s="263">
        <f>CB134-CB135</f>
        <v>3815.92521446473</v>
      </c>
      <c r="CC137" s="263">
        <f>CC134-CC135</f>
        <v>6319.9198368872</v>
      </c>
      <c r="CD137" s="263">
        <f>CD134-CD135</f>
        <v>8837.99501465415</v>
      </c>
      <c r="CE137" s="263">
        <f>CE134-CE135</f>
        <v>10224.520127937</v>
      </c>
      <c r="CF137" s="263">
        <f>CF134-CF135</f>
        <v>11022.774206628</v>
      </c>
      <c r="CG137" s="19" t="n"/>
    </row>
    <row r="138" ht="15" customHeight="1" s="251">
      <c r="B138" s="25" t="inlineStr">
        <is>
          <t>Discontinued operations, net of taxes (and FY2006 cumulative effect of accounting change)</t>
        </is>
      </c>
      <c r="C138" s="266" t="n">
        <v>9</v>
      </c>
      <c r="D138" s="266" t="n">
        <v>16</v>
      </c>
      <c r="E138" s="266" t="n">
        <v>18</v>
      </c>
      <c r="F138" s="266" t="n">
        <v>-23</v>
      </c>
      <c r="G138" s="266" t="n">
        <v>-4</v>
      </c>
      <c r="H138" s="266" t="n">
        <v>7</v>
      </c>
      <c r="I138" s="266" t="n">
        <v>-3</v>
      </c>
      <c r="J138" s="266" t="n">
        <v>0</v>
      </c>
      <c r="K138" s="266" t="n">
        <v>1</v>
      </c>
      <c r="L138" s="266" t="n">
        <v>-2</v>
      </c>
      <c r="M138" s="266" t="n">
        <v>0</v>
      </c>
      <c r="N138" s="266" t="n">
        <v>-1</v>
      </c>
      <c r="O138" s="266" t="n">
        <v>0</v>
      </c>
      <c r="P138" s="266" t="n">
        <v>0</v>
      </c>
      <c r="Q138" s="266" t="n">
        <v>0</v>
      </c>
      <c r="R138" s="266" t="n">
        <v>0</v>
      </c>
      <c r="S138" s="266" t="n">
        <v>0</v>
      </c>
      <c r="T138" s="266" t="n">
        <v>0</v>
      </c>
      <c r="U138" s="266" t="n">
        <v>0</v>
      </c>
      <c r="V138" s="266" t="n">
        <v>0</v>
      </c>
      <c r="W138" s="266" t="n">
        <v>0</v>
      </c>
      <c r="X138" s="266" t="n">
        <v>0</v>
      </c>
      <c r="Y138" s="266" t="n">
        <v>0</v>
      </c>
      <c r="Z138" s="266" t="n">
        <v>0</v>
      </c>
      <c r="AA138" s="266" t="n">
        <v>0</v>
      </c>
      <c r="AB138" s="266" t="n">
        <v>0</v>
      </c>
      <c r="AC138" s="266" t="n">
        <v>0</v>
      </c>
      <c r="AD138" s="266" t="n">
        <v>0</v>
      </c>
      <c r="AE138" s="266" t="n">
        <v>0</v>
      </c>
      <c r="AF138" s="266" t="n">
        <v>0</v>
      </c>
      <c r="AG138" s="266" t="n">
        <v>0</v>
      </c>
      <c r="AH138" s="266" t="n">
        <v>0</v>
      </c>
      <c r="AI138" s="266" t="n">
        <v>0</v>
      </c>
      <c r="AJ138" s="266" t="n">
        <v>0</v>
      </c>
      <c r="AK138" s="266" t="n">
        <v>0</v>
      </c>
      <c r="AL138" s="266" t="n">
        <v>0</v>
      </c>
      <c r="AM138" s="266" t="n">
        <v>0</v>
      </c>
      <c r="AN138" s="266" t="n">
        <v>0</v>
      </c>
      <c r="AO138" s="266" t="n">
        <v>0</v>
      </c>
      <c r="AP138" s="266" t="n">
        <v>0</v>
      </c>
      <c r="AQ138" s="266" t="n">
        <v>0</v>
      </c>
      <c r="AR138" s="266" t="n">
        <v>0</v>
      </c>
      <c r="AS138" s="266" t="n">
        <v>0</v>
      </c>
      <c r="AT138" s="266" t="n">
        <v>0</v>
      </c>
      <c r="AU138" s="266" t="n">
        <v>0</v>
      </c>
      <c r="AV138" s="266" t="n">
        <v>0</v>
      </c>
      <c r="AW138" s="266" t="n">
        <v>0</v>
      </c>
      <c r="AX138" s="266" t="n">
        <v>0</v>
      </c>
      <c r="AY138" s="266" t="n">
        <v>0</v>
      </c>
      <c r="AZ138" s="266" t="n">
        <v>0</v>
      </c>
      <c r="BA138" s="266" t="n">
        <v>0</v>
      </c>
      <c r="BB138" s="266" t="n">
        <v>0</v>
      </c>
      <c r="BC138" s="266" t="n">
        <v>0</v>
      </c>
      <c r="BD138" s="266" t="n">
        <v>0</v>
      </c>
      <c r="BE138" s="266" t="n">
        <v>0</v>
      </c>
      <c r="BF138" s="266" t="n">
        <v>0</v>
      </c>
      <c r="BG138" s="266" t="n">
        <v>0</v>
      </c>
      <c r="BH138" s="266" t="n">
        <v>0</v>
      </c>
      <c r="BI138" s="266" t="n">
        <v>0</v>
      </c>
      <c r="BJ138" s="266" t="n">
        <v>0</v>
      </c>
      <c r="BK138" s="266" t="n">
        <v>0</v>
      </c>
      <c r="BL138" s="266" t="n">
        <v>0</v>
      </c>
      <c r="BM138" s="266" t="n">
        <v>0</v>
      </c>
      <c r="BN138" s="266" t="n">
        <v>0</v>
      </c>
      <c r="BO138" s="266" t="n">
        <v>0</v>
      </c>
      <c r="BP138" s="266" t="n">
        <v>0</v>
      </c>
      <c r="BQ138" s="266" t="n">
        <v>0</v>
      </c>
      <c r="BR138" s="266" t="n">
        <v>0</v>
      </c>
      <c r="BS138" s="266" t="n">
        <v>0</v>
      </c>
      <c r="BT138" s="266" t="n">
        <v>0</v>
      </c>
      <c r="BU138" s="266" t="n">
        <v>0</v>
      </c>
      <c r="BV138" s="266" t="n">
        <v>0</v>
      </c>
      <c r="BW138" s="266" t="n">
        <v>0</v>
      </c>
      <c r="BX138" s="266" t="n">
        <v>0</v>
      </c>
      <c r="BY138" s="263">
        <f>0</f>
        <v>0</v>
      </c>
      <c r="BZ138" s="263">
        <f>0</f>
        <v>0</v>
      </c>
      <c r="CA138" s="263">
        <f>SUM(BW138:BZ138)</f>
        <v>0</v>
      </c>
      <c r="CB138" s="263">
        <f>0</f>
        <v>0</v>
      </c>
      <c r="CC138" s="263">
        <f>0</f>
        <v>0</v>
      </c>
      <c r="CD138" s="263">
        <f>0</f>
        <v>0</v>
      </c>
      <c r="CE138" s="263">
        <f>0</f>
        <v>0</v>
      </c>
      <c r="CF138" s="263">
        <f>0</f>
        <v>0</v>
      </c>
      <c r="CG138" s="19" t="n"/>
    </row>
    <row r="139" ht="15" customHeight="1" s="251">
      <c r="B139" s="55" t="inlineStr">
        <is>
          <t>Net earnings / (loss)</t>
        </is>
      </c>
      <c r="C139" s="275">
        <f>C137+C138</f>
        <v>2215</v>
      </c>
      <c r="D139" s="275">
        <f>D137+D138</f>
        <v>4074</v>
      </c>
      <c r="E139" s="275">
        <f>E137+E138</f>
        <v>2702</v>
      </c>
      <c r="F139" s="275">
        <f>F137+F138</f>
        <v>1312</v>
      </c>
      <c r="G139" s="275">
        <f>G137+G138</f>
        <v>3307</v>
      </c>
      <c r="H139" s="275">
        <f>H137+H138</f>
        <v>4018</v>
      </c>
      <c r="I139" s="275">
        <f>I137+I138</f>
        <v>3900</v>
      </c>
      <c r="J139" s="275">
        <f>J137+J138</f>
        <v>1106</v>
      </c>
      <c r="K139" s="275">
        <f>K137+K138</f>
        <v>1088</v>
      </c>
      <c r="L139" s="275">
        <f>L137+L138</f>
        <v>1158</v>
      </c>
      <c r="M139" s="275">
        <f>M137+M138</f>
        <v>1233</v>
      </c>
      <c r="N139" s="275">
        <f>N137+N138</f>
        <v>4585</v>
      </c>
      <c r="O139" s="275">
        <f>O137+O138</f>
        <v>965</v>
      </c>
      <c r="P139" s="275">
        <f>P137+P138</f>
        <v>1653</v>
      </c>
      <c r="Q139" s="275">
        <f>Q137+Q138</f>
        <v>1362</v>
      </c>
      <c r="R139" s="275">
        <f>R137+R138</f>
        <v>1466</v>
      </c>
      <c r="S139" s="275">
        <f>S137+S138</f>
        <v>5446</v>
      </c>
      <c r="T139" s="275">
        <f>T137+T138</f>
        <v>1336</v>
      </c>
      <c r="U139" s="275">
        <f>U137+U138</f>
        <v>1110</v>
      </c>
      <c r="V139" s="275">
        <f>V137+V138</f>
        <v>1704</v>
      </c>
      <c r="W139" s="275">
        <f>W137+W138</f>
        <v>1026</v>
      </c>
      <c r="X139" s="275">
        <f>X137+X138</f>
        <v>5176</v>
      </c>
      <c r="Y139" s="275">
        <f>Y137+Y138</f>
        <v>1219</v>
      </c>
      <c r="Z139" s="275">
        <f>Z137+Z138</f>
        <v>-234</v>
      </c>
      <c r="AA139" s="275">
        <f>AA137+AA138</f>
        <v>2279</v>
      </c>
      <c r="AB139" s="275">
        <f>AB137+AB138</f>
        <v>1631</v>
      </c>
      <c r="AC139" s="275">
        <f>AC137+AC138</f>
        <v>4895</v>
      </c>
      <c r="AD139" s="275">
        <f>AD137+AD138</f>
        <v>1451</v>
      </c>
      <c r="AE139" s="275">
        <f>AE137+AE138</f>
        <v>1761</v>
      </c>
      <c r="AF139" s="275">
        <f>AF137+AF138</f>
        <v>1853</v>
      </c>
      <c r="AG139" s="275">
        <f>AG137+AG138</f>
        <v>3132</v>
      </c>
      <c r="AH139" s="275">
        <f>AH137+AH138</f>
        <v>8197</v>
      </c>
      <c r="AI139" s="275">
        <f>AI137+AI138</f>
        <v>2477</v>
      </c>
      <c r="AJ139" s="275">
        <f>AJ137+AJ138</f>
        <v>2196</v>
      </c>
      <c r="AK139" s="275">
        <f>AK137+AK138</f>
        <v>2363</v>
      </c>
      <c r="AL139" s="275">
        <f>AL137+AL138</f>
        <v>3424</v>
      </c>
      <c r="AM139" s="275">
        <f>AM137+AM138</f>
        <v>10460</v>
      </c>
      <c r="AN139" s="275">
        <f>AN137+AN138</f>
        <v>2149</v>
      </c>
      <c r="AO139" s="275">
        <f>AO137+AO138</f>
        <v>-2942</v>
      </c>
      <c r="AP139" s="275">
        <f>AP137+AP138</f>
        <v>1167</v>
      </c>
      <c r="AQ139" s="275">
        <f>AQ137+AQ138</f>
        <v>-1010</v>
      </c>
      <c r="AR139" s="275">
        <f>AR137+AR138</f>
        <v>-636</v>
      </c>
      <c r="AS139" s="275">
        <f>AS137+AS138</f>
        <v>-641</v>
      </c>
      <c r="AT139" s="275">
        <f>AT137+AT138</f>
        <v>-2395</v>
      </c>
      <c r="AU139" s="275">
        <f>AU137+AU138</f>
        <v>-466</v>
      </c>
      <c r="AV139" s="275">
        <f>AV137+AV138</f>
        <v>-8439</v>
      </c>
      <c r="AW139" s="275">
        <f>AW137+AW138</f>
        <v>-11941</v>
      </c>
      <c r="AX139" s="275">
        <f>AX137+AX138</f>
        <v>-561</v>
      </c>
      <c r="AY139" s="275">
        <f>AY137+AY138</f>
        <v>567</v>
      </c>
      <c r="AZ139" s="275">
        <f>AZ137+AZ138</f>
        <v>-132</v>
      </c>
      <c r="BA139" s="275">
        <f>BA137+BA138</f>
        <v>-4164</v>
      </c>
      <c r="BB139" s="275">
        <f>BB137+BB138</f>
        <v>-4290</v>
      </c>
      <c r="BC139" s="275">
        <f>BC137+BC138</f>
        <v>-1242</v>
      </c>
      <c r="BD139" s="275">
        <f>BD137+BD138</f>
        <v>160</v>
      </c>
      <c r="BE139" s="275">
        <f>BE137+BE138</f>
        <v>-3308</v>
      </c>
      <c r="BF139" s="275">
        <f>BF137+BF138</f>
        <v>-663</v>
      </c>
      <c r="BG139" s="275">
        <f>BG137+BG138</f>
        <v>-5053</v>
      </c>
      <c r="BH139" s="275">
        <f>BH137+BH138</f>
        <v>-425</v>
      </c>
      <c r="BI139" s="275">
        <f>BI137+BI138</f>
        <v>-149</v>
      </c>
      <c r="BJ139" s="275">
        <f>BJ137+BJ138</f>
        <v>-1638</v>
      </c>
      <c r="BK139" s="275">
        <f>BK137+BK138</f>
        <v>-30</v>
      </c>
      <c r="BL139" s="275">
        <f>BL137+BL138</f>
        <v>-2242</v>
      </c>
      <c r="BM139" s="275">
        <f>BM137+BM138</f>
        <v>-355</v>
      </c>
      <c r="BN139" s="275">
        <f>BN137+BN138</f>
        <v>-1439</v>
      </c>
      <c r="BO139" s="275">
        <f>BO137+BO138</f>
        <v>-6174</v>
      </c>
      <c r="BP139" s="275">
        <f>BP137+BP138</f>
        <v>-3861</v>
      </c>
      <c r="BQ139" s="275">
        <f>BQ137+BQ138</f>
        <v>-11829</v>
      </c>
      <c r="BR139" s="275">
        <f>BR137+BR138</f>
        <v>-31</v>
      </c>
      <c r="BS139" s="275">
        <f>BS137+BS138</f>
        <v>-612</v>
      </c>
      <c r="BT139" s="275">
        <f>BT137+BT138</f>
        <v>-5339</v>
      </c>
      <c r="BU139" s="275">
        <f>BU137+BU138</f>
        <v>8220</v>
      </c>
      <c r="BV139" s="275">
        <f>BV137+BV138</f>
        <v>2238</v>
      </c>
      <c r="BW139" s="275">
        <f>BW137+BW138</f>
        <v>-7</v>
      </c>
      <c r="BX139" s="275">
        <f>BX137+BX138</f>
        <v>-428</v>
      </c>
      <c r="BY139" s="275">
        <f>BY137+BY138</f>
        <v>196.139164702372</v>
      </c>
      <c r="BZ139" s="275">
        <f>BZ137+BZ138</f>
        <v>186.461569064374</v>
      </c>
      <c r="CA139" s="275">
        <f>CA137+CA138</f>
        <v>-52.3992662332536</v>
      </c>
      <c r="CB139" s="275">
        <f>CB137+CB138</f>
        <v>3815.92521446473</v>
      </c>
      <c r="CC139" s="275">
        <f>CC137+CC138</f>
        <v>6319.9198368872</v>
      </c>
      <c r="CD139" s="275">
        <f>CD137+CD138</f>
        <v>8837.99501465415</v>
      </c>
      <c r="CE139" s="275">
        <f>CE137+CE138</f>
        <v>10224.520127937</v>
      </c>
      <c r="CF139" s="275">
        <f>CF137+CF138</f>
        <v>11022.774206628</v>
      </c>
      <c r="CG139" s="153" t="n"/>
    </row>
    <row r="140" ht="15" customHeight="1" s="251">
      <c r="B140" s="156" t="inlineStr">
        <is>
          <t xml:space="preserve">  Memo: net earnings / (loss) as reported (incl. noncontrolling interests)</t>
        </is>
      </c>
      <c r="C140" s="266" t="n">
        <v>2215</v>
      </c>
      <c r="D140" s="266" t="n">
        <v>4074</v>
      </c>
      <c r="E140" s="266" t="n">
        <v>2702</v>
      </c>
      <c r="F140" s="266" t="n">
        <v>1312</v>
      </c>
      <c r="G140" s="266" t="n">
        <v>3307</v>
      </c>
      <c r="H140" s="266" t="n">
        <v>4018</v>
      </c>
      <c r="I140" s="266" t="n">
        <v>3900</v>
      </c>
      <c r="J140" s="266" t="n">
        <v>1106</v>
      </c>
      <c r="K140" s="266" t="n">
        <v>1088</v>
      </c>
      <c r="L140" s="266" t="n">
        <v>1158</v>
      </c>
      <c r="M140" s="266" t="n">
        <v>1233</v>
      </c>
      <c r="N140" s="266" t="n">
        <v>4585</v>
      </c>
      <c r="O140" s="266" t="n">
        <v>965</v>
      </c>
      <c r="P140" s="266" t="n">
        <v>1653</v>
      </c>
      <c r="Q140" s="266" t="n">
        <v>1362</v>
      </c>
      <c r="R140" s="266" t="n">
        <v>1466</v>
      </c>
      <c r="S140" s="266" t="n">
        <v>5446</v>
      </c>
      <c r="T140" s="266" t="n">
        <v>1336</v>
      </c>
      <c r="U140" s="266" t="n">
        <v>1110</v>
      </c>
      <c r="V140" s="266" t="n">
        <v>1704</v>
      </c>
      <c r="W140" s="266" t="n">
        <v>1026</v>
      </c>
      <c r="X140" s="266" t="n">
        <v>5176</v>
      </c>
      <c r="Y140" s="266" t="n">
        <v>1219</v>
      </c>
      <c r="Z140" s="266" t="n">
        <v>-234</v>
      </c>
      <c r="AA140" s="266" t="n">
        <v>2279</v>
      </c>
      <c r="AB140" s="266" t="n">
        <v>1631</v>
      </c>
      <c r="AC140" s="266" t="n">
        <v>4895</v>
      </c>
      <c r="AD140" s="266" t="n">
        <v>1451</v>
      </c>
      <c r="AE140" s="266" t="n">
        <v>1761</v>
      </c>
      <c r="AF140" s="266" t="n">
        <v>1853</v>
      </c>
      <c r="AG140" s="266" t="n">
        <v>3132</v>
      </c>
      <c r="AH140" s="266" t="n">
        <v>8197</v>
      </c>
      <c r="AI140" s="266" t="n">
        <v>2477</v>
      </c>
      <c r="AJ140" s="266" t="n">
        <v>2196</v>
      </c>
      <c r="AK140" s="266" t="n">
        <v>2363</v>
      </c>
      <c r="AL140" s="266" t="n">
        <v>3424</v>
      </c>
      <c r="AM140" s="266" t="n">
        <v>10460</v>
      </c>
      <c r="AN140" s="266" t="n">
        <v>2149</v>
      </c>
      <c r="AO140" s="266" t="n">
        <v>-2942</v>
      </c>
      <c r="AP140" s="266" t="n">
        <v>1167</v>
      </c>
      <c r="AQ140" s="266" t="n">
        <v>-1010</v>
      </c>
      <c r="AR140" s="266" t="n">
        <v>-636</v>
      </c>
      <c r="AS140" s="266" t="n">
        <v>-641</v>
      </c>
      <c r="AT140" s="266" t="n">
        <v>-2395</v>
      </c>
      <c r="AU140" s="266" t="n">
        <v>-466</v>
      </c>
      <c r="AV140" s="266" t="n">
        <v>-8439</v>
      </c>
      <c r="AW140" s="266" t="n">
        <v>-11941</v>
      </c>
      <c r="AX140" s="266" t="n">
        <v>-561</v>
      </c>
      <c r="AY140" s="266" t="n">
        <v>567</v>
      </c>
      <c r="AZ140" s="266" t="n">
        <v>-132</v>
      </c>
      <c r="BA140" s="266" t="n">
        <v>-4164</v>
      </c>
      <c r="BB140" s="266" t="n">
        <v>-4290</v>
      </c>
      <c r="BC140" s="266" t="n">
        <v>-1242</v>
      </c>
      <c r="BD140" s="266" t="n">
        <v>160</v>
      </c>
      <c r="BE140" s="266" t="n">
        <v>-3308</v>
      </c>
      <c r="BF140" s="266" t="n">
        <v>-663</v>
      </c>
      <c r="BG140" s="266" t="n">
        <v>-5053</v>
      </c>
      <c r="BH140" s="266" t="n">
        <v>-425</v>
      </c>
      <c r="BI140" s="266" t="n">
        <v>-149</v>
      </c>
      <c r="BJ140" s="266" t="n">
        <v>-1638</v>
      </c>
      <c r="BK140" s="266" t="n">
        <v>-30</v>
      </c>
      <c r="BL140" s="266" t="n">
        <v>-2242</v>
      </c>
      <c r="BM140" s="266" t="n">
        <v>-355</v>
      </c>
      <c r="BN140" s="266" t="n">
        <v>-1439</v>
      </c>
      <c r="BO140" s="266" t="n">
        <v>-6174</v>
      </c>
      <c r="BP140" s="266" t="n">
        <v>-3861</v>
      </c>
      <c r="BQ140" s="266" t="n">
        <v>-11829</v>
      </c>
      <c r="BR140" s="266" t="n">
        <v>-31</v>
      </c>
      <c r="BS140" s="266" t="n">
        <v>-612</v>
      </c>
      <c r="BT140" s="266" t="n">
        <v>-5339</v>
      </c>
      <c r="BU140" s="266" t="n">
        <v>8220</v>
      </c>
      <c r="BV140" s="266" t="n">
        <v>2238</v>
      </c>
      <c r="BW140" s="266" t="n">
        <v>-7</v>
      </c>
      <c r="BX140" s="266" t="n">
        <v>-428</v>
      </c>
      <c r="BY140" s="153" t="n"/>
      <c r="BZ140" s="153" t="n"/>
      <c r="CA140" s="153" t="n"/>
      <c r="CB140" s="153" t="n"/>
      <c r="CC140" s="153" t="n"/>
      <c r="CD140" s="153" t="n"/>
      <c r="CE140" s="153" t="n"/>
      <c r="CF140" s="153" t="n"/>
      <c r="CG140" s="153" t="n"/>
    </row>
    <row r="141" ht="15" customHeight="1" s="251">
      <c r="B141" s="57" t="inlineStr">
        <is>
          <t xml:space="preserve">  Check: net earnings vs reported (should be 0)</t>
        </is>
      </c>
      <c r="C141" s="262">
        <f>IF(ISNUMBER(C140),ROUND(C139-C140,1),"")</f>
        <v>0</v>
      </c>
      <c r="D141" s="262">
        <f>IF(ISNUMBER(D140),ROUND(D139-D140,1),"")</f>
        <v>0</v>
      </c>
      <c r="E141" s="262">
        <f>IF(ISNUMBER(E140),ROUND(E139-E140,1),"")</f>
        <v>0</v>
      </c>
      <c r="F141" s="262">
        <f>IF(ISNUMBER(F140),ROUND(F139-F140,1),"")</f>
        <v>0</v>
      </c>
      <c r="G141" s="262">
        <f>IF(ISNUMBER(G140),ROUND(G139-G140,1),"")</f>
        <v>0</v>
      </c>
      <c r="H141" s="262">
        <f>IF(ISNUMBER(H140),ROUND(H139-H140,1),"")</f>
        <v>0</v>
      </c>
      <c r="I141" s="262">
        <f>IF(ISNUMBER(I140),ROUND(I139-I140,1),"")</f>
        <v>0</v>
      </c>
      <c r="J141" s="262">
        <f>IF(ISNUMBER(J140),ROUND(J139-J140,1),"")</f>
        <v>0</v>
      </c>
      <c r="K141" s="262">
        <f>IF(ISNUMBER(K140),ROUND(K139-K140,1),"")</f>
        <v>0</v>
      </c>
      <c r="L141" s="262">
        <f>IF(ISNUMBER(L140),ROUND(L139-L140,1),"")</f>
        <v>0</v>
      </c>
      <c r="M141" s="262">
        <f>IF(ISNUMBER(M140),ROUND(M139-M140,1),"")</f>
        <v>0</v>
      </c>
      <c r="N141" s="262">
        <f>IF(ISNUMBER(N140),ROUND(N139-N140,1),"")</f>
        <v>0</v>
      </c>
      <c r="O141" s="262">
        <f>IF(ISNUMBER(O140),ROUND(O139-O140,1),"")</f>
        <v>0</v>
      </c>
      <c r="P141" s="262">
        <f>IF(ISNUMBER(P140),ROUND(P139-P140,1),"")</f>
        <v>0</v>
      </c>
      <c r="Q141" s="262">
        <f>IF(ISNUMBER(Q140),ROUND(Q139-Q140,1),"")</f>
        <v>0</v>
      </c>
      <c r="R141" s="262">
        <f>IF(ISNUMBER(R140),ROUND(R139-R140,1),"")</f>
        <v>0</v>
      </c>
      <c r="S141" s="262">
        <f>IF(ISNUMBER(S140),ROUND(S139-S140,1),"")</f>
        <v>0</v>
      </c>
      <c r="T141" s="262">
        <f>IF(ISNUMBER(T140),ROUND(T139-T140,1),"")</f>
        <v>0</v>
      </c>
      <c r="U141" s="262">
        <f>IF(ISNUMBER(U140),ROUND(U139-U140,1),"")</f>
        <v>0</v>
      </c>
      <c r="V141" s="262">
        <f>IF(ISNUMBER(V140),ROUND(V139-V140,1),"")</f>
        <v>0</v>
      </c>
      <c r="W141" s="262">
        <f>IF(ISNUMBER(W140),ROUND(W139-W140,1),"")</f>
        <v>0</v>
      </c>
      <c r="X141" s="262">
        <f>IF(ISNUMBER(X140),ROUND(X139-X140,1),"")</f>
        <v>0</v>
      </c>
      <c r="Y141" s="262">
        <f>IF(ISNUMBER(Y140),ROUND(Y139-Y140,1),"")</f>
        <v>0</v>
      </c>
      <c r="Z141" s="262">
        <f>IF(ISNUMBER(Z140),ROUND(Z139-Z140,1),"")</f>
        <v>0</v>
      </c>
      <c r="AA141" s="262">
        <f>IF(ISNUMBER(AA140),ROUND(AA139-AA140,1),"")</f>
        <v>0</v>
      </c>
      <c r="AB141" s="262">
        <f>IF(ISNUMBER(AB140),ROUND(AB139-AB140,1),"")</f>
        <v>0</v>
      </c>
      <c r="AC141" s="262">
        <f>IF(ISNUMBER(AC140),ROUND(AC139-AC140,1),"")</f>
        <v>0</v>
      </c>
      <c r="AD141" s="262">
        <f>IF(ISNUMBER(AD140),ROUND(AD139-AD140,1),"")</f>
        <v>0</v>
      </c>
      <c r="AE141" s="262">
        <f>IF(ISNUMBER(AE140),ROUND(AE139-AE140,1),"")</f>
        <v>0</v>
      </c>
      <c r="AF141" s="262">
        <f>IF(ISNUMBER(AF140),ROUND(AF139-AF140,1),"")</f>
        <v>0</v>
      </c>
      <c r="AG141" s="262">
        <f>IF(ISNUMBER(AG140),ROUND(AG139-AG140,1),"")</f>
        <v>0</v>
      </c>
      <c r="AH141" s="262">
        <f>IF(ISNUMBER(AH140),ROUND(AH139-AH140,1),"")</f>
        <v>0</v>
      </c>
      <c r="AI141" s="262">
        <f>IF(ISNUMBER(AI140),ROUND(AI139-AI140,1),"")</f>
        <v>0</v>
      </c>
      <c r="AJ141" s="262">
        <f>IF(ISNUMBER(AJ140),ROUND(AJ139-AJ140,1),"")</f>
        <v>0</v>
      </c>
      <c r="AK141" s="262">
        <f>IF(ISNUMBER(AK140),ROUND(AK139-AK140,1),"")</f>
        <v>0</v>
      </c>
      <c r="AL141" s="262">
        <f>IF(ISNUMBER(AL140),ROUND(AL139-AL140,1),"")</f>
        <v>0</v>
      </c>
      <c r="AM141" s="262">
        <f>IF(ISNUMBER(AM140),ROUND(AM139-AM140,1),"")</f>
        <v>0</v>
      </c>
      <c r="AN141" s="262">
        <f>IF(ISNUMBER(AN140),ROUND(AN139-AN140,1),"")</f>
        <v>0</v>
      </c>
      <c r="AO141" s="262">
        <f>IF(ISNUMBER(AO140),ROUND(AO139-AO140,1),"")</f>
        <v>0</v>
      </c>
      <c r="AP141" s="262">
        <f>IF(ISNUMBER(AP140),ROUND(AP139-AP140,1),"")</f>
        <v>0</v>
      </c>
      <c r="AQ141" s="262">
        <f>IF(ISNUMBER(AQ140),ROUND(AQ139-AQ140,1),"")</f>
        <v>0</v>
      </c>
      <c r="AR141" s="262">
        <f>IF(ISNUMBER(AR140),ROUND(AR139-AR140,1),"")</f>
        <v>0</v>
      </c>
      <c r="AS141" s="262">
        <f>IF(ISNUMBER(AS140),ROUND(AS139-AS140,1),"")</f>
        <v>0</v>
      </c>
      <c r="AT141" s="262">
        <f>IF(ISNUMBER(AT140),ROUND(AT139-AT140,1),"")</f>
        <v>0</v>
      </c>
      <c r="AU141" s="262">
        <f>IF(ISNUMBER(AU140),ROUND(AU139-AU140,1),"")</f>
        <v>0</v>
      </c>
      <c r="AV141" s="262">
        <f>IF(ISNUMBER(AV140),ROUND(AV139-AV140,1),"")</f>
        <v>0</v>
      </c>
      <c r="AW141" s="262">
        <f>IF(ISNUMBER(AW140),ROUND(AW139-AW140,1),"")</f>
        <v>0</v>
      </c>
      <c r="AX141" s="262">
        <f>IF(ISNUMBER(AX140),ROUND(AX139-AX140,1),"")</f>
        <v>0</v>
      </c>
      <c r="AY141" s="262">
        <f>IF(ISNUMBER(AY140),ROUND(AY139-AY140,1),"")</f>
        <v>0</v>
      </c>
      <c r="AZ141" s="262">
        <f>IF(ISNUMBER(AZ140),ROUND(AZ139-AZ140,1),"")</f>
        <v>0</v>
      </c>
      <c r="BA141" s="262">
        <f>IF(ISNUMBER(BA140),ROUND(BA139-BA140,1),"")</f>
        <v>0</v>
      </c>
      <c r="BB141" s="262">
        <f>IF(ISNUMBER(BB140),ROUND(BB139-BB140,1),"")</f>
        <v>0</v>
      </c>
      <c r="BC141" s="262">
        <f>IF(ISNUMBER(BC140),ROUND(BC139-BC140,1),"")</f>
        <v>0</v>
      </c>
      <c r="BD141" s="262">
        <f>IF(ISNUMBER(BD140),ROUND(BD139-BD140,1),"")</f>
        <v>0</v>
      </c>
      <c r="BE141" s="262">
        <f>IF(ISNUMBER(BE140),ROUND(BE139-BE140,1),"")</f>
        <v>0</v>
      </c>
      <c r="BF141" s="262">
        <f>IF(ISNUMBER(BF140),ROUND(BF139-BF140,1),"")</f>
        <v>0</v>
      </c>
      <c r="BG141" s="262">
        <f>IF(ISNUMBER(BG140),ROUND(BG139-BG140,1),"")</f>
        <v>0</v>
      </c>
      <c r="BH141" s="262">
        <f>IF(ISNUMBER(BH140),ROUND(BH139-BH140,1),"")</f>
        <v>0</v>
      </c>
      <c r="BI141" s="262">
        <f>IF(ISNUMBER(BI140),ROUND(BI139-BI140,1),"")</f>
        <v>0</v>
      </c>
      <c r="BJ141" s="262">
        <f>IF(ISNUMBER(BJ140),ROUND(BJ139-BJ140,1),"")</f>
        <v>0</v>
      </c>
      <c r="BK141" s="262">
        <f>IF(ISNUMBER(BK140),ROUND(BK139-BK140,1),"")</f>
        <v>0</v>
      </c>
      <c r="BL141" s="262">
        <f>IF(ISNUMBER(BL140),ROUND(BL139-BL140,1),"")</f>
        <v>0</v>
      </c>
      <c r="BM141" s="262">
        <f>IF(ISNUMBER(BM140),ROUND(BM139-BM140,1),"")</f>
        <v>0</v>
      </c>
      <c r="BN141" s="262">
        <f>IF(ISNUMBER(BN140),ROUND(BN139-BN140,1),"")</f>
        <v>0</v>
      </c>
      <c r="BO141" s="262">
        <f>IF(ISNUMBER(BO140),ROUND(BO139-BO140,1),"")</f>
        <v>0</v>
      </c>
      <c r="BP141" s="262">
        <f>IF(ISNUMBER(BP140),ROUND(BP139-BP140,1),"")</f>
        <v>0</v>
      </c>
      <c r="BQ141" s="262">
        <f>IF(ISNUMBER(BQ140),ROUND(BQ139-BQ140,1),"")</f>
        <v>0</v>
      </c>
      <c r="BR141" s="262">
        <f>IF(ISNUMBER(BR140),ROUND(BR139-BR140,1),"")</f>
        <v>0</v>
      </c>
      <c r="BS141" s="262">
        <f>IF(ISNUMBER(BS140),ROUND(BS139-BS140,1),"")</f>
        <v>0</v>
      </c>
      <c r="BT141" s="262">
        <f>IF(ISNUMBER(BT140),ROUND(BT139-BT140,1),"")</f>
        <v>0</v>
      </c>
      <c r="BU141" s="262">
        <f>IF(ISNUMBER(BU140),ROUND(BU139-BU140,1),"")</f>
        <v>0</v>
      </c>
      <c r="BV141" s="262">
        <f>IF(ISNUMBER(BV140),ROUND(BV139-BV140,1),"")</f>
        <v>0</v>
      </c>
      <c r="BW141" s="262">
        <f>IF(ISNUMBER(BW140),ROUND(BW139-BW140,1),"")</f>
        <v>0</v>
      </c>
      <c r="BX141" s="262">
        <f>IF(ISNUMBER(BX140),ROUND(BX139-BX140,1),"")</f>
        <v>0</v>
      </c>
      <c r="BY141" s="153" t="n"/>
      <c r="BZ141" s="153" t="n"/>
      <c r="CA141" s="153" t="n"/>
      <c r="CB141" s="153" t="n"/>
      <c r="CC141" s="153" t="n"/>
      <c r="CD141" s="153" t="n"/>
      <c r="CE141" s="153" t="n"/>
      <c r="CF141" s="153" t="n"/>
      <c r="CG141" s="153" t="n"/>
    </row>
    <row r="142" ht="15" customHeight="1" s="251">
      <c r="B142" s="25" t="inlineStr">
        <is>
          <t xml:space="preserve">  Less: net earnings / (loss) attributable to noncontrolling interests</t>
        </is>
      </c>
      <c r="C142" s="266" t="n">
        <v>0</v>
      </c>
      <c r="D142" s="266" t="n">
        <v>0</v>
      </c>
      <c r="E142" s="266" t="n">
        <v>0</v>
      </c>
      <c r="F142" s="266" t="n">
        <v>0</v>
      </c>
      <c r="G142" s="266" t="n">
        <v>0</v>
      </c>
      <c r="H142" s="266" t="n">
        <v>0</v>
      </c>
      <c r="I142" s="266" t="n">
        <v>0</v>
      </c>
      <c r="J142" s="266" t="n">
        <v>0</v>
      </c>
      <c r="K142" s="266" t="n">
        <v>0</v>
      </c>
      <c r="L142" s="266" t="n">
        <v>0</v>
      </c>
      <c r="M142" s="266" t="n">
        <v>0</v>
      </c>
      <c r="N142" s="266" t="n">
        <v>0</v>
      </c>
      <c r="O142" s="266" t="n">
        <v>0</v>
      </c>
      <c r="P142" s="266" t="n">
        <v>0</v>
      </c>
      <c r="Q142" s="266" t="n">
        <v>0</v>
      </c>
      <c r="R142" s="266" t="n">
        <v>0</v>
      </c>
      <c r="S142" s="266" t="n">
        <v>0</v>
      </c>
      <c r="T142" s="266" t="n">
        <v>0</v>
      </c>
      <c r="U142" s="266" t="n">
        <v>0</v>
      </c>
      <c r="V142" s="266" t="n">
        <v>0</v>
      </c>
      <c r="W142" s="266" t="n">
        <v>0</v>
      </c>
      <c r="X142" s="266" t="n">
        <v>0</v>
      </c>
      <c r="Y142" s="266" t="n">
        <v>0</v>
      </c>
      <c r="Z142" s="266" t="n">
        <v>0</v>
      </c>
      <c r="AA142" s="266" t="n">
        <v>0</v>
      </c>
      <c r="AB142" s="266" t="n">
        <v>0</v>
      </c>
      <c r="AC142" s="266" t="n">
        <v>0</v>
      </c>
      <c r="AD142" s="266" t="n">
        <v>0</v>
      </c>
      <c r="AE142" s="266" t="n">
        <v>0</v>
      </c>
      <c r="AF142" s="266" t="n">
        <v>0</v>
      </c>
      <c r="AG142" s="266" t="n">
        <v>0</v>
      </c>
      <c r="AH142" s="266" t="n">
        <v>0</v>
      </c>
      <c r="AI142" s="266" t="n">
        <v>0</v>
      </c>
      <c r="AJ142" s="266" t="n">
        <v>0</v>
      </c>
      <c r="AK142" s="266" t="n">
        <v>0</v>
      </c>
      <c r="AL142" s="266" t="n">
        <v>0</v>
      </c>
      <c r="AM142" s="266" t="n">
        <v>0</v>
      </c>
      <c r="AN142" s="266" t="n">
        <v>0</v>
      </c>
      <c r="AO142" s="266" t="n">
        <v>0</v>
      </c>
      <c r="AP142" s="266" t="n">
        <v>0</v>
      </c>
      <c r="AQ142" s="266" t="n">
        <v>0</v>
      </c>
      <c r="AR142" s="266" t="n">
        <v>0</v>
      </c>
      <c r="AS142" s="266" t="n">
        <v>-13</v>
      </c>
      <c r="AT142" s="266" t="n">
        <v>-19</v>
      </c>
      <c r="AU142" s="266" t="n">
        <v>-17</v>
      </c>
      <c r="AV142" s="266" t="n">
        <v>-19</v>
      </c>
      <c r="AW142" s="266" t="n">
        <v>-68</v>
      </c>
      <c r="AX142" s="266" t="n">
        <v>-24</v>
      </c>
      <c r="AY142" s="266" t="n">
        <v>-20</v>
      </c>
      <c r="AZ142" s="266" t="n">
        <v>-23</v>
      </c>
      <c r="BA142" s="266" t="n">
        <v>-21</v>
      </c>
      <c r="BB142" s="266" t="n">
        <v>-88</v>
      </c>
      <c r="BC142" s="266" t="n">
        <v>-23</v>
      </c>
      <c r="BD142" s="266" t="n">
        <v>-33</v>
      </c>
      <c r="BE142" s="266" t="n">
        <v>-33</v>
      </c>
      <c r="BF142" s="266" t="n">
        <v>-29</v>
      </c>
      <c r="BG142" s="266" t="n">
        <v>-118</v>
      </c>
      <c r="BH142" s="266" t="n">
        <v>-11</v>
      </c>
      <c r="BI142" s="266" t="n">
        <v>0</v>
      </c>
      <c r="BJ142" s="266" t="n">
        <v>-2</v>
      </c>
      <c r="BK142" s="266" t="n">
        <v>-7</v>
      </c>
      <c r="BL142" s="266" t="n">
        <v>-20</v>
      </c>
      <c r="BM142" s="266" t="n">
        <v>-12</v>
      </c>
      <c r="BN142" s="266" t="n">
        <v>0</v>
      </c>
      <c r="BO142" s="266" t="n">
        <v>-4</v>
      </c>
      <c r="BP142" s="266" t="n">
        <v>4</v>
      </c>
      <c r="BQ142" s="266" t="n">
        <v>-12</v>
      </c>
      <c r="BR142" s="266" t="n">
        <v>6</v>
      </c>
      <c r="BS142" s="266" t="n">
        <v>-1</v>
      </c>
      <c r="BT142" s="266" t="n">
        <v>-2</v>
      </c>
      <c r="BU142" s="266" t="n">
        <v>0</v>
      </c>
      <c r="BV142" s="266" t="n">
        <v>3</v>
      </c>
      <c r="BW142" s="266" t="n">
        <v>-3</v>
      </c>
      <c r="BX142" s="266" t="n">
        <v>16</v>
      </c>
      <c r="BY142" s="263">
        <f>0</f>
        <v>0</v>
      </c>
      <c r="BZ142" s="263">
        <f>0</f>
        <v>0</v>
      </c>
      <c r="CA142" s="263">
        <f>SUM(BW142:BZ142)</f>
        <v>13</v>
      </c>
      <c r="CB142" s="263">
        <f>0</f>
        <v>0</v>
      </c>
      <c r="CC142" s="263">
        <f>0</f>
        <v>0</v>
      </c>
      <c r="CD142" s="263">
        <f>0</f>
        <v>0</v>
      </c>
      <c r="CE142" s="263">
        <f>0</f>
        <v>0</v>
      </c>
      <c r="CF142" s="263">
        <f>0</f>
        <v>0</v>
      </c>
      <c r="CG142" s="19" t="n"/>
    </row>
    <row r="143" ht="15" customHeight="1" s="251">
      <c r="B143" s="16" t="inlineStr">
        <is>
          <t>Net earnings / (loss) attributable to Boeing shareholders</t>
        </is>
      </c>
      <c r="C143" s="281">
        <f>C139-C142</f>
        <v>2215</v>
      </c>
      <c r="D143" s="281">
        <f>D139-D142</f>
        <v>4074</v>
      </c>
      <c r="E143" s="281">
        <f>E139-E142</f>
        <v>2702</v>
      </c>
      <c r="F143" s="281">
        <f>F139-F142</f>
        <v>1312</v>
      </c>
      <c r="G143" s="281">
        <f>G139-G142</f>
        <v>3307</v>
      </c>
      <c r="H143" s="281">
        <f>H139-H142</f>
        <v>4018</v>
      </c>
      <c r="I143" s="281">
        <f>I139-I142</f>
        <v>3900</v>
      </c>
      <c r="J143" s="281">
        <f>J139-J142</f>
        <v>1106</v>
      </c>
      <c r="K143" s="281">
        <f>K139-K142</f>
        <v>1088</v>
      </c>
      <c r="L143" s="281">
        <f>L139-L142</f>
        <v>1158</v>
      </c>
      <c r="M143" s="281">
        <f>M139-M142</f>
        <v>1233</v>
      </c>
      <c r="N143" s="281">
        <f>N139-N142</f>
        <v>4585</v>
      </c>
      <c r="O143" s="281">
        <f>O139-O142</f>
        <v>965</v>
      </c>
      <c r="P143" s="281">
        <f>P139-P142</f>
        <v>1653</v>
      </c>
      <c r="Q143" s="281">
        <f>Q139-Q142</f>
        <v>1362</v>
      </c>
      <c r="R143" s="281">
        <f>R139-R142</f>
        <v>1466</v>
      </c>
      <c r="S143" s="281">
        <f>S139-S142</f>
        <v>5446</v>
      </c>
      <c r="T143" s="281">
        <f>T139-T142</f>
        <v>1336</v>
      </c>
      <c r="U143" s="281">
        <f>U139-U142</f>
        <v>1110</v>
      </c>
      <c r="V143" s="281">
        <f>V139-V142</f>
        <v>1704</v>
      </c>
      <c r="W143" s="281">
        <f>W139-W142</f>
        <v>1026</v>
      </c>
      <c r="X143" s="281">
        <f>X139-X142</f>
        <v>5176</v>
      </c>
      <c r="Y143" s="281">
        <f>Y139-Y142</f>
        <v>1219</v>
      </c>
      <c r="Z143" s="281">
        <f>Z139-Z142</f>
        <v>-234</v>
      </c>
      <c r="AA143" s="281">
        <f>AA139-AA142</f>
        <v>2279</v>
      </c>
      <c r="AB143" s="281">
        <f>AB139-AB142</f>
        <v>1631</v>
      </c>
      <c r="AC143" s="281">
        <f>AC139-AC142</f>
        <v>4895</v>
      </c>
      <c r="AD143" s="281">
        <f>AD139-AD142</f>
        <v>1451</v>
      </c>
      <c r="AE143" s="281">
        <f>AE139-AE142</f>
        <v>1761</v>
      </c>
      <c r="AF143" s="281">
        <f>AF139-AF142</f>
        <v>1853</v>
      </c>
      <c r="AG143" s="281">
        <f>AG139-AG142</f>
        <v>3132</v>
      </c>
      <c r="AH143" s="281">
        <f>AH139-AH142</f>
        <v>8197</v>
      </c>
      <c r="AI143" s="281">
        <f>AI139-AI142</f>
        <v>2477</v>
      </c>
      <c r="AJ143" s="281">
        <f>AJ139-AJ142</f>
        <v>2196</v>
      </c>
      <c r="AK143" s="281">
        <f>AK139-AK142</f>
        <v>2363</v>
      </c>
      <c r="AL143" s="281">
        <f>AL139-AL142</f>
        <v>3424</v>
      </c>
      <c r="AM143" s="281">
        <f>AM139-AM142</f>
        <v>10460</v>
      </c>
      <c r="AN143" s="281">
        <f>AN139-AN142</f>
        <v>2149</v>
      </c>
      <c r="AO143" s="281">
        <f>AO139-AO142</f>
        <v>-2942</v>
      </c>
      <c r="AP143" s="281">
        <f>AP139-AP142</f>
        <v>1167</v>
      </c>
      <c r="AQ143" s="281">
        <f>AQ139-AQ142</f>
        <v>-1010</v>
      </c>
      <c r="AR143" s="281">
        <f>AR139-AR142</f>
        <v>-636</v>
      </c>
      <c r="AS143" s="281">
        <f>AS139-AS142</f>
        <v>-628</v>
      </c>
      <c r="AT143" s="281">
        <f>AT139-AT142</f>
        <v>-2376</v>
      </c>
      <c r="AU143" s="281">
        <f>AU139-AU142</f>
        <v>-449</v>
      </c>
      <c r="AV143" s="281">
        <f>AV139-AV142</f>
        <v>-8420</v>
      </c>
      <c r="AW143" s="281">
        <f>AW139-AW142</f>
        <v>-11873</v>
      </c>
      <c r="AX143" s="281">
        <f>AX139-AX142</f>
        <v>-537</v>
      </c>
      <c r="AY143" s="281">
        <f>AY139-AY142</f>
        <v>587</v>
      </c>
      <c r="AZ143" s="281">
        <f>AZ139-AZ142</f>
        <v>-109</v>
      </c>
      <c r="BA143" s="281">
        <f>BA139-BA142</f>
        <v>-4143</v>
      </c>
      <c r="BB143" s="281">
        <f>BB139-BB142</f>
        <v>-4202</v>
      </c>
      <c r="BC143" s="281">
        <f>BC139-BC142</f>
        <v>-1219</v>
      </c>
      <c r="BD143" s="281">
        <f>BD139-BD142</f>
        <v>193</v>
      </c>
      <c r="BE143" s="281">
        <f>BE139-BE142</f>
        <v>-3275</v>
      </c>
      <c r="BF143" s="281">
        <f>BF139-BF142</f>
        <v>-634</v>
      </c>
      <c r="BG143" s="281">
        <f>BG139-BG142</f>
        <v>-4935</v>
      </c>
      <c r="BH143" s="281">
        <f>BH139-BH142</f>
        <v>-414</v>
      </c>
      <c r="BI143" s="281">
        <f>BI139-BI142</f>
        <v>-149</v>
      </c>
      <c r="BJ143" s="281">
        <f>BJ139-BJ142</f>
        <v>-1636</v>
      </c>
      <c r="BK143" s="281">
        <f>BK139-BK142</f>
        <v>-23</v>
      </c>
      <c r="BL143" s="281">
        <f>BL139-BL142</f>
        <v>-2222</v>
      </c>
      <c r="BM143" s="281">
        <f>BM139-BM142</f>
        <v>-343</v>
      </c>
      <c r="BN143" s="281">
        <f>BN139-BN142</f>
        <v>-1439</v>
      </c>
      <c r="BO143" s="281">
        <f>BO139-BO142</f>
        <v>-6170</v>
      </c>
      <c r="BP143" s="281">
        <f>BP139-BP142</f>
        <v>-3865</v>
      </c>
      <c r="BQ143" s="281">
        <f>BQ139-BQ142</f>
        <v>-11817</v>
      </c>
      <c r="BR143" s="281">
        <f>BR139-BR142</f>
        <v>-37</v>
      </c>
      <c r="BS143" s="281">
        <f>BS139-BS142</f>
        <v>-611</v>
      </c>
      <c r="BT143" s="281">
        <f>BT139-BT142</f>
        <v>-5337</v>
      </c>
      <c r="BU143" s="281">
        <f>BU139-BU142</f>
        <v>8220</v>
      </c>
      <c r="BV143" s="281">
        <f>BV139-BV142</f>
        <v>2235</v>
      </c>
      <c r="BW143" s="281">
        <f>BW139-BW142</f>
        <v>-4</v>
      </c>
      <c r="BX143" s="281">
        <f>BX139-BX142</f>
        <v>-444</v>
      </c>
      <c r="BY143" s="265">
        <f>BY139-BY142</f>
        <v>196.139164702372</v>
      </c>
      <c r="BZ143" s="265">
        <f>BZ139-BZ142</f>
        <v>186.461569064374</v>
      </c>
      <c r="CA143" s="265">
        <f>CA139-CA142</f>
        <v>-65.3992662332536</v>
      </c>
      <c r="CB143" s="265">
        <f>CB139-CB142</f>
        <v>3815.92521446473</v>
      </c>
      <c r="CC143" s="265">
        <f>CC139-CC142</f>
        <v>6319.9198368872</v>
      </c>
      <c r="CD143" s="265">
        <f>CD139-CD142</f>
        <v>8837.99501465415</v>
      </c>
      <c r="CE143" s="265">
        <f>CE139-CE142</f>
        <v>10224.520127937</v>
      </c>
      <c r="CF143" s="265">
        <f>CF139-CF142</f>
        <v>11022.774206628</v>
      </c>
      <c r="CG143" s="153" t="n"/>
    </row>
    <row r="144" ht="15" customHeight="1" s="251">
      <c r="B144" s="25" t="inlineStr">
        <is>
          <t xml:space="preserve">  Less: mandatory convertible preferred stock dividends (6.00%, issued Oct-2024; converts Oct-2027)</t>
        </is>
      </c>
      <c r="C144" s="266" t="n">
        <v>0</v>
      </c>
      <c r="D144" s="266" t="n">
        <v>0</v>
      </c>
      <c r="E144" s="266" t="n">
        <v>0</v>
      </c>
      <c r="F144" s="266" t="n">
        <v>0</v>
      </c>
      <c r="G144" s="266" t="n">
        <v>0</v>
      </c>
      <c r="H144" s="266" t="n">
        <v>0</v>
      </c>
      <c r="I144" s="266" t="n">
        <v>0</v>
      </c>
      <c r="J144" s="266" t="n">
        <v>0</v>
      </c>
      <c r="K144" s="266" t="n">
        <v>0</v>
      </c>
      <c r="L144" s="266" t="n">
        <v>0</v>
      </c>
      <c r="M144" s="266" t="n">
        <v>0</v>
      </c>
      <c r="N144" s="266" t="n">
        <v>0</v>
      </c>
      <c r="O144" s="266" t="n">
        <v>0</v>
      </c>
      <c r="P144" s="266" t="n">
        <v>0</v>
      </c>
      <c r="Q144" s="266" t="n">
        <v>0</v>
      </c>
      <c r="R144" s="266" t="n">
        <v>0</v>
      </c>
      <c r="S144" s="266" t="n">
        <v>0</v>
      </c>
      <c r="T144" s="266" t="n">
        <v>0</v>
      </c>
      <c r="U144" s="266" t="n">
        <v>0</v>
      </c>
      <c r="V144" s="266" t="n">
        <v>0</v>
      </c>
      <c r="W144" s="266" t="n">
        <v>0</v>
      </c>
      <c r="X144" s="266" t="n">
        <v>0</v>
      </c>
      <c r="Y144" s="266" t="n">
        <v>0</v>
      </c>
      <c r="Z144" s="266" t="n">
        <v>0</v>
      </c>
      <c r="AA144" s="266" t="n">
        <v>0</v>
      </c>
      <c r="AB144" s="266" t="n">
        <v>0</v>
      </c>
      <c r="AC144" s="266" t="n">
        <v>0</v>
      </c>
      <c r="AD144" s="266" t="n">
        <v>0</v>
      </c>
      <c r="AE144" s="266" t="n">
        <v>0</v>
      </c>
      <c r="AF144" s="266" t="n">
        <v>0</v>
      </c>
      <c r="AG144" s="266" t="n">
        <v>0</v>
      </c>
      <c r="AH144" s="266" t="n">
        <v>0</v>
      </c>
      <c r="AI144" s="266" t="n">
        <v>0</v>
      </c>
      <c r="AJ144" s="266" t="n">
        <v>0</v>
      </c>
      <c r="AK144" s="266" t="n">
        <v>0</v>
      </c>
      <c r="AL144" s="266" t="n">
        <v>0</v>
      </c>
      <c r="AM144" s="266" t="n">
        <v>0</v>
      </c>
      <c r="AN144" s="266" t="n">
        <v>0</v>
      </c>
      <c r="AO144" s="266" t="n">
        <v>0</v>
      </c>
      <c r="AP144" s="266" t="n">
        <v>0</v>
      </c>
      <c r="AQ144" s="266" t="n">
        <v>0</v>
      </c>
      <c r="AR144" s="266" t="n">
        <v>0</v>
      </c>
      <c r="AS144" s="266" t="n">
        <v>0</v>
      </c>
      <c r="AT144" s="266" t="n">
        <v>0</v>
      </c>
      <c r="AU144" s="266" t="n">
        <v>0</v>
      </c>
      <c r="AV144" s="266" t="n">
        <v>0</v>
      </c>
      <c r="AW144" s="266" t="n">
        <v>0</v>
      </c>
      <c r="AX144" s="266" t="n">
        <v>0</v>
      </c>
      <c r="AY144" s="266" t="n">
        <v>0</v>
      </c>
      <c r="AZ144" s="266" t="n">
        <v>0</v>
      </c>
      <c r="BA144" s="266" t="n">
        <v>0</v>
      </c>
      <c r="BB144" s="266" t="n">
        <v>0</v>
      </c>
      <c r="BC144" s="266" t="n">
        <v>0</v>
      </c>
      <c r="BD144" s="266" t="n">
        <v>0</v>
      </c>
      <c r="BE144" s="266" t="n">
        <v>0</v>
      </c>
      <c r="BF144" s="266" t="n">
        <v>0</v>
      </c>
      <c r="BG144" s="266" t="n">
        <v>0</v>
      </c>
      <c r="BH144" s="266" t="n">
        <v>0</v>
      </c>
      <c r="BI144" s="266" t="n">
        <v>0</v>
      </c>
      <c r="BJ144" s="266" t="n">
        <v>0</v>
      </c>
      <c r="BK144" s="266" t="n">
        <v>0</v>
      </c>
      <c r="BL144" s="266" t="n">
        <v>0</v>
      </c>
      <c r="BM144" s="266" t="n">
        <v>0</v>
      </c>
      <c r="BN144" s="266" t="n">
        <v>0</v>
      </c>
      <c r="BO144" s="266" t="n">
        <v>0</v>
      </c>
      <c r="BP144" s="266" t="n">
        <v>58</v>
      </c>
      <c r="BQ144" s="266" t="n">
        <v>58</v>
      </c>
      <c r="BR144" s="266" t="n">
        <v>86</v>
      </c>
      <c r="BS144" s="266" t="n">
        <v>86</v>
      </c>
      <c r="BT144" s="266" t="n">
        <v>87</v>
      </c>
      <c r="BU144" s="266" t="n">
        <v>86</v>
      </c>
      <c r="BV144" s="266" t="n">
        <v>345</v>
      </c>
      <c r="BW144" s="266" t="n">
        <v>86</v>
      </c>
      <c r="BX144" s="266" t="n">
        <v>86</v>
      </c>
      <c r="BY144" s="263">
        <f>$CQ$29</f>
        <v>86.25</v>
      </c>
      <c r="BZ144" s="263">
        <f>$CQ$29</f>
        <v>86.25</v>
      </c>
      <c r="CA144" s="263">
        <f>SUM(BW144:BZ144)</f>
        <v>344.5</v>
      </c>
      <c r="CB144" s="271" t="n">
        <v>272.2</v>
      </c>
      <c r="CC144" s="271" t="n">
        <v>0</v>
      </c>
      <c r="CD144" s="271" t="n">
        <v>0</v>
      </c>
      <c r="CE144" s="271" t="n">
        <v>0</v>
      </c>
      <c r="CF144" s="271" t="n">
        <v>0</v>
      </c>
      <c r="CG144" s="19" t="inlineStr">
        <is>
          <t>$5.75bn liquidation preference × 6% = $345m p.a. ($86.25m a quarter); 2027E accrues to the 15-Oct-2027 conversion (288 / 365 days, assumption).</t>
        </is>
      </c>
    </row>
    <row r="145" ht="15" customHeight="1" s="251">
      <c r="B145" s="55" t="inlineStr">
        <is>
          <t>Net earnings / (loss) available to common shareholders</t>
        </is>
      </c>
      <c r="C145" s="275">
        <f>C143-C144</f>
        <v>2215</v>
      </c>
      <c r="D145" s="275">
        <f>D143-D144</f>
        <v>4074</v>
      </c>
      <c r="E145" s="275">
        <f>E143-E144</f>
        <v>2702</v>
      </c>
      <c r="F145" s="275">
        <f>F143-F144</f>
        <v>1312</v>
      </c>
      <c r="G145" s="275">
        <f>G143-G144</f>
        <v>3307</v>
      </c>
      <c r="H145" s="275">
        <f>H143-H144</f>
        <v>4018</v>
      </c>
      <c r="I145" s="275">
        <f>I143-I144</f>
        <v>3900</v>
      </c>
      <c r="J145" s="275">
        <f>J143-J144</f>
        <v>1106</v>
      </c>
      <c r="K145" s="275">
        <f>K143-K144</f>
        <v>1088</v>
      </c>
      <c r="L145" s="275">
        <f>L143-L144</f>
        <v>1158</v>
      </c>
      <c r="M145" s="275">
        <f>M143-M144</f>
        <v>1233</v>
      </c>
      <c r="N145" s="275">
        <f>N143-N144</f>
        <v>4585</v>
      </c>
      <c r="O145" s="275">
        <f>O143-O144</f>
        <v>965</v>
      </c>
      <c r="P145" s="275">
        <f>P143-P144</f>
        <v>1653</v>
      </c>
      <c r="Q145" s="275">
        <f>Q143-Q144</f>
        <v>1362</v>
      </c>
      <c r="R145" s="275">
        <f>R143-R144</f>
        <v>1466</v>
      </c>
      <c r="S145" s="275">
        <f>S143-S144</f>
        <v>5446</v>
      </c>
      <c r="T145" s="275">
        <f>T143-T144</f>
        <v>1336</v>
      </c>
      <c r="U145" s="275">
        <f>U143-U144</f>
        <v>1110</v>
      </c>
      <c r="V145" s="275">
        <f>V143-V144</f>
        <v>1704</v>
      </c>
      <c r="W145" s="275">
        <f>W143-W144</f>
        <v>1026</v>
      </c>
      <c r="X145" s="275">
        <f>X143-X144</f>
        <v>5176</v>
      </c>
      <c r="Y145" s="275">
        <f>Y143-Y144</f>
        <v>1219</v>
      </c>
      <c r="Z145" s="275">
        <f>Z143-Z144</f>
        <v>-234</v>
      </c>
      <c r="AA145" s="275">
        <f>AA143-AA144</f>
        <v>2279</v>
      </c>
      <c r="AB145" s="275">
        <f>AB143-AB144</f>
        <v>1631</v>
      </c>
      <c r="AC145" s="275">
        <f>AC143-AC144</f>
        <v>4895</v>
      </c>
      <c r="AD145" s="275">
        <f>AD143-AD144</f>
        <v>1451</v>
      </c>
      <c r="AE145" s="275">
        <f>AE143-AE144</f>
        <v>1761</v>
      </c>
      <c r="AF145" s="275">
        <f>AF143-AF144</f>
        <v>1853</v>
      </c>
      <c r="AG145" s="275">
        <f>AG143-AG144</f>
        <v>3132</v>
      </c>
      <c r="AH145" s="275">
        <f>AH143-AH144</f>
        <v>8197</v>
      </c>
      <c r="AI145" s="275">
        <f>AI143-AI144</f>
        <v>2477</v>
      </c>
      <c r="AJ145" s="275">
        <f>AJ143-AJ144</f>
        <v>2196</v>
      </c>
      <c r="AK145" s="275">
        <f>AK143-AK144</f>
        <v>2363</v>
      </c>
      <c r="AL145" s="275">
        <f>AL143-AL144</f>
        <v>3424</v>
      </c>
      <c r="AM145" s="275">
        <f>AM143-AM144</f>
        <v>10460</v>
      </c>
      <c r="AN145" s="275">
        <f>AN143-AN144</f>
        <v>2149</v>
      </c>
      <c r="AO145" s="275">
        <f>AO143-AO144</f>
        <v>-2942</v>
      </c>
      <c r="AP145" s="275">
        <f>AP143-AP144</f>
        <v>1167</v>
      </c>
      <c r="AQ145" s="275">
        <f>AQ143-AQ144</f>
        <v>-1010</v>
      </c>
      <c r="AR145" s="275">
        <f>AR143-AR144</f>
        <v>-636</v>
      </c>
      <c r="AS145" s="275">
        <f>AS143-AS144</f>
        <v>-628</v>
      </c>
      <c r="AT145" s="275">
        <f>AT143-AT144</f>
        <v>-2376</v>
      </c>
      <c r="AU145" s="275">
        <f>AU143-AU144</f>
        <v>-449</v>
      </c>
      <c r="AV145" s="275">
        <f>AV143-AV144</f>
        <v>-8420</v>
      </c>
      <c r="AW145" s="275">
        <f>AW143-AW144</f>
        <v>-11873</v>
      </c>
      <c r="AX145" s="275">
        <f>AX143-AX144</f>
        <v>-537</v>
      </c>
      <c r="AY145" s="275">
        <f>AY143-AY144</f>
        <v>587</v>
      </c>
      <c r="AZ145" s="275">
        <f>AZ143-AZ144</f>
        <v>-109</v>
      </c>
      <c r="BA145" s="275">
        <f>BA143-BA144</f>
        <v>-4143</v>
      </c>
      <c r="BB145" s="275">
        <f>BB143-BB144</f>
        <v>-4202</v>
      </c>
      <c r="BC145" s="275">
        <f>BC143-BC144</f>
        <v>-1219</v>
      </c>
      <c r="BD145" s="275">
        <f>BD143-BD144</f>
        <v>193</v>
      </c>
      <c r="BE145" s="275">
        <f>BE143-BE144</f>
        <v>-3275</v>
      </c>
      <c r="BF145" s="275">
        <f>BF143-BF144</f>
        <v>-634</v>
      </c>
      <c r="BG145" s="275">
        <f>BG143-BG144</f>
        <v>-4935</v>
      </c>
      <c r="BH145" s="275">
        <f>BH143-BH144</f>
        <v>-414</v>
      </c>
      <c r="BI145" s="275">
        <f>BI143-BI144</f>
        <v>-149</v>
      </c>
      <c r="BJ145" s="275">
        <f>BJ143-BJ144</f>
        <v>-1636</v>
      </c>
      <c r="BK145" s="275">
        <f>BK143-BK144</f>
        <v>-23</v>
      </c>
      <c r="BL145" s="275">
        <f>BL143-BL144</f>
        <v>-2222</v>
      </c>
      <c r="BM145" s="275">
        <f>BM143-BM144</f>
        <v>-343</v>
      </c>
      <c r="BN145" s="275">
        <f>BN143-BN144</f>
        <v>-1439</v>
      </c>
      <c r="BO145" s="275">
        <f>BO143-BO144</f>
        <v>-6170</v>
      </c>
      <c r="BP145" s="275">
        <f>BP143-BP144</f>
        <v>-3923</v>
      </c>
      <c r="BQ145" s="275">
        <f>BQ143-BQ144</f>
        <v>-11875</v>
      </c>
      <c r="BR145" s="275">
        <f>BR143-BR144</f>
        <v>-123</v>
      </c>
      <c r="BS145" s="275">
        <f>BS143-BS144</f>
        <v>-697</v>
      </c>
      <c r="BT145" s="275">
        <f>BT143-BT144</f>
        <v>-5424</v>
      </c>
      <c r="BU145" s="275">
        <f>BU143-BU144</f>
        <v>8134</v>
      </c>
      <c r="BV145" s="275">
        <f>BV143-BV144</f>
        <v>1890</v>
      </c>
      <c r="BW145" s="275">
        <f>BW143-BW144</f>
        <v>-90</v>
      </c>
      <c r="BX145" s="275">
        <f>BX143-BX144</f>
        <v>-530</v>
      </c>
      <c r="BY145" s="275">
        <f>BY143-BY144</f>
        <v>109.889164702372</v>
      </c>
      <c r="BZ145" s="275">
        <f>BZ143-BZ144</f>
        <v>100.211569064374</v>
      </c>
      <c r="CA145" s="275">
        <f>CA143-CA144</f>
        <v>-409.899266233254</v>
      </c>
      <c r="CB145" s="275">
        <f>CB143-CB144</f>
        <v>3543.72521446473</v>
      </c>
      <c r="CC145" s="275">
        <f>CC143-CC144</f>
        <v>6319.9198368872</v>
      </c>
      <c r="CD145" s="275">
        <f>CD143-CD144</f>
        <v>8837.99501465415</v>
      </c>
      <c r="CE145" s="275">
        <f>CE143-CE144</f>
        <v>10224.520127937</v>
      </c>
      <c r="CF145" s="275">
        <f>CF143-CF144</f>
        <v>11022.774206628</v>
      </c>
      <c r="CG145" s="153" t="n"/>
    </row>
    <row r="146" ht="15" customHeight="1" s="251">
      <c r="B146" s="156" t="inlineStr">
        <is>
          <t xml:space="preserve">  Memo: depreciation &amp; amortization</t>
        </is>
      </c>
      <c r="C146" s="262">
        <f>C104</f>
        <v>1545</v>
      </c>
      <c r="D146" s="262">
        <f>D104</f>
        <v>1486</v>
      </c>
      <c r="E146" s="262">
        <f>E104</f>
        <v>1491</v>
      </c>
      <c r="F146" s="262">
        <f>F104</f>
        <v>1666</v>
      </c>
      <c r="G146" s="262">
        <f>G104</f>
        <v>1727</v>
      </c>
      <c r="H146" s="262">
        <f>H104</f>
        <v>1457</v>
      </c>
      <c r="I146" s="262">
        <f>I104</f>
        <v>1811</v>
      </c>
      <c r="J146" s="262">
        <f>J104</f>
        <v>429</v>
      </c>
      <c r="K146" s="262">
        <f>K104</f>
        <v>436</v>
      </c>
      <c r="L146" s="262">
        <f>L104</f>
        <v>458</v>
      </c>
      <c r="M146" s="262">
        <f>M104</f>
        <v>521</v>
      </c>
      <c r="N146" s="262">
        <f>N104</f>
        <v>1844</v>
      </c>
      <c r="O146" s="262">
        <f>O104</f>
        <v>448</v>
      </c>
      <c r="P146" s="262">
        <f>P104</f>
        <v>452</v>
      </c>
      <c r="Q146" s="262">
        <f>Q104</f>
        <v>478</v>
      </c>
      <c r="R146" s="262">
        <f>R104</f>
        <v>528</v>
      </c>
      <c r="S146" s="262">
        <f>S104</f>
        <v>1906</v>
      </c>
      <c r="T146" s="262">
        <f>T104</f>
        <v>459</v>
      </c>
      <c r="U146" s="262">
        <f>U104</f>
        <v>453</v>
      </c>
      <c r="V146" s="262">
        <f>V104</f>
        <v>437</v>
      </c>
      <c r="W146" s="262">
        <f>W104</f>
        <v>484</v>
      </c>
      <c r="X146" s="262">
        <f>X104</f>
        <v>1833</v>
      </c>
      <c r="Y146" s="262">
        <f>Y104</f>
        <v>443</v>
      </c>
      <c r="Z146" s="262">
        <f>Z104</f>
        <v>447</v>
      </c>
      <c r="AA146" s="262">
        <f>AA104</f>
        <v>474</v>
      </c>
      <c r="AB146" s="262">
        <f>AB104</f>
        <v>546</v>
      </c>
      <c r="AC146" s="262">
        <f>AC104</f>
        <v>1910</v>
      </c>
      <c r="AD146" s="262">
        <f>AD104</f>
        <v>471</v>
      </c>
      <c r="AE146" s="262">
        <f>AE104</f>
        <v>494</v>
      </c>
      <c r="AF146" s="262">
        <f>AF104</f>
        <v>522</v>
      </c>
      <c r="AG146" s="262">
        <f>AG104</f>
        <v>582</v>
      </c>
      <c r="AH146" s="262">
        <f>AH104</f>
        <v>2069</v>
      </c>
      <c r="AI146" s="262">
        <f>AI104</f>
        <v>501</v>
      </c>
      <c r="AJ146" s="262">
        <f>AJ104</f>
        <v>507</v>
      </c>
      <c r="AK146" s="262">
        <f>AK104</f>
        <v>523</v>
      </c>
      <c r="AL146" s="262">
        <f>AL104</f>
        <v>583</v>
      </c>
      <c r="AM146" s="262">
        <f>AM104</f>
        <v>2114</v>
      </c>
      <c r="AN146" s="262">
        <f>AN104</f>
        <v>521</v>
      </c>
      <c r="AO146" s="262">
        <f>AO104</f>
        <v>546</v>
      </c>
      <c r="AP146" s="262">
        <f>AP104</f>
        <v>576</v>
      </c>
      <c r="AQ146" s="262">
        <f>AQ104</f>
        <v>628</v>
      </c>
      <c r="AR146" s="262">
        <f>AR104</f>
        <v>2271</v>
      </c>
      <c r="AS146" s="262">
        <f>AS104</f>
        <v>556</v>
      </c>
      <c r="AT146" s="262">
        <f>AT104</f>
        <v>547</v>
      </c>
      <c r="AU146" s="262">
        <f>AU104</f>
        <v>565</v>
      </c>
      <c r="AV146" s="262">
        <f>AV104</f>
        <v>578</v>
      </c>
      <c r="AW146" s="262">
        <f>AW104</f>
        <v>2246</v>
      </c>
      <c r="AX146" s="262">
        <f>AX104</f>
        <v>536</v>
      </c>
      <c r="AY146" s="262">
        <f>AY104</f>
        <v>551</v>
      </c>
      <c r="AZ146" s="262">
        <f>AZ104</f>
        <v>523</v>
      </c>
      <c r="BA146" s="262">
        <f>BA104</f>
        <v>534</v>
      </c>
      <c r="BB146" s="262">
        <f>BB104</f>
        <v>2144</v>
      </c>
      <c r="BC146" s="262">
        <f>BC104</f>
        <v>486</v>
      </c>
      <c r="BD146" s="262">
        <f>BD104</f>
        <v>498</v>
      </c>
      <c r="BE146" s="262">
        <f>BE104</f>
        <v>493</v>
      </c>
      <c r="BF146" s="262">
        <f>BF104</f>
        <v>502</v>
      </c>
      <c r="BG146" s="262">
        <f>BG104</f>
        <v>1979</v>
      </c>
      <c r="BH146" s="262">
        <f>BH104</f>
        <v>457</v>
      </c>
      <c r="BI146" s="262">
        <f>BI104</f>
        <v>456</v>
      </c>
      <c r="BJ146" s="262">
        <f>BJ104</f>
        <v>467</v>
      </c>
      <c r="BK146" s="262">
        <f>BK104</f>
        <v>481</v>
      </c>
      <c r="BL146" s="262">
        <f>BL104</f>
        <v>1861</v>
      </c>
      <c r="BM146" s="262">
        <f>BM104</f>
        <v>442</v>
      </c>
      <c r="BN146" s="262">
        <f>BN104</f>
        <v>441</v>
      </c>
      <c r="BO146" s="262">
        <f>BO104</f>
        <v>444</v>
      </c>
      <c r="BP146" s="262">
        <f>BP104</f>
        <v>509</v>
      </c>
      <c r="BQ146" s="262">
        <f>BQ104</f>
        <v>1836</v>
      </c>
      <c r="BR146" s="262">
        <f>BR104</f>
        <v>466</v>
      </c>
      <c r="BS146" s="262">
        <f>BS104</f>
        <v>460</v>
      </c>
      <c r="BT146" s="262">
        <f>BT104</f>
        <v>491</v>
      </c>
      <c r="BU146" s="262">
        <f>BU104</f>
        <v>536</v>
      </c>
      <c r="BV146" s="262">
        <f>BV104</f>
        <v>1953</v>
      </c>
      <c r="BW146" s="262">
        <f>BW104</f>
        <v>573</v>
      </c>
      <c r="BX146" s="262">
        <f>BX104</f>
        <v>596</v>
      </c>
      <c r="BY146" s="263">
        <f>BY104</f>
        <v>585</v>
      </c>
      <c r="BZ146" s="263">
        <f>BZ104</f>
        <v>585</v>
      </c>
      <c r="CA146" s="263">
        <f>CA104</f>
        <v>2339</v>
      </c>
      <c r="CB146" s="263">
        <f>CB104</f>
        <v>2558.36181834101</v>
      </c>
      <c r="CC146" s="263">
        <f>CC104</f>
        <v>2778.75218905293</v>
      </c>
      <c r="CD146" s="263">
        <f>CD104</f>
        <v>2847.59530454219</v>
      </c>
      <c r="CE146" s="263">
        <f>CE104</f>
        <v>2987.98667400387</v>
      </c>
      <c r="CF146" s="263">
        <f>CF104</f>
        <v>3116.62764513887</v>
      </c>
      <c r="CG146" s="153" t="n"/>
    </row>
    <row r="147" ht="15" customHeight="1" s="251">
      <c r="B147" s="156" t="inlineStr">
        <is>
          <t xml:space="preserve">  Memo: share-based plans expense</t>
        </is>
      </c>
      <c r="C147" s="262">
        <f>C109</f>
        <v>743</v>
      </c>
      <c r="D147" s="262">
        <f>D109</f>
        <v>287</v>
      </c>
      <c r="E147" s="262">
        <f>E109</f>
        <v>209</v>
      </c>
      <c r="F147" s="262">
        <f>F109</f>
        <v>238</v>
      </c>
      <c r="G147" s="262">
        <f>G109</f>
        <v>215</v>
      </c>
      <c r="H147" s="262">
        <f>H109</f>
        <v>186</v>
      </c>
      <c r="I147" s="262">
        <f>I109</f>
        <v>193</v>
      </c>
      <c r="J147" s="262">
        <f>J109</f>
        <v>58</v>
      </c>
      <c r="K147" s="262">
        <f>K109</f>
        <v>49</v>
      </c>
      <c r="L147" s="262">
        <f>L109</f>
        <v>49</v>
      </c>
      <c r="M147" s="262">
        <f>M109</f>
        <v>50</v>
      </c>
      <c r="N147" s="262">
        <f>N109</f>
        <v>206</v>
      </c>
      <c r="O147" s="262">
        <f>O109</f>
        <v>52</v>
      </c>
      <c r="P147" s="262">
        <f>P109</f>
        <v>49</v>
      </c>
      <c r="Q147" s="262">
        <f>Q109</f>
        <v>51</v>
      </c>
      <c r="R147" s="262">
        <f>R109</f>
        <v>43</v>
      </c>
      <c r="S147" s="262">
        <f>S109</f>
        <v>195</v>
      </c>
      <c r="T147" s="262">
        <f>T109</f>
        <v>50</v>
      </c>
      <c r="U147" s="262">
        <f>U109</f>
        <v>44</v>
      </c>
      <c r="V147" s="262">
        <f>V109</f>
        <v>47</v>
      </c>
      <c r="W147" s="262">
        <f>W109</f>
        <v>48</v>
      </c>
      <c r="X147" s="262">
        <f>X109</f>
        <v>189</v>
      </c>
      <c r="Y147" s="262">
        <f>Y109</f>
        <v>51</v>
      </c>
      <c r="Z147" s="262">
        <f>Z109</f>
        <v>46</v>
      </c>
      <c r="AA147" s="262">
        <f>AA109</f>
        <v>47</v>
      </c>
      <c r="AB147" s="262">
        <f>AB109</f>
        <v>46</v>
      </c>
      <c r="AC147" s="262">
        <f>AC109</f>
        <v>190</v>
      </c>
      <c r="AD147" s="262">
        <f>AD109</f>
        <v>50</v>
      </c>
      <c r="AE147" s="262">
        <f>AE109</f>
        <v>48</v>
      </c>
      <c r="AF147" s="262">
        <f>AF109</f>
        <v>53</v>
      </c>
      <c r="AG147" s="262">
        <f>AG109</f>
        <v>51</v>
      </c>
      <c r="AH147" s="262">
        <f>AH109</f>
        <v>202</v>
      </c>
      <c r="AI147" s="262">
        <f>AI109</f>
        <v>45</v>
      </c>
      <c r="AJ147" s="262">
        <f>AJ109</f>
        <v>53</v>
      </c>
      <c r="AK147" s="262">
        <f>AK109</f>
        <v>52</v>
      </c>
      <c r="AL147" s="262">
        <f>AL109</f>
        <v>52</v>
      </c>
      <c r="AM147" s="262">
        <f>AM109</f>
        <v>202</v>
      </c>
      <c r="AN147" s="262">
        <f>AN109</f>
        <v>47</v>
      </c>
      <c r="AO147" s="262">
        <f>AO109</f>
        <v>57</v>
      </c>
      <c r="AP147" s="262">
        <f>AP109</f>
        <v>56</v>
      </c>
      <c r="AQ147" s="262">
        <f>AQ109</f>
        <v>52</v>
      </c>
      <c r="AR147" s="262">
        <f>AR109</f>
        <v>212</v>
      </c>
      <c r="AS147" s="262">
        <f>AS109</f>
        <v>55</v>
      </c>
      <c r="AT147" s="262">
        <f>AT109</f>
        <v>60</v>
      </c>
      <c r="AU147" s="262">
        <f>AU109</f>
        <v>50</v>
      </c>
      <c r="AV147" s="262">
        <f>AV109</f>
        <v>85</v>
      </c>
      <c r="AW147" s="262">
        <f>AW109</f>
        <v>250</v>
      </c>
      <c r="AX147" s="262">
        <f>AX109</f>
        <v>321</v>
      </c>
      <c r="AY147" s="262">
        <f>AY109</f>
        <v>172</v>
      </c>
      <c r="AZ147" s="262">
        <f>AZ109</f>
        <v>184</v>
      </c>
      <c r="BA147" s="262">
        <f>BA109</f>
        <v>156</v>
      </c>
      <c r="BB147" s="262">
        <f>BB109</f>
        <v>833</v>
      </c>
      <c r="BC147" s="262">
        <f>BC109</f>
        <v>203</v>
      </c>
      <c r="BD147" s="262">
        <f>BD109</f>
        <v>149</v>
      </c>
      <c r="BE147" s="262">
        <f>BE109</f>
        <v>176</v>
      </c>
      <c r="BF147" s="262">
        <f>BF109</f>
        <v>197</v>
      </c>
      <c r="BG147" s="262">
        <f>BG109</f>
        <v>725</v>
      </c>
      <c r="BH147" s="262">
        <f>BH109</f>
        <v>222</v>
      </c>
      <c r="BI147" s="262">
        <f>BI109</f>
        <v>159</v>
      </c>
      <c r="BJ147" s="262">
        <f>BJ109</f>
        <v>167</v>
      </c>
      <c r="BK147" s="262">
        <f>BK109</f>
        <v>142</v>
      </c>
      <c r="BL147" s="262">
        <f>BL109</f>
        <v>690</v>
      </c>
      <c r="BM147" s="262">
        <f>BM109</f>
        <v>119</v>
      </c>
      <c r="BN147" s="262">
        <f>BN109</f>
        <v>89</v>
      </c>
      <c r="BO147" s="262">
        <f>BO109</f>
        <v>102</v>
      </c>
      <c r="BP147" s="262">
        <f>BP109</f>
        <v>97</v>
      </c>
      <c r="BQ147" s="262">
        <f>BQ109</f>
        <v>407</v>
      </c>
      <c r="BR147" s="262">
        <f>BR109</f>
        <v>135</v>
      </c>
      <c r="BS147" s="262">
        <f>BS109</f>
        <v>119</v>
      </c>
      <c r="BT147" s="262">
        <f>BT109</f>
        <v>89</v>
      </c>
      <c r="BU147" s="262">
        <f>BU109</f>
        <v>83</v>
      </c>
      <c r="BV147" s="262">
        <f>BV109</f>
        <v>426</v>
      </c>
      <c r="BW147" s="262">
        <f>BW109</f>
        <v>161</v>
      </c>
      <c r="BX147" s="262">
        <f>BX109</f>
        <v>103</v>
      </c>
      <c r="BY147" s="263">
        <f>BY109</f>
        <v>132</v>
      </c>
      <c r="BZ147" s="263">
        <f>BZ109</f>
        <v>132</v>
      </c>
      <c r="CA147" s="263">
        <f>CA109</f>
        <v>528</v>
      </c>
      <c r="CB147" s="263">
        <f>CB109</f>
        <v>532.99204548771</v>
      </c>
      <c r="CC147" s="263">
        <f>CC109</f>
        <v>578.906706052693</v>
      </c>
      <c r="CD147" s="263">
        <f>CD109</f>
        <v>619.042457509171</v>
      </c>
      <c r="CE147" s="263">
        <f>CE109</f>
        <v>649.562320435623</v>
      </c>
      <c r="CF147" s="263">
        <f>CF109</f>
        <v>677.527748943233</v>
      </c>
      <c r="CG147" s="153" t="n"/>
    </row>
    <row r="148" ht="15" customHeight="1" s="251">
      <c r="B148" s="25" t="inlineStr">
        <is>
          <t>(Earnings per share — common stock)</t>
        </is>
      </c>
      <c r="CG148" s="153" t="n"/>
    </row>
    <row r="149" collapsed="1" ht="15" customHeight="1" s="251">
      <c r="B149" s="156" t="inlineStr">
        <is>
          <t xml:space="preserve">  Memo: preferred dividends added back (1 = if-converted, mandatory convertible preferred dilutive)</t>
        </is>
      </c>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c r="V149" s="34" t="n"/>
      <c r="W149" s="34" t="n"/>
      <c r="X149" s="34" t="n"/>
      <c r="Y149" s="34" t="n"/>
      <c r="Z149" s="34" t="n"/>
      <c r="AA149" s="34" t="n"/>
      <c r="AB149" s="34" t="n"/>
      <c r="AC149" s="34" t="n"/>
      <c r="AD149" s="34" t="n"/>
      <c r="AE149" s="34" t="n"/>
      <c r="AF149" s="34" t="n"/>
      <c r="AG149" s="34" t="n"/>
      <c r="AH149" s="34" t="n"/>
      <c r="AI149" s="34" t="n"/>
      <c r="AJ149" s="34" t="n"/>
      <c r="AK149" s="34" t="n"/>
      <c r="AL149" s="34" t="n"/>
      <c r="AM149" s="34" t="n"/>
      <c r="AN149" s="34" t="n"/>
      <c r="AO149" s="34" t="n"/>
      <c r="AP149" s="34" t="n"/>
      <c r="AQ149" s="34" t="n"/>
      <c r="AR149" s="34" t="n"/>
      <c r="AS149" s="34" t="n"/>
      <c r="AT149" s="34" t="n"/>
      <c r="AU149" s="34" t="n"/>
      <c r="AV149" s="34" t="n"/>
      <c r="AW149" s="34" t="n"/>
      <c r="AX149" s="34" t="n"/>
      <c r="AY149" s="34" t="n"/>
      <c r="AZ149" s="34" t="n"/>
      <c r="BA149" s="34" t="n"/>
      <c r="BB149" s="34" t="n"/>
      <c r="BC149" s="34" t="n"/>
      <c r="BD149" s="34" t="n"/>
      <c r="BE149" s="34" t="n"/>
      <c r="BF149" s="34" t="n"/>
      <c r="BG149" s="34" t="n"/>
      <c r="BH149" s="34" t="n"/>
      <c r="BI149" s="34" t="n"/>
      <c r="BJ149" s="34" t="n"/>
      <c r="BK149" s="34" t="n"/>
      <c r="BL149" s="34" t="n"/>
      <c r="BM149" s="34" t="n"/>
      <c r="BN149" s="34" t="n"/>
      <c r="BO149" s="34" t="n"/>
      <c r="BP149" s="34" t="n"/>
      <c r="BQ149" s="34" t="n"/>
      <c r="BR149" s="34" t="n"/>
      <c r="BS149" s="34" t="n"/>
      <c r="BT149" s="34" t="n"/>
      <c r="BU149" s="282" t="n">
        <v>1</v>
      </c>
      <c r="BV149" s="34" t="n"/>
      <c r="BW149" s="34" t="n"/>
      <c r="BX149" s="34" t="n"/>
      <c r="BY149" s="283" t="n">
        <v>0</v>
      </c>
      <c r="BZ149" s="283" t="n">
        <v>0</v>
      </c>
      <c r="CA149" s="153" t="n"/>
      <c r="CB149" s="284">
        <f>IF(CB143&gt;0,1,0)</f>
        <v>1</v>
      </c>
      <c r="CC149" s="284">
        <f>0</f>
        <v>0</v>
      </c>
      <c r="CD149" s="284">
        <f>0</f>
        <v>0</v>
      </c>
      <c r="CE149" s="284">
        <f>0</f>
        <v>0</v>
      </c>
      <c r="CF149" s="284">
        <f>0</f>
        <v>0</v>
      </c>
      <c r="CG149" s="153" t="n"/>
    </row>
    <row r="150" ht="15" customHeight="1" s="251">
      <c r="B150" s="25" t="inlineStr">
        <is>
          <t xml:space="preserve">  EPS numerator (net earnings available to common; attributable when if-converted)</t>
        </is>
      </c>
      <c r="C150" s="262">
        <f>IF(N(C149)=1,C143,C145)</f>
        <v>2215</v>
      </c>
      <c r="D150" s="262">
        <f>IF(N(D149)=1,D143,D145)</f>
        <v>4074</v>
      </c>
      <c r="E150" s="262">
        <f>IF(N(E149)=1,E143,E145)</f>
        <v>2702</v>
      </c>
      <c r="F150" s="262">
        <f>IF(N(F149)=1,F143,F145)</f>
        <v>1312</v>
      </c>
      <c r="G150" s="262">
        <f>IF(N(G149)=1,G143,G145)</f>
        <v>3307</v>
      </c>
      <c r="H150" s="262">
        <f>IF(N(H149)=1,H143,H145)</f>
        <v>4018</v>
      </c>
      <c r="I150" s="262">
        <f>IF(N(I149)=1,I143,I145)</f>
        <v>3900</v>
      </c>
      <c r="J150" s="262">
        <f>IF(N(J149)=1,J143,J145)</f>
        <v>1106</v>
      </c>
      <c r="K150" s="262">
        <f>IF(N(K149)=1,K143,K145)</f>
        <v>1088</v>
      </c>
      <c r="L150" s="262">
        <f>IF(N(L149)=1,L143,L145)</f>
        <v>1158</v>
      </c>
      <c r="M150" s="262">
        <f>IF(N(M149)=1,M143,M145)</f>
        <v>1233</v>
      </c>
      <c r="N150" s="262">
        <f>IF(N(N149)=1,N143,N145)</f>
        <v>4585</v>
      </c>
      <c r="O150" s="262">
        <f>IF(N(O149)=1,O143,O145)</f>
        <v>965</v>
      </c>
      <c r="P150" s="262">
        <f>IF(N(P149)=1,P143,P145)</f>
        <v>1653</v>
      </c>
      <c r="Q150" s="262">
        <f>IF(N(Q149)=1,Q143,Q145)</f>
        <v>1362</v>
      </c>
      <c r="R150" s="262">
        <f>IF(N(R149)=1,R143,R145)</f>
        <v>1466</v>
      </c>
      <c r="S150" s="262">
        <f>IF(N(S149)=1,S143,S145)</f>
        <v>5446</v>
      </c>
      <c r="T150" s="262">
        <f>IF(N(T149)=1,T143,T145)</f>
        <v>1336</v>
      </c>
      <c r="U150" s="262">
        <f>IF(N(U149)=1,U143,U145)</f>
        <v>1110</v>
      </c>
      <c r="V150" s="262">
        <f>IF(N(V149)=1,V143,V145)</f>
        <v>1704</v>
      </c>
      <c r="W150" s="262">
        <f>IF(N(W149)=1,W143,W145)</f>
        <v>1026</v>
      </c>
      <c r="X150" s="262">
        <f>IF(N(X149)=1,X143,X145)</f>
        <v>5176</v>
      </c>
      <c r="Y150" s="262">
        <f>IF(N(Y149)=1,Y143,Y145)</f>
        <v>1219</v>
      </c>
      <c r="Z150" s="262">
        <f>IF(N(Z149)=1,Z143,Z145)</f>
        <v>-234</v>
      </c>
      <c r="AA150" s="262">
        <f>IF(N(AA149)=1,AA143,AA145)</f>
        <v>2279</v>
      </c>
      <c r="AB150" s="262">
        <f>IF(N(AB149)=1,AB143,AB145)</f>
        <v>1631</v>
      </c>
      <c r="AC150" s="262">
        <f>IF(N(AC149)=1,AC143,AC145)</f>
        <v>4895</v>
      </c>
      <c r="AD150" s="262">
        <f>IF(N(AD149)=1,AD143,AD145)</f>
        <v>1451</v>
      </c>
      <c r="AE150" s="262">
        <f>IF(N(AE149)=1,AE143,AE145)</f>
        <v>1761</v>
      </c>
      <c r="AF150" s="262">
        <f>IF(N(AF149)=1,AF143,AF145)</f>
        <v>1853</v>
      </c>
      <c r="AG150" s="262">
        <f>IF(N(AG149)=1,AG143,AG145)</f>
        <v>3132</v>
      </c>
      <c r="AH150" s="262">
        <f>IF(N(AH149)=1,AH143,AH145)</f>
        <v>8197</v>
      </c>
      <c r="AI150" s="262">
        <f>IF(N(AI149)=1,AI143,AI145)</f>
        <v>2477</v>
      </c>
      <c r="AJ150" s="262">
        <f>IF(N(AJ149)=1,AJ143,AJ145)</f>
        <v>2196</v>
      </c>
      <c r="AK150" s="262">
        <f>IF(N(AK149)=1,AK143,AK145)</f>
        <v>2363</v>
      </c>
      <c r="AL150" s="262">
        <f>IF(N(AL149)=1,AL143,AL145)</f>
        <v>3424</v>
      </c>
      <c r="AM150" s="262">
        <f>IF(N(AM149)=1,AM143,AM145)</f>
        <v>10460</v>
      </c>
      <c r="AN150" s="262">
        <f>IF(N(AN149)=1,AN143,AN145)</f>
        <v>2149</v>
      </c>
      <c r="AO150" s="262">
        <f>IF(N(AO149)=1,AO143,AO145)</f>
        <v>-2942</v>
      </c>
      <c r="AP150" s="262">
        <f>IF(N(AP149)=1,AP143,AP145)</f>
        <v>1167</v>
      </c>
      <c r="AQ150" s="262">
        <f>IF(N(AQ149)=1,AQ143,AQ145)</f>
        <v>-1010</v>
      </c>
      <c r="AR150" s="262">
        <f>IF(N(AR149)=1,AR143,AR145)</f>
        <v>-636</v>
      </c>
      <c r="AS150" s="262">
        <f>IF(N(AS149)=1,AS143,AS145)</f>
        <v>-628</v>
      </c>
      <c r="AT150" s="262">
        <f>IF(N(AT149)=1,AT143,AT145)</f>
        <v>-2376</v>
      </c>
      <c r="AU150" s="262">
        <f>IF(N(AU149)=1,AU143,AU145)</f>
        <v>-449</v>
      </c>
      <c r="AV150" s="262">
        <f>IF(N(AV149)=1,AV143,AV145)</f>
        <v>-8420</v>
      </c>
      <c r="AW150" s="262">
        <f>IF(N(AW149)=1,AW143,AW145)</f>
        <v>-11873</v>
      </c>
      <c r="AX150" s="262">
        <f>IF(N(AX149)=1,AX143,AX145)</f>
        <v>-537</v>
      </c>
      <c r="AY150" s="262">
        <f>IF(N(AY149)=1,AY143,AY145)</f>
        <v>587</v>
      </c>
      <c r="AZ150" s="262">
        <f>IF(N(AZ149)=1,AZ143,AZ145)</f>
        <v>-109</v>
      </c>
      <c r="BA150" s="262">
        <f>IF(N(BA149)=1,BA143,BA145)</f>
        <v>-4143</v>
      </c>
      <c r="BB150" s="262">
        <f>IF(N(BB149)=1,BB143,BB145)</f>
        <v>-4202</v>
      </c>
      <c r="BC150" s="262">
        <f>IF(N(BC149)=1,BC143,BC145)</f>
        <v>-1219</v>
      </c>
      <c r="BD150" s="262">
        <f>IF(N(BD149)=1,BD143,BD145)</f>
        <v>193</v>
      </c>
      <c r="BE150" s="262">
        <f>IF(N(BE149)=1,BE143,BE145)</f>
        <v>-3275</v>
      </c>
      <c r="BF150" s="262">
        <f>IF(N(BF149)=1,BF143,BF145)</f>
        <v>-634</v>
      </c>
      <c r="BG150" s="262">
        <f>IF(N(BG149)=1,BG143,BG145)</f>
        <v>-4935</v>
      </c>
      <c r="BH150" s="262">
        <f>IF(N(BH149)=1,BH143,BH145)</f>
        <v>-414</v>
      </c>
      <c r="BI150" s="262">
        <f>IF(N(BI149)=1,BI143,BI145)</f>
        <v>-149</v>
      </c>
      <c r="BJ150" s="262">
        <f>IF(N(BJ149)=1,BJ143,BJ145)</f>
        <v>-1636</v>
      </c>
      <c r="BK150" s="262">
        <f>IF(N(BK149)=1,BK143,BK145)</f>
        <v>-23</v>
      </c>
      <c r="BL150" s="262">
        <f>IF(N(BL149)=1,BL143,BL145)</f>
        <v>-2222</v>
      </c>
      <c r="BM150" s="262">
        <f>IF(N(BM149)=1,BM143,BM145)</f>
        <v>-343</v>
      </c>
      <c r="BN150" s="262">
        <f>IF(N(BN149)=1,BN143,BN145)</f>
        <v>-1439</v>
      </c>
      <c r="BO150" s="262">
        <f>IF(N(BO149)=1,BO143,BO145)</f>
        <v>-6170</v>
      </c>
      <c r="BP150" s="262">
        <f>IF(N(BP149)=1,BP143,BP145)</f>
        <v>-3923</v>
      </c>
      <c r="BQ150" s="262">
        <f>IF(N(BQ149)=1,BQ143,BQ145)</f>
        <v>-11875</v>
      </c>
      <c r="BR150" s="262">
        <f>IF(N(BR149)=1,BR143,BR145)</f>
        <v>-123</v>
      </c>
      <c r="BS150" s="262">
        <f>IF(N(BS149)=1,BS143,BS145)</f>
        <v>-697</v>
      </c>
      <c r="BT150" s="262">
        <f>IF(N(BT149)=1,BT143,BT145)</f>
        <v>-5424</v>
      </c>
      <c r="BU150" s="262">
        <f>IF(N(BU149)=1,BU143,BU145)</f>
        <v>8220</v>
      </c>
      <c r="BV150" s="262">
        <f>IF(N(BV149)=1,BV143,BV145)</f>
        <v>1890</v>
      </c>
      <c r="BW150" s="262">
        <f>IF(N(BW149)=1,BW143,BW145)</f>
        <v>-90</v>
      </c>
      <c r="BX150" s="262">
        <f>IF(N(BX149)=1,BX143,BX145)</f>
        <v>-530</v>
      </c>
      <c r="BY150" s="263">
        <f>IF(N(BY149)=1,BY143,BY145)</f>
        <v>109.889164702372</v>
      </c>
      <c r="BZ150" s="263">
        <f>IF(N(BZ149)=1,BZ143,BZ145)</f>
        <v>100.211569064374</v>
      </c>
      <c r="CA150" s="263">
        <f>IF(N(CA149)=1,CA143,CA145)</f>
        <v>-409.899266233254</v>
      </c>
      <c r="CB150" s="263">
        <f>IF(N(CB149)=1,CB143,CB145)</f>
        <v>3815.92521446473</v>
      </c>
      <c r="CC150" s="263">
        <f>IF(N(CC149)=1,CC143,CC145)</f>
        <v>6319.9198368872</v>
      </c>
      <c r="CD150" s="263">
        <f>IF(N(CD149)=1,CD143,CD145)</f>
        <v>8837.99501465415</v>
      </c>
      <c r="CE150" s="263">
        <f>IF(N(CE149)=1,CE143,CE145)</f>
        <v>10224.520127937</v>
      </c>
      <c r="CF150" s="263">
        <f>IF(N(CF149)=1,CF143,CF145)</f>
        <v>11022.774206628</v>
      </c>
      <c r="CG150" s="19" t="n"/>
    </row>
    <row r="151" ht="15" customHeight="1" s="251">
      <c r="B151" s="25" t="inlineStr">
        <is>
          <t xml:space="preserve">  Weighted-average diluted shares (m)</t>
        </is>
      </c>
      <c r="C151" s="266" t="n">
        <v>787.6</v>
      </c>
      <c r="D151" s="266" t="n">
        <v>772.5</v>
      </c>
      <c r="E151" s="266" t="n">
        <v>729</v>
      </c>
      <c r="F151" s="266" t="n">
        <v>713.4</v>
      </c>
      <c r="G151" s="266" t="n">
        <v>744.3</v>
      </c>
      <c r="H151" s="266" t="n">
        <v>753.1</v>
      </c>
      <c r="I151" s="266" t="n">
        <v>763.8</v>
      </c>
      <c r="J151" s="266" t="n">
        <v>768.7</v>
      </c>
      <c r="K151" s="266" t="n">
        <v>771.8</v>
      </c>
      <c r="L151" s="266" t="n">
        <v>769.1</v>
      </c>
      <c r="M151" s="266" t="n">
        <v>768.4</v>
      </c>
      <c r="N151" s="266" t="n">
        <v>769.5</v>
      </c>
      <c r="O151" s="266" t="n">
        <v>754.1</v>
      </c>
      <c r="P151" s="266" t="n">
        <v>740.1</v>
      </c>
      <c r="Q151" s="266" t="n">
        <v>731.9</v>
      </c>
      <c r="R151" s="266" t="n">
        <v>724.8</v>
      </c>
      <c r="S151" s="266" t="n">
        <v>738</v>
      </c>
      <c r="T151" s="266" t="n">
        <v>714.2</v>
      </c>
      <c r="U151" s="266" t="n">
        <v>698.9</v>
      </c>
      <c r="V151" s="266" t="n">
        <v>689</v>
      </c>
      <c r="W151" s="266" t="n">
        <v>681.2</v>
      </c>
      <c r="X151" s="266" t="n">
        <v>696.1</v>
      </c>
      <c r="Y151" s="266" t="n">
        <v>665.8</v>
      </c>
      <c r="Z151" s="266" t="n">
        <v>636.3</v>
      </c>
      <c r="AA151" s="266" t="n">
        <v>632.7</v>
      </c>
      <c r="AB151" s="266" t="n">
        <v>630.3</v>
      </c>
      <c r="AC151" s="266" t="n">
        <v>643.8</v>
      </c>
      <c r="AD151" s="266" t="n">
        <v>621.2</v>
      </c>
      <c r="AE151" s="266" t="n">
        <v>609.6</v>
      </c>
      <c r="AF151" s="266" t="n">
        <v>606.3</v>
      </c>
      <c r="AG151" s="266" t="n">
        <v>605.1</v>
      </c>
      <c r="AH151" s="266" t="n">
        <v>610.7</v>
      </c>
      <c r="AI151" s="266" t="n">
        <v>597.2</v>
      </c>
      <c r="AJ151" s="266" t="n">
        <v>588.7</v>
      </c>
      <c r="AK151" s="266" t="n">
        <v>580.8</v>
      </c>
      <c r="AL151" s="266" t="n">
        <v>577.5</v>
      </c>
      <c r="AM151" s="266" t="n">
        <v>586.2</v>
      </c>
      <c r="AN151" s="266" t="n">
        <v>572.4</v>
      </c>
      <c r="AO151" s="266" t="n">
        <v>565.3</v>
      </c>
      <c r="AP151" s="266" t="n">
        <v>569.2</v>
      </c>
      <c r="AQ151" s="266" t="n">
        <v>565.4</v>
      </c>
      <c r="AR151" s="266" t="n">
        <v>566</v>
      </c>
      <c r="AS151" s="266" t="n">
        <v>565.9</v>
      </c>
      <c r="AT151" s="266" t="n">
        <v>566.4</v>
      </c>
      <c r="AU151" s="266" t="n">
        <v>566.6</v>
      </c>
      <c r="AV151" s="266" t="n">
        <v>575.4</v>
      </c>
      <c r="AW151" s="266" t="n">
        <v>569</v>
      </c>
      <c r="AX151" s="266" t="n">
        <v>585.4</v>
      </c>
      <c r="AY151" s="266" t="n">
        <v>590.2</v>
      </c>
      <c r="AZ151" s="266" t="n">
        <v>589</v>
      </c>
      <c r="BA151" s="266" t="n">
        <v>590.3</v>
      </c>
      <c r="BB151" s="266" t="n">
        <v>588</v>
      </c>
      <c r="BC151" s="266" t="n">
        <v>591.7</v>
      </c>
      <c r="BD151" s="266" t="n">
        <v>596.4</v>
      </c>
      <c r="BE151" s="266" t="n">
        <v>596.3</v>
      </c>
      <c r="BF151" s="266" t="n">
        <v>598.9</v>
      </c>
      <c r="BG151" s="266" t="n">
        <v>595.2</v>
      </c>
      <c r="BH151" s="266" t="n">
        <v>602.5</v>
      </c>
      <c r="BI151" s="266" t="n">
        <v>605.5</v>
      </c>
      <c r="BJ151" s="266" t="n">
        <v>607.2</v>
      </c>
      <c r="BK151" s="266" t="n">
        <v>609.5</v>
      </c>
      <c r="BL151" s="266" t="n">
        <v>606.1</v>
      </c>
      <c r="BM151" s="266" t="n">
        <v>613.2</v>
      </c>
      <c r="BN151" s="266" t="n">
        <v>616.6</v>
      </c>
      <c r="BO151" s="266" t="n">
        <v>618.8</v>
      </c>
      <c r="BP151" s="266" t="n">
        <v>718.1</v>
      </c>
      <c r="BQ151" s="266" t="n">
        <v>647.2</v>
      </c>
      <c r="BR151" s="266" t="n">
        <v>753.4</v>
      </c>
      <c r="BS151" s="266" t="n">
        <v>756.6</v>
      </c>
      <c r="BT151" s="266" t="n">
        <v>759.9</v>
      </c>
      <c r="BU151" s="266" t="n">
        <v>803.8</v>
      </c>
      <c r="BV151" s="266" t="n">
        <v>762.3</v>
      </c>
      <c r="BW151" s="266" t="n">
        <v>788</v>
      </c>
      <c r="BX151" s="266" t="n">
        <v>790.6</v>
      </c>
      <c r="BY151" s="263">
        <f>BX151+SUM(BW111:BX111)/2/$CA$395</f>
        <v>792.910810810811</v>
      </c>
      <c r="BZ151" s="263">
        <f>BY151+SUM(BW111:BX111)/2/$CA$395</f>
        <v>795.221621621622</v>
      </c>
      <c r="CA151" s="263">
        <f>AVERAGE(BW151:BZ151)</f>
        <v>791.683108108108</v>
      </c>
      <c r="CB151" s="263">
        <f>AVERAGE(CB269,CB270)+CB337+IF(N(CB149)=1,CB339*0.789,0)</f>
        <v>848.817492279279</v>
      </c>
      <c r="CC151" s="263">
        <f>AVERAGE(CC269,CC270)+CC337+IF(N(CC149)=1,CC339*0.789,0)</f>
        <v>848.744070369703</v>
      </c>
      <c r="CD151" s="263">
        <f>AVERAGE(CD269,CD270)+CD337+IF(N(CD149)=1,CD339*0.789,0)</f>
        <v>827.693043412813</v>
      </c>
      <c r="CE151" s="263">
        <f>AVERAGE(CE269,CE270)+CE337+IF(N(CE149)=1,CE339*0.789,0)</f>
        <v>775.033417305777</v>
      </c>
      <c r="CF151" s="263">
        <f>AVERAGE(CF269,CF270)+CF337+IF(N(CF149)=1,CF339*0.789,0)</f>
        <v>723.145436125302</v>
      </c>
      <c r="CG151" s="19" t="inlineStr">
        <is>
          <t>Q3/Q4-26E: prior quarter + 401(k) treasury-share issuance at the model price (loss periods: diluted = basic). 2027E+: average shares + dilutive awards (+ preferred if-converted shares until conversion when dilutive).</t>
        </is>
      </c>
      <c r="CI151" s="20">
        <f>IFERROR(IF(AND(CF151&gt;0,CA151&gt;0),(CF151/CA151)^(1/5)-1,"n/m"),"n/m")</f>
        <v>-0.0179471638729902</v>
      </c>
      <c r="CJ151" s="20">
        <f>IFERROR(IF(AND(BV151&gt;0,AW151&gt;0),(BV151/AW151)^(1/5)-1,"n/m"),"n/m")</f>
        <v>0.0602364496685672</v>
      </c>
      <c r="CK151" s="20">
        <f>IFERROR(IF(AND(BV151&gt;0,X151&gt;0),(BV151/X151)^(1/10)-1,"n/m"),"n/m")</f>
        <v>0.00912607607992588</v>
      </c>
      <c r="CL151" s="20">
        <f>IFERROR(IF(AND(BV151&gt;0,C151&gt;0),(BV151/C151)^(1/19)-1,"n/m"),"n/m")</f>
        <v>-0.0017169542274309</v>
      </c>
    </row>
    <row r="152" ht="15" customHeight="1" s="251">
      <c r="B152" s="55" t="inlineStr">
        <is>
          <t>Diluted earnings / (loss) per share ($)</t>
        </is>
      </c>
      <c r="C152" s="285">
        <f>IFERROR(C150/C151,"")</f>
        <v>2.81234128999492</v>
      </c>
      <c r="D152" s="285">
        <f>IFERROR(D150/D151,"")</f>
        <v>5.27378640776699</v>
      </c>
      <c r="E152" s="285">
        <f>IFERROR(E150/E151,"")</f>
        <v>3.70644718792867</v>
      </c>
      <c r="F152" s="285">
        <f>IFERROR(F150/F151,"")</f>
        <v>1.83908045977012</v>
      </c>
      <c r="G152" s="285">
        <f>IFERROR(G150/G151,"")</f>
        <v>4.44310090017466</v>
      </c>
      <c r="H152" s="285">
        <f>IFERROR(H150/H151,"")</f>
        <v>5.33528083919798</v>
      </c>
      <c r="I152" s="285">
        <f>IFERROR(I150/I151,"")</f>
        <v>5.10604870384918</v>
      </c>
      <c r="J152" s="285">
        <f>IFERROR(J150/J151,"")</f>
        <v>1.43879276700924</v>
      </c>
      <c r="K152" s="285">
        <f>IFERROR(K150/K151,"")</f>
        <v>1.40969162995595</v>
      </c>
      <c r="L152" s="285">
        <f>IFERROR(L150/L151,"")</f>
        <v>1.50565596151346</v>
      </c>
      <c r="M152" s="285">
        <f>IFERROR(M150/M151,"")</f>
        <v>1.60463300364394</v>
      </c>
      <c r="N152" s="285">
        <f>IFERROR(N150/N151,"")</f>
        <v>5.95841455490578</v>
      </c>
      <c r="O152" s="285">
        <f>IFERROR(O150/O151,"")</f>
        <v>1.27967113114971</v>
      </c>
      <c r="P152" s="285">
        <f>IFERROR(P150/P151,"")</f>
        <v>2.23348196189704</v>
      </c>
      <c r="Q152" s="285">
        <f>IFERROR(Q150/Q151,"")</f>
        <v>1.8609099603771</v>
      </c>
      <c r="R152" s="285">
        <f>IFERROR(R150/R151,"")</f>
        <v>2.02262693156733</v>
      </c>
      <c r="S152" s="285">
        <f>IFERROR(S150/S151,"")</f>
        <v>7.37940379403794</v>
      </c>
      <c r="T152" s="285">
        <f>IFERROR(T150/T151,"")</f>
        <v>1.87062447493699</v>
      </c>
      <c r="U152" s="285">
        <f>IFERROR(U150/U151,"")</f>
        <v>1.58821004435542</v>
      </c>
      <c r="V152" s="285">
        <f>IFERROR(V150/V151,"")</f>
        <v>2.47314949201742</v>
      </c>
      <c r="W152" s="285">
        <f>IFERROR(W150/W151,"")</f>
        <v>1.50616559013506</v>
      </c>
      <c r="X152" s="285">
        <f>IFERROR(X150/X151,"")</f>
        <v>7.43571325958914</v>
      </c>
      <c r="Y152" s="285">
        <f>IFERROR(Y150/Y151,"")</f>
        <v>1.83088014418744</v>
      </c>
      <c r="Z152" s="285">
        <f>IFERROR(Z150/Z151,"")</f>
        <v>-0.367751060820368</v>
      </c>
      <c r="AA152" s="285">
        <f>IFERROR(AA150/AA151,"")</f>
        <v>3.60202307570729</v>
      </c>
      <c r="AB152" s="285">
        <f>IFERROR(AB150/AB151,"")</f>
        <v>2.58765667142631</v>
      </c>
      <c r="AC152" s="285">
        <f>IFERROR(AC150/AC151,"")</f>
        <v>7.60329294812054</v>
      </c>
      <c r="AD152" s="285">
        <f>IFERROR(AD150/AD151,"")</f>
        <v>2.33580167417901</v>
      </c>
      <c r="AE152" s="285">
        <f>IFERROR(AE150/AE151,"")</f>
        <v>2.88877952755906</v>
      </c>
      <c r="AF152" s="285">
        <f>IFERROR(AF150/AF151,"")</f>
        <v>3.05624278410028</v>
      </c>
      <c r="AG152" s="285">
        <f>IFERROR(AG150/AG151,"")</f>
        <v>5.17600396628656</v>
      </c>
      <c r="AH152" s="285">
        <f>IFERROR(AH150/AH151,"")</f>
        <v>13.4223022760766</v>
      </c>
      <c r="AI152" s="285">
        <f>IFERROR(AI150/AI151,"")</f>
        <v>4.14768921634293</v>
      </c>
      <c r="AJ152" s="285">
        <f>IFERROR(AJ150/AJ151,"")</f>
        <v>3.73025310005096</v>
      </c>
      <c r="AK152" s="285">
        <f>IFERROR(AK150/AK151,"")</f>
        <v>4.0685261707989</v>
      </c>
      <c r="AL152" s="285">
        <f>IFERROR(AL150/AL151,"")</f>
        <v>5.92900432900433</v>
      </c>
      <c r="AM152" s="285">
        <f>IFERROR(AM150/AM151,"")</f>
        <v>17.8437393381099</v>
      </c>
      <c r="AN152" s="285">
        <f>IFERROR(AN150/AN151,"")</f>
        <v>3.75436757512229</v>
      </c>
      <c r="AO152" s="285">
        <f>IFERROR(AO150/AO151,"")</f>
        <v>-5.20431629223421</v>
      </c>
      <c r="AP152" s="285">
        <f>IFERROR(AP150/AP151,"")</f>
        <v>2.05024595924104</v>
      </c>
      <c r="AQ152" s="285">
        <f>IFERROR(AQ150/AQ151,"")</f>
        <v>-1.78634594977007</v>
      </c>
      <c r="AR152" s="285">
        <f>IFERROR(AR150/AR151,"")</f>
        <v>-1.12367491166078</v>
      </c>
      <c r="AS152" s="285">
        <f>IFERROR(AS150/AS151,"")</f>
        <v>-1.10973670259763</v>
      </c>
      <c r="AT152" s="285">
        <f>IFERROR(AT150/AT151,"")</f>
        <v>-4.19491525423729</v>
      </c>
      <c r="AU152" s="285">
        <f>IFERROR(AU150/AU151,"")</f>
        <v>-0.792446170137663</v>
      </c>
      <c r="AV152" s="285">
        <f>IFERROR(AV150/AV151,"")</f>
        <v>-14.6332985749044</v>
      </c>
      <c r="AW152" s="285">
        <f>IFERROR(AW150/AW151,"")</f>
        <v>-20.8664323374341</v>
      </c>
      <c r="AX152" s="285">
        <f>IFERROR(AX150/AX151,"")</f>
        <v>-0.917321489579775</v>
      </c>
      <c r="AY152" s="285">
        <f>IFERROR(AY150/AY151,"")</f>
        <v>0.994578109115554</v>
      </c>
      <c r="AZ152" s="285">
        <f>IFERROR(AZ150/AZ151,"")</f>
        <v>-0.185059422750424</v>
      </c>
      <c r="BA152" s="285">
        <f>IFERROR(BA150/BA151,"")</f>
        <v>-7.01846518719295</v>
      </c>
      <c r="BB152" s="285">
        <f>IFERROR(BB150/BB151,"")</f>
        <v>-7.14625850340136</v>
      </c>
      <c r="BC152" s="285">
        <f>IFERROR(BC150/BC151,"")</f>
        <v>-2.06016562447186</v>
      </c>
      <c r="BD152" s="285">
        <f>IFERROR(BD150/BD151,"")</f>
        <v>0.323608316566063</v>
      </c>
      <c r="BE152" s="285">
        <f>IFERROR(BE150/BE151,"")</f>
        <v>-5.49220191178937</v>
      </c>
      <c r="BF152" s="285">
        <f>IFERROR(BF150/BF151,"")</f>
        <v>-1.05860744698614</v>
      </c>
      <c r="BG152" s="285">
        <f>IFERROR(BG150/BG151,"")</f>
        <v>-8.29133064516129</v>
      </c>
      <c r="BH152" s="285">
        <f>IFERROR(BH150/BH151,"")</f>
        <v>-0.687136929460581</v>
      </c>
      <c r="BI152" s="285">
        <f>IFERROR(BI150/BI151,"")</f>
        <v>-0.246077621800165</v>
      </c>
      <c r="BJ152" s="285">
        <f>IFERROR(BJ150/BJ151,"")</f>
        <v>-2.69433465085639</v>
      </c>
      <c r="BK152" s="285">
        <f>IFERROR(BK150/BK151,"")</f>
        <v>-0.0377358490566038</v>
      </c>
      <c r="BL152" s="285">
        <f>IFERROR(BL150/BL151,"")</f>
        <v>-3.66606170598911</v>
      </c>
      <c r="BM152" s="285">
        <f>IFERROR(BM150/BM151,"")</f>
        <v>-0.559360730593607</v>
      </c>
      <c r="BN152" s="285">
        <f>IFERROR(BN150/BN151,"")</f>
        <v>-2.33376581252027</v>
      </c>
      <c r="BO152" s="285">
        <f>IFERROR(BO150/BO151,"")</f>
        <v>-9.97091144149968</v>
      </c>
      <c r="BP152" s="285">
        <f>IFERROR(BP150/BP151,"")</f>
        <v>-5.46302743350508</v>
      </c>
      <c r="BQ152" s="285">
        <f>IFERROR(BQ150/BQ151,"")</f>
        <v>-18.3482694684796</v>
      </c>
      <c r="BR152" s="285">
        <f>IFERROR(BR150/BR151,"")</f>
        <v>-0.163259888505442</v>
      </c>
      <c r="BS152" s="285">
        <f>IFERROR(BS150/BS151,"")</f>
        <v>-0.921226539783241</v>
      </c>
      <c r="BT152" s="285">
        <f>IFERROR(BT150/BT151,"")</f>
        <v>-7.13778128701145</v>
      </c>
      <c r="BU152" s="285">
        <f>IFERROR(BU150/BU151,"")</f>
        <v>10.2264244837024</v>
      </c>
      <c r="BV152" s="285">
        <f>IFERROR(BV150/BV151,"")</f>
        <v>2.47933884297521</v>
      </c>
      <c r="BW152" s="285">
        <f>IFERROR(BW150/BW151,"")</f>
        <v>-0.114213197969543</v>
      </c>
      <c r="BX152" s="285">
        <f>IFERROR(BX150/BX151,"")</f>
        <v>-0.670376928914748</v>
      </c>
      <c r="BY152" s="285">
        <f>IFERROR(BY150/BY151,"")</f>
        <v>0.138589565439273</v>
      </c>
      <c r="BZ152" s="285">
        <f>IFERROR(BZ150/BZ151,"")</f>
        <v>0.126017158411792</v>
      </c>
      <c r="CA152" s="285">
        <f>IFERROR(CA150/CA151,"")</f>
        <v>-0.517756741346665</v>
      </c>
      <c r="CB152" s="285">
        <f>IFERROR(CB150/CB151,"")</f>
        <v>4.49557796484383</v>
      </c>
      <c r="CC152" s="285">
        <f>IFERROR(CC150/CC151,"")</f>
        <v>7.44620205020616</v>
      </c>
      <c r="CD152" s="285">
        <f>IFERROR(CD150/CD151,"")</f>
        <v>10.6778655263461</v>
      </c>
      <c r="CE152" s="285">
        <f>IFERROR(CE150/CE151,"")</f>
        <v>13.1923603545769</v>
      </c>
      <c r="CF152" s="285">
        <f>IFERROR(CF150/CF151,"")</f>
        <v>15.2428179118288</v>
      </c>
      <c r="CG152" s="19" t="n"/>
    </row>
    <row r="153" ht="15" customHeight="1" s="251">
      <c r="B153" s="22" t="inlineStr">
        <is>
          <t xml:space="preserve">  Diluted EPS y/y %</t>
        </is>
      </c>
      <c r="C153" s="23" t="n"/>
      <c r="D153" s="259">
        <f>IF(AND(ISNUMBER(D152),ISNUMBER(C152)),IF(C152&gt;0,IFERROR(D152/C152-1,""),"n/m"),"")</f>
        <v>0.875229875736922</v>
      </c>
      <c r="E153" s="259">
        <f>IF(AND(ISNUMBER(E152),ISNUMBER(D152)),IF(D152&gt;0,IFERROR(E152/D152-1,""),"n/m"),"")</f>
        <v>-0.297194292421478</v>
      </c>
      <c r="F153" s="259">
        <f>IF(AND(ISNUMBER(F152),ISNUMBER(E152)),IF(E152&gt;0,IFERROR(F152/E152-1,""),"n/m"),"")</f>
        <v>-0.503815819699329</v>
      </c>
      <c r="G153" s="259">
        <f>IF(AND(ISNUMBER(G152),ISNUMBER(F152)),IF(F152&gt;0,IFERROR(G152/F152-1,""),"n/m"),"")</f>
        <v>1.41593611446997</v>
      </c>
      <c r="H153" s="259">
        <f>IF(AND(ISNUMBER(H152),ISNUMBER(G152)),IF(G152&gt;0,IFERROR(H152/G152-1,""),"n/m"),"")</f>
        <v>0.200801187969476</v>
      </c>
      <c r="I153" s="259">
        <f>IF(AND(ISNUMBER(I152),ISNUMBER(H152)),IF(H152&gt;0,IFERROR(I152/H152-1,""),"n/m"),"")</f>
        <v>-0.0429653362695832</v>
      </c>
      <c r="J153" s="23" t="n"/>
      <c r="K153" s="23" t="n"/>
      <c r="L153" s="23" t="n"/>
      <c r="M153" s="23" t="n"/>
      <c r="N153" s="259">
        <f>IF(AND(ISNUMBER(N152),ISNUMBER(I152)),IF(I152&gt;0,IFERROR(N152/I152-1,""),"n/m"),"")</f>
        <v>0.16693257359924</v>
      </c>
      <c r="O153" s="259">
        <f>IF(AND(ISNUMBER(O152),ISNUMBER(J152)),IF(J152&gt;0,IFERROR(O152/J152-1,""),"n/m"),"")</f>
        <v>-0.110593853060772</v>
      </c>
      <c r="P153" s="259">
        <f>IF(AND(ISNUMBER(P152),ISNUMBER(K152)),IF(K152&gt;0,IFERROR(P152/K152-1,""),"n/m"),"")</f>
        <v>0.584376266720713</v>
      </c>
      <c r="Q153" s="259">
        <f>IF(AND(ISNUMBER(Q152),ISNUMBER(L152)),IF(L152&gt;0,IFERROR(Q152/L152-1,""),"n/m"),"")</f>
        <v>0.235946330333358</v>
      </c>
      <c r="R153" s="259">
        <f>IF(AND(ISNUMBER(R152),ISNUMBER(M152)),IF(M152&gt;0,IFERROR(R152/M152-1,""),"n/m"),"")</f>
        <v>0.260491917450394</v>
      </c>
      <c r="S153" s="259">
        <f>IF(AND(ISNUMBER(S152),ISNUMBER(N152)),IF(N152&gt;0,IFERROR(S152/N152-1,""),"n/m"),"")</f>
        <v>0.238484453546826</v>
      </c>
      <c r="T153" s="259">
        <f>IF(AND(ISNUMBER(T152),ISNUMBER(O152)),IF(O152&gt;0,IFERROR(T152/O152-1,""),"n/m"),"")</f>
        <v>0.461800949792732</v>
      </c>
      <c r="U153" s="259">
        <f>IF(AND(ISNUMBER(U152),ISNUMBER(P152)),IF(P152&gt;0,IFERROR(U152/P152-1,""),"n/m"),"")</f>
        <v>-0.288908497382067</v>
      </c>
      <c r="V153" s="259">
        <f>IF(AND(ISNUMBER(V152),ISNUMBER(Q152)),IF(Q152&gt;0,IFERROR(V152/Q152-1,""),"n/m"),"")</f>
        <v>0.32900008311861</v>
      </c>
      <c r="W153" s="259">
        <f>IF(AND(ISNUMBER(W152),ISNUMBER(R152)),IF(R152&gt;0,IFERROR(W152/R152-1,""),"n/m"),"")</f>
        <v>-0.255341869215629</v>
      </c>
      <c r="X153" s="259">
        <f>IF(AND(ISNUMBER(X152),ISNUMBER(S152)),IF(S152&gt;0,IFERROR(X152/S152-1,""),"n/m"),"")</f>
        <v>0.00763062533543613</v>
      </c>
      <c r="Y153" s="259">
        <f>IF(AND(ISNUMBER(Y152),ISNUMBER(T152)),IF(T152&gt;0,IFERROR(Y152/T152-1,""),"n/m"),"")</f>
        <v>-0.0212465576506943</v>
      </c>
      <c r="Z153" s="259">
        <f>IF(AND(ISNUMBER(Z152),ISNUMBER(U152)),IF(U152&gt;0,IFERROR(Z152/U152-1,""),"n/m"),"")</f>
        <v>-1.23155064541203</v>
      </c>
      <c r="AA153" s="259">
        <f>IF(AND(ISNUMBER(AA152),ISNUMBER(V152)),IF(V152&gt;0,IFERROR(AA152/V152-1,""),"n/m"),"")</f>
        <v>0.45645181875723</v>
      </c>
      <c r="AB153" s="259">
        <f>IF(AND(ISNUMBER(AB152),ISNUMBER(W152)),IF(W152&gt;0,IFERROR(AB152/W152-1,""),"n/m"),"")</f>
        <v>0.718042616545418</v>
      </c>
      <c r="AC153" s="259">
        <f>IF(AND(ISNUMBER(AC152),ISNUMBER(X152)),IF(X152&gt;0,IFERROR(AC152/X152-1,""),"n/m"),"")</f>
        <v>0.0225371370144329</v>
      </c>
      <c r="AD153" s="259">
        <f>IF(AND(ISNUMBER(AD152),ISNUMBER(Y152)),IF(Y152&gt;0,IFERROR(AD152/Y152-1,""),"n/m"),"")</f>
        <v>0.27578076675011</v>
      </c>
      <c r="AE153" s="259" t="str">
        <f>IF(AND(ISNUMBER(AE152),ISNUMBER(Z152)),IF(Z152&gt;0,IFERROR(AE152/Z152-1,""),"n/m"),"")</f>
        <v>n/m</v>
      </c>
      <c r="AF153" s="259">
        <f>IF(AND(ISNUMBER(AF152),ISNUMBER(AA152)),IF(AA152&gt;0,IFERROR(AF152/AA152-1,""),"n/m"),"")</f>
        <v>-0.151520487275012</v>
      </c>
      <c r="AG153" s="259">
        <f>IF(AND(ISNUMBER(AG152),ISNUMBER(AB152)),IF(AB152&gt;0,IFERROR(AG152/AB152-1,""),"n/m"),"")</f>
        <v>1.00026689144722</v>
      </c>
      <c r="AH153" s="259">
        <f>IF(AND(ISNUMBER(AH152),ISNUMBER(AC152)),IF(AC152&gt;0,IFERROR(AH152/AC152-1,""),"n/m"),"")</f>
        <v>0.765327518965911</v>
      </c>
      <c r="AI153" s="259">
        <f>IF(AND(ISNUMBER(AI152),ISNUMBER(AD152)),IF(AD152&gt;0,IFERROR(AI152/AD152-1,""),"n/m"),"")</f>
        <v>0.775702647272385</v>
      </c>
      <c r="AJ153" s="259">
        <f>IF(AND(ISNUMBER(AJ152),ISNUMBER(AE152)),IF(AE152&gt;0,IFERROR(AJ152/AE152-1,""),"n/m"),"")</f>
        <v>0.291290340596857</v>
      </c>
      <c r="AK153" s="259">
        <f>IF(AND(ISNUMBER(AK152),ISNUMBER(AF152)),IF(AF152&gt;0,IFERROR(AK152/AF152-1,""),"n/m"),"")</f>
        <v>0.331218250056865</v>
      </c>
      <c r="AL153" s="259">
        <f>IF(AND(ISNUMBER(AL152),ISNUMBER(AG152)),IF(AG152&gt;0,IFERROR(AL152/AG152-1,""),"n/m"),"")</f>
        <v>0.1454790930653</v>
      </c>
      <c r="AM153" s="259">
        <f>IF(AND(ISNUMBER(AM152),ISNUMBER(AH152)),IF(AH152&gt;0,IFERROR(AM152/AH152-1,""),"n/m"),"")</f>
        <v>0.329409736950554</v>
      </c>
      <c r="AN153" s="259">
        <f>IF(AND(ISNUMBER(AN152),ISNUMBER(AI152)),IF(AI152&gt;0,IFERROR(AN152/AI152-1,""),"n/m"),"")</f>
        <v>-0.0948291013875523</v>
      </c>
      <c r="AO153" s="259">
        <f>IF(AND(ISNUMBER(AO152),ISNUMBER(AJ152)),IF(AJ152&gt;0,IFERROR(AO152/AJ152-1,""),"n/m"),"")</f>
        <v>-2.39516439036352</v>
      </c>
      <c r="AP153" s="259">
        <f>IF(AND(ISNUMBER(AP152),ISNUMBER(AK152)),IF(AK152&gt;0,IFERROR(AP152/AK152-1,""),"n/m"),"")</f>
        <v>-0.496071581410412</v>
      </c>
      <c r="AQ153" s="259">
        <f>IF(AND(ISNUMBER(AQ152),ISNUMBER(AL152)),IF(AL152&gt;0,IFERROR(AQ152/AL152-1,""),"n/m"),"")</f>
        <v>-1.30128936506782</v>
      </c>
      <c r="AR153" s="259">
        <f>IF(AND(ISNUMBER(AR152),ISNUMBER(AM152)),IF(AM152&gt;0,IFERROR(AR152/AM152-1,""),"n/m"),"")</f>
        <v>-1.06297306244891</v>
      </c>
      <c r="AS153" s="259">
        <f>IF(AND(ISNUMBER(AS152),ISNUMBER(AN152)),IF(AN152&gt;0,IFERROR(AS152/AN152-1,""),"n/m"),"")</f>
        <v>-1.29558552283243</v>
      </c>
      <c r="AT153" s="259" t="str">
        <f>IF(AND(ISNUMBER(AT152),ISNUMBER(AO152)),IF(AO152&gt;0,IFERROR(AT152/AO152-1,""),"n/m"),"")</f>
        <v>n/m</v>
      </c>
      <c r="AU153" s="259">
        <f>IF(AND(ISNUMBER(AU152),ISNUMBER(AP152)),IF(AP152&gt;0,IFERROR(AU152/AP152-1,""),"n/m"),"")</f>
        <v>-1.38651273354101</v>
      </c>
      <c r="AV153" s="259" t="str">
        <f>IF(AND(ISNUMBER(AV152),ISNUMBER(AQ152)),IF(AQ152&gt;0,IFERROR(AV152/AQ152-1,""),"n/m"),"")</f>
        <v>n/m</v>
      </c>
      <c r="AW153" s="259" t="str">
        <f>IF(AND(ISNUMBER(AW152),ISNUMBER(AR152)),IF(AR152&gt;0,IFERROR(AW152/AR152-1,""),"n/m"),"")</f>
        <v>n/m</v>
      </c>
      <c r="AX153" s="259" t="str">
        <f>IF(AND(ISNUMBER(AX152),ISNUMBER(AS152)),IF(AS152&gt;0,IFERROR(AX152/AS152-1,""),"n/m"),"")</f>
        <v>n/m</v>
      </c>
      <c r="AY153" s="259" t="str">
        <f>IF(AND(ISNUMBER(AY152),ISNUMBER(AT152)),IF(AT152&gt;0,IFERROR(AY152/AT152-1,""),"n/m"),"")</f>
        <v>n/m</v>
      </c>
      <c r="AZ153" s="259" t="str">
        <f>IF(AND(ISNUMBER(AZ152),ISNUMBER(AU152)),IF(AU152&gt;0,IFERROR(AZ152/AU152-1,""),"n/m"),"")</f>
        <v>n/m</v>
      </c>
      <c r="BA153" s="259" t="str">
        <f>IF(AND(ISNUMBER(BA152),ISNUMBER(AV152)),IF(AV152&gt;0,IFERROR(BA152/AV152-1,""),"n/m"),"")</f>
        <v>n/m</v>
      </c>
      <c r="BB153" s="259" t="str">
        <f>IF(AND(ISNUMBER(BB152),ISNUMBER(AW152)),IF(AW152&gt;0,IFERROR(BB152/AW152-1,""),"n/m"),"")</f>
        <v>n/m</v>
      </c>
      <c r="BC153" s="259" t="str">
        <f>IF(AND(ISNUMBER(BC152),ISNUMBER(AX152)),IF(AX152&gt;0,IFERROR(BC152/AX152-1,""),"n/m"),"")</f>
        <v>n/m</v>
      </c>
      <c r="BD153" s="259">
        <f>IF(AND(ISNUMBER(BD152),ISNUMBER(AY152)),IF(AY152&gt;0,IFERROR(BD152/AY152-1,""),"n/m"),"")</f>
        <v>-0.674627549510579</v>
      </c>
      <c r="BE153" s="259" t="str">
        <f>IF(AND(ISNUMBER(BE152),ISNUMBER(AZ152)),IF(AZ152&gt;0,IFERROR(BE152/AZ152-1,""),"n/m"),"")</f>
        <v>n/m</v>
      </c>
      <c r="BF153" s="259" t="str">
        <f>IF(AND(ISNUMBER(BF152),ISNUMBER(BA152)),IF(BA152&gt;0,IFERROR(BF152/BA152-1,""),"n/m"),"")</f>
        <v>n/m</v>
      </c>
      <c r="BG153" s="259" t="str">
        <f>IF(AND(ISNUMBER(BG152),ISNUMBER(BB152)),IF(BB152&gt;0,IFERROR(BG152/BB152-1,""),"n/m"),"")</f>
        <v>n/m</v>
      </c>
      <c r="BH153" s="259" t="str">
        <f>IF(AND(ISNUMBER(BH152),ISNUMBER(BC152)),IF(BC152&gt;0,IFERROR(BH152/BC152-1,""),"n/m"),"")</f>
        <v>n/m</v>
      </c>
      <c r="BI153" s="259">
        <f>IF(AND(ISNUMBER(BI152),ISNUMBER(BD152)),IF(BD152&gt;0,IFERROR(BI152/BD152-1,""),"n/m"),"")</f>
        <v>-1.76041810177004</v>
      </c>
      <c r="BJ153" s="259" t="str">
        <f>IF(AND(ISNUMBER(BJ152),ISNUMBER(BE152)),IF(BE152&gt;0,IFERROR(BJ152/BE152-1,""),"n/m"),"")</f>
        <v>n/m</v>
      </c>
      <c r="BK153" s="259" t="str">
        <f>IF(AND(ISNUMBER(BK152),ISNUMBER(BF152)),IF(BF152&gt;0,IFERROR(BK152/BF152-1,""),"n/m"),"")</f>
        <v>n/m</v>
      </c>
      <c r="BL153" s="259" t="str">
        <f>IF(AND(ISNUMBER(BL152),ISNUMBER(BG152)),IF(BG152&gt;0,IFERROR(BL152/BG152-1,""),"n/m"),"")</f>
        <v>n/m</v>
      </c>
      <c r="BM153" s="259" t="str">
        <f>IF(AND(ISNUMBER(BM152),ISNUMBER(BH152)),IF(BH152&gt;0,IFERROR(BM152/BH152-1,""),"n/m"),"")</f>
        <v>n/m</v>
      </c>
      <c r="BN153" s="259" t="str">
        <f>IF(AND(ISNUMBER(BN152),ISNUMBER(BI152)),IF(BI152&gt;0,IFERROR(BN152/BI152-1,""),"n/m"),"")</f>
        <v>n/m</v>
      </c>
      <c r="BO153" s="259" t="str">
        <f>IF(AND(ISNUMBER(BO152),ISNUMBER(BJ152)),IF(BJ152&gt;0,IFERROR(BO152/BJ152-1,""),"n/m"),"")</f>
        <v>n/m</v>
      </c>
      <c r="BP153" s="259" t="str">
        <f>IF(AND(ISNUMBER(BP152),ISNUMBER(BK152)),IF(BK152&gt;0,IFERROR(BP152/BK152-1,""),"n/m"),"")</f>
        <v>n/m</v>
      </c>
      <c r="BQ153" s="259" t="str">
        <f>IF(AND(ISNUMBER(BQ152),ISNUMBER(BL152)),IF(BL152&gt;0,IFERROR(BQ152/BL152-1,""),"n/m"),"")</f>
        <v>n/m</v>
      </c>
      <c r="BR153" s="259" t="str">
        <f>IF(AND(ISNUMBER(BR152),ISNUMBER(BM152)),IF(BM152&gt;0,IFERROR(BR152/BM152-1,""),"n/m"),"")</f>
        <v>n/m</v>
      </c>
      <c r="BS153" s="259" t="str">
        <f>IF(AND(ISNUMBER(BS152),ISNUMBER(BN152)),IF(BN152&gt;0,IFERROR(BS152/BN152-1,""),"n/m"),"")</f>
        <v>n/m</v>
      </c>
      <c r="BT153" s="259" t="str">
        <f>IF(AND(ISNUMBER(BT152),ISNUMBER(BO152)),IF(BO152&gt;0,IFERROR(BT152/BO152-1,""),"n/m"),"")</f>
        <v>n/m</v>
      </c>
      <c r="BU153" s="259" t="str">
        <f>IF(AND(ISNUMBER(BU152),ISNUMBER(BP152)),IF(BP152&gt;0,IFERROR(BU152/BP152-1,""),"n/m"),"")</f>
        <v>n/m</v>
      </c>
      <c r="BV153" s="259" t="str">
        <f>IF(AND(ISNUMBER(BV152),ISNUMBER(BQ152)),IF(BQ152&gt;0,IFERROR(BV152/BQ152-1,""),"n/m"),"")</f>
        <v>n/m</v>
      </c>
      <c r="BW153" s="259" t="str">
        <f>IF(AND(ISNUMBER(BW152),ISNUMBER(BR152)),IF(BR152&gt;0,IFERROR(BW152/BR152-1,""),"n/m"),"")</f>
        <v>n/m</v>
      </c>
      <c r="BX153" s="259" t="str">
        <f>IF(AND(ISNUMBER(BX152),ISNUMBER(BS152)),IF(BS152&gt;0,IFERROR(BX152/BS152-1,""),"n/m"),"")</f>
        <v>n/m</v>
      </c>
      <c r="BY153" s="260" t="str">
        <f>IF(AND(ISNUMBER(BY152),ISNUMBER(BT152)),IF(BT152&gt;0,IFERROR(BY152/BT152-1,""),"n/m"),"")</f>
        <v>n/m</v>
      </c>
      <c r="BZ153" s="260">
        <f>IF(AND(ISNUMBER(BZ152),ISNUMBER(BU152)),IF(BU152&gt;0,IFERROR(BZ152/BU152-1,""),"n/m"),"")</f>
        <v>-0.987677300251655</v>
      </c>
      <c r="CA153" s="260">
        <f>IF(AND(ISNUMBER(CA152),ISNUMBER(BV152)),IF(BV152&gt;0,IFERROR(CA152/BV152-1,""),"n/m"),"")</f>
        <v>-1.20882855234315</v>
      </c>
      <c r="CB153" s="260" t="str">
        <f>IF(AND(ISNUMBER(CB152),ISNUMBER(CA152)),IF(CA152&gt;0,IFERROR(CB152/CA152-1,""),"n/m"),"")</f>
        <v>n/m</v>
      </c>
      <c r="CC153" s="260">
        <f>IF(AND(ISNUMBER(CC152),ISNUMBER(CB152)),IF(CB152&gt;0,IFERROR(CC152/CB152-1,""),"n/m"),"")</f>
        <v>0.656339208981959</v>
      </c>
      <c r="CD153" s="260">
        <f>IF(AND(ISNUMBER(CD152),ISNUMBER(CC152)),IF(CC152&gt;0,IFERROR(CD152/CC152-1,""),"n/m"),"")</f>
        <v>0.434001582867396</v>
      </c>
      <c r="CE153" s="260">
        <f>IF(AND(ISNUMBER(CE152),ISNUMBER(CD152)),IF(CD152&gt;0,IFERROR(CE152/CD152-1,""),"n/m"),"")</f>
        <v>0.235486654334299</v>
      </c>
      <c r="CF153" s="260">
        <f>IF(AND(ISNUMBER(CF152),ISNUMBER(CE152)),IF(CE152&gt;0,IFERROR(CF152/CE152-1,""),"n/m"),"")</f>
        <v>0.155427649195507</v>
      </c>
      <c r="CG153" s="153" t="n"/>
    </row>
    <row r="154" ht="15" customHeight="1" s="251">
      <c r="B154" s="156" t="inlineStr">
        <is>
          <t xml:space="preserve">  Memo: diluted EPS as reported ($)</t>
        </is>
      </c>
      <c r="C154" s="286" t="n">
        <v>2.85</v>
      </c>
      <c r="D154" s="286" t="n">
        <v>5.28</v>
      </c>
      <c r="E154" s="286" t="n">
        <v>3.71</v>
      </c>
      <c r="F154" s="286" t="n">
        <v>1.84</v>
      </c>
      <c r="G154" s="286" t="n">
        <v>4.45</v>
      </c>
      <c r="H154" s="286" t="n">
        <v>5.34</v>
      </c>
      <c r="I154" s="286" t="n">
        <v>5.11</v>
      </c>
      <c r="J154" s="286" t="n">
        <v>1.44</v>
      </c>
      <c r="K154" s="286" t="n">
        <v>1.41</v>
      </c>
      <c r="L154" s="286" t="n">
        <v>1.51</v>
      </c>
      <c r="M154" s="286" t="n">
        <v>1.61</v>
      </c>
      <c r="N154" s="286" t="n">
        <v>5.96</v>
      </c>
      <c r="O154" s="286" t="n">
        <v>1.28</v>
      </c>
      <c r="P154" s="286" t="n">
        <v>2.24</v>
      </c>
      <c r="Q154" s="286" t="n">
        <v>1.86</v>
      </c>
      <c r="R154" s="286" t="n">
        <v>2.02</v>
      </c>
      <c r="S154" s="286" t="n">
        <v>7.38</v>
      </c>
      <c r="T154" s="286" t="n">
        <v>1.87</v>
      </c>
      <c r="U154" s="286" t="n">
        <v>1.59</v>
      </c>
      <c r="V154" s="286" t="n">
        <v>2.47</v>
      </c>
      <c r="W154" s="286" t="n">
        <v>1.51</v>
      </c>
      <c r="X154" s="286" t="n">
        <v>7.44</v>
      </c>
      <c r="Y154" s="286" t="n">
        <v>1.83</v>
      </c>
      <c r="Z154" s="286" t="n">
        <v>-0.37</v>
      </c>
      <c r="AA154" s="286" t="n">
        <v>3.6</v>
      </c>
      <c r="AB154" s="286" t="n">
        <v>2.59</v>
      </c>
      <c r="AC154" s="286" t="n">
        <v>7.61</v>
      </c>
      <c r="AD154" s="286" t="n">
        <v>2.34</v>
      </c>
      <c r="AE154" s="286" t="n">
        <v>2.89</v>
      </c>
      <c r="AF154" s="286" t="n">
        <v>3.06</v>
      </c>
      <c r="AG154" s="286" t="n">
        <v>5.18</v>
      </c>
      <c r="AH154" s="286" t="n">
        <v>13.43</v>
      </c>
      <c r="AI154" s="286" t="n">
        <v>4.15</v>
      </c>
      <c r="AJ154" s="286" t="n">
        <v>3.73</v>
      </c>
      <c r="AK154" s="286" t="n">
        <v>4.07</v>
      </c>
      <c r="AL154" s="286" t="n">
        <v>5.93</v>
      </c>
      <c r="AM154" s="286" t="n">
        <v>17.85</v>
      </c>
      <c r="AN154" s="286" t="n">
        <v>3.75</v>
      </c>
      <c r="AO154" s="286" t="n">
        <v>-5.21</v>
      </c>
      <c r="AP154" s="286" t="n">
        <v>2.05</v>
      </c>
      <c r="AQ154" s="286" t="n">
        <v>-1.79</v>
      </c>
      <c r="AR154" s="286" t="n">
        <v>-1.12</v>
      </c>
      <c r="AS154" s="286" t="n">
        <v>-1.11</v>
      </c>
      <c r="AT154" s="286" t="n">
        <v>-4.2</v>
      </c>
      <c r="AU154" s="286" t="n">
        <v>-0.79</v>
      </c>
      <c r="AV154" s="286" t="n">
        <v>-14.65</v>
      </c>
      <c r="AW154" s="286" t="n">
        <v>-20.88</v>
      </c>
      <c r="AX154" s="286" t="n">
        <v>-0.92</v>
      </c>
      <c r="AY154" s="286" t="n">
        <v>1</v>
      </c>
      <c r="AZ154" s="286" t="n">
        <v>-0.19</v>
      </c>
      <c r="BA154" s="286" t="n">
        <v>-7.02</v>
      </c>
      <c r="BB154" s="286" t="n">
        <v>-7.15</v>
      </c>
      <c r="BC154" s="286" t="n">
        <v>-2.06</v>
      </c>
      <c r="BD154" s="286" t="n">
        <v>0.32</v>
      </c>
      <c r="BE154" s="286" t="n">
        <v>-5.49</v>
      </c>
      <c r="BF154" s="286" t="n">
        <v>-1.06</v>
      </c>
      <c r="BG154" s="286" t="n">
        <v>-8.300000000000001</v>
      </c>
      <c r="BH154" s="286" t="n">
        <v>-0.6899999999999999</v>
      </c>
      <c r="BI154" s="286" t="n">
        <v>-0.25</v>
      </c>
      <c r="BJ154" s="286" t="n">
        <v>-2.7</v>
      </c>
      <c r="BK154" s="286" t="n">
        <v>-0.04</v>
      </c>
      <c r="BL154" s="286" t="n">
        <v>-3.67</v>
      </c>
      <c r="BM154" s="286" t="n">
        <v>-0.5600000000000001</v>
      </c>
      <c r="BN154" s="286" t="n">
        <v>-2.33</v>
      </c>
      <c r="BO154" s="286" t="n">
        <v>-9.970000000000001</v>
      </c>
      <c r="BP154" s="286" t="n">
        <v>-5.46</v>
      </c>
      <c r="BQ154" s="286" t="n">
        <v>-18.36</v>
      </c>
      <c r="BR154" s="286" t="n">
        <v>-0.16</v>
      </c>
      <c r="BS154" s="286" t="n">
        <v>-0.92</v>
      </c>
      <c r="BT154" s="286" t="n">
        <v>-7.14</v>
      </c>
      <c r="BU154" s="286" t="n">
        <v>10.23</v>
      </c>
      <c r="BV154" s="286" t="n">
        <v>2.48</v>
      </c>
      <c r="BW154" s="286" t="n">
        <v>-0.11</v>
      </c>
      <c r="BX154" s="286" t="n">
        <v>-0.67</v>
      </c>
      <c r="BY154" s="153" t="n"/>
      <c r="BZ154" s="153" t="n"/>
      <c r="CA154" s="153" t="n"/>
      <c r="CB154" s="153" t="n"/>
      <c r="CC154" s="153" t="n"/>
      <c r="CD154" s="153" t="n"/>
      <c r="CE154" s="153" t="n"/>
      <c r="CF154" s="153" t="n"/>
      <c r="CG154" s="153" t="n"/>
    </row>
    <row r="155" ht="15" customHeight="1" s="251">
      <c r="B155" s="57" t="inlineStr">
        <is>
          <t xml:space="preserve">  Check: model vs reported diluted EPS (should be 0.00; ±0.01 rounding, ±0.02 above $10)</t>
        </is>
      </c>
      <c r="C155" s="287" t="str">
        <f>"n/c"</f>
        <v>n/c</v>
      </c>
      <c r="D155" s="287">
        <f>IF(AND(ISNUMBER(D154),ISNUMBER(D152)),IF(ABS(D152-D154)&lt;=IF(ABS(D154)&gt;=10,0.0201,0.0101),0,ROUND(D152-D154,2)),"n/p")</f>
        <v>0</v>
      </c>
      <c r="E155" s="287">
        <f>IF(AND(ISNUMBER(E154),ISNUMBER(E152)),IF(ABS(E152-E154)&lt;=IF(ABS(E154)&gt;=10,0.0201,0.0101),0,ROUND(E152-E154,2)),"n/p")</f>
        <v>0</v>
      </c>
      <c r="F155" s="287">
        <f>IF(AND(ISNUMBER(F154),ISNUMBER(F152)),IF(ABS(F152-F154)&lt;=IF(ABS(F154)&gt;=10,0.0201,0.0101),0,ROUND(F152-F154,2)),"n/p")</f>
        <v>0</v>
      </c>
      <c r="G155" s="287">
        <f>IF(AND(ISNUMBER(G154),ISNUMBER(G152)),IF(ABS(G152-G154)&lt;=IF(ABS(G154)&gt;=10,0.0201,0.0101),0,ROUND(G152-G154,2)),"n/p")</f>
        <v>0</v>
      </c>
      <c r="H155" s="287">
        <f>IF(AND(ISNUMBER(H154),ISNUMBER(H152)),IF(ABS(H152-H154)&lt;=IF(ABS(H154)&gt;=10,0.0201,0.0101),0,ROUND(H152-H154,2)),"n/p")</f>
        <v>0</v>
      </c>
      <c r="I155" s="287">
        <f>IF(AND(ISNUMBER(I154),ISNUMBER(I152)),IF(ABS(I152-I154)&lt;=IF(ABS(I154)&gt;=10,0.0201,0.0101),0,ROUND(I152-I154,2)),"n/p")</f>
        <v>0</v>
      </c>
      <c r="J155" s="287">
        <f>IF(AND(ISNUMBER(J154),ISNUMBER(J152)),IF(ABS(J152-J154)&lt;=IF(ABS(J154)&gt;=10,0.0201,0.0101),0,ROUND(J152-J154,2)),"n/p")</f>
        <v>0</v>
      </c>
      <c r="K155" s="287">
        <f>IF(AND(ISNUMBER(K154),ISNUMBER(K152)),IF(ABS(K152-K154)&lt;=IF(ABS(K154)&gt;=10,0.0201,0.0101),0,ROUND(K152-K154,2)),"n/p")</f>
        <v>0</v>
      </c>
      <c r="L155" s="287">
        <f>IF(AND(ISNUMBER(L154),ISNUMBER(L152)),IF(ABS(L152-L154)&lt;=IF(ABS(L154)&gt;=10,0.0201,0.0101),0,ROUND(L152-L154,2)),"n/p")</f>
        <v>0</v>
      </c>
      <c r="M155" s="287">
        <f>IF(AND(ISNUMBER(M154),ISNUMBER(M152)),IF(ABS(M152-M154)&lt;=IF(ABS(M154)&gt;=10,0.0201,0.0101),0,ROUND(M152-M154,2)),"n/p")</f>
        <v>0</v>
      </c>
      <c r="N155" s="287">
        <f>IF(AND(ISNUMBER(N154),ISNUMBER(N152)),IF(ABS(N152-N154)&lt;=IF(ABS(N154)&gt;=10,0.0201,0.0101),0,ROUND(N152-N154,2)),"n/p")</f>
        <v>0</v>
      </c>
      <c r="O155" s="287">
        <f>IF(AND(ISNUMBER(O154),ISNUMBER(O152)),IF(ABS(O152-O154)&lt;=IF(ABS(O154)&gt;=10,0.0201,0.0101),0,ROUND(O152-O154,2)),"n/p")</f>
        <v>0</v>
      </c>
      <c r="P155" s="287">
        <f>IF(AND(ISNUMBER(P154),ISNUMBER(P152)),IF(ABS(P152-P154)&lt;=IF(ABS(P154)&gt;=10,0.0201,0.0101),0,ROUND(P152-P154,2)),"n/p")</f>
        <v>0</v>
      </c>
      <c r="Q155" s="287">
        <f>IF(AND(ISNUMBER(Q154),ISNUMBER(Q152)),IF(ABS(Q152-Q154)&lt;=IF(ABS(Q154)&gt;=10,0.0201,0.0101),0,ROUND(Q152-Q154,2)),"n/p")</f>
        <v>0</v>
      </c>
      <c r="R155" s="287">
        <f>IF(AND(ISNUMBER(R154),ISNUMBER(R152)),IF(ABS(R152-R154)&lt;=IF(ABS(R154)&gt;=10,0.0201,0.0101),0,ROUND(R152-R154,2)),"n/p")</f>
        <v>0</v>
      </c>
      <c r="S155" s="287">
        <f>IF(AND(ISNUMBER(S154),ISNUMBER(S152)),IF(ABS(S152-S154)&lt;=IF(ABS(S154)&gt;=10,0.0201,0.0101),0,ROUND(S152-S154,2)),"n/p")</f>
        <v>0</v>
      </c>
      <c r="T155" s="287">
        <f>IF(AND(ISNUMBER(T154),ISNUMBER(T152)),IF(ABS(T152-T154)&lt;=IF(ABS(T154)&gt;=10,0.0201,0.0101),0,ROUND(T152-T154,2)),"n/p")</f>
        <v>0</v>
      </c>
      <c r="U155" s="287">
        <f>IF(AND(ISNUMBER(U154),ISNUMBER(U152)),IF(ABS(U152-U154)&lt;=IF(ABS(U154)&gt;=10,0.0201,0.0101),0,ROUND(U152-U154,2)),"n/p")</f>
        <v>0</v>
      </c>
      <c r="V155" s="287">
        <f>IF(AND(ISNUMBER(V154),ISNUMBER(V152)),IF(ABS(V152-V154)&lt;=IF(ABS(V154)&gt;=10,0.0201,0.0101),0,ROUND(V152-V154,2)),"n/p")</f>
        <v>0</v>
      </c>
      <c r="W155" s="287">
        <f>IF(AND(ISNUMBER(W154),ISNUMBER(W152)),IF(ABS(W152-W154)&lt;=IF(ABS(W154)&gt;=10,0.0201,0.0101),0,ROUND(W152-W154,2)),"n/p")</f>
        <v>0</v>
      </c>
      <c r="X155" s="287">
        <f>IF(AND(ISNUMBER(X154),ISNUMBER(X152)),IF(ABS(X152-X154)&lt;=IF(ABS(X154)&gt;=10,0.0201,0.0101),0,ROUND(X152-X154,2)),"n/p")</f>
        <v>0</v>
      </c>
      <c r="Y155" s="287">
        <f>IF(AND(ISNUMBER(Y154),ISNUMBER(Y152)),IF(ABS(Y152-Y154)&lt;=IF(ABS(Y154)&gt;=10,0.0201,0.0101),0,ROUND(Y152-Y154,2)),"n/p")</f>
        <v>0</v>
      </c>
      <c r="Z155" s="287">
        <f>IF(AND(ISNUMBER(Z154),ISNUMBER(Z152)),IF(ABS(Z152-Z154)&lt;=IF(ABS(Z154)&gt;=10,0.0201,0.0101),0,ROUND(Z152-Z154,2)),"n/p")</f>
        <v>0</v>
      </c>
      <c r="AA155" s="287">
        <f>IF(AND(ISNUMBER(AA154),ISNUMBER(AA152)),IF(ABS(AA152-AA154)&lt;=IF(ABS(AA154)&gt;=10,0.0201,0.0101),0,ROUND(AA152-AA154,2)),"n/p")</f>
        <v>0</v>
      </c>
      <c r="AB155" s="287">
        <f>IF(AND(ISNUMBER(AB154),ISNUMBER(AB152)),IF(ABS(AB152-AB154)&lt;=IF(ABS(AB154)&gt;=10,0.0201,0.0101),0,ROUND(AB152-AB154,2)),"n/p")</f>
        <v>0</v>
      </c>
      <c r="AC155" s="287">
        <f>IF(AND(ISNUMBER(AC154),ISNUMBER(AC152)),IF(ABS(AC152-AC154)&lt;=IF(ABS(AC154)&gt;=10,0.0201,0.0101),0,ROUND(AC152-AC154,2)),"n/p")</f>
        <v>0</v>
      </c>
      <c r="AD155" s="287">
        <f>IF(AND(ISNUMBER(AD154),ISNUMBER(AD152)),IF(ABS(AD152-AD154)&lt;=IF(ABS(AD154)&gt;=10,0.0201,0.0101),0,ROUND(AD152-AD154,2)),"n/p")</f>
        <v>0</v>
      </c>
      <c r="AE155" s="287">
        <f>IF(AND(ISNUMBER(AE154),ISNUMBER(AE152)),IF(ABS(AE152-AE154)&lt;=IF(ABS(AE154)&gt;=10,0.0201,0.0101),0,ROUND(AE152-AE154,2)),"n/p")</f>
        <v>0</v>
      </c>
      <c r="AF155" s="287">
        <f>IF(AND(ISNUMBER(AF154),ISNUMBER(AF152)),IF(ABS(AF152-AF154)&lt;=IF(ABS(AF154)&gt;=10,0.0201,0.0101),0,ROUND(AF152-AF154,2)),"n/p")</f>
        <v>0</v>
      </c>
      <c r="AG155" s="287">
        <f>IF(AND(ISNUMBER(AG154),ISNUMBER(AG152)),IF(ABS(AG152-AG154)&lt;=IF(ABS(AG154)&gt;=10,0.0201,0.0101),0,ROUND(AG152-AG154,2)),"n/p")</f>
        <v>0</v>
      </c>
      <c r="AH155" s="287">
        <f>IF(AND(ISNUMBER(AH154),ISNUMBER(AH152)),IF(ABS(AH152-AH154)&lt;=IF(ABS(AH154)&gt;=10,0.0201,0.0101),0,ROUND(AH152-AH154,2)),"n/p")</f>
        <v>0</v>
      </c>
      <c r="AI155" s="287">
        <f>IF(AND(ISNUMBER(AI154),ISNUMBER(AI152)),IF(ABS(AI152-AI154)&lt;=IF(ABS(AI154)&gt;=10,0.0201,0.0101),0,ROUND(AI152-AI154,2)),"n/p")</f>
        <v>0</v>
      </c>
      <c r="AJ155" s="287">
        <f>IF(AND(ISNUMBER(AJ154),ISNUMBER(AJ152)),IF(ABS(AJ152-AJ154)&lt;=IF(ABS(AJ154)&gt;=10,0.0201,0.0101),0,ROUND(AJ152-AJ154,2)),"n/p")</f>
        <v>0</v>
      </c>
      <c r="AK155" s="287">
        <f>IF(AND(ISNUMBER(AK154),ISNUMBER(AK152)),IF(ABS(AK152-AK154)&lt;=IF(ABS(AK154)&gt;=10,0.0201,0.0101),0,ROUND(AK152-AK154,2)),"n/p")</f>
        <v>0</v>
      </c>
      <c r="AL155" s="287">
        <f>IF(AND(ISNUMBER(AL154),ISNUMBER(AL152)),IF(ABS(AL152-AL154)&lt;=IF(ABS(AL154)&gt;=10,0.0201,0.0101),0,ROUND(AL152-AL154,2)),"n/p")</f>
        <v>0</v>
      </c>
      <c r="AM155" s="287">
        <f>IF(AND(ISNUMBER(AM154),ISNUMBER(AM152)),IF(ABS(AM152-AM154)&lt;=IF(ABS(AM154)&gt;=10,0.0201,0.0101),0,ROUND(AM152-AM154,2)),"n/p")</f>
        <v>0</v>
      </c>
      <c r="AN155" s="287">
        <f>IF(AND(ISNUMBER(AN154),ISNUMBER(AN152)),IF(ABS(AN152-AN154)&lt;=IF(ABS(AN154)&gt;=10,0.0201,0.0101),0,ROUND(AN152-AN154,2)),"n/p")</f>
        <v>0</v>
      </c>
      <c r="AO155" s="287">
        <f>IF(AND(ISNUMBER(AO154),ISNUMBER(AO152)),IF(ABS(AO152-AO154)&lt;=IF(ABS(AO154)&gt;=10,0.0201,0.0101),0,ROUND(AO152-AO154,2)),"n/p")</f>
        <v>0</v>
      </c>
      <c r="AP155" s="287">
        <f>IF(AND(ISNUMBER(AP154),ISNUMBER(AP152)),IF(ABS(AP152-AP154)&lt;=IF(ABS(AP154)&gt;=10,0.0201,0.0101),0,ROUND(AP152-AP154,2)),"n/p")</f>
        <v>0</v>
      </c>
      <c r="AQ155" s="287">
        <f>IF(AND(ISNUMBER(AQ154),ISNUMBER(AQ152)),IF(ABS(AQ152-AQ154)&lt;=IF(ABS(AQ154)&gt;=10,0.0201,0.0101),0,ROUND(AQ152-AQ154,2)),"n/p")</f>
        <v>0</v>
      </c>
      <c r="AR155" s="287">
        <f>IF(AND(ISNUMBER(AR154),ISNUMBER(AR152)),IF(ABS(AR152-AR154)&lt;=IF(ABS(AR154)&gt;=10,0.0201,0.0101),0,ROUND(AR152-AR154,2)),"n/p")</f>
        <v>0</v>
      </c>
      <c r="AS155" s="287">
        <f>IF(AND(ISNUMBER(AS154),ISNUMBER(AS152)),IF(ABS(AS152-AS154)&lt;=IF(ABS(AS154)&gt;=10,0.0201,0.0101),0,ROUND(AS152-AS154,2)),"n/p")</f>
        <v>0</v>
      </c>
      <c r="AT155" s="287">
        <f>IF(AND(ISNUMBER(AT154),ISNUMBER(AT152)),IF(ABS(AT152-AT154)&lt;=IF(ABS(AT154)&gt;=10,0.0201,0.0101),0,ROUND(AT152-AT154,2)),"n/p")</f>
        <v>0</v>
      </c>
      <c r="AU155" s="287">
        <f>IF(AND(ISNUMBER(AU154),ISNUMBER(AU152)),IF(ABS(AU152-AU154)&lt;=IF(ABS(AU154)&gt;=10,0.0201,0.0101),0,ROUND(AU152-AU154,2)),"n/p")</f>
        <v>0</v>
      </c>
      <c r="AV155" s="287">
        <f>IF(AND(ISNUMBER(AV154),ISNUMBER(AV152)),IF(ABS(AV152-AV154)&lt;=IF(ABS(AV154)&gt;=10,0.0201,0.0101),0,ROUND(AV152-AV154,2)),"n/p")</f>
        <v>0</v>
      </c>
      <c r="AW155" s="287">
        <f>IF(AND(ISNUMBER(AW154),ISNUMBER(AW152)),IF(ABS(AW152-AW154)&lt;=IF(ABS(AW154)&gt;=10,0.0201,0.0101),0,ROUND(AW152-AW154,2)),"n/p")</f>
        <v>0</v>
      </c>
      <c r="AX155" s="287">
        <f>IF(AND(ISNUMBER(AX154),ISNUMBER(AX152)),IF(ABS(AX152-AX154)&lt;=IF(ABS(AX154)&gt;=10,0.0201,0.0101),0,ROUND(AX152-AX154,2)),"n/p")</f>
        <v>0</v>
      </c>
      <c r="AY155" s="287">
        <f>IF(AND(ISNUMBER(AY154),ISNUMBER(AY152)),IF(ABS(AY152-AY154)&lt;=IF(ABS(AY154)&gt;=10,0.0201,0.0101),0,ROUND(AY152-AY154,2)),"n/p")</f>
        <v>0</v>
      </c>
      <c r="AZ155" s="287">
        <f>IF(AND(ISNUMBER(AZ154),ISNUMBER(AZ152)),IF(ABS(AZ152-AZ154)&lt;=IF(ABS(AZ154)&gt;=10,0.0201,0.0101),0,ROUND(AZ152-AZ154,2)),"n/p")</f>
        <v>0</v>
      </c>
      <c r="BA155" s="287">
        <f>IF(AND(ISNUMBER(BA154),ISNUMBER(BA152)),IF(ABS(BA152-BA154)&lt;=IF(ABS(BA154)&gt;=10,0.0201,0.0101),0,ROUND(BA152-BA154,2)),"n/p")</f>
        <v>0</v>
      </c>
      <c r="BB155" s="287">
        <f>IF(AND(ISNUMBER(BB154),ISNUMBER(BB152)),IF(ABS(BB152-BB154)&lt;=IF(ABS(BB154)&gt;=10,0.0201,0.0101),0,ROUND(BB152-BB154,2)),"n/p")</f>
        <v>0</v>
      </c>
      <c r="BC155" s="287">
        <f>IF(AND(ISNUMBER(BC154),ISNUMBER(BC152)),IF(ABS(BC152-BC154)&lt;=IF(ABS(BC154)&gt;=10,0.0201,0.0101),0,ROUND(BC152-BC154,2)),"n/p")</f>
        <v>0</v>
      </c>
      <c r="BD155" s="287">
        <f>IF(AND(ISNUMBER(BD154),ISNUMBER(BD152)),IF(ABS(BD152-BD154)&lt;=IF(ABS(BD154)&gt;=10,0.0201,0.0101),0,ROUND(BD152-BD154,2)),"n/p")</f>
        <v>0</v>
      </c>
      <c r="BE155" s="287">
        <f>IF(AND(ISNUMBER(BE154),ISNUMBER(BE152)),IF(ABS(BE152-BE154)&lt;=IF(ABS(BE154)&gt;=10,0.0201,0.0101),0,ROUND(BE152-BE154,2)),"n/p")</f>
        <v>0</v>
      </c>
      <c r="BF155" s="287">
        <f>IF(AND(ISNUMBER(BF154),ISNUMBER(BF152)),IF(ABS(BF152-BF154)&lt;=IF(ABS(BF154)&gt;=10,0.0201,0.0101),0,ROUND(BF152-BF154,2)),"n/p")</f>
        <v>0</v>
      </c>
      <c r="BG155" s="287">
        <f>IF(AND(ISNUMBER(BG154),ISNUMBER(BG152)),IF(ABS(BG152-BG154)&lt;=IF(ABS(BG154)&gt;=10,0.0201,0.0101),0,ROUND(BG152-BG154,2)),"n/p")</f>
        <v>0</v>
      </c>
      <c r="BH155" s="287">
        <f>IF(AND(ISNUMBER(BH154),ISNUMBER(BH152)),IF(ABS(BH152-BH154)&lt;=IF(ABS(BH154)&gt;=10,0.0201,0.0101),0,ROUND(BH152-BH154,2)),"n/p")</f>
        <v>0</v>
      </c>
      <c r="BI155" s="287">
        <f>IF(AND(ISNUMBER(BI154),ISNUMBER(BI152)),IF(ABS(BI152-BI154)&lt;=IF(ABS(BI154)&gt;=10,0.0201,0.0101),0,ROUND(BI152-BI154,2)),"n/p")</f>
        <v>0</v>
      </c>
      <c r="BJ155" s="287">
        <f>IF(AND(ISNUMBER(BJ154),ISNUMBER(BJ152)),IF(ABS(BJ152-BJ154)&lt;=IF(ABS(BJ154)&gt;=10,0.0201,0.0101),0,ROUND(BJ152-BJ154,2)),"n/p")</f>
        <v>0</v>
      </c>
      <c r="BK155" s="287">
        <f>IF(AND(ISNUMBER(BK154),ISNUMBER(BK152)),IF(ABS(BK152-BK154)&lt;=IF(ABS(BK154)&gt;=10,0.0201,0.0101),0,ROUND(BK152-BK154,2)),"n/p")</f>
        <v>0</v>
      </c>
      <c r="BL155" s="287">
        <f>IF(AND(ISNUMBER(BL154),ISNUMBER(BL152)),IF(ABS(BL152-BL154)&lt;=IF(ABS(BL154)&gt;=10,0.0201,0.0101),0,ROUND(BL152-BL154,2)),"n/p")</f>
        <v>0</v>
      </c>
      <c r="BM155" s="287">
        <f>IF(AND(ISNUMBER(BM154),ISNUMBER(BM152)),IF(ABS(BM152-BM154)&lt;=IF(ABS(BM154)&gt;=10,0.0201,0.0101),0,ROUND(BM152-BM154,2)),"n/p")</f>
        <v>0</v>
      </c>
      <c r="BN155" s="287">
        <f>IF(AND(ISNUMBER(BN154),ISNUMBER(BN152)),IF(ABS(BN152-BN154)&lt;=IF(ABS(BN154)&gt;=10,0.0201,0.0101),0,ROUND(BN152-BN154,2)),"n/p")</f>
        <v>0</v>
      </c>
      <c r="BO155" s="287">
        <f>IF(AND(ISNUMBER(BO154),ISNUMBER(BO152)),IF(ABS(BO152-BO154)&lt;=IF(ABS(BO154)&gt;=10,0.0201,0.0101),0,ROUND(BO152-BO154,2)),"n/p")</f>
        <v>0</v>
      </c>
      <c r="BP155" s="287">
        <f>IF(AND(ISNUMBER(BP154),ISNUMBER(BP152)),IF(ABS(BP152-BP154)&lt;=IF(ABS(BP154)&gt;=10,0.0201,0.0101),0,ROUND(BP152-BP154,2)),"n/p")</f>
        <v>0</v>
      </c>
      <c r="BQ155" s="287">
        <f>IF(AND(ISNUMBER(BQ154),ISNUMBER(BQ152)),IF(ABS(BQ152-BQ154)&lt;=IF(ABS(BQ154)&gt;=10,0.0201,0.0101),0,ROUND(BQ152-BQ154,2)),"n/p")</f>
        <v>0</v>
      </c>
      <c r="BR155" s="287">
        <f>IF(AND(ISNUMBER(BR154),ISNUMBER(BR152)),IF(ABS(BR152-BR154)&lt;=IF(ABS(BR154)&gt;=10,0.0201,0.0101),0,ROUND(BR152-BR154,2)),"n/p")</f>
        <v>0</v>
      </c>
      <c r="BS155" s="287">
        <f>IF(AND(ISNUMBER(BS154),ISNUMBER(BS152)),IF(ABS(BS152-BS154)&lt;=IF(ABS(BS154)&gt;=10,0.0201,0.0101),0,ROUND(BS152-BS154,2)),"n/p")</f>
        <v>0</v>
      </c>
      <c r="BT155" s="287">
        <f>IF(AND(ISNUMBER(BT154),ISNUMBER(BT152)),IF(ABS(BT152-BT154)&lt;=IF(ABS(BT154)&gt;=10,0.0201,0.0101),0,ROUND(BT152-BT154,2)),"n/p")</f>
        <v>0</v>
      </c>
      <c r="BU155" s="287">
        <f>IF(AND(ISNUMBER(BU154),ISNUMBER(BU152)),IF(ABS(BU152-BU154)&lt;=IF(ABS(BU154)&gt;=10,0.0201,0.0101),0,ROUND(BU152-BU154,2)),"n/p")</f>
        <v>0</v>
      </c>
      <c r="BV155" s="287">
        <f>IF(AND(ISNUMBER(BV154),ISNUMBER(BV152)),IF(ABS(BV152-BV154)&lt;=IF(ABS(BV154)&gt;=10,0.0201,0.0101),0,ROUND(BV152-BV154,2)),"n/p")</f>
        <v>0</v>
      </c>
      <c r="BW155" s="287">
        <f>IF(AND(ISNUMBER(BW154),ISNUMBER(BW152)),IF(ABS(BW152-BW154)&lt;=IF(ABS(BW154)&gt;=10,0.0201,0.0101),0,ROUND(BW152-BW154,2)),"n/p")</f>
        <v>0</v>
      </c>
      <c r="BX155" s="287">
        <f>IF(AND(ISNUMBER(BX154),ISNUMBER(BX152)),IF(ABS(BX152-BX154)&lt;=IF(ABS(BX154)&gt;=10,0.0201,0.0101),0,ROUND(BX152-BX154,2)),"n/p")</f>
        <v>0</v>
      </c>
      <c r="BY155" s="153" t="n"/>
      <c r="BZ155" s="153" t="n"/>
      <c r="CA155" s="153" t="n"/>
      <c r="CB155" s="153" t="n"/>
      <c r="CC155" s="153" t="n"/>
      <c r="CD155" s="153" t="n"/>
      <c r="CE155" s="153" t="n"/>
      <c r="CF155" s="153" t="n"/>
      <c r="CG155" s="153" t="n"/>
    </row>
    <row r="156" collapsed="1" ht="15" customHeight="1" s="251">
      <c r="B156" s="25" t="inlineStr">
        <is>
          <t xml:space="preserve">  Cash dividends paid per share ($; suspended from Q2-2020)</t>
        </is>
      </c>
      <c r="C156" s="286" t="n">
        <v>1.2</v>
      </c>
      <c r="D156" s="286" t="n">
        <v>1.4</v>
      </c>
      <c r="E156" s="286" t="n">
        <v>1.6</v>
      </c>
      <c r="F156" s="286" t="n">
        <v>1.68</v>
      </c>
      <c r="G156" s="286" t="n">
        <v>1.68</v>
      </c>
      <c r="H156" s="286" t="n">
        <v>1.68</v>
      </c>
      <c r="I156" s="286" t="n">
        <v>1.76</v>
      </c>
      <c r="J156" s="286" t="n">
        <v>0.49</v>
      </c>
      <c r="K156" s="286" t="n">
        <v>0.485</v>
      </c>
      <c r="L156" s="286" t="n">
        <v>0.485</v>
      </c>
      <c r="M156" s="286" t="n">
        <v>0.485</v>
      </c>
      <c r="N156" s="286" t="n">
        <v>1.94</v>
      </c>
      <c r="O156" s="286" t="n">
        <v>0.73</v>
      </c>
      <c r="P156" s="286" t="n">
        <v>0.73</v>
      </c>
      <c r="Q156" s="286" t="n">
        <v>0.73</v>
      </c>
      <c r="R156" s="286" t="n">
        <v>0.73</v>
      </c>
      <c r="S156" s="286" t="n">
        <v>2.92</v>
      </c>
      <c r="T156" s="286" t="n">
        <v>0.91</v>
      </c>
      <c r="U156" s="286" t="n">
        <v>0.91</v>
      </c>
      <c r="V156" s="286" t="n">
        <v>0.91</v>
      </c>
      <c r="W156" s="286" t="n">
        <v>0.91</v>
      </c>
      <c r="X156" s="286" t="n">
        <v>3.64</v>
      </c>
      <c r="Y156" s="286" t="n">
        <v>1.09</v>
      </c>
      <c r="Z156" s="286" t="n">
        <v>1.09</v>
      </c>
      <c r="AA156" s="286" t="n">
        <v>1.09</v>
      </c>
      <c r="AB156" s="286" t="n">
        <v>1.09</v>
      </c>
      <c r="AC156" s="286" t="n">
        <v>4.36</v>
      </c>
      <c r="AD156" s="286" t="n">
        <v>1.42</v>
      </c>
      <c r="AE156" s="286" t="n">
        <v>1.42</v>
      </c>
      <c r="AF156" s="286" t="n">
        <v>1.42</v>
      </c>
      <c r="AG156" s="286" t="n">
        <v>1.42</v>
      </c>
      <c r="AH156" s="286" t="n">
        <v>5.68</v>
      </c>
      <c r="AI156" s="286" t="n">
        <v>1.71</v>
      </c>
      <c r="AJ156" s="286" t="n">
        <v>1.71</v>
      </c>
      <c r="AK156" s="286" t="n">
        <v>1.71</v>
      </c>
      <c r="AL156" s="286" t="n">
        <v>0</v>
      </c>
      <c r="AM156" s="34" t="n"/>
      <c r="AN156" s="286" t="n">
        <v>0</v>
      </c>
      <c r="AO156" s="286" t="n">
        <v>0</v>
      </c>
      <c r="AP156" s="286" t="n">
        <v>0</v>
      </c>
      <c r="AQ156" s="286" t="n">
        <v>0</v>
      </c>
      <c r="AR156" s="34" t="n"/>
      <c r="AS156" s="286" t="n">
        <v>0</v>
      </c>
      <c r="AT156" s="286" t="n">
        <v>0</v>
      </c>
      <c r="AU156" s="286" t="n">
        <v>0</v>
      </c>
      <c r="AV156" s="286" t="n">
        <v>0</v>
      </c>
      <c r="AW156" s="286" t="n">
        <v>0</v>
      </c>
      <c r="AX156" s="286" t="n">
        <v>0</v>
      </c>
      <c r="AY156" s="286" t="n">
        <v>0</v>
      </c>
      <c r="AZ156" s="286" t="n">
        <v>0</v>
      </c>
      <c r="BA156" s="286" t="n">
        <v>0</v>
      </c>
      <c r="BB156" s="286" t="n">
        <v>0</v>
      </c>
      <c r="BC156" s="286" t="n">
        <v>0</v>
      </c>
      <c r="BD156" s="286" t="n">
        <v>0</v>
      </c>
      <c r="BE156" s="286" t="n">
        <v>0</v>
      </c>
      <c r="BF156" s="286" t="n">
        <v>0</v>
      </c>
      <c r="BG156" s="286" t="n">
        <v>0</v>
      </c>
      <c r="BH156" s="286" t="n">
        <v>0</v>
      </c>
      <c r="BI156" s="286" t="n">
        <v>0</v>
      </c>
      <c r="BJ156" s="286" t="n">
        <v>0</v>
      </c>
      <c r="BK156" s="286" t="n">
        <v>0</v>
      </c>
      <c r="BL156" s="286" t="n">
        <v>0</v>
      </c>
      <c r="BM156" s="286" t="n">
        <v>0</v>
      </c>
      <c r="BN156" s="286" t="n">
        <v>0</v>
      </c>
      <c r="BO156" s="286" t="n">
        <v>0</v>
      </c>
      <c r="BP156" s="286" t="n">
        <v>0</v>
      </c>
      <c r="BQ156" s="286" t="n">
        <v>0</v>
      </c>
      <c r="BR156" s="286" t="n">
        <v>0</v>
      </c>
      <c r="BS156" s="286" t="n">
        <v>0</v>
      </c>
      <c r="BT156" s="286" t="n">
        <v>0</v>
      </c>
      <c r="BU156" s="286" t="n">
        <v>0</v>
      </c>
      <c r="BV156" s="286" t="n">
        <v>0</v>
      </c>
      <c r="BW156" s="286" t="n">
        <v>0</v>
      </c>
      <c r="BX156" s="286" t="n">
        <v>0</v>
      </c>
      <c r="BY156" s="288" t="n">
        <v>0</v>
      </c>
      <c r="BZ156" s="288" t="n">
        <v>0</v>
      </c>
      <c r="CA156" s="289">
        <f>SUM(BW156:BZ156)</f>
        <v>0</v>
      </c>
      <c r="CB156" s="288" t="n">
        <v>0</v>
      </c>
      <c r="CC156" s="288" t="n">
        <v>0</v>
      </c>
      <c r="CD156" s="288" t="n">
        <v>0</v>
      </c>
      <c r="CE156" s="288" t="n">
        <v>0</v>
      </c>
      <c r="CF156" s="288" t="n">
        <v>0</v>
      </c>
      <c r="CG156" s="19" t="n"/>
    </row>
    <row r="157" ht="15" customHeight="1" s="251">
      <c r="CO157" s="11" t="n"/>
      <c r="CP157" s="12" t="n"/>
      <c r="CQ157" s="12" t="n"/>
      <c r="CR157" s="12" t="n"/>
      <c r="CS157" s="13" t="n"/>
    </row>
    <row r="158" ht="15" customHeight="1" s="251">
      <c r="B158" s="10" t="inlineStr">
        <is>
          <t>RECONCILIATION: EARNINGS FROM OPERATIONS → CORE OPERATING EARNINGS (company non-GAAP definition, published from FY2011)</t>
        </is>
      </c>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c r="BM158" s="10" t="n"/>
      <c r="BN158" s="10" t="n"/>
      <c r="BO158" s="10" t="n"/>
      <c r="BP158" s="10" t="n"/>
      <c r="BQ158" s="10" t="n"/>
      <c r="BR158" s="10" t="n"/>
      <c r="BS158" s="10" t="n"/>
      <c r="BT158" s="10" t="n"/>
      <c r="BU158" s="10" t="n"/>
      <c r="BV158" s="10" t="n"/>
      <c r="BW158" s="10" t="n"/>
      <c r="BX158" s="10" t="n"/>
      <c r="BY158" s="10" t="n"/>
      <c r="BZ158" s="10" t="n"/>
      <c r="CA158" s="10" t="n"/>
      <c r="CB158" s="10" t="n"/>
      <c r="CC158" s="10" t="n"/>
      <c r="CD158" s="10" t="n"/>
      <c r="CE158" s="10" t="n"/>
      <c r="CF158" s="10" t="n"/>
      <c r="CG158" s="10" t="inlineStr">
        <is>
          <t>CORE OPERATING EARNINGS — 2011–17: + unallocated pension &amp; postretirement expense; 2018+ (ASU 2017-07): − FAS/CAS service cost adjustment</t>
        </is>
      </c>
    </row>
    <row r="159" ht="15" customHeight="1" s="251">
      <c r="B159" s="16" t="inlineStr">
        <is>
          <t>Earnings / (loss) from operations (GAAP)</t>
        </is>
      </c>
      <c r="C159" s="281">
        <f>C128</f>
        <v>3014</v>
      </c>
      <c r="D159" s="281">
        <f>D128</f>
        <v>5830</v>
      </c>
      <c r="E159" s="281">
        <f>E128</f>
        <v>3988</v>
      </c>
      <c r="F159" s="281">
        <f>F128</f>
        <v>2096</v>
      </c>
      <c r="G159" s="281">
        <f>G128</f>
        <v>4971</v>
      </c>
      <c r="H159" s="281">
        <f>H128</f>
        <v>5844</v>
      </c>
      <c r="I159" s="281">
        <f>I128</f>
        <v>6311</v>
      </c>
      <c r="J159" s="281">
        <f>J128</f>
        <v>1528</v>
      </c>
      <c r="K159" s="281">
        <f>K128</f>
        <v>1716</v>
      </c>
      <c r="L159" s="281">
        <f>L128</f>
        <v>1803</v>
      </c>
      <c r="M159" s="281">
        <f>M128</f>
        <v>1515</v>
      </c>
      <c r="N159" s="281">
        <f>N128</f>
        <v>6562</v>
      </c>
      <c r="O159" s="281">
        <f>O128</f>
        <v>1542</v>
      </c>
      <c r="P159" s="281">
        <f>P128</f>
        <v>1787</v>
      </c>
      <c r="Q159" s="281">
        <f>Q128</f>
        <v>2119</v>
      </c>
      <c r="R159" s="281">
        <f>R128</f>
        <v>2025</v>
      </c>
      <c r="S159" s="281">
        <f>S128</f>
        <v>7473</v>
      </c>
      <c r="T159" s="281">
        <f>T128</f>
        <v>2019</v>
      </c>
      <c r="U159" s="281">
        <f>U128</f>
        <v>1683</v>
      </c>
      <c r="V159" s="281">
        <f>V128</f>
        <v>2580</v>
      </c>
      <c r="W159" s="281">
        <f>W128</f>
        <v>1161</v>
      </c>
      <c r="X159" s="281">
        <f>X128</f>
        <v>7443</v>
      </c>
      <c r="Y159" s="281">
        <f>Y128</f>
        <v>1788</v>
      </c>
      <c r="Z159" s="281">
        <f>Z128</f>
        <v>-419</v>
      </c>
      <c r="AA159" s="281">
        <f>AA128</f>
        <v>2282</v>
      </c>
      <c r="AB159" s="281">
        <f>AB128</f>
        <v>2183</v>
      </c>
      <c r="AC159" s="281">
        <f>AC128</f>
        <v>5834</v>
      </c>
      <c r="AD159" s="281">
        <f>AD128</f>
        <v>2024</v>
      </c>
      <c r="AE159" s="281">
        <f>AE128</f>
        <v>2535</v>
      </c>
      <c r="AF159" s="281">
        <f>AF128</f>
        <v>2689</v>
      </c>
      <c r="AG159" s="281">
        <f>AG128</f>
        <v>3030</v>
      </c>
      <c r="AH159" s="281">
        <f>AH128</f>
        <v>10278</v>
      </c>
      <c r="AI159" s="281">
        <f>AI128</f>
        <v>2875</v>
      </c>
      <c r="AJ159" s="281">
        <f>AJ128</f>
        <v>2710</v>
      </c>
      <c r="AK159" s="281">
        <f>AK128</f>
        <v>2227</v>
      </c>
      <c r="AL159" s="281">
        <f>AL128</f>
        <v>4175</v>
      </c>
      <c r="AM159" s="281">
        <f>AM128</f>
        <v>11987</v>
      </c>
      <c r="AN159" s="281">
        <f>AN128</f>
        <v>2350</v>
      </c>
      <c r="AO159" s="281">
        <f>AO128</f>
        <v>-3380</v>
      </c>
      <c r="AP159" s="281">
        <f>AP128</f>
        <v>1259</v>
      </c>
      <c r="AQ159" s="281">
        <f>AQ128</f>
        <v>-2204</v>
      </c>
      <c r="AR159" s="281">
        <f>AR128</f>
        <v>-1975</v>
      </c>
      <c r="AS159" s="281">
        <f>AS128</f>
        <v>-1353</v>
      </c>
      <c r="AT159" s="281">
        <f>AT128</f>
        <v>-2964</v>
      </c>
      <c r="AU159" s="281">
        <f>AU128</f>
        <v>-401</v>
      </c>
      <c r="AV159" s="281">
        <f>AV128</f>
        <v>-8049</v>
      </c>
      <c r="AW159" s="281">
        <f>AW128</f>
        <v>-12767</v>
      </c>
      <c r="AX159" s="281">
        <f>AX128</f>
        <v>-83</v>
      </c>
      <c r="AY159" s="281">
        <f>AY128</f>
        <v>1023</v>
      </c>
      <c r="AZ159" s="281">
        <f>AZ128</f>
        <v>329</v>
      </c>
      <c r="BA159" s="281">
        <f>BA128</f>
        <v>-4171</v>
      </c>
      <c r="BB159" s="281">
        <f>BB128</f>
        <v>-2902</v>
      </c>
      <c r="BC159" s="281">
        <f>BC128</f>
        <v>-1169</v>
      </c>
      <c r="BD159" s="281">
        <f>BD128</f>
        <v>774</v>
      </c>
      <c r="BE159" s="281">
        <f>BE128</f>
        <v>-2799</v>
      </c>
      <c r="BF159" s="281">
        <f>BF128</f>
        <v>-353</v>
      </c>
      <c r="BG159" s="281">
        <f>BG128</f>
        <v>-3547</v>
      </c>
      <c r="BH159" s="281">
        <f>BH128</f>
        <v>-149</v>
      </c>
      <c r="BI159" s="281">
        <f>BI128</f>
        <v>-99</v>
      </c>
      <c r="BJ159" s="281">
        <f>BJ128</f>
        <v>-808</v>
      </c>
      <c r="BK159" s="281">
        <f>BK128</f>
        <v>283</v>
      </c>
      <c r="BL159" s="281">
        <f>BL128</f>
        <v>-773</v>
      </c>
      <c r="BM159" s="281">
        <f>BM128</f>
        <v>-86</v>
      </c>
      <c r="BN159" s="281">
        <f>BN128</f>
        <v>-1090</v>
      </c>
      <c r="BO159" s="281">
        <f>BO128</f>
        <v>-5761</v>
      </c>
      <c r="BP159" s="281">
        <f>BP128</f>
        <v>-3770</v>
      </c>
      <c r="BQ159" s="281">
        <f>BQ128</f>
        <v>-10707</v>
      </c>
      <c r="BR159" s="281">
        <f>BR128</f>
        <v>461</v>
      </c>
      <c r="BS159" s="281">
        <f>BS128</f>
        <v>-176</v>
      </c>
      <c r="BT159" s="281">
        <f>BT128</f>
        <v>-4781</v>
      </c>
      <c r="BU159" s="281">
        <f>BU128</f>
        <v>8777</v>
      </c>
      <c r="BV159" s="281">
        <f>BV128</f>
        <v>4281</v>
      </c>
      <c r="BW159" s="281">
        <f>BW128</f>
        <v>448</v>
      </c>
      <c r="BX159" s="281">
        <f>BX128</f>
        <v>156</v>
      </c>
      <c r="BY159" s="265">
        <f>BY128</f>
        <v>721.932405224858</v>
      </c>
      <c r="BZ159" s="265">
        <f>BZ128</f>
        <v>711.179521182638</v>
      </c>
      <c r="CA159" s="265">
        <f>CA128</f>
        <v>2037.1119264075</v>
      </c>
      <c r="CB159" s="265">
        <f>CB128</f>
        <v>6083.17940496081</v>
      </c>
      <c r="CC159" s="265">
        <f>CC128</f>
        <v>8726.93269284913</v>
      </c>
      <c r="CD159" s="265">
        <f>CD128</f>
        <v>11549.9432564531</v>
      </c>
      <c r="CE159" s="265">
        <f>CE128</f>
        <v>13673.1429101064</v>
      </c>
      <c r="CF159" s="265">
        <f>CF128</f>
        <v>15023.1715260069</v>
      </c>
      <c r="CG159" s="153" t="n"/>
    </row>
    <row r="160" ht="15" customHeight="1" s="251">
      <c r="B160" s="25" t="inlineStr">
        <is>
          <t xml:space="preserve">  (−) FAS/CAS service cost adjustment (2018+) / (+) unallocated pension &amp; postretirement expense (to 2017)</t>
        </is>
      </c>
      <c r="C160" s="262">
        <f>-N(C67)</f>
        <v>0</v>
      </c>
      <c r="D160" s="262">
        <f>-N(D67)</f>
        <v>686</v>
      </c>
      <c r="E160" s="262">
        <f>-N(E67)</f>
        <v>287</v>
      </c>
      <c r="F160" s="262">
        <f>-N(F67)</f>
        <v>-17</v>
      </c>
      <c r="G160" s="262">
        <f>-N(G67)</f>
        <v>5</v>
      </c>
      <c r="H160" s="262">
        <f>-N(H67)</f>
        <v>517</v>
      </c>
      <c r="I160" s="262">
        <f>-N(I67)</f>
        <v>899</v>
      </c>
      <c r="J160" s="262">
        <f>-N(J67)</f>
        <v>339</v>
      </c>
      <c r="K160" s="262">
        <f>-N(K67)</f>
        <v>312</v>
      </c>
      <c r="L160" s="262">
        <f>-N(L67)</f>
        <v>340</v>
      </c>
      <c r="M160" s="262">
        <f>-N(M67)</f>
        <v>323</v>
      </c>
      <c r="N160" s="262">
        <f>-N(N67)</f>
        <v>1314</v>
      </c>
      <c r="O160" s="262">
        <f>-N(O67)</f>
        <v>553</v>
      </c>
      <c r="P160" s="262">
        <f>-N(P67)</f>
        <v>204</v>
      </c>
      <c r="Q160" s="262">
        <f>-N(Q67)</f>
        <v>311</v>
      </c>
      <c r="R160" s="262">
        <f>-N(R67)</f>
        <v>319</v>
      </c>
      <c r="S160" s="262">
        <f>-N(S67)</f>
        <v>1387</v>
      </c>
      <c r="T160" s="262">
        <f>-N(T67)</f>
        <v>113</v>
      </c>
      <c r="U160" s="262">
        <f>-N(U67)</f>
        <v>30</v>
      </c>
      <c r="V160" s="262">
        <f>-N(V67)</f>
        <v>57</v>
      </c>
      <c r="W160" s="262">
        <f>-N(W67)</f>
        <v>98</v>
      </c>
      <c r="X160" s="262">
        <f>-N(X67)</f>
        <v>298</v>
      </c>
      <c r="Y160" s="262">
        <f>-N(Y67)</f>
        <v>-94</v>
      </c>
      <c r="Z160" s="262">
        <f>-N(Z67)</f>
        <v>-69</v>
      </c>
      <c r="AA160" s="262">
        <f>-N(AA67)</f>
        <v>-88</v>
      </c>
      <c r="AB160" s="262">
        <f>-N(AB67)</f>
        <v>-119</v>
      </c>
      <c r="AC160" s="262">
        <f>-N(AC67)</f>
        <v>-370</v>
      </c>
      <c r="AD160" s="262">
        <f>-N(AD67)</f>
        <v>-315</v>
      </c>
      <c r="AE160" s="262">
        <f>-N(AE67)</f>
        <v>-323</v>
      </c>
      <c r="AF160" s="262">
        <f>-N(AF67)</f>
        <v>-316</v>
      </c>
      <c r="AG160" s="262">
        <f>-N(AG67)</f>
        <v>-354</v>
      </c>
      <c r="AH160" s="262">
        <f>-N(AH67)</f>
        <v>-1308</v>
      </c>
      <c r="AI160" s="262">
        <f>-N(AI67)</f>
        <v>-365</v>
      </c>
      <c r="AJ160" s="262">
        <f>-N(AJ67)</f>
        <v>-317</v>
      </c>
      <c r="AK160" s="262">
        <f>-N(AK67)</f>
        <v>-337</v>
      </c>
      <c r="AL160" s="262">
        <f>-N(AL67)</f>
        <v>-308</v>
      </c>
      <c r="AM160" s="262">
        <f>-N(AM67)</f>
        <v>-1327</v>
      </c>
      <c r="AN160" s="262">
        <f>-N(AN67)</f>
        <v>-364</v>
      </c>
      <c r="AO160" s="262">
        <f>-N(AO67)</f>
        <v>-365</v>
      </c>
      <c r="AP160" s="262">
        <f>-N(AP67)</f>
        <v>-364</v>
      </c>
      <c r="AQ160" s="262">
        <f>-N(AQ67)</f>
        <v>-322</v>
      </c>
      <c r="AR160" s="262">
        <f>-N(AR67)</f>
        <v>-1415</v>
      </c>
      <c r="AS160" s="262">
        <f>-N(AS67)</f>
        <v>-347</v>
      </c>
      <c r="AT160" s="262">
        <f>-N(AT67)</f>
        <v>-355</v>
      </c>
      <c r="AU160" s="262">
        <f>-N(AU67)</f>
        <v>-353</v>
      </c>
      <c r="AV160" s="262">
        <f>-N(AV67)</f>
        <v>-328</v>
      </c>
      <c r="AW160" s="262">
        <f>-N(AW67)</f>
        <v>-1383</v>
      </c>
      <c r="AX160" s="262">
        <f>-N(AX67)</f>
        <v>-270</v>
      </c>
      <c r="AY160" s="262">
        <f>-N(AY67)</f>
        <v>-268</v>
      </c>
      <c r="AZ160" s="262">
        <f>-N(AZ67)</f>
        <v>-270</v>
      </c>
      <c r="BA160" s="262">
        <f>-N(BA67)</f>
        <v>-365</v>
      </c>
      <c r="BB160" s="262">
        <f>-N(BB67)</f>
        <v>-1173</v>
      </c>
      <c r="BC160" s="262">
        <f>-N(BC67)</f>
        <v>-283</v>
      </c>
      <c r="BD160" s="262">
        <f>-N(BD67)</f>
        <v>-284</v>
      </c>
      <c r="BE160" s="262">
        <f>-N(BE67)</f>
        <v>-279</v>
      </c>
      <c r="BF160" s="262">
        <f>-N(BF67)</f>
        <v>-297</v>
      </c>
      <c r="BG160" s="262">
        <f>-N(BG67)</f>
        <v>-1143</v>
      </c>
      <c r="BH160" s="262">
        <f>-N(BH67)</f>
        <v>-291</v>
      </c>
      <c r="BI160" s="262">
        <f>-N(BI67)</f>
        <v>-291</v>
      </c>
      <c r="BJ160" s="262">
        <f>-N(BJ67)</f>
        <v>-281</v>
      </c>
      <c r="BK160" s="262">
        <f>-N(BK67)</f>
        <v>-193</v>
      </c>
      <c r="BL160" s="262">
        <f>-N(BL67)</f>
        <v>-1056</v>
      </c>
      <c r="BM160" s="262">
        <f>-N(BM67)</f>
        <v>-302</v>
      </c>
      <c r="BN160" s="262">
        <f>-N(BN67)</f>
        <v>-302</v>
      </c>
      <c r="BO160" s="262">
        <f>-N(BO67)</f>
        <v>-228</v>
      </c>
      <c r="BP160" s="262">
        <f>-N(BP67)</f>
        <v>-272</v>
      </c>
      <c r="BQ160" s="262">
        <f>-N(BQ67)</f>
        <v>-1104</v>
      </c>
      <c r="BR160" s="262">
        <f>-N(BR67)</f>
        <v>-262</v>
      </c>
      <c r="BS160" s="262">
        <f>-N(BS67)</f>
        <v>-257</v>
      </c>
      <c r="BT160" s="262">
        <f>-N(BT67)</f>
        <v>-268</v>
      </c>
      <c r="BU160" s="262">
        <f>-N(BU67)</f>
        <v>-258</v>
      </c>
      <c r="BV160" s="262">
        <f>-N(BV67)</f>
        <v>-1045</v>
      </c>
      <c r="BW160" s="262">
        <f>-N(BW67)</f>
        <v>-155</v>
      </c>
      <c r="BX160" s="262">
        <f>-N(BX67)</f>
        <v>-155</v>
      </c>
      <c r="BY160" s="263">
        <f>-N(BY67)</f>
        <v>-155</v>
      </c>
      <c r="BZ160" s="263">
        <f>-N(BZ67)</f>
        <v>-155</v>
      </c>
      <c r="CA160" s="263">
        <f>-N(CA67)</f>
        <v>-620</v>
      </c>
      <c r="CB160" s="263">
        <f>-N(CB67)</f>
        <v>-600</v>
      </c>
      <c r="CC160" s="263">
        <f>-N(CC67)</f>
        <v>-550</v>
      </c>
      <c r="CD160" s="263">
        <f>-N(CD67)</f>
        <v>-500</v>
      </c>
      <c r="CE160" s="263">
        <f>-N(CE67)</f>
        <v>-450</v>
      </c>
      <c r="CF160" s="263">
        <f>-N(CF67)</f>
        <v>-400</v>
      </c>
      <c r="CG160" s="19" t="n"/>
    </row>
    <row r="161" ht="15" customHeight="1" s="251">
      <c r="B161" s="55" t="inlineStr">
        <is>
          <t xml:space="preserve">  = Core operating earnings (model bridge)</t>
        </is>
      </c>
      <c r="C161" s="275">
        <f>C159+C160</f>
        <v>3014</v>
      </c>
      <c r="D161" s="275">
        <f>D159+D160</f>
        <v>6516</v>
      </c>
      <c r="E161" s="275">
        <f>E159+E160</f>
        <v>4275</v>
      </c>
      <c r="F161" s="275">
        <f>F159+F160</f>
        <v>2079</v>
      </c>
      <c r="G161" s="275">
        <f>G159+G160</f>
        <v>4976</v>
      </c>
      <c r="H161" s="275">
        <f>H159+H160</f>
        <v>6361</v>
      </c>
      <c r="I161" s="275">
        <f>I159+I160</f>
        <v>7210</v>
      </c>
      <c r="J161" s="275">
        <f>J159+J160</f>
        <v>1867</v>
      </c>
      <c r="K161" s="275">
        <f>K159+K160</f>
        <v>2028</v>
      </c>
      <c r="L161" s="275">
        <f>L159+L160</f>
        <v>2143</v>
      </c>
      <c r="M161" s="275">
        <f>M159+M160</f>
        <v>1838</v>
      </c>
      <c r="N161" s="275">
        <f>N159+N160</f>
        <v>7876</v>
      </c>
      <c r="O161" s="275">
        <f>O159+O160</f>
        <v>2095</v>
      </c>
      <c r="P161" s="275">
        <f>P159+P160</f>
        <v>1991</v>
      </c>
      <c r="Q161" s="275">
        <f>Q159+Q160</f>
        <v>2430</v>
      </c>
      <c r="R161" s="275">
        <f>R159+R160</f>
        <v>2344</v>
      </c>
      <c r="S161" s="275">
        <f>S159+S160</f>
        <v>8860</v>
      </c>
      <c r="T161" s="275">
        <f>T159+T160</f>
        <v>2132</v>
      </c>
      <c r="U161" s="275">
        <f>U159+U160</f>
        <v>1713</v>
      </c>
      <c r="V161" s="275">
        <f>V159+V160</f>
        <v>2637</v>
      </c>
      <c r="W161" s="275">
        <f>W159+W160</f>
        <v>1259</v>
      </c>
      <c r="X161" s="275">
        <f>X159+X160</f>
        <v>7741</v>
      </c>
      <c r="Y161" s="275">
        <f>Y159+Y160</f>
        <v>1694</v>
      </c>
      <c r="Z161" s="275">
        <f>Z159+Z160</f>
        <v>-488</v>
      </c>
      <c r="AA161" s="275">
        <f>AA159+AA160</f>
        <v>2194</v>
      </c>
      <c r="AB161" s="275">
        <f>AB159+AB160</f>
        <v>2064</v>
      </c>
      <c r="AC161" s="275">
        <f>AC159+AC160</f>
        <v>5464</v>
      </c>
      <c r="AD161" s="275">
        <f>AD159+AD160</f>
        <v>1709</v>
      </c>
      <c r="AE161" s="275">
        <f>AE159+AE160</f>
        <v>2212</v>
      </c>
      <c r="AF161" s="275">
        <f>AF159+AF160</f>
        <v>2373</v>
      </c>
      <c r="AG161" s="275">
        <f>AG159+AG160</f>
        <v>2676</v>
      </c>
      <c r="AH161" s="275">
        <f>AH159+AH160</f>
        <v>8970</v>
      </c>
      <c r="AI161" s="275">
        <f>AI159+AI160</f>
        <v>2510</v>
      </c>
      <c r="AJ161" s="275">
        <f>AJ159+AJ160</f>
        <v>2393</v>
      </c>
      <c r="AK161" s="275">
        <f>AK159+AK160</f>
        <v>1890</v>
      </c>
      <c r="AL161" s="275">
        <f>AL159+AL160</f>
        <v>3867</v>
      </c>
      <c r="AM161" s="275">
        <f>AM159+AM160</f>
        <v>10660</v>
      </c>
      <c r="AN161" s="275">
        <f>AN159+AN160</f>
        <v>1986</v>
      </c>
      <c r="AO161" s="275">
        <f>AO159+AO160</f>
        <v>-3745</v>
      </c>
      <c r="AP161" s="275">
        <f>AP159+AP160</f>
        <v>895</v>
      </c>
      <c r="AQ161" s="275">
        <f>AQ159+AQ160</f>
        <v>-2526</v>
      </c>
      <c r="AR161" s="275">
        <f>AR159+AR160</f>
        <v>-3390</v>
      </c>
      <c r="AS161" s="275">
        <f>AS159+AS160</f>
        <v>-1700</v>
      </c>
      <c r="AT161" s="275">
        <f>AT159+AT160</f>
        <v>-3319</v>
      </c>
      <c r="AU161" s="275">
        <f>AU159+AU160</f>
        <v>-754</v>
      </c>
      <c r="AV161" s="275">
        <f>AV159+AV160</f>
        <v>-8377</v>
      </c>
      <c r="AW161" s="275">
        <f>AW159+AW160</f>
        <v>-14150</v>
      </c>
      <c r="AX161" s="275">
        <f>AX159+AX160</f>
        <v>-353</v>
      </c>
      <c r="AY161" s="275">
        <f>AY159+AY160</f>
        <v>755</v>
      </c>
      <c r="AZ161" s="275">
        <f>AZ159+AZ160</f>
        <v>59</v>
      </c>
      <c r="BA161" s="275">
        <f>BA159+BA160</f>
        <v>-4536</v>
      </c>
      <c r="BB161" s="275">
        <f>BB159+BB160</f>
        <v>-4075</v>
      </c>
      <c r="BC161" s="275">
        <f>BC159+BC160</f>
        <v>-1452</v>
      </c>
      <c r="BD161" s="275">
        <f>BD159+BD160</f>
        <v>490</v>
      </c>
      <c r="BE161" s="275">
        <f>BE159+BE160</f>
        <v>-3078</v>
      </c>
      <c r="BF161" s="275">
        <f>BF159+BF160</f>
        <v>-650</v>
      </c>
      <c r="BG161" s="275">
        <f>BG159+BG160</f>
        <v>-4690</v>
      </c>
      <c r="BH161" s="275">
        <f>BH159+BH160</f>
        <v>-440</v>
      </c>
      <c r="BI161" s="275">
        <f>BI159+BI160</f>
        <v>-390</v>
      </c>
      <c r="BJ161" s="275">
        <f>BJ159+BJ160</f>
        <v>-1089</v>
      </c>
      <c r="BK161" s="275">
        <f>BK159+BK160</f>
        <v>90</v>
      </c>
      <c r="BL161" s="275">
        <f>BL159+BL160</f>
        <v>-1829</v>
      </c>
      <c r="BM161" s="275">
        <f>BM159+BM160</f>
        <v>-388</v>
      </c>
      <c r="BN161" s="275">
        <f>BN159+BN160</f>
        <v>-1392</v>
      </c>
      <c r="BO161" s="275">
        <f>BO159+BO160</f>
        <v>-5989</v>
      </c>
      <c r="BP161" s="275">
        <f>BP159+BP160</f>
        <v>-4042</v>
      </c>
      <c r="BQ161" s="275">
        <f>BQ159+BQ160</f>
        <v>-11811</v>
      </c>
      <c r="BR161" s="275">
        <f>BR159+BR160</f>
        <v>199</v>
      </c>
      <c r="BS161" s="275">
        <f>BS159+BS160</f>
        <v>-433</v>
      </c>
      <c r="BT161" s="275">
        <f>BT159+BT160</f>
        <v>-5049</v>
      </c>
      <c r="BU161" s="275">
        <f>BU159+BU160</f>
        <v>8519</v>
      </c>
      <c r="BV161" s="275">
        <f>BV159+BV160</f>
        <v>3236</v>
      </c>
      <c r="BW161" s="275">
        <f>BW159+BW160</f>
        <v>293</v>
      </c>
      <c r="BX161" s="275">
        <f>BX159+BX160</f>
        <v>1</v>
      </c>
      <c r="BY161" s="275">
        <f>BY159+BY160</f>
        <v>566.932405224858</v>
      </c>
      <c r="BZ161" s="275">
        <f>BZ159+BZ160</f>
        <v>556.179521182638</v>
      </c>
      <c r="CA161" s="275">
        <f>CA159+CA160</f>
        <v>1417.1119264075</v>
      </c>
      <c r="CB161" s="275">
        <f>CB159+CB160</f>
        <v>5483.17940496081</v>
      </c>
      <c r="CC161" s="275">
        <f>CC159+CC160</f>
        <v>8176.93269284913</v>
      </c>
      <c r="CD161" s="275">
        <f>CD159+CD160</f>
        <v>11049.9432564531</v>
      </c>
      <c r="CE161" s="275">
        <f>CE159+CE160</f>
        <v>13223.1429101064</v>
      </c>
      <c r="CF161" s="275">
        <f>CF159+CF160</f>
        <v>14623.1715260069</v>
      </c>
      <c r="CG161" s="153" t="inlineStr">
        <is>
          <t>2006–07: pension detail not disclosed (= GAAP, flagged); 2008–10: model rebuild from the unallocated detail (not published).</t>
        </is>
      </c>
      <c r="CI161" s="20">
        <f>IFERROR(IF(AND(CF161&gt;0,CA161&gt;0),(CF161/CA161)^(1/5)-1,"n/m"),"n/m")</f>
        <v>0.594878061927097</v>
      </c>
      <c r="CJ161" s="20" t="str">
        <f>IFERROR(IF(AND(BV161&gt;0,AW161&gt;0),(BV161/AW161)^(1/5)-1,"n/m"),"n/m")</f>
        <v>n/m</v>
      </c>
      <c r="CK161" s="20">
        <f>IFERROR(IF(AND(BV161&gt;0,X161&gt;0),(BV161/X161)^(1/10)-1,"n/m"),"n/m")</f>
        <v>-0.0835238985259417</v>
      </c>
      <c r="CL161" s="20">
        <f>IFERROR(IF(AND(BV161&gt;0,C161&gt;0),(BV161/C161)^(1/19)-1,"n/m"),"n/m")</f>
        <v>0.00374752547899448</v>
      </c>
    </row>
    <row r="162" ht="15" customHeight="1" s="251">
      <c r="B162" s="25" t="inlineStr">
        <is>
          <t xml:space="preserve">  Core operating margin %</t>
        </is>
      </c>
      <c r="C162" s="215">
        <f>IF(AND(ISNUMBER(C161),ISNUMBER(C117)),IFERROR(C161/C117,""),"")</f>
        <v>0.0489842353323582</v>
      </c>
      <c r="D162" s="215">
        <f>IF(AND(ISNUMBER(D161),ISNUMBER(D117)),IFERROR(D161/D117,""),"")</f>
        <v>0.0981517465768901</v>
      </c>
      <c r="E162" s="215">
        <f>IF(AND(ISNUMBER(E161),ISNUMBER(E117)),IFERROR(E161/E117,""),"")</f>
        <v>0.0701682396389003</v>
      </c>
      <c r="F162" s="215">
        <f>IF(AND(ISNUMBER(F161),ISNUMBER(F117)),IFERROR(F161/F117,""),"")</f>
        <v>0.0304477087330297</v>
      </c>
      <c r="G162" s="215">
        <f>IF(AND(ISNUMBER(G161),ISNUMBER(G117)),IFERROR(G161/G117,""),"")</f>
        <v>0.0773800267471154</v>
      </c>
      <c r="H162" s="215">
        <f>IF(AND(ISNUMBER(H161),ISNUMBER(H117)),IFERROR(H161/H117,""),"")</f>
        <v>0.0925438277442351</v>
      </c>
      <c r="I162" s="215">
        <f>IF(AND(ISNUMBER(I161),ISNUMBER(I117)),IFERROR(I161/I117,""),"")</f>
        <v>0.0882518543905604</v>
      </c>
      <c r="J162" s="215">
        <f>IF(AND(ISNUMBER(J161),ISNUMBER(J117)),IFERROR(J161/J117,""),"")</f>
        <v>0.0988196686603504</v>
      </c>
      <c r="K162" s="215">
        <f>IF(AND(ISNUMBER(K161),ISNUMBER(K117)),IFERROR(K161/K117,""),"")</f>
        <v>0.0929635571854229</v>
      </c>
      <c r="L162" s="215">
        <f>IF(AND(ISNUMBER(L161),ISNUMBER(L117)),IFERROR(L161/L117,""),"")</f>
        <v>0.0968368730230456</v>
      </c>
      <c r="M162" s="215">
        <f>IF(AND(ISNUMBER(M161),ISNUMBER(M117)),IFERROR(M161/M117,""),"")</f>
        <v>0.0772755938616775</v>
      </c>
      <c r="N162" s="215">
        <f>IF(AND(ISNUMBER(N161),ISNUMBER(N117)),IFERROR(N161/N117,""),"")</f>
        <v>0.0909227341468201</v>
      </c>
      <c r="O162" s="215">
        <f>IF(AND(ISNUMBER(O161),ISNUMBER(O117)),IFERROR(O161/O117,""),"")</f>
        <v>0.102369899828976</v>
      </c>
      <c r="P162" s="215">
        <f>IF(AND(ISNUMBER(P161),ISNUMBER(P117)),IFERROR(P161/P117,""),"")</f>
        <v>0.0903152642322522</v>
      </c>
      <c r="Q162" s="215">
        <f>IF(AND(ISNUMBER(Q161),ISNUMBER(Q117)),IFERROR(Q161/Q117,""),"")</f>
        <v>0.102169525731584</v>
      </c>
      <c r="R162" s="215">
        <f>IF(AND(ISNUMBER(R161),ISNUMBER(R117)),IFERROR(R161/R117,""),"")</f>
        <v>0.0957985940820664</v>
      </c>
      <c r="S162" s="215">
        <f>IF(AND(ISNUMBER(S161),ISNUMBER(S117)),IFERROR(S161/S117,""),"")</f>
        <v>0.0976179458363632</v>
      </c>
      <c r="T162" s="215">
        <f>IF(AND(ISNUMBER(T161),ISNUMBER(T117)),IFERROR(T161/T117,""),"")</f>
        <v>0.0962571673664725</v>
      </c>
      <c r="U162" s="215">
        <f>IF(AND(ISNUMBER(U161),ISNUMBER(U117)),IFERROR(U161/U117,""),"")</f>
        <v>0.0697958684757365</v>
      </c>
      <c r="V162" s="215">
        <f>IF(AND(ISNUMBER(V161),ISNUMBER(V117)),IFERROR(V161/V117,""),"")</f>
        <v>0.102015551858873</v>
      </c>
      <c r="W162" s="215">
        <f>IF(AND(ISNUMBER(W161),ISNUMBER(W117)),IFERROR(W161/W117,""),"")</f>
        <v>0.0534085606414118</v>
      </c>
      <c r="X162" s="215">
        <f>IF(AND(ISNUMBER(X161),ISNUMBER(X117)),IFERROR(X161/X117,""),"")</f>
        <v>0.0805397756830431</v>
      </c>
      <c r="Y162" s="215">
        <f>IF(AND(ISNUMBER(Y161),ISNUMBER(Y117)),IFERROR(Y161/Y117,""),"")</f>
        <v>0.0748497702368328</v>
      </c>
      <c r="Z162" s="215">
        <f>IF(AND(ISNUMBER(Z161),ISNUMBER(Z117)),IFERROR(Z161/Z117,""),"")</f>
        <v>-0.019713189254696</v>
      </c>
      <c r="AA162" s="215">
        <f>IF(AND(ISNUMBER(AA161),ISNUMBER(AA117)),IFERROR(AA161/AA117,""),"")</f>
        <v>0.0918068457611516</v>
      </c>
      <c r="AB162" s="215">
        <f>IF(AND(ISNUMBER(AB161),ISNUMBER(AB117)),IFERROR(AB161/AB117,""),"")</f>
        <v>0.0886369492398866</v>
      </c>
      <c r="AC162" s="215">
        <f>IF(AND(ISNUMBER(AC161),ISNUMBER(AC117)),IFERROR(AC161/AC117,""),"")</f>
        <v>0.0577766968732487</v>
      </c>
      <c r="AD162" s="215">
        <f>IF(AND(ISNUMBER(AD161),ISNUMBER(AD117)),IFERROR(AD161/AD117,""),"")</f>
        <v>0.0814740655987796</v>
      </c>
      <c r="AE162" s="215">
        <f>IF(AND(ISNUMBER(AE161),ISNUMBER(AE117)),IFERROR(AE161/AE117,""),"")</f>
        <v>0.0972778046527992</v>
      </c>
      <c r="AF162" s="215">
        <f>IF(AND(ISNUMBER(AF161),ISNUMBER(AF117)),IFERROR(AF161/AF117,""),"")</f>
        <v>0.0976181661113168</v>
      </c>
      <c r="AG162" s="215">
        <f>IF(AND(ISNUMBER(AG161),ISNUMBER(AG117)),IFERROR(AG161/AG117,""),"")</f>
        <v>0.105487228003784</v>
      </c>
      <c r="AH162" s="215">
        <f>IF(AND(ISNUMBER(AH161),ISNUMBER(AH117)),IFERROR(AH161/AH117,""),"")</f>
        <v>0.0960467706013363</v>
      </c>
      <c r="AI162" s="215">
        <f>IF(AND(ISNUMBER(AI161),ISNUMBER(AI117)),IFERROR(AI161/AI117,""),"")</f>
        <v>0.107347532289796</v>
      </c>
      <c r="AJ162" s="215">
        <f>IF(AND(ISNUMBER(AJ161),ISNUMBER(AJ117)),IFERROR(AJ161/AJ117,""),"")</f>
        <v>0.0986478687443318</v>
      </c>
      <c r="AK162" s="215">
        <f>IF(AND(ISNUMBER(AK161),ISNUMBER(AK117)),IFERROR(AK161/AK117,""),"")</f>
        <v>0.0751610594130279</v>
      </c>
      <c r="AL162" s="215">
        <f>IF(AND(ISNUMBER(AL161),ISNUMBER(AL117)),IFERROR(AL161/AL117,""),"")</f>
        <v>0.136445432412406</v>
      </c>
      <c r="AM162" s="215">
        <f>IF(AND(ISNUMBER(AM161),ISNUMBER(AM117)),IFERROR(AM161/AM117,""),"")</f>
        <v>0.105412006684664</v>
      </c>
      <c r="AN162" s="215">
        <f>IF(AND(ISNUMBER(AN161),ISNUMBER(AN117)),IFERROR(AN161/AN117,""),"")</f>
        <v>0.0866605576646158</v>
      </c>
      <c r="AO162" s="215">
        <f>IF(AND(ISNUMBER(AO161),ISNUMBER(AO117)),IFERROR(AO161/AO117,""),"")</f>
        <v>-0.237762681734493</v>
      </c>
      <c r="AP162" s="215">
        <f>IF(AND(ISNUMBER(AP161),ISNUMBER(AP117)),IFERROR(AP161/AP117,""),"")</f>
        <v>0.0447947947947948</v>
      </c>
      <c r="AQ162" s="215">
        <f>IF(AND(ISNUMBER(AQ161),ISNUMBER(AQ117)),IFERROR(AQ161/AQ117,""),"")</f>
        <v>-0.14103065155491</v>
      </c>
      <c r="AR162" s="215">
        <f>IF(AND(ISNUMBER(AR161),ISNUMBER(AR117)),IFERROR(AR161/AR117,""),"")</f>
        <v>-0.0442795752295615</v>
      </c>
      <c r="AS162" s="215">
        <f>IF(AND(ISNUMBER(AS161),ISNUMBER(AS117)),IFERROR(AS161/AS117,""),"")</f>
        <v>-0.100544121126094</v>
      </c>
      <c r="AT162" s="215">
        <f>IF(AND(ISNUMBER(AT161),ISNUMBER(AT117)),IFERROR(AT161/AT117,""),"")</f>
        <v>-0.281104429575675</v>
      </c>
      <c r="AU162" s="215">
        <f>IF(AND(ISNUMBER(AU161),ISNUMBER(AU117)),IFERROR(AU161/AU117,""),"")</f>
        <v>-0.0533276752245562</v>
      </c>
      <c r="AV162" s="215">
        <f>IF(AND(ISNUMBER(AV161),ISNUMBER(AV117)),IFERROR(AV161/AV117,""),"")</f>
        <v>-0.547373235755358</v>
      </c>
      <c r="AW162" s="215">
        <f>IF(AND(ISNUMBER(AW161),ISNUMBER(AW117)),IFERROR(AW161/AW117,""),"")</f>
        <v>-0.243302727053888</v>
      </c>
      <c r="AX162" s="215">
        <f>IF(AND(ISNUMBER(AX161),ISNUMBER(AX117)),IFERROR(AX161/AX117,""),"")</f>
        <v>-0.023197739370441</v>
      </c>
      <c r="AY162" s="215">
        <f>IF(AND(ISNUMBER(AY161),ISNUMBER(AY117)),IFERROR(AY161/AY117,""),"")</f>
        <v>0.0444169902341452</v>
      </c>
      <c r="AZ162" s="215">
        <f>IF(AND(ISNUMBER(AZ161),ISNUMBER(AZ117)),IFERROR(AZ161/AZ117,""),"")</f>
        <v>0.00386176201073439</v>
      </c>
      <c r="BA162" s="215">
        <f>IF(AND(ISNUMBER(BA161),ISNUMBER(BA117)),IFERROR(BA161/BA117,""),"")</f>
        <v>-0.306631514905699</v>
      </c>
      <c r="BB162" s="215">
        <f>IF(AND(ISNUMBER(BB161),ISNUMBER(BB117)),IFERROR(BB161/BB117,""),"")</f>
        <v>-0.0654240118164596</v>
      </c>
      <c r="BC162" s="215">
        <f>IF(AND(ISNUMBER(BC161),ISNUMBER(BC117)),IFERROR(BC161/BC117,""),"")</f>
        <v>-0.103781002072761</v>
      </c>
      <c r="BD162" s="215">
        <f>IF(AND(ISNUMBER(BD161),ISNUMBER(BD117)),IFERROR(BD161/BD117,""),"")</f>
        <v>0.029374737725556</v>
      </c>
      <c r="BE162" s="215">
        <f>IF(AND(ISNUMBER(BE161),ISNUMBER(BE117)),IFERROR(BE161/BE117,""),"")</f>
        <v>-0.192905490097769</v>
      </c>
      <c r="BF162" s="215">
        <f>IF(AND(ISNUMBER(BF161),ISNUMBER(BF117)),IFERROR(BF161/BF117,""),"")</f>
        <v>-0.0325325325325325</v>
      </c>
      <c r="BG162" s="215">
        <f>IF(AND(ISNUMBER(BG161),ISNUMBER(BG117)),IFERROR(BG161/BG117,""),"")</f>
        <v>-0.0704119625270238</v>
      </c>
      <c r="BH162" s="215">
        <f>IF(AND(ISNUMBER(BH161),ISNUMBER(BH117)),IFERROR(BH161/BH117,""),"")</f>
        <v>-0.0245522013280509</v>
      </c>
      <c r="BI162" s="215">
        <f>IF(AND(ISNUMBER(BI161),ISNUMBER(BI117)),IFERROR(BI161/BI117,""),"")</f>
        <v>-0.0197458356538909</v>
      </c>
      <c r="BJ162" s="215">
        <f>IF(AND(ISNUMBER(BJ161),ISNUMBER(BJ117)),IFERROR(BJ161/BJ117,""),"")</f>
        <v>-0.0601524524966858</v>
      </c>
      <c r="BK162" s="215">
        <f>IF(AND(ISNUMBER(BK161),ISNUMBER(BK117)),IFERROR(BK161/BK117,""),"")</f>
        <v>0.00408756471977473</v>
      </c>
      <c r="BL162" s="215">
        <f>IF(AND(ISNUMBER(BL161),ISNUMBER(BL117)),IFERROR(BL161/BL117,""),"")</f>
        <v>-0.0235108106023601</v>
      </c>
      <c r="BM162" s="215">
        <f>IF(AND(ISNUMBER(BM161),ISNUMBER(BM117)),IFERROR(BM161/BM117,""),"")</f>
        <v>-0.0234172249381375</v>
      </c>
      <c r="BN162" s="215">
        <f>IF(AND(ISNUMBER(BN161),ISNUMBER(BN117)),IFERROR(BN161/BN117,""),"")</f>
        <v>-0.0825329064389897</v>
      </c>
      <c r="BO162" s="215">
        <f>IF(AND(ISNUMBER(BO161),ISNUMBER(BO117)),IFERROR(BO161/BO117,""),"")</f>
        <v>-0.335706278026906</v>
      </c>
      <c r="BP162" s="215">
        <f>IF(AND(ISNUMBER(BP161),ISNUMBER(BP117)),IFERROR(BP161/BP117,""),"")</f>
        <v>-0.265188295499278</v>
      </c>
      <c r="BQ162" s="215">
        <f>IF(AND(ISNUMBER(BQ161),ISNUMBER(BQ117)),IFERROR(BQ161/BQ117,""),"")</f>
        <v>-0.177563630350136</v>
      </c>
      <c r="BR162" s="215">
        <f>IF(AND(ISNUMBER(BR161),ISNUMBER(BR117)),IFERROR(BR161/BR117,""),"")</f>
        <v>0.0102072219942552</v>
      </c>
      <c r="BS162" s="215">
        <f>IF(AND(ISNUMBER(BS161),ISNUMBER(BS117)),IFERROR(BS161/BS117,""),"")</f>
        <v>-0.0190338036836784</v>
      </c>
      <c r="BT162" s="215">
        <f>IF(AND(ISNUMBER(BT161),ISNUMBER(BT117)),IFERROR(BT161/BT117,""),"")</f>
        <v>-0.216974645466266</v>
      </c>
      <c r="BU162" s="215">
        <f>IF(AND(ISNUMBER(BU161),ISNUMBER(BU117)),IFERROR(BU161/BU117,""),"")</f>
        <v>0.355729079672624</v>
      </c>
      <c r="BV162" s="215">
        <f>IF(AND(ISNUMBER(BV161),ISNUMBER(BV117)),IFERROR(BV161/BV117,""),"")</f>
        <v>0.0361713781116216</v>
      </c>
      <c r="BW162" s="215">
        <f>IF(AND(ISNUMBER(BW161),ISNUMBER(BW117)),IFERROR(BW161/BW117,""),"")</f>
        <v>0.0131880992033128</v>
      </c>
      <c r="BX162" s="215">
        <f>IF(AND(ISNUMBER(BX161),ISNUMBER(BX117)),IFERROR(BX161/BX117,""),"")</f>
        <v>4.07166123778502e-05</v>
      </c>
      <c r="BY162" s="260">
        <f>IF(AND(ISNUMBER(BY161),ISNUMBER(BY117)),IFERROR(BY161/BY117,""),"")</f>
        <v>0.0226862429015716</v>
      </c>
      <c r="BZ162" s="260">
        <f>IF(AND(ISNUMBER(BZ161),ISNUMBER(BZ117)),IFERROR(BZ161/BZ117,""),"")</f>
        <v>0.0218046614175574</v>
      </c>
      <c r="CA162" s="260">
        <f>IF(AND(ISNUMBER(CA161),ISNUMBER(CA117)),IFERROR(CA161/CA117,""),"")</f>
        <v>0.014568173558104</v>
      </c>
      <c r="CB162" s="260">
        <f>IF(AND(ISNUMBER(CB161),ISNUMBER(CB117)),IFERROR(CB161/CB117,""),"")</f>
        <v>0.0514377226769254</v>
      </c>
      <c r="CC162" s="260">
        <f>IF(AND(ISNUMBER(CC161),ISNUMBER(CC117)),IFERROR(CC161/CC117,""),"")</f>
        <v>0.0706239244368406</v>
      </c>
      <c r="CD162" s="260">
        <f>IF(AND(ISNUMBER(CD161),ISNUMBER(CD117)),IFERROR(CD161/CD117,""),"")</f>
        <v>0.0892502858439994</v>
      </c>
      <c r="CE162" s="260">
        <f>IF(AND(ISNUMBER(CE161),ISNUMBER(CE117)),IFERROR(CE161/CE117,""),"")</f>
        <v>0.10178502119118</v>
      </c>
      <c r="CF162" s="260">
        <f>IF(AND(ISNUMBER(CF161),ISNUMBER(CF117)),IFERROR(CF161/CF117,""),"")</f>
        <v>0.107915665069182</v>
      </c>
      <c r="CG162" s="153" t="n"/>
      <c r="CI162" s="37">
        <f>IFERROR(AVERAGE(CB162,CC162,CD162,CE162,CF162),"n/m")</f>
        <v>0.0842025238436254</v>
      </c>
      <c r="CJ162" s="37">
        <f>IFERROR(AVERAGE(BB162,BG162,BL162,BQ162,BV162),"n/m")</f>
        <v>-0.0601478074368716</v>
      </c>
      <c r="CK162" s="37">
        <f>IFERROR(AVERAGE(AC162,AH162,AM162,AR162,AW162,BB162,BG162,BL162,BQ162,BV162),"n/m")</f>
        <v>-0.0329085865308558</v>
      </c>
      <c r="CL162" s="37">
        <f>IFERROR(AVERAGE(C162,D162,E162,F162,G162,H162,I162,N162,S162,X162,AC162,AH162,AM162,AR162,AW162,BB162,BG162,BL162,BQ162,BV162),"n/m")</f>
        <v>0.0222961114760379</v>
      </c>
    </row>
    <row r="163" ht="15" customHeight="1" s="251">
      <c r="B163" s="156" t="inlineStr">
        <is>
          <t xml:space="preserve">  Company-published core operating earnings</t>
        </is>
      </c>
      <c r="C163" s="34" t="n"/>
      <c r="D163" s="34" t="n"/>
      <c r="E163" s="34" t="n"/>
      <c r="F163" s="34" t="n"/>
      <c r="G163" s="34" t="n"/>
      <c r="H163" s="266" t="n">
        <v>6361</v>
      </c>
      <c r="I163" s="266" t="n">
        <v>7210</v>
      </c>
      <c r="J163" s="266" t="n">
        <v>1867</v>
      </c>
      <c r="K163" s="266" t="n">
        <v>2028</v>
      </c>
      <c r="L163" s="266" t="n">
        <v>2143</v>
      </c>
      <c r="M163" s="266" t="n">
        <v>1838</v>
      </c>
      <c r="N163" s="266" t="n">
        <v>7876</v>
      </c>
      <c r="O163" s="266" t="n">
        <v>2095</v>
      </c>
      <c r="P163" s="266" t="n">
        <v>1991</v>
      </c>
      <c r="Q163" s="266" t="n">
        <v>2430</v>
      </c>
      <c r="R163" s="266" t="n">
        <v>2344</v>
      </c>
      <c r="S163" s="266" t="n">
        <v>8860</v>
      </c>
      <c r="T163" s="266" t="n">
        <v>2132</v>
      </c>
      <c r="U163" s="266" t="n">
        <v>1713</v>
      </c>
      <c r="V163" s="266" t="n">
        <v>2637</v>
      </c>
      <c r="W163" s="266" t="n">
        <v>1259</v>
      </c>
      <c r="X163" s="266" t="n">
        <v>7741</v>
      </c>
      <c r="Y163" s="266" t="n">
        <v>1694</v>
      </c>
      <c r="Z163" s="266" t="n">
        <v>-488</v>
      </c>
      <c r="AA163" s="266" t="n">
        <v>2194</v>
      </c>
      <c r="AB163" s="266" t="n">
        <v>2064</v>
      </c>
      <c r="AC163" s="266" t="n">
        <v>5464</v>
      </c>
      <c r="AD163" s="266" t="n">
        <v>1709</v>
      </c>
      <c r="AE163" s="266" t="n">
        <v>2212</v>
      </c>
      <c r="AF163" s="266" t="n">
        <v>2373</v>
      </c>
      <c r="AG163" s="266" t="n">
        <v>2676</v>
      </c>
      <c r="AH163" s="266" t="n">
        <v>8970</v>
      </c>
      <c r="AI163" s="266" t="n">
        <v>2510</v>
      </c>
      <c r="AJ163" s="266" t="n">
        <v>2393</v>
      </c>
      <c r="AK163" s="266" t="n">
        <v>1890</v>
      </c>
      <c r="AL163" s="266" t="n">
        <v>3867</v>
      </c>
      <c r="AM163" s="266" t="n">
        <v>10660</v>
      </c>
      <c r="AN163" s="266" t="n">
        <v>1986</v>
      </c>
      <c r="AO163" s="266" t="n">
        <v>-3745</v>
      </c>
      <c r="AP163" s="266" t="n">
        <v>895</v>
      </c>
      <c r="AQ163" s="266" t="n">
        <v>-2526</v>
      </c>
      <c r="AR163" s="266" t="n">
        <v>-3390</v>
      </c>
      <c r="AS163" s="266" t="n">
        <v>-1700</v>
      </c>
      <c r="AT163" s="266" t="n">
        <v>-3319</v>
      </c>
      <c r="AU163" s="266" t="n">
        <v>-754</v>
      </c>
      <c r="AV163" s="266" t="n">
        <v>-8377</v>
      </c>
      <c r="AW163" s="266" t="n">
        <v>-14150</v>
      </c>
      <c r="AX163" s="266" t="n">
        <v>-353</v>
      </c>
      <c r="AY163" s="266" t="n">
        <v>755</v>
      </c>
      <c r="AZ163" s="266" t="n">
        <v>59</v>
      </c>
      <c r="BA163" s="266" t="n">
        <v>-4536</v>
      </c>
      <c r="BB163" s="266" t="n">
        <v>-4075</v>
      </c>
      <c r="BC163" s="266" t="n">
        <v>-1452</v>
      </c>
      <c r="BD163" s="266" t="n">
        <v>490</v>
      </c>
      <c r="BE163" s="266" t="n">
        <v>-3078</v>
      </c>
      <c r="BF163" s="266" t="n">
        <v>-650</v>
      </c>
      <c r="BG163" s="266" t="n">
        <v>-4690</v>
      </c>
      <c r="BH163" s="266" t="n">
        <v>-440</v>
      </c>
      <c r="BI163" s="266" t="n">
        <v>-390</v>
      </c>
      <c r="BJ163" s="266" t="n">
        <v>-1089</v>
      </c>
      <c r="BK163" s="266" t="n">
        <v>90</v>
      </c>
      <c r="BL163" s="266" t="n">
        <v>-1829</v>
      </c>
      <c r="BM163" s="266" t="n">
        <v>-388</v>
      </c>
      <c r="BN163" s="266" t="n">
        <v>-1392</v>
      </c>
      <c r="BO163" s="266" t="n">
        <v>-5989</v>
      </c>
      <c r="BP163" s="266" t="n">
        <v>-4042</v>
      </c>
      <c r="BQ163" s="266" t="n">
        <v>-11811</v>
      </c>
      <c r="BR163" s="266" t="n">
        <v>199</v>
      </c>
      <c r="BS163" s="266" t="n">
        <v>-433</v>
      </c>
      <c r="BT163" s="266" t="n">
        <v>-5049</v>
      </c>
      <c r="BU163" s="266" t="n">
        <v>8519</v>
      </c>
      <c r="BV163" s="266" t="n">
        <v>3236</v>
      </c>
      <c r="BW163" s="266" t="n">
        <v>293</v>
      </c>
      <c r="BX163" s="266" t="n">
        <v>1</v>
      </c>
      <c r="BY163" s="153" t="n"/>
      <c r="BZ163" s="153" t="n"/>
      <c r="CA163" s="153" t="n"/>
      <c r="CB163" s="153" t="n"/>
      <c r="CC163" s="153" t="n"/>
      <c r="CD163" s="153" t="n"/>
      <c r="CE163" s="153" t="n"/>
      <c r="CF163" s="153" t="n"/>
      <c r="CG163" s="153" t="n"/>
    </row>
    <row r="164" ht="15" customHeight="1" s="251">
      <c r="B164" s="57" t="inlineStr">
        <is>
          <t xml:space="preserve">  Check: model bridge vs company-published (should be 0)</t>
        </is>
      </c>
      <c r="C164" s="262" t="str">
        <f>IF(ISNUMBER(C163),ROUND(C161-C163,1),"n/p")</f>
        <v>n/p</v>
      </c>
      <c r="D164" s="262" t="str">
        <f>IF(ISNUMBER(D163),ROUND(D161-D163,1),"n/p")</f>
        <v>n/p</v>
      </c>
      <c r="E164" s="262" t="str">
        <f>IF(ISNUMBER(E163),ROUND(E161-E163,1),"n/p")</f>
        <v>n/p</v>
      </c>
      <c r="F164" s="262" t="str">
        <f>IF(ISNUMBER(F163),ROUND(F161-F163,1),"n/p")</f>
        <v>n/p</v>
      </c>
      <c r="G164" s="262" t="str">
        <f>IF(ISNUMBER(G163),ROUND(G161-G163,1),"n/p")</f>
        <v>n/p</v>
      </c>
      <c r="H164" s="262">
        <f>IF(ISNUMBER(H163),ROUND(H161-H163,1),"n/p")</f>
        <v>0</v>
      </c>
      <c r="I164" s="262">
        <f>IF(ISNUMBER(I163),ROUND(I161-I163,1),"n/p")</f>
        <v>0</v>
      </c>
      <c r="J164" s="262">
        <f>IF(ISNUMBER(J163),ROUND(J161-J163,1),"n/p")</f>
        <v>0</v>
      </c>
      <c r="K164" s="262">
        <f>IF(ISNUMBER(K163),ROUND(K161-K163,1),"n/p")</f>
        <v>0</v>
      </c>
      <c r="L164" s="262">
        <f>IF(ISNUMBER(L163),ROUND(L161-L163,1),"n/p")</f>
        <v>0</v>
      </c>
      <c r="M164" s="262">
        <f>IF(ISNUMBER(M163),ROUND(M161-M163,1),"n/p")</f>
        <v>0</v>
      </c>
      <c r="N164" s="262">
        <f>IF(ISNUMBER(N163),ROUND(N161-N163,1),"n/p")</f>
        <v>0</v>
      </c>
      <c r="O164" s="262">
        <f>IF(ISNUMBER(O163),ROUND(O161-O163,1),"n/p")</f>
        <v>0</v>
      </c>
      <c r="P164" s="262">
        <f>IF(ISNUMBER(P163),ROUND(P161-P163,1),"n/p")</f>
        <v>0</v>
      </c>
      <c r="Q164" s="262">
        <f>IF(ISNUMBER(Q163),ROUND(Q161-Q163,1),"n/p")</f>
        <v>0</v>
      </c>
      <c r="R164" s="262">
        <f>IF(ISNUMBER(R163),ROUND(R161-R163,1),"n/p")</f>
        <v>0</v>
      </c>
      <c r="S164" s="262">
        <f>IF(ISNUMBER(S163),ROUND(S161-S163,1),"n/p")</f>
        <v>0</v>
      </c>
      <c r="T164" s="262">
        <f>IF(ISNUMBER(T163),ROUND(T161-T163,1),"n/p")</f>
        <v>0</v>
      </c>
      <c r="U164" s="262">
        <f>IF(ISNUMBER(U163),ROUND(U161-U163,1),"n/p")</f>
        <v>0</v>
      </c>
      <c r="V164" s="262">
        <f>IF(ISNUMBER(V163),ROUND(V161-V163,1),"n/p")</f>
        <v>0</v>
      </c>
      <c r="W164" s="262">
        <f>IF(ISNUMBER(W163),ROUND(W161-W163,1),"n/p")</f>
        <v>0</v>
      </c>
      <c r="X164" s="262">
        <f>IF(ISNUMBER(X163),ROUND(X161-X163,1),"n/p")</f>
        <v>0</v>
      </c>
      <c r="Y164" s="262">
        <f>IF(ISNUMBER(Y163),ROUND(Y161-Y163,1),"n/p")</f>
        <v>0</v>
      </c>
      <c r="Z164" s="262">
        <f>IF(ISNUMBER(Z163),ROUND(Z161-Z163,1),"n/p")</f>
        <v>0</v>
      </c>
      <c r="AA164" s="262">
        <f>IF(ISNUMBER(AA163),ROUND(AA161-AA163,1),"n/p")</f>
        <v>0</v>
      </c>
      <c r="AB164" s="262">
        <f>IF(ISNUMBER(AB163),ROUND(AB161-AB163,1),"n/p")</f>
        <v>0</v>
      </c>
      <c r="AC164" s="262">
        <f>IF(ISNUMBER(AC163),ROUND(AC161-AC163,1),"n/p")</f>
        <v>0</v>
      </c>
      <c r="AD164" s="262">
        <f>IF(ISNUMBER(AD163),ROUND(AD161-AD163,1),"n/p")</f>
        <v>0</v>
      </c>
      <c r="AE164" s="262">
        <f>IF(ISNUMBER(AE163),ROUND(AE161-AE163,1),"n/p")</f>
        <v>0</v>
      </c>
      <c r="AF164" s="262">
        <f>IF(ISNUMBER(AF163),ROUND(AF161-AF163,1),"n/p")</f>
        <v>0</v>
      </c>
      <c r="AG164" s="262">
        <f>IF(ISNUMBER(AG163),ROUND(AG161-AG163,1),"n/p")</f>
        <v>0</v>
      </c>
      <c r="AH164" s="262">
        <f>IF(ISNUMBER(AH163),ROUND(AH161-AH163,1),"n/p")</f>
        <v>0</v>
      </c>
      <c r="AI164" s="262">
        <f>IF(ISNUMBER(AI163),ROUND(AI161-AI163,1),"n/p")</f>
        <v>0</v>
      </c>
      <c r="AJ164" s="262">
        <f>IF(ISNUMBER(AJ163),ROUND(AJ161-AJ163,1),"n/p")</f>
        <v>0</v>
      </c>
      <c r="AK164" s="262">
        <f>IF(ISNUMBER(AK163),ROUND(AK161-AK163,1),"n/p")</f>
        <v>0</v>
      </c>
      <c r="AL164" s="262">
        <f>IF(ISNUMBER(AL163),ROUND(AL161-AL163,1),"n/p")</f>
        <v>0</v>
      </c>
      <c r="AM164" s="262">
        <f>IF(ISNUMBER(AM163),ROUND(AM161-AM163,1),"n/p")</f>
        <v>0</v>
      </c>
      <c r="AN164" s="262">
        <f>IF(ISNUMBER(AN163),ROUND(AN161-AN163,1),"n/p")</f>
        <v>0</v>
      </c>
      <c r="AO164" s="262">
        <f>IF(ISNUMBER(AO163),ROUND(AO161-AO163,1),"n/p")</f>
        <v>0</v>
      </c>
      <c r="AP164" s="262">
        <f>IF(ISNUMBER(AP163),ROUND(AP161-AP163,1),"n/p")</f>
        <v>0</v>
      </c>
      <c r="AQ164" s="262">
        <f>IF(ISNUMBER(AQ163),ROUND(AQ161-AQ163,1),"n/p")</f>
        <v>0</v>
      </c>
      <c r="AR164" s="262">
        <f>IF(ISNUMBER(AR163),ROUND(AR161-AR163,1),"n/p")</f>
        <v>0</v>
      </c>
      <c r="AS164" s="262">
        <f>IF(ISNUMBER(AS163),ROUND(AS161-AS163,1),"n/p")</f>
        <v>0</v>
      </c>
      <c r="AT164" s="262">
        <f>IF(ISNUMBER(AT163),ROUND(AT161-AT163,1),"n/p")</f>
        <v>0</v>
      </c>
      <c r="AU164" s="262">
        <f>IF(ISNUMBER(AU163),ROUND(AU161-AU163,1),"n/p")</f>
        <v>0</v>
      </c>
      <c r="AV164" s="262">
        <f>IF(ISNUMBER(AV163),ROUND(AV161-AV163,1),"n/p")</f>
        <v>0</v>
      </c>
      <c r="AW164" s="262">
        <f>IF(ISNUMBER(AW163),ROUND(AW161-AW163,1),"n/p")</f>
        <v>0</v>
      </c>
      <c r="AX164" s="262">
        <f>IF(ISNUMBER(AX163),ROUND(AX161-AX163,1),"n/p")</f>
        <v>0</v>
      </c>
      <c r="AY164" s="262">
        <f>IF(ISNUMBER(AY163),ROUND(AY161-AY163,1),"n/p")</f>
        <v>0</v>
      </c>
      <c r="AZ164" s="262">
        <f>IF(ISNUMBER(AZ163),ROUND(AZ161-AZ163,1),"n/p")</f>
        <v>0</v>
      </c>
      <c r="BA164" s="262">
        <f>IF(ISNUMBER(BA163),ROUND(BA161-BA163,1),"n/p")</f>
        <v>0</v>
      </c>
      <c r="BB164" s="262">
        <f>IF(ISNUMBER(BB163),ROUND(BB161-BB163,1),"n/p")</f>
        <v>0</v>
      </c>
      <c r="BC164" s="262">
        <f>IF(ISNUMBER(BC163),ROUND(BC161-BC163,1),"n/p")</f>
        <v>0</v>
      </c>
      <c r="BD164" s="262">
        <f>IF(ISNUMBER(BD163),ROUND(BD161-BD163,1),"n/p")</f>
        <v>0</v>
      </c>
      <c r="BE164" s="262">
        <f>IF(ISNUMBER(BE163),ROUND(BE161-BE163,1),"n/p")</f>
        <v>0</v>
      </c>
      <c r="BF164" s="262">
        <f>IF(ISNUMBER(BF163),ROUND(BF161-BF163,1),"n/p")</f>
        <v>0</v>
      </c>
      <c r="BG164" s="262">
        <f>IF(ISNUMBER(BG163),ROUND(BG161-BG163,1),"n/p")</f>
        <v>0</v>
      </c>
      <c r="BH164" s="262">
        <f>IF(ISNUMBER(BH163),ROUND(BH161-BH163,1),"n/p")</f>
        <v>0</v>
      </c>
      <c r="BI164" s="262">
        <f>IF(ISNUMBER(BI163),ROUND(BI161-BI163,1),"n/p")</f>
        <v>0</v>
      </c>
      <c r="BJ164" s="262">
        <f>IF(ISNUMBER(BJ163),ROUND(BJ161-BJ163,1),"n/p")</f>
        <v>0</v>
      </c>
      <c r="BK164" s="262">
        <f>IF(ISNUMBER(BK163),ROUND(BK161-BK163,1),"n/p")</f>
        <v>0</v>
      </c>
      <c r="BL164" s="262">
        <f>IF(ISNUMBER(BL163),ROUND(BL161-BL163,1),"n/p")</f>
        <v>0</v>
      </c>
      <c r="BM164" s="262">
        <f>IF(ISNUMBER(BM163),ROUND(BM161-BM163,1),"n/p")</f>
        <v>0</v>
      </c>
      <c r="BN164" s="262">
        <f>IF(ISNUMBER(BN163),ROUND(BN161-BN163,1),"n/p")</f>
        <v>0</v>
      </c>
      <c r="BO164" s="262">
        <f>IF(ISNUMBER(BO163),ROUND(BO161-BO163,1),"n/p")</f>
        <v>0</v>
      </c>
      <c r="BP164" s="262">
        <f>IF(ISNUMBER(BP163),ROUND(BP161-BP163,1),"n/p")</f>
        <v>0</v>
      </c>
      <c r="BQ164" s="262">
        <f>IF(ISNUMBER(BQ163),ROUND(BQ161-BQ163,1),"n/p")</f>
        <v>0</v>
      </c>
      <c r="BR164" s="262">
        <f>IF(ISNUMBER(BR163),ROUND(BR161-BR163,1),"n/p")</f>
        <v>0</v>
      </c>
      <c r="BS164" s="262">
        <f>IF(ISNUMBER(BS163),ROUND(BS161-BS163,1),"n/p")</f>
        <v>0</v>
      </c>
      <c r="BT164" s="262">
        <f>IF(ISNUMBER(BT163),ROUND(BT161-BT163,1),"n/p")</f>
        <v>0</v>
      </c>
      <c r="BU164" s="262">
        <f>IF(ISNUMBER(BU163),ROUND(BU161-BU163,1),"n/p")</f>
        <v>0</v>
      </c>
      <c r="BV164" s="262">
        <f>IF(ISNUMBER(BV163),ROUND(BV161-BV163,1),"n/p")</f>
        <v>0</v>
      </c>
      <c r="BW164" s="262">
        <f>IF(ISNUMBER(BW163),ROUND(BW161-BW163,1),"n/p")</f>
        <v>0</v>
      </c>
      <c r="BX164" s="262">
        <f>IF(ISNUMBER(BX163),ROUND(BX161-BX163,1),"n/p")</f>
        <v>0</v>
      </c>
      <c r="BY164" s="153" t="n"/>
      <c r="BZ164" s="153" t="n"/>
      <c r="CA164" s="153" t="n"/>
      <c r="CB164" s="153" t="n"/>
      <c r="CC164" s="153" t="n"/>
      <c r="CD164" s="153" t="n"/>
      <c r="CE164" s="153" t="n"/>
      <c r="CF164" s="153" t="n"/>
      <c r="CG164" s="153" t="n"/>
    </row>
    <row r="165" ht="15" customHeight="1" s="251">
      <c r="B165" s="158" t="inlineStr">
        <is>
          <t xml:space="preserve">  Definition / basis (company core definition in force)</t>
        </is>
      </c>
      <c r="C165" s="290" t="inlineStr">
        <is>
          <t>2006–07: core operating earnings not published; unallocated pension detail not disclosed → core = GAAP (flag)</t>
        </is>
      </c>
      <c r="E165" s="290" t="inlineStr">
        <is>
          <t>2008–10: not published — model rebuild = earnings from operations + unallocated pension &amp; postretirement expense (unallocated detail)</t>
        </is>
      </c>
      <c r="H165" s="290" t="inlineStr">
        <is>
          <t>2011–17: company core = earnings from operations + unallocated pension / postretirement expense (FY2011 from the Q4-12 release comparative)</t>
        </is>
      </c>
      <c r="AM165" s="290" t="inlineStr">
        <is>
          <t>2018+: core = earnings from operations − FAS/CAS service cost adjustment (ASU 2017-07; non-service pension moved below operating earnings)</t>
        </is>
      </c>
      <c r="BY165" s="153" t="n"/>
      <c r="BZ165" s="153" t="n"/>
      <c r="CA165" s="153" t="n"/>
      <c r="CB165" s="153" t="n"/>
      <c r="CC165" s="153" t="n"/>
      <c r="CD165" s="153" t="n"/>
      <c r="CE165" s="153" t="n"/>
      <c r="CF165" s="153" t="n"/>
      <c r="CG165" s="19" t="inlineStr">
        <is>
          <t>Basis changes are flagged in the column where they take effect (cell comment gives the detail).</t>
        </is>
      </c>
    </row>
    <row r="166" ht="15" customHeight="1" s="251">
      <c r="B166" s="22" t="inlineStr">
        <is>
          <t xml:space="preserve">  Core operating earnings y/y %</t>
        </is>
      </c>
      <c r="C166" s="23" t="n"/>
      <c r="D166" s="259">
        <f>IF(AND(ISNUMBER(D161),ISNUMBER(C161)),IF(C161&gt;0,IFERROR(D161/C161-1,""),"n/m"),"")</f>
        <v>1.16191108161911</v>
      </c>
      <c r="E166" s="259">
        <f>IF(AND(ISNUMBER(E161),ISNUMBER(D161)),IF(D161&gt;0,IFERROR(E161/D161-1,""),"n/m"),"")</f>
        <v>-0.343922651933702</v>
      </c>
      <c r="F166" s="259">
        <f>IF(AND(ISNUMBER(F161),ISNUMBER(E161)),IF(E161&gt;0,IFERROR(F161/E161-1,""),"n/m"),"")</f>
        <v>-0.513684210526316</v>
      </c>
      <c r="G166" s="259">
        <f>IF(AND(ISNUMBER(G161),ISNUMBER(F161)),IF(F161&gt;0,IFERROR(G161/F161-1,""),"n/m"),"")</f>
        <v>1.39345839345839</v>
      </c>
      <c r="H166" s="259">
        <f>IF(AND(ISNUMBER(H161),ISNUMBER(G161)),IF(G161&gt;0,IFERROR(H161/G161-1,""),"n/m"),"")</f>
        <v>0.278336012861736</v>
      </c>
      <c r="I166" s="259">
        <f>IF(AND(ISNUMBER(I161),ISNUMBER(H161)),IF(H161&gt;0,IFERROR(I161/H161-1,""),"n/m"),"")</f>
        <v>0.133469580254677</v>
      </c>
      <c r="J166" s="23" t="n"/>
      <c r="K166" s="23" t="n"/>
      <c r="L166" s="23" t="n"/>
      <c r="M166" s="23" t="n"/>
      <c r="N166" s="259">
        <f>IF(AND(ISNUMBER(N161),ISNUMBER(I161)),IF(I161&gt;0,IFERROR(N161/I161-1,""),"n/m"),"")</f>
        <v>0.0923717059639391</v>
      </c>
      <c r="O166" s="259">
        <f>IF(AND(ISNUMBER(O161),ISNUMBER(J161)),IF(J161&gt;0,IFERROR(O161/J161-1,""),"n/m"),"")</f>
        <v>0.122121049812534</v>
      </c>
      <c r="P166" s="259">
        <f>IF(AND(ISNUMBER(P161),ISNUMBER(K161)),IF(K161&gt;0,IFERROR(P161/K161-1,""),"n/m"),"")</f>
        <v>-0.0182445759368837</v>
      </c>
      <c r="Q166" s="259">
        <f>IF(AND(ISNUMBER(Q161),ISNUMBER(L161)),IF(L161&gt;0,IFERROR(Q161/L161-1,""),"n/m"),"")</f>
        <v>0.133924405039664</v>
      </c>
      <c r="R166" s="259">
        <f>IF(AND(ISNUMBER(R161),ISNUMBER(M161)),IF(M161&gt;0,IFERROR(R161/M161-1,""),"n/m"),"")</f>
        <v>0.275299238302503</v>
      </c>
      <c r="S166" s="259">
        <f>IF(AND(ISNUMBER(S161),ISNUMBER(N161)),IF(N161&gt;0,IFERROR(S161/N161-1,""),"n/m"),"")</f>
        <v>0.124936515997969</v>
      </c>
      <c r="T166" s="259">
        <f>IF(AND(ISNUMBER(T161),ISNUMBER(O161)),IF(O161&gt;0,IFERROR(T161/O161-1,""),"n/m"),"")</f>
        <v>0.0176610978520286</v>
      </c>
      <c r="U166" s="259">
        <f>IF(AND(ISNUMBER(U161),ISNUMBER(P161)),IF(P161&gt;0,IFERROR(U161/P161-1,""),"n/m"),"")</f>
        <v>-0.139628327473631</v>
      </c>
      <c r="V166" s="259">
        <f>IF(AND(ISNUMBER(V161),ISNUMBER(Q161)),IF(Q161&gt;0,IFERROR(V161/Q161-1,""),"n/m"),"")</f>
        <v>0.0851851851851853</v>
      </c>
      <c r="W166" s="259">
        <f>IF(AND(ISNUMBER(W161),ISNUMBER(R161)),IF(R161&gt;0,IFERROR(W161/R161-1,""),"n/m"),"")</f>
        <v>-0.462883959044369</v>
      </c>
      <c r="X166" s="259">
        <f>IF(AND(ISNUMBER(X161),ISNUMBER(S161)),IF(S161&gt;0,IFERROR(X161/S161-1,""),"n/m"),"")</f>
        <v>-0.126297968397291</v>
      </c>
      <c r="Y166" s="259">
        <f>IF(AND(ISNUMBER(Y161),ISNUMBER(T161)),IF(T161&gt;0,IFERROR(Y161/T161-1,""),"n/m"),"")</f>
        <v>-0.205440900562852</v>
      </c>
      <c r="Z166" s="259">
        <f>IF(AND(ISNUMBER(Z161),ISNUMBER(U161)),IF(U161&gt;0,IFERROR(Z161/U161-1,""),"n/m"),"")</f>
        <v>-1.28488032691185</v>
      </c>
      <c r="AA166" s="259">
        <f>IF(AND(ISNUMBER(AA161),ISNUMBER(V161)),IF(V161&gt;0,IFERROR(AA161/V161-1,""),"n/m"),"")</f>
        <v>-0.167993932499052</v>
      </c>
      <c r="AB166" s="259">
        <f>IF(AND(ISNUMBER(AB161),ISNUMBER(W161)),IF(W161&gt;0,IFERROR(AB161/W161-1,""),"n/m"),"")</f>
        <v>0.639396346306593</v>
      </c>
      <c r="AC166" s="259">
        <f>IF(AND(ISNUMBER(AC161),ISNUMBER(X161)),IF(X161&gt;0,IFERROR(AC161/X161-1,""),"n/m"),"")</f>
        <v>-0.294148042888516</v>
      </c>
      <c r="AD166" s="259">
        <f>IF(AND(ISNUMBER(AD161),ISNUMBER(Y161)),IF(Y161&gt;0,IFERROR(AD161/Y161-1,""),"n/m"),"")</f>
        <v>0.00885478158205433</v>
      </c>
      <c r="AE166" s="259" t="str">
        <f>IF(AND(ISNUMBER(AE161),ISNUMBER(Z161)),IF(Z161&gt;0,IFERROR(AE161/Z161-1,""),"n/m"),"")</f>
        <v>n/m</v>
      </c>
      <c r="AF166" s="259">
        <f>IF(AND(ISNUMBER(AF161),ISNUMBER(AA161)),IF(AA161&gt;0,IFERROR(AF161/AA161-1,""),"n/m"),"")</f>
        <v>0.0815861440291705</v>
      </c>
      <c r="AG166" s="259">
        <f>IF(AND(ISNUMBER(AG161),ISNUMBER(AB161)),IF(AB161&gt;0,IFERROR(AG161/AB161-1,""),"n/m"),"")</f>
        <v>0.296511627906977</v>
      </c>
      <c r="AH166" s="259">
        <f>IF(AND(ISNUMBER(AH161),ISNUMBER(AC161)),IF(AC161&gt;0,IFERROR(AH161/AC161-1,""),"n/m"),"")</f>
        <v>0.641654465592972</v>
      </c>
      <c r="AI166" s="259">
        <f>IF(AND(ISNUMBER(AI161),ISNUMBER(AD161)),IF(AD161&gt;0,IFERROR(AI161/AD161-1,""),"n/m"),"")</f>
        <v>0.468695143358689</v>
      </c>
      <c r="AJ166" s="259">
        <f>IF(AND(ISNUMBER(AJ161),ISNUMBER(AE161)),IF(AE161&gt;0,IFERROR(AJ161/AE161-1,""),"n/m"),"")</f>
        <v>0.0818264014466545</v>
      </c>
      <c r="AK166" s="259">
        <f>IF(AND(ISNUMBER(AK161),ISNUMBER(AF161)),IF(AF161&gt;0,IFERROR(AK161/AF161-1,""),"n/m"),"")</f>
        <v>-0.20353982300885</v>
      </c>
      <c r="AL166" s="259">
        <f>IF(AND(ISNUMBER(AL161),ISNUMBER(AG161)),IF(AG161&gt;0,IFERROR(AL161/AG161-1,""),"n/m"),"")</f>
        <v>0.445067264573991</v>
      </c>
      <c r="AM166" s="259">
        <f>IF(AND(ISNUMBER(AM161),ISNUMBER(AH161)),IF(AH161&gt;0,IFERROR(AM161/AH161-1,""),"n/m"),"")</f>
        <v>0.188405797101449</v>
      </c>
      <c r="AN166" s="259">
        <f>IF(AND(ISNUMBER(AN161),ISNUMBER(AI161)),IF(AI161&gt;0,IFERROR(AN161/AI161-1,""),"n/m"),"")</f>
        <v>-0.208764940239044</v>
      </c>
      <c r="AO166" s="259">
        <f>IF(AND(ISNUMBER(AO161),ISNUMBER(AJ161)),IF(AJ161&gt;0,IFERROR(AO161/AJ161-1,""),"n/m"),"")</f>
        <v>-2.56498119515253</v>
      </c>
      <c r="AP166" s="259">
        <f>IF(AND(ISNUMBER(AP161),ISNUMBER(AK161)),IF(AK161&gt;0,IFERROR(AP161/AK161-1,""),"n/m"),"")</f>
        <v>-0.526455026455027</v>
      </c>
      <c r="AQ166" s="259">
        <f>IF(AND(ISNUMBER(AQ161),ISNUMBER(AL161)),IF(AL161&gt;0,IFERROR(AQ161/AL161-1,""),"n/m"),"")</f>
        <v>-1.65321955003879</v>
      </c>
      <c r="AR166" s="259">
        <f>IF(AND(ISNUMBER(AR161),ISNUMBER(AM161)),IF(AM161&gt;0,IFERROR(AR161/AM161-1,""),"n/m"),"")</f>
        <v>-1.31801125703565</v>
      </c>
      <c r="AS166" s="259">
        <f>IF(AND(ISNUMBER(AS161),ISNUMBER(AN161)),IF(AN161&gt;0,IFERROR(AS161/AN161-1,""),"n/m"),"")</f>
        <v>-1.85599194360524</v>
      </c>
      <c r="AT166" s="259" t="str">
        <f>IF(AND(ISNUMBER(AT161),ISNUMBER(AO161)),IF(AO161&gt;0,IFERROR(AT161/AO161-1,""),"n/m"),"")</f>
        <v>n/m</v>
      </c>
      <c r="AU166" s="259">
        <f>IF(AND(ISNUMBER(AU161),ISNUMBER(AP161)),IF(AP161&gt;0,IFERROR(AU161/AP161-1,""),"n/m"),"")</f>
        <v>-1.84245810055866</v>
      </c>
      <c r="AV166" s="259" t="str">
        <f>IF(AND(ISNUMBER(AV161),ISNUMBER(AQ161)),IF(AQ161&gt;0,IFERROR(AV161/AQ161-1,""),"n/m"),"")</f>
        <v>n/m</v>
      </c>
      <c r="AW166" s="259" t="str">
        <f>IF(AND(ISNUMBER(AW161),ISNUMBER(AR161)),IF(AR161&gt;0,IFERROR(AW161/AR161-1,""),"n/m"),"")</f>
        <v>n/m</v>
      </c>
      <c r="AX166" s="259" t="str">
        <f>IF(AND(ISNUMBER(AX161),ISNUMBER(AS161)),IF(AS161&gt;0,IFERROR(AX161/AS161-1,""),"n/m"),"")</f>
        <v>n/m</v>
      </c>
      <c r="AY166" s="259" t="str">
        <f>IF(AND(ISNUMBER(AY161),ISNUMBER(AT161)),IF(AT161&gt;0,IFERROR(AY161/AT161-1,""),"n/m"),"")</f>
        <v>n/m</v>
      </c>
      <c r="AZ166" s="259" t="str">
        <f>IF(AND(ISNUMBER(AZ161),ISNUMBER(AU161)),IF(AU161&gt;0,IFERROR(AZ161/AU161-1,""),"n/m"),"")</f>
        <v>n/m</v>
      </c>
      <c r="BA166" s="259" t="str">
        <f>IF(AND(ISNUMBER(BA161),ISNUMBER(AV161)),IF(AV161&gt;0,IFERROR(BA161/AV161-1,""),"n/m"),"")</f>
        <v>n/m</v>
      </c>
      <c r="BB166" s="259" t="str">
        <f>IF(AND(ISNUMBER(BB161),ISNUMBER(AW161)),IF(AW161&gt;0,IFERROR(BB161/AW161-1,""),"n/m"),"")</f>
        <v>n/m</v>
      </c>
      <c r="BC166" s="259" t="str">
        <f>IF(AND(ISNUMBER(BC161),ISNUMBER(AX161)),IF(AX161&gt;0,IFERROR(BC161/AX161-1,""),"n/m"),"")</f>
        <v>n/m</v>
      </c>
      <c r="BD166" s="259">
        <f>IF(AND(ISNUMBER(BD161),ISNUMBER(AY161)),IF(AY161&gt;0,IFERROR(BD161/AY161-1,""),"n/m"),"")</f>
        <v>-0.350993377483444</v>
      </c>
      <c r="BE166" s="259">
        <f>IF(AND(ISNUMBER(BE161),ISNUMBER(AZ161)),IF(AZ161&gt;0,IFERROR(BE161/AZ161-1,""),"n/m"),"")</f>
        <v>-53.1694915254237</v>
      </c>
      <c r="BF166" s="259" t="str">
        <f>IF(AND(ISNUMBER(BF161),ISNUMBER(BA161)),IF(BA161&gt;0,IFERROR(BF161/BA161-1,""),"n/m"),"")</f>
        <v>n/m</v>
      </c>
      <c r="BG166" s="259" t="str">
        <f>IF(AND(ISNUMBER(BG161),ISNUMBER(BB161)),IF(BB161&gt;0,IFERROR(BG161/BB161-1,""),"n/m"),"")</f>
        <v>n/m</v>
      </c>
      <c r="BH166" s="259" t="str">
        <f>IF(AND(ISNUMBER(BH161),ISNUMBER(BC161)),IF(BC161&gt;0,IFERROR(BH161/BC161-1,""),"n/m"),"")</f>
        <v>n/m</v>
      </c>
      <c r="BI166" s="259">
        <f>IF(AND(ISNUMBER(BI161),ISNUMBER(BD161)),IF(BD161&gt;0,IFERROR(BI161/BD161-1,""),"n/m"),"")</f>
        <v>-1.79591836734694</v>
      </c>
      <c r="BJ166" s="259" t="str">
        <f>IF(AND(ISNUMBER(BJ161),ISNUMBER(BE161)),IF(BE161&gt;0,IFERROR(BJ161/BE161-1,""),"n/m"),"")</f>
        <v>n/m</v>
      </c>
      <c r="BK166" s="259" t="str">
        <f>IF(AND(ISNUMBER(BK161),ISNUMBER(BF161)),IF(BF161&gt;0,IFERROR(BK161/BF161-1,""),"n/m"),"")</f>
        <v>n/m</v>
      </c>
      <c r="BL166" s="259" t="str">
        <f>IF(AND(ISNUMBER(BL161),ISNUMBER(BG161)),IF(BG161&gt;0,IFERROR(BL161/BG161-1,""),"n/m"),"")</f>
        <v>n/m</v>
      </c>
      <c r="BM166" s="259" t="str">
        <f>IF(AND(ISNUMBER(BM161),ISNUMBER(BH161)),IF(BH161&gt;0,IFERROR(BM161/BH161-1,""),"n/m"),"")</f>
        <v>n/m</v>
      </c>
      <c r="BN166" s="259" t="str">
        <f>IF(AND(ISNUMBER(BN161),ISNUMBER(BI161)),IF(BI161&gt;0,IFERROR(BN161/BI161-1,""),"n/m"),"")</f>
        <v>n/m</v>
      </c>
      <c r="BO166" s="259" t="str">
        <f>IF(AND(ISNUMBER(BO161),ISNUMBER(BJ161)),IF(BJ161&gt;0,IFERROR(BO161/BJ161-1,""),"n/m"),"")</f>
        <v>n/m</v>
      </c>
      <c r="BP166" s="259">
        <f>IF(AND(ISNUMBER(BP161),ISNUMBER(BK161)),IF(BK161&gt;0,IFERROR(BP161/BK161-1,""),"n/m"),"")</f>
        <v>-45.9111111111111</v>
      </c>
      <c r="BQ166" s="259" t="str">
        <f>IF(AND(ISNUMBER(BQ161),ISNUMBER(BL161)),IF(BL161&gt;0,IFERROR(BQ161/BL161-1,""),"n/m"),"")</f>
        <v>n/m</v>
      </c>
      <c r="BR166" s="259" t="str">
        <f>IF(AND(ISNUMBER(BR161),ISNUMBER(BM161)),IF(BM161&gt;0,IFERROR(BR161/BM161-1,""),"n/m"),"")</f>
        <v>n/m</v>
      </c>
      <c r="BS166" s="259" t="str">
        <f>IF(AND(ISNUMBER(BS161),ISNUMBER(BN161)),IF(BN161&gt;0,IFERROR(BS161/BN161-1,""),"n/m"),"")</f>
        <v>n/m</v>
      </c>
      <c r="BT166" s="259" t="str">
        <f>IF(AND(ISNUMBER(BT161),ISNUMBER(BO161)),IF(BO161&gt;0,IFERROR(BT161/BO161-1,""),"n/m"),"")</f>
        <v>n/m</v>
      </c>
      <c r="BU166" s="259" t="str">
        <f>IF(AND(ISNUMBER(BU161),ISNUMBER(BP161)),IF(BP161&gt;0,IFERROR(BU161/BP161-1,""),"n/m"),"")</f>
        <v>n/m</v>
      </c>
      <c r="BV166" s="259" t="str">
        <f>IF(AND(ISNUMBER(BV161),ISNUMBER(BQ161)),IF(BQ161&gt;0,IFERROR(BV161/BQ161-1,""),"n/m"),"")</f>
        <v>n/m</v>
      </c>
      <c r="BW166" s="259">
        <f>IF(AND(ISNUMBER(BW161),ISNUMBER(BR161)),IF(BR161&gt;0,IFERROR(BW161/BR161-1,""),"n/m"),"")</f>
        <v>0.472361809045226</v>
      </c>
      <c r="BX166" s="259" t="str">
        <f>IF(AND(ISNUMBER(BX161),ISNUMBER(BS161)),IF(BS161&gt;0,IFERROR(BX161/BS161-1,""),"n/m"),"")</f>
        <v>n/m</v>
      </c>
      <c r="BY166" s="260" t="str">
        <f>IF(AND(ISNUMBER(BY161),ISNUMBER(BT161)),IF(BT161&gt;0,IFERROR(BY161/BT161-1,""),"n/m"),"")</f>
        <v>n/m</v>
      </c>
      <c r="BZ166" s="260">
        <f>IF(AND(ISNUMBER(BZ161),ISNUMBER(BU161)),IF(BU161&gt;0,IFERROR(BZ161/BU161-1,""),"n/m"),"")</f>
        <v>-0.934713050688738</v>
      </c>
      <c r="CA166" s="260">
        <f>IF(AND(ISNUMBER(CA161),ISNUMBER(BV161)),IF(BV161&gt;0,IFERROR(CA161/BV161-1,""),"n/m"),"")</f>
        <v>-0.562079132754173</v>
      </c>
      <c r="CB166" s="260">
        <f>IF(AND(ISNUMBER(CB161),ISNUMBER(CA161)),IF(CA161&gt;0,IFERROR(CB161/CA161-1,""),"n/m"),"")</f>
        <v>2.86926346662056</v>
      </c>
      <c r="CC166" s="260">
        <f>IF(AND(ISNUMBER(CC161),ISNUMBER(CB161)),IF(CB161&gt;0,IFERROR(CC161/CB161-1,""),"n/m"),"")</f>
        <v>0.49127578890656</v>
      </c>
      <c r="CD166" s="260">
        <f>IF(AND(ISNUMBER(CD161),ISNUMBER(CC161)),IF(CC161&gt;0,IFERROR(CD161/CC161-1,""),"n/m"),"")</f>
        <v>0.351355535323954</v>
      </c>
      <c r="CE166" s="260">
        <f>IF(AND(ISNUMBER(CE161),ISNUMBER(CD161)),IF(CD161&gt;0,IFERROR(CE161/CD161-1,""),"n/m"),"")</f>
        <v>0.196670661850157</v>
      </c>
      <c r="CF166" s="260">
        <f>IF(AND(ISNUMBER(CF161),ISNUMBER(CE161)),IF(CE161&gt;0,IFERROR(CF161/CE161-1,""),"n/m"),"")</f>
        <v>0.105877144746765</v>
      </c>
      <c r="CG166" s="153" t="n"/>
    </row>
    <row r="167" ht="15" customHeight="1" s="251">
      <c r="B167" s="25" t="inlineStr">
        <is>
          <t xml:space="preserve">  Incremental core operating margin (Δ core operating earnings / Δ revenues)</t>
        </is>
      </c>
      <c r="C167" s="36" t="n"/>
      <c r="D167" s="215">
        <f>IFERROR((D161-C161)/(D117-C117),"")</f>
        <v>0.721021206506074</v>
      </c>
      <c r="E167" s="215">
        <f>IFERROR((E161-D161)/(E117-D117),"")</f>
        <v>0.410289271329183</v>
      </c>
      <c r="F167" s="215">
        <f>IFERROR((F161-E161)/(F117-E117),"")</f>
        <v>-0.298531810766721</v>
      </c>
      <c r="G167" s="215">
        <f>IFERROR((G161-F161)/(G117-F117),"")</f>
        <v>-0.728805031446541</v>
      </c>
      <c r="H167" s="215">
        <f>IFERROR((H161-G161)/(H117-G117),"")</f>
        <v>0.312711673063897</v>
      </c>
      <c r="I167" s="215">
        <f>IFERROR((I161-H161)/(I117-H117),"")</f>
        <v>0.0654940985882898</v>
      </c>
      <c r="J167" s="36" t="n"/>
      <c r="K167" s="36" t="n"/>
      <c r="L167" s="36" t="n"/>
      <c r="M167" s="36" t="n"/>
      <c r="N167" s="215">
        <f>IFERROR((N161-I161)/(N117-I117),"")</f>
        <v>0.135228426395939</v>
      </c>
      <c r="O167" s="215">
        <f>IFERROR((O161-J161)/(O117-J117),"")</f>
        <v>0.145038167938931</v>
      </c>
      <c r="P167" s="215">
        <f>IFERROR((P161-K161)/(P117-K117),"")</f>
        <v>-0.160869565217391</v>
      </c>
      <c r="Q167" s="215">
        <f>IFERROR((Q161-L161)/(Q117-L117),"")</f>
        <v>0.173518742442564</v>
      </c>
      <c r="R167" s="215">
        <f>IFERROR((R161-M161)/(R117-M117),"")</f>
        <v>0.740849194729136</v>
      </c>
      <c r="S167" s="215">
        <f>IFERROR((S161-N161)/(S117-N117),"")</f>
        <v>0.237738584199082</v>
      </c>
      <c r="T167" s="215">
        <f>IFERROR((T161-O161)/(T117-O117),"")</f>
        <v>0.0219714964370546</v>
      </c>
      <c r="U167" s="215">
        <f>IFERROR((U161-P161)/(U117-P117),"")</f>
        <v>-0.11128903122498</v>
      </c>
      <c r="V167" s="215">
        <f>IFERROR((V161-Q161)/(V117-Q117),"")</f>
        <v>0.100242130750605</v>
      </c>
      <c r="W167" s="215">
        <f>IFERROR((W161-R161)/(W117-R117),"")</f>
        <v>1.2122905027933</v>
      </c>
      <c r="X167" s="215">
        <f>IFERROR((X161-S161)/(X117-S117),"")</f>
        <v>-0.209080717488789</v>
      </c>
      <c r="Y167" s="215">
        <f>IFERROR((Y161-T161)/(Y117-T117),"")</f>
        <v>-0.906832298136646</v>
      </c>
      <c r="Z167" s="215">
        <f>IFERROR((Z161-U161)/(Z117-U117),"")</f>
        <v>-10.3820754716981</v>
      </c>
      <c r="AA167" s="215">
        <f>IFERROR((AA161-V161)/(AA117-V117),"")</f>
        <v>0.227063044592517</v>
      </c>
      <c r="AB167" s="215">
        <f>IFERROR((AB161-W161)/(AB117-W117),"")</f>
        <v>-2.80487804878049</v>
      </c>
      <c r="AC167" s="215">
        <f>IFERROR((AC161-X161)/(AC117-X117),"")</f>
        <v>1.47569669475049</v>
      </c>
      <c r="AD167" s="215">
        <f>IFERROR((AD161-Y161)/(AD117-Y117),"")</f>
        <v>-0.00905797101449275</v>
      </c>
      <c r="AE167" s="215">
        <f>IFERROR((AE161-Z161)/(AE117-Z117),"")</f>
        <v>-1.33928571428571</v>
      </c>
      <c r="AF167" s="215">
        <f>IFERROR((AF161-AA161)/(AF117-AA117),"")</f>
        <v>0.435523114355231</v>
      </c>
      <c r="AG167" s="215">
        <f>IFERROR((AG161-AB161)/(AG117-AB117),"")</f>
        <v>0.293948126801153</v>
      </c>
      <c r="AH167" s="215">
        <f>IFERROR((AH161-AC161)/(AH117-AC117),"")</f>
        <v>-2.97370653095844</v>
      </c>
      <c r="AI167" s="215">
        <f>IFERROR((AI161-AD161)/(AI117-AD117),"")</f>
        <v>0.332917705735661</v>
      </c>
      <c r="AJ167" s="215">
        <f>IFERROR((AJ161-AE161)/(AJ117-AE117),"")</f>
        <v>0.119157340355497</v>
      </c>
      <c r="AK167" s="215">
        <f>IFERROR((AK161-AF161)/(AK117-AF117),"")</f>
        <v>-0.577060931899642</v>
      </c>
      <c r="AL167" s="215">
        <f>IFERROR((AL161-AG161)/(AL117-AG117),"")</f>
        <v>0.400605449041372</v>
      </c>
      <c r="AM167" s="215">
        <f>IFERROR((AM161-AH161)/(AM117-AH117),"")</f>
        <v>0.218487394957983</v>
      </c>
      <c r="AN167" s="215">
        <f>IFERROR((AN161-AI161)/(AN117-AI117),"")</f>
        <v>1.12688172043011</v>
      </c>
      <c r="AO167" s="215">
        <f>IFERROR((AO161-AJ161)/(AO117-AJ117),"")</f>
        <v>0.72152345127542</v>
      </c>
      <c r="AP167" s="215">
        <f>IFERROR((AP161-AK161)/(AP117-AK117),"")</f>
        <v>0.192605497483546</v>
      </c>
      <c r="AQ167" s="215">
        <f>IFERROR((AQ161-AL161)/(AQ117-AL117),"")</f>
        <v>0.61294343240652</v>
      </c>
      <c r="AR167" s="215">
        <f>IFERROR((AR161-AM161)/(AR117-AM117),"")</f>
        <v>0.571882123086942</v>
      </c>
      <c r="AS167" s="215">
        <f>IFERROR((AS161-AN161)/(AS117-AN117),"")</f>
        <v>0.613413213513064</v>
      </c>
      <c r="AT167" s="215">
        <f>IFERROR((AT161-AO161)/(AT117-AO117),"")</f>
        <v>-0.108012170385396</v>
      </c>
      <c r="AU167" s="215">
        <f>IFERROR((AU161-AP161)/(AU117-AP117),"")</f>
        <v>0.282314672145181</v>
      </c>
      <c r="AV167" s="215">
        <f>IFERROR((AV161-AQ161)/(AV117-AQ117),"")</f>
        <v>2.24434215573456</v>
      </c>
      <c r="AW167" s="215">
        <f>IFERROR((AW161-AR161)/(AW117-AR117),"")</f>
        <v>0.584750828759307</v>
      </c>
      <c r="AX167" s="215">
        <f>IFERROR((AX161-AS161)/(AX117-AS117),"")</f>
        <v>-0.796570076877587</v>
      </c>
      <c r="AY167" s="215">
        <f>IFERROR((AY161-AT161)/(AY117-AT117),"")</f>
        <v>0.784819880562512</v>
      </c>
      <c r="AZ167" s="215">
        <f>IFERROR((AZ161-AU161)/(AZ117-AU117),"")</f>
        <v>0.713784021071115</v>
      </c>
      <c r="BA167" s="215">
        <f>IFERROR((BA161-AV161)/(BA117-AV117),"")</f>
        <v>-7.51663405088063</v>
      </c>
      <c r="BB167" s="215">
        <f>IFERROR((BB161-AW161)/(BB117-AW117),"")</f>
        <v>2.4406492248062</v>
      </c>
      <c r="BC167" s="215">
        <f>IFERROR((BC161-AX161)/(BC117-AX117),"")</f>
        <v>0.896411092985318</v>
      </c>
      <c r="BD167" s="215">
        <f>IFERROR((BD161-AY161)/(BD117-AY117),"")</f>
        <v>0.83596214511041</v>
      </c>
      <c r="BE167" s="215">
        <f>IFERROR((BE161-AZ161)/(BE117-AZ117),"")</f>
        <v>-4.62684365781711</v>
      </c>
      <c r="BF167" s="215">
        <f>IFERROR((BF161-BA161)/(BF117-BA117),"")</f>
        <v>0.749180643917486</v>
      </c>
      <c r="BG167" s="215">
        <f>IFERROR((BG161-BB161)/(BG117-BB117),"")</f>
        <v>-0.142295233688107</v>
      </c>
      <c r="BH167" s="215">
        <f>IFERROR((BH161-BC161)/(BH117-BC117),"")</f>
        <v>0.257506361323155</v>
      </c>
      <c r="BI167" s="215">
        <f>IFERROR((BI161-BD161)/(BI117-BD117),"")</f>
        <v>-0.286644951140065</v>
      </c>
      <c r="BJ167" s="215">
        <f>IFERROR((BJ161-BE161)/(BJ117-BE117),"")</f>
        <v>0.925977653631285</v>
      </c>
      <c r="BK167" s="215">
        <f>IFERROR((BK161-BF161)/(BK117-BF117),"")</f>
        <v>0.363101079489696</v>
      </c>
      <c r="BL167" s="215">
        <f>IFERROR((BL161-BG161)/(BL117-BG117),"")</f>
        <v>0.255766136241731</v>
      </c>
      <c r="BM167" s="215">
        <f>IFERROR((BM161-BH161)/(BM117-BH117),"")</f>
        <v>-0.0384615384615385</v>
      </c>
      <c r="BN167" s="215">
        <f>IFERROR((BN161-BI161)/(BN117-BI117),"")</f>
        <v>0.347313691507799</v>
      </c>
      <c r="BO167" s="215">
        <f>IFERROR((BO161-BJ161)/(BO117-BJ117),"")</f>
        <v>18.5606060606061</v>
      </c>
      <c r="BP167" s="215">
        <f>IFERROR((BP161-BK161)/(BP117-BK117),"")</f>
        <v>0.609799291617474</v>
      </c>
      <c r="BQ167" s="215">
        <f>IFERROR((BQ161-BL161)/(BQ117-BL117),"")</f>
        <v>0.885164494103042</v>
      </c>
      <c r="BR167" s="215">
        <f>IFERROR((BR161-BM161)/(BR117-BM117),"")</f>
        <v>0.200546634779638</v>
      </c>
      <c r="BS167" s="215">
        <f>IFERROR((BS161-BN161)/(BS117-BN117),"")</f>
        <v>0.163012068672446</v>
      </c>
      <c r="BT167" s="215">
        <f>IFERROR((BT161-BO161)/(BT117-BO117),"")</f>
        <v>0.173112338858195</v>
      </c>
      <c r="BU167" s="215">
        <f>IFERROR((BU161-BP161)/(BU117-BP117),"")</f>
        <v>1.44279807029635</v>
      </c>
      <c r="BV167" s="215">
        <f>IFERROR((BV161-BQ161)/(BV117-BQ117),"")</f>
        <v>0.655756994683169</v>
      </c>
      <c r="BW167" s="215">
        <f>IFERROR((BW161-BR161)/(BW117-BR117),"")</f>
        <v>0.0345461227489893</v>
      </c>
      <c r="BX167" s="215">
        <f>IFERROR((BX161-BS161)/(BX117-BS117),"")</f>
        <v>0.23964660408614</v>
      </c>
      <c r="BY167" s="260">
        <f>IFERROR((BY161-BT161)/(BY117-BT117),"")</f>
        <v>3.26480964634756</v>
      </c>
      <c r="BZ167" s="260">
        <f>IFERROR((BZ161-BU161)/(BZ117-BU117),"")</f>
        <v>-5.1064411219009</v>
      </c>
      <c r="CA167" s="260">
        <f>IFERROR((CA161-BV161)/(CA117-BV117),"")</f>
        <v>-0.232847216751066</v>
      </c>
      <c r="CB167" s="260">
        <f>IFERROR((CB161-CA161)/(CB117-CA117),"")</f>
        <v>0.436090834492947</v>
      </c>
      <c r="CC167" s="260">
        <f>IFERROR((CC161-CB161)/(CC117-CB117),"")</f>
        <v>0.293343482750554</v>
      </c>
      <c r="CD167" s="260">
        <f>IFERROR((CD161-CC161)/(CD117-CC117),"")</f>
        <v>0.357911644773777</v>
      </c>
      <c r="CE167" s="260">
        <f>IFERROR((CE161-CD161)/(CE117-CD117),"")</f>
        <v>0.356030375839238</v>
      </c>
      <c r="CF167" s="260">
        <f>IFERROR((CF161-CE161)/(CF117-CE117),"")</f>
        <v>0.250314171928305</v>
      </c>
      <c r="CG167" s="153" t="n"/>
    </row>
    <row r="168" ht="15" customHeight="1" s="251">
      <c r="CO168" s="11" t="n"/>
      <c r="CP168" s="12" t="n"/>
      <c r="CQ168" s="12" t="n"/>
      <c r="CR168" s="12" t="n"/>
      <c r="CS168" s="13" t="n"/>
    </row>
    <row r="169" ht="15" customHeight="1" s="251">
      <c r="B169" s="10" t="inlineStr">
        <is>
          <t>RECONCILIATION: NET EARNINGS → EARNINGS FROM OPERATIONS → EBITDA → ADJUSTED EBITDA (model definitions; Boeing publishes no EBITDA)</t>
        </is>
      </c>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c r="BJ169" s="10" t="n"/>
      <c r="BK169" s="10" t="n"/>
      <c r="BL169" s="10" t="n"/>
      <c r="BM169" s="10" t="n"/>
      <c r="BN169" s="10" t="n"/>
      <c r="BO169" s="10" t="n"/>
      <c r="BP169" s="10" t="n"/>
      <c r="BQ169" s="10" t="n"/>
      <c r="BR169" s="10" t="n"/>
      <c r="BS169" s="10" t="n"/>
      <c r="BT169" s="10" t="n"/>
      <c r="BU169" s="10" t="n"/>
      <c r="BV169" s="10" t="n"/>
      <c r="BW169" s="10" t="n"/>
      <c r="BX169" s="10" t="n"/>
      <c r="BY169" s="10" t="n"/>
      <c r="BZ169" s="10" t="n"/>
      <c r="CA169" s="10" t="n"/>
      <c r="CB169" s="10" t="n"/>
      <c r="CC169" s="10" t="n"/>
      <c r="CD169" s="10" t="n"/>
      <c r="CE169" s="10" t="n"/>
      <c r="CF169" s="10" t="n"/>
      <c r="CG169" s="10" t="inlineStr">
        <is>
          <t>EBITDA (MODEL) — net earnings + taxes + interest &amp; debt expense − other income = earnings from operations; + D&amp;A = EBITDA; − pension line = adjusted EBITDA (core basis)</t>
        </is>
      </c>
    </row>
    <row r="170" ht="15" customHeight="1" s="251">
      <c r="B170" s="16" t="inlineStr">
        <is>
          <t>Net earnings / (loss) (GAAP, incl. noncontrolling interests)</t>
        </is>
      </c>
      <c r="C170" s="281">
        <f>C139</f>
        <v>2215</v>
      </c>
      <c r="D170" s="281">
        <f>D139</f>
        <v>4074</v>
      </c>
      <c r="E170" s="281">
        <f>E139</f>
        <v>2702</v>
      </c>
      <c r="F170" s="281">
        <f>F139</f>
        <v>1312</v>
      </c>
      <c r="G170" s="281">
        <f>G139</f>
        <v>3307</v>
      </c>
      <c r="H170" s="281">
        <f>H139</f>
        <v>4018</v>
      </c>
      <c r="I170" s="281">
        <f>I139</f>
        <v>3900</v>
      </c>
      <c r="J170" s="281">
        <f>J139</f>
        <v>1106</v>
      </c>
      <c r="K170" s="281">
        <f>K139</f>
        <v>1088</v>
      </c>
      <c r="L170" s="281">
        <f>L139</f>
        <v>1158</v>
      </c>
      <c r="M170" s="281">
        <f>M139</f>
        <v>1233</v>
      </c>
      <c r="N170" s="281">
        <f>N139</f>
        <v>4585</v>
      </c>
      <c r="O170" s="281">
        <f>O139</f>
        <v>965</v>
      </c>
      <c r="P170" s="281">
        <f>P139</f>
        <v>1653</v>
      </c>
      <c r="Q170" s="281">
        <f>Q139</f>
        <v>1362</v>
      </c>
      <c r="R170" s="281">
        <f>R139</f>
        <v>1466</v>
      </c>
      <c r="S170" s="281">
        <f>S139</f>
        <v>5446</v>
      </c>
      <c r="T170" s="281">
        <f>T139</f>
        <v>1336</v>
      </c>
      <c r="U170" s="281">
        <f>U139</f>
        <v>1110</v>
      </c>
      <c r="V170" s="281">
        <f>V139</f>
        <v>1704</v>
      </c>
      <c r="W170" s="281">
        <f>W139</f>
        <v>1026</v>
      </c>
      <c r="X170" s="281">
        <f>X139</f>
        <v>5176</v>
      </c>
      <c r="Y170" s="281">
        <f>Y139</f>
        <v>1219</v>
      </c>
      <c r="Z170" s="281">
        <f>Z139</f>
        <v>-234</v>
      </c>
      <c r="AA170" s="281">
        <f>AA139</f>
        <v>2279</v>
      </c>
      <c r="AB170" s="281">
        <f>AB139</f>
        <v>1631</v>
      </c>
      <c r="AC170" s="281">
        <f>AC139</f>
        <v>4895</v>
      </c>
      <c r="AD170" s="281">
        <f>AD139</f>
        <v>1451</v>
      </c>
      <c r="AE170" s="281">
        <f>AE139</f>
        <v>1761</v>
      </c>
      <c r="AF170" s="281">
        <f>AF139</f>
        <v>1853</v>
      </c>
      <c r="AG170" s="281">
        <f>AG139</f>
        <v>3132</v>
      </c>
      <c r="AH170" s="281">
        <f>AH139</f>
        <v>8197</v>
      </c>
      <c r="AI170" s="281">
        <f>AI139</f>
        <v>2477</v>
      </c>
      <c r="AJ170" s="281">
        <f>AJ139</f>
        <v>2196</v>
      </c>
      <c r="AK170" s="281">
        <f>AK139</f>
        <v>2363</v>
      </c>
      <c r="AL170" s="281">
        <f>AL139</f>
        <v>3424</v>
      </c>
      <c r="AM170" s="281">
        <f>AM139</f>
        <v>10460</v>
      </c>
      <c r="AN170" s="281">
        <f>AN139</f>
        <v>2149</v>
      </c>
      <c r="AO170" s="281">
        <f>AO139</f>
        <v>-2942</v>
      </c>
      <c r="AP170" s="281">
        <f>AP139</f>
        <v>1167</v>
      </c>
      <c r="AQ170" s="281">
        <f>AQ139</f>
        <v>-1010</v>
      </c>
      <c r="AR170" s="281">
        <f>AR139</f>
        <v>-636</v>
      </c>
      <c r="AS170" s="281">
        <f>AS139</f>
        <v>-641</v>
      </c>
      <c r="AT170" s="281">
        <f>AT139</f>
        <v>-2395</v>
      </c>
      <c r="AU170" s="281">
        <f>AU139</f>
        <v>-466</v>
      </c>
      <c r="AV170" s="281">
        <f>AV139</f>
        <v>-8439</v>
      </c>
      <c r="AW170" s="281">
        <f>AW139</f>
        <v>-11941</v>
      </c>
      <c r="AX170" s="281">
        <f>AX139</f>
        <v>-561</v>
      </c>
      <c r="AY170" s="281">
        <f>AY139</f>
        <v>567</v>
      </c>
      <c r="AZ170" s="281">
        <f>AZ139</f>
        <v>-132</v>
      </c>
      <c r="BA170" s="281">
        <f>BA139</f>
        <v>-4164</v>
      </c>
      <c r="BB170" s="281">
        <f>BB139</f>
        <v>-4290</v>
      </c>
      <c r="BC170" s="281">
        <f>BC139</f>
        <v>-1242</v>
      </c>
      <c r="BD170" s="281">
        <f>BD139</f>
        <v>160</v>
      </c>
      <c r="BE170" s="281">
        <f>BE139</f>
        <v>-3308</v>
      </c>
      <c r="BF170" s="281">
        <f>BF139</f>
        <v>-663</v>
      </c>
      <c r="BG170" s="281">
        <f>BG139</f>
        <v>-5053</v>
      </c>
      <c r="BH170" s="281">
        <f>BH139</f>
        <v>-425</v>
      </c>
      <c r="BI170" s="281">
        <f>BI139</f>
        <v>-149</v>
      </c>
      <c r="BJ170" s="281">
        <f>BJ139</f>
        <v>-1638</v>
      </c>
      <c r="BK170" s="281">
        <f>BK139</f>
        <v>-30</v>
      </c>
      <c r="BL170" s="281">
        <f>BL139</f>
        <v>-2242</v>
      </c>
      <c r="BM170" s="281">
        <f>BM139</f>
        <v>-355</v>
      </c>
      <c r="BN170" s="281">
        <f>BN139</f>
        <v>-1439</v>
      </c>
      <c r="BO170" s="281">
        <f>BO139</f>
        <v>-6174</v>
      </c>
      <c r="BP170" s="281">
        <f>BP139</f>
        <v>-3861</v>
      </c>
      <c r="BQ170" s="281">
        <f>BQ139</f>
        <v>-11829</v>
      </c>
      <c r="BR170" s="281">
        <f>BR139</f>
        <v>-31</v>
      </c>
      <c r="BS170" s="281">
        <f>BS139</f>
        <v>-612</v>
      </c>
      <c r="BT170" s="281">
        <f>BT139</f>
        <v>-5339</v>
      </c>
      <c r="BU170" s="281">
        <f>BU139</f>
        <v>8220</v>
      </c>
      <c r="BV170" s="281">
        <f>BV139</f>
        <v>2238</v>
      </c>
      <c r="BW170" s="281">
        <f>BW139</f>
        <v>-7</v>
      </c>
      <c r="BX170" s="281">
        <f>BX139</f>
        <v>-428</v>
      </c>
      <c r="BY170" s="265">
        <f>BY139</f>
        <v>196.139164702372</v>
      </c>
      <c r="BZ170" s="265">
        <f>BZ139</f>
        <v>186.461569064374</v>
      </c>
      <c r="CA170" s="265">
        <f>CA139</f>
        <v>-52.3992662332536</v>
      </c>
      <c r="CB170" s="265">
        <f>CB139</f>
        <v>3815.92521446473</v>
      </c>
      <c r="CC170" s="265">
        <f>CC139</f>
        <v>6319.9198368872</v>
      </c>
      <c r="CD170" s="265">
        <f>CD139</f>
        <v>8837.99501465415</v>
      </c>
      <c r="CE170" s="265">
        <f>CE139</f>
        <v>10224.520127937</v>
      </c>
      <c r="CF170" s="265">
        <f>CF139</f>
        <v>11022.774206628</v>
      </c>
      <c r="CG170" s="153" t="n"/>
    </row>
    <row r="171" ht="15" customHeight="1" s="251">
      <c r="B171" s="25" t="inlineStr">
        <is>
          <t xml:space="preserve">  (−) Discontinued operations / accounting change</t>
        </is>
      </c>
      <c r="C171" s="262">
        <f>-C138</f>
        <v>-9</v>
      </c>
      <c r="D171" s="262">
        <f>-D138</f>
        <v>-16</v>
      </c>
      <c r="E171" s="262">
        <f>-E138</f>
        <v>-18</v>
      </c>
      <c r="F171" s="262">
        <f>-F138</f>
        <v>23</v>
      </c>
      <c r="G171" s="262">
        <f>-G138</f>
        <v>4</v>
      </c>
      <c r="H171" s="262">
        <f>-H138</f>
        <v>-7</v>
      </c>
      <c r="I171" s="262">
        <f>-I138</f>
        <v>3</v>
      </c>
      <c r="J171" s="262">
        <f>-J138</f>
        <v>0</v>
      </c>
      <c r="K171" s="262">
        <f>-K138</f>
        <v>-1</v>
      </c>
      <c r="L171" s="262">
        <f>-L138</f>
        <v>2</v>
      </c>
      <c r="M171" s="262">
        <f>-M138</f>
        <v>0</v>
      </c>
      <c r="N171" s="262">
        <f>-N138</f>
        <v>1</v>
      </c>
      <c r="O171" s="262">
        <f>-O138</f>
        <v>0</v>
      </c>
      <c r="P171" s="262">
        <f>-P138</f>
        <v>0</v>
      </c>
      <c r="Q171" s="262">
        <f>-Q138</f>
        <v>0</v>
      </c>
      <c r="R171" s="262">
        <f>-R138</f>
        <v>0</v>
      </c>
      <c r="S171" s="262">
        <f>-S138</f>
        <v>0</v>
      </c>
      <c r="T171" s="262">
        <f>-T138</f>
        <v>0</v>
      </c>
      <c r="U171" s="262">
        <f>-U138</f>
        <v>0</v>
      </c>
      <c r="V171" s="262">
        <f>-V138</f>
        <v>0</v>
      </c>
      <c r="W171" s="262">
        <f>-W138</f>
        <v>0</v>
      </c>
      <c r="X171" s="262">
        <f>-X138</f>
        <v>0</v>
      </c>
      <c r="Y171" s="262">
        <f>-Y138</f>
        <v>0</v>
      </c>
      <c r="Z171" s="262">
        <f>-Z138</f>
        <v>0</v>
      </c>
      <c r="AA171" s="262">
        <f>-AA138</f>
        <v>0</v>
      </c>
      <c r="AB171" s="262">
        <f>-AB138</f>
        <v>0</v>
      </c>
      <c r="AC171" s="262">
        <f>-AC138</f>
        <v>0</v>
      </c>
      <c r="AD171" s="262">
        <f>-AD138</f>
        <v>0</v>
      </c>
      <c r="AE171" s="262">
        <f>-AE138</f>
        <v>0</v>
      </c>
      <c r="AF171" s="262">
        <f>-AF138</f>
        <v>0</v>
      </c>
      <c r="AG171" s="262">
        <f>-AG138</f>
        <v>0</v>
      </c>
      <c r="AH171" s="262">
        <f>-AH138</f>
        <v>0</v>
      </c>
      <c r="AI171" s="262">
        <f>-AI138</f>
        <v>0</v>
      </c>
      <c r="AJ171" s="262">
        <f>-AJ138</f>
        <v>0</v>
      </c>
      <c r="AK171" s="262">
        <f>-AK138</f>
        <v>0</v>
      </c>
      <c r="AL171" s="262">
        <f>-AL138</f>
        <v>0</v>
      </c>
      <c r="AM171" s="262">
        <f>-AM138</f>
        <v>0</v>
      </c>
      <c r="AN171" s="262">
        <f>-AN138</f>
        <v>0</v>
      </c>
      <c r="AO171" s="262">
        <f>-AO138</f>
        <v>0</v>
      </c>
      <c r="AP171" s="262">
        <f>-AP138</f>
        <v>0</v>
      </c>
      <c r="AQ171" s="262">
        <f>-AQ138</f>
        <v>0</v>
      </c>
      <c r="AR171" s="262">
        <f>-AR138</f>
        <v>0</v>
      </c>
      <c r="AS171" s="262">
        <f>-AS138</f>
        <v>0</v>
      </c>
      <c r="AT171" s="262">
        <f>-AT138</f>
        <v>0</v>
      </c>
      <c r="AU171" s="262">
        <f>-AU138</f>
        <v>0</v>
      </c>
      <c r="AV171" s="262">
        <f>-AV138</f>
        <v>0</v>
      </c>
      <c r="AW171" s="262">
        <f>-AW138</f>
        <v>0</v>
      </c>
      <c r="AX171" s="262">
        <f>-AX138</f>
        <v>0</v>
      </c>
      <c r="AY171" s="262">
        <f>-AY138</f>
        <v>0</v>
      </c>
      <c r="AZ171" s="262">
        <f>-AZ138</f>
        <v>0</v>
      </c>
      <c r="BA171" s="262">
        <f>-BA138</f>
        <v>0</v>
      </c>
      <c r="BB171" s="262">
        <f>-BB138</f>
        <v>0</v>
      </c>
      <c r="BC171" s="262">
        <f>-BC138</f>
        <v>0</v>
      </c>
      <c r="BD171" s="262">
        <f>-BD138</f>
        <v>0</v>
      </c>
      <c r="BE171" s="262">
        <f>-BE138</f>
        <v>0</v>
      </c>
      <c r="BF171" s="262">
        <f>-BF138</f>
        <v>0</v>
      </c>
      <c r="BG171" s="262">
        <f>-BG138</f>
        <v>0</v>
      </c>
      <c r="BH171" s="262">
        <f>-BH138</f>
        <v>0</v>
      </c>
      <c r="BI171" s="262">
        <f>-BI138</f>
        <v>0</v>
      </c>
      <c r="BJ171" s="262">
        <f>-BJ138</f>
        <v>0</v>
      </c>
      <c r="BK171" s="262">
        <f>-BK138</f>
        <v>0</v>
      </c>
      <c r="BL171" s="262">
        <f>-BL138</f>
        <v>0</v>
      </c>
      <c r="BM171" s="262">
        <f>-BM138</f>
        <v>0</v>
      </c>
      <c r="BN171" s="262">
        <f>-BN138</f>
        <v>0</v>
      </c>
      <c r="BO171" s="262">
        <f>-BO138</f>
        <v>0</v>
      </c>
      <c r="BP171" s="262">
        <f>-BP138</f>
        <v>0</v>
      </c>
      <c r="BQ171" s="262">
        <f>-BQ138</f>
        <v>0</v>
      </c>
      <c r="BR171" s="262">
        <f>-BR138</f>
        <v>0</v>
      </c>
      <c r="BS171" s="262">
        <f>-BS138</f>
        <v>0</v>
      </c>
      <c r="BT171" s="262">
        <f>-BT138</f>
        <v>0</v>
      </c>
      <c r="BU171" s="262">
        <f>-BU138</f>
        <v>0</v>
      </c>
      <c r="BV171" s="262">
        <f>-BV138</f>
        <v>0</v>
      </c>
      <c r="BW171" s="262">
        <f>-BW138</f>
        <v>0</v>
      </c>
      <c r="BX171" s="262">
        <f>-BX138</f>
        <v>0</v>
      </c>
      <c r="BY171" s="263">
        <f>-BY138</f>
        <v>0</v>
      </c>
      <c r="BZ171" s="263">
        <f>-BZ138</f>
        <v>0</v>
      </c>
      <c r="CA171" s="263">
        <f>-CA138</f>
        <v>0</v>
      </c>
      <c r="CB171" s="263">
        <f>-CB138</f>
        <v>0</v>
      </c>
      <c r="CC171" s="263">
        <f>-CC138</f>
        <v>0</v>
      </c>
      <c r="CD171" s="263">
        <f>-CD138</f>
        <v>0</v>
      </c>
      <c r="CE171" s="263">
        <f>-CE138</f>
        <v>0</v>
      </c>
      <c r="CF171" s="263">
        <f>-CF138</f>
        <v>0</v>
      </c>
      <c r="CG171" s="19" t="n"/>
    </row>
    <row r="172" ht="15" customHeight="1" s="251">
      <c r="B172" s="25" t="inlineStr">
        <is>
          <t xml:space="preserve">  (+) Income taxes</t>
        </is>
      </c>
      <c r="C172" s="262">
        <f>C135</f>
        <v>988</v>
      </c>
      <c r="D172" s="262">
        <f>D135</f>
        <v>2060</v>
      </c>
      <c r="E172" s="262">
        <f>E135</f>
        <v>1349</v>
      </c>
      <c r="F172" s="262">
        <f>F135</f>
        <v>396</v>
      </c>
      <c r="G172" s="262">
        <f>G135</f>
        <v>1196</v>
      </c>
      <c r="H172" s="262">
        <f>H135</f>
        <v>1382</v>
      </c>
      <c r="I172" s="262">
        <f>I135</f>
        <v>2007</v>
      </c>
      <c r="J172" s="262">
        <f>J135</f>
        <v>332</v>
      </c>
      <c r="K172" s="262">
        <f>K135</f>
        <v>546</v>
      </c>
      <c r="L172" s="262">
        <f>L135</f>
        <v>567</v>
      </c>
      <c r="M172" s="262">
        <f>M135</f>
        <v>201</v>
      </c>
      <c r="N172" s="262">
        <f>N135</f>
        <v>1646</v>
      </c>
      <c r="O172" s="262">
        <f>O135</f>
        <v>494</v>
      </c>
      <c r="P172" s="262">
        <f>P135</f>
        <v>64</v>
      </c>
      <c r="Q172" s="262">
        <f>Q135</f>
        <v>669</v>
      </c>
      <c r="R172" s="262">
        <f>R135</f>
        <v>464</v>
      </c>
      <c r="S172" s="262">
        <f>S135</f>
        <v>1691</v>
      </c>
      <c r="T172" s="262">
        <f>T135</f>
        <v>610</v>
      </c>
      <c r="U172" s="262">
        <f>U135</f>
        <v>513</v>
      </c>
      <c r="V172" s="262">
        <f>V135</f>
        <v>783</v>
      </c>
      <c r="W172" s="262">
        <f>W135</f>
        <v>73</v>
      </c>
      <c r="X172" s="262">
        <f>X135</f>
        <v>1979</v>
      </c>
      <c r="Y172" s="262">
        <f>Y135</f>
        <v>522</v>
      </c>
      <c r="Z172" s="262">
        <f>Z135</f>
        <v>-245</v>
      </c>
      <c r="AA172" s="262">
        <f>AA135</f>
        <v>-76</v>
      </c>
      <c r="AB172" s="262">
        <f>AB135</f>
        <v>472</v>
      </c>
      <c r="AC172" s="262">
        <f>AC135</f>
        <v>673</v>
      </c>
      <c r="AD172" s="262">
        <f>AD135</f>
        <v>508</v>
      </c>
      <c r="AE172" s="262">
        <f>AE135</f>
        <v>708</v>
      </c>
      <c r="AF172" s="262">
        <f>AF135</f>
        <v>794</v>
      </c>
      <c r="AG172" s="262">
        <f>AG135</f>
        <v>-160</v>
      </c>
      <c r="AH172" s="262">
        <f>AH135</f>
        <v>1850</v>
      </c>
      <c r="AI172" s="262">
        <f>AI135</f>
        <v>362</v>
      </c>
      <c r="AJ172" s="262">
        <f>AJ135</f>
        <v>390</v>
      </c>
      <c r="AK172" s="262">
        <f>AK135</f>
        <v>-230</v>
      </c>
      <c r="AL172" s="262">
        <f>AL135</f>
        <v>622</v>
      </c>
      <c r="AM172" s="262">
        <f>AM135</f>
        <v>1144</v>
      </c>
      <c r="AN172" s="262">
        <f>AN135</f>
        <v>184</v>
      </c>
      <c r="AO172" s="262">
        <f>AO135</f>
        <v>-485</v>
      </c>
      <c r="AP172" s="262">
        <f>AP135</f>
        <v>10</v>
      </c>
      <c r="AQ172" s="262">
        <f>AQ135</f>
        <v>-1332</v>
      </c>
      <c r="AR172" s="262">
        <f>AR135</f>
        <v>-1623</v>
      </c>
      <c r="AS172" s="262">
        <f>AS135</f>
        <v>-862</v>
      </c>
      <c r="AT172" s="262">
        <f>AT135</f>
        <v>-1028</v>
      </c>
      <c r="AU172" s="262">
        <f>AU135</f>
        <v>-459</v>
      </c>
      <c r="AV172" s="262">
        <f>AV135</f>
        <v>-186</v>
      </c>
      <c r="AW172" s="262">
        <f>AW135</f>
        <v>-2535</v>
      </c>
      <c r="AX172" s="262">
        <f>AX135</f>
        <v>-11</v>
      </c>
      <c r="AY172" s="262">
        <f>AY135</f>
        <v>-18</v>
      </c>
      <c r="AZ172" s="262">
        <f>AZ135</f>
        <v>-178</v>
      </c>
      <c r="BA172" s="262">
        <f>BA135</f>
        <v>-536</v>
      </c>
      <c r="BB172" s="262">
        <f>BB135</f>
        <v>-743</v>
      </c>
      <c r="BC172" s="262">
        <f>BC135</f>
        <v>-376</v>
      </c>
      <c r="BD172" s="262">
        <f>BD135</f>
        <v>217</v>
      </c>
      <c r="BE172" s="262">
        <f>BE135</f>
        <v>176</v>
      </c>
      <c r="BF172" s="262">
        <f>BF135</f>
        <v>14</v>
      </c>
      <c r="BG172" s="262">
        <f>BG135</f>
        <v>31</v>
      </c>
      <c r="BH172" s="262">
        <f>BH135</f>
        <v>-71</v>
      </c>
      <c r="BI172" s="262">
        <f>BI135</f>
        <v>-251</v>
      </c>
      <c r="BJ172" s="262">
        <f>BJ135</f>
        <v>538</v>
      </c>
      <c r="BK172" s="262">
        <f>BK135</f>
        <v>21</v>
      </c>
      <c r="BL172" s="262">
        <f>BL135</f>
        <v>237</v>
      </c>
      <c r="BM172" s="262">
        <f>BM135</f>
        <v>-23</v>
      </c>
      <c r="BN172" s="262">
        <f>BN135</f>
        <v>-76</v>
      </c>
      <c r="BO172" s="262">
        <f>BO135</f>
        <v>-50</v>
      </c>
      <c r="BP172" s="262">
        <f>BP135</f>
        <v>-232</v>
      </c>
      <c r="BQ172" s="262">
        <f>BQ135</f>
        <v>-381</v>
      </c>
      <c r="BR172" s="262">
        <f>BR135</f>
        <v>107</v>
      </c>
      <c r="BS172" s="262">
        <f>BS135</f>
        <v>51</v>
      </c>
      <c r="BT172" s="262">
        <f>BT135</f>
        <v>140</v>
      </c>
      <c r="BU172" s="262">
        <f>BU135</f>
        <v>99</v>
      </c>
      <c r="BV172" s="262">
        <f>BV135</f>
        <v>397</v>
      </c>
      <c r="BW172" s="262">
        <f>BW135</f>
        <v>33</v>
      </c>
      <c r="BX172" s="262">
        <f>BX135</f>
        <v>63</v>
      </c>
      <c r="BY172" s="263">
        <f>BY135</f>
        <v>21.7932405224858</v>
      </c>
      <c r="BZ172" s="263">
        <f>BZ135</f>
        <v>20.7179521182638</v>
      </c>
      <c r="CA172" s="263">
        <f>CA135</f>
        <v>138.51119264075</v>
      </c>
      <c r="CB172" s="263">
        <f>CB135</f>
        <v>423.991690496081</v>
      </c>
      <c r="CC172" s="263">
        <f>CC135</f>
        <v>861.807250484618</v>
      </c>
      <c r="CD172" s="263">
        <f>CD135</f>
        <v>1559.64617905661</v>
      </c>
      <c r="CE172" s="263">
        <f>CE135</f>
        <v>2244.40685735202</v>
      </c>
      <c r="CF172" s="263">
        <f>CF135</f>
        <v>2755.69355165699</v>
      </c>
      <c r="CG172" s="19" t="n"/>
    </row>
    <row r="173" ht="15" customHeight="1" s="251">
      <c r="B173" s="25" t="inlineStr">
        <is>
          <t xml:space="preserve">  (+) Interest and debt expense</t>
        </is>
      </c>
      <c r="C173" s="262">
        <f>C133</f>
        <v>240</v>
      </c>
      <c r="D173" s="262">
        <f>D133</f>
        <v>196</v>
      </c>
      <c r="E173" s="262">
        <f>E133</f>
        <v>202</v>
      </c>
      <c r="F173" s="262">
        <f>F133</f>
        <v>339</v>
      </c>
      <c r="G173" s="262">
        <f>G133</f>
        <v>516</v>
      </c>
      <c r="H173" s="262">
        <f>H133</f>
        <v>498</v>
      </c>
      <c r="I173" s="262">
        <f>I133</f>
        <v>463</v>
      </c>
      <c r="J173" s="262">
        <f>J133</f>
        <v>99</v>
      </c>
      <c r="K173" s="262">
        <f>K133</f>
        <v>96</v>
      </c>
      <c r="L173" s="262">
        <f>L133</f>
        <v>95</v>
      </c>
      <c r="M173" s="262">
        <f>M133</f>
        <v>96</v>
      </c>
      <c r="N173" s="262">
        <f>N133</f>
        <v>386</v>
      </c>
      <c r="O173" s="262">
        <f>O133</f>
        <v>92</v>
      </c>
      <c r="P173" s="262">
        <f>P133</f>
        <v>81</v>
      </c>
      <c r="Q173" s="262">
        <f>Q133</f>
        <v>79</v>
      </c>
      <c r="R173" s="262">
        <f>R133</f>
        <v>81</v>
      </c>
      <c r="S173" s="262">
        <f>S133</f>
        <v>333</v>
      </c>
      <c r="T173" s="262">
        <f>T133</f>
        <v>61</v>
      </c>
      <c r="U173" s="262">
        <f>U133</f>
        <v>75</v>
      </c>
      <c r="V173" s="262">
        <f>V133</f>
        <v>67</v>
      </c>
      <c r="W173" s="262">
        <f>W133</f>
        <v>72</v>
      </c>
      <c r="X173" s="262">
        <f>X133</f>
        <v>275</v>
      </c>
      <c r="Y173" s="262">
        <f>Y133</f>
        <v>73</v>
      </c>
      <c r="Z173" s="262">
        <f>Z133</f>
        <v>73</v>
      </c>
      <c r="AA173" s="262">
        <f>AA133</f>
        <v>81</v>
      </c>
      <c r="AB173" s="262">
        <f>AB133</f>
        <v>79</v>
      </c>
      <c r="AC173" s="262">
        <f>AC133</f>
        <v>306</v>
      </c>
      <c r="AD173" s="262">
        <f>AD133</f>
        <v>87</v>
      </c>
      <c r="AE173" s="262">
        <f>AE133</f>
        <v>93</v>
      </c>
      <c r="AF173" s="262">
        <f>AF133</f>
        <v>87</v>
      </c>
      <c r="AG173" s="262">
        <f>AG133</f>
        <v>93</v>
      </c>
      <c r="AH173" s="262">
        <f>AH133</f>
        <v>360</v>
      </c>
      <c r="AI173" s="262">
        <f>AI133</f>
        <v>102</v>
      </c>
      <c r="AJ173" s="262">
        <f>AJ133</f>
        <v>109</v>
      </c>
      <c r="AK173" s="262">
        <f>AK133</f>
        <v>106</v>
      </c>
      <c r="AL173" s="262">
        <f>AL133</f>
        <v>158</v>
      </c>
      <c r="AM173" s="262">
        <f>AM133</f>
        <v>475</v>
      </c>
      <c r="AN173" s="262">
        <f>AN133</f>
        <v>123</v>
      </c>
      <c r="AO173" s="262">
        <f>AO133</f>
        <v>154</v>
      </c>
      <c r="AP173" s="262">
        <f>AP133</f>
        <v>203</v>
      </c>
      <c r="AQ173" s="262">
        <f>AQ133</f>
        <v>242</v>
      </c>
      <c r="AR173" s="262">
        <f>AR133</f>
        <v>722</v>
      </c>
      <c r="AS173" s="262">
        <f>AS133</f>
        <v>262</v>
      </c>
      <c r="AT173" s="262">
        <f>AT133</f>
        <v>553</v>
      </c>
      <c r="AU173" s="262">
        <f>AU133</f>
        <v>643</v>
      </c>
      <c r="AV173" s="262">
        <f>AV133</f>
        <v>698</v>
      </c>
      <c r="AW173" s="262">
        <f>AW133</f>
        <v>2156</v>
      </c>
      <c r="AX173" s="262">
        <f>AX133</f>
        <v>679</v>
      </c>
      <c r="AY173" s="262">
        <f>AY133</f>
        <v>673</v>
      </c>
      <c r="AZ173" s="262">
        <f>AZ133</f>
        <v>669</v>
      </c>
      <c r="BA173" s="262">
        <f>BA133</f>
        <v>661</v>
      </c>
      <c r="BB173" s="262">
        <f>BB133</f>
        <v>2682</v>
      </c>
      <c r="BC173" s="262">
        <f>BC133</f>
        <v>630</v>
      </c>
      <c r="BD173" s="262">
        <f>BD133</f>
        <v>650</v>
      </c>
      <c r="BE173" s="262">
        <f>BE133</f>
        <v>621</v>
      </c>
      <c r="BF173" s="262">
        <f>BF133</f>
        <v>632</v>
      </c>
      <c r="BG173" s="262">
        <f>BG133</f>
        <v>2533</v>
      </c>
      <c r="BH173" s="262">
        <f>BH133</f>
        <v>649</v>
      </c>
      <c r="BI173" s="262">
        <f>BI133</f>
        <v>621</v>
      </c>
      <c r="BJ173" s="262">
        <f>BJ133</f>
        <v>589</v>
      </c>
      <c r="BK173" s="262">
        <f>BK133</f>
        <v>600</v>
      </c>
      <c r="BL173" s="262">
        <f>BL133</f>
        <v>2459</v>
      </c>
      <c r="BM173" s="262">
        <f>BM133</f>
        <v>569</v>
      </c>
      <c r="BN173" s="262">
        <f>BN133</f>
        <v>673</v>
      </c>
      <c r="BO173" s="262">
        <f>BO133</f>
        <v>728</v>
      </c>
      <c r="BP173" s="262">
        <f>BP133</f>
        <v>755</v>
      </c>
      <c r="BQ173" s="262">
        <f>BQ133</f>
        <v>2725</v>
      </c>
      <c r="BR173" s="262">
        <f>BR133</f>
        <v>708</v>
      </c>
      <c r="BS173" s="262">
        <f>BS133</f>
        <v>710</v>
      </c>
      <c r="BT173" s="262">
        <f>BT133</f>
        <v>694</v>
      </c>
      <c r="BU173" s="262">
        <f>BU133</f>
        <v>659</v>
      </c>
      <c r="BV173" s="262">
        <f>BV133</f>
        <v>2771</v>
      </c>
      <c r="BW173" s="262">
        <f>BW133</f>
        <v>616</v>
      </c>
      <c r="BX173" s="262">
        <f>BX133</f>
        <v>600</v>
      </c>
      <c r="BY173" s="263">
        <f>BY133</f>
        <v>590</v>
      </c>
      <c r="BZ173" s="263">
        <f>BZ133</f>
        <v>590</v>
      </c>
      <c r="CA173" s="263">
        <f>CA133</f>
        <v>2396</v>
      </c>
      <c r="CB173" s="263">
        <f>CB133</f>
        <v>2386.8</v>
      </c>
      <c r="CC173" s="263">
        <f>CC133</f>
        <v>2157.844</v>
      </c>
      <c r="CD173" s="263">
        <f>CD133</f>
        <v>2086.63</v>
      </c>
      <c r="CE173" s="263">
        <f>CE133</f>
        <v>2093.5265</v>
      </c>
      <c r="CF173" s="263">
        <f>CF133</f>
        <v>2093.5265</v>
      </c>
      <c r="CG173" s="19" t="n"/>
    </row>
    <row r="174" ht="15" customHeight="1" s="251">
      <c r="B174" s="25" t="inlineStr">
        <is>
          <t xml:space="preserve">  (−) Other income, net</t>
        </is>
      </c>
      <c r="C174" s="262">
        <f>-C132</f>
        <v>-420</v>
      </c>
      <c r="D174" s="262">
        <f>-D132</f>
        <v>-484</v>
      </c>
      <c r="E174" s="262">
        <f>-E132</f>
        <v>-247</v>
      </c>
      <c r="F174" s="262">
        <f>-F132</f>
        <v>26</v>
      </c>
      <c r="G174" s="262">
        <f>-G132</f>
        <v>-52</v>
      </c>
      <c r="H174" s="262">
        <f>-H132</f>
        <v>-47</v>
      </c>
      <c r="I174" s="262">
        <f>-I132</f>
        <v>-62</v>
      </c>
      <c r="J174" s="262">
        <f>-J132</f>
        <v>-9</v>
      </c>
      <c r="K174" s="262">
        <f>-K132</f>
        <v>-13</v>
      </c>
      <c r="L174" s="262">
        <f>-L132</f>
        <v>-19</v>
      </c>
      <c r="M174" s="262">
        <f>-M132</f>
        <v>-15</v>
      </c>
      <c r="N174" s="262">
        <f>-N132</f>
        <v>-56</v>
      </c>
      <c r="O174" s="262">
        <f>-O132</f>
        <v>-9</v>
      </c>
      <c r="P174" s="262">
        <f>-P132</f>
        <v>-11</v>
      </c>
      <c r="Q174" s="262">
        <f>-Q132</f>
        <v>9</v>
      </c>
      <c r="R174" s="262">
        <f>-R132</f>
        <v>14</v>
      </c>
      <c r="S174" s="262">
        <f>-S132</f>
        <v>3</v>
      </c>
      <c r="T174" s="262">
        <f>-T132</f>
        <v>12</v>
      </c>
      <c r="U174" s="262">
        <f>-U132</f>
        <v>-15</v>
      </c>
      <c r="V174" s="262">
        <f>-V132</f>
        <v>26</v>
      </c>
      <c r="W174" s="262">
        <f>-W132</f>
        <v>-10</v>
      </c>
      <c r="X174" s="262">
        <f>-X132</f>
        <v>13</v>
      </c>
      <c r="Y174" s="262">
        <f>-Y132</f>
        <v>-26</v>
      </c>
      <c r="Z174" s="262">
        <f>-Z132</f>
        <v>-13</v>
      </c>
      <c r="AA174" s="262">
        <f>-AA132</f>
        <v>-2</v>
      </c>
      <c r="AB174" s="262">
        <f>-AB132</f>
        <v>1</v>
      </c>
      <c r="AC174" s="262">
        <f>-AC132</f>
        <v>-40</v>
      </c>
      <c r="AD174" s="262">
        <f>-AD132</f>
        <v>-22</v>
      </c>
      <c r="AE174" s="262">
        <f>-AE132</f>
        <v>-27</v>
      </c>
      <c r="AF174" s="262">
        <f>-AF132</f>
        <v>-45</v>
      </c>
      <c r="AG174" s="262">
        <f>-AG132</f>
        <v>-35</v>
      </c>
      <c r="AH174" s="262">
        <f>-AH132</f>
        <v>-129</v>
      </c>
      <c r="AI174" s="262">
        <f>-AI132</f>
        <v>-66</v>
      </c>
      <c r="AJ174" s="262">
        <f>-AJ132</f>
        <v>15</v>
      </c>
      <c r="AK174" s="262">
        <f>-AK132</f>
        <v>-12</v>
      </c>
      <c r="AL174" s="262">
        <f>-AL132</f>
        <v>-29</v>
      </c>
      <c r="AM174" s="262">
        <f>-AM132</f>
        <v>-92</v>
      </c>
      <c r="AN174" s="262">
        <f>-AN132</f>
        <v>-106</v>
      </c>
      <c r="AO174" s="262">
        <f>-AO132</f>
        <v>-107</v>
      </c>
      <c r="AP174" s="262">
        <f>-AP132</f>
        <v>-121</v>
      </c>
      <c r="AQ174" s="262">
        <f>-AQ132</f>
        <v>-104</v>
      </c>
      <c r="AR174" s="262">
        <f>-AR132</f>
        <v>-438</v>
      </c>
      <c r="AS174" s="262">
        <f>-AS132</f>
        <v>-112</v>
      </c>
      <c r="AT174" s="262">
        <f>-AT132</f>
        <v>-94</v>
      </c>
      <c r="AU174" s="262">
        <f>-AU132</f>
        <v>-119</v>
      </c>
      <c r="AV174" s="262">
        <f>-AV132</f>
        <v>-122</v>
      </c>
      <c r="AW174" s="262">
        <f>-AW132</f>
        <v>-447</v>
      </c>
      <c r="AX174" s="262">
        <f>-AX132</f>
        <v>-190</v>
      </c>
      <c r="AY174" s="262">
        <f>-AY132</f>
        <v>-199</v>
      </c>
      <c r="AZ174" s="262">
        <f>-AZ132</f>
        <v>-30</v>
      </c>
      <c r="BA174" s="262">
        <f>-BA132</f>
        <v>-132</v>
      </c>
      <c r="BB174" s="262">
        <f>-BB132</f>
        <v>-551</v>
      </c>
      <c r="BC174" s="262">
        <f>-BC132</f>
        <v>-181</v>
      </c>
      <c r="BD174" s="262">
        <f>-BD132</f>
        <v>-253</v>
      </c>
      <c r="BE174" s="262">
        <f>-BE132</f>
        <v>-288</v>
      </c>
      <c r="BF174" s="262">
        <f>-BF132</f>
        <v>-336</v>
      </c>
      <c r="BG174" s="262">
        <f>-BG132</f>
        <v>-1058</v>
      </c>
      <c r="BH174" s="262">
        <f>-BH132</f>
        <v>-302</v>
      </c>
      <c r="BI174" s="262">
        <f>-BI132</f>
        <v>-320</v>
      </c>
      <c r="BJ174" s="262">
        <f>-BJ132</f>
        <v>-297</v>
      </c>
      <c r="BK174" s="262">
        <f>-BK132</f>
        <v>-308</v>
      </c>
      <c r="BL174" s="262">
        <f>-BL132</f>
        <v>-1227</v>
      </c>
      <c r="BM174" s="262">
        <f>-BM132</f>
        <v>-277</v>
      </c>
      <c r="BN174" s="262">
        <f>-BN132</f>
        <v>-248</v>
      </c>
      <c r="BO174" s="262">
        <f>-BO132</f>
        <v>-265</v>
      </c>
      <c r="BP174" s="262">
        <f>-BP132</f>
        <v>-432</v>
      </c>
      <c r="BQ174" s="262">
        <f>-BQ132</f>
        <v>-1222</v>
      </c>
      <c r="BR174" s="262">
        <f>-BR132</f>
        <v>-323</v>
      </c>
      <c r="BS174" s="262">
        <f>-BS132</f>
        <v>-325</v>
      </c>
      <c r="BT174" s="262">
        <f>-BT132</f>
        <v>-276</v>
      </c>
      <c r="BU174" s="262">
        <f>-BU132</f>
        <v>-201</v>
      </c>
      <c r="BV174" s="262">
        <f>-BV132</f>
        <v>-1125</v>
      </c>
      <c r="BW174" s="262">
        <f>-BW132</f>
        <v>-194</v>
      </c>
      <c r="BX174" s="262">
        <f>-BX132</f>
        <v>-79</v>
      </c>
      <c r="BY174" s="263">
        <f>-BY132</f>
        <v>-86</v>
      </c>
      <c r="BZ174" s="263">
        <f>-BZ132</f>
        <v>-86</v>
      </c>
      <c r="CA174" s="263">
        <f>-CA132</f>
        <v>-445</v>
      </c>
      <c r="CB174" s="263">
        <f>-CB132</f>
        <v>-543.5375</v>
      </c>
      <c r="CC174" s="263">
        <f>-CC132</f>
        <v>-612.638394522685</v>
      </c>
      <c r="CD174" s="263">
        <f>-CD132</f>
        <v>-934.32793725768</v>
      </c>
      <c r="CE174" s="263">
        <f>-CE132</f>
        <v>-889.310575182583</v>
      </c>
      <c r="CF174" s="263">
        <f>-CF132</f>
        <v>-848.822732278071</v>
      </c>
      <c r="CG174" s="19" t="n"/>
    </row>
    <row r="175" ht="15" customHeight="1" s="251">
      <c r="B175" s="16" t="inlineStr">
        <is>
          <t xml:space="preserve">  = Earnings / (loss) from operations</t>
        </is>
      </c>
      <c r="C175" s="281">
        <f>C170+C171+C172+C173+C174</f>
        <v>3014</v>
      </c>
      <c r="D175" s="281">
        <f>D170+D171+D172+D173+D174</f>
        <v>5830</v>
      </c>
      <c r="E175" s="281">
        <f>E170+E171+E172+E173+E174</f>
        <v>3988</v>
      </c>
      <c r="F175" s="281">
        <f>F170+F171+F172+F173+F174</f>
        <v>2096</v>
      </c>
      <c r="G175" s="281">
        <f>G170+G171+G172+G173+G174</f>
        <v>4971</v>
      </c>
      <c r="H175" s="281">
        <f>H170+H171+H172+H173+H174</f>
        <v>5844</v>
      </c>
      <c r="I175" s="281">
        <f>I170+I171+I172+I173+I174</f>
        <v>6311</v>
      </c>
      <c r="J175" s="281">
        <f>J170+J171+J172+J173+J174</f>
        <v>1528</v>
      </c>
      <c r="K175" s="281">
        <f>K170+K171+K172+K173+K174</f>
        <v>1716</v>
      </c>
      <c r="L175" s="281">
        <f>L170+L171+L172+L173+L174</f>
        <v>1803</v>
      </c>
      <c r="M175" s="281">
        <f>M170+M171+M172+M173+M174</f>
        <v>1515</v>
      </c>
      <c r="N175" s="281">
        <f>N170+N171+N172+N173+N174</f>
        <v>6562</v>
      </c>
      <c r="O175" s="281">
        <f>O170+O171+O172+O173+O174</f>
        <v>1542</v>
      </c>
      <c r="P175" s="281">
        <f>P170+P171+P172+P173+P174</f>
        <v>1787</v>
      </c>
      <c r="Q175" s="281">
        <f>Q170+Q171+Q172+Q173+Q174</f>
        <v>2119</v>
      </c>
      <c r="R175" s="281">
        <f>R170+R171+R172+R173+R174</f>
        <v>2025</v>
      </c>
      <c r="S175" s="281">
        <f>S170+S171+S172+S173+S174</f>
        <v>7473</v>
      </c>
      <c r="T175" s="281">
        <f>T170+T171+T172+T173+T174</f>
        <v>2019</v>
      </c>
      <c r="U175" s="281">
        <f>U170+U171+U172+U173+U174</f>
        <v>1683</v>
      </c>
      <c r="V175" s="281">
        <f>V170+V171+V172+V173+V174</f>
        <v>2580</v>
      </c>
      <c r="W175" s="281">
        <f>W170+W171+W172+W173+W174</f>
        <v>1161</v>
      </c>
      <c r="X175" s="281">
        <f>X170+X171+X172+X173+X174</f>
        <v>7443</v>
      </c>
      <c r="Y175" s="281">
        <f>Y170+Y171+Y172+Y173+Y174</f>
        <v>1788</v>
      </c>
      <c r="Z175" s="281">
        <f>Z170+Z171+Z172+Z173+Z174</f>
        <v>-419</v>
      </c>
      <c r="AA175" s="281">
        <f>AA170+AA171+AA172+AA173+AA174</f>
        <v>2282</v>
      </c>
      <c r="AB175" s="281">
        <f>AB170+AB171+AB172+AB173+AB174</f>
        <v>2183</v>
      </c>
      <c r="AC175" s="281">
        <f>AC170+AC171+AC172+AC173+AC174</f>
        <v>5834</v>
      </c>
      <c r="AD175" s="281">
        <f>AD170+AD171+AD172+AD173+AD174</f>
        <v>2024</v>
      </c>
      <c r="AE175" s="281">
        <f>AE170+AE171+AE172+AE173+AE174</f>
        <v>2535</v>
      </c>
      <c r="AF175" s="281">
        <f>AF170+AF171+AF172+AF173+AF174</f>
        <v>2689</v>
      </c>
      <c r="AG175" s="281">
        <f>AG170+AG171+AG172+AG173+AG174</f>
        <v>3030</v>
      </c>
      <c r="AH175" s="281">
        <f>AH170+AH171+AH172+AH173+AH174</f>
        <v>10278</v>
      </c>
      <c r="AI175" s="281">
        <f>AI170+AI171+AI172+AI173+AI174</f>
        <v>2875</v>
      </c>
      <c r="AJ175" s="281">
        <f>AJ170+AJ171+AJ172+AJ173+AJ174</f>
        <v>2710</v>
      </c>
      <c r="AK175" s="281">
        <f>AK170+AK171+AK172+AK173+AK174</f>
        <v>2227</v>
      </c>
      <c r="AL175" s="281">
        <f>AL170+AL171+AL172+AL173+AL174</f>
        <v>4175</v>
      </c>
      <c r="AM175" s="281">
        <f>AM170+AM171+AM172+AM173+AM174</f>
        <v>11987</v>
      </c>
      <c r="AN175" s="281">
        <f>AN170+AN171+AN172+AN173+AN174</f>
        <v>2350</v>
      </c>
      <c r="AO175" s="281">
        <f>AO170+AO171+AO172+AO173+AO174</f>
        <v>-3380</v>
      </c>
      <c r="AP175" s="281">
        <f>AP170+AP171+AP172+AP173+AP174</f>
        <v>1259</v>
      </c>
      <c r="AQ175" s="281">
        <f>AQ170+AQ171+AQ172+AQ173+AQ174</f>
        <v>-2204</v>
      </c>
      <c r="AR175" s="281">
        <f>AR170+AR171+AR172+AR173+AR174</f>
        <v>-1975</v>
      </c>
      <c r="AS175" s="281">
        <f>AS170+AS171+AS172+AS173+AS174</f>
        <v>-1353</v>
      </c>
      <c r="AT175" s="281">
        <f>AT170+AT171+AT172+AT173+AT174</f>
        <v>-2964</v>
      </c>
      <c r="AU175" s="281">
        <f>AU170+AU171+AU172+AU173+AU174</f>
        <v>-401</v>
      </c>
      <c r="AV175" s="281">
        <f>AV170+AV171+AV172+AV173+AV174</f>
        <v>-8049</v>
      </c>
      <c r="AW175" s="281">
        <f>AW170+AW171+AW172+AW173+AW174</f>
        <v>-12767</v>
      </c>
      <c r="AX175" s="281">
        <f>AX170+AX171+AX172+AX173+AX174</f>
        <v>-83</v>
      </c>
      <c r="AY175" s="281">
        <f>AY170+AY171+AY172+AY173+AY174</f>
        <v>1023</v>
      </c>
      <c r="AZ175" s="281">
        <f>AZ170+AZ171+AZ172+AZ173+AZ174</f>
        <v>329</v>
      </c>
      <c r="BA175" s="281">
        <f>BA170+BA171+BA172+BA173+BA174</f>
        <v>-4171</v>
      </c>
      <c r="BB175" s="281">
        <f>BB170+BB171+BB172+BB173+BB174</f>
        <v>-2902</v>
      </c>
      <c r="BC175" s="281">
        <f>BC170+BC171+BC172+BC173+BC174</f>
        <v>-1169</v>
      </c>
      <c r="BD175" s="281">
        <f>BD170+BD171+BD172+BD173+BD174</f>
        <v>774</v>
      </c>
      <c r="BE175" s="281">
        <f>BE170+BE171+BE172+BE173+BE174</f>
        <v>-2799</v>
      </c>
      <c r="BF175" s="281">
        <f>BF170+BF171+BF172+BF173+BF174</f>
        <v>-353</v>
      </c>
      <c r="BG175" s="281">
        <f>BG170+BG171+BG172+BG173+BG174</f>
        <v>-3547</v>
      </c>
      <c r="BH175" s="281">
        <f>BH170+BH171+BH172+BH173+BH174</f>
        <v>-149</v>
      </c>
      <c r="BI175" s="281">
        <f>BI170+BI171+BI172+BI173+BI174</f>
        <v>-99</v>
      </c>
      <c r="BJ175" s="281">
        <f>BJ170+BJ171+BJ172+BJ173+BJ174</f>
        <v>-808</v>
      </c>
      <c r="BK175" s="281">
        <f>BK170+BK171+BK172+BK173+BK174</f>
        <v>283</v>
      </c>
      <c r="BL175" s="281">
        <f>BL170+BL171+BL172+BL173+BL174</f>
        <v>-773</v>
      </c>
      <c r="BM175" s="281">
        <f>BM170+BM171+BM172+BM173+BM174</f>
        <v>-86</v>
      </c>
      <c r="BN175" s="281">
        <f>BN170+BN171+BN172+BN173+BN174</f>
        <v>-1090</v>
      </c>
      <c r="BO175" s="281">
        <f>BO170+BO171+BO172+BO173+BO174</f>
        <v>-5761</v>
      </c>
      <c r="BP175" s="281">
        <f>BP170+BP171+BP172+BP173+BP174</f>
        <v>-3770</v>
      </c>
      <c r="BQ175" s="281">
        <f>BQ170+BQ171+BQ172+BQ173+BQ174</f>
        <v>-10707</v>
      </c>
      <c r="BR175" s="281">
        <f>BR170+BR171+BR172+BR173+BR174</f>
        <v>461</v>
      </c>
      <c r="BS175" s="281">
        <f>BS170+BS171+BS172+BS173+BS174</f>
        <v>-176</v>
      </c>
      <c r="BT175" s="281">
        <f>BT170+BT171+BT172+BT173+BT174</f>
        <v>-4781</v>
      </c>
      <c r="BU175" s="281">
        <f>BU170+BU171+BU172+BU173+BU174</f>
        <v>8777</v>
      </c>
      <c r="BV175" s="281">
        <f>BV170+BV171+BV172+BV173+BV174</f>
        <v>4281</v>
      </c>
      <c r="BW175" s="281">
        <f>BW170+BW171+BW172+BW173+BW174</f>
        <v>448</v>
      </c>
      <c r="BX175" s="281">
        <f>BX170+BX171+BX172+BX173+BX174</f>
        <v>156</v>
      </c>
      <c r="BY175" s="265">
        <f>BY170+BY171+BY172+BY173+BY174</f>
        <v>721.932405224858</v>
      </c>
      <c r="BZ175" s="265">
        <f>BZ170+BZ171+BZ172+BZ173+BZ174</f>
        <v>711.179521182638</v>
      </c>
      <c r="CA175" s="265">
        <f>CA170+CA171+CA172+CA173+CA174</f>
        <v>2037.1119264075</v>
      </c>
      <c r="CB175" s="265">
        <f>CB170+CB171+CB172+CB173+CB174</f>
        <v>6083.17940496081</v>
      </c>
      <c r="CC175" s="265">
        <f>CC170+CC171+CC172+CC173+CC174</f>
        <v>8726.93269284913</v>
      </c>
      <c r="CD175" s="265">
        <f>CD170+CD171+CD172+CD173+CD174</f>
        <v>11549.9432564531</v>
      </c>
      <c r="CE175" s="265">
        <f>CE170+CE171+CE172+CE173+CE174</f>
        <v>13673.1429101064</v>
      </c>
      <c r="CF175" s="265">
        <f>CF170+CF171+CF172+CF173+CF174</f>
        <v>15023.1715260069</v>
      </c>
      <c r="CG175" s="153" t="n"/>
    </row>
    <row r="176" ht="15" customHeight="1" s="251">
      <c r="B176" s="57" t="inlineStr">
        <is>
          <t xml:space="preserve">  Check: bridge vs earnings from operations (should be 0)</t>
        </is>
      </c>
      <c r="C176" s="262">
        <f>ROUND(C175-C128,1)</f>
        <v>0</v>
      </c>
      <c r="D176" s="262">
        <f>ROUND(D175-D128,1)</f>
        <v>0</v>
      </c>
      <c r="E176" s="262">
        <f>ROUND(E175-E128,1)</f>
        <v>0</v>
      </c>
      <c r="F176" s="262">
        <f>ROUND(F175-F128,1)</f>
        <v>0</v>
      </c>
      <c r="G176" s="262">
        <f>ROUND(G175-G128,1)</f>
        <v>0</v>
      </c>
      <c r="H176" s="262">
        <f>ROUND(H175-H128,1)</f>
        <v>0</v>
      </c>
      <c r="I176" s="262">
        <f>ROUND(I175-I128,1)</f>
        <v>0</v>
      </c>
      <c r="J176" s="262">
        <f>ROUND(J175-J128,1)</f>
        <v>0</v>
      </c>
      <c r="K176" s="262">
        <f>ROUND(K175-K128,1)</f>
        <v>0</v>
      </c>
      <c r="L176" s="262">
        <f>ROUND(L175-L128,1)</f>
        <v>0</v>
      </c>
      <c r="M176" s="262">
        <f>ROUND(M175-M128,1)</f>
        <v>0</v>
      </c>
      <c r="N176" s="262">
        <f>ROUND(N175-N128,1)</f>
        <v>0</v>
      </c>
      <c r="O176" s="262">
        <f>ROUND(O175-O128,1)</f>
        <v>0</v>
      </c>
      <c r="P176" s="262">
        <f>ROUND(P175-P128,1)</f>
        <v>0</v>
      </c>
      <c r="Q176" s="262">
        <f>ROUND(Q175-Q128,1)</f>
        <v>0</v>
      </c>
      <c r="R176" s="262">
        <f>ROUND(R175-R128,1)</f>
        <v>0</v>
      </c>
      <c r="S176" s="262">
        <f>ROUND(S175-S128,1)</f>
        <v>0</v>
      </c>
      <c r="T176" s="262">
        <f>ROUND(T175-T128,1)</f>
        <v>0</v>
      </c>
      <c r="U176" s="262">
        <f>ROUND(U175-U128,1)</f>
        <v>0</v>
      </c>
      <c r="V176" s="262">
        <f>ROUND(V175-V128,1)</f>
        <v>0</v>
      </c>
      <c r="W176" s="262">
        <f>ROUND(W175-W128,1)</f>
        <v>0</v>
      </c>
      <c r="X176" s="262">
        <f>ROUND(X175-X128,1)</f>
        <v>0</v>
      </c>
      <c r="Y176" s="262">
        <f>ROUND(Y175-Y128,1)</f>
        <v>0</v>
      </c>
      <c r="Z176" s="262">
        <f>ROUND(Z175-Z128,1)</f>
        <v>0</v>
      </c>
      <c r="AA176" s="262">
        <f>ROUND(AA175-AA128,1)</f>
        <v>0</v>
      </c>
      <c r="AB176" s="262">
        <f>ROUND(AB175-AB128,1)</f>
        <v>0</v>
      </c>
      <c r="AC176" s="262">
        <f>ROUND(AC175-AC128,1)</f>
        <v>0</v>
      </c>
      <c r="AD176" s="262">
        <f>ROUND(AD175-AD128,1)</f>
        <v>0</v>
      </c>
      <c r="AE176" s="262">
        <f>ROUND(AE175-AE128,1)</f>
        <v>0</v>
      </c>
      <c r="AF176" s="262">
        <f>ROUND(AF175-AF128,1)</f>
        <v>0</v>
      </c>
      <c r="AG176" s="262">
        <f>ROUND(AG175-AG128,1)</f>
        <v>0</v>
      </c>
      <c r="AH176" s="262">
        <f>ROUND(AH175-AH128,1)</f>
        <v>0</v>
      </c>
      <c r="AI176" s="262">
        <f>ROUND(AI175-AI128,1)</f>
        <v>0</v>
      </c>
      <c r="AJ176" s="262">
        <f>ROUND(AJ175-AJ128,1)</f>
        <v>0</v>
      </c>
      <c r="AK176" s="262">
        <f>ROUND(AK175-AK128,1)</f>
        <v>0</v>
      </c>
      <c r="AL176" s="262">
        <f>ROUND(AL175-AL128,1)</f>
        <v>0</v>
      </c>
      <c r="AM176" s="262">
        <f>ROUND(AM175-AM128,1)</f>
        <v>0</v>
      </c>
      <c r="AN176" s="262">
        <f>ROUND(AN175-AN128,1)</f>
        <v>0</v>
      </c>
      <c r="AO176" s="262">
        <f>ROUND(AO175-AO128,1)</f>
        <v>0</v>
      </c>
      <c r="AP176" s="262">
        <f>ROUND(AP175-AP128,1)</f>
        <v>0</v>
      </c>
      <c r="AQ176" s="262">
        <f>ROUND(AQ175-AQ128,1)</f>
        <v>0</v>
      </c>
      <c r="AR176" s="262">
        <f>ROUND(AR175-AR128,1)</f>
        <v>0</v>
      </c>
      <c r="AS176" s="262">
        <f>ROUND(AS175-AS128,1)</f>
        <v>0</v>
      </c>
      <c r="AT176" s="262">
        <f>ROUND(AT175-AT128,1)</f>
        <v>0</v>
      </c>
      <c r="AU176" s="262">
        <f>ROUND(AU175-AU128,1)</f>
        <v>0</v>
      </c>
      <c r="AV176" s="262">
        <f>ROUND(AV175-AV128,1)</f>
        <v>0</v>
      </c>
      <c r="AW176" s="262">
        <f>ROUND(AW175-AW128,1)</f>
        <v>0</v>
      </c>
      <c r="AX176" s="262">
        <f>ROUND(AX175-AX128,1)</f>
        <v>0</v>
      </c>
      <c r="AY176" s="262">
        <f>ROUND(AY175-AY128,1)</f>
        <v>0</v>
      </c>
      <c r="AZ176" s="262">
        <f>ROUND(AZ175-AZ128,1)</f>
        <v>0</v>
      </c>
      <c r="BA176" s="262">
        <f>ROUND(BA175-BA128,1)</f>
        <v>0</v>
      </c>
      <c r="BB176" s="262">
        <f>ROUND(BB175-BB128,1)</f>
        <v>0</v>
      </c>
      <c r="BC176" s="262">
        <f>ROUND(BC175-BC128,1)</f>
        <v>0</v>
      </c>
      <c r="BD176" s="262">
        <f>ROUND(BD175-BD128,1)</f>
        <v>0</v>
      </c>
      <c r="BE176" s="262">
        <f>ROUND(BE175-BE128,1)</f>
        <v>0</v>
      </c>
      <c r="BF176" s="262">
        <f>ROUND(BF175-BF128,1)</f>
        <v>0</v>
      </c>
      <c r="BG176" s="262">
        <f>ROUND(BG175-BG128,1)</f>
        <v>0</v>
      </c>
      <c r="BH176" s="262">
        <f>ROUND(BH175-BH128,1)</f>
        <v>0</v>
      </c>
      <c r="BI176" s="262">
        <f>ROUND(BI175-BI128,1)</f>
        <v>0</v>
      </c>
      <c r="BJ176" s="262">
        <f>ROUND(BJ175-BJ128,1)</f>
        <v>0</v>
      </c>
      <c r="BK176" s="262">
        <f>ROUND(BK175-BK128,1)</f>
        <v>0</v>
      </c>
      <c r="BL176" s="262">
        <f>ROUND(BL175-BL128,1)</f>
        <v>0</v>
      </c>
      <c r="BM176" s="262">
        <f>ROUND(BM175-BM128,1)</f>
        <v>0</v>
      </c>
      <c r="BN176" s="262">
        <f>ROUND(BN175-BN128,1)</f>
        <v>0</v>
      </c>
      <c r="BO176" s="262">
        <f>ROUND(BO175-BO128,1)</f>
        <v>0</v>
      </c>
      <c r="BP176" s="262">
        <f>ROUND(BP175-BP128,1)</f>
        <v>0</v>
      </c>
      <c r="BQ176" s="262">
        <f>ROUND(BQ175-BQ128,1)</f>
        <v>0</v>
      </c>
      <c r="BR176" s="262">
        <f>ROUND(BR175-BR128,1)</f>
        <v>0</v>
      </c>
      <c r="BS176" s="262">
        <f>ROUND(BS175-BS128,1)</f>
        <v>0</v>
      </c>
      <c r="BT176" s="262">
        <f>ROUND(BT175-BT128,1)</f>
        <v>0</v>
      </c>
      <c r="BU176" s="262">
        <f>ROUND(BU175-BU128,1)</f>
        <v>0</v>
      </c>
      <c r="BV176" s="262">
        <f>ROUND(BV175-BV128,1)</f>
        <v>0</v>
      </c>
      <c r="BW176" s="262">
        <f>ROUND(BW175-BW128,1)</f>
        <v>0</v>
      </c>
      <c r="BX176" s="262">
        <f>ROUND(BX175-BX128,1)</f>
        <v>0</v>
      </c>
      <c r="BY176" s="276">
        <f>ROUND(BY175-BY128,1)</f>
        <v>0</v>
      </c>
      <c r="BZ176" s="276">
        <f>ROUND(BZ175-BZ128,1)</f>
        <v>0</v>
      </c>
      <c r="CA176" s="276">
        <f>ROUND(CA175-CA128,1)</f>
        <v>0</v>
      </c>
      <c r="CB176" s="276">
        <f>ROUND(CB175-CB128,1)</f>
        <v>0</v>
      </c>
      <c r="CC176" s="276">
        <f>ROUND(CC175-CC128,1)</f>
        <v>0</v>
      </c>
      <c r="CD176" s="276">
        <f>ROUND(CD175-CD128,1)</f>
        <v>0</v>
      </c>
      <c r="CE176" s="276">
        <f>ROUND(CE175-CE128,1)</f>
        <v>0</v>
      </c>
      <c r="CF176" s="276">
        <f>ROUND(CF175-CF128,1)</f>
        <v>0</v>
      </c>
      <c r="CG176" s="153" t="n"/>
    </row>
    <row r="177" ht="15" customHeight="1" s="251">
      <c r="B177" s="25" t="inlineStr">
        <is>
          <t xml:space="preserve">  (+) Depreciation &amp; amortization</t>
        </is>
      </c>
      <c r="C177" s="262">
        <f>C104</f>
        <v>1545</v>
      </c>
      <c r="D177" s="262">
        <f>D104</f>
        <v>1486</v>
      </c>
      <c r="E177" s="262">
        <f>E104</f>
        <v>1491</v>
      </c>
      <c r="F177" s="262">
        <f>F104</f>
        <v>1666</v>
      </c>
      <c r="G177" s="262">
        <f>G104</f>
        <v>1727</v>
      </c>
      <c r="H177" s="262">
        <f>H104</f>
        <v>1457</v>
      </c>
      <c r="I177" s="262">
        <f>I104</f>
        <v>1811</v>
      </c>
      <c r="J177" s="262">
        <f>J104</f>
        <v>429</v>
      </c>
      <c r="K177" s="262">
        <f>K104</f>
        <v>436</v>
      </c>
      <c r="L177" s="262">
        <f>L104</f>
        <v>458</v>
      </c>
      <c r="M177" s="262">
        <f>M104</f>
        <v>521</v>
      </c>
      <c r="N177" s="262">
        <f>N104</f>
        <v>1844</v>
      </c>
      <c r="O177" s="262">
        <f>O104</f>
        <v>448</v>
      </c>
      <c r="P177" s="262">
        <f>P104</f>
        <v>452</v>
      </c>
      <c r="Q177" s="262">
        <f>Q104</f>
        <v>478</v>
      </c>
      <c r="R177" s="262">
        <f>R104</f>
        <v>528</v>
      </c>
      <c r="S177" s="262">
        <f>S104</f>
        <v>1906</v>
      </c>
      <c r="T177" s="262">
        <f>T104</f>
        <v>459</v>
      </c>
      <c r="U177" s="262">
        <f>U104</f>
        <v>453</v>
      </c>
      <c r="V177" s="262">
        <f>V104</f>
        <v>437</v>
      </c>
      <c r="W177" s="262">
        <f>W104</f>
        <v>484</v>
      </c>
      <c r="X177" s="262">
        <f>X104</f>
        <v>1833</v>
      </c>
      <c r="Y177" s="262">
        <f>Y104</f>
        <v>443</v>
      </c>
      <c r="Z177" s="262">
        <f>Z104</f>
        <v>447</v>
      </c>
      <c r="AA177" s="262">
        <f>AA104</f>
        <v>474</v>
      </c>
      <c r="AB177" s="262">
        <f>AB104</f>
        <v>546</v>
      </c>
      <c r="AC177" s="262">
        <f>AC104</f>
        <v>1910</v>
      </c>
      <c r="AD177" s="262">
        <f>AD104</f>
        <v>471</v>
      </c>
      <c r="AE177" s="262">
        <f>AE104</f>
        <v>494</v>
      </c>
      <c r="AF177" s="262">
        <f>AF104</f>
        <v>522</v>
      </c>
      <c r="AG177" s="262">
        <f>AG104</f>
        <v>582</v>
      </c>
      <c r="AH177" s="262">
        <f>AH104</f>
        <v>2069</v>
      </c>
      <c r="AI177" s="262">
        <f>AI104</f>
        <v>501</v>
      </c>
      <c r="AJ177" s="262">
        <f>AJ104</f>
        <v>507</v>
      </c>
      <c r="AK177" s="262">
        <f>AK104</f>
        <v>523</v>
      </c>
      <c r="AL177" s="262">
        <f>AL104</f>
        <v>583</v>
      </c>
      <c r="AM177" s="262">
        <f>AM104</f>
        <v>2114</v>
      </c>
      <c r="AN177" s="262">
        <f>AN104</f>
        <v>521</v>
      </c>
      <c r="AO177" s="262">
        <f>AO104</f>
        <v>546</v>
      </c>
      <c r="AP177" s="262">
        <f>AP104</f>
        <v>576</v>
      </c>
      <c r="AQ177" s="262">
        <f>AQ104</f>
        <v>628</v>
      </c>
      <c r="AR177" s="262">
        <f>AR104</f>
        <v>2271</v>
      </c>
      <c r="AS177" s="262">
        <f>AS104</f>
        <v>556</v>
      </c>
      <c r="AT177" s="262">
        <f>AT104</f>
        <v>547</v>
      </c>
      <c r="AU177" s="262">
        <f>AU104</f>
        <v>565</v>
      </c>
      <c r="AV177" s="262">
        <f>AV104</f>
        <v>578</v>
      </c>
      <c r="AW177" s="262">
        <f>AW104</f>
        <v>2246</v>
      </c>
      <c r="AX177" s="262">
        <f>AX104</f>
        <v>536</v>
      </c>
      <c r="AY177" s="262">
        <f>AY104</f>
        <v>551</v>
      </c>
      <c r="AZ177" s="262">
        <f>AZ104</f>
        <v>523</v>
      </c>
      <c r="BA177" s="262">
        <f>BA104</f>
        <v>534</v>
      </c>
      <c r="BB177" s="262">
        <f>BB104</f>
        <v>2144</v>
      </c>
      <c r="BC177" s="262">
        <f>BC104</f>
        <v>486</v>
      </c>
      <c r="BD177" s="262">
        <f>BD104</f>
        <v>498</v>
      </c>
      <c r="BE177" s="262">
        <f>BE104</f>
        <v>493</v>
      </c>
      <c r="BF177" s="262">
        <f>BF104</f>
        <v>502</v>
      </c>
      <c r="BG177" s="262">
        <f>BG104</f>
        <v>1979</v>
      </c>
      <c r="BH177" s="262">
        <f>BH104</f>
        <v>457</v>
      </c>
      <c r="BI177" s="262">
        <f>BI104</f>
        <v>456</v>
      </c>
      <c r="BJ177" s="262">
        <f>BJ104</f>
        <v>467</v>
      </c>
      <c r="BK177" s="262">
        <f>BK104</f>
        <v>481</v>
      </c>
      <c r="BL177" s="262">
        <f>BL104</f>
        <v>1861</v>
      </c>
      <c r="BM177" s="262">
        <f>BM104</f>
        <v>442</v>
      </c>
      <c r="BN177" s="262">
        <f>BN104</f>
        <v>441</v>
      </c>
      <c r="BO177" s="262">
        <f>BO104</f>
        <v>444</v>
      </c>
      <c r="BP177" s="262">
        <f>BP104</f>
        <v>509</v>
      </c>
      <c r="BQ177" s="262">
        <f>BQ104</f>
        <v>1836</v>
      </c>
      <c r="BR177" s="262">
        <f>BR104</f>
        <v>466</v>
      </c>
      <c r="BS177" s="262">
        <f>BS104</f>
        <v>460</v>
      </c>
      <c r="BT177" s="262">
        <f>BT104</f>
        <v>491</v>
      </c>
      <c r="BU177" s="262">
        <f>BU104</f>
        <v>536</v>
      </c>
      <c r="BV177" s="262">
        <f>BV104</f>
        <v>1953</v>
      </c>
      <c r="BW177" s="262">
        <f>BW104</f>
        <v>573</v>
      </c>
      <c r="BX177" s="262">
        <f>BX104</f>
        <v>596</v>
      </c>
      <c r="BY177" s="263">
        <f>BY104</f>
        <v>585</v>
      </c>
      <c r="BZ177" s="263">
        <f>BZ104</f>
        <v>585</v>
      </c>
      <c r="CA177" s="263">
        <f>CA104</f>
        <v>2339</v>
      </c>
      <c r="CB177" s="263">
        <f>CB104</f>
        <v>2558.36181834101</v>
      </c>
      <c r="CC177" s="263">
        <f>CC104</f>
        <v>2778.75218905293</v>
      </c>
      <c r="CD177" s="263">
        <f>CD104</f>
        <v>2847.59530454219</v>
      </c>
      <c r="CE177" s="263">
        <f>CE104</f>
        <v>2987.98667400387</v>
      </c>
      <c r="CF177" s="263">
        <f>CF104</f>
        <v>3116.62764513887</v>
      </c>
      <c r="CG177" s="19" t="n"/>
    </row>
    <row r="178" ht="15" customHeight="1" s="251">
      <c r="B178" s="55" t="inlineStr">
        <is>
          <t xml:space="preserve">  = EBITDA (model)</t>
        </is>
      </c>
      <c r="C178" s="275">
        <f>IF(ISNUMBER(C177),C175+C177,"")</f>
        <v>4559</v>
      </c>
      <c r="D178" s="275">
        <f>IF(ISNUMBER(D177),D175+D177,"")</f>
        <v>7316</v>
      </c>
      <c r="E178" s="275">
        <f>IF(ISNUMBER(E177),E175+E177,"")</f>
        <v>5479</v>
      </c>
      <c r="F178" s="275">
        <f>IF(ISNUMBER(F177),F175+F177,"")</f>
        <v>3762</v>
      </c>
      <c r="G178" s="275">
        <f>IF(ISNUMBER(G177),G175+G177,"")</f>
        <v>6698</v>
      </c>
      <c r="H178" s="275">
        <f>IF(ISNUMBER(H177),H175+H177,"")</f>
        <v>7301</v>
      </c>
      <c r="I178" s="275">
        <f>IF(ISNUMBER(I177),I175+I177,"")</f>
        <v>8122</v>
      </c>
      <c r="J178" s="275">
        <f>IF(ISNUMBER(J177),J175+J177,"")</f>
        <v>1957</v>
      </c>
      <c r="K178" s="275">
        <f>IF(ISNUMBER(K177),K175+K177,"")</f>
        <v>2152</v>
      </c>
      <c r="L178" s="275">
        <f>IF(ISNUMBER(L177),L175+L177,"")</f>
        <v>2261</v>
      </c>
      <c r="M178" s="275">
        <f>IF(ISNUMBER(M177),M175+M177,"")</f>
        <v>2036</v>
      </c>
      <c r="N178" s="275">
        <f>IF(ISNUMBER(N177),N175+N177,"")</f>
        <v>8406</v>
      </c>
      <c r="O178" s="275">
        <f>IF(ISNUMBER(O177),O175+O177,"")</f>
        <v>1990</v>
      </c>
      <c r="P178" s="275">
        <f>IF(ISNUMBER(P177),P175+P177,"")</f>
        <v>2239</v>
      </c>
      <c r="Q178" s="275">
        <f>IF(ISNUMBER(Q177),Q175+Q177,"")</f>
        <v>2597</v>
      </c>
      <c r="R178" s="275">
        <f>IF(ISNUMBER(R177),R175+R177,"")</f>
        <v>2553</v>
      </c>
      <c r="S178" s="275">
        <f>IF(ISNUMBER(S177),S175+S177,"")</f>
        <v>9379</v>
      </c>
      <c r="T178" s="275">
        <f>IF(ISNUMBER(T177),T175+T177,"")</f>
        <v>2478</v>
      </c>
      <c r="U178" s="275">
        <f>IF(ISNUMBER(U177),U175+U177,"")</f>
        <v>2136</v>
      </c>
      <c r="V178" s="275">
        <f>IF(ISNUMBER(V177),V175+V177,"")</f>
        <v>3017</v>
      </c>
      <c r="W178" s="275">
        <f>IF(ISNUMBER(W177),W175+W177,"")</f>
        <v>1645</v>
      </c>
      <c r="X178" s="275">
        <f>IF(ISNUMBER(X177),X175+X177,"")</f>
        <v>9276</v>
      </c>
      <c r="Y178" s="275">
        <f>IF(ISNUMBER(Y177),Y175+Y177,"")</f>
        <v>2231</v>
      </c>
      <c r="Z178" s="275">
        <f>IF(ISNUMBER(Z177),Z175+Z177,"")</f>
        <v>28</v>
      </c>
      <c r="AA178" s="275">
        <f>IF(ISNUMBER(AA177),AA175+AA177,"")</f>
        <v>2756</v>
      </c>
      <c r="AB178" s="275">
        <f>IF(ISNUMBER(AB177),AB175+AB177,"")</f>
        <v>2729</v>
      </c>
      <c r="AC178" s="275">
        <f>IF(ISNUMBER(AC177),AC175+AC177,"")</f>
        <v>7744</v>
      </c>
      <c r="AD178" s="275">
        <f>IF(ISNUMBER(AD177),AD175+AD177,"")</f>
        <v>2495</v>
      </c>
      <c r="AE178" s="275">
        <f>IF(ISNUMBER(AE177),AE175+AE177,"")</f>
        <v>3029</v>
      </c>
      <c r="AF178" s="275">
        <f>IF(ISNUMBER(AF177),AF175+AF177,"")</f>
        <v>3211</v>
      </c>
      <c r="AG178" s="275">
        <f>IF(ISNUMBER(AG177),AG175+AG177,"")</f>
        <v>3612</v>
      </c>
      <c r="AH178" s="275">
        <f>IF(ISNUMBER(AH177),AH175+AH177,"")</f>
        <v>12347</v>
      </c>
      <c r="AI178" s="275">
        <f>IF(ISNUMBER(AI177),AI175+AI177,"")</f>
        <v>3376</v>
      </c>
      <c r="AJ178" s="275">
        <f>IF(ISNUMBER(AJ177),AJ175+AJ177,"")</f>
        <v>3217</v>
      </c>
      <c r="AK178" s="275">
        <f>IF(ISNUMBER(AK177),AK175+AK177,"")</f>
        <v>2750</v>
      </c>
      <c r="AL178" s="275">
        <f>IF(ISNUMBER(AL177),AL175+AL177,"")</f>
        <v>4758</v>
      </c>
      <c r="AM178" s="275">
        <f>IF(ISNUMBER(AM177),AM175+AM177,"")</f>
        <v>14101</v>
      </c>
      <c r="AN178" s="275">
        <f>IF(ISNUMBER(AN177),AN175+AN177,"")</f>
        <v>2871</v>
      </c>
      <c r="AO178" s="275">
        <f>IF(ISNUMBER(AO177),AO175+AO177,"")</f>
        <v>-2834</v>
      </c>
      <c r="AP178" s="275">
        <f>IF(ISNUMBER(AP177),AP175+AP177,"")</f>
        <v>1835</v>
      </c>
      <c r="AQ178" s="275">
        <f>IF(ISNUMBER(AQ177),AQ175+AQ177,"")</f>
        <v>-1576</v>
      </c>
      <c r="AR178" s="275">
        <f>IF(ISNUMBER(AR177),AR175+AR177,"")</f>
        <v>296</v>
      </c>
      <c r="AS178" s="275">
        <f>IF(ISNUMBER(AS177),AS175+AS177,"")</f>
        <v>-797</v>
      </c>
      <c r="AT178" s="275">
        <f>IF(ISNUMBER(AT177),AT175+AT177,"")</f>
        <v>-2417</v>
      </c>
      <c r="AU178" s="275">
        <f>IF(ISNUMBER(AU177),AU175+AU177,"")</f>
        <v>164</v>
      </c>
      <c r="AV178" s="275">
        <f>IF(ISNUMBER(AV177),AV175+AV177,"")</f>
        <v>-7471</v>
      </c>
      <c r="AW178" s="275">
        <f>IF(ISNUMBER(AW177),AW175+AW177,"")</f>
        <v>-10521</v>
      </c>
      <c r="AX178" s="275">
        <f>IF(ISNUMBER(AX177),AX175+AX177,"")</f>
        <v>453</v>
      </c>
      <c r="AY178" s="275">
        <f>IF(ISNUMBER(AY177),AY175+AY177,"")</f>
        <v>1574</v>
      </c>
      <c r="AZ178" s="275">
        <f>IF(ISNUMBER(AZ177),AZ175+AZ177,"")</f>
        <v>852</v>
      </c>
      <c r="BA178" s="275">
        <f>IF(ISNUMBER(BA177),BA175+BA177,"")</f>
        <v>-3637</v>
      </c>
      <c r="BB178" s="275">
        <f>IF(ISNUMBER(BB177),BB175+BB177,"")</f>
        <v>-758</v>
      </c>
      <c r="BC178" s="275">
        <f>IF(ISNUMBER(BC177),BC175+BC177,"")</f>
        <v>-683</v>
      </c>
      <c r="BD178" s="275">
        <f>IF(ISNUMBER(BD177),BD175+BD177,"")</f>
        <v>1272</v>
      </c>
      <c r="BE178" s="275">
        <f>IF(ISNUMBER(BE177),BE175+BE177,"")</f>
        <v>-2306</v>
      </c>
      <c r="BF178" s="275">
        <f>IF(ISNUMBER(BF177),BF175+BF177,"")</f>
        <v>149</v>
      </c>
      <c r="BG178" s="275">
        <f>IF(ISNUMBER(BG177),BG175+BG177,"")</f>
        <v>-1568</v>
      </c>
      <c r="BH178" s="275">
        <f>IF(ISNUMBER(BH177),BH175+BH177,"")</f>
        <v>308</v>
      </c>
      <c r="BI178" s="275">
        <f>IF(ISNUMBER(BI177),BI175+BI177,"")</f>
        <v>357</v>
      </c>
      <c r="BJ178" s="275">
        <f>IF(ISNUMBER(BJ177),BJ175+BJ177,"")</f>
        <v>-341</v>
      </c>
      <c r="BK178" s="275">
        <f>IF(ISNUMBER(BK177),BK175+BK177,"")</f>
        <v>764</v>
      </c>
      <c r="BL178" s="275">
        <f>IF(ISNUMBER(BL177),BL175+BL177,"")</f>
        <v>1088</v>
      </c>
      <c r="BM178" s="275">
        <f>IF(ISNUMBER(BM177),BM175+BM177,"")</f>
        <v>356</v>
      </c>
      <c r="BN178" s="275">
        <f>IF(ISNUMBER(BN177),BN175+BN177,"")</f>
        <v>-649</v>
      </c>
      <c r="BO178" s="275">
        <f>IF(ISNUMBER(BO177),BO175+BO177,"")</f>
        <v>-5317</v>
      </c>
      <c r="BP178" s="275">
        <f>IF(ISNUMBER(BP177),BP175+BP177,"")</f>
        <v>-3261</v>
      </c>
      <c r="BQ178" s="275">
        <f>IF(ISNUMBER(BQ177),BQ175+BQ177,"")</f>
        <v>-8871</v>
      </c>
      <c r="BR178" s="275">
        <f>IF(ISNUMBER(BR177),BR175+BR177,"")</f>
        <v>927</v>
      </c>
      <c r="BS178" s="275">
        <f>IF(ISNUMBER(BS177),BS175+BS177,"")</f>
        <v>284</v>
      </c>
      <c r="BT178" s="275">
        <f>IF(ISNUMBER(BT177),BT175+BT177,"")</f>
        <v>-4290</v>
      </c>
      <c r="BU178" s="275">
        <f>IF(ISNUMBER(BU177),BU175+BU177,"")</f>
        <v>9313</v>
      </c>
      <c r="BV178" s="275">
        <f>IF(ISNUMBER(BV177),BV175+BV177,"")</f>
        <v>6234</v>
      </c>
      <c r="BW178" s="275">
        <f>IF(ISNUMBER(BW177),BW175+BW177,"")</f>
        <v>1021</v>
      </c>
      <c r="BX178" s="275">
        <f>IF(ISNUMBER(BX177),BX175+BX177,"")</f>
        <v>752</v>
      </c>
      <c r="BY178" s="275">
        <f>IF(ISNUMBER(BY177),BY175+BY177,"")</f>
        <v>1306.93240522486</v>
      </c>
      <c r="BZ178" s="275">
        <f>IF(ISNUMBER(BZ177),BZ175+BZ177,"")</f>
        <v>1296.17952118264</v>
      </c>
      <c r="CA178" s="275">
        <f>IF(ISNUMBER(CA177),CA175+CA177,"")</f>
        <v>4376.1119264075</v>
      </c>
      <c r="CB178" s="275">
        <f>IF(ISNUMBER(CB177),CB175+CB177,"")</f>
        <v>8641.54122330181</v>
      </c>
      <c r="CC178" s="275">
        <f>IF(ISNUMBER(CC177),CC175+CC177,"")</f>
        <v>11505.6848819021</v>
      </c>
      <c r="CD178" s="275">
        <f>IF(ISNUMBER(CD177),CD175+CD177,"")</f>
        <v>14397.5385609953</v>
      </c>
      <c r="CE178" s="275">
        <f>IF(ISNUMBER(CE177),CE175+CE177,"")</f>
        <v>16661.1295841103</v>
      </c>
      <c r="CF178" s="275">
        <f>IF(ISNUMBER(CF177),CF175+CF177,"")</f>
        <v>18139.7991711458</v>
      </c>
      <c r="CG178" s="153" t="n"/>
      <c r="CI178" s="20">
        <f>IFERROR(IF(AND(CF178&gt;0,CA178&gt;0),(CF178/CA178)^(1/5)-1,"n/m"),"n/m")</f>
        <v>0.328950517678001</v>
      </c>
      <c r="CJ178" s="20" t="str">
        <f>IFERROR(IF(AND(BV178&gt;0,AW178&gt;0),(BV178/AW178)^(1/5)-1,"n/m"),"n/m")</f>
        <v>n/m</v>
      </c>
      <c r="CK178" s="20">
        <f>IFERROR(IF(AND(BV178&gt;0,X178&gt;0),(BV178/X178)^(1/10)-1,"n/m"),"n/m")</f>
        <v>-0.0389618992397733</v>
      </c>
      <c r="CL178" s="20">
        <f>IFERROR(IF(AND(BV178&gt;0,C178&gt;0),(BV178/C178)^(1/19)-1,"n/m"),"n/m")</f>
        <v>0.0166055691389924</v>
      </c>
    </row>
    <row r="179" ht="15" customHeight="1" s="251">
      <c r="B179" s="25" t="inlineStr">
        <is>
          <t xml:space="preserve">  (−) FAS/CAS service cost adjustment / (+) unallocated pension expense</t>
        </is>
      </c>
      <c r="C179" s="262">
        <f>C160</f>
        <v>0</v>
      </c>
      <c r="D179" s="262">
        <f>D160</f>
        <v>686</v>
      </c>
      <c r="E179" s="262">
        <f>E160</f>
        <v>287</v>
      </c>
      <c r="F179" s="262">
        <f>F160</f>
        <v>-17</v>
      </c>
      <c r="G179" s="262">
        <f>G160</f>
        <v>5</v>
      </c>
      <c r="H179" s="262">
        <f>H160</f>
        <v>517</v>
      </c>
      <c r="I179" s="262">
        <f>I160</f>
        <v>899</v>
      </c>
      <c r="J179" s="262">
        <f>J160</f>
        <v>339</v>
      </c>
      <c r="K179" s="262">
        <f>K160</f>
        <v>312</v>
      </c>
      <c r="L179" s="262">
        <f>L160</f>
        <v>340</v>
      </c>
      <c r="M179" s="262">
        <f>M160</f>
        <v>323</v>
      </c>
      <c r="N179" s="262">
        <f>N160</f>
        <v>1314</v>
      </c>
      <c r="O179" s="262">
        <f>O160</f>
        <v>553</v>
      </c>
      <c r="P179" s="262">
        <f>P160</f>
        <v>204</v>
      </c>
      <c r="Q179" s="262">
        <f>Q160</f>
        <v>311</v>
      </c>
      <c r="R179" s="262">
        <f>R160</f>
        <v>319</v>
      </c>
      <c r="S179" s="262">
        <f>S160</f>
        <v>1387</v>
      </c>
      <c r="T179" s="262">
        <f>T160</f>
        <v>113</v>
      </c>
      <c r="U179" s="262">
        <f>U160</f>
        <v>30</v>
      </c>
      <c r="V179" s="262">
        <f>V160</f>
        <v>57</v>
      </c>
      <c r="W179" s="262">
        <f>W160</f>
        <v>98</v>
      </c>
      <c r="X179" s="262">
        <f>X160</f>
        <v>298</v>
      </c>
      <c r="Y179" s="262">
        <f>Y160</f>
        <v>-94</v>
      </c>
      <c r="Z179" s="262">
        <f>Z160</f>
        <v>-69</v>
      </c>
      <c r="AA179" s="262">
        <f>AA160</f>
        <v>-88</v>
      </c>
      <c r="AB179" s="262">
        <f>AB160</f>
        <v>-119</v>
      </c>
      <c r="AC179" s="262">
        <f>AC160</f>
        <v>-370</v>
      </c>
      <c r="AD179" s="262">
        <f>AD160</f>
        <v>-315</v>
      </c>
      <c r="AE179" s="262">
        <f>AE160</f>
        <v>-323</v>
      </c>
      <c r="AF179" s="262">
        <f>AF160</f>
        <v>-316</v>
      </c>
      <c r="AG179" s="262">
        <f>AG160</f>
        <v>-354</v>
      </c>
      <c r="AH179" s="262">
        <f>AH160</f>
        <v>-1308</v>
      </c>
      <c r="AI179" s="262">
        <f>AI160</f>
        <v>-365</v>
      </c>
      <c r="AJ179" s="262">
        <f>AJ160</f>
        <v>-317</v>
      </c>
      <c r="AK179" s="262">
        <f>AK160</f>
        <v>-337</v>
      </c>
      <c r="AL179" s="262">
        <f>AL160</f>
        <v>-308</v>
      </c>
      <c r="AM179" s="262">
        <f>AM160</f>
        <v>-1327</v>
      </c>
      <c r="AN179" s="262">
        <f>AN160</f>
        <v>-364</v>
      </c>
      <c r="AO179" s="262">
        <f>AO160</f>
        <v>-365</v>
      </c>
      <c r="AP179" s="262">
        <f>AP160</f>
        <v>-364</v>
      </c>
      <c r="AQ179" s="262">
        <f>AQ160</f>
        <v>-322</v>
      </c>
      <c r="AR179" s="262">
        <f>AR160</f>
        <v>-1415</v>
      </c>
      <c r="AS179" s="262">
        <f>AS160</f>
        <v>-347</v>
      </c>
      <c r="AT179" s="262">
        <f>AT160</f>
        <v>-355</v>
      </c>
      <c r="AU179" s="262">
        <f>AU160</f>
        <v>-353</v>
      </c>
      <c r="AV179" s="262">
        <f>AV160</f>
        <v>-328</v>
      </c>
      <c r="AW179" s="262">
        <f>AW160</f>
        <v>-1383</v>
      </c>
      <c r="AX179" s="262">
        <f>AX160</f>
        <v>-270</v>
      </c>
      <c r="AY179" s="262">
        <f>AY160</f>
        <v>-268</v>
      </c>
      <c r="AZ179" s="262">
        <f>AZ160</f>
        <v>-270</v>
      </c>
      <c r="BA179" s="262">
        <f>BA160</f>
        <v>-365</v>
      </c>
      <c r="BB179" s="262">
        <f>BB160</f>
        <v>-1173</v>
      </c>
      <c r="BC179" s="262">
        <f>BC160</f>
        <v>-283</v>
      </c>
      <c r="BD179" s="262">
        <f>BD160</f>
        <v>-284</v>
      </c>
      <c r="BE179" s="262">
        <f>BE160</f>
        <v>-279</v>
      </c>
      <c r="BF179" s="262">
        <f>BF160</f>
        <v>-297</v>
      </c>
      <c r="BG179" s="262">
        <f>BG160</f>
        <v>-1143</v>
      </c>
      <c r="BH179" s="262">
        <f>BH160</f>
        <v>-291</v>
      </c>
      <c r="BI179" s="262">
        <f>BI160</f>
        <v>-291</v>
      </c>
      <c r="BJ179" s="262">
        <f>BJ160</f>
        <v>-281</v>
      </c>
      <c r="BK179" s="262">
        <f>BK160</f>
        <v>-193</v>
      </c>
      <c r="BL179" s="262">
        <f>BL160</f>
        <v>-1056</v>
      </c>
      <c r="BM179" s="262">
        <f>BM160</f>
        <v>-302</v>
      </c>
      <c r="BN179" s="262">
        <f>BN160</f>
        <v>-302</v>
      </c>
      <c r="BO179" s="262">
        <f>BO160</f>
        <v>-228</v>
      </c>
      <c r="BP179" s="262">
        <f>BP160</f>
        <v>-272</v>
      </c>
      <c r="BQ179" s="262">
        <f>BQ160</f>
        <v>-1104</v>
      </c>
      <c r="BR179" s="262">
        <f>BR160</f>
        <v>-262</v>
      </c>
      <c r="BS179" s="262">
        <f>BS160</f>
        <v>-257</v>
      </c>
      <c r="BT179" s="262">
        <f>BT160</f>
        <v>-268</v>
      </c>
      <c r="BU179" s="262">
        <f>BU160</f>
        <v>-258</v>
      </c>
      <c r="BV179" s="262">
        <f>BV160</f>
        <v>-1045</v>
      </c>
      <c r="BW179" s="262">
        <f>BW160</f>
        <v>-155</v>
      </c>
      <c r="BX179" s="262">
        <f>BX160</f>
        <v>-155</v>
      </c>
      <c r="BY179" s="263">
        <f>BY160</f>
        <v>-155</v>
      </c>
      <c r="BZ179" s="263">
        <f>BZ160</f>
        <v>-155</v>
      </c>
      <c r="CA179" s="263">
        <f>CA160</f>
        <v>-620</v>
      </c>
      <c r="CB179" s="263">
        <f>CB160</f>
        <v>-600</v>
      </c>
      <c r="CC179" s="263">
        <f>CC160</f>
        <v>-550</v>
      </c>
      <c r="CD179" s="263">
        <f>CD160</f>
        <v>-500</v>
      </c>
      <c r="CE179" s="263">
        <f>CE160</f>
        <v>-450</v>
      </c>
      <c r="CF179" s="263">
        <f>CF160</f>
        <v>-400</v>
      </c>
      <c r="CG179" s="19" t="n"/>
    </row>
    <row r="180" ht="15" customHeight="1" s="251">
      <c r="B180" s="55" t="inlineStr">
        <is>
          <t xml:space="preserve">  = Adjusted EBITDA (model: core operating earnings + D&amp;A)</t>
        </is>
      </c>
      <c r="C180" s="275">
        <f>IF(ISNUMBER(C178),C178+C179,"")</f>
        <v>4559</v>
      </c>
      <c r="D180" s="275">
        <f>IF(ISNUMBER(D178),D178+D179,"")</f>
        <v>8002</v>
      </c>
      <c r="E180" s="275">
        <f>IF(ISNUMBER(E178),E178+E179,"")</f>
        <v>5766</v>
      </c>
      <c r="F180" s="275">
        <f>IF(ISNUMBER(F178),F178+F179,"")</f>
        <v>3745</v>
      </c>
      <c r="G180" s="275">
        <f>IF(ISNUMBER(G178),G178+G179,"")</f>
        <v>6703</v>
      </c>
      <c r="H180" s="275">
        <f>IF(ISNUMBER(H178),H178+H179,"")</f>
        <v>7818</v>
      </c>
      <c r="I180" s="275">
        <f>IF(ISNUMBER(I178),I178+I179,"")</f>
        <v>9021</v>
      </c>
      <c r="J180" s="275">
        <f>IF(ISNUMBER(J178),J178+J179,"")</f>
        <v>2296</v>
      </c>
      <c r="K180" s="275">
        <f>IF(ISNUMBER(K178),K178+K179,"")</f>
        <v>2464</v>
      </c>
      <c r="L180" s="275">
        <f>IF(ISNUMBER(L178),L178+L179,"")</f>
        <v>2601</v>
      </c>
      <c r="M180" s="275">
        <f>IF(ISNUMBER(M178),M178+M179,"")</f>
        <v>2359</v>
      </c>
      <c r="N180" s="275">
        <f>IF(ISNUMBER(N178),N178+N179,"")</f>
        <v>9720</v>
      </c>
      <c r="O180" s="275">
        <f>IF(ISNUMBER(O178),O178+O179,"")</f>
        <v>2543</v>
      </c>
      <c r="P180" s="275">
        <f>IF(ISNUMBER(P178),P178+P179,"")</f>
        <v>2443</v>
      </c>
      <c r="Q180" s="275">
        <f>IF(ISNUMBER(Q178),Q178+Q179,"")</f>
        <v>2908</v>
      </c>
      <c r="R180" s="275">
        <f>IF(ISNUMBER(R178),R178+R179,"")</f>
        <v>2872</v>
      </c>
      <c r="S180" s="275">
        <f>IF(ISNUMBER(S178),S178+S179,"")</f>
        <v>10766</v>
      </c>
      <c r="T180" s="275">
        <f>IF(ISNUMBER(T178),T178+T179,"")</f>
        <v>2591</v>
      </c>
      <c r="U180" s="275">
        <f>IF(ISNUMBER(U178),U178+U179,"")</f>
        <v>2166</v>
      </c>
      <c r="V180" s="275">
        <f>IF(ISNUMBER(V178),V178+V179,"")</f>
        <v>3074</v>
      </c>
      <c r="W180" s="275">
        <f>IF(ISNUMBER(W178),W178+W179,"")</f>
        <v>1743</v>
      </c>
      <c r="X180" s="275">
        <f>IF(ISNUMBER(X178),X178+X179,"")</f>
        <v>9574</v>
      </c>
      <c r="Y180" s="275">
        <f>IF(ISNUMBER(Y178),Y178+Y179,"")</f>
        <v>2137</v>
      </c>
      <c r="Z180" s="275">
        <f>IF(ISNUMBER(Z178),Z178+Z179,"")</f>
        <v>-41</v>
      </c>
      <c r="AA180" s="275">
        <f>IF(ISNUMBER(AA178),AA178+AA179,"")</f>
        <v>2668</v>
      </c>
      <c r="AB180" s="275">
        <f>IF(ISNUMBER(AB178),AB178+AB179,"")</f>
        <v>2610</v>
      </c>
      <c r="AC180" s="275">
        <f>IF(ISNUMBER(AC178),AC178+AC179,"")</f>
        <v>7374</v>
      </c>
      <c r="AD180" s="275">
        <f>IF(ISNUMBER(AD178),AD178+AD179,"")</f>
        <v>2180</v>
      </c>
      <c r="AE180" s="275">
        <f>IF(ISNUMBER(AE178),AE178+AE179,"")</f>
        <v>2706</v>
      </c>
      <c r="AF180" s="275">
        <f>IF(ISNUMBER(AF178),AF178+AF179,"")</f>
        <v>2895</v>
      </c>
      <c r="AG180" s="275">
        <f>IF(ISNUMBER(AG178),AG178+AG179,"")</f>
        <v>3258</v>
      </c>
      <c r="AH180" s="275">
        <f>IF(ISNUMBER(AH178),AH178+AH179,"")</f>
        <v>11039</v>
      </c>
      <c r="AI180" s="275">
        <f>IF(ISNUMBER(AI178),AI178+AI179,"")</f>
        <v>3011</v>
      </c>
      <c r="AJ180" s="275">
        <f>IF(ISNUMBER(AJ178),AJ178+AJ179,"")</f>
        <v>2900</v>
      </c>
      <c r="AK180" s="275">
        <f>IF(ISNUMBER(AK178),AK178+AK179,"")</f>
        <v>2413</v>
      </c>
      <c r="AL180" s="275">
        <f>IF(ISNUMBER(AL178),AL178+AL179,"")</f>
        <v>4450</v>
      </c>
      <c r="AM180" s="275">
        <f>IF(ISNUMBER(AM178),AM178+AM179,"")</f>
        <v>12774</v>
      </c>
      <c r="AN180" s="275">
        <f>IF(ISNUMBER(AN178),AN178+AN179,"")</f>
        <v>2507</v>
      </c>
      <c r="AO180" s="275">
        <f>IF(ISNUMBER(AO178),AO178+AO179,"")</f>
        <v>-3199</v>
      </c>
      <c r="AP180" s="275">
        <f>IF(ISNUMBER(AP178),AP178+AP179,"")</f>
        <v>1471</v>
      </c>
      <c r="AQ180" s="275">
        <f>IF(ISNUMBER(AQ178),AQ178+AQ179,"")</f>
        <v>-1898</v>
      </c>
      <c r="AR180" s="275">
        <f>IF(ISNUMBER(AR178),AR178+AR179,"")</f>
        <v>-1119</v>
      </c>
      <c r="AS180" s="275">
        <f>IF(ISNUMBER(AS178),AS178+AS179,"")</f>
        <v>-1144</v>
      </c>
      <c r="AT180" s="275">
        <f>IF(ISNUMBER(AT178),AT178+AT179,"")</f>
        <v>-2772</v>
      </c>
      <c r="AU180" s="275">
        <f>IF(ISNUMBER(AU178),AU178+AU179,"")</f>
        <v>-189</v>
      </c>
      <c r="AV180" s="275">
        <f>IF(ISNUMBER(AV178),AV178+AV179,"")</f>
        <v>-7799</v>
      </c>
      <c r="AW180" s="275">
        <f>IF(ISNUMBER(AW178),AW178+AW179,"")</f>
        <v>-11904</v>
      </c>
      <c r="AX180" s="275">
        <f>IF(ISNUMBER(AX178),AX178+AX179,"")</f>
        <v>183</v>
      </c>
      <c r="AY180" s="275">
        <f>IF(ISNUMBER(AY178),AY178+AY179,"")</f>
        <v>1306</v>
      </c>
      <c r="AZ180" s="275">
        <f>IF(ISNUMBER(AZ178),AZ178+AZ179,"")</f>
        <v>582</v>
      </c>
      <c r="BA180" s="275">
        <f>IF(ISNUMBER(BA178),BA178+BA179,"")</f>
        <v>-4002</v>
      </c>
      <c r="BB180" s="275">
        <f>IF(ISNUMBER(BB178),BB178+BB179,"")</f>
        <v>-1931</v>
      </c>
      <c r="BC180" s="275">
        <f>IF(ISNUMBER(BC178),BC178+BC179,"")</f>
        <v>-966</v>
      </c>
      <c r="BD180" s="275">
        <f>IF(ISNUMBER(BD178),BD178+BD179,"")</f>
        <v>988</v>
      </c>
      <c r="BE180" s="275">
        <f>IF(ISNUMBER(BE178),BE178+BE179,"")</f>
        <v>-2585</v>
      </c>
      <c r="BF180" s="275">
        <f>IF(ISNUMBER(BF178),BF178+BF179,"")</f>
        <v>-148</v>
      </c>
      <c r="BG180" s="275">
        <f>IF(ISNUMBER(BG178),BG178+BG179,"")</f>
        <v>-2711</v>
      </c>
      <c r="BH180" s="275">
        <f>IF(ISNUMBER(BH178),BH178+BH179,"")</f>
        <v>17</v>
      </c>
      <c r="BI180" s="275">
        <f>IF(ISNUMBER(BI178),BI178+BI179,"")</f>
        <v>66</v>
      </c>
      <c r="BJ180" s="275">
        <f>IF(ISNUMBER(BJ178),BJ178+BJ179,"")</f>
        <v>-622</v>
      </c>
      <c r="BK180" s="275">
        <f>IF(ISNUMBER(BK178),BK178+BK179,"")</f>
        <v>571</v>
      </c>
      <c r="BL180" s="275">
        <f>IF(ISNUMBER(BL178),BL178+BL179,"")</f>
        <v>32</v>
      </c>
      <c r="BM180" s="275">
        <f>IF(ISNUMBER(BM178),BM178+BM179,"")</f>
        <v>54</v>
      </c>
      <c r="BN180" s="275">
        <f>IF(ISNUMBER(BN178),BN178+BN179,"")</f>
        <v>-951</v>
      </c>
      <c r="BO180" s="275">
        <f>IF(ISNUMBER(BO178),BO178+BO179,"")</f>
        <v>-5545</v>
      </c>
      <c r="BP180" s="275">
        <f>IF(ISNUMBER(BP178),BP178+BP179,"")</f>
        <v>-3533</v>
      </c>
      <c r="BQ180" s="275">
        <f>IF(ISNUMBER(BQ178),BQ178+BQ179,"")</f>
        <v>-9975</v>
      </c>
      <c r="BR180" s="275">
        <f>IF(ISNUMBER(BR178),BR178+BR179,"")</f>
        <v>665</v>
      </c>
      <c r="BS180" s="275">
        <f>IF(ISNUMBER(BS178),BS178+BS179,"")</f>
        <v>27</v>
      </c>
      <c r="BT180" s="275">
        <f>IF(ISNUMBER(BT178),BT178+BT179,"")</f>
        <v>-4558</v>
      </c>
      <c r="BU180" s="275">
        <f>IF(ISNUMBER(BU178),BU178+BU179,"")</f>
        <v>9055</v>
      </c>
      <c r="BV180" s="275">
        <f>IF(ISNUMBER(BV178),BV178+BV179,"")</f>
        <v>5189</v>
      </c>
      <c r="BW180" s="275">
        <f>IF(ISNUMBER(BW178),BW178+BW179,"")</f>
        <v>866</v>
      </c>
      <c r="BX180" s="275">
        <f>IF(ISNUMBER(BX178),BX178+BX179,"")</f>
        <v>597</v>
      </c>
      <c r="BY180" s="275">
        <f>IF(ISNUMBER(BY178),BY178+BY179,"")</f>
        <v>1151.93240522486</v>
      </c>
      <c r="BZ180" s="275">
        <f>IF(ISNUMBER(BZ178),BZ178+BZ179,"")</f>
        <v>1141.17952118264</v>
      </c>
      <c r="CA180" s="275">
        <f>IF(ISNUMBER(CA178),CA178+CA179,"")</f>
        <v>3756.1119264075</v>
      </c>
      <c r="CB180" s="275">
        <f>IF(ISNUMBER(CB178),CB178+CB179,"")</f>
        <v>8041.54122330181</v>
      </c>
      <c r="CC180" s="275">
        <f>IF(ISNUMBER(CC178),CC178+CC179,"")</f>
        <v>10955.6848819021</v>
      </c>
      <c r="CD180" s="275">
        <f>IF(ISNUMBER(CD178),CD178+CD179,"")</f>
        <v>13897.5385609953</v>
      </c>
      <c r="CE180" s="275">
        <f>IF(ISNUMBER(CE178),CE178+CE179,"")</f>
        <v>16211.1295841103</v>
      </c>
      <c r="CF180" s="275">
        <f>IF(ISNUMBER(CF178),CF178+CF179,"")</f>
        <v>17739.7991711458</v>
      </c>
      <c r="CG180" s="153" t="inlineStr">
        <is>
          <t>Model definition (Boeing publishes no EBITDA): core operating earnings + D&amp;A. Charges (reach-forward losses, DOJ) and the 2025 divestiture gain are not removed. Used for leverage and EV / EBITDA.</t>
        </is>
      </c>
      <c r="CI180" s="20">
        <f>IFERROR(IF(AND(CF180&gt;0,CA180&gt;0),(CF180/CA180)^(1/5)-1,"n/m"),"n/m")</f>
        <v>0.364086889230874</v>
      </c>
      <c r="CJ180" s="20" t="str">
        <f>IFERROR(IF(AND(BV180&gt;0,AW180&gt;0),(BV180/AW180)^(1/5)-1,"n/m"),"n/m")</f>
        <v>n/m</v>
      </c>
      <c r="CK180" s="20">
        <f>IFERROR(IF(AND(BV180&gt;0,X180&gt;0),(BV180/X180)^(1/10)-1,"n/m"),"n/m")</f>
        <v>-0.0594128857435325</v>
      </c>
      <c r="CL180" s="20">
        <f>IFERROR(IF(AND(BV180&gt;0,C180&gt;0),(BV180/C180)^(1/19)-1,"n/m"),"n/m")</f>
        <v>0.0068357684163145</v>
      </c>
    </row>
    <row r="181" ht="15" customHeight="1" s="251">
      <c r="B181" s="25" t="inlineStr">
        <is>
          <t xml:space="preserve">  Adjusted EBITDA margin %</t>
        </is>
      </c>
      <c r="C181" s="215">
        <f>IF(AND(ISNUMBER(C180),ISNUMBER(C117)),IFERROR(C180/C117,""),"")</f>
        <v>0.0740939379164635</v>
      </c>
      <c r="D181" s="215">
        <f>IF(AND(ISNUMBER(D180),ISNUMBER(D117)),IFERROR(D180/D117,""),"")</f>
        <v>0.12053564703933</v>
      </c>
      <c r="E181" s="215">
        <f>IF(AND(ISNUMBER(E180),ISNUMBER(E117)),IFERROR(E180/E117,""),"")</f>
        <v>0.0946409519901518</v>
      </c>
      <c r="F181" s="215">
        <f>IF(AND(ISNUMBER(F180),ISNUMBER(F117)),IFERROR(F180/F117,""),"")</f>
        <v>0.0548468827345821</v>
      </c>
      <c r="G181" s="215">
        <f>IF(AND(ISNUMBER(G180),ISNUMBER(G117)),IFERROR(G180/G117,""),"")</f>
        <v>0.10423599664106</v>
      </c>
      <c r="H181" s="215">
        <f>IF(AND(ISNUMBER(H180),ISNUMBER(H117)),IFERROR(H180/H117,""),"")</f>
        <v>0.113741179893795</v>
      </c>
      <c r="I181" s="215">
        <f>IF(AND(ISNUMBER(I180),ISNUMBER(I117)),IFERROR(I180/I117,""),"")</f>
        <v>0.110418859702808</v>
      </c>
      <c r="J181" s="215">
        <f>IF(AND(ISNUMBER(J180),ISNUMBER(J117)),IFERROR(J180/J117,""),"")</f>
        <v>0.121526491293072</v>
      </c>
      <c r="K181" s="215">
        <f>IF(AND(ISNUMBER(K180),ISNUMBER(K117)),IFERROR(K180/K117,""),"")</f>
        <v>0.112949805179922</v>
      </c>
      <c r="L181" s="215">
        <f>IF(AND(ISNUMBER(L180),ISNUMBER(L117)),IFERROR(L180/L117,""),"")</f>
        <v>0.117532760957976</v>
      </c>
      <c r="M181" s="215">
        <f>IF(AND(ISNUMBER(M180),ISNUMBER(M117)),IFERROR(M180/M117,""),"")</f>
        <v>0.099180155560227</v>
      </c>
      <c r="N181" s="215">
        <f>IF(AND(ISNUMBER(N180),ISNUMBER(N117)),IFERROR(N180/N117,""),"")</f>
        <v>0.112210382923704</v>
      </c>
      <c r="O181" s="215">
        <f>IF(AND(ISNUMBER(O180),ISNUMBER(O117)),IFERROR(O180/O117,""),"")</f>
        <v>0.124260933300757</v>
      </c>
      <c r="P181" s="215">
        <f>IF(AND(ISNUMBER(P180),ISNUMBER(P117)),IFERROR(P180/P117,""),"")</f>
        <v>0.110818779768655</v>
      </c>
      <c r="Q181" s="215">
        <f>IF(AND(ISNUMBER(Q180),ISNUMBER(Q117)),IFERROR(Q180/Q117,""),"")</f>
        <v>0.122267070299361</v>
      </c>
      <c r="R181" s="215">
        <f>IF(AND(ISNUMBER(R180),ISNUMBER(R117)),IFERROR(R180/R117,""),"")</f>
        <v>0.117377799574955</v>
      </c>
      <c r="S181" s="215">
        <f>IF(AND(ISNUMBER(S180),ISNUMBER(S117)),IFERROR(S180/S117,""),"")</f>
        <v>0.11861792380071</v>
      </c>
      <c r="T181" s="215">
        <f>IF(AND(ISNUMBER(T180),ISNUMBER(T117)),IFERROR(T180/T117,""),"")</f>
        <v>0.116980450584677</v>
      </c>
      <c r="U181" s="215">
        <f>IF(AND(ISNUMBER(U180),ISNUMBER(U117)),IFERROR(U180/U117,""),"")</f>
        <v>0.0882532697714216</v>
      </c>
      <c r="V181" s="215">
        <f>IF(AND(ISNUMBER(V180),ISNUMBER(V117)),IFERROR(V180/V117,""),"")</f>
        <v>0.118921428295098</v>
      </c>
      <c r="W181" s="215">
        <f>IF(AND(ISNUMBER(W180),ISNUMBER(W117)),IFERROR(W180/W117,""),"")</f>
        <v>0.0739405251771094</v>
      </c>
      <c r="X181" s="215">
        <f>IF(AND(ISNUMBER(X180),ISNUMBER(X117)),IFERROR(X180/X117,""),"")</f>
        <v>0.0996108787481532</v>
      </c>
      <c r="Y181" s="215">
        <f>IF(AND(ISNUMBER(Y180),ISNUMBER(Y117)),IFERROR(Y180/Y117,""),"")</f>
        <v>0.0944238246730293</v>
      </c>
      <c r="Z181" s="215">
        <f>IF(AND(ISNUMBER(Z180),ISNUMBER(Z117)),IFERROR(Z180/Z117,""),"")</f>
        <v>-0.00165623106443143</v>
      </c>
      <c r="AA181" s="215">
        <f>IF(AND(ISNUMBER(AA180),ISNUMBER(AA117)),IFERROR(AA180/AA117,""),"")</f>
        <v>0.111641141518119</v>
      </c>
      <c r="AB181" s="215">
        <f>IF(AND(ISNUMBER(AB180),ISNUMBER(AB117)),IFERROR(AB180/AB117,""),"")</f>
        <v>0.112084514300438</v>
      </c>
      <c r="AC181" s="215">
        <f>IF(AND(ISNUMBER(AC180),ISNUMBER(AC117)),IFERROR(AC180/AC117,""),"")</f>
        <v>0.0779731630203762</v>
      </c>
      <c r="AD181" s="215">
        <f>IF(AND(ISNUMBER(AD180),ISNUMBER(AD117)),IFERROR(AD180/AD117,""),"")</f>
        <v>0.103928299008391</v>
      </c>
      <c r="AE181" s="215">
        <f>IF(AND(ISNUMBER(AE180),ISNUMBER(AE117)),IFERROR(AE180/AE117,""),"")</f>
        <v>0.119002594661155</v>
      </c>
      <c r="AF181" s="215">
        <f>IF(AND(ISNUMBER(AF180),ISNUMBER(AF117)),IFERROR(AF180/AF117,""),"")</f>
        <v>0.11909169443416</v>
      </c>
      <c r="AG181" s="215">
        <f>IF(AND(ISNUMBER(AG180),ISNUMBER(AG117)),IFERROR(AG180/AG117,""),"")</f>
        <v>0.128429517502365</v>
      </c>
      <c r="AH181" s="215">
        <f>IF(AND(ISNUMBER(AH180),ISNUMBER(AH117)),IFERROR(AH180/AH117,""),"")</f>
        <v>0.118200702415624</v>
      </c>
      <c r="AI181" s="215">
        <f>IF(AND(ISNUMBER(AI180),ISNUMBER(AI117)),IFERROR(AI180/AI117,""),"")</f>
        <v>0.128774270806603</v>
      </c>
      <c r="AJ181" s="215">
        <f>IF(AND(ISNUMBER(AJ180),ISNUMBER(AJ117)),IFERROR(AJ180/AJ117,""),"")</f>
        <v>0.11954819028774</v>
      </c>
      <c r="AK181" s="215">
        <f>IF(AND(ISNUMBER(AK180),ISNUMBER(AK117)),IFERROR(AK180/AK117,""),"")</f>
        <v>0.095959595959596</v>
      </c>
      <c r="AL181" s="215">
        <f>IF(AND(ISNUMBER(AL180),ISNUMBER(AL117)),IFERROR(AL180/AL117,""),"")</f>
        <v>0.157016336755937</v>
      </c>
      <c r="AM181" s="215">
        <f>IF(AND(ISNUMBER(AM180),ISNUMBER(AM117)),IFERROR(AM180/AM117,""),"")</f>
        <v>0.126316414014062</v>
      </c>
      <c r="AN181" s="215">
        <f>IF(AND(ISNUMBER(AN180),ISNUMBER(AN117)),IFERROR(AN180/AN117,""),"")</f>
        <v>0.109394772439674</v>
      </c>
      <c r="AO181" s="215">
        <f>IF(AND(ISNUMBER(AO180),ISNUMBER(AO117)),IFERROR(AO180/AO117,""),"")</f>
        <v>-0.203098215986287</v>
      </c>
      <c r="AP181" s="215">
        <f>IF(AND(ISNUMBER(AP180),ISNUMBER(AP117)),IFERROR(AP180/AP117,""),"")</f>
        <v>0.0736236236236236</v>
      </c>
      <c r="AQ181" s="215">
        <f>IF(AND(ISNUMBER(AQ180),ISNUMBER(AQ117)),IFERROR(AQ180/AQ117,""),"")</f>
        <v>-0.105968399307688</v>
      </c>
      <c r="AR181" s="215">
        <f>IF(AND(ISNUMBER(AR180),ISNUMBER(AR117)),IFERROR(AR180/AR117,""),"")</f>
        <v>-0.0146161783722358</v>
      </c>
      <c r="AS181" s="215">
        <f>IF(AND(ISNUMBER(AS180),ISNUMBER(AS117)),IFERROR(AS180/AS117,""),"")</f>
        <v>-0.0676602791577951</v>
      </c>
      <c r="AT181" s="215">
        <f>IF(AND(ISNUMBER(AT180),ISNUMBER(AT117)),IFERROR(AT180/AT117,""),"")</f>
        <v>-0.234775980350639</v>
      </c>
      <c r="AU181" s="215">
        <f>IF(AND(ISNUMBER(AU180),ISNUMBER(AU117)),IFERROR(AU180/AU117,""),"")</f>
        <v>-0.0133672819859962</v>
      </c>
      <c r="AV181" s="215">
        <f>IF(AND(ISNUMBER(AV180),ISNUMBER(AV117)),IFERROR(AV180/AV117,""),"")</f>
        <v>-0.509605331939362</v>
      </c>
      <c r="AW181" s="215">
        <f>IF(AND(ISNUMBER(AW180),ISNUMBER(AW117)),IFERROR(AW180/AW117,""),"")</f>
        <v>-0.204683792427525</v>
      </c>
      <c r="AX181" s="215">
        <f>IF(AND(ISNUMBER(AX180),ISNUMBER(AX117)),IFERROR(AX180/AX117,""),"")</f>
        <v>0.0120260235263192</v>
      </c>
      <c r="AY181" s="215">
        <f>IF(AND(ISNUMBER(AY180),ISNUMBER(AY117)),IFERROR(AY180/AY117,""),"")</f>
        <v>0.076832568537475</v>
      </c>
      <c r="AZ181" s="215">
        <f>IF(AND(ISNUMBER(AZ180),ISNUMBER(AZ117)),IFERROR(AZ180/AZ117,""),"")</f>
        <v>0.0380939913601257</v>
      </c>
      <c r="BA181" s="215">
        <f>IF(AND(ISNUMBER(BA180),ISNUMBER(BA117)),IFERROR(BA180/BA117,""),"")</f>
        <v>-0.270533360373149</v>
      </c>
      <c r="BB181" s="215">
        <f>IF(AND(ISNUMBER(BB180),ISNUMBER(BB117)),IFERROR(BB180/BB117,""),"")</f>
        <v>-0.0310021513662781</v>
      </c>
      <c r="BC181" s="215">
        <f>IF(AND(ISNUMBER(BC180),ISNUMBER(BC117)),IFERROR(BC180/BC117,""),"")</f>
        <v>-0.0690443856765063</v>
      </c>
      <c r="BD181" s="215">
        <f>IF(AND(ISNUMBER(BD180),ISNUMBER(BD117)),IFERROR(BD180/BD117,""),"")</f>
        <v>0.059229063005815</v>
      </c>
      <c r="BE181" s="215">
        <f>IF(AND(ISNUMBER(BE180),ISNUMBER(BE117)),IFERROR(BE180/BE117,""),"")</f>
        <v>-0.162008022060667</v>
      </c>
      <c r="BF181" s="215">
        <f>IF(AND(ISNUMBER(BF180),ISNUMBER(BF117)),IFERROR(BF180/BF117,""),"")</f>
        <v>-0.00740740740740741</v>
      </c>
      <c r="BG181" s="215">
        <f>IF(AND(ISNUMBER(BG180),ISNUMBER(BG117)),IFERROR(BG180/BG117,""),"")</f>
        <v>-0.0407008167187125</v>
      </c>
      <c r="BH181" s="215">
        <f>IF(AND(ISNUMBER(BH180),ISNUMBER(BH117)),IFERROR(BH180/BH117,""),"")</f>
        <v>0.000948607778583784</v>
      </c>
      <c r="BI181" s="215">
        <f>IF(AND(ISNUMBER(BI180),ISNUMBER(BI117)),IFERROR(BI180/BI117,""),"")</f>
        <v>0.00334160295681231</v>
      </c>
      <c r="BJ181" s="215">
        <f>IF(AND(ISNUMBER(BJ180),ISNUMBER(BJ117)),IFERROR(BJ180/BJ117,""),"")</f>
        <v>-0.0343570481661511</v>
      </c>
      <c r="BK181" s="215">
        <f>IF(AND(ISNUMBER(BK180),ISNUMBER(BK117)),IFERROR(BK180/BK117,""),"")</f>
        <v>0.0259333272776819</v>
      </c>
      <c r="BL181" s="215">
        <f>IF(AND(ISNUMBER(BL180),ISNUMBER(BL117)),IFERROR(BL180/BL117,""),"")</f>
        <v>0.000411342777077924</v>
      </c>
      <c r="BM181" s="215">
        <f>IF(AND(ISNUMBER(BM180),ISNUMBER(BM117)),IFERROR(BM180/BM117,""),"")</f>
        <v>0.00325909831613254</v>
      </c>
      <c r="BN181" s="215">
        <f>IF(AND(ISNUMBER(BN180),ISNUMBER(BN117)),IFERROR(BN180/BN117,""),"")</f>
        <v>-0.0563856278904305</v>
      </c>
      <c r="BO181" s="215">
        <f>IF(AND(ISNUMBER(BO180),ISNUMBER(BO117)),IFERROR(BO180/BO117,""),"")</f>
        <v>-0.310818385650224</v>
      </c>
      <c r="BP181" s="215">
        <f>IF(AND(ISNUMBER(BP180),ISNUMBER(BP117)),IFERROR(BP180/BP117,""),"")</f>
        <v>-0.231793727857237</v>
      </c>
      <c r="BQ181" s="215">
        <f>IF(AND(ISNUMBER(BQ180),ISNUMBER(BQ117)),IFERROR(BQ180/BQ117,""),"")</f>
        <v>-0.149961663935535</v>
      </c>
      <c r="BR181" s="215">
        <f>IF(AND(ISNUMBER(BR180),ISNUMBER(BR117)),IFERROR(BR180/BR117,""),"")</f>
        <v>0.0341095609355765</v>
      </c>
      <c r="BS181" s="215">
        <f>IF(AND(ISNUMBER(BS180),ISNUMBER(BS117)),IFERROR(BS180/BS117,""),"")</f>
        <v>0.00118686535671898</v>
      </c>
      <c r="BT181" s="215">
        <f>IF(AND(ISNUMBER(BT180),ISNUMBER(BT117)),IFERROR(BT180/BT117,""),"")</f>
        <v>-0.195874516544908</v>
      </c>
      <c r="BU181" s="215">
        <f>IF(AND(ISNUMBER(BU180),ISNUMBER(BU117)),IFERROR(BU180/BU117,""),"")</f>
        <v>0.378110906965091</v>
      </c>
      <c r="BV181" s="215">
        <f>IF(AND(ISNUMBER(BV180),ISNUMBER(BV117)),IFERROR(BV180/BV117,""),"")</f>
        <v>0.0580016319595811</v>
      </c>
      <c r="BW181" s="215">
        <f>IF(AND(ISNUMBER(BW180),ISNUMBER(BW117)),IFERROR(BW180/BW117,""),"")</f>
        <v>0.0389791601026241</v>
      </c>
      <c r="BX181" s="215">
        <f>IF(AND(ISNUMBER(BX180),ISNUMBER(BX117)),IFERROR(BX180/BX117,""),"")</f>
        <v>0.0243078175895765</v>
      </c>
      <c r="BY181" s="260">
        <f>IF(AND(ISNUMBER(BY180),ISNUMBER(BY117)),IFERROR(BY180/BY117,""),"")</f>
        <v>0.0460954747167043</v>
      </c>
      <c r="BZ181" s="260">
        <f>IF(AND(ISNUMBER(BZ180),ISNUMBER(BZ117)),IFERROR(BZ180/BZ117,""),"")</f>
        <v>0.0447392112228932</v>
      </c>
      <c r="CA181" s="260">
        <f>IF(AND(ISNUMBER(CA180),ISNUMBER(CA117)),IFERROR(CA180/CA117,""),"")</f>
        <v>0.0386135275752622</v>
      </c>
      <c r="CB181" s="260">
        <f>IF(AND(ISNUMBER(CB180),ISNUMBER(CB117)),IFERROR(CB180/CB117,""),"")</f>
        <v>0.0754377226769254</v>
      </c>
      <c r="CC181" s="260">
        <f>IF(AND(ISNUMBER(CC180),ISNUMBER(CC117)),IFERROR(CC180/CC117,""),"")</f>
        <v>0.0946239244368406</v>
      </c>
      <c r="CD181" s="260">
        <f>IF(AND(ISNUMBER(CD180),ISNUMBER(CD117)),IFERROR(CD180/CD117,""),"")</f>
        <v>0.112250285843999</v>
      </c>
      <c r="CE181" s="260">
        <f>IF(AND(ISNUMBER(CE180),ISNUMBER(CE117)),IFERROR(CE180/CE117,""),"")</f>
        <v>0.12478502119118</v>
      </c>
      <c r="CF181" s="260">
        <f>IF(AND(ISNUMBER(CF180),ISNUMBER(CF117)),IFERROR(CF180/CF117,""),"")</f>
        <v>0.130915665069182</v>
      </c>
      <c r="CG181" s="153" t="n"/>
      <c r="CI181" s="37">
        <f>IFERROR(AVERAGE(CB181,CC181,CD181,CE181,CF181),"n/m")</f>
        <v>0.107602523843625</v>
      </c>
      <c r="CJ181" s="37">
        <f>IFERROR(AVERAGE(BB181,BG181,BL181,BQ181,BV181),"n/m")</f>
        <v>-0.0326503314567734</v>
      </c>
      <c r="CK181" s="37">
        <f>IFERROR(AVERAGE(AC181,AH181,AM181,AR181,AW181,BB181,BG181,BL181,BQ181,BV181),"n/m")</f>
        <v>-0.00600613486335655</v>
      </c>
      <c r="CL181" s="37">
        <f>IFERROR(AVERAGE(C181,D181,E181,F181,G181,H181,I181,N181,S181,X181,AC181,AH181,AM181,AR181,AW181,BB181,BG181,BL181,BQ181,BV181),"n/m")</f>
        <v>0.0471445646378596</v>
      </c>
    </row>
    <row r="182" ht="15" customHeight="1" s="251">
      <c r="B182" s="25" t="inlineStr">
        <is>
          <t>To adjusted EBIT (for NOPAT, ROIC and the DCF):</t>
        </is>
      </c>
      <c r="CG182" s="153" t="n"/>
    </row>
    <row r="183" ht="15" customHeight="1" s="251">
      <c r="B183" s="55" t="inlineStr">
        <is>
          <t xml:space="preserve">  = Adjusted EBIT (= core operating earnings; full-cost: after all D&amp;A and share-based plans)</t>
        </is>
      </c>
      <c r="C183" s="275">
        <f>C161</f>
        <v>3014</v>
      </c>
      <c r="D183" s="275">
        <f>D161</f>
        <v>6516</v>
      </c>
      <c r="E183" s="275">
        <f>E161</f>
        <v>4275</v>
      </c>
      <c r="F183" s="275">
        <f>F161</f>
        <v>2079</v>
      </c>
      <c r="G183" s="275">
        <f>G161</f>
        <v>4976</v>
      </c>
      <c r="H183" s="275">
        <f>H161</f>
        <v>6361</v>
      </c>
      <c r="I183" s="275">
        <f>I161</f>
        <v>7210</v>
      </c>
      <c r="J183" s="275">
        <f>J161</f>
        <v>1867</v>
      </c>
      <c r="K183" s="275">
        <f>K161</f>
        <v>2028</v>
      </c>
      <c r="L183" s="275">
        <f>L161</f>
        <v>2143</v>
      </c>
      <c r="M183" s="275">
        <f>M161</f>
        <v>1838</v>
      </c>
      <c r="N183" s="275">
        <f>N161</f>
        <v>7876</v>
      </c>
      <c r="O183" s="275">
        <f>O161</f>
        <v>2095</v>
      </c>
      <c r="P183" s="275">
        <f>P161</f>
        <v>1991</v>
      </c>
      <c r="Q183" s="275">
        <f>Q161</f>
        <v>2430</v>
      </c>
      <c r="R183" s="275">
        <f>R161</f>
        <v>2344</v>
      </c>
      <c r="S183" s="275">
        <f>S161</f>
        <v>8860</v>
      </c>
      <c r="T183" s="275">
        <f>T161</f>
        <v>2132</v>
      </c>
      <c r="U183" s="275">
        <f>U161</f>
        <v>1713</v>
      </c>
      <c r="V183" s="275">
        <f>V161</f>
        <v>2637</v>
      </c>
      <c r="W183" s="275">
        <f>W161</f>
        <v>1259</v>
      </c>
      <c r="X183" s="275">
        <f>X161</f>
        <v>7741</v>
      </c>
      <c r="Y183" s="275">
        <f>Y161</f>
        <v>1694</v>
      </c>
      <c r="Z183" s="275">
        <f>Z161</f>
        <v>-488</v>
      </c>
      <c r="AA183" s="275">
        <f>AA161</f>
        <v>2194</v>
      </c>
      <c r="AB183" s="275">
        <f>AB161</f>
        <v>2064</v>
      </c>
      <c r="AC183" s="275">
        <f>AC161</f>
        <v>5464</v>
      </c>
      <c r="AD183" s="275">
        <f>AD161</f>
        <v>1709</v>
      </c>
      <c r="AE183" s="275">
        <f>AE161</f>
        <v>2212</v>
      </c>
      <c r="AF183" s="275">
        <f>AF161</f>
        <v>2373</v>
      </c>
      <c r="AG183" s="275">
        <f>AG161</f>
        <v>2676</v>
      </c>
      <c r="AH183" s="275">
        <f>AH161</f>
        <v>8970</v>
      </c>
      <c r="AI183" s="275">
        <f>AI161</f>
        <v>2510</v>
      </c>
      <c r="AJ183" s="275">
        <f>AJ161</f>
        <v>2393</v>
      </c>
      <c r="AK183" s="275">
        <f>AK161</f>
        <v>1890</v>
      </c>
      <c r="AL183" s="275">
        <f>AL161</f>
        <v>3867</v>
      </c>
      <c r="AM183" s="275">
        <f>AM161</f>
        <v>10660</v>
      </c>
      <c r="AN183" s="275">
        <f>AN161</f>
        <v>1986</v>
      </c>
      <c r="AO183" s="275">
        <f>AO161</f>
        <v>-3745</v>
      </c>
      <c r="AP183" s="275">
        <f>AP161</f>
        <v>895</v>
      </c>
      <c r="AQ183" s="275">
        <f>AQ161</f>
        <v>-2526</v>
      </c>
      <c r="AR183" s="275">
        <f>AR161</f>
        <v>-3390</v>
      </c>
      <c r="AS183" s="275">
        <f>AS161</f>
        <v>-1700</v>
      </c>
      <c r="AT183" s="275">
        <f>AT161</f>
        <v>-3319</v>
      </c>
      <c r="AU183" s="275">
        <f>AU161</f>
        <v>-754</v>
      </c>
      <c r="AV183" s="275">
        <f>AV161</f>
        <v>-8377</v>
      </c>
      <c r="AW183" s="275">
        <f>AW161</f>
        <v>-14150</v>
      </c>
      <c r="AX183" s="275">
        <f>AX161</f>
        <v>-353</v>
      </c>
      <c r="AY183" s="275">
        <f>AY161</f>
        <v>755</v>
      </c>
      <c r="AZ183" s="275">
        <f>AZ161</f>
        <v>59</v>
      </c>
      <c r="BA183" s="275">
        <f>BA161</f>
        <v>-4536</v>
      </c>
      <c r="BB183" s="275">
        <f>BB161</f>
        <v>-4075</v>
      </c>
      <c r="BC183" s="275">
        <f>BC161</f>
        <v>-1452</v>
      </c>
      <c r="BD183" s="275">
        <f>BD161</f>
        <v>490</v>
      </c>
      <c r="BE183" s="275">
        <f>BE161</f>
        <v>-3078</v>
      </c>
      <c r="BF183" s="275">
        <f>BF161</f>
        <v>-650</v>
      </c>
      <c r="BG183" s="275">
        <f>BG161</f>
        <v>-4690</v>
      </c>
      <c r="BH183" s="275">
        <f>BH161</f>
        <v>-440</v>
      </c>
      <c r="BI183" s="275">
        <f>BI161</f>
        <v>-390</v>
      </c>
      <c r="BJ183" s="275">
        <f>BJ161</f>
        <v>-1089</v>
      </c>
      <c r="BK183" s="275">
        <f>BK161</f>
        <v>90</v>
      </c>
      <c r="BL183" s="275">
        <f>BL161</f>
        <v>-1829</v>
      </c>
      <c r="BM183" s="275">
        <f>BM161</f>
        <v>-388</v>
      </c>
      <c r="BN183" s="275">
        <f>BN161</f>
        <v>-1392</v>
      </c>
      <c r="BO183" s="275">
        <f>BO161</f>
        <v>-5989</v>
      </c>
      <c r="BP183" s="275">
        <f>BP161</f>
        <v>-4042</v>
      </c>
      <c r="BQ183" s="275">
        <f>BQ161</f>
        <v>-11811</v>
      </c>
      <c r="BR183" s="275">
        <f>BR161</f>
        <v>199</v>
      </c>
      <c r="BS183" s="275">
        <f>BS161</f>
        <v>-433</v>
      </c>
      <c r="BT183" s="275">
        <f>BT161</f>
        <v>-5049</v>
      </c>
      <c r="BU183" s="275">
        <f>BU161</f>
        <v>8519</v>
      </c>
      <c r="BV183" s="275">
        <f>BV161</f>
        <v>3236</v>
      </c>
      <c r="BW183" s="275">
        <f>BW161</f>
        <v>293</v>
      </c>
      <c r="BX183" s="275">
        <f>BX161</f>
        <v>1</v>
      </c>
      <c r="BY183" s="275">
        <f>BY161</f>
        <v>566.932405224858</v>
      </c>
      <c r="BZ183" s="275">
        <f>BZ161</f>
        <v>556.179521182638</v>
      </c>
      <c r="CA183" s="275">
        <f>CA161</f>
        <v>1417.1119264075</v>
      </c>
      <c r="CB183" s="275">
        <f>CB161</f>
        <v>5483.17940496081</v>
      </c>
      <c r="CC183" s="275">
        <f>CC161</f>
        <v>8176.93269284913</v>
      </c>
      <c r="CD183" s="275">
        <f>CD161</f>
        <v>11049.9432564531</v>
      </c>
      <c r="CE183" s="275">
        <f>CE161</f>
        <v>13223.1429101064</v>
      </c>
      <c r="CF183" s="275">
        <f>CF161</f>
        <v>14623.1715260069</v>
      </c>
      <c r="CG183" s="153" t="n"/>
    </row>
    <row r="184" ht="15" customHeight="1" s="251">
      <c r="B184" s="25" t="inlineStr">
        <is>
          <t xml:space="preserve">  Adjusted EBIT margin %</t>
        </is>
      </c>
      <c r="C184" s="215">
        <f>IF(AND(ISNUMBER(C183),ISNUMBER(C117)),IFERROR(C183/C117,""),"")</f>
        <v>0.0489842353323582</v>
      </c>
      <c r="D184" s="215">
        <f>IF(AND(ISNUMBER(D183),ISNUMBER(D117)),IFERROR(D183/D117,""),"")</f>
        <v>0.0981517465768901</v>
      </c>
      <c r="E184" s="215">
        <f>IF(AND(ISNUMBER(E183),ISNUMBER(E117)),IFERROR(E183/E117,""),"")</f>
        <v>0.0701682396389003</v>
      </c>
      <c r="F184" s="215">
        <f>IF(AND(ISNUMBER(F183),ISNUMBER(F117)),IFERROR(F183/F117,""),"")</f>
        <v>0.0304477087330297</v>
      </c>
      <c r="G184" s="215">
        <f>IF(AND(ISNUMBER(G183),ISNUMBER(G117)),IFERROR(G183/G117,""),"")</f>
        <v>0.0773800267471154</v>
      </c>
      <c r="H184" s="215">
        <f>IF(AND(ISNUMBER(H183),ISNUMBER(H117)),IFERROR(H183/H117,""),"")</f>
        <v>0.0925438277442351</v>
      </c>
      <c r="I184" s="215">
        <f>IF(AND(ISNUMBER(I183),ISNUMBER(I117)),IFERROR(I183/I117,""),"")</f>
        <v>0.0882518543905604</v>
      </c>
      <c r="J184" s="215">
        <f>IF(AND(ISNUMBER(J183),ISNUMBER(J117)),IFERROR(J183/J117,""),"")</f>
        <v>0.0988196686603504</v>
      </c>
      <c r="K184" s="215">
        <f>IF(AND(ISNUMBER(K183),ISNUMBER(K117)),IFERROR(K183/K117,""),"")</f>
        <v>0.0929635571854229</v>
      </c>
      <c r="L184" s="215">
        <f>IF(AND(ISNUMBER(L183),ISNUMBER(L117)),IFERROR(L183/L117,""),"")</f>
        <v>0.0968368730230456</v>
      </c>
      <c r="M184" s="215">
        <f>IF(AND(ISNUMBER(M183),ISNUMBER(M117)),IFERROR(M183/M117,""),"")</f>
        <v>0.0772755938616775</v>
      </c>
      <c r="N184" s="215">
        <f>IF(AND(ISNUMBER(N183),ISNUMBER(N117)),IFERROR(N183/N117,""),"")</f>
        <v>0.0909227341468201</v>
      </c>
      <c r="O184" s="215">
        <f>IF(AND(ISNUMBER(O183),ISNUMBER(O117)),IFERROR(O183/O117,""),"")</f>
        <v>0.102369899828976</v>
      </c>
      <c r="P184" s="215">
        <f>IF(AND(ISNUMBER(P183),ISNUMBER(P117)),IFERROR(P183/P117,""),"")</f>
        <v>0.0903152642322522</v>
      </c>
      <c r="Q184" s="215">
        <f>IF(AND(ISNUMBER(Q183),ISNUMBER(Q117)),IFERROR(Q183/Q117,""),"")</f>
        <v>0.102169525731584</v>
      </c>
      <c r="R184" s="215">
        <f>IF(AND(ISNUMBER(R183),ISNUMBER(R117)),IFERROR(R183/R117,""),"")</f>
        <v>0.0957985940820664</v>
      </c>
      <c r="S184" s="215">
        <f>IF(AND(ISNUMBER(S183),ISNUMBER(S117)),IFERROR(S183/S117,""),"")</f>
        <v>0.0976179458363632</v>
      </c>
      <c r="T184" s="215">
        <f>IF(AND(ISNUMBER(T183),ISNUMBER(T117)),IFERROR(T183/T117,""),"")</f>
        <v>0.0962571673664725</v>
      </c>
      <c r="U184" s="215">
        <f>IF(AND(ISNUMBER(U183),ISNUMBER(U117)),IFERROR(U183/U117,""),"")</f>
        <v>0.0697958684757365</v>
      </c>
      <c r="V184" s="215">
        <f>IF(AND(ISNUMBER(V183),ISNUMBER(V117)),IFERROR(V183/V117,""),"")</f>
        <v>0.102015551858873</v>
      </c>
      <c r="W184" s="215">
        <f>IF(AND(ISNUMBER(W183),ISNUMBER(W117)),IFERROR(W183/W117,""),"")</f>
        <v>0.0534085606414118</v>
      </c>
      <c r="X184" s="215">
        <f>IF(AND(ISNUMBER(X183),ISNUMBER(X117)),IFERROR(X183/X117,""),"")</f>
        <v>0.0805397756830431</v>
      </c>
      <c r="Y184" s="215">
        <f>IF(AND(ISNUMBER(Y183),ISNUMBER(Y117)),IFERROR(Y183/Y117,""),"")</f>
        <v>0.0748497702368328</v>
      </c>
      <c r="Z184" s="215">
        <f>IF(AND(ISNUMBER(Z183),ISNUMBER(Z117)),IFERROR(Z183/Z117,""),"")</f>
        <v>-0.019713189254696</v>
      </c>
      <c r="AA184" s="215">
        <f>IF(AND(ISNUMBER(AA183),ISNUMBER(AA117)),IFERROR(AA183/AA117,""),"")</f>
        <v>0.0918068457611516</v>
      </c>
      <c r="AB184" s="215">
        <f>IF(AND(ISNUMBER(AB183),ISNUMBER(AB117)),IFERROR(AB183/AB117,""),"")</f>
        <v>0.0886369492398866</v>
      </c>
      <c r="AC184" s="215">
        <f>IF(AND(ISNUMBER(AC183),ISNUMBER(AC117)),IFERROR(AC183/AC117,""),"")</f>
        <v>0.0577766968732487</v>
      </c>
      <c r="AD184" s="215">
        <f>IF(AND(ISNUMBER(AD183),ISNUMBER(AD117)),IFERROR(AD183/AD117,""),"")</f>
        <v>0.0814740655987796</v>
      </c>
      <c r="AE184" s="215">
        <f>IF(AND(ISNUMBER(AE183),ISNUMBER(AE117)),IFERROR(AE183/AE117,""),"")</f>
        <v>0.0972778046527992</v>
      </c>
      <c r="AF184" s="215">
        <f>IF(AND(ISNUMBER(AF183),ISNUMBER(AF117)),IFERROR(AF183/AF117,""),"")</f>
        <v>0.0976181661113168</v>
      </c>
      <c r="AG184" s="215">
        <f>IF(AND(ISNUMBER(AG183),ISNUMBER(AG117)),IFERROR(AG183/AG117,""),"")</f>
        <v>0.105487228003784</v>
      </c>
      <c r="AH184" s="215">
        <f>IF(AND(ISNUMBER(AH183),ISNUMBER(AH117)),IFERROR(AH183/AH117,""),"")</f>
        <v>0.0960467706013363</v>
      </c>
      <c r="AI184" s="215">
        <f>IF(AND(ISNUMBER(AI183),ISNUMBER(AI117)),IFERROR(AI183/AI117,""),"")</f>
        <v>0.107347532289796</v>
      </c>
      <c r="AJ184" s="215">
        <f>IF(AND(ISNUMBER(AJ183),ISNUMBER(AJ117)),IFERROR(AJ183/AJ117,""),"")</f>
        <v>0.0986478687443318</v>
      </c>
      <c r="AK184" s="215">
        <f>IF(AND(ISNUMBER(AK183),ISNUMBER(AK117)),IFERROR(AK183/AK117,""),"")</f>
        <v>0.0751610594130279</v>
      </c>
      <c r="AL184" s="215">
        <f>IF(AND(ISNUMBER(AL183),ISNUMBER(AL117)),IFERROR(AL183/AL117,""),"")</f>
        <v>0.136445432412406</v>
      </c>
      <c r="AM184" s="215">
        <f>IF(AND(ISNUMBER(AM183),ISNUMBER(AM117)),IFERROR(AM183/AM117,""),"")</f>
        <v>0.105412006684664</v>
      </c>
      <c r="AN184" s="215">
        <f>IF(AND(ISNUMBER(AN183),ISNUMBER(AN117)),IFERROR(AN183/AN117,""),"")</f>
        <v>0.0866605576646158</v>
      </c>
      <c r="AO184" s="215">
        <f>IF(AND(ISNUMBER(AO183),ISNUMBER(AO117)),IFERROR(AO183/AO117,""),"")</f>
        <v>-0.237762681734493</v>
      </c>
      <c r="AP184" s="215">
        <f>IF(AND(ISNUMBER(AP183),ISNUMBER(AP117)),IFERROR(AP183/AP117,""),"")</f>
        <v>0.0447947947947948</v>
      </c>
      <c r="AQ184" s="215">
        <f>IF(AND(ISNUMBER(AQ183),ISNUMBER(AQ117)),IFERROR(AQ183/AQ117,""),"")</f>
        <v>-0.14103065155491</v>
      </c>
      <c r="AR184" s="215">
        <f>IF(AND(ISNUMBER(AR183),ISNUMBER(AR117)),IFERROR(AR183/AR117,""),"")</f>
        <v>-0.0442795752295615</v>
      </c>
      <c r="AS184" s="215">
        <f>IF(AND(ISNUMBER(AS183),ISNUMBER(AS117)),IFERROR(AS183/AS117,""),"")</f>
        <v>-0.100544121126094</v>
      </c>
      <c r="AT184" s="215">
        <f>IF(AND(ISNUMBER(AT183),ISNUMBER(AT117)),IFERROR(AT183/AT117,""),"")</f>
        <v>-0.281104429575675</v>
      </c>
      <c r="AU184" s="215">
        <f>IF(AND(ISNUMBER(AU183),ISNUMBER(AU117)),IFERROR(AU183/AU117,""),"")</f>
        <v>-0.0533276752245562</v>
      </c>
      <c r="AV184" s="215">
        <f>IF(AND(ISNUMBER(AV183),ISNUMBER(AV117)),IFERROR(AV183/AV117,""),"")</f>
        <v>-0.547373235755358</v>
      </c>
      <c r="AW184" s="215">
        <f>IF(AND(ISNUMBER(AW183),ISNUMBER(AW117)),IFERROR(AW183/AW117,""),"")</f>
        <v>-0.243302727053888</v>
      </c>
      <c r="AX184" s="215">
        <f>IF(AND(ISNUMBER(AX183),ISNUMBER(AX117)),IFERROR(AX183/AX117,""),"")</f>
        <v>-0.023197739370441</v>
      </c>
      <c r="AY184" s="215">
        <f>IF(AND(ISNUMBER(AY183),ISNUMBER(AY117)),IFERROR(AY183/AY117,""),"")</f>
        <v>0.0444169902341452</v>
      </c>
      <c r="AZ184" s="215">
        <f>IF(AND(ISNUMBER(AZ183),ISNUMBER(AZ117)),IFERROR(AZ183/AZ117,""),"")</f>
        <v>0.00386176201073439</v>
      </c>
      <c r="BA184" s="215">
        <f>IF(AND(ISNUMBER(BA183),ISNUMBER(BA117)),IFERROR(BA183/BA117,""),"")</f>
        <v>-0.306631514905699</v>
      </c>
      <c r="BB184" s="215">
        <f>IF(AND(ISNUMBER(BB183),ISNUMBER(BB117)),IFERROR(BB183/BB117,""),"")</f>
        <v>-0.0654240118164596</v>
      </c>
      <c r="BC184" s="215">
        <f>IF(AND(ISNUMBER(BC183),ISNUMBER(BC117)),IFERROR(BC183/BC117,""),"")</f>
        <v>-0.103781002072761</v>
      </c>
      <c r="BD184" s="215">
        <f>IF(AND(ISNUMBER(BD183),ISNUMBER(BD117)),IFERROR(BD183/BD117,""),"")</f>
        <v>0.029374737725556</v>
      </c>
      <c r="BE184" s="215">
        <f>IF(AND(ISNUMBER(BE183),ISNUMBER(BE117)),IFERROR(BE183/BE117,""),"")</f>
        <v>-0.192905490097769</v>
      </c>
      <c r="BF184" s="215">
        <f>IF(AND(ISNUMBER(BF183),ISNUMBER(BF117)),IFERROR(BF183/BF117,""),"")</f>
        <v>-0.0325325325325325</v>
      </c>
      <c r="BG184" s="215">
        <f>IF(AND(ISNUMBER(BG183),ISNUMBER(BG117)),IFERROR(BG183/BG117,""),"")</f>
        <v>-0.0704119625270238</v>
      </c>
      <c r="BH184" s="215">
        <f>IF(AND(ISNUMBER(BH183),ISNUMBER(BH117)),IFERROR(BH183/BH117,""),"")</f>
        <v>-0.0245522013280509</v>
      </c>
      <c r="BI184" s="215">
        <f>IF(AND(ISNUMBER(BI183),ISNUMBER(BI117)),IFERROR(BI183/BI117,""),"")</f>
        <v>-0.0197458356538909</v>
      </c>
      <c r="BJ184" s="215">
        <f>IF(AND(ISNUMBER(BJ183),ISNUMBER(BJ117)),IFERROR(BJ183/BJ117,""),"")</f>
        <v>-0.0601524524966858</v>
      </c>
      <c r="BK184" s="215">
        <f>IF(AND(ISNUMBER(BK183),ISNUMBER(BK117)),IFERROR(BK183/BK117,""),"")</f>
        <v>0.00408756471977473</v>
      </c>
      <c r="BL184" s="215">
        <f>IF(AND(ISNUMBER(BL183),ISNUMBER(BL117)),IFERROR(BL183/BL117,""),"")</f>
        <v>-0.0235108106023601</v>
      </c>
      <c r="BM184" s="215">
        <f>IF(AND(ISNUMBER(BM183),ISNUMBER(BM117)),IFERROR(BM183/BM117,""),"")</f>
        <v>-0.0234172249381375</v>
      </c>
      <c r="BN184" s="215">
        <f>IF(AND(ISNUMBER(BN183),ISNUMBER(BN117)),IFERROR(BN183/BN117,""),"")</f>
        <v>-0.0825329064389897</v>
      </c>
      <c r="BO184" s="215">
        <f>IF(AND(ISNUMBER(BO183),ISNUMBER(BO117)),IFERROR(BO183/BO117,""),"")</f>
        <v>-0.335706278026906</v>
      </c>
      <c r="BP184" s="215">
        <f>IF(AND(ISNUMBER(BP183),ISNUMBER(BP117)),IFERROR(BP183/BP117,""),"")</f>
        <v>-0.265188295499278</v>
      </c>
      <c r="BQ184" s="215">
        <f>IF(AND(ISNUMBER(BQ183),ISNUMBER(BQ117)),IFERROR(BQ183/BQ117,""),"")</f>
        <v>-0.177563630350136</v>
      </c>
      <c r="BR184" s="215">
        <f>IF(AND(ISNUMBER(BR183),ISNUMBER(BR117)),IFERROR(BR183/BR117,""),"")</f>
        <v>0.0102072219942552</v>
      </c>
      <c r="BS184" s="215">
        <f>IF(AND(ISNUMBER(BS183),ISNUMBER(BS117)),IFERROR(BS183/BS117,""),"")</f>
        <v>-0.0190338036836784</v>
      </c>
      <c r="BT184" s="215">
        <f>IF(AND(ISNUMBER(BT183),ISNUMBER(BT117)),IFERROR(BT183/BT117,""),"")</f>
        <v>-0.216974645466266</v>
      </c>
      <c r="BU184" s="215">
        <f>IF(AND(ISNUMBER(BU183),ISNUMBER(BU117)),IFERROR(BU183/BU117,""),"")</f>
        <v>0.355729079672624</v>
      </c>
      <c r="BV184" s="215">
        <f>IF(AND(ISNUMBER(BV183),ISNUMBER(BV117)),IFERROR(BV183/BV117,""),"")</f>
        <v>0.0361713781116216</v>
      </c>
      <c r="BW184" s="215">
        <f>IF(AND(ISNUMBER(BW183),ISNUMBER(BW117)),IFERROR(BW183/BW117,""),"")</f>
        <v>0.0131880992033128</v>
      </c>
      <c r="BX184" s="215">
        <f>IF(AND(ISNUMBER(BX183),ISNUMBER(BX117)),IFERROR(BX183/BX117,""),"")</f>
        <v>4.07166123778502e-05</v>
      </c>
      <c r="BY184" s="260">
        <f>IF(AND(ISNUMBER(BY183),ISNUMBER(BY117)),IFERROR(BY183/BY117,""),"")</f>
        <v>0.0226862429015716</v>
      </c>
      <c r="BZ184" s="260">
        <f>IF(AND(ISNUMBER(BZ183),ISNUMBER(BZ117)),IFERROR(BZ183/BZ117,""),"")</f>
        <v>0.0218046614175574</v>
      </c>
      <c r="CA184" s="260">
        <f>IF(AND(ISNUMBER(CA183),ISNUMBER(CA117)),IFERROR(CA183/CA117,""),"")</f>
        <v>0.014568173558104</v>
      </c>
      <c r="CB184" s="260">
        <f>IF(AND(ISNUMBER(CB183),ISNUMBER(CB117)),IFERROR(CB183/CB117,""),"")</f>
        <v>0.0514377226769254</v>
      </c>
      <c r="CC184" s="260">
        <f>IF(AND(ISNUMBER(CC183),ISNUMBER(CC117)),IFERROR(CC183/CC117,""),"")</f>
        <v>0.0706239244368406</v>
      </c>
      <c r="CD184" s="260">
        <f>IF(AND(ISNUMBER(CD183),ISNUMBER(CD117)),IFERROR(CD183/CD117,""),"")</f>
        <v>0.0892502858439994</v>
      </c>
      <c r="CE184" s="260">
        <f>IF(AND(ISNUMBER(CE183),ISNUMBER(CE117)),IFERROR(CE183/CE117,""),"")</f>
        <v>0.10178502119118</v>
      </c>
      <c r="CF184" s="260">
        <f>IF(AND(ISNUMBER(CF183),ISNUMBER(CF117)),IFERROR(CF183/CF117,""),"")</f>
        <v>0.107915665069182</v>
      </c>
      <c r="CG184" s="153" t="n"/>
      <c r="CI184" s="37">
        <f>IFERROR(AVERAGE(CB184,CC184,CD184,CE184,CF184),"n/m")</f>
        <v>0.0842025238436254</v>
      </c>
      <c r="CJ184" s="37">
        <f>IFERROR(AVERAGE(BB184,BG184,BL184,BQ184,BV184),"n/m")</f>
        <v>-0.0601478074368716</v>
      </c>
      <c r="CK184" s="37">
        <f>IFERROR(AVERAGE(AC184,AH184,AM184,AR184,AW184,BB184,BG184,BL184,BQ184,BV184),"n/m")</f>
        <v>-0.0329085865308558</v>
      </c>
      <c r="CL184" s="37">
        <f>IFERROR(AVERAGE(C184,D184,E184,F184,G184,H184,I184,N184,S184,X184,AC184,AH184,AM184,AR184,AW184,BB184,BG184,BL184,BQ184,BV184),"n/m")</f>
        <v>0.0222961114760379</v>
      </c>
    </row>
    <row r="185" ht="15" customHeight="1" s="251">
      <c r="B185" s="156" t="inlineStr">
        <is>
          <t xml:space="preserve">  Memo: gain on dispositions inside core earnings (excluded from NOPAT; FY2025 Digital Aviation Solutions $9.6bn)</t>
        </is>
      </c>
      <c r="C185" s="262">
        <f>C126</f>
        <v>-226</v>
      </c>
      <c r="D185" s="262">
        <f>D126</f>
        <v>38</v>
      </c>
      <c r="E185" s="262">
        <f>E126</f>
        <v>4</v>
      </c>
      <c r="F185" s="262">
        <f>F126</f>
        <v>-24</v>
      </c>
      <c r="G185" s="262">
        <f>G126</f>
        <v>6</v>
      </c>
      <c r="H185" s="262">
        <f>H126</f>
        <v>24</v>
      </c>
      <c r="I185" s="262">
        <f>I126</f>
        <v>4</v>
      </c>
      <c r="J185" s="262">
        <f>J126</f>
        <v>22</v>
      </c>
      <c r="K185" s="262">
        <f>K126</f>
        <v>0</v>
      </c>
      <c r="L185" s="262">
        <f>L126</f>
        <v>-1</v>
      </c>
      <c r="M185" s="262">
        <f>M126</f>
        <v>-1</v>
      </c>
      <c r="N185" s="262">
        <f>N126</f>
        <v>20</v>
      </c>
      <c r="O185" s="262">
        <f>O126</f>
        <v>0</v>
      </c>
      <c r="P185" s="262">
        <f>P126</f>
        <v>2</v>
      </c>
      <c r="Q185" s="262">
        <f>Q126</f>
        <v>0</v>
      </c>
      <c r="R185" s="262">
        <f>R126</f>
        <v>-12</v>
      </c>
      <c r="S185" s="262">
        <f>S126</f>
        <v>-10</v>
      </c>
      <c r="T185" s="262">
        <f>T126</f>
        <v>1</v>
      </c>
      <c r="U185" s="262">
        <f>U126</f>
        <v>0</v>
      </c>
      <c r="V185" s="262">
        <f>V126</f>
        <v>-1</v>
      </c>
      <c r="W185" s="262">
        <f>W126</f>
        <v>-1</v>
      </c>
      <c r="X185" s="262">
        <f>X126</f>
        <v>-1</v>
      </c>
      <c r="Y185" s="262">
        <f>Y126</f>
        <v>4</v>
      </c>
      <c r="Z185" s="262">
        <f>Z126</f>
        <v>-13</v>
      </c>
      <c r="AA185" s="262">
        <f>AA126</f>
        <v>-1</v>
      </c>
      <c r="AB185" s="262">
        <f>AB126</f>
        <v>3</v>
      </c>
      <c r="AC185" s="262">
        <f>AC126</f>
        <v>-7</v>
      </c>
      <c r="AD185" s="262">
        <f>AD126</f>
        <v>2</v>
      </c>
      <c r="AE185" s="262">
        <f>AE126</f>
        <v>-2</v>
      </c>
      <c r="AF185" s="262">
        <f>AF126</f>
        <v>0</v>
      </c>
      <c r="AG185" s="262">
        <f>AG126</f>
        <v>21</v>
      </c>
      <c r="AH185" s="262">
        <f>AH126</f>
        <v>21</v>
      </c>
      <c r="AI185" s="262">
        <f>AI126</f>
        <v>4</v>
      </c>
      <c r="AJ185" s="262">
        <f>AJ126</f>
        <v>3</v>
      </c>
      <c r="AK185" s="262">
        <f>AK126</f>
        <v>69</v>
      </c>
      <c r="AL185" s="262">
        <f>AL126</f>
        <v>-1</v>
      </c>
      <c r="AM185" s="262">
        <f>AM126</f>
        <v>75</v>
      </c>
      <c r="AN185" s="262">
        <f>AN126</f>
        <v>108</v>
      </c>
      <c r="AO185" s="262">
        <f>AO126</f>
        <v>192</v>
      </c>
      <c r="AP185" s="262">
        <f>AP126</f>
        <v>-4</v>
      </c>
      <c r="AQ185" s="262">
        <f>AQ126</f>
        <v>395</v>
      </c>
      <c r="AR185" s="262">
        <f>AR126</f>
        <v>691</v>
      </c>
      <c r="AS185" s="262">
        <f>AS126</f>
        <v>54</v>
      </c>
      <c r="AT185" s="262">
        <f>AT126</f>
        <v>38</v>
      </c>
      <c r="AU185" s="262">
        <f>AU126</f>
        <v>108</v>
      </c>
      <c r="AV185" s="262">
        <f>AV126</f>
        <v>2</v>
      </c>
      <c r="AW185" s="262">
        <f>AW126</f>
        <v>202</v>
      </c>
      <c r="AX185" s="262">
        <f>AX126</f>
        <v>2</v>
      </c>
      <c r="AY185" s="262">
        <f>AY126</f>
        <v>112</v>
      </c>
      <c r="AZ185" s="262">
        <f>AZ126</f>
        <v>169</v>
      </c>
      <c r="BA185" s="262">
        <f>BA126</f>
        <v>-6</v>
      </c>
      <c r="BB185" s="262">
        <f>BB126</f>
        <v>277</v>
      </c>
      <c r="BC185" s="262">
        <f>BC126</f>
        <v>1</v>
      </c>
      <c r="BD185" s="262">
        <f>BD126</f>
        <v>1</v>
      </c>
      <c r="BE185" s="262">
        <f>BE126</f>
        <v>0</v>
      </c>
      <c r="BF185" s="262">
        <f>BF126</f>
        <v>4</v>
      </c>
      <c r="BG185" s="262">
        <f>BG126</f>
        <v>6</v>
      </c>
      <c r="BH185" s="262">
        <f>BH126</f>
        <v>0</v>
      </c>
      <c r="BI185" s="262">
        <f>BI126</f>
        <v>1</v>
      </c>
      <c r="BJ185" s="262">
        <f>BJ126</f>
        <v>0</v>
      </c>
      <c r="BK185" s="262">
        <f>BK126</f>
        <v>1</v>
      </c>
      <c r="BL185" s="262">
        <f>BL126</f>
        <v>2</v>
      </c>
      <c r="BM185" s="262">
        <f>BM126</f>
        <v>0</v>
      </c>
      <c r="BN185" s="262">
        <f>BN126</f>
        <v>5</v>
      </c>
      <c r="BO185" s="262">
        <f>BO126</f>
        <v>0</v>
      </c>
      <c r="BP185" s="262">
        <f>BP126</f>
        <v>41</v>
      </c>
      <c r="BQ185" s="262">
        <f>BQ126</f>
        <v>46</v>
      </c>
      <c r="BR185" s="262">
        <f>BR126</f>
        <v>-3</v>
      </c>
      <c r="BS185" s="262">
        <f>BS126</f>
        <v>67</v>
      </c>
      <c r="BT185" s="262">
        <f>BT126</f>
        <v>-1</v>
      </c>
      <c r="BU185" s="262">
        <f>BU126</f>
        <v>9609</v>
      </c>
      <c r="BV185" s="262">
        <f>BV126</f>
        <v>9672</v>
      </c>
      <c r="BW185" s="262">
        <f>BW126</f>
        <v>12</v>
      </c>
      <c r="BX185" s="262">
        <f>BX126</f>
        <v>67</v>
      </c>
      <c r="BY185" s="263">
        <f>BY126</f>
        <v>0</v>
      </c>
      <c r="BZ185" s="263">
        <f>BZ126</f>
        <v>0</v>
      </c>
      <c r="CA185" s="263">
        <f>CA126</f>
        <v>79</v>
      </c>
      <c r="CB185" s="263">
        <f>CB126</f>
        <v>0</v>
      </c>
      <c r="CC185" s="263">
        <f>CC126</f>
        <v>0</v>
      </c>
      <c r="CD185" s="263">
        <f>CD126</f>
        <v>0</v>
      </c>
      <c r="CE185" s="263">
        <f>CE126</f>
        <v>0</v>
      </c>
      <c r="CF185" s="263">
        <f>CF126</f>
        <v>0</v>
      </c>
      <c r="CG185" s="153" t="n"/>
    </row>
    <row r="186" ht="15" customHeight="1" s="251">
      <c r="CO186" s="11" t="n"/>
      <c r="CP186" s="12" t="n"/>
      <c r="CQ186" s="12" t="n"/>
      <c r="CR186" s="12" t="n"/>
      <c r="CS186" s="13" t="n"/>
    </row>
    <row r="187" ht="15" customHeight="1" s="251">
      <c r="B187" s="10" t="inlineStr">
        <is>
          <t>RECONCILIATION: DILUTED EPS → CORE EARNINGS PER SHARE (company non-GAAP definition)</t>
        </is>
      </c>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0" t="n"/>
      <c r="AZ187" s="10" t="n"/>
      <c r="BA187" s="10" t="n"/>
      <c r="BB187" s="10" t="n"/>
      <c r="BC187" s="10" t="n"/>
      <c r="BD187" s="10" t="n"/>
      <c r="BE187" s="10" t="n"/>
      <c r="BF187" s="10" t="n"/>
      <c r="BG187" s="10" t="n"/>
      <c r="BH187" s="10" t="n"/>
      <c r="BI187" s="10" t="n"/>
      <c r="BJ187" s="10" t="n"/>
      <c r="BK187" s="10" t="n"/>
      <c r="BL187" s="10" t="n"/>
      <c r="BM187" s="10" t="n"/>
      <c r="BN187" s="10" t="n"/>
      <c r="BO187" s="10" t="n"/>
      <c r="BP187" s="10" t="n"/>
      <c r="BQ187" s="10" t="n"/>
      <c r="BR187" s="10" t="n"/>
      <c r="BS187" s="10" t="n"/>
      <c r="BT187" s="10" t="n"/>
      <c r="BU187" s="10" t="n"/>
      <c r="BV187" s="10" t="n"/>
      <c r="BW187" s="10" t="n"/>
      <c r="BX187" s="10" t="n"/>
      <c r="BY187" s="10" t="n"/>
      <c r="BZ187" s="10" t="n"/>
      <c r="CA187" s="10" t="n"/>
      <c r="CB187" s="10" t="n"/>
      <c r="CC187" s="10" t="n"/>
      <c r="CD187" s="10" t="n"/>
      <c r="CE187" s="10" t="n"/>
      <c r="CF187" s="10" t="n"/>
      <c r="CG187" s="10" t="inlineStr">
        <is>
          <t>CORE EPS — GAAP diluted EPS − FAS/CAS service cost adjustment − non-operating pension &amp; postretirement income + deferred taxes on the adjustments (2018+); to 2017: + unallocated pension &amp; postretirement expense, after tax</t>
        </is>
      </c>
    </row>
    <row r="188" ht="15" customHeight="1" s="251">
      <c r="B188" s="16" t="inlineStr">
        <is>
          <t>EPS numerator — net earnings available to common shareholders (GAAP)</t>
        </is>
      </c>
      <c r="C188" s="281">
        <f>C150</f>
        <v>2215</v>
      </c>
      <c r="D188" s="281">
        <f>D150</f>
        <v>4074</v>
      </c>
      <c r="E188" s="281">
        <f>E150</f>
        <v>2702</v>
      </c>
      <c r="F188" s="281">
        <f>F150</f>
        <v>1312</v>
      </c>
      <c r="G188" s="281">
        <f>G150</f>
        <v>3307</v>
      </c>
      <c r="H188" s="281">
        <f>H150</f>
        <v>4018</v>
      </c>
      <c r="I188" s="281">
        <f>I150</f>
        <v>3900</v>
      </c>
      <c r="J188" s="281">
        <f>J150</f>
        <v>1106</v>
      </c>
      <c r="K188" s="281">
        <f>K150</f>
        <v>1088</v>
      </c>
      <c r="L188" s="281">
        <f>L150</f>
        <v>1158</v>
      </c>
      <c r="M188" s="281">
        <f>M150</f>
        <v>1233</v>
      </c>
      <c r="N188" s="281">
        <f>N150</f>
        <v>4585</v>
      </c>
      <c r="O188" s="281">
        <f>O150</f>
        <v>965</v>
      </c>
      <c r="P188" s="281">
        <f>P150</f>
        <v>1653</v>
      </c>
      <c r="Q188" s="281">
        <f>Q150</f>
        <v>1362</v>
      </c>
      <c r="R188" s="281">
        <f>R150</f>
        <v>1466</v>
      </c>
      <c r="S188" s="281">
        <f>S150</f>
        <v>5446</v>
      </c>
      <c r="T188" s="281">
        <f>T150</f>
        <v>1336</v>
      </c>
      <c r="U188" s="281">
        <f>U150</f>
        <v>1110</v>
      </c>
      <c r="V188" s="281">
        <f>V150</f>
        <v>1704</v>
      </c>
      <c r="W188" s="281">
        <f>W150</f>
        <v>1026</v>
      </c>
      <c r="X188" s="281">
        <f>X150</f>
        <v>5176</v>
      </c>
      <c r="Y188" s="281">
        <f>Y150</f>
        <v>1219</v>
      </c>
      <c r="Z188" s="281">
        <f>Z150</f>
        <v>-234</v>
      </c>
      <c r="AA188" s="281">
        <f>AA150</f>
        <v>2279</v>
      </c>
      <c r="AB188" s="281">
        <f>AB150</f>
        <v>1631</v>
      </c>
      <c r="AC188" s="281">
        <f>AC150</f>
        <v>4895</v>
      </c>
      <c r="AD188" s="281">
        <f>AD150</f>
        <v>1451</v>
      </c>
      <c r="AE188" s="281">
        <f>AE150</f>
        <v>1761</v>
      </c>
      <c r="AF188" s="281">
        <f>AF150</f>
        <v>1853</v>
      </c>
      <c r="AG188" s="281">
        <f>AG150</f>
        <v>3132</v>
      </c>
      <c r="AH188" s="281">
        <f>AH150</f>
        <v>8197</v>
      </c>
      <c r="AI188" s="281">
        <f>AI150</f>
        <v>2477</v>
      </c>
      <c r="AJ188" s="281">
        <f>AJ150</f>
        <v>2196</v>
      </c>
      <c r="AK188" s="281">
        <f>AK150</f>
        <v>2363</v>
      </c>
      <c r="AL188" s="281">
        <f>AL150</f>
        <v>3424</v>
      </c>
      <c r="AM188" s="281">
        <f>AM150</f>
        <v>10460</v>
      </c>
      <c r="AN188" s="281">
        <f>AN150</f>
        <v>2149</v>
      </c>
      <c r="AO188" s="281">
        <f>AO150</f>
        <v>-2942</v>
      </c>
      <c r="AP188" s="281">
        <f>AP150</f>
        <v>1167</v>
      </c>
      <c r="AQ188" s="281">
        <f>AQ150</f>
        <v>-1010</v>
      </c>
      <c r="AR188" s="281">
        <f>AR150</f>
        <v>-636</v>
      </c>
      <c r="AS188" s="281">
        <f>AS150</f>
        <v>-628</v>
      </c>
      <c r="AT188" s="281">
        <f>AT150</f>
        <v>-2376</v>
      </c>
      <c r="AU188" s="281">
        <f>AU150</f>
        <v>-449</v>
      </c>
      <c r="AV188" s="281">
        <f>AV150</f>
        <v>-8420</v>
      </c>
      <c r="AW188" s="281">
        <f>AW150</f>
        <v>-11873</v>
      </c>
      <c r="AX188" s="281">
        <f>AX150</f>
        <v>-537</v>
      </c>
      <c r="AY188" s="281">
        <f>AY150</f>
        <v>587</v>
      </c>
      <c r="AZ188" s="281">
        <f>AZ150</f>
        <v>-109</v>
      </c>
      <c r="BA188" s="281">
        <f>BA150</f>
        <v>-4143</v>
      </c>
      <c r="BB188" s="281">
        <f>BB150</f>
        <v>-4202</v>
      </c>
      <c r="BC188" s="281">
        <f>BC150</f>
        <v>-1219</v>
      </c>
      <c r="BD188" s="281">
        <f>BD150</f>
        <v>193</v>
      </c>
      <c r="BE188" s="281">
        <f>BE150</f>
        <v>-3275</v>
      </c>
      <c r="BF188" s="281">
        <f>BF150</f>
        <v>-634</v>
      </c>
      <c r="BG188" s="281">
        <f>BG150</f>
        <v>-4935</v>
      </c>
      <c r="BH188" s="281">
        <f>BH150</f>
        <v>-414</v>
      </c>
      <c r="BI188" s="281">
        <f>BI150</f>
        <v>-149</v>
      </c>
      <c r="BJ188" s="281">
        <f>BJ150</f>
        <v>-1636</v>
      </c>
      <c r="BK188" s="281">
        <f>BK150</f>
        <v>-23</v>
      </c>
      <c r="BL188" s="281">
        <f>BL150</f>
        <v>-2222</v>
      </c>
      <c r="BM188" s="281">
        <f>BM150</f>
        <v>-343</v>
      </c>
      <c r="BN188" s="281">
        <f>BN150</f>
        <v>-1439</v>
      </c>
      <c r="BO188" s="281">
        <f>BO150</f>
        <v>-6170</v>
      </c>
      <c r="BP188" s="281">
        <f>BP150</f>
        <v>-3923</v>
      </c>
      <c r="BQ188" s="281">
        <f>BQ150</f>
        <v>-11875</v>
      </c>
      <c r="BR188" s="281">
        <f>BR150</f>
        <v>-123</v>
      </c>
      <c r="BS188" s="281">
        <f>BS150</f>
        <v>-697</v>
      </c>
      <c r="BT188" s="281">
        <f>BT150</f>
        <v>-5424</v>
      </c>
      <c r="BU188" s="281">
        <f>BU150</f>
        <v>8220</v>
      </c>
      <c r="BV188" s="281">
        <f>BV150</f>
        <v>1890</v>
      </c>
      <c r="BW188" s="281">
        <f>BW150</f>
        <v>-90</v>
      </c>
      <c r="BX188" s="281">
        <f>BX150</f>
        <v>-530</v>
      </c>
      <c r="BY188" s="265">
        <f>BY150</f>
        <v>109.889164702372</v>
      </c>
      <c r="BZ188" s="265">
        <f>BZ150</f>
        <v>100.211569064374</v>
      </c>
      <c r="CA188" s="265">
        <f>CA150</f>
        <v>-409.899266233254</v>
      </c>
      <c r="CB188" s="265">
        <f>CB150</f>
        <v>3815.92521446473</v>
      </c>
      <c r="CC188" s="265">
        <f>CC150</f>
        <v>6319.9198368872</v>
      </c>
      <c r="CD188" s="265">
        <f>CD150</f>
        <v>8837.99501465415</v>
      </c>
      <c r="CE188" s="265">
        <f>CE150</f>
        <v>10224.520127937</v>
      </c>
      <c r="CF188" s="265">
        <f>CF150</f>
        <v>11022.774206628</v>
      </c>
      <c r="CG188" s="153" t="n"/>
    </row>
    <row r="189" ht="15" customHeight="1" s="251">
      <c r="B189" s="25" t="inlineStr">
        <is>
          <t xml:space="preserve">  (+/−) Pension line in earnings from operations (pre-tax; bridge above)</t>
        </is>
      </c>
      <c r="C189" s="262">
        <f>C160</f>
        <v>0</v>
      </c>
      <c r="D189" s="262">
        <f>D160</f>
        <v>686</v>
      </c>
      <c r="E189" s="262">
        <f>E160</f>
        <v>287</v>
      </c>
      <c r="F189" s="262">
        <f>F160</f>
        <v>-17</v>
      </c>
      <c r="G189" s="262">
        <f>G160</f>
        <v>5</v>
      </c>
      <c r="H189" s="262">
        <f>H160</f>
        <v>517</v>
      </c>
      <c r="I189" s="262">
        <f>I160</f>
        <v>899</v>
      </c>
      <c r="J189" s="262">
        <f>J160</f>
        <v>339</v>
      </c>
      <c r="K189" s="262">
        <f>K160</f>
        <v>312</v>
      </c>
      <c r="L189" s="262">
        <f>L160</f>
        <v>340</v>
      </c>
      <c r="M189" s="262">
        <f>M160</f>
        <v>323</v>
      </c>
      <c r="N189" s="262">
        <f>N160</f>
        <v>1314</v>
      </c>
      <c r="O189" s="262">
        <f>O160</f>
        <v>553</v>
      </c>
      <c r="P189" s="262">
        <f>P160</f>
        <v>204</v>
      </c>
      <c r="Q189" s="262">
        <f>Q160</f>
        <v>311</v>
      </c>
      <c r="R189" s="262">
        <f>R160</f>
        <v>319</v>
      </c>
      <c r="S189" s="262">
        <f>S160</f>
        <v>1387</v>
      </c>
      <c r="T189" s="262">
        <f>T160</f>
        <v>113</v>
      </c>
      <c r="U189" s="262">
        <f>U160</f>
        <v>30</v>
      </c>
      <c r="V189" s="262">
        <f>V160</f>
        <v>57</v>
      </c>
      <c r="W189" s="262">
        <f>W160</f>
        <v>98</v>
      </c>
      <c r="X189" s="262">
        <f>X160</f>
        <v>298</v>
      </c>
      <c r="Y189" s="262">
        <f>Y160</f>
        <v>-94</v>
      </c>
      <c r="Z189" s="262">
        <f>Z160</f>
        <v>-69</v>
      </c>
      <c r="AA189" s="262">
        <f>AA160</f>
        <v>-88</v>
      </c>
      <c r="AB189" s="262">
        <f>AB160</f>
        <v>-119</v>
      </c>
      <c r="AC189" s="262">
        <f>AC160</f>
        <v>-370</v>
      </c>
      <c r="AD189" s="262">
        <f>AD160</f>
        <v>-315</v>
      </c>
      <c r="AE189" s="262">
        <f>AE160</f>
        <v>-323</v>
      </c>
      <c r="AF189" s="262">
        <f>AF160</f>
        <v>-316</v>
      </c>
      <c r="AG189" s="262">
        <f>AG160</f>
        <v>-354</v>
      </c>
      <c r="AH189" s="262">
        <f>AH160</f>
        <v>-1308</v>
      </c>
      <c r="AI189" s="262">
        <f>AI160</f>
        <v>-365</v>
      </c>
      <c r="AJ189" s="262">
        <f>AJ160</f>
        <v>-317</v>
      </c>
      <c r="AK189" s="262">
        <f>AK160</f>
        <v>-337</v>
      </c>
      <c r="AL189" s="262">
        <f>AL160</f>
        <v>-308</v>
      </c>
      <c r="AM189" s="262">
        <f>AM160</f>
        <v>-1327</v>
      </c>
      <c r="AN189" s="262">
        <f>AN160</f>
        <v>-364</v>
      </c>
      <c r="AO189" s="262">
        <f>AO160</f>
        <v>-365</v>
      </c>
      <c r="AP189" s="262">
        <f>AP160</f>
        <v>-364</v>
      </c>
      <c r="AQ189" s="262">
        <f>AQ160</f>
        <v>-322</v>
      </c>
      <c r="AR189" s="262">
        <f>AR160</f>
        <v>-1415</v>
      </c>
      <c r="AS189" s="262">
        <f>AS160</f>
        <v>-347</v>
      </c>
      <c r="AT189" s="262">
        <f>AT160</f>
        <v>-355</v>
      </c>
      <c r="AU189" s="262">
        <f>AU160</f>
        <v>-353</v>
      </c>
      <c r="AV189" s="262">
        <f>AV160</f>
        <v>-328</v>
      </c>
      <c r="AW189" s="262">
        <f>AW160</f>
        <v>-1383</v>
      </c>
      <c r="AX189" s="262">
        <f>AX160</f>
        <v>-270</v>
      </c>
      <c r="AY189" s="262">
        <f>AY160</f>
        <v>-268</v>
      </c>
      <c r="AZ189" s="262">
        <f>AZ160</f>
        <v>-270</v>
      </c>
      <c r="BA189" s="262">
        <f>BA160</f>
        <v>-365</v>
      </c>
      <c r="BB189" s="262">
        <f>BB160</f>
        <v>-1173</v>
      </c>
      <c r="BC189" s="262">
        <f>BC160</f>
        <v>-283</v>
      </c>
      <c r="BD189" s="262">
        <f>BD160</f>
        <v>-284</v>
      </c>
      <c r="BE189" s="262">
        <f>BE160</f>
        <v>-279</v>
      </c>
      <c r="BF189" s="262">
        <f>BF160</f>
        <v>-297</v>
      </c>
      <c r="BG189" s="262">
        <f>BG160</f>
        <v>-1143</v>
      </c>
      <c r="BH189" s="262">
        <f>BH160</f>
        <v>-291</v>
      </c>
      <c r="BI189" s="262">
        <f>BI160</f>
        <v>-291</v>
      </c>
      <c r="BJ189" s="262">
        <f>BJ160</f>
        <v>-281</v>
      </c>
      <c r="BK189" s="262">
        <f>BK160</f>
        <v>-193</v>
      </c>
      <c r="BL189" s="262">
        <f>BL160</f>
        <v>-1056</v>
      </c>
      <c r="BM189" s="262">
        <f>BM160</f>
        <v>-302</v>
      </c>
      <c r="BN189" s="262">
        <f>BN160</f>
        <v>-302</v>
      </c>
      <c r="BO189" s="262">
        <f>BO160</f>
        <v>-228</v>
      </c>
      <c r="BP189" s="262">
        <f>BP160</f>
        <v>-272</v>
      </c>
      <c r="BQ189" s="262">
        <f>BQ160</f>
        <v>-1104</v>
      </c>
      <c r="BR189" s="262">
        <f>BR160</f>
        <v>-262</v>
      </c>
      <c r="BS189" s="262">
        <f>BS160</f>
        <v>-257</v>
      </c>
      <c r="BT189" s="262">
        <f>BT160</f>
        <v>-268</v>
      </c>
      <c r="BU189" s="262">
        <f>BU160</f>
        <v>-258</v>
      </c>
      <c r="BV189" s="262">
        <f>BV160</f>
        <v>-1045</v>
      </c>
      <c r="BW189" s="262">
        <f>BW160</f>
        <v>-155</v>
      </c>
      <c r="BX189" s="262">
        <f>BX160</f>
        <v>-155</v>
      </c>
      <c r="BY189" s="263">
        <f>BY160</f>
        <v>-155</v>
      </c>
      <c r="BZ189" s="263">
        <f>BZ160</f>
        <v>-155</v>
      </c>
      <c r="CA189" s="263">
        <f>CA160</f>
        <v>-620</v>
      </c>
      <c r="CB189" s="263">
        <f>CB160</f>
        <v>-600</v>
      </c>
      <c r="CC189" s="263">
        <f>CC160</f>
        <v>-550</v>
      </c>
      <c r="CD189" s="263">
        <f>CD160</f>
        <v>-500</v>
      </c>
      <c r="CE189" s="263">
        <f>CE160</f>
        <v>-450</v>
      </c>
      <c r="CF189" s="263">
        <f>CF160</f>
        <v>-400</v>
      </c>
      <c r="CG189" s="19" t="n"/>
    </row>
    <row r="190" ht="15" customHeight="1" s="251">
      <c r="B190" s="25" t="inlineStr">
        <is>
          <t xml:space="preserve">  (+) Non-operating pension &amp; postretirement expense / (−) income (2018+)</t>
        </is>
      </c>
      <c r="C190" s="262">
        <f>-N(C112)</f>
        <v>0</v>
      </c>
      <c r="D190" s="262">
        <f>-N(D112)</f>
        <v>0</v>
      </c>
      <c r="E190" s="262">
        <f>-N(E112)</f>
        <v>0</v>
      </c>
      <c r="F190" s="262">
        <f>-N(F112)</f>
        <v>0</v>
      </c>
      <c r="G190" s="262">
        <f>-N(G112)</f>
        <v>0</v>
      </c>
      <c r="H190" s="262">
        <f>-N(H112)</f>
        <v>0</v>
      </c>
      <c r="I190" s="262">
        <f>-N(I112)</f>
        <v>0</v>
      </c>
      <c r="J190" s="262">
        <f>-N(J112)</f>
        <v>0</v>
      </c>
      <c r="K190" s="262">
        <f>-N(K112)</f>
        <v>0</v>
      </c>
      <c r="L190" s="262">
        <f>-N(L112)</f>
        <v>0</v>
      </c>
      <c r="M190" s="262">
        <f>-N(M112)</f>
        <v>0</v>
      </c>
      <c r="N190" s="262">
        <f>-N(N112)</f>
        <v>0</v>
      </c>
      <c r="O190" s="262">
        <f>-N(O112)</f>
        <v>0</v>
      </c>
      <c r="P190" s="262">
        <f>-N(P112)</f>
        <v>0</v>
      </c>
      <c r="Q190" s="262">
        <f>-N(Q112)</f>
        <v>0</v>
      </c>
      <c r="R190" s="262">
        <f>-N(R112)</f>
        <v>0</v>
      </c>
      <c r="S190" s="262">
        <f>-N(S112)</f>
        <v>0</v>
      </c>
      <c r="T190" s="262">
        <f>-N(T112)</f>
        <v>0</v>
      </c>
      <c r="U190" s="262">
        <f>-N(U112)</f>
        <v>0</v>
      </c>
      <c r="V190" s="262">
        <f>-N(V112)</f>
        <v>0</v>
      </c>
      <c r="W190" s="262">
        <f>-N(W112)</f>
        <v>0</v>
      </c>
      <c r="X190" s="262">
        <f>-N(X112)</f>
        <v>0</v>
      </c>
      <c r="Y190" s="262">
        <f>-N(Y112)</f>
        <v>0</v>
      </c>
      <c r="Z190" s="262">
        <f>-N(Z112)</f>
        <v>0</v>
      </c>
      <c r="AA190" s="262">
        <f>-N(AA112)</f>
        <v>0</v>
      </c>
      <c r="AB190" s="262">
        <f>-N(AB112)</f>
        <v>0</v>
      </c>
      <c r="AC190" s="262">
        <f>-N(AC112)</f>
        <v>0</v>
      </c>
      <c r="AD190" s="262">
        <f>-N(AD112)</f>
        <v>0</v>
      </c>
      <c r="AE190" s="262">
        <f>-N(AE112)</f>
        <v>0</v>
      </c>
      <c r="AF190" s="262">
        <f>-N(AF112)</f>
        <v>0</v>
      </c>
      <c r="AG190" s="262">
        <f>-N(AG112)</f>
        <v>0</v>
      </c>
      <c r="AH190" s="262">
        <f>-N(AH112)</f>
        <v>0</v>
      </c>
      <c r="AI190" s="262">
        <f>-N(AI112)</f>
        <v>-18</v>
      </c>
      <c r="AJ190" s="262">
        <f>-N(AJ112)</f>
        <v>18</v>
      </c>
      <c r="AK190" s="262">
        <f>-N(AK112)</f>
        <v>-21</v>
      </c>
      <c r="AL190" s="262">
        <f>-N(AL112)</f>
        <v>-21</v>
      </c>
      <c r="AM190" s="262">
        <f>-N(AM112)</f>
        <v>-42</v>
      </c>
      <c r="AN190" s="262">
        <f>-N(AN112)</f>
        <v>-66</v>
      </c>
      <c r="AO190" s="262">
        <f>-N(AO112)</f>
        <v>-68</v>
      </c>
      <c r="AP190" s="262">
        <f>-N(AP112)</f>
        <v>-66</v>
      </c>
      <c r="AQ190" s="262">
        <f>-N(AQ112)</f>
        <v>-67</v>
      </c>
      <c r="AR190" s="262">
        <f>-N(AR112)</f>
        <v>-267</v>
      </c>
      <c r="AS190" s="262">
        <f>-N(AS112)</f>
        <v>-74</v>
      </c>
      <c r="AT190" s="262">
        <f>-N(AT112)</f>
        <v>-70</v>
      </c>
      <c r="AU190" s="262">
        <f>-N(AU112)</f>
        <v>-74</v>
      </c>
      <c r="AV190" s="262">
        <f>-N(AV112)</f>
        <v>-106</v>
      </c>
      <c r="AW190" s="262">
        <f>-N(AW112)</f>
        <v>-324</v>
      </c>
      <c r="AX190" s="262">
        <f>-N(AX112)</f>
        <v>-182</v>
      </c>
      <c r="AY190" s="262">
        <f>-N(AY112)</f>
        <v>-180</v>
      </c>
      <c r="AZ190" s="262">
        <f>-N(AZ112)</f>
        <v>-35</v>
      </c>
      <c r="BA190" s="262">
        <f>-N(BA112)</f>
        <v>-132</v>
      </c>
      <c r="BB190" s="262">
        <f>-N(BB112)</f>
        <v>-529</v>
      </c>
      <c r="BC190" s="262">
        <f>-N(BC112)</f>
        <v>-235</v>
      </c>
      <c r="BD190" s="262">
        <f>-N(BD112)</f>
        <v>-235</v>
      </c>
      <c r="BE190" s="262">
        <f>-N(BE112)</f>
        <v>-240</v>
      </c>
      <c r="BF190" s="262">
        <f>-N(BF112)</f>
        <v>-229</v>
      </c>
      <c r="BG190" s="262">
        <f>-N(BG112)</f>
        <v>-939</v>
      </c>
      <c r="BH190" s="262">
        <f>-N(BH112)</f>
        <v>-149</v>
      </c>
      <c r="BI190" s="262">
        <f>-N(BI112)</f>
        <v>-148</v>
      </c>
      <c r="BJ190" s="262">
        <f>-N(BJ112)</f>
        <v>-149</v>
      </c>
      <c r="BK190" s="262">
        <f>-N(BK112)</f>
        <v>-141</v>
      </c>
      <c r="BL190" s="262">
        <f>-N(BL112)</f>
        <v>-587</v>
      </c>
      <c r="BM190" s="262">
        <f>-N(BM112)</f>
        <v>-141</v>
      </c>
      <c r="BN190" s="262">
        <f>-N(BN112)</f>
        <v>-141</v>
      </c>
      <c r="BO190" s="262">
        <f>-N(BO112)</f>
        <v>-141</v>
      </c>
      <c r="BP190" s="262">
        <f>-N(BP112)</f>
        <v>-126</v>
      </c>
      <c r="BQ190" s="262">
        <f>-N(BQ112)</f>
        <v>-549</v>
      </c>
      <c r="BR190" s="262">
        <f>-N(BR112)</f>
        <v>-48</v>
      </c>
      <c r="BS190" s="262">
        <f>-N(BS112)</f>
        <v>-46</v>
      </c>
      <c r="BT190" s="262">
        <f>-N(BT112)</f>
        <v>-47</v>
      </c>
      <c r="BU190" s="262">
        <f>-N(BU112)</f>
        <v>-54</v>
      </c>
      <c r="BV190" s="262">
        <f>-N(BV112)</f>
        <v>-195</v>
      </c>
      <c r="BW190" s="262">
        <f>-N(BW112)</f>
        <v>65</v>
      </c>
      <c r="BX190" s="262">
        <f>-N(BX112)</f>
        <v>64</v>
      </c>
      <c r="BY190" s="263">
        <f>-N(BY112)</f>
        <v>64</v>
      </c>
      <c r="BZ190" s="263">
        <f>-N(BZ112)</f>
        <v>64</v>
      </c>
      <c r="CA190" s="263">
        <f>-N(CA112)</f>
        <v>257</v>
      </c>
      <c r="CB190" s="263">
        <f>-N(CB112)</f>
        <v>250</v>
      </c>
      <c r="CC190" s="263">
        <f>-N(CC112)</f>
        <v>250</v>
      </c>
      <c r="CD190" s="263">
        <f>-N(CD112)</f>
        <v>250</v>
      </c>
      <c r="CE190" s="263">
        <f>-N(CE112)</f>
        <v>250</v>
      </c>
      <c r="CF190" s="263">
        <f>-N(CF112)</f>
        <v>250</v>
      </c>
      <c r="CG190" s="19" t="n"/>
    </row>
    <row r="191" ht="15" customHeight="1" s="251">
      <c r="B191" s="25" t="inlineStr">
        <is>
          <t xml:space="preserve">  (+/−) Provision for deferred income taxes on the adjustments</t>
        </is>
      </c>
      <c r="C191" s="262">
        <f>IF(ISNUMBER(C192),C192,IF(ISNUMBER(C197),(C197-C154)*C195-C189-C190,-0.35*(C189+C190)))</f>
        <v>0</v>
      </c>
      <c r="D191" s="262">
        <f>IF(ISNUMBER(D192),D192,IF(ISNUMBER(D197),(D197-D154)*D195-D189-D190,-0.35*(D189+D190)))</f>
        <v>-240.1</v>
      </c>
      <c r="E191" s="262">
        <f>IF(ISNUMBER(E192),E192,IF(ISNUMBER(E197),(E197-E154)*E195-E189-E190,-0.35*(E189+E190)))</f>
        <v>-100.45</v>
      </c>
      <c r="F191" s="262">
        <f>IF(ISNUMBER(F192),F192,IF(ISNUMBER(F197),(F197-F154)*F195-F189-F190,-0.35*(F189+F190)))</f>
        <v>5.95</v>
      </c>
      <c r="G191" s="262">
        <f>IF(ISNUMBER(G192),G192,IF(ISNUMBER(G197),(G197-G154)*G195-G189-G190,-0.35*(G189+G190)))</f>
        <v>-1.75</v>
      </c>
      <c r="H191" s="262">
        <f>IF(ISNUMBER(H192),H192,IF(ISNUMBER(H197),(H197-H154)*H195-H189-H190,-0.35*(H189+H190)))</f>
        <v>-178.105</v>
      </c>
      <c r="I191" s="262">
        <f>IF(ISNUMBER(I192),I192,IF(ISNUMBER(I197),(I197-I154)*I195-I189-I190,-0.35*(I189+I190)))</f>
        <v>-310.874</v>
      </c>
      <c r="J191" s="262">
        <f>IF(ISNUMBER(J192),J192,IF(ISNUMBER(J197),(J197-J154)*J195-J189-J190,-0.35*(J189+J190)))</f>
        <v>-116.077</v>
      </c>
      <c r="K191" s="262">
        <f>IF(ISNUMBER(K192),K192,IF(ISNUMBER(K197),(K197-K154)*K195-K189-K190,-0.35*(K189+K190)))</f>
        <v>-111.332</v>
      </c>
      <c r="L191" s="262">
        <f>IF(ISNUMBER(L192),L192,IF(ISNUMBER(L197),(L197-L154)*L195-L189-L190,-0.35*(L189+L190)))</f>
        <v>-116.961</v>
      </c>
      <c r="M191" s="262">
        <f>IF(ISNUMBER(M192),M192,IF(ISNUMBER(M197),(M197-M154)*M195-M189-M190,-0.35*(M189+M190)))</f>
        <v>-115.532</v>
      </c>
      <c r="N191" s="262">
        <f>IF(ISNUMBER(N192),N192,IF(ISNUMBER(N197),(N197-N154)*N195-N189-N190,-0.35*(N189+N190)))</f>
        <v>-459.855</v>
      </c>
      <c r="O191" s="262">
        <f>IF(ISNUMBER(O192),O192,IF(ISNUMBER(O197),(O197-O154)*O195-O189-O190,-0.35*(O189+O190)))</f>
        <v>-191.032</v>
      </c>
      <c r="P191" s="262">
        <f>IF(ISNUMBER(P192),P192,IF(ISNUMBER(P197),(P197-P154)*P195-P189-P190,-0.35*(P189+P190)))</f>
        <v>-70.7820000000002</v>
      </c>
      <c r="Q191" s="262">
        <f>IF(ISNUMBER(Q192),Q192,IF(ISNUMBER(Q197),(Q197-Q154)*Q195-Q189-Q190,-0.35*(Q189+Q190)))</f>
        <v>-106.068</v>
      </c>
      <c r="R191" s="262">
        <f>IF(ISNUMBER(R192),R192,IF(ISNUMBER(R197),(R197-R154)*R195-R189-R190,-0.35*(R189+R190)))</f>
        <v>-108.808</v>
      </c>
      <c r="S191" s="262">
        <f>IF(ISNUMBER(S192),S192,IF(ISNUMBER(S197),(S197-S154)*S195-S189-S190,-0.35*(S189+S190)))</f>
        <v>-486.64</v>
      </c>
      <c r="T191" s="262">
        <f>IF(ISNUMBER(T192),T192,IF(ISNUMBER(T197),(T197-T154)*T195-T189-T190,-0.35*(T189+T190)))</f>
        <v>-41.5800000000001</v>
      </c>
      <c r="U191" s="262">
        <f>IF(ISNUMBER(U192),U192,IF(ISNUMBER(U197),(U197-U154)*U195-U189-U190,-0.35*(U189+U190)))</f>
        <v>-9.03299999999998</v>
      </c>
      <c r="V191" s="262">
        <f>IF(ISNUMBER(V192),V192,IF(ISNUMBER(V197),(V197-V154)*V195-V189-V190,-0.35*(V189+V190)))</f>
        <v>-22.5500000000001</v>
      </c>
      <c r="W191" s="262">
        <f>IF(ISNUMBER(W192),W192,IF(ISNUMBER(W197),(W197-W154)*W195-W189-W190,-0.35*(W189+W190)))</f>
        <v>-36.6919999999999</v>
      </c>
      <c r="X191" s="262">
        <f>IF(ISNUMBER(X192),X192,IF(ISNUMBER(X197),(X197-X154)*X195-X189-X190,-0.35*(X189+X190)))</f>
        <v>-103.092</v>
      </c>
      <c r="Y191" s="262">
        <f>IF(ISNUMBER(Y192),Y192,IF(ISNUMBER(Y197),(Y197-Y154)*Y195-Y189-Y190,-0.35*(Y189+Y190)))</f>
        <v>34.078</v>
      </c>
      <c r="Z191" s="262">
        <f>IF(ISNUMBER(Z192),Z192,IF(ISNUMBER(Z197),(Z197-Z154)*Z195-Z189-Z190,-0.35*(Z189+Z190)))</f>
        <v>24.459</v>
      </c>
      <c r="AA191" s="262">
        <f>IF(ISNUMBER(AA192),AA192,IF(ISNUMBER(AA197),(AA197-AA154)*AA195-AA189-AA190,-0.35*(AA189+AA190)))</f>
        <v>31.0569999999998</v>
      </c>
      <c r="AB191" s="262">
        <f>IF(ISNUMBER(AB192),AB192,IF(ISNUMBER(AB197),(AB197-AB154)*AB195-AB189-AB190,-0.35*(AB189+AB190)))</f>
        <v>43.3640000000002</v>
      </c>
      <c r="AC191" s="262">
        <f>IF(ISNUMBER(AC192),AC192,IF(ISNUMBER(AC197),(AC197-AC154)*AC195-AC189-AC190,-0.35*(AC189+AC190)))</f>
        <v>131.794</v>
      </c>
      <c r="AD191" s="262">
        <f>IF(ISNUMBER(AD192),AD192,IF(ISNUMBER(AD197),(AD197-AD154)*AD195-AD189-AD190,-0.35*(AD189+AD190)))</f>
        <v>110.004</v>
      </c>
      <c r="AE191" s="262">
        <f>IF(ISNUMBER(AE192),AE192,IF(ISNUMBER(AE197),(AE197-AE154)*AE195-AE189-AE190,-0.35*(AE189+AE190)))</f>
        <v>115.736</v>
      </c>
      <c r="AF191" s="262">
        <f>IF(ISNUMBER(AF192),AF192,IF(ISNUMBER(AF197),(AF197-AF154)*AF195-AF189-AF190,-0.35*(AF189+AF190)))</f>
        <v>109.858</v>
      </c>
      <c r="AG191" s="262">
        <f>IF(ISNUMBER(AG192),AG192,IF(ISNUMBER(AG197),(AG197-AG154)*AG195-AG189-AG190,-0.35*(AG189+AG190)))</f>
        <v>124.062</v>
      </c>
      <c r="AH191" s="262">
        <f>IF(ISNUMBER(AH192),AH192,IF(ISNUMBER(AH197),(AH197-AH154)*AH195-AH189-AH190,-0.35*(AH189+AH190)))</f>
        <v>459.127</v>
      </c>
      <c r="AI191" s="262">
        <f>IF(ISNUMBER(AI192),AI192,IF(ISNUMBER(AI197),(AI197-AI154)*AI195-AI189-AI190,-0.35*(AI189+AI190)))</f>
        <v>80</v>
      </c>
      <c r="AJ191" s="262">
        <f>IF(ISNUMBER(AJ192),AJ192,IF(ISNUMBER(AJ197),(AJ197-AJ154)*AJ195-AJ189-AJ190,-0.35*(AJ189+AJ190)))</f>
        <v>63</v>
      </c>
      <c r="AK191" s="262">
        <f>IF(ISNUMBER(AK192),AK192,IF(ISNUMBER(AK197),(AK197-AK154)*AK195-AK189-AK190,-0.35*(AK189+AK190)))</f>
        <v>75</v>
      </c>
      <c r="AL191" s="262">
        <f>IF(ISNUMBER(AL192),AL192,IF(ISNUMBER(AL197),(AL197-AL154)*AL195-AL189-AL190,-0.35*(AL189+AL190)))</f>
        <v>69</v>
      </c>
      <c r="AM191" s="262">
        <f>IF(ISNUMBER(AM192),AM192,IF(ISNUMBER(AM197),(AM197-AM154)*AM195-AM189-AM190,-0.35*(AM189+AM190)))</f>
        <v>287</v>
      </c>
      <c r="AN191" s="262">
        <f>IF(ISNUMBER(AN192),AN192,IF(ISNUMBER(AN197),(AN197-AN154)*AN195-AN189-AN190,-0.35*(AN189+AN190)))</f>
        <v>90</v>
      </c>
      <c r="AO191" s="262">
        <f>IF(ISNUMBER(AO192),AO192,IF(ISNUMBER(AO197),(AO197-AO154)*AO195-AO189-AO190,-0.35*(AO189+AO190)))</f>
        <v>91</v>
      </c>
      <c r="AP191" s="262">
        <f>IF(ISNUMBER(AP192),AP192,IF(ISNUMBER(AP197),(AP197-AP154)*AP195-AP189-AP190,-0.35*(AP189+AP190)))</f>
        <v>90</v>
      </c>
      <c r="AQ191" s="262">
        <f>IF(ISNUMBER(AQ192),AQ192,IF(ISNUMBER(AQ197),(AQ197-AQ154)*AQ195-AQ189-AQ190,-0.35*(AQ189+AQ190)))</f>
        <v>82</v>
      </c>
      <c r="AR191" s="262">
        <f>IF(ISNUMBER(AR192),AR192,IF(ISNUMBER(AR197),(AR197-AR154)*AR195-AR189-AR190,-0.35*(AR189+AR190)))</f>
        <v>353</v>
      </c>
      <c r="AS191" s="262">
        <f>IF(ISNUMBER(AS192),AS192,IF(ISNUMBER(AS197),(AS197-AS154)*AS195-AS189-AS190,-0.35*(AS189+AS190)))</f>
        <v>88</v>
      </c>
      <c r="AT191" s="262">
        <f>IF(ISNUMBER(AT192),AT192,IF(ISNUMBER(AT197),(AT197-AT154)*AT195-AT189-AT190,-0.35*(AT189+AT190)))</f>
        <v>89</v>
      </c>
      <c r="AU191" s="262">
        <f>IF(ISNUMBER(AU192),AU192,IF(ISNUMBER(AU197),(AU197-AU154)*AU195-AU189-AU190,-0.35*(AU189+AU190)))</f>
        <v>90</v>
      </c>
      <c r="AV191" s="262">
        <f>IF(ISNUMBER(AV192),AV192,IF(ISNUMBER(AV197),(AV197-AV154)*AV195-AV189-AV190,-0.35*(AV189+AV190)))</f>
        <v>91</v>
      </c>
      <c r="AW191" s="262">
        <f>IF(ISNUMBER(AW192),AW192,IF(ISNUMBER(AW197),(AW197-AW154)*AW195-AW189-AW190,-0.35*(AW189+AW190)))</f>
        <v>358</v>
      </c>
      <c r="AX191" s="262">
        <f>IF(ISNUMBER(AX192),AX192,IF(ISNUMBER(AX197),(AX197-AX154)*AX195-AX189-AX190,-0.35*(AX189+AX190)))</f>
        <v>95</v>
      </c>
      <c r="AY191" s="262">
        <f>IF(ISNUMBER(AY192),AY192,IF(ISNUMBER(AY197),(AY197-AY154)*AY195-AY189-AY190,-0.35*(AY189+AY190)))</f>
        <v>94</v>
      </c>
      <c r="AZ191" s="262">
        <f>IF(ISNUMBER(AZ192),AZ192,IF(ISNUMBER(AZ197),(AZ197-AZ154)*AZ195-AZ189-AZ190,-0.35*(AZ189+AZ190)))</f>
        <v>64</v>
      </c>
      <c r="BA191" s="262">
        <f>IF(ISNUMBER(BA192),BA192,IF(ISNUMBER(BA197),(BA197-BA154)*BA195-BA189-BA190,-0.35*(BA189+BA190)))</f>
        <v>104</v>
      </c>
      <c r="BB191" s="262">
        <f>IF(ISNUMBER(BB192),BB192,IF(ISNUMBER(BB197),(BB197-BB154)*BB195-BB189-BB190,-0.35*(BB189+BB190)))</f>
        <v>357</v>
      </c>
      <c r="BC191" s="262">
        <f>IF(ISNUMBER(BC192),BC192,IF(ISNUMBER(BC197),(BC197-BC154)*BC195-BC189-BC190,-0.35*(BC189+BC190)))</f>
        <v>109</v>
      </c>
      <c r="BD191" s="262">
        <f>IF(ISNUMBER(BD192),BD192,IF(ISNUMBER(BD197),(BD197-BD154)*BD195-BD189-BD190,-0.35*(BD189+BD190)))</f>
        <v>109</v>
      </c>
      <c r="BE191" s="262">
        <f>IF(ISNUMBER(BE192),BE192,IF(ISNUMBER(BE197),(BE197-BE154)*BE195-BE189-BE190,-0.35*(BE189+BE190)))</f>
        <v>109</v>
      </c>
      <c r="BF191" s="262">
        <f>IF(ISNUMBER(BF192),BF192,IF(ISNUMBER(BF197),(BF197-BF154)*BF195-BF189-BF190,-0.35*(BF189+BF190)))</f>
        <v>110</v>
      </c>
      <c r="BG191" s="262">
        <f>IF(ISNUMBER(BG192),BG192,IF(ISNUMBER(BG197),(BG197-BG154)*BG195-BG189-BG190,-0.35*(BG189+BG190)))</f>
        <v>437</v>
      </c>
      <c r="BH191" s="262">
        <f>IF(ISNUMBER(BH192),BH192,IF(ISNUMBER(BH197),(BH197-BH154)*BH195-BH189-BH190,-0.35*(BH189+BH190)))</f>
        <v>92</v>
      </c>
      <c r="BI191" s="262">
        <f>IF(ISNUMBER(BI192),BI192,IF(ISNUMBER(BI197),(BI197-BI154)*BI195-BI189-BI190,-0.35*(BI189+BI190)))</f>
        <v>92</v>
      </c>
      <c r="BJ191" s="262">
        <f>IF(ISNUMBER(BJ192),BJ192,IF(ISNUMBER(BJ197),(BJ197-BJ154)*BJ195-BJ189-BJ190,-0.35*(BJ189+BJ190)))</f>
        <v>90</v>
      </c>
      <c r="BK191" s="262">
        <f>IF(ISNUMBER(BK192),BK192,IF(ISNUMBER(BK197),(BK197-BK154)*BK195-BK189-BK190,-0.35*(BK189+BK190)))</f>
        <v>70</v>
      </c>
      <c r="BL191" s="262">
        <f>IF(ISNUMBER(BL192),BL192,IF(ISNUMBER(BL197),(BL197-BL154)*BL195-BL189-BL190,-0.35*(BL189+BL190)))</f>
        <v>345</v>
      </c>
      <c r="BM191" s="262">
        <f>IF(ISNUMBER(BM192),BM192,IF(ISNUMBER(BM197),(BM197-BM154)*BM195-BM189-BM190,-0.35*(BM189+BM190)))</f>
        <v>93</v>
      </c>
      <c r="BN191" s="262">
        <f>IF(ISNUMBER(BN192),BN192,IF(ISNUMBER(BN197),(BN197-BN154)*BN195-BN189-BN190,-0.35*(BN189+BN190)))</f>
        <v>93</v>
      </c>
      <c r="BO191" s="262">
        <f>IF(ISNUMBER(BO192),BO192,IF(ISNUMBER(BO197),(BO197-BO154)*BO195-BO189-BO190,-0.35*(BO189+BO190)))</f>
        <v>77</v>
      </c>
      <c r="BP191" s="262">
        <f>IF(ISNUMBER(BP192),BP192,IF(ISNUMBER(BP197),(BP197-BP154)*BP195-BP189-BP190,-0.35*(BP189+BP190)))</f>
        <v>84</v>
      </c>
      <c r="BQ191" s="262">
        <f>IF(ISNUMBER(BQ192),BQ192,IF(ISNUMBER(BQ197),(BQ197-BQ154)*BQ195-BQ189-BQ190,-0.35*(BQ189+BQ190)))</f>
        <v>347</v>
      </c>
      <c r="BR191" s="262">
        <f>IF(ISNUMBER(BR192),BR192,IF(ISNUMBER(BR197),(BR197-BR154)*BR195-BR189-BR190,-0.35*(BR189+BR190)))</f>
        <v>65</v>
      </c>
      <c r="BS191" s="262">
        <f>IF(ISNUMBER(BS192),BS192,IF(ISNUMBER(BS197),(BS197-BS154)*BS195-BS189-BS190,-0.35*(BS189+BS190)))</f>
        <v>64</v>
      </c>
      <c r="BT191" s="262">
        <f>IF(ISNUMBER(BT192),BT192,IF(ISNUMBER(BT197),(BT197-BT154)*BT195-BT189-BT190,-0.35*(BT189+BT190)))</f>
        <v>66</v>
      </c>
      <c r="BU191" s="262">
        <f>IF(ISNUMBER(BU192),BU192,IF(ISNUMBER(BU197),(BU197-BU154)*BU195-BU189-BU190,-0.35*(BU189+BU190)))</f>
        <v>66</v>
      </c>
      <c r="BV191" s="262">
        <f>IF(ISNUMBER(BV192),BV192,IF(ISNUMBER(BV197),(BV197-BV154)*BV195-BV189-BV190,-0.35*(BV189+BV190)))</f>
        <v>260</v>
      </c>
      <c r="BW191" s="262">
        <f>IF(ISNUMBER(BW192),BW192,IF(ISNUMBER(BW197),(BW197-BW154)*BW195-BW189-BW190,-0.35*(BW189+BW190)))</f>
        <v>19</v>
      </c>
      <c r="BX191" s="262">
        <f>IF(ISNUMBER(BX192),BX192,IF(ISNUMBER(BX197),(BX197-BX154)*BX195-BX189-BX190,-0.35*(BX189+BX190)))</f>
        <v>19</v>
      </c>
      <c r="BY191" s="263">
        <f>-BY193*(BY189+BY190)</f>
        <v>19.11</v>
      </c>
      <c r="BZ191" s="263">
        <f>-BZ193*(BZ189+BZ190)</f>
        <v>19.11</v>
      </c>
      <c r="CA191" s="263">
        <f>SUM(BW191:BZ191)</f>
        <v>76.22</v>
      </c>
      <c r="CB191" s="263">
        <f>-CB193*(CB189+CB190)</f>
        <v>73.5</v>
      </c>
      <c r="CC191" s="263">
        <f>-CC193*(CC189+CC190)</f>
        <v>63</v>
      </c>
      <c r="CD191" s="263">
        <f>-CD193*(CD189+CD190)</f>
        <v>52.5</v>
      </c>
      <c r="CE191" s="263">
        <f>-CE193*(CE189+CE190)</f>
        <v>42</v>
      </c>
      <c r="CF191" s="263">
        <f>-CF193*(CF189+CF190)</f>
        <v>31.5</v>
      </c>
      <c r="CG191" s="19" t="inlineStr">
        <is>
          <t>2018+: as published ("calculated using the U.S. corporate statutory tax rate"). 2011–17: derived = (published core EPS − GAAP EPS) × diluted shares − pre-tax item. 2008–10 (not published): model at the 35% statutory rate. Forecast: −21% × pre-tax adjustments.</t>
        </is>
      </c>
    </row>
    <row r="192" ht="15" customHeight="1" s="251">
      <c r="B192" s="156" t="inlineStr">
        <is>
          <t xml:space="preserve">  Memo: company-published provision for deferred taxes on adjustments (2018+)</t>
        </is>
      </c>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c r="V192" s="34" t="n"/>
      <c r="W192" s="34" t="n"/>
      <c r="X192" s="34" t="n"/>
      <c r="Y192" s="34" t="n"/>
      <c r="Z192" s="34" t="n"/>
      <c r="AA192" s="34" t="n"/>
      <c r="AB192" s="34" t="n"/>
      <c r="AC192" s="34" t="n"/>
      <c r="AD192" s="34" t="n"/>
      <c r="AE192" s="34" t="n"/>
      <c r="AF192" s="34" t="n"/>
      <c r="AG192" s="34" t="n"/>
      <c r="AH192" s="34" t="n"/>
      <c r="AI192" s="266" t="n">
        <v>80</v>
      </c>
      <c r="AJ192" s="266" t="n">
        <v>63</v>
      </c>
      <c r="AK192" s="266" t="n">
        <v>75</v>
      </c>
      <c r="AL192" s="266" t="n">
        <v>69</v>
      </c>
      <c r="AM192" s="266" t="n">
        <v>287</v>
      </c>
      <c r="AN192" s="266" t="n">
        <v>90</v>
      </c>
      <c r="AO192" s="266" t="n">
        <v>91</v>
      </c>
      <c r="AP192" s="266" t="n">
        <v>90</v>
      </c>
      <c r="AQ192" s="266" t="n">
        <v>82</v>
      </c>
      <c r="AR192" s="266" t="n">
        <v>353</v>
      </c>
      <c r="AS192" s="266" t="n">
        <v>88</v>
      </c>
      <c r="AT192" s="266" t="n">
        <v>89</v>
      </c>
      <c r="AU192" s="266" t="n">
        <v>90</v>
      </c>
      <c r="AV192" s="266" t="n">
        <v>91</v>
      </c>
      <c r="AW192" s="266" t="n">
        <v>358</v>
      </c>
      <c r="AX192" s="266" t="n">
        <v>95</v>
      </c>
      <c r="AY192" s="266" t="n">
        <v>94</v>
      </c>
      <c r="AZ192" s="266" t="n">
        <v>64</v>
      </c>
      <c r="BA192" s="266" t="n">
        <v>104</v>
      </c>
      <c r="BB192" s="266" t="n">
        <v>357</v>
      </c>
      <c r="BC192" s="266" t="n">
        <v>109</v>
      </c>
      <c r="BD192" s="266" t="n">
        <v>109</v>
      </c>
      <c r="BE192" s="266" t="n">
        <v>109</v>
      </c>
      <c r="BF192" s="266" t="n">
        <v>110</v>
      </c>
      <c r="BG192" s="266" t="n">
        <v>437</v>
      </c>
      <c r="BH192" s="266" t="n">
        <v>92</v>
      </c>
      <c r="BI192" s="266" t="n">
        <v>92</v>
      </c>
      <c r="BJ192" s="266" t="n">
        <v>90</v>
      </c>
      <c r="BK192" s="266" t="n">
        <v>70</v>
      </c>
      <c r="BL192" s="266" t="n">
        <v>345</v>
      </c>
      <c r="BM192" s="266" t="n">
        <v>93</v>
      </c>
      <c r="BN192" s="266" t="n">
        <v>93</v>
      </c>
      <c r="BO192" s="266" t="n">
        <v>77</v>
      </c>
      <c r="BP192" s="266" t="n">
        <v>84</v>
      </c>
      <c r="BQ192" s="266" t="n">
        <v>347</v>
      </c>
      <c r="BR192" s="266" t="n">
        <v>65</v>
      </c>
      <c r="BS192" s="266" t="n">
        <v>64</v>
      </c>
      <c r="BT192" s="266" t="n">
        <v>66</v>
      </c>
      <c r="BU192" s="266" t="n">
        <v>66</v>
      </c>
      <c r="BV192" s="266" t="n">
        <v>260</v>
      </c>
      <c r="BW192" s="266" t="n">
        <v>19</v>
      </c>
      <c r="BX192" s="266" t="n">
        <v>19</v>
      </c>
      <c r="BY192" s="153" t="n"/>
      <c r="BZ192" s="153" t="n"/>
      <c r="CA192" s="153" t="n"/>
      <c r="CB192" s="153" t="n"/>
      <c r="CC192" s="153" t="n"/>
      <c r="CD192" s="153" t="n"/>
      <c r="CE192" s="153" t="n"/>
      <c r="CF192" s="153" t="n"/>
      <c r="CG192" s="153" t="n"/>
    </row>
    <row r="193" ht="15" customHeight="1" s="251">
      <c r="B193" s="25" t="inlineStr">
        <is>
          <t xml:space="preserve">  Tax rate on adjustments (U.S. statutory, company method)</t>
        </is>
      </c>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c r="AF193" s="36" t="n"/>
      <c r="AG193" s="36" t="n"/>
      <c r="AH193" s="36" t="n"/>
      <c r="AI193" s="36" t="n"/>
      <c r="AJ193" s="36" t="n"/>
      <c r="AK193" s="36" t="n"/>
      <c r="AL193" s="36" t="n"/>
      <c r="AM193" s="36" t="n"/>
      <c r="AN193" s="36" t="n"/>
      <c r="AO193" s="36" t="n"/>
      <c r="AP193" s="36" t="n"/>
      <c r="AQ193" s="36" t="n"/>
      <c r="AR193" s="36" t="n"/>
      <c r="AS193" s="36" t="n"/>
      <c r="AT193" s="36" t="n"/>
      <c r="AU193" s="36" t="n"/>
      <c r="AV193" s="36" t="n"/>
      <c r="AW193" s="36" t="n"/>
      <c r="AX193" s="36" t="n"/>
      <c r="AY193" s="36" t="n"/>
      <c r="AZ193" s="36" t="n"/>
      <c r="BA193" s="36" t="n"/>
      <c r="BB193" s="36" t="n"/>
      <c r="BC193" s="36" t="n"/>
      <c r="BD193" s="36" t="n"/>
      <c r="BE193" s="36" t="n"/>
      <c r="BF193" s="36" t="n"/>
      <c r="BG193" s="36" t="n"/>
      <c r="BH193" s="36" t="n"/>
      <c r="BI193" s="36" t="n"/>
      <c r="BJ193" s="36" t="n"/>
      <c r="BK193" s="36" t="n"/>
      <c r="BL193" s="36" t="n"/>
      <c r="BM193" s="36" t="n"/>
      <c r="BN193" s="36" t="n"/>
      <c r="BO193" s="36" t="n"/>
      <c r="BP193" s="36" t="n"/>
      <c r="BQ193" s="36" t="n"/>
      <c r="BR193" s="36" t="n"/>
      <c r="BS193" s="36" t="n"/>
      <c r="BT193" s="36" t="n"/>
      <c r="BU193" s="36" t="n"/>
      <c r="BV193" s="36" t="n"/>
      <c r="BW193" s="36" t="n"/>
      <c r="BX193" s="36" t="n"/>
      <c r="BY193" s="270" t="n">
        <v>0.21</v>
      </c>
      <c r="BZ193" s="270" t="n">
        <v>0.21</v>
      </c>
      <c r="CA193" s="24" t="n"/>
      <c r="CB193" s="270" t="n">
        <v>0.21</v>
      </c>
      <c r="CC193" s="270" t="n">
        <v>0.21</v>
      </c>
      <c r="CD193" s="270" t="n">
        <v>0.21</v>
      </c>
      <c r="CE193" s="270" t="n">
        <v>0.21</v>
      </c>
      <c r="CF193" s="270" t="n">
        <v>0.21</v>
      </c>
      <c r="CG193" s="153" t="n"/>
    </row>
    <row r="194" ht="15" customHeight="1" s="251">
      <c r="B194" s="55" t="inlineStr">
        <is>
          <t xml:space="preserve">  = Core earnings / (loss) for EPS (model bridge)</t>
        </is>
      </c>
      <c r="C194" s="275">
        <f>C188+C189+C190+C191</f>
        <v>2215</v>
      </c>
      <c r="D194" s="275">
        <f>D188+D189+D190+D191</f>
        <v>4519.9</v>
      </c>
      <c r="E194" s="275">
        <f>E188+E189+E190+E191</f>
        <v>2888.55</v>
      </c>
      <c r="F194" s="275">
        <f>F188+F189+F190+F191</f>
        <v>1300.95</v>
      </c>
      <c r="G194" s="275">
        <f>G188+G189+G190+G191</f>
        <v>3310.25</v>
      </c>
      <c r="H194" s="275">
        <f>H188+H189+H190+H191</f>
        <v>4356.895</v>
      </c>
      <c r="I194" s="275">
        <f>I188+I189+I190+I191</f>
        <v>4488.126</v>
      </c>
      <c r="J194" s="275">
        <f>J188+J189+J190+J191</f>
        <v>1328.923</v>
      </c>
      <c r="K194" s="275">
        <f>K188+K189+K190+K191</f>
        <v>1288.668</v>
      </c>
      <c r="L194" s="275">
        <f>L188+L189+L190+L191</f>
        <v>1381.039</v>
      </c>
      <c r="M194" s="275">
        <f>M188+M189+M190+M191</f>
        <v>1440.468</v>
      </c>
      <c r="N194" s="275">
        <f>N188+N189+N190+N191</f>
        <v>5439.145</v>
      </c>
      <c r="O194" s="275">
        <f>O188+O189+O190+O191</f>
        <v>1326.968</v>
      </c>
      <c r="P194" s="275">
        <f>P188+P189+P190+P191</f>
        <v>1786.218</v>
      </c>
      <c r="Q194" s="275">
        <f>Q188+Q189+Q190+Q191</f>
        <v>1566.932</v>
      </c>
      <c r="R194" s="275">
        <f>R188+R189+R190+R191</f>
        <v>1676.192</v>
      </c>
      <c r="S194" s="275">
        <f>S188+S189+S190+S191</f>
        <v>6346.36</v>
      </c>
      <c r="T194" s="275">
        <f>T188+T189+T190+T191</f>
        <v>1407.42</v>
      </c>
      <c r="U194" s="275">
        <f>U188+U189+U190+U191</f>
        <v>1130.967</v>
      </c>
      <c r="V194" s="275">
        <f>V188+V189+V190+V191</f>
        <v>1738.45</v>
      </c>
      <c r="W194" s="275">
        <f>W188+W189+W190+W191</f>
        <v>1087.308</v>
      </c>
      <c r="X194" s="275">
        <f>X188+X189+X190+X191</f>
        <v>5370.908</v>
      </c>
      <c r="Y194" s="275">
        <f>Y188+Y189+Y190+Y191</f>
        <v>1159.078</v>
      </c>
      <c r="Z194" s="275">
        <f>Z188+Z189+Z190+Z191</f>
        <v>-278.541</v>
      </c>
      <c r="AA194" s="275">
        <f>AA188+AA189+AA190+AA191</f>
        <v>2222.057</v>
      </c>
      <c r="AB194" s="275">
        <f>AB188+AB189+AB190+AB191</f>
        <v>1555.364</v>
      </c>
      <c r="AC194" s="275">
        <f>AC188+AC189+AC190+AC191</f>
        <v>4656.794</v>
      </c>
      <c r="AD194" s="275">
        <f>AD188+AD189+AD190+AD191</f>
        <v>1246.004</v>
      </c>
      <c r="AE194" s="275">
        <f>AE188+AE189+AE190+AE191</f>
        <v>1553.736</v>
      </c>
      <c r="AF194" s="275">
        <f>AF188+AF189+AF190+AF191</f>
        <v>1646.858</v>
      </c>
      <c r="AG194" s="275">
        <f>AG188+AG189+AG190+AG191</f>
        <v>2902.062</v>
      </c>
      <c r="AH194" s="275">
        <f>AH188+AH189+AH190+AH191</f>
        <v>7348.127</v>
      </c>
      <c r="AI194" s="275">
        <f>AI188+AI189+AI190+AI191</f>
        <v>2174</v>
      </c>
      <c r="AJ194" s="275">
        <f>AJ188+AJ189+AJ190+AJ191</f>
        <v>1960</v>
      </c>
      <c r="AK194" s="275">
        <f>AK188+AK189+AK190+AK191</f>
        <v>2080</v>
      </c>
      <c r="AL194" s="275">
        <f>AL188+AL189+AL190+AL191</f>
        <v>3164</v>
      </c>
      <c r="AM194" s="275">
        <f>AM188+AM189+AM190+AM191</f>
        <v>9378</v>
      </c>
      <c r="AN194" s="275">
        <f>AN188+AN189+AN190+AN191</f>
        <v>1809</v>
      </c>
      <c r="AO194" s="275">
        <f>AO188+AO189+AO190+AO191</f>
        <v>-3284</v>
      </c>
      <c r="AP194" s="275">
        <f>AP188+AP189+AP190+AP191</f>
        <v>827</v>
      </c>
      <c r="AQ194" s="275">
        <f>AQ188+AQ189+AQ190+AQ191</f>
        <v>-1317</v>
      </c>
      <c r="AR194" s="275">
        <f>AR188+AR189+AR190+AR191</f>
        <v>-1965</v>
      </c>
      <c r="AS194" s="275">
        <f>AS188+AS189+AS190+AS191</f>
        <v>-961</v>
      </c>
      <c r="AT194" s="275">
        <f>AT188+AT189+AT190+AT191</f>
        <v>-2712</v>
      </c>
      <c r="AU194" s="275">
        <f>AU188+AU189+AU190+AU191</f>
        <v>-786</v>
      </c>
      <c r="AV194" s="275">
        <f>AV188+AV189+AV190+AV191</f>
        <v>-8763</v>
      </c>
      <c r="AW194" s="275">
        <f>AW188+AW189+AW190+AW191</f>
        <v>-13222</v>
      </c>
      <c r="AX194" s="275">
        <f>AX188+AX189+AX190+AX191</f>
        <v>-894</v>
      </c>
      <c r="AY194" s="275">
        <f>AY188+AY189+AY190+AY191</f>
        <v>233</v>
      </c>
      <c r="AZ194" s="275">
        <f>AZ188+AZ189+AZ190+AZ191</f>
        <v>-350</v>
      </c>
      <c r="BA194" s="275">
        <f>BA188+BA189+BA190+BA191</f>
        <v>-4536</v>
      </c>
      <c r="BB194" s="275">
        <f>BB188+BB189+BB190+BB191</f>
        <v>-5547</v>
      </c>
      <c r="BC194" s="275">
        <f>BC188+BC189+BC190+BC191</f>
        <v>-1628</v>
      </c>
      <c r="BD194" s="275">
        <f>BD188+BD189+BD190+BD191</f>
        <v>-217</v>
      </c>
      <c r="BE194" s="275">
        <f>BE188+BE189+BE190+BE191</f>
        <v>-3685</v>
      </c>
      <c r="BF194" s="275">
        <f>BF188+BF189+BF190+BF191</f>
        <v>-1050</v>
      </c>
      <c r="BG194" s="275">
        <f>BG188+BG189+BG190+BG191</f>
        <v>-6580</v>
      </c>
      <c r="BH194" s="275">
        <f>BH188+BH189+BH190+BH191</f>
        <v>-762</v>
      </c>
      <c r="BI194" s="275">
        <f>BI188+BI189+BI190+BI191</f>
        <v>-496</v>
      </c>
      <c r="BJ194" s="275">
        <f>BJ188+BJ189+BJ190+BJ191</f>
        <v>-1976</v>
      </c>
      <c r="BK194" s="275">
        <f>BK188+BK189+BK190+BK191</f>
        <v>-287</v>
      </c>
      <c r="BL194" s="275">
        <f>BL188+BL189+BL190+BL191</f>
        <v>-3520</v>
      </c>
      <c r="BM194" s="275">
        <f>BM188+BM189+BM190+BM191</f>
        <v>-693</v>
      </c>
      <c r="BN194" s="275">
        <f>BN188+BN189+BN190+BN191</f>
        <v>-1789</v>
      </c>
      <c r="BO194" s="275">
        <f>BO188+BO189+BO190+BO191</f>
        <v>-6462</v>
      </c>
      <c r="BP194" s="275">
        <f>BP188+BP189+BP190+BP191</f>
        <v>-4237</v>
      </c>
      <c r="BQ194" s="275">
        <f>BQ188+BQ189+BQ190+BQ191</f>
        <v>-13181</v>
      </c>
      <c r="BR194" s="275">
        <f>BR188+BR189+BR190+BR191</f>
        <v>-368</v>
      </c>
      <c r="BS194" s="275">
        <f>BS188+BS189+BS190+BS191</f>
        <v>-936</v>
      </c>
      <c r="BT194" s="275">
        <f>BT188+BT189+BT190+BT191</f>
        <v>-5673</v>
      </c>
      <c r="BU194" s="275">
        <f>BU188+BU189+BU190+BU191</f>
        <v>7974</v>
      </c>
      <c r="BV194" s="275">
        <f>BV188+BV189+BV190+BV191</f>
        <v>910</v>
      </c>
      <c r="BW194" s="275">
        <f>BW188+BW189+BW190+BW191</f>
        <v>-161</v>
      </c>
      <c r="BX194" s="275">
        <f>BX188+BX189+BX190+BX191</f>
        <v>-602</v>
      </c>
      <c r="BY194" s="275">
        <f>BY188+BY189+BY190+BY191</f>
        <v>37.9991647023722</v>
      </c>
      <c r="BZ194" s="275">
        <f>BZ188+BZ189+BZ190+BZ191</f>
        <v>28.3215690643739</v>
      </c>
      <c r="CA194" s="275">
        <f>CA188+CA189+CA190+CA191</f>
        <v>-696.679266233254</v>
      </c>
      <c r="CB194" s="275">
        <f>CB188+CB189+CB190+CB191</f>
        <v>3539.42521446473</v>
      </c>
      <c r="CC194" s="275">
        <f>CC188+CC189+CC190+CC191</f>
        <v>6082.9198368872</v>
      </c>
      <c r="CD194" s="275">
        <f>CD188+CD189+CD190+CD191</f>
        <v>8640.49501465415</v>
      </c>
      <c r="CE194" s="275">
        <f>CE188+CE189+CE190+CE191</f>
        <v>10066.520127937</v>
      </c>
      <c r="CF194" s="275">
        <f>CF188+CF189+CF190+CF191</f>
        <v>10904.274206628</v>
      </c>
      <c r="CG194" s="153" t="n"/>
      <c r="CI194" s="20" t="str">
        <f>IFERROR(IF(AND(CF194&gt;0,CA194&gt;0),(CF194/CA194)^(1/5)-1,"n/m"),"n/m")</f>
        <v>n/m</v>
      </c>
      <c r="CJ194" s="20" t="str">
        <f>IFERROR(IF(AND(BV194&gt;0,AW194&gt;0),(BV194/AW194)^(1/5)-1,"n/m"),"n/m")</f>
        <v>n/m</v>
      </c>
      <c r="CK194" s="20">
        <f>IFERROR(IF(AND(BV194&gt;0,X194&gt;0),(BV194/X194)^(1/10)-1,"n/m"),"n/m")</f>
        <v>-0.162664762618745</v>
      </c>
      <c r="CL194" s="20">
        <f>IFERROR(IF(AND(BV194&gt;0,C194&gt;0),(BV194/C194)^(1/19)-1,"n/m"),"n/m")</f>
        <v>-0.0457400015767394</v>
      </c>
    </row>
    <row r="195" ht="15" customHeight="1" s="251">
      <c r="B195" s="25" t="inlineStr">
        <is>
          <t xml:space="preserve">  Weighted-average diluted shares (m)</t>
        </is>
      </c>
      <c r="C195" s="262">
        <f>C151</f>
        <v>787.6</v>
      </c>
      <c r="D195" s="262">
        <f>D151</f>
        <v>772.5</v>
      </c>
      <c r="E195" s="262">
        <f>E151</f>
        <v>729</v>
      </c>
      <c r="F195" s="262">
        <f>F151</f>
        <v>713.4</v>
      </c>
      <c r="G195" s="262">
        <f>G151</f>
        <v>744.3</v>
      </c>
      <c r="H195" s="262">
        <f>H151</f>
        <v>753.1</v>
      </c>
      <c r="I195" s="262">
        <f>I151</f>
        <v>763.8</v>
      </c>
      <c r="J195" s="262">
        <f>J151</f>
        <v>768.7</v>
      </c>
      <c r="K195" s="262">
        <f>K151</f>
        <v>771.8</v>
      </c>
      <c r="L195" s="262">
        <f>L151</f>
        <v>769.1</v>
      </c>
      <c r="M195" s="262">
        <f>M151</f>
        <v>768.4</v>
      </c>
      <c r="N195" s="262">
        <f>N151</f>
        <v>769.5</v>
      </c>
      <c r="O195" s="262">
        <f>O151</f>
        <v>754.1</v>
      </c>
      <c r="P195" s="262">
        <f>P151</f>
        <v>740.1</v>
      </c>
      <c r="Q195" s="262">
        <f>Q151</f>
        <v>731.9</v>
      </c>
      <c r="R195" s="262">
        <f>R151</f>
        <v>724.8</v>
      </c>
      <c r="S195" s="262">
        <f>S151</f>
        <v>738</v>
      </c>
      <c r="T195" s="262">
        <f>T151</f>
        <v>714.2</v>
      </c>
      <c r="U195" s="262">
        <f>U151</f>
        <v>698.9</v>
      </c>
      <c r="V195" s="262">
        <f>V151</f>
        <v>689</v>
      </c>
      <c r="W195" s="262">
        <f>W151</f>
        <v>681.2</v>
      </c>
      <c r="X195" s="262">
        <f>X151</f>
        <v>696.1</v>
      </c>
      <c r="Y195" s="262">
        <f>Y151</f>
        <v>665.8</v>
      </c>
      <c r="Z195" s="262">
        <f>Z151</f>
        <v>636.3</v>
      </c>
      <c r="AA195" s="262">
        <f>AA151</f>
        <v>632.7</v>
      </c>
      <c r="AB195" s="262">
        <f>AB151</f>
        <v>630.3</v>
      </c>
      <c r="AC195" s="262">
        <f>AC151</f>
        <v>643.8</v>
      </c>
      <c r="AD195" s="262">
        <f>AD151</f>
        <v>621.2</v>
      </c>
      <c r="AE195" s="262">
        <f>AE151</f>
        <v>609.6</v>
      </c>
      <c r="AF195" s="262">
        <f>AF151</f>
        <v>606.3</v>
      </c>
      <c r="AG195" s="262">
        <f>AG151</f>
        <v>605.1</v>
      </c>
      <c r="AH195" s="262">
        <f>AH151</f>
        <v>610.7</v>
      </c>
      <c r="AI195" s="262">
        <f>AI151</f>
        <v>597.2</v>
      </c>
      <c r="AJ195" s="262">
        <f>AJ151</f>
        <v>588.7</v>
      </c>
      <c r="AK195" s="262">
        <f>AK151</f>
        <v>580.8</v>
      </c>
      <c r="AL195" s="262">
        <f>AL151</f>
        <v>577.5</v>
      </c>
      <c r="AM195" s="262">
        <f>AM151</f>
        <v>586.2</v>
      </c>
      <c r="AN195" s="262">
        <f>AN151</f>
        <v>572.4</v>
      </c>
      <c r="AO195" s="262">
        <f>AO151</f>
        <v>565.3</v>
      </c>
      <c r="AP195" s="262">
        <f>AP151</f>
        <v>569.2</v>
      </c>
      <c r="AQ195" s="262">
        <f>AQ151</f>
        <v>565.4</v>
      </c>
      <c r="AR195" s="262">
        <f>AR151</f>
        <v>566</v>
      </c>
      <c r="AS195" s="262">
        <f>AS151</f>
        <v>565.9</v>
      </c>
      <c r="AT195" s="262">
        <f>AT151</f>
        <v>566.4</v>
      </c>
      <c r="AU195" s="262">
        <f>AU151</f>
        <v>566.6</v>
      </c>
      <c r="AV195" s="262">
        <f>AV151</f>
        <v>575.4</v>
      </c>
      <c r="AW195" s="262">
        <f>AW151</f>
        <v>569</v>
      </c>
      <c r="AX195" s="262">
        <f>AX151</f>
        <v>585.4</v>
      </c>
      <c r="AY195" s="262">
        <f>AY151</f>
        <v>590.2</v>
      </c>
      <c r="AZ195" s="262">
        <f>AZ151</f>
        <v>589</v>
      </c>
      <c r="BA195" s="262">
        <f>BA151</f>
        <v>590.3</v>
      </c>
      <c r="BB195" s="262">
        <f>BB151</f>
        <v>588</v>
      </c>
      <c r="BC195" s="262">
        <f>BC151</f>
        <v>591.7</v>
      </c>
      <c r="BD195" s="262">
        <f>BD151</f>
        <v>596.4</v>
      </c>
      <c r="BE195" s="262">
        <f>BE151</f>
        <v>596.3</v>
      </c>
      <c r="BF195" s="262">
        <f>BF151</f>
        <v>598.9</v>
      </c>
      <c r="BG195" s="262">
        <f>BG151</f>
        <v>595.2</v>
      </c>
      <c r="BH195" s="262">
        <f>BH151</f>
        <v>602.5</v>
      </c>
      <c r="BI195" s="262">
        <f>BI151</f>
        <v>605.5</v>
      </c>
      <c r="BJ195" s="262">
        <f>BJ151</f>
        <v>607.2</v>
      </c>
      <c r="BK195" s="262">
        <f>BK151</f>
        <v>609.5</v>
      </c>
      <c r="BL195" s="262">
        <f>BL151</f>
        <v>606.1</v>
      </c>
      <c r="BM195" s="262">
        <f>BM151</f>
        <v>613.2</v>
      </c>
      <c r="BN195" s="262">
        <f>BN151</f>
        <v>616.6</v>
      </c>
      <c r="BO195" s="262">
        <f>BO151</f>
        <v>618.8</v>
      </c>
      <c r="BP195" s="262">
        <f>BP151</f>
        <v>718.1</v>
      </c>
      <c r="BQ195" s="262">
        <f>BQ151</f>
        <v>647.2</v>
      </c>
      <c r="BR195" s="262">
        <f>BR151</f>
        <v>753.4</v>
      </c>
      <c r="BS195" s="262">
        <f>BS151</f>
        <v>756.6</v>
      </c>
      <c r="BT195" s="262">
        <f>BT151</f>
        <v>759.9</v>
      </c>
      <c r="BU195" s="262">
        <f>BU151</f>
        <v>803.8</v>
      </c>
      <c r="BV195" s="262">
        <f>BV151</f>
        <v>762.3</v>
      </c>
      <c r="BW195" s="262">
        <f>BW151</f>
        <v>788</v>
      </c>
      <c r="BX195" s="262">
        <f>BX151</f>
        <v>790.6</v>
      </c>
      <c r="BY195" s="263">
        <f>BY151</f>
        <v>792.910810810811</v>
      </c>
      <c r="BZ195" s="263">
        <f>BZ151</f>
        <v>795.221621621622</v>
      </c>
      <c r="CA195" s="263">
        <f>CA151</f>
        <v>791.683108108108</v>
      </c>
      <c r="CB195" s="263">
        <f>CB151</f>
        <v>848.817492279279</v>
      </c>
      <c r="CC195" s="263">
        <f>CC151</f>
        <v>848.744070369703</v>
      </c>
      <c r="CD195" s="263">
        <f>CD151</f>
        <v>827.693043412813</v>
      </c>
      <c r="CE195" s="263">
        <f>CE151</f>
        <v>775.033417305777</v>
      </c>
      <c r="CF195" s="263">
        <f>CF151</f>
        <v>723.145436125302</v>
      </c>
      <c r="CG195" s="19" t="n"/>
    </row>
    <row r="196" ht="15" customHeight="1" s="251">
      <c r="B196" s="55" t="inlineStr">
        <is>
          <t>Core earnings / (loss) per share ($) (model bridge)</t>
        </is>
      </c>
      <c r="C196" s="285">
        <f>IF(AND(ISNUMBER(C194),ISNUMBER(C195)),IFERROR(C194/C195,""),"")</f>
        <v>2.81234128999492</v>
      </c>
      <c r="D196" s="285">
        <f>IF(AND(ISNUMBER(D194),ISNUMBER(D195)),IFERROR(D194/D195,""),"")</f>
        <v>5.85100323624595</v>
      </c>
      <c r="E196" s="285">
        <f>IF(AND(ISNUMBER(E194),ISNUMBER(E195)),IFERROR(E194/E195,""),"")</f>
        <v>3.96234567901235</v>
      </c>
      <c r="F196" s="285">
        <f>IF(AND(ISNUMBER(F194),ISNUMBER(F195)),IFERROR(F194/F195,""),"")</f>
        <v>1.82359125315391</v>
      </c>
      <c r="G196" s="285">
        <f>IF(AND(ISNUMBER(G194),ISNUMBER(G195)),IFERROR(G194/G195,""),"")</f>
        <v>4.44746741905146</v>
      </c>
      <c r="H196" s="285">
        <f>IF(AND(ISNUMBER(H194),ISNUMBER(H195)),IFERROR(H194/H195,""),"")</f>
        <v>5.78528083919798</v>
      </c>
      <c r="I196" s="285">
        <f>IF(AND(ISNUMBER(I194),ISNUMBER(I195)),IFERROR(I194/I195,""),"")</f>
        <v>5.87604870384917</v>
      </c>
      <c r="J196" s="285">
        <f>IF(AND(ISNUMBER(J194),ISNUMBER(J195)),IFERROR(J194/J195,""),"")</f>
        <v>1.72879276700924</v>
      </c>
      <c r="K196" s="285">
        <f>IF(AND(ISNUMBER(K194),ISNUMBER(K195)),IFERROR(K194/K195,""),"")</f>
        <v>1.66969162995595</v>
      </c>
      <c r="L196" s="285">
        <f>IF(AND(ISNUMBER(L194),ISNUMBER(L195)),IFERROR(L194/L195,""),"")</f>
        <v>1.79565596151346</v>
      </c>
      <c r="M196" s="285">
        <f>IF(AND(ISNUMBER(M194),ISNUMBER(M195)),IFERROR(M194/M195,""),"")</f>
        <v>1.87463300364394</v>
      </c>
      <c r="N196" s="285">
        <f>IF(AND(ISNUMBER(N194),ISNUMBER(N195)),IFERROR(N194/N195,""),"")</f>
        <v>7.06841455490578</v>
      </c>
      <c r="O196" s="285">
        <f>IF(AND(ISNUMBER(O194),ISNUMBER(O195)),IFERROR(O194/O195,""),"")</f>
        <v>1.75967113114971</v>
      </c>
      <c r="P196" s="285">
        <f>IF(AND(ISNUMBER(P194),ISNUMBER(P195)),IFERROR(P194/P195,""),"")</f>
        <v>2.41348196189704</v>
      </c>
      <c r="Q196" s="285">
        <f>IF(AND(ISNUMBER(Q194),ISNUMBER(Q195)),IFERROR(Q194/Q195,""),"")</f>
        <v>2.1409099603771</v>
      </c>
      <c r="R196" s="285">
        <f>IF(AND(ISNUMBER(R194),ISNUMBER(R195)),IFERROR(R194/R195,""),"")</f>
        <v>2.31262693156733</v>
      </c>
      <c r="S196" s="285">
        <f>IF(AND(ISNUMBER(S194),ISNUMBER(S195)),IFERROR(S194/S195,""),"")</f>
        <v>8.59940379403794</v>
      </c>
      <c r="T196" s="285">
        <f>IF(AND(ISNUMBER(T194),ISNUMBER(T195)),IFERROR(T194/T195,""),"")</f>
        <v>1.97062447493699</v>
      </c>
      <c r="U196" s="285">
        <f>IF(AND(ISNUMBER(U194),ISNUMBER(U195)),IFERROR(U194/U195,""),"")</f>
        <v>1.61821004435542</v>
      </c>
      <c r="V196" s="285">
        <f>IF(AND(ISNUMBER(V194),ISNUMBER(V195)),IFERROR(V194/V195,""),"")</f>
        <v>2.52314949201742</v>
      </c>
      <c r="W196" s="285">
        <f>IF(AND(ISNUMBER(W194),ISNUMBER(W195)),IFERROR(W194/W195,""),"")</f>
        <v>1.59616559013506</v>
      </c>
      <c r="X196" s="285">
        <f>IF(AND(ISNUMBER(X194),ISNUMBER(X195)),IFERROR(X194/X195,""),"")</f>
        <v>7.71571325958914</v>
      </c>
      <c r="Y196" s="285">
        <f>IF(AND(ISNUMBER(Y194),ISNUMBER(Y195)),IFERROR(Y194/Y195,""),"")</f>
        <v>1.74088014418744</v>
      </c>
      <c r="Z196" s="285">
        <f>IF(AND(ISNUMBER(Z194),ISNUMBER(Z195)),IFERROR(Z194/Z195,""),"")</f>
        <v>-0.437751060820368</v>
      </c>
      <c r="AA196" s="285">
        <f>IF(AND(ISNUMBER(AA194),ISNUMBER(AA195)),IFERROR(AA194/AA195,""),"")</f>
        <v>3.51202307570729</v>
      </c>
      <c r="AB196" s="285">
        <f>IF(AND(ISNUMBER(AB194),ISNUMBER(AB195)),IFERROR(AB194/AB195,""),"")</f>
        <v>2.46765667142631</v>
      </c>
      <c r="AC196" s="285">
        <f>IF(AND(ISNUMBER(AC194),ISNUMBER(AC195)),IFERROR(AC194/AC195,""),"")</f>
        <v>7.23329294812054</v>
      </c>
      <c r="AD196" s="285">
        <f>IF(AND(ISNUMBER(AD194),ISNUMBER(AD195)),IFERROR(AD194/AD195,""),"")</f>
        <v>2.00580167417901</v>
      </c>
      <c r="AE196" s="285">
        <f>IF(AND(ISNUMBER(AE194),ISNUMBER(AE195)),IFERROR(AE194/AE195,""),"")</f>
        <v>2.54877952755906</v>
      </c>
      <c r="AF196" s="285">
        <f>IF(AND(ISNUMBER(AF194),ISNUMBER(AF195)),IFERROR(AF194/AF195,""),"")</f>
        <v>2.71624278410028</v>
      </c>
      <c r="AG196" s="285">
        <f>IF(AND(ISNUMBER(AG194),ISNUMBER(AG195)),IFERROR(AG194/AG195,""),"")</f>
        <v>4.79600396628656</v>
      </c>
      <c r="AH196" s="285">
        <f>IF(AND(ISNUMBER(AH194),ISNUMBER(AH195)),IFERROR(AH194/AH195,""),"")</f>
        <v>12.0323022760766</v>
      </c>
      <c r="AI196" s="285">
        <f>IF(AND(ISNUMBER(AI194),ISNUMBER(AI195)),IFERROR(AI194/AI195,""),"")</f>
        <v>3.6403215003349</v>
      </c>
      <c r="AJ196" s="285">
        <f>IF(AND(ISNUMBER(AJ194),ISNUMBER(AJ195)),IFERROR(AJ194/AJ195,""),"")</f>
        <v>3.32936979785969</v>
      </c>
      <c r="AK196" s="285">
        <f>IF(AND(ISNUMBER(AK194),ISNUMBER(AK195)),IFERROR(AK194/AK195,""),"")</f>
        <v>3.58126721763085</v>
      </c>
      <c r="AL196" s="285">
        <f>IF(AND(ISNUMBER(AL194),ISNUMBER(AL195)),IFERROR(AL194/AL195,""),"")</f>
        <v>5.47878787878788</v>
      </c>
      <c r="AM196" s="285">
        <f>IF(AND(ISNUMBER(AM194),ISNUMBER(AM195)),IFERROR(AM194/AM195,""),"")</f>
        <v>15.9979529170931</v>
      </c>
      <c r="AN196" s="285">
        <f>IF(AND(ISNUMBER(AN194),ISNUMBER(AN195)),IFERROR(AN194/AN195,""),"")</f>
        <v>3.16037735849057</v>
      </c>
      <c r="AO196" s="285">
        <f>IF(AND(ISNUMBER(AO194),ISNUMBER(AO195)),IFERROR(AO194/AO195,""),"")</f>
        <v>-5.80930479391474</v>
      </c>
      <c r="AP196" s="285">
        <f>IF(AND(ISNUMBER(AP194),ISNUMBER(AP195)),IFERROR(AP194/AP195,""),"")</f>
        <v>1.45291637385805</v>
      </c>
      <c r="AQ196" s="285">
        <f>IF(AND(ISNUMBER(AQ194),ISNUMBER(AQ195)),IFERROR(AQ194/AQ195,""),"")</f>
        <v>-2.32932437212593</v>
      </c>
      <c r="AR196" s="285">
        <f>IF(AND(ISNUMBER(AR194),ISNUMBER(AR195)),IFERROR(AR194/AR195,""),"")</f>
        <v>-3.47173144876325</v>
      </c>
      <c r="AS196" s="285">
        <f>IF(AND(ISNUMBER(AS194),ISNUMBER(AS195)),IFERROR(AS194/AS195,""),"")</f>
        <v>-1.69817989044001</v>
      </c>
      <c r="AT196" s="285">
        <f>IF(AND(ISNUMBER(AT194),ISNUMBER(AT195)),IFERROR(AT194/AT195,""),"")</f>
        <v>-4.78813559322034</v>
      </c>
      <c r="AU196" s="285">
        <f>IF(AND(ISNUMBER(AU194),ISNUMBER(AU195)),IFERROR(AU194/AU195,""),"")</f>
        <v>-1.38722202612072</v>
      </c>
      <c r="AV196" s="285">
        <f>IF(AND(ISNUMBER(AV194),ISNUMBER(AV195)),IFERROR(AV194/AV195,""),"")</f>
        <v>-15.2294056308655</v>
      </c>
      <c r="AW196" s="285">
        <f>IF(AND(ISNUMBER(AW194),ISNUMBER(AW195)),IFERROR(AW194/AW195,""),"")</f>
        <v>-23.2372583479789</v>
      </c>
      <c r="AX196" s="285">
        <f>IF(AND(ISNUMBER(AX194),ISNUMBER(AX195)),IFERROR(AX194/AX195,""),"")</f>
        <v>-1.52716091561326</v>
      </c>
      <c r="AY196" s="285">
        <f>IF(AND(ISNUMBER(AY194),ISNUMBER(AY195)),IFERROR(AY194/AY195,""),"")</f>
        <v>0.394781430023721</v>
      </c>
      <c r="AZ196" s="285">
        <f>IF(AND(ISNUMBER(AZ194),ISNUMBER(AZ195)),IFERROR(AZ194/AZ195,""),"")</f>
        <v>-0.594227504244482</v>
      </c>
      <c r="BA196" s="285">
        <f>IF(AND(ISNUMBER(BA194),ISNUMBER(BA195)),IFERROR(BA194/BA195,""),"")</f>
        <v>-7.6842283584618</v>
      </c>
      <c r="BB196" s="285">
        <f>IF(AND(ISNUMBER(BB194),ISNUMBER(BB195)),IFERROR(BB194/BB195,""),"")</f>
        <v>-9.43367346938776</v>
      </c>
      <c r="BC196" s="285">
        <f>IF(AND(ISNUMBER(BC194),ISNUMBER(BC195)),IFERROR(BC194/BC195,""),"")</f>
        <v>-2.75139428764577</v>
      </c>
      <c r="BD196" s="285">
        <f>IF(AND(ISNUMBER(BD194),ISNUMBER(BD195)),IFERROR(BD194/BD195,""),"")</f>
        <v>-0.363849765258216</v>
      </c>
      <c r="BE196" s="285">
        <f>IF(AND(ISNUMBER(BE194),ISNUMBER(BE195)),IFERROR(BE194/BE195,""),"")</f>
        <v>-6.17977528089888</v>
      </c>
      <c r="BF196" s="285">
        <f>IF(AND(ISNUMBER(BF194),ISNUMBER(BF195)),IFERROR(BF194/BF195,""),"")</f>
        <v>-1.75321422608115</v>
      </c>
      <c r="BG196" s="285">
        <f>IF(AND(ISNUMBER(BG194),ISNUMBER(BG195)),IFERROR(BG194/BG195,""),"")</f>
        <v>-11.0551075268817</v>
      </c>
      <c r="BH196" s="285">
        <f>IF(AND(ISNUMBER(BH194),ISNUMBER(BH195)),IFERROR(BH194/BH195,""),"")</f>
        <v>-1.26473029045643</v>
      </c>
      <c r="BI196" s="285">
        <f>IF(AND(ISNUMBER(BI194),ISNUMBER(BI195)),IFERROR(BI194/BI195,""),"")</f>
        <v>-0.819157720891825</v>
      </c>
      <c r="BJ196" s="285">
        <f>IF(AND(ISNUMBER(BJ194),ISNUMBER(BJ195)),IFERROR(BJ194/BJ195,""),"")</f>
        <v>-3.25428194993412</v>
      </c>
      <c r="BK196" s="285">
        <f>IF(AND(ISNUMBER(BK194),ISNUMBER(BK195)),IFERROR(BK194/BK195,""),"")</f>
        <v>-0.470877768662838</v>
      </c>
      <c r="BL196" s="285">
        <f>IF(AND(ISNUMBER(BL194),ISNUMBER(BL195)),IFERROR(BL194/BL195,""),"")</f>
        <v>-5.80762250453721</v>
      </c>
      <c r="BM196" s="285">
        <f>IF(AND(ISNUMBER(BM194),ISNUMBER(BM195)),IFERROR(BM194/BM195,""),"")</f>
        <v>-1.13013698630137</v>
      </c>
      <c r="BN196" s="285">
        <f>IF(AND(ISNUMBER(BN194),ISNUMBER(BN195)),IFERROR(BN194/BN195,""),"")</f>
        <v>-2.90139474537788</v>
      </c>
      <c r="BO196" s="285">
        <f>IF(AND(ISNUMBER(BO194),ISNUMBER(BO195)),IFERROR(BO194/BO195,""),"")</f>
        <v>-10.442792501616</v>
      </c>
      <c r="BP196" s="285">
        <f>IF(AND(ISNUMBER(BP194),ISNUMBER(BP195)),IFERROR(BP194/BP195,""),"")</f>
        <v>-5.90029243837906</v>
      </c>
      <c r="BQ196" s="285">
        <f>IF(AND(ISNUMBER(BQ194),ISNUMBER(BQ195)),IFERROR(BQ194/BQ195,""),"")</f>
        <v>-20.3661928306551</v>
      </c>
      <c r="BR196" s="285">
        <f>IF(AND(ISNUMBER(BR194),ISNUMBER(BR195)),IFERROR(BR194/BR195,""),"")</f>
        <v>-0.488452349349615</v>
      </c>
      <c r="BS196" s="285">
        <f>IF(AND(ISNUMBER(BS194),ISNUMBER(BS195)),IFERROR(BS194/BS195,""),"")</f>
        <v>-1.23711340206186</v>
      </c>
      <c r="BT196" s="285">
        <f>IF(AND(ISNUMBER(BT194),ISNUMBER(BT195)),IFERROR(BT194/BT195,""),"")</f>
        <v>-7.46545598105014</v>
      </c>
      <c r="BU196" s="285">
        <f>IF(AND(ISNUMBER(BU194),ISNUMBER(BU195)),IFERROR(BU194/BU195,""),"")</f>
        <v>9.92037820353322</v>
      </c>
      <c r="BV196" s="285">
        <f>IF(AND(ISNUMBER(BV194),ISNUMBER(BV195)),IFERROR(BV194/BV195,""),"")</f>
        <v>1.19375573921028</v>
      </c>
      <c r="BW196" s="285">
        <f>IF(AND(ISNUMBER(BW194),ISNUMBER(BW195)),IFERROR(BW194/BW195,""),"")</f>
        <v>-0.204314720812183</v>
      </c>
      <c r="BX196" s="285">
        <f>IF(AND(ISNUMBER(BX194),ISNUMBER(BX195)),IFERROR(BX194/BX195,""),"")</f>
        <v>-0.761447002276752</v>
      </c>
      <c r="BY196" s="285">
        <f>IF(AND(ISNUMBER(BY194),ISNUMBER(BY195)),IFERROR(BY194/BY195,""),"")</f>
        <v>0.0479236304818637</v>
      </c>
      <c r="BZ196" s="285">
        <f>IF(AND(ISNUMBER(BZ194),ISNUMBER(BZ195)),IFERROR(BZ194/BZ195,""),"")</f>
        <v>0.0356146868927185</v>
      </c>
      <c r="CA196" s="285">
        <f>IF(AND(ISNUMBER(CA194),ISNUMBER(CA195)),IFERROR(CA194/CA195,""),"")</f>
        <v>-0.879997639330861</v>
      </c>
      <c r="CB196" s="285">
        <f>IF(AND(ISNUMBER(CB194),ISNUMBER(CB195)),IFERROR(CB194/CB195,""),"")</f>
        <v>4.16983067226916</v>
      </c>
      <c r="CC196" s="285">
        <f>IF(AND(ISNUMBER(CC194),ISNUMBER(CC195)),IFERROR(CC194/CC195,""),"")</f>
        <v>7.16696593148221</v>
      </c>
      <c r="CD196" s="285">
        <f>IF(AND(ISNUMBER(CD194),ISNUMBER(CD195)),IFERROR(CD194/CD195,""),"")</f>
        <v>10.4392504968109</v>
      </c>
      <c r="CE196" s="285">
        <f>IF(AND(ISNUMBER(CE194),ISNUMBER(CE195)),IFERROR(CE194/CE195,""),"")</f>
        <v>12.9884981771894</v>
      </c>
      <c r="CF196" s="285">
        <f>IF(AND(ISNUMBER(CF194),ISNUMBER(CF195)),IFERROR(CF194/CF195,""),"")</f>
        <v>15.0789504598886</v>
      </c>
      <c r="CG196" s="19" t="n"/>
    </row>
    <row r="197" ht="15" customHeight="1" s="251">
      <c r="B197" s="156" t="inlineStr">
        <is>
          <t xml:space="preserve">  Company-published core EPS ($)</t>
        </is>
      </c>
      <c r="C197" s="27" t="n"/>
      <c r="D197" s="27" t="n"/>
      <c r="E197" s="27" t="n"/>
      <c r="F197" s="27" t="n"/>
      <c r="G197" s="27" t="n"/>
      <c r="H197" s="286" t="n">
        <v>5.79</v>
      </c>
      <c r="I197" s="286" t="n">
        <v>5.88</v>
      </c>
      <c r="J197" s="286" t="n">
        <v>1.73</v>
      </c>
      <c r="K197" s="286" t="n">
        <v>1.67</v>
      </c>
      <c r="L197" s="286" t="n">
        <v>1.8</v>
      </c>
      <c r="M197" s="286" t="n">
        <v>1.88</v>
      </c>
      <c r="N197" s="286" t="n">
        <v>7.07</v>
      </c>
      <c r="O197" s="286" t="n">
        <v>1.76</v>
      </c>
      <c r="P197" s="286" t="n">
        <v>2.42</v>
      </c>
      <c r="Q197" s="286" t="n">
        <v>2.14</v>
      </c>
      <c r="R197" s="286" t="n">
        <v>2.31</v>
      </c>
      <c r="S197" s="286" t="n">
        <v>8.6</v>
      </c>
      <c r="T197" s="286" t="n">
        <v>1.97</v>
      </c>
      <c r="U197" s="286" t="n">
        <v>1.62</v>
      </c>
      <c r="V197" s="286" t="n">
        <v>2.52</v>
      </c>
      <c r="W197" s="286" t="n">
        <v>1.6</v>
      </c>
      <c r="X197" s="286" t="n">
        <v>7.72</v>
      </c>
      <c r="Y197" s="286" t="n">
        <v>1.74</v>
      </c>
      <c r="Z197" s="286" t="n">
        <v>-0.44</v>
      </c>
      <c r="AA197" s="286" t="n">
        <v>3.51</v>
      </c>
      <c r="AB197" s="286" t="n">
        <v>2.47</v>
      </c>
      <c r="AC197" s="286" t="n">
        <v>7.24</v>
      </c>
      <c r="AD197" s="286" t="n">
        <v>2.01</v>
      </c>
      <c r="AE197" s="286" t="n">
        <v>2.55</v>
      </c>
      <c r="AF197" s="286" t="n">
        <v>2.72</v>
      </c>
      <c r="AG197" s="286" t="n">
        <v>4.8</v>
      </c>
      <c r="AH197" s="286" t="n">
        <v>12.04</v>
      </c>
      <c r="AI197" s="286" t="n">
        <v>3.64</v>
      </c>
      <c r="AJ197" s="286" t="n">
        <v>3.33</v>
      </c>
      <c r="AK197" s="286" t="n">
        <v>3.58</v>
      </c>
      <c r="AL197" s="286" t="n">
        <v>5.48</v>
      </c>
      <c r="AM197" s="286" t="n">
        <v>16.01</v>
      </c>
      <c r="AN197" s="286" t="n">
        <v>3.16</v>
      </c>
      <c r="AO197" s="286" t="n">
        <v>-5.82</v>
      </c>
      <c r="AP197" s="286" t="n">
        <v>1.45</v>
      </c>
      <c r="AQ197" s="286" t="n">
        <v>-2.33</v>
      </c>
      <c r="AR197" s="286" t="n">
        <v>-3.47</v>
      </c>
      <c r="AS197" s="286" t="n">
        <v>-1.7</v>
      </c>
      <c r="AT197" s="286" t="n">
        <v>-4.79</v>
      </c>
      <c r="AU197" s="286" t="n">
        <v>-1.39</v>
      </c>
      <c r="AV197" s="286" t="n">
        <v>-15.25</v>
      </c>
      <c r="AW197" s="286" t="n">
        <v>-23.25</v>
      </c>
      <c r="AX197" s="286" t="n">
        <v>-1.53</v>
      </c>
      <c r="AY197" s="286" t="n">
        <v>0.4</v>
      </c>
      <c r="AZ197" s="286" t="n">
        <v>-0.6</v>
      </c>
      <c r="BA197" s="286" t="n">
        <v>-7.69</v>
      </c>
      <c r="BB197" s="286" t="n">
        <v>-9.44</v>
      </c>
      <c r="BC197" s="286" t="n">
        <v>-2.75</v>
      </c>
      <c r="BD197" s="286" t="n">
        <v>-0.37</v>
      </c>
      <c r="BE197" s="286" t="n">
        <v>-6.18</v>
      </c>
      <c r="BF197" s="286" t="n">
        <v>-1.75</v>
      </c>
      <c r="BG197" s="286" t="n">
        <v>-11.06</v>
      </c>
      <c r="BH197" s="286" t="n">
        <v>-1.27</v>
      </c>
      <c r="BI197" s="286" t="n">
        <v>-0.82</v>
      </c>
      <c r="BJ197" s="286" t="n">
        <v>-3.26</v>
      </c>
      <c r="BK197" s="286" t="n">
        <v>-0.47</v>
      </c>
      <c r="BL197" s="286" t="n">
        <v>-5.81</v>
      </c>
      <c r="BM197" s="286" t="n">
        <v>-1.13</v>
      </c>
      <c r="BN197" s="286" t="n">
        <v>-2.9</v>
      </c>
      <c r="BO197" s="286" t="n">
        <v>-10.44</v>
      </c>
      <c r="BP197" s="286" t="n">
        <v>-5.9</v>
      </c>
      <c r="BQ197" s="286" t="n">
        <v>-20.38</v>
      </c>
      <c r="BR197" s="286" t="n">
        <v>-0.49</v>
      </c>
      <c r="BS197" s="286" t="n">
        <v>-1.24</v>
      </c>
      <c r="BT197" s="286" t="n">
        <v>-7.47</v>
      </c>
      <c r="BU197" s="286" t="n">
        <v>9.92</v>
      </c>
      <c r="BV197" s="286" t="n">
        <v>1.19</v>
      </c>
      <c r="BW197" s="286" t="n">
        <v>-0.2</v>
      </c>
      <c r="BX197" s="286" t="n">
        <v>-0.76</v>
      </c>
      <c r="BY197" s="153" t="n"/>
      <c r="BZ197" s="153" t="n"/>
      <c r="CA197" s="153" t="n"/>
      <c r="CB197" s="153" t="n"/>
      <c r="CC197" s="153" t="n"/>
      <c r="CD197" s="153" t="n"/>
      <c r="CE197" s="153" t="n"/>
      <c r="CF197" s="153" t="n"/>
      <c r="CG197" s="153" t="n"/>
    </row>
    <row r="198" ht="15" customHeight="1" s="251">
      <c r="B198" s="57" t="inlineStr">
        <is>
          <t xml:space="preserve">  Check: model vs company-published (should be 0.00; ±0.015 rounding, ±0.025 in Q4-20)</t>
        </is>
      </c>
      <c r="C198" s="287" t="str">
        <f>IF(AND(ISNUMBER(C197),ISNUMBER(C196)),IF(ABS(C196-C197)&lt;=0.0251,0,ROUND(C196-C197,2)),"n/p")</f>
        <v>n/p</v>
      </c>
      <c r="D198" s="287" t="str">
        <f>IF(AND(ISNUMBER(D197),ISNUMBER(D196)),IF(ABS(D196-D197)&lt;=0.0251,0,ROUND(D196-D197,2)),"n/p")</f>
        <v>n/p</v>
      </c>
      <c r="E198" s="287" t="str">
        <f>IF(AND(ISNUMBER(E197),ISNUMBER(E196)),IF(ABS(E196-E197)&lt;=0.0251,0,ROUND(E196-E197,2)),"n/p")</f>
        <v>n/p</v>
      </c>
      <c r="F198" s="287" t="str">
        <f>IF(AND(ISNUMBER(F197),ISNUMBER(F196)),IF(ABS(F196-F197)&lt;=0.0251,0,ROUND(F196-F197,2)),"n/p")</f>
        <v>n/p</v>
      </c>
      <c r="G198" s="287" t="str">
        <f>IF(AND(ISNUMBER(G197),ISNUMBER(G196)),IF(ABS(G196-G197)&lt;=0.0251,0,ROUND(G196-G197,2)),"n/p")</f>
        <v>n/p</v>
      </c>
      <c r="H198" s="287">
        <f>IF(AND(ISNUMBER(H197),ISNUMBER(H196)),IF(ABS(H196-H197)&lt;=0.0251,0,ROUND(H196-H197,2)),"n/p")</f>
        <v>0</v>
      </c>
      <c r="I198" s="287">
        <f>IF(AND(ISNUMBER(I197),ISNUMBER(I196)),IF(ABS(I196-I197)&lt;=0.0251,0,ROUND(I196-I197,2)),"n/p")</f>
        <v>0</v>
      </c>
      <c r="J198" s="287">
        <f>IF(AND(ISNUMBER(J197),ISNUMBER(J196)),IF(ABS(J196-J197)&lt;=0.0251,0,ROUND(J196-J197,2)),"n/p")</f>
        <v>0</v>
      </c>
      <c r="K198" s="287">
        <f>IF(AND(ISNUMBER(K197),ISNUMBER(K196)),IF(ABS(K196-K197)&lt;=0.0251,0,ROUND(K196-K197,2)),"n/p")</f>
        <v>0</v>
      </c>
      <c r="L198" s="287">
        <f>IF(AND(ISNUMBER(L197),ISNUMBER(L196)),IF(ABS(L196-L197)&lt;=0.0251,0,ROUND(L196-L197,2)),"n/p")</f>
        <v>0</v>
      </c>
      <c r="M198" s="287">
        <f>IF(AND(ISNUMBER(M197),ISNUMBER(M196)),IF(ABS(M196-M197)&lt;=0.0251,0,ROUND(M196-M197,2)),"n/p")</f>
        <v>0</v>
      </c>
      <c r="N198" s="287">
        <f>IF(AND(ISNUMBER(N197),ISNUMBER(N196)),IF(ABS(N196-N197)&lt;=0.0251,0,ROUND(N196-N197,2)),"n/p")</f>
        <v>0</v>
      </c>
      <c r="O198" s="287">
        <f>IF(AND(ISNUMBER(O197),ISNUMBER(O196)),IF(ABS(O196-O197)&lt;=0.0251,0,ROUND(O196-O197,2)),"n/p")</f>
        <v>0</v>
      </c>
      <c r="P198" s="287">
        <f>IF(AND(ISNUMBER(P197),ISNUMBER(P196)),IF(ABS(P196-P197)&lt;=0.0251,0,ROUND(P196-P197,2)),"n/p")</f>
        <v>0</v>
      </c>
      <c r="Q198" s="287">
        <f>IF(AND(ISNUMBER(Q197),ISNUMBER(Q196)),IF(ABS(Q196-Q197)&lt;=0.0251,0,ROUND(Q196-Q197,2)),"n/p")</f>
        <v>0</v>
      </c>
      <c r="R198" s="287">
        <f>IF(AND(ISNUMBER(R197),ISNUMBER(R196)),IF(ABS(R196-R197)&lt;=0.0251,0,ROUND(R196-R197,2)),"n/p")</f>
        <v>0</v>
      </c>
      <c r="S198" s="287">
        <f>IF(AND(ISNUMBER(S197),ISNUMBER(S196)),IF(ABS(S196-S197)&lt;=0.0251,0,ROUND(S196-S197,2)),"n/p")</f>
        <v>0</v>
      </c>
      <c r="T198" s="287">
        <f>IF(AND(ISNUMBER(T197),ISNUMBER(T196)),IF(ABS(T196-T197)&lt;=0.0251,0,ROUND(T196-T197,2)),"n/p")</f>
        <v>0</v>
      </c>
      <c r="U198" s="287">
        <f>IF(AND(ISNUMBER(U197),ISNUMBER(U196)),IF(ABS(U196-U197)&lt;=0.0251,0,ROUND(U196-U197,2)),"n/p")</f>
        <v>0</v>
      </c>
      <c r="V198" s="287">
        <f>IF(AND(ISNUMBER(V197),ISNUMBER(V196)),IF(ABS(V196-V197)&lt;=0.0251,0,ROUND(V196-V197,2)),"n/p")</f>
        <v>0</v>
      </c>
      <c r="W198" s="287">
        <f>IF(AND(ISNUMBER(W197),ISNUMBER(W196)),IF(ABS(W196-W197)&lt;=0.0251,0,ROUND(W196-W197,2)),"n/p")</f>
        <v>0</v>
      </c>
      <c r="X198" s="287">
        <f>IF(AND(ISNUMBER(X197),ISNUMBER(X196)),IF(ABS(X196-X197)&lt;=0.0251,0,ROUND(X196-X197,2)),"n/p")</f>
        <v>0</v>
      </c>
      <c r="Y198" s="287">
        <f>IF(AND(ISNUMBER(Y197),ISNUMBER(Y196)),IF(ABS(Y196-Y197)&lt;=0.0251,0,ROUND(Y196-Y197,2)),"n/p")</f>
        <v>0</v>
      </c>
      <c r="Z198" s="287">
        <f>IF(AND(ISNUMBER(Z197),ISNUMBER(Z196)),IF(ABS(Z196-Z197)&lt;=0.0251,0,ROUND(Z196-Z197,2)),"n/p")</f>
        <v>0</v>
      </c>
      <c r="AA198" s="287">
        <f>IF(AND(ISNUMBER(AA197),ISNUMBER(AA196)),IF(ABS(AA196-AA197)&lt;=0.0251,0,ROUND(AA196-AA197,2)),"n/p")</f>
        <v>0</v>
      </c>
      <c r="AB198" s="287">
        <f>IF(AND(ISNUMBER(AB197),ISNUMBER(AB196)),IF(ABS(AB196-AB197)&lt;=0.0251,0,ROUND(AB196-AB197,2)),"n/p")</f>
        <v>0</v>
      </c>
      <c r="AC198" s="287">
        <f>IF(AND(ISNUMBER(AC197),ISNUMBER(AC196)),IF(ABS(AC196-AC197)&lt;=0.0251,0,ROUND(AC196-AC197,2)),"n/p")</f>
        <v>0</v>
      </c>
      <c r="AD198" s="287">
        <f>IF(AND(ISNUMBER(AD197),ISNUMBER(AD196)),IF(ABS(AD196-AD197)&lt;=0.0251,0,ROUND(AD196-AD197,2)),"n/p")</f>
        <v>0</v>
      </c>
      <c r="AE198" s="287">
        <f>IF(AND(ISNUMBER(AE197),ISNUMBER(AE196)),IF(ABS(AE196-AE197)&lt;=0.0251,0,ROUND(AE196-AE197,2)),"n/p")</f>
        <v>0</v>
      </c>
      <c r="AF198" s="287">
        <f>IF(AND(ISNUMBER(AF197),ISNUMBER(AF196)),IF(ABS(AF196-AF197)&lt;=0.0251,0,ROUND(AF196-AF197,2)),"n/p")</f>
        <v>0</v>
      </c>
      <c r="AG198" s="287">
        <f>IF(AND(ISNUMBER(AG197),ISNUMBER(AG196)),IF(ABS(AG196-AG197)&lt;=0.0251,0,ROUND(AG196-AG197,2)),"n/p")</f>
        <v>0</v>
      </c>
      <c r="AH198" s="287">
        <f>IF(AND(ISNUMBER(AH197),ISNUMBER(AH196)),IF(ABS(AH196-AH197)&lt;=0.0251,0,ROUND(AH196-AH197,2)),"n/p")</f>
        <v>0</v>
      </c>
      <c r="AI198" s="287">
        <f>IF(AND(ISNUMBER(AI197),ISNUMBER(AI196)),IF(ABS(AI196-AI197)&lt;=0.0251,0,ROUND(AI196-AI197,2)),"n/p")</f>
        <v>0</v>
      </c>
      <c r="AJ198" s="287">
        <f>IF(AND(ISNUMBER(AJ197),ISNUMBER(AJ196)),IF(ABS(AJ196-AJ197)&lt;=0.0251,0,ROUND(AJ196-AJ197,2)),"n/p")</f>
        <v>0</v>
      </c>
      <c r="AK198" s="287">
        <f>IF(AND(ISNUMBER(AK197),ISNUMBER(AK196)),IF(ABS(AK196-AK197)&lt;=0.0251,0,ROUND(AK196-AK197,2)),"n/p")</f>
        <v>0</v>
      </c>
      <c r="AL198" s="287">
        <f>IF(AND(ISNUMBER(AL197),ISNUMBER(AL196)),IF(ABS(AL196-AL197)&lt;=0.0251,0,ROUND(AL196-AL197,2)),"n/p")</f>
        <v>0</v>
      </c>
      <c r="AM198" s="287">
        <f>IF(AND(ISNUMBER(AM197),ISNUMBER(AM196)),IF(ABS(AM196-AM197)&lt;=0.0251,0,ROUND(AM196-AM197,2)),"n/p")</f>
        <v>0</v>
      </c>
      <c r="AN198" s="287">
        <f>IF(AND(ISNUMBER(AN197),ISNUMBER(AN196)),IF(ABS(AN196-AN197)&lt;=0.0251,0,ROUND(AN196-AN197,2)),"n/p")</f>
        <v>0</v>
      </c>
      <c r="AO198" s="287">
        <f>IF(AND(ISNUMBER(AO197),ISNUMBER(AO196)),IF(ABS(AO196-AO197)&lt;=0.0251,0,ROUND(AO196-AO197,2)),"n/p")</f>
        <v>0</v>
      </c>
      <c r="AP198" s="287">
        <f>IF(AND(ISNUMBER(AP197),ISNUMBER(AP196)),IF(ABS(AP196-AP197)&lt;=0.0251,0,ROUND(AP196-AP197,2)),"n/p")</f>
        <v>0</v>
      </c>
      <c r="AQ198" s="287">
        <f>IF(AND(ISNUMBER(AQ197),ISNUMBER(AQ196)),IF(ABS(AQ196-AQ197)&lt;=0.0251,0,ROUND(AQ196-AQ197,2)),"n/p")</f>
        <v>0</v>
      </c>
      <c r="AR198" s="287">
        <f>IF(AND(ISNUMBER(AR197),ISNUMBER(AR196)),IF(ABS(AR196-AR197)&lt;=0.0251,0,ROUND(AR196-AR197,2)),"n/p")</f>
        <v>0</v>
      </c>
      <c r="AS198" s="287">
        <f>IF(AND(ISNUMBER(AS197),ISNUMBER(AS196)),IF(ABS(AS196-AS197)&lt;=0.0251,0,ROUND(AS196-AS197,2)),"n/p")</f>
        <v>0</v>
      </c>
      <c r="AT198" s="287">
        <f>IF(AND(ISNUMBER(AT197),ISNUMBER(AT196)),IF(ABS(AT196-AT197)&lt;=0.0251,0,ROUND(AT196-AT197,2)),"n/p")</f>
        <v>0</v>
      </c>
      <c r="AU198" s="287">
        <f>IF(AND(ISNUMBER(AU197),ISNUMBER(AU196)),IF(ABS(AU196-AU197)&lt;=0.0251,0,ROUND(AU196-AU197,2)),"n/p")</f>
        <v>0</v>
      </c>
      <c r="AV198" s="287">
        <f>IF(AND(ISNUMBER(AV197),ISNUMBER(AV196)),IF(ABS(AV196-AV197)&lt;=0.0251,0,ROUND(AV196-AV197,2)),"n/p")</f>
        <v>0</v>
      </c>
      <c r="AW198" s="287">
        <f>IF(AND(ISNUMBER(AW197),ISNUMBER(AW196)),IF(ABS(AW196-AW197)&lt;=0.0251,0,ROUND(AW196-AW197,2)),"n/p")</f>
        <v>0</v>
      </c>
      <c r="AX198" s="287">
        <f>IF(AND(ISNUMBER(AX197),ISNUMBER(AX196)),IF(ABS(AX196-AX197)&lt;=0.0251,0,ROUND(AX196-AX197,2)),"n/p")</f>
        <v>0</v>
      </c>
      <c r="AY198" s="287">
        <f>IF(AND(ISNUMBER(AY197),ISNUMBER(AY196)),IF(ABS(AY196-AY197)&lt;=0.0251,0,ROUND(AY196-AY197,2)),"n/p")</f>
        <v>0</v>
      </c>
      <c r="AZ198" s="287">
        <f>IF(AND(ISNUMBER(AZ197),ISNUMBER(AZ196)),IF(ABS(AZ196-AZ197)&lt;=0.0251,0,ROUND(AZ196-AZ197,2)),"n/p")</f>
        <v>0</v>
      </c>
      <c r="BA198" s="287">
        <f>IF(AND(ISNUMBER(BA197),ISNUMBER(BA196)),IF(ABS(BA196-BA197)&lt;=0.0251,0,ROUND(BA196-BA197,2)),"n/p")</f>
        <v>0</v>
      </c>
      <c r="BB198" s="287">
        <f>IF(AND(ISNUMBER(BB197),ISNUMBER(BB196)),IF(ABS(BB196-BB197)&lt;=0.0251,0,ROUND(BB196-BB197,2)),"n/p")</f>
        <v>0</v>
      </c>
      <c r="BC198" s="287">
        <f>IF(AND(ISNUMBER(BC197),ISNUMBER(BC196)),IF(ABS(BC196-BC197)&lt;=0.0251,0,ROUND(BC196-BC197,2)),"n/p")</f>
        <v>0</v>
      </c>
      <c r="BD198" s="287">
        <f>IF(AND(ISNUMBER(BD197),ISNUMBER(BD196)),IF(ABS(BD196-BD197)&lt;=0.0251,0,ROUND(BD196-BD197,2)),"n/p")</f>
        <v>0</v>
      </c>
      <c r="BE198" s="287">
        <f>IF(AND(ISNUMBER(BE197),ISNUMBER(BE196)),IF(ABS(BE196-BE197)&lt;=0.0251,0,ROUND(BE196-BE197,2)),"n/p")</f>
        <v>0</v>
      </c>
      <c r="BF198" s="287">
        <f>IF(AND(ISNUMBER(BF197),ISNUMBER(BF196)),IF(ABS(BF196-BF197)&lt;=0.0251,0,ROUND(BF196-BF197,2)),"n/p")</f>
        <v>0</v>
      </c>
      <c r="BG198" s="287">
        <f>IF(AND(ISNUMBER(BG197),ISNUMBER(BG196)),IF(ABS(BG196-BG197)&lt;=0.0251,0,ROUND(BG196-BG197,2)),"n/p")</f>
        <v>0</v>
      </c>
      <c r="BH198" s="287">
        <f>IF(AND(ISNUMBER(BH197),ISNUMBER(BH196)),IF(ABS(BH196-BH197)&lt;=0.0251,0,ROUND(BH196-BH197,2)),"n/p")</f>
        <v>0</v>
      </c>
      <c r="BI198" s="287">
        <f>IF(AND(ISNUMBER(BI197),ISNUMBER(BI196)),IF(ABS(BI196-BI197)&lt;=0.0251,0,ROUND(BI196-BI197,2)),"n/p")</f>
        <v>0</v>
      </c>
      <c r="BJ198" s="287">
        <f>IF(AND(ISNUMBER(BJ197),ISNUMBER(BJ196)),IF(ABS(BJ196-BJ197)&lt;=0.0251,0,ROUND(BJ196-BJ197,2)),"n/p")</f>
        <v>0</v>
      </c>
      <c r="BK198" s="287">
        <f>IF(AND(ISNUMBER(BK197),ISNUMBER(BK196)),IF(ABS(BK196-BK197)&lt;=0.0251,0,ROUND(BK196-BK197,2)),"n/p")</f>
        <v>0</v>
      </c>
      <c r="BL198" s="287">
        <f>IF(AND(ISNUMBER(BL197),ISNUMBER(BL196)),IF(ABS(BL196-BL197)&lt;=0.0251,0,ROUND(BL196-BL197,2)),"n/p")</f>
        <v>0</v>
      </c>
      <c r="BM198" s="287">
        <f>IF(AND(ISNUMBER(BM197),ISNUMBER(BM196)),IF(ABS(BM196-BM197)&lt;=0.0251,0,ROUND(BM196-BM197,2)),"n/p")</f>
        <v>0</v>
      </c>
      <c r="BN198" s="287">
        <f>IF(AND(ISNUMBER(BN197),ISNUMBER(BN196)),IF(ABS(BN196-BN197)&lt;=0.0251,0,ROUND(BN196-BN197,2)),"n/p")</f>
        <v>0</v>
      </c>
      <c r="BO198" s="287">
        <f>IF(AND(ISNUMBER(BO197),ISNUMBER(BO196)),IF(ABS(BO196-BO197)&lt;=0.0251,0,ROUND(BO196-BO197,2)),"n/p")</f>
        <v>0</v>
      </c>
      <c r="BP198" s="287">
        <f>IF(AND(ISNUMBER(BP197),ISNUMBER(BP196)),IF(ABS(BP196-BP197)&lt;=0.0251,0,ROUND(BP196-BP197,2)),"n/p")</f>
        <v>0</v>
      </c>
      <c r="BQ198" s="287">
        <f>IF(AND(ISNUMBER(BQ197),ISNUMBER(BQ196)),IF(ABS(BQ196-BQ197)&lt;=0.0251,0,ROUND(BQ196-BQ197,2)),"n/p")</f>
        <v>0</v>
      </c>
      <c r="BR198" s="287">
        <f>IF(AND(ISNUMBER(BR197),ISNUMBER(BR196)),IF(ABS(BR196-BR197)&lt;=0.0251,0,ROUND(BR196-BR197,2)),"n/p")</f>
        <v>0</v>
      </c>
      <c r="BS198" s="287">
        <f>IF(AND(ISNUMBER(BS197),ISNUMBER(BS196)),IF(ABS(BS196-BS197)&lt;=0.0251,0,ROUND(BS196-BS197,2)),"n/p")</f>
        <v>0</v>
      </c>
      <c r="BT198" s="287">
        <f>IF(AND(ISNUMBER(BT197),ISNUMBER(BT196)),IF(ABS(BT196-BT197)&lt;=0.0251,0,ROUND(BT196-BT197,2)),"n/p")</f>
        <v>0</v>
      </c>
      <c r="BU198" s="287">
        <f>IF(AND(ISNUMBER(BU197),ISNUMBER(BU196)),IF(ABS(BU196-BU197)&lt;=0.0251,0,ROUND(BU196-BU197,2)),"n/p")</f>
        <v>0</v>
      </c>
      <c r="BV198" s="287">
        <f>IF(AND(ISNUMBER(BV197),ISNUMBER(BV196)),IF(ABS(BV196-BV197)&lt;=0.0251,0,ROUND(BV196-BV197,2)),"n/p")</f>
        <v>0</v>
      </c>
      <c r="BW198" s="287">
        <f>IF(AND(ISNUMBER(BW197),ISNUMBER(BW196)),IF(ABS(BW196-BW197)&lt;=0.0251,0,ROUND(BW196-BW197,2)),"n/p")</f>
        <v>0</v>
      </c>
      <c r="BX198" s="287">
        <f>IF(AND(ISNUMBER(BX197),ISNUMBER(BX196)),IF(ABS(BX196-BX197)&lt;=0.0251,0,ROUND(BX196-BX197,2)),"n/p")</f>
        <v>0</v>
      </c>
      <c r="BY198" s="153" t="n"/>
      <c r="BZ198" s="153" t="n"/>
      <c r="CA198" s="153" t="n"/>
      <c r="CB198" s="153" t="n"/>
      <c r="CC198" s="153" t="n"/>
      <c r="CD198" s="153" t="n"/>
      <c r="CE198" s="153" t="n"/>
      <c r="CF198" s="153" t="n"/>
      <c r="CG198" s="153" t="n"/>
    </row>
    <row r="199" ht="15" customHeight="1" s="251">
      <c r="B199" s="158" t="inlineStr">
        <is>
          <t xml:space="preserve">  Definition / basis (company core EPS definition in force)</t>
        </is>
      </c>
      <c r="C199" s="290" t="inlineStr">
        <is>
          <t>2006–10: core EPS not published (model rebuild at 35% from 2008; = GAAP 2006–07)</t>
        </is>
      </c>
      <c r="H199" s="290" t="inlineStr">
        <is>
          <t>2011–17: core EPS = GAAP diluted EPS + unallocated pension / postretirement expense, net of tax (35% statutory; 2016–17 three-line per-share bridge)</t>
        </is>
      </c>
      <c r="AM199" s="290" t="inlineStr">
        <is>
          <t>2018+: core EPS = GAAP diluted EPS − FAS/CAS service cost adjustment − non-operating pension &amp; postretirement income + deferred taxes on the adjustments (21%)</t>
        </is>
      </c>
      <c r="BP199" s="290" t="inlineStr">
        <is>
          <t>Q4-24+: mandatory convertible preferred dividends deducted (if-converted in Q4-25)</t>
        </is>
      </c>
      <c r="BY199" s="153" t="n"/>
      <c r="BZ199" s="153" t="n"/>
      <c r="CA199" s="153" t="n"/>
      <c r="CB199" s="153" t="n"/>
      <c r="CC199" s="153" t="n"/>
      <c r="CD199" s="153" t="n"/>
      <c r="CE199" s="153" t="n"/>
      <c r="CF199" s="153" t="n"/>
      <c r="CG199" s="19" t="n"/>
    </row>
    <row r="200" ht="15" customHeight="1" s="251">
      <c r="B200" s="22" t="inlineStr">
        <is>
          <t xml:space="preserve">  Core EPS y/y %</t>
        </is>
      </c>
      <c r="C200" s="23" t="n"/>
      <c r="D200" s="259">
        <f>IF(AND(ISNUMBER(D196),ISNUMBER(C196)),IF(C196&gt;0,IFERROR(D196/C196-1,""),"n/m"),"")</f>
        <v>1.08047410784077</v>
      </c>
      <c r="E200" s="259">
        <f>IF(AND(ISNUMBER(E196),ISNUMBER(D196)),IF(D196&gt;0,IFERROR(E196/D196-1,""),"n/m"),"")</f>
        <v>-0.322792088976075</v>
      </c>
      <c r="F200" s="259">
        <f>IF(AND(ISNUMBER(F196),ISNUMBER(E196)),IF(E196&gt;0,IFERROR(F196/E196-1,""),"n/m"),"")</f>
        <v>-0.539769772533208</v>
      </c>
      <c r="G200" s="259">
        <f>IF(AND(ISNUMBER(G196),ISNUMBER(F196)),IF(F196&gt;0,IFERROR(G196/F196-1,""),"n/m"),"")</f>
        <v>1.43885103712772</v>
      </c>
      <c r="H200" s="259">
        <f>IF(AND(ISNUMBER(H196),ISNUMBER(G196)),IF(G196&gt;0,IFERROR(H196/G196-1,""),"n/m"),"")</f>
        <v>0.300803422283833</v>
      </c>
      <c r="I200" s="259">
        <f>IF(AND(ISNUMBER(I196),ISNUMBER(H196)),IF(H196&gt;0,IFERROR(I196/H196-1,""),"n/m"),"")</f>
        <v>0.0156894483040819</v>
      </c>
      <c r="J200" s="23" t="n"/>
      <c r="K200" s="23" t="n"/>
      <c r="L200" s="23" t="n"/>
      <c r="M200" s="23" t="n"/>
      <c r="N200" s="259">
        <f>IF(AND(ISNUMBER(N196),ISNUMBER(I196)),IF(I196&gt;0,IFERROR(N196/I196-1,""),"n/m"),"")</f>
        <v>0.202919667816153</v>
      </c>
      <c r="O200" s="259">
        <f>IF(AND(ISNUMBER(O196),ISNUMBER(J196)),IF(J196&gt;0,IFERROR(O196/J196-1,""),"n/m"),"")</f>
        <v>0.01786122936753</v>
      </c>
      <c r="P200" s="259">
        <f>IF(AND(ISNUMBER(P196),ISNUMBER(K196)),IF(K196&gt;0,IFERROR(P196/K196-1,""),"n/m"),"")</f>
        <v>0.445465688751591</v>
      </c>
      <c r="Q200" s="259">
        <f>IF(AND(ISNUMBER(Q196),ISNUMBER(L196)),IF(L196&gt;0,IFERROR(Q196/L196-1,""),"n/m"),"")</f>
        <v>0.192271797194741</v>
      </c>
      <c r="R200" s="259">
        <f>IF(AND(ISNUMBER(R196),ISNUMBER(M196)),IF(M196&gt;0,IFERROR(R196/M196-1,""),"n/m"),"")</f>
        <v>0.233642492728985</v>
      </c>
      <c r="S200" s="259">
        <f>IF(AND(ISNUMBER(S196),ISNUMBER(N196)),IF(N196&gt;0,IFERROR(S196/N196-1,""),"n/m"),"")</f>
        <v>0.216595847235585</v>
      </c>
      <c r="T200" s="259">
        <f>IF(AND(ISNUMBER(T196),ISNUMBER(O196)),IF(O196&gt;0,IFERROR(T196/O196-1,""),"n/m"),"")</f>
        <v>0.119882255299288</v>
      </c>
      <c r="U200" s="259">
        <f>IF(AND(ISNUMBER(U196),ISNUMBER(P196)),IF(P196&gt;0,IFERROR(U196/P196-1,""),"n/m"),"")</f>
        <v>-0.329512269035782</v>
      </c>
      <c r="V200" s="259">
        <f>IF(AND(ISNUMBER(V196),ISNUMBER(Q196)),IF(Q196&gt;0,IFERROR(V196/Q196-1,""),"n/m"),"")</f>
        <v>0.178540685369593</v>
      </c>
      <c r="W200" s="259">
        <f>IF(AND(ISNUMBER(W196),ISNUMBER(R196)),IF(R196&gt;0,IFERROR(W196/R196-1,""),"n/m"),"")</f>
        <v>-0.309804115680132</v>
      </c>
      <c r="X200" s="259">
        <f>IF(AND(ISNUMBER(X196),ISNUMBER(S196)),IF(S196&gt;0,IFERROR(X196/S196-1,""),"n/m"),"")</f>
        <v>-0.102761837403364</v>
      </c>
      <c r="Y200" s="259">
        <f>IF(AND(ISNUMBER(Y196),ISNUMBER(T196)),IF(T196&gt;0,IFERROR(Y196/T196-1,""),"n/m"),"")</f>
        <v>-0.116584531285137</v>
      </c>
      <c r="Z200" s="259">
        <f>IF(AND(ISNUMBER(Z196),ISNUMBER(U196)),IF(U196&gt;0,IFERROR(Z196/U196-1,""),"n/m"),"")</f>
        <v>-1.27051559984275</v>
      </c>
      <c r="AA200" s="259">
        <f>IF(AND(ISNUMBER(AA196),ISNUMBER(V196)),IF(V196&gt;0,IFERROR(AA196/V196-1,""),"n/m"),"")</f>
        <v>0.391920330847778</v>
      </c>
      <c r="AB200" s="259">
        <f>IF(AND(ISNUMBER(AB196),ISNUMBER(W196)),IF(W196&gt;0,IFERROR(AB196/W196-1,""),"n/m"),"")</f>
        <v>0.545990395155374</v>
      </c>
      <c r="AC200" s="259">
        <f>IF(AND(ISNUMBER(AC196),ISNUMBER(X196)),IF(X196&gt;0,IFERROR(AC196/X196-1,""),"n/m"),"")</f>
        <v>-0.0625243960263879</v>
      </c>
      <c r="AD200" s="259">
        <f>IF(AND(ISNUMBER(AD196),ISNUMBER(Y196)),IF(Y196&gt;0,IFERROR(AD196/Y196-1,""),"n/m"),"")</f>
        <v>0.152176777290556</v>
      </c>
      <c r="AE200" s="259" t="str">
        <f>IF(AND(ISNUMBER(AE196),ISNUMBER(Z196)),IF(Z196&gt;0,IFERROR(AE196/Z196-1,""),"n/m"),"")</f>
        <v>n/m</v>
      </c>
      <c r="AF200" s="259">
        <f>IF(AND(ISNUMBER(AF196),ISNUMBER(AA196)),IF(AA196&gt;0,IFERROR(AF196/AA196-1,""),"n/m"),"")</f>
        <v>-0.226587432500495</v>
      </c>
      <c r="AG200" s="259">
        <f>IF(AND(ISNUMBER(AG196),ISNUMBER(AB196)),IF(AB196&gt;0,IFERROR(AG196/AB196-1,""),"n/m"),"")</f>
        <v>0.943545883761242</v>
      </c>
      <c r="AH200" s="259">
        <f>IF(AND(ISNUMBER(AH196),ISNUMBER(AC196)),IF(AC196&gt;0,IFERROR(AH196/AC196-1,""),"n/m"),"")</f>
        <v>0.663461215020062</v>
      </c>
      <c r="AI200" s="259">
        <f>IF(AND(ISNUMBER(AI196),ISNUMBER(AD196)),IF(AD196&gt;0,IFERROR(AI196/AD196-1,""),"n/m"),"")</f>
        <v>0.814896032442944</v>
      </c>
      <c r="AJ200" s="259">
        <f>IF(AND(ISNUMBER(AJ196),ISNUMBER(AE196)),IF(AE196&gt;0,IFERROR(AJ196/AE196-1,""),"n/m"),"")</f>
        <v>0.306260412821269</v>
      </c>
      <c r="AK200" s="259">
        <f>IF(AND(ISNUMBER(AK196),ISNUMBER(AF196)),IF(AF196&gt;0,IFERROR(AK196/AF196-1,""),"n/m"),"")</f>
        <v>0.318463591912348</v>
      </c>
      <c r="AL200" s="259">
        <f>IF(AND(ISNUMBER(AL196),ISNUMBER(AG196)),IF(AG196&gt;0,IFERROR(AL196/AG196-1,""),"n/m"),"")</f>
        <v>0.142365168440421</v>
      </c>
      <c r="AM200" s="259">
        <f>IF(AND(ISNUMBER(AM196),ISNUMBER(AH196)),IF(AH196&gt;0,IFERROR(AM196/AH196-1,""),"n/m"),"")</f>
        <v>0.329583694793079</v>
      </c>
      <c r="AN200" s="259">
        <f>IF(AND(ISNUMBER(AN196),ISNUMBER(AI196)),IF(AI196&gt;0,IFERROR(AN196/AI196-1,""),"n/m"),"")</f>
        <v>-0.131841141448682</v>
      </c>
      <c r="AO200" s="259">
        <f>IF(AND(ISNUMBER(AO196),ISNUMBER(AJ196)),IF(AJ196&gt;0,IFERROR(AO196/AJ196-1,""),"n/m"),"")</f>
        <v>-2.74486618988653</v>
      </c>
      <c r="AP200" s="259">
        <f>IF(AND(ISNUMBER(AP196),ISNUMBER(AK196)),IF(AK196&gt;0,IFERROR(AP196/AK196-1,""),"n/m"),"")</f>
        <v>-0.594301043299638</v>
      </c>
      <c r="AQ200" s="259">
        <f>IF(AND(ISNUMBER(AQ196),ISNUMBER(AL196)),IF(AL196&gt;0,IFERROR(AQ196/AL196-1,""),"n/m"),"")</f>
        <v>-1.42515323163803</v>
      </c>
      <c r="AR200" s="259">
        <f>IF(AND(ISNUMBER(AR196),ISNUMBER(AM196)),IF(AM196&gt;0,IFERROR(AR196/AM196-1,""),"n/m"),"")</f>
        <v>-1.2170109805145</v>
      </c>
      <c r="AS200" s="259">
        <f>IF(AND(ISNUMBER(AS196),ISNUMBER(AN196)),IF(AN196&gt;0,IFERROR(AS196/AN196-1,""),"n/m"),"")</f>
        <v>-1.53733453249744</v>
      </c>
      <c r="AT200" s="259" t="str">
        <f>IF(AND(ISNUMBER(AT196),ISNUMBER(AO196)),IF(AO196&gt;0,IFERROR(AT196/AO196-1,""),"n/m"),"")</f>
        <v>n/m</v>
      </c>
      <c r="AU200" s="259">
        <f>IF(AND(ISNUMBER(AU196),ISNUMBER(AP196)),IF(AP196&gt;0,IFERROR(AU196/AP196-1,""),"n/m"),"")</f>
        <v>-1.9547844948826</v>
      </c>
      <c r="AV200" s="259" t="str">
        <f>IF(AND(ISNUMBER(AV196),ISNUMBER(AQ196)),IF(AQ196&gt;0,IFERROR(AV196/AQ196-1,""),"n/m"),"")</f>
        <v>n/m</v>
      </c>
      <c r="AW200" s="259" t="str">
        <f>IF(AND(ISNUMBER(AW196),ISNUMBER(AR196)),IF(AR196&gt;0,IFERROR(AW196/AR196-1,""),"n/m"),"")</f>
        <v>n/m</v>
      </c>
      <c r="AX200" s="259" t="str">
        <f>IF(AND(ISNUMBER(AX196),ISNUMBER(AS196)),IF(AS196&gt;0,IFERROR(AX196/AS196-1,""),"n/m"),"")</f>
        <v>n/m</v>
      </c>
      <c r="AY200" s="259" t="str">
        <f>IF(AND(ISNUMBER(AY196),ISNUMBER(AT196)),IF(AT196&gt;0,IFERROR(AY196/AT196-1,""),"n/m"),"")</f>
        <v>n/m</v>
      </c>
      <c r="AZ200" s="259" t="str">
        <f>IF(AND(ISNUMBER(AZ196),ISNUMBER(AU196)),IF(AU196&gt;0,IFERROR(AZ196/AU196-1,""),"n/m"),"")</f>
        <v>n/m</v>
      </c>
      <c r="BA200" s="259" t="str">
        <f>IF(AND(ISNUMBER(BA196),ISNUMBER(AV196)),IF(AV196&gt;0,IFERROR(BA196/AV196-1,""),"n/m"),"")</f>
        <v>n/m</v>
      </c>
      <c r="BB200" s="259" t="str">
        <f>IF(AND(ISNUMBER(BB196),ISNUMBER(AW196)),IF(AW196&gt;0,IFERROR(BB196/AW196-1,""),"n/m"),"")</f>
        <v>n/m</v>
      </c>
      <c r="BC200" s="259" t="str">
        <f>IF(AND(ISNUMBER(BC196),ISNUMBER(AX196)),IF(AX196&gt;0,IFERROR(BC196/AX196-1,""),"n/m"),"")</f>
        <v>n/m</v>
      </c>
      <c r="BD200" s="259">
        <f>IF(AND(ISNUMBER(BD196),ISNUMBER(AY196)),IF(AY196&gt;0,IFERROR(BD196/AY196-1,""),"n/m"),"")</f>
        <v>-1.92164863285579</v>
      </c>
      <c r="BE200" s="259" t="str">
        <f>IF(AND(ISNUMBER(BE196),ISNUMBER(AZ196)),IF(AZ196&gt;0,IFERROR(BE196/AZ196-1,""),"n/m"),"")</f>
        <v>n/m</v>
      </c>
      <c r="BF200" s="259" t="str">
        <f>IF(AND(ISNUMBER(BF196),ISNUMBER(BA196)),IF(BA196&gt;0,IFERROR(BF196/BA196-1,""),"n/m"),"")</f>
        <v>n/m</v>
      </c>
      <c r="BG200" s="259" t="str">
        <f>IF(AND(ISNUMBER(BG196),ISNUMBER(BB196)),IF(BB196&gt;0,IFERROR(BG196/BB196-1,""),"n/m"),"")</f>
        <v>n/m</v>
      </c>
      <c r="BH200" s="259" t="str">
        <f>IF(AND(ISNUMBER(BH196),ISNUMBER(BC196)),IF(BC196&gt;0,IFERROR(BH196/BC196-1,""),"n/m"),"")</f>
        <v>n/m</v>
      </c>
      <c r="BI200" s="259" t="str">
        <f>IF(AND(ISNUMBER(BI196),ISNUMBER(BD196)),IF(BD196&gt;0,IFERROR(BI196/BD196-1,""),"n/m"),"")</f>
        <v>n/m</v>
      </c>
      <c r="BJ200" s="259" t="str">
        <f>IF(AND(ISNUMBER(BJ196),ISNUMBER(BE196)),IF(BE196&gt;0,IFERROR(BJ196/BE196-1,""),"n/m"),"")</f>
        <v>n/m</v>
      </c>
      <c r="BK200" s="259" t="str">
        <f>IF(AND(ISNUMBER(BK196),ISNUMBER(BF196)),IF(BF196&gt;0,IFERROR(BK196/BF196-1,""),"n/m"),"")</f>
        <v>n/m</v>
      </c>
      <c r="BL200" s="259" t="str">
        <f>IF(AND(ISNUMBER(BL196),ISNUMBER(BG196)),IF(BG196&gt;0,IFERROR(BL196/BG196-1,""),"n/m"),"")</f>
        <v>n/m</v>
      </c>
      <c r="BM200" s="259" t="str">
        <f>IF(AND(ISNUMBER(BM196),ISNUMBER(BH196)),IF(BH196&gt;0,IFERROR(BM196/BH196-1,""),"n/m"),"")</f>
        <v>n/m</v>
      </c>
      <c r="BN200" s="259" t="str">
        <f>IF(AND(ISNUMBER(BN196),ISNUMBER(BI196)),IF(BI196&gt;0,IFERROR(BN196/BI196-1,""),"n/m"),"")</f>
        <v>n/m</v>
      </c>
      <c r="BO200" s="259" t="str">
        <f>IF(AND(ISNUMBER(BO196),ISNUMBER(BJ196)),IF(BJ196&gt;0,IFERROR(BO196/BJ196-1,""),"n/m"),"")</f>
        <v>n/m</v>
      </c>
      <c r="BP200" s="259" t="str">
        <f>IF(AND(ISNUMBER(BP196),ISNUMBER(BK196)),IF(BK196&gt;0,IFERROR(BP196/BK196-1,""),"n/m"),"")</f>
        <v>n/m</v>
      </c>
      <c r="BQ200" s="259" t="str">
        <f>IF(AND(ISNUMBER(BQ196),ISNUMBER(BL196)),IF(BL196&gt;0,IFERROR(BQ196/BL196-1,""),"n/m"),"")</f>
        <v>n/m</v>
      </c>
      <c r="BR200" s="259" t="str">
        <f>IF(AND(ISNUMBER(BR196),ISNUMBER(BM196)),IF(BM196&gt;0,IFERROR(BR196/BM196-1,""),"n/m"),"")</f>
        <v>n/m</v>
      </c>
      <c r="BS200" s="259" t="str">
        <f>IF(AND(ISNUMBER(BS196),ISNUMBER(BN196)),IF(BN196&gt;0,IFERROR(BS196/BN196-1,""),"n/m"),"")</f>
        <v>n/m</v>
      </c>
      <c r="BT200" s="259" t="str">
        <f>IF(AND(ISNUMBER(BT196),ISNUMBER(BO196)),IF(BO196&gt;0,IFERROR(BT196/BO196-1,""),"n/m"),"")</f>
        <v>n/m</v>
      </c>
      <c r="BU200" s="259" t="str">
        <f>IF(AND(ISNUMBER(BU196),ISNUMBER(BP196)),IF(BP196&gt;0,IFERROR(BU196/BP196-1,""),"n/m"),"")</f>
        <v>n/m</v>
      </c>
      <c r="BV200" s="259" t="str">
        <f>IF(AND(ISNUMBER(BV196),ISNUMBER(BQ196)),IF(BQ196&gt;0,IFERROR(BV196/BQ196-1,""),"n/m"),"")</f>
        <v>n/m</v>
      </c>
      <c r="BW200" s="259" t="str">
        <f>IF(AND(ISNUMBER(BW196),ISNUMBER(BR196)),IF(BR196&gt;0,IFERROR(BW196/BR196-1,""),"n/m"),"")</f>
        <v>n/m</v>
      </c>
      <c r="BX200" s="259" t="str">
        <f>IF(AND(ISNUMBER(BX196),ISNUMBER(BS196)),IF(BS196&gt;0,IFERROR(BX196/BS196-1,""),"n/m"),"")</f>
        <v>n/m</v>
      </c>
      <c r="BY200" s="260" t="str">
        <f>IF(AND(ISNUMBER(BY196),ISNUMBER(BT196)),IF(BT196&gt;0,IFERROR(BY196/BT196-1,""),"n/m"),"")</f>
        <v>n/m</v>
      </c>
      <c r="BZ200" s="260">
        <f>IF(AND(ISNUMBER(BZ196),ISNUMBER(BU196)),IF(BU196&gt;0,IFERROR(BZ196/BU196-1,""),"n/m"),"")</f>
        <v>-0.996409946661103</v>
      </c>
      <c r="CA200" s="260">
        <f>IF(AND(ISNUMBER(CA196),ISNUMBER(BV196)),IF(BV196&gt;0,IFERROR(CA196/BV196-1,""),"n/m"),"")</f>
        <v>-1.73716725325485</v>
      </c>
      <c r="CB200" s="260" t="str">
        <f>IF(AND(ISNUMBER(CB196),ISNUMBER(CA196)),IF(CA196&gt;0,IFERROR(CB196/CA196-1,""),"n/m"),"")</f>
        <v>n/m</v>
      </c>
      <c r="CC200" s="260">
        <f>IF(AND(ISNUMBER(CC196),ISNUMBER(CB196)),IF(CB196&gt;0,IFERROR(CC196/CB196-1,""),"n/m"),"")</f>
        <v>0.71876665859481</v>
      </c>
      <c r="CD200" s="260">
        <f>IF(AND(ISNUMBER(CD196),ISNUMBER(CC196)),IF(CC196&gt;0,IFERROR(CD196/CC196-1,""),"n/m"),"")</f>
        <v>0.456578780562441</v>
      </c>
      <c r="CE200" s="260">
        <f>IF(AND(ISNUMBER(CE196),ISNUMBER(CD196)),IF(CD196&gt;0,IFERROR(CE196/CD196-1,""),"n/m"),"")</f>
        <v>0.24419834366052</v>
      </c>
      <c r="CF200" s="260">
        <f>IF(AND(ISNUMBER(CF196),ISNUMBER(CE196)),IF(CE196&gt;0,IFERROR(CF196/CE196-1,""),"n/m"),"")</f>
        <v>0.160946419992612</v>
      </c>
      <c r="CG200" s="153" t="n"/>
    </row>
    <row r="201" ht="15" customHeight="1" s="251">
      <c r="CO201" s="11" t="n"/>
      <c r="CP201" s="12" t="n"/>
      <c r="CQ201" s="12" t="n"/>
      <c r="CR201" s="12" t="n"/>
      <c r="CS201" s="13" t="n"/>
    </row>
    <row r="202" ht="15" customHeight="1" s="251">
      <c r="B202" s="10" t="inlineStr">
        <is>
          <t>GROWTH &amp; MARGINS</t>
        </is>
      </c>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c r="AJ202" s="10" t="n"/>
      <c r="AK202" s="10" t="n"/>
      <c r="AL202" s="10" t="n"/>
      <c r="AM202" s="10" t="n"/>
      <c r="AN202" s="10" t="n"/>
      <c r="AO202" s="10" t="n"/>
      <c r="AP202" s="10" t="n"/>
      <c r="AQ202" s="10" t="n"/>
      <c r="AR202" s="10" t="n"/>
      <c r="AS202" s="10" t="n"/>
      <c r="AT202" s="10" t="n"/>
      <c r="AU202" s="10" t="n"/>
      <c r="AV202" s="10" t="n"/>
      <c r="AW202" s="10" t="n"/>
      <c r="AX202" s="10" t="n"/>
      <c r="AY202" s="10" t="n"/>
      <c r="AZ202" s="10" t="n"/>
      <c r="BA202" s="10" t="n"/>
      <c r="BB202" s="10" t="n"/>
      <c r="BC202" s="10" t="n"/>
      <c r="BD202" s="10" t="n"/>
      <c r="BE202" s="10" t="n"/>
      <c r="BF202" s="10" t="n"/>
      <c r="BG202" s="10" t="n"/>
      <c r="BH202" s="10" t="n"/>
      <c r="BI202" s="10" t="n"/>
      <c r="BJ202" s="10" t="n"/>
      <c r="BK202" s="10" t="n"/>
      <c r="BL202" s="10" t="n"/>
      <c r="BM202" s="10" t="n"/>
      <c r="BN202" s="10" t="n"/>
      <c r="BO202" s="10" t="n"/>
      <c r="BP202" s="10" t="n"/>
      <c r="BQ202" s="10" t="n"/>
      <c r="BR202" s="10" t="n"/>
      <c r="BS202" s="10" t="n"/>
      <c r="BT202" s="10" t="n"/>
      <c r="BU202" s="10" t="n"/>
      <c r="BV202" s="10" t="n"/>
      <c r="BW202" s="10" t="n"/>
      <c r="BX202" s="10" t="n"/>
      <c r="BY202" s="10" t="n"/>
      <c r="BZ202" s="10" t="n"/>
      <c r="CA202" s="10" t="n"/>
      <c r="CB202" s="10" t="n"/>
      <c r="CC202" s="10" t="n"/>
      <c r="CD202" s="10" t="n"/>
      <c r="CE202" s="10" t="n"/>
      <c r="CF202" s="10" t="n"/>
      <c r="CG202" s="10" t="inlineStr">
        <is>
          <t>GROWTH &amp; MARGINS (consolidated) — forecast outputs</t>
        </is>
      </c>
    </row>
    <row r="203" ht="15" customHeight="1" s="251">
      <c r="B203" s="22" t="inlineStr">
        <is>
          <t xml:space="preserve">  Revenues y/y %</t>
        </is>
      </c>
      <c r="C203" s="23" t="n"/>
      <c r="D203" s="259">
        <f>IF(AND(ISNUMBER(D117),ISNUMBER(C117)),IF(C117&gt;0,IFERROR(D117/C117-1,""),"n/m"),"")</f>
        <v>0.0789371038517797</v>
      </c>
      <c r="E203" s="259">
        <f>IF(AND(ISNUMBER(E117),ISNUMBER(D117)),IF(D117&gt;0,IFERROR(E117/D117-1,""),"n/m"),"")</f>
        <v>-0.082275144230045</v>
      </c>
      <c r="F203" s="259">
        <f>IF(AND(ISNUMBER(F117),ISNUMBER(E117)),IF(E117&gt;0,IFERROR(F117/E117-1,""),"n/m"),"")</f>
        <v>0.120738613048831</v>
      </c>
      <c r="G203" s="259">
        <f>IF(AND(ISNUMBER(G117),ISNUMBER(F117)),IF(F117&gt;0,IFERROR(G117/F117-1,""),"n/m"),"")</f>
        <v>-0.0582153161201505</v>
      </c>
      <c r="H203" s="259">
        <f>IF(AND(ISNUMBER(H117),ISNUMBER(G117)),IF(G117&gt;0,IFERROR(H117/G117-1,""),"n/m"),"")</f>
        <v>0.0688738220383791</v>
      </c>
      <c r="I203" s="259">
        <f>IF(AND(ISNUMBER(I117),ISNUMBER(H117)),IF(H117&gt;0,IFERROR(I117/H117-1,""),"n/m"),"")</f>
        <v>0.188593875027279</v>
      </c>
      <c r="J203" s="23" t="n"/>
      <c r="K203" s="23" t="n"/>
      <c r="L203" s="23" t="n"/>
      <c r="M203" s="23" t="n"/>
      <c r="N203" s="259">
        <f>IF(AND(ISNUMBER(N117),ISNUMBER(I117)),IF(I117&gt;0,IFERROR(N117/I117-1,""),"n/m"),"")</f>
        <v>0.0602829934637323</v>
      </c>
      <c r="O203" s="259">
        <f>IF(AND(ISNUMBER(O117),ISNUMBER(J117)),IF(J117&gt;0,IFERROR(O117/J117-1,""),"n/m"),"")</f>
        <v>0.0832054199968242</v>
      </c>
      <c r="P203" s="259">
        <f>IF(AND(ISNUMBER(P117),ISNUMBER(K117)),IF(K117&gt;0,IFERROR(P117/K117-1,""),"n/m"),"")</f>
        <v>0.0105432042172817</v>
      </c>
      <c r="Q203" s="259">
        <f>IF(AND(ISNUMBER(Q117),ISNUMBER(L117)),IF(L117&gt;0,IFERROR(Q117/L117-1,""),"n/m"),"")</f>
        <v>0.0747401717126073</v>
      </c>
      <c r="R203" s="259">
        <f>IF(AND(ISNUMBER(R117),ISNUMBER(M117)),IF(M117&gt;0,IFERROR(R117/M117-1,""),"n/m"),"")</f>
        <v>0.0287155770443557</v>
      </c>
      <c r="S203" s="259">
        <f>IF(AND(ISNUMBER(S117),ISNUMBER(N117)),IF(N117&gt;0,IFERROR(S117/N117-1,""),"n/m"),"")</f>
        <v>0.0477817669672027</v>
      </c>
      <c r="T203" s="259">
        <f>IF(AND(ISNUMBER(T117),ISNUMBER(O117)),IF(O117&gt;0,IFERROR(T117/O117-1,""),"n/m"),"")</f>
        <v>0.0822868311751772</v>
      </c>
      <c r="U203" s="259">
        <f>IF(AND(ISNUMBER(U117),ISNUMBER(P117)),IF(P117&gt;0,IFERROR(U117/P117-1,""),"n/m"),"")</f>
        <v>0.113313676570651</v>
      </c>
      <c r="V203" s="259">
        <f>IF(AND(ISNUMBER(V117),ISNUMBER(Q117)),IF(Q117&gt;0,IFERROR(V117/Q117-1,""),"n/m"),"")</f>
        <v>0.0868230743356879</v>
      </c>
      <c r="W203" s="259">
        <f>IF(AND(ISNUMBER(W117),ISNUMBER(R117)),IF(R117&gt;0,IFERROR(W117/R117-1,""),"n/m"),"")</f>
        <v>-0.0365783880987413</v>
      </c>
      <c r="X203" s="259">
        <f>IF(AND(ISNUMBER(X117),ISNUMBER(S117)),IF(S117&gt;0,IFERROR(X117/S117-1,""),"n/m"),"")</f>
        <v>0.058967409268196</v>
      </c>
      <c r="Y203" s="259">
        <f>IF(AND(ISNUMBER(Y117),ISNUMBER(T117)),IF(T117&gt;0,IFERROR(Y117/T117-1,""),"n/m"),"")</f>
        <v>0.0218068535825544</v>
      </c>
      <c r="Z203" s="259">
        <f>IF(AND(ISNUMBER(Z117),ISNUMBER(U117)),IF(U117&gt;0,IFERROR(Z117/U117-1,""),"n/m"),"")</f>
        <v>0.00863790082711979</v>
      </c>
      <c r="AA203" s="259">
        <f>IF(AND(ISNUMBER(AA117),ISNUMBER(V117)),IF(V117&gt;0,IFERROR(AA117/V117-1,""),"n/m"),"")</f>
        <v>-0.0754768076134473</v>
      </c>
      <c r="AB203" s="259">
        <f>IF(AND(ISNUMBER(AB117),ISNUMBER(W117)),IF(W117&gt;0,IFERROR(AB117/W117-1,""),"n/m"),"")</f>
        <v>-0.0121749459126967</v>
      </c>
      <c r="AC203" s="259">
        <f>IF(AND(ISNUMBER(AC117),ISNUMBER(X117)),IF(X117&gt;0,IFERROR(AC117/X117-1,""),"n/m"),"")</f>
        <v>-0.0160538527165658</v>
      </c>
      <c r="AD203" s="259">
        <f>IF(AND(ISNUMBER(AD117),ISNUMBER(Y117)),IF(Y117&gt;0,IFERROR(AD117/Y117-1,""),"n/m"),"")</f>
        <v>-0.073170731707317</v>
      </c>
      <c r="AE203" s="259">
        <f>IF(AND(ISNUMBER(AE117),ISNUMBER(Z117)),IF(Z117&gt;0,IFERROR(AE117/Z117-1,""),"n/m"),"")</f>
        <v>-0.0814380933144819</v>
      </c>
      <c r="AF203" s="259">
        <f>IF(AND(ISNUMBER(AF117),ISNUMBER(AA117)),IF(AA117&gt;0,IFERROR(AF117/AA117-1,""),"n/m"),"")</f>
        <v>0.0171980918905348</v>
      </c>
      <c r="AG203" s="259">
        <f>IF(AND(ISNUMBER(AG117),ISNUMBER(AB117)),IF(AB117&gt;0,IFERROR(AG117/AB117-1,""),"n/m"),"")</f>
        <v>0.0894099458902344</v>
      </c>
      <c r="AH203" s="259">
        <f>IF(AND(ISNUMBER(AH117),ISNUMBER(AC117)),IF(AC117&gt;0,IFERROR(AH117/AC117-1,""),"n/m"),"")</f>
        <v>-0.0124668238677819</v>
      </c>
      <c r="AI203" s="259">
        <f>IF(AND(ISNUMBER(AI117),ISNUMBER(AD117)),IF(AD117&gt;0,IFERROR(AI117/AD117-1,""),"n/m"),"")</f>
        <v>0.114702517162471</v>
      </c>
      <c r="AJ203" s="259">
        <f>IF(AND(ISNUMBER(AJ117),ISNUMBER(AE117)),IF(AE117&gt;0,IFERROR(AJ117/AE117-1,""),"n/m"),"")</f>
        <v>0.0668015304103082</v>
      </c>
      <c r="AK203" s="259">
        <f>IF(AND(ISNUMBER(AK117),ISNUMBER(AF117)),IF(AF117&gt;0,IFERROR(AK117/AF117-1,""),"n/m"),"")</f>
        <v>0.0344316919659387</v>
      </c>
      <c r="AL203" s="259">
        <f>IF(AND(ISNUMBER(AL117),ISNUMBER(AG117)),IF(AG117&gt;0,IFERROR(AL117/AG117-1,""),"n/m"),"")</f>
        <v>0.117194891201514</v>
      </c>
      <c r="AM203" s="259">
        <f>IF(AND(ISNUMBER(AM117),ISNUMBER(AH117)),IF(AH117&gt;0,IFERROR(AM117/AH117-1,""),"n/m"),"")</f>
        <v>0.0828229398663698</v>
      </c>
      <c r="AN203" s="259">
        <f>IF(AND(ISNUMBER(AN117),ISNUMBER(AI117)),IF(AI117&gt;0,IFERROR(AN117/AI117-1,""),"n/m"),"")</f>
        <v>-0.0198870926353605</v>
      </c>
      <c r="AO203" s="259">
        <f>IF(AND(ISNUMBER(AO117),ISNUMBER(AJ117)),IF(AJ117&gt;0,IFERROR(AO117/AJ117-1,""),"n/m"),"")</f>
        <v>-0.350688432682002</v>
      </c>
      <c r="AP203" s="259">
        <f>IF(AND(ISNUMBER(AP117),ISNUMBER(AK117)),IF(AK117&gt;0,IFERROR(AP117/AK117-1,""),"n/m"),"")</f>
        <v>-0.205440229062276</v>
      </c>
      <c r="AQ203" s="259">
        <f>IF(AND(ISNUMBER(AQ117),ISNUMBER(AL117)),IF(AL117&gt;0,IFERROR(AQ117/AL117-1,""),"n/m"),"")</f>
        <v>-0.36801806569987</v>
      </c>
      <c r="AR203" s="259">
        <f>IF(AND(ISNUMBER(AR117),ISNUMBER(AM117)),IF(AM117&gt;0,IFERROR(AR117/AM117-1,""),"n/m"),"")</f>
        <v>-0.242942043173435</v>
      </c>
      <c r="AS203" s="259">
        <f>IF(AND(ISNUMBER(AS117),ISNUMBER(AN117)),IF(AN117&gt;0,IFERROR(AS117/AN117-1,""),"n/m"),"")</f>
        <v>-0.262207095169525</v>
      </c>
      <c r="AT203" s="259">
        <f>IF(AND(ISNUMBER(AT117),ISNUMBER(AO117)),IF(AO117&gt;0,IFERROR(AT117/AO117-1,""),"n/m"),"")</f>
        <v>-0.250396800203162</v>
      </c>
      <c r="AU203" s="259">
        <f>IF(AND(ISNUMBER(AU117),ISNUMBER(AP117)),IF(AP117&gt;0,IFERROR(AU117/AP117-1,""),"n/m"),"")</f>
        <v>-0.292342342342342</v>
      </c>
      <c r="AV203" s="259">
        <f>IF(AND(ISNUMBER(AV117),ISNUMBER(AQ117)),IF(AQ117&gt;0,IFERROR(AV117/AQ117-1,""),"n/m"),"")</f>
        <v>-0.14555301211546</v>
      </c>
      <c r="AW203" s="259">
        <f>IF(AND(ISNUMBER(AW117),ISNUMBER(AR117)),IF(AR117&gt;0,IFERROR(AW117/AR117-1,""),"n/m"),"")</f>
        <v>-0.240350579291788</v>
      </c>
      <c r="AX203" s="259">
        <f>IF(AND(ISNUMBER(AX117),ISNUMBER(AS117)),IF(AS117&gt;0,IFERROR(AX117/AS117-1,""),"n/m"),"")</f>
        <v>-0.100011828720132</v>
      </c>
      <c r="AY203" s="259">
        <f>IF(AND(ISNUMBER(AY117),ISNUMBER(AT117)),IF(AT117&gt;0,IFERROR(AY117/AT117-1,""),"n/m"),"")</f>
        <v>0.439654442280003</v>
      </c>
      <c r="AZ203" s="259">
        <f>IF(AND(ISNUMBER(AZ117),ISNUMBER(AU117)),IF(AU117&gt;0,IFERROR(AZ117/AU117-1,""),"n/m"),"")</f>
        <v>0.0805573237145485</v>
      </c>
      <c r="BA203" s="259">
        <f>IF(AND(ISNUMBER(BA117),ISNUMBER(AV117)),IF(AV117&gt;0,IFERROR(BA117/AV117-1,""),"n/m"),"")</f>
        <v>-0.0333899634082593</v>
      </c>
      <c r="BB203" s="259">
        <f>IF(AND(ISNUMBER(BB117),ISNUMBER(AW117)),IF(AW117&gt;0,IFERROR(BB117/AW117-1,""),"n/m"),"")</f>
        <v>0.0709790570514806</v>
      </c>
      <c r="BC203" s="259">
        <f>IF(AND(ISNUMBER(BC117),ISNUMBER(AX117)),IF(AX117&gt;0,IFERROR(BC117/AX117-1,""),"n/m"),"")</f>
        <v>-0.0805677860287836</v>
      </c>
      <c r="BD203" s="259">
        <f>IF(AND(ISNUMBER(BD117),ISNUMBER(AY117)),IF(AY117&gt;0,IFERROR(BD117/AY117-1,""),"n/m"),"")</f>
        <v>-0.0186492528532769</v>
      </c>
      <c r="BE203" s="259">
        <f>IF(AND(ISNUMBER(BE117),ISNUMBER(AZ117)),IF(AZ117&gt;0,IFERROR(BE117/AZ117-1,""),"n/m"),"")</f>
        <v>0.0443775363267442</v>
      </c>
      <c r="BF203" s="259">
        <f>IF(AND(ISNUMBER(BF117),ISNUMBER(BA117)),IF(BA117&gt;0,IFERROR(BF117/BA117-1,""),"n/m"),"")</f>
        <v>0.350638815656054</v>
      </c>
      <c r="BG203" s="259">
        <f>IF(AND(ISNUMBER(BG117),ISNUMBER(BB117)),IF(BB117&gt;0,IFERROR(BG117/BB117-1,""),"n/m"),"")</f>
        <v>0.0693895899560093</v>
      </c>
      <c r="BH203" s="259">
        <f>IF(AND(ISNUMBER(BH117),ISNUMBER(BC117)),IF(BC117&gt;0,IFERROR(BH117/BC117-1,""),"n/m"),"")</f>
        <v>0.28089486098206</v>
      </c>
      <c r="BI203" s="259">
        <f>IF(AND(ISNUMBER(BI117),ISNUMBER(BD117)),IF(BD117&gt;0,IFERROR(BI117/BD117-1,""),"n/m"),"")</f>
        <v>0.184041724117259</v>
      </c>
      <c r="BJ203" s="259">
        <f>IF(AND(ISNUMBER(BJ117),ISNUMBER(BE117)),IF(BE117&gt;0,IFERROR(BJ117/BE117-1,""),"n/m"),"")</f>
        <v>0.134620205565305</v>
      </c>
      <c r="BK203" s="259">
        <f>IF(AND(ISNUMBER(BK117),ISNUMBER(BF117)),IF(BF117&gt;0,IFERROR(BK117/BF117-1,""),"n/m"),"")</f>
        <v>0.102002002002002</v>
      </c>
      <c r="BL203" s="259">
        <f>IF(AND(ISNUMBER(BL117),ISNUMBER(BG117)),IF(BG117&gt;0,IFERROR(BL117/BG117-1,""),"n/m"),"")</f>
        <v>0.167937785251021</v>
      </c>
      <c r="BM203" s="259">
        <f>IF(AND(ISNUMBER(BM117),ISNUMBER(BH117)),IF(BH117&gt;0,IFERROR(BM117/BH117-1,""),"n/m"),"")</f>
        <v>-0.0754422186261927</v>
      </c>
      <c r="BN203" s="259">
        <f>IF(AND(ISNUMBER(BN117),ISNUMBER(BI117)),IF(BI117&gt;0,IFERROR(BN117/BI117-1,""),"n/m"),"")</f>
        <v>-0.146068553490962</v>
      </c>
      <c r="BO203" s="259">
        <f>IF(AND(ISNUMBER(BO117),ISNUMBER(BJ117)),IF(BJ117&gt;0,IFERROR(BO117/BJ117-1,""),"n/m"),"")</f>
        <v>-0.0145824127264693</v>
      </c>
      <c r="BP203" s="259">
        <f>IF(AND(ISNUMBER(BP117),ISNUMBER(BK117)),IF(BK117&gt;0,IFERROR(BP117/BK117-1,""),"n/m"),"")</f>
        <v>-0.307748206013262</v>
      </c>
      <c r="BQ203" s="259">
        <f>IF(AND(ISNUMBER(BQ117),ISNUMBER(BL117)),IF(BL117&gt;0,IFERROR(BQ117/BL117-1,""),"n/m"),"")</f>
        <v>-0.144959765534617</v>
      </c>
      <c r="BR203" s="259">
        <f>IF(AND(ISNUMBER(BR117),ISNUMBER(BM117)),IF(BM117&gt;0,IFERROR(BR117/BM117-1,""),"n/m"),"")</f>
        <v>0.176655199468888</v>
      </c>
      <c r="BS203" s="259">
        <f>IF(AND(ISNUMBER(BS117),ISNUMBER(BN117)),IF(BN117&gt;0,IFERROR(BS117/BN117-1,""),"n/m"),"")</f>
        <v>0.348808253290644</v>
      </c>
      <c r="BT203" s="259">
        <f>IF(AND(ISNUMBER(BT117),ISNUMBER(BO117)),IF(BO117&gt;0,IFERROR(BT117/BO117-1,""),"n/m"),"")</f>
        <v>0.304372197309417</v>
      </c>
      <c r="BU203" s="259">
        <f>IF(AND(ISNUMBER(BU117),ISNUMBER(BP117)),IF(BP117&gt;0,IFERROR(BU117/BP117-1,""),"n/m"),"")</f>
        <v>0.571184883873507</v>
      </c>
      <c r="BV203" s="259">
        <f>IF(AND(ISNUMBER(BV117),ISNUMBER(BQ117)),IF(BQ117&gt;0,IFERROR(BV117/BQ117-1,""),"n/m"),"")</f>
        <v>0.344964445179428</v>
      </c>
      <c r="BW203" s="259">
        <f>IF(AND(ISNUMBER(BW117),ISNUMBER(BR117)),IF(BR117&gt;0,IFERROR(BW117/BR117-1,""),"n/m"),"")</f>
        <v>0.139567090685269</v>
      </c>
      <c r="BX203" s="259">
        <f>IF(AND(ISNUMBER(BX117),ISNUMBER(BS117)),IF(BS117&gt;0,IFERROR(BX117/BS117-1,""),"n/m"),"")</f>
        <v>0.079607894852521</v>
      </c>
      <c r="BY203" s="260">
        <f>IF(AND(ISNUMBER(BY117),ISNUMBER(BT117)),IF(BT117&gt;0,IFERROR(BY117/BT117-1,""),"n/m"),"")</f>
        <v>0.0739209643017</v>
      </c>
      <c r="BZ203" s="260">
        <f>IF(AND(ISNUMBER(BZ117),ISNUMBER(BU117)),IF(BU117&gt;0,IFERROR(BZ117/BU117-1,""),"n/m"),"")</f>
        <v>0.0651147453465044</v>
      </c>
      <c r="CA203" s="260">
        <f>IF(AND(ISNUMBER(CA117),ISNUMBER(BV117)),IF(BV117&gt;0,IFERROR(CA117/BV117-1,""),"n/m"),"")</f>
        <v>0.0873155244163357</v>
      </c>
      <c r="CB203" s="260">
        <f>IF(AND(ISNUMBER(CB117),ISNUMBER(CA117)),IF(CA117&gt;0,IFERROR(CB117/CA117-1,""),"n/m"),"")</f>
        <v>0.0958514255734295</v>
      </c>
      <c r="CC203" s="260">
        <f>IF(AND(ISNUMBER(CC117),ISNUMBER(CB117)),IF(CB117&gt;0,IFERROR(CC117/CB117-1,""),"n/m"),"")</f>
        <v>0.0861451140850875</v>
      </c>
      <c r="CD203" s="260">
        <f>IF(AND(ISNUMBER(CD117),ISNUMBER(CC117)),IF(CC117&gt;0,IFERROR(CD117/CC117-1,""),"n/m"),"")</f>
        <v>0.0693302582900557</v>
      </c>
      <c r="CE203" s="260">
        <f>IF(AND(ISNUMBER(CE117),ISNUMBER(CD117)),IF(CD117&gt;0,IFERROR(CE117/CD117-1,""),"n/m"),"")</f>
        <v>0.049301728106427</v>
      </c>
      <c r="CF203" s="260">
        <f>IF(AND(ISNUMBER(CF117),ISNUMBER(CE117)),IF(CE117&gt;0,IFERROR(CF117/CE117-1,""),"n/m"),"")</f>
        <v>0.0430527258552416</v>
      </c>
      <c r="CG203" s="153" t="n"/>
      <c r="CI203" s="37">
        <f>IFERROR(AVERAGE(CB203,CC203,CD203,CE203,CF203),"n/m")</f>
        <v>0.0687362503820483</v>
      </c>
      <c r="CJ203" s="37">
        <f>IFERROR(AVERAGE(BB203,BG203,BL203,BQ203,BV203),"n/m")</f>
        <v>0.101662222380664</v>
      </c>
      <c r="CK203" s="37">
        <f>IFERROR(AVERAGE(AC203,AH203,AM203,AR203,AW203,BB203,BG203,BL203,BQ203,BV203),"n/m")</f>
        <v>0.00793207527201202</v>
      </c>
      <c r="CL203" s="37">
        <f>IFERROR(AVERAGE(C203,D203,E203,F203,G203,H203,I203,N203,S203,X203,AC203,AH203,AM203,AR203,AW203,BB203,BG203,BL203,BQ203,BV203),"n/m")</f>
        <v>0.0296318882123855</v>
      </c>
    </row>
    <row r="204" ht="15" customHeight="1" s="251">
      <c r="B204" s="22" t="inlineStr">
        <is>
          <t xml:space="preserve">  Commercial deliveries y/y %</t>
        </is>
      </c>
      <c r="C204" s="23" t="n"/>
      <c r="D204" s="259">
        <f>IF(AND(ISNUMBER(D18),ISNUMBER(C18)),IF(C18&gt;0,IFERROR(D18/C18-1,""),"n/m"),"")</f>
        <v>0.108040201005025</v>
      </c>
      <c r="E204" s="259">
        <f>IF(AND(ISNUMBER(E18),ISNUMBER(D18)),IF(D18&gt;0,IFERROR(E18/D18-1,""),"n/m"),"")</f>
        <v>-0.149659863945578</v>
      </c>
      <c r="F204" s="259">
        <f>IF(AND(ISNUMBER(F18),ISNUMBER(E18)),IF(E18&gt;0,IFERROR(F18/E18-1,""),"n/m"),"")</f>
        <v>0.282666666666667</v>
      </c>
      <c r="G204" s="259">
        <f>IF(AND(ISNUMBER(G18),ISNUMBER(F18)),IF(F18&gt;0,IFERROR(G18/F18-1,""),"n/m"),"")</f>
        <v>-0.0395010395010395</v>
      </c>
      <c r="H204" s="259">
        <f>IF(AND(ISNUMBER(H18),ISNUMBER(G18)),IF(G18&gt;0,IFERROR(H18/G18-1,""),"n/m"),"")</f>
        <v>0.0324675324675325</v>
      </c>
      <c r="I204" s="259">
        <f>IF(AND(ISNUMBER(I18),ISNUMBER(H18)),IF(H18&gt;0,IFERROR(I18/H18-1,""),"n/m"),"")</f>
        <v>0.259958071278826</v>
      </c>
      <c r="J204" s="23" t="n"/>
      <c r="K204" s="23" t="n"/>
      <c r="L204" s="23" t="n"/>
      <c r="M204" s="23" t="n"/>
      <c r="N204" s="259">
        <f>IF(AND(ISNUMBER(N18),ISNUMBER(I18)),IF(I18&gt;0,IFERROR(N18/I18-1,""),"n/m"),"")</f>
        <v>0.0782029950083194</v>
      </c>
      <c r="O204" s="259">
        <f>IF(AND(ISNUMBER(O18),ISNUMBER(J18)),IF(J18&gt;0,IFERROR(O18/J18-1,""),"n/m"),"")</f>
        <v>0.175182481751825</v>
      </c>
      <c r="P204" s="259">
        <f>IF(AND(ISNUMBER(P18),ISNUMBER(K18)),IF(K18&gt;0,IFERROR(P18/K18-1,""),"n/m"),"")</f>
        <v>0.0710059171597632</v>
      </c>
      <c r="Q204" s="259">
        <f>IF(AND(ISNUMBER(Q18),ISNUMBER(L18)),IF(L18&gt;0,IFERROR(Q18/L18-1,""),"n/m"),"")</f>
        <v>0.0941176470588236</v>
      </c>
      <c r="R204" s="259">
        <f>IF(AND(ISNUMBER(R18),ISNUMBER(M18)),IF(M18&gt;0,IFERROR(R18/M18-1,""),"n/m"),"")</f>
        <v>0.133720930232558</v>
      </c>
      <c r="S204" s="259">
        <f>IF(AND(ISNUMBER(S18),ISNUMBER(N18)),IF(N18&gt;0,IFERROR(S18/N18-1,""),"n/m"),"")</f>
        <v>0.115740740740741</v>
      </c>
      <c r="T204" s="259">
        <f>IF(AND(ISNUMBER(T18),ISNUMBER(O18)),IF(O18&gt;0,IFERROR(T18/O18-1,""),"n/m"),"")</f>
        <v>0.142857142857143</v>
      </c>
      <c r="U204" s="259">
        <f>IF(AND(ISNUMBER(U18),ISNUMBER(P18)),IF(P18&gt;0,IFERROR(U18/P18-1,""),"n/m"),"")</f>
        <v>0.0883977900552486</v>
      </c>
      <c r="V204" s="259">
        <f>IF(AND(ISNUMBER(V18),ISNUMBER(Q18)),IF(Q18&gt;0,IFERROR(V18/Q18-1,""),"n/m"),"")</f>
        <v>0.0698924731182795</v>
      </c>
      <c r="W204" s="259">
        <f>IF(AND(ISNUMBER(W18),ISNUMBER(R18)),IF(R18&gt;0,IFERROR(W18/R18-1,""),"n/m"),"")</f>
        <v>-0.0666666666666667</v>
      </c>
      <c r="X204" s="259">
        <f>IF(AND(ISNUMBER(X18),ISNUMBER(S18)),IF(S18&gt;0,IFERROR(X18/S18-1,""),"n/m"),"")</f>
        <v>0.053941908713693</v>
      </c>
      <c r="Y204" s="259">
        <f>IF(AND(ISNUMBER(Y18),ISNUMBER(T18)),IF(T18&gt;0,IFERROR(Y18/T18-1,""),"n/m"),"")</f>
        <v>-0.0434782608695652</v>
      </c>
      <c r="Z204" s="259">
        <f>IF(AND(ISNUMBER(Z18),ISNUMBER(U18)),IF(U18&gt;0,IFERROR(Z18/U18-1,""),"n/m"),"")</f>
        <v>0.0101522842639594</v>
      </c>
      <c r="AA204" s="259">
        <f>IF(AND(ISNUMBER(AA18),ISNUMBER(V18)),IF(V18&gt;0,IFERROR(AA18/V18-1,""),"n/m"),"")</f>
        <v>-0.0552763819095478</v>
      </c>
      <c r="AB204" s="259">
        <f>IF(AND(ISNUMBER(AB18),ISNUMBER(W18)),IF(W18&gt;0,IFERROR(AB18/W18-1,""),"n/m"),"")</f>
        <v>0.0164835164835164</v>
      </c>
      <c r="AC204" s="259">
        <f>IF(AND(ISNUMBER(AC18),ISNUMBER(X18)),IF(X18&gt;0,IFERROR(AC18/X18-1,""),"n/m"),"")</f>
        <v>-0.0183727034120735</v>
      </c>
      <c r="AD204" s="259">
        <f>IF(AND(ISNUMBER(AD18),ISNUMBER(Y18)),IF(Y18&gt;0,IFERROR(AD18/Y18-1,""),"n/m"),"")</f>
        <v>-0.0397727272727273</v>
      </c>
      <c r="AE204" s="259">
        <f>IF(AND(ISNUMBER(AE18),ISNUMBER(Z18)),IF(Z18&gt;0,IFERROR(AE18/Z18-1,""),"n/m"),"")</f>
        <v>-0.0804020100502513</v>
      </c>
      <c r="AF204" s="259">
        <f>IF(AND(ISNUMBER(AF18),ISNUMBER(AA18)),IF(AA18&gt;0,IFERROR(AF18/AA18-1,""),"n/m"),"")</f>
        <v>0.074468085106383</v>
      </c>
      <c r="AG204" s="259">
        <f>IF(AND(ISNUMBER(AG18),ISNUMBER(AB18)),IF(AB18&gt;0,IFERROR(AG18/AB18-1,""),"n/m"),"")</f>
        <v>0.12972972972973</v>
      </c>
      <c r="AH204" s="259">
        <f>IF(AND(ISNUMBER(AH18),ISNUMBER(AC18)),IF(AC18&gt;0,IFERROR(AH18/AC18-1,""),"n/m"),"")</f>
        <v>0.0200534759358288</v>
      </c>
      <c r="AI204" s="259">
        <f>IF(AND(ISNUMBER(AI18),ISNUMBER(AD18)),IF(AD18&gt;0,IFERROR(AI18/AD18-1,""),"n/m"),"")</f>
        <v>0.0887573964497042</v>
      </c>
      <c r="AJ204" s="259">
        <f>IF(AND(ISNUMBER(AJ18),ISNUMBER(AE18)),IF(AE18&gt;0,IFERROR(AJ18/AE18-1,""),"n/m"),"")</f>
        <v>0.0601092896174864</v>
      </c>
      <c r="AK204" s="259">
        <f>IF(AND(ISNUMBER(AK18),ISNUMBER(AF18)),IF(AF18&gt;0,IFERROR(AK18/AF18-1,""),"n/m"),"")</f>
        <v>-0.0594059405940595</v>
      </c>
      <c r="AL204" s="259">
        <f>IF(AND(ISNUMBER(AL18),ISNUMBER(AG18)),IF(AG18&gt;0,IFERROR(AL18/AG18-1,""),"n/m"),"")</f>
        <v>0.138755980861244</v>
      </c>
      <c r="AM204" s="259">
        <f>IF(AND(ISNUMBER(AM18),ISNUMBER(AH18)),IF(AH18&gt;0,IFERROR(AM18/AH18-1,""),"n/m"),"")</f>
        <v>0.056356487549148</v>
      </c>
      <c r="AN204" s="259">
        <f>IF(AND(ISNUMBER(AN18),ISNUMBER(AI18)),IF(AI18&gt;0,IFERROR(AN18/AI18-1,""),"n/m"),"")</f>
        <v>-0.190217391304348</v>
      </c>
      <c r="AO204" s="259">
        <f>IF(AND(ISNUMBER(AO18),ISNUMBER(AJ18)),IF(AJ18&gt;0,IFERROR(AO18/AJ18-1,""),"n/m"),"")</f>
        <v>-0.536082474226804</v>
      </c>
      <c r="AP204" s="259">
        <f>IF(AND(ISNUMBER(AP18),ISNUMBER(AK18)),IF(AK18&gt;0,IFERROR(AP18/AK18-1,""),"n/m"),"")</f>
        <v>-0.673684210526316</v>
      </c>
      <c r="AQ204" s="259">
        <f>IF(AND(ISNUMBER(AQ18),ISNUMBER(AL18)),IF(AL18&gt;0,IFERROR(AQ18/AL18-1,""),"n/m"),"")</f>
        <v>-0.668067226890756</v>
      </c>
      <c r="AR204" s="259">
        <f>IF(AND(ISNUMBER(AR18),ISNUMBER(AM18)),IF(AM18&gt;0,IFERROR(AR18/AM18-1,""),"n/m"),"")</f>
        <v>-0.528535980148883</v>
      </c>
      <c r="AS204" s="259">
        <f>IF(AND(ISNUMBER(AS18),ISNUMBER(AN18)),IF(AN18&gt;0,IFERROR(AS18/AN18-1,""),"n/m"),"")</f>
        <v>-0.664429530201342</v>
      </c>
      <c r="AT204" s="259">
        <f>IF(AND(ISNUMBER(AT18),ISNUMBER(AO18)),IF(AO18&gt;0,IFERROR(AT18/AO18-1,""),"n/m"),"")</f>
        <v>-0.777777777777778</v>
      </c>
      <c r="AU204" s="259">
        <f>IF(AND(ISNUMBER(AU18),ISNUMBER(AP18)),IF(AP18&gt;0,IFERROR(AU18/AP18-1,""),"n/m"),"")</f>
        <v>-0.548387096774194</v>
      </c>
      <c r="AV204" s="259">
        <f>IF(AND(ISNUMBER(AV18),ISNUMBER(AQ18)),IF(AQ18&gt;0,IFERROR(AV18/AQ18-1,""),"n/m"),"")</f>
        <v>-0.253164556962025</v>
      </c>
      <c r="AW204" s="259">
        <f>IF(AND(ISNUMBER(AW18),ISNUMBER(AR18)),IF(AR18&gt;0,IFERROR(AW18/AR18-1,""),"n/m"),"")</f>
        <v>-0.586842105263158</v>
      </c>
      <c r="AX204" s="259">
        <f>IF(AND(ISNUMBER(AX18),ISNUMBER(AS18)),IF(AS18&gt;0,IFERROR(AX18/AS18-1,""),"n/m"),"")</f>
        <v>0.54</v>
      </c>
      <c r="AY204" s="259">
        <f>IF(AND(ISNUMBER(AY18),ISNUMBER(AT18)),IF(AT18&gt;0,IFERROR(AY18/AT18-1,""),"n/m"),"")</f>
        <v>2.95</v>
      </c>
      <c r="AZ204" s="259">
        <f>IF(AND(ISNUMBER(AZ18),ISNUMBER(AU18)),IF(AU18&gt;0,IFERROR(AZ18/AU18-1,""),"n/m"),"")</f>
        <v>2.03571428571429</v>
      </c>
      <c r="BA204" s="259">
        <f>IF(AND(ISNUMBER(BA18),ISNUMBER(AV18)),IF(AV18&gt;0,IFERROR(BA18/AV18-1,""),"n/m"),"")</f>
        <v>0.677966101694915</v>
      </c>
      <c r="BB204" s="259">
        <f>IF(AND(ISNUMBER(BB18),ISNUMBER(AW18)),IF(AW18&gt;0,IFERROR(BB18/AW18-1,""),"n/m"),"")</f>
        <v>1.1656050955414</v>
      </c>
      <c r="BC204" s="259">
        <f>IF(AND(ISNUMBER(BC18),ISNUMBER(AX18)),IF(AX18&gt;0,IFERROR(BC18/AX18-1,""),"n/m"),"")</f>
        <v>0.233766233766234</v>
      </c>
      <c r="BD204" s="259">
        <f>IF(AND(ISNUMBER(BD18),ISNUMBER(AY18)),IF(AY18&gt;0,IFERROR(BD18/AY18-1,""),"n/m"),"")</f>
        <v>0.531645569620253</v>
      </c>
      <c r="BE204" s="259">
        <f>IF(AND(ISNUMBER(BE18),ISNUMBER(AZ18)),IF(AZ18&gt;0,IFERROR(BE18/AZ18-1,""),"n/m"),"")</f>
        <v>0.317647058823529</v>
      </c>
      <c r="BF204" s="259">
        <f>IF(AND(ISNUMBER(BF18),ISNUMBER(BA18)),IF(BA18&gt;0,IFERROR(BF18/BA18-1,""),"n/m"),"")</f>
        <v>0.535353535353535</v>
      </c>
      <c r="BG204" s="259">
        <f>IF(AND(ISNUMBER(BG18),ISNUMBER(BB18)),IF(BB18&gt;0,IFERROR(BG18/BB18-1,""),"n/m"),"")</f>
        <v>0.411764705882353</v>
      </c>
      <c r="BH204" s="259">
        <f>IF(AND(ISNUMBER(BH18),ISNUMBER(BC18)),IF(BC18&gt;0,IFERROR(BH18/BC18-1,""),"n/m"),"")</f>
        <v>0.368421052631579</v>
      </c>
      <c r="BI204" s="259">
        <f>IF(AND(ISNUMBER(BI18),ISNUMBER(BD18)),IF(BD18&gt;0,IFERROR(BI18/BD18-1,""),"n/m"),"")</f>
        <v>0.12396694214876</v>
      </c>
      <c r="BJ204" s="259">
        <f>IF(AND(ISNUMBER(BJ18),ISNUMBER(BE18)),IF(BE18&gt;0,IFERROR(BJ18/BE18-1,""),"n/m"),"")</f>
        <v>-0.0625</v>
      </c>
      <c r="BK204" s="259">
        <f>IF(AND(ISNUMBER(BK18),ISNUMBER(BF18)),IF(BF18&gt;0,IFERROR(BK18/BF18-1,""),"n/m"),"")</f>
        <v>0.0328947368421053</v>
      </c>
      <c r="BL204" s="259">
        <f>IF(AND(ISNUMBER(BL18),ISNUMBER(BG18)),IF(BG18&gt;0,IFERROR(BL18/BG18-1,""),"n/m"),"")</f>
        <v>0.1</v>
      </c>
      <c r="BM204" s="259">
        <f>IF(AND(ISNUMBER(BM18),ISNUMBER(BH18)),IF(BH18&gt;0,IFERROR(BM18/BH18-1,""),"n/m"),"")</f>
        <v>-0.361538461538462</v>
      </c>
      <c r="BN204" s="259">
        <f>IF(AND(ISNUMBER(BN18),ISNUMBER(BI18)),IF(BI18&gt;0,IFERROR(BN18/BI18-1,""),"n/m"),"")</f>
        <v>-0.323529411764706</v>
      </c>
      <c r="BO204" s="259">
        <f>IF(AND(ISNUMBER(BO18),ISNUMBER(BJ18)),IF(BJ18&gt;0,IFERROR(BO18/BJ18-1,""),"n/m"),"")</f>
        <v>0.104761904761905</v>
      </c>
      <c r="BP204" s="259">
        <f>IF(AND(ISNUMBER(BP18),ISNUMBER(BK18)),IF(BK18&gt;0,IFERROR(BP18/BK18-1,""),"n/m"),"")</f>
        <v>-0.636942675159236</v>
      </c>
      <c r="BQ204" s="259">
        <f>IF(AND(ISNUMBER(BQ18),ISNUMBER(BL18)),IF(BL18&gt;0,IFERROR(BQ18/BL18-1,""),"n/m"),"")</f>
        <v>-0.340909090909091</v>
      </c>
      <c r="BR204" s="259">
        <f>IF(AND(ISNUMBER(BR18),ISNUMBER(BM18)),IF(BM18&gt;0,IFERROR(BR18/BM18-1,""),"n/m"),"")</f>
        <v>0.566265060240964</v>
      </c>
      <c r="BS204" s="259">
        <f>IF(AND(ISNUMBER(BS18),ISNUMBER(BN18)),IF(BN18&gt;0,IFERROR(BS18/BN18-1,""),"n/m"),"")</f>
        <v>0.630434782608696</v>
      </c>
      <c r="BT204" s="259">
        <f>IF(AND(ISNUMBER(BT18),ISNUMBER(BO18)),IF(BO18&gt;0,IFERROR(BT18/BO18-1,""),"n/m"),"")</f>
        <v>0.379310344827586</v>
      </c>
      <c r="BU204" s="259">
        <f>IF(AND(ISNUMBER(BU18),ISNUMBER(BP18)),IF(BP18&gt;0,IFERROR(BU18/BP18-1,""),"n/m"),"")</f>
        <v>1.80701754385965</v>
      </c>
      <c r="BV204" s="259">
        <f>IF(AND(ISNUMBER(BV18),ISNUMBER(BQ18)),IF(BQ18&gt;0,IFERROR(BV18/BQ18-1,""),"n/m"),"")</f>
        <v>0.724137931034483</v>
      </c>
      <c r="BW204" s="259">
        <f>IF(AND(ISNUMBER(BW18),ISNUMBER(BR18)),IF(BR18&gt;0,IFERROR(BW18/BR18-1,""),"n/m"),"")</f>
        <v>0.1</v>
      </c>
      <c r="BX204" s="259">
        <f>IF(AND(ISNUMBER(BX18),ISNUMBER(BS18)),IF(BS18&gt;0,IFERROR(BX18/BS18-1,""),"n/m"),"")</f>
        <v>0.14</v>
      </c>
      <c r="BY204" s="260">
        <f>IF(AND(ISNUMBER(BY18),ISNUMBER(BT18)),IF(BT18&gt;0,IFERROR(BY18/BT18-1,""),"n/m"),"")</f>
        <v>0.0634322478991596</v>
      </c>
      <c r="BZ204" s="260">
        <f>IF(AND(ISNUMBER(BZ18),ISNUMBER(BU18)),IF(BU18&gt;0,IFERROR(BZ18/BU18-1,""),"n/m"),"")</f>
        <v>0.0711659663865547</v>
      </c>
      <c r="CA204" s="260">
        <f>IF(AND(ISNUMBER(CA18),ISNUMBER(BV18)),IF(BV18&gt;0,IFERROR(CA18/BV18-1,""),"n/m"),"")</f>
        <v>0.0925595238095238</v>
      </c>
      <c r="CB204" s="260">
        <f>IF(AND(ISNUMBER(CB18),ISNUMBER(CA18)),IF(CA18&gt;0,IFERROR(CB18/CA18-1,""),"n/m"),"")</f>
        <v>0.113593026423318</v>
      </c>
      <c r="CC204" s="260">
        <f>IF(AND(ISNUMBER(CC18),ISNUMBER(CB18)),IF(CB18&gt;0,IFERROR(CC18/CB18-1,""),"n/m"),"")</f>
        <v>0.0890410958904109</v>
      </c>
      <c r="CD204" s="260">
        <f>IF(AND(ISNUMBER(CD18),ISNUMBER(CC18)),IF(CC18&gt;0,IFERROR(CD18/CC18-1,""),"n/m"),"")</f>
        <v>0.0566037735849057</v>
      </c>
      <c r="CE204" s="260">
        <f>IF(AND(ISNUMBER(CE18),ISNUMBER(CD18)),IF(CD18&gt;0,IFERROR(CE18/CD18-1,""),"n/m"),"")</f>
        <v>0.0238095238095237</v>
      </c>
      <c r="CF204" s="260">
        <f>IF(AND(ISNUMBER(CF18),ISNUMBER(CE18)),IF(CE18&gt;0,IFERROR(CF18/CE18-1,""),"n/m"),"")</f>
        <v>0.0116279069767442</v>
      </c>
      <c r="CG204" s="153" t="n"/>
    </row>
    <row r="205" ht="15" customHeight="1" s="251">
      <c r="B205" s="22" t="inlineStr">
        <is>
          <t xml:space="preserve">  BCA revenues y/y %</t>
        </is>
      </c>
      <c r="C205" s="23" t="n"/>
      <c r="D205" s="259">
        <f>IF(AND(ISNUMBER(D24),ISNUMBER(C24)),IF(C24&gt;0,IFERROR(D24/C24-1,""),"n/m"),"")</f>
        <v>0.172878974178816</v>
      </c>
      <c r="E205" s="259">
        <f>IF(AND(ISNUMBER(E24),ISNUMBER(D24)),IF(D24&gt;0,IFERROR(E24/D24-1,""),"n/m"),"")</f>
        <v>-0.153447552866471</v>
      </c>
      <c r="F205" s="259">
        <f>IF(AND(ISNUMBER(F24),ISNUMBER(E24)),IF(E24&gt;0,IFERROR(F24/E24-1,""),"n/m"),"")</f>
        <v>0.204790715776811</v>
      </c>
      <c r="G205" s="259">
        <f>IF(AND(ISNUMBER(G24),ISNUMBER(F24)),IF(F24&gt;0,IFERROR(G24/F24-1,""),"n/m"),"")</f>
        <v>-0.0651082200229068</v>
      </c>
      <c r="H205" s="259">
        <f>IF(AND(ISNUMBER(H24),ISNUMBER(G24)),IF(G24&gt;0,IFERROR(H24/G24-1,""),"n/m"),"")</f>
        <v>0.136237984544826</v>
      </c>
      <c r="I205" s="259">
        <f>IF(AND(ISNUMBER(I24),ISNUMBER(H24)),IF(H24&gt;0,IFERROR(I24/H24-1,""),"n/m"),"")</f>
        <v>0.358187498272097</v>
      </c>
      <c r="J205" s="23" t="n"/>
      <c r="K205" s="23" t="n"/>
      <c r="L205" s="23" t="n"/>
      <c r="M205" s="23" t="n"/>
      <c r="N205" s="259">
        <f>IF(AND(ISNUMBER(N24),ISNUMBER(I24)),IF(I24&gt;0,IFERROR(N24/I24-1,""),"n/m"),"")</f>
        <v>0.0784497323264193</v>
      </c>
      <c r="O205" s="259">
        <f>IF(AND(ISNUMBER(O24),ISNUMBER(J24)),IF(J24&gt;0,IFERROR(O24/J24-1,""),"n/m"),"")</f>
        <v>0.191487371375117</v>
      </c>
      <c r="P205" s="259">
        <f>IF(AND(ISNUMBER(P24),ISNUMBER(K24)),IF(K24&gt;0,IFERROR(P24/K24-1,""),"n/m"),"")</f>
        <v>0.0499119201409277</v>
      </c>
      <c r="Q205" s="259">
        <f>IF(AND(ISNUMBER(Q24),ISNUMBER(L24)),IF(L24&gt;0,IFERROR(Q24/L24-1,""),"n/m"),"")</f>
        <v>0.151783799242153</v>
      </c>
      <c r="R205" s="259">
        <f>IF(AND(ISNUMBER(R24),ISNUMBER(M24)),IF(M24&gt;0,IFERROR(R24/M24-1,""),"n/m"),"")</f>
        <v>0.147070844686648</v>
      </c>
      <c r="S205" s="259">
        <f>IF(AND(ISNUMBER(S24),ISNUMBER(N24)),IF(N24&gt;0,IFERROR(S24/N24-1,""),"n/m"),"")</f>
        <v>0.132292708706895</v>
      </c>
      <c r="T205" s="259">
        <f>IF(AND(ISNUMBER(T24),ISNUMBER(O24)),IF(O24&gt;0,IFERROR(T24/O24-1,""),"n/m"),"")</f>
        <v>0.20758420350161</v>
      </c>
      <c r="U205" s="259">
        <f>IF(AND(ISNUMBER(U24),ISNUMBER(P24)),IF(P24&gt;0,IFERROR(U24/P24-1,""),"n/m"),"")</f>
        <v>0.179879753914989</v>
      </c>
      <c r="V205" s="259">
        <f>IF(AND(ISNUMBER(V24),ISNUMBER(Q24)),IF(Q24&gt;0,IFERROR(V24/Q24-1,""),"n/m"),"")</f>
        <v>0.0981998758535072</v>
      </c>
      <c r="W205" s="259">
        <f>IF(AND(ISNUMBER(W24),ISNUMBER(R24)),IF(R24&gt;0,IFERROR(W24/R24-1,""),"n/m"),"")</f>
        <v>-0.0440049884197399</v>
      </c>
      <c r="X205" s="259">
        <f>IF(AND(ISNUMBER(X24),ISNUMBER(S24)),IF(S24&gt;0,IFERROR(X24/S24-1,""),"n/m"),"")</f>
        <v>0.100983497249542</v>
      </c>
      <c r="Y205" s="259">
        <f>IF(AND(ISNUMBER(Y24),ISNUMBER(T24)),IF(T24&gt;0,IFERROR(Y24/T24-1,""),"n/m"),"")</f>
        <v>-0.0638450035758403</v>
      </c>
      <c r="Z205" s="259">
        <f>IF(AND(ISNUMBER(Z24),ISNUMBER(U24)),IF(U24&gt;0,IFERROR(Z24/U24-1,""),"n/m"),"")</f>
        <v>0.0343070450909522</v>
      </c>
      <c r="AA205" s="259">
        <f>IF(AND(ISNUMBER(AA24),ISNUMBER(V24)),IF(V24&gt;0,IFERROR(AA24/V24-1,""),"n/m"),"")</f>
        <v>-0.0406398372145602</v>
      </c>
      <c r="AB205" s="259">
        <f>IF(AND(ISNUMBER(AB24),ISNUMBER(W24)),IF(W24&gt;0,IFERROR(AB24/W24-1,""),"n/m"),"")</f>
        <v>0.0088830910672133</v>
      </c>
      <c r="AC205" s="259">
        <f>IF(AND(ISNUMBER(AC24),ISNUMBER(X24)),IF(X24&gt;0,IFERROR(AC24/X24-1,""),"n/m"),"")</f>
        <v>-0.0148225532945736</v>
      </c>
      <c r="AD205" s="259">
        <f>IF(AND(ISNUMBER(AD24),ISNUMBER(Y24)),IF(Y24&gt;0,IFERROR(AD24/Y24-1,""),"n/m"),"")</f>
        <v>-0.00652823112716161</v>
      </c>
      <c r="AE205" s="259">
        <f>IF(AND(ISNUMBER(AE24),ISNUMBER(Z24)),IF(Z24&gt;0,IFERROR(AE24/Z24-1,""),"n/m"),"")</f>
        <v>-0.0998510540788268</v>
      </c>
      <c r="AF205" s="259">
        <f>IF(AND(ISNUMBER(AF24),ISNUMBER(AA24)),IF(AA24&gt;0,IFERROR(AF24/AA24-1,""),"n/m"),"")</f>
        <v>-0.117303953337654</v>
      </c>
      <c r="AG205" s="259">
        <f>IF(AND(ISNUMBER(AG24),ISNUMBER(AB24)),IF(AB24&gt;0,IFERROR(AG24/AB24-1,""),"n/m"),"")</f>
        <v>-0.0477187365310018</v>
      </c>
      <c r="AH205" s="259">
        <f>IF(AND(ISNUMBER(AH24),ISNUMBER(AC24)),IF(AC24&gt;0,IFERROR(AH24/AC24-1,""),"n/m"),"")</f>
        <v>-0.128171633189384</v>
      </c>
      <c r="AI205" s="259">
        <f>IF(AND(ISNUMBER(AI24),ISNUMBER(AD24)),IF(AD24&gt;0,IFERROR(AI24/AD24-1,""),"n/m"),"")</f>
        <v>-0.0456483746941628</v>
      </c>
      <c r="AJ205" s="259">
        <f>IF(AND(ISNUMBER(AJ24),ISNUMBER(AE24)),IF(AE24&gt;0,IFERROR(AJ24/AE24-1,""),"n/m"),"")</f>
        <v>-0.078406415070324</v>
      </c>
      <c r="AK205" s="259">
        <f>IF(AND(ISNUMBER(AK24),ISNUMBER(AF24)),IF(AF24&gt;0,IFERROR(AK24/AF24-1,""),"n/m"),"")</f>
        <v>0.0196235482579095</v>
      </c>
      <c r="AL205" s="259">
        <f>IF(AND(ISNUMBER(AL24),ISNUMBER(AG24)),IF(AG24&gt;0,IFERROR(AL24/AG24-1,""),"n/m"),"")</f>
        <v>0.118970645286435</v>
      </c>
      <c r="AM205" s="259">
        <f>IF(AND(ISNUMBER(AM24),ISNUMBER(AH24)),IF(AH24&gt;0,IFERROR(AM24/AH24-1,""),"n/m"),"")</f>
        <v>0.070263886195773</v>
      </c>
      <c r="AN205" s="259">
        <f>IF(AND(ISNUMBER(AN24),ISNUMBER(AI24)),IF(AI24&gt;0,IFERROR(AN24/AI24-1,""),"n/m"),"")</f>
        <v>-0.134046293583358</v>
      </c>
      <c r="AO205" s="259">
        <f>IF(AND(ISNUMBER(AO24),ISNUMBER(AJ24)),IF(AJ24&gt;0,IFERROR(AO24/AJ24-1,""),"n/m"),"")</f>
        <v>-0.673917547130723</v>
      </c>
      <c r="AP205" s="259">
        <f>IF(AND(ISNUMBER(AP24),ISNUMBER(AK24)),IF(AK24&gt;0,IFERROR(AP24/AK24-1,""),"n/m"),"")</f>
        <v>-0.460002618486515</v>
      </c>
      <c r="AQ205" s="259">
        <f>IF(AND(ISNUMBER(AQ24),ISNUMBER(AL24)),IF(AL24&gt;0,IFERROR(AQ24/AL24-1,""),"n/m"),"")</f>
        <v>-0.568820062406102</v>
      </c>
      <c r="AR205" s="259">
        <f>IF(AND(ISNUMBER(AR24),ISNUMBER(AM24)),IF(AM24&gt;0,IFERROR(AR24/AM24-1,""),"n/m"),"")</f>
        <v>-0.468747426500865</v>
      </c>
      <c r="AS205" s="259">
        <f>IF(AND(ISNUMBER(AS24),ISNUMBER(AN24)),IF(AN24&gt;0,IFERROR(AS24/AN24-1,""),"n/m"),"")</f>
        <v>-0.475131111487058</v>
      </c>
      <c r="AT205" s="259">
        <f>IF(AND(ISNUMBER(AT24),ISNUMBER(AO24)),IF(AO24&gt;0,IFERROR(AT24/AO24-1,""),"n/m"),"")</f>
        <v>-0.65417196103346</v>
      </c>
      <c r="AU205" s="259">
        <f>IF(AND(ISNUMBER(AU24),ISNUMBER(AP24)),IF(AP24&gt;0,IFERROR(AU24/AP24-1,""),"n/m"),"")</f>
        <v>-0.56406837192387</v>
      </c>
      <c r="AV205" s="259">
        <f>IF(AND(ISNUMBER(AV24),ISNUMBER(AQ24)),IF(AQ24&gt;0,IFERROR(AV24/AQ24-1,""),"n/m"),"")</f>
        <v>-0.366389707853123</v>
      </c>
      <c r="AW205" s="259">
        <f>IF(AND(ISNUMBER(AW24),ISNUMBER(AR24)),IF(AR24&gt;0,IFERROR(AW24/AR24-1,""),"n/m"),"")</f>
        <v>-0.498930398387847</v>
      </c>
      <c r="AX205" s="259">
        <f>IF(AND(ISNUMBER(AX24),ISNUMBER(AS24)),IF(AS24&gt;0,IFERROR(AX24/AS24-1,""),"n/m"),"")</f>
        <v>-0.312006446414182</v>
      </c>
      <c r="AY205" s="259">
        <f>IF(AND(ISNUMBER(AY24),ISNUMBER(AT24)),IF(AT24&gt;0,IFERROR(AY24/AT24-1,""),"n/m"),"")</f>
        <v>2.683404776485</v>
      </c>
      <c r="AZ205" s="259">
        <f>IF(AND(ISNUMBER(AZ24),ISNUMBER(AU24)),IF(AU24&gt;0,IFERROR(AZ24/AU24-1,""),"n/m"),"")</f>
        <v>0.239988876529477</v>
      </c>
      <c r="BA205" s="259">
        <f>IF(AND(ISNUMBER(BA24),ISNUMBER(AV24)),IF(AV24&gt;0,IFERROR(BA24/AV24-1,""),"n/m"),"")</f>
        <v>0.00465313028764802</v>
      </c>
      <c r="BB205" s="259">
        <f>IF(AND(ISNUMBER(BB24),ISNUMBER(AW24)),IF(AW24&gt;0,IFERROR(BB24/AW24-1,""),"n/m"),"")</f>
        <v>0.20610073010766</v>
      </c>
      <c r="BC205" s="259">
        <f>IF(AND(ISNUMBER(BC24),ISNUMBER(AX24)),IF(AX24&gt;0,IFERROR(BC24/AX24-1,""),"n/m"),"")</f>
        <v>-0.0252986647926915</v>
      </c>
      <c r="BD205" s="259">
        <f>IF(AND(ISNUMBER(BD24),ISNUMBER(AY24)),IF(AY24&gt;0,IFERROR(BD24/AY24-1,""),"n/m"),"")</f>
        <v>0.0339152119700747</v>
      </c>
      <c r="BE205" s="259">
        <f>IF(AND(ISNUMBER(BE24),ISNUMBER(AZ24)),IF(AZ24&gt;0,IFERROR(BE24/AZ24-1,""),"n/m"),"")</f>
        <v>0.404575016819915</v>
      </c>
      <c r="BF205" s="259">
        <f>IF(AND(ISNUMBER(BF24),ISNUMBER(BA24)),IF(BA24&gt;0,IFERROR(BF24/BA24-1,""),"n/m"),"")</f>
        <v>0.941894736842105</v>
      </c>
      <c r="BG205" s="259">
        <f>IF(AND(ISNUMBER(BG24),ISNUMBER(BB24)),IF(BB24&gt;0,IFERROR(BG24/BB24-1,""),"n/m"),"")</f>
        <v>0.326989175601498</v>
      </c>
      <c r="BH205" s="259">
        <f>IF(AND(ISNUMBER(BH24),ISNUMBER(BC24)),IF(BC24&gt;0,IFERROR(BH24/BC24-1,""),"n/m"),"")</f>
        <v>0.611151165585196</v>
      </c>
      <c r="BI205" s="259">
        <f>IF(AND(ISNUMBER(BI24),ISNUMBER(BD24)),IF(BD24&gt;0,IFERROR(BI24/BD24-1,""),"n/m"),"")</f>
        <v>0.421450393954012</v>
      </c>
      <c r="BJ205" s="259">
        <f>IF(AND(ISNUMBER(BJ24),ISNUMBER(BE24)),IF(BE24&gt;0,IFERROR(BJ24/BE24-1,""),"n/m"),"")</f>
        <v>0.257544307839694</v>
      </c>
      <c r="BK205" s="259">
        <f>IF(AND(ISNUMBER(BK24),ISNUMBER(BF24)),IF(BF24&gt;0,IFERROR(BK24/BF24-1,""),"n/m"),"")</f>
        <v>0.136274934952298</v>
      </c>
      <c r="BL205" s="259">
        <f>IF(AND(ISNUMBER(BL24),ISNUMBER(BG24)),IF(BG24&gt;0,IFERROR(BL24/BG24-1,""),"n/m"),"")</f>
        <v>0.310588781072409</v>
      </c>
      <c r="BM205" s="259">
        <f>IF(AND(ISNUMBER(BM24),ISNUMBER(BH24)),IF(BH24&gt;0,IFERROR(BM24/BH24-1,""),"n/m"),"")</f>
        <v>-0.305936754176611</v>
      </c>
      <c r="BN205" s="259">
        <f>IF(AND(ISNUMBER(BN24),ISNUMBER(BI24)),IF(BI24&gt;0,IFERROR(BN24/BI24-1,""),"n/m"),"")</f>
        <v>-0.320927601809955</v>
      </c>
      <c r="BO205" s="259">
        <f>IF(AND(ISNUMBER(BO24),ISNUMBER(BJ24)),IF(BJ24&gt;0,IFERROR(BO24/BJ24-1,""),"n/m"),"")</f>
        <v>-0.0549771457592687</v>
      </c>
      <c r="BP205" s="259">
        <f>IF(AND(ISNUMBER(BP24),ISNUMBER(BK24)),IF(BK24&gt;0,IFERROR(BP24/BK24-1,""),"n/m"),"")</f>
        <v>-0.545654040644977</v>
      </c>
      <c r="BQ205" s="259">
        <f>IF(AND(ISNUMBER(BQ24),ISNUMBER(BL24)),IF(BL24&gt;0,IFERROR(BQ24/BL24-1,""),"n/m"),"")</f>
        <v>-0.325654110498215</v>
      </c>
      <c r="BR205" s="259">
        <f>IF(AND(ISNUMBER(BR24),ISNUMBER(BM24)),IF(BM24&gt;0,IFERROR(BR24/BM24-1,""),"n/m"),"")</f>
        <v>0.750913389211262</v>
      </c>
      <c r="BS205" s="259">
        <f>IF(AND(ISNUMBER(BS24),ISNUMBER(BN24)),IF(BN24&gt;0,IFERROR(BS24/BN24-1,""),"n/m"),"")</f>
        <v>0.811427619523572</v>
      </c>
      <c r="BT205" s="259">
        <f>IF(AND(ISNUMBER(BT24),ISNUMBER(BO24)),IF(BO24&gt;0,IFERROR(BT24/BO24-1,""),"n/m"),"")</f>
        <v>0.490528012898025</v>
      </c>
      <c r="BU205" s="259">
        <f>IF(AND(ISNUMBER(BU24),ISNUMBER(BP24)),IF(BP24&gt;0,IFERROR(BU24/BP24-1,""),"n/m"),"")</f>
        <v>1.38954220915582</v>
      </c>
      <c r="BV205" s="259">
        <f>IF(AND(ISNUMBER(BV24),ISNUMBER(BQ24)),IF(BQ24&gt;0,IFERROR(BV24/BQ24-1,""),"n/m"),"")</f>
        <v>0.815056209264687</v>
      </c>
      <c r="BW205" s="259">
        <f>IF(AND(ISNUMBER(BW24),ISNUMBER(BR24)),IF(BR24&gt;0,IFERROR(BW24/BR24-1,""),"n/m"),"")</f>
        <v>0.129618264391801</v>
      </c>
      <c r="BX205" s="259">
        <f>IF(AND(ISNUMBER(BX24),ISNUMBER(BS24)),IF(BS24&gt;0,IFERROR(BX24/BS24-1,""),"n/m"),"")</f>
        <v>0.0806510943535037</v>
      </c>
      <c r="BY205" s="260">
        <f>IF(AND(ISNUMBER(BY24),ISNUMBER(BT24)),IF(BT24&gt;0,IFERROR(BY24/BT24-1,""),"n/m"),"")</f>
        <v>0.0234790055784553</v>
      </c>
      <c r="BZ205" s="260">
        <f>IF(AND(ISNUMBER(BZ24),ISNUMBER(BU24)),IF(BU24&gt;0,IFERROR(BZ24/BU24-1,""),"n/m"),"")</f>
        <v>0.00510154910073446</v>
      </c>
      <c r="CA205" s="260">
        <f>IF(AND(ISNUMBER(CA24),ISNUMBER(BV24)),IF(BV24&gt;0,IFERROR(CA24/BV24-1,""),"n/m"),"")</f>
        <v>0.0542614984119305</v>
      </c>
      <c r="CB205" s="260">
        <f>IF(AND(ISNUMBER(CB24),ISNUMBER(CA24)),IF(CA24&gt;0,IFERROR(CB24/CA24-1,""),"n/m"),"")</f>
        <v>0.158136747480251</v>
      </c>
      <c r="CC205" s="260">
        <f>IF(AND(ISNUMBER(CC24),ISNUMBER(CB24)),IF(CB24&gt;0,IFERROR(CC24/CB24-1,""),"n/m"),"")</f>
        <v>0.121712328767123</v>
      </c>
      <c r="CD205" s="260">
        <f>IF(AND(ISNUMBER(CD24),ISNUMBER(CC24)),IF(CC24&gt;0,IFERROR(CD24/CC24-1,""),"n/m"),"")</f>
        <v>0.088301886792453</v>
      </c>
      <c r="CE205" s="260">
        <f>IF(AND(ISNUMBER(CE24),ISNUMBER(CD24)),IF(CD24&gt;0,IFERROR(CE24/CD24-1,""),"n/m"),"")</f>
        <v>0.0545238095238096</v>
      </c>
      <c r="CF205" s="260">
        <f>IF(AND(ISNUMBER(CF24),ISNUMBER(CE24)),IF(CE24&gt;0,IFERROR(CF24/CE24-1,""),"n/m"),"")</f>
        <v>0.0419767441860466</v>
      </c>
      <c r="CG205" s="153" t="n"/>
      <c r="CI205" s="37">
        <f>IFERROR(AVERAGE(CB205,CC205,CD205,CE205,CF205),"n/m")</f>
        <v>0.0929303033499366</v>
      </c>
      <c r="CJ205" s="37">
        <f>IFERROR(AVERAGE(BB205,BG205,BL205,BQ205,BV205),"n/m")</f>
        <v>0.266616157109608</v>
      </c>
      <c r="CK205" s="37">
        <f>IFERROR(AVERAGE(AC205,AH205,AM205,AR205,AW205,BB205,BG205,BL205,BQ205,BV205),"n/m")</f>
        <v>0.0292672660371142</v>
      </c>
      <c r="CL205" s="37">
        <f>IFERROR(AVERAGE(C205,D205,E205,F205,G205,H205,I205,N205,S205,X205,AC205,AH205,AM205,AR205,AW205,BB205,BG205,BL205,BQ205,BV205),"n/m")</f>
        <v>0.0662072630809037</v>
      </c>
    </row>
    <row r="206" ht="15" customHeight="1" s="251">
      <c r="B206" s="22" t="inlineStr">
        <is>
          <t xml:space="preserve">  BDS revenues y/y %</t>
        </is>
      </c>
      <c r="C206" s="23" t="n"/>
      <c r="D206" s="259">
        <f>IF(AND(ISNUMBER(D33),ISNUMBER(C33)),IF(C33&gt;0,IFERROR(D33/C33-1,""),"n/m"),"")</f>
        <v>-0.0110669256142298</v>
      </c>
      <c r="E206" s="259">
        <f>IF(AND(ISNUMBER(E33),ISNUMBER(D33)),IF(D33&gt;0,IFERROR(E33/D33-1,""),"n/m"),"")</f>
        <v>-0.00102867830423936</v>
      </c>
      <c r="F206" s="259">
        <f>IF(AND(ISNUMBER(F33),ISNUMBER(E33)),IF(E33&gt;0,IFERROR(F33/E33-1,""),"n/m"),"")</f>
        <v>0.0503635285674167</v>
      </c>
      <c r="G206" s="259">
        <f>IF(AND(ISNUMBER(G33),ISNUMBER(F33)),IF(F33&gt;0,IFERROR(G33/F33-1,""),"n/m"),"")</f>
        <v>-0.0510382935741659</v>
      </c>
      <c r="H206" s="259">
        <f>IF(AND(ISNUMBER(H33),ISNUMBER(G33)),IF(G33&gt;0,IFERROR(H33/G33-1,""),"n/m"),"")</f>
        <v>0.00103309019190423</v>
      </c>
      <c r="I206" s="259">
        <f>IF(AND(ISNUMBER(I33),ISNUMBER(H33)),IF(H33&gt;0,IFERROR(I33/H33-1,""),"n/m"),"")</f>
        <v>0.0197335501626219</v>
      </c>
      <c r="J206" s="23" t="n"/>
      <c r="K206" s="23" t="n"/>
      <c r="L206" s="23" t="n"/>
      <c r="M206" s="23" t="n"/>
      <c r="N206" s="259">
        <f>IF(AND(ISNUMBER(N33),ISNUMBER(I33)),IF(I33&gt;0,IFERROR(N33/I33-1,""),"n/m"),"")</f>
        <v>0.0180942742355936</v>
      </c>
      <c r="O206" s="259">
        <f>IF(AND(ISNUMBER(O33),ISNUMBER(J33)),IF(J33&gt;0,IFERROR(O33/J33-1,""),"n/m"),"")</f>
        <v>-0.0588162762022195</v>
      </c>
      <c r="P206" s="259">
        <f>IF(AND(ISNUMBER(P33),ISNUMBER(K33)),IF(K33&gt;0,IFERROR(P33/K33-1,""),"n/m"),"")</f>
        <v>-0.0536281456144637</v>
      </c>
      <c r="Q206" s="259">
        <f>IF(AND(ISNUMBER(Q33),ISNUMBER(L33)),IF(L33&gt;0,IFERROR(Q33/L33-1,""),"n/m"),"")</f>
        <v>-0.0165299527715636</v>
      </c>
      <c r="R206" s="259">
        <f>IF(AND(ISNUMBER(R33),ISNUMBER(M33)),IF(M33&gt;0,IFERROR(R33/M33-1,""),"n/m"),"")</f>
        <v>-0.143083003952569</v>
      </c>
      <c r="S206" s="259">
        <f>IF(AND(ISNUMBER(S33),ISNUMBER(N33)),IF(N33&gt;0,IFERROR(S33/N33-1,""),"n/m"),"")</f>
        <v>-0.0697653402415881</v>
      </c>
      <c r="T206" s="259">
        <f>IF(AND(ISNUMBER(T33),ISNUMBER(O33)),IF(O33&gt;0,IFERROR(T33/O33-1,""),"n/m"),"")</f>
        <v>-0.121053321105725</v>
      </c>
      <c r="U206" s="259">
        <f>IF(AND(ISNUMBER(U33),ISNUMBER(P33)),IF(P33&gt;0,IFERROR(U33/P33-1,""),"n/m"),"")</f>
        <v>-0.0262036917516458</v>
      </c>
      <c r="V206" s="259">
        <f>IF(AND(ISNUMBER(V33),ISNUMBER(Q33)),IF(Q33&gt;0,IFERROR(V33/Q33-1,""),"n/m"),"")</f>
        <v>0.0552255781625173</v>
      </c>
      <c r="W206" s="259">
        <f>IF(AND(ISNUMBER(W33),ISNUMBER(R33)),IF(R33&gt;0,IFERROR(W33/R33-1,""),"n/m"),"")</f>
        <v>0.0259620453347391</v>
      </c>
      <c r="X206" s="259">
        <f>IF(AND(ISNUMBER(X33),ISNUMBER(S33)),IF(S33&gt;0,IFERROR(X33/S33-1,""),"n/m"),"")</f>
        <v>-0.0159645089213433</v>
      </c>
      <c r="Y206" s="259">
        <f>IF(AND(ISNUMBER(Y33),ISNUMBER(T33)),IF(T33&gt;0,IFERROR(Y33/T33-1,""),"n/m"),"")</f>
        <v>0.185869727232076</v>
      </c>
      <c r="Z206" s="259">
        <f>IF(AND(ISNUMBER(Z33),ISNUMBER(U33)),IF(U33&gt;0,IFERROR(Z33/U33-1,""),"n/m"),"")</f>
        <v>-0.0490455991516436</v>
      </c>
      <c r="AA206" s="259">
        <f>IF(AND(ISNUMBER(AA33),ISNUMBER(V33)),IF(V33&gt;0,IFERROR(AA33/V33-1,""),"n/m"),"")</f>
        <v>-0.100838323353293</v>
      </c>
      <c r="AB206" s="259">
        <f>IF(AND(ISNUMBER(AB33),ISNUMBER(W33)),IF(W33&gt;0,IFERROR(AB33/W33-1,""),"n/m"),"")</f>
        <v>-0.118818240205523</v>
      </c>
      <c r="AC206" s="259">
        <f>IF(AND(ISNUMBER(AC33),ISNUMBER(X33)),IF(X33&gt;0,IFERROR(AC33/X33-1,""),"n/m"),"")</f>
        <v>-0.0292878767934711</v>
      </c>
      <c r="AD206" s="259">
        <f>IF(AND(ISNUMBER(AD33),ISNUMBER(Y33)),IF(Y33&gt;0,IFERROR(AD33/Y33-1,""),"n/m"),"")</f>
        <v>-0.178984414278532</v>
      </c>
      <c r="AE206" s="259">
        <f>IF(AND(ISNUMBER(AE33),ISNUMBER(Z33)),IF(Z33&gt;0,IFERROR(AE33/Z33-1,""),"n/m"),"")</f>
        <v>-0.0401449679397825</v>
      </c>
      <c r="AF206" s="259">
        <f>IF(AND(ISNUMBER(AF33),ISNUMBER(AA33)),IF(AA33&gt;0,IFERROR(AF33/AA33-1,""),"n/m"),"")</f>
        <v>-0.27144379328716</v>
      </c>
      <c r="AG206" s="259">
        <f>IF(AND(ISNUMBER(AG33),ISNUMBER(AB33)),IF(AB33&gt;0,IFERROR(AG33/AB33-1,""),"n/m"),"")</f>
        <v>-0.192857142857143</v>
      </c>
      <c r="AH206" s="259">
        <f>IF(AND(ISNUMBER(AH33),ISNUMBER(AC33)),IF(AC33&gt;0,IFERROR(AH33/AC33-1,""),"n/m"),"")</f>
        <v>-0.286154993558885</v>
      </c>
      <c r="AI206" s="259">
        <f>IF(AND(ISNUMBER(AI33),ISNUMBER(AD33)),IF(AD33&gt;0,IFERROR(AI33/AD33-1,""),"n/m"),"")</f>
        <v>-0.117881200244948</v>
      </c>
      <c r="AJ206" s="259">
        <f>IF(AND(ISNUMBER(AJ33),ISNUMBER(AE33)),IF(AE33&gt;0,IFERROR(AJ33/AE33-1,""),"n/m"),"")</f>
        <v>-0.187772291606157</v>
      </c>
      <c r="AK206" s="259">
        <f>IF(AND(ISNUMBER(AK33),ISNUMBER(AF33)),IF(AF33&gt;0,IFERROR(AK33/AF33-1,""),"n/m"),"")</f>
        <v>0.0473491773308958</v>
      </c>
      <c r="AL206" s="259">
        <f>IF(AND(ISNUMBER(AL33),ISNUMBER(AG33)),IF(AG33&gt;0,IFERROR(AL33/AG33-1,""),"n/m"),"")</f>
        <v>0.103666245259166</v>
      </c>
      <c r="AM206" s="259">
        <f>IF(AND(ISNUMBER(AM33),ISNUMBER(AH33)),IF(AH33&gt;0,IFERROR(AM33/AH33-1,""),"n/m"),"")</f>
        <v>0.10153393170917</v>
      </c>
      <c r="AN206" s="259">
        <f>IF(AND(ISNUMBER(AN33),ISNUMBER(AI33)),IF(AI33&gt;0,IFERROR(AN33/AI33-1,""),"n/m"),"")</f>
        <v>0.147344671988893</v>
      </c>
      <c r="AO206" s="259">
        <f>IF(AND(ISNUMBER(AO33),ISNUMBER(AJ33)),IF(AJ33&gt;0,IFERROR(AO33/AJ33-1,""),"n/m"),"")</f>
        <v>0.182192025746469</v>
      </c>
      <c r="AP206" s="259">
        <f>IF(AND(ISNUMBER(AP33),ISNUMBER(AK33)),IF(AK33&gt;0,IFERROR(AP33/AK33-1,""),"n/m"),"")</f>
        <v>0.22918484901379</v>
      </c>
      <c r="AQ206" s="259">
        <f>IF(AND(ISNUMBER(AQ33),ISNUMBER(AL33)),IF(AL33&gt;0,IFERROR(AQ33/AL33-1,""),"n/m"),"")</f>
        <v>-0.0243822614956636</v>
      </c>
      <c r="AR206" s="259">
        <f>IF(AND(ISNUMBER(AR33),ISNUMBER(AM33)),IF(AM33&gt;0,IFERROR(AR33/AM33-1,""),"n/m"),"")</f>
        <v>0.130717827117913</v>
      </c>
      <c r="AS206" s="259">
        <f>IF(AND(ISNUMBER(AS33),ISNUMBER(AN33)),IF(AN33&gt;0,IFERROR(AS33/AN33-1,""),"n/m"),"")</f>
        <v>-0.0860686734230828</v>
      </c>
      <c r="AT206" s="259">
        <f>IF(AND(ISNUMBER(AT33),ISNUMBER(AO33)),IF(AO33&gt;0,IFERROR(AT33/AO33-1,""),"n/m"),"")</f>
        <v>-0.00362976406533577</v>
      </c>
      <c r="AU206" s="259">
        <f>IF(AND(ISNUMBER(AU33),ISNUMBER(AP33)),IF(AP33&gt;0,IFERROR(AU33/AP33-1,""),"n/m"),"")</f>
        <v>-0.0275489917637035</v>
      </c>
      <c r="AV206" s="259">
        <f>IF(AND(ISNUMBER(AV33),ISNUMBER(AQ33)),IF(AQ33&gt;0,IFERROR(AV33/AQ33-1,""),"n/m"),"")</f>
        <v>0.137034552163704</v>
      </c>
      <c r="AW206" s="259">
        <f>IF(AND(ISNUMBER(AW33),ISNUMBER(AR33)),IF(AR33&gt;0,IFERROR(AW33/AR33-1,""),"n/m"),"")</f>
        <v>0.00114385938155337</v>
      </c>
      <c r="AX206" s="259">
        <f>IF(AND(ISNUMBER(AX33),ISNUMBER(AS33)),IF(AS33&gt;0,IFERROR(AX33/AS33-1,""),"n/m"),"")</f>
        <v>0.189175769612711</v>
      </c>
      <c r="AY206" s="259">
        <f>IF(AND(ISNUMBER(AY33),ISNUMBER(AT33)),IF(AT33&gt;0,IFERROR(AY33/AT33-1,""),"n/m"),"")</f>
        <v>0.0437158469945356</v>
      </c>
      <c r="AZ206" s="259">
        <f>IF(AND(ISNUMBER(AZ33),ISNUMBER(AU33)),IF(AU33&gt;0,IFERROR(AZ33/AU33-1,""),"n/m"),"")</f>
        <v>-0.033732476635514</v>
      </c>
      <c r="BA206" s="259">
        <f>IF(AND(ISNUMBER(BA33),ISNUMBER(AV33)),IF(AV33&gt;0,IFERROR(BA33/AV33-1,""),"n/m"),"")</f>
        <v>-0.135270688892167</v>
      </c>
      <c r="BB206" s="259">
        <f>IF(AND(ISNUMBER(BB33),ISNUMBER(AW33)),IF(AW33&gt;0,IFERROR(BB33/AW33-1,""),"n/m"),"")</f>
        <v>0.0107780782267586</v>
      </c>
      <c r="BC206" s="259">
        <f>IF(AND(ISNUMBER(BC33),ISNUMBER(AX33)),IF(AX33&gt;0,IFERROR(BC33/AX33-1,""),"n/m"),"")</f>
        <v>-0.236882393876131</v>
      </c>
      <c r="BD206" s="259">
        <f>IF(AND(ISNUMBER(BD33),ISNUMBER(AY33)),IF(AY33&gt;0,IFERROR(BD33/AY33-1,""),"n/m"),"")</f>
        <v>-0.0996218731820826</v>
      </c>
      <c r="BE206" s="259">
        <f>IF(AND(ISNUMBER(BE33),ISNUMBER(AZ33)),IF(AZ33&gt;0,IFERROR(BE33/AZ33-1,""),"n/m"),"")</f>
        <v>-0.197974913102615</v>
      </c>
      <c r="BF206" s="259">
        <f>IF(AND(ISNUMBER(BF33),ISNUMBER(BA33)),IF(BA33&gt;0,IFERROR(BF33/BA33-1,""),"n/m"),"")</f>
        <v>0.054418287273968</v>
      </c>
      <c r="BG206" s="259">
        <f>IF(AND(ISNUMBER(BG33),ISNUMBER(BB33)),IF(BB33&gt;0,IFERROR(BG33/BB33-1,""),"n/m"),"")</f>
        <v>-0.127279577995479</v>
      </c>
      <c r="BH206" s="259">
        <f>IF(AND(ISNUMBER(BH33),ISNUMBER(BC33)),IF(BC33&gt;0,IFERROR(BH33/BC33-1,""),"n/m"),"")</f>
        <v>0.192595294546781</v>
      </c>
      <c r="BI206" s="259">
        <f>IF(AND(ISNUMBER(BI33),ISNUMBER(BD33)),IF(BD33&gt;0,IFERROR(BI33/BD33-1,""),"n/m"),"")</f>
        <v>-0.00387659505734128</v>
      </c>
      <c r="BJ206" s="259">
        <f>IF(AND(ISNUMBER(BJ33),ISNUMBER(BE33)),IF(BE33&gt;0,IFERROR(BJ33/BE33-1,""),"n/m"),"")</f>
        <v>0.0327868852459017</v>
      </c>
      <c r="BK206" s="259">
        <f>IF(AND(ISNUMBER(BK33),ISNUMBER(BF33)),IF(BF33&gt;0,IFERROR(BK33/BF33-1,""),"n/m"),"")</f>
        <v>0.0914091570943214</v>
      </c>
      <c r="BL206" s="259">
        <f>IF(AND(ISNUMBER(BL33),ISNUMBER(BG33)),IF(BG33&gt;0,IFERROR(BL33/BG33-1,""),"n/m"),"")</f>
        <v>0.0764614454710302</v>
      </c>
      <c r="BM206" s="259">
        <f>IF(AND(ISNUMBER(BM33),ISNUMBER(BH33)),IF(BH33&gt;0,IFERROR(BM33/BH33-1,""),"n/m"),"")</f>
        <v>0.0628536473466892</v>
      </c>
      <c r="BN206" s="259">
        <f>IF(AND(ISNUMBER(BN33),ISNUMBER(BI33)),IF(BI33&gt;0,IFERROR(BN33/BI33-1,""),"n/m"),"")</f>
        <v>-0.0236743959785958</v>
      </c>
      <c r="BO206" s="259">
        <f>IF(AND(ISNUMBER(BO33),ISNUMBER(BJ33)),IF(BJ33&gt;0,IFERROR(BO33/BJ33-1,""),"n/m"),"")</f>
        <v>0.0100346652070791</v>
      </c>
      <c r="BP206" s="259">
        <f>IF(AND(ISNUMBER(BP33),ISNUMBER(BK33)),IF(BK33&gt;0,IFERROR(BP33/BK33-1,""),"n/m"),"")</f>
        <v>-0.197895048917877</v>
      </c>
      <c r="BQ206" s="259">
        <f>IF(AND(ISNUMBER(BQ33),ISNUMBER(BL33)),IF(BL33&gt;0,IFERROR(BQ33/BL33-1,""),"n/m"),"")</f>
        <v>-0.0407091003890426</v>
      </c>
      <c r="BR206" s="259">
        <f>IF(AND(ISNUMBER(BR33),ISNUMBER(BM33)),IF(BM33&gt;0,IFERROR(BR33/BM33-1,""),"n/m"),"")</f>
        <v>-0.0938129496402878</v>
      </c>
      <c r="BS206" s="259">
        <f>IF(AND(ISNUMBER(BS33),ISNUMBER(BN33)),IF(BN33&gt;0,IFERROR(BS33/BN33-1,""),"n/m"),"")</f>
        <v>0.0989868792559376</v>
      </c>
      <c r="BT206" s="259">
        <f>IF(AND(ISNUMBER(BT33),ISNUMBER(BO33)),IF(BO33&gt;0,IFERROR(BT33/BO33-1,""),"n/m"),"")</f>
        <v>0.246748554913295</v>
      </c>
      <c r="BU206" s="259">
        <f>IF(AND(ISNUMBER(BU33),ISNUMBER(BP33)),IF(BP33&gt;0,IFERROR(BU33/BP33-1,""),"n/m"),"")</f>
        <v>0.370726298281279</v>
      </c>
      <c r="BV206" s="259">
        <f>IF(AND(ISNUMBER(BV33),ISNUMBER(BQ33)),IF(BQ33&gt;0,IFERROR(BV33/BQ33-1,""),"n/m"),"")</f>
        <v>0.138640354544694</v>
      </c>
      <c r="BW206" s="259">
        <f>IF(AND(ISNUMBER(BW33),ISNUMBER(BR33)),IF(BR33&gt;0,IFERROR(BW33/BR33-1,""),"n/m"),"")</f>
        <v>0.206573515401715</v>
      </c>
      <c r="BX206" s="259">
        <f>IF(AND(ISNUMBER(BX33),ISNUMBER(BS33)),IF(BS33&gt;0,IFERROR(BX33/BS33-1,""),"n/m"),"")</f>
        <v>0.130875018890736</v>
      </c>
      <c r="BY206" s="260">
        <f>IF(AND(ISNUMBER(BY33),ISNUMBER(BT33)),IF(BT33&gt;0,IFERROR(BY33/BT33-1,""),"n/m"),"")</f>
        <v>0.167789392179636</v>
      </c>
      <c r="BZ206" s="260">
        <f>IF(AND(ISNUMBER(BZ33),ISNUMBER(BU33)),IF(BU33&gt;0,IFERROR(BZ33/BU33-1,""),"n/m"),"")</f>
        <v>0.167789392179636</v>
      </c>
      <c r="CA206" s="260">
        <f>IF(AND(ISNUMBER(CA33),ISNUMBER(BV33)),IF(BV33&gt;0,IFERROR(CA33/BV33-1,""),"n/m"),"")</f>
        <v>0.167789392179636</v>
      </c>
      <c r="CB206" s="260">
        <f>IF(AND(ISNUMBER(CB33),ISNUMBER(CA33)),IF(CA33&gt;0,IFERROR(CB33/CA33-1,""),"n/m"),"")</f>
        <v>0.05</v>
      </c>
      <c r="CC206" s="260">
        <f>IF(AND(ISNUMBER(CC33),ISNUMBER(CB33)),IF(CB33&gt;0,IFERROR(CC33/CB33-1,""),"n/m"),"")</f>
        <v>0.05</v>
      </c>
      <c r="CD206" s="260">
        <f>IF(AND(ISNUMBER(CD33),ISNUMBER(CC33)),IF(CC33&gt;0,IFERROR(CD33/CC33-1,""),"n/m"),"")</f>
        <v>0.0449999999999999</v>
      </c>
      <c r="CE206" s="260">
        <f>IF(AND(ISNUMBER(CE33),ISNUMBER(CD33)),IF(CD33&gt;0,IFERROR(CE33/CD33-1,""),"n/m"),"")</f>
        <v>0.04</v>
      </c>
      <c r="CF206" s="260">
        <f>IF(AND(ISNUMBER(CF33),ISNUMBER(CE33)),IF(CE33&gt;0,IFERROR(CF33/CE33-1,""),"n/m"),"")</f>
        <v>0.04</v>
      </c>
      <c r="CG206" s="153" t="n"/>
      <c r="CI206" s="37">
        <f>IFERROR(AVERAGE(CB206,CC206,CD206,CE206,CF206),"n/m")</f>
        <v>0.045</v>
      </c>
      <c r="CJ206" s="37">
        <f>IFERROR(AVERAGE(BB206,BG206,BL206,BQ206,BV206),"n/m")</f>
        <v>0.0115782399715924</v>
      </c>
      <c r="CK206" s="37">
        <f>IFERROR(AVERAGE(AC206,AH206,AM206,AR206,AW206,BB206,BG206,BL206,BQ206,BV206),"n/m")</f>
        <v>-0.00241560522857575</v>
      </c>
      <c r="CL206" s="37">
        <f>IFERROR(AVERAGE(C206,D206,E206,F206,G206,H206,I206,N206,S206,X206,AC206,AH206,AM206,AR206,AW206,BB206,BG206,BL206,BQ206,BV206),"n/m")</f>
        <v>-0.00441028188335724</v>
      </c>
    </row>
    <row r="207" ht="15" customHeight="1" s="251">
      <c r="B207" s="22" t="inlineStr">
        <is>
          <t xml:space="preserve">  BGS revenues y/y %</t>
        </is>
      </c>
      <c r="C207" s="23" t="n"/>
      <c r="D207" s="259" t="str">
        <f>IF(AND(ISNUMBER(D49),ISNUMBER(C49)),IF(C49&gt;0,IFERROR(D49/C49-1,""),"n/m"),"")</f>
        <v>n/m</v>
      </c>
      <c r="E207" s="259" t="str">
        <f>IF(AND(ISNUMBER(E49),ISNUMBER(D49)),IF(D49&gt;0,IFERROR(E49/D49-1,""),"n/m"),"")</f>
        <v>n/m</v>
      </c>
      <c r="F207" s="259" t="str">
        <f>IF(AND(ISNUMBER(F49),ISNUMBER(E49)),IF(E49&gt;0,IFERROR(F49/E49-1,""),"n/m"),"")</f>
        <v>n/m</v>
      </c>
      <c r="G207" s="259" t="str">
        <f>IF(AND(ISNUMBER(G49),ISNUMBER(F49)),IF(F49&gt;0,IFERROR(G49/F49-1,""),"n/m"),"")</f>
        <v>n/m</v>
      </c>
      <c r="H207" s="259" t="str">
        <f>IF(AND(ISNUMBER(H49),ISNUMBER(G49)),IF(G49&gt;0,IFERROR(H49/G49-1,""),"n/m"),"")</f>
        <v>n/m</v>
      </c>
      <c r="I207" s="259" t="str">
        <f>IF(AND(ISNUMBER(I49),ISNUMBER(H49)),IF(H49&gt;0,IFERROR(I49/H49-1,""),"n/m"),"")</f>
        <v>n/m</v>
      </c>
      <c r="J207" s="23" t="n"/>
      <c r="K207" s="23" t="n"/>
      <c r="L207" s="23" t="n"/>
      <c r="M207" s="23" t="n"/>
      <c r="N207" s="259" t="str">
        <f>IF(AND(ISNUMBER(N49),ISNUMBER(I49)),IF(I49&gt;0,IFERROR(N49/I49-1,""),"n/m"),"")</f>
        <v>n/m</v>
      </c>
      <c r="O207" s="259" t="str">
        <f>IF(AND(ISNUMBER(O49),ISNUMBER(J49)),IF(J49&gt;0,IFERROR(O49/J49-1,""),"n/m"),"")</f>
        <v>n/m</v>
      </c>
      <c r="P207" s="259" t="str">
        <f>IF(AND(ISNUMBER(P49),ISNUMBER(K49)),IF(K49&gt;0,IFERROR(P49/K49-1,""),"n/m"),"")</f>
        <v>n/m</v>
      </c>
      <c r="Q207" s="259" t="str">
        <f>IF(AND(ISNUMBER(Q49),ISNUMBER(L49)),IF(L49&gt;0,IFERROR(Q49/L49-1,""),"n/m"),"")</f>
        <v>n/m</v>
      </c>
      <c r="R207" s="259" t="str">
        <f>IF(AND(ISNUMBER(R49),ISNUMBER(M49)),IF(M49&gt;0,IFERROR(R49/M49-1,""),"n/m"),"")</f>
        <v>n/m</v>
      </c>
      <c r="S207" s="259" t="str">
        <f>IF(AND(ISNUMBER(S49),ISNUMBER(N49)),IF(N49&gt;0,IFERROR(S49/N49-1,""),"n/m"),"")</f>
        <v>n/m</v>
      </c>
      <c r="T207" s="259" t="str">
        <f>IF(AND(ISNUMBER(T49),ISNUMBER(O49)),IF(O49&gt;0,IFERROR(T49/O49-1,""),"n/m"),"")</f>
        <v>n/m</v>
      </c>
      <c r="U207" s="259" t="str">
        <f>IF(AND(ISNUMBER(U49),ISNUMBER(P49)),IF(P49&gt;0,IFERROR(U49/P49-1,""),"n/m"),"")</f>
        <v>n/m</v>
      </c>
      <c r="V207" s="259" t="str">
        <f>IF(AND(ISNUMBER(V49),ISNUMBER(Q49)),IF(Q49&gt;0,IFERROR(V49/Q49-1,""),"n/m"),"")</f>
        <v>n/m</v>
      </c>
      <c r="W207" s="259" t="str">
        <f>IF(AND(ISNUMBER(W49),ISNUMBER(R49)),IF(R49&gt;0,IFERROR(W49/R49-1,""),"n/m"),"")</f>
        <v>n/m</v>
      </c>
      <c r="X207" s="259" t="str">
        <f>IF(AND(ISNUMBER(X49),ISNUMBER(S49)),IF(S49&gt;0,IFERROR(X49/S49-1,""),"n/m"),"")</f>
        <v>n/m</v>
      </c>
      <c r="Y207" s="259" t="str">
        <f>IF(AND(ISNUMBER(Y49),ISNUMBER(T49)),IF(T49&gt;0,IFERROR(Y49/T49-1,""),"n/m"),"")</f>
        <v>n/m</v>
      </c>
      <c r="Z207" s="259" t="str">
        <f>IF(AND(ISNUMBER(Z49),ISNUMBER(U49)),IF(U49&gt;0,IFERROR(Z49/U49-1,""),"n/m"),"")</f>
        <v>n/m</v>
      </c>
      <c r="AA207" s="259" t="str">
        <f>IF(AND(ISNUMBER(AA49),ISNUMBER(V49)),IF(V49&gt;0,IFERROR(AA49/V49-1,""),"n/m"),"")</f>
        <v>n/m</v>
      </c>
      <c r="AB207" s="259" t="str">
        <f>IF(AND(ISNUMBER(AB49),ISNUMBER(W49)),IF(W49&gt;0,IFERROR(AB49/W49-1,""),"n/m"),"")</f>
        <v>n/m</v>
      </c>
      <c r="AC207" s="259" t="str">
        <f>IF(AND(ISNUMBER(AC49),ISNUMBER(X49)),IF(X49&gt;0,IFERROR(AC49/X49-1,""),"n/m"),"")</f>
        <v>n/m</v>
      </c>
      <c r="AD207" s="259" t="str">
        <f>IF(AND(ISNUMBER(AD49),ISNUMBER(Y49)),IF(Y49&gt;0,IFERROR(AD49/Y49-1,""),"n/m"),"")</f>
        <v>n/m</v>
      </c>
      <c r="AE207" s="259" t="str">
        <f>IF(AND(ISNUMBER(AE49),ISNUMBER(Z49)),IF(Z49&gt;0,IFERROR(AE49/Z49-1,""),"n/m"),"")</f>
        <v>n/m</v>
      </c>
      <c r="AF207" s="259" t="str">
        <f>IF(AND(ISNUMBER(AF49),ISNUMBER(AA49)),IF(AA49&gt;0,IFERROR(AF49/AA49-1,""),"n/m"),"")</f>
        <v>n/m</v>
      </c>
      <c r="AG207" s="259" t="str">
        <f>IF(AND(ISNUMBER(AG49),ISNUMBER(AB49)),IF(AB49&gt;0,IFERROR(AG49/AB49-1,""),"n/m"),"")</f>
        <v>n/m</v>
      </c>
      <c r="AH207" s="259" t="str">
        <f>IF(AND(ISNUMBER(AH49),ISNUMBER(AC49)),IF(AC49&gt;0,IFERROR(AH49/AC49-1,""),"n/m"),"")</f>
        <v>n/m</v>
      </c>
      <c r="AI207" s="259" t="str">
        <f>IF(AND(ISNUMBER(AI49),ISNUMBER(AD49)),IF(AD49&gt;0,IFERROR(AI49/AD49-1,""),"n/m"),"")</f>
        <v>n/m</v>
      </c>
      <c r="AJ207" s="259" t="str">
        <f>IF(AND(ISNUMBER(AJ49),ISNUMBER(AE49)),IF(AE49&gt;0,IFERROR(AJ49/AE49-1,""),"n/m"),"")</f>
        <v>n/m</v>
      </c>
      <c r="AK207" s="259">
        <f>IF(AND(ISNUMBER(AK49),ISNUMBER(AF49)),IF(AF49&gt;0,IFERROR(AK49/AF49-1,""),"n/m"),"")</f>
        <v>0.146580717488789</v>
      </c>
      <c r="AL207" s="259">
        <f>IF(AND(ISNUMBER(AL49),ISNUMBER(AG49)),IF(AG49&gt;0,IFERROR(AL49/AG49-1,""),"n/m"),"")</f>
        <v>0.223194201449638</v>
      </c>
      <c r="AM207" s="259">
        <f>IF(AND(ISNUMBER(AM49),ISNUMBER(AH49)),IF(AH49&gt;0,IFERROR(AM49/AH49-1,""),"n/m"),"")</f>
        <v>0.162511100485006</v>
      </c>
      <c r="AN207" s="259">
        <f>IF(AND(ISNUMBER(AN49),ISNUMBER(AI49)),IF(AI49&gt;0,IFERROR(AN49/AI49-1,""),"n/m"),"")</f>
        <v>0.171443063657114</v>
      </c>
      <c r="AO207" s="259">
        <f>IF(AND(ISNUMBER(AO49),ISNUMBER(AJ49)),IF(AJ49&gt;0,IFERROR(AO49/AJ49-1,""),"n/m"),"")</f>
        <v>0.110757946210269</v>
      </c>
      <c r="AP207" s="259">
        <f>IF(AND(ISNUMBER(AP49),ISNUMBER(AK49)),IF(AK49&gt;0,IFERROR(AP49/AK49-1,""),"n/m"),"")</f>
        <v>0.138596920068443</v>
      </c>
      <c r="AQ207" s="259">
        <f>IF(AND(ISNUMBER(AQ49),ISNUMBER(AL49)),IF(AL49&gt;0,IFERROR(AQ49/AL49-1,""),"n/m"),"")</f>
        <v>-0.0502656313853699</v>
      </c>
      <c r="AR207" s="259">
        <f>IF(AND(ISNUMBER(AR49),ISNUMBER(AM49)),IF(AM49&gt;0,IFERROR(AR49/AM49-1,""),"n/m"),"")</f>
        <v>0.0852039017510871</v>
      </c>
      <c r="AS207" s="259">
        <f>IF(AND(ISNUMBER(AS49),ISNUMBER(AN49)),IF(AN49&gt;0,IFERROR(AS49/AN49-1,""),"n/m"),"")</f>
        <v>0.00194847369560502</v>
      </c>
      <c r="AT207" s="259">
        <f>IF(AND(ISNUMBER(AT49),ISNUMBER(AO49)),IF(AO49&gt;0,IFERROR(AT49/AO49-1,""),"n/m"),"")</f>
        <v>-0.232225401716927</v>
      </c>
      <c r="AU207" s="259">
        <f>IF(AND(ISNUMBER(AU49),ISNUMBER(AP49)),IF(AP49&gt;0,IFERROR(AU49/AP49-1,""),"n/m"),"")</f>
        <v>-0.206955775010734</v>
      </c>
      <c r="AV207" s="259">
        <f>IF(AND(ISNUMBER(AV49),ISNUMBER(AQ49)),IF(AQ49&gt;0,IFERROR(AV49/AQ49-1,""),"n/m"),"")</f>
        <v>-0.196858864027539</v>
      </c>
      <c r="AW207" s="259">
        <f>IF(AND(ISNUMBER(AW49),ISNUMBER(AR49)),IF(AR49&gt;0,IFERROR(AW49/AR49-1,""),"n/m"),"")</f>
        <v>-0.158382066276803</v>
      </c>
      <c r="AX207" s="259">
        <f>IF(AND(ISNUMBER(AX49),ISNUMBER(AS49)),IF(AS49&gt;0,IFERROR(AX49/AS49-1,""),"n/m"),"")</f>
        <v>-0.189930855661193</v>
      </c>
      <c r="AY207" s="259">
        <f>IF(AND(ISNUMBER(AY49),ISNUMBER(AT49)),IF(AT49&gt;0,IFERROR(AY49/AT49-1,""),"n/m"),"")</f>
        <v>0.165997706422018</v>
      </c>
      <c r="AZ207" s="259">
        <f>IF(AND(ISNUMBER(AZ49),ISNUMBER(AU49)),IF(AU49&gt;0,IFERROR(AZ49/AU49-1,""),"n/m"),"")</f>
        <v>0.142663779101245</v>
      </c>
      <c r="BA207" s="259">
        <f>IF(AND(ISNUMBER(BA49),ISNUMBER(AV49)),IF(AV49&gt;0,IFERROR(BA49/AV49-1,""),"n/m"),"")</f>
        <v>0.149477631931422</v>
      </c>
      <c r="BB207" s="259">
        <f>IF(AND(ISNUMBER(BB49),ISNUMBER(AW49)),IF(AW49&gt;0,IFERROR(BB49/AW49-1,""),"n/m"),"")</f>
        <v>0.0505050505050506</v>
      </c>
      <c r="BC207" s="259">
        <f>IF(AND(ISNUMBER(BC49),ISNUMBER(AX49)),IF(AX49&gt;0,IFERROR(BC49/AX49-1,""),"n/m"),"")</f>
        <v>0.150706855161376</v>
      </c>
      <c r="BD207" s="259">
        <f>IF(AND(ISNUMBER(BD49),ISNUMBER(AY49)),IF(AY49&gt;0,IFERROR(BD49/AY49-1,""),"n/m"),"")</f>
        <v>0.0567986230636832</v>
      </c>
      <c r="BE207" s="259">
        <f>IF(AND(ISNUMBER(BE49),ISNUMBER(AZ49)),IF(AZ49&gt;0,IFERROR(BE49/AZ49-1,""),"n/m"),"")</f>
        <v>0.0499881544657663</v>
      </c>
      <c r="BF207" s="259">
        <f>IF(AND(ISNUMBER(BF49),ISNUMBER(BA49)),IF(BA49&gt;0,IFERROR(BF49/BA49-1,""),"n/m"),"")</f>
        <v>0.0643206711722208</v>
      </c>
      <c r="BG207" s="259">
        <f>IF(AND(ISNUMBER(BG49),ISNUMBER(BB49)),IF(BB49&gt;0,IFERROR(BG49/BB49-1,""),"n/m"),"")</f>
        <v>0.0785766780989712</v>
      </c>
      <c r="BH207" s="259">
        <f>IF(AND(ISNUMBER(BH49),ISNUMBER(BC49)),IF(BC49&gt;0,IFERROR(BH49/BC49-1,""),"n/m"),"")</f>
        <v>0.0941121928604543</v>
      </c>
      <c r="BI207" s="259">
        <f>IF(AND(ISNUMBER(BI49),ISNUMBER(BD49)),IF(BD49&gt;0,IFERROR(BI49/BD49-1,""),"n/m"),"")</f>
        <v>0.104234527687296</v>
      </c>
      <c r="BJ207" s="259">
        <f>IF(AND(ISNUMBER(BJ49),ISNUMBER(BE49)),IF(BE49&gt;0,IFERROR(BJ49/BE49-1,""),"n/m"),"")</f>
        <v>0.0857400722021662</v>
      </c>
      <c r="BK207" s="259">
        <f>IF(AND(ISNUMBER(BK49),ISNUMBER(BF49)),IF(BF49&gt;0,IFERROR(BK49/BF49-1,""),"n/m"),"")</f>
        <v>0.0617473177140355</v>
      </c>
      <c r="BL207" s="259">
        <f>IF(AND(ISNUMBER(BL49),ISNUMBER(BG49)),IF(BG49&gt;0,IFERROR(BL49/BG49-1,""),"n/m"),"")</f>
        <v>0.0860825620350918</v>
      </c>
      <c r="BM207" s="259">
        <f>IF(AND(ISNUMBER(BM49),ISNUMBER(BH49)),IF(BH49&gt;0,IFERROR(BM49/BH49-1,""),"n/m"),"")</f>
        <v>0.0688559322033899</v>
      </c>
      <c r="BN207" s="259">
        <f>IF(AND(ISNUMBER(BN49),ISNUMBER(BI49)),IF(BI49&gt;0,IFERROR(BN49/BI49-1,""),"n/m"),"")</f>
        <v>0.0301306363253266</v>
      </c>
      <c r="BO207" s="259">
        <f>IF(AND(ISNUMBER(BO49),ISNUMBER(BJ49)),IF(BJ49&gt;0,IFERROR(BO49/BJ49-1,""),"n/m"),"")</f>
        <v>0.0184954280964256</v>
      </c>
      <c r="BP207" s="259">
        <f>IF(AND(ISNUMBER(BP49),ISNUMBER(BK49)),IF(BK49&gt;0,IFERROR(BP49/BK49-1,""),"n/m"),"")</f>
        <v>0.055681583831718</v>
      </c>
      <c r="BQ207" s="259">
        <f>IF(AND(ISNUMBER(BQ49),ISNUMBER(BL49)),IF(BL49&gt;0,IFERROR(BQ49/BL49-1,""),"n/m"),"")</f>
        <v>0.0432373085167563</v>
      </c>
      <c r="BR207" s="259">
        <f>IF(AND(ISNUMBER(BR49),ISNUMBER(BM49)),IF(BM49&gt;0,IFERROR(BR49/BM49-1,""),"n/m"),"")</f>
        <v>0.00356788899900895</v>
      </c>
      <c r="BS207" s="259">
        <f>IF(AND(ISNUMBER(BS49),ISNUMBER(BN49)),IF(BN49&gt;0,IFERROR(BS49/BN49-1,""),"n/m"),"")</f>
        <v>0.0801799959091838</v>
      </c>
      <c r="BT207" s="259">
        <f>IF(AND(ISNUMBER(BT49),ISNUMBER(BO49)),IF(BO49&gt;0,IFERROR(BT49/BO49-1,""),"n/m"),"")</f>
        <v>0.0956947561722097</v>
      </c>
      <c r="BU207" s="259">
        <f>IF(AND(ISNUMBER(BU49),ISNUMBER(BP49)),IF(BP49&gt;0,IFERROR(BU49/BP49-1,""),"n/m"),"")</f>
        <v>0.0175815588982222</v>
      </c>
      <c r="BV207" s="259">
        <f>IF(AND(ISNUMBER(BV49),ISNUMBER(BQ49)),IF(BQ49&gt;0,IFERROR(BV49/BQ49-1,""),"n/m"),"")</f>
        <v>0.0485616918913501</v>
      </c>
      <c r="BW207" s="259">
        <f>IF(AND(ISNUMBER(BW49),ISNUMBER(BR49)),IF(BR49&gt;0,IFERROR(BW49/BR49-1,""),"n/m"),"")</f>
        <v>0.0606359865692276</v>
      </c>
      <c r="BX207" s="259">
        <f>IF(AND(ISNUMBER(BX49),ISNUMBER(BS49)),IF(BS49&gt;0,IFERROR(BX49/BS49-1,""),"n/m"),"")</f>
        <v>0.0119295587956827</v>
      </c>
      <c r="BY207" s="260">
        <f>IF(AND(ISNUMBER(BY49),ISNUMBER(BT49)),IF(BT49&gt;0,IFERROR(BY49/BT49-1,""),"n/m"),"")</f>
        <v>0.035769528228925</v>
      </c>
      <c r="BZ207" s="260">
        <f>IF(AND(ISNUMBER(BZ49),ISNUMBER(BU49)),IF(BU49&gt;0,IFERROR(BZ49/BU49-1,""),"n/m"),"")</f>
        <v>0.035769528228925</v>
      </c>
      <c r="CA207" s="260">
        <f>IF(AND(ISNUMBER(CA49),ISNUMBER(BV49)),IF(BV49&gt;0,IFERROR(CA49/BV49-1,""),"n/m"),"")</f>
        <v>0.035769528228925</v>
      </c>
      <c r="CB207" s="260">
        <f>IF(AND(ISNUMBER(CB49),ISNUMBER(CA49)),IF(CA49&gt;0,IFERROR(CB49/CA49-1,""),"n/m"),"")</f>
        <v>0.05</v>
      </c>
      <c r="CC207" s="260">
        <f>IF(AND(ISNUMBER(CC49),ISNUMBER(CB49)),IF(CB49&gt;0,IFERROR(CC49/CB49-1,""),"n/m"),"")</f>
        <v>0.0600000000000001</v>
      </c>
      <c r="CD207" s="260">
        <f>IF(AND(ISNUMBER(CD49),ISNUMBER(CC49)),IF(CC49&gt;0,IFERROR(CD49/CC49-1,""),"n/m"),"")</f>
        <v>0.0600000000000001</v>
      </c>
      <c r="CE207" s="260">
        <f>IF(AND(ISNUMBER(CE49),ISNUMBER(CD49)),IF(CD49&gt;0,IFERROR(CE49/CD49-1,""),"n/m"),"")</f>
        <v>0.05</v>
      </c>
      <c r="CF207" s="260">
        <f>IF(AND(ISNUMBER(CF49),ISNUMBER(CE49)),IF(CE49&gt;0,IFERROR(CF49/CE49-1,""),"n/m"),"")</f>
        <v>0.05</v>
      </c>
      <c r="CG207" s="153" t="n"/>
      <c r="CI207" s="37">
        <f>IFERROR(AVERAGE(CB207,CC207,CD207,CE207,CF207),"n/m")</f>
        <v>0.0540000000000001</v>
      </c>
      <c r="CJ207" s="37">
        <f>IFERROR(AVERAGE(BB207,BG207,BL207,BQ207,BV207),"n/m")</f>
        <v>0.061392658209444</v>
      </c>
      <c r="CK207" s="37">
        <f>IFERROR(AVERAGE(AC207,AH207,AM207,AR207,AW207,BB207,BG207,BL207,BQ207,BV207),"n/m")</f>
        <v>0.0495370283758137</v>
      </c>
      <c r="CL207" s="37">
        <f>IFERROR(AVERAGE(C207,D207,E207,F207,G207,H207,I207,N207,S207,X207,AC207,AH207,AM207,AR207,AW207,BB207,BG207,BL207,BQ207,BV207),"n/m")</f>
        <v>0.0495370283758137</v>
      </c>
    </row>
    <row r="208" ht="15" customHeight="1" s="251">
      <c r="B208" s="22" t="inlineStr">
        <is>
          <t xml:space="preserve">  Core operating earnings y/y %</t>
        </is>
      </c>
      <c r="C208" s="23" t="n"/>
      <c r="D208" s="259">
        <f>IF(AND(ISNUMBER(D161),ISNUMBER(C161)),IF(C161&gt;0,IFERROR(D161/C161-1,""),"n/m"),"")</f>
        <v>1.16191108161911</v>
      </c>
      <c r="E208" s="259">
        <f>IF(AND(ISNUMBER(E161),ISNUMBER(D161)),IF(D161&gt;0,IFERROR(E161/D161-1,""),"n/m"),"")</f>
        <v>-0.343922651933702</v>
      </c>
      <c r="F208" s="259">
        <f>IF(AND(ISNUMBER(F161),ISNUMBER(E161)),IF(E161&gt;0,IFERROR(F161/E161-1,""),"n/m"),"")</f>
        <v>-0.513684210526316</v>
      </c>
      <c r="G208" s="259">
        <f>IF(AND(ISNUMBER(G161),ISNUMBER(F161)),IF(F161&gt;0,IFERROR(G161/F161-1,""),"n/m"),"")</f>
        <v>1.39345839345839</v>
      </c>
      <c r="H208" s="259">
        <f>IF(AND(ISNUMBER(H161),ISNUMBER(G161)),IF(G161&gt;0,IFERROR(H161/G161-1,""),"n/m"),"")</f>
        <v>0.278336012861736</v>
      </c>
      <c r="I208" s="259">
        <f>IF(AND(ISNUMBER(I161),ISNUMBER(H161)),IF(H161&gt;0,IFERROR(I161/H161-1,""),"n/m"),"")</f>
        <v>0.133469580254677</v>
      </c>
      <c r="J208" s="23" t="n"/>
      <c r="K208" s="23" t="n"/>
      <c r="L208" s="23" t="n"/>
      <c r="M208" s="23" t="n"/>
      <c r="N208" s="259">
        <f>IF(AND(ISNUMBER(N161),ISNUMBER(I161)),IF(I161&gt;0,IFERROR(N161/I161-1,""),"n/m"),"")</f>
        <v>0.0923717059639391</v>
      </c>
      <c r="O208" s="259">
        <f>IF(AND(ISNUMBER(O161),ISNUMBER(J161)),IF(J161&gt;0,IFERROR(O161/J161-1,""),"n/m"),"")</f>
        <v>0.122121049812534</v>
      </c>
      <c r="P208" s="259">
        <f>IF(AND(ISNUMBER(P161),ISNUMBER(K161)),IF(K161&gt;0,IFERROR(P161/K161-1,""),"n/m"),"")</f>
        <v>-0.0182445759368837</v>
      </c>
      <c r="Q208" s="259">
        <f>IF(AND(ISNUMBER(Q161),ISNUMBER(L161)),IF(L161&gt;0,IFERROR(Q161/L161-1,""),"n/m"),"")</f>
        <v>0.133924405039664</v>
      </c>
      <c r="R208" s="259">
        <f>IF(AND(ISNUMBER(R161),ISNUMBER(M161)),IF(M161&gt;0,IFERROR(R161/M161-1,""),"n/m"),"")</f>
        <v>0.275299238302503</v>
      </c>
      <c r="S208" s="259">
        <f>IF(AND(ISNUMBER(S161),ISNUMBER(N161)),IF(N161&gt;0,IFERROR(S161/N161-1,""),"n/m"),"")</f>
        <v>0.124936515997969</v>
      </c>
      <c r="T208" s="259">
        <f>IF(AND(ISNUMBER(T161),ISNUMBER(O161)),IF(O161&gt;0,IFERROR(T161/O161-1,""),"n/m"),"")</f>
        <v>0.0176610978520286</v>
      </c>
      <c r="U208" s="259">
        <f>IF(AND(ISNUMBER(U161),ISNUMBER(P161)),IF(P161&gt;0,IFERROR(U161/P161-1,""),"n/m"),"")</f>
        <v>-0.139628327473631</v>
      </c>
      <c r="V208" s="259">
        <f>IF(AND(ISNUMBER(V161),ISNUMBER(Q161)),IF(Q161&gt;0,IFERROR(V161/Q161-1,""),"n/m"),"")</f>
        <v>0.0851851851851853</v>
      </c>
      <c r="W208" s="259">
        <f>IF(AND(ISNUMBER(W161),ISNUMBER(R161)),IF(R161&gt;0,IFERROR(W161/R161-1,""),"n/m"),"")</f>
        <v>-0.462883959044369</v>
      </c>
      <c r="X208" s="259">
        <f>IF(AND(ISNUMBER(X161),ISNUMBER(S161)),IF(S161&gt;0,IFERROR(X161/S161-1,""),"n/m"),"")</f>
        <v>-0.126297968397291</v>
      </c>
      <c r="Y208" s="259">
        <f>IF(AND(ISNUMBER(Y161),ISNUMBER(T161)),IF(T161&gt;0,IFERROR(Y161/T161-1,""),"n/m"),"")</f>
        <v>-0.205440900562852</v>
      </c>
      <c r="Z208" s="259">
        <f>IF(AND(ISNUMBER(Z161),ISNUMBER(U161)),IF(U161&gt;0,IFERROR(Z161/U161-1,""),"n/m"),"")</f>
        <v>-1.28488032691185</v>
      </c>
      <c r="AA208" s="259">
        <f>IF(AND(ISNUMBER(AA161),ISNUMBER(V161)),IF(V161&gt;0,IFERROR(AA161/V161-1,""),"n/m"),"")</f>
        <v>-0.167993932499052</v>
      </c>
      <c r="AB208" s="259">
        <f>IF(AND(ISNUMBER(AB161),ISNUMBER(W161)),IF(W161&gt;0,IFERROR(AB161/W161-1,""),"n/m"),"")</f>
        <v>0.639396346306593</v>
      </c>
      <c r="AC208" s="259">
        <f>IF(AND(ISNUMBER(AC161),ISNUMBER(X161)),IF(X161&gt;0,IFERROR(AC161/X161-1,""),"n/m"),"")</f>
        <v>-0.294148042888516</v>
      </c>
      <c r="AD208" s="259">
        <f>IF(AND(ISNUMBER(AD161),ISNUMBER(Y161)),IF(Y161&gt;0,IFERROR(AD161/Y161-1,""),"n/m"),"")</f>
        <v>0.00885478158205433</v>
      </c>
      <c r="AE208" s="259" t="str">
        <f>IF(AND(ISNUMBER(AE161),ISNUMBER(Z161)),IF(Z161&gt;0,IFERROR(AE161/Z161-1,""),"n/m"),"")</f>
        <v>n/m</v>
      </c>
      <c r="AF208" s="259">
        <f>IF(AND(ISNUMBER(AF161),ISNUMBER(AA161)),IF(AA161&gt;0,IFERROR(AF161/AA161-1,""),"n/m"),"")</f>
        <v>0.0815861440291705</v>
      </c>
      <c r="AG208" s="259">
        <f>IF(AND(ISNUMBER(AG161),ISNUMBER(AB161)),IF(AB161&gt;0,IFERROR(AG161/AB161-1,""),"n/m"),"")</f>
        <v>0.296511627906977</v>
      </c>
      <c r="AH208" s="259">
        <f>IF(AND(ISNUMBER(AH161),ISNUMBER(AC161)),IF(AC161&gt;0,IFERROR(AH161/AC161-1,""),"n/m"),"")</f>
        <v>0.641654465592972</v>
      </c>
      <c r="AI208" s="259">
        <f>IF(AND(ISNUMBER(AI161),ISNUMBER(AD161)),IF(AD161&gt;0,IFERROR(AI161/AD161-1,""),"n/m"),"")</f>
        <v>0.468695143358689</v>
      </c>
      <c r="AJ208" s="259">
        <f>IF(AND(ISNUMBER(AJ161),ISNUMBER(AE161)),IF(AE161&gt;0,IFERROR(AJ161/AE161-1,""),"n/m"),"")</f>
        <v>0.0818264014466545</v>
      </c>
      <c r="AK208" s="259">
        <f>IF(AND(ISNUMBER(AK161),ISNUMBER(AF161)),IF(AF161&gt;0,IFERROR(AK161/AF161-1,""),"n/m"),"")</f>
        <v>-0.20353982300885</v>
      </c>
      <c r="AL208" s="259">
        <f>IF(AND(ISNUMBER(AL161),ISNUMBER(AG161)),IF(AG161&gt;0,IFERROR(AL161/AG161-1,""),"n/m"),"")</f>
        <v>0.445067264573991</v>
      </c>
      <c r="AM208" s="259">
        <f>IF(AND(ISNUMBER(AM161),ISNUMBER(AH161)),IF(AH161&gt;0,IFERROR(AM161/AH161-1,""),"n/m"),"")</f>
        <v>0.188405797101449</v>
      </c>
      <c r="AN208" s="259">
        <f>IF(AND(ISNUMBER(AN161),ISNUMBER(AI161)),IF(AI161&gt;0,IFERROR(AN161/AI161-1,""),"n/m"),"")</f>
        <v>-0.208764940239044</v>
      </c>
      <c r="AO208" s="259">
        <f>IF(AND(ISNUMBER(AO161),ISNUMBER(AJ161)),IF(AJ161&gt;0,IFERROR(AO161/AJ161-1,""),"n/m"),"")</f>
        <v>-2.56498119515253</v>
      </c>
      <c r="AP208" s="259">
        <f>IF(AND(ISNUMBER(AP161),ISNUMBER(AK161)),IF(AK161&gt;0,IFERROR(AP161/AK161-1,""),"n/m"),"")</f>
        <v>-0.526455026455027</v>
      </c>
      <c r="AQ208" s="259">
        <f>IF(AND(ISNUMBER(AQ161),ISNUMBER(AL161)),IF(AL161&gt;0,IFERROR(AQ161/AL161-1,""),"n/m"),"")</f>
        <v>-1.65321955003879</v>
      </c>
      <c r="AR208" s="259">
        <f>IF(AND(ISNUMBER(AR161),ISNUMBER(AM161)),IF(AM161&gt;0,IFERROR(AR161/AM161-1,""),"n/m"),"")</f>
        <v>-1.31801125703565</v>
      </c>
      <c r="AS208" s="259">
        <f>IF(AND(ISNUMBER(AS161),ISNUMBER(AN161)),IF(AN161&gt;0,IFERROR(AS161/AN161-1,""),"n/m"),"")</f>
        <v>-1.85599194360524</v>
      </c>
      <c r="AT208" s="259" t="str">
        <f>IF(AND(ISNUMBER(AT161),ISNUMBER(AO161)),IF(AO161&gt;0,IFERROR(AT161/AO161-1,""),"n/m"),"")</f>
        <v>n/m</v>
      </c>
      <c r="AU208" s="259">
        <f>IF(AND(ISNUMBER(AU161),ISNUMBER(AP161)),IF(AP161&gt;0,IFERROR(AU161/AP161-1,""),"n/m"),"")</f>
        <v>-1.84245810055866</v>
      </c>
      <c r="AV208" s="259" t="str">
        <f>IF(AND(ISNUMBER(AV161),ISNUMBER(AQ161)),IF(AQ161&gt;0,IFERROR(AV161/AQ161-1,""),"n/m"),"")</f>
        <v>n/m</v>
      </c>
      <c r="AW208" s="259" t="str">
        <f>IF(AND(ISNUMBER(AW161),ISNUMBER(AR161)),IF(AR161&gt;0,IFERROR(AW161/AR161-1,""),"n/m"),"")</f>
        <v>n/m</v>
      </c>
      <c r="AX208" s="259" t="str">
        <f>IF(AND(ISNUMBER(AX161),ISNUMBER(AS161)),IF(AS161&gt;0,IFERROR(AX161/AS161-1,""),"n/m"),"")</f>
        <v>n/m</v>
      </c>
      <c r="AY208" s="259" t="str">
        <f>IF(AND(ISNUMBER(AY161),ISNUMBER(AT161)),IF(AT161&gt;0,IFERROR(AY161/AT161-1,""),"n/m"),"")</f>
        <v>n/m</v>
      </c>
      <c r="AZ208" s="259" t="str">
        <f>IF(AND(ISNUMBER(AZ161),ISNUMBER(AU161)),IF(AU161&gt;0,IFERROR(AZ161/AU161-1,""),"n/m"),"")</f>
        <v>n/m</v>
      </c>
      <c r="BA208" s="259" t="str">
        <f>IF(AND(ISNUMBER(BA161),ISNUMBER(AV161)),IF(AV161&gt;0,IFERROR(BA161/AV161-1,""),"n/m"),"")</f>
        <v>n/m</v>
      </c>
      <c r="BB208" s="259" t="str">
        <f>IF(AND(ISNUMBER(BB161),ISNUMBER(AW161)),IF(AW161&gt;0,IFERROR(BB161/AW161-1,""),"n/m"),"")</f>
        <v>n/m</v>
      </c>
      <c r="BC208" s="259" t="str">
        <f>IF(AND(ISNUMBER(BC161),ISNUMBER(AX161)),IF(AX161&gt;0,IFERROR(BC161/AX161-1,""),"n/m"),"")</f>
        <v>n/m</v>
      </c>
      <c r="BD208" s="259">
        <f>IF(AND(ISNUMBER(BD161),ISNUMBER(AY161)),IF(AY161&gt;0,IFERROR(BD161/AY161-1,""),"n/m"),"")</f>
        <v>-0.350993377483444</v>
      </c>
      <c r="BE208" s="259">
        <f>IF(AND(ISNUMBER(BE161),ISNUMBER(AZ161)),IF(AZ161&gt;0,IFERROR(BE161/AZ161-1,""),"n/m"),"")</f>
        <v>-53.1694915254237</v>
      </c>
      <c r="BF208" s="259" t="str">
        <f>IF(AND(ISNUMBER(BF161),ISNUMBER(BA161)),IF(BA161&gt;0,IFERROR(BF161/BA161-1,""),"n/m"),"")</f>
        <v>n/m</v>
      </c>
      <c r="BG208" s="259" t="str">
        <f>IF(AND(ISNUMBER(BG161),ISNUMBER(BB161)),IF(BB161&gt;0,IFERROR(BG161/BB161-1,""),"n/m"),"")</f>
        <v>n/m</v>
      </c>
      <c r="BH208" s="259" t="str">
        <f>IF(AND(ISNUMBER(BH161),ISNUMBER(BC161)),IF(BC161&gt;0,IFERROR(BH161/BC161-1,""),"n/m"),"")</f>
        <v>n/m</v>
      </c>
      <c r="BI208" s="259">
        <f>IF(AND(ISNUMBER(BI161),ISNUMBER(BD161)),IF(BD161&gt;0,IFERROR(BI161/BD161-1,""),"n/m"),"")</f>
        <v>-1.79591836734694</v>
      </c>
      <c r="BJ208" s="259" t="str">
        <f>IF(AND(ISNUMBER(BJ161),ISNUMBER(BE161)),IF(BE161&gt;0,IFERROR(BJ161/BE161-1,""),"n/m"),"")</f>
        <v>n/m</v>
      </c>
      <c r="BK208" s="259" t="str">
        <f>IF(AND(ISNUMBER(BK161),ISNUMBER(BF161)),IF(BF161&gt;0,IFERROR(BK161/BF161-1,""),"n/m"),"")</f>
        <v>n/m</v>
      </c>
      <c r="BL208" s="259" t="str">
        <f>IF(AND(ISNUMBER(BL161),ISNUMBER(BG161)),IF(BG161&gt;0,IFERROR(BL161/BG161-1,""),"n/m"),"")</f>
        <v>n/m</v>
      </c>
      <c r="BM208" s="259" t="str">
        <f>IF(AND(ISNUMBER(BM161),ISNUMBER(BH161)),IF(BH161&gt;0,IFERROR(BM161/BH161-1,""),"n/m"),"")</f>
        <v>n/m</v>
      </c>
      <c r="BN208" s="259" t="str">
        <f>IF(AND(ISNUMBER(BN161),ISNUMBER(BI161)),IF(BI161&gt;0,IFERROR(BN161/BI161-1,""),"n/m"),"")</f>
        <v>n/m</v>
      </c>
      <c r="BO208" s="259" t="str">
        <f>IF(AND(ISNUMBER(BO161),ISNUMBER(BJ161)),IF(BJ161&gt;0,IFERROR(BO161/BJ161-1,""),"n/m"),"")</f>
        <v>n/m</v>
      </c>
      <c r="BP208" s="259">
        <f>IF(AND(ISNUMBER(BP161),ISNUMBER(BK161)),IF(BK161&gt;0,IFERROR(BP161/BK161-1,""),"n/m"),"")</f>
        <v>-45.9111111111111</v>
      </c>
      <c r="BQ208" s="259" t="str">
        <f>IF(AND(ISNUMBER(BQ161),ISNUMBER(BL161)),IF(BL161&gt;0,IFERROR(BQ161/BL161-1,""),"n/m"),"")</f>
        <v>n/m</v>
      </c>
      <c r="BR208" s="259" t="str">
        <f>IF(AND(ISNUMBER(BR161),ISNUMBER(BM161)),IF(BM161&gt;0,IFERROR(BR161/BM161-1,""),"n/m"),"")</f>
        <v>n/m</v>
      </c>
      <c r="BS208" s="259" t="str">
        <f>IF(AND(ISNUMBER(BS161),ISNUMBER(BN161)),IF(BN161&gt;0,IFERROR(BS161/BN161-1,""),"n/m"),"")</f>
        <v>n/m</v>
      </c>
      <c r="BT208" s="259" t="str">
        <f>IF(AND(ISNUMBER(BT161),ISNUMBER(BO161)),IF(BO161&gt;0,IFERROR(BT161/BO161-1,""),"n/m"),"")</f>
        <v>n/m</v>
      </c>
      <c r="BU208" s="259" t="str">
        <f>IF(AND(ISNUMBER(BU161),ISNUMBER(BP161)),IF(BP161&gt;0,IFERROR(BU161/BP161-1,""),"n/m"),"")</f>
        <v>n/m</v>
      </c>
      <c r="BV208" s="259" t="str">
        <f>IF(AND(ISNUMBER(BV161),ISNUMBER(BQ161)),IF(BQ161&gt;0,IFERROR(BV161/BQ161-1,""),"n/m"),"")</f>
        <v>n/m</v>
      </c>
      <c r="BW208" s="259">
        <f>IF(AND(ISNUMBER(BW161),ISNUMBER(BR161)),IF(BR161&gt;0,IFERROR(BW161/BR161-1,""),"n/m"),"")</f>
        <v>0.472361809045226</v>
      </c>
      <c r="BX208" s="259" t="str">
        <f>IF(AND(ISNUMBER(BX161),ISNUMBER(BS161)),IF(BS161&gt;0,IFERROR(BX161/BS161-1,""),"n/m"),"")</f>
        <v>n/m</v>
      </c>
      <c r="BY208" s="260" t="str">
        <f>IF(AND(ISNUMBER(BY161),ISNUMBER(BT161)),IF(BT161&gt;0,IFERROR(BY161/BT161-1,""),"n/m"),"")</f>
        <v>n/m</v>
      </c>
      <c r="BZ208" s="260">
        <f>IF(AND(ISNUMBER(BZ161),ISNUMBER(BU161)),IF(BU161&gt;0,IFERROR(BZ161/BU161-1,""),"n/m"),"")</f>
        <v>-0.934713050688738</v>
      </c>
      <c r="CA208" s="260">
        <f>IF(AND(ISNUMBER(CA161),ISNUMBER(BV161)),IF(BV161&gt;0,IFERROR(CA161/BV161-1,""),"n/m"),"")</f>
        <v>-0.562079132754173</v>
      </c>
      <c r="CB208" s="260">
        <f>IF(AND(ISNUMBER(CB161),ISNUMBER(CA161)),IF(CA161&gt;0,IFERROR(CB161/CA161-1,""),"n/m"),"")</f>
        <v>2.86926346662056</v>
      </c>
      <c r="CC208" s="260">
        <f>IF(AND(ISNUMBER(CC161),ISNUMBER(CB161)),IF(CB161&gt;0,IFERROR(CC161/CB161-1,""),"n/m"),"")</f>
        <v>0.49127578890656</v>
      </c>
      <c r="CD208" s="260">
        <f>IF(AND(ISNUMBER(CD161),ISNUMBER(CC161)),IF(CC161&gt;0,IFERROR(CD161/CC161-1,""),"n/m"),"")</f>
        <v>0.351355535323954</v>
      </c>
      <c r="CE208" s="260">
        <f>IF(AND(ISNUMBER(CE161),ISNUMBER(CD161)),IF(CD161&gt;0,IFERROR(CE161/CD161-1,""),"n/m"),"")</f>
        <v>0.196670661850157</v>
      </c>
      <c r="CF208" s="260">
        <f>IF(AND(ISNUMBER(CF161),ISNUMBER(CE161)),IF(CE161&gt;0,IFERROR(CF161/CE161-1,""),"n/m"),"")</f>
        <v>0.105877144746765</v>
      </c>
      <c r="CG208" s="153" t="n"/>
    </row>
    <row r="209" ht="15" customHeight="1" s="251">
      <c r="B209" s="22" t="inlineStr">
        <is>
          <t xml:space="preserve">  Adjusted EBITDA y/y %</t>
        </is>
      </c>
      <c r="C209" s="23" t="n"/>
      <c r="D209" s="259">
        <f>IF(AND(ISNUMBER(D180),ISNUMBER(C180)),IF(C180&gt;0,IFERROR(D180/C180-1,""),"n/m"),"")</f>
        <v>0.755209475762229</v>
      </c>
      <c r="E209" s="259">
        <f>IF(AND(ISNUMBER(E180),ISNUMBER(D180)),IF(D180&gt;0,IFERROR(E180/D180-1,""),"n/m"),"")</f>
        <v>-0.279430142464384</v>
      </c>
      <c r="F209" s="259">
        <f>IF(AND(ISNUMBER(F180),ISNUMBER(E180)),IF(E180&gt;0,IFERROR(F180/E180-1,""),"n/m"),"")</f>
        <v>-0.350502948317725</v>
      </c>
      <c r="G209" s="259">
        <f>IF(AND(ISNUMBER(G180),ISNUMBER(F180)),IF(F180&gt;0,IFERROR(G180/F180-1,""),"n/m"),"")</f>
        <v>0.789853137516689</v>
      </c>
      <c r="H209" s="259">
        <f>IF(AND(ISNUMBER(H180),ISNUMBER(G180)),IF(G180&gt;0,IFERROR(H180/G180-1,""),"n/m"),"")</f>
        <v>0.16634342831568</v>
      </c>
      <c r="I209" s="259">
        <f>IF(AND(ISNUMBER(I180),ISNUMBER(H180)),IF(H180&gt;0,IFERROR(I180/H180-1,""),"n/m"),"")</f>
        <v>0.153875671527245</v>
      </c>
      <c r="J209" s="23" t="n"/>
      <c r="K209" s="23" t="n"/>
      <c r="L209" s="23" t="n"/>
      <c r="M209" s="23" t="n"/>
      <c r="N209" s="259">
        <f>IF(AND(ISNUMBER(N180),ISNUMBER(I180)),IF(I180&gt;0,IFERROR(N180/I180-1,""),"n/m"),"")</f>
        <v>0.0774858663119389</v>
      </c>
      <c r="O209" s="259">
        <f>IF(AND(ISNUMBER(O180),ISNUMBER(J180)),IF(J180&gt;0,IFERROR(O180/J180-1,""),"n/m"),"")</f>
        <v>0.107578397212543</v>
      </c>
      <c r="P209" s="259">
        <f>IF(AND(ISNUMBER(P180),ISNUMBER(K180)),IF(K180&gt;0,IFERROR(P180/K180-1,""),"n/m"),"")</f>
        <v>-0.00852272727272729</v>
      </c>
      <c r="Q209" s="259">
        <f>IF(AND(ISNUMBER(Q180),ISNUMBER(L180)),IF(L180&gt;0,IFERROR(Q180/L180-1,""),"n/m"),"")</f>
        <v>0.118031526336025</v>
      </c>
      <c r="R209" s="259">
        <f>IF(AND(ISNUMBER(R180),ISNUMBER(M180)),IF(M180&gt;0,IFERROR(R180/M180-1,""),"n/m"),"")</f>
        <v>0.217465027554048</v>
      </c>
      <c r="S209" s="259">
        <f>IF(AND(ISNUMBER(S180),ISNUMBER(N180)),IF(N180&gt;0,IFERROR(S180/N180-1,""),"n/m"),"")</f>
        <v>0.10761316872428</v>
      </c>
      <c r="T209" s="259">
        <f>IF(AND(ISNUMBER(T180),ISNUMBER(O180)),IF(O180&gt;0,IFERROR(T180/O180-1,""),"n/m"),"")</f>
        <v>0.0188753440817933</v>
      </c>
      <c r="U209" s="259">
        <f>IF(AND(ISNUMBER(U180),ISNUMBER(P180)),IF(P180&gt;0,IFERROR(U180/P180-1,""),"n/m"),"")</f>
        <v>-0.11338518215309</v>
      </c>
      <c r="V209" s="259">
        <f>IF(AND(ISNUMBER(V180),ISNUMBER(Q180)),IF(Q180&gt;0,IFERROR(V180/Q180-1,""),"n/m"),"")</f>
        <v>0.0570839064649245</v>
      </c>
      <c r="W209" s="259">
        <f>IF(AND(ISNUMBER(W180),ISNUMBER(R180)),IF(R180&gt;0,IFERROR(W180/R180-1,""),"n/m"),"")</f>
        <v>-0.393105849582173</v>
      </c>
      <c r="X209" s="259">
        <f>IF(AND(ISNUMBER(X180),ISNUMBER(S180)),IF(S180&gt;0,IFERROR(X180/S180-1,""),"n/m"),"")</f>
        <v>-0.110718929964704</v>
      </c>
      <c r="Y209" s="259">
        <f>IF(AND(ISNUMBER(Y180),ISNUMBER(T180)),IF(T180&gt;0,IFERROR(Y180/T180-1,""),"n/m"),"")</f>
        <v>-0.175221922037823</v>
      </c>
      <c r="Z209" s="259">
        <f>IF(AND(ISNUMBER(Z180),ISNUMBER(U180)),IF(U180&gt;0,IFERROR(Z180/U180-1,""),"n/m"),"")</f>
        <v>-1.01892890120037</v>
      </c>
      <c r="AA209" s="259">
        <f>IF(AND(ISNUMBER(AA180),ISNUMBER(V180)),IF(V180&gt;0,IFERROR(AA180/V180-1,""),"n/m"),"")</f>
        <v>-0.132075471698113</v>
      </c>
      <c r="AB209" s="259">
        <f>IF(AND(ISNUMBER(AB180),ISNUMBER(W180)),IF(W180&gt;0,IFERROR(AB180/W180-1,""),"n/m"),"")</f>
        <v>0.497418244406196</v>
      </c>
      <c r="AC209" s="259">
        <f>IF(AND(ISNUMBER(AC180),ISNUMBER(X180)),IF(X180&gt;0,IFERROR(AC180/X180-1,""),"n/m"),"")</f>
        <v>-0.229789011907249</v>
      </c>
      <c r="AD209" s="259">
        <f>IF(AND(ISNUMBER(AD180),ISNUMBER(Y180)),IF(Y180&gt;0,IFERROR(AD180/Y180-1,""),"n/m"),"")</f>
        <v>0.0201216658867571</v>
      </c>
      <c r="AE209" s="259" t="str">
        <f>IF(AND(ISNUMBER(AE180),ISNUMBER(Z180)),IF(Z180&gt;0,IFERROR(AE180/Z180-1,""),"n/m"),"")</f>
        <v>n/m</v>
      </c>
      <c r="AF209" s="259">
        <f>IF(AND(ISNUMBER(AF180),ISNUMBER(AA180)),IF(AA180&gt;0,IFERROR(AF180/AA180-1,""),"n/m"),"")</f>
        <v>0.0850824587706147</v>
      </c>
      <c r="AG209" s="259">
        <f>IF(AND(ISNUMBER(AG180),ISNUMBER(AB180)),IF(AB180&gt;0,IFERROR(AG180/AB180-1,""),"n/m"),"")</f>
        <v>0.248275862068966</v>
      </c>
      <c r="AH209" s="259">
        <f>IF(AND(ISNUMBER(AH180),ISNUMBER(AC180)),IF(AC180&gt;0,IFERROR(AH180/AC180-1,""),"n/m"),"")</f>
        <v>0.497016544616219</v>
      </c>
      <c r="AI209" s="259">
        <f>IF(AND(ISNUMBER(AI180),ISNUMBER(AD180)),IF(AD180&gt;0,IFERROR(AI180/AD180-1,""),"n/m"),"")</f>
        <v>0.381192660550459</v>
      </c>
      <c r="AJ209" s="259">
        <f>IF(AND(ISNUMBER(AJ180),ISNUMBER(AE180)),IF(AE180&gt;0,IFERROR(AJ180/AE180-1,""),"n/m"),"")</f>
        <v>0.0716925351071693</v>
      </c>
      <c r="AK209" s="259">
        <f>IF(AND(ISNUMBER(AK180),ISNUMBER(AF180)),IF(AF180&gt;0,IFERROR(AK180/AF180-1,""),"n/m"),"")</f>
        <v>-0.166493955094991</v>
      </c>
      <c r="AL209" s="259">
        <f>IF(AND(ISNUMBER(AL180),ISNUMBER(AG180)),IF(AG180&gt;0,IFERROR(AL180/AG180-1,""),"n/m"),"")</f>
        <v>0.365868631062001</v>
      </c>
      <c r="AM209" s="259">
        <f>IF(AND(ISNUMBER(AM180),ISNUMBER(AH180)),IF(AH180&gt;0,IFERROR(AM180/AH180-1,""),"n/m"),"")</f>
        <v>0.157170033517529</v>
      </c>
      <c r="AN209" s="259">
        <f>IF(AND(ISNUMBER(AN180),ISNUMBER(AI180)),IF(AI180&gt;0,IFERROR(AN180/AI180-1,""),"n/m"),"")</f>
        <v>-0.167386250415144</v>
      </c>
      <c r="AO209" s="259">
        <f>IF(AND(ISNUMBER(AO180),ISNUMBER(AJ180)),IF(AJ180&gt;0,IFERROR(AO180/AJ180-1,""),"n/m"),"")</f>
        <v>-2.10310344827586</v>
      </c>
      <c r="AP209" s="259">
        <f>IF(AND(ISNUMBER(AP180),ISNUMBER(AK180)),IF(AK180&gt;0,IFERROR(AP180/AK180-1,""),"n/m"),"")</f>
        <v>-0.390385412349772</v>
      </c>
      <c r="AQ209" s="259">
        <f>IF(AND(ISNUMBER(AQ180),ISNUMBER(AL180)),IF(AL180&gt;0,IFERROR(AQ180/AL180-1,""),"n/m"),"")</f>
        <v>-1.42651685393258</v>
      </c>
      <c r="AR209" s="259">
        <f>IF(AND(ISNUMBER(AR180),ISNUMBER(AM180)),IF(AM180&gt;0,IFERROR(AR180/AM180-1,""),"n/m"),"")</f>
        <v>-1.08759981211837</v>
      </c>
      <c r="AS209" s="259">
        <f>IF(AND(ISNUMBER(AS180),ISNUMBER(AN180)),IF(AN180&gt;0,IFERROR(AS180/AN180-1,""),"n/m"),"")</f>
        <v>-1.45632229756681</v>
      </c>
      <c r="AT209" s="259" t="str">
        <f>IF(AND(ISNUMBER(AT180),ISNUMBER(AO180)),IF(AO180&gt;0,IFERROR(AT180/AO180-1,""),"n/m"),"")</f>
        <v>n/m</v>
      </c>
      <c r="AU209" s="259">
        <f>IF(AND(ISNUMBER(AU180),ISNUMBER(AP180)),IF(AP180&gt;0,IFERROR(AU180/AP180-1,""),"n/m"),"")</f>
        <v>-1.12848402447315</v>
      </c>
      <c r="AV209" s="259" t="str">
        <f>IF(AND(ISNUMBER(AV180),ISNUMBER(AQ180)),IF(AQ180&gt;0,IFERROR(AV180/AQ180-1,""),"n/m"),"")</f>
        <v>n/m</v>
      </c>
      <c r="AW209" s="259" t="str">
        <f>IF(AND(ISNUMBER(AW180),ISNUMBER(AR180)),IF(AR180&gt;0,IFERROR(AW180/AR180-1,""),"n/m"),"")</f>
        <v>n/m</v>
      </c>
      <c r="AX209" s="259" t="str">
        <f>IF(AND(ISNUMBER(AX180),ISNUMBER(AS180)),IF(AS180&gt;0,IFERROR(AX180/AS180-1,""),"n/m"),"")</f>
        <v>n/m</v>
      </c>
      <c r="AY209" s="259" t="str">
        <f>IF(AND(ISNUMBER(AY180),ISNUMBER(AT180)),IF(AT180&gt;0,IFERROR(AY180/AT180-1,""),"n/m"),"")</f>
        <v>n/m</v>
      </c>
      <c r="AZ209" s="259" t="str">
        <f>IF(AND(ISNUMBER(AZ180),ISNUMBER(AU180)),IF(AU180&gt;0,IFERROR(AZ180/AU180-1,""),"n/m"),"")</f>
        <v>n/m</v>
      </c>
      <c r="BA209" s="259" t="str">
        <f>IF(AND(ISNUMBER(BA180),ISNUMBER(AV180)),IF(AV180&gt;0,IFERROR(BA180/AV180-1,""),"n/m"),"")</f>
        <v>n/m</v>
      </c>
      <c r="BB209" s="259" t="str">
        <f>IF(AND(ISNUMBER(BB180),ISNUMBER(AW180)),IF(AW180&gt;0,IFERROR(BB180/AW180-1,""),"n/m"),"")</f>
        <v>n/m</v>
      </c>
      <c r="BC209" s="259">
        <f>IF(AND(ISNUMBER(BC180),ISNUMBER(AX180)),IF(AX180&gt;0,IFERROR(BC180/AX180-1,""),"n/m"),"")</f>
        <v>-6.27868852459016</v>
      </c>
      <c r="BD209" s="259">
        <f>IF(AND(ISNUMBER(BD180),ISNUMBER(AY180)),IF(AY180&gt;0,IFERROR(BD180/AY180-1,""),"n/m"),"")</f>
        <v>-0.243491577335375</v>
      </c>
      <c r="BE209" s="259">
        <f>IF(AND(ISNUMBER(BE180),ISNUMBER(AZ180)),IF(AZ180&gt;0,IFERROR(BE180/AZ180-1,""),"n/m"),"")</f>
        <v>-5.44158075601375</v>
      </c>
      <c r="BF209" s="259" t="str">
        <f>IF(AND(ISNUMBER(BF180),ISNUMBER(BA180)),IF(BA180&gt;0,IFERROR(BF180/BA180-1,""),"n/m"),"")</f>
        <v>n/m</v>
      </c>
      <c r="BG209" s="259" t="str">
        <f>IF(AND(ISNUMBER(BG180),ISNUMBER(BB180)),IF(BB180&gt;0,IFERROR(BG180/BB180-1,""),"n/m"),"")</f>
        <v>n/m</v>
      </c>
      <c r="BH209" s="259" t="str">
        <f>IF(AND(ISNUMBER(BH180),ISNUMBER(BC180)),IF(BC180&gt;0,IFERROR(BH180/BC180-1,""),"n/m"),"")</f>
        <v>n/m</v>
      </c>
      <c r="BI209" s="259">
        <f>IF(AND(ISNUMBER(BI180),ISNUMBER(BD180)),IF(BD180&gt;0,IFERROR(BI180/BD180-1,""),"n/m"),"")</f>
        <v>-0.933198380566802</v>
      </c>
      <c r="BJ209" s="259" t="str">
        <f>IF(AND(ISNUMBER(BJ180),ISNUMBER(BE180)),IF(BE180&gt;0,IFERROR(BJ180/BE180-1,""),"n/m"),"")</f>
        <v>n/m</v>
      </c>
      <c r="BK209" s="259" t="str">
        <f>IF(AND(ISNUMBER(BK180),ISNUMBER(BF180)),IF(BF180&gt;0,IFERROR(BK180/BF180-1,""),"n/m"),"")</f>
        <v>n/m</v>
      </c>
      <c r="BL209" s="259" t="str">
        <f>IF(AND(ISNUMBER(BL180),ISNUMBER(BG180)),IF(BG180&gt;0,IFERROR(BL180/BG180-1,""),"n/m"),"")</f>
        <v>n/m</v>
      </c>
      <c r="BM209" s="259">
        <f>IF(AND(ISNUMBER(BM180),ISNUMBER(BH180)),IF(BH180&gt;0,IFERROR(BM180/BH180-1,""),"n/m"),"")</f>
        <v>2.17647058823529</v>
      </c>
      <c r="BN209" s="259">
        <f>IF(AND(ISNUMBER(BN180),ISNUMBER(BI180)),IF(BI180&gt;0,IFERROR(BN180/BI180-1,""),"n/m"),"")</f>
        <v>-15.4090909090909</v>
      </c>
      <c r="BO209" s="259" t="str">
        <f>IF(AND(ISNUMBER(BO180),ISNUMBER(BJ180)),IF(BJ180&gt;0,IFERROR(BO180/BJ180-1,""),"n/m"),"")</f>
        <v>n/m</v>
      </c>
      <c r="BP209" s="259">
        <f>IF(AND(ISNUMBER(BP180),ISNUMBER(BK180)),IF(BK180&gt;0,IFERROR(BP180/BK180-1,""),"n/m"),"")</f>
        <v>-7.18739054290718</v>
      </c>
      <c r="BQ209" s="259">
        <f>IF(AND(ISNUMBER(BQ180),ISNUMBER(BL180)),IF(BL180&gt;0,IFERROR(BQ180/BL180-1,""),"n/m"),"")</f>
        <v>-312.71875</v>
      </c>
      <c r="BR209" s="259">
        <f>IF(AND(ISNUMBER(BR180),ISNUMBER(BM180)),IF(BM180&gt;0,IFERROR(BR180/BM180-1,""),"n/m"),"")</f>
        <v>11.3148148148148</v>
      </c>
      <c r="BS209" s="259" t="str">
        <f>IF(AND(ISNUMBER(BS180),ISNUMBER(BN180)),IF(BN180&gt;0,IFERROR(BS180/BN180-1,""),"n/m"),"")</f>
        <v>n/m</v>
      </c>
      <c r="BT209" s="259" t="str">
        <f>IF(AND(ISNUMBER(BT180),ISNUMBER(BO180)),IF(BO180&gt;0,IFERROR(BT180/BO180-1,""),"n/m"),"")</f>
        <v>n/m</v>
      </c>
      <c r="BU209" s="259" t="str">
        <f>IF(AND(ISNUMBER(BU180),ISNUMBER(BP180)),IF(BP180&gt;0,IFERROR(BU180/BP180-1,""),"n/m"),"")</f>
        <v>n/m</v>
      </c>
      <c r="BV209" s="259" t="str">
        <f>IF(AND(ISNUMBER(BV180),ISNUMBER(BQ180)),IF(BQ180&gt;0,IFERROR(BV180/BQ180-1,""),"n/m"),"")</f>
        <v>n/m</v>
      </c>
      <c r="BW209" s="259">
        <f>IF(AND(ISNUMBER(BW180),ISNUMBER(BR180)),IF(BR180&gt;0,IFERROR(BW180/BR180-1,""),"n/m"),"")</f>
        <v>0.302255639097744</v>
      </c>
      <c r="BX209" s="259">
        <f>IF(AND(ISNUMBER(BX180),ISNUMBER(BS180)),IF(BS180&gt;0,IFERROR(BX180/BS180-1,""),"n/m"),"")</f>
        <v>21.1111111111111</v>
      </c>
      <c r="BY209" s="260" t="str">
        <f>IF(AND(ISNUMBER(BY180),ISNUMBER(BT180)),IF(BT180&gt;0,IFERROR(BY180/BT180-1,""),"n/m"),"")</f>
        <v>n/m</v>
      </c>
      <c r="BZ209" s="260">
        <f>IF(AND(ISNUMBER(BZ180),ISNUMBER(BU180)),IF(BU180&gt;0,IFERROR(BZ180/BU180-1,""),"n/m"),"")</f>
        <v>-0.873972443823011</v>
      </c>
      <c r="CA209" s="260">
        <f>IF(AND(ISNUMBER(CA180),ISNUMBER(BV180)),IF(BV180&gt;0,IFERROR(CA180/BV180-1,""),"n/m"),"")</f>
        <v>-0.276139540102622</v>
      </c>
      <c r="CB209" s="260">
        <f>IF(AND(ISNUMBER(CB180),ISNUMBER(CA180)),IF(CA180&gt;0,IFERROR(CB180/CA180-1,""),"n/m"),"")</f>
        <v>1.14092161811405</v>
      </c>
      <c r="CC209" s="260">
        <f>IF(AND(ISNUMBER(CC180),ISNUMBER(CB180)),IF(CB180&gt;0,IFERROR(CC180/CB180-1,""),"n/m"),"")</f>
        <v>0.36238621150831</v>
      </c>
      <c r="CD209" s="260">
        <f>IF(AND(ISNUMBER(CD180),ISNUMBER(CC180)),IF(CC180&gt;0,IFERROR(CD180/CC180-1,""),"n/m"),"")</f>
        <v>0.268523028072204</v>
      </c>
      <c r="CE209" s="260">
        <f>IF(AND(ISNUMBER(CE180),ISNUMBER(CD180)),IF(CD180&gt;0,IFERROR(CE180/CD180-1,""),"n/m"),"")</f>
        <v>0.166474877041054</v>
      </c>
      <c r="CF209" s="260">
        <f>IF(AND(ISNUMBER(CF180),ISNUMBER(CE180)),IF(CE180&gt;0,IFERROR(CF180/CE180-1,""),"n/m"),"")</f>
        <v>0.0942975367079824</v>
      </c>
      <c r="CG209" s="153" t="n"/>
    </row>
    <row r="210" ht="15" customHeight="1" s="251">
      <c r="B210" s="22" t="inlineStr">
        <is>
          <t xml:space="preserve">  Core EPS y/y %</t>
        </is>
      </c>
      <c r="C210" s="23" t="n"/>
      <c r="D210" s="259">
        <f>IF(AND(ISNUMBER(D196),ISNUMBER(C196)),IF(C196&gt;0,IFERROR(D196/C196-1,""),"n/m"),"")</f>
        <v>1.08047410784077</v>
      </c>
      <c r="E210" s="259">
        <f>IF(AND(ISNUMBER(E196),ISNUMBER(D196)),IF(D196&gt;0,IFERROR(E196/D196-1,""),"n/m"),"")</f>
        <v>-0.322792088976075</v>
      </c>
      <c r="F210" s="259">
        <f>IF(AND(ISNUMBER(F196),ISNUMBER(E196)),IF(E196&gt;0,IFERROR(F196/E196-1,""),"n/m"),"")</f>
        <v>-0.539769772533208</v>
      </c>
      <c r="G210" s="259">
        <f>IF(AND(ISNUMBER(G196),ISNUMBER(F196)),IF(F196&gt;0,IFERROR(G196/F196-1,""),"n/m"),"")</f>
        <v>1.43885103712772</v>
      </c>
      <c r="H210" s="259">
        <f>IF(AND(ISNUMBER(H196),ISNUMBER(G196)),IF(G196&gt;0,IFERROR(H196/G196-1,""),"n/m"),"")</f>
        <v>0.300803422283833</v>
      </c>
      <c r="I210" s="259">
        <f>IF(AND(ISNUMBER(I196),ISNUMBER(H196)),IF(H196&gt;0,IFERROR(I196/H196-1,""),"n/m"),"")</f>
        <v>0.0156894483040819</v>
      </c>
      <c r="J210" s="23" t="n"/>
      <c r="K210" s="23" t="n"/>
      <c r="L210" s="23" t="n"/>
      <c r="M210" s="23" t="n"/>
      <c r="N210" s="259">
        <f>IF(AND(ISNUMBER(N196),ISNUMBER(I196)),IF(I196&gt;0,IFERROR(N196/I196-1,""),"n/m"),"")</f>
        <v>0.202919667816153</v>
      </c>
      <c r="O210" s="259">
        <f>IF(AND(ISNUMBER(O196),ISNUMBER(J196)),IF(J196&gt;0,IFERROR(O196/J196-1,""),"n/m"),"")</f>
        <v>0.01786122936753</v>
      </c>
      <c r="P210" s="259">
        <f>IF(AND(ISNUMBER(P196),ISNUMBER(K196)),IF(K196&gt;0,IFERROR(P196/K196-1,""),"n/m"),"")</f>
        <v>0.445465688751591</v>
      </c>
      <c r="Q210" s="259">
        <f>IF(AND(ISNUMBER(Q196),ISNUMBER(L196)),IF(L196&gt;0,IFERROR(Q196/L196-1,""),"n/m"),"")</f>
        <v>0.192271797194741</v>
      </c>
      <c r="R210" s="259">
        <f>IF(AND(ISNUMBER(R196),ISNUMBER(M196)),IF(M196&gt;0,IFERROR(R196/M196-1,""),"n/m"),"")</f>
        <v>0.233642492728985</v>
      </c>
      <c r="S210" s="259">
        <f>IF(AND(ISNUMBER(S196),ISNUMBER(N196)),IF(N196&gt;0,IFERROR(S196/N196-1,""),"n/m"),"")</f>
        <v>0.216595847235585</v>
      </c>
      <c r="T210" s="259">
        <f>IF(AND(ISNUMBER(T196),ISNUMBER(O196)),IF(O196&gt;0,IFERROR(T196/O196-1,""),"n/m"),"")</f>
        <v>0.119882255299288</v>
      </c>
      <c r="U210" s="259">
        <f>IF(AND(ISNUMBER(U196),ISNUMBER(P196)),IF(P196&gt;0,IFERROR(U196/P196-1,""),"n/m"),"")</f>
        <v>-0.329512269035782</v>
      </c>
      <c r="V210" s="259">
        <f>IF(AND(ISNUMBER(V196),ISNUMBER(Q196)),IF(Q196&gt;0,IFERROR(V196/Q196-1,""),"n/m"),"")</f>
        <v>0.178540685369593</v>
      </c>
      <c r="W210" s="259">
        <f>IF(AND(ISNUMBER(W196),ISNUMBER(R196)),IF(R196&gt;0,IFERROR(W196/R196-1,""),"n/m"),"")</f>
        <v>-0.309804115680132</v>
      </c>
      <c r="X210" s="259">
        <f>IF(AND(ISNUMBER(X196),ISNUMBER(S196)),IF(S196&gt;0,IFERROR(X196/S196-1,""),"n/m"),"")</f>
        <v>-0.102761837403364</v>
      </c>
      <c r="Y210" s="259">
        <f>IF(AND(ISNUMBER(Y196),ISNUMBER(T196)),IF(T196&gt;0,IFERROR(Y196/T196-1,""),"n/m"),"")</f>
        <v>-0.116584531285137</v>
      </c>
      <c r="Z210" s="259">
        <f>IF(AND(ISNUMBER(Z196),ISNUMBER(U196)),IF(U196&gt;0,IFERROR(Z196/U196-1,""),"n/m"),"")</f>
        <v>-1.27051559984275</v>
      </c>
      <c r="AA210" s="259">
        <f>IF(AND(ISNUMBER(AA196),ISNUMBER(V196)),IF(V196&gt;0,IFERROR(AA196/V196-1,""),"n/m"),"")</f>
        <v>0.391920330847778</v>
      </c>
      <c r="AB210" s="259">
        <f>IF(AND(ISNUMBER(AB196),ISNUMBER(W196)),IF(W196&gt;0,IFERROR(AB196/W196-1,""),"n/m"),"")</f>
        <v>0.545990395155374</v>
      </c>
      <c r="AC210" s="259">
        <f>IF(AND(ISNUMBER(AC196),ISNUMBER(X196)),IF(X196&gt;0,IFERROR(AC196/X196-1,""),"n/m"),"")</f>
        <v>-0.0625243960263879</v>
      </c>
      <c r="AD210" s="259">
        <f>IF(AND(ISNUMBER(AD196),ISNUMBER(Y196)),IF(Y196&gt;0,IFERROR(AD196/Y196-1,""),"n/m"),"")</f>
        <v>0.152176777290556</v>
      </c>
      <c r="AE210" s="259" t="str">
        <f>IF(AND(ISNUMBER(AE196),ISNUMBER(Z196)),IF(Z196&gt;0,IFERROR(AE196/Z196-1,""),"n/m"),"")</f>
        <v>n/m</v>
      </c>
      <c r="AF210" s="259">
        <f>IF(AND(ISNUMBER(AF196),ISNUMBER(AA196)),IF(AA196&gt;0,IFERROR(AF196/AA196-1,""),"n/m"),"")</f>
        <v>-0.226587432500495</v>
      </c>
      <c r="AG210" s="259">
        <f>IF(AND(ISNUMBER(AG196),ISNUMBER(AB196)),IF(AB196&gt;0,IFERROR(AG196/AB196-1,""),"n/m"),"")</f>
        <v>0.943545883761242</v>
      </c>
      <c r="AH210" s="259">
        <f>IF(AND(ISNUMBER(AH196),ISNUMBER(AC196)),IF(AC196&gt;0,IFERROR(AH196/AC196-1,""),"n/m"),"")</f>
        <v>0.663461215020062</v>
      </c>
      <c r="AI210" s="259">
        <f>IF(AND(ISNUMBER(AI196),ISNUMBER(AD196)),IF(AD196&gt;0,IFERROR(AI196/AD196-1,""),"n/m"),"")</f>
        <v>0.814896032442944</v>
      </c>
      <c r="AJ210" s="259">
        <f>IF(AND(ISNUMBER(AJ196),ISNUMBER(AE196)),IF(AE196&gt;0,IFERROR(AJ196/AE196-1,""),"n/m"),"")</f>
        <v>0.306260412821269</v>
      </c>
      <c r="AK210" s="259">
        <f>IF(AND(ISNUMBER(AK196),ISNUMBER(AF196)),IF(AF196&gt;0,IFERROR(AK196/AF196-1,""),"n/m"),"")</f>
        <v>0.318463591912348</v>
      </c>
      <c r="AL210" s="259">
        <f>IF(AND(ISNUMBER(AL196),ISNUMBER(AG196)),IF(AG196&gt;0,IFERROR(AL196/AG196-1,""),"n/m"),"")</f>
        <v>0.142365168440421</v>
      </c>
      <c r="AM210" s="259">
        <f>IF(AND(ISNUMBER(AM196),ISNUMBER(AH196)),IF(AH196&gt;0,IFERROR(AM196/AH196-1,""),"n/m"),"")</f>
        <v>0.329583694793079</v>
      </c>
      <c r="AN210" s="259">
        <f>IF(AND(ISNUMBER(AN196),ISNUMBER(AI196)),IF(AI196&gt;0,IFERROR(AN196/AI196-1,""),"n/m"),"")</f>
        <v>-0.131841141448682</v>
      </c>
      <c r="AO210" s="259">
        <f>IF(AND(ISNUMBER(AO196),ISNUMBER(AJ196)),IF(AJ196&gt;0,IFERROR(AO196/AJ196-1,""),"n/m"),"")</f>
        <v>-2.74486618988653</v>
      </c>
      <c r="AP210" s="259">
        <f>IF(AND(ISNUMBER(AP196),ISNUMBER(AK196)),IF(AK196&gt;0,IFERROR(AP196/AK196-1,""),"n/m"),"")</f>
        <v>-0.594301043299638</v>
      </c>
      <c r="AQ210" s="259">
        <f>IF(AND(ISNUMBER(AQ196),ISNUMBER(AL196)),IF(AL196&gt;0,IFERROR(AQ196/AL196-1,""),"n/m"),"")</f>
        <v>-1.42515323163803</v>
      </c>
      <c r="AR210" s="259">
        <f>IF(AND(ISNUMBER(AR196),ISNUMBER(AM196)),IF(AM196&gt;0,IFERROR(AR196/AM196-1,""),"n/m"),"")</f>
        <v>-1.2170109805145</v>
      </c>
      <c r="AS210" s="259">
        <f>IF(AND(ISNUMBER(AS196),ISNUMBER(AN196)),IF(AN196&gt;0,IFERROR(AS196/AN196-1,""),"n/m"),"")</f>
        <v>-1.53733453249744</v>
      </c>
      <c r="AT210" s="259" t="str">
        <f>IF(AND(ISNUMBER(AT196),ISNUMBER(AO196)),IF(AO196&gt;0,IFERROR(AT196/AO196-1,""),"n/m"),"")</f>
        <v>n/m</v>
      </c>
      <c r="AU210" s="259">
        <f>IF(AND(ISNUMBER(AU196),ISNUMBER(AP196)),IF(AP196&gt;0,IFERROR(AU196/AP196-1,""),"n/m"),"")</f>
        <v>-1.9547844948826</v>
      </c>
      <c r="AV210" s="259" t="str">
        <f>IF(AND(ISNUMBER(AV196),ISNUMBER(AQ196)),IF(AQ196&gt;0,IFERROR(AV196/AQ196-1,""),"n/m"),"")</f>
        <v>n/m</v>
      </c>
      <c r="AW210" s="259" t="str">
        <f>IF(AND(ISNUMBER(AW196),ISNUMBER(AR196)),IF(AR196&gt;0,IFERROR(AW196/AR196-1,""),"n/m"),"")</f>
        <v>n/m</v>
      </c>
      <c r="AX210" s="259" t="str">
        <f>IF(AND(ISNUMBER(AX196),ISNUMBER(AS196)),IF(AS196&gt;0,IFERROR(AX196/AS196-1,""),"n/m"),"")</f>
        <v>n/m</v>
      </c>
      <c r="AY210" s="259" t="str">
        <f>IF(AND(ISNUMBER(AY196),ISNUMBER(AT196)),IF(AT196&gt;0,IFERROR(AY196/AT196-1,""),"n/m"),"")</f>
        <v>n/m</v>
      </c>
      <c r="AZ210" s="259" t="str">
        <f>IF(AND(ISNUMBER(AZ196),ISNUMBER(AU196)),IF(AU196&gt;0,IFERROR(AZ196/AU196-1,""),"n/m"),"")</f>
        <v>n/m</v>
      </c>
      <c r="BA210" s="259" t="str">
        <f>IF(AND(ISNUMBER(BA196),ISNUMBER(AV196)),IF(AV196&gt;0,IFERROR(BA196/AV196-1,""),"n/m"),"")</f>
        <v>n/m</v>
      </c>
      <c r="BB210" s="259" t="str">
        <f>IF(AND(ISNUMBER(BB196),ISNUMBER(AW196)),IF(AW196&gt;0,IFERROR(BB196/AW196-1,""),"n/m"),"")</f>
        <v>n/m</v>
      </c>
      <c r="BC210" s="259" t="str">
        <f>IF(AND(ISNUMBER(BC196),ISNUMBER(AX196)),IF(AX196&gt;0,IFERROR(BC196/AX196-1,""),"n/m"),"")</f>
        <v>n/m</v>
      </c>
      <c r="BD210" s="259">
        <f>IF(AND(ISNUMBER(BD196),ISNUMBER(AY196)),IF(AY196&gt;0,IFERROR(BD196/AY196-1,""),"n/m"),"")</f>
        <v>-1.92164863285579</v>
      </c>
      <c r="BE210" s="259" t="str">
        <f>IF(AND(ISNUMBER(BE196),ISNUMBER(AZ196)),IF(AZ196&gt;0,IFERROR(BE196/AZ196-1,""),"n/m"),"")</f>
        <v>n/m</v>
      </c>
      <c r="BF210" s="259" t="str">
        <f>IF(AND(ISNUMBER(BF196),ISNUMBER(BA196)),IF(BA196&gt;0,IFERROR(BF196/BA196-1,""),"n/m"),"")</f>
        <v>n/m</v>
      </c>
      <c r="BG210" s="259" t="str">
        <f>IF(AND(ISNUMBER(BG196),ISNUMBER(BB196)),IF(BB196&gt;0,IFERROR(BG196/BB196-1,""),"n/m"),"")</f>
        <v>n/m</v>
      </c>
      <c r="BH210" s="259" t="str">
        <f>IF(AND(ISNUMBER(BH196),ISNUMBER(BC196)),IF(BC196&gt;0,IFERROR(BH196/BC196-1,""),"n/m"),"")</f>
        <v>n/m</v>
      </c>
      <c r="BI210" s="259" t="str">
        <f>IF(AND(ISNUMBER(BI196),ISNUMBER(BD196)),IF(BD196&gt;0,IFERROR(BI196/BD196-1,""),"n/m"),"")</f>
        <v>n/m</v>
      </c>
      <c r="BJ210" s="259" t="str">
        <f>IF(AND(ISNUMBER(BJ196),ISNUMBER(BE196)),IF(BE196&gt;0,IFERROR(BJ196/BE196-1,""),"n/m"),"")</f>
        <v>n/m</v>
      </c>
      <c r="BK210" s="259" t="str">
        <f>IF(AND(ISNUMBER(BK196),ISNUMBER(BF196)),IF(BF196&gt;0,IFERROR(BK196/BF196-1,""),"n/m"),"")</f>
        <v>n/m</v>
      </c>
      <c r="BL210" s="259" t="str">
        <f>IF(AND(ISNUMBER(BL196),ISNUMBER(BG196)),IF(BG196&gt;0,IFERROR(BL196/BG196-1,""),"n/m"),"")</f>
        <v>n/m</v>
      </c>
      <c r="BM210" s="259" t="str">
        <f>IF(AND(ISNUMBER(BM196),ISNUMBER(BH196)),IF(BH196&gt;0,IFERROR(BM196/BH196-1,""),"n/m"),"")</f>
        <v>n/m</v>
      </c>
      <c r="BN210" s="259" t="str">
        <f>IF(AND(ISNUMBER(BN196),ISNUMBER(BI196)),IF(BI196&gt;0,IFERROR(BN196/BI196-1,""),"n/m"),"")</f>
        <v>n/m</v>
      </c>
      <c r="BO210" s="259" t="str">
        <f>IF(AND(ISNUMBER(BO196),ISNUMBER(BJ196)),IF(BJ196&gt;0,IFERROR(BO196/BJ196-1,""),"n/m"),"")</f>
        <v>n/m</v>
      </c>
      <c r="BP210" s="259" t="str">
        <f>IF(AND(ISNUMBER(BP196),ISNUMBER(BK196)),IF(BK196&gt;0,IFERROR(BP196/BK196-1,""),"n/m"),"")</f>
        <v>n/m</v>
      </c>
      <c r="BQ210" s="259" t="str">
        <f>IF(AND(ISNUMBER(BQ196),ISNUMBER(BL196)),IF(BL196&gt;0,IFERROR(BQ196/BL196-1,""),"n/m"),"")</f>
        <v>n/m</v>
      </c>
      <c r="BR210" s="259" t="str">
        <f>IF(AND(ISNUMBER(BR196),ISNUMBER(BM196)),IF(BM196&gt;0,IFERROR(BR196/BM196-1,""),"n/m"),"")</f>
        <v>n/m</v>
      </c>
      <c r="BS210" s="259" t="str">
        <f>IF(AND(ISNUMBER(BS196),ISNUMBER(BN196)),IF(BN196&gt;0,IFERROR(BS196/BN196-1,""),"n/m"),"")</f>
        <v>n/m</v>
      </c>
      <c r="BT210" s="259" t="str">
        <f>IF(AND(ISNUMBER(BT196),ISNUMBER(BO196)),IF(BO196&gt;0,IFERROR(BT196/BO196-1,""),"n/m"),"")</f>
        <v>n/m</v>
      </c>
      <c r="BU210" s="259" t="str">
        <f>IF(AND(ISNUMBER(BU196),ISNUMBER(BP196)),IF(BP196&gt;0,IFERROR(BU196/BP196-1,""),"n/m"),"")</f>
        <v>n/m</v>
      </c>
      <c r="BV210" s="259" t="str">
        <f>IF(AND(ISNUMBER(BV196),ISNUMBER(BQ196)),IF(BQ196&gt;0,IFERROR(BV196/BQ196-1,""),"n/m"),"")</f>
        <v>n/m</v>
      </c>
      <c r="BW210" s="259" t="str">
        <f>IF(AND(ISNUMBER(BW196),ISNUMBER(BR196)),IF(BR196&gt;0,IFERROR(BW196/BR196-1,""),"n/m"),"")</f>
        <v>n/m</v>
      </c>
      <c r="BX210" s="259" t="str">
        <f>IF(AND(ISNUMBER(BX196),ISNUMBER(BS196)),IF(BS196&gt;0,IFERROR(BX196/BS196-1,""),"n/m"),"")</f>
        <v>n/m</v>
      </c>
      <c r="BY210" s="260" t="str">
        <f>IF(AND(ISNUMBER(BY196),ISNUMBER(BT196)),IF(BT196&gt;0,IFERROR(BY196/BT196-1,""),"n/m"),"")</f>
        <v>n/m</v>
      </c>
      <c r="BZ210" s="260">
        <f>IF(AND(ISNUMBER(BZ196),ISNUMBER(BU196)),IF(BU196&gt;0,IFERROR(BZ196/BU196-1,""),"n/m"),"")</f>
        <v>-0.996409946661103</v>
      </c>
      <c r="CA210" s="260">
        <f>IF(AND(ISNUMBER(CA196),ISNUMBER(BV196)),IF(BV196&gt;0,IFERROR(CA196/BV196-1,""),"n/m"),"")</f>
        <v>-1.73716725325485</v>
      </c>
      <c r="CB210" s="260" t="str">
        <f>IF(AND(ISNUMBER(CB196),ISNUMBER(CA196)),IF(CA196&gt;0,IFERROR(CB196/CA196-1,""),"n/m"),"")</f>
        <v>n/m</v>
      </c>
      <c r="CC210" s="260">
        <f>IF(AND(ISNUMBER(CC196),ISNUMBER(CB196)),IF(CB196&gt;0,IFERROR(CC196/CB196-1,""),"n/m"),"")</f>
        <v>0.71876665859481</v>
      </c>
      <c r="CD210" s="260">
        <f>IF(AND(ISNUMBER(CD196),ISNUMBER(CC196)),IF(CC196&gt;0,IFERROR(CD196/CC196-1,""),"n/m"),"")</f>
        <v>0.456578780562441</v>
      </c>
      <c r="CE210" s="260">
        <f>IF(AND(ISNUMBER(CE196),ISNUMBER(CD196)),IF(CD196&gt;0,IFERROR(CE196/CD196-1,""),"n/m"),"")</f>
        <v>0.24419834366052</v>
      </c>
      <c r="CF210" s="260">
        <f>IF(AND(ISNUMBER(CF196),ISNUMBER(CE196)),IF(CE196&gt;0,IFERROR(CF196/CE196-1,""),"n/m"),"")</f>
        <v>0.160946419992612</v>
      </c>
      <c r="CG210" s="153" t="n"/>
    </row>
    <row r="211" ht="15" customHeight="1" s="251">
      <c r="B211" s="25" t="inlineStr">
        <is>
          <t xml:space="preserve">  Gross margin %</t>
        </is>
      </c>
      <c r="C211" s="215">
        <f>IF(AND(ISNUMBER(C121),ISNUMBER(C117)),IFERROR(C121/C117,""),"")</f>
        <v>0.180286039330408</v>
      </c>
      <c r="D211" s="215">
        <f>IF(AND(ISNUMBER(D121),ISNUMBER(D117)),IFERROR(D121/D117,""),"")</f>
        <v>0.195595523219908</v>
      </c>
      <c r="E211" s="215">
        <f>IF(AND(ISNUMBER(E121),ISNUMBER(E117)),IFERROR(E121/E117,""),"")</f>
        <v>0.173902338941321</v>
      </c>
      <c r="F211" s="215">
        <f>IF(AND(ISNUMBER(F121),ISNUMBER(F117)),IFERROR(F121/F117,""),"")</f>
        <v>0.171951201651997</v>
      </c>
      <c r="G211" s="215">
        <f>IF(AND(ISNUMBER(G121),ISNUMBER(G117)),IFERROR(G121/G117,""),"")</f>
        <v>0.193807731782415</v>
      </c>
      <c r="H211" s="215">
        <f>IF(AND(ISNUMBER(H121),ISNUMBER(H117)),IFERROR(H121/H117,""),"")</f>
        <v>0.187211755292064</v>
      </c>
      <c r="I211" s="215">
        <f>IF(AND(ISNUMBER(I121),ISNUMBER(I117)),IFERROR(I121/I117,""),"")</f>
        <v>0.159783593233617</v>
      </c>
      <c r="J211" s="215">
        <f>IF(AND(ISNUMBER(J121),ISNUMBER(J117)),IFERROR(J121/J117,""),"")</f>
        <v>0.166040332398243</v>
      </c>
      <c r="K211" s="215">
        <f>IF(AND(ISNUMBER(K121),ISNUMBER(K117)),IFERROR(K121/K117,""),"")</f>
        <v>0.154251661700665</v>
      </c>
      <c r="L211" s="215">
        <f>IF(AND(ISNUMBER(L121),ISNUMBER(L117)),IFERROR(L121/L117,""),"")</f>
        <v>0.156168097605061</v>
      </c>
      <c r="M211" s="215">
        <f>IF(AND(ISNUMBER(M121),ISNUMBER(M117)),IFERROR(M121/M117,""),"")</f>
        <v>0.142821105738911</v>
      </c>
      <c r="N211" s="215">
        <f>IF(AND(ISNUMBER(N121),ISNUMBER(N117)),IFERROR(N121/N117,""),"")</f>
        <v>0.154173833739307</v>
      </c>
      <c r="O211" s="215">
        <f>IF(AND(ISNUMBER(O121),ISNUMBER(O117)),IFERROR(O121/O117,""),"")</f>
        <v>0.154849743464452</v>
      </c>
      <c r="P211" s="215">
        <f>IF(AND(ISNUMBER(P121),ISNUMBER(P117)),IFERROR(P121/P117,""),"")</f>
        <v>0.153095940122477</v>
      </c>
      <c r="Q211" s="215">
        <f>IF(AND(ISNUMBER(Q121),ISNUMBER(Q117)),IFERROR(Q121/Q117,""),"")</f>
        <v>0.155945173225698</v>
      </c>
      <c r="R211" s="215">
        <f>IF(AND(ISNUMBER(R121),ISNUMBER(R117)),IFERROR(R121/R117,""),"")</f>
        <v>0.153547490599967</v>
      </c>
      <c r="S211" s="215">
        <f>IF(AND(ISNUMBER(S121),ISNUMBER(S117)),IFERROR(S121/S117,""),"")</f>
        <v>0.154359754082105</v>
      </c>
      <c r="T211" s="215">
        <f>IF(AND(ISNUMBER(T121),ISNUMBER(T117)),IFERROR(T121/T117,""),"")</f>
        <v>0.164928439207188</v>
      </c>
      <c r="U211" s="215">
        <f>IF(AND(ISNUMBER(U121),ISNUMBER(U117)),IFERROR(U121/U117,""),"")</f>
        <v>0.130098195004686</v>
      </c>
      <c r="V211" s="215">
        <f>IF(AND(ISNUMBER(V121),ISNUMBER(V117)),IFERROR(V121/V117,""),"")</f>
        <v>0.164377732214012</v>
      </c>
      <c r="W211" s="215">
        <f>IF(AND(ISNUMBER(W121),ISNUMBER(W117)),IFERROR(W121/W117,""),"")</f>
        <v>0.124337165401094</v>
      </c>
      <c r="X211" s="215">
        <f>IF(AND(ISNUMBER(X121),ISNUMBER(X117)),IFERROR(X121/X117,""),"")</f>
        <v>0.145930873754084</v>
      </c>
      <c r="Y211" s="215">
        <f>IF(AND(ISNUMBER(Y121),ISNUMBER(Y117)),IFERROR(Y121/Y117,""),"")</f>
        <v>0.156194768469424</v>
      </c>
      <c r="Z211" s="215">
        <f>IF(AND(ISNUMBER(Z121),ISNUMBER(Z117)),IFERROR(Z121/Z117,""),"")</f>
        <v>0.0981619874772773</v>
      </c>
      <c r="AA211" s="215">
        <f>IF(AND(ISNUMBER(AA121),ISNUMBER(AA117)),IFERROR(AA121/AA117,""),"")</f>
        <v>0.167126956230647</v>
      </c>
      <c r="AB211" s="215">
        <f>IF(AND(ISNUMBER(AB121),ISNUMBER(AB117)),IFERROR(AB121/AB117,""),"")</f>
        <v>0.16413295542386</v>
      </c>
      <c r="AC211" s="215">
        <f>IF(AND(ISNUMBER(AC121),ISNUMBER(AC117)),IFERROR(AC121/AC117,""),"")</f>
        <v>0.145721204174641</v>
      </c>
      <c r="AD211" s="215">
        <f>IF(AND(ISNUMBER(AD121),ISNUMBER(AD117)),IFERROR(AD121/AD117,""),"")</f>
        <v>0.176964149504195</v>
      </c>
      <c r="AE211" s="215">
        <f>IF(AND(ISNUMBER(AE121),ISNUMBER(AE117)),IFERROR(AE121/AE117,""),"")</f>
        <v>0.191345265842825</v>
      </c>
      <c r="AF211" s="215">
        <f>IF(AND(ISNUMBER(AF121),ISNUMBER(AF117)),IFERROR(AF121/AF117,""),"")</f>
        <v>0.177794232588753</v>
      </c>
      <c r="AG211" s="215">
        <f>IF(AND(ISNUMBER(AG121),ISNUMBER(AG117)),IFERROR(AG121/AG117,""),"")</f>
        <v>0.194772942289499</v>
      </c>
      <c r="AH211" s="215">
        <f>IF(AND(ISNUMBER(AH121),ISNUMBER(AH117)),IFERROR(AH121/AH117,""),"")</f>
        <v>0.185519102278568</v>
      </c>
      <c r="AI211" s="215">
        <f>IF(AND(ISNUMBER(AI121),ISNUMBER(AI117)),IFERROR(AI121/AI117,""),"")</f>
        <v>0.194936275767685</v>
      </c>
      <c r="AJ211" s="215">
        <f>IF(AND(ISNUMBER(AJ121),ISNUMBER(AJ117)),IFERROR(AJ121/AJ117,""),"")</f>
        <v>0.194657432599555</v>
      </c>
      <c r="AK211" s="215">
        <f>IF(AND(ISNUMBER(AK121),ISNUMBER(AK117)),IFERROR(AK121/AK117,""),"")</f>
        <v>0.163286407380896</v>
      </c>
      <c r="AL211" s="215">
        <f>IF(AND(ISNUMBER(AL121),ISNUMBER(AL117)),IFERROR(AL121/AL117,""),"")</f>
        <v>0.220563847429519</v>
      </c>
      <c r="AM211" s="215">
        <f>IF(AND(ISNUMBER(AM121),ISNUMBER(AM117)),IFERROR(AM121/AM117,""),"")</f>
        <v>0.194181573664798</v>
      </c>
      <c r="AN211" s="215">
        <f>IF(AND(ISNUMBER(AN121),ISNUMBER(AN117)),IFERROR(AN121/AN117,""),"")</f>
        <v>0.186411834009687</v>
      </c>
      <c r="AO211" s="215">
        <f>IF(AND(ISNUMBER(AO121),ISNUMBER(AO117)),IFERROR(AO121/AO117,""),"")</f>
        <v>-0.130721858929592</v>
      </c>
      <c r="AP211" s="215">
        <f>IF(AND(ISNUMBER(AP121),ISNUMBER(AP117)),IFERROR(AP121/AP117,""),"")</f>
        <v>0.152652652652653</v>
      </c>
      <c r="AQ211" s="215">
        <f>IF(AND(ISNUMBER(AQ121),ISNUMBER(AQ117)),IFERROR(AQ121/AQ117,""),"")</f>
        <v>-0.0444977946513316</v>
      </c>
      <c r="AR211" s="215">
        <f>IF(AND(ISNUMBER(AR121),ISNUMBER(AR117)),IFERROR(AR121/AR117,""),"")</f>
        <v>0.0583340952729268</v>
      </c>
      <c r="AS211" s="215">
        <f>IF(AND(ISNUMBER(AS121),ISNUMBER(AS117)),IFERROR(AS121/AS117,""),"")</f>
        <v>0.00828010409273717</v>
      </c>
      <c r="AT211" s="215">
        <f>IF(AND(ISNUMBER(AT121),ISNUMBER(AT117)),IFERROR(AT121/AT117,""),"")</f>
        <v>-0.099178453459812</v>
      </c>
      <c r="AU211" s="215">
        <f>IF(AND(ISNUMBER(AU121),ISNUMBER(AU117)),IFERROR(AU121/AU117,""),"")</f>
        <v>0.0731310559445505</v>
      </c>
      <c r="AV211" s="215">
        <f>IF(AND(ISNUMBER(AV121),ISNUMBER(AV117)),IFERROR(AV121/AV117,""),"")</f>
        <v>-0.371667537898589</v>
      </c>
      <c r="AW211" s="215">
        <f>IF(AND(ISNUMBER(AW121),ISNUMBER(AW117)),IFERROR(AW121/AW117,""),"")</f>
        <v>-0.0977509542969153</v>
      </c>
      <c r="AX211" s="215">
        <f>IF(AND(ISNUMBER(AX121),ISNUMBER(AX117)),IFERROR(AX121/AX117,""),"")</f>
        <v>0.0925938095551029</v>
      </c>
      <c r="AY211" s="215">
        <f>IF(AND(ISNUMBER(AY121),ISNUMBER(AY117)),IFERROR(AY121/AY117,""),"")</f>
        <v>0.141781386045417</v>
      </c>
      <c r="AZ211" s="215">
        <f>IF(AND(ISNUMBER(AZ121),ISNUMBER(AZ117)),IFERROR(AZ121/AZ117,""),"")</f>
        <v>0.1120565519047</v>
      </c>
      <c r="BA211" s="215">
        <f>IF(AND(ISNUMBER(BA121),ISNUMBER(BA117)),IFERROR(BA121/BA117,""),"")</f>
        <v>-0.169945244372338</v>
      </c>
      <c r="BB211" s="215">
        <f>IF(AND(ISNUMBER(BB121),ISNUMBER(BB117)),IFERROR(BB121/BB117,""),"")</f>
        <v>0.0484378512025174</v>
      </c>
      <c r="BC211" s="215">
        <f>IF(AND(ISNUMBER(BC121),ISNUMBER(BC117)),IFERROR(BC121/BC117,""),"")</f>
        <v>0.0247301836895147</v>
      </c>
      <c r="BD211" s="215">
        <f>IF(AND(ISNUMBER(BD121),ISNUMBER(BD117)),IFERROR(BD121/BD117,""),"")</f>
        <v>0.127210598884959</v>
      </c>
      <c r="BE211" s="215">
        <f>IF(AND(ISNUMBER(BE121),ISNUMBER(BE117)),IFERROR(BE121/BE117,""),"")</f>
        <v>-0.0515166708448233</v>
      </c>
      <c r="BF211" s="215">
        <f>IF(AND(ISNUMBER(BF121),ISNUMBER(BF117)),IFERROR(BF121/BF117,""),"")</f>
        <v>0.0928928928928929</v>
      </c>
      <c r="BG211" s="215">
        <f>IF(AND(ISNUMBER(BG121),ISNUMBER(BG117)),IFERROR(BG121/BG117,""),"")</f>
        <v>0.0525762671150613</v>
      </c>
      <c r="BH211" s="215">
        <f>IF(AND(ISNUMBER(BH121),ISNUMBER(BH117)),IFERROR(BH121/BH117,""),"")</f>
        <v>0.107304279895095</v>
      </c>
      <c r="BI211" s="215">
        <f>IF(AND(ISNUMBER(BI121),ISNUMBER(BI117)),IFERROR(BI121/BI117,""),"")</f>
        <v>0.0981722444433193</v>
      </c>
      <c r="BJ211" s="215">
        <f>IF(AND(ISNUMBER(BJ121),ISNUMBER(BJ117)),IFERROR(BJ121/BJ117,""),"")</f>
        <v>0.06435041979673</v>
      </c>
      <c r="BK211" s="215">
        <f>IF(AND(ISNUMBER(BK121),ISNUMBER(BK117)),IFERROR(BK121/BK117,""),"")</f>
        <v>0.122490689435916</v>
      </c>
      <c r="BL211" s="215">
        <f>IF(AND(ISNUMBER(BL121),ISNUMBER(BL117)),IFERROR(BL121/BL117,""),"")</f>
        <v>0.0992878628171838</v>
      </c>
      <c r="BM211" s="215">
        <f>IF(AND(ISNUMBER(BM121),ISNUMBER(BM117)),IFERROR(BM121/BM117,""),"")</f>
        <v>0.113223489649345</v>
      </c>
      <c r="BN211" s="215">
        <f>IF(AND(ISNUMBER(BN121),ISNUMBER(BN117)),IFERROR(BN121/BN117,""),"")</f>
        <v>0.0728684928258034</v>
      </c>
      <c r="BO211" s="215">
        <f>IF(AND(ISNUMBER(BO121),ISNUMBER(BO117)),IFERROR(BO121/BO117,""),"")</f>
        <v>-0.196580717488789</v>
      </c>
      <c r="BP211" s="215">
        <f>IF(AND(ISNUMBER(BP121),ISNUMBER(BP117)),IFERROR(BP121/BP117,""),"")</f>
        <v>-0.10425141057604</v>
      </c>
      <c r="BQ211" s="215">
        <f>IF(AND(ISNUMBER(BQ121),ISNUMBER(BQ117)),IFERROR(BQ121/BQ117,""),"")</f>
        <v>-0.0299321977840251</v>
      </c>
      <c r="BR211" s="215">
        <f>IF(AND(ISNUMBER(BR121),ISNUMBER(BR117)),IFERROR(BR121/BR117,""),"")</f>
        <v>0.123974148543291</v>
      </c>
      <c r="BS211" s="215">
        <f>IF(AND(ISNUMBER(BS121),ISNUMBER(BS117)),IFERROR(BS121/BS117,""),"")</f>
        <v>0.107037671985582</v>
      </c>
      <c r="BT211" s="215">
        <f>IF(AND(ISNUMBER(BT121),ISNUMBER(BT117)),IFERROR(BT121/BT117,""),"")</f>
        <v>-0.102062741727546</v>
      </c>
      <c r="BU211" s="215">
        <f>IF(AND(ISNUMBER(BU121),ISNUMBER(BU117)),IFERROR(BU121/BU117,""),"")</f>
        <v>0.0756639385334892</v>
      </c>
      <c r="BV211" s="215">
        <f>IF(AND(ISNUMBER(BV121),ISNUMBER(BV117)),IFERROR(BV121/BV117,""),"")</f>
        <v>0.0479416071448532</v>
      </c>
      <c r="BW211" s="215">
        <f>IF(AND(ISNUMBER(BW121),ISNUMBER(BW117)),IFERROR(BW121/BW117,""),"")</f>
        <v>0.114596930278615</v>
      </c>
      <c r="BX211" s="215">
        <f>IF(AND(ISNUMBER(BX121),ISNUMBER(BX117)),IFERROR(BX121/BX117,""),"")</f>
        <v>0.0982899022801303</v>
      </c>
      <c r="BY211" s="260">
        <f>IF(AND(ISNUMBER(BY121),ISNUMBER(BY117)),IFERROR(BY121/BY117,""),"")</f>
        <v>0.123999534011493</v>
      </c>
      <c r="BZ211" s="260">
        <f>IF(AND(ISNUMBER(BZ121),ISNUMBER(BZ117)),IFERROR(BZ121/BZ117,""),"")</f>
        <v>0.122992182080439</v>
      </c>
      <c r="CA211" s="260">
        <f>IF(AND(ISNUMBER(CA121),ISNUMBER(CA117)),IFERROR(CA121/CA117,""),"")</f>
        <v>0.115096676419927</v>
      </c>
      <c r="CB211" s="260">
        <f>IF(AND(ISNUMBER(CB121),ISNUMBER(CB117)),IFERROR(CB121/CB117,""),"")</f>
        <v>0.154066324502033</v>
      </c>
      <c r="CC211" s="260">
        <f>IF(AND(ISNUMBER(CC121),ISNUMBER(CC117)),IFERROR(CC121/CC117,""),"")</f>
        <v>0.170374258076523</v>
      </c>
      <c r="CD211" s="260">
        <f>IF(AND(ISNUMBER(CD121),ISNUMBER(CD117)),IFERROR(CD121/CD117,""),"")</f>
        <v>0.186288781054908</v>
      </c>
      <c r="CE211" s="260">
        <f>IF(AND(ISNUMBER(CE121),ISNUMBER(CE117)),IFERROR(CE121/CE117,""),"")</f>
        <v>0.19724889206117</v>
      </c>
      <c r="CF211" s="260">
        <f>IF(AND(ISNUMBER(CF121),ISNUMBER(CF117)),IFERROR(CF121/CF117,""),"")</f>
        <v>0.202867573685647</v>
      </c>
      <c r="CG211" s="153" t="n"/>
      <c r="CI211" s="37">
        <f>IFERROR(AVERAGE(CB211,CC211,CD211,CE211,CF211),"n/m")</f>
        <v>0.182169165876056</v>
      </c>
      <c r="CJ211" s="37">
        <f>IFERROR(AVERAGE(BB211,BG211,BL211,BQ211,BV211),"n/m")</f>
        <v>0.0436622780991181</v>
      </c>
      <c r="CK211" s="37">
        <f>IFERROR(AVERAGE(AC211,AH211,AM211,AR211,AW211,BB211,BG211,BL211,BQ211,BV211),"n/m")</f>
        <v>0.0704316411589609</v>
      </c>
      <c r="CL211" s="37">
        <f>IFERROR(AVERAGE(C211,D211,E211,F211,G211,H211,I211,N211,S211,X211,AC211,AH211,AM211,AR211,AW211,BB211,BG211,BL211,BQ211,BV211),"n/m")</f>
        <v>0.121065952830842</v>
      </c>
    </row>
    <row r="212" ht="15" customHeight="1" s="251">
      <c r="B212" s="25" t="inlineStr">
        <is>
          <t xml:space="preserve">  Core operating margin %</t>
        </is>
      </c>
      <c r="C212" s="215">
        <f>IF(AND(ISNUMBER(C161),ISNUMBER(C117)),IFERROR(C161/C117,""),"")</f>
        <v>0.0489842353323582</v>
      </c>
      <c r="D212" s="215">
        <f>IF(AND(ISNUMBER(D161),ISNUMBER(D117)),IFERROR(D161/D117,""),"")</f>
        <v>0.0981517465768901</v>
      </c>
      <c r="E212" s="215">
        <f>IF(AND(ISNUMBER(E161),ISNUMBER(E117)),IFERROR(E161/E117,""),"")</f>
        <v>0.0701682396389003</v>
      </c>
      <c r="F212" s="215">
        <f>IF(AND(ISNUMBER(F161),ISNUMBER(F117)),IFERROR(F161/F117,""),"")</f>
        <v>0.0304477087330297</v>
      </c>
      <c r="G212" s="215">
        <f>IF(AND(ISNUMBER(G161),ISNUMBER(G117)),IFERROR(G161/G117,""),"")</f>
        <v>0.0773800267471154</v>
      </c>
      <c r="H212" s="215">
        <f>IF(AND(ISNUMBER(H161),ISNUMBER(H117)),IFERROR(H161/H117,""),"")</f>
        <v>0.0925438277442351</v>
      </c>
      <c r="I212" s="215">
        <f>IF(AND(ISNUMBER(I161),ISNUMBER(I117)),IFERROR(I161/I117,""),"")</f>
        <v>0.0882518543905604</v>
      </c>
      <c r="J212" s="215">
        <f>IF(AND(ISNUMBER(J161),ISNUMBER(J117)),IFERROR(J161/J117,""),"")</f>
        <v>0.0988196686603504</v>
      </c>
      <c r="K212" s="215">
        <f>IF(AND(ISNUMBER(K161),ISNUMBER(K117)),IFERROR(K161/K117,""),"")</f>
        <v>0.0929635571854229</v>
      </c>
      <c r="L212" s="215">
        <f>IF(AND(ISNUMBER(L161),ISNUMBER(L117)),IFERROR(L161/L117,""),"")</f>
        <v>0.0968368730230456</v>
      </c>
      <c r="M212" s="215">
        <f>IF(AND(ISNUMBER(M161),ISNUMBER(M117)),IFERROR(M161/M117,""),"")</f>
        <v>0.0772755938616775</v>
      </c>
      <c r="N212" s="215">
        <f>IF(AND(ISNUMBER(N161),ISNUMBER(N117)),IFERROR(N161/N117,""),"")</f>
        <v>0.0909227341468201</v>
      </c>
      <c r="O212" s="215">
        <f>IF(AND(ISNUMBER(O161),ISNUMBER(O117)),IFERROR(O161/O117,""),"")</f>
        <v>0.102369899828976</v>
      </c>
      <c r="P212" s="215">
        <f>IF(AND(ISNUMBER(P161),ISNUMBER(P117)),IFERROR(P161/P117,""),"")</f>
        <v>0.0903152642322522</v>
      </c>
      <c r="Q212" s="215">
        <f>IF(AND(ISNUMBER(Q161),ISNUMBER(Q117)),IFERROR(Q161/Q117,""),"")</f>
        <v>0.102169525731584</v>
      </c>
      <c r="R212" s="215">
        <f>IF(AND(ISNUMBER(R161),ISNUMBER(R117)),IFERROR(R161/R117,""),"")</f>
        <v>0.0957985940820664</v>
      </c>
      <c r="S212" s="215">
        <f>IF(AND(ISNUMBER(S161),ISNUMBER(S117)),IFERROR(S161/S117,""),"")</f>
        <v>0.0976179458363632</v>
      </c>
      <c r="T212" s="215">
        <f>IF(AND(ISNUMBER(T161),ISNUMBER(T117)),IFERROR(T161/T117,""),"")</f>
        <v>0.0962571673664725</v>
      </c>
      <c r="U212" s="215">
        <f>IF(AND(ISNUMBER(U161),ISNUMBER(U117)),IFERROR(U161/U117,""),"")</f>
        <v>0.0697958684757365</v>
      </c>
      <c r="V212" s="215">
        <f>IF(AND(ISNUMBER(V161),ISNUMBER(V117)),IFERROR(V161/V117,""),"")</f>
        <v>0.102015551858873</v>
      </c>
      <c r="W212" s="215">
        <f>IF(AND(ISNUMBER(W161),ISNUMBER(W117)),IFERROR(W161/W117,""),"")</f>
        <v>0.0534085606414118</v>
      </c>
      <c r="X212" s="215">
        <f>IF(AND(ISNUMBER(X161),ISNUMBER(X117)),IFERROR(X161/X117,""),"")</f>
        <v>0.0805397756830431</v>
      </c>
      <c r="Y212" s="215">
        <f>IF(AND(ISNUMBER(Y161),ISNUMBER(Y117)),IFERROR(Y161/Y117,""),"")</f>
        <v>0.0748497702368328</v>
      </c>
      <c r="Z212" s="215">
        <f>IF(AND(ISNUMBER(Z161),ISNUMBER(Z117)),IFERROR(Z161/Z117,""),"")</f>
        <v>-0.019713189254696</v>
      </c>
      <c r="AA212" s="215">
        <f>IF(AND(ISNUMBER(AA161),ISNUMBER(AA117)),IFERROR(AA161/AA117,""),"")</f>
        <v>0.0918068457611516</v>
      </c>
      <c r="AB212" s="215">
        <f>IF(AND(ISNUMBER(AB161),ISNUMBER(AB117)),IFERROR(AB161/AB117,""),"")</f>
        <v>0.0886369492398866</v>
      </c>
      <c r="AC212" s="215">
        <f>IF(AND(ISNUMBER(AC161),ISNUMBER(AC117)),IFERROR(AC161/AC117,""),"")</f>
        <v>0.0577766968732487</v>
      </c>
      <c r="AD212" s="215">
        <f>IF(AND(ISNUMBER(AD161),ISNUMBER(AD117)),IFERROR(AD161/AD117,""),"")</f>
        <v>0.0814740655987796</v>
      </c>
      <c r="AE212" s="215">
        <f>IF(AND(ISNUMBER(AE161),ISNUMBER(AE117)),IFERROR(AE161/AE117,""),"")</f>
        <v>0.0972778046527992</v>
      </c>
      <c r="AF212" s="215">
        <f>IF(AND(ISNUMBER(AF161),ISNUMBER(AF117)),IFERROR(AF161/AF117,""),"")</f>
        <v>0.0976181661113168</v>
      </c>
      <c r="AG212" s="215">
        <f>IF(AND(ISNUMBER(AG161),ISNUMBER(AG117)),IFERROR(AG161/AG117,""),"")</f>
        <v>0.105487228003784</v>
      </c>
      <c r="AH212" s="215">
        <f>IF(AND(ISNUMBER(AH161),ISNUMBER(AH117)),IFERROR(AH161/AH117,""),"")</f>
        <v>0.0960467706013363</v>
      </c>
      <c r="AI212" s="215">
        <f>IF(AND(ISNUMBER(AI161),ISNUMBER(AI117)),IFERROR(AI161/AI117,""),"")</f>
        <v>0.107347532289796</v>
      </c>
      <c r="AJ212" s="215">
        <f>IF(AND(ISNUMBER(AJ161),ISNUMBER(AJ117)),IFERROR(AJ161/AJ117,""),"")</f>
        <v>0.0986478687443318</v>
      </c>
      <c r="AK212" s="215">
        <f>IF(AND(ISNUMBER(AK161),ISNUMBER(AK117)),IFERROR(AK161/AK117,""),"")</f>
        <v>0.0751610594130279</v>
      </c>
      <c r="AL212" s="215">
        <f>IF(AND(ISNUMBER(AL161),ISNUMBER(AL117)),IFERROR(AL161/AL117,""),"")</f>
        <v>0.136445432412406</v>
      </c>
      <c r="AM212" s="215">
        <f>IF(AND(ISNUMBER(AM161),ISNUMBER(AM117)),IFERROR(AM161/AM117,""),"")</f>
        <v>0.105412006684664</v>
      </c>
      <c r="AN212" s="215">
        <f>IF(AND(ISNUMBER(AN161),ISNUMBER(AN117)),IFERROR(AN161/AN117,""),"")</f>
        <v>0.0866605576646158</v>
      </c>
      <c r="AO212" s="215">
        <f>IF(AND(ISNUMBER(AO161),ISNUMBER(AO117)),IFERROR(AO161/AO117,""),"")</f>
        <v>-0.237762681734493</v>
      </c>
      <c r="AP212" s="215">
        <f>IF(AND(ISNUMBER(AP161),ISNUMBER(AP117)),IFERROR(AP161/AP117,""),"")</f>
        <v>0.0447947947947948</v>
      </c>
      <c r="AQ212" s="215">
        <f>IF(AND(ISNUMBER(AQ161),ISNUMBER(AQ117)),IFERROR(AQ161/AQ117,""),"")</f>
        <v>-0.14103065155491</v>
      </c>
      <c r="AR212" s="215">
        <f>IF(AND(ISNUMBER(AR161),ISNUMBER(AR117)),IFERROR(AR161/AR117,""),"")</f>
        <v>-0.0442795752295615</v>
      </c>
      <c r="AS212" s="215">
        <f>IF(AND(ISNUMBER(AS161),ISNUMBER(AS117)),IFERROR(AS161/AS117,""),"")</f>
        <v>-0.100544121126094</v>
      </c>
      <c r="AT212" s="215">
        <f>IF(AND(ISNUMBER(AT161),ISNUMBER(AT117)),IFERROR(AT161/AT117,""),"")</f>
        <v>-0.281104429575675</v>
      </c>
      <c r="AU212" s="215">
        <f>IF(AND(ISNUMBER(AU161),ISNUMBER(AU117)),IFERROR(AU161/AU117,""),"")</f>
        <v>-0.0533276752245562</v>
      </c>
      <c r="AV212" s="215">
        <f>IF(AND(ISNUMBER(AV161),ISNUMBER(AV117)),IFERROR(AV161/AV117,""),"")</f>
        <v>-0.547373235755358</v>
      </c>
      <c r="AW212" s="215">
        <f>IF(AND(ISNUMBER(AW161),ISNUMBER(AW117)),IFERROR(AW161/AW117,""),"")</f>
        <v>-0.243302727053888</v>
      </c>
      <c r="AX212" s="215">
        <f>IF(AND(ISNUMBER(AX161),ISNUMBER(AX117)),IFERROR(AX161/AX117,""),"")</f>
        <v>-0.023197739370441</v>
      </c>
      <c r="AY212" s="215">
        <f>IF(AND(ISNUMBER(AY161),ISNUMBER(AY117)),IFERROR(AY161/AY117,""),"")</f>
        <v>0.0444169902341452</v>
      </c>
      <c r="AZ212" s="215">
        <f>IF(AND(ISNUMBER(AZ161),ISNUMBER(AZ117)),IFERROR(AZ161/AZ117,""),"")</f>
        <v>0.00386176201073439</v>
      </c>
      <c r="BA212" s="215">
        <f>IF(AND(ISNUMBER(BA161),ISNUMBER(BA117)),IFERROR(BA161/BA117,""),"")</f>
        <v>-0.306631514905699</v>
      </c>
      <c r="BB212" s="215">
        <f>IF(AND(ISNUMBER(BB161),ISNUMBER(BB117)),IFERROR(BB161/BB117,""),"")</f>
        <v>-0.0654240118164596</v>
      </c>
      <c r="BC212" s="215">
        <f>IF(AND(ISNUMBER(BC161),ISNUMBER(BC117)),IFERROR(BC161/BC117,""),"")</f>
        <v>-0.103781002072761</v>
      </c>
      <c r="BD212" s="215">
        <f>IF(AND(ISNUMBER(BD161),ISNUMBER(BD117)),IFERROR(BD161/BD117,""),"")</f>
        <v>0.029374737725556</v>
      </c>
      <c r="BE212" s="215">
        <f>IF(AND(ISNUMBER(BE161),ISNUMBER(BE117)),IFERROR(BE161/BE117,""),"")</f>
        <v>-0.192905490097769</v>
      </c>
      <c r="BF212" s="215">
        <f>IF(AND(ISNUMBER(BF161),ISNUMBER(BF117)),IFERROR(BF161/BF117,""),"")</f>
        <v>-0.0325325325325325</v>
      </c>
      <c r="BG212" s="215">
        <f>IF(AND(ISNUMBER(BG161),ISNUMBER(BG117)),IFERROR(BG161/BG117,""),"")</f>
        <v>-0.0704119625270238</v>
      </c>
      <c r="BH212" s="215">
        <f>IF(AND(ISNUMBER(BH161),ISNUMBER(BH117)),IFERROR(BH161/BH117,""),"")</f>
        <v>-0.0245522013280509</v>
      </c>
      <c r="BI212" s="215">
        <f>IF(AND(ISNUMBER(BI161),ISNUMBER(BI117)),IFERROR(BI161/BI117,""),"")</f>
        <v>-0.0197458356538909</v>
      </c>
      <c r="BJ212" s="215">
        <f>IF(AND(ISNUMBER(BJ161),ISNUMBER(BJ117)),IFERROR(BJ161/BJ117,""),"")</f>
        <v>-0.0601524524966858</v>
      </c>
      <c r="BK212" s="215">
        <f>IF(AND(ISNUMBER(BK161),ISNUMBER(BK117)),IFERROR(BK161/BK117,""),"")</f>
        <v>0.00408756471977473</v>
      </c>
      <c r="BL212" s="215">
        <f>IF(AND(ISNUMBER(BL161),ISNUMBER(BL117)),IFERROR(BL161/BL117,""),"")</f>
        <v>-0.0235108106023601</v>
      </c>
      <c r="BM212" s="215">
        <f>IF(AND(ISNUMBER(BM161),ISNUMBER(BM117)),IFERROR(BM161/BM117,""),"")</f>
        <v>-0.0234172249381375</v>
      </c>
      <c r="BN212" s="215">
        <f>IF(AND(ISNUMBER(BN161),ISNUMBER(BN117)),IFERROR(BN161/BN117,""),"")</f>
        <v>-0.0825329064389897</v>
      </c>
      <c r="BO212" s="215">
        <f>IF(AND(ISNUMBER(BO161),ISNUMBER(BO117)),IFERROR(BO161/BO117,""),"")</f>
        <v>-0.335706278026906</v>
      </c>
      <c r="BP212" s="215">
        <f>IF(AND(ISNUMBER(BP161),ISNUMBER(BP117)),IFERROR(BP161/BP117,""),"")</f>
        <v>-0.265188295499278</v>
      </c>
      <c r="BQ212" s="215">
        <f>IF(AND(ISNUMBER(BQ161),ISNUMBER(BQ117)),IFERROR(BQ161/BQ117,""),"")</f>
        <v>-0.177563630350136</v>
      </c>
      <c r="BR212" s="215">
        <f>IF(AND(ISNUMBER(BR161),ISNUMBER(BR117)),IFERROR(BR161/BR117,""),"")</f>
        <v>0.0102072219942552</v>
      </c>
      <c r="BS212" s="215">
        <f>IF(AND(ISNUMBER(BS161),ISNUMBER(BS117)),IFERROR(BS161/BS117,""),"")</f>
        <v>-0.0190338036836784</v>
      </c>
      <c r="BT212" s="215">
        <f>IF(AND(ISNUMBER(BT161),ISNUMBER(BT117)),IFERROR(BT161/BT117,""),"")</f>
        <v>-0.216974645466266</v>
      </c>
      <c r="BU212" s="215">
        <f>IF(AND(ISNUMBER(BU161),ISNUMBER(BU117)),IFERROR(BU161/BU117,""),"")</f>
        <v>0.355729079672624</v>
      </c>
      <c r="BV212" s="215">
        <f>IF(AND(ISNUMBER(BV161),ISNUMBER(BV117)),IFERROR(BV161/BV117,""),"")</f>
        <v>0.0361713781116216</v>
      </c>
      <c r="BW212" s="215">
        <f>IF(AND(ISNUMBER(BW161),ISNUMBER(BW117)),IFERROR(BW161/BW117,""),"")</f>
        <v>0.0131880992033128</v>
      </c>
      <c r="BX212" s="215">
        <f>IF(AND(ISNUMBER(BX161),ISNUMBER(BX117)),IFERROR(BX161/BX117,""),"")</f>
        <v>4.07166123778502e-05</v>
      </c>
      <c r="BY212" s="260">
        <f>IF(AND(ISNUMBER(BY161),ISNUMBER(BY117)),IFERROR(BY161/BY117,""),"")</f>
        <v>0.0226862429015716</v>
      </c>
      <c r="BZ212" s="260">
        <f>IF(AND(ISNUMBER(BZ161),ISNUMBER(BZ117)),IFERROR(BZ161/BZ117,""),"")</f>
        <v>0.0218046614175574</v>
      </c>
      <c r="CA212" s="260">
        <f>IF(AND(ISNUMBER(CA161),ISNUMBER(CA117)),IFERROR(CA161/CA117,""),"")</f>
        <v>0.014568173558104</v>
      </c>
      <c r="CB212" s="260">
        <f>IF(AND(ISNUMBER(CB161),ISNUMBER(CB117)),IFERROR(CB161/CB117,""),"")</f>
        <v>0.0514377226769254</v>
      </c>
      <c r="CC212" s="260">
        <f>IF(AND(ISNUMBER(CC161),ISNUMBER(CC117)),IFERROR(CC161/CC117,""),"")</f>
        <v>0.0706239244368406</v>
      </c>
      <c r="CD212" s="260">
        <f>IF(AND(ISNUMBER(CD161),ISNUMBER(CD117)),IFERROR(CD161/CD117,""),"")</f>
        <v>0.0892502858439994</v>
      </c>
      <c r="CE212" s="260">
        <f>IF(AND(ISNUMBER(CE161),ISNUMBER(CE117)),IFERROR(CE161/CE117,""),"")</f>
        <v>0.10178502119118</v>
      </c>
      <c r="CF212" s="260">
        <f>IF(AND(ISNUMBER(CF161),ISNUMBER(CF117)),IFERROR(CF161/CF117,""),"")</f>
        <v>0.107915665069182</v>
      </c>
      <c r="CG212" s="153" t="n"/>
      <c r="CI212" s="37">
        <f>IFERROR(AVERAGE(CB212,CC212,CD212,CE212,CF212),"n/m")</f>
        <v>0.0842025238436254</v>
      </c>
      <c r="CJ212" s="37">
        <f>IFERROR(AVERAGE(BB212,BG212,BL212,BQ212,BV212),"n/m")</f>
        <v>-0.0601478074368716</v>
      </c>
      <c r="CK212" s="37">
        <f>IFERROR(AVERAGE(AC212,AH212,AM212,AR212,AW212,BB212,BG212,BL212,BQ212,BV212),"n/m")</f>
        <v>-0.0329085865308558</v>
      </c>
      <c r="CL212" s="37">
        <f>IFERROR(AVERAGE(C212,D212,E212,F212,G212,H212,I212,N212,S212,X212,AC212,AH212,AM212,AR212,AW212,BB212,BG212,BL212,BQ212,BV212),"n/m")</f>
        <v>0.0222961114760379</v>
      </c>
    </row>
    <row r="213" ht="15" customHeight="1" s="251">
      <c r="B213" s="25" t="inlineStr">
        <is>
          <t xml:space="preserve">  Incremental core operating margin</t>
        </is>
      </c>
      <c r="C213" s="36" t="n"/>
      <c r="D213" s="215">
        <f>IFERROR((D161-C161)/(D117-C117),"")</f>
        <v>0.721021206506074</v>
      </c>
      <c r="E213" s="215">
        <f>IFERROR((E161-D161)/(E117-D117),"")</f>
        <v>0.410289271329183</v>
      </c>
      <c r="F213" s="215">
        <f>IFERROR((F161-E161)/(F117-E117),"")</f>
        <v>-0.298531810766721</v>
      </c>
      <c r="G213" s="215">
        <f>IFERROR((G161-F161)/(G117-F117),"")</f>
        <v>-0.728805031446541</v>
      </c>
      <c r="H213" s="215">
        <f>IFERROR((H161-G161)/(H117-G117),"")</f>
        <v>0.312711673063897</v>
      </c>
      <c r="I213" s="215">
        <f>IFERROR((I161-H161)/(I117-H117),"")</f>
        <v>0.0654940985882898</v>
      </c>
      <c r="J213" s="36" t="n"/>
      <c r="K213" s="36" t="n"/>
      <c r="L213" s="36" t="n"/>
      <c r="M213" s="36" t="n"/>
      <c r="N213" s="215">
        <f>IFERROR((N161-I161)/(N117-I117),"")</f>
        <v>0.135228426395939</v>
      </c>
      <c r="O213" s="215">
        <f>IFERROR((O161-J161)/(O117-J117),"")</f>
        <v>0.145038167938931</v>
      </c>
      <c r="P213" s="215">
        <f>IFERROR((P161-K161)/(P117-K117),"")</f>
        <v>-0.160869565217391</v>
      </c>
      <c r="Q213" s="215">
        <f>IFERROR((Q161-L161)/(Q117-L117),"")</f>
        <v>0.173518742442564</v>
      </c>
      <c r="R213" s="215">
        <f>IFERROR((R161-M161)/(R117-M117),"")</f>
        <v>0.740849194729136</v>
      </c>
      <c r="S213" s="215">
        <f>IFERROR((S161-N161)/(S117-N117),"")</f>
        <v>0.237738584199082</v>
      </c>
      <c r="T213" s="215">
        <f>IFERROR((T161-O161)/(T117-O117),"")</f>
        <v>0.0219714964370546</v>
      </c>
      <c r="U213" s="215">
        <f>IFERROR((U161-P161)/(U117-P117),"")</f>
        <v>-0.11128903122498</v>
      </c>
      <c r="V213" s="215">
        <f>IFERROR((V161-Q161)/(V117-Q117),"")</f>
        <v>0.100242130750605</v>
      </c>
      <c r="W213" s="215">
        <f>IFERROR((W161-R161)/(W117-R117),"")</f>
        <v>1.2122905027933</v>
      </c>
      <c r="X213" s="215">
        <f>IFERROR((X161-S161)/(X117-S117),"")</f>
        <v>-0.209080717488789</v>
      </c>
      <c r="Y213" s="215">
        <f>IFERROR((Y161-T161)/(Y117-T117),"")</f>
        <v>-0.906832298136646</v>
      </c>
      <c r="Z213" s="215">
        <f>IFERROR((Z161-U161)/(Z117-U117),"")</f>
        <v>-10.3820754716981</v>
      </c>
      <c r="AA213" s="215">
        <f>IFERROR((AA161-V161)/(AA117-V117),"")</f>
        <v>0.227063044592517</v>
      </c>
      <c r="AB213" s="215">
        <f>IFERROR((AB161-W161)/(AB117-W117),"")</f>
        <v>-2.80487804878049</v>
      </c>
      <c r="AC213" s="215">
        <f>IFERROR((AC161-X161)/(AC117-X117),"")</f>
        <v>1.47569669475049</v>
      </c>
      <c r="AD213" s="215">
        <f>IFERROR((AD161-Y161)/(AD117-Y117),"")</f>
        <v>-0.00905797101449275</v>
      </c>
      <c r="AE213" s="215">
        <f>IFERROR((AE161-Z161)/(AE117-Z117),"")</f>
        <v>-1.33928571428571</v>
      </c>
      <c r="AF213" s="215">
        <f>IFERROR((AF161-AA161)/(AF117-AA117),"")</f>
        <v>0.435523114355231</v>
      </c>
      <c r="AG213" s="215">
        <f>IFERROR((AG161-AB161)/(AG117-AB117),"")</f>
        <v>0.293948126801153</v>
      </c>
      <c r="AH213" s="215">
        <f>IFERROR((AH161-AC161)/(AH117-AC117),"")</f>
        <v>-2.97370653095844</v>
      </c>
      <c r="AI213" s="215">
        <f>IFERROR((AI161-AD161)/(AI117-AD117),"")</f>
        <v>0.332917705735661</v>
      </c>
      <c r="AJ213" s="215">
        <f>IFERROR((AJ161-AE161)/(AJ117-AE117),"")</f>
        <v>0.119157340355497</v>
      </c>
      <c r="AK213" s="215">
        <f>IFERROR((AK161-AF161)/(AK117-AF117),"")</f>
        <v>-0.577060931899642</v>
      </c>
      <c r="AL213" s="215">
        <f>IFERROR((AL161-AG161)/(AL117-AG117),"")</f>
        <v>0.400605449041372</v>
      </c>
      <c r="AM213" s="215">
        <f>IFERROR((AM161-AH161)/(AM117-AH117),"")</f>
        <v>0.218487394957983</v>
      </c>
      <c r="AN213" s="215">
        <f>IFERROR((AN161-AI161)/(AN117-AI117),"")</f>
        <v>1.12688172043011</v>
      </c>
      <c r="AO213" s="215">
        <f>IFERROR((AO161-AJ161)/(AO117-AJ117),"")</f>
        <v>0.72152345127542</v>
      </c>
      <c r="AP213" s="215">
        <f>IFERROR((AP161-AK161)/(AP117-AK117),"")</f>
        <v>0.192605497483546</v>
      </c>
      <c r="AQ213" s="215">
        <f>IFERROR((AQ161-AL161)/(AQ117-AL117),"")</f>
        <v>0.61294343240652</v>
      </c>
      <c r="AR213" s="215">
        <f>IFERROR((AR161-AM161)/(AR117-AM117),"")</f>
        <v>0.571882123086942</v>
      </c>
      <c r="AS213" s="215">
        <f>IFERROR((AS161-AN161)/(AS117-AN117),"")</f>
        <v>0.613413213513064</v>
      </c>
      <c r="AT213" s="215">
        <f>IFERROR((AT161-AO161)/(AT117-AO117),"")</f>
        <v>-0.108012170385396</v>
      </c>
      <c r="AU213" s="215">
        <f>IFERROR((AU161-AP161)/(AU117-AP117),"")</f>
        <v>0.282314672145181</v>
      </c>
      <c r="AV213" s="215">
        <f>IFERROR((AV161-AQ161)/(AV117-AQ117),"")</f>
        <v>2.24434215573456</v>
      </c>
      <c r="AW213" s="215">
        <f>IFERROR((AW161-AR161)/(AW117-AR117),"")</f>
        <v>0.584750828759307</v>
      </c>
      <c r="AX213" s="215">
        <f>IFERROR((AX161-AS161)/(AX117-AS117),"")</f>
        <v>-0.796570076877587</v>
      </c>
      <c r="AY213" s="215">
        <f>IFERROR((AY161-AT161)/(AY117-AT117),"")</f>
        <v>0.784819880562512</v>
      </c>
      <c r="AZ213" s="215">
        <f>IFERROR((AZ161-AU161)/(AZ117-AU117),"")</f>
        <v>0.713784021071115</v>
      </c>
      <c r="BA213" s="215">
        <f>IFERROR((BA161-AV161)/(BA117-AV117),"")</f>
        <v>-7.51663405088063</v>
      </c>
      <c r="BB213" s="215">
        <f>IFERROR((BB161-AW161)/(BB117-AW117),"")</f>
        <v>2.4406492248062</v>
      </c>
      <c r="BC213" s="215">
        <f>IFERROR((BC161-AX161)/(BC117-AX117),"")</f>
        <v>0.896411092985318</v>
      </c>
      <c r="BD213" s="215">
        <f>IFERROR((BD161-AY161)/(BD117-AY117),"")</f>
        <v>0.83596214511041</v>
      </c>
      <c r="BE213" s="215">
        <f>IFERROR((BE161-AZ161)/(BE117-AZ117),"")</f>
        <v>-4.62684365781711</v>
      </c>
      <c r="BF213" s="215">
        <f>IFERROR((BF161-BA161)/(BF117-BA117),"")</f>
        <v>0.749180643917486</v>
      </c>
      <c r="BG213" s="215">
        <f>IFERROR((BG161-BB161)/(BG117-BB117),"")</f>
        <v>-0.142295233688107</v>
      </c>
      <c r="BH213" s="215">
        <f>IFERROR((BH161-BC161)/(BH117-BC117),"")</f>
        <v>0.257506361323155</v>
      </c>
      <c r="BI213" s="215">
        <f>IFERROR((BI161-BD161)/(BI117-BD117),"")</f>
        <v>-0.286644951140065</v>
      </c>
      <c r="BJ213" s="215">
        <f>IFERROR((BJ161-BE161)/(BJ117-BE117),"")</f>
        <v>0.925977653631285</v>
      </c>
      <c r="BK213" s="215">
        <f>IFERROR((BK161-BF161)/(BK117-BF117),"")</f>
        <v>0.363101079489696</v>
      </c>
      <c r="BL213" s="215">
        <f>IFERROR((BL161-BG161)/(BL117-BG117),"")</f>
        <v>0.255766136241731</v>
      </c>
      <c r="BM213" s="215">
        <f>IFERROR((BM161-BH161)/(BM117-BH117),"")</f>
        <v>-0.0384615384615385</v>
      </c>
      <c r="BN213" s="215">
        <f>IFERROR((BN161-BI161)/(BN117-BI117),"")</f>
        <v>0.347313691507799</v>
      </c>
      <c r="BO213" s="215">
        <f>IFERROR((BO161-BJ161)/(BO117-BJ117),"")</f>
        <v>18.5606060606061</v>
      </c>
      <c r="BP213" s="215">
        <f>IFERROR((BP161-BK161)/(BP117-BK117),"")</f>
        <v>0.609799291617474</v>
      </c>
      <c r="BQ213" s="215">
        <f>IFERROR((BQ161-BL161)/(BQ117-BL117),"")</f>
        <v>0.885164494103042</v>
      </c>
      <c r="BR213" s="215">
        <f>IFERROR((BR161-BM161)/(BR117-BM117),"")</f>
        <v>0.200546634779638</v>
      </c>
      <c r="BS213" s="215">
        <f>IFERROR((BS161-BN161)/(BS117-BN117),"")</f>
        <v>0.163012068672446</v>
      </c>
      <c r="BT213" s="215">
        <f>IFERROR((BT161-BO161)/(BT117-BO117),"")</f>
        <v>0.173112338858195</v>
      </c>
      <c r="BU213" s="215">
        <f>IFERROR((BU161-BP161)/(BU117-BP117),"")</f>
        <v>1.44279807029635</v>
      </c>
      <c r="BV213" s="215">
        <f>IFERROR((BV161-BQ161)/(BV117-BQ117),"")</f>
        <v>0.655756994683169</v>
      </c>
      <c r="BW213" s="215">
        <f>IFERROR((BW161-BR161)/(BW117-BR117),"")</f>
        <v>0.0345461227489893</v>
      </c>
      <c r="BX213" s="215">
        <f>IFERROR((BX161-BS161)/(BX117-BS117),"")</f>
        <v>0.23964660408614</v>
      </c>
      <c r="BY213" s="260">
        <f>IFERROR((BY161-BT161)/(BY117-BT117),"")</f>
        <v>3.26480964634756</v>
      </c>
      <c r="BZ213" s="260">
        <f>IFERROR((BZ161-BU161)/(BZ117-BU117),"")</f>
        <v>-5.1064411219009</v>
      </c>
      <c r="CA213" s="260">
        <f>IFERROR((CA161-BV161)/(CA117-BV117),"")</f>
        <v>-0.232847216751066</v>
      </c>
      <c r="CB213" s="260">
        <f>IFERROR((CB161-CA161)/(CB117-CA117),"")</f>
        <v>0.436090834492947</v>
      </c>
      <c r="CC213" s="260">
        <f>IFERROR((CC161-CB161)/(CC117-CB117),"")</f>
        <v>0.293343482750554</v>
      </c>
      <c r="CD213" s="260">
        <f>IFERROR((CD161-CC161)/(CD117-CC117),"")</f>
        <v>0.357911644773777</v>
      </c>
      <c r="CE213" s="260">
        <f>IFERROR((CE161-CD161)/(CE117-CD117),"")</f>
        <v>0.356030375839238</v>
      </c>
      <c r="CF213" s="260">
        <f>IFERROR((CF161-CE161)/(CF117-CE117),"")</f>
        <v>0.250314171928305</v>
      </c>
      <c r="CG213" s="153" t="n"/>
    </row>
    <row r="214" ht="15" customHeight="1" s="251">
      <c r="B214" s="25" t="inlineStr">
        <is>
          <t xml:space="preserve">  Adjusted EBITDA margin %</t>
        </is>
      </c>
      <c r="C214" s="215">
        <f>IF(AND(ISNUMBER(C180),ISNUMBER(C117)),IFERROR(C180/C117,""),"")</f>
        <v>0.0740939379164635</v>
      </c>
      <c r="D214" s="215">
        <f>IF(AND(ISNUMBER(D180),ISNUMBER(D117)),IFERROR(D180/D117,""),"")</f>
        <v>0.12053564703933</v>
      </c>
      <c r="E214" s="215">
        <f>IF(AND(ISNUMBER(E180),ISNUMBER(E117)),IFERROR(E180/E117,""),"")</f>
        <v>0.0946409519901518</v>
      </c>
      <c r="F214" s="215">
        <f>IF(AND(ISNUMBER(F180),ISNUMBER(F117)),IFERROR(F180/F117,""),"")</f>
        <v>0.0548468827345821</v>
      </c>
      <c r="G214" s="215">
        <f>IF(AND(ISNUMBER(G180),ISNUMBER(G117)),IFERROR(G180/G117,""),"")</f>
        <v>0.10423599664106</v>
      </c>
      <c r="H214" s="215">
        <f>IF(AND(ISNUMBER(H180),ISNUMBER(H117)),IFERROR(H180/H117,""),"")</f>
        <v>0.113741179893795</v>
      </c>
      <c r="I214" s="215">
        <f>IF(AND(ISNUMBER(I180),ISNUMBER(I117)),IFERROR(I180/I117,""),"")</f>
        <v>0.110418859702808</v>
      </c>
      <c r="J214" s="215">
        <f>IF(AND(ISNUMBER(J180),ISNUMBER(J117)),IFERROR(J180/J117,""),"")</f>
        <v>0.121526491293072</v>
      </c>
      <c r="K214" s="215">
        <f>IF(AND(ISNUMBER(K180),ISNUMBER(K117)),IFERROR(K180/K117,""),"")</f>
        <v>0.112949805179922</v>
      </c>
      <c r="L214" s="215">
        <f>IF(AND(ISNUMBER(L180),ISNUMBER(L117)),IFERROR(L180/L117,""),"")</f>
        <v>0.117532760957976</v>
      </c>
      <c r="M214" s="215">
        <f>IF(AND(ISNUMBER(M180),ISNUMBER(M117)),IFERROR(M180/M117,""),"")</f>
        <v>0.099180155560227</v>
      </c>
      <c r="N214" s="215">
        <f>IF(AND(ISNUMBER(N180),ISNUMBER(N117)),IFERROR(N180/N117,""),"")</f>
        <v>0.112210382923704</v>
      </c>
      <c r="O214" s="215">
        <f>IF(AND(ISNUMBER(O180),ISNUMBER(O117)),IFERROR(O180/O117,""),"")</f>
        <v>0.124260933300757</v>
      </c>
      <c r="P214" s="215">
        <f>IF(AND(ISNUMBER(P180),ISNUMBER(P117)),IFERROR(P180/P117,""),"")</f>
        <v>0.110818779768655</v>
      </c>
      <c r="Q214" s="215">
        <f>IF(AND(ISNUMBER(Q180),ISNUMBER(Q117)),IFERROR(Q180/Q117,""),"")</f>
        <v>0.122267070299361</v>
      </c>
      <c r="R214" s="215">
        <f>IF(AND(ISNUMBER(R180),ISNUMBER(R117)),IFERROR(R180/R117,""),"")</f>
        <v>0.117377799574955</v>
      </c>
      <c r="S214" s="215">
        <f>IF(AND(ISNUMBER(S180),ISNUMBER(S117)),IFERROR(S180/S117,""),"")</f>
        <v>0.11861792380071</v>
      </c>
      <c r="T214" s="215">
        <f>IF(AND(ISNUMBER(T180),ISNUMBER(T117)),IFERROR(T180/T117,""),"")</f>
        <v>0.116980450584677</v>
      </c>
      <c r="U214" s="215">
        <f>IF(AND(ISNUMBER(U180),ISNUMBER(U117)),IFERROR(U180/U117,""),"")</f>
        <v>0.0882532697714216</v>
      </c>
      <c r="V214" s="215">
        <f>IF(AND(ISNUMBER(V180),ISNUMBER(V117)),IFERROR(V180/V117,""),"")</f>
        <v>0.118921428295098</v>
      </c>
      <c r="W214" s="215">
        <f>IF(AND(ISNUMBER(W180),ISNUMBER(W117)),IFERROR(W180/W117,""),"")</f>
        <v>0.0739405251771094</v>
      </c>
      <c r="X214" s="215">
        <f>IF(AND(ISNUMBER(X180),ISNUMBER(X117)),IFERROR(X180/X117,""),"")</f>
        <v>0.0996108787481532</v>
      </c>
      <c r="Y214" s="215">
        <f>IF(AND(ISNUMBER(Y180),ISNUMBER(Y117)),IFERROR(Y180/Y117,""),"")</f>
        <v>0.0944238246730293</v>
      </c>
      <c r="Z214" s="215">
        <f>IF(AND(ISNUMBER(Z180),ISNUMBER(Z117)),IFERROR(Z180/Z117,""),"")</f>
        <v>-0.00165623106443143</v>
      </c>
      <c r="AA214" s="215">
        <f>IF(AND(ISNUMBER(AA180),ISNUMBER(AA117)),IFERROR(AA180/AA117,""),"")</f>
        <v>0.111641141518119</v>
      </c>
      <c r="AB214" s="215">
        <f>IF(AND(ISNUMBER(AB180),ISNUMBER(AB117)),IFERROR(AB180/AB117,""),"")</f>
        <v>0.112084514300438</v>
      </c>
      <c r="AC214" s="215">
        <f>IF(AND(ISNUMBER(AC180),ISNUMBER(AC117)),IFERROR(AC180/AC117,""),"")</f>
        <v>0.0779731630203762</v>
      </c>
      <c r="AD214" s="215">
        <f>IF(AND(ISNUMBER(AD180),ISNUMBER(AD117)),IFERROR(AD180/AD117,""),"")</f>
        <v>0.103928299008391</v>
      </c>
      <c r="AE214" s="215">
        <f>IF(AND(ISNUMBER(AE180),ISNUMBER(AE117)),IFERROR(AE180/AE117,""),"")</f>
        <v>0.119002594661155</v>
      </c>
      <c r="AF214" s="215">
        <f>IF(AND(ISNUMBER(AF180),ISNUMBER(AF117)),IFERROR(AF180/AF117,""),"")</f>
        <v>0.11909169443416</v>
      </c>
      <c r="AG214" s="215">
        <f>IF(AND(ISNUMBER(AG180),ISNUMBER(AG117)),IFERROR(AG180/AG117,""),"")</f>
        <v>0.128429517502365</v>
      </c>
      <c r="AH214" s="215">
        <f>IF(AND(ISNUMBER(AH180),ISNUMBER(AH117)),IFERROR(AH180/AH117,""),"")</f>
        <v>0.118200702415624</v>
      </c>
      <c r="AI214" s="215">
        <f>IF(AND(ISNUMBER(AI180),ISNUMBER(AI117)),IFERROR(AI180/AI117,""),"")</f>
        <v>0.128774270806603</v>
      </c>
      <c r="AJ214" s="215">
        <f>IF(AND(ISNUMBER(AJ180),ISNUMBER(AJ117)),IFERROR(AJ180/AJ117,""),"")</f>
        <v>0.11954819028774</v>
      </c>
      <c r="AK214" s="215">
        <f>IF(AND(ISNUMBER(AK180),ISNUMBER(AK117)),IFERROR(AK180/AK117,""),"")</f>
        <v>0.095959595959596</v>
      </c>
      <c r="AL214" s="215">
        <f>IF(AND(ISNUMBER(AL180),ISNUMBER(AL117)),IFERROR(AL180/AL117,""),"")</f>
        <v>0.157016336755937</v>
      </c>
      <c r="AM214" s="215">
        <f>IF(AND(ISNUMBER(AM180),ISNUMBER(AM117)),IFERROR(AM180/AM117,""),"")</f>
        <v>0.126316414014062</v>
      </c>
      <c r="AN214" s="215">
        <f>IF(AND(ISNUMBER(AN180),ISNUMBER(AN117)),IFERROR(AN180/AN117,""),"")</f>
        <v>0.109394772439674</v>
      </c>
      <c r="AO214" s="215">
        <f>IF(AND(ISNUMBER(AO180),ISNUMBER(AO117)),IFERROR(AO180/AO117,""),"")</f>
        <v>-0.203098215986287</v>
      </c>
      <c r="AP214" s="215">
        <f>IF(AND(ISNUMBER(AP180),ISNUMBER(AP117)),IFERROR(AP180/AP117,""),"")</f>
        <v>0.0736236236236236</v>
      </c>
      <c r="AQ214" s="215">
        <f>IF(AND(ISNUMBER(AQ180),ISNUMBER(AQ117)),IFERROR(AQ180/AQ117,""),"")</f>
        <v>-0.105968399307688</v>
      </c>
      <c r="AR214" s="215">
        <f>IF(AND(ISNUMBER(AR180),ISNUMBER(AR117)),IFERROR(AR180/AR117,""),"")</f>
        <v>-0.0146161783722358</v>
      </c>
      <c r="AS214" s="215">
        <f>IF(AND(ISNUMBER(AS180),ISNUMBER(AS117)),IFERROR(AS180/AS117,""),"")</f>
        <v>-0.0676602791577951</v>
      </c>
      <c r="AT214" s="215">
        <f>IF(AND(ISNUMBER(AT180),ISNUMBER(AT117)),IFERROR(AT180/AT117,""),"")</f>
        <v>-0.234775980350639</v>
      </c>
      <c r="AU214" s="215">
        <f>IF(AND(ISNUMBER(AU180),ISNUMBER(AU117)),IFERROR(AU180/AU117,""),"")</f>
        <v>-0.0133672819859962</v>
      </c>
      <c r="AV214" s="215">
        <f>IF(AND(ISNUMBER(AV180),ISNUMBER(AV117)),IFERROR(AV180/AV117,""),"")</f>
        <v>-0.509605331939362</v>
      </c>
      <c r="AW214" s="215">
        <f>IF(AND(ISNUMBER(AW180),ISNUMBER(AW117)),IFERROR(AW180/AW117,""),"")</f>
        <v>-0.204683792427525</v>
      </c>
      <c r="AX214" s="215">
        <f>IF(AND(ISNUMBER(AX180),ISNUMBER(AX117)),IFERROR(AX180/AX117,""),"")</f>
        <v>0.0120260235263192</v>
      </c>
      <c r="AY214" s="215">
        <f>IF(AND(ISNUMBER(AY180),ISNUMBER(AY117)),IFERROR(AY180/AY117,""),"")</f>
        <v>0.076832568537475</v>
      </c>
      <c r="AZ214" s="215">
        <f>IF(AND(ISNUMBER(AZ180),ISNUMBER(AZ117)),IFERROR(AZ180/AZ117,""),"")</f>
        <v>0.0380939913601257</v>
      </c>
      <c r="BA214" s="215">
        <f>IF(AND(ISNUMBER(BA180),ISNUMBER(BA117)),IFERROR(BA180/BA117,""),"")</f>
        <v>-0.270533360373149</v>
      </c>
      <c r="BB214" s="215">
        <f>IF(AND(ISNUMBER(BB180),ISNUMBER(BB117)),IFERROR(BB180/BB117,""),"")</f>
        <v>-0.0310021513662781</v>
      </c>
      <c r="BC214" s="215">
        <f>IF(AND(ISNUMBER(BC180),ISNUMBER(BC117)),IFERROR(BC180/BC117,""),"")</f>
        <v>-0.0690443856765063</v>
      </c>
      <c r="BD214" s="215">
        <f>IF(AND(ISNUMBER(BD180),ISNUMBER(BD117)),IFERROR(BD180/BD117,""),"")</f>
        <v>0.059229063005815</v>
      </c>
      <c r="BE214" s="215">
        <f>IF(AND(ISNUMBER(BE180),ISNUMBER(BE117)),IFERROR(BE180/BE117,""),"")</f>
        <v>-0.162008022060667</v>
      </c>
      <c r="BF214" s="215">
        <f>IF(AND(ISNUMBER(BF180),ISNUMBER(BF117)),IFERROR(BF180/BF117,""),"")</f>
        <v>-0.00740740740740741</v>
      </c>
      <c r="BG214" s="215">
        <f>IF(AND(ISNUMBER(BG180),ISNUMBER(BG117)),IFERROR(BG180/BG117,""),"")</f>
        <v>-0.0407008167187125</v>
      </c>
      <c r="BH214" s="215">
        <f>IF(AND(ISNUMBER(BH180),ISNUMBER(BH117)),IFERROR(BH180/BH117,""),"")</f>
        <v>0.000948607778583784</v>
      </c>
      <c r="BI214" s="215">
        <f>IF(AND(ISNUMBER(BI180),ISNUMBER(BI117)),IFERROR(BI180/BI117,""),"")</f>
        <v>0.00334160295681231</v>
      </c>
      <c r="BJ214" s="215">
        <f>IF(AND(ISNUMBER(BJ180),ISNUMBER(BJ117)),IFERROR(BJ180/BJ117,""),"")</f>
        <v>-0.0343570481661511</v>
      </c>
      <c r="BK214" s="215">
        <f>IF(AND(ISNUMBER(BK180),ISNUMBER(BK117)),IFERROR(BK180/BK117,""),"")</f>
        <v>0.0259333272776819</v>
      </c>
      <c r="BL214" s="215">
        <f>IF(AND(ISNUMBER(BL180),ISNUMBER(BL117)),IFERROR(BL180/BL117,""),"")</f>
        <v>0.000411342777077924</v>
      </c>
      <c r="BM214" s="215">
        <f>IF(AND(ISNUMBER(BM180),ISNUMBER(BM117)),IFERROR(BM180/BM117,""),"")</f>
        <v>0.00325909831613254</v>
      </c>
      <c r="BN214" s="215">
        <f>IF(AND(ISNUMBER(BN180),ISNUMBER(BN117)),IFERROR(BN180/BN117,""),"")</f>
        <v>-0.0563856278904305</v>
      </c>
      <c r="BO214" s="215">
        <f>IF(AND(ISNUMBER(BO180),ISNUMBER(BO117)),IFERROR(BO180/BO117,""),"")</f>
        <v>-0.310818385650224</v>
      </c>
      <c r="BP214" s="215">
        <f>IF(AND(ISNUMBER(BP180),ISNUMBER(BP117)),IFERROR(BP180/BP117,""),"")</f>
        <v>-0.231793727857237</v>
      </c>
      <c r="BQ214" s="215">
        <f>IF(AND(ISNUMBER(BQ180),ISNUMBER(BQ117)),IFERROR(BQ180/BQ117,""),"")</f>
        <v>-0.149961663935535</v>
      </c>
      <c r="BR214" s="215">
        <f>IF(AND(ISNUMBER(BR180),ISNUMBER(BR117)),IFERROR(BR180/BR117,""),"")</f>
        <v>0.0341095609355765</v>
      </c>
      <c r="BS214" s="215">
        <f>IF(AND(ISNUMBER(BS180),ISNUMBER(BS117)),IFERROR(BS180/BS117,""),"")</f>
        <v>0.00118686535671898</v>
      </c>
      <c r="BT214" s="215">
        <f>IF(AND(ISNUMBER(BT180),ISNUMBER(BT117)),IFERROR(BT180/BT117,""),"")</f>
        <v>-0.195874516544908</v>
      </c>
      <c r="BU214" s="215">
        <f>IF(AND(ISNUMBER(BU180),ISNUMBER(BU117)),IFERROR(BU180/BU117,""),"")</f>
        <v>0.378110906965091</v>
      </c>
      <c r="BV214" s="215">
        <f>IF(AND(ISNUMBER(BV180),ISNUMBER(BV117)),IFERROR(BV180/BV117,""),"")</f>
        <v>0.0580016319595811</v>
      </c>
      <c r="BW214" s="215">
        <f>IF(AND(ISNUMBER(BW180),ISNUMBER(BW117)),IFERROR(BW180/BW117,""),"")</f>
        <v>0.0389791601026241</v>
      </c>
      <c r="BX214" s="215">
        <f>IF(AND(ISNUMBER(BX180),ISNUMBER(BX117)),IFERROR(BX180/BX117,""),"")</f>
        <v>0.0243078175895765</v>
      </c>
      <c r="BY214" s="260">
        <f>IF(AND(ISNUMBER(BY180),ISNUMBER(BY117)),IFERROR(BY180/BY117,""),"")</f>
        <v>0.0460954747167043</v>
      </c>
      <c r="BZ214" s="260">
        <f>IF(AND(ISNUMBER(BZ180),ISNUMBER(BZ117)),IFERROR(BZ180/BZ117,""),"")</f>
        <v>0.0447392112228932</v>
      </c>
      <c r="CA214" s="260">
        <f>IF(AND(ISNUMBER(CA180),ISNUMBER(CA117)),IFERROR(CA180/CA117,""),"")</f>
        <v>0.0386135275752622</v>
      </c>
      <c r="CB214" s="260">
        <f>IF(AND(ISNUMBER(CB180),ISNUMBER(CB117)),IFERROR(CB180/CB117,""),"")</f>
        <v>0.0754377226769254</v>
      </c>
      <c r="CC214" s="260">
        <f>IF(AND(ISNUMBER(CC180),ISNUMBER(CC117)),IFERROR(CC180/CC117,""),"")</f>
        <v>0.0946239244368406</v>
      </c>
      <c r="CD214" s="260">
        <f>IF(AND(ISNUMBER(CD180),ISNUMBER(CD117)),IFERROR(CD180/CD117,""),"")</f>
        <v>0.112250285843999</v>
      </c>
      <c r="CE214" s="260">
        <f>IF(AND(ISNUMBER(CE180),ISNUMBER(CE117)),IFERROR(CE180/CE117,""),"")</f>
        <v>0.12478502119118</v>
      </c>
      <c r="CF214" s="260">
        <f>IF(AND(ISNUMBER(CF180),ISNUMBER(CF117)),IFERROR(CF180/CF117,""),"")</f>
        <v>0.130915665069182</v>
      </c>
      <c r="CG214" s="153" t="n"/>
      <c r="CI214" s="37">
        <f>IFERROR(AVERAGE(CB214,CC214,CD214,CE214,CF214),"n/m")</f>
        <v>0.107602523843625</v>
      </c>
      <c r="CJ214" s="37">
        <f>IFERROR(AVERAGE(BB214,BG214,BL214,BQ214,BV214),"n/m")</f>
        <v>-0.0326503314567734</v>
      </c>
      <c r="CK214" s="37">
        <f>IFERROR(AVERAGE(AC214,AH214,AM214,AR214,AW214,BB214,BG214,BL214,BQ214,BV214),"n/m")</f>
        <v>-0.00600613486335655</v>
      </c>
      <c r="CL214" s="37">
        <f>IFERROR(AVERAGE(C214,D214,E214,F214,G214,H214,I214,N214,S214,X214,AC214,AH214,AM214,AR214,AW214,BB214,BG214,BL214,BQ214,BV214),"n/m")</f>
        <v>0.0471445646378596</v>
      </c>
    </row>
    <row r="215" ht="15" customHeight="1" s="251">
      <c r="B215" s="25" t="inlineStr">
        <is>
          <t xml:space="preserve">  Operating margin (GAAP) %</t>
        </is>
      </c>
      <c r="C215" s="215">
        <f>IF(AND(ISNUMBER(C128),ISNUMBER(C117)),IFERROR(C128/C117,""),"")</f>
        <v>0.0489842353323582</v>
      </c>
      <c r="D215" s="215">
        <f>IF(AND(ISNUMBER(D128),ISNUMBER(D117)),IFERROR(D128/D117,""),"")</f>
        <v>0.0878183981803666</v>
      </c>
      <c r="E215" s="215">
        <f>IF(AND(ISNUMBER(E128),ISNUMBER(E117)),IFERROR(E128/E117,""),"")</f>
        <v>0.0654575297496922</v>
      </c>
      <c r="F215" s="215">
        <f>IF(AND(ISNUMBER(F128),ISNUMBER(F117)),IFERROR(F128/F117,""),"")</f>
        <v>0.0306966798963108</v>
      </c>
      <c r="G215" s="215">
        <f>IF(AND(ISNUMBER(G128),ISNUMBER(G117)),IFERROR(G128/G117,""),"")</f>
        <v>0.0773022735048052</v>
      </c>
      <c r="H215" s="215">
        <f>IF(AND(ISNUMBER(H128),ISNUMBER(H117)),IFERROR(H128/H117,""),"")</f>
        <v>0.0850221866589074</v>
      </c>
      <c r="I215" s="215">
        <f>IF(AND(ISNUMBER(I128),ISNUMBER(I117)),IFERROR(I128/I117,""),"")</f>
        <v>0.077247913045607</v>
      </c>
      <c r="J215" s="215">
        <f>IF(AND(ISNUMBER(J128),ISNUMBER(J117)),IFERROR(J128/J117,""),"")</f>
        <v>0.0808765151114169</v>
      </c>
      <c r="K215" s="215">
        <f>IF(AND(ISNUMBER(K128),ISNUMBER(K117)),IFERROR(K128/K117,""),"")</f>
        <v>0.0786614714645886</v>
      </c>
      <c r="L215" s="215">
        <f>IF(AND(ISNUMBER(L128),ISNUMBER(L117)),IFERROR(L128/L117,""),"")</f>
        <v>0.0814731134206959</v>
      </c>
      <c r="M215" s="215">
        <f>IF(AND(ISNUMBER(M128),ISNUMBER(M117)),IFERROR(M128/M117,""),"")</f>
        <v>0.0636956064746689</v>
      </c>
      <c r="N215" s="215">
        <f>IF(AND(ISNUMBER(N128),ISNUMBER(N117)),IFERROR(N128/N117,""),"")</f>
        <v>0.0757535527515787</v>
      </c>
      <c r="O215" s="215">
        <f>IF(AND(ISNUMBER(O128),ISNUMBER(O117)),IFERROR(O128/O117,""),"")</f>
        <v>0.0753481553872465</v>
      </c>
      <c r="P215" s="215">
        <f>IF(AND(ISNUMBER(P128),ISNUMBER(P117)),IFERROR(P128/P117,""),"")</f>
        <v>0.0810614651848492</v>
      </c>
      <c r="Q215" s="215">
        <f>IF(AND(ISNUMBER(Q128),ISNUMBER(Q117)),IFERROR(Q128/Q117,""),"")</f>
        <v>0.0890935082408342</v>
      </c>
      <c r="R215" s="215">
        <f>IF(AND(ISNUMBER(R128),ISNUMBER(R117)),IFERROR(R128/R117,""),"")</f>
        <v>0.0827611574301128</v>
      </c>
      <c r="S215" s="215">
        <f>IF(AND(ISNUMBER(S128),ISNUMBER(S117)),IFERROR(S128/S117,""),"")</f>
        <v>0.0823362200039664</v>
      </c>
      <c r="T215" s="215">
        <f>IF(AND(ISNUMBER(T128),ISNUMBER(T117)),IFERROR(T128/T117,""),"")</f>
        <v>0.0911553569009888</v>
      </c>
      <c r="U215" s="215">
        <f>IF(AND(ISNUMBER(U128),ISNUMBER(U117)),IFERROR(U128/U117,""),"")</f>
        <v>0.0685735240190686</v>
      </c>
      <c r="V215" s="215">
        <f>IF(AND(ISNUMBER(V128),ISNUMBER(V117)),IFERROR(V128/V117,""),"")</f>
        <v>0.0998104375411041</v>
      </c>
      <c r="W215" s="215">
        <f>IF(AND(ISNUMBER(W128),ISNUMBER(W117)),IFERROR(W128/W117,""),"")</f>
        <v>0.0492512620370763</v>
      </c>
      <c r="X215" s="215">
        <f>IF(AND(ISNUMBER(X128),ISNUMBER(X117)),IFERROR(X128/X117,""),"")</f>
        <v>0.077439290842125</v>
      </c>
      <c r="Y215" s="215">
        <f>IF(AND(ISNUMBER(Y128),ISNUMBER(Y117)),IFERROR(Y128/Y117,""),"")</f>
        <v>0.0790031813361612</v>
      </c>
      <c r="Z215" s="215">
        <f>IF(AND(ISNUMBER(Z128),ISNUMBER(Z117)),IFERROR(Z128/Z117,""),"")</f>
        <v>-0.0169258735608968</v>
      </c>
      <c r="AA215" s="215">
        <f>IF(AND(ISNUMBER(AA128),ISNUMBER(AA117)),IFERROR(AA128/AA117,""),"")</f>
        <v>0.0954891622729936</v>
      </c>
      <c r="AB215" s="215">
        <f>IF(AND(ISNUMBER(AB128),ISNUMBER(AB117)),IFERROR(AB128/AB117,""),"")</f>
        <v>0.093747315983853</v>
      </c>
      <c r="AC215" s="215">
        <f>IF(AND(ISNUMBER(AC128),ISNUMBER(AC117)),IFERROR(AC128/AC117,""),"")</f>
        <v>0.0616891013101268</v>
      </c>
      <c r="AD215" s="215">
        <f>IF(AND(ISNUMBER(AD128),ISNUMBER(AD117)),IFERROR(AD128/AD117,""),"")</f>
        <v>0.0964912280701754</v>
      </c>
      <c r="AE215" s="215">
        <f>IF(AND(ISNUMBER(AE128),ISNUMBER(AE117)),IFERROR(AE128/AE117,""),"")</f>
        <v>0.111482475042878</v>
      </c>
      <c r="AF215" s="215">
        <f>IF(AND(ISNUMBER(AF128),ISNUMBER(AF117)),IFERROR(AF128/AF117,""),"")</f>
        <v>0.11061746678185</v>
      </c>
      <c r="AG215" s="215">
        <f>IF(AND(ISNUMBER(AG128),ISNUMBER(AG117)),IFERROR(AG128/AG117,""),"")</f>
        <v>0.119441816461684</v>
      </c>
      <c r="AH215" s="215">
        <f>IF(AND(ISNUMBER(AH128),ISNUMBER(AH117)),IFERROR(AH128/AH117,""),"")</f>
        <v>0.110052252869625</v>
      </c>
      <c r="AI215" s="215">
        <f>IF(AND(ISNUMBER(AI128),ISNUMBER(AI117)),IFERROR(AI128/AI117,""),"")</f>
        <v>0.122957830810025</v>
      </c>
      <c r="AJ215" s="215">
        <f>IF(AND(ISNUMBER(AJ128),ISNUMBER(AJ117)),IFERROR(AJ128/AJ117,""),"")</f>
        <v>0.111715722648199</v>
      </c>
      <c r="AK215" s="215">
        <f>IF(AND(ISNUMBER(AK128),ISNUMBER(AK117)),IFERROR(AK128/AK117,""),"")</f>
        <v>0.0885627932872027</v>
      </c>
      <c r="AL215" s="215">
        <f>IF(AND(ISNUMBER(AL128),ISNUMBER(AL117)),IFERROR(AL128/AL117,""),"")</f>
        <v>0.14731307999012</v>
      </c>
      <c r="AM215" s="215">
        <f>IF(AND(ISNUMBER(AM128),ISNUMBER(AM117)),IFERROR(AM128/AM117,""),"")</f>
        <v>0.118534120462389</v>
      </c>
      <c r="AN215" s="215">
        <f>IF(AND(ISNUMBER(AN128),ISNUMBER(AN117)),IFERROR(AN128/AN117,""),"")</f>
        <v>0.102543962996902</v>
      </c>
      <c r="AO215" s="215">
        <f>IF(AND(ISNUMBER(AO128),ISNUMBER(AO117)),IFERROR(AO128/AO117,""),"")</f>
        <v>-0.21458954986985</v>
      </c>
      <c r="AP215" s="215">
        <f>IF(AND(ISNUMBER(AP128),ISNUMBER(AP117)),IFERROR(AP128/AP117,""),"")</f>
        <v>0.063013013013013</v>
      </c>
      <c r="AQ215" s="215">
        <f>IF(AND(ISNUMBER(AQ128),ISNUMBER(AQ117)),IFERROR(AQ128/AQ117,""),"")</f>
        <v>-0.12305287253643</v>
      </c>
      <c r="AR215" s="215">
        <f>IF(AND(ISNUMBER(AR128),ISNUMBER(AR117)),IFERROR(AR128/AR117,""),"")</f>
        <v>-0.0257970976632401</v>
      </c>
      <c r="AS215" s="215">
        <f>IF(AND(ISNUMBER(AS128),ISNUMBER(AS117)),IFERROR(AS128/AS117,""),"")</f>
        <v>-0.0800212916962385</v>
      </c>
      <c r="AT215" s="215">
        <f>IF(AND(ISNUMBER(AT128),ISNUMBER(AT117)),IFERROR(AT128/AT117,""),"")</f>
        <v>-0.251037520115186</v>
      </c>
      <c r="AU215" s="215">
        <f>IF(AND(ISNUMBER(AU128),ISNUMBER(AU117)),IFERROR(AU128/AU117,""),"")</f>
        <v>-0.0283612702454205</v>
      </c>
      <c r="AV215" s="215">
        <f>IF(AND(ISNUMBER(AV128),ISNUMBER(AV117)),IFERROR(AV128/AV117,""),"")</f>
        <v>-0.525940930475693</v>
      </c>
      <c r="AW215" s="215">
        <f>IF(AND(ISNUMBER(AW128),ISNUMBER(AW117)),IFERROR(AW128/AW117,""),"")</f>
        <v>-0.21952267959696</v>
      </c>
      <c r="AX215" s="215">
        <f>IF(AND(ISNUMBER(AX128),ISNUMBER(AX117)),IFERROR(AX128/AX117,""),"")</f>
        <v>-0.00545442597095354</v>
      </c>
      <c r="AY215" s="215">
        <f>IF(AND(ISNUMBER(AY128),ISNUMBER(AY117)),IFERROR(AY128/AY117,""),"")</f>
        <v>0.0601835510060007</v>
      </c>
      <c r="AZ215" s="215">
        <f>IF(AND(ISNUMBER(AZ128),ISNUMBER(AZ117)),IFERROR(AZ128/AZ117,""),"")</f>
        <v>0.0215342322293494</v>
      </c>
      <c r="BA215" s="215">
        <f>IF(AND(ISNUMBER(BA128),ISNUMBER(BA117)),IFERROR(BA128/BA117,""),"")</f>
        <v>-0.281957682687758</v>
      </c>
      <c r="BB215" s="215">
        <f>IF(AND(ISNUMBER(BB128),ISNUMBER(BB117)),IFERROR(BB128/BB117,""),"")</f>
        <v>-0.0465915293966542</v>
      </c>
      <c r="BC215" s="215">
        <f>IF(AND(ISNUMBER(BC128),ISNUMBER(BC117)),IFERROR(BC128/BC117,""),"")</f>
        <v>-0.0835537131012794</v>
      </c>
      <c r="BD215" s="215">
        <f>IF(AND(ISNUMBER(BD128),ISNUMBER(BD117)),IFERROR(BD128/BD117,""),"")</f>
        <v>0.0464000959175109</v>
      </c>
      <c r="BE215" s="215">
        <f>IF(AND(ISNUMBER(BE128),ISNUMBER(BE117)),IFERROR(BE128/BE117,""),"")</f>
        <v>-0.17541990473803</v>
      </c>
      <c r="BF215" s="215">
        <f>IF(AND(ISNUMBER(BF128),ISNUMBER(BF117)),IFERROR(BF128/BF117,""),"")</f>
        <v>-0.0176676676676677</v>
      </c>
      <c r="BG215" s="215">
        <f>IF(AND(ISNUMBER(BG128),ISNUMBER(BG117)),IFERROR(BG128/BG117,""),"")</f>
        <v>-0.0532518616382417</v>
      </c>
      <c r="BH215" s="215">
        <f>IF(AND(ISNUMBER(BH128),ISNUMBER(BH117)),IFERROR(BH128/BH117,""),"")</f>
        <v>-0.00831426817699905</v>
      </c>
      <c r="BI215" s="215">
        <f>IF(AND(ISNUMBER(BI128),ISNUMBER(BI117)),IFERROR(BI128/BI117,""),"")</f>
        <v>-0.00501240443521847</v>
      </c>
      <c r="BJ215" s="215">
        <f>IF(AND(ISNUMBER(BJ128),ISNUMBER(BJ117)),IFERROR(BJ128/BJ117,""),"")</f>
        <v>-0.0446310207688909</v>
      </c>
      <c r="BK215" s="215">
        <f>IF(AND(ISNUMBER(BK128),ISNUMBER(BK117)),IFERROR(BK128/BK117,""),"")</f>
        <v>0.0128531201744028</v>
      </c>
      <c r="BL215" s="215">
        <f>IF(AND(ISNUMBER(BL128),ISNUMBER(BL117)),IFERROR(BL128/BL117,""),"")</f>
        <v>-0.0099364989587886</v>
      </c>
      <c r="BM215" s="215">
        <f>IF(AND(ISNUMBER(BM128),ISNUMBER(BM117)),IFERROR(BM128/BM117,""),"")</f>
        <v>-0.00519041583680367</v>
      </c>
      <c r="BN215" s="215">
        <f>IF(AND(ISNUMBER(BN128),ISNUMBER(BN117)),IFERROR(BN128/BN117,""),"")</f>
        <v>-0.0646270603581169</v>
      </c>
      <c r="BO215" s="215">
        <f>IF(AND(ISNUMBER(BO128),ISNUMBER(BO117)),IFERROR(BO128/BO117,""),"")</f>
        <v>-0.32292600896861</v>
      </c>
      <c r="BP215" s="215">
        <f>IF(AND(ISNUMBER(BP128),ISNUMBER(BP117)),IFERROR(BP128/BP117,""),"")</f>
        <v>-0.247342868389975</v>
      </c>
      <c r="BQ215" s="215">
        <f>IF(AND(ISNUMBER(BQ128),ISNUMBER(BQ117)),IFERROR(BQ128/BQ117,""),"")</f>
        <v>-0.160966369499526</v>
      </c>
      <c r="BR215" s="215">
        <f>IF(AND(ISNUMBER(BR128),ISNUMBER(BR117)),IFERROR(BR128/BR117,""),"")</f>
        <v>0.023645876077144</v>
      </c>
      <c r="BS215" s="215">
        <f>IF(AND(ISNUMBER(BS128),ISNUMBER(BS117)),IFERROR(BS128/BS117,""),"")</f>
        <v>-0.00773660380676074</v>
      </c>
      <c r="BT215" s="215">
        <f>IF(AND(ISNUMBER(BT128),ISNUMBER(BT117)),IFERROR(BT128/BT117,""),"")</f>
        <v>-0.205457670820799</v>
      </c>
      <c r="BU215" s="215">
        <f>IF(AND(ISNUMBER(BU128),ISNUMBER(BU117)),IFERROR(BU128/BU117,""),"")</f>
        <v>0.366502421914147</v>
      </c>
      <c r="BV215" s="215">
        <f>IF(AND(ISNUMBER(BV128),ISNUMBER(BV117)),IFERROR(BV128/BV117,""),"")</f>
        <v>0.0478521847020556</v>
      </c>
      <c r="BW215" s="215">
        <f>IF(AND(ISNUMBER(BW128),ISNUMBER(BW117)),IFERROR(BW128/BW117,""),"")</f>
        <v>0.0201647387135977</v>
      </c>
      <c r="BX215" s="215">
        <f>IF(AND(ISNUMBER(BX128),ISNUMBER(BX117)),IFERROR(BX128/BX117,""),"")</f>
        <v>0.00635179153094463</v>
      </c>
      <c r="BY215" s="260">
        <f>IF(AND(ISNUMBER(BY128),ISNUMBER(BY117)),IFERROR(BY128/BY117,""),"")</f>
        <v>0.0288886889380598</v>
      </c>
      <c r="BZ215" s="260">
        <f>IF(AND(ISNUMBER(BZ128),ISNUMBER(BZ117)),IFERROR(BZ128/BZ117,""),"")</f>
        <v>0.0278813370070053</v>
      </c>
      <c r="CA215" s="260">
        <f>IF(AND(ISNUMBER(CA128),ISNUMBER(CA117)),IFERROR(CA128/CA117,""),"")</f>
        <v>0.0209418886032678</v>
      </c>
      <c r="CB215" s="260">
        <f>IF(AND(ISNUMBER(CB128),ISNUMBER(CB117)),IFERROR(CB128/CB117,""),"")</f>
        <v>0.0570663245020331</v>
      </c>
      <c r="CC215" s="260">
        <f>IF(AND(ISNUMBER(CC128),ISNUMBER(CC117)),IFERROR(CC128/CC117,""),"")</f>
        <v>0.0753742580765233</v>
      </c>
      <c r="CD215" s="260">
        <f>IF(AND(ISNUMBER(CD128),ISNUMBER(CD117)),IFERROR(CD128/CD117,""),"")</f>
        <v>0.0932887810549082</v>
      </c>
      <c r="CE215" s="260">
        <f>IF(AND(ISNUMBER(CE128),ISNUMBER(CE117)),IFERROR(CE128/CE117,""),"")</f>
        <v>0.10524889206117</v>
      </c>
      <c r="CF215" s="260">
        <f>IF(AND(ISNUMBER(CF128),ISNUMBER(CF117)),IFERROR(CF128/CF117,""),"")</f>
        <v>0.110867573685647</v>
      </c>
      <c r="CG215" s="153" t="n"/>
      <c r="CI215" s="37">
        <f>IFERROR(AVERAGE(CB215,CC215,CD215,CE215,CF215),"n/m")</f>
        <v>0.0883691658760563</v>
      </c>
      <c r="CJ215" s="37">
        <f>IFERROR(AVERAGE(BB215,BG215,BL215,BQ215,BV215),"n/m")</f>
        <v>-0.0445788149582311</v>
      </c>
      <c r="CK215" s="37">
        <f>IFERROR(AVERAGE(AC215,AH215,AM215,AR215,AW215,BB215,BG215,BL215,BQ215,BV215),"n/m")</f>
        <v>-0.0177938377409215</v>
      </c>
      <c r="CL215" s="37">
        <f>IFERROR(AVERAGE(C215,D215,E215,F215,G215,H215,I215,N215,S215,X215,AC215,AH215,AM215,AR215,AW215,BB215,BG215,BL215,BQ215,BV215),"n/m")</f>
        <v>0.0265059951278251</v>
      </c>
    </row>
    <row r="216" ht="15" customHeight="1" s="251">
      <c r="B216" s="25" t="inlineStr">
        <is>
          <t xml:space="preserve">  Net margin %</t>
        </is>
      </c>
      <c r="C216" s="215">
        <f>IF(AND(ISNUMBER(C143),ISNUMBER(C117)),IFERROR(C143/C117,""),"")</f>
        <v>0.0359986998212254</v>
      </c>
      <c r="D216" s="215">
        <f>IF(AND(ISNUMBER(D143),ISNUMBER(D117)),IFERROR(D143/D117,""),"")</f>
        <v>0.0613674363956799</v>
      </c>
      <c r="E216" s="215">
        <f>IF(AND(ISNUMBER(E143),ISNUMBER(E117)),IFERROR(E143/E117,""),"")</f>
        <v>0.0443496101764465</v>
      </c>
      <c r="F216" s="215">
        <f>IF(AND(ISNUMBER(F143),ISNUMBER(F117)),IFERROR(F143/F117,""),"")</f>
        <v>0.0192147156602862</v>
      </c>
      <c r="G216" s="215">
        <f>IF(AND(ISNUMBER(G143),ISNUMBER(G117)),IFERROR(G143/G117,""),"")</f>
        <v>0.0514259944639692</v>
      </c>
      <c r="H216" s="215">
        <f>IF(AND(ISNUMBER(H143),ISNUMBER(H117)),IFERROR(H143/H117,""),"")</f>
        <v>0.0584563904851968</v>
      </c>
      <c r="I216" s="215">
        <f>IF(AND(ISNUMBER(I143),ISNUMBER(I117)),IFERROR(I143/I117,""),"")</f>
        <v>0.0477367867022449</v>
      </c>
      <c r="J216" s="215">
        <f>IF(AND(ISNUMBER(J143),ISNUMBER(J117)),IFERROR(J143/J117,""),"")</f>
        <v>0.0585402000741015</v>
      </c>
      <c r="K216" s="215">
        <f>IF(AND(ISNUMBER(K143),ISNUMBER(K117)),IFERROR(K143/K117,""),"")</f>
        <v>0.049873939949576</v>
      </c>
      <c r="L216" s="215">
        <f>IF(AND(ISNUMBER(L143),ISNUMBER(L117)),IFERROR(L143/L117,""),"")</f>
        <v>0.0523271577044736</v>
      </c>
      <c r="M216" s="215">
        <f>IF(AND(ISNUMBER(M143),ISNUMBER(M117)),IFERROR(M143/M117,""),"")</f>
        <v>0.0518393945764137</v>
      </c>
      <c r="N216" s="215">
        <f>IF(AND(ISNUMBER(N143),ISNUMBER(N117)),IFERROR(N143/N117,""),"")</f>
        <v>0.0529305149902451</v>
      </c>
      <c r="O216" s="215">
        <f>IF(AND(ISNUMBER(O143),ISNUMBER(O117)),IFERROR(O143/O117,""),"")</f>
        <v>0.0471536770095285</v>
      </c>
      <c r="P216" s="215">
        <f>IF(AND(ISNUMBER(P143),ISNUMBER(P117)),IFERROR(P143/P117,""),"")</f>
        <v>0.0749829893399864</v>
      </c>
      <c r="Q216" s="215">
        <f>IF(AND(ISNUMBER(Q143),ISNUMBER(Q117)),IFERROR(Q143/Q117,""),"")</f>
        <v>0.0572653884964682</v>
      </c>
      <c r="R216" s="215">
        <f>IF(AND(ISNUMBER(R143),ISNUMBER(R117)),IFERROR(R143/R117,""),"")</f>
        <v>0.0599149910086644</v>
      </c>
      <c r="S216" s="215">
        <f>IF(AND(ISNUMBER(S143),ISNUMBER(S117)),IFERROR(S143/S117,""),"")</f>
        <v>0.0600030849915163</v>
      </c>
      <c r="T216" s="215">
        <f>IF(AND(ISNUMBER(T143),ISNUMBER(T117)),IFERROR(T143/T117,""),"")</f>
        <v>0.0603187502821798</v>
      </c>
      <c r="U216" s="215">
        <f>IF(AND(ISNUMBER(U143),ISNUMBER(U117)),IFERROR(U143/U117,""),"")</f>
        <v>0.0452267448967119</v>
      </c>
      <c r="V216" s="215">
        <f>IF(AND(ISNUMBER(V143),ISNUMBER(V117)),IFERROR(V143/V117,""),"")</f>
        <v>0.0659213122364502</v>
      </c>
      <c r="W216" s="215">
        <f>IF(AND(ISNUMBER(W143),ISNUMBER(W117)),IFERROR(W143/W117,""),"")</f>
        <v>0.0435243711025326</v>
      </c>
      <c r="X216" s="215">
        <f>IF(AND(ISNUMBER(X143),ISNUMBER(X117)),IFERROR(X143/X117,""),"")</f>
        <v>0.0538527165657448</v>
      </c>
      <c r="Y216" s="215">
        <f>IF(AND(ISNUMBER(Y143),ISNUMBER(Y117)),IFERROR(Y143/Y117,""),"")</f>
        <v>0.0538617886178862</v>
      </c>
      <c r="Z216" s="215">
        <f>IF(AND(ISNUMBER(Z143),ISNUMBER(Z117)),IFERROR(Z143/Z117,""),"")</f>
        <v>-0.00945263583114522</v>
      </c>
      <c r="AA216" s="215">
        <f>IF(AND(ISNUMBER(AA143),ISNUMBER(AA117)),IFERROR(AA143/AA117,""),"")</f>
        <v>0.0953636287555444</v>
      </c>
      <c r="AB216" s="215">
        <f>IF(AND(ISNUMBER(AB143),ISNUMBER(AB117)),IFERROR(AB143/AB117,""),"")</f>
        <v>0.0700420853731856</v>
      </c>
      <c r="AC216" s="215">
        <f>IF(AND(ISNUMBER(AC143),ISNUMBER(AC117)),IFERROR(AC143/AC117,""),"")</f>
        <v>0.0517600532932929</v>
      </c>
      <c r="AD216" s="215">
        <f>IF(AND(ISNUMBER(AD143),ISNUMBER(AD117)),IFERROR(AD143/AD117,""),"")</f>
        <v>0.0691742944317315</v>
      </c>
      <c r="AE216" s="215">
        <f>IF(AND(ISNUMBER(AE143),ISNUMBER(AE117)),IFERROR(AE143/AE117,""),"")</f>
        <v>0.07744403887594</v>
      </c>
      <c r="AF216" s="215">
        <f>IF(AND(ISNUMBER(AF143),ISNUMBER(AF117)),IFERROR(AF143/AF117,""),"")</f>
        <v>0.0762269118433502</v>
      </c>
      <c r="AG216" s="215">
        <f>IF(AND(ISNUMBER(AG143),ISNUMBER(AG117)),IFERROR(AG143/AG117,""),"")</f>
        <v>0.123462630085147</v>
      </c>
      <c r="AH216" s="215">
        <f>IF(AND(ISNUMBER(AH143),ISNUMBER(AH117)),IFERROR(AH143/AH117,""),"")</f>
        <v>0.0877698303923248</v>
      </c>
      <c r="AI216" s="215">
        <f>IF(AND(ISNUMBER(AI143),ISNUMBER(AI117)),IFERROR(AI143/AI117,""),"")</f>
        <v>0.105936190231802</v>
      </c>
      <c r="AJ216" s="215">
        <f>IF(AND(ISNUMBER(AJ143),ISNUMBER(AJ117)),IFERROR(AJ143/AJ117,""),"")</f>
        <v>0.0905268365075439</v>
      </c>
      <c r="AK216" s="215">
        <f>IF(AND(ISNUMBER(AK143),ISNUMBER(AK117)),IFERROR(AK143/AK117,""),"")</f>
        <v>0.0939712081444365</v>
      </c>
      <c r="AL216" s="215">
        <f>IF(AND(ISNUMBER(AL143),ISNUMBER(AL117)),IFERROR(AL143/AL117,""),"")</f>
        <v>0.120814367876927</v>
      </c>
      <c r="AM216" s="215">
        <f>IF(AND(ISNUMBER(AM143),ISNUMBER(AM117)),IFERROR(AM143/AM117,""),"")</f>
        <v>0.10343429548983</v>
      </c>
      <c r="AN216" s="215">
        <f>IF(AND(ISNUMBER(AN143),ISNUMBER(AN117)),IFERROR(AN143/AN117,""),"")</f>
        <v>0.0937731814809966</v>
      </c>
      <c r="AO216" s="215">
        <f>IF(AND(ISNUMBER(AO143),ISNUMBER(AO117)),IFERROR(AO143/AO117,""),"")</f>
        <v>-0.186781791632277</v>
      </c>
      <c r="AP216" s="215">
        <f>IF(AND(ISNUMBER(AP143),ISNUMBER(AP117)),IFERROR(AP143/AP117,""),"")</f>
        <v>0.0584084084084084</v>
      </c>
      <c r="AQ216" s="215">
        <f>IF(AND(ISNUMBER(AQ143),ISNUMBER(AQ117)),IFERROR(AQ143/AQ117,""),"")</f>
        <v>-0.0563899279772207</v>
      </c>
      <c r="AR216" s="215">
        <f>IF(AND(ISNUMBER(AR143),ISNUMBER(AR117)),IFERROR(AR143/AR117,""),"")</f>
        <v>-0.0083073185386434</v>
      </c>
      <c r="AS216" s="215">
        <f>IF(AND(ISNUMBER(AS143),ISNUMBER(AS117)),IFERROR(AS143/AS117,""),"")</f>
        <v>-0.0371421812159924</v>
      </c>
      <c r="AT216" s="215">
        <f>IF(AND(ISNUMBER(AT143),ISNUMBER(AT117)),IFERROR(AT143/AT117,""),"")</f>
        <v>-0.201236554586262</v>
      </c>
      <c r="AU216" s="215">
        <f>IF(AND(ISNUMBER(AU143),ISNUMBER(AU117)),IFERROR(AU143/AU117,""),"")</f>
        <v>-0.0317561355117052</v>
      </c>
      <c r="AV216" s="215">
        <f>IF(AND(ISNUMBER(AV143),ISNUMBER(AV117)),IFERROR(AV143/AV117,""),"")</f>
        <v>-0.550182958703607</v>
      </c>
      <c r="AW216" s="215">
        <f>IF(AND(ISNUMBER(AW143),ISNUMBER(AW117)),IFERROR(AW143/AW117,""),"")</f>
        <v>-0.204150761718078</v>
      </c>
      <c r="AX216" s="215">
        <f>IF(AND(ISNUMBER(AX143),ISNUMBER(AX117)),IFERROR(AX143/AX117,""),"")</f>
        <v>-0.0352894788723139</v>
      </c>
      <c r="AY216" s="215">
        <f>IF(AND(ISNUMBER(AY143),ISNUMBER(AY117)),IFERROR(AY143/AY117,""),"")</f>
        <v>0.0345334745264149</v>
      </c>
      <c r="AZ216" s="215">
        <f>IF(AND(ISNUMBER(AZ143),ISNUMBER(AZ117)),IFERROR(AZ143/AZ117,""),"")</f>
        <v>-0.00713444168084828</v>
      </c>
      <c r="BA216" s="215">
        <f>IF(AND(ISNUMBER(BA143),ISNUMBER(BA117)),IFERROR(BA143/BA117,""),"")</f>
        <v>-0.28006489555871</v>
      </c>
      <c r="BB216" s="215">
        <f>IF(AND(ISNUMBER(BB143),ISNUMBER(BB117)),IFERROR(BB143/BB117,""),"")</f>
        <v>-0.0674629932890216</v>
      </c>
      <c r="BC216" s="215">
        <f>IF(AND(ISNUMBER(BC143),ISNUMBER(BC117)),IFERROR(BC143/BC117,""),"")</f>
        <v>-0.0871274390679723</v>
      </c>
      <c r="BD216" s="215">
        <f>IF(AND(ISNUMBER(BD143),ISNUMBER(BD117)),IFERROR(BD143/BD117,""),"")</f>
        <v>0.0115700497572088</v>
      </c>
      <c r="BE216" s="215">
        <f>IF(AND(ISNUMBER(BE143),ISNUMBER(BE117)),IFERROR(BE143/BE117,""),"")</f>
        <v>-0.205251942842818</v>
      </c>
      <c r="BF216" s="215">
        <f>IF(AND(ISNUMBER(BF143),ISNUMBER(BF117)),IFERROR(BF143/BF117,""),"")</f>
        <v>-0.0317317317317317</v>
      </c>
      <c r="BG216" s="215">
        <f>IF(AND(ISNUMBER(BG143),ISNUMBER(BG117)),IFERROR(BG143/BG117,""),"")</f>
        <v>-0.0740901993754504</v>
      </c>
      <c r="BH216" s="215">
        <f>IF(AND(ISNUMBER(BH143),ISNUMBER(BH117)),IFERROR(BH143/BH117,""),"")</f>
        <v>-0.0231013894313933</v>
      </c>
      <c r="BI216" s="215">
        <f>IF(AND(ISNUMBER(BI143),ISNUMBER(BI117)),IFERROR(BI143/BI117,""),"")</f>
        <v>-0.00754392182674295</v>
      </c>
      <c r="BJ216" s="215">
        <f>IF(AND(ISNUMBER(BJ143),ISNUMBER(BJ117)),IFERROR(BJ143/BJ117,""),"")</f>
        <v>-0.0903667697746354</v>
      </c>
      <c r="BK216" s="215">
        <f>IF(AND(ISNUMBER(BK143),ISNUMBER(BK117)),IFERROR(BK143/BK117,""),"")</f>
        <v>-0.00104459987283132</v>
      </c>
      <c r="BL216" s="215">
        <f>IF(AND(ISNUMBER(BL143),ISNUMBER(BL117)),IFERROR(BL143/BL117,""),"")</f>
        <v>-0.0285626140833483</v>
      </c>
      <c r="BM216" s="215">
        <f>IF(AND(ISNUMBER(BM143),ISNUMBER(BM117)),IFERROR(BM143/BM117,""),"")</f>
        <v>-0.0207013096746937</v>
      </c>
      <c r="BN216" s="215">
        <f>IF(AND(ISNUMBER(BN143),ISNUMBER(BN117)),IFERROR(BN143/BN117,""),"")</f>
        <v>-0.0853195778489268</v>
      </c>
      <c r="BO216" s="215">
        <f>IF(AND(ISNUMBER(BO143),ISNUMBER(BO117)),IFERROR(BO143/BO117,""),"")</f>
        <v>-0.34585201793722</v>
      </c>
      <c r="BP216" s="215">
        <f>IF(AND(ISNUMBER(BP143),ISNUMBER(BP117)),IFERROR(BP143/BP117,""),"")</f>
        <v>-0.253575646240651</v>
      </c>
      <c r="BQ216" s="215">
        <f>IF(AND(ISNUMBER(BQ143),ISNUMBER(BQ117)),IFERROR(BQ143/BQ117,""),"")</f>
        <v>-0.177653832854759</v>
      </c>
      <c r="BR216" s="215">
        <f>IF(AND(ISNUMBER(BR143),ISNUMBER(BR117)),IFERROR(BR143/BR117,""),"")</f>
        <v>-0.00189782519491178</v>
      </c>
      <c r="BS216" s="215">
        <f>IF(AND(ISNUMBER(BS143),ISNUMBER(BS117)),IFERROR(BS143/BS117,""),"")</f>
        <v>-0.0268583234427887</v>
      </c>
      <c r="BT216" s="215">
        <f>IF(AND(ISNUMBER(BT143),ISNUMBER(BT117)),IFERROR(BT143/BT117,""),"")</f>
        <v>-0.229351095831543</v>
      </c>
      <c r="BU216" s="215">
        <f>IF(AND(ISNUMBER(BU143),ISNUMBER(BU117)),IFERROR(BU143/BU117,""),"")</f>
        <v>0.343243694671789</v>
      </c>
      <c r="BV216" s="215">
        <f>IF(AND(ISNUMBER(BV143),ISNUMBER(BV117)),IFERROR(BV143/BV117,""),"")</f>
        <v>0.0249823949565742</v>
      </c>
      <c r="BW216" s="215">
        <f>IF(AND(ISNUMBER(BW143),ISNUMBER(BW117)),IFERROR(BW143/BW117,""),"")</f>
        <v>-0.000180042309942837</v>
      </c>
      <c r="BX216" s="215">
        <f>IF(AND(ISNUMBER(BX143),ISNUMBER(BX117)),IFERROR(BX143/BX117,""),"")</f>
        <v>-0.0180781758957655</v>
      </c>
      <c r="BY216" s="260">
        <f>IF(AND(ISNUMBER(BY143),ISNUMBER(BY117)),IFERROR(BY143/BY117,""),"")</f>
        <v>0.00784866183682788</v>
      </c>
      <c r="BZ216" s="260">
        <f>IF(AND(ISNUMBER(BZ143),ISNUMBER(BZ117)),IFERROR(BZ143/BZ117,""),"")</f>
        <v>0.00731010622647514</v>
      </c>
      <c r="CA216" s="260">
        <f>IF(AND(ISNUMBER(CA143),ISNUMBER(CA117)),IFERROR(CA143/CA117,""),"")</f>
        <v>-0.000672316592150903</v>
      </c>
      <c r="CB216" s="260">
        <f>IF(AND(ISNUMBER(CB143),ISNUMBER(CB117)),IFERROR(CB143/CB117,""),"")</f>
        <v>0.035797206044351</v>
      </c>
      <c r="CC216" s="260">
        <f>IF(AND(ISNUMBER(CC143),ISNUMBER(CC117)),IFERROR(CC143/CC117,""),"")</f>
        <v>0.0545849596386603</v>
      </c>
      <c r="CD216" s="260">
        <f>IF(AND(ISNUMBER(CD143),ISNUMBER(CD117)),IFERROR(CD143/CD117,""),"")</f>
        <v>0.0713844010814331</v>
      </c>
      <c r="CE216" s="260">
        <f>IF(AND(ISNUMBER(CE143),ISNUMBER(CE117)),IFERROR(CE143/CE117,""),"")</f>
        <v>0.0787031498461916</v>
      </c>
      <c r="CF216" s="260">
        <f>IF(AND(ISNUMBER(CF143),ISNUMBER(CF117)),IFERROR(CF143/CF117,""),"")</f>
        <v>0.0813455553947468</v>
      </c>
      <c r="CG216" s="153" t="n"/>
      <c r="CI216" s="37">
        <f>IFERROR(AVERAGE(CB216,CC216,CD216,CE216,CF216),"n/m")</f>
        <v>0.0643630544010766</v>
      </c>
      <c r="CJ216" s="37">
        <f>IFERROR(AVERAGE(BB216,BG216,BL216,BQ216,BV216),"n/m")</f>
        <v>-0.064557448929201</v>
      </c>
      <c r="CK216" s="37">
        <f>IFERROR(AVERAGE(AC216,AH216,AM216,AR216,AW216,BB216,BG216,BL216,BQ216,BV216),"n/m")</f>
        <v>-0.0292281145727279</v>
      </c>
      <c r="CL216" s="37">
        <f>IFERROR(AVERAGE(C216,D216,E216,F216,G216,H216,I216,N216,S216,X216,AC216,AH216,AM216,AR216,AW216,BB216,BG216,BL216,BQ216,BV216),"n/m")</f>
        <v>0.00965274022626377</v>
      </c>
    </row>
    <row r="217" ht="15" customHeight="1" s="251">
      <c r="B217" s="25" t="inlineStr">
        <is>
          <t xml:space="preserve">  G&amp;A % of revenues</t>
        </is>
      </c>
      <c r="C217" s="215">
        <f>IF(AND(ISNUMBER(C124),ISNUMBER(C117)),IFERROR(C124/C117,""),"")</f>
        <v>0.0677880708597432</v>
      </c>
      <c r="D217" s="215">
        <f>IF(AND(ISNUMBER(D124),ISNUMBER(D117)),IFERROR(D124/D117,""),"")</f>
        <v>0.053188124180939</v>
      </c>
      <c r="E217" s="215">
        <f>IF(AND(ISNUMBER(E124),ISNUMBER(E117)),IFERROR(E124/E117,""),"")</f>
        <v>0.0506196142798523</v>
      </c>
      <c r="F217" s="215">
        <f>IF(AND(ISNUMBER(F124),ISNUMBER(F117)),IFERROR(F124/F117,""),"")</f>
        <v>0.0492669996045752</v>
      </c>
      <c r="G217" s="215">
        <f>IF(AND(ISNUMBER(G124),ISNUMBER(G117)),IFERROR(G124/G117,""),"")</f>
        <v>0.0566665629956769</v>
      </c>
      <c r="H217" s="215">
        <f>IF(AND(ISNUMBER(H124),ISNUMBER(H117)),IFERROR(H124/H117,""),"")</f>
        <v>0.0495817269222376</v>
      </c>
      <c r="I217" s="215">
        <f>IF(AND(ISNUMBER(I124),ISNUMBER(I117)),IFERROR(I124/I117,""),"")</f>
        <v>0.0454968297877549</v>
      </c>
      <c r="J217" s="215">
        <f>IF(AND(ISNUMBER(J124),ISNUMBER(J117)),IFERROR(J124/J117,""),"")</f>
        <v>0.0513946964484201</v>
      </c>
      <c r="K217" s="215">
        <f>IF(AND(ISNUMBER(K124),ISNUMBER(K117)),IFERROR(K124/K117,""),"")</f>
        <v>0.0425853770341508</v>
      </c>
      <c r="L217" s="215">
        <f>IF(AND(ISNUMBER(L124),ISNUMBER(L117)),IFERROR(L124/L117,""),"")</f>
        <v>0.0431992769995481</v>
      </c>
      <c r="M217" s="215">
        <f>IF(AND(ISNUMBER(M124),ISNUMBER(M117)),IFERROR(M124/M117,""),"")</f>
        <v>0.046247635064116</v>
      </c>
      <c r="N217" s="215">
        <f>IF(AND(ISNUMBER(N124),ISNUMBER(N117)),IFERROR(N124/N117,""),"")</f>
        <v>0.0456691640788243</v>
      </c>
      <c r="O217" s="215">
        <f>IF(AND(ISNUMBER(O124),ISNUMBER(O117)),IFERROR(O124/O117,""),"")</f>
        <v>0.0428536525775715</v>
      </c>
      <c r="P217" s="215">
        <f>IF(AND(ISNUMBER(P124),ISNUMBER(P117)),IFERROR(P124/P117,""),"")</f>
        <v>0.0416420957133137</v>
      </c>
      <c r="Q217" s="215">
        <f>IF(AND(ISNUMBER(Q124),ISNUMBER(Q117)),IFERROR(Q124/Q117,""),"")</f>
        <v>0.0391860073999327</v>
      </c>
      <c r="R217" s="215">
        <f>IF(AND(ISNUMBER(R124),ISNUMBER(R117)),IFERROR(R124/R117,""),"")</f>
        <v>0.042504495667811</v>
      </c>
      <c r="S217" s="215">
        <f>IF(AND(ISNUMBER(S124),ISNUMBER(S117)),IFERROR(S124/S117,""),"")</f>
        <v>0.0415041537207201</v>
      </c>
      <c r="T217" s="215">
        <f>IF(AND(ISNUMBER(T124),ISNUMBER(T117)),IFERROR(T124/T117,""),"")</f>
        <v>0.0426655830963023</v>
      </c>
      <c r="U217" s="215">
        <f>IF(AND(ISNUMBER(U124),ISNUMBER(U117)),IFERROR(U124/U117,""),"")</f>
        <v>0.0309660595689199</v>
      </c>
      <c r="V217" s="215">
        <f>IF(AND(ISNUMBER(V124),ISNUMBER(V117)),IFERROR(V124/V117,""),"")</f>
        <v>0.0343920461139696</v>
      </c>
      <c r="W217" s="215">
        <f>IF(AND(ISNUMBER(W124),ISNUMBER(W117)),IFERROR(W124/W117,""),"")</f>
        <v>0.039494336741187</v>
      </c>
      <c r="X217" s="215">
        <f>IF(AND(ISNUMBER(X124),ISNUMBER(X117)),IFERROR(X124/X117,""),"")</f>
        <v>0.036675198202135</v>
      </c>
      <c r="Y217" s="215">
        <f>IF(AND(ISNUMBER(Y124),ISNUMBER(Y117)),IFERROR(Y124/Y117,""),"")</f>
        <v>0.039236479321315</v>
      </c>
      <c r="Z217" s="215">
        <f>IF(AND(ISNUMBER(Z124),ISNUMBER(Z117)),IFERROR(Z124/Z117,""),"")</f>
        <v>0.0325590789739447</v>
      </c>
      <c r="AA217" s="215">
        <f>IF(AND(ISNUMBER(AA124),ISNUMBER(AA117)),IFERROR(AA124/AA117,""),"")</f>
        <v>0.0386224788685246</v>
      </c>
      <c r="AB217" s="215">
        <f>IF(AND(ISNUMBER(AB124),ISNUMBER(AB117)),IFERROR(AB124/AB117,""),"")</f>
        <v>0.0429013140943056</v>
      </c>
      <c r="AC217" s="215">
        <f>IF(AND(ISNUMBER(AC124),ISNUMBER(AC117)),IFERROR(AC124/AC117,""),"")</f>
        <v>0.0382358228209493</v>
      </c>
      <c r="AD217" s="215">
        <f>IF(AND(ISNUMBER(AD124),ISNUMBER(AD117)),IFERROR(AD124/AD117,""),"")</f>
        <v>0.0444794050343249</v>
      </c>
      <c r="AE217" s="215">
        <f>IF(AND(ISNUMBER(AE124),ISNUMBER(AE117)),IFERROR(AE124/AE117,""),"")</f>
        <v>0.0457364000175909</v>
      </c>
      <c r="AF217" s="215">
        <f>IF(AND(ISNUMBER(AF124),ISNUMBER(AF117)),IFERROR(AF124/AF117,""),"")</f>
        <v>0.0376403801061335</v>
      </c>
      <c r="AG217" s="215">
        <f>IF(AND(ISNUMBER(AG124),ISNUMBER(AG117)),IFERROR(AG124/AG117,""),"")</f>
        <v>0.0475402081362346</v>
      </c>
      <c r="AH217" s="215">
        <f>IF(AND(ISNUMBER(AH124),ISNUMBER(AH117)),IFERROR(AH124/AH117,""),"")</f>
        <v>0.043836731197533</v>
      </c>
      <c r="AI217" s="215">
        <f>IF(AND(ISNUMBER(AI124),ISNUMBER(AI117)),IFERROR(AI124/AI117,""),"")</f>
        <v>0.042639637327859</v>
      </c>
      <c r="AJ217" s="215">
        <f>IF(AND(ISNUMBER(AJ124),ISNUMBER(AJ117)),IFERROR(AJ124/AJ117,""),"")</f>
        <v>0.0492208755874351</v>
      </c>
      <c r="AK217" s="215">
        <f>IF(AND(ISNUMBER(AK124),ISNUMBER(AK117)),IFERROR(AK124/AK117,""),"")</f>
        <v>0.0458919907738805</v>
      </c>
      <c r="AL217" s="215">
        <f>IF(AND(ISNUMBER(AL124),ISNUMBER(AL117)),IFERROR(AL124/AL117,""),"")</f>
        <v>0.0431177446102819</v>
      </c>
      <c r="AM217" s="215">
        <f>IF(AND(ISNUMBER(AM124),ISNUMBER(AM117)),IFERROR(AM124/AM117,""),"")</f>
        <v>0.0451610351340394</v>
      </c>
      <c r="AN217" s="215">
        <f>IF(AND(ISNUMBER(AN124),ISNUMBER(AN117)),IFERROR(AN124/AN117,""),"")</f>
        <v>0.0516647030588646</v>
      </c>
      <c r="AO217" s="215">
        <f>IF(AND(ISNUMBER(AO124),ISNUMBER(AO117)),IFERROR(AO124/AO117,""),"")</f>
        <v>0.0426639578439464</v>
      </c>
      <c r="AP217" s="215">
        <f>IF(AND(ISNUMBER(AP124),ISNUMBER(AP117)),IFERROR(AP124/AP117,""),"")</f>
        <v>0.0501001001001001</v>
      </c>
      <c r="AQ217" s="215">
        <f>IF(AND(ISNUMBER(AQ124),ISNUMBER(AQ117)),IFERROR(AQ124/AQ117,""),"")</f>
        <v>0.0587348556752833</v>
      </c>
      <c r="AR217" s="215">
        <f>IF(AND(ISNUMBER(AR124),ISNUMBER(AR117)),IFERROR(AR124/AR117,""),"")</f>
        <v>0.051058660640813</v>
      </c>
      <c r="AS217" s="215">
        <f>IF(AND(ISNUMBER(AS124),ISNUMBER(AS117)),IFERROR(AS124/AS117,""),"")</f>
        <v>0.0516323633782825</v>
      </c>
      <c r="AT217" s="215">
        <f>IF(AND(ISNUMBER(AT124),ISNUMBER(AT117)),IFERROR(AT124/AT117,""),"")</f>
        <v>0.0983314982637419</v>
      </c>
      <c r="AU217" s="215">
        <f>IF(AND(ISNUMBER(AU124),ISNUMBER(AU117)),IFERROR(AU124/AU117,""),"")</f>
        <v>0.0675436735271236</v>
      </c>
      <c r="AV217" s="215">
        <f>IF(AND(ISNUMBER(AV124),ISNUMBER(AV117)),IFERROR(AV124/AV117,""),"")</f>
        <v>0.119445896497648</v>
      </c>
      <c r="AW217" s="215">
        <f>IF(AND(ISNUMBER(AW124),ISNUMBER(AW117)),IFERROR(AW124/AW117,""),"")</f>
        <v>0.0828260944324083</v>
      </c>
      <c r="AX217" s="215">
        <f>IF(AND(ISNUMBER(AX124),ISNUMBER(AX117)),IFERROR(AX124/AX117,""),"")</f>
        <v>0.0678188867713741</v>
      </c>
      <c r="AY217" s="215">
        <f>IF(AND(ISNUMBER(AY124),ISNUMBER(AY117)),IFERROR(AY124/AY117,""),"")</f>
        <v>0.061183668666902</v>
      </c>
      <c r="AZ217" s="215">
        <f>IF(AND(ISNUMBER(AZ124),ISNUMBER(AZ117)),IFERROR(AZ124/AZ117,""),"")</f>
        <v>0.0718025919622987</v>
      </c>
      <c r="BA217" s="215">
        <f>IF(AND(ISNUMBER(BA124),ISNUMBER(BA117)),IFERROR(BA124/BA117,""),"")</f>
        <v>0.0667883458392483</v>
      </c>
      <c r="BB217" s="215">
        <f>IF(AND(ISNUMBER(BB124),ISNUMBER(BB117)),IFERROR(BB124/BB117,""),"")</f>
        <v>0.0667405195389012</v>
      </c>
      <c r="BC217" s="215">
        <f>IF(AND(ISNUMBER(BC124),ISNUMBER(BC117)),IFERROR(BC124/BC117,""),"")</f>
        <v>0.061682510185119</v>
      </c>
      <c r="BD217" s="215">
        <f>IF(AND(ISNUMBER(BD124),ISNUMBER(BD117)),IFERROR(BD124/BD117,""),"")</f>
        <v>0.0400455608176968</v>
      </c>
      <c r="BE217" s="215">
        <f>IF(AND(ISNUMBER(BE124),ISNUMBER(BE117)),IFERROR(BE124/BE117,""),"")</f>
        <v>0.0768362998245174</v>
      </c>
      <c r="BF217" s="215">
        <f>IF(AND(ISNUMBER(BF124),ISNUMBER(BF117)),IFERROR(BF124/BF117,""),"")</f>
        <v>0.0715715715715716</v>
      </c>
      <c r="BG217" s="215">
        <f>IF(AND(ISNUMBER(BG124),ISNUMBER(BG117)),IFERROR(BG124/BG117,""),"")</f>
        <v>0.0628603170790296</v>
      </c>
      <c r="BH217" s="215">
        <f>IF(AND(ISNUMBER(BH124),ISNUMBER(BH117)),IFERROR(BH124/BH117,""),"")</f>
        <v>0.0727637966631326</v>
      </c>
      <c r="BI217" s="215">
        <f>IF(AND(ISNUMBER(BI124),ISNUMBER(BI117)),IFERROR(BI124/BI117,""),"")</f>
        <v>0.0651106273100096</v>
      </c>
      <c r="BJ217" s="215">
        <f>IF(AND(ISNUMBER(BJ124),ISNUMBER(BJ117)),IFERROR(BJ124/BJ117,""),"")</f>
        <v>0.0576115775519222</v>
      </c>
      <c r="BK217" s="215">
        <f>IF(AND(ISNUMBER(BK124),ISNUMBER(BK117)),IFERROR(BK124/BK117,""),"")</f>
        <v>0.0697156871650468</v>
      </c>
      <c r="BL217" s="215">
        <f>IF(AND(ISNUMBER(BL124),ISNUMBER(BL117)),IFERROR(BL124/BL117,""),"")</f>
        <v>0.0664318584980847</v>
      </c>
      <c r="BM217" s="215">
        <f>IF(AND(ISNUMBER(BM124),ISNUMBER(BM117)),IFERROR(BM124/BM117,""),"")</f>
        <v>0.0700706137968495</v>
      </c>
      <c r="BN217" s="215">
        <f>IF(AND(ISNUMBER(BN124),ISNUMBER(BN117)),IFERROR(BN124/BN117,""),"")</f>
        <v>0.0816435432230523</v>
      </c>
      <c r="BO217" s="215">
        <f>IF(AND(ISNUMBER(BO124),ISNUMBER(BO117)),IFERROR(BO124/BO117,""),"")</f>
        <v>0.0608183856502242</v>
      </c>
      <c r="BP217" s="215">
        <f>IF(AND(ISNUMBER(BP124),ISNUMBER(BP117)),IFERROR(BP124/BP117,""),"")</f>
        <v>0.0917202466867865</v>
      </c>
      <c r="BQ217" s="215">
        <f>IF(AND(ISNUMBER(BQ124),ISNUMBER(BQ117)),IFERROR(BQ124/BQ117,""),"")</f>
        <v>0.0754844626185787</v>
      </c>
      <c r="BR217" s="215">
        <f>IF(AND(ISNUMBER(BR124),ISNUMBER(BR117)),IFERROR(BR124/BR117,""),"")</f>
        <v>0.0570373409930242</v>
      </c>
      <c r="BS217" s="215">
        <f>IF(AND(ISNUMBER(BS124),ISNUMBER(BS117)),IFERROR(BS124/BS117,""),"")</f>
        <v>0.078816651281375</v>
      </c>
      <c r="BT217" s="215">
        <f>IF(AND(ISNUMBER(BT124),ISNUMBER(BT117)),IFERROR(BT124/BT117,""),"")</f>
        <v>0.0654061022776107</v>
      </c>
      <c r="BU217" s="215">
        <f>IF(AND(ISNUMBER(BU124),ISNUMBER(BU117)),IFERROR(BU124/BU117,""),"")</f>
        <v>0.0694421246033072</v>
      </c>
      <c r="BV217" s="215">
        <f>IF(AND(ISNUMBER(BV124),ISNUMBER(BV117)),IFERROR(BV124/BV117,""),"")</f>
        <v>0.0680728345796586</v>
      </c>
      <c r="BW217" s="215">
        <f>IF(AND(ISNUMBER(BW124),ISNUMBER(BW117)),IFERROR(BW124/BW117,""),"")</f>
        <v>0.0538776612503938</v>
      </c>
      <c r="BX217" s="215">
        <f>IF(AND(ISNUMBER(BX124),ISNUMBER(BX117)),IFERROR(BX124/BX117,""),"")</f>
        <v>0.05814332247557</v>
      </c>
      <c r="BY217" s="260">
        <f>IF(AND(ISNUMBER(BY124),ISNUMBER(BY117)),IFERROR(BY124/BY117,""),"")</f>
        <v>0.0561173226158155</v>
      </c>
      <c r="BZ217" s="260">
        <f>IF(AND(ISNUMBER(BZ124),ISNUMBER(BZ117)),IFERROR(BZ124/BZ117,""),"")</f>
        <v>0.0561173226158155</v>
      </c>
      <c r="CA217" s="260">
        <f>IF(AND(ISNUMBER(CA124),ISNUMBER(CA117)),IFERROR(CA124/CA117,""),"")</f>
        <v>0.0561173226158155</v>
      </c>
      <c r="CB217" s="260">
        <f>IF(AND(ISNUMBER(CB124),ISNUMBER(CB117)),IFERROR(CB124/CB117,""),"")</f>
        <v>0.058</v>
      </c>
      <c r="CC217" s="260">
        <f>IF(AND(ISNUMBER(CC124),ISNUMBER(CC117)),IFERROR(CC124/CC117,""),"")</f>
        <v>0.057</v>
      </c>
      <c r="CD217" s="260">
        <f>IF(AND(ISNUMBER(CD124),ISNUMBER(CD117)),IFERROR(CD124/CD117,""),"")</f>
        <v>0.056</v>
      </c>
      <c r="CE217" s="260">
        <f>IF(AND(ISNUMBER(CE124),ISNUMBER(CE117)),IFERROR(CE124/CE117,""),"")</f>
        <v>0.055</v>
      </c>
      <c r="CF217" s="260">
        <f>IF(AND(ISNUMBER(CF124),ISNUMBER(CF117)),IFERROR(CF124/CF117,""),"")</f>
        <v>0.055</v>
      </c>
      <c r="CG217" s="153" t="n"/>
      <c r="CI217" s="37">
        <f>IFERROR(AVERAGE(CB217,CC217,CD217,CE217,CF217),"n/m")</f>
        <v>0.0562</v>
      </c>
      <c r="CJ217" s="37">
        <f>IFERROR(AVERAGE(BB217,BG217,BL217,BQ217,BV217),"n/m")</f>
        <v>0.0679179984628505</v>
      </c>
      <c r="CK217" s="37">
        <f>IFERROR(AVERAGE(AC217,AH217,AM217,AR217,AW217,BB217,BG217,BL217,BQ217,BV217),"n/m")</f>
        <v>0.0600708336539996</v>
      </c>
      <c r="CL217" s="37">
        <f>IFERROR(AVERAGE(C217,D217,E217,F217,G217,H217,I217,N217,S217,X217,AC217,AH217,AM217,AR217,AW217,BB217,BG217,BL217,BQ217,BV217),"n/m")</f>
        <v>0.0548582390586227</v>
      </c>
    </row>
    <row r="218" ht="15" customHeight="1" s="251">
      <c r="B218" s="25" t="inlineStr">
        <is>
          <t xml:space="preserve">  R&amp;D % of revenues</t>
        </is>
      </c>
      <c r="C218" s="215">
        <f>IF(AND(ISNUMBER(C125),ISNUMBER(C117)),IFERROR(C125/C117,""),"")</f>
        <v>0.0529335283601495</v>
      </c>
      <c r="D218" s="215">
        <f>IF(AND(ISNUMBER(D125),ISNUMBER(D117)),IFERROR(D125/D117,""),"")</f>
        <v>0.0579932818172233</v>
      </c>
      <c r="E218" s="215">
        <f>IF(AND(ISNUMBER(E125),ISNUMBER(E117)),IFERROR(E125/E117,""),"")</f>
        <v>0.0618465326220763</v>
      </c>
      <c r="F218" s="215">
        <f>IF(AND(ISNUMBER(F125),ISNUMBER(F117)),IFERROR(F125/F117,""),"")</f>
        <v>0.0952827287239496</v>
      </c>
      <c r="G218" s="215">
        <f>IF(AND(ISNUMBER(G125),ISNUMBER(G117)),IFERROR(G125/G117,""),"")</f>
        <v>0.0640842223120704</v>
      </c>
      <c r="H218" s="215">
        <f>IF(AND(ISNUMBER(H125),ISNUMBER(H117)),IFERROR(H125/H117,""),"")</f>
        <v>0.0570015276060231</v>
      </c>
      <c r="I218" s="215">
        <f>IF(AND(ISNUMBER(I125),ISNUMBER(I117)),IFERROR(I125/I117,""),"")</f>
        <v>0.0403681852676932</v>
      </c>
      <c r="J218" s="215">
        <f>IF(AND(ISNUMBER(J125),ISNUMBER(J117)),IFERROR(J125/J117,""),"")</f>
        <v>0.0373154078230032</v>
      </c>
      <c r="K218" s="215">
        <f>IF(AND(ISNUMBER(K125),ISNUMBER(K117)),IFERROR(K125/K117,""),"")</f>
        <v>0.0349759339903736</v>
      </c>
      <c r="L218" s="215">
        <f>IF(AND(ISNUMBER(L125),ISNUMBER(L117)),IFERROR(L125/L117,""),"")</f>
        <v>0.0341165838228649</v>
      </c>
      <c r="M218" s="215">
        <f>IF(AND(ISNUMBER(M125),ISNUMBER(M117)),IFERROR(M125/M117,""),"")</f>
        <v>0.0356527223039731</v>
      </c>
      <c r="N218" s="215">
        <f>IF(AND(ISNUMBER(N125),ISNUMBER(N117)),IFERROR(N125/N117,""),"")</f>
        <v>0.0354524779792896</v>
      </c>
      <c r="O218" s="215">
        <f>IF(AND(ISNUMBER(O125),ISNUMBER(O117)),IFERROR(O125/O117,""),"")</f>
        <v>0.0395309064256047</v>
      </c>
      <c r="P218" s="215">
        <f>IF(AND(ISNUMBER(P125),ISNUMBER(P117)),IFERROR(P125/P117,""),"")</f>
        <v>0.0332501701066001</v>
      </c>
      <c r="Q218" s="215">
        <f>IF(AND(ISNUMBER(Q125),ISNUMBER(Q117)),IFERROR(Q125/Q117,""),"")</f>
        <v>0.0315338042381433</v>
      </c>
      <c r="R218" s="215">
        <f>IF(AND(ISNUMBER(R125),ISNUMBER(R117)),IFERROR(R125/R117,""),"")</f>
        <v>0.0308566290665359</v>
      </c>
      <c r="S218" s="215">
        <f>IF(AND(ISNUMBER(S125),ISNUMBER(S117)),IFERROR(S125/S117,""),"")</f>
        <v>0.0335713183931601</v>
      </c>
      <c r="T218" s="215">
        <f>IF(AND(ISNUMBER(T125),ISNUMBER(T117)),IFERROR(T125/T117,""),"")</f>
        <v>0.0347194004243984</v>
      </c>
      <c r="U218" s="215">
        <f>IF(AND(ISNUMBER(U125),ISNUMBER(U117)),IFERROR(U125/U117,""),"")</f>
        <v>0.0325958521778104</v>
      </c>
      <c r="V218" s="215">
        <f>IF(AND(ISNUMBER(V125),ISNUMBER(V117)),IFERROR(V125/V117,""),"")</f>
        <v>0.0331540871987311</v>
      </c>
      <c r="W218" s="215">
        <f>IF(AND(ISNUMBER(W125),ISNUMBER(W117)),IFERROR(W125/W117,""),"")</f>
        <v>0.0383913799686082</v>
      </c>
      <c r="X218" s="215">
        <f>IF(AND(ISNUMBER(X125),ISNUMBER(X117)),IFERROR(X125/X117,""),"")</f>
        <v>0.0346567617620742</v>
      </c>
      <c r="Y218" s="215">
        <f>IF(AND(ISNUMBER(Y125),ISNUMBER(Y117)),IFERROR(Y125/Y117,""),"")</f>
        <v>0.0405178508306822</v>
      </c>
      <c r="Z218" s="215">
        <f>IF(AND(ISNUMBER(Z125),ISNUMBER(Z117)),IFERROR(Z125/Z117,""),"")</f>
        <v>0.0859220359523329</v>
      </c>
      <c r="AA218" s="215">
        <f>IF(AND(ISNUMBER(AA125),ISNUMBER(AA117)),IFERROR(AA125/AA117,""),"")</f>
        <v>0.0358607414846431</v>
      </c>
      <c r="AB218" s="215">
        <f>IF(AND(ISNUMBER(AB125),ISNUMBER(AB117)),IFERROR(AB125/AB117,""),"")</f>
        <v>0.0311775315640299</v>
      </c>
      <c r="AC218" s="215">
        <f>IF(AND(ISNUMBER(AC125),ISNUMBER(AC117)),IFERROR(AC125/AC117,""),"")</f>
        <v>0.0489262035930676</v>
      </c>
      <c r="AD218" s="215">
        <f>IF(AND(ISNUMBER(AD125),ISNUMBER(AD117)),IFERROR(AD125/AD117,""),"")</f>
        <v>0.0399504195270786</v>
      </c>
      <c r="AE218" s="215">
        <f>IF(AND(ISNUMBER(AE125),ISNUMBER(AE117)),IFERROR(AE125/AE117,""),"")</f>
        <v>0.0357535511675975</v>
      </c>
      <c r="AF218" s="215">
        <f>IF(AND(ISNUMBER(AF125),ISNUMBER(AF117)),IFERROR(AF125/AF117,""),"")</f>
        <v>0.0315521000452507</v>
      </c>
      <c r="AG218" s="215">
        <f>IF(AND(ISNUMBER(AG125),ISNUMBER(AG117)),IFERROR(AG125/AG117,""),"")</f>
        <v>0.0299984232103437</v>
      </c>
      <c r="AH218" s="215">
        <f>IF(AND(ISNUMBER(AH125),ISNUMBER(AH117)),IFERROR(AH125/AH117,""),"")</f>
        <v>0.0340393181428816</v>
      </c>
      <c r="AI218" s="215">
        <f>IF(AND(ISNUMBER(AI125),ISNUMBER(AI117)),IFERROR(AI125/AI117,""),"")</f>
        <v>0.0326747070396031</v>
      </c>
      <c r="AJ218" s="215">
        <f>IF(AND(ISNUMBER(AJ125),ISNUMBER(AJ117)),IFERROR(AJ125/AJ117,""),"")</f>
        <v>0.0340918459889521</v>
      </c>
      <c r="AK218" s="215">
        <f>IF(AND(ISNUMBER(AK125),ISNUMBER(AK117)),IFERROR(AK125/AK117,""),"")</f>
        <v>0.0328481667064344</v>
      </c>
      <c r="AL218" s="215">
        <f>IF(AND(ISNUMBER(AL125),ISNUMBER(AL117)),IFERROR(AL125/AL117,""),"")</f>
        <v>0.0300624536890018</v>
      </c>
      <c r="AM218" s="215">
        <f>IF(AND(ISNUMBER(AM125),ISNUMBER(AM117)),IFERROR(AM125/AM117,""),"")</f>
        <v>0.0323256894795653</v>
      </c>
      <c r="AN218" s="215">
        <f>IF(AND(ISNUMBER(AN125),ISNUMBER(AN117)),IFERROR(AN125/AN117,""),"")</f>
        <v>0.0377885412575817</v>
      </c>
      <c r="AO218" s="215">
        <f>IF(AND(ISNUMBER(AO125),ISNUMBER(AO117)),IFERROR(AO125/AO117,""),"")</f>
        <v>0.0524411148498508</v>
      </c>
      <c r="AP218" s="215">
        <f>IF(AND(ISNUMBER(AP125),ISNUMBER(AP117)),IFERROR(AP125/AP117,""),"")</f>
        <v>0.0389389389389389</v>
      </c>
      <c r="AQ218" s="215">
        <f>IF(AND(ISNUMBER(AQ125),ISNUMBER(AQ117)),IFERROR(AQ125/AQ117,""),"")</f>
        <v>0.0418178772821171</v>
      </c>
      <c r="AR218" s="215">
        <f>IF(AND(ISNUMBER(AR125),ISNUMBER(AR117)),IFERROR(AR125/AR117,""),"")</f>
        <v>0.042046003735681</v>
      </c>
      <c r="AS218" s="215">
        <f>IF(AND(ISNUMBER(AS125),ISNUMBER(AS117)),IFERROR(AS125/AS117,""),"")</f>
        <v>0.0397444996451384</v>
      </c>
      <c r="AT218" s="215">
        <f>IF(AND(ISNUMBER(AT125),ISNUMBER(AT117)),IFERROR(AT125/AT117,""),"")</f>
        <v>0.052934699754383</v>
      </c>
      <c r="AU218" s="215">
        <f>IF(AND(ISNUMBER(AU125),ISNUMBER(AU117)),IFERROR(AU125/AU117,""),"")</f>
        <v>0.0405969304759884</v>
      </c>
      <c r="AV218" s="215">
        <f>IF(AND(ISNUMBER(AV125),ISNUMBER(AV117)),IFERROR(AV125/AV117,""),"")</f>
        <v>0.0395321484579195</v>
      </c>
      <c r="AW218" s="215">
        <f>IF(AND(ISNUMBER(AW125),ISNUMBER(AW117)),IFERROR(AW125/AW117,""),"")</f>
        <v>0.0425736785996767</v>
      </c>
      <c r="AX218" s="215">
        <f>IF(AND(ISNUMBER(AX125),ISNUMBER(AX117)),IFERROR(AX125/AX117,""),"")</f>
        <v>0.0327922718012749</v>
      </c>
      <c r="AY218" s="215">
        <f>IF(AND(ISNUMBER(AY125),ISNUMBER(AY117)),IFERROR(AY125/AY117,""),"")</f>
        <v>0.0292387339687022</v>
      </c>
      <c r="AZ218" s="215">
        <f>IF(AND(ISNUMBER(AZ125),ISNUMBER(AZ117)),IFERROR(AZ125/AZ117,""),"")</f>
        <v>0.0376358162063097</v>
      </c>
      <c r="BA218" s="215">
        <f>IF(AND(ISNUMBER(BA125),ISNUMBER(BA117)),IFERROR(BA125/BA117,""),"")</f>
        <v>0.0458324883390793</v>
      </c>
      <c r="BB218" s="215">
        <f>IF(AND(ISNUMBER(BB125),ISNUMBER(BB117)),IFERROR(BB125/BB117,""),"")</f>
        <v>0.0361076325337957</v>
      </c>
      <c r="BC218" s="215">
        <f>IF(AND(ISNUMBER(BC125),ISNUMBER(BC117)),IFERROR(BC125/BC117,""),"")</f>
        <v>0.0452433707383318</v>
      </c>
      <c r="BD218" s="215">
        <f>IF(AND(ISNUMBER(BD125),ISNUMBER(BD117)),IFERROR(BD125/BD117,""),"")</f>
        <v>0.0418440141478329</v>
      </c>
      <c r="BE218" s="215">
        <f>IF(AND(ISNUMBER(BE125),ISNUMBER(BE117)),IFERROR(BE125/BE117,""),"")</f>
        <v>0.0455627976936576</v>
      </c>
      <c r="BF218" s="215">
        <f>IF(AND(ISNUMBER(BF125),ISNUMBER(BF117)),IFERROR(BF125/BF117,""),"")</f>
        <v>0.0397397397397397</v>
      </c>
      <c r="BG218" s="215">
        <f>IF(AND(ISNUMBER(BG125),ISNUMBER(BG117)),IFERROR(BG125/BG117,""),"")</f>
        <v>0.0428176795580111</v>
      </c>
      <c r="BH218" s="215">
        <f>IF(AND(ISNUMBER(BH125),ISNUMBER(BH117)),IFERROR(BH125/BH117,""),"")</f>
        <v>0.0413481390547402</v>
      </c>
      <c r="BI218" s="215">
        <f>IF(AND(ISNUMBER(BI125),ISNUMBER(BI117)),IFERROR(BI125/BI117,""),"")</f>
        <v>0.0403523872209002</v>
      </c>
      <c r="BJ218" s="215">
        <f>IF(AND(ISNUMBER(BJ125),ISNUMBER(BJ117)),IFERROR(BJ125/BJ117,""),"")</f>
        <v>0.0529164825452939</v>
      </c>
      <c r="BK218" s="215">
        <f>IF(AND(ISNUMBER(BK125),ISNUMBER(BK117)),IFERROR(BK125/BK117,""),"")</f>
        <v>0.0400127168680171</v>
      </c>
      <c r="BL218" s="215">
        <f>IF(AND(ISNUMBER(BL125),ISNUMBER(BL117)),IFERROR(BL125/BL117,""),"")</f>
        <v>0.0434095174435046</v>
      </c>
      <c r="BM218" s="215">
        <f>IF(AND(ISNUMBER(BM125),ISNUMBER(BM117)),IFERROR(BM125/BM117,""),"")</f>
        <v>0.0523869877482045</v>
      </c>
      <c r="BN218" s="215">
        <f>IF(AND(ISNUMBER(BN125),ISNUMBER(BN117)),IFERROR(BN125/BN117,""),"")</f>
        <v>0.0565635005336179</v>
      </c>
      <c r="BO218" s="215">
        <f>IF(AND(ISNUMBER(BO125),ISNUMBER(BO117)),IFERROR(BO125/BO117,""),"")</f>
        <v>0.0646860986547085</v>
      </c>
      <c r="BP218" s="215">
        <f>IF(AND(ISNUMBER(BP125),ISNUMBER(BP117)),IFERROR(BP125/BP117,""),"")</f>
        <v>0.0548484450859467</v>
      </c>
      <c r="BQ218" s="215">
        <f>IF(AND(ISNUMBER(BQ125),ISNUMBER(BQ117)),IFERROR(BQ125/BQ117,""),"")</f>
        <v>0.0573086579370687</v>
      </c>
      <c r="BR218" s="215">
        <f>IF(AND(ISNUMBER(BR125),ISNUMBER(BR117)),IFERROR(BR125/BR117,""),"")</f>
        <v>0.0432909314731227</v>
      </c>
      <c r="BS218" s="215">
        <f>IF(AND(ISNUMBER(BS125),ISNUMBER(BS117)),IFERROR(BS125/BS117,""),"")</f>
        <v>0.040001758319047</v>
      </c>
      <c r="BT218" s="215">
        <f>IF(AND(ISNUMBER(BT125),ISNUMBER(BT117)),IFERROR(BT125/BT117,""),"")</f>
        <v>0.0385474860335196</v>
      </c>
      <c r="BU218" s="215">
        <f>IF(AND(ISNUMBER(BU125),ISNUMBER(BU117)),IFERROR(BU125/BU117,""),"")</f>
        <v>0.0402538834140638</v>
      </c>
      <c r="BV218" s="215">
        <f>IF(AND(ISNUMBER(BV125),ISNUMBER(BV117)),IFERROR(BV125/BV117,""),"")</f>
        <v>0.040407766339157</v>
      </c>
      <c r="BW218" s="215">
        <f>IF(AND(ISNUMBER(BW125),ISNUMBER(BW117)),IFERROR(BW125/BW117,""),"")</f>
        <v>0.0406445514695954</v>
      </c>
      <c r="BX218" s="215">
        <f>IF(AND(ISNUMBER(BX125),ISNUMBER(BX117)),IFERROR(BX125/BX117,""),"")</f>
        <v>0.0375</v>
      </c>
      <c r="BY218" s="260">
        <f>IF(AND(ISNUMBER(BY125),ISNUMBER(BY117)),IFERROR(BY125/BY117,""),"")</f>
        <v>0.0389935224576181</v>
      </c>
      <c r="BZ218" s="260">
        <f>IF(AND(ISNUMBER(BZ125),ISNUMBER(BZ117)),IFERROR(BZ125/BZ117,""),"")</f>
        <v>0.0389935224576181</v>
      </c>
      <c r="CA218" s="260">
        <f>IF(AND(ISNUMBER(CA125),ISNUMBER(CA117)),IFERROR(CA125/CA117,""),"")</f>
        <v>0.0389935224576181</v>
      </c>
      <c r="CB218" s="260">
        <f>IF(AND(ISNUMBER(CB125),ISNUMBER(CB117)),IFERROR(CB125/CB117,""),"")</f>
        <v>0.039</v>
      </c>
      <c r="CC218" s="260">
        <f>IF(AND(ISNUMBER(CC125),ISNUMBER(CC117)),IFERROR(CC125/CC117,""),"")</f>
        <v>0.038</v>
      </c>
      <c r="CD218" s="260">
        <f>IF(AND(ISNUMBER(CD125),ISNUMBER(CD117)),IFERROR(CD125/CD117,""),"")</f>
        <v>0.037</v>
      </c>
      <c r="CE218" s="260">
        <f>IF(AND(ISNUMBER(CE125),ISNUMBER(CE117)),IFERROR(CE125/CE117,""),"")</f>
        <v>0.037</v>
      </c>
      <c r="CF218" s="260">
        <f>IF(AND(ISNUMBER(CF125),ISNUMBER(CF117)),IFERROR(CF125/CF117,""),"")</f>
        <v>0.037</v>
      </c>
      <c r="CG218" s="153" t="n"/>
      <c r="CI218" s="37">
        <f>IFERROR(AVERAGE(CB218,CC218,CD218,CE218,CF218),"n/m")</f>
        <v>0.0376</v>
      </c>
      <c r="CJ218" s="37">
        <f>IFERROR(AVERAGE(BB218,BG218,BL218,BQ218,BV218),"n/m")</f>
        <v>0.0440102507623074</v>
      </c>
      <c r="CK218" s="37">
        <f>IFERROR(AVERAGE(AC218,AH218,AM218,AR218,AW218,BB218,BG218,BL218,BQ218,BV218),"n/m")</f>
        <v>0.0419962147362409</v>
      </c>
      <c r="CL218" s="37">
        <f>IFERROR(AVERAGE(C218,D218,E218,F218,G218,H218,I218,N218,S218,X218,AC218,AH218,AM218,AR218,AW218,BB218,BG218,BL218,BQ218,BV218),"n/m")</f>
        <v>0.0476576356103059</v>
      </c>
    </row>
    <row r="219" ht="15" customHeight="1" s="251">
      <c r="CO219" s="11" t="n"/>
      <c r="CP219" s="12" t="n"/>
      <c r="CQ219" s="12" t="n"/>
      <c r="CR219" s="12" t="n"/>
      <c r="CS219" s="13" t="n"/>
    </row>
    <row r="220" ht="15" customHeight="1" s="251">
      <c r="B220" s="10" t="inlineStr">
        <is>
          <t>CONSOLIDATED STATEMENTS OF CASH FLOWS (condensed)</t>
        </is>
      </c>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c r="AJ220" s="10" t="n"/>
      <c r="AK220" s="10" t="n"/>
      <c r="AL220" s="10" t="n"/>
      <c r="AM220" s="10" t="n"/>
      <c r="AN220" s="10" t="n"/>
      <c r="AO220" s="10" t="n"/>
      <c r="AP220" s="10" t="n"/>
      <c r="AQ220" s="10" t="n"/>
      <c r="AR220" s="10" t="n"/>
      <c r="AS220" s="10" t="n"/>
      <c r="AT220" s="10" t="n"/>
      <c r="AU220" s="10" t="n"/>
      <c r="AV220" s="10" t="n"/>
      <c r="AW220" s="10" t="n"/>
      <c r="AX220" s="10" t="n"/>
      <c r="AY220" s="10" t="n"/>
      <c r="AZ220" s="10" t="n"/>
      <c r="BA220" s="10" t="n"/>
      <c r="BB220" s="10" t="n"/>
      <c r="BC220" s="10" t="n"/>
      <c r="BD220" s="10" t="n"/>
      <c r="BE220" s="10" t="n"/>
      <c r="BF220" s="10" t="n"/>
      <c r="BG220" s="10" t="n"/>
      <c r="BH220" s="10" t="n"/>
      <c r="BI220" s="10" t="n"/>
      <c r="BJ220" s="10" t="n"/>
      <c r="BK220" s="10" t="n"/>
      <c r="BL220" s="10" t="n"/>
      <c r="BM220" s="10" t="n"/>
      <c r="BN220" s="10" t="n"/>
      <c r="BO220" s="10" t="n"/>
      <c r="BP220" s="10" t="n"/>
      <c r="BQ220" s="10" t="n"/>
      <c r="BR220" s="10" t="n"/>
      <c r="BS220" s="10" t="n"/>
      <c r="BT220" s="10" t="n"/>
      <c r="BU220" s="10" t="n"/>
      <c r="BV220" s="10" t="n"/>
      <c r="BW220" s="10" t="n"/>
      <c r="BX220" s="10" t="n"/>
      <c r="BY220" s="10" t="n"/>
      <c r="BZ220" s="10" t="n"/>
      <c r="CA220" s="10" t="n"/>
      <c r="CB220" s="10" t="n"/>
      <c r="CC220" s="10" t="n"/>
      <c r="CD220" s="10" t="n"/>
      <c r="CE220" s="10" t="n"/>
      <c r="CF220" s="10" t="n"/>
      <c r="CG220" s="10" t="inlineStr">
        <is>
          <t>CASH FLOW — forecast logic (annual; 2026E = 1H26 actual + 2H estimate; quarters = discrete, derived from year-to-date statements)</t>
        </is>
      </c>
    </row>
    <row r="221" ht="15" customHeight="1" s="251">
      <c r="B221" s="25" t="inlineStr">
        <is>
          <t>Net earnings / (loss)</t>
        </is>
      </c>
      <c r="C221" s="266" t="n">
        <v>2215</v>
      </c>
      <c r="D221" s="266" t="n">
        <v>4074</v>
      </c>
      <c r="E221" s="266" t="n">
        <v>2702</v>
      </c>
      <c r="F221" s="266" t="n">
        <v>1312</v>
      </c>
      <c r="G221" s="266" t="n">
        <v>3307</v>
      </c>
      <c r="H221" s="266" t="n">
        <v>4018</v>
      </c>
      <c r="I221" s="266" t="n">
        <v>3900</v>
      </c>
      <c r="J221" s="266" t="n">
        <v>1106</v>
      </c>
      <c r="K221" s="266" t="n">
        <v>1088</v>
      </c>
      <c r="L221" s="266" t="n">
        <v>1158</v>
      </c>
      <c r="M221" s="266" t="n">
        <v>1233</v>
      </c>
      <c r="N221" s="266" t="n">
        <v>4585</v>
      </c>
      <c r="O221" s="266" t="n">
        <v>965</v>
      </c>
      <c r="P221" s="266" t="n">
        <v>1653</v>
      </c>
      <c r="Q221" s="266" t="n">
        <v>1362</v>
      </c>
      <c r="R221" s="266" t="n">
        <v>1466</v>
      </c>
      <c r="S221" s="266" t="n">
        <v>5446</v>
      </c>
      <c r="T221" s="266" t="n">
        <v>1336</v>
      </c>
      <c r="U221" s="266" t="n">
        <v>1110</v>
      </c>
      <c r="V221" s="266" t="n">
        <v>1704</v>
      </c>
      <c r="W221" s="266" t="n">
        <v>1026</v>
      </c>
      <c r="X221" s="266" t="n">
        <v>5176</v>
      </c>
      <c r="Y221" s="266" t="n">
        <v>1219</v>
      </c>
      <c r="Z221" s="266" t="n">
        <v>-234</v>
      </c>
      <c r="AA221" s="266" t="n">
        <v>2279</v>
      </c>
      <c r="AB221" s="266" t="n">
        <v>1631</v>
      </c>
      <c r="AC221" s="266" t="n">
        <v>4895</v>
      </c>
      <c r="AD221" s="266" t="n">
        <v>1451</v>
      </c>
      <c r="AE221" s="266" t="n">
        <v>1761</v>
      </c>
      <c r="AF221" s="266" t="n">
        <v>1853</v>
      </c>
      <c r="AG221" s="266" t="n">
        <v>3132</v>
      </c>
      <c r="AH221" s="266" t="n">
        <v>8197</v>
      </c>
      <c r="AI221" s="266" t="n">
        <v>2477</v>
      </c>
      <c r="AJ221" s="266" t="n">
        <v>2196</v>
      </c>
      <c r="AK221" s="266" t="n">
        <v>2363</v>
      </c>
      <c r="AL221" s="266" t="n">
        <v>3424</v>
      </c>
      <c r="AM221" s="266" t="n">
        <v>10460</v>
      </c>
      <c r="AN221" s="266" t="n">
        <v>2149</v>
      </c>
      <c r="AO221" s="266" t="n">
        <v>-2942</v>
      </c>
      <c r="AP221" s="266" t="n">
        <v>1167</v>
      </c>
      <c r="AQ221" s="266" t="n">
        <v>-1010</v>
      </c>
      <c r="AR221" s="266" t="n">
        <v>-636</v>
      </c>
      <c r="AS221" s="266" t="n">
        <v>-641</v>
      </c>
      <c r="AT221" s="266" t="n">
        <v>-2395</v>
      </c>
      <c r="AU221" s="266" t="n">
        <v>-466</v>
      </c>
      <c r="AV221" s="266" t="n">
        <v>-8439</v>
      </c>
      <c r="AW221" s="266" t="n">
        <v>-11941</v>
      </c>
      <c r="AX221" s="266" t="n">
        <v>-561</v>
      </c>
      <c r="AY221" s="266" t="n">
        <v>567</v>
      </c>
      <c r="AZ221" s="266" t="n">
        <v>-132</v>
      </c>
      <c r="BA221" s="266" t="n">
        <v>-4164</v>
      </c>
      <c r="BB221" s="266" t="n">
        <v>-4290</v>
      </c>
      <c r="BC221" s="266" t="n">
        <v>-1242</v>
      </c>
      <c r="BD221" s="266" t="n">
        <v>160</v>
      </c>
      <c r="BE221" s="266" t="n">
        <v>-3308</v>
      </c>
      <c r="BF221" s="266" t="n">
        <v>-663</v>
      </c>
      <c r="BG221" s="266" t="n">
        <v>-5053</v>
      </c>
      <c r="BH221" s="266" t="n">
        <v>-425</v>
      </c>
      <c r="BI221" s="266" t="n">
        <v>-149</v>
      </c>
      <c r="BJ221" s="266" t="n">
        <v>-1638</v>
      </c>
      <c r="BK221" s="266" t="n">
        <v>-30</v>
      </c>
      <c r="BL221" s="266" t="n">
        <v>-2242</v>
      </c>
      <c r="BM221" s="266" t="n">
        <v>-355</v>
      </c>
      <c r="BN221" s="266" t="n">
        <v>-1439</v>
      </c>
      <c r="BO221" s="266" t="n">
        <v>-6174</v>
      </c>
      <c r="BP221" s="266" t="n">
        <v>-3861</v>
      </c>
      <c r="BQ221" s="266" t="n">
        <v>-11829</v>
      </c>
      <c r="BR221" s="266" t="n">
        <v>-31</v>
      </c>
      <c r="BS221" s="266" t="n">
        <v>-612</v>
      </c>
      <c r="BT221" s="266" t="n">
        <v>-5339</v>
      </c>
      <c r="BU221" s="266" t="n">
        <v>8220</v>
      </c>
      <c r="BV221" s="266" t="n">
        <v>2238</v>
      </c>
      <c r="BW221" s="266" t="n">
        <v>-7</v>
      </c>
      <c r="BX221" s="266" t="n">
        <v>-428</v>
      </c>
      <c r="BY221" s="35" t="n"/>
      <c r="BZ221" s="35" t="n"/>
      <c r="CA221" s="263">
        <f>SUM(BW221:BX221)+SUM(BY139:BZ139)</f>
        <v>-52.3992662332539</v>
      </c>
      <c r="CB221" s="263">
        <f>CB139</f>
        <v>3815.92521446473</v>
      </c>
      <c r="CC221" s="263">
        <f>CC139</f>
        <v>6319.9198368872</v>
      </c>
      <c r="CD221" s="263">
        <f>CD139</f>
        <v>8837.99501465415</v>
      </c>
      <c r="CE221" s="263">
        <f>CE139</f>
        <v>10224.520127937</v>
      </c>
      <c r="CF221" s="263">
        <f>CF139</f>
        <v>11022.774206628</v>
      </c>
      <c r="CG221" s="19" t="n"/>
    </row>
    <row r="222" collapsed="1" ht="15" customHeight="1" s="251">
      <c r="B222" s="25" t="inlineStr">
        <is>
          <t>Non-cash items:</t>
        </is>
      </c>
      <c r="CG222" s="153" t="n"/>
    </row>
    <row r="223" ht="15" customHeight="1" s="251">
      <c r="B223" s="25" t="inlineStr">
        <is>
          <t xml:space="preserve">  Depreciation and amortization</t>
        </is>
      </c>
      <c r="C223" s="266" t="n">
        <v>1545</v>
      </c>
      <c r="D223" s="266" t="n">
        <v>1486</v>
      </c>
      <c r="E223" s="266" t="n">
        <v>1491</v>
      </c>
      <c r="F223" s="266" t="n">
        <v>1666</v>
      </c>
      <c r="G223" s="266" t="n">
        <v>1727</v>
      </c>
      <c r="H223" s="266" t="n">
        <v>1457</v>
      </c>
      <c r="I223" s="266" t="n">
        <v>1811</v>
      </c>
      <c r="J223" s="266" t="n">
        <v>429</v>
      </c>
      <c r="K223" s="266" t="n">
        <v>436</v>
      </c>
      <c r="L223" s="266" t="n">
        <v>458</v>
      </c>
      <c r="M223" s="266" t="n">
        <v>521</v>
      </c>
      <c r="N223" s="266" t="n">
        <v>1844</v>
      </c>
      <c r="O223" s="266" t="n">
        <v>448</v>
      </c>
      <c r="P223" s="266" t="n">
        <v>452</v>
      </c>
      <c r="Q223" s="266" t="n">
        <v>478</v>
      </c>
      <c r="R223" s="266" t="n">
        <v>528</v>
      </c>
      <c r="S223" s="266" t="n">
        <v>1906</v>
      </c>
      <c r="T223" s="266" t="n">
        <v>459</v>
      </c>
      <c r="U223" s="266" t="n">
        <v>453</v>
      </c>
      <c r="V223" s="266" t="n">
        <v>437</v>
      </c>
      <c r="W223" s="266" t="n">
        <v>484</v>
      </c>
      <c r="X223" s="266" t="n">
        <v>1833</v>
      </c>
      <c r="Y223" s="266" t="n">
        <v>443</v>
      </c>
      <c r="Z223" s="266" t="n">
        <v>447</v>
      </c>
      <c r="AA223" s="266" t="n">
        <v>474</v>
      </c>
      <c r="AB223" s="266" t="n">
        <v>546</v>
      </c>
      <c r="AC223" s="266" t="n">
        <v>1910</v>
      </c>
      <c r="AD223" s="266" t="n">
        <v>471</v>
      </c>
      <c r="AE223" s="266" t="n">
        <v>494</v>
      </c>
      <c r="AF223" s="266" t="n">
        <v>522</v>
      </c>
      <c r="AG223" s="266" t="n">
        <v>582</v>
      </c>
      <c r="AH223" s="266" t="n">
        <v>2069</v>
      </c>
      <c r="AI223" s="266" t="n">
        <v>501</v>
      </c>
      <c r="AJ223" s="266" t="n">
        <v>507</v>
      </c>
      <c r="AK223" s="266" t="n">
        <v>523</v>
      </c>
      <c r="AL223" s="266" t="n">
        <v>583</v>
      </c>
      <c r="AM223" s="266" t="n">
        <v>2114</v>
      </c>
      <c r="AN223" s="266" t="n">
        <v>521</v>
      </c>
      <c r="AO223" s="266" t="n">
        <v>546</v>
      </c>
      <c r="AP223" s="266" t="n">
        <v>576</v>
      </c>
      <c r="AQ223" s="266" t="n">
        <v>628</v>
      </c>
      <c r="AR223" s="266" t="n">
        <v>2271</v>
      </c>
      <c r="AS223" s="266" t="n">
        <v>556</v>
      </c>
      <c r="AT223" s="266" t="n">
        <v>547</v>
      </c>
      <c r="AU223" s="266" t="n">
        <v>565</v>
      </c>
      <c r="AV223" s="266" t="n">
        <v>578</v>
      </c>
      <c r="AW223" s="266" t="n">
        <v>2246</v>
      </c>
      <c r="AX223" s="266" t="n">
        <v>536</v>
      </c>
      <c r="AY223" s="266" t="n">
        <v>551</v>
      </c>
      <c r="AZ223" s="266" t="n">
        <v>523</v>
      </c>
      <c r="BA223" s="266" t="n">
        <v>534</v>
      </c>
      <c r="BB223" s="266" t="n">
        <v>2144</v>
      </c>
      <c r="BC223" s="266" t="n">
        <v>486</v>
      </c>
      <c r="BD223" s="266" t="n">
        <v>498</v>
      </c>
      <c r="BE223" s="266" t="n">
        <v>493</v>
      </c>
      <c r="BF223" s="266" t="n">
        <v>502</v>
      </c>
      <c r="BG223" s="266" t="n">
        <v>1979</v>
      </c>
      <c r="BH223" s="266" t="n">
        <v>457</v>
      </c>
      <c r="BI223" s="266" t="n">
        <v>456</v>
      </c>
      <c r="BJ223" s="266" t="n">
        <v>467</v>
      </c>
      <c r="BK223" s="266" t="n">
        <v>481</v>
      </c>
      <c r="BL223" s="266" t="n">
        <v>1861</v>
      </c>
      <c r="BM223" s="266" t="n">
        <v>442</v>
      </c>
      <c r="BN223" s="266" t="n">
        <v>441</v>
      </c>
      <c r="BO223" s="266" t="n">
        <v>444</v>
      </c>
      <c r="BP223" s="266" t="n">
        <v>509</v>
      </c>
      <c r="BQ223" s="266" t="n">
        <v>1836</v>
      </c>
      <c r="BR223" s="266" t="n">
        <v>466</v>
      </c>
      <c r="BS223" s="266" t="n">
        <v>460</v>
      </c>
      <c r="BT223" s="266" t="n">
        <v>491</v>
      </c>
      <c r="BU223" s="266" t="n">
        <v>536</v>
      </c>
      <c r="BV223" s="266" t="n">
        <v>1953</v>
      </c>
      <c r="BW223" s="266" t="n">
        <v>573</v>
      </c>
      <c r="BX223" s="266" t="n">
        <v>596</v>
      </c>
      <c r="BY223" s="35" t="n"/>
      <c r="BZ223" s="35" t="n"/>
      <c r="CA223" s="263">
        <f>SUM(BW223:BX223)+SUM(BY104:BZ104)</f>
        <v>2339</v>
      </c>
      <c r="CB223" s="263">
        <f>CB104</f>
        <v>2558.36181834101</v>
      </c>
      <c r="CC223" s="263">
        <f>CC104</f>
        <v>2778.75218905293</v>
      </c>
      <c r="CD223" s="263">
        <f>CD104</f>
        <v>2847.59530454219</v>
      </c>
      <c r="CE223" s="263">
        <f>CE104</f>
        <v>2987.98667400387</v>
      </c>
      <c r="CF223" s="263">
        <f>CF104</f>
        <v>3116.62764513887</v>
      </c>
      <c r="CG223" s="19" t="n"/>
    </row>
    <row r="224" ht="15" customHeight="1" s="251">
      <c r="B224" s="25" t="inlineStr">
        <is>
          <t xml:space="preserve">  Share-based plans expense</t>
        </is>
      </c>
      <c r="C224" s="266" t="n">
        <v>743</v>
      </c>
      <c r="D224" s="266" t="n">
        <v>287</v>
      </c>
      <c r="E224" s="266" t="n">
        <v>209</v>
      </c>
      <c r="F224" s="266" t="n">
        <v>238</v>
      </c>
      <c r="G224" s="266" t="n">
        <v>215</v>
      </c>
      <c r="H224" s="266" t="n">
        <v>186</v>
      </c>
      <c r="I224" s="266" t="n">
        <v>193</v>
      </c>
      <c r="J224" s="266" t="n">
        <v>58</v>
      </c>
      <c r="K224" s="266" t="n">
        <v>49</v>
      </c>
      <c r="L224" s="266" t="n">
        <v>49</v>
      </c>
      <c r="M224" s="266" t="n">
        <v>50</v>
      </c>
      <c r="N224" s="266" t="n">
        <v>206</v>
      </c>
      <c r="O224" s="266" t="n">
        <v>52</v>
      </c>
      <c r="P224" s="266" t="n">
        <v>49</v>
      </c>
      <c r="Q224" s="266" t="n">
        <v>51</v>
      </c>
      <c r="R224" s="266" t="n">
        <v>43</v>
      </c>
      <c r="S224" s="266" t="n">
        <v>195</v>
      </c>
      <c r="T224" s="266" t="n">
        <v>50</v>
      </c>
      <c r="U224" s="266" t="n">
        <v>44</v>
      </c>
      <c r="V224" s="266" t="n">
        <v>47</v>
      </c>
      <c r="W224" s="266" t="n">
        <v>48</v>
      </c>
      <c r="X224" s="266" t="n">
        <v>189</v>
      </c>
      <c r="Y224" s="266" t="n">
        <v>51</v>
      </c>
      <c r="Z224" s="266" t="n">
        <v>46</v>
      </c>
      <c r="AA224" s="266" t="n">
        <v>47</v>
      </c>
      <c r="AB224" s="266" t="n">
        <v>46</v>
      </c>
      <c r="AC224" s="266" t="n">
        <v>190</v>
      </c>
      <c r="AD224" s="266" t="n">
        <v>50</v>
      </c>
      <c r="AE224" s="266" t="n">
        <v>48</v>
      </c>
      <c r="AF224" s="266" t="n">
        <v>53</v>
      </c>
      <c r="AG224" s="266" t="n">
        <v>51</v>
      </c>
      <c r="AH224" s="266" t="n">
        <v>202</v>
      </c>
      <c r="AI224" s="266" t="n">
        <v>45</v>
      </c>
      <c r="AJ224" s="266" t="n">
        <v>53</v>
      </c>
      <c r="AK224" s="266" t="n">
        <v>52</v>
      </c>
      <c r="AL224" s="266" t="n">
        <v>52</v>
      </c>
      <c r="AM224" s="266" t="n">
        <v>202</v>
      </c>
      <c r="AN224" s="266" t="n">
        <v>47</v>
      </c>
      <c r="AO224" s="266" t="n">
        <v>57</v>
      </c>
      <c r="AP224" s="266" t="n">
        <v>56</v>
      </c>
      <c r="AQ224" s="266" t="n">
        <v>52</v>
      </c>
      <c r="AR224" s="266" t="n">
        <v>212</v>
      </c>
      <c r="AS224" s="266" t="n">
        <v>55</v>
      </c>
      <c r="AT224" s="266" t="n">
        <v>60</v>
      </c>
      <c r="AU224" s="266" t="n">
        <v>50</v>
      </c>
      <c r="AV224" s="266" t="n">
        <v>85</v>
      </c>
      <c r="AW224" s="266" t="n">
        <v>250</v>
      </c>
      <c r="AX224" s="266" t="n">
        <v>321</v>
      </c>
      <c r="AY224" s="266" t="n">
        <v>172</v>
      </c>
      <c r="AZ224" s="266" t="n">
        <v>184</v>
      </c>
      <c r="BA224" s="266" t="n">
        <v>156</v>
      </c>
      <c r="BB224" s="266" t="n">
        <v>833</v>
      </c>
      <c r="BC224" s="266" t="n">
        <v>203</v>
      </c>
      <c r="BD224" s="266" t="n">
        <v>149</v>
      </c>
      <c r="BE224" s="266" t="n">
        <v>176</v>
      </c>
      <c r="BF224" s="266" t="n">
        <v>197</v>
      </c>
      <c r="BG224" s="266" t="n">
        <v>725</v>
      </c>
      <c r="BH224" s="266" t="n">
        <v>222</v>
      </c>
      <c r="BI224" s="266" t="n">
        <v>159</v>
      </c>
      <c r="BJ224" s="266" t="n">
        <v>167</v>
      </c>
      <c r="BK224" s="266" t="n">
        <v>142</v>
      </c>
      <c r="BL224" s="266" t="n">
        <v>690</v>
      </c>
      <c r="BM224" s="266" t="n">
        <v>119</v>
      </c>
      <c r="BN224" s="266" t="n">
        <v>89</v>
      </c>
      <c r="BO224" s="266" t="n">
        <v>102</v>
      </c>
      <c r="BP224" s="266" t="n">
        <v>97</v>
      </c>
      <c r="BQ224" s="266" t="n">
        <v>407</v>
      </c>
      <c r="BR224" s="266" t="n">
        <v>135</v>
      </c>
      <c r="BS224" s="266" t="n">
        <v>119</v>
      </c>
      <c r="BT224" s="266" t="n">
        <v>89</v>
      </c>
      <c r="BU224" s="266" t="n">
        <v>83</v>
      </c>
      <c r="BV224" s="266" t="n">
        <v>426</v>
      </c>
      <c r="BW224" s="266" t="n">
        <v>161</v>
      </c>
      <c r="BX224" s="266" t="n">
        <v>103</v>
      </c>
      <c r="BY224" s="35" t="n"/>
      <c r="BZ224" s="35" t="n"/>
      <c r="CA224" s="263">
        <f>SUM(BW224:BX224)+SUM(BY109:BZ109)</f>
        <v>528</v>
      </c>
      <c r="CB224" s="263">
        <f>CB109</f>
        <v>532.99204548771</v>
      </c>
      <c r="CC224" s="263">
        <f>CC109</f>
        <v>578.906706052693</v>
      </c>
      <c r="CD224" s="263">
        <f>CD109</f>
        <v>619.042457509171</v>
      </c>
      <c r="CE224" s="263">
        <f>CE109</f>
        <v>649.562320435623</v>
      </c>
      <c r="CF224" s="263">
        <f>CF109</f>
        <v>677.527748943233</v>
      </c>
      <c r="CG224" s="19" t="n"/>
    </row>
    <row r="225" ht="15" customHeight="1" s="251">
      <c r="B225" s="25" t="inlineStr">
        <is>
          <t xml:space="preserve">  Treasury shares issued for 401(k) contributions</t>
        </is>
      </c>
      <c r="C225" s="266" t="n">
        <v>0</v>
      </c>
      <c r="D225" s="266" t="n">
        <v>0</v>
      </c>
      <c r="E225" s="266" t="n">
        <v>0</v>
      </c>
      <c r="F225" s="266" t="n">
        <v>0</v>
      </c>
      <c r="G225" s="266" t="n">
        <v>0</v>
      </c>
      <c r="H225" s="266" t="n">
        <v>0</v>
      </c>
      <c r="I225" s="266" t="n">
        <v>0</v>
      </c>
      <c r="J225" s="266" t="n">
        <v>0</v>
      </c>
      <c r="K225" s="266" t="n">
        <v>0</v>
      </c>
      <c r="L225" s="266" t="n">
        <v>0</v>
      </c>
      <c r="M225" s="266" t="n">
        <v>0</v>
      </c>
      <c r="N225" s="266" t="n">
        <v>0</v>
      </c>
      <c r="O225" s="266" t="n">
        <v>0</v>
      </c>
      <c r="P225" s="266" t="n">
        <v>0</v>
      </c>
      <c r="Q225" s="266" t="n">
        <v>0</v>
      </c>
      <c r="R225" s="266" t="n">
        <v>0</v>
      </c>
      <c r="S225" s="266" t="n">
        <v>0</v>
      </c>
      <c r="T225" s="266" t="n">
        <v>0</v>
      </c>
      <c r="U225" s="266" t="n">
        <v>0</v>
      </c>
      <c r="V225" s="266" t="n">
        <v>0</v>
      </c>
      <c r="W225" s="266" t="n">
        <v>0</v>
      </c>
      <c r="X225" s="266" t="n">
        <v>0</v>
      </c>
      <c r="Y225" s="266" t="n">
        <v>0</v>
      </c>
      <c r="Z225" s="266" t="n">
        <v>0</v>
      </c>
      <c r="AA225" s="266" t="n">
        <v>0</v>
      </c>
      <c r="AB225" s="266" t="n">
        <v>0</v>
      </c>
      <c r="AC225" s="266" t="n">
        <v>0</v>
      </c>
      <c r="AD225" s="266" t="n">
        <v>0</v>
      </c>
      <c r="AE225" s="266" t="n">
        <v>0</v>
      </c>
      <c r="AF225" s="266" t="n">
        <v>0</v>
      </c>
      <c r="AG225" s="266" t="n">
        <v>0</v>
      </c>
      <c r="AH225" s="266" t="n">
        <v>0</v>
      </c>
      <c r="AI225" s="266" t="n">
        <v>0</v>
      </c>
      <c r="AJ225" s="266" t="n">
        <v>0</v>
      </c>
      <c r="AK225" s="266" t="n">
        <v>0</v>
      </c>
      <c r="AL225" s="266" t="n">
        <v>0</v>
      </c>
      <c r="AM225" s="266" t="n">
        <v>0</v>
      </c>
      <c r="AN225" s="266" t="n">
        <v>0</v>
      </c>
      <c r="AO225" s="266" t="n">
        <v>0</v>
      </c>
      <c r="AP225" s="266" t="n">
        <v>0</v>
      </c>
      <c r="AQ225" s="266" t="n">
        <v>0</v>
      </c>
      <c r="AR225" s="266" t="n">
        <v>0</v>
      </c>
      <c r="AS225" s="266" t="n">
        <v>0</v>
      </c>
      <c r="AT225" s="266" t="n">
        <v>0</v>
      </c>
      <c r="AU225" s="266" t="n">
        <v>0</v>
      </c>
      <c r="AV225" s="266" t="n">
        <v>195</v>
      </c>
      <c r="AW225" s="266" t="n">
        <v>195</v>
      </c>
      <c r="AX225" s="266" t="n">
        <v>306</v>
      </c>
      <c r="AY225" s="266" t="n">
        <v>322</v>
      </c>
      <c r="AZ225" s="266" t="n">
        <v>323</v>
      </c>
      <c r="BA225" s="266" t="n">
        <v>282</v>
      </c>
      <c r="BB225" s="266" t="n">
        <v>1233</v>
      </c>
      <c r="BC225" s="266" t="n">
        <v>329</v>
      </c>
      <c r="BD225" s="266" t="n">
        <v>283</v>
      </c>
      <c r="BE225" s="266" t="n">
        <v>316</v>
      </c>
      <c r="BF225" s="266" t="n">
        <v>287</v>
      </c>
      <c r="BG225" s="266" t="n">
        <v>1215</v>
      </c>
      <c r="BH225" s="266" t="n">
        <v>553</v>
      </c>
      <c r="BI225" s="266" t="n">
        <v>309</v>
      </c>
      <c r="BJ225" s="266" t="n">
        <v>342</v>
      </c>
      <c r="BK225" s="266" t="n">
        <v>311</v>
      </c>
      <c r="BL225" s="266" t="n">
        <v>1515</v>
      </c>
      <c r="BM225" s="266" t="n">
        <v>606</v>
      </c>
      <c r="BN225" s="266" t="n">
        <v>347</v>
      </c>
      <c r="BO225" s="266" t="n">
        <v>362</v>
      </c>
      <c r="BP225" s="266" t="n">
        <v>286</v>
      </c>
      <c r="BQ225" s="266" t="n">
        <v>1601</v>
      </c>
      <c r="BR225" s="266" t="n">
        <v>418</v>
      </c>
      <c r="BS225" s="266" t="n">
        <v>375</v>
      </c>
      <c r="BT225" s="266" t="n">
        <v>380</v>
      </c>
      <c r="BU225" s="266" t="n">
        <v>357</v>
      </c>
      <c r="BV225" s="266" t="n">
        <v>1530</v>
      </c>
      <c r="BW225" s="266" t="n">
        <v>466</v>
      </c>
      <c r="BX225" s="266" t="n">
        <v>389</v>
      </c>
      <c r="BY225" s="35" t="n"/>
      <c r="BZ225" s="35" t="n"/>
      <c r="CA225" s="263">
        <f>SUM(BW225:BX225)+SUM(BY111:BZ111)</f>
        <v>1710</v>
      </c>
      <c r="CB225" s="263">
        <f>CB111</f>
        <v>1761.3</v>
      </c>
      <c r="CC225" s="263">
        <f>CC111</f>
        <v>1814.139</v>
      </c>
      <c r="CD225" s="263">
        <f>CD111</f>
        <v>1868.56317</v>
      </c>
      <c r="CE225" s="263">
        <f>CE111</f>
        <v>1924.6200651</v>
      </c>
      <c r="CF225" s="263">
        <f>CF111</f>
        <v>1982.358667053</v>
      </c>
      <c r="CG225" s="19" t="n"/>
    </row>
    <row r="226" ht="15" customHeight="1" s="251">
      <c r="B226" s="25" t="inlineStr">
        <is>
          <t xml:space="preserve">  Pension and other postretirement plans</t>
        </is>
      </c>
      <c r="C226" s="266" t="n">
        <v>0</v>
      </c>
      <c r="D226" s="266" t="n">
        <v>0</v>
      </c>
      <c r="E226" s="266" t="n">
        <v>14</v>
      </c>
      <c r="F226" s="266" t="n">
        <v>1140</v>
      </c>
      <c r="G226" s="266" t="n">
        <v>1335</v>
      </c>
      <c r="H226" s="266" t="n">
        <v>2126</v>
      </c>
      <c r="I226" s="266" t="n">
        <v>1288</v>
      </c>
      <c r="J226" s="266" t="n">
        <v>821</v>
      </c>
      <c r="K226" s="266" t="n">
        <v>817</v>
      </c>
      <c r="L226" s="266" t="n">
        <v>-684</v>
      </c>
      <c r="M226" s="266" t="n">
        <v>766</v>
      </c>
      <c r="N226" s="266" t="n">
        <v>1720</v>
      </c>
      <c r="O226" s="266" t="n">
        <v>733</v>
      </c>
      <c r="P226" s="266" t="n">
        <v>385</v>
      </c>
      <c r="Q226" s="266" t="n">
        <v>-372</v>
      </c>
      <c r="R226" s="266" t="n">
        <v>440</v>
      </c>
      <c r="S226" s="266" t="n">
        <v>1186</v>
      </c>
      <c r="T226" s="266" t="n">
        <v>608</v>
      </c>
      <c r="U226" s="266" t="n">
        <v>636</v>
      </c>
      <c r="V226" s="266" t="n">
        <v>593</v>
      </c>
      <c r="W226" s="266" t="n">
        <v>633</v>
      </c>
      <c r="X226" s="266" t="n">
        <v>2470</v>
      </c>
      <c r="Y226" s="266" t="n">
        <v>79</v>
      </c>
      <c r="Z226" s="266" t="n">
        <v>102</v>
      </c>
      <c r="AA226" s="266" t="n">
        <v>-37</v>
      </c>
      <c r="AB226" s="266" t="n">
        <v>9</v>
      </c>
      <c r="AC226" s="266" t="n">
        <v>153</v>
      </c>
      <c r="AD226" s="266" t="n">
        <v>10</v>
      </c>
      <c r="AE226" s="266" t="n">
        <v>3</v>
      </c>
      <c r="AF226" s="266" t="n">
        <v>-563</v>
      </c>
      <c r="AG226" s="266" t="n">
        <v>-32</v>
      </c>
      <c r="AH226" s="266" t="n">
        <v>-582</v>
      </c>
      <c r="AI226" s="266" t="n">
        <v>-50</v>
      </c>
      <c r="AJ226" s="266" t="n">
        <v>-7</v>
      </c>
      <c r="AK226" s="266" t="n">
        <v>-32</v>
      </c>
      <c r="AL226" s="266" t="n">
        <v>-64</v>
      </c>
      <c r="AM226" s="266" t="n">
        <v>-153</v>
      </c>
      <c r="AN226" s="266" t="n">
        <v>-188</v>
      </c>
      <c r="AO226" s="266" t="n">
        <v>-202</v>
      </c>
      <c r="AP226" s="266" t="n">
        <v>-180</v>
      </c>
      <c r="AQ226" s="266" t="n">
        <v>-207</v>
      </c>
      <c r="AR226" s="266" t="n">
        <v>-777</v>
      </c>
      <c r="AS226" s="266" t="n">
        <v>-179</v>
      </c>
      <c r="AT226" s="266" t="n">
        <v>-178</v>
      </c>
      <c r="AU226" s="266" t="n">
        <v>-199</v>
      </c>
      <c r="AV226" s="266" t="n">
        <v>-238</v>
      </c>
      <c r="AW226" s="266" t="n">
        <v>-794</v>
      </c>
      <c r="AX226" s="266" t="n">
        <v>-265</v>
      </c>
      <c r="AY226" s="266" t="n">
        <v>-311</v>
      </c>
      <c r="AZ226" s="266" t="n">
        <v>-155</v>
      </c>
      <c r="BA226" s="266" t="n">
        <v>-241</v>
      </c>
      <c r="BB226" s="266" t="n">
        <v>-972</v>
      </c>
      <c r="BC226" s="266" t="n">
        <v>-371</v>
      </c>
      <c r="BD226" s="266" t="n">
        <v>-324</v>
      </c>
      <c r="BE226" s="266" t="n">
        <v>-358</v>
      </c>
      <c r="BF226" s="266" t="n">
        <v>-325</v>
      </c>
      <c r="BG226" s="266" t="n">
        <v>-1378</v>
      </c>
      <c r="BH226" s="266" t="n">
        <v>-244</v>
      </c>
      <c r="BI226" s="266" t="n">
        <v>-276</v>
      </c>
      <c r="BJ226" s="266" t="n">
        <v>-265</v>
      </c>
      <c r="BK226" s="266" t="n">
        <v>-264</v>
      </c>
      <c r="BL226" s="266" t="n">
        <v>-1049</v>
      </c>
      <c r="BM226" s="266" t="n">
        <v>-261</v>
      </c>
      <c r="BN226" s="266" t="n">
        <v>-230</v>
      </c>
      <c r="BO226" s="266" t="n">
        <v>-245</v>
      </c>
      <c r="BP226" s="266" t="n">
        <v>-223</v>
      </c>
      <c r="BQ226" s="266" t="n">
        <v>-959</v>
      </c>
      <c r="BR226" s="266" t="n">
        <v>-150</v>
      </c>
      <c r="BS226" s="266" t="n">
        <v>-142</v>
      </c>
      <c r="BT226" s="266" t="n">
        <v>-144</v>
      </c>
      <c r="BU226" s="266" t="n">
        <v>-157</v>
      </c>
      <c r="BV226" s="266" t="n">
        <v>-593</v>
      </c>
      <c r="BW226" s="266" t="n">
        <v>-22</v>
      </c>
      <c r="BX226" s="266" t="n">
        <v>-33</v>
      </c>
      <c r="BY226" s="35" t="n"/>
      <c r="BZ226" s="35" t="n"/>
      <c r="CA226" s="263">
        <f>SUM(BW226:BX226)+-100.0</f>
        <v>-155</v>
      </c>
      <c r="CB226" s="271" t="n">
        <v>-300</v>
      </c>
      <c r="CC226" s="271" t="n">
        <v>-300</v>
      </c>
      <c r="CD226" s="271" t="n">
        <v>-300</v>
      </c>
      <c r="CE226" s="271" t="n">
        <v>-300</v>
      </c>
      <c r="CF226" s="271" t="n">
        <v>-300</v>
      </c>
      <c r="CG226" s="19" t="inlineStr">
        <is>
          <t>Expense / income less contributions and benefit payments (non-cash FAS/CAS recovery, non-operating pension). Forecast input (assumption); offsets the pension &amp; retiree-health liabilities.</t>
        </is>
      </c>
    </row>
    <row r="227" ht="15" customHeight="1" s="251">
      <c r="B227" s="25" t="inlineStr">
        <is>
          <t xml:space="preserve">  Other non-cash items (reach-forward losses, gains on dispositions, impairments, other; derived)</t>
        </is>
      </c>
      <c r="C227" s="266" t="n">
        <v>-532</v>
      </c>
      <c r="D227" s="266" t="n">
        <v>499</v>
      </c>
      <c r="E227" s="266" t="n">
        <v>934</v>
      </c>
      <c r="F227" s="266" t="n">
        <v>676</v>
      </c>
      <c r="G227" s="266" t="n">
        <v>661</v>
      </c>
      <c r="H227" s="266" t="n">
        <v>583</v>
      </c>
      <c r="I227" s="266" t="n">
        <v>678</v>
      </c>
      <c r="J227" s="266" t="n">
        <v>28</v>
      </c>
      <c r="K227" s="266" t="n">
        <v>-51</v>
      </c>
      <c r="L227" s="266" t="n">
        <v>19</v>
      </c>
      <c r="M227" s="266" t="n">
        <v>493</v>
      </c>
      <c r="N227" s="266" t="n">
        <v>489</v>
      </c>
      <c r="O227" s="266" t="n">
        <v>-34</v>
      </c>
      <c r="P227" s="266" t="n">
        <v>47</v>
      </c>
      <c r="Q227" s="266" t="n">
        <v>197</v>
      </c>
      <c r="R227" s="266" t="n">
        <v>238</v>
      </c>
      <c r="S227" s="266" t="n">
        <v>448</v>
      </c>
      <c r="T227" s="266" t="n">
        <v>-72</v>
      </c>
      <c r="U227" s="266" t="n">
        <v>79</v>
      </c>
      <c r="V227" s="266" t="n">
        <v>107</v>
      </c>
      <c r="W227" s="266" t="n">
        <v>114</v>
      </c>
      <c r="X227" s="266" t="n">
        <v>228</v>
      </c>
      <c r="Y227" s="266" t="n">
        <v>6</v>
      </c>
      <c r="Z227" s="266" t="n">
        <v>129</v>
      </c>
      <c r="AA227" s="266" t="n">
        <v>55</v>
      </c>
      <c r="AB227" s="266" t="n">
        <v>13</v>
      </c>
      <c r="AC227" s="266" t="n">
        <v>203</v>
      </c>
      <c r="AD227" s="266" t="n">
        <v>5</v>
      </c>
      <c r="AE227" s="266" t="n">
        <v>76</v>
      </c>
      <c r="AF227" s="266" t="n">
        <v>92</v>
      </c>
      <c r="AG227" s="266" t="n">
        <v>-50</v>
      </c>
      <c r="AH227" s="266" t="n">
        <v>123</v>
      </c>
      <c r="AI227" s="266" t="n">
        <v>199</v>
      </c>
      <c r="AJ227" s="266" t="n">
        <v>300</v>
      </c>
      <c r="AK227" s="266" t="n">
        <v>46</v>
      </c>
      <c r="AL227" s="266" t="n">
        <v>327</v>
      </c>
      <c r="AM227" s="266" t="n">
        <v>872</v>
      </c>
      <c r="AN227" s="266" t="n">
        <v>248</v>
      </c>
      <c r="AO227" s="266" t="n">
        <v>-4</v>
      </c>
      <c r="AP227" s="266" t="n">
        <v>149</v>
      </c>
      <c r="AQ227" s="266" t="n">
        <v>139</v>
      </c>
      <c r="AR227" s="266" t="n">
        <v>532</v>
      </c>
      <c r="AS227" s="266" t="n">
        <v>222</v>
      </c>
      <c r="AT227" s="266" t="n">
        <v>1037</v>
      </c>
      <c r="AU227" s="266" t="n">
        <v>71</v>
      </c>
      <c r="AV227" s="266" t="n">
        <v>7080</v>
      </c>
      <c r="AW227" s="266" t="n">
        <v>8410</v>
      </c>
      <c r="AX227" s="266" t="n">
        <v>72</v>
      </c>
      <c r="AY227" s="266" t="n">
        <v>-16</v>
      </c>
      <c r="AZ227" s="266" t="n">
        <v>-127</v>
      </c>
      <c r="BA227" s="266" t="n">
        <v>4016</v>
      </c>
      <c r="BB227" s="266" t="n">
        <v>3945</v>
      </c>
      <c r="BC227" s="266" t="n">
        <v>335</v>
      </c>
      <c r="BD227" s="266" t="n">
        <v>182</v>
      </c>
      <c r="BE227" s="266" t="n">
        <v>218</v>
      </c>
      <c r="BF227" s="266" t="n">
        <v>79</v>
      </c>
      <c r="BG227" s="266" t="n">
        <v>814</v>
      </c>
      <c r="BH227" s="266" t="n">
        <v>82</v>
      </c>
      <c r="BI227" s="266" t="n">
        <v>-1</v>
      </c>
      <c r="BJ227" s="266" t="n">
        <v>4</v>
      </c>
      <c r="BK227" s="266" t="n">
        <v>652</v>
      </c>
      <c r="BL227" s="266" t="n">
        <v>737</v>
      </c>
      <c r="BM227" s="266" t="n">
        <v>153</v>
      </c>
      <c r="BN227" s="266" t="n">
        <v>42</v>
      </c>
      <c r="BO227" s="266" t="n">
        <v>3519</v>
      </c>
      <c r="BP227" s="266" t="n">
        <v>1673</v>
      </c>
      <c r="BQ227" s="266" t="n">
        <v>5387</v>
      </c>
      <c r="BR227" s="266" t="n">
        <v>162</v>
      </c>
      <c r="BS227" s="266" t="n">
        <v>236</v>
      </c>
      <c r="BT227" s="266" t="n">
        <v>5378</v>
      </c>
      <c r="BU227" s="266" t="n">
        <v>-9258</v>
      </c>
      <c r="BV227" s="266" t="n">
        <v>-3482</v>
      </c>
      <c r="BW227" s="266" t="n">
        <v>-83</v>
      </c>
      <c r="BX227" s="266" t="n">
        <v>169</v>
      </c>
      <c r="BY227" s="35" t="n"/>
      <c r="BZ227" s="35" t="n"/>
      <c r="CA227" s="263">
        <f>SUM(BW227:BX227)-SUM(BY126:BZ126)</f>
        <v>86</v>
      </c>
      <c r="CB227" s="263">
        <f>-CB126</f>
        <v>0</v>
      </c>
      <c r="CC227" s="263">
        <f>-CC126</f>
        <v>0</v>
      </c>
      <c r="CD227" s="263">
        <f>-CD126</f>
        <v>0</v>
      </c>
      <c r="CE227" s="263">
        <f>-CE126</f>
        <v>0</v>
      </c>
      <c r="CF227" s="263">
        <f>-CF126</f>
        <v>0</v>
      </c>
      <c r="CG227" s="19" t="inlineStr">
        <is>
          <t>History: operating cash flow − the lines above and below (includes 777X / 767 reach-forward losses 2024–25 and the −$9.7bn 2025 divestiture gain).</t>
        </is>
      </c>
    </row>
    <row r="228" ht="15" customHeight="1" s="251">
      <c r="B228" s="25" t="inlineStr">
        <is>
          <t xml:space="preserve">  Working capital &amp; other operating items (receivables, inventories, advances, payables, accrued, taxes, financing receivables)</t>
        </is>
      </c>
      <c r="C228" s="266" t="n">
        <v>3528</v>
      </c>
      <c r="D228" s="266" t="n">
        <v>3238</v>
      </c>
      <c r="E228" s="266" t="n">
        <v>-5751</v>
      </c>
      <c r="F228" s="266" t="n">
        <v>571</v>
      </c>
      <c r="G228" s="266" t="n">
        <v>-4293</v>
      </c>
      <c r="H228" s="266" t="n">
        <v>-4347</v>
      </c>
      <c r="I228" s="266" t="n">
        <v>-362</v>
      </c>
      <c r="J228" s="266" t="n">
        <v>-1918</v>
      </c>
      <c r="K228" s="266" t="n">
        <v>1128</v>
      </c>
      <c r="L228" s="266" t="n">
        <v>1808</v>
      </c>
      <c r="M228" s="266" t="n">
        <v>-1683</v>
      </c>
      <c r="N228" s="266" t="n">
        <v>-665</v>
      </c>
      <c r="O228" s="266" t="n">
        <v>-1052</v>
      </c>
      <c r="P228" s="266" t="n">
        <v>-777</v>
      </c>
      <c r="Q228" s="266" t="n">
        <v>-777</v>
      </c>
      <c r="R228" s="266" t="n">
        <v>2283</v>
      </c>
      <c r="S228" s="266" t="n">
        <v>-323</v>
      </c>
      <c r="T228" s="266" t="n">
        <v>-2293</v>
      </c>
      <c r="U228" s="266" t="n">
        <v>975</v>
      </c>
      <c r="V228" s="266" t="n">
        <v>-29</v>
      </c>
      <c r="W228" s="266" t="n">
        <v>814</v>
      </c>
      <c r="X228" s="266" t="n">
        <v>-533</v>
      </c>
      <c r="Y228" s="266" t="n">
        <v>-567</v>
      </c>
      <c r="Z228" s="266" t="n">
        <v>2744</v>
      </c>
      <c r="AA228" s="266" t="n">
        <v>384</v>
      </c>
      <c r="AB228" s="266" t="n">
        <v>587</v>
      </c>
      <c r="AC228" s="266" t="n">
        <v>3148</v>
      </c>
      <c r="AD228" s="266" t="n">
        <v>107</v>
      </c>
      <c r="AE228" s="266" t="n">
        <v>2568</v>
      </c>
      <c r="AF228" s="266" t="n">
        <v>1439</v>
      </c>
      <c r="AG228" s="266" t="n">
        <v>-779</v>
      </c>
      <c r="AH228" s="266" t="n">
        <v>3335</v>
      </c>
      <c r="AI228" s="266" t="n">
        <v>-36</v>
      </c>
      <c r="AJ228" s="266" t="n">
        <v>1631</v>
      </c>
      <c r="AK228" s="266" t="n">
        <v>1607</v>
      </c>
      <c r="AL228" s="266" t="n">
        <v>-1375</v>
      </c>
      <c r="AM228" s="266" t="n">
        <v>1827</v>
      </c>
      <c r="AN228" s="266" t="n">
        <v>11</v>
      </c>
      <c r="AO228" s="266" t="n">
        <v>1955</v>
      </c>
      <c r="AP228" s="266" t="n">
        <v>-4192</v>
      </c>
      <c r="AQ228" s="266" t="n">
        <v>-1822</v>
      </c>
      <c r="AR228" s="266" t="n">
        <v>-4048</v>
      </c>
      <c r="AS228" s="266" t="n">
        <v>-4315</v>
      </c>
      <c r="AT228" s="266" t="n">
        <v>-4351</v>
      </c>
      <c r="AU228" s="266" t="n">
        <v>-4840</v>
      </c>
      <c r="AV228" s="266" t="n">
        <v>-3270</v>
      </c>
      <c r="AW228" s="266" t="n">
        <v>-16776</v>
      </c>
      <c r="AX228" s="266" t="n">
        <v>-3796</v>
      </c>
      <c r="AY228" s="266" t="n">
        <v>-1768</v>
      </c>
      <c r="AZ228" s="266" t="n">
        <v>-878</v>
      </c>
      <c r="BA228" s="266" t="n">
        <v>133</v>
      </c>
      <c r="BB228" s="266" t="n">
        <v>-6309</v>
      </c>
      <c r="BC228" s="266" t="n">
        <v>-2956</v>
      </c>
      <c r="BD228" s="266" t="n">
        <v>-867</v>
      </c>
      <c r="BE228" s="266" t="n">
        <v>5653</v>
      </c>
      <c r="BF228" s="266" t="n">
        <v>3380</v>
      </c>
      <c r="BG228" s="266" t="n">
        <v>5210</v>
      </c>
      <c r="BH228" s="266" t="n">
        <v>-963</v>
      </c>
      <c r="BI228" s="266" t="n">
        <v>2377</v>
      </c>
      <c r="BJ228" s="266" t="n">
        <v>945</v>
      </c>
      <c r="BK228" s="266" t="n">
        <v>2089</v>
      </c>
      <c r="BL228" s="266" t="n">
        <v>4448</v>
      </c>
      <c r="BM228" s="266" t="n">
        <v>-4066</v>
      </c>
      <c r="BN228" s="266" t="n">
        <v>-3173</v>
      </c>
      <c r="BO228" s="266" t="n">
        <v>647</v>
      </c>
      <c r="BP228" s="266" t="n">
        <v>-1931</v>
      </c>
      <c r="BQ228" s="266" t="n">
        <v>-8523</v>
      </c>
      <c r="BR228" s="266" t="n">
        <v>-2616</v>
      </c>
      <c r="BS228" s="266" t="n">
        <v>-209</v>
      </c>
      <c r="BT228" s="266" t="n">
        <v>268</v>
      </c>
      <c r="BU228" s="266" t="n">
        <v>1550</v>
      </c>
      <c r="BV228" s="266" t="n">
        <v>-1007</v>
      </c>
      <c r="BW228" s="266" t="n">
        <v>-1267</v>
      </c>
      <c r="BX228" s="266" t="n">
        <v>568</v>
      </c>
      <c r="BY228" s="35" t="n"/>
      <c r="BZ228" s="35" t="n"/>
      <c r="CA228" s="263">
        <f>SUM(BW228:BX228)-(CA278-BX278)-(CA279-BX279)-(CA280-BX280)+(CA288-BX288)+(CA289-BX289)+(CA291-BX291)</f>
        <v>1744.39926623326</v>
      </c>
      <c r="CB228" s="263">
        <f>-(CB278-CA278)-(CB279-CA279)-(CB280-CA280)+(CB288-CA288)+(CB289-CA289)+(CB291-CA291)</f>
        <v>2758.06537588004</v>
      </c>
      <c r="CC228" s="263">
        <f>-(CC278-CB278)-(CC279-CB279)-(CC280-CB280)+(CC288-CB288)+(CC289-CB289)+(CC291-CB291)</f>
        <v>4000.16570885714</v>
      </c>
      <c r="CD228" s="263">
        <f>-(CD278-CC278)-(CD279-CC279)-(CD280-CC280)+(CD288-CC288)+(CD289-CC289)+(CD291-CC291)</f>
        <v>4154.18019372924</v>
      </c>
      <c r="CE228" s="263">
        <f>-(CE278-CD278)-(CE279-CD279)-(CE280-CD280)+(CE288-CD288)+(CE289-CD289)+(CE291-CD291)</f>
        <v>3623.22544790575</v>
      </c>
      <c r="CF228" s="263">
        <f>-(CF278-CE278)-(CF279-CE279)-(CF280-CE280)+(CF288-CE288)+(CF289-CE289)+(CF291-CE291)</f>
        <v>3044.27700218853</v>
      </c>
      <c r="CG228" s="19" t="inlineStr">
        <is>
          <t>Forecast linked to the balance sheet: −Δ(receivables, inventories, other current assets) + Δ(payables, advances &amp; progress billings, other current liabilities).</t>
        </is>
      </c>
    </row>
    <row r="229" ht="15" customHeight="1" s="251">
      <c r="B229" s="16" t="inlineStr">
        <is>
          <t>Net cash provided / (used) by operating activities</t>
        </is>
      </c>
      <c r="C229" s="264" t="n">
        <v>7499</v>
      </c>
      <c r="D229" s="264" t="n">
        <v>9584</v>
      </c>
      <c r="E229" s="264" t="n">
        <v>-401</v>
      </c>
      <c r="F229" s="264" t="n">
        <v>5603</v>
      </c>
      <c r="G229" s="264" t="n">
        <v>2952</v>
      </c>
      <c r="H229" s="264" t="n">
        <v>4023</v>
      </c>
      <c r="I229" s="264" t="n">
        <v>7508</v>
      </c>
      <c r="J229" s="264" t="n">
        <v>524</v>
      </c>
      <c r="K229" s="264" t="n">
        <v>3467</v>
      </c>
      <c r="L229" s="264" t="n">
        <v>2808</v>
      </c>
      <c r="M229" s="264" t="n">
        <v>1380</v>
      </c>
      <c r="N229" s="264" t="n">
        <v>8179</v>
      </c>
      <c r="O229" s="264" t="n">
        <v>1112</v>
      </c>
      <c r="P229" s="264" t="n">
        <v>1809</v>
      </c>
      <c r="Q229" s="264" t="n">
        <v>939</v>
      </c>
      <c r="R229" s="264" t="n">
        <v>4998</v>
      </c>
      <c r="S229" s="264" t="n">
        <v>8858</v>
      </c>
      <c r="T229" s="264" t="n">
        <v>88</v>
      </c>
      <c r="U229" s="264" t="n">
        <v>3297</v>
      </c>
      <c r="V229" s="264" t="n">
        <v>2859</v>
      </c>
      <c r="W229" s="264" t="n">
        <v>3119</v>
      </c>
      <c r="X229" s="264" t="n">
        <v>9363</v>
      </c>
      <c r="Y229" s="264" t="n">
        <v>1231</v>
      </c>
      <c r="Z229" s="264" t="n">
        <v>3234</v>
      </c>
      <c r="AA229" s="264" t="n">
        <v>3202</v>
      </c>
      <c r="AB229" s="264" t="n">
        <v>2832</v>
      </c>
      <c r="AC229" s="264" t="n">
        <v>10499</v>
      </c>
      <c r="AD229" s="264" t="n">
        <v>2094</v>
      </c>
      <c r="AE229" s="264" t="n">
        <v>4950</v>
      </c>
      <c r="AF229" s="264" t="n">
        <v>3396</v>
      </c>
      <c r="AG229" s="264" t="n">
        <v>2904</v>
      </c>
      <c r="AH229" s="264" t="n">
        <v>13344</v>
      </c>
      <c r="AI229" s="264" t="n">
        <v>3136</v>
      </c>
      <c r="AJ229" s="264" t="n">
        <v>4680</v>
      </c>
      <c r="AK229" s="264" t="n">
        <v>4559</v>
      </c>
      <c r="AL229" s="264" t="n">
        <v>2947</v>
      </c>
      <c r="AM229" s="264" t="n">
        <v>15322</v>
      </c>
      <c r="AN229" s="264" t="n">
        <v>2788</v>
      </c>
      <c r="AO229" s="264" t="n">
        <v>-590</v>
      </c>
      <c r="AP229" s="264" t="n">
        <v>-2424</v>
      </c>
      <c r="AQ229" s="264" t="n">
        <v>-2220</v>
      </c>
      <c r="AR229" s="264" t="n">
        <v>-2446</v>
      </c>
      <c r="AS229" s="264" t="n">
        <v>-4302</v>
      </c>
      <c r="AT229" s="264" t="n">
        <v>-5280</v>
      </c>
      <c r="AU229" s="264" t="n">
        <v>-4819</v>
      </c>
      <c r="AV229" s="264" t="n">
        <v>-4009</v>
      </c>
      <c r="AW229" s="264" t="n">
        <v>-18410</v>
      </c>
      <c r="AX229" s="264" t="n">
        <v>-3387</v>
      </c>
      <c r="AY229" s="264" t="n">
        <v>-483</v>
      </c>
      <c r="AZ229" s="264" t="n">
        <v>-262</v>
      </c>
      <c r="BA229" s="264" t="n">
        <v>716</v>
      </c>
      <c r="BB229" s="264" t="n">
        <v>-3416</v>
      </c>
      <c r="BC229" s="264" t="n">
        <v>-3216</v>
      </c>
      <c r="BD229" s="264" t="n">
        <v>81</v>
      </c>
      <c r="BE229" s="264" t="n">
        <v>3190</v>
      </c>
      <c r="BF229" s="264" t="n">
        <v>3457</v>
      </c>
      <c r="BG229" s="264" t="n">
        <v>3512</v>
      </c>
      <c r="BH229" s="264" t="n">
        <v>-318</v>
      </c>
      <c r="BI229" s="264" t="n">
        <v>2875</v>
      </c>
      <c r="BJ229" s="264" t="n">
        <v>22</v>
      </c>
      <c r="BK229" s="264" t="n">
        <v>3381</v>
      </c>
      <c r="BL229" s="264" t="n">
        <v>5960</v>
      </c>
      <c r="BM229" s="264" t="n">
        <v>-3362</v>
      </c>
      <c r="BN229" s="264" t="n">
        <v>-3923</v>
      </c>
      <c r="BO229" s="264" t="n">
        <v>-1345</v>
      </c>
      <c r="BP229" s="264" t="n">
        <v>-3450</v>
      </c>
      <c r="BQ229" s="264" t="n">
        <v>-12080</v>
      </c>
      <c r="BR229" s="264" t="n">
        <v>-1616</v>
      </c>
      <c r="BS229" s="264" t="n">
        <v>227</v>
      </c>
      <c r="BT229" s="264" t="n">
        <v>1123</v>
      </c>
      <c r="BU229" s="264" t="n">
        <v>1331</v>
      </c>
      <c r="BV229" s="264" t="n">
        <v>1065</v>
      </c>
      <c r="BW229" s="264" t="n">
        <v>-179</v>
      </c>
      <c r="BX229" s="264" t="n">
        <v>1364</v>
      </c>
      <c r="BY229" s="32" t="n"/>
      <c r="BZ229" s="32" t="n"/>
      <c r="CA229" s="265">
        <f>SUM(CA221:CA228)</f>
        <v>6200</v>
      </c>
      <c r="CB229" s="265">
        <f>SUM(CB221:CB228)</f>
        <v>11126.6444541735</v>
      </c>
      <c r="CC229" s="265">
        <f>SUM(CC221:CC228)</f>
        <v>15191.88344085</v>
      </c>
      <c r="CD229" s="265">
        <f>SUM(CD221:CD228)</f>
        <v>18027.3761404347</v>
      </c>
      <c r="CE229" s="265">
        <f>SUM(CE221:CE228)</f>
        <v>19109.9146353822</v>
      </c>
      <c r="CF229" s="265">
        <f>SUM(CF221:CF228)</f>
        <v>19543.5652699516</v>
      </c>
      <c r="CG229" s="153" t="n"/>
      <c r="CI229" s="20">
        <f>IFERROR(IF(AND(CF229&gt;0,CA229&gt;0),(CF229/CA229)^(1/5)-1,"n/m"),"n/m")</f>
        <v>0.258121027083946</v>
      </c>
      <c r="CJ229" s="20" t="str">
        <f>IFERROR(IF(AND(BV229&gt;0,AW229&gt;0),(BV229/AW229)^(1/5)-1,"n/m"),"n/m")</f>
        <v>n/m</v>
      </c>
      <c r="CK229" s="20">
        <f>IFERROR(IF(AND(BV229&gt;0,X229&gt;0),(BV229/X229)^(1/10)-1,"n/m"),"n/m")</f>
        <v>-0.195375118014484</v>
      </c>
      <c r="CL229" s="20">
        <f>IFERROR(IF(AND(BV229&gt;0,C229&gt;0),(BV229/C229)^(1/19)-1,"n/m"),"n/m")</f>
        <v>-0.0976258516147903</v>
      </c>
    </row>
    <row r="230" ht="15" customHeight="1" s="251">
      <c r="B230" s="25" t="inlineStr">
        <is>
          <t>Payments for property, plant and equipment</t>
        </is>
      </c>
      <c r="C230" s="266" t="n">
        <v>-1681</v>
      </c>
      <c r="D230" s="266" t="n">
        <v>-1731</v>
      </c>
      <c r="E230" s="266" t="n">
        <v>-1674</v>
      </c>
      <c r="F230" s="266" t="n">
        <v>-1186</v>
      </c>
      <c r="G230" s="266" t="n">
        <v>-1125</v>
      </c>
      <c r="H230" s="266" t="n">
        <v>-1713</v>
      </c>
      <c r="I230" s="266" t="n">
        <v>-1703</v>
      </c>
      <c r="J230" s="266" t="n">
        <v>-521</v>
      </c>
      <c r="K230" s="266" t="n">
        <v>-455</v>
      </c>
      <c r="L230" s="266" t="n">
        <v>-484</v>
      </c>
      <c r="M230" s="266" t="n">
        <v>-638</v>
      </c>
      <c r="N230" s="266" t="n">
        <v>-2098</v>
      </c>
      <c r="O230" s="266" t="n">
        <v>-497</v>
      </c>
      <c r="P230" s="266" t="n">
        <v>-449</v>
      </c>
      <c r="Q230" s="266" t="n">
        <v>-622</v>
      </c>
      <c r="R230" s="266" t="n">
        <v>-668</v>
      </c>
      <c r="S230" s="266" t="n">
        <v>-2236</v>
      </c>
      <c r="T230" s="266" t="n">
        <v>-574</v>
      </c>
      <c r="U230" s="266" t="n">
        <v>-692</v>
      </c>
      <c r="V230" s="266" t="n">
        <v>-561</v>
      </c>
      <c r="W230" s="266" t="n">
        <v>-623</v>
      </c>
      <c r="X230" s="266" t="n">
        <v>-2450</v>
      </c>
      <c r="Y230" s="266" t="n">
        <v>-748</v>
      </c>
      <c r="Z230" s="266" t="n">
        <v>-671</v>
      </c>
      <c r="AA230" s="266" t="n">
        <v>-595</v>
      </c>
      <c r="AB230" s="266" t="n">
        <v>-599</v>
      </c>
      <c r="AC230" s="266" t="n">
        <v>-2613</v>
      </c>
      <c r="AD230" s="266" t="n">
        <v>-466</v>
      </c>
      <c r="AE230" s="266" t="n">
        <v>-439</v>
      </c>
      <c r="AF230" s="266" t="n">
        <v>-399</v>
      </c>
      <c r="AG230" s="266" t="n">
        <v>-435</v>
      </c>
      <c r="AH230" s="266" t="n">
        <v>-1739</v>
      </c>
      <c r="AI230" s="266" t="n">
        <v>-394</v>
      </c>
      <c r="AJ230" s="266" t="n">
        <v>-376</v>
      </c>
      <c r="AK230" s="266" t="n">
        <v>-457</v>
      </c>
      <c r="AL230" s="266" t="n">
        <v>-495</v>
      </c>
      <c r="AM230" s="266" t="n">
        <v>-1722</v>
      </c>
      <c r="AN230" s="266" t="n">
        <v>-501</v>
      </c>
      <c r="AO230" s="266" t="n">
        <v>-421</v>
      </c>
      <c r="AP230" s="266" t="n">
        <v>-465</v>
      </c>
      <c r="AQ230" s="266" t="n">
        <v>-447</v>
      </c>
      <c r="AR230" s="266" t="n">
        <v>-1834</v>
      </c>
      <c r="AS230" s="266" t="n">
        <v>-428</v>
      </c>
      <c r="AT230" s="266" t="n">
        <v>-348</v>
      </c>
      <c r="AU230" s="266" t="n">
        <v>-262</v>
      </c>
      <c r="AV230" s="266" t="n">
        <v>-265</v>
      </c>
      <c r="AW230" s="266" t="n">
        <v>-1303</v>
      </c>
      <c r="AX230" s="266" t="n">
        <v>-291</v>
      </c>
      <c r="AY230" s="266" t="n">
        <v>-222</v>
      </c>
      <c r="AZ230" s="266" t="n">
        <v>-245</v>
      </c>
      <c r="BA230" s="266" t="n">
        <v>-222</v>
      </c>
      <c r="BB230" s="266" t="n">
        <v>-980</v>
      </c>
      <c r="BC230" s="266" t="n">
        <v>-349</v>
      </c>
      <c r="BD230" s="266" t="n">
        <v>-263</v>
      </c>
      <c r="BE230" s="266" t="n">
        <v>-284</v>
      </c>
      <c r="BF230" s="266" t="n">
        <v>-326</v>
      </c>
      <c r="BG230" s="266" t="n">
        <v>-1222</v>
      </c>
      <c r="BH230" s="266" t="n">
        <v>-468</v>
      </c>
      <c r="BI230" s="266" t="n">
        <v>-296</v>
      </c>
      <c r="BJ230" s="266" t="n">
        <v>-332</v>
      </c>
      <c r="BK230" s="266" t="n">
        <v>-431</v>
      </c>
      <c r="BL230" s="266" t="n">
        <v>-1527</v>
      </c>
      <c r="BM230" s="266" t="n">
        <v>-567</v>
      </c>
      <c r="BN230" s="266" t="n">
        <v>-404</v>
      </c>
      <c r="BO230" s="266" t="n">
        <v>-611</v>
      </c>
      <c r="BP230" s="266" t="n">
        <v>-648</v>
      </c>
      <c r="BQ230" s="266" t="n">
        <v>-2230</v>
      </c>
      <c r="BR230" s="266" t="n">
        <v>-674</v>
      </c>
      <c r="BS230" s="266" t="n">
        <v>-427</v>
      </c>
      <c r="BT230" s="266" t="n">
        <v>-885</v>
      </c>
      <c r="BU230" s="266" t="n">
        <v>-956</v>
      </c>
      <c r="BV230" s="266" t="n">
        <v>-2942</v>
      </c>
      <c r="BW230" s="266" t="n">
        <v>-1275</v>
      </c>
      <c r="BX230" s="266" t="n">
        <v>-733</v>
      </c>
      <c r="BY230" s="35" t="n"/>
      <c r="BZ230" s="35" t="n"/>
      <c r="CA230" s="263">
        <f>-$CQ$28</f>
        <v>-4200</v>
      </c>
      <c r="CB230" s="263">
        <f>-CB117*CB259</f>
        <v>-4477.13318209676</v>
      </c>
      <c r="CC230" s="263">
        <f>-CC117*CC259</f>
        <v>-4631.25364842154</v>
      </c>
      <c r="CD230" s="263">
        <f>-CD117*CD259</f>
        <v>-4580.91418556787</v>
      </c>
      <c r="CE230" s="263">
        <f>-CE117*CE259</f>
        <v>-4546.93624304936</v>
      </c>
      <c r="CF230" s="263">
        <f>-CF117*CF259</f>
        <v>-4471.68314302533</v>
      </c>
      <c r="CG230" s="19" t="inlineStr">
        <is>
          <t>2026E: point estimate (1H26 $2.0bn; investments in Charleston and St. Louis sites, 737 North Line). 2027E+: revenues × capex %.</t>
        </is>
      </c>
    </row>
    <row r="231" ht="15" customHeight="1" s="251">
      <c r="B231" s="25" t="inlineStr">
        <is>
          <t>Acquisitions, net of cash acquired</t>
        </is>
      </c>
      <c r="C231" s="266" t="n">
        <v>-1854</v>
      </c>
      <c r="D231" s="266" t="n">
        <v>-75</v>
      </c>
      <c r="E231" s="266" t="n">
        <v>-964</v>
      </c>
      <c r="F231" s="266" t="n">
        <v>-639</v>
      </c>
      <c r="G231" s="266" t="n">
        <v>-932</v>
      </c>
      <c r="H231" s="266" t="n">
        <v>-42</v>
      </c>
      <c r="I231" s="266" t="n">
        <v>-124</v>
      </c>
      <c r="J231" s="266" t="n">
        <v>-26</v>
      </c>
      <c r="K231" s="266" t="n">
        <v>0</v>
      </c>
      <c r="L231" s="266" t="n">
        <v>0</v>
      </c>
      <c r="M231" s="266" t="n">
        <v>0</v>
      </c>
      <c r="N231" s="266" t="n">
        <v>-26</v>
      </c>
      <c r="O231" s="266" t="n">
        <v>0</v>
      </c>
      <c r="P231" s="266" t="n">
        <v>-163</v>
      </c>
      <c r="Q231" s="266" t="n">
        <v>0</v>
      </c>
      <c r="R231" s="266" t="n">
        <v>0</v>
      </c>
      <c r="S231" s="266" t="n">
        <v>-163</v>
      </c>
      <c r="T231" s="266" t="n">
        <v>0</v>
      </c>
      <c r="U231" s="266" t="n">
        <v>-23</v>
      </c>
      <c r="V231" s="266" t="n">
        <v>0</v>
      </c>
      <c r="W231" s="266" t="n">
        <v>-8</v>
      </c>
      <c r="X231" s="266" t="n">
        <v>-31</v>
      </c>
      <c r="Y231" s="266" t="n">
        <v>0</v>
      </c>
      <c r="Z231" s="266" t="n">
        <v>0</v>
      </c>
      <c r="AA231" s="266" t="n">
        <v>0</v>
      </c>
      <c r="AB231" s="266" t="n">
        <v>-297</v>
      </c>
      <c r="AC231" s="266" t="n">
        <v>-297</v>
      </c>
      <c r="AD231" s="266" t="n">
        <v>0</v>
      </c>
      <c r="AE231" s="266" t="n">
        <v>0</v>
      </c>
      <c r="AF231" s="266" t="n">
        <v>0</v>
      </c>
      <c r="AG231" s="266" t="n">
        <v>-324</v>
      </c>
      <c r="AH231" s="266" t="n">
        <v>-324</v>
      </c>
      <c r="AI231" s="266" t="n">
        <v>0</v>
      </c>
      <c r="AJ231" s="266" t="n">
        <v>0</v>
      </c>
      <c r="AK231" s="266" t="n">
        <v>-250</v>
      </c>
      <c r="AL231" s="266" t="n">
        <v>-2980</v>
      </c>
      <c r="AM231" s="266" t="n">
        <v>-3230</v>
      </c>
      <c r="AN231" s="266" t="n">
        <v>-276</v>
      </c>
      <c r="AO231" s="266" t="n">
        <v>-216</v>
      </c>
      <c r="AP231" s="266" t="n">
        <v>0</v>
      </c>
      <c r="AQ231" s="266" t="n">
        <v>37</v>
      </c>
      <c r="AR231" s="266" t="n">
        <v>-455</v>
      </c>
      <c r="AS231" s="266" t="n">
        <v>0</v>
      </c>
      <c r="AT231" s="266" t="n">
        <v>0</v>
      </c>
      <c r="AU231" s="266" t="n">
        <v>0</v>
      </c>
      <c r="AV231" s="266" t="n">
        <v>0</v>
      </c>
      <c r="AW231" s="266" t="n">
        <v>0</v>
      </c>
      <c r="AX231" s="266" t="n">
        <v>0</v>
      </c>
      <c r="AY231" s="266" t="n">
        <v>0</v>
      </c>
      <c r="AZ231" s="266" t="n">
        <v>-6</v>
      </c>
      <c r="BA231" s="266" t="n">
        <v>0</v>
      </c>
      <c r="BB231" s="266" t="n">
        <v>-6</v>
      </c>
      <c r="BC231" s="266" t="n">
        <v>0</v>
      </c>
      <c r="BD231" s="266" t="n">
        <v>0</v>
      </c>
      <c r="BE231" s="266" t="n">
        <v>0</v>
      </c>
      <c r="BF231" s="266" t="n">
        <v>0</v>
      </c>
      <c r="BG231" s="266" t="n">
        <v>0</v>
      </c>
      <c r="BH231" s="266" t="n">
        <v>0</v>
      </c>
      <c r="BI231" s="266" t="n">
        <v>0</v>
      </c>
      <c r="BJ231" s="266" t="n">
        <v>-19</v>
      </c>
      <c r="BK231" s="266" t="n">
        <v>-51</v>
      </c>
      <c r="BL231" s="266" t="n">
        <v>-70</v>
      </c>
      <c r="BM231" s="266" t="n">
        <v>0</v>
      </c>
      <c r="BN231" s="266" t="n">
        <v>-50</v>
      </c>
      <c r="BO231" s="266" t="n">
        <v>0</v>
      </c>
      <c r="BP231" s="266" t="n">
        <v>0</v>
      </c>
      <c r="BQ231" s="266" t="n">
        <v>-50</v>
      </c>
      <c r="BR231" s="266" t="n">
        <v>0</v>
      </c>
      <c r="BS231" s="266" t="n">
        <v>0</v>
      </c>
      <c r="BT231" s="266" t="n">
        <v>0</v>
      </c>
      <c r="BU231" s="266" t="n">
        <v>-1248</v>
      </c>
      <c r="BV231" s="266" t="n">
        <v>-1248</v>
      </c>
      <c r="BW231" s="266" t="n">
        <v>0</v>
      </c>
      <c r="BX231" s="266" t="n">
        <v>0</v>
      </c>
      <c r="BY231" s="35" t="n"/>
      <c r="BZ231" s="35" t="n"/>
      <c r="CA231" s="263">
        <f>SUM(BW231:BX231)</f>
        <v>0</v>
      </c>
      <c r="CB231" s="263">
        <f>-CB70</f>
        <v>0</v>
      </c>
      <c r="CC231" s="263">
        <f>-CC70</f>
        <v>0</v>
      </c>
      <c r="CD231" s="263">
        <f>-CD70</f>
        <v>0</v>
      </c>
      <c r="CE231" s="263">
        <f>-CE70</f>
        <v>0</v>
      </c>
      <c r="CF231" s="263">
        <f>-CF70</f>
        <v>0</v>
      </c>
      <c r="CG231" s="19" t="inlineStr">
        <is>
          <t>FY2025: Spirit AeroSystems ($1.2bn cash; total consideration $8.4bn incl. $4.7bn of Boeing shares). 2027E+: M&amp;A lever.</t>
        </is>
      </c>
    </row>
    <row r="232" ht="15" customHeight="1" s="251">
      <c r="B232" s="25" t="inlineStr">
        <is>
          <t>Proceeds from dispositions</t>
        </is>
      </c>
      <c r="C232" s="266" t="n">
        <v>123</v>
      </c>
      <c r="D232" s="266" t="n">
        <v>0</v>
      </c>
      <c r="E232" s="266" t="n">
        <v>0</v>
      </c>
      <c r="F232" s="266" t="n">
        <v>0</v>
      </c>
      <c r="G232" s="266" t="n">
        <v>0</v>
      </c>
      <c r="H232" s="266" t="n">
        <v>0</v>
      </c>
      <c r="I232" s="266" t="n">
        <v>0</v>
      </c>
      <c r="J232" s="266" t="n">
        <v>0</v>
      </c>
      <c r="K232" s="266" t="n">
        <v>0</v>
      </c>
      <c r="L232" s="266" t="n">
        <v>0</v>
      </c>
      <c r="M232" s="266" t="n">
        <v>0</v>
      </c>
      <c r="N232" s="266" t="n">
        <v>0</v>
      </c>
      <c r="O232" s="266" t="n">
        <v>0</v>
      </c>
      <c r="P232" s="266" t="n">
        <v>0</v>
      </c>
      <c r="Q232" s="266" t="n">
        <v>0</v>
      </c>
      <c r="R232" s="266" t="n">
        <v>0</v>
      </c>
      <c r="S232" s="266" t="n">
        <v>0</v>
      </c>
      <c r="T232" s="266" t="n">
        <v>0</v>
      </c>
      <c r="U232" s="266" t="n">
        <v>0</v>
      </c>
      <c r="V232" s="266" t="n">
        <v>0</v>
      </c>
      <c r="W232" s="266" t="n">
        <v>0</v>
      </c>
      <c r="X232" s="266" t="n">
        <v>0</v>
      </c>
      <c r="Y232" s="266" t="n">
        <v>0</v>
      </c>
      <c r="Z232" s="266" t="n">
        <v>0</v>
      </c>
      <c r="AA232" s="266" t="n">
        <v>0</v>
      </c>
      <c r="AB232" s="266" t="n">
        <v>0</v>
      </c>
      <c r="AC232" s="266" t="n">
        <v>0</v>
      </c>
      <c r="AD232" s="266" t="n">
        <v>0</v>
      </c>
      <c r="AE232" s="266" t="n">
        <v>0</v>
      </c>
      <c r="AF232" s="266" t="n">
        <v>0</v>
      </c>
      <c r="AG232" s="266" t="n">
        <v>0</v>
      </c>
      <c r="AH232" s="266" t="n">
        <v>0</v>
      </c>
      <c r="AI232" s="266" t="n">
        <v>0</v>
      </c>
      <c r="AJ232" s="266" t="n">
        <v>0</v>
      </c>
      <c r="AK232" s="266" t="n">
        <v>0</v>
      </c>
      <c r="AL232" s="266" t="n">
        <v>0</v>
      </c>
      <c r="AM232" s="266" t="n">
        <v>0</v>
      </c>
      <c r="AN232" s="266" t="n">
        <v>0</v>
      </c>
      <c r="AO232" s="266" t="n">
        <v>0</v>
      </c>
      <c r="AP232" s="266" t="n">
        <v>0</v>
      </c>
      <c r="AQ232" s="266" t="n">
        <v>464</v>
      </c>
      <c r="AR232" s="266" t="n">
        <v>464</v>
      </c>
      <c r="AS232" s="266" t="n">
        <v>0</v>
      </c>
      <c r="AT232" s="266" t="n">
        <v>0</v>
      </c>
      <c r="AU232" s="266" t="n">
        <v>0</v>
      </c>
      <c r="AV232" s="266" t="n">
        <v>0</v>
      </c>
      <c r="AW232" s="266" t="n">
        <v>0</v>
      </c>
      <c r="AX232" s="266" t="n">
        <v>0</v>
      </c>
      <c r="AY232" s="266" t="n">
        <v>0</v>
      </c>
      <c r="AZ232" s="266" t="n">
        <v>0</v>
      </c>
      <c r="BA232" s="266" t="n">
        <v>0</v>
      </c>
      <c r="BB232" s="266" t="n">
        <v>0</v>
      </c>
      <c r="BC232" s="266" t="n">
        <v>0</v>
      </c>
      <c r="BD232" s="266" t="n">
        <v>0</v>
      </c>
      <c r="BE232" s="266" t="n">
        <v>0</v>
      </c>
      <c r="BF232" s="266" t="n">
        <v>0</v>
      </c>
      <c r="BG232" s="266" t="n">
        <v>0</v>
      </c>
      <c r="BH232" s="266" t="n">
        <v>0</v>
      </c>
      <c r="BI232" s="266" t="n">
        <v>0</v>
      </c>
      <c r="BJ232" s="266" t="n">
        <v>0</v>
      </c>
      <c r="BK232" s="266" t="n">
        <v>0</v>
      </c>
      <c r="BL232" s="266" t="n">
        <v>0</v>
      </c>
      <c r="BM232" s="266" t="n">
        <v>0</v>
      </c>
      <c r="BN232" s="266" t="n">
        <v>0</v>
      </c>
      <c r="BO232" s="266" t="n">
        <v>0</v>
      </c>
      <c r="BP232" s="266" t="n">
        <v>124</v>
      </c>
      <c r="BQ232" s="266" t="n">
        <v>124</v>
      </c>
      <c r="BR232" s="266" t="n">
        <v>0</v>
      </c>
      <c r="BS232" s="266" t="n">
        <v>35</v>
      </c>
      <c r="BT232" s="266" t="n">
        <v>0</v>
      </c>
      <c r="BU232" s="266" t="n">
        <v>10550</v>
      </c>
      <c r="BV232" s="266" t="n">
        <v>10585</v>
      </c>
      <c r="BW232" s="266" t="n">
        <v>0</v>
      </c>
      <c r="BX232" s="266" t="n">
        <v>0</v>
      </c>
      <c r="BY232" s="35" t="n"/>
      <c r="BZ232" s="35" t="n"/>
      <c r="CA232" s="263">
        <f>SUM(BW232:BX232)</f>
        <v>0</v>
      </c>
      <c r="CB232" s="271" t="n">
        <v>0</v>
      </c>
      <c r="CC232" s="271" t="n">
        <v>0</v>
      </c>
      <c r="CD232" s="271" t="n">
        <v>0</v>
      </c>
      <c r="CE232" s="271" t="n">
        <v>0</v>
      </c>
      <c r="CF232" s="271" t="n">
        <v>0</v>
      </c>
      <c r="CG232" s="19" t="inlineStr">
        <is>
          <t>FY2025: Digital Aviation Solutions (Jeppesen, ForeFlight, AerData, OzRunways) to Thoma Bravo, $10.55bn (closed 31-Oct-2025).</t>
        </is>
      </c>
    </row>
    <row r="233" ht="15" customHeight="1" s="251">
      <c r="B233" s="25" t="inlineStr">
        <is>
          <t>Net (contributions to) / proceeds from investments (short-term and other investments)</t>
        </is>
      </c>
      <c r="C233" s="266" t="n">
        <v>35</v>
      </c>
      <c r="D233" s="266" t="n">
        <v>-1893</v>
      </c>
      <c r="E233" s="266" t="n">
        <v>4670</v>
      </c>
      <c r="F233" s="266" t="n">
        <v>-1588</v>
      </c>
      <c r="G233" s="266" t="n">
        <v>-3123</v>
      </c>
      <c r="H233" s="266" t="n">
        <v>3961</v>
      </c>
      <c r="I233" s="266" t="n">
        <v>-2020</v>
      </c>
      <c r="J233" s="266" t="n">
        <v>-300</v>
      </c>
      <c r="K233" s="266" t="n">
        <v>-2113</v>
      </c>
      <c r="L233" s="266" t="n">
        <v>-230</v>
      </c>
      <c r="M233" s="266" t="n">
        <v>-298</v>
      </c>
      <c r="N233" s="266" t="n">
        <v>-2941</v>
      </c>
      <c r="O233" s="266" t="n">
        <v>888</v>
      </c>
      <c r="P233" s="266" t="n">
        <v>1485</v>
      </c>
      <c r="Q233" s="266" t="n">
        <v>361</v>
      </c>
      <c r="R233" s="266" t="n">
        <v>2065</v>
      </c>
      <c r="S233" s="266" t="n">
        <v>4799</v>
      </c>
      <c r="T233" s="266" t="n">
        <v>352</v>
      </c>
      <c r="U233" s="266" t="n">
        <v>483</v>
      </c>
      <c r="V233" s="266" t="n">
        <v>-7</v>
      </c>
      <c r="W233" s="266" t="n">
        <v>-274</v>
      </c>
      <c r="X233" s="266" t="n">
        <v>554</v>
      </c>
      <c r="Y233" s="266" t="n">
        <v>289</v>
      </c>
      <c r="Z233" s="266" t="n">
        <v>-241</v>
      </c>
      <c r="AA233" s="266" t="n">
        <v>-20</v>
      </c>
      <c r="AB233" s="266" t="n">
        <v>-538</v>
      </c>
      <c r="AC233" s="266" t="n">
        <v>-510</v>
      </c>
      <c r="AD233" s="266" t="n">
        <v>198</v>
      </c>
      <c r="AE233" s="266" t="n">
        <v>-577</v>
      </c>
      <c r="AF233" s="266" t="n">
        <v>144</v>
      </c>
      <c r="AG233" s="266" t="n">
        <v>273</v>
      </c>
      <c r="AH233" s="266" t="n">
        <v>38</v>
      </c>
      <c r="AI233" s="266" t="n">
        <v>503</v>
      </c>
      <c r="AJ233" s="266" t="n">
        <v>-1012</v>
      </c>
      <c r="AK233" s="266" t="n">
        <v>-267</v>
      </c>
      <c r="AL233" s="266" t="n">
        <v>1067</v>
      </c>
      <c r="AM233" s="266" t="n">
        <v>291</v>
      </c>
      <c r="AN233" s="266" t="n">
        <v>-91</v>
      </c>
      <c r="AO233" s="266" t="n">
        <v>353</v>
      </c>
      <c r="AP233" s="266" t="n">
        <v>-734</v>
      </c>
      <c r="AQ233" s="266" t="n">
        <v>573</v>
      </c>
      <c r="AR233" s="266" t="n">
        <v>101</v>
      </c>
      <c r="AS233" s="266" t="n">
        <v>-17</v>
      </c>
      <c r="AT233" s="266" t="n">
        <v>-11997</v>
      </c>
      <c r="AU233" s="266" t="n">
        <v>-4060</v>
      </c>
      <c r="AV233" s="266" t="n">
        <v>-1267</v>
      </c>
      <c r="AW233" s="266" t="n">
        <v>-17341</v>
      </c>
      <c r="AX233" s="266" t="n">
        <v>3050</v>
      </c>
      <c r="AY233" s="266" t="n">
        <v>1831</v>
      </c>
      <c r="AZ233" s="266" t="n">
        <v>2881</v>
      </c>
      <c r="BA233" s="266" t="n">
        <v>2014</v>
      </c>
      <c r="BB233" s="266" t="n">
        <v>9776</v>
      </c>
      <c r="BC233" s="266" t="n">
        <v>3305</v>
      </c>
      <c r="BD233" s="266" t="n">
        <v>3520</v>
      </c>
      <c r="BE233" s="266" t="n">
        <v>584</v>
      </c>
      <c r="BF233" s="266" t="n">
        <v>-1841</v>
      </c>
      <c r="BG233" s="266" t="n">
        <v>5568</v>
      </c>
      <c r="BH233" s="266" t="n">
        <v>-1358</v>
      </c>
      <c r="BI233" s="266" t="n">
        <v>-2571</v>
      </c>
      <c r="BJ233" s="266" t="n">
        <v>-59</v>
      </c>
      <c r="BK233" s="266" t="n">
        <v>3279</v>
      </c>
      <c r="BL233" s="266" t="n">
        <v>-709</v>
      </c>
      <c r="BM233" s="266" t="n">
        <v>2664</v>
      </c>
      <c r="BN233" s="266" t="n">
        <v>-1108</v>
      </c>
      <c r="BO233" s="266" t="n">
        <v>1239</v>
      </c>
      <c r="BP233" s="266" t="n">
        <v>-11908</v>
      </c>
      <c r="BQ233" s="266" t="n">
        <v>-9113</v>
      </c>
      <c r="BR233" s="266" t="n">
        <v>-1047</v>
      </c>
      <c r="BS233" s="266" t="n">
        <v>-1687</v>
      </c>
      <c r="BT233" s="266" t="n">
        <v>-929</v>
      </c>
      <c r="BU233" s="266" t="n">
        <v>-1647</v>
      </c>
      <c r="BV233" s="266" t="n">
        <v>-5310</v>
      </c>
      <c r="BW233" s="266" t="n">
        <v>6991</v>
      </c>
      <c r="BX233" s="266" t="n">
        <v>-1345</v>
      </c>
      <c r="BY233" s="35" t="n"/>
      <c r="BZ233" s="35" t="n"/>
      <c r="CA233" s="263">
        <f>SUM(BW233:BX233)-(CA277-BX277)</f>
        <v>5646</v>
      </c>
      <c r="CB233" s="263">
        <f>-(CB277-CA277)</f>
        <v>0</v>
      </c>
      <c r="CC233" s="263">
        <f>-(CC277-CB277)</f>
        <v>0</v>
      </c>
      <c r="CD233" s="263">
        <f>-(CD277-CC277)</f>
        <v>0</v>
      </c>
      <c r="CE233" s="263">
        <f>-(CE277-CD277)</f>
        <v>0</v>
      </c>
      <c r="CF233" s="263">
        <f>-(CF277-CE277)</f>
        <v>0</v>
      </c>
      <c r="CG233" s="19" t="n"/>
    </row>
    <row r="234" ht="15" customHeight="1" s="251">
      <c r="B234" s="25" t="inlineStr">
        <is>
          <t>Other investing activities (PP&amp;E disposals, supplier notes, distribution rights; derived)</t>
        </is>
      </c>
      <c r="C234" s="266" t="n">
        <v>191</v>
      </c>
      <c r="D234" s="266" t="n">
        <v>-123</v>
      </c>
      <c r="E234" s="266" t="n">
        <v>-144</v>
      </c>
      <c r="F234" s="266" t="n">
        <v>-381</v>
      </c>
      <c r="G234" s="266" t="n">
        <v>349</v>
      </c>
      <c r="H234" s="266" t="n">
        <v>163</v>
      </c>
      <c r="I234" s="266" t="n">
        <v>90</v>
      </c>
      <c r="J234" s="266" t="n">
        <v>33</v>
      </c>
      <c r="K234" s="266" t="n">
        <v>11</v>
      </c>
      <c r="L234" s="266" t="n">
        <v>3</v>
      </c>
      <c r="M234" s="266" t="n">
        <v>-136</v>
      </c>
      <c r="N234" s="266" t="n">
        <v>-89</v>
      </c>
      <c r="O234" s="266" t="n">
        <v>15</v>
      </c>
      <c r="P234" s="266" t="n">
        <v>2</v>
      </c>
      <c r="Q234" s="266" t="n">
        <v>14</v>
      </c>
      <c r="R234" s="266" t="n">
        <v>36</v>
      </c>
      <c r="S234" s="266" t="n">
        <v>67</v>
      </c>
      <c r="T234" s="266" t="n">
        <v>8</v>
      </c>
      <c r="U234" s="266" t="n">
        <v>34</v>
      </c>
      <c r="V234" s="266" t="n">
        <v>15</v>
      </c>
      <c r="W234" s="266" t="n">
        <v>24</v>
      </c>
      <c r="X234" s="266" t="n">
        <v>81</v>
      </c>
      <c r="Y234" s="266" t="n">
        <v>21</v>
      </c>
      <c r="Z234" s="266" t="n">
        <v>0</v>
      </c>
      <c r="AA234" s="266" t="n">
        <v>1</v>
      </c>
      <c r="AB234" s="266" t="n">
        <v>18</v>
      </c>
      <c r="AC234" s="266" t="n">
        <v>40</v>
      </c>
      <c r="AD234" s="266" t="n">
        <v>6</v>
      </c>
      <c r="AE234" s="266" t="n">
        <v>-108</v>
      </c>
      <c r="AF234" s="266" t="n">
        <v>5</v>
      </c>
      <c r="AG234" s="266" t="n">
        <v>60</v>
      </c>
      <c r="AH234" s="266" t="n">
        <v>-37</v>
      </c>
      <c r="AI234" s="266" t="n">
        <v>10</v>
      </c>
      <c r="AJ234" s="266" t="n">
        <v>-26</v>
      </c>
      <c r="AK234" s="266" t="n">
        <v>72</v>
      </c>
      <c r="AL234" s="266" t="n">
        <v>-16</v>
      </c>
      <c r="AM234" s="266" t="n">
        <v>40</v>
      </c>
      <c r="AN234" s="266" t="n">
        <v>101</v>
      </c>
      <c r="AO234" s="266" t="n">
        <v>198</v>
      </c>
      <c r="AP234" s="266" t="n">
        <v>5</v>
      </c>
      <c r="AQ234" s="266" t="n">
        <v>-110</v>
      </c>
      <c r="AR234" s="266" t="n">
        <v>194</v>
      </c>
      <c r="AS234" s="266" t="n">
        <v>66</v>
      </c>
      <c r="AT234" s="266" t="n">
        <v>38</v>
      </c>
      <c r="AU234" s="266" t="n">
        <v>185</v>
      </c>
      <c r="AV234" s="266" t="n">
        <v>-11</v>
      </c>
      <c r="AW234" s="266" t="n">
        <v>278</v>
      </c>
      <c r="AX234" s="266" t="n">
        <v>5</v>
      </c>
      <c r="AY234" s="266" t="n">
        <v>50</v>
      </c>
      <c r="AZ234" s="266" t="n">
        <v>336</v>
      </c>
      <c r="BA234" s="266" t="n">
        <v>143</v>
      </c>
      <c r="BB234" s="266" t="n">
        <v>534</v>
      </c>
      <c r="BC234" s="266" t="n">
        <v>9</v>
      </c>
      <c r="BD234" s="266" t="n">
        <v>9</v>
      </c>
      <c r="BE234" s="266" t="n">
        <v>-10</v>
      </c>
      <c r="BF234" s="266" t="n">
        <v>16</v>
      </c>
      <c r="BG234" s="266" t="n">
        <v>24</v>
      </c>
      <c r="BH234" s="266" t="n">
        <v>3</v>
      </c>
      <c r="BI234" s="266" t="n">
        <v>-148</v>
      </c>
      <c r="BJ234" s="266" t="n">
        <v>7</v>
      </c>
      <c r="BK234" s="266" t="n">
        <v>7</v>
      </c>
      <c r="BL234" s="266" t="n">
        <v>-131</v>
      </c>
      <c r="BM234" s="266" t="n">
        <v>-23</v>
      </c>
      <c r="BN234" s="266" t="n">
        <v>-538</v>
      </c>
      <c r="BO234" s="266" t="n">
        <v>51</v>
      </c>
      <c r="BP234" s="266" t="n">
        <v>-194</v>
      </c>
      <c r="BQ234" s="266" t="n">
        <v>-704</v>
      </c>
      <c r="BR234" s="266" t="n">
        <v>4</v>
      </c>
      <c r="BS234" s="266" t="n">
        <v>-150</v>
      </c>
      <c r="BT234" s="266" t="n">
        <v>-141</v>
      </c>
      <c r="BU234" s="266" t="n">
        <v>-299</v>
      </c>
      <c r="BV234" s="266" t="n">
        <v>-586</v>
      </c>
      <c r="BW234" s="266" t="n">
        <v>-5</v>
      </c>
      <c r="BX234" s="266" t="n">
        <v>-4</v>
      </c>
      <c r="BY234" s="35" t="n"/>
      <c r="BZ234" s="35" t="n"/>
      <c r="CA234" s="263">
        <f>SUM(BW234:BX234)</f>
        <v>-9</v>
      </c>
      <c r="CB234" s="271" t="n">
        <v>0</v>
      </c>
      <c r="CC234" s="271" t="n">
        <v>0</v>
      </c>
      <c r="CD234" s="271" t="n">
        <v>0</v>
      </c>
      <c r="CE234" s="271" t="n">
        <v>0</v>
      </c>
      <c r="CF234" s="271" t="n">
        <v>0</v>
      </c>
      <c r="CG234" s="19" t="n"/>
    </row>
    <row r="235" ht="15" customHeight="1" s="251">
      <c r="B235" s="16" t="inlineStr">
        <is>
          <t>Net cash provided / (used) by investing activities</t>
        </is>
      </c>
      <c r="C235" s="264" t="n">
        <v>-3186</v>
      </c>
      <c r="D235" s="264" t="n">
        <v>-3822</v>
      </c>
      <c r="E235" s="264" t="n">
        <v>1888</v>
      </c>
      <c r="F235" s="264" t="n">
        <v>-3794</v>
      </c>
      <c r="G235" s="264" t="n">
        <v>-4831</v>
      </c>
      <c r="H235" s="264" t="n">
        <v>2369</v>
      </c>
      <c r="I235" s="264" t="n">
        <v>-3757</v>
      </c>
      <c r="J235" s="264" t="n">
        <v>-814</v>
      </c>
      <c r="K235" s="264" t="n">
        <v>-2557</v>
      </c>
      <c r="L235" s="264" t="n">
        <v>-711</v>
      </c>
      <c r="M235" s="264" t="n">
        <v>-1072</v>
      </c>
      <c r="N235" s="264" t="n">
        <v>-5154</v>
      </c>
      <c r="O235" s="264" t="n">
        <v>406</v>
      </c>
      <c r="P235" s="264" t="n">
        <v>875</v>
      </c>
      <c r="Q235" s="264" t="n">
        <v>-247</v>
      </c>
      <c r="R235" s="264" t="n">
        <v>1433</v>
      </c>
      <c r="S235" s="264" t="n">
        <v>2467</v>
      </c>
      <c r="T235" s="264" t="n">
        <v>-214</v>
      </c>
      <c r="U235" s="264" t="n">
        <v>-198</v>
      </c>
      <c r="V235" s="264" t="n">
        <v>-553</v>
      </c>
      <c r="W235" s="264" t="n">
        <v>-881</v>
      </c>
      <c r="X235" s="264" t="n">
        <v>-1846</v>
      </c>
      <c r="Y235" s="264" t="n">
        <v>-438</v>
      </c>
      <c r="Z235" s="264" t="n">
        <v>-912</v>
      </c>
      <c r="AA235" s="264" t="n">
        <v>-614</v>
      </c>
      <c r="AB235" s="264" t="n">
        <v>-1416</v>
      </c>
      <c r="AC235" s="264" t="n">
        <v>-3380</v>
      </c>
      <c r="AD235" s="264" t="n">
        <v>-262</v>
      </c>
      <c r="AE235" s="264" t="n">
        <v>-1124</v>
      </c>
      <c r="AF235" s="264" t="n">
        <v>-250</v>
      </c>
      <c r="AG235" s="264" t="n">
        <v>-426</v>
      </c>
      <c r="AH235" s="264" t="n">
        <v>-2062</v>
      </c>
      <c r="AI235" s="264" t="n">
        <v>119</v>
      </c>
      <c r="AJ235" s="264" t="n">
        <v>-1414</v>
      </c>
      <c r="AK235" s="264" t="n">
        <v>-902</v>
      </c>
      <c r="AL235" s="264" t="n">
        <v>-2424</v>
      </c>
      <c r="AM235" s="264" t="n">
        <v>-4621</v>
      </c>
      <c r="AN235" s="264" t="n">
        <v>-767</v>
      </c>
      <c r="AO235" s="264" t="n">
        <v>-86</v>
      </c>
      <c r="AP235" s="264" t="n">
        <v>-1194</v>
      </c>
      <c r="AQ235" s="264" t="n">
        <v>517</v>
      </c>
      <c r="AR235" s="264" t="n">
        <v>-1530</v>
      </c>
      <c r="AS235" s="264" t="n">
        <v>-379</v>
      </c>
      <c r="AT235" s="264" t="n">
        <v>-12307</v>
      </c>
      <c r="AU235" s="264" t="n">
        <v>-4137</v>
      </c>
      <c r="AV235" s="264" t="n">
        <v>-1543</v>
      </c>
      <c r="AW235" s="264" t="n">
        <v>-18366</v>
      </c>
      <c r="AX235" s="264" t="n">
        <v>2764</v>
      </c>
      <c r="AY235" s="264" t="n">
        <v>1659</v>
      </c>
      <c r="AZ235" s="264" t="n">
        <v>2966</v>
      </c>
      <c r="BA235" s="264" t="n">
        <v>1935</v>
      </c>
      <c r="BB235" s="264" t="n">
        <v>9324</v>
      </c>
      <c r="BC235" s="264" t="n">
        <v>2965</v>
      </c>
      <c r="BD235" s="264" t="n">
        <v>3266</v>
      </c>
      <c r="BE235" s="264" t="n">
        <v>290</v>
      </c>
      <c r="BF235" s="264" t="n">
        <v>-2151</v>
      </c>
      <c r="BG235" s="264" t="n">
        <v>4370</v>
      </c>
      <c r="BH235" s="264" t="n">
        <v>-1823</v>
      </c>
      <c r="BI235" s="264" t="n">
        <v>-3015</v>
      </c>
      <c r="BJ235" s="264" t="n">
        <v>-403</v>
      </c>
      <c r="BK235" s="264" t="n">
        <v>2804</v>
      </c>
      <c r="BL235" s="264" t="n">
        <v>-2437</v>
      </c>
      <c r="BM235" s="264" t="n">
        <v>2074</v>
      </c>
      <c r="BN235" s="264" t="n">
        <v>-2100</v>
      </c>
      <c r="BO235" s="264" t="n">
        <v>679</v>
      </c>
      <c r="BP235" s="264" t="n">
        <v>-12626</v>
      </c>
      <c r="BQ235" s="264" t="n">
        <v>-11973</v>
      </c>
      <c r="BR235" s="264" t="n">
        <v>-1717</v>
      </c>
      <c r="BS235" s="264" t="n">
        <v>-2229</v>
      </c>
      <c r="BT235" s="264" t="n">
        <v>-1955</v>
      </c>
      <c r="BU235" s="264" t="n">
        <v>6400</v>
      </c>
      <c r="BV235" s="264" t="n">
        <v>499</v>
      </c>
      <c r="BW235" s="264" t="n">
        <v>5711</v>
      </c>
      <c r="BX235" s="264" t="n">
        <v>-2082</v>
      </c>
      <c r="BY235" s="32" t="n"/>
      <c r="BZ235" s="32" t="n"/>
      <c r="CA235" s="265">
        <f>SUM(CA230:CA234)</f>
        <v>1437</v>
      </c>
      <c r="CB235" s="265">
        <f>SUM(CB230:CB234)</f>
        <v>-4477.13318209676</v>
      </c>
      <c r="CC235" s="265">
        <f>SUM(CC230:CC234)</f>
        <v>-4631.25364842154</v>
      </c>
      <c r="CD235" s="265">
        <f>SUM(CD230:CD234)</f>
        <v>-4580.91418556787</v>
      </c>
      <c r="CE235" s="265">
        <f>SUM(CE230:CE234)</f>
        <v>-4546.93624304936</v>
      </c>
      <c r="CF235" s="265">
        <f>SUM(CF230:CF234)</f>
        <v>-4471.68314302533</v>
      </c>
      <c r="CG235" s="153" t="n"/>
    </row>
    <row r="236" ht="15" customHeight="1" s="251">
      <c r="B236" s="25" t="inlineStr">
        <is>
          <t>New borrowings less debt repayments</t>
        </is>
      </c>
      <c r="C236" s="266" t="n">
        <v>-1680</v>
      </c>
      <c r="D236" s="266" t="n">
        <v>-1366</v>
      </c>
      <c r="E236" s="266" t="n">
        <v>-725</v>
      </c>
      <c r="F236" s="266" t="n">
        <v>5410</v>
      </c>
      <c r="G236" s="266" t="n">
        <v>-648</v>
      </c>
      <c r="H236" s="266" t="n">
        <v>-131</v>
      </c>
      <c r="I236" s="266" t="n">
        <v>-2016</v>
      </c>
      <c r="J236" s="266" t="n">
        <v>-1247</v>
      </c>
      <c r="K236" s="266" t="n">
        <v>417</v>
      </c>
      <c r="L236" s="266" t="n">
        <v>-20</v>
      </c>
      <c r="M236" s="266" t="n">
        <v>-13</v>
      </c>
      <c r="N236" s="266" t="n">
        <v>-863</v>
      </c>
      <c r="O236" s="266" t="n">
        <v>-706</v>
      </c>
      <c r="P236" s="266" t="n">
        <v>-63</v>
      </c>
      <c r="Q236" s="266" t="n">
        <v>-36</v>
      </c>
      <c r="R236" s="266" t="n">
        <v>166</v>
      </c>
      <c r="S236" s="266" t="n">
        <v>-639</v>
      </c>
      <c r="T236" s="266" t="n">
        <v>-52</v>
      </c>
      <c r="U236" s="266" t="n">
        <v>-33</v>
      </c>
      <c r="V236" s="266" t="n">
        <v>-18</v>
      </c>
      <c r="W236" s="266" t="n">
        <v>964</v>
      </c>
      <c r="X236" s="266" t="n">
        <v>861</v>
      </c>
      <c r="Y236" s="266" t="n">
        <v>-13</v>
      </c>
      <c r="Z236" s="266" t="n">
        <v>1069</v>
      </c>
      <c r="AA236" s="266" t="n">
        <v>-569</v>
      </c>
      <c r="AB236" s="266" t="n">
        <v>-521</v>
      </c>
      <c r="AC236" s="266" t="n">
        <v>-34</v>
      </c>
      <c r="AD236" s="266" t="n">
        <v>838</v>
      </c>
      <c r="AE236" s="266" t="n">
        <v>-20</v>
      </c>
      <c r="AF236" s="266" t="n">
        <v>-25</v>
      </c>
      <c r="AG236" s="266" t="n">
        <v>331</v>
      </c>
      <c r="AH236" s="266" t="n">
        <v>1124</v>
      </c>
      <c r="AI236" s="266" t="n">
        <v>1316</v>
      </c>
      <c r="AJ236" s="266" t="n">
        <v>-376</v>
      </c>
      <c r="AK236" s="266" t="n">
        <v>-273</v>
      </c>
      <c r="AL236" s="266" t="n">
        <v>698</v>
      </c>
      <c r="AM236" s="266" t="n">
        <v>1365</v>
      </c>
      <c r="AN236" s="266" t="n">
        <v>863</v>
      </c>
      <c r="AO236" s="266" t="n">
        <v>4385</v>
      </c>
      <c r="AP236" s="266" t="n">
        <v>5395</v>
      </c>
      <c r="AQ236" s="266" t="n">
        <v>2575</v>
      </c>
      <c r="AR236" s="266" t="n">
        <v>13218</v>
      </c>
      <c r="AS236" s="266" t="n">
        <v>11579</v>
      </c>
      <c r="AT236" s="266" t="n">
        <v>22458</v>
      </c>
      <c r="AU236" s="266" t="n">
        <v>-467</v>
      </c>
      <c r="AV236" s="266" t="n">
        <v>2680</v>
      </c>
      <c r="AW236" s="266" t="n">
        <v>36250</v>
      </c>
      <c r="AX236" s="266" t="n">
        <v>-33</v>
      </c>
      <c r="AY236" s="266" t="n">
        <v>-23</v>
      </c>
      <c r="AZ236" s="266" t="n">
        <v>-1171</v>
      </c>
      <c r="BA236" s="266" t="n">
        <v>-4349</v>
      </c>
      <c r="BB236" s="266" t="n">
        <v>-5576</v>
      </c>
      <c r="BC236" s="266" t="n">
        <v>-394</v>
      </c>
      <c r="BD236" s="266" t="n">
        <v>-604</v>
      </c>
      <c r="BE236" s="266" t="n">
        <v>-21</v>
      </c>
      <c r="BF236" s="266" t="n">
        <v>-257</v>
      </c>
      <c r="BG236" s="266" t="n">
        <v>-1276</v>
      </c>
      <c r="BH236" s="266" t="n">
        <v>-1682</v>
      </c>
      <c r="BI236" s="266" t="n">
        <v>-3403</v>
      </c>
      <c r="BJ236" s="266" t="n">
        <v>-41</v>
      </c>
      <c r="BK236" s="266" t="n">
        <v>-15</v>
      </c>
      <c r="BL236" s="266" t="n">
        <v>-5141</v>
      </c>
      <c r="BM236" s="266" t="n">
        <v>-4415</v>
      </c>
      <c r="BN236" s="266" t="n">
        <v>10023</v>
      </c>
      <c r="BO236" s="266" t="n">
        <v>-312</v>
      </c>
      <c r="BP236" s="266" t="n">
        <v>-3808</v>
      </c>
      <c r="BQ236" s="266" t="n">
        <v>1488</v>
      </c>
      <c r="BR236" s="266" t="n">
        <v>-266</v>
      </c>
      <c r="BS236" s="266" t="n">
        <v>-313</v>
      </c>
      <c r="BT236" s="266" t="n">
        <v>-4</v>
      </c>
      <c r="BU236" s="266" t="n">
        <v>-2873</v>
      </c>
      <c r="BV236" s="266" t="n">
        <v>-3456</v>
      </c>
      <c r="BW236" s="266" t="n">
        <v>-6926</v>
      </c>
      <c r="BX236" s="266" t="n">
        <v>-1415</v>
      </c>
      <c r="BY236" s="35" t="n"/>
      <c r="BZ236" s="35" t="n"/>
      <c r="CA236" s="263">
        <f>SUM(BW236:BX236)+CA341-BX341</f>
        <v>-8341</v>
      </c>
      <c r="CB236" s="263">
        <f>CB351</f>
        <v>-4403</v>
      </c>
      <c r="CC236" s="263">
        <f>CC351</f>
        <v>-1369.5</v>
      </c>
      <c r="CD236" s="263">
        <f>CD351</f>
        <v>-627</v>
      </c>
      <c r="CE236" s="263">
        <f>CE351</f>
        <v>0</v>
      </c>
      <c r="CF236" s="263">
        <f>CF351</f>
        <v>0</v>
      </c>
      <c r="CG236" s="19" t="inlineStr">
        <is>
          <t>Per the debt schedule: maturities repaid, refinancing input, revolver / commercial paper drawn or repaid to the minimum cash balance.</t>
        </is>
      </c>
    </row>
    <row r="237" ht="15" customHeight="1" s="251">
      <c r="B237" s="25" t="inlineStr">
        <is>
          <t>Common shares repurchased</t>
        </is>
      </c>
      <c r="C237" s="266" t="n">
        <v>-1698</v>
      </c>
      <c r="D237" s="266" t="n">
        <v>-2775</v>
      </c>
      <c r="E237" s="266" t="n">
        <v>-2937</v>
      </c>
      <c r="F237" s="266" t="n">
        <v>-50</v>
      </c>
      <c r="G237" s="266" t="n">
        <v>0</v>
      </c>
      <c r="H237" s="266" t="n">
        <v>0</v>
      </c>
      <c r="I237" s="266" t="n">
        <v>0</v>
      </c>
      <c r="J237" s="266" t="n">
        <v>0</v>
      </c>
      <c r="K237" s="266" t="n">
        <v>-1000</v>
      </c>
      <c r="L237" s="266" t="n">
        <v>-799</v>
      </c>
      <c r="M237" s="266" t="n">
        <v>-1002</v>
      </c>
      <c r="N237" s="266" t="n">
        <v>-2801</v>
      </c>
      <c r="O237" s="266" t="n">
        <v>-2500</v>
      </c>
      <c r="P237" s="266" t="n">
        <v>-1498</v>
      </c>
      <c r="Q237" s="266" t="n">
        <v>-1002</v>
      </c>
      <c r="R237" s="266" t="n">
        <v>-1001</v>
      </c>
      <c r="S237" s="266" t="n">
        <v>-6001</v>
      </c>
      <c r="T237" s="266" t="n">
        <v>-2500</v>
      </c>
      <c r="U237" s="266" t="n">
        <v>-2001</v>
      </c>
      <c r="V237" s="266" t="n">
        <v>-1500</v>
      </c>
      <c r="W237" s="266" t="n">
        <v>-750</v>
      </c>
      <c r="X237" s="266" t="n">
        <v>-6751</v>
      </c>
      <c r="Y237" s="266" t="n">
        <v>-3501</v>
      </c>
      <c r="Z237" s="266" t="n">
        <v>-2000</v>
      </c>
      <c r="AA237" s="266" t="n">
        <v>-1000</v>
      </c>
      <c r="AB237" s="266" t="n">
        <v>-500</v>
      </c>
      <c r="AC237" s="266" t="n">
        <v>-7001</v>
      </c>
      <c r="AD237" s="266" t="n">
        <v>-2500</v>
      </c>
      <c r="AE237" s="266" t="n">
        <v>-2500</v>
      </c>
      <c r="AF237" s="266" t="n">
        <v>-2500</v>
      </c>
      <c r="AG237" s="266" t="n">
        <v>-1736</v>
      </c>
      <c r="AH237" s="266" t="n">
        <v>-9236</v>
      </c>
      <c r="AI237" s="266" t="n">
        <v>-3000</v>
      </c>
      <c r="AJ237" s="266" t="n">
        <v>-2965</v>
      </c>
      <c r="AK237" s="266" t="n">
        <v>-2450</v>
      </c>
      <c r="AL237" s="266" t="n">
        <v>-585</v>
      </c>
      <c r="AM237" s="266" t="n">
        <v>-9000</v>
      </c>
      <c r="AN237" s="266" t="n">
        <v>-2341</v>
      </c>
      <c r="AO237" s="266" t="n">
        <v>-310</v>
      </c>
      <c r="AP237" s="266" t="n">
        <v>0</v>
      </c>
      <c r="AQ237" s="266" t="n">
        <v>0</v>
      </c>
      <c r="AR237" s="266" t="n">
        <v>-2651</v>
      </c>
      <c r="AS237" s="266" t="n">
        <v>0</v>
      </c>
      <c r="AT237" s="266" t="n">
        <v>0</v>
      </c>
      <c r="AU237" s="266" t="n">
        <v>0</v>
      </c>
      <c r="AV237" s="266" t="n">
        <v>0</v>
      </c>
      <c r="AW237" s="266" t="n">
        <v>0</v>
      </c>
      <c r="AX237" s="266" t="n">
        <v>0</v>
      </c>
      <c r="AY237" s="266" t="n">
        <v>0</v>
      </c>
      <c r="AZ237" s="266" t="n">
        <v>0</v>
      </c>
      <c r="BA237" s="266" t="n">
        <v>0</v>
      </c>
      <c r="BB237" s="266" t="n">
        <v>0</v>
      </c>
      <c r="BC237" s="266" t="n">
        <v>0</v>
      </c>
      <c r="BD237" s="266" t="n">
        <v>0</v>
      </c>
      <c r="BE237" s="266" t="n">
        <v>0</v>
      </c>
      <c r="BF237" s="266" t="n">
        <v>0</v>
      </c>
      <c r="BG237" s="266" t="n">
        <v>0</v>
      </c>
      <c r="BH237" s="266" t="n">
        <v>0</v>
      </c>
      <c r="BI237" s="266" t="n">
        <v>0</v>
      </c>
      <c r="BJ237" s="266" t="n">
        <v>0</v>
      </c>
      <c r="BK237" s="266" t="n">
        <v>0</v>
      </c>
      <c r="BL237" s="266" t="n">
        <v>0</v>
      </c>
      <c r="BM237" s="266" t="n">
        <v>0</v>
      </c>
      <c r="BN237" s="266" t="n">
        <v>0</v>
      </c>
      <c r="BO237" s="266" t="n">
        <v>0</v>
      </c>
      <c r="BP237" s="266" t="n">
        <v>0</v>
      </c>
      <c r="BQ237" s="266" t="n">
        <v>0</v>
      </c>
      <c r="BR237" s="266" t="n">
        <v>0</v>
      </c>
      <c r="BS237" s="266" t="n">
        <v>0</v>
      </c>
      <c r="BT237" s="266" t="n">
        <v>0</v>
      </c>
      <c r="BU237" s="266" t="n">
        <v>0</v>
      </c>
      <c r="BV237" s="266" t="n">
        <v>0</v>
      </c>
      <c r="BW237" s="266" t="n">
        <v>0</v>
      </c>
      <c r="BX237" s="266" t="n">
        <v>0</v>
      </c>
      <c r="BY237" s="35" t="n"/>
      <c r="BZ237" s="35" t="n"/>
      <c r="CA237" s="263">
        <f>SUM(BW237:BX237)-CHOOSE(MATCH($CG$2,{"Bull","Base","Bear"},0),$CP$18,$CQ$18,$CR$18)</f>
        <v>0</v>
      </c>
      <c r="CB237" s="263">
        <f>-CB359</f>
        <v>0</v>
      </c>
      <c r="CC237" s="263">
        <f>-CC359</f>
        <v>0</v>
      </c>
      <c r="CD237" s="263">
        <f>-CD359</f>
        <v>-14105.6722998696</v>
      </c>
      <c r="CE237" s="263">
        <f>-CE359</f>
        <v>-15719.7739038903</v>
      </c>
      <c r="CF237" s="263">
        <f>-CF359</f>
        <v>-15836.216920444</v>
      </c>
      <c r="CG237" s="19" t="inlineStr">
        <is>
          <t>No repurchases since Q1-2020. 2027E+ = leverage plug (surplus cash returned once net debt / adjusted EBITDA is below the scenario target).</t>
        </is>
      </c>
    </row>
    <row r="238" ht="15" customHeight="1" s="251">
      <c r="B238" s="25" t="inlineStr">
        <is>
          <t>Dividends paid (common; mandatory convertible preferred from Q1-25)</t>
        </is>
      </c>
      <c r="C238" s="266" t="n">
        <v>-956</v>
      </c>
      <c r="D238" s="266" t="n">
        <v>-1096</v>
      </c>
      <c r="E238" s="266" t="n">
        <v>-1192</v>
      </c>
      <c r="F238" s="266" t="n">
        <v>-1220</v>
      </c>
      <c r="G238" s="266" t="n">
        <v>-1253</v>
      </c>
      <c r="H238" s="266" t="n">
        <v>-1244</v>
      </c>
      <c r="I238" s="266" t="n">
        <v>-1322</v>
      </c>
      <c r="J238" s="266" t="n">
        <v>-367</v>
      </c>
      <c r="K238" s="266" t="n">
        <v>-368</v>
      </c>
      <c r="L238" s="266" t="n">
        <v>-367</v>
      </c>
      <c r="M238" s="266" t="n">
        <v>-365</v>
      </c>
      <c r="N238" s="266" t="n">
        <v>-1467</v>
      </c>
      <c r="O238" s="266" t="n">
        <v>-540</v>
      </c>
      <c r="P238" s="266" t="n">
        <v>-531</v>
      </c>
      <c r="Q238" s="266" t="n">
        <v>-525</v>
      </c>
      <c r="R238" s="266" t="n">
        <v>-519</v>
      </c>
      <c r="S238" s="266" t="n">
        <v>-2115</v>
      </c>
      <c r="T238" s="266" t="n">
        <v>-639</v>
      </c>
      <c r="U238" s="266" t="n">
        <v>-625</v>
      </c>
      <c r="V238" s="266" t="n">
        <v>-618</v>
      </c>
      <c r="W238" s="266" t="n">
        <v>-608</v>
      </c>
      <c r="X238" s="266" t="n">
        <v>-2490</v>
      </c>
      <c r="Y238" s="266" t="n">
        <v>-717</v>
      </c>
      <c r="Z238" s="266" t="n">
        <v>-691</v>
      </c>
      <c r="AA238" s="266" t="n">
        <v>-676</v>
      </c>
      <c r="AB238" s="266" t="n">
        <v>-672</v>
      </c>
      <c r="AC238" s="266" t="n">
        <v>-2756</v>
      </c>
      <c r="AD238" s="266" t="n">
        <v>-868</v>
      </c>
      <c r="AE238" s="266" t="n">
        <v>-852</v>
      </c>
      <c r="AF238" s="266" t="n">
        <v>-855</v>
      </c>
      <c r="AG238" s="266" t="n">
        <v>-842</v>
      </c>
      <c r="AH238" s="266" t="n">
        <v>-3417</v>
      </c>
      <c r="AI238" s="266" t="n">
        <v>-1006</v>
      </c>
      <c r="AJ238" s="266" t="n">
        <v>-991</v>
      </c>
      <c r="AK238" s="266" t="n">
        <v>-979</v>
      </c>
      <c r="AL238" s="266" t="n">
        <v>-970</v>
      </c>
      <c r="AM238" s="266" t="n">
        <v>-3946</v>
      </c>
      <c r="AN238" s="266" t="n">
        <v>-1161</v>
      </c>
      <c r="AO238" s="266" t="n">
        <v>-1156</v>
      </c>
      <c r="AP238" s="266" t="n">
        <v>-1156</v>
      </c>
      <c r="AQ238" s="266" t="n">
        <v>-1157</v>
      </c>
      <c r="AR238" s="266" t="n">
        <v>-4630</v>
      </c>
      <c r="AS238" s="266" t="n">
        <v>-1158</v>
      </c>
      <c r="AT238" s="266" t="n">
        <v>0</v>
      </c>
      <c r="AU238" s="266" t="n">
        <v>0</v>
      </c>
      <c r="AV238" s="266" t="n">
        <v>0</v>
      </c>
      <c r="AW238" s="266" t="n">
        <v>-1158</v>
      </c>
      <c r="AX238" s="266" t="n">
        <v>0</v>
      </c>
      <c r="AY238" s="266" t="n">
        <v>0</v>
      </c>
      <c r="AZ238" s="266" t="n">
        <v>0</v>
      </c>
      <c r="BA238" s="266" t="n">
        <v>0</v>
      </c>
      <c r="BB238" s="266" t="n">
        <v>0</v>
      </c>
      <c r="BC238" s="266" t="n">
        <v>0</v>
      </c>
      <c r="BD238" s="266" t="n">
        <v>0</v>
      </c>
      <c r="BE238" s="266" t="n">
        <v>0</v>
      </c>
      <c r="BF238" s="266" t="n">
        <v>0</v>
      </c>
      <c r="BG238" s="266" t="n">
        <v>0</v>
      </c>
      <c r="BH238" s="266" t="n">
        <v>0</v>
      </c>
      <c r="BI238" s="266" t="n">
        <v>0</v>
      </c>
      <c r="BJ238" s="266" t="n">
        <v>0</v>
      </c>
      <c r="BK238" s="266" t="n">
        <v>0</v>
      </c>
      <c r="BL238" s="266" t="n">
        <v>0</v>
      </c>
      <c r="BM238" s="266" t="n">
        <v>0</v>
      </c>
      <c r="BN238" s="266" t="n">
        <v>0</v>
      </c>
      <c r="BO238" s="266" t="n">
        <v>0</v>
      </c>
      <c r="BP238" s="266" t="n">
        <v>0</v>
      </c>
      <c r="BQ238" s="266" t="n">
        <v>0</v>
      </c>
      <c r="BR238" s="266" t="n">
        <v>-72</v>
      </c>
      <c r="BS238" s="266" t="n">
        <v>-86</v>
      </c>
      <c r="BT238" s="266" t="n">
        <v>-86</v>
      </c>
      <c r="BU238" s="266" t="n">
        <v>-87</v>
      </c>
      <c r="BV238" s="266" t="n">
        <v>-331</v>
      </c>
      <c r="BW238" s="266" t="n">
        <v>-86</v>
      </c>
      <c r="BX238" s="266" t="n">
        <v>-86</v>
      </c>
      <c r="BY238" s="35" t="n"/>
      <c r="BZ238" s="35" t="n"/>
      <c r="CA238" s="263">
        <f>SUM(BW238:BX238)-SUM(BY144:BZ144)</f>
        <v>-344.5</v>
      </c>
      <c r="CB238" s="263">
        <f>-CB156*CB269-CB144</f>
        <v>-272.2</v>
      </c>
      <c r="CC238" s="263">
        <f>-CC156*CC269-CC144</f>
        <v>0</v>
      </c>
      <c r="CD238" s="263">
        <f>-CD156*CD269-CD144</f>
        <v>0</v>
      </c>
      <c r="CE238" s="263">
        <f>-CE156*CE269-CE144</f>
        <v>0</v>
      </c>
      <c r="CF238" s="263">
        <f>-CF156*CF269-CF144</f>
        <v>0</v>
      </c>
      <c r="CG238" s="19" t="n"/>
    </row>
    <row r="239" ht="15" customHeight="1" s="251">
      <c r="B239" s="25" t="inlineStr">
        <is>
          <t>Common / preferred stock issuance and stock options exercised</t>
        </is>
      </c>
      <c r="C239" s="266" t="n">
        <v>294</v>
      </c>
      <c r="D239" s="266" t="n">
        <v>209</v>
      </c>
      <c r="E239" s="266" t="n">
        <v>44</v>
      </c>
      <c r="F239" s="266" t="n">
        <v>10</v>
      </c>
      <c r="G239" s="266" t="n">
        <v>87</v>
      </c>
      <c r="H239" s="266" t="n">
        <v>114</v>
      </c>
      <c r="I239" s="266" t="n">
        <v>120</v>
      </c>
      <c r="J239" s="266" t="n">
        <v>76</v>
      </c>
      <c r="K239" s="266" t="n">
        <v>408</v>
      </c>
      <c r="L239" s="266" t="n">
        <v>387</v>
      </c>
      <c r="M239" s="266" t="n">
        <v>226</v>
      </c>
      <c r="N239" s="266" t="n">
        <v>1097</v>
      </c>
      <c r="O239" s="266" t="n">
        <v>109</v>
      </c>
      <c r="P239" s="266" t="n">
        <v>152</v>
      </c>
      <c r="Q239" s="266" t="n">
        <v>32</v>
      </c>
      <c r="R239" s="266" t="n">
        <v>50</v>
      </c>
      <c r="S239" s="266" t="n">
        <v>343</v>
      </c>
      <c r="T239" s="266" t="n">
        <v>231</v>
      </c>
      <c r="U239" s="266" t="n">
        <v>45</v>
      </c>
      <c r="V239" s="266" t="n">
        <v>55</v>
      </c>
      <c r="W239" s="266" t="n">
        <v>68</v>
      </c>
      <c r="X239" s="266" t="n">
        <v>399</v>
      </c>
      <c r="Y239" s="266" t="n">
        <v>42</v>
      </c>
      <c r="Z239" s="266" t="n">
        <v>105</v>
      </c>
      <c r="AA239" s="266" t="n">
        <v>45</v>
      </c>
      <c r="AB239" s="266" t="n">
        <v>129</v>
      </c>
      <c r="AC239" s="266" t="n">
        <v>321</v>
      </c>
      <c r="AD239" s="266" t="n">
        <v>174</v>
      </c>
      <c r="AE239" s="266" t="n">
        <v>66</v>
      </c>
      <c r="AF239" s="266" t="n">
        <v>51</v>
      </c>
      <c r="AG239" s="266" t="n">
        <v>20</v>
      </c>
      <c r="AH239" s="266" t="n">
        <v>311</v>
      </c>
      <c r="AI239" s="266" t="n">
        <v>51</v>
      </c>
      <c r="AJ239" s="266" t="n">
        <v>10</v>
      </c>
      <c r="AK239" s="266" t="n">
        <v>9</v>
      </c>
      <c r="AL239" s="266" t="n">
        <v>11</v>
      </c>
      <c r="AM239" s="266" t="n">
        <v>81</v>
      </c>
      <c r="AN239" s="266" t="n">
        <v>42</v>
      </c>
      <c r="AO239" s="266" t="n">
        <v>5</v>
      </c>
      <c r="AP239" s="266" t="n">
        <v>4</v>
      </c>
      <c r="AQ239" s="266" t="n">
        <v>7</v>
      </c>
      <c r="AR239" s="266" t="n">
        <v>58</v>
      </c>
      <c r="AS239" s="266" t="n">
        <v>21</v>
      </c>
      <c r="AT239" s="266" t="n">
        <v>6</v>
      </c>
      <c r="AU239" s="266" t="n">
        <v>4</v>
      </c>
      <c r="AV239" s="266" t="n">
        <v>5</v>
      </c>
      <c r="AW239" s="266" t="n">
        <v>36</v>
      </c>
      <c r="AX239" s="266" t="n">
        <v>23</v>
      </c>
      <c r="AY239" s="266" t="n">
        <v>6</v>
      </c>
      <c r="AZ239" s="266" t="n">
        <v>7</v>
      </c>
      <c r="BA239" s="266" t="n">
        <v>6</v>
      </c>
      <c r="BB239" s="266" t="n">
        <v>42</v>
      </c>
      <c r="BC239" s="266" t="n">
        <v>30</v>
      </c>
      <c r="BD239" s="266" t="n">
        <v>4</v>
      </c>
      <c r="BE239" s="266" t="n">
        <v>5</v>
      </c>
      <c r="BF239" s="266" t="n">
        <v>11</v>
      </c>
      <c r="BG239" s="266" t="n">
        <v>50</v>
      </c>
      <c r="BH239" s="266" t="n">
        <v>44</v>
      </c>
      <c r="BI239" s="266" t="n">
        <v>0</v>
      </c>
      <c r="BJ239" s="266" t="n">
        <v>1</v>
      </c>
      <c r="BK239" s="266" t="n">
        <v>0</v>
      </c>
      <c r="BL239" s="266" t="n">
        <v>45</v>
      </c>
      <c r="BM239" s="266" t="n">
        <v>0</v>
      </c>
      <c r="BN239" s="266" t="n">
        <v>0</v>
      </c>
      <c r="BO239" s="266" t="n">
        <v>0</v>
      </c>
      <c r="BP239" s="266" t="n">
        <v>23857</v>
      </c>
      <c r="BQ239" s="266" t="n">
        <v>23857</v>
      </c>
      <c r="BR239" s="266" t="n">
        <v>0</v>
      </c>
      <c r="BS239" s="266" t="n">
        <v>0</v>
      </c>
      <c r="BT239" s="266" t="n">
        <v>0</v>
      </c>
      <c r="BU239" s="266" t="n">
        <v>0</v>
      </c>
      <c r="BV239" s="266" t="n">
        <v>0</v>
      </c>
      <c r="BW239" s="266" t="n">
        <v>0</v>
      </c>
      <c r="BX239" s="266" t="n">
        <v>0</v>
      </c>
      <c r="BY239" s="35" t="n"/>
      <c r="BZ239" s="35" t="n"/>
      <c r="CA239" s="263">
        <f>SUM(BW239:BX239)</f>
        <v>0</v>
      </c>
      <c r="CB239" s="271" t="n">
        <v>0</v>
      </c>
      <c r="CC239" s="271" t="n">
        <v>0</v>
      </c>
      <c r="CD239" s="271" t="n">
        <v>0</v>
      </c>
      <c r="CE239" s="271" t="n">
        <v>0</v>
      </c>
      <c r="CF239" s="271" t="n">
        <v>0</v>
      </c>
      <c r="CG239" s="19" t="inlineStr">
        <is>
          <t>FY2024: $18.2bn common (112.5m shares at $143) + $5.66bn 6.00% mandatory convertible preferred (net of costs), Oct-2024.</t>
        </is>
      </c>
    </row>
    <row r="240" ht="15" customHeight="1" s="251">
      <c r="B240" s="25" t="inlineStr">
        <is>
          <t>Other financing activities (employee taxes on share-based payments, distribution-rights financing, other; derived)</t>
        </is>
      </c>
      <c r="C240" s="266" t="n">
        <v>395</v>
      </c>
      <c r="D240" s="266" t="n">
        <v>144</v>
      </c>
      <c r="E240" s="266" t="n">
        <v>-392</v>
      </c>
      <c r="F240" s="266" t="n">
        <v>-56</v>
      </c>
      <c r="G240" s="266" t="n">
        <v>-148</v>
      </c>
      <c r="H240" s="266" t="n">
        <v>-439</v>
      </c>
      <c r="I240" s="266" t="n">
        <v>-259</v>
      </c>
      <c r="J240" s="266" t="n">
        <v>-167</v>
      </c>
      <c r="K240" s="266" t="n">
        <v>18</v>
      </c>
      <c r="L240" s="266" t="n">
        <v>36</v>
      </c>
      <c r="M240" s="266" t="n">
        <v>-102</v>
      </c>
      <c r="N240" s="266" t="n">
        <v>-215</v>
      </c>
      <c r="O240" s="266" t="n">
        <v>-31</v>
      </c>
      <c r="P240" s="266" t="n">
        <v>-156</v>
      </c>
      <c r="Q240" s="266" t="n">
        <v>1</v>
      </c>
      <c r="R240" s="266" t="n">
        <v>5</v>
      </c>
      <c r="S240" s="266" t="n">
        <v>-181</v>
      </c>
      <c r="T240" s="266" t="n">
        <v>25</v>
      </c>
      <c r="U240" s="266" t="n">
        <v>9</v>
      </c>
      <c r="V240" s="266" t="n">
        <v>12</v>
      </c>
      <c r="W240" s="266" t="n">
        <v>15</v>
      </c>
      <c r="X240" s="266" t="n">
        <v>61</v>
      </c>
      <c r="Y240" s="266" t="n">
        <v>-32</v>
      </c>
      <c r="Z240" s="266" t="n">
        <v>-71</v>
      </c>
      <c r="AA240" s="266" t="n">
        <v>-4</v>
      </c>
      <c r="AB240" s="266" t="n">
        <v>-10</v>
      </c>
      <c r="AC240" s="266" t="n">
        <v>-117</v>
      </c>
      <c r="AD240" s="266" t="n">
        <v>-107</v>
      </c>
      <c r="AE240" s="266" t="n">
        <v>-5</v>
      </c>
      <c r="AF240" s="266" t="n">
        <v>-6</v>
      </c>
      <c r="AG240" s="266" t="n">
        <v>-14</v>
      </c>
      <c r="AH240" s="266" t="n">
        <v>-132</v>
      </c>
      <c r="AI240" s="266" t="n">
        <v>-206</v>
      </c>
      <c r="AJ240" s="266" t="n">
        <v>-10</v>
      </c>
      <c r="AK240" s="266" t="n">
        <v>4</v>
      </c>
      <c r="AL240" s="266" t="n">
        <v>-10</v>
      </c>
      <c r="AM240" s="266" t="n">
        <v>-222</v>
      </c>
      <c r="AN240" s="266" t="n">
        <v>-226</v>
      </c>
      <c r="AO240" s="266" t="n">
        <v>-5</v>
      </c>
      <c r="AP240" s="266" t="n">
        <v>-3</v>
      </c>
      <c r="AQ240" s="266" t="n">
        <v>-22</v>
      </c>
      <c r="AR240" s="266" t="n">
        <v>-256</v>
      </c>
      <c r="AS240" s="266" t="n">
        <v>-162</v>
      </c>
      <c r="AT240" s="266" t="n">
        <v>-2</v>
      </c>
      <c r="AU240" s="266" t="n">
        <v>-5</v>
      </c>
      <c r="AV240" s="266" t="n">
        <v>-4</v>
      </c>
      <c r="AW240" s="266" t="n">
        <v>-173</v>
      </c>
      <c r="AX240" s="266" t="n">
        <v>-38</v>
      </c>
      <c r="AY240" s="266" t="n">
        <v>-2</v>
      </c>
      <c r="AZ240" s="266" t="n">
        <v>-7</v>
      </c>
      <c r="BA240" s="266" t="n">
        <v>-19</v>
      </c>
      <c r="BB240" s="266" t="n">
        <v>-66</v>
      </c>
      <c r="BC240" s="266" t="n">
        <v>-32</v>
      </c>
      <c r="BD240" s="266" t="n">
        <v>-2</v>
      </c>
      <c r="BE240" s="266" t="n">
        <v>-2</v>
      </c>
      <c r="BF240" s="266" t="n">
        <v>-4</v>
      </c>
      <c r="BG240" s="266" t="n">
        <v>-40</v>
      </c>
      <c r="BH240" s="266" t="n">
        <v>-42</v>
      </c>
      <c r="BI240" s="266" t="n">
        <v>-10</v>
      </c>
      <c r="BJ240" s="266" t="n">
        <v>2</v>
      </c>
      <c r="BK240" s="266" t="n">
        <v>-341</v>
      </c>
      <c r="BL240" s="266" t="n">
        <v>-391</v>
      </c>
      <c r="BM240" s="266" t="n">
        <v>-47</v>
      </c>
      <c r="BN240" s="266" t="n">
        <v>-23</v>
      </c>
      <c r="BO240" s="266" t="n">
        <v>12</v>
      </c>
      <c r="BP240" s="266" t="n">
        <v>-78</v>
      </c>
      <c r="BQ240" s="266" t="n">
        <v>-136</v>
      </c>
      <c r="BR240" s="266" t="n">
        <v>0</v>
      </c>
      <c r="BS240" s="266" t="n">
        <v>12</v>
      </c>
      <c r="BT240" s="266" t="n">
        <v>3</v>
      </c>
      <c r="BU240" s="266" t="n">
        <v>9</v>
      </c>
      <c r="BV240" s="266" t="n">
        <v>24</v>
      </c>
      <c r="BW240" s="266" t="n">
        <v>-16</v>
      </c>
      <c r="BX240" s="266" t="n">
        <v>16</v>
      </c>
      <c r="BY240" s="35" t="n"/>
      <c r="BZ240" s="35" t="n"/>
      <c r="CA240" s="263">
        <f>SUM(BW240:BX240)</f>
        <v>0</v>
      </c>
      <c r="CB240" s="271" t="n">
        <v>0</v>
      </c>
      <c r="CC240" s="271" t="n">
        <v>0</v>
      </c>
      <c r="CD240" s="271" t="n">
        <v>0</v>
      </c>
      <c r="CE240" s="271" t="n">
        <v>0</v>
      </c>
      <c r="CF240" s="271" t="n">
        <v>0</v>
      </c>
      <c r="CG240" s="19" t="n"/>
    </row>
    <row r="241" ht="15" customHeight="1" s="251">
      <c r="B241" s="16" t="inlineStr">
        <is>
          <t>Net cash provided / (used) by financing activities</t>
        </is>
      </c>
      <c r="C241" s="264" t="n">
        <v>-3645</v>
      </c>
      <c r="D241" s="264" t="n">
        <v>-4884</v>
      </c>
      <c r="E241" s="264" t="n">
        <v>-5202</v>
      </c>
      <c r="F241" s="264" t="n">
        <v>4094</v>
      </c>
      <c r="G241" s="264" t="n">
        <v>-1962</v>
      </c>
      <c r="H241" s="264" t="n">
        <v>-1700</v>
      </c>
      <c r="I241" s="264" t="n">
        <v>-3477</v>
      </c>
      <c r="J241" s="264" t="n">
        <v>-1705</v>
      </c>
      <c r="K241" s="264" t="n">
        <v>-525</v>
      </c>
      <c r="L241" s="264" t="n">
        <v>-763</v>
      </c>
      <c r="M241" s="264" t="n">
        <v>-1256</v>
      </c>
      <c r="N241" s="264" t="n">
        <v>-4249</v>
      </c>
      <c r="O241" s="264" t="n">
        <v>-3668</v>
      </c>
      <c r="P241" s="264" t="n">
        <v>-2096</v>
      </c>
      <c r="Q241" s="264" t="n">
        <v>-1530</v>
      </c>
      <c r="R241" s="264" t="n">
        <v>-1299</v>
      </c>
      <c r="S241" s="264" t="n">
        <v>-8593</v>
      </c>
      <c r="T241" s="264" t="n">
        <v>-2935</v>
      </c>
      <c r="U241" s="264" t="n">
        <v>-2605</v>
      </c>
      <c r="V241" s="264" t="n">
        <v>-2069</v>
      </c>
      <c r="W241" s="264" t="n">
        <v>-311</v>
      </c>
      <c r="X241" s="264" t="n">
        <v>-7920</v>
      </c>
      <c r="Y241" s="264" t="n">
        <v>-4221</v>
      </c>
      <c r="Z241" s="264" t="n">
        <v>-1588</v>
      </c>
      <c r="AA241" s="264" t="n">
        <v>-2204</v>
      </c>
      <c r="AB241" s="264" t="n">
        <v>-1574</v>
      </c>
      <c r="AC241" s="264" t="n">
        <v>-9587</v>
      </c>
      <c r="AD241" s="264" t="n">
        <v>-2463</v>
      </c>
      <c r="AE241" s="264" t="n">
        <v>-3311</v>
      </c>
      <c r="AF241" s="264" t="n">
        <v>-3335</v>
      </c>
      <c r="AG241" s="264" t="n">
        <v>-2241</v>
      </c>
      <c r="AH241" s="264" t="n">
        <v>-11350</v>
      </c>
      <c r="AI241" s="264" t="n">
        <v>-2845</v>
      </c>
      <c r="AJ241" s="264" t="n">
        <v>-4332</v>
      </c>
      <c r="AK241" s="264" t="n">
        <v>-3689</v>
      </c>
      <c r="AL241" s="264" t="n">
        <v>-856</v>
      </c>
      <c r="AM241" s="264" t="n">
        <v>-11722</v>
      </c>
      <c r="AN241" s="264" t="n">
        <v>-2823</v>
      </c>
      <c r="AO241" s="264" t="n">
        <v>2919</v>
      </c>
      <c r="AP241" s="264" t="n">
        <v>4240</v>
      </c>
      <c r="AQ241" s="264" t="n">
        <v>1403</v>
      </c>
      <c r="AR241" s="264" t="n">
        <v>5739</v>
      </c>
      <c r="AS241" s="264" t="n">
        <v>10280</v>
      </c>
      <c r="AT241" s="264" t="n">
        <v>22462</v>
      </c>
      <c r="AU241" s="264" t="n">
        <v>-468</v>
      </c>
      <c r="AV241" s="264" t="n">
        <v>2681</v>
      </c>
      <c r="AW241" s="264" t="n">
        <v>34955</v>
      </c>
      <c r="AX241" s="264" t="n">
        <v>-48</v>
      </c>
      <c r="AY241" s="264" t="n">
        <v>-19</v>
      </c>
      <c r="AZ241" s="264" t="n">
        <v>-1171</v>
      </c>
      <c r="BA241" s="264" t="n">
        <v>-4362</v>
      </c>
      <c r="BB241" s="264" t="n">
        <v>-5600</v>
      </c>
      <c r="BC241" s="264" t="n">
        <v>-396</v>
      </c>
      <c r="BD241" s="264" t="n">
        <v>-602</v>
      </c>
      <c r="BE241" s="264" t="n">
        <v>-18</v>
      </c>
      <c r="BF241" s="264" t="n">
        <v>-250</v>
      </c>
      <c r="BG241" s="264" t="n">
        <v>-1266</v>
      </c>
      <c r="BH241" s="264" t="n">
        <v>-1680</v>
      </c>
      <c r="BI241" s="264" t="n">
        <v>-3413</v>
      </c>
      <c r="BJ241" s="264" t="n">
        <v>-38</v>
      </c>
      <c r="BK241" s="264" t="n">
        <v>-356</v>
      </c>
      <c r="BL241" s="264" t="n">
        <v>-5487</v>
      </c>
      <c r="BM241" s="264" t="n">
        <v>-4462</v>
      </c>
      <c r="BN241" s="264" t="n">
        <v>10000</v>
      </c>
      <c r="BO241" s="264" t="n">
        <v>-300</v>
      </c>
      <c r="BP241" s="264" t="n">
        <v>19971</v>
      </c>
      <c r="BQ241" s="264" t="n">
        <v>25209</v>
      </c>
      <c r="BR241" s="264" t="n">
        <v>-338</v>
      </c>
      <c r="BS241" s="264" t="n">
        <v>-387</v>
      </c>
      <c r="BT241" s="264" t="n">
        <v>-87</v>
      </c>
      <c r="BU241" s="264" t="n">
        <v>-2951</v>
      </c>
      <c r="BV241" s="264" t="n">
        <v>-3763</v>
      </c>
      <c r="BW241" s="264" t="n">
        <v>-7028</v>
      </c>
      <c r="BX241" s="264" t="n">
        <v>-1485</v>
      </c>
      <c r="BY241" s="32" t="n"/>
      <c r="BZ241" s="32" t="n"/>
      <c r="CA241" s="265">
        <f>SUM(CA236:CA240)</f>
        <v>-8685.5</v>
      </c>
      <c r="CB241" s="265">
        <f>SUM(CB236:CB240)</f>
        <v>-4675.2</v>
      </c>
      <c r="CC241" s="265">
        <f>SUM(CC236:CC240)</f>
        <v>-1369.5</v>
      </c>
      <c r="CD241" s="265">
        <f>SUM(CD236:CD240)</f>
        <v>-14732.6722998696</v>
      </c>
      <c r="CE241" s="265">
        <f>SUM(CE236:CE240)</f>
        <v>-15719.7739038903</v>
      </c>
      <c r="CF241" s="265">
        <f>SUM(CF236:CF240)</f>
        <v>-15836.216920444</v>
      </c>
      <c r="CG241" s="153" t="n"/>
    </row>
    <row r="242" ht="15" customHeight="1" s="251">
      <c r="B242" s="25" t="inlineStr">
        <is>
          <t>Effect of exchange rate changes on cash</t>
        </is>
      </c>
      <c r="C242" s="266" t="n">
        <v>38</v>
      </c>
      <c r="D242" s="266" t="n">
        <v>46</v>
      </c>
      <c r="E242" s="266" t="n">
        <v>-59</v>
      </c>
      <c r="F242" s="266" t="n">
        <v>44</v>
      </c>
      <c r="G242" s="266" t="n">
        <v>-15</v>
      </c>
      <c r="H242" s="266" t="n">
        <v>-2</v>
      </c>
      <c r="I242" s="266" t="n">
        <v>18</v>
      </c>
      <c r="J242" s="266" t="n">
        <v>-11</v>
      </c>
      <c r="K242" s="266" t="n">
        <v>-26</v>
      </c>
      <c r="L242" s="266" t="n">
        <v>13</v>
      </c>
      <c r="M242" s="266" t="n">
        <v>-5</v>
      </c>
      <c r="N242" s="266" t="n">
        <v>-29</v>
      </c>
      <c r="O242" s="266" t="n">
        <v>4</v>
      </c>
      <c r="P242" s="266" t="n">
        <v>3</v>
      </c>
      <c r="Q242" s="266" t="n">
        <v>-40</v>
      </c>
      <c r="R242" s="266" t="n">
        <v>-54</v>
      </c>
      <c r="S242" s="266" t="n">
        <v>-87</v>
      </c>
      <c r="T242" s="266" t="n">
        <v>-17</v>
      </c>
      <c r="U242" s="266" t="n">
        <v>8</v>
      </c>
      <c r="V242" s="266" t="n">
        <v>-11</v>
      </c>
      <c r="W242" s="266" t="n">
        <v>-8</v>
      </c>
      <c r="X242" s="266" t="n">
        <v>-28</v>
      </c>
      <c r="Y242" s="266" t="n">
        <v>12</v>
      </c>
      <c r="Z242" s="266" t="n">
        <v>-15</v>
      </c>
      <c r="AA242" s="266" t="n">
        <v>-3</v>
      </c>
      <c r="AB242" s="266" t="n">
        <v>-27</v>
      </c>
      <c r="AC242" s="266" t="n">
        <v>-33</v>
      </c>
      <c r="AD242" s="266" t="n">
        <v>20</v>
      </c>
      <c r="AE242" s="266" t="n">
        <v>32</v>
      </c>
      <c r="AF242" s="266" t="n">
        <v>21</v>
      </c>
      <c r="AG242" s="266" t="n">
        <v>7</v>
      </c>
      <c r="AH242" s="266" t="n">
        <v>80</v>
      </c>
      <c r="AI242" s="266" t="n">
        <v>8</v>
      </c>
      <c r="AJ242" s="266" t="n">
        <v>-44</v>
      </c>
      <c r="AK242" s="266" t="n">
        <v>-1</v>
      </c>
      <c r="AL242" s="266" t="n">
        <v>-16</v>
      </c>
      <c r="AM242" s="266" t="n">
        <v>-53</v>
      </c>
      <c r="AN242" s="266" t="n">
        <v>1</v>
      </c>
      <c r="AO242" s="266" t="n">
        <v>-3</v>
      </c>
      <c r="AP242" s="266" t="n">
        <v>-25</v>
      </c>
      <c r="AQ242" s="266" t="n">
        <v>22</v>
      </c>
      <c r="AR242" s="266" t="n">
        <v>-5</v>
      </c>
      <c r="AS242" s="266" t="n">
        <v>-47</v>
      </c>
      <c r="AT242" s="266" t="n">
        <v>36</v>
      </c>
      <c r="AU242" s="266" t="n">
        <v>37</v>
      </c>
      <c r="AV242" s="266" t="n">
        <v>59</v>
      </c>
      <c r="AW242" s="266" t="n">
        <v>85</v>
      </c>
      <c r="AX242" s="266" t="n">
        <v>-18</v>
      </c>
      <c r="AY242" s="266" t="n">
        <v>4</v>
      </c>
      <c r="AZ242" s="266" t="n">
        <v>-20</v>
      </c>
      <c r="BA242" s="266" t="n">
        <v>-5</v>
      </c>
      <c r="BB242" s="266" t="n">
        <v>-39</v>
      </c>
      <c r="BC242" s="266" t="n">
        <v>-3</v>
      </c>
      <c r="BD242" s="266" t="n">
        <v>-68</v>
      </c>
      <c r="BE242" s="266" t="n">
        <v>-63</v>
      </c>
      <c r="BF242" s="266" t="n">
        <v>61</v>
      </c>
      <c r="BG242" s="266" t="n">
        <v>-73</v>
      </c>
      <c r="BH242" s="266" t="n">
        <v>10</v>
      </c>
      <c r="BI242" s="266" t="n">
        <v>-8</v>
      </c>
      <c r="BJ242" s="266" t="n">
        <v>-24</v>
      </c>
      <c r="BK242" s="266" t="n">
        <v>52</v>
      </c>
      <c r="BL242" s="266" t="n">
        <v>30</v>
      </c>
      <c r="BM242" s="266" t="n">
        <v>-28</v>
      </c>
      <c r="BN242" s="266" t="n">
        <v>3</v>
      </c>
      <c r="BO242" s="266" t="n">
        <v>33</v>
      </c>
      <c r="BP242" s="266" t="n">
        <v>-55</v>
      </c>
      <c r="BQ242" s="266" t="n">
        <v>-47</v>
      </c>
      <c r="BR242" s="266" t="n">
        <v>12</v>
      </c>
      <c r="BS242" s="266" t="n">
        <v>22</v>
      </c>
      <c r="BT242" s="266" t="n">
        <v>5</v>
      </c>
      <c r="BU242" s="266" t="n">
        <v>1</v>
      </c>
      <c r="BV242" s="266" t="n">
        <v>40</v>
      </c>
      <c r="BW242" s="266" t="n">
        <v>1</v>
      </c>
      <c r="BX242" s="266" t="n">
        <v>1</v>
      </c>
      <c r="BY242" s="35" t="n"/>
      <c r="BZ242" s="35" t="n"/>
      <c r="CA242" s="263">
        <f>SUM(BW242:BX242)</f>
        <v>2</v>
      </c>
      <c r="CB242" s="271" t="n">
        <v>0</v>
      </c>
      <c r="CC242" s="271" t="n">
        <v>0</v>
      </c>
      <c r="CD242" s="271" t="n">
        <v>0</v>
      </c>
      <c r="CE242" s="271" t="n">
        <v>0</v>
      </c>
      <c r="CF242" s="271" t="n">
        <v>0</v>
      </c>
      <c r="CG242" s="19" t="n"/>
    </row>
    <row r="243" ht="15" customHeight="1" s="251">
      <c r="B243" s="25" t="inlineStr">
        <is>
          <t>Net increase / (decrease) in cash (incl. restricted from 2018)</t>
        </is>
      </c>
      <c r="C243" s="266" t="n">
        <v>706</v>
      </c>
      <c r="D243" s="266" t="n">
        <v>924</v>
      </c>
      <c r="E243" s="266" t="n">
        <v>-3774</v>
      </c>
      <c r="F243" s="266" t="n">
        <v>5947</v>
      </c>
      <c r="G243" s="266" t="n">
        <v>-3856</v>
      </c>
      <c r="H243" s="266" t="n">
        <v>4690</v>
      </c>
      <c r="I243" s="266" t="n">
        <v>292</v>
      </c>
      <c r="J243" s="266" t="n">
        <v>-2006</v>
      </c>
      <c r="K243" s="266" t="n">
        <v>359</v>
      </c>
      <c r="L243" s="266" t="n">
        <v>1347</v>
      </c>
      <c r="M243" s="266" t="n">
        <v>-953</v>
      </c>
      <c r="N243" s="266" t="n">
        <v>-1253</v>
      </c>
      <c r="O243" s="266" t="n">
        <v>-2146</v>
      </c>
      <c r="P243" s="266" t="n">
        <v>591</v>
      </c>
      <c r="Q243" s="266" t="n">
        <v>-878</v>
      </c>
      <c r="R243" s="266" t="n">
        <v>5078</v>
      </c>
      <c r="S243" s="266" t="n">
        <v>2645</v>
      </c>
      <c r="T243" s="266" t="n">
        <v>-3078</v>
      </c>
      <c r="U243" s="266" t="n">
        <v>502</v>
      </c>
      <c r="V243" s="266" t="n">
        <v>226</v>
      </c>
      <c r="W243" s="266" t="n">
        <v>1919</v>
      </c>
      <c r="X243" s="266" t="n">
        <v>-431</v>
      </c>
      <c r="Y243" s="266" t="n">
        <v>-3416</v>
      </c>
      <c r="Z243" s="266" t="n">
        <v>719</v>
      </c>
      <c r="AA243" s="266" t="n">
        <v>381</v>
      </c>
      <c r="AB243" s="266" t="n">
        <v>-185</v>
      </c>
      <c r="AC243" s="266" t="n">
        <v>-2501</v>
      </c>
      <c r="AD243" s="266" t="n">
        <v>-611</v>
      </c>
      <c r="AE243" s="266" t="n">
        <v>547</v>
      </c>
      <c r="AF243" s="266" t="n">
        <v>-168</v>
      </c>
      <c r="AG243" s="266" t="n">
        <v>244</v>
      </c>
      <c r="AH243" s="266" t="n">
        <v>12</v>
      </c>
      <c r="AI243" s="266" t="n">
        <v>418</v>
      </c>
      <c r="AJ243" s="266" t="n">
        <v>-1110</v>
      </c>
      <c r="AK243" s="266" t="n">
        <v>-33</v>
      </c>
      <c r="AL243" s="266" t="n">
        <v>-349</v>
      </c>
      <c r="AM243" s="266" t="n">
        <v>-1074</v>
      </c>
      <c r="AN243" s="266" t="n">
        <v>-801</v>
      </c>
      <c r="AO243" s="266" t="n">
        <v>2240</v>
      </c>
      <c r="AP243" s="266" t="n">
        <v>597</v>
      </c>
      <c r="AQ243" s="266" t="n">
        <v>-278</v>
      </c>
      <c r="AR243" s="266" t="n">
        <v>1758</v>
      </c>
      <c r="AS243" s="266" t="n">
        <v>5552</v>
      </c>
      <c r="AT243" s="266" t="n">
        <v>4911</v>
      </c>
      <c r="AU243" s="266" t="n">
        <v>-9387</v>
      </c>
      <c r="AV243" s="266" t="n">
        <v>-2812</v>
      </c>
      <c r="AW243" s="266" t="n">
        <v>-1736</v>
      </c>
      <c r="AX243" s="266" t="n">
        <v>-689</v>
      </c>
      <c r="AY243" s="266" t="n">
        <v>1161</v>
      </c>
      <c r="AZ243" s="266" t="n">
        <v>1513</v>
      </c>
      <c r="BA243" s="266" t="n">
        <v>-1716</v>
      </c>
      <c r="BB243" s="266" t="n">
        <v>269</v>
      </c>
      <c r="BC243" s="266" t="n">
        <v>-650</v>
      </c>
      <c r="BD243" s="266" t="n">
        <v>2677</v>
      </c>
      <c r="BE243" s="266" t="n">
        <v>3399</v>
      </c>
      <c r="BF243" s="266" t="n">
        <v>1117</v>
      </c>
      <c r="BG243" s="266" t="n">
        <v>6543</v>
      </c>
      <c r="BH243" s="266" t="n">
        <v>-3811</v>
      </c>
      <c r="BI243" s="266" t="n">
        <v>-3561</v>
      </c>
      <c r="BJ243" s="266" t="n">
        <v>-443</v>
      </c>
      <c r="BK243" s="266" t="n">
        <v>5881</v>
      </c>
      <c r="BL243" s="266" t="n">
        <v>-1934</v>
      </c>
      <c r="BM243" s="266" t="n">
        <v>-5778</v>
      </c>
      <c r="BN243" s="266" t="n">
        <v>3980</v>
      </c>
      <c r="BO243" s="266" t="n">
        <v>-933</v>
      </c>
      <c r="BP243" s="266" t="n">
        <v>3840</v>
      </c>
      <c r="BQ243" s="266" t="n">
        <v>1109</v>
      </c>
      <c r="BR243" s="266" t="n">
        <v>-3659</v>
      </c>
      <c r="BS243" s="266" t="n">
        <v>-2367</v>
      </c>
      <c r="BT243" s="266" t="n">
        <v>-914</v>
      </c>
      <c r="BU243" s="266" t="n">
        <v>4781</v>
      </c>
      <c r="BV243" s="266" t="n">
        <v>-2159</v>
      </c>
      <c r="BW243" s="266" t="n">
        <v>-1495</v>
      </c>
      <c r="BX243" s="266" t="n">
        <v>-2202</v>
      </c>
      <c r="BY243" s="35" t="n"/>
      <c r="BZ243" s="35" t="n"/>
      <c r="CA243" s="263">
        <f>CA229+CA235+CA241+CA242</f>
        <v>-1046.5</v>
      </c>
      <c r="CB243" s="263">
        <f>CB229+CB235+CB241+CB242</f>
        <v>1974.31127207672</v>
      </c>
      <c r="CC243" s="263">
        <f>CC229+CC235+CC241+CC242</f>
        <v>9191.12979242841</v>
      </c>
      <c r="CD243" s="263">
        <f>CD229+CD235+CD241+CD242</f>
        <v>-1286.21034500277</v>
      </c>
      <c r="CE243" s="263">
        <f>CE229+CE235+CE241+CE242</f>
        <v>-1156.7955115575</v>
      </c>
      <c r="CF243" s="263">
        <f>CF229+CF235+CF241+CF242</f>
        <v>-764.334793517748</v>
      </c>
      <c r="CG243" s="19" t="n"/>
    </row>
    <row r="244" ht="15" customHeight="1" s="251">
      <c r="B244" s="25" t="inlineStr">
        <is>
          <t>Cash — beginning of period</t>
        </is>
      </c>
      <c r="C244" s="266" t="n">
        <v>5412</v>
      </c>
      <c r="D244" s="266" t="n">
        <v>6118</v>
      </c>
      <c r="E244" s="266" t="n">
        <v>7042</v>
      </c>
      <c r="F244" s="266" t="n">
        <v>3268</v>
      </c>
      <c r="G244" s="266" t="n">
        <v>9215</v>
      </c>
      <c r="H244" s="266" t="n">
        <v>5359</v>
      </c>
      <c r="I244" s="266" t="n">
        <v>10049</v>
      </c>
      <c r="J244" s="266" t="n">
        <v>10341</v>
      </c>
      <c r="K244" s="266" t="n">
        <v>8335</v>
      </c>
      <c r="L244" s="266" t="n">
        <v>8694</v>
      </c>
      <c r="M244" s="266" t="n">
        <v>10041</v>
      </c>
      <c r="N244" s="266" t="n">
        <v>10341</v>
      </c>
      <c r="O244" s="266" t="n">
        <v>9088</v>
      </c>
      <c r="P244" s="266" t="n">
        <v>6942</v>
      </c>
      <c r="Q244" s="266" t="n">
        <v>7533</v>
      </c>
      <c r="R244" s="266" t="n">
        <v>6655</v>
      </c>
      <c r="S244" s="266" t="n">
        <v>9088</v>
      </c>
      <c r="T244" s="266" t="n">
        <v>11733</v>
      </c>
      <c r="U244" s="266" t="n">
        <v>8655</v>
      </c>
      <c r="V244" s="266" t="n">
        <v>9157</v>
      </c>
      <c r="W244" s="266" t="n">
        <v>9383</v>
      </c>
      <c r="X244" s="266" t="n">
        <v>11733</v>
      </c>
      <c r="Y244" s="266" t="n">
        <v>11302</v>
      </c>
      <c r="Z244" s="266" t="n">
        <v>7886</v>
      </c>
      <c r="AA244" s="266" t="n">
        <v>8605</v>
      </c>
      <c r="AB244" s="266" t="n">
        <v>8986</v>
      </c>
      <c r="AC244" s="266" t="n">
        <v>11302</v>
      </c>
      <c r="AD244" s="266" t="n">
        <v>8801</v>
      </c>
      <c r="AE244" s="266" t="n">
        <v>8190</v>
      </c>
      <c r="AF244" s="266" t="n">
        <v>8737</v>
      </c>
      <c r="AG244" s="266" t="n">
        <v>8569</v>
      </c>
      <c r="AH244" s="266" t="n">
        <v>8801</v>
      </c>
      <c r="AI244" s="266" t="n">
        <v>8887</v>
      </c>
      <c r="AJ244" s="266" t="n">
        <v>9305</v>
      </c>
      <c r="AK244" s="266" t="n">
        <v>8195</v>
      </c>
      <c r="AL244" s="266" t="n">
        <v>8162</v>
      </c>
      <c r="AM244" s="266" t="n">
        <v>8887</v>
      </c>
      <c r="AN244" s="266" t="n">
        <v>7813</v>
      </c>
      <c r="AO244" s="266" t="n">
        <v>7012</v>
      </c>
      <c r="AP244" s="266" t="n">
        <v>9252</v>
      </c>
      <c r="AQ244" s="266" t="n">
        <v>9849</v>
      </c>
      <c r="AR244" s="266" t="n">
        <v>7813</v>
      </c>
      <c r="AS244" s="266" t="n">
        <v>9571</v>
      </c>
      <c r="AT244" s="266" t="n">
        <v>15123</v>
      </c>
      <c r="AU244" s="266" t="n">
        <v>20034</v>
      </c>
      <c r="AV244" s="266" t="n">
        <v>10647</v>
      </c>
      <c r="AW244" s="266" t="n">
        <v>9571</v>
      </c>
      <c r="AX244" s="266" t="n">
        <v>7835</v>
      </c>
      <c r="AY244" s="266" t="n">
        <v>7146</v>
      </c>
      <c r="AZ244" s="266" t="n">
        <v>8307</v>
      </c>
      <c r="BA244" s="266" t="n">
        <v>9820</v>
      </c>
      <c r="BB244" s="266" t="n">
        <v>7835</v>
      </c>
      <c r="BC244" s="266" t="n">
        <v>8104</v>
      </c>
      <c r="BD244" s="266" t="n">
        <v>7454</v>
      </c>
      <c r="BE244" s="266" t="n">
        <v>10131</v>
      </c>
      <c r="BF244" s="266" t="n">
        <v>13530</v>
      </c>
      <c r="BG244" s="266" t="n">
        <v>8104</v>
      </c>
      <c r="BH244" s="266" t="n">
        <v>14647</v>
      </c>
      <c r="BI244" s="266" t="n">
        <v>10836</v>
      </c>
      <c r="BJ244" s="266" t="n">
        <v>7275</v>
      </c>
      <c r="BK244" s="266" t="n">
        <v>6832</v>
      </c>
      <c r="BL244" s="266" t="n">
        <v>14647</v>
      </c>
      <c r="BM244" s="266" t="n">
        <v>12713</v>
      </c>
      <c r="BN244" s="266" t="n">
        <v>6935</v>
      </c>
      <c r="BO244" s="266" t="n">
        <v>10915</v>
      </c>
      <c r="BP244" s="266" t="n">
        <v>9982</v>
      </c>
      <c r="BQ244" s="266" t="n">
        <v>12713</v>
      </c>
      <c r="BR244" s="266" t="n">
        <v>13822</v>
      </c>
      <c r="BS244" s="266" t="n">
        <v>10163</v>
      </c>
      <c r="BT244" s="266" t="n">
        <v>7796</v>
      </c>
      <c r="BU244" s="266" t="n">
        <v>6882</v>
      </c>
      <c r="BV244" s="266" t="n">
        <v>13822</v>
      </c>
      <c r="BW244" s="266" t="n">
        <v>11663</v>
      </c>
      <c r="BX244" s="266" t="n">
        <v>10168</v>
      </c>
      <c r="BY244" s="35" t="n"/>
      <c r="BZ244" s="35" t="n"/>
      <c r="CA244" s="263">
        <f>BV245</f>
        <v>11663</v>
      </c>
      <c r="CB244" s="263">
        <f>CA245</f>
        <v>10616.5</v>
      </c>
      <c r="CC244" s="263">
        <f>CB245</f>
        <v>12590.8112720767</v>
      </c>
      <c r="CD244" s="263">
        <f>CC245</f>
        <v>21781.9410645051</v>
      </c>
      <c r="CE244" s="263">
        <f>CD245</f>
        <v>20495.7307195024</v>
      </c>
      <c r="CF244" s="263">
        <f>CE245</f>
        <v>19338.9352079449</v>
      </c>
      <c r="CG244" s="19" t="n"/>
    </row>
    <row r="245" ht="15" customHeight="1" s="251">
      <c r="B245" s="16" t="inlineStr">
        <is>
          <t>Cash — end of period (incl. restricted cash from 2018)</t>
        </is>
      </c>
      <c r="C245" s="264" t="n">
        <v>6118</v>
      </c>
      <c r="D245" s="264" t="n">
        <v>7042</v>
      </c>
      <c r="E245" s="264" t="n">
        <v>3268</v>
      </c>
      <c r="F245" s="264" t="n">
        <v>9215</v>
      </c>
      <c r="G245" s="264" t="n">
        <v>5359</v>
      </c>
      <c r="H245" s="264" t="n">
        <v>10049</v>
      </c>
      <c r="I245" s="264" t="n">
        <v>10341</v>
      </c>
      <c r="J245" s="264" t="n">
        <v>8335</v>
      </c>
      <c r="K245" s="264" t="n">
        <v>8694</v>
      </c>
      <c r="L245" s="264" t="n">
        <v>10041</v>
      </c>
      <c r="M245" s="264" t="n">
        <v>9088</v>
      </c>
      <c r="N245" s="264" t="n">
        <v>9088</v>
      </c>
      <c r="O245" s="264" t="n">
        <v>6942</v>
      </c>
      <c r="P245" s="264" t="n">
        <v>7533</v>
      </c>
      <c r="Q245" s="264" t="n">
        <v>6655</v>
      </c>
      <c r="R245" s="264" t="n">
        <v>11733</v>
      </c>
      <c r="S245" s="264" t="n">
        <v>11733</v>
      </c>
      <c r="T245" s="264" t="n">
        <v>8655</v>
      </c>
      <c r="U245" s="264" t="n">
        <v>9157</v>
      </c>
      <c r="V245" s="264" t="n">
        <v>9383</v>
      </c>
      <c r="W245" s="264" t="n">
        <v>11302</v>
      </c>
      <c r="X245" s="264" t="n">
        <v>11302</v>
      </c>
      <c r="Y245" s="264" t="n">
        <v>7886</v>
      </c>
      <c r="Z245" s="264" t="n">
        <v>8605</v>
      </c>
      <c r="AA245" s="264" t="n">
        <v>8986</v>
      </c>
      <c r="AB245" s="264" t="n">
        <v>8801</v>
      </c>
      <c r="AC245" s="264" t="n">
        <v>8801</v>
      </c>
      <c r="AD245" s="264" t="n">
        <v>8190</v>
      </c>
      <c r="AE245" s="264" t="n">
        <v>8737</v>
      </c>
      <c r="AF245" s="264" t="n">
        <v>8569</v>
      </c>
      <c r="AG245" s="264" t="n">
        <v>8813</v>
      </c>
      <c r="AH245" s="264" t="n">
        <v>8813</v>
      </c>
      <c r="AI245" s="264" t="n">
        <v>9305</v>
      </c>
      <c r="AJ245" s="264" t="n">
        <v>8195</v>
      </c>
      <c r="AK245" s="264" t="n">
        <v>8162</v>
      </c>
      <c r="AL245" s="264" t="n">
        <v>7813</v>
      </c>
      <c r="AM245" s="264" t="n">
        <v>7813</v>
      </c>
      <c r="AN245" s="264" t="n">
        <v>7012</v>
      </c>
      <c r="AO245" s="264" t="n">
        <v>9252</v>
      </c>
      <c r="AP245" s="264" t="n">
        <v>9849</v>
      </c>
      <c r="AQ245" s="264" t="n">
        <v>9571</v>
      </c>
      <c r="AR245" s="264" t="n">
        <v>9571</v>
      </c>
      <c r="AS245" s="264" t="n">
        <v>15123</v>
      </c>
      <c r="AT245" s="264" t="n">
        <v>20034</v>
      </c>
      <c r="AU245" s="264" t="n">
        <v>10647</v>
      </c>
      <c r="AV245" s="264" t="n">
        <v>7835</v>
      </c>
      <c r="AW245" s="264" t="n">
        <v>7835</v>
      </c>
      <c r="AX245" s="264" t="n">
        <v>7146</v>
      </c>
      <c r="AY245" s="264" t="n">
        <v>8307</v>
      </c>
      <c r="AZ245" s="264" t="n">
        <v>9820</v>
      </c>
      <c r="BA245" s="264" t="n">
        <v>8104</v>
      </c>
      <c r="BB245" s="264" t="n">
        <v>8104</v>
      </c>
      <c r="BC245" s="264" t="n">
        <v>7454</v>
      </c>
      <c r="BD245" s="264" t="n">
        <v>10131</v>
      </c>
      <c r="BE245" s="264" t="n">
        <v>13530</v>
      </c>
      <c r="BF245" s="264" t="n">
        <v>14647</v>
      </c>
      <c r="BG245" s="264" t="n">
        <v>14647</v>
      </c>
      <c r="BH245" s="264" t="n">
        <v>10836</v>
      </c>
      <c r="BI245" s="264" t="n">
        <v>7275</v>
      </c>
      <c r="BJ245" s="264" t="n">
        <v>6832</v>
      </c>
      <c r="BK245" s="264" t="n">
        <v>12713</v>
      </c>
      <c r="BL245" s="264" t="n">
        <v>12713</v>
      </c>
      <c r="BM245" s="264" t="n">
        <v>6935</v>
      </c>
      <c r="BN245" s="264" t="n">
        <v>10915</v>
      </c>
      <c r="BO245" s="264" t="n">
        <v>9982</v>
      </c>
      <c r="BP245" s="264" t="n">
        <v>13822</v>
      </c>
      <c r="BQ245" s="264" t="n">
        <v>13822</v>
      </c>
      <c r="BR245" s="264" t="n">
        <v>10163</v>
      </c>
      <c r="BS245" s="264" t="n">
        <v>7796</v>
      </c>
      <c r="BT245" s="264" t="n">
        <v>6882</v>
      </c>
      <c r="BU245" s="264" t="n">
        <v>11663</v>
      </c>
      <c r="BV245" s="264" t="n">
        <v>11663</v>
      </c>
      <c r="BW245" s="264" t="n">
        <v>10168</v>
      </c>
      <c r="BX245" s="264" t="n">
        <v>7966</v>
      </c>
      <c r="BY245" s="32" t="n"/>
      <c r="BZ245" s="32" t="n"/>
      <c r="CA245" s="265">
        <f>CA244+CA243</f>
        <v>10616.5</v>
      </c>
      <c r="CB245" s="265">
        <f>CB244+CB243</f>
        <v>12590.8112720767</v>
      </c>
      <c r="CC245" s="265">
        <f>CC244+CC243</f>
        <v>21781.9410645051</v>
      </c>
      <c r="CD245" s="265">
        <f>CD244+CD243</f>
        <v>20495.7307195024</v>
      </c>
      <c r="CE245" s="265">
        <f>CE244+CE243</f>
        <v>19338.9352079449</v>
      </c>
      <c r="CF245" s="265">
        <f>CF244+CF243</f>
        <v>18574.6004144271</v>
      </c>
      <c r="CG245" s="153" t="n"/>
    </row>
    <row r="246" ht="15" customHeight="1" s="251">
      <c r="B246" s="156" t="inlineStr">
        <is>
          <t xml:space="preserve">  Memo: restricted cash included in investments (cash-flow statement "less restricted cash" line)</t>
        </is>
      </c>
      <c r="C246" s="266" t="n">
        <v>0</v>
      </c>
      <c r="D246" s="266" t="n">
        <v>0</v>
      </c>
      <c r="E246" s="266" t="n">
        <v>0</v>
      </c>
      <c r="F246" s="266" t="n">
        <v>0</v>
      </c>
      <c r="G246" s="266" t="n">
        <v>0</v>
      </c>
      <c r="H246" s="266" t="n">
        <v>0</v>
      </c>
      <c r="I246" s="266" t="n">
        <v>0</v>
      </c>
      <c r="J246" s="266" t="n">
        <v>0</v>
      </c>
      <c r="K246" s="266" t="n">
        <v>0</v>
      </c>
      <c r="L246" s="266" t="n">
        <v>0</v>
      </c>
      <c r="M246" s="266" t="n">
        <v>0</v>
      </c>
      <c r="N246" s="266" t="n">
        <v>0</v>
      </c>
      <c r="O246" s="266" t="n">
        <v>0</v>
      </c>
      <c r="P246" s="266" t="n">
        <v>0</v>
      </c>
      <c r="Q246" s="266" t="n">
        <v>0</v>
      </c>
      <c r="R246" s="266" t="n">
        <v>0</v>
      </c>
      <c r="S246" s="266" t="n">
        <v>0</v>
      </c>
      <c r="T246" s="266" t="n">
        <v>0</v>
      </c>
      <c r="U246" s="266" t="n">
        <v>0</v>
      </c>
      <c r="V246" s="266" t="n">
        <v>0</v>
      </c>
      <c r="W246" s="266" t="n">
        <v>0</v>
      </c>
      <c r="X246" s="266" t="n">
        <v>0</v>
      </c>
      <c r="Y246" s="266" t="n">
        <v>0</v>
      </c>
      <c r="Z246" s="266" t="n">
        <v>0</v>
      </c>
      <c r="AA246" s="266" t="n">
        <v>0</v>
      </c>
      <c r="AB246" s="266" t="n">
        <v>0</v>
      </c>
      <c r="AC246" s="266" t="n">
        <v>0</v>
      </c>
      <c r="AD246" s="266" t="n">
        <v>0</v>
      </c>
      <c r="AE246" s="266" t="n">
        <v>0</v>
      </c>
      <c r="AF246" s="266" t="n">
        <v>0</v>
      </c>
      <c r="AG246" s="266" t="n">
        <v>0</v>
      </c>
      <c r="AH246" s="266" t="n">
        <v>0</v>
      </c>
      <c r="AI246" s="266" t="n">
        <v>70</v>
      </c>
      <c r="AJ246" s="266" t="n">
        <v>74</v>
      </c>
      <c r="AK246" s="266" t="n">
        <v>128</v>
      </c>
      <c r="AL246" s="266" t="n">
        <v>176</v>
      </c>
      <c r="AM246" s="266" t="n">
        <v>176</v>
      </c>
      <c r="AN246" s="266" t="n">
        <v>176</v>
      </c>
      <c r="AO246" s="266" t="n">
        <v>85</v>
      </c>
      <c r="AP246" s="266" t="n">
        <v>86</v>
      </c>
      <c r="AQ246" s="266" t="n">
        <v>86</v>
      </c>
      <c r="AR246" s="266" t="n">
        <v>86</v>
      </c>
      <c r="AS246" s="266" t="n">
        <v>84</v>
      </c>
      <c r="AT246" s="266" t="n">
        <v>42</v>
      </c>
      <c r="AU246" s="266" t="n">
        <v>83</v>
      </c>
      <c r="AV246" s="266" t="n">
        <v>83</v>
      </c>
      <c r="AW246" s="266" t="n">
        <v>83</v>
      </c>
      <c r="AX246" s="266" t="n">
        <v>87</v>
      </c>
      <c r="AY246" s="266" t="n">
        <v>36</v>
      </c>
      <c r="AZ246" s="266" t="n">
        <v>56</v>
      </c>
      <c r="BA246" s="266" t="n">
        <v>52</v>
      </c>
      <c r="BB246" s="266" t="n">
        <v>52</v>
      </c>
      <c r="BC246" s="266" t="n">
        <v>45</v>
      </c>
      <c r="BD246" s="266" t="n">
        <v>41</v>
      </c>
      <c r="BE246" s="266" t="n">
        <v>36</v>
      </c>
      <c r="BF246" s="266" t="n">
        <v>33</v>
      </c>
      <c r="BG246" s="266" t="n">
        <v>33</v>
      </c>
      <c r="BH246" s="266" t="n">
        <v>24</v>
      </c>
      <c r="BI246" s="266" t="n">
        <v>21</v>
      </c>
      <c r="BJ246" s="266" t="n">
        <v>21</v>
      </c>
      <c r="BK246" s="266" t="n">
        <v>22</v>
      </c>
      <c r="BL246" s="266" t="n">
        <v>22</v>
      </c>
      <c r="BM246" s="266" t="n">
        <v>21</v>
      </c>
      <c r="BN246" s="266" t="n">
        <v>21</v>
      </c>
      <c r="BO246" s="266" t="n">
        <v>21</v>
      </c>
      <c r="BP246" s="266" t="n">
        <v>21</v>
      </c>
      <c r="BQ246" s="266" t="n">
        <v>21</v>
      </c>
      <c r="BR246" s="266" t="n">
        <v>21</v>
      </c>
      <c r="BS246" s="266" t="n">
        <v>709</v>
      </c>
      <c r="BT246" s="266" t="n">
        <v>709</v>
      </c>
      <c r="BU246" s="266" t="n">
        <v>742</v>
      </c>
      <c r="BV246" s="266" t="n">
        <v>742</v>
      </c>
      <c r="BW246" s="266" t="n">
        <v>727</v>
      </c>
      <c r="BX246" s="266" t="n">
        <v>727</v>
      </c>
      <c r="BY246" s="153" t="n"/>
      <c r="BZ246" s="153" t="n"/>
      <c r="CA246" s="276">
        <f>BX246</f>
        <v>727</v>
      </c>
      <c r="CB246" s="276">
        <f>CA246</f>
        <v>727</v>
      </c>
      <c r="CC246" s="276">
        <f>CB246</f>
        <v>727</v>
      </c>
      <c r="CD246" s="276">
        <f>CC246</f>
        <v>727</v>
      </c>
      <c r="CE246" s="276">
        <f>CD246</f>
        <v>727</v>
      </c>
      <c r="CF246" s="276">
        <f>CE246</f>
        <v>727</v>
      </c>
      <c r="CG246" s="153" t="inlineStr">
        <is>
          <t>ASU 2016-18 (2018): the cash-flow statement includes restricted cash (in Investments). Forecast held at the 30-Jun-2026 level.</t>
        </is>
      </c>
    </row>
    <row r="247" ht="15" customHeight="1" s="251">
      <c r="B247" s="57" t="inlineStr">
        <is>
          <t xml:space="preserve">  Check: beginning cash + CFO + CFI + CFF + FX = ending cash (should be 0)</t>
        </is>
      </c>
      <c r="C247" s="262">
        <f>IF(AND(ISNUMBER(C244),ISNUMBER(C229)),ROUND(C244+C243-C245,1),"")</f>
        <v>0</v>
      </c>
      <c r="D247" s="262">
        <f>IF(AND(ISNUMBER(D244),ISNUMBER(D229)),ROUND(D244+D243-D245,1),"")</f>
        <v>0</v>
      </c>
      <c r="E247" s="262">
        <f>IF(AND(ISNUMBER(E244),ISNUMBER(E229)),ROUND(E244+E243-E245,1),"")</f>
        <v>0</v>
      </c>
      <c r="F247" s="262">
        <f>IF(AND(ISNUMBER(F244),ISNUMBER(F229)),ROUND(F244+F243-F245,1),"")</f>
        <v>0</v>
      </c>
      <c r="G247" s="262">
        <f>IF(AND(ISNUMBER(G244),ISNUMBER(G229)),ROUND(G244+G243-G245,1),"")</f>
        <v>0</v>
      </c>
      <c r="H247" s="262">
        <f>IF(AND(ISNUMBER(H244),ISNUMBER(H229)),ROUND(H244+H243-H245,1),"")</f>
        <v>0</v>
      </c>
      <c r="I247" s="262">
        <f>IF(AND(ISNUMBER(I244),ISNUMBER(I229)),ROUND(I244+I243-I245,1),"")</f>
        <v>0</v>
      </c>
      <c r="J247" s="262">
        <f>IF(AND(ISNUMBER(J244),ISNUMBER(J229)),ROUND(J244+J243-J245,1),"")</f>
        <v>0</v>
      </c>
      <c r="K247" s="262">
        <f>IF(AND(ISNUMBER(K244),ISNUMBER(K229)),ROUND(K244+K243-K245,1),"")</f>
        <v>0</v>
      </c>
      <c r="L247" s="262">
        <f>IF(AND(ISNUMBER(L244),ISNUMBER(L229)),ROUND(L244+L243-L245,1),"")</f>
        <v>0</v>
      </c>
      <c r="M247" s="262">
        <f>IF(AND(ISNUMBER(M244),ISNUMBER(M229)),ROUND(M244+M243-M245,1),"")</f>
        <v>0</v>
      </c>
      <c r="N247" s="262">
        <f>IF(AND(ISNUMBER(N244),ISNUMBER(N229)),ROUND(N244+N243-N245,1),"")</f>
        <v>0</v>
      </c>
      <c r="O247" s="262">
        <f>IF(AND(ISNUMBER(O244),ISNUMBER(O229)),ROUND(O244+O243-O245,1),"")</f>
        <v>0</v>
      </c>
      <c r="P247" s="262">
        <f>IF(AND(ISNUMBER(P244),ISNUMBER(P229)),ROUND(P244+P243-P245,1),"")</f>
        <v>0</v>
      </c>
      <c r="Q247" s="262">
        <f>IF(AND(ISNUMBER(Q244),ISNUMBER(Q229)),ROUND(Q244+Q243-Q245,1),"")</f>
        <v>0</v>
      </c>
      <c r="R247" s="262">
        <f>IF(AND(ISNUMBER(R244),ISNUMBER(R229)),ROUND(R244+R243-R245,1),"")</f>
        <v>0</v>
      </c>
      <c r="S247" s="262">
        <f>IF(AND(ISNUMBER(S244),ISNUMBER(S229)),ROUND(S244+S243-S245,1),"")</f>
        <v>0</v>
      </c>
      <c r="T247" s="262">
        <f>IF(AND(ISNUMBER(T244),ISNUMBER(T229)),ROUND(T244+T243-T245,1),"")</f>
        <v>0</v>
      </c>
      <c r="U247" s="262">
        <f>IF(AND(ISNUMBER(U244),ISNUMBER(U229)),ROUND(U244+U243-U245,1),"")</f>
        <v>0</v>
      </c>
      <c r="V247" s="262">
        <f>IF(AND(ISNUMBER(V244),ISNUMBER(V229)),ROUND(V244+V243-V245,1),"")</f>
        <v>0</v>
      </c>
      <c r="W247" s="262">
        <f>IF(AND(ISNUMBER(W244),ISNUMBER(W229)),ROUND(W244+W243-W245,1),"")</f>
        <v>0</v>
      </c>
      <c r="X247" s="262">
        <f>IF(AND(ISNUMBER(X244),ISNUMBER(X229)),ROUND(X244+X243-X245,1),"")</f>
        <v>0</v>
      </c>
      <c r="Y247" s="262">
        <f>IF(AND(ISNUMBER(Y244),ISNUMBER(Y229)),ROUND(Y244+Y243-Y245,1),"")</f>
        <v>0</v>
      </c>
      <c r="Z247" s="262">
        <f>IF(AND(ISNUMBER(Z244),ISNUMBER(Z229)),ROUND(Z244+Z243-Z245,1),"")</f>
        <v>0</v>
      </c>
      <c r="AA247" s="262">
        <f>IF(AND(ISNUMBER(AA244),ISNUMBER(AA229)),ROUND(AA244+AA243-AA245,1),"")</f>
        <v>0</v>
      </c>
      <c r="AB247" s="262">
        <f>IF(AND(ISNUMBER(AB244),ISNUMBER(AB229)),ROUND(AB244+AB243-AB245,1),"")</f>
        <v>0</v>
      </c>
      <c r="AC247" s="262">
        <f>IF(AND(ISNUMBER(AC244),ISNUMBER(AC229)),ROUND(AC244+AC243-AC245,1),"")</f>
        <v>0</v>
      </c>
      <c r="AD247" s="262">
        <f>IF(AND(ISNUMBER(AD244),ISNUMBER(AD229)),ROUND(AD244+AD243-AD245,1),"")</f>
        <v>0</v>
      </c>
      <c r="AE247" s="262">
        <f>IF(AND(ISNUMBER(AE244),ISNUMBER(AE229)),ROUND(AE244+AE243-AE245,1),"")</f>
        <v>0</v>
      </c>
      <c r="AF247" s="262">
        <f>IF(AND(ISNUMBER(AF244),ISNUMBER(AF229)),ROUND(AF244+AF243-AF245,1),"")</f>
        <v>0</v>
      </c>
      <c r="AG247" s="262">
        <f>IF(AND(ISNUMBER(AG244),ISNUMBER(AG229)),ROUND(AG244+AG243-AG245,1),"")</f>
        <v>0</v>
      </c>
      <c r="AH247" s="262">
        <f>IF(AND(ISNUMBER(AH244),ISNUMBER(AH229)),ROUND(AH244+AH243-AH245,1),"")</f>
        <v>0</v>
      </c>
      <c r="AI247" s="262">
        <f>IF(AND(ISNUMBER(AI244),ISNUMBER(AI229)),ROUND(AI244+AI243-AI245,1),"")</f>
        <v>0</v>
      </c>
      <c r="AJ247" s="262">
        <f>IF(AND(ISNUMBER(AJ244),ISNUMBER(AJ229)),ROUND(AJ244+AJ243-AJ245,1),"")</f>
        <v>0</v>
      </c>
      <c r="AK247" s="262">
        <f>IF(AND(ISNUMBER(AK244),ISNUMBER(AK229)),ROUND(AK244+AK243-AK245,1),"")</f>
        <v>0</v>
      </c>
      <c r="AL247" s="262">
        <f>IF(AND(ISNUMBER(AL244),ISNUMBER(AL229)),ROUND(AL244+AL243-AL245,1),"")</f>
        <v>0</v>
      </c>
      <c r="AM247" s="262">
        <f>IF(AND(ISNUMBER(AM244),ISNUMBER(AM229)),ROUND(AM244+AM243-AM245,1),"")</f>
        <v>0</v>
      </c>
      <c r="AN247" s="262">
        <f>IF(AND(ISNUMBER(AN244),ISNUMBER(AN229)),ROUND(AN244+AN243-AN245,1),"")</f>
        <v>0</v>
      </c>
      <c r="AO247" s="262">
        <f>IF(AND(ISNUMBER(AO244),ISNUMBER(AO229)),ROUND(AO244+AO243-AO245,1),"")</f>
        <v>0</v>
      </c>
      <c r="AP247" s="262">
        <f>IF(AND(ISNUMBER(AP244),ISNUMBER(AP229)),ROUND(AP244+AP243-AP245,1),"")</f>
        <v>0</v>
      </c>
      <c r="AQ247" s="262">
        <f>IF(AND(ISNUMBER(AQ244),ISNUMBER(AQ229)),ROUND(AQ244+AQ243-AQ245,1),"")</f>
        <v>0</v>
      </c>
      <c r="AR247" s="262">
        <f>IF(AND(ISNUMBER(AR244),ISNUMBER(AR229)),ROUND(AR244+AR243-AR245,1),"")</f>
        <v>0</v>
      </c>
      <c r="AS247" s="262">
        <f>IF(AND(ISNUMBER(AS244),ISNUMBER(AS229)),ROUND(AS244+AS243-AS245,1),"")</f>
        <v>0</v>
      </c>
      <c r="AT247" s="262">
        <f>IF(AND(ISNUMBER(AT244),ISNUMBER(AT229)),ROUND(AT244+AT243-AT245,1),"")</f>
        <v>0</v>
      </c>
      <c r="AU247" s="262">
        <f>IF(AND(ISNUMBER(AU244),ISNUMBER(AU229)),ROUND(AU244+AU243-AU245,1),"")</f>
        <v>0</v>
      </c>
      <c r="AV247" s="262">
        <f>IF(AND(ISNUMBER(AV244),ISNUMBER(AV229)),ROUND(AV244+AV243-AV245,1),"")</f>
        <v>0</v>
      </c>
      <c r="AW247" s="262">
        <f>IF(AND(ISNUMBER(AW244),ISNUMBER(AW229)),ROUND(AW244+AW243-AW245,1),"")</f>
        <v>0</v>
      </c>
      <c r="AX247" s="262">
        <f>IF(AND(ISNUMBER(AX244),ISNUMBER(AX229)),ROUND(AX244+AX243-AX245,1),"")</f>
        <v>0</v>
      </c>
      <c r="AY247" s="262">
        <f>IF(AND(ISNUMBER(AY244),ISNUMBER(AY229)),ROUND(AY244+AY243-AY245,1),"")</f>
        <v>0</v>
      </c>
      <c r="AZ247" s="262">
        <f>IF(AND(ISNUMBER(AZ244),ISNUMBER(AZ229)),ROUND(AZ244+AZ243-AZ245,1),"")</f>
        <v>0</v>
      </c>
      <c r="BA247" s="262">
        <f>IF(AND(ISNUMBER(BA244),ISNUMBER(BA229)),ROUND(BA244+BA243-BA245,1),"")</f>
        <v>0</v>
      </c>
      <c r="BB247" s="262">
        <f>IF(AND(ISNUMBER(BB244),ISNUMBER(BB229)),ROUND(BB244+BB243-BB245,1),"")</f>
        <v>0</v>
      </c>
      <c r="BC247" s="262">
        <f>IF(AND(ISNUMBER(BC244),ISNUMBER(BC229)),ROUND(BC244+BC243-BC245,1),"")</f>
        <v>0</v>
      </c>
      <c r="BD247" s="262">
        <f>IF(AND(ISNUMBER(BD244),ISNUMBER(BD229)),ROUND(BD244+BD243-BD245,1),"")</f>
        <v>0</v>
      </c>
      <c r="BE247" s="262">
        <f>IF(AND(ISNUMBER(BE244),ISNUMBER(BE229)),ROUND(BE244+BE243-BE245,1),"")</f>
        <v>0</v>
      </c>
      <c r="BF247" s="262">
        <f>IF(AND(ISNUMBER(BF244),ISNUMBER(BF229)),ROUND(BF244+BF243-BF245,1),"")</f>
        <v>0</v>
      </c>
      <c r="BG247" s="262">
        <f>IF(AND(ISNUMBER(BG244),ISNUMBER(BG229)),ROUND(BG244+BG243-BG245,1),"")</f>
        <v>0</v>
      </c>
      <c r="BH247" s="262">
        <f>IF(AND(ISNUMBER(BH244),ISNUMBER(BH229)),ROUND(BH244+BH243-BH245,1),"")</f>
        <v>0</v>
      </c>
      <c r="BI247" s="262">
        <f>IF(AND(ISNUMBER(BI244),ISNUMBER(BI229)),ROUND(BI244+BI243-BI245,1),"")</f>
        <v>0</v>
      </c>
      <c r="BJ247" s="262">
        <f>IF(AND(ISNUMBER(BJ244),ISNUMBER(BJ229)),ROUND(BJ244+BJ243-BJ245,1),"")</f>
        <v>0</v>
      </c>
      <c r="BK247" s="262">
        <f>IF(AND(ISNUMBER(BK244),ISNUMBER(BK229)),ROUND(BK244+BK243-BK245,1),"")</f>
        <v>0</v>
      </c>
      <c r="BL247" s="262">
        <f>IF(AND(ISNUMBER(BL244),ISNUMBER(BL229)),ROUND(BL244+BL243-BL245,1),"")</f>
        <v>0</v>
      </c>
      <c r="BM247" s="262">
        <f>IF(AND(ISNUMBER(BM244),ISNUMBER(BM229)),ROUND(BM244+BM243-BM245,1),"")</f>
        <v>0</v>
      </c>
      <c r="BN247" s="262">
        <f>IF(AND(ISNUMBER(BN244),ISNUMBER(BN229)),ROUND(BN244+BN243-BN245,1),"")</f>
        <v>0</v>
      </c>
      <c r="BO247" s="262">
        <f>IF(AND(ISNUMBER(BO244),ISNUMBER(BO229)),ROUND(BO244+BO243-BO245,1),"")</f>
        <v>0</v>
      </c>
      <c r="BP247" s="262">
        <f>IF(AND(ISNUMBER(BP244),ISNUMBER(BP229)),ROUND(BP244+BP243-BP245,1),"")</f>
        <v>0</v>
      </c>
      <c r="BQ247" s="262">
        <f>IF(AND(ISNUMBER(BQ244),ISNUMBER(BQ229)),ROUND(BQ244+BQ243-BQ245,1),"")</f>
        <v>0</v>
      </c>
      <c r="BR247" s="262">
        <f>IF(AND(ISNUMBER(BR244),ISNUMBER(BR229)),ROUND(BR244+BR243-BR245,1),"")</f>
        <v>0</v>
      </c>
      <c r="BS247" s="262">
        <f>IF(AND(ISNUMBER(BS244),ISNUMBER(BS229)),ROUND(BS244+BS243-BS245,1),"")</f>
        <v>0</v>
      </c>
      <c r="BT247" s="262">
        <f>IF(AND(ISNUMBER(BT244),ISNUMBER(BT229)),ROUND(BT244+BT243-BT245,1),"")</f>
        <v>0</v>
      </c>
      <c r="BU247" s="262">
        <f>IF(AND(ISNUMBER(BU244),ISNUMBER(BU229)),ROUND(BU244+BU243-BU245,1),"")</f>
        <v>0</v>
      </c>
      <c r="BV247" s="262">
        <f>IF(AND(ISNUMBER(BV244),ISNUMBER(BV229)),ROUND(BV244+BV243-BV245,1),"")</f>
        <v>0</v>
      </c>
      <c r="BW247" s="262">
        <f>IF(AND(ISNUMBER(BW244),ISNUMBER(BW229)),ROUND(BW244+BW243-BW245,1),"")</f>
        <v>0</v>
      </c>
      <c r="BX247" s="262">
        <f>IF(AND(ISNUMBER(BX244),ISNUMBER(BX229)),ROUND(BX244+BX243-BX245,1),"")</f>
        <v>0</v>
      </c>
      <c r="BY247" s="153" t="n"/>
      <c r="BZ247" s="153" t="n"/>
      <c r="CA247" s="276">
        <f>IF(AND(ISNUMBER(CA244),ISNUMBER(CA229)),ROUND(CA244+CA243-CA245,1),"")</f>
        <v>0</v>
      </c>
      <c r="CB247" s="276">
        <f>IF(AND(ISNUMBER(CB244),ISNUMBER(CB229)),ROUND(CB244+CB243-CB245,1),"")</f>
        <v>0</v>
      </c>
      <c r="CC247" s="276">
        <f>IF(AND(ISNUMBER(CC244),ISNUMBER(CC229)),ROUND(CC244+CC243-CC245,1),"")</f>
        <v>0</v>
      </c>
      <c r="CD247" s="276">
        <f>IF(AND(ISNUMBER(CD244),ISNUMBER(CD229)),ROUND(CD244+CD243-CD245,1),"")</f>
        <v>0</v>
      </c>
      <c r="CE247" s="276">
        <f>IF(AND(ISNUMBER(CE244),ISNUMBER(CE229)),ROUND(CE244+CE243-CE245,1),"")</f>
        <v>0</v>
      </c>
      <c r="CF247" s="276">
        <f>IF(AND(ISNUMBER(CF244),ISNUMBER(CF229)),ROUND(CF244+CF243-CF245,1),"")</f>
        <v>0</v>
      </c>
      <c r="CG247" s="153" t="n"/>
    </row>
    <row r="248" ht="15" customHeight="1" s="251">
      <c r="B248" s="57" t="inlineStr">
        <is>
          <t xml:space="preserve">  Check: CFO = sum of operating lines (should be 0)</t>
        </is>
      </c>
      <c r="C248" s="262">
        <f>IF(ISNUMBER(C221),ROUND(SUM(C221:C228)-C229,1),"")</f>
        <v>0</v>
      </c>
      <c r="D248" s="262">
        <f>IF(ISNUMBER(D221),ROUND(SUM(D221:D228)-D229,1),"")</f>
        <v>0</v>
      </c>
      <c r="E248" s="262">
        <f>IF(ISNUMBER(E221),ROUND(SUM(E221:E228)-E229,1),"")</f>
        <v>0</v>
      </c>
      <c r="F248" s="262">
        <f>IF(ISNUMBER(F221),ROUND(SUM(F221:F228)-F229,1),"")</f>
        <v>0</v>
      </c>
      <c r="G248" s="262">
        <f>IF(ISNUMBER(G221),ROUND(SUM(G221:G228)-G229,1),"")</f>
        <v>0</v>
      </c>
      <c r="H248" s="262">
        <f>IF(ISNUMBER(H221),ROUND(SUM(H221:H228)-H229,1),"")</f>
        <v>0</v>
      </c>
      <c r="I248" s="262">
        <f>IF(ISNUMBER(I221),ROUND(SUM(I221:I228)-I229,1),"")</f>
        <v>0</v>
      </c>
      <c r="J248" s="262">
        <f>IF(ISNUMBER(J221),ROUND(SUM(J221:J228)-J229,1),"")</f>
        <v>0</v>
      </c>
      <c r="K248" s="262">
        <f>IF(ISNUMBER(K221),ROUND(SUM(K221:K228)-K229,1),"")</f>
        <v>0</v>
      </c>
      <c r="L248" s="262">
        <f>IF(ISNUMBER(L221),ROUND(SUM(L221:L228)-L229,1),"")</f>
        <v>0</v>
      </c>
      <c r="M248" s="262">
        <f>IF(ISNUMBER(M221),ROUND(SUM(M221:M228)-M229,1),"")</f>
        <v>0</v>
      </c>
      <c r="N248" s="262">
        <f>IF(ISNUMBER(N221),ROUND(SUM(N221:N228)-N229,1),"")</f>
        <v>0</v>
      </c>
      <c r="O248" s="262">
        <f>IF(ISNUMBER(O221),ROUND(SUM(O221:O228)-O229,1),"")</f>
        <v>0</v>
      </c>
      <c r="P248" s="262">
        <f>IF(ISNUMBER(P221),ROUND(SUM(P221:P228)-P229,1),"")</f>
        <v>0</v>
      </c>
      <c r="Q248" s="262">
        <f>IF(ISNUMBER(Q221),ROUND(SUM(Q221:Q228)-Q229,1),"")</f>
        <v>0</v>
      </c>
      <c r="R248" s="262">
        <f>IF(ISNUMBER(R221),ROUND(SUM(R221:R228)-R229,1),"")</f>
        <v>0</v>
      </c>
      <c r="S248" s="262">
        <f>IF(ISNUMBER(S221),ROUND(SUM(S221:S228)-S229,1),"")</f>
        <v>0</v>
      </c>
      <c r="T248" s="262">
        <f>IF(ISNUMBER(T221),ROUND(SUM(T221:T228)-T229,1),"")</f>
        <v>0</v>
      </c>
      <c r="U248" s="262">
        <f>IF(ISNUMBER(U221),ROUND(SUM(U221:U228)-U229,1),"")</f>
        <v>0</v>
      </c>
      <c r="V248" s="262">
        <f>IF(ISNUMBER(V221),ROUND(SUM(V221:V228)-V229,1),"")</f>
        <v>0</v>
      </c>
      <c r="W248" s="262">
        <f>IF(ISNUMBER(W221),ROUND(SUM(W221:W228)-W229,1),"")</f>
        <v>0</v>
      </c>
      <c r="X248" s="262">
        <f>IF(ISNUMBER(X221),ROUND(SUM(X221:X228)-X229,1),"")</f>
        <v>0</v>
      </c>
      <c r="Y248" s="262">
        <f>IF(ISNUMBER(Y221),ROUND(SUM(Y221:Y228)-Y229,1),"")</f>
        <v>0</v>
      </c>
      <c r="Z248" s="262">
        <f>IF(ISNUMBER(Z221),ROUND(SUM(Z221:Z228)-Z229,1),"")</f>
        <v>0</v>
      </c>
      <c r="AA248" s="262">
        <f>IF(ISNUMBER(AA221),ROUND(SUM(AA221:AA228)-AA229,1),"")</f>
        <v>0</v>
      </c>
      <c r="AB248" s="262">
        <f>IF(ISNUMBER(AB221),ROUND(SUM(AB221:AB228)-AB229,1),"")</f>
        <v>0</v>
      </c>
      <c r="AC248" s="262">
        <f>IF(ISNUMBER(AC221),ROUND(SUM(AC221:AC228)-AC229,1),"")</f>
        <v>0</v>
      </c>
      <c r="AD248" s="262">
        <f>IF(ISNUMBER(AD221),ROUND(SUM(AD221:AD228)-AD229,1),"")</f>
        <v>0</v>
      </c>
      <c r="AE248" s="262">
        <f>IF(ISNUMBER(AE221),ROUND(SUM(AE221:AE228)-AE229,1),"")</f>
        <v>0</v>
      </c>
      <c r="AF248" s="262">
        <f>IF(ISNUMBER(AF221),ROUND(SUM(AF221:AF228)-AF229,1),"")</f>
        <v>0</v>
      </c>
      <c r="AG248" s="262">
        <f>IF(ISNUMBER(AG221),ROUND(SUM(AG221:AG228)-AG229,1),"")</f>
        <v>0</v>
      </c>
      <c r="AH248" s="262">
        <f>IF(ISNUMBER(AH221),ROUND(SUM(AH221:AH228)-AH229,1),"")</f>
        <v>0</v>
      </c>
      <c r="AI248" s="262">
        <f>IF(ISNUMBER(AI221),ROUND(SUM(AI221:AI228)-AI229,1),"")</f>
        <v>0</v>
      </c>
      <c r="AJ248" s="262">
        <f>IF(ISNUMBER(AJ221),ROUND(SUM(AJ221:AJ228)-AJ229,1),"")</f>
        <v>0</v>
      </c>
      <c r="AK248" s="262">
        <f>IF(ISNUMBER(AK221),ROUND(SUM(AK221:AK228)-AK229,1),"")</f>
        <v>0</v>
      </c>
      <c r="AL248" s="262">
        <f>IF(ISNUMBER(AL221),ROUND(SUM(AL221:AL228)-AL229,1),"")</f>
        <v>0</v>
      </c>
      <c r="AM248" s="262">
        <f>IF(ISNUMBER(AM221),ROUND(SUM(AM221:AM228)-AM229,1),"")</f>
        <v>0</v>
      </c>
      <c r="AN248" s="262">
        <f>IF(ISNUMBER(AN221),ROUND(SUM(AN221:AN228)-AN229,1),"")</f>
        <v>0</v>
      </c>
      <c r="AO248" s="262">
        <f>IF(ISNUMBER(AO221),ROUND(SUM(AO221:AO228)-AO229,1),"")</f>
        <v>0</v>
      </c>
      <c r="AP248" s="262">
        <f>IF(ISNUMBER(AP221),ROUND(SUM(AP221:AP228)-AP229,1),"")</f>
        <v>0</v>
      </c>
      <c r="AQ248" s="262">
        <f>IF(ISNUMBER(AQ221),ROUND(SUM(AQ221:AQ228)-AQ229,1),"")</f>
        <v>0</v>
      </c>
      <c r="AR248" s="262">
        <f>IF(ISNUMBER(AR221),ROUND(SUM(AR221:AR228)-AR229,1),"")</f>
        <v>0</v>
      </c>
      <c r="AS248" s="262">
        <f>IF(ISNUMBER(AS221),ROUND(SUM(AS221:AS228)-AS229,1),"")</f>
        <v>0</v>
      </c>
      <c r="AT248" s="262">
        <f>IF(ISNUMBER(AT221),ROUND(SUM(AT221:AT228)-AT229,1),"")</f>
        <v>0</v>
      </c>
      <c r="AU248" s="262">
        <f>IF(ISNUMBER(AU221),ROUND(SUM(AU221:AU228)-AU229,1),"")</f>
        <v>0</v>
      </c>
      <c r="AV248" s="262">
        <f>IF(ISNUMBER(AV221),ROUND(SUM(AV221:AV228)-AV229,1),"")</f>
        <v>0</v>
      </c>
      <c r="AW248" s="262">
        <f>IF(ISNUMBER(AW221),ROUND(SUM(AW221:AW228)-AW229,1),"")</f>
        <v>0</v>
      </c>
      <c r="AX248" s="262">
        <f>IF(ISNUMBER(AX221),ROUND(SUM(AX221:AX228)-AX229,1),"")</f>
        <v>0</v>
      </c>
      <c r="AY248" s="262">
        <f>IF(ISNUMBER(AY221),ROUND(SUM(AY221:AY228)-AY229,1),"")</f>
        <v>0</v>
      </c>
      <c r="AZ248" s="262">
        <f>IF(ISNUMBER(AZ221),ROUND(SUM(AZ221:AZ228)-AZ229,1),"")</f>
        <v>0</v>
      </c>
      <c r="BA248" s="262">
        <f>IF(ISNUMBER(BA221),ROUND(SUM(BA221:BA228)-BA229,1),"")</f>
        <v>0</v>
      </c>
      <c r="BB248" s="262">
        <f>IF(ISNUMBER(BB221),ROUND(SUM(BB221:BB228)-BB229,1),"")</f>
        <v>0</v>
      </c>
      <c r="BC248" s="262">
        <f>IF(ISNUMBER(BC221),ROUND(SUM(BC221:BC228)-BC229,1),"")</f>
        <v>0</v>
      </c>
      <c r="BD248" s="262">
        <f>IF(ISNUMBER(BD221),ROUND(SUM(BD221:BD228)-BD229,1),"")</f>
        <v>0</v>
      </c>
      <c r="BE248" s="262">
        <f>IF(ISNUMBER(BE221),ROUND(SUM(BE221:BE228)-BE229,1),"")</f>
        <v>0</v>
      </c>
      <c r="BF248" s="262">
        <f>IF(ISNUMBER(BF221),ROUND(SUM(BF221:BF228)-BF229,1),"")</f>
        <v>0</v>
      </c>
      <c r="BG248" s="262">
        <f>IF(ISNUMBER(BG221),ROUND(SUM(BG221:BG228)-BG229,1),"")</f>
        <v>0</v>
      </c>
      <c r="BH248" s="262">
        <f>IF(ISNUMBER(BH221),ROUND(SUM(BH221:BH228)-BH229,1),"")</f>
        <v>0</v>
      </c>
      <c r="BI248" s="262">
        <f>IF(ISNUMBER(BI221),ROUND(SUM(BI221:BI228)-BI229,1),"")</f>
        <v>0</v>
      </c>
      <c r="BJ248" s="262">
        <f>IF(ISNUMBER(BJ221),ROUND(SUM(BJ221:BJ228)-BJ229,1),"")</f>
        <v>0</v>
      </c>
      <c r="BK248" s="262">
        <f>IF(ISNUMBER(BK221),ROUND(SUM(BK221:BK228)-BK229,1),"")</f>
        <v>0</v>
      </c>
      <c r="BL248" s="262">
        <f>IF(ISNUMBER(BL221),ROUND(SUM(BL221:BL228)-BL229,1),"")</f>
        <v>0</v>
      </c>
      <c r="BM248" s="262">
        <f>IF(ISNUMBER(BM221),ROUND(SUM(BM221:BM228)-BM229,1),"")</f>
        <v>0</v>
      </c>
      <c r="BN248" s="262">
        <f>IF(ISNUMBER(BN221),ROUND(SUM(BN221:BN228)-BN229,1),"")</f>
        <v>0</v>
      </c>
      <c r="BO248" s="262">
        <f>IF(ISNUMBER(BO221),ROUND(SUM(BO221:BO228)-BO229,1),"")</f>
        <v>0</v>
      </c>
      <c r="BP248" s="262">
        <f>IF(ISNUMBER(BP221),ROUND(SUM(BP221:BP228)-BP229,1),"")</f>
        <v>0</v>
      </c>
      <c r="BQ248" s="262">
        <f>IF(ISNUMBER(BQ221),ROUND(SUM(BQ221:BQ228)-BQ229,1),"")</f>
        <v>0</v>
      </c>
      <c r="BR248" s="262">
        <f>IF(ISNUMBER(BR221),ROUND(SUM(BR221:BR228)-BR229,1),"")</f>
        <v>0</v>
      </c>
      <c r="BS248" s="262">
        <f>IF(ISNUMBER(BS221),ROUND(SUM(BS221:BS228)-BS229,1),"")</f>
        <v>0</v>
      </c>
      <c r="BT248" s="262">
        <f>IF(ISNUMBER(BT221),ROUND(SUM(BT221:BT228)-BT229,1),"")</f>
        <v>0</v>
      </c>
      <c r="BU248" s="262">
        <f>IF(ISNUMBER(BU221),ROUND(SUM(BU221:BU228)-BU229,1),"")</f>
        <v>0</v>
      </c>
      <c r="BV248" s="262">
        <f>IF(ISNUMBER(BV221),ROUND(SUM(BV221:BV228)-BV229,1),"")</f>
        <v>0</v>
      </c>
      <c r="BW248" s="262">
        <f>IF(ISNUMBER(BW221),ROUND(SUM(BW221:BW228)-BW229,1),"")</f>
        <v>0</v>
      </c>
      <c r="BX248" s="262">
        <f>IF(ISNUMBER(BX221),ROUND(SUM(BX221:BX228)-BX229,1),"")</f>
        <v>0</v>
      </c>
      <c r="BY248" s="153" t="n"/>
      <c r="BZ248" s="153" t="n"/>
      <c r="CA248" s="276">
        <f>IF(ISNUMBER(CA221),ROUND(SUM(CA221:CA228)-CA229,1),"")</f>
        <v>0</v>
      </c>
      <c r="CB248" s="276">
        <f>IF(ISNUMBER(CB221),ROUND(SUM(CB221:CB228)-CB229,1),"")</f>
        <v>0</v>
      </c>
      <c r="CC248" s="276">
        <f>IF(ISNUMBER(CC221),ROUND(SUM(CC221:CC228)-CC229,1),"")</f>
        <v>0</v>
      </c>
      <c r="CD248" s="276">
        <f>IF(ISNUMBER(CD221),ROUND(SUM(CD221:CD228)-CD229,1),"")</f>
        <v>0</v>
      </c>
      <c r="CE248" s="276">
        <f>IF(ISNUMBER(CE221),ROUND(SUM(CE221:CE228)-CE229,1),"")</f>
        <v>0</v>
      </c>
      <c r="CF248" s="276">
        <f>IF(ISNUMBER(CF221),ROUND(SUM(CF221:CF228)-CF229,1),"")</f>
        <v>0</v>
      </c>
      <c r="CG248" s="153" t="n"/>
    </row>
    <row r="249" ht="15" customHeight="1" s="251">
      <c r="B249" s="25" t="inlineStr">
        <is>
          <t>(Memo)</t>
        </is>
      </c>
      <c r="CG249" s="153" t="n"/>
    </row>
    <row r="250" ht="15" customHeight="1" s="251">
      <c r="B250" s="55" t="inlineStr">
        <is>
          <t>Free cash flow (company definition: operating cash flow − payments for PP&amp;E)</t>
        </is>
      </c>
      <c r="C250" s="275">
        <f>IF(AND(ISNUMBER(C229),ISNUMBER(C230)),C229+C230,"")</f>
        <v>5818</v>
      </c>
      <c r="D250" s="275">
        <f>IF(AND(ISNUMBER(D229),ISNUMBER(D230)),D229+D230,"")</f>
        <v>7853</v>
      </c>
      <c r="E250" s="275">
        <f>IF(AND(ISNUMBER(E229),ISNUMBER(E230)),E229+E230,"")</f>
        <v>-2075</v>
      </c>
      <c r="F250" s="275">
        <f>IF(AND(ISNUMBER(F229),ISNUMBER(F230)),F229+F230,"")</f>
        <v>4417</v>
      </c>
      <c r="G250" s="275">
        <f>IF(AND(ISNUMBER(G229),ISNUMBER(G230)),G229+G230,"")</f>
        <v>1827</v>
      </c>
      <c r="H250" s="275">
        <f>IF(AND(ISNUMBER(H229),ISNUMBER(H230)),H229+H230,"")</f>
        <v>2310</v>
      </c>
      <c r="I250" s="275">
        <f>IF(AND(ISNUMBER(I229),ISNUMBER(I230)),I229+I230,"")</f>
        <v>5805</v>
      </c>
      <c r="J250" s="275">
        <f>IF(AND(ISNUMBER(J229),ISNUMBER(J230)),J229+J230,"")</f>
        <v>3</v>
      </c>
      <c r="K250" s="275">
        <f>IF(AND(ISNUMBER(K229),ISNUMBER(K230)),K229+K230,"")</f>
        <v>3012</v>
      </c>
      <c r="L250" s="275">
        <f>IF(AND(ISNUMBER(L229),ISNUMBER(L230)),L229+L230,"")</f>
        <v>2324</v>
      </c>
      <c r="M250" s="275">
        <f>IF(AND(ISNUMBER(M229),ISNUMBER(M230)),M229+M230,"")</f>
        <v>742</v>
      </c>
      <c r="N250" s="275">
        <f>IF(AND(ISNUMBER(N229),ISNUMBER(N230)),N229+N230,"")</f>
        <v>6081</v>
      </c>
      <c r="O250" s="275">
        <f>IF(AND(ISNUMBER(O229),ISNUMBER(O230)),O229+O230,"")</f>
        <v>615</v>
      </c>
      <c r="P250" s="275">
        <f>IF(AND(ISNUMBER(P229),ISNUMBER(P230)),P229+P230,"")</f>
        <v>1360</v>
      </c>
      <c r="Q250" s="275">
        <f>IF(AND(ISNUMBER(Q229),ISNUMBER(Q230)),Q229+Q230,"")</f>
        <v>317</v>
      </c>
      <c r="R250" s="275">
        <f>IF(AND(ISNUMBER(R229),ISNUMBER(R230)),R229+R230,"")</f>
        <v>4330</v>
      </c>
      <c r="S250" s="275">
        <f>IF(AND(ISNUMBER(S229),ISNUMBER(S230)),S229+S230,"")</f>
        <v>6622</v>
      </c>
      <c r="T250" s="275">
        <f>IF(AND(ISNUMBER(T229),ISNUMBER(T230)),T229+T230,"")</f>
        <v>-486</v>
      </c>
      <c r="U250" s="275">
        <f>IF(AND(ISNUMBER(U229),ISNUMBER(U230)),U229+U230,"")</f>
        <v>2605</v>
      </c>
      <c r="V250" s="275">
        <f>IF(AND(ISNUMBER(V229),ISNUMBER(V230)),V229+V230,"")</f>
        <v>2298</v>
      </c>
      <c r="W250" s="275">
        <f>IF(AND(ISNUMBER(W229),ISNUMBER(W230)),W229+W230,"")</f>
        <v>2496</v>
      </c>
      <c r="X250" s="275">
        <f>IF(AND(ISNUMBER(X229),ISNUMBER(X230)),X229+X230,"")</f>
        <v>6913</v>
      </c>
      <c r="Y250" s="275">
        <f>IF(AND(ISNUMBER(Y229),ISNUMBER(Y230)),Y229+Y230,"")</f>
        <v>483</v>
      </c>
      <c r="Z250" s="275">
        <f>IF(AND(ISNUMBER(Z229),ISNUMBER(Z230)),Z229+Z230,"")</f>
        <v>2563</v>
      </c>
      <c r="AA250" s="275">
        <f>IF(AND(ISNUMBER(AA229),ISNUMBER(AA230)),AA229+AA230,"")</f>
        <v>2607</v>
      </c>
      <c r="AB250" s="275">
        <f>IF(AND(ISNUMBER(AB229),ISNUMBER(AB230)),AB229+AB230,"")</f>
        <v>2233</v>
      </c>
      <c r="AC250" s="275">
        <f>IF(AND(ISNUMBER(AC229),ISNUMBER(AC230)),AC229+AC230,"")</f>
        <v>7886</v>
      </c>
      <c r="AD250" s="275">
        <f>IF(AND(ISNUMBER(AD229),ISNUMBER(AD230)),AD229+AD230,"")</f>
        <v>1628</v>
      </c>
      <c r="AE250" s="275">
        <f>IF(AND(ISNUMBER(AE229),ISNUMBER(AE230)),AE229+AE230,"")</f>
        <v>4511</v>
      </c>
      <c r="AF250" s="275">
        <f>IF(AND(ISNUMBER(AF229),ISNUMBER(AF230)),AF229+AF230,"")</f>
        <v>2997</v>
      </c>
      <c r="AG250" s="275">
        <f>IF(AND(ISNUMBER(AG229),ISNUMBER(AG230)),AG229+AG230,"")</f>
        <v>2469</v>
      </c>
      <c r="AH250" s="275">
        <f>IF(AND(ISNUMBER(AH229),ISNUMBER(AH230)),AH229+AH230,"")</f>
        <v>11605</v>
      </c>
      <c r="AI250" s="275">
        <f>IF(AND(ISNUMBER(AI229),ISNUMBER(AI230)),AI229+AI230,"")</f>
        <v>2742</v>
      </c>
      <c r="AJ250" s="275">
        <f>IF(AND(ISNUMBER(AJ229),ISNUMBER(AJ230)),AJ229+AJ230,"")</f>
        <v>4304</v>
      </c>
      <c r="AK250" s="275">
        <f>IF(AND(ISNUMBER(AK229),ISNUMBER(AK230)),AK229+AK230,"")</f>
        <v>4102</v>
      </c>
      <c r="AL250" s="275">
        <f>IF(AND(ISNUMBER(AL229),ISNUMBER(AL230)),AL229+AL230,"")</f>
        <v>2452</v>
      </c>
      <c r="AM250" s="275">
        <f>IF(AND(ISNUMBER(AM229),ISNUMBER(AM230)),AM229+AM230,"")</f>
        <v>13600</v>
      </c>
      <c r="AN250" s="275">
        <f>IF(AND(ISNUMBER(AN229),ISNUMBER(AN230)),AN229+AN230,"")</f>
        <v>2287</v>
      </c>
      <c r="AO250" s="275">
        <f>IF(AND(ISNUMBER(AO229),ISNUMBER(AO230)),AO229+AO230,"")</f>
        <v>-1011</v>
      </c>
      <c r="AP250" s="275">
        <f>IF(AND(ISNUMBER(AP229),ISNUMBER(AP230)),AP229+AP230,"")</f>
        <v>-2889</v>
      </c>
      <c r="AQ250" s="275">
        <f>IF(AND(ISNUMBER(AQ229),ISNUMBER(AQ230)),AQ229+AQ230,"")</f>
        <v>-2667</v>
      </c>
      <c r="AR250" s="275">
        <f>IF(AND(ISNUMBER(AR229),ISNUMBER(AR230)),AR229+AR230,"")</f>
        <v>-4280</v>
      </c>
      <c r="AS250" s="275">
        <f>IF(AND(ISNUMBER(AS229),ISNUMBER(AS230)),AS229+AS230,"")</f>
        <v>-4730</v>
      </c>
      <c r="AT250" s="275">
        <f>IF(AND(ISNUMBER(AT229),ISNUMBER(AT230)),AT229+AT230,"")</f>
        <v>-5628</v>
      </c>
      <c r="AU250" s="275">
        <f>IF(AND(ISNUMBER(AU229),ISNUMBER(AU230)),AU229+AU230,"")</f>
        <v>-5081</v>
      </c>
      <c r="AV250" s="275">
        <f>IF(AND(ISNUMBER(AV229),ISNUMBER(AV230)),AV229+AV230,"")</f>
        <v>-4274</v>
      </c>
      <c r="AW250" s="275">
        <f>IF(AND(ISNUMBER(AW229),ISNUMBER(AW230)),AW229+AW230,"")</f>
        <v>-19713</v>
      </c>
      <c r="AX250" s="275">
        <f>IF(AND(ISNUMBER(AX229),ISNUMBER(AX230)),AX229+AX230,"")</f>
        <v>-3678</v>
      </c>
      <c r="AY250" s="275">
        <f>IF(AND(ISNUMBER(AY229),ISNUMBER(AY230)),AY229+AY230,"")</f>
        <v>-705</v>
      </c>
      <c r="AZ250" s="275">
        <f>IF(AND(ISNUMBER(AZ229),ISNUMBER(AZ230)),AZ229+AZ230,"")</f>
        <v>-507</v>
      </c>
      <c r="BA250" s="275">
        <f>IF(AND(ISNUMBER(BA229),ISNUMBER(BA230)),BA229+BA230,"")</f>
        <v>494</v>
      </c>
      <c r="BB250" s="275">
        <f>IF(AND(ISNUMBER(BB229),ISNUMBER(BB230)),BB229+BB230,"")</f>
        <v>-4396</v>
      </c>
      <c r="BC250" s="275">
        <f>IF(AND(ISNUMBER(BC229),ISNUMBER(BC230)),BC229+BC230,"")</f>
        <v>-3565</v>
      </c>
      <c r="BD250" s="275">
        <f>IF(AND(ISNUMBER(BD229),ISNUMBER(BD230)),BD229+BD230,"")</f>
        <v>-182</v>
      </c>
      <c r="BE250" s="275">
        <f>IF(AND(ISNUMBER(BE229),ISNUMBER(BE230)),BE229+BE230,"")</f>
        <v>2906</v>
      </c>
      <c r="BF250" s="275">
        <f>IF(AND(ISNUMBER(BF229),ISNUMBER(BF230)),BF229+BF230,"")</f>
        <v>3131</v>
      </c>
      <c r="BG250" s="275">
        <f>IF(AND(ISNUMBER(BG229),ISNUMBER(BG230)),BG229+BG230,"")</f>
        <v>2290</v>
      </c>
      <c r="BH250" s="275">
        <f>IF(AND(ISNUMBER(BH229),ISNUMBER(BH230)),BH229+BH230,"")</f>
        <v>-786</v>
      </c>
      <c r="BI250" s="275">
        <f>IF(AND(ISNUMBER(BI229),ISNUMBER(BI230)),BI229+BI230,"")</f>
        <v>2579</v>
      </c>
      <c r="BJ250" s="275">
        <f>IF(AND(ISNUMBER(BJ229),ISNUMBER(BJ230)),BJ229+BJ230,"")</f>
        <v>-310</v>
      </c>
      <c r="BK250" s="275">
        <f>IF(AND(ISNUMBER(BK229),ISNUMBER(BK230)),BK229+BK230,"")</f>
        <v>2950</v>
      </c>
      <c r="BL250" s="275">
        <f>IF(AND(ISNUMBER(BL229),ISNUMBER(BL230)),BL229+BL230,"")</f>
        <v>4433</v>
      </c>
      <c r="BM250" s="275">
        <f>IF(AND(ISNUMBER(BM229),ISNUMBER(BM230)),BM229+BM230,"")</f>
        <v>-3929</v>
      </c>
      <c r="BN250" s="275">
        <f>IF(AND(ISNUMBER(BN229),ISNUMBER(BN230)),BN229+BN230,"")</f>
        <v>-4327</v>
      </c>
      <c r="BO250" s="275">
        <f>IF(AND(ISNUMBER(BO229),ISNUMBER(BO230)),BO229+BO230,"")</f>
        <v>-1956</v>
      </c>
      <c r="BP250" s="275">
        <f>IF(AND(ISNUMBER(BP229),ISNUMBER(BP230)),BP229+BP230,"")</f>
        <v>-4098</v>
      </c>
      <c r="BQ250" s="275">
        <f>IF(AND(ISNUMBER(BQ229),ISNUMBER(BQ230)),BQ229+BQ230,"")</f>
        <v>-14310</v>
      </c>
      <c r="BR250" s="275">
        <f>IF(AND(ISNUMBER(BR229),ISNUMBER(BR230)),BR229+BR230,"")</f>
        <v>-2290</v>
      </c>
      <c r="BS250" s="275">
        <f>IF(AND(ISNUMBER(BS229),ISNUMBER(BS230)),BS229+BS230,"")</f>
        <v>-200</v>
      </c>
      <c r="BT250" s="275">
        <f>IF(AND(ISNUMBER(BT229),ISNUMBER(BT230)),BT229+BT230,"")</f>
        <v>238</v>
      </c>
      <c r="BU250" s="275">
        <f>IF(AND(ISNUMBER(BU229),ISNUMBER(BU230)),BU229+BU230,"")</f>
        <v>375</v>
      </c>
      <c r="BV250" s="275">
        <f>IF(AND(ISNUMBER(BV229),ISNUMBER(BV230)),BV229+BV230,"")</f>
        <v>-1877</v>
      </c>
      <c r="BW250" s="275">
        <f>IF(AND(ISNUMBER(BW229),ISNUMBER(BW230)),BW229+BW230,"")</f>
        <v>-1454</v>
      </c>
      <c r="BX250" s="275">
        <f>IF(AND(ISNUMBER(BX229),ISNUMBER(BX230)),BX229+BX230,"")</f>
        <v>631</v>
      </c>
      <c r="BY250" s="56" t="n"/>
      <c r="BZ250" s="56" t="n"/>
      <c r="CA250" s="275">
        <f>IF(AND(ISNUMBER(CA229),ISNUMBER(CA230)),CA229+CA230,"")</f>
        <v>2000</v>
      </c>
      <c r="CB250" s="275">
        <f>IF(AND(ISNUMBER(CB229),ISNUMBER(CB230)),CB229+CB230,"")</f>
        <v>6649.51127207672</v>
      </c>
      <c r="CC250" s="275">
        <f>IF(AND(ISNUMBER(CC229),ISNUMBER(CC230)),CC229+CC230,"")</f>
        <v>10560.6297924284</v>
      </c>
      <c r="CD250" s="275">
        <f>IF(AND(ISNUMBER(CD229),ISNUMBER(CD230)),CD229+CD230,"")</f>
        <v>13446.4619548669</v>
      </c>
      <c r="CE250" s="275">
        <f>IF(AND(ISNUMBER(CE229),ISNUMBER(CE230)),CE229+CE230,"")</f>
        <v>14562.9783923328</v>
      </c>
      <c r="CF250" s="275">
        <f>IF(AND(ISNUMBER(CF229),ISNUMBER(CF230)),CF229+CF230,"")</f>
        <v>15071.8821269263</v>
      </c>
      <c r="CG250" s="153" t="n"/>
    </row>
    <row r="251" ht="15" customHeight="1" s="251">
      <c r="B251" s="156" t="inlineStr">
        <is>
          <t xml:space="preserve">  Company-published free cash flow</t>
        </is>
      </c>
      <c r="C251" s="266" t="n">
        <v>5818</v>
      </c>
      <c r="D251" s="266" t="n">
        <v>7853</v>
      </c>
      <c r="E251" s="266" t="n">
        <v>-2075</v>
      </c>
      <c r="F251" s="266" t="n">
        <v>4417</v>
      </c>
      <c r="G251" s="266" t="n">
        <v>1827</v>
      </c>
      <c r="H251" s="266" t="n">
        <v>2310</v>
      </c>
      <c r="I251" s="266" t="n">
        <v>5805</v>
      </c>
      <c r="J251" s="266" t="n">
        <v>3</v>
      </c>
      <c r="K251" s="266" t="n">
        <v>3012</v>
      </c>
      <c r="L251" s="266" t="n">
        <v>2324</v>
      </c>
      <c r="M251" s="266" t="n">
        <v>742</v>
      </c>
      <c r="N251" s="266" t="n">
        <v>6081</v>
      </c>
      <c r="O251" s="266" t="n">
        <v>615</v>
      </c>
      <c r="P251" s="266" t="n">
        <v>1360</v>
      </c>
      <c r="Q251" s="266" t="n">
        <v>317</v>
      </c>
      <c r="R251" s="266" t="n">
        <v>4330</v>
      </c>
      <c r="S251" s="266" t="n">
        <v>6622</v>
      </c>
      <c r="T251" s="266" t="n">
        <v>-486</v>
      </c>
      <c r="U251" s="266" t="n">
        <v>2605</v>
      </c>
      <c r="V251" s="266" t="n">
        <v>2298</v>
      </c>
      <c r="W251" s="266" t="n">
        <v>2496</v>
      </c>
      <c r="X251" s="266" t="n">
        <v>6913</v>
      </c>
      <c r="Y251" s="266" t="n">
        <v>483</v>
      </c>
      <c r="Z251" s="266" t="n">
        <v>2563</v>
      </c>
      <c r="AA251" s="266" t="n">
        <v>2607</v>
      </c>
      <c r="AB251" s="266" t="n">
        <v>2233</v>
      </c>
      <c r="AC251" s="266" t="n">
        <v>7886</v>
      </c>
      <c r="AD251" s="266" t="n">
        <v>1628</v>
      </c>
      <c r="AE251" s="266" t="n">
        <v>4511</v>
      </c>
      <c r="AF251" s="266" t="n">
        <v>2997</v>
      </c>
      <c r="AG251" s="266" t="n">
        <v>2469</v>
      </c>
      <c r="AH251" s="266" t="n">
        <v>11605</v>
      </c>
      <c r="AI251" s="266" t="n">
        <v>2742</v>
      </c>
      <c r="AJ251" s="266" t="n">
        <v>4304</v>
      </c>
      <c r="AK251" s="266" t="n">
        <v>4102</v>
      </c>
      <c r="AL251" s="266" t="n">
        <v>2452</v>
      </c>
      <c r="AM251" s="266" t="n">
        <v>13600</v>
      </c>
      <c r="AN251" s="266" t="n">
        <v>2287</v>
      </c>
      <c r="AO251" s="266" t="n">
        <v>-1011</v>
      </c>
      <c r="AP251" s="266" t="n">
        <v>-2889</v>
      </c>
      <c r="AQ251" s="266" t="n">
        <v>-2667</v>
      </c>
      <c r="AR251" s="266" t="n">
        <v>-4280</v>
      </c>
      <c r="AS251" s="266" t="n">
        <v>-4730</v>
      </c>
      <c r="AT251" s="266" t="n">
        <v>-5628</v>
      </c>
      <c r="AU251" s="266" t="n">
        <v>-5081</v>
      </c>
      <c r="AV251" s="266" t="n">
        <v>-4274</v>
      </c>
      <c r="AW251" s="266" t="n">
        <v>-19713</v>
      </c>
      <c r="AX251" s="266" t="n">
        <v>-3678</v>
      </c>
      <c r="AY251" s="266" t="n">
        <v>-705</v>
      </c>
      <c r="AZ251" s="266" t="n">
        <v>-507</v>
      </c>
      <c r="BA251" s="266" t="n">
        <v>494</v>
      </c>
      <c r="BB251" s="266" t="n">
        <v>-4396</v>
      </c>
      <c r="BC251" s="266" t="n">
        <v>-3565</v>
      </c>
      <c r="BD251" s="266" t="n">
        <v>-182</v>
      </c>
      <c r="BE251" s="266" t="n">
        <v>2906</v>
      </c>
      <c r="BF251" s="266" t="n">
        <v>3131</v>
      </c>
      <c r="BG251" s="266" t="n">
        <v>2290</v>
      </c>
      <c r="BH251" s="266" t="n">
        <v>-786</v>
      </c>
      <c r="BI251" s="266" t="n">
        <v>2579</v>
      </c>
      <c r="BJ251" s="266" t="n">
        <v>-310</v>
      </c>
      <c r="BK251" s="266" t="n">
        <v>2950</v>
      </c>
      <c r="BL251" s="266" t="n">
        <v>4433</v>
      </c>
      <c r="BM251" s="266" t="n">
        <v>-3929</v>
      </c>
      <c r="BN251" s="266" t="n">
        <v>-4327</v>
      </c>
      <c r="BO251" s="266" t="n">
        <v>-1956</v>
      </c>
      <c r="BP251" s="266" t="n">
        <v>-4098</v>
      </c>
      <c r="BQ251" s="266" t="n">
        <v>-14310</v>
      </c>
      <c r="BR251" s="266" t="n">
        <v>-2290</v>
      </c>
      <c r="BS251" s="266" t="n">
        <v>-200</v>
      </c>
      <c r="BT251" s="266" t="n">
        <v>238</v>
      </c>
      <c r="BU251" s="266" t="n">
        <v>375</v>
      </c>
      <c r="BV251" s="266" t="n">
        <v>-1877</v>
      </c>
      <c r="BW251" s="266" t="n">
        <v>-1454</v>
      </c>
      <c r="BX251" s="266" t="n">
        <v>631</v>
      </c>
      <c r="BY251" s="153" t="n"/>
      <c r="BZ251" s="153" t="n"/>
      <c r="CA251" s="153" t="n"/>
      <c r="CB251" s="153" t="n"/>
      <c r="CC251" s="153" t="n"/>
      <c r="CD251" s="153" t="n"/>
      <c r="CE251" s="153" t="n"/>
      <c r="CF251" s="153" t="n"/>
      <c r="CG251" s="153" t="n"/>
    </row>
    <row r="252" ht="15" customHeight="1" s="251">
      <c r="B252" s="57" t="inlineStr">
        <is>
          <t xml:space="preserve">  Check: model vs company-published free cash flow (should be 0)</t>
        </is>
      </c>
      <c r="C252" s="262">
        <f>IF(ISNUMBER(C251),ROUND(C250-C251,1),"n/p")</f>
        <v>0</v>
      </c>
      <c r="D252" s="262">
        <f>IF(ISNUMBER(D251),ROUND(D250-D251,1),"n/p")</f>
        <v>0</v>
      </c>
      <c r="E252" s="262">
        <f>IF(ISNUMBER(E251),ROUND(E250-E251,1),"n/p")</f>
        <v>0</v>
      </c>
      <c r="F252" s="262">
        <f>IF(ISNUMBER(F251),ROUND(F250-F251,1),"n/p")</f>
        <v>0</v>
      </c>
      <c r="G252" s="262">
        <f>IF(ISNUMBER(G251),ROUND(G250-G251,1),"n/p")</f>
        <v>0</v>
      </c>
      <c r="H252" s="262">
        <f>IF(ISNUMBER(H251),ROUND(H250-H251,1),"n/p")</f>
        <v>0</v>
      </c>
      <c r="I252" s="262">
        <f>IF(ISNUMBER(I251),ROUND(I250-I251,1),"n/p")</f>
        <v>0</v>
      </c>
      <c r="J252" s="262">
        <f>IF(ISNUMBER(J251),ROUND(J250-J251,1),"n/p")</f>
        <v>0</v>
      </c>
      <c r="K252" s="262">
        <f>IF(ISNUMBER(K251),ROUND(K250-K251,1),"n/p")</f>
        <v>0</v>
      </c>
      <c r="L252" s="262">
        <f>IF(ISNUMBER(L251),ROUND(L250-L251,1),"n/p")</f>
        <v>0</v>
      </c>
      <c r="M252" s="262">
        <f>IF(ISNUMBER(M251),ROUND(M250-M251,1),"n/p")</f>
        <v>0</v>
      </c>
      <c r="N252" s="262">
        <f>IF(ISNUMBER(N251),ROUND(N250-N251,1),"n/p")</f>
        <v>0</v>
      </c>
      <c r="O252" s="262">
        <f>IF(ISNUMBER(O251),ROUND(O250-O251,1),"n/p")</f>
        <v>0</v>
      </c>
      <c r="P252" s="262">
        <f>IF(ISNUMBER(P251),ROUND(P250-P251,1),"n/p")</f>
        <v>0</v>
      </c>
      <c r="Q252" s="262">
        <f>IF(ISNUMBER(Q251),ROUND(Q250-Q251,1),"n/p")</f>
        <v>0</v>
      </c>
      <c r="R252" s="262">
        <f>IF(ISNUMBER(R251),ROUND(R250-R251,1),"n/p")</f>
        <v>0</v>
      </c>
      <c r="S252" s="262">
        <f>IF(ISNUMBER(S251),ROUND(S250-S251,1),"n/p")</f>
        <v>0</v>
      </c>
      <c r="T252" s="262">
        <f>IF(ISNUMBER(T251),ROUND(T250-T251,1),"n/p")</f>
        <v>0</v>
      </c>
      <c r="U252" s="262">
        <f>IF(ISNUMBER(U251),ROUND(U250-U251,1),"n/p")</f>
        <v>0</v>
      </c>
      <c r="V252" s="262">
        <f>IF(ISNUMBER(V251),ROUND(V250-V251,1),"n/p")</f>
        <v>0</v>
      </c>
      <c r="W252" s="262">
        <f>IF(ISNUMBER(W251),ROUND(W250-W251,1),"n/p")</f>
        <v>0</v>
      </c>
      <c r="X252" s="262">
        <f>IF(ISNUMBER(X251),ROUND(X250-X251,1),"n/p")</f>
        <v>0</v>
      </c>
      <c r="Y252" s="262">
        <f>IF(ISNUMBER(Y251),ROUND(Y250-Y251,1),"n/p")</f>
        <v>0</v>
      </c>
      <c r="Z252" s="262">
        <f>IF(ISNUMBER(Z251),ROUND(Z250-Z251,1),"n/p")</f>
        <v>0</v>
      </c>
      <c r="AA252" s="262">
        <f>IF(ISNUMBER(AA251),ROUND(AA250-AA251,1),"n/p")</f>
        <v>0</v>
      </c>
      <c r="AB252" s="262">
        <f>IF(ISNUMBER(AB251),ROUND(AB250-AB251,1),"n/p")</f>
        <v>0</v>
      </c>
      <c r="AC252" s="262">
        <f>IF(ISNUMBER(AC251),ROUND(AC250-AC251,1),"n/p")</f>
        <v>0</v>
      </c>
      <c r="AD252" s="262">
        <f>IF(ISNUMBER(AD251),ROUND(AD250-AD251,1),"n/p")</f>
        <v>0</v>
      </c>
      <c r="AE252" s="262">
        <f>IF(ISNUMBER(AE251),ROUND(AE250-AE251,1),"n/p")</f>
        <v>0</v>
      </c>
      <c r="AF252" s="262">
        <f>IF(ISNUMBER(AF251),ROUND(AF250-AF251,1),"n/p")</f>
        <v>0</v>
      </c>
      <c r="AG252" s="262">
        <f>IF(ISNUMBER(AG251),ROUND(AG250-AG251,1),"n/p")</f>
        <v>0</v>
      </c>
      <c r="AH252" s="262">
        <f>IF(ISNUMBER(AH251),ROUND(AH250-AH251,1),"n/p")</f>
        <v>0</v>
      </c>
      <c r="AI252" s="262">
        <f>IF(ISNUMBER(AI251),ROUND(AI250-AI251,1),"n/p")</f>
        <v>0</v>
      </c>
      <c r="AJ252" s="262">
        <f>IF(ISNUMBER(AJ251),ROUND(AJ250-AJ251,1),"n/p")</f>
        <v>0</v>
      </c>
      <c r="AK252" s="262">
        <f>IF(ISNUMBER(AK251),ROUND(AK250-AK251,1),"n/p")</f>
        <v>0</v>
      </c>
      <c r="AL252" s="262">
        <f>IF(ISNUMBER(AL251),ROUND(AL250-AL251,1),"n/p")</f>
        <v>0</v>
      </c>
      <c r="AM252" s="262">
        <f>IF(ISNUMBER(AM251),ROUND(AM250-AM251,1),"n/p")</f>
        <v>0</v>
      </c>
      <c r="AN252" s="262">
        <f>IF(ISNUMBER(AN251),ROUND(AN250-AN251,1),"n/p")</f>
        <v>0</v>
      </c>
      <c r="AO252" s="262">
        <f>IF(ISNUMBER(AO251),ROUND(AO250-AO251,1),"n/p")</f>
        <v>0</v>
      </c>
      <c r="AP252" s="262">
        <f>IF(ISNUMBER(AP251),ROUND(AP250-AP251,1),"n/p")</f>
        <v>0</v>
      </c>
      <c r="AQ252" s="262">
        <f>IF(ISNUMBER(AQ251),ROUND(AQ250-AQ251,1),"n/p")</f>
        <v>0</v>
      </c>
      <c r="AR252" s="262">
        <f>IF(ISNUMBER(AR251),ROUND(AR250-AR251,1),"n/p")</f>
        <v>0</v>
      </c>
      <c r="AS252" s="262">
        <f>IF(ISNUMBER(AS251),ROUND(AS250-AS251,1),"n/p")</f>
        <v>0</v>
      </c>
      <c r="AT252" s="262">
        <f>IF(ISNUMBER(AT251),ROUND(AT250-AT251,1),"n/p")</f>
        <v>0</v>
      </c>
      <c r="AU252" s="262">
        <f>IF(ISNUMBER(AU251),ROUND(AU250-AU251,1),"n/p")</f>
        <v>0</v>
      </c>
      <c r="AV252" s="262">
        <f>IF(ISNUMBER(AV251),ROUND(AV250-AV251,1),"n/p")</f>
        <v>0</v>
      </c>
      <c r="AW252" s="262">
        <f>IF(ISNUMBER(AW251),ROUND(AW250-AW251,1),"n/p")</f>
        <v>0</v>
      </c>
      <c r="AX252" s="262">
        <f>IF(ISNUMBER(AX251),ROUND(AX250-AX251,1),"n/p")</f>
        <v>0</v>
      </c>
      <c r="AY252" s="262">
        <f>IF(ISNUMBER(AY251),ROUND(AY250-AY251,1),"n/p")</f>
        <v>0</v>
      </c>
      <c r="AZ252" s="262">
        <f>IF(ISNUMBER(AZ251),ROUND(AZ250-AZ251,1),"n/p")</f>
        <v>0</v>
      </c>
      <c r="BA252" s="262">
        <f>IF(ISNUMBER(BA251),ROUND(BA250-BA251,1),"n/p")</f>
        <v>0</v>
      </c>
      <c r="BB252" s="262">
        <f>IF(ISNUMBER(BB251),ROUND(BB250-BB251,1),"n/p")</f>
        <v>0</v>
      </c>
      <c r="BC252" s="262">
        <f>IF(ISNUMBER(BC251),ROUND(BC250-BC251,1),"n/p")</f>
        <v>0</v>
      </c>
      <c r="BD252" s="262">
        <f>IF(ISNUMBER(BD251),ROUND(BD250-BD251,1),"n/p")</f>
        <v>0</v>
      </c>
      <c r="BE252" s="262">
        <f>IF(ISNUMBER(BE251),ROUND(BE250-BE251,1),"n/p")</f>
        <v>0</v>
      </c>
      <c r="BF252" s="262">
        <f>IF(ISNUMBER(BF251),ROUND(BF250-BF251,1),"n/p")</f>
        <v>0</v>
      </c>
      <c r="BG252" s="262">
        <f>IF(ISNUMBER(BG251),ROUND(BG250-BG251,1),"n/p")</f>
        <v>0</v>
      </c>
      <c r="BH252" s="262">
        <f>IF(ISNUMBER(BH251),ROUND(BH250-BH251,1),"n/p")</f>
        <v>0</v>
      </c>
      <c r="BI252" s="262">
        <f>IF(ISNUMBER(BI251),ROUND(BI250-BI251,1),"n/p")</f>
        <v>0</v>
      </c>
      <c r="BJ252" s="262">
        <f>IF(ISNUMBER(BJ251),ROUND(BJ250-BJ251,1),"n/p")</f>
        <v>0</v>
      </c>
      <c r="BK252" s="262">
        <f>IF(ISNUMBER(BK251),ROUND(BK250-BK251,1),"n/p")</f>
        <v>0</v>
      </c>
      <c r="BL252" s="262">
        <f>IF(ISNUMBER(BL251),ROUND(BL250-BL251,1),"n/p")</f>
        <v>0</v>
      </c>
      <c r="BM252" s="262">
        <f>IF(ISNUMBER(BM251),ROUND(BM250-BM251,1),"n/p")</f>
        <v>0</v>
      </c>
      <c r="BN252" s="262">
        <f>IF(ISNUMBER(BN251),ROUND(BN250-BN251,1),"n/p")</f>
        <v>0</v>
      </c>
      <c r="BO252" s="262">
        <f>IF(ISNUMBER(BO251),ROUND(BO250-BO251,1),"n/p")</f>
        <v>0</v>
      </c>
      <c r="BP252" s="262">
        <f>IF(ISNUMBER(BP251),ROUND(BP250-BP251,1),"n/p")</f>
        <v>0</v>
      </c>
      <c r="BQ252" s="262">
        <f>IF(ISNUMBER(BQ251),ROUND(BQ250-BQ251,1),"n/p")</f>
        <v>0</v>
      </c>
      <c r="BR252" s="262">
        <f>IF(ISNUMBER(BR251),ROUND(BR250-BR251,1),"n/p")</f>
        <v>0</v>
      </c>
      <c r="BS252" s="262">
        <f>IF(ISNUMBER(BS251),ROUND(BS250-BS251,1),"n/p")</f>
        <v>0</v>
      </c>
      <c r="BT252" s="262">
        <f>IF(ISNUMBER(BT251),ROUND(BT250-BT251,1),"n/p")</f>
        <v>0</v>
      </c>
      <c r="BU252" s="262">
        <f>IF(ISNUMBER(BU251),ROUND(BU250-BU251,1),"n/p")</f>
        <v>0</v>
      </c>
      <c r="BV252" s="262">
        <f>IF(ISNUMBER(BV251),ROUND(BV250-BV251,1),"n/p")</f>
        <v>0</v>
      </c>
      <c r="BW252" s="262">
        <f>IF(ISNUMBER(BW251),ROUND(BW250-BW251,1),"n/p")</f>
        <v>0</v>
      </c>
      <c r="BX252" s="262">
        <f>IF(ISNUMBER(BX251),ROUND(BX250-BX251,1),"n/p")</f>
        <v>0</v>
      </c>
      <c r="BY252" s="153" t="n"/>
      <c r="BZ252" s="153" t="n"/>
      <c r="CA252" s="153" t="n"/>
      <c r="CB252" s="153" t="n"/>
      <c r="CC252" s="153" t="n"/>
      <c r="CD252" s="153" t="n"/>
      <c r="CE252" s="153" t="n"/>
      <c r="CF252" s="153" t="n"/>
      <c r="CG252" s="153" t="n"/>
    </row>
    <row r="253" ht="15" customHeight="1" s="251">
      <c r="B253" s="22" t="inlineStr">
        <is>
          <t xml:space="preserve">  FCF y/y %</t>
        </is>
      </c>
      <c r="C253" s="23" t="n"/>
      <c r="D253" s="259">
        <f>IF(AND(ISNUMBER(D250),ISNUMBER(C250)),IF(C250&gt;0,IFERROR(D250/C250-1,""),"n/m"),"")</f>
        <v>0.34977655551736</v>
      </c>
      <c r="E253" s="259">
        <f>IF(AND(ISNUMBER(E250),ISNUMBER(D250)),IF(D250&gt;0,IFERROR(E250/D250-1,""),"n/m"),"")</f>
        <v>-1.26423023048517</v>
      </c>
      <c r="F253" s="259" t="str">
        <f>IF(AND(ISNUMBER(F250),ISNUMBER(E250)),IF(E250&gt;0,IFERROR(F250/E250-1,""),"n/m"),"")</f>
        <v>n/m</v>
      </c>
      <c r="G253" s="259">
        <f>IF(AND(ISNUMBER(G250),ISNUMBER(F250)),IF(F250&gt;0,IFERROR(G250/F250-1,""),"n/m"),"")</f>
        <v>-0.586370839936609</v>
      </c>
      <c r="H253" s="259">
        <f>IF(AND(ISNUMBER(H250),ISNUMBER(G250)),IF(G250&gt;0,IFERROR(H250/G250-1,""),"n/m"),"")</f>
        <v>0.264367816091954</v>
      </c>
      <c r="I253" s="259">
        <f>IF(AND(ISNUMBER(I250),ISNUMBER(H250)),IF(H250&gt;0,IFERROR(I250/H250-1,""),"n/m"),"")</f>
        <v>1.51298701298701</v>
      </c>
      <c r="J253" s="23" t="n"/>
      <c r="K253" s="23" t="n"/>
      <c r="L253" s="23" t="n"/>
      <c r="M253" s="23" t="n"/>
      <c r="N253" s="259">
        <f>IF(AND(ISNUMBER(N250),ISNUMBER(I250)),IF(I250&gt;0,IFERROR(N250/I250-1,""),"n/m"),"")</f>
        <v>0.0475452196382429</v>
      </c>
      <c r="O253" s="259">
        <f>IF(AND(ISNUMBER(O250),ISNUMBER(J250)),IF(J250&gt;0,IFERROR(O250/J250-1,""),"n/m"),"")</f>
        <v>204</v>
      </c>
      <c r="P253" s="259">
        <f>IF(AND(ISNUMBER(P250),ISNUMBER(K250)),IF(K250&gt;0,IFERROR(P250/K250-1,""),"n/m"),"")</f>
        <v>-0.548472775564409</v>
      </c>
      <c r="Q253" s="259">
        <f>IF(AND(ISNUMBER(Q250),ISNUMBER(L250)),IF(L250&gt;0,IFERROR(Q250/L250-1,""),"n/m"),"")</f>
        <v>-0.863597246127367</v>
      </c>
      <c r="R253" s="259">
        <f>IF(AND(ISNUMBER(R250),ISNUMBER(M250)),IF(M250&gt;0,IFERROR(R250/M250-1,""),"n/m"),"")</f>
        <v>4.8355795148248</v>
      </c>
      <c r="S253" s="259">
        <f>IF(AND(ISNUMBER(S250),ISNUMBER(N250)),IF(N250&gt;0,IFERROR(S250/N250-1,""),"n/m"),"")</f>
        <v>0.0889656306528532</v>
      </c>
      <c r="T253" s="259">
        <f>IF(AND(ISNUMBER(T250),ISNUMBER(O250)),IF(O250&gt;0,IFERROR(T250/O250-1,""),"n/m"),"")</f>
        <v>-1.79024390243902</v>
      </c>
      <c r="U253" s="259">
        <f>IF(AND(ISNUMBER(U250),ISNUMBER(P250)),IF(P250&gt;0,IFERROR(U250/P250-1,""),"n/m"),"")</f>
        <v>0.915441176470588</v>
      </c>
      <c r="V253" s="259">
        <f>IF(AND(ISNUMBER(V250),ISNUMBER(Q250)),IF(Q250&gt;0,IFERROR(V250/Q250-1,""),"n/m"),"")</f>
        <v>6.24921135646688</v>
      </c>
      <c r="W253" s="259">
        <f>IF(AND(ISNUMBER(W250),ISNUMBER(R250)),IF(R250&gt;0,IFERROR(W250/R250-1,""),"n/m"),"")</f>
        <v>-0.423556581986143</v>
      </c>
      <c r="X253" s="259">
        <f>IF(AND(ISNUMBER(X250),ISNUMBER(S250)),IF(S250&gt;0,IFERROR(X250/S250-1,""),"n/m"),"")</f>
        <v>0.043944427665358</v>
      </c>
      <c r="Y253" s="259" t="str">
        <f>IF(AND(ISNUMBER(Y250),ISNUMBER(T250)),IF(T250&gt;0,IFERROR(Y250/T250-1,""),"n/m"),"")</f>
        <v>n/m</v>
      </c>
      <c r="Z253" s="259">
        <f>IF(AND(ISNUMBER(Z250),ISNUMBER(U250)),IF(U250&gt;0,IFERROR(Z250/U250-1,""),"n/m"),"")</f>
        <v>-0.0161228406909789</v>
      </c>
      <c r="AA253" s="259">
        <f>IF(AND(ISNUMBER(AA250),ISNUMBER(V250)),IF(V250&gt;0,IFERROR(AA250/V250-1,""),"n/m"),"")</f>
        <v>0.134464751958225</v>
      </c>
      <c r="AB253" s="259">
        <f>IF(AND(ISNUMBER(AB250),ISNUMBER(W250)),IF(W250&gt;0,IFERROR(AB250/W250-1,""),"n/m"),"")</f>
        <v>-0.10536858974359</v>
      </c>
      <c r="AC253" s="259">
        <f>IF(AND(ISNUMBER(AC250),ISNUMBER(X250)),IF(X250&gt;0,IFERROR(AC250/X250-1,""),"n/m"),"")</f>
        <v>0.14074931288876</v>
      </c>
      <c r="AD253" s="259">
        <f>IF(AND(ISNUMBER(AD250),ISNUMBER(Y250)),IF(Y250&gt;0,IFERROR(AD250/Y250-1,""),"n/m"),"")</f>
        <v>2.37060041407868</v>
      </c>
      <c r="AE253" s="259">
        <f>IF(AND(ISNUMBER(AE250),ISNUMBER(Z250)),IF(Z250&gt;0,IFERROR(AE250/Z250-1,""),"n/m"),"")</f>
        <v>0.760046820132657</v>
      </c>
      <c r="AF253" s="259">
        <f>IF(AND(ISNUMBER(AF250),ISNUMBER(AA250)),IF(AA250&gt;0,IFERROR(AF250/AA250-1,""),"n/m"),"")</f>
        <v>0.149597238204833</v>
      </c>
      <c r="AG253" s="259">
        <f>IF(AND(ISNUMBER(AG250),ISNUMBER(AB250)),IF(AB250&gt;0,IFERROR(AG250/AB250-1,""),"n/m"),"")</f>
        <v>0.105687416032244</v>
      </c>
      <c r="AH253" s="259">
        <f>IF(AND(ISNUMBER(AH250),ISNUMBER(AC250)),IF(AC250&gt;0,IFERROR(AH250/AC250-1,""),"n/m"),"")</f>
        <v>0.47159523205681</v>
      </c>
      <c r="AI253" s="259">
        <f>IF(AND(ISNUMBER(AI250),ISNUMBER(AD250)),IF(AD250&gt;0,IFERROR(AI250/AD250-1,""),"n/m"),"")</f>
        <v>0.684275184275184</v>
      </c>
      <c r="AJ253" s="259">
        <f>IF(AND(ISNUMBER(AJ250),ISNUMBER(AE250)),IF(AE250&gt;0,IFERROR(AJ250/AE250-1,""),"n/m"),"")</f>
        <v>-0.0458878297495012</v>
      </c>
      <c r="AK253" s="259">
        <f>IF(AND(ISNUMBER(AK250),ISNUMBER(AF250)),IF(AF250&gt;0,IFERROR(AK250/AF250-1,""),"n/m"),"")</f>
        <v>0.368702035368702</v>
      </c>
      <c r="AL253" s="259">
        <f>IF(AND(ISNUMBER(AL250),ISNUMBER(AG250)),IF(AG250&gt;0,IFERROR(AL250/AG250-1,""),"n/m"),"")</f>
        <v>-0.00688537869582828</v>
      </c>
      <c r="AM253" s="259">
        <f>IF(AND(ISNUMBER(AM250),ISNUMBER(AH250)),IF(AH250&gt;0,IFERROR(AM250/AH250-1,""),"n/m"),"")</f>
        <v>0.171908660060319</v>
      </c>
      <c r="AN253" s="259">
        <f>IF(AND(ISNUMBER(AN250),ISNUMBER(AI250)),IF(AI250&gt;0,IFERROR(AN250/AI250-1,""),"n/m"),"")</f>
        <v>-0.165937272064187</v>
      </c>
      <c r="AO253" s="259">
        <f>IF(AND(ISNUMBER(AO250),ISNUMBER(AJ250)),IF(AJ250&gt;0,IFERROR(AO250/AJ250-1,""),"n/m"),"")</f>
        <v>-1.23489776951673</v>
      </c>
      <c r="AP253" s="259">
        <f>IF(AND(ISNUMBER(AP250),ISNUMBER(AK250)),IF(AK250&gt;0,IFERROR(AP250/AK250-1,""),"n/m"),"")</f>
        <v>-1.70429058995612</v>
      </c>
      <c r="AQ253" s="259">
        <f>IF(AND(ISNUMBER(AQ250),ISNUMBER(AL250)),IF(AL250&gt;0,IFERROR(AQ250/AL250-1,""),"n/m"),"")</f>
        <v>-2.08768352365416</v>
      </c>
      <c r="AR253" s="259">
        <f>IF(AND(ISNUMBER(AR250),ISNUMBER(AM250)),IF(AM250&gt;0,IFERROR(AR250/AM250-1,""),"n/m"),"")</f>
        <v>-1.31470588235294</v>
      </c>
      <c r="AS253" s="259">
        <f>IF(AND(ISNUMBER(AS250),ISNUMBER(AN250)),IF(AN250&gt;0,IFERROR(AS250/AN250-1,""),"n/m"),"")</f>
        <v>-3.06821163095759</v>
      </c>
      <c r="AT253" s="259" t="str">
        <f>IF(AND(ISNUMBER(AT250),ISNUMBER(AO250)),IF(AO250&gt;0,IFERROR(AT250/AO250-1,""),"n/m"),"")</f>
        <v>n/m</v>
      </c>
      <c r="AU253" s="259" t="str">
        <f>IF(AND(ISNUMBER(AU250),ISNUMBER(AP250)),IF(AP250&gt;0,IFERROR(AU250/AP250-1,""),"n/m"),"")</f>
        <v>n/m</v>
      </c>
      <c r="AV253" s="259" t="str">
        <f>IF(AND(ISNUMBER(AV250),ISNUMBER(AQ250)),IF(AQ250&gt;0,IFERROR(AV250/AQ250-1,""),"n/m"),"")</f>
        <v>n/m</v>
      </c>
      <c r="AW253" s="259" t="str">
        <f>IF(AND(ISNUMBER(AW250),ISNUMBER(AR250)),IF(AR250&gt;0,IFERROR(AW250/AR250-1,""),"n/m"),"")</f>
        <v>n/m</v>
      </c>
      <c r="AX253" s="259" t="str">
        <f>IF(AND(ISNUMBER(AX250),ISNUMBER(AS250)),IF(AS250&gt;0,IFERROR(AX250/AS250-1,""),"n/m"),"")</f>
        <v>n/m</v>
      </c>
      <c r="AY253" s="259" t="str">
        <f>IF(AND(ISNUMBER(AY250),ISNUMBER(AT250)),IF(AT250&gt;0,IFERROR(AY250/AT250-1,""),"n/m"),"")</f>
        <v>n/m</v>
      </c>
      <c r="AZ253" s="259" t="str">
        <f>IF(AND(ISNUMBER(AZ250),ISNUMBER(AU250)),IF(AU250&gt;0,IFERROR(AZ250/AU250-1,""),"n/m"),"")</f>
        <v>n/m</v>
      </c>
      <c r="BA253" s="259" t="str">
        <f>IF(AND(ISNUMBER(BA250),ISNUMBER(AV250)),IF(AV250&gt;0,IFERROR(BA250/AV250-1,""),"n/m"),"")</f>
        <v>n/m</v>
      </c>
      <c r="BB253" s="259" t="str">
        <f>IF(AND(ISNUMBER(BB250),ISNUMBER(AW250)),IF(AW250&gt;0,IFERROR(BB250/AW250-1,""),"n/m"),"")</f>
        <v>n/m</v>
      </c>
      <c r="BC253" s="259" t="str">
        <f>IF(AND(ISNUMBER(BC250),ISNUMBER(AX250)),IF(AX250&gt;0,IFERROR(BC250/AX250-1,""),"n/m"),"")</f>
        <v>n/m</v>
      </c>
      <c r="BD253" s="259" t="str">
        <f>IF(AND(ISNUMBER(BD250),ISNUMBER(AY250)),IF(AY250&gt;0,IFERROR(BD250/AY250-1,""),"n/m"),"")</f>
        <v>n/m</v>
      </c>
      <c r="BE253" s="259" t="str">
        <f>IF(AND(ISNUMBER(BE250),ISNUMBER(AZ250)),IF(AZ250&gt;0,IFERROR(BE250/AZ250-1,""),"n/m"),"")</f>
        <v>n/m</v>
      </c>
      <c r="BF253" s="259">
        <f>IF(AND(ISNUMBER(BF250),ISNUMBER(BA250)),IF(BA250&gt;0,IFERROR(BF250/BA250-1,""),"n/m"),"")</f>
        <v>5.33805668016194</v>
      </c>
      <c r="BG253" s="259" t="str">
        <f>IF(AND(ISNUMBER(BG250),ISNUMBER(BB250)),IF(BB250&gt;0,IFERROR(BG250/BB250-1,""),"n/m"),"")</f>
        <v>n/m</v>
      </c>
      <c r="BH253" s="259" t="str">
        <f>IF(AND(ISNUMBER(BH250),ISNUMBER(BC250)),IF(BC250&gt;0,IFERROR(BH250/BC250-1,""),"n/m"),"")</f>
        <v>n/m</v>
      </c>
      <c r="BI253" s="259" t="str">
        <f>IF(AND(ISNUMBER(BI250),ISNUMBER(BD250)),IF(BD250&gt;0,IFERROR(BI250/BD250-1,""),"n/m"),"")</f>
        <v>n/m</v>
      </c>
      <c r="BJ253" s="259">
        <f>IF(AND(ISNUMBER(BJ250),ISNUMBER(BE250)),IF(BE250&gt;0,IFERROR(BJ250/BE250-1,""),"n/m"),"")</f>
        <v>-1.10667584308328</v>
      </c>
      <c r="BK253" s="259">
        <f>IF(AND(ISNUMBER(BK250),ISNUMBER(BF250)),IF(BF250&gt;0,IFERROR(BK250/BF250-1,""),"n/m"),"")</f>
        <v>-0.0578090067071223</v>
      </c>
      <c r="BL253" s="259">
        <f>IF(AND(ISNUMBER(BL250),ISNUMBER(BG250)),IF(BG250&gt;0,IFERROR(BL250/BG250-1,""),"n/m"),"")</f>
        <v>0.935807860262009</v>
      </c>
      <c r="BM253" s="259" t="str">
        <f>IF(AND(ISNUMBER(BM250),ISNUMBER(BH250)),IF(BH250&gt;0,IFERROR(BM250/BH250-1,""),"n/m"),"")</f>
        <v>n/m</v>
      </c>
      <c r="BN253" s="259">
        <f>IF(AND(ISNUMBER(BN250),ISNUMBER(BI250)),IF(BI250&gt;0,IFERROR(BN250/BI250-1,""),"n/m"),"")</f>
        <v>-2.67778208607988</v>
      </c>
      <c r="BO253" s="259" t="str">
        <f>IF(AND(ISNUMBER(BO250),ISNUMBER(BJ250)),IF(BJ250&gt;0,IFERROR(BO250/BJ250-1,""),"n/m"),"")</f>
        <v>n/m</v>
      </c>
      <c r="BP253" s="259">
        <f>IF(AND(ISNUMBER(BP250),ISNUMBER(BK250)),IF(BK250&gt;0,IFERROR(BP250/BK250-1,""),"n/m"),"")</f>
        <v>-2.38915254237288</v>
      </c>
      <c r="BQ253" s="259">
        <f>IF(AND(ISNUMBER(BQ250),ISNUMBER(BL250)),IF(BL250&gt;0,IFERROR(BQ250/BL250-1,""),"n/m"),"")</f>
        <v>-4.22806226032033</v>
      </c>
      <c r="BR253" s="259" t="str">
        <f>IF(AND(ISNUMBER(BR250),ISNUMBER(BM250)),IF(BM250&gt;0,IFERROR(BR250/BM250-1,""),"n/m"),"")</f>
        <v>n/m</v>
      </c>
      <c r="BS253" s="259" t="str">
        <f>IF(AND(ISNUMBER(BS250),ISNUMBER(BN250)),IF(BN250&gt;0,IFERROR(BS250/BN250-1,""),"n/m"),"")</f>
        <v>n/m</v>
      </c>
      <c r="BT253" s="259" t="str">
        <f>IF(AND(ISNUMBER(BT250),ISNUMBER(BO250)),IF(BO250&gt;0,IFERROR(BT250/BO250-1,""),"n/m"),"")</f>
        <v>n/m</v>
      </c>
      <c r="BU253" s="259" t="str">
        <f>IF(AND(ISNUMBER(BU250),ISNUMBER(BP250)),IF(BP250&gt;0,IFERROR(BU250/BP250-1,""),"n/m"),"")</f>
        <v>n/m</v>
      </c>
      <c r="BV253" s="259" t="str">
        <f>IF(AND(ISNUMBER(BV250),ISNUMBER(BQ250)),IF(BQ250&gt;0,IFERROR(BV250/BQ250-1,""),"n/m"),"")</f>
        <v>n/m</v>
      </c>
      <c r="BW253" s="259" t="str">
        <f>IF(AND(ISNUMBER(BW250),ISNUMBER(BR250)),IF(BR250&gt;0,IFERROR(BW250/BR250-1,""),"n/m"),"")</f>
        <v>n/m</v>
      </c>
      <c r="BX253" s="259" t="str">
        <f>IF(AND(ISNUMBER(BX250),ISNUMBER(BS250)),IF(BS250&gt;0,IFERROR(BX250/BS250-1,""),"n/m"),"")</f>
        <v>n/m</v>
      </c>
      <c r="BY253" s="24" t="n"/>
      <c r="BZ253" s="24" t="n"/>
      <c r="CA253" s="260" t="str">
        <f>IF(AND(ISNUMBER(CA250),ISNUMBER(BV250)),IF(BV250&gt;0,IFERROR(CA250/BV250-1,""),"n/m"),"")</f>
        <v>n/m</v>
      </c>
      <c r="CB253" s="260">
        <f>IF(AND(ISNUMBER(CB250),ISNUMBER(CA250)),IF(CA250&gt;0,IFERROR(CB250/CA250-1,""),"n/m"),"")</f>
        <v>2.32475563603836</v>
      </c>
      <c r="CC253" s="260">
        <f>IF(AND(ISNUMBER(CC250),ISNUMBER(CB250)),IF(CB250&gt;0,IFERROR(CC250/CB250-1,""),"n/m"),"")</f>
        <v>0.588181350526563</v>
      </c>
      <c r="CD253" s="260">
        <f>IF(AND(ISNUMBER(CD250),ISNUMBER(CC250)),IF(CC250&gt;0,IFERROR(CD250/CC250-1,""),"n/m"),"")</f>
        <v>0.273263263570464</v>
      </c>
      <c r="CE253" s="260">
        <f>IF(AND(ISNUMBER(CE250),ISNUMBER(CD250)),IF(CD250&gt;0,IFERROR(CE250/CD250-1,""),"n/m"),"")</f>
        <v>0.0830342168232476</v>
      </c>
      <c r="CF253" s="260">
        <f>IF(AND(ISNUMBER(CF250),ISNUMBER(CE250)),IF(CE250&gt;0,IFERROR(CF250/CE250-1,""),"n/m"),"")</f>
        <v>0.034945031221179</v>
      </c>
      <c r="CG253" s="153" t="n"/>
    </row>
    <row r="254" ht="15" customHeight="1" s="251">
      <c r="B254" s="25" t="inlineStr">
        <is>
          <t xml:space="preserve">  FCF % of revenues</t>
        </is>
      </c>
      <c r="C254" s="215">
        <f>IF(AND(ISNUMBER(C250),ISNUMBER(C117)),IFERROR(C250/C117,""),"")</f>
        <v>0.09455550138144</v>
      </c>
      <c r="D254" s="215">
        <f>IF(AND(ISNUMBER(D250),ISNUMBER(D117)),IFERROR(D250/D117,""),"")</f>
        <v>0.118291231717053</v>
      </c>
      <c r="E254" s="215">
        <f>IF(AND(ISNUMBER(E250),ISNUMBER(E117)),IFERROR(E250/E117,""),"")</f>
        <v>-0.0340582683627411</v>
      </c>
      <c r="F254" s="215">
        <f>IF(AND(ISNUMBER(F250),ISNUMBER(F117)),IFERROR(F250/F117,""),"")</f>
        <v>0.0646885663654604</v>
      </c>
      <c r="G254" s="215">
        <f>IF(AND(ISNUMBER(G250),ISNUMBER(G117)),IFERROR(G250/G117,""),"")</f>
        <v>0.0284110347401487</v>
      </c>
      <c r="H254" s="215">
        <f>IF(AND(ISNUMBER(H250),ISNUMBER(H117)),IFERROR(H250/H117,""),"")</f>
        <v>0.033607332508911</v>
      </c>
      <c r="I254" s="215">
        <f>IF(AND(ISNUMBER(I250),ISNUMBER(I117)),IFERROR(I250/I117,""),"")</f>
        <v>0.0710543709760337</v>
      </c>
      <c r="J254" s="215">
        <f>IF(AND(ISNUMBER(J250),ISNUMBER(J117)),IFERROR(J250/J117,""),"")</f>
        <v>0.000158788969459588</v>
      </c>
      <c r="K254" s="215">
        <f>IF(AND(ISNUMBER(K250),ISNUMBER(K117)),IFERROR(K250/K117,""),"")</f>
        <v>0.138070135228054</v>
      </c>
      <c r="L254" s="215">
        <f>IF(AND(ISNUMBER(L250),ISNUMBER(L117)),IFERROR(L250/L117,""),"")</f>
        <v>0.105015815634885</v>
      </c>
      <c r="M254" s="215">
        <f>IF(AND(ISNUMBER(M250),ISNUMBER(M117)),IFERROR(M250/M117,""),"")</f>
        <v>0.0311961320159765</v>
      </c>
      <c r="N254" s="215">
        <f>IF(AND(ISNUMBER(N250),ISNUMBER(N117)),IFERROR(N250/N117,""),"")</f>
        <v>0.0702007549957863</v>
      </c>
      <c r="O254" s="215">
        <f>IF(AND(ISNUMBER(O250),ISNUMBER(O117)),IFERROR(O250/O117,""),"")</f>
        <v>0.0300513071096995</v>
      </c>
      <c r="P254" s="215">
        <f>IF(AND(ISNUMBER(P250),ISNUMBER(P117)),IFERROR(P250/P117,""),"")</f>
        <v>0.0616919936493536</v>
      </c>
      <c r="Q254" s="215">
        <f>IF(AND(ISNUMBER(Q250),ISNUMBER(Q117)),IFERROR(Q250/Q117,""),"")</f>
        <v>0.0133282879246552</v>
      </c>
      <c r="R254" s="215">
        <f>IF(AND(ISNUMBER(R250),ISNUMBER(R117)),IFERROR(R250/R117,""),"")</f>
        <v>0.176965832924636</v>
      </c>
      <c r="S254" s="215">
        <f>IF(AND(ISNUMBER(S250),ISNUMBER(S117)),IFERROR(S250/S117,""),"")</f>
        <v>0.0729600493598643</v>
      </c>
      <c r="T254" s="215">
        <f>IF(AND(ISNUMBER(T250),ISNUMBER(T117)),IFERROR(T250/T117,""),"")</f>
        <v>-0.0219422998780983</v>
      </c>
      <c r="U254" s="215">
        <f>IF(AND(ISNUMBER(U250),ISNUMBER(U117)),IFERROR(U250/U117,""),"")</f>
        <v>0.106140243653995</v>
      </c>
      <c r="V254" s="215">
        <f>IF(AND(ISNUMBER(V250),ISNUMBER(V117)),IFERROR(V250/V117,""),"")</f>
        <v>0.0889009246005648</v>
      </c>
      <c r="W254" s="215">
        <f>IF(AND(ISNUMBER(W250),ISNUMBER(W117)),IFERROR(W250/W117,""),"")</f>
        <v>0.105883850167565</v>
      </c>
      <c r="X254" s="215">
        <f>IF(AND(ISNUMBER(X250),ISNUMBER(X117)),IFERROR(X250/X117,""),"")</f>
        <v>0.0719250057223714</v>
      </c>
      <c r="Y254" s="215">
        <f>IF(AND(ISNUMBER(Y250),ISNUMBER(Y117)),IFERROR(Y250/Y117,""),"")</f>
        <v>0.0213414634146341</v>
      </c>
      <c r="Z254" s="215">
        <f>IF(AND(ISNUMBER(Z250),ISNUMBER(Z117)),IFERROR(Z250/Z117,""),"")</f>
        <v>0.103534639466774</v>
      </c>
      <c r="AA254" s="215">
        <f>IF(AND(ISNUMBER(AA250),ISNUMBER(AA117)),IFERROR(AA250/AA117,""),"")</f>
        <v>0.109088626663319</v>
      </c>
      <c r="AB254" s="215">
        <f>IF(AND(ISNUMBER(AB250),ISNUMBER(AB117)),IFERROR(AB250/AB117,""),"")</f>
        <v>0.0958945289014859</v>
      </c>
      <c r="AC254" s="215">
        <f>IF(AND(ISNUMBER(AC250),ISNUMBER(AC117)),IFERROR(AC250/AC117,""),"")</f>
        <v>0.0833870848357319</v>
      </c>
      <c r="AD254" s="215">
        <f>IF(AND(ISNUMBER(AD250),ISNUMBER(AD117)),IFERROR(AD250/AD117,""),"")</f>
        <v>0.0776125095347063</v>
      </c>
      <c r="AE254" s="215">
        <f>IF(AND(ISNUMBER(AE250),ISNUMBER(AE117)),IFERROR(AE250/AE117,""),"")</f>
        <v>0.198381635076301</v>
      </c>
      <c r="AF254" s="215">
        <f>IF(AND(ISNUMBER(AF250),ISNUMBER(AF117)),IFERROR(AF250/AF117,""),"")</f>
        <v>0.123287671232877</v>
      </c>
      <c r="AG254" s="215">
        <f>IF(AND(ISNUMBER(AG250),ISNUMBER(AG117)),IFERROR(AG250/AG117,""),"")</f>
        <v>0.0973273415326395</v>
      </c>
      <c r="AH254" s="215">
        <f>IF(AND(ISNUMBER(AH250),ISNUMBER(AH117)),IFERROR(AH250/AH117,""),"")</f>
        <v>0.124261178687682</v>
      </c>
      <c r="AI254" s="215">
        <f>IF(AND(ISNUMBER(AI250),ISNUMBER(AI117)),IFERROR(AI250/AI117,""),"")</f>
        <v>0.1172696946369</v>
      </c>
      <c r="AJ254" s="215">
        <f>IF(AND(ISNUMBER(AJ250),ISNUMBER(AJ117)),IFERROR(AJ250/AJ117,""),"")</f>
        <v>0.177426003792563</v>
      </c>
      <c r="AK254" s="215">
        <f>IF(AND(ISNUMBER(AK250),ISNUMBER(AK117)),IFERROR(AK250/AK117,""),"")</f>
        <v>0.163127336355683</v>
      </c>
      <c r="AL254" s="215">
        <f>IF(AND(ISNUMBER(AL250),ISNUMBER(AL117)),IFERROR(AL250/AL117,""),"")</f>
        <v>0.086517765781024</v>
      </c>
      <c r="AM254" s="215">
        <f>IF(AND(ISNUMBER(AM250),ISNUMBER(AM117)),IFERROR(AM250/AM117,""),"")</f>
        <v>0.134484361248727</v>
      </c>
      <c r="AN254" s="215">
        <f>IF(AND(ISNUMBER(AN250),ISNUMBER(AN117)),IFERROR(AN250/AN117,""),"")</f>
        <v>0.0997949120740062</v>
      </c>
      <c r="AO254" s="215">
        <f>IF(AND(ISNUMBER(AO250),ISNUMBER(AO117)),IFERROR(AO250/AO117,""),"")</f>
        <v>-0.0641864008634372</v>
      </c>
      <c r="AP254" s="215">
        <f>IF(AND(ISNUMBER(AP250),ISNUMBER(AP117)),IFERROR(AP250/AP117,""),"")</f>
        <v>-0.144594594594595</v>
      </c>
      <c r="AQ254" s="215">
        <f>IF(AND(ISNUMBER(AQ250),ISNUMBER(AQ117)),IFERROR(AQ250/AQ117,""),"")</f>
        <v>-0.148902908826978</v>
      </c>
      <c r="AR254" s="215">
        <f>IF(AND(ISNUMBER(AR250),ISNUMBER(AR117)),IFERROR(AR250/AR117,""),"")</f>
        <v>-0.0559045964550216</v>
      </c>
      <c r="AS254" s="215">
        <f>IF(AND(ISNUMBER(AS250),ISNUMBER(AS117)),IFERROR(AS250/AS117,""),"")</f>
        <v>-0.279749231133191</v>
      </c>
      <c r="AT254" s="215">
        <f>IF(AND(ISNUMBER(AT250),ISNUMBER(AT117)),IFERROR(AT250/AT117,""),"")</f>
        <v>-0.476666384348268</v>
      </c>
      <c r="AU254" s="215">
        <f>IF(AND(ISNUMBER(AU250),ISNUMBER(AU117)),IFERROR(AU250/AU117,""),"")</f>
        <v>-0.359360633708183</v>
      </c>
      <c r="AV254" s="215">
        <f>IF(AND(ISNUMBER(AV250),ISNUMBER(AV117)),IFERROR(AV250/AV117,""),"")</f>
        <v>-0.279273392577104</v>
      </c>
      <c r="AW254" s="215">
        <f>IF(AND(ISNUMBER(AW250),ISNUMBER(AW117)),IFERROR(AW250/AW117,""),"")</f>
        <v>-0.338955947591045</v>
      </c>
      <c r="AX254" s="215">
        <f>IF(AND(ISNUMBER(AX250),ISNUMBER(AX117)),IFERROR(AX250/AX117,""),"")</f>
        <v>-0.241703358086351</v>
      </c>
      <c r="AY254" s="215">
        <f>IF(AND(ISNUMBER(AY250),ISNUMBER(AY117)),IFERROR(AY250/AY117,""),"")</f>
        <v>-0.0414754677020826</v>
      </c>
      <c r="AZ254" s="215">
        <f>IF(AND(ISNUMBER(AZ250),ISNUMBER(AZ117)),IFERROR(AZ250/AZ117,""),"")</f>
        <v>-0.0331849718549548</v>
      </c>
      <c r="BA254" s="215">
        <f>IF(AND(ISNUMBER(BA250),ISNUMBER(BA117)),IFERROR(BA250/BA117,""),"")</f>
        <v>0.0333941729196242</v>
      </c>
      <c r="BB254" s="215">
        <f>IF(AND(ISNUMBER(BB250),ISNUMBER(BB117)),IFERROR(BB250/BB117,""),"")</f>
        <v>-0.0705776579006518</v>
      </c>
      <c r="BC254" s="215">
        <f>IF(AND(ISNUMBER(BC250),ISNUMBER(BC117)),IFERROR(BC250/BC117,""),"")</f>
        <v>-0.254806661425202</v>
      </c>
      <c r="BD254" s="215">
        <f>IF(AND(ISNUMBER(BD250),ISNUMBER(BD117)),IFERROR(BD250/BD117,""),"")</f>
        <v>-0.0109106168694922</v>
      </c>
      <c r="BE254" s="215">
        <f>IF(AND(ISNUMBER(BE250),ISNUMBER(BE117)),IFERROR(BE250/BE117,""),"")</f>
        <v>0.182125846076711</v>
      </c>
      <c r="BF254" s="215">
        <f>IF(AND(ISNUMBER(BF250),ISNUMBER(BF117)),IFERROR(BF250/BF117,""),"")</f>
        <v>0.156706706706707</v>
      </c>
      <c r="BG254" s="215">
        <f>IF(AND(ISNUMBER(BG250),ISNUMBER(BG117)),IFERROR(BG250/BG117,""),"")</f>
        <v>0.0343802546240692</v>
      </c>
      <c r="BH254" s="215">
        <f>IF(AND(ISNUMBER(BH250),ISNUMBER(BH117)),IFERROR(BH250/BH117,""),"")</f>
        <v>-0.0438591596451091</v>
      </c>
      <c r="BI254" s="215">
        <f>IF(AND(ISNUMBER(BI250),ISNUMBER(BI117)),IFERROR(BI250/BI117,""),"")</f>
        <v>0.130575667054833</v>
      </c>
      <c r="BJ254" s="215">
        <f>IF(AND(ISNUMBER(BJ250),ISNUMBER(BJ117)),IFERROR(BJ250/BJ117,""),"")</f>
        <v>-0.0171232876712329</v>
      </c>
      <c r="BK254" s="215">
        <f>IF(AND(ISNUMBER(BK250),ISNUMBER(BK117)),IFERROR(BK250/BK117,""),"")</f>
        <v>0.133981288037061</v>
      </c>
      <c r="BL254" s="215">
        <f>IF(AND(ISNUMBER(BL250),ISNUMBER(BL117)),IFERROR(BL250/BL117,""),"")</f>
        <v>0.0569838290870761</v>
      </c>
      <c r="BM254" s="215">
        <f>IF(AND(ISNUMBER(BM250),ISNUMBER(BM117)),IFERROR(BM250/BM117,""),"")</f>
        <v>-0.237129579334903</v>
      </c>
      <c r="BN254" s="215">
        <f>IF(AND(ISNUMBER(BN250),ISNUMBER(BN117)),IFERROR(BN250/BN117,""),"")</f>
        <v>-0.256551642357405</v>
      </c>
      <c r="BO254" s="215">
        <f>IF(AND(ISNUMBER(BO250),ISNUMBER(BO117)),IFERROR(BO250/BO117,""),"")</f>
        <v>-0.109641255605381</v>
      </c>
      <c r="BP254" s="215">
        <f>IF(AND(ISNUMBER(BP250),ISNUMBER(BP117)),IFERROR(BP250/BP117,""),"")</f>
        <v>-0.268862354021782</v>
      </c>
      <c r="BQ254" s="215">
        <f>IF(AND(ISNUMBER(BQ250),ISNUMBER(BQ117)),IFERROR(BQ250/BQ117,""),"")</f>
        <v>-0.215132973525565</v>
      </c>
      <c r="BR254" s="215">
        <f>IF(AND(ISNUMBER(BR250),ISNUMBER(BR117)),IFERROR(BR250/BR117,""),"")</f>
        <v>-0.117459991793188</v>
      </c>
      <c r="BS254" s="215">
        <f>IF(AND(ISNUMBER(BS250),ISNUMBER(BS117)),IFERROR(BS250/BS117,""),"")</f>
        <v>-0.00879159523495538</v>
      </c>
      <c r="BT254" s="215">
        <f>IF(AND(ISNUMBER(BT250),ISNUMBER(BT117)),IFERROR(BT250/BT117,""),"")</f>
        <v>0.0102277610657499</v>
      </c>
      <c r="BU254" s="215">
        <f>IF(AND(ISNUMBER(BU250),ISNUMBER(BU117)),IFERROR(BU250/BU117,""),"")</f>
        <v>0.0156589276766327</v>
      </c>
      <c r="BV254" s="215">
        <f>IF(AND(ISNUMBER(BV250),ISNUMBER(BV117)),IFERROR(BV250/BV117,""),"")</f>
        <v>-0.0209807406413825</v>
      </c>
      <c r="BW254" s="215">
        <f>IF(AND(ISNUMBER(BW250),ISNUMBER(BW117)),IFERROR(BW250/BW117,""),"")</f>
        <v>-0.0654453796642211</v>
      </c>
      <c r="BX254" s="215">
        <f>IF(AND(ISNUMBER(BX250),ISNUMBER(BX117)),IFERROR(BX250/BX117,""),"")</f>
        <v>0.0256921824104235</v>
      </c>
      <c r="BY254" s="24" t="n"/>
      <c r="BZ254" s="24" t="n"/>
      <c r="CA254" s="260">
        <f>IF(AND(ISNUMBER(CA250),ISNUMBER(CA117)),IFERROR(CA250/CA117,""),"")</f>
        <v>0.0205603711134316</v>
      </c>
      <c r="CB254" s="260">
        <f>IF(AND(ISNUMBER(CB250),ISNUMBER(CB117)),IFERROR(CB250/CB117,""),"")</f>
        <v>0.0623790854701419</v>
      </c>
      <c r="CC254" s="260">
        <f>IF(AND(ISNUMBER(CC250),ISNUMBER(CC117)),IFERROR(CC250/CC117,""),"")</f>
        <v>0.0912118453803778</v>
      </c>
      <c r="CD254" s="260">
        <f>IF(AND(ISNUMBER(CD250),ISNUMBER(CD117)),IFERROR(CD250/CD117,""),"")</f>
        <v>0.108606944416794</v>
      </c>
      <c r="CE254" s="260">
        <f>IF(AND(ISNUMBER(CE250),ISNUMBER(CE117)),IFERROR(CE250/CE117,""),"")</f>
        <v>0.112098392518876</v>
      </c>
      <c r="CF254" s="260">
        <f>IF(AND(ISNUMBER(CF250),ISNUMBER(CF117)),IFERROR(CF250/CF117,""),"")</f>
        <v>0.111227046792065</v>
      </c>
      <c r="CG254" s="153" t="n"/>
      <c r="CI254" s="37">
        <f>IFERROR(AVERAGE(CB254,CC254,CD254,CE254,CF254),"n/m")</f>
        <v>0.0971046629156509</v>
      </c>
      <c r="CJ254" s="37">
        <f>IFERROR(AVERAGE(BB254,BG254,BL254,BQ254,BV254),"n/m")</f>
        <v>-0.0430654576712908</v>
      </c>
      <c r="CK254" s="37">
        <f>IFERROR(AVERAGE(AC254,AH254,AM254,AR254,AW254,BB254,BG254,BL254,BQ254,BV254),"n/m")</f>
        <v>-0.026805520763038</v>
      </c>
      <c r="CL254" s="37">
        <f>IFERROR(AVERAGE(C254,D254,E254,F254,G254,H254,I254,N254,S254,X254,AC254,AH254,AM254,AR254,AW254,BB254,BG254,BL254,BQ254,BV254),"n/m")</f>
        <v>0.0161790185886974</v>
      </c>
    </row>
    <row r="255" ht="15" customHeight="1" s="251">
      <c r="B255" s="25" t="inlineStr">
        <is>
          <t xml:space="preserve">  FCF / core earnings conversion %</t>
        </is>
      </c>
      <c r="C255" s="215">
        <f>IF(AND(ISNUMBER(C250),N(C194)&gt;0),IFERROR(C250/C194,""),"n/m")</f>
        <v>2.62663656884876</v>
      </c>
      <c r="D255" s="215">
        <f>IF(AND(ISNUMBER(D250),N(D194)&gt;0),IFERROR(D250/D194,""),"n/m")</f>
        <v>1.73742781919954</v>
      </c>
      <c r="E255" s="215">
        <f>IF(AND(ISNUMBER(E250),N(E194)&gt;0),IFERROR(E250/E194,""),"n/m")</f>
        <v>-0.718353499160478</v>
      </c>
      <c r="F255" s="215">
        <f>IF(AND(ISNUMBER(F250),N(F194)&gt;0),IFERROR(F250/F194,""),"n/m")</f>
        <v>3.39521119182136</v>
      </c>
      <c r="G255" s="215">
        <f>IF(AND(ISNUMBER(G250),N(G194)&gt;0),IFERROR(G250/G194,""),"n/m")</f>
        <v>0.551922060267351</v>
      </c>
      <c r="H255" s="215">
        <f>IF(AND(ISNUMBER(H250),N(H194)&gt;0),IFERROR(H250/H194,""),"n/m")</f>
        <v>0.530194094647679</v>
      </c>
      <c r="I255" s="215">
        <f>IF(AND(ISNUMBER(I250),N(I194)&gt;0),IFERROR(I250/I194,""),"n/m")</f>
        <v>1.29341288546712</v>
      </c>
      <c r="J255" s="215">
        <f>IF(AND(ISNUMBER(J250),N(J194)&gt;0),IFERROR(J250/J194,""),"n/m")</f>
        <v>0.00225746713692215</v>
      </c>
      <c r="K255" s="215">
        <f>IF(AND(ISNUMBER(K250),N(K194)&gt;0),IFERROR(K250/K194,""),"n/m")</f>
        <v>2.33729711609196</v>
      </c>
      <c r="L255" s="215">
        <f>IF(AND(ISNUMBER(L250),N(L194)&gt;0),IFERROR(L250/L194,""),"n/m")</f>
        <v>1.68279100010934</v>
      </c>
      <c r="M255" s="215">
        <f>IF(AND(ISNUMBER(M250),N(M194)&gt;0),IFERROR(M250/M194,""),"n/m")</f>
        <v>0.515110366908533</v>
      </c>
      <c r="N255" s="215">
        <f>IF(AND(ISNUMBER(N250),N(N194)&gt;0),IFERROR(N250/N194,""),"n/m")</f>
        <v>1.11800659846355</v>
      </c>
      <c r="O255" s="215">
        <f>IF(AND(ISNUMBER(O250),N(O194)&gt;0),IFERROR(O250/O194,""),"n/m")</f>
        <v>0.463462570310663</v>
      </c>
      <c r="P255" s="215">
        <f>IF(AND(ISNUMBER(P250),N(P194)&gt;0),IFERROR(P250/P194,""),"n/m")</f>
        <v>0.761385228454758</v>
      </c>
      <c r="Q255" s="215">
        <f>IF(AND(ISNUMBER(Q250),N(Q194)&gt;0),IFERROR(Q250/Q194,""),"n/m")</f>
        <v>0.202306162615863</v>
      </c>
      <c r="R255" s="215">
        <f>IF(AND(ISNUMBER(R250),N(R194)&gt;0),IFERROR(R250/R194,""),"n/m")</f>
        <v>2.58323628796701</v>
      </c>
      <c r="S255" s="215">
        <f>IF(AND(ISNUMBER(S250),N(S194)&gt;0),IFERROR(S250/S194,""),"n/m")</f>
        <v>1.0434327709112</v>
      </c>
      <c r="T255" s="215">
        <f>IF(AND(ISNUMBER(T250),N(T194)&gt;0),IFERROR(T250/T194,""),"n/m")</f>
        <v>-0.345312699833738</v>
      </c>
      <c r="U255" s="215">
        <f>IF(AND(ISNUMBER(U250),N(U194)&gt;0),IFERROR(U250/U194,""),"n/m")</f>
        <v>2.30333864736991</v>
      </c>
      <c r="V255" s="215">
        <f>IF(AND(ISNUMBER(V250),N(V194)&gt;0),IFERROR(V250/V194,""),"n/m")</f>
        <v>1.32186718053438</v>
      </c>
      <c r="W255" s="215">
        <f>IF(AND(ISNUMBER(W250),N(W194)&gt;0),IFERROR(W250/W194,""),"n/m")</f>
        <v>2.29557770199428</v>
      </c>
      <c r="X255" s="215">
        <f>IF(AND(ISNUMBER(X250),N(X194)&gt;0),IFERROR(X250/X194,""),"n/m")</f>
        <v>1.28711942189291</v>
      </c>
      <c r="Y255" s="215">
        <f>IF(AND(ISNUMBER(Y250),N(Y194)&gt;0),IFERROR(Y250/Y194,""),"n/m")</f>
        <v>0.41671052336426</v>
      </c>
      <c r="Z255" s="215" t="str">
        <f>IF(AND(ISNUMBER(Z250),N(Z194)&gt;0),IFERROR(Z250/Z194,""),"n/m")</f>
        <v>n/m</v>
      </c>
      <c r="AA255" s="215">
        <f>IF(AND(ISNUMBER(AA250),N(AA194)&gt;0),IFERROR(AA250/AA194,""),"n/m")</f>
        <v>1.17323723018806</v>
      </c>
      <c r="AB255" s="215">
        <f>IF(AND(ISNUMBER(AB250),N(AB194)&gt;0),IFERROR(AB250/AB194,""),"n/m")</f>
        <v>1.43567679334227</v>
      </c>
      <c r="AC255" s="215">
        <f>IF(AND(ISNUMBER(AC250),N(AC194)&gt;0),IFERROR(AC250/AC194,""),"n/m")</f>
        <v>1.69343973557774</v>
      </c>
      <c r="AD255" s="215">
        <f>IF(AND(ISNUMBER(AD250),N(AD194)&gt;0),IFERROR(AD250/AD194,""),"n/m")</f>
        <v>1.30657686492178</v>
      </c>
      <c r="AE255" s="215">
        <f>IF(AND(ISNUMBER(AE250),N(AE194)&gt;0),IFERROR(AE250/AE194,""),"n/m")</f>
        <v>2.90332463172637</v>
      </c>
      <c r="AF255" s="215">
        <f>IF(AND(ISNUMBER(AF250),N(AF194)&gt;0),IFERROR(AF250/AF194,""),"n/m")</f>
        <v>1.81982903201126</v>
      </c>
      <c r="AG255" s="215">
        <f>IF(AND(ISNUMBER(AG250),N(AG194)&gt;0),IFERROR(AG250/AG194,""),"n/m")</f>
        <v>0.850774380423299</v>
      </c>
      <c r="AH255" s="215">
        <f>IF(AND(ISNUMBER(AH250),N(AH194)&gt;0),IFERROR(AH250/AH194,""),"n/m")</f>
        <v>1.57931402111041</v>
      </c>
      <c r="AI255" s="215">
        <f>IF(AND(ISNUMBER(AI250),N(AI194)&gt;0),IFERROR(AI250/AI194,""),"n/m")</f>
        <v>1.26126954921803</v>
      </c>
      <c r="AJ255" s="215">
        <f>IF(AND(ISNUMBER(AJ250),N(AJ194)&gt;0),IFERROR(AJ250/AJ194,""),"n/m")</f>
        <v>2.19591836734694</v>
      </c>
      <c r="AK255" s="215">
        <f>IF(AND(ISNUMBER(AK250),N(AK194)&gt;0),IFERROR(AK250/AK194,""),"n/m")</f>
        <v>1.97211538461538</v>
      </c>
      <c r="AL255" s="215">
        <f>IF(AND(ISNUMBER(AL250),N(AL194)&gt;0),IFERROR(AL250/AL194,""),"n/m")</f>
        <v>0.774968394437421</v>
      </c>
      <c r="AM255" s="215">
        <f>IF(AND(ISNUMBER(AM250),N(AM194)&gt;0),IFERROR(AM250/AM194,""),"n/m")</f>
        <v>1.45020260183408</v>
      </c>
      <c r="AN255" s="215">
        <f>IF(AND(ISNUMBER(AN250),N(AN194)&gt;0),IFERROR(AN250/AN194,""),"n/m")</f>
        <v>1.26423438363737</v>
      </c>
      <c r="AO255" s="215" t="str">
        <f>IF(AND(ISNUMBER(AO250),N(AO194)&gt;0),IFERROR(AO250/AO194,""),"n/m")</f>
        <v>n/m</v>
      </c>
      <c r="AP255" s="215">
        <f>IF(AND(ISNUMBER(AP250),N(AP194)&gt;0),IFERROR(AP250/AP194,""),"n/m")</f>
        <v>-3.49334945586457</v>
      </c>
      <c r="AQ255" s="215" t="str">
        <f>IF(AND(ISNUMBER(AQ250),N(AQ194)&gt;0),IFERROR(AQ250/AQ194,""),"n/m")</f>
        <v>n/m</v>
      </c>
      <c r="AR255" s="215" t="str">
        <f>IF(AND(ISNUMBER(AR250),N(AR194)&gt;0),IFERROR(AR250/AR194,""),"n/m")</f>
        <v>n/m</v>
      </c>
      <c r="AS255" s="215" t="str">
        <f>IF(AND(ISNUMBER(AS250),N(AS194)&gt;0),IFERROR(AS250/AS194,""),"n/m")</f>
        <v>n/m</v>
      </c>
      <c r="AT255" s="215" t="str">
        <f>IF(AND(ISNUMBER(AT250),N(AT194)&gt;0),IFERROR(AT250/AT194,""),"n/m")</f>
        <v>n/m</v>
      </c>
      <c r="AU255" s="215" t="str">
        <f>IF(AND(ISNUMBER(AU250),N(AU194)&gt;0),IFERROR(AU250/AU194,""),"n/m")</f>
        <v>n/m</v>
      </c>
      <c r="AV255" s="215" t="str">
        <f>IF(AND(ISNUMBER(AV250),N(AV194)&gt;0),IFERROR(AV250/AV194,""),"n/m")</f>
        <v>n/m</v>
      </c>
      <c r="AW255" s="215" t="str">
        <f>IF(AND(ISNUMBER(AW250),N(AW194)&gt;0),IFERROR(AW250/AW194,""),"n/m")</f>
        <v>n/m</v>
      </c>
      <c r="AX255" s="215" t="str">
        <f>IF(AND(ISNUMBER(AX250),N(AX194)&gt;0),IFERROR(AX250/AX194,""),"n/m")</f>
        <v>n/m</v>
      </c>
      <c r="AY255" s="215">
        <f>IF(AND(ISNUMBER(AY250),N(AY194)&gt;0),IFERROR(AY250/AY194,""),"n/m")</f>
        <v>-3.02575107296137</v>
      </c>
      <c r="AZ255" s="215" t="str">
        <f>IF(AND(ISNUMBER(AZ250),N(AZ194)&gt;0),IFERROR(AZ250/AZ194,""),"n/m")</f>
        <v>n/m</v>
      </c>
      <c r="BA255" s="215" t="str">
        <f>IF(AND(ISNUMBER(BA250),N(BA194)&gt;0),IFERROR(BA250/BA194,""),"n/m")</f>
        <v>n/m</v>
      </c>
      <c r="BB255" s="215" t="str">
        <f>IF(AND(ISNUMBER(BB250),N(BB194)&gt;0),IFERROR(BB250/BB194,""),"n/m")</f>
        <v>n/m</v>
      </c>
      <c r="BC255" s="215" t="str">
        <f>IF(AND(ISNUMBER(BC250),N(BC194)&gt;0),IFERROR(BC250/BC194,""),"n/m")</f>
        <v>n/m</v>
      </c>
      <c r="BD255" s="215" t="str">
        <f>IF(AND(ISNUMBER(BD250),N(BD194)&gt;0),IFERROR(BD250/BD194,""),"n/m")</f>
        <v>n/m</v>
      </c>
      <c r="BE255" s="215" t="str">
        <f>IF(AND(ISNUMBER(BE250),N(BE194)&gt;0),IFERROR(BE250/BE194,""),"n/m")</f>
        <v>n/m</v>
      </c>
      <c r="BF255" s="215" t="str">
        <f>IF(AND(ISNUMBER(BF250),N(BF194)&gt;0),IFERROR(BF250/BF194,""),"n/m")</f>
        <v>n/m</v>
      </c>
      <c r="BG255" s="215" t="str">
        <f>IF(AND(ISNUMBER(BG250),N(BG194)&gt;0),IFERROR(BG250/BG194,""),"n/m")</f>
        <v>n/m</v>
      </c>
      <c r="BH255" s="215" t="str">
        <f>IF(AND(ISNUMBER(BH250),N(BH194)&gt;0),IFERROR(BH250/BH194,""),"n/m")</f>
        <v>n/m</v>
      </c>
      <c r="BI255" s="215" t="str">
        <f>IF(AND(ISNUMBER(BI250),N(BI194)&gt;0),IFERROR(BI250/BI194,""),"n/m")</f>
        <v>n/m</v>
      </c>
      <c r="BJ255" s="215" t="str">
        <f>IF(AND(ISNUMBER(BJ250),N(BJ194)&gt;0),IFERROR(BJ250/BJ194,""),"n/m")</f>
        <v>n/m</v>
      </c>
      <c r="BK255" s="215" t="str">
        <f>IF(AND(ISNUMBER(BK250),N(BK194)&gt;0),IFERROR(BK250/BK194,""),"n/m")</f>
        <v>n/m</v>
      </c>
      <c r="BL255" s="215" t="str">
        <f>IF(AND(ISNUMBER(BL250),N(BL194)&gt;0),IFERROR(BL250/BL194,""),"n/m")</f>
        <v>n/m</v>
      </c>
      <c r="BM255" s="215" t="str">
        <f>IF(AND(ISNUMBER(BM250),N(BM194)&gt;0),IFERROR(BM250/BM194,""),"n/m")</f>
        <v>n/m</v>
      </c>
      <c r="BN255" s="215" t="str">
        <f>IF(AND(ISNUMBER(BN250),N(BN194)&gt;0),IFERROR(BN250/BN194,""),"n/m")</f>
        <v>n/m</v>
      </c>
      <c r="BO255" s="215" t="str">
        <f>IF(AND(ISNUMBER(BO250),N(BO194)&gt;0),IFERROR(BO250/BO194,""),"n/m")</f>
        <v>n/m</v>
      </c>
      <c r="BP255" s="215" t="str">
        <f>IF(AND(ISNUMBER(BP250),N(BP194)&gt;0),IFERROR(BP250/BP194,""),"n/m")</f>
        <v>n/m</v>
      </c>
      <c r="BQ255" s="215" t="str">
        <f>IF(AND(ISNUMBER(BQ250),N(BQ194)&gt;0),IFERROR(BQ250/BQ194,""),"n/m")</f>
        <v>n/m</v>
      </c>
      <c r="BR255" s="215" t="str">
        <f>IF(AND(ISNUMBER(BR250),N(BR194)&gt;0),IFERROR(BR250/BR194,""),"n/m")</f>
        <v>n/m</v>
      </c>
      <c r="BS255" s="215" t="str">
        <f>IF(AND(ISNUMBER(BS250),N(BS194)&gt;0),IFERROR(BS250/BS194,""),"n/m")</f>
        <v>n/m</v>
      </c>
      <c r="BT255" s="215" t="str">
        <f>IF(AND(ISNUMBER(BT250),N(BT194)&gt;0),IFERROR(BT250/BT194,""),"n/m")</f>
        <v>n/m</v>
      </c>
      <c r="BU255" s="215">
        <f>IF(AND(ISNUMBER(BU250),N(BU194)&gt;0),IFERROR(BU250/BU194,""),"n/m")</f>
        <v>0.0470278404815651</v>
      </c>
      <c r="BV255" s="215">
        <f>IF(AND(ISNUMBER(BV250),N(BV194)&gt;0),IFERROR(BV250/BV194,""),"n/m")</f>
        <v>-2.06263736263736</v>
      </c>
      <c r="BW255" s="215" t="str">
        <f>IF(AND(ISNUMBER(BW250),N(BW194)&gt;0),IFERROR(BW250/BW194,""),"n/m")</f>
        <v>n/m</v>
      </c>
      <c r="BX255" s="215" t="str">
        <f>IF(AND(ISNUMBER(BX250),N(BX194)&gt;0),IFERROR(BX250/BX194,""),"n/m")</f>
        <v>n/m</v>
      </c>
      <c r="BY255" s="24" t="n"/>
      <c r="BZ255" s="24" t="n"/>
      <c r="CA255" s="260" t="str">
        <f>IF(AND(ISNUMBER(CA250),N(CA194)&gt;0),IFERROR(CA250/CA194,""),"n/m")</f>
        <v>n/m</v>
      </c>
      <c r="CB255" s="260">
        <f>IF(AND(ISNUMBER(CB250),N(CB194)&gt;0),IFERROR(CB250/CB194,""),"n/m")</f>
        <v>1.87869805665108</v>
      </c>
      <c r="CC255" s="260">
        <f>IF(AND(ISNUMBER(CC250),N(CC194)&gt;0),IFERROR(CC250/CC194,""),"n/m")</f>
        <v>1.73611194551474</v>
      </c>
      <c r="CD255" s="260">
        <f>IF(AND(ISNUMBER(CD250),N(CD194)&gt;0),IFERROR(CD250/CD194,""),"n/m")</f>
        <v>1.55621430624772</v>
      </c>
      <c r="CE255" s="260">
        <f>IF(AND(ISNUMBER(CE250),N(CE194)&gt;0),IFERROR(CE250/CE194,""),"n/m")</f>
        <v>1.44667454167376</v>
      </c>
      <c r="CF255" s="260">
        <f>IF(AND(ISNUMBER(CF250),N(CF194)&gt;0),IFERROR(CF250/CF194,""),"n/m")</f>
        <v>1.38219947896808</v>
      </c>
      <c r="CG255" s="153" t="n"/>
    </row>
    <row r="256" ht="15" customHeight="1" s="251">
      <c r="B256" s="25" t="inlineStr">
        <is>
          <t xml:space="preserve">  FCF per diluted share ($)</t>
        </is>
      </c>
      <c r="C256" s="287">
        <f>IF(AND(ISNUMBER(C250),ISNUMBER(C151)),IFERROR(C250/C151,""),"")</f>
        <v>7.38699847638395</v>
      </c>
      <c r="D256" s="287">
        <f>IF(AND(ISNUMBER(D250),ISNUMBER(D151)),IFERROR(D250/D151,""),"")</f>
        <v>10.1656957928803</v>
      </c>
      <c r="E256" s="287">
        <f>IF(AND(ISNUMBER(E250),ISNUMBER(E151)),IFERROR(E250/E151,""),"")</f>
        <v>-2.84636488340192</v>
      </c>
      <c r="F256" s="287">
        <f>IF(AND(ISNUMBER(F250),ISNUMBER(F151)),IFERROR(F250/F151,""),"")</f>
        <v>6.1914774320157</v>
      </c>
      <c r="G256" s="287">
        <f>IF(AND(ISNUMBER(G250),ISNUMBER(G151)),IFERROR(G250/G151,""),"")</f>
        <v>2.4546553808948</v>
      </c>
      <c r="H256" s="287">
        <f>IF(AND(ISNUMBER(H250),ISNUMBER(H151)),IFERROR(H250/H151,""),"")</f>
        <v>3.06732173682114</v>
      </c>
      <c r="I256" s="287">
        <f>IF(AND(ISNUMBER(I250),ISNUMBER(I151)),IFERROR(I250/I151,""),"")</f>
        <v>7.60015710919089</v>
      </c>
      <c r="J256" s="287">
        <f>IF(AND(ISNUMBER(J250),ISNUMBER(J151)),IFERROR(J250/J151,""),"")</f>
        <v>0.00390269285807207</v>
      </c>
      <c r="K256" s="287">
        <f>IF(AND(ISNUMBER(K250),ISNUMBER(K151)),IFERROR(K250/K151,""),"")</f>
        <v>3.90256543145893</v>
      </c>
      <c r="L256" s="287">
        <f>IF(AND(ISNUMBER(L250),ISNUMBER(L151)),IFERROR(L250/L151,""),"")</f>
        <v>3.02171369132753</v>
      </c>
      <c r="M256" s="287">
        <f>IF(AND(ISNUMBER(M250),ISNUMBER(M151)),IFERROR(M250/M151,""),"")</f>
        <v>0.965642894325872</v>
      </c>
      <c r="N256" s="287">
        <f>IF(AND(ISNUMBER(N250),ISNUMBER(N151)),IFERROR(N250/N151,""),"")</f>
        <v>7.90253411306043</v>
      </c>
      <c r="O256" s="287">
        <f>IF(AND(ISNUMBER(O250),ISNUMBER(O151)),IFERROR(O250/O151,""),"")</f>
        <v>0.815541705344119</v>
      </c>
      <c r="P256" s="287">
        <f>IF(AND(ISNUMBER(P250),ISNUMBER(P151)),IFERROR(P250/P151,""),"")</f>
        <v>1.83758951493041</v>
      </c>
      <c r="Q256" s="287">
        <f>IF(AND(ISNUMBER(Q250),ISNUMBER(Q151)),IFERROR(Q250/Q151,""),"")</f>
        <v>0.433119278589971</v>
      </c>
      <c r="R256" s="287">
        <f>IF(AND(ISNUMBER(R250),ISNUMBER(R151)),IFERROR(R250/R151,""),"")</f>
        <v>5.97406181015453</v>
      </c>
      <c r="S256" s="287">
        <f>IF(AND(ISNUMBER(S250),ISNUMBER(S151)),IFERROR(S250/S151,""),"")</f>
        <v>8.97289972899729</v>
      </c>
      <c r="T256" s="287">
        <f>IF(AND(ISNUMBER(T250),ISNUMBER(T151)),IFERROR(T250/T151,""),"")</f>
        <v>-0.680481657798936</v>
      </c>
      <c r="U256" s="287">
        <f>IF(AND(ISNUMBER(U250),ISNUMBER(U151)),IFERROR(U250/U151,""),"")</f>
        <v>3.727285734726</v>
      </c>
      <c r="V256" s="287">
        <f>IF(AND(ISNUMBER(V250),ISNUMBER(V151)),IFERROR(V250/V151,""),"")</f>
        <v>3.33526850507983</v>
      </c>
      <c r="W256" s="287">
        <f>IF(AND(ISNUMBER(W250),ISNUMBER(W151)),IFERROR(W250/W151,""),"")</f>
        <v>3.66412213740458</v>
      </c>
      <c r="X256" s="287">
        <f>IF(AND(ISNUMBER(X250),ISNUMBER(X151)),IFERROR(X250/X151,""),"")</f>
        <v>9.93104439017383</v>
      </c>
      <c r="Y256" s="287">
        <f>IF(AND(ISNUMBER(Y250),ISNUMBER(Y151)),IFERROR(Y250/Y151,""),"")</f>
        <v>0.725443075998799</v>
      </c>
      <c r="Z256" s="287">
        <f>IF(AND(ISNUMBER(Z250),ISNUMBER(Z151)),IFERROR(Z250/Z151,""),"")</f>
        <v>4.02797422599403</v>
      </c>
      <c r="AA256" s="287">
        <f>IF(AND(ISNUMBER(AA250),ISNUMBER(AA151)),IFERROR(AA250/AA151,""),"")</f>
        <v>4.12043622569938</v>
      </c>
      <c r="AB256" s="287">
        <f>IF(AND(ISNUMBER(AB250),ISNUMBER(AB151)),IFERROR(AB250/AB151,""),"")</f>
        <v>3.54275741710297</v>
      </c>
      <c r="AC256" s="287">
        <f>IF(AND(ISNUMBER(AC250),ISNUMBER(AC151)),IFERROR(AC250/AC151,""),"")</f>
        <v>12.2491456974216</v>
      </c>
      <c r="AD256" s="287">
        <f>IF(AND(ISNUMBER(AD250),ISNUMBER(AD151)),IFERROR(AD250/AD151,""),"")</f>
        <v>2.62073406310367</v>
      </c>
      <c r="AE256" s="287">
        <f>IF(AND(ISNUMBER(AE250),ISNUMBER(AE151)),IFERROR(AE250/AE151,""),"")</f>
        <v>7.3999343832021</v>
      </c>
      <c r="AF256" s="287">
        <f>IF(AND(ISNUMBER(AF250),ISNUMBER(AF151)),IFERROR(AF250/AF151,""),"")</f>
        <v>4.94309747649678</v>
      </c>
      <c r="AG256" s="287">
        <f>IF(AND(ISNUMBER(AG250),ISNUMBER(AG151)),IFERROR(AG250/AG151,""),"")</f>
        <v>4.08031730292514</v>
      </c>
      <c r="AH256" s="287">
        <f>IF(AND(ISNUMBER(AH250),ISNUMBER(AH151)),IFERROR(AH250/AH151,""),"")</f>
        <v>19.0027836908466</v>
      </c>
      <c r="AI256" s="287">
        <f>IF(AND(ISNUMBER(AI250),ISNUMBER(AI151)),IFERROR(AI250/AI151,""),"")</f>
        <v>4.5914266577361</v>
      </c>
      <c r="AJ256" s="287">
        <f>IF(AND(ISNUMBER(AJ250),ISNUMBER(AJ151)),IFERROR(AJ250/AJ151,""),"")</f>
        <v>7.31102429081026</v>
      </c>
      <c r="AK256" s="287">
        <f>IF(AND(ISNUMBER(AK250),ISNUMBER(AK151)),IFERROR(AK250/AK151,""),"")</f>
        <v>7.06267217630854</v>
      </c>
      <c r="AL256" s="287">
        <f>IF(AND(ISNUMBER(AL250),ISNUMBER(AL151)),IFERROR(AL250/AL151,""),"")</f>
        <v>4.24588744588745</v>
      </c>
      <c r="AM256" s="287">
        <f>IF(AND(ISNUMBER(AM250),ISNUMBER(AM151)),IFERROR(AM250/AM151,""),"")</f>
        <v>23.2002729443876</v>
      </c>
      <c r="AN256" s="287">
        <f>IF(AND(ISNUMBER(AN250),ISNUMBER(AN151)),IFERROR(AN250/AN151,""),"")</f>
        <v>3.99545772187282</v>
      </c>
      <c r="AO256" s="287">
        <f>IF(AND(ISNUMBER(AO250),ISNUMBER(AO151)),IFERROR(AO250/AO151,""),"")</f>
        <v>-1.78843092163453</v>
      </c>
      <c r="AP256" s="287">
        <f>IF(AND(ISNUMBER(AP250),ISNUMBER(AP151)),IFERROR(AP250/AP151,""),"")</f>
        <v>-5.07554462403373</v>
      </c>
      <c r="AQ256" s="287">
        <f>IF(AND(ISNUMBER(AQ250),ISNUMBER(AQ151)),IFERROR(AQ250/AQ151,""),"")</f>
        <v>-4.71701450300672</v>
      </c>
      <c r="AR256" s="287">
        <f>IF(AND(ISNUMBER(AR250),ISNUMBER(AR151)),IFERROR(AR250/AR151,""),"")</f>
        <v>-7.56183745583039</v>
      </c>
      <c r="AS256" s="287">
        <f>IF(AND(ISNUMBER(AS250),ISNUMBER(AS151)),IFERROR(AS250/AS151,""),"")</f>
        <v>-8.35836720268599</v>
      </c>
      <c r="AT256" s="287">
        <f>IF(AND(ISNUMBER(AT250),ISNUMBER(AT151)),IFERROR(AT250/AT151,""),"")</f>
        <v>-9.9364406779661</v>
      </c>
      <c r="AU256" s="287">
        <f>IF(AND(ISNUMBER(AU250),ISNUMBER(AU151)),IFERROR(AU250/AU151,""),"")</f>
        <v>-8.96752559124603</v>
      </c>
      <c r="AV256" s="287">
        <f>IF(AND(ISNUMBER(AV250),ISNUMBER(AV151)),IFERROR(AV250/AV151,""),"")</f>
        <v>-7.42787625999305</v>
      </c>
      <c r="AW256" s="287">
        <f>IF(AND(ISNUMBER(AW250),ISNUMBER(AW151)),IFERROR(AW250/AW151,""),"")</f>
        <v>-34.6449912126538</v>
      </c>
      <c r="AX256" s="287">
        <f>IF(AND(ISNUMBER(AX250),ISNUMBER(AX151)),IFERROR(AX250/AX151,""),"")</f>
        <v>-6.28288349846259</v>
      </c>
      <c r="AY256" s="287">
        <f>IF(AND(ISNUMBER(AY250),ISNUMBER(AY151)),IFERROR(AY250/AY151,""),"")</f>
        <v>-1.1945103354795</v>
      </c>
      <c r="AZ256" s="287">
        <f>IF(AND(ISNUMBER(AZ250),ISNUMBER(AZ151)),IFERROR(AZ250/AZ151,""),"")</f>
        <v>-0.860780984719864</v>
      </c>
      <c r="BA256" s="287">
        <f>IF(AND(ISNUMBER(BA250),ISNUMBER(BA151)),IFERROR(BA250/BA151,""),"")</f>
        <v>0.836862612231069</v>
      </c>
      <c r="BB256" s="287">
        <f>IF(AND(ISNUMBER(BB250),ISNUMBER(BB151)),IFERROR(BB250/BB151,""),"")</f>
        <v>-7.47619047619048</v>
      </c>
      <c r="BC256" s="287">
        <f>IF(AND(ISNUMBER(BC250),ISNUMBER(BC151)),IFERROR(BC250/BC151,""),"")</f>
        <v>-6.02501267534223</v>
      </c>
      <c r="BD256" s="287">
        <f>IF(AND(ISNUMBER(BD250),ISNUMBER(BD151)),IFERROR(BD250/BD151,""),"")</f>
        <v>-0.305164319248826</v>
      </c>
      <c r="BE256" s="287">
        <f>IF(AND(ISNUMBER(BE250),ISNUMBER(BE151)),IFERROR(BE250/BE151,""),"")</f>
        <v>4.87338587959081</v>
      </c>
      <c r="BF256" s="287">
        <f>IF(AND(ISNUMBER(BF250),ISNUMBER(BF151)),IFERROR(BF250/BF151,""),"")</f>
        <v>5.22791784939055</v>
      </c>
      <c r="BG256" s="287">
        <f>IF(AND(ISNUMBER(BG250),ISNUMBER(BG151)),IFERROR(BG250/BG151,""),"")</f>
        <v>3.84744623655914</v>
      </c>
      <c r="BH256" s="287">
        <f>IF(AND(ISNUMBER(BH250),ISNUMBER(BH151)),IFERROR(BH250/BH151,""),"")</f>
        <v>-1.3045643153527</v>
      </c>
      <c r="BI256" s="287">
        <f>IF(AND(ISNUMBER(BI250),ISNUMBER(BI151)),IFERROR(BI250/BI151,""),"")</f>
        <v>4.25928984310487</v>
      </c>
      <c r="BJ256" s="287">
        <f>IF(AND(ISNUMBER(BJ250),ISNUMBER(BJ151)),IFERROR(BJ250/BJ151,""),"")</f>
        <v>-0.510540184453228</v>
      </c>
      <c r="BK256" s="287">
        <f>IF(AND(ISNUMBER(BK250),ISNUMBER(BK151)),IFERROR(BK250/BK151,""),"")</f>
        <v>4.84003281378179</v>
      </c>
      <c r="BL256" s="287">
        <f>IF(AND(ISNUMBER(BL250),ISNUMBER(BL151)),IFERROR(BL250/BL151,""),"")</f>
        <v>7.31397459165154</v>
      </c>
      <c r="BM256" s="287">
        <f>IF(AND(ISNUMBER(BM250),ISNUMBER(BM151)),IFERROR(BM250/BM151,""),"")</f>
        <v>-6.40737116764514</v>
      </c>
      <c r="BN256" s="287">
        <f>IF(AND(ISNUMBER(BN250),ISNUMBER(BN151)),IFERROR(BN250/BN151,""),"")</f>
        <v>-7.01751540707103</v>
      </c>
      <c r="BO256" s="287">
        <f>IF(AND(ISNUMBER(BO250),ISNUMBER(BO151)),IFERROR(BO250/BO151,""),"")</f>
        <v>-3.16095669036846</v>
      </c>
      <c r="BP256" s="287">
        <f>IF(AND(ISNUMBER(BP250),ISNUMBER(BP151)),IFERROR(BP250/BP151,""),"")</f>
        <v>-5.70672608271828</v>
      </c>
      <c r="BQ256" s="287">
        <f>IF(AND(ISNUMBER(BQ250),ISNUMBER(BQ151)),IFERROR(BQ250/BQ151,""),"")</f>
        <v>-22.110630407911</v>
      </c>
      <c r="BR256" s="287">
        <f>IF(AND(ISNUMBER(BR250),ISNUMBER(BR151)),IFERROR(BR250/BR151,""),"")</f>
        <v>-3.03955402176799</v>
      </c>
      <c r="BS256" s="287">
        <f>IF(AND(ISNUMBER(BS250),ISNUMBER(BS151)),IFERROR(BS250/BS151,""),"")</f>
        <v>-0.264340470526038</v>
      </c>
      <c r="BT256" s="287">
        <f>IF(AND(ISNUMBER(BT250),ISNUMBER(BT151)),IFERROR(BT250/BT151,""),"")</f>
        <v>0.313199105145414</v>
      </c>
      <c r="BU256" s="287">
        <f>IF(AND(ISNUMBER(BU250),ISNUMBER(BU151)),IFERROR(BU250/BU151,""),"")</f>
        <v>0.466533963672555</v>
      </c>
      <c r="BV256" s="287">
        <f>IF(AND(ISNUMBER(BV250),ISNUMBER(BV151)),IFERROR(BV250/BV151,""),"")</f>
        <v>-2.46228518955792</v>
      </c>
      <c r="BW256" s="287">
        <f>IF(AND(ISNUMBER(BW250),ISNUMBER(BW151)),IFERROR(BW250/BW151,""),"")</f>
        <v>-1.84517766497462</v>
      </c>
      <c r="BX256" s="287">
        <f>IF(AND(ISNUMBER(BX250),ISNUMBER(BX151)),IFERROR(BX250/BX151,""),"")</f>
        <v>0.798128004047559</v>
      </c>
      <c r="BY256" s="35" t="n"/>
      <c r="BZ256" s="35" t="n"/>
      <c r="CA256" s="289">
        <f>IF(AND(ISNUMBER(CA250),ISNUMBER(CA151)),IFERROR(CA250/CA151,""),"")</f>
        <v>2.526263323692</v>
      </c>
      <c r="CB256" s="289">
        <f>IF(AND(ISNUMBER(CB250),ISNUMBER(CB151)),IFERROR(CB250/CB151,""),"")</f>
        <v>7.83385278055614</v>
      </c>
      <c r="CC256" s="289">
        <f>IF(AND(ISNUMBER(CC250),ISNUMBER(CC151)),IFERROR(CC250/CC151,""),"")</f>
        <v>12.4426551667434</v>
      </c>
      <c r="CD256" s="289">
        <f>IF(AND(ISNUMBER(CD250),ISNUMBER(CD151)),IFERROR(CD250/CD151,""),"")</f>
        <v>16.2457109696407</v>
      </c>
      <c r="CE256" s="289">
        <f>IF(AND(ISNUMBER(CE250),ISNUMBER(CE151)),IFERROR(CE250/CE151,""),"")</f>
        <v>18.7901296475159</v>
      </c>
      <c r="CF256" s="289">
        <f>IF(AND(ISNUMBER(CF250),ISNUMBER(CF151)),IFERROR(CF250/CF151,""),"")</f>
        <v>20.8421174690435</v>
      </c>
      <c r="CG256" s="19" t="n"/>
    </row>
    <row r="257" ht="15" customHeight="1" s="251">
      <c r="B257" s="25" t="inlineStr">
        <is>
          <t xml:space="preserve">  FCF / adjusted EBITDA %</t>
        </is>
      </c>
      <c r="C257" s="215">
        <f>IF(AND(ISNUMBER(C250),N(C180)&gt;0),IFERROR(C250/C180,""),"n/m")</f>
        <v>1.27615705198508</v>
      </c>
      <c r="D257" s="215">
        <f>IF(AND(ISNUMBER(D250),N(D180)&gt;0),IFERROR(D250/D180,""),"n/m")</f>
        <v>0.981379655086229</v>
      </c>
      <c r="E257" s="215">
        <f>IF(AND(ISNUMBER(E250),N(E180)&gt;0),IFERROR(E250/E180,""),"n/m")</f>
        <v>-0.359868192854665</v>
      </c>
      <c r="F257" s="215">
        <f>IF(AND(ISNUMBER(F250),N(F180)&gt;0),IFERROR(F250/F180,""),"n/m")</f>
        <v>1.17943925233645</v>
      </c>
      <c r="G257" s="215">
        <f>IF(AND(ISNUMBER(G250),N(G180)&gt;0),IFERROR(G250/G180,""),"n/m")</f>
        <v>0.272564523347755</v>
      </c>
      <c r="H257" s="215">
        <f>IF(AND(ISNUMBER(H250),N(H180)&gt;0),IFERROR(H250/H180,""),"n/m")</f>
        <v>0.295471987720645</v>
      </c>
      <c r="I257" s="215">
        <f>IF(AND(ISNUMBER(I250),N(I180)&gt;0),IFERROR(I250/I180,""),"n/m")</f>
        <v>0.643498503491852</v>
      </c>
      <c r="J257" s="215">
        <f>IF(AND(ISNUMBER(J250),N(J180)&gt;0),IFERROR(J250/J180,""),"n/m")</f>
        <v>0.00130662020905923</v>
      </c>
      <c r="K257" s="215">
        <f>IF(AND(ISNUMBER(K250),N(K180)&gt;0),IFERROR(K250/K180,""),"n/m")</f>
        <v>1.2224025974026</v>
      </c>
      <c r="L257" s="215">
        <f>IF(AND(ISNUMBER(L250),N(L180)&gt;0),IFERROR(L250/L180,""),"n/m")</f>
        <v>0.893502499038831</v>
      </c>
      <c r="M257" s="215">
        <f>IF(AND(ISNUMBER(M250),N(M180)&gt;0),IFERROR(M250/M180,""),"n/m")</f>
        <v>0.314540059347181</v>
      </c>
      <c r="N257" s="215">
        <f>IF(AND(ISNUMBER(N250),N(N180)&gt;0),IFERROR(N250/N180,""),"n/m")</f>
        <v>0.625617283950617</v>
      </c>
      <c r="O257" s="215">
        <f>IF(AND(ISNUMBER(O250),N(O180)&gt;0),IFERROR(O250/O180,""),"n/m")</f>
        <v>0.241840346047975</v>
      </c>
      <c r="P257" s="215">
        <f>IF(AND(ISNUMBER(P250),N(P180)&gt;0),IFERROR(P250/P180,""),"n/m")</f>
        <v>0.556692591076545</v>
      </c>
      <c r="Q257" s="215">
        <f>IF(AND(ISNUMBER(Q250),N(Q180)&gt;0),IFERROR(Q250/Q180,""),"n/m")</f>
        <v>0.109009628610729</v>
      </c>
      <c r="R257" s="215">
        <f>IF(AND(ISNUMBER(R250),N(R180)&gt;0),IFERROR(R250/R180,""),"n/m")</f>
        <v>1.50766016713092</v>
      </c>
      <c r="S257" s="215">
        <f>IF(AND(ISNUMBER(S250),N(S180)&gt;0),IFERROR(S250/S180,""),"n/m")</f>
        <v>0.615084525357607</v>
      </c>
      <c r="T257" s="215">
        <f>IF(AND(ISNUMBER(T250),N(T180)&gt;0),IFERROR(T250/T180,""),"n/m")</f>
        <v>-0.187572365881899</v>
      </c>
      <c r="U257" s="215">
        <f>IF(AND(ISNUMBER(U250),N(U180)&gt;0),IFERROR(U250/U180,""),"n/m")</f>
        <v>1.20267774699908</v>
      </c>
      <c r="V257" s="215">
        <f>IF(AND(ISNUMBER(V250),N(V180)&gt;0),IFERROR(V250/V180,""),"n/m")</f>
        <v>0.747560182173064</v>
      </c>
      <c r="W257" s="215">
        <f>IF(AND(ISNUMBER(W250),N(W180)&gt;0),IFERROR(W250/W180,""),"n/m")</f>
        <v>1.43201376936317</v>
      </c>
      <c r="X257" s="215">
        <f>IF(AND(ISNUMBER(X250),N(X180)&gt;0),IFERROR(X250/X180,""),"n/m")</f>
        <v>0.722059745143096</v>
      </c>
      <c r="Y257" s="215">
        <f>IF(AND(ISNUMBER(Y250),N(Y180)&gt;0),IFERROR(Y250/Y180,""),"n/m")</f>
        <v>0.226017781937295</v>
      </c>
      <c r="Z257" s="215" t="str">
        <f>IF(AND(ISNUMBER(Z250),N(Z180)&gt;0),IFERROR(Z250/Z180,""),"n/m")</f>
        <v>n/m</v>
      </c>
      <c r="AA257" s="215">
        <f>IF(AND(ISNUMBER(AA250),N(AA180)&gt;0),IFERROR(AA250/AA180,""),"n/m")</f>
        <v>0.977136431784108</v>
      </c>
      <c r="AB257" s="215">
        <f>IF(AND(ISNUMBER(AB250),N(AB180)&gt;0),IFERROR(AB250/AB180,""),"n/m")</f>
        <v>0.855555555555556</v>
      </c>
      <c r="AC257" s="215">
        <f>IF(AND(ISNUMBER(AC250),N(AC180)&gt;0),IFERROR(AC250/AC180,""),"n/m")</f>
        <v>1.06943314347708</v>
      </c>
      <c r="AD257" s="215">
        <f>IF(AND(ISNUMBER(AD250),N(AD180)&gt;0),IFERROR(AD250/AD180,""),"n/m")</f>
        <v>0.746788990825688</v>
      </c>
      <c r="AE257" s="215">
        <f>IF(AND(ISNUMBER(AE250),N(AE180)&gt;0),IFERROR(AE250/AE180,""),"n/m")</f>
        <v>1.6670362158167</v>
      </c>
      <c r="AF257" s="215">
        <f>IF(AND(ISNUMBER(AF250),N(AF180)&gt;0),IFERROR(AF250/AF180,""),"n/m")</f>
        <v>1.03523316062176</v>
      </c>
      <c r="AG257" s="215">
        <f>IF(AND(ISNUMBER(AG250),N(AG180)&gt;0),IFERROR(AG250/AG180,""),"n/m")</f>
        <v>0.757826887661142</v>
      </c>
      <c r="AH257" s="215">
        <f>IF(AND(ISNUMBER(AH250),N(AH180)&gt;0),IFERROR(AH250/AH180,""),"n/m")</f>
        <v>1.05127276021379</v>
      </c>
      <c r="AI257" s="215">
        <f>IF(AND(ISNUMBER(AI250),N(AI180)&gt;0),IFERROR(AI250/AI180,""),"n/m")</f>
        <v>0.910660909996679</v>
      </c>
      <c r="AJ257" s="215">
        <f>IF(AND(ISNUMBER(AJ250),N(AJ180)&gt;0),IFERROR(AJ250/AJ180,""),"n/m")</f>
        <v>1.48413793103448</v>
      </c>
      <c r="AK257" s="215">
        <f>IF(AND(ISNUMBER(AK250),N(AK180)&gt;0),IFERROR(AK250/AK180,""),"n/m")</f>
        <v>1.69995855781185</v>
      </c>
      <c r="AL257" s="215">
        <f>IF(AND(ISNUMBER(AL250),N(AL180)&gt;0),IFERROR(AL250/AL180,""),"n/m")</f>
        <v>0.551011235955056</v>
      </c>
      <c r="AM257" s="215">
        <f>IF(AND(ISNUMBER(AM250),N(AM180)&gt;0),IFERROR(AM250/AM180,""),"n/m")</f>
        <v>1.06466259589792</v>
      </c>
      <c r="AN257" s="215">
        <f>IF(AND(ISNUMBER(AN250),N(AN180)&gt;0),IFERROR(AN250/AN180,""),"n/m")</f>
        <v>0.912245712006382</v>
      </c>
      <c r="AO257" s="215" t="str">
        <f>IF(AND(ISNUMBER(AO250),N(AO180)&gt;0),IFERROR(AO250/AO180,""),"n/m")</f>
        <v>n/m</v>
      </c>
      <c r="AP257" s="215">
        <f>IF(AND(ISNUMBER(AP250),N(AP180)&gt;0),IFERROR(AP250/AP180,""),"n/m")</f>
        <v>-1.96397008837525</v>
      </c>
      <c r="AQ257" s="215" t="str">
        <f>IF(AND(ISNUMBER(AQ250),N(AQ180)&gt;0),IFERROR(AQ250/AQ180,""),"n/m")</f>
        <v>n/m</v>
      </c>
      <c r="AR257" s="215" t="str">
        <f>IF(AND(ISNUMBER(AR250),N(AR180)&gt;0),IFERROR(AR250/AR180,""),"n/m")</f>
        <v>n/m</v>
      </c>
      <c r="AS257" s="215" t="str">
        <f>IF(AND(ISNUMBER(AS250),N(AS180)&gt;0),IFERROR(AS250/AS180,""),"n/m")</f>
        <v>n/m</v>
      </c>
      <c r="AT257" s="215" t="str">
        <f>IF(AND(ISNUMBER(AT250),N(AT180)&gt;0),IFERROR(AT250/AT180,""),"n/m")</f>
        <v>n/m</v>
      </c>
      <c r="AU257" s="215" t="str">
        <f>IF(AND(ISNUMBER(AU250),N(AU180)&gt;0),IFERROR(AU250/AU180,""),"n/m")</f>
        <v>n/m</v>
      </c>
      <c r="AV257" s="215" t="str">
        <f>IF(AND(ISNUMBER(AV250),N(AV180)&gt;0),IFERROR(AV250/AV180,""),"n/m")</f>
        <v>n/m</v>
      </c>
      <c r="AW257" s="215" t="str">
        <f>IF(AND(ISNUMBER(AW250),N(AW180)&gt;0),IFERROR(AW250/AW180,""),"n/m")</f>
        <v>n/m</v>
      </c>
      <c r="AX257" s="215">
        <f>IF(AND(ISNUMBER(AX250),N(AX180)&gt;0),IFERROR(AX250/AX180,""),"n/m")</f>
        <v>-20.0983606557377</v>
      </c>
      <c r="AY257" s="215">
        <f>IF(AND(ISNUMBER(AY250),N(AY180)&gt;0),IFERROR(AY250/AY180,""),"n/m")</f>
        <v>-0.539816232771822</v>
      </c>
      <c r="AZ257" s="215">
        <f>IF(AND(ISNUMBER(AZ250),N(AZ180)&gt;0),IFERROR(AZ250/AZ180,""),"n/m")</f>
        <v>-0.871134020618557</v>
      </c>
      <c r="BA257" s="215" t="str">
        <f>IF(AND(ISNUMBER(BA250),N(BA180)&gt;0),IFERROR(BA250/BA180,""),"n/m")</f>
        <v>n/m</v>
      </c>
      <c r="BB257" s="215" t="str">
        <f>IF(AND(ISNUMBER(BB250),N(BB180)&gt;0),IFERROR(BB250/BB180,""),"n/m")</f>
        <v>n/m</v>
      </c>
      <c r="BC257" s="215" t="str">
        <f>IF(AND(ISNUMBER(BC250),N(BC180)&gt;0),IFERROR(BC250/BC180,""),"n/m")</f>
        <v>n/m</v>
      </c>
      <c r="BD257" s="215">
        <f>IF(AND(ISNUMBER(BD250),N(BD180)&gt;0),IFERROR(BD250/BD180,""),"n/m")</f>
        <v>-0.184210526315789</v>
      </c>
      <c r="BE257" s="215" t="str">
        <f>IF(AND(ISNUMBER(BE250),N(BE180)&gt;0),IFERROR(BE250/BE180,""),"n/m")</f>
        <v>n/m</v>
      </c>
      <c r="BF257" s="215" t="str">
        <f>IF(AND(ISNUMBER(BF250),N(BF180)&gt;0),IFERROR(BF250/BF180,""),"n/m")</f>
        <v>n/m</v>
      </c>
      <c r="BG257" s="215" t="str">
        <f>IF(AND(ISNUMBER(BG250),N(BG180)&gt;0),IFERROR(BG250/BG180,""),"n/m")</f>
        <v>n/m</v>
      </c>
      <c r="BH257" s="215">
        <f>IF(AND(ISNUMBER(BH250),N(BH180)&gt;0),IFERROR(BH250/BH180,""),"n/m")</f>
        <v>-46.2352941176471</v>
      </c>
      <c r="BI257" s="215">
        <f>IF(AND(ISNUMBER(BI250),N(BI180)&gt;0),IFERROR(BI250/BI180,""),"n/m")</f>
        <v>39.0757575757576</v>
      </c>
      <c r="BJ257" s="215" t="str">
        <f>IF(AND(ISNUMBER(BJ250),N(BJ180)&gt;0),IFERROR(BJ250/BJ180,""),"n/m")</f>
        <v>n/m</v>
      </c>
      <c r="BK257" s="215">
        <f>IF(AND(ISNUMBER(BK250),N(BK180)&gt;0),IFERROR(BK250/BK180,""),"n/m")</f>
        <v>5.16637478108581</v>
      </c>
      <c r="BL257" s="215">
        <f>IF(AND(ISNUMBER(BL250),N(BL180)&gt;0),IFERROR(BL250/BL180,""),"n/m")</f>
        <v>138.53125</v>
      </c>
      <c r="BM257" s="215">
        <f>IF(AND(ISNUMBER(BM250),N(BM180)&gt;0),IFERROR(BM250/BM180,""),"n/m")</f>
        <v>-72.7592592592593</v>
      </c>
      <c r="BN257" s="215" t="str">
        <f>IF(AND(ISNUMBER(BN250),N(BN180)&gt;0),IFERROR(BN250/BN180,""),"n/m")</f>
        <v>n/m</v>
      </c>
      <c r="BO257" s="215" t="str">
        <f>IF(AND(ISNUMBER(BO250),N(BO180)&gt;0),IFERROR(BO250/BO180,""),"n/m")</f>
        <v>n/m</v>
      </c>
      <c r="BP257" s="215" t="str">
        <f>IF(AND(ISNUMBER(BP250),N(BP180)&gt;0),IFERROR(BP250/BP180,""),"n/m")</f>
        <v>n/m</v>
      </c>
      <c r="BQ257" s="215" t="str">
        <f>IF(AND(ISNUMBER(BQ250),N(BQ180)&gt;0),IFERROR(BQ250/BQ180,""),"n/m")</f>
        <v>n/m</v>
      </c>
      <c r="BR257" s="215">
        <f>IF(AND(ISNUMBER(BR250),N(BR180)&gt;0),IFERROR(BR250/BR180,""),"n/m")</f>
        <v>-3.44360902255639</v>
      </c>
      <c r="BS257" s="215">
        <f>IF(AND(ISNUMBER(BS250),N(BS180)&gt;0),IFERROR(BS250/BS180,""),"n/m")</f>
        <v>-7.40740740740741</v>
      </c>
      <c r="BT257" s="215" t="str">
        <f>IF(AND(ISNUMBER(BT250),N(BT180)&gt;0),IFERROR(BT250/BT180,""),"n/m")</f>
        <v>n/m</v>
      </c>
      <c r="BU257" s="215">
        <f>IF(AND(ISNUMBER(BU250),N(BU180)&gt;0),IFERROR(BU250/BU180,""),"n/m")</f>
        <v>0.041413583655439</v>
      </c>
      <c r="BV257" s="215">
        <f>IF(AND(ISNUMBER(BV250),N(BV180)&gt;0),IFERROR(BV250/BV180,""),"n/m")</f>
        <v>-0.361726729620351</v>
      </c>
      <c r="BW257" s="215">
        <f>IF(AND(ISNUMBER(BW250),N(BW180)&gt;0),IFERROR(BW250/BW180,""),"n/m")</f>
        <v>-1.67898383371824</v>
      </c>
      <c r="BX257" s="215">
        <f>IF(AND(ISNUMBER(BX250),N(BX180)&gt;0),IFERROR(BX250/BX180,""),"n/m")</f>
        <v>1.05695142378559</v>
      </c>
      <c r="BY257" s="24" t="n"/>
      <c r="BZ257" s="24" t="n"/>
      <c r="CA257" s="260">
        <f>IF(AND(ISNUMBER(CA250),N(CA180)&gt;0),IFERROR(CA250/CA180,""),"n/m")</f>
        <v>0.53246549601968</v>
      </c>
      <c r="CB257" s="260">
        <f>IF(AND(ISNUMBER(CB250),N(CB180)&gt;0),IFERROR(CB250/CB180,""),"n/m")</f>
        <v>0.82689512960632</v>
      </c>
      <c r="CC257" s="260">
        <f>IF(AND(ISNUMBER(CC250),N(CC180)&gt;0),IFERROR(CC250/CC180,""),"n/m")</f>
        <v>0.963940630482513</v>
      </c>
      <c r="CD257" s="260">
        <f>IF(AND(ISNUMBER(CD250),N(CD180)&gt;0),IFERROR(CD250/CD180,""),"n/m")</f>
        <v>0.967542698000178</v>
      </c>
      <c r="CE257" s="260">
        <f>IF(AND(ISNUMBER(CE250),N(CE180)&gt;0),IFERROR(CE250/CE180,""),"n/m")</f>
        <v>0.89833211910212</v>
      </c>
      <c r="CF257" s="260">
        <f>IF(AND(ISNUMBER(CF250),N(CF180)&gt;0),IFERROR(CF250/CF180,""),"n/m")</f>
        <v>0.849608385163744</v>
      </c>
      <c r="CG257" s="153" t="n"/>
    </row>
    <row r="258" ht="15" customHeight="1" s="251">
      <c r="B258" s="25" t="inlineStr">
        <is>
          <t>Capex ratios</t>
        </is>
      </c>
      <c r="CG258" s="153" t="n"/>
    </row>
    <row r="259" ht="15" customHeight="1" s="251">
      <c r="B259" s="25" t="inlineStr">
        <is>
          <t xml:space="preserve">  Capex % of revenues</t>
        </is>
      </c>
      <c r="C259" s="215">
        <f>IF(ISNUMBER(C230),IFERROR(-C230/C117,""),"")</f>
        <v>0.0273200065008939</v>
      </c>
      <c r="D259" s="215">
        <f>IF(ISNUMBER(D230),IFERROR(-D230/D117,""),"")</f>
        <v>0.0260743820326269</v>
      </c>
      <c r="E259" s="215">
        <f>IF(ISNUMBER(E230),IFERROR(-E230/E117,""),"")</f>
        <v>0.0274764054164957</v>
      </c>
      <c r="F259" s="215">
        <f>IF(ISNUMBER(F230),IFERROR(-F230/F117,""),"")</f>
        <v>0.0173693999794965</v>
      </c>
      <c r="G259" s="215">
        <f>IF(ISNUMBER(G230),IFERROR(-G230/G117,""),"")</f>
        <v>0.017494479519796</v>
      </c>
      <c r="H259" s="215">
        <f>IF(ISNUMBER(H230),IFERROR(-H230/H117,""),"")</f>
        <v>0.0249218011202444</v>
      </c>
      <c r="I259" s="215">
        <f>IF(ISNUMBER(I230),IFERROR(-I230/I117,""),"")</f>
        <v>0.0208450635266469</v>
      </c>
      <c r="J259" s="215">
        <f>IF(ISNUMBER(J230),IFERROR(-J230/J117,""),"")</f>
        <v>0.0275763510294818</v>
      </c>
      <c r="K259" s="215">
        <f>IF(ISNUMBER(K230),IFERROR(-K230/K117,""),"")</f>
        <v>0.0208572083428833</v>
      </c>
      <c r="L259" s="215">
        <f>IF(ISNUMBER(L230),IFERROR(-L230/L117,""),"")</f>
        <v>0.0218707636692273</v>
      </c>
      <c r="M259" s="215">
        <f>IF(ISNUMBER(M230),IFERROR(-M230/M117,""),"")</f>
        <v>0.0268236283371873</v>
      </c>
      <c r="N259" s="215">
        <f>IF(ISNUMBER(N230),IFERROR(-N230/N117,""),"")</f>
        <v>0.0242198954088406</v>
      </c>
      <c r="O259" s="215">
        <f>IF(ISNUMBER(O230),IFERROR(-O230/O117,""),"")</f>
        <v>0.0242853652577571</v>
      </c>
      <c r="P259" s="215">
        <f>IF(ISNUMBER(P230),IFERROR(-P230/P117,""),"")</f>
        <v>0.0203674302562939</v>
      </c>
      <c r="Q259" s="215">
        <f>IF(ISNUMBER(Q230),IFERROR(-Q230/Q117,""),"")</f>
        <v>0.0261520349815002</v>
      </c>
      <c r="R259" s="215">
        <f>IF(ISNUMBER(R230),IFERROR(-R230/R117,""),"")</f>
        <v>0.027300964525094</v>
      </c>
      <c r="S259" s="215">
        <f>IF(ISNUMBER(S230),IFERROR(-S230/S117,""),"")</f>
        <v>0.0246358608228113</v>
      </c>
      <c r="T259" s="215">
        <f>IF(ISNUMBER(T230),IFERROR(-T230/T117,""),"")</f>
        <v>0.0259153912140503</v>
      </c>
      <c r="U259" s="215">
        <f>IF(ISNUMBER(U230),IFERROR(-U230/U117,""),"")</f>
        <v>0.028195412133806</v>
      </c>
      <c r="V259" s="215">
        <f>IF(ISNUMBER(V230),IFERROR(-V230/V117,""),"")</f>
        <v>0.021702967232775</v>
      </c>
      <c r="W259" s="215">
        <f>IF(ISNUMBER(W230),IFERROR(-W230/W117,""),"")</f>
        <v>0.0264285411275612</v>
      </c>
      <c r="X259" s="215">
        <f>IF(ISNUMBER(X230),IFERROR(-X230/X117,""),"")</f>
        <v>0.0254905632894271</v>
      </c>
      <c r="Y259" s="215">
        <f>IF(ISNUMBER(Y230),IFERROR(-Y230/Y117,""),"")</f>
        <v>0.0330505478967833</v>
      </c>
      <c r="Z259" s="215">
        <f>IF(ISNUMBER(Z230),IFERROR(-Z230/Z117,""),"")</f>
        <v>0.027105635225207</v>
      </c>
      <c r="AA259" s="215">
        <f>IF(ISNUMBER(AA230),IFERROR(-AA230/AA117,""),"")</f>
        <v>0.0248974809607499</v>
      </c>
      <c r="AB259" s="215">
        <f>IF(ISNUMBER(AB230),IFERROR(-AB230/AB117,""),"")</f>
        <v>0.0257236107532423</v>
      </c>
      <c r="AC259" s="215">
        <f>IF(ISNUMBER(AC230),IFERROR(-AC230/AC117,""),"")</f>
        <v>0.027630034577196</v>
      </c>
      <c r="AD259" s="215">
        <f>IF(ISNUMBER(AD230),IFERROR(-AD230/AD117,""),"")</f>
        <v>0.0222158657513349</v>
      </c>
      <c r="AE259" s="215">
        <f>IF(ISNUMBER(AE230),IFERROR(-AE230/AE117,""),"")</f>
        <v>0.0193060380843485</v>
      </c>
      <c r="AF259" s="215">
        <f>IF(ISNUMBER(AF230),IFERROR(-AF230/AF117,""),"")</f>
        <v>0.0164136739479205</v>
      </c>
      <c r="AG259" s="215">
        <f>IF(ISNUMBER(AG230),IFERROR(-AG230/AG117,""),"")</f>
        <v>0.0171475875118259</v>
      </c>
      <c r="AH259" s="215">
        <f>IF(ISNUMBER(AH230),IFERROR(-AH230/AH117,""),"")</f>
        <v>0.0186204385814631</v>
      </c>
      <c r="AI259" s="215">
        <f>IF(ISNUMBER(AI230),IFERROR(-AI230/AI117,""),"")</f>
        <v>0.0168505688136173</v>
      </c>
      <c r="AJ259" s="215">
        <f>IF(ISNUMBER(AJ230),IFERROR(-AJ230/AJ117,""),"")</f>
        <v>0.0155000412235139</v>
      </c>
      <c r="AK259" s="215">
        <f>IF(ISNUMBER(AK230),IFERROR(-AK230/AK117,""),"")</f>
        <v>0.0181738646305575</v>
      </c>
      <c r="AL259" s="215">
        <f>IF(ISNUMBER(AL230),IFERROR(-AL230/AL117,""),"")</f>
        <v>0.0174658621784694</v>
      </c>
      <c r="AM259" s="215">
        <f>IF(ISNUMBER(AM230),IFERROR(-AM230/AM117,""),"")</f>
        <v>0.0170280933875226</v>
      </c>
      <c r="AN259" s="215">
        <f>IF(ISNUMBER(AN230),IFERROR(-AN230/AN117,""),"")</f>
        <v>0.0218615001963608</v>
      </c>
      <c r="AO259" s="215">
        <f>IF(ISNUMBER(AO230),IFERROR(-AO230/AO117,""),"")</f>
        <v>0.0267284616849724</v>
      </c>
      <c r="AP259" s="215">
        <f>IF(ISNUMBER(AP230),IFERROR(-AP230/AP117,""),"")</f>
        <v>0.0232732732732733</v>
      </c>
      <c r="AQ259" s="215">
        <f>IF(ISNUMBER(AQ230),IFERROR(-AQ230/AQ117,""),"")</f>
        <v>0.0249567305008096</v>
      </c>
      <c r="AR259" s="215">
        <f>IF(ISNUMBER(AR230),IFERROR(-AR230/AR117,""),"")</f>
        <v>0.0239553808174088</v>
      </c>
      <c r="AS259" s="215">
        <f>IF(ISNUMBER(AS230),IFERROR(-AS230/AS117,""),"")</f>
        <v>0.0253134610835108</v>
      </c>
      <c r="AT259" s="215">
        <f>IF(ISNUMBER(AT230),IFERROR(-AT230/AT117,""),"")</f>
        <v>0.0294740408232405</v>
      </c>
      <c r="AU259" s="215">
        <f>IF(ISNUMBER(AU230),IFERROR(-AU230/AU117,""),"")</f>
        <v>0.0185303062451376</v>
      </c>
      <c r="AV259" s="215">
        <f>IF(ISNUMBER(AV230),IFERROR(-AV230/AV117,""),"")</f>
        <v>0.0173157344485102</v>
      </c>
      <c r="AW259" s="215">
        <f>IF(ISNUMBER(AW230),IFERROR(-AW230/AW117,""),"")</f>
        <v>0.022404484335775</v>
      </c>
      <c r="AX259" s="215">
        <f>IF(ISNUMBER(AX230),IFERROR(-AX230/AX117,""),"")</f>
        <v>0.0191233488861142</v>
      </c>
      <c r="AY259" s="215">
        <f>IF(ISNUMBER(AY230),IFERROR(-AY230/AY117,""),"")</f>
        <v>0.0130603600423579</v>
      </c>
      <c r="AZ259" s="215">
        <f>IF(ISNUMBER(AZ230),IFERROR(-AZ230/AZ117,""),"")</f>
        <v>0.0160361303835581</v>
      </c>
      <c r="BA259" s="215">
        <f>IF(ISNUMBER(BA230),IFERROR(-BA230/BA117,""),"")</f>
        <v>0.0150070979517339</v>
      </c>
      <c r="BB259" s="215">
        <f>IF(ISNUMBER(BB230),IFERROR(-BB230/BB117,""),"")</f>
        <v>0.0157338727804001</v>
      </c>
      <c r="BC259" s="215">
        <f>IF(ISNUMBER(BC230),IFERROR(-BC230/BC117,""),"")</f>
        <v>0.0249446072475163</v>
      </c>
      <c r="BD259" s="215">
        <f>IF(ISNUMBER(BD230),IFERROR(-BD230/BD117,""),"")</f>
        <v>0.0157664408608597</v>
      </c>
      <c r="BE259" s="215">
        <f>IF(ISNUMBER(BE230),IFERROR(-BE230/BE117,""),"")</f>
        <v>0.0177989471045375</v>
      </c>
      <c r="BF259" s="215">
        <f>IF(ISNUMBER(BF230),IFERROR(-BF230/BF117,""),"")</f>
        <v>0.0163163163163163</v>
      </c>
      <c r="BG259" s="215">
        <f>IF(ISNUMBER(BG230),IFERROR(-BG230/BG117,""),"")</f>
        <v>0.0183461446072544</v>
      </c>
      <c r="BH259" s="215">
        <f>IF(ISNUMBER(BH230),IFERROR(-BH230/BH117,""),"")</f>
        <v>0.0261146141398359</v>
      </c>
      <c r="BI259" s="215">
        <f>IF(ISNUMBER(BI230),IFERROR(-BI230/BI117,""),"")</f>
        <v>0.0149865829578249</v>
      </c>
      <c r="BJ259" s="215">
        <f>IF(ISNUMBER(BJ230),IFERROR(-BJ230/BJ117,""),"")</f>
        <v>0.018338488731772</v>
      </c>
      <c r="BK259" s="215">
        <f>IF(ISNUMBER(BK230),IFERROR(-BK230/BK117,""),"")</f>
        <v>0.0195748932691434</v>
      </c>
      <c r="BL259" s="215">
        <f>IF(ISNUMBER(BL230),IFERROR(-BL230/BL117,""),"")</f>
        <v>0.0196287631436872</v>
      </c>
      <c r="BM259" s="215">
        <f>IF(ISNUMBER(BM230),IFERROR(-BM230/BM117,""),"")</f>
        <v>0.0342205323193916</v>
      </c>
      <c r="BN259" s="215">
        <f>IF(ISNUMBER(BN230),IFERROR(-BN230/BN117,""),"")</f>
        <v>0.023953515949247</v>
      </c>
      <c r="BO259" s="215">
        <f>IF(ISNUMBER(BO230),IFERROR(-BO230/BO117,""),"")</f>
        <v>0.0342488789237668</v>
      </c>
      <c r="BP259" s="215">
        <f>IF(ISNUMBER(BP230),IFERROR(-BP230/BP117,""),"")</f>
        <v>0.0425141057603989</v>
      </c>
      <c r="BQ259" s="215">
        <f>IF(ISNUMBER(BQ230),IFERROR(-BQ230/BQ117,""),"")</f>
        <v>0.0335252642181698</v>
      </c>
      <c r="BR259" s="215">
        <f>IF(ISNUMBER(BR230),IFERROR(-BR230/BR117,""),"")</f>
        <v>0.0345711940910956</v>
      </c>
      <c r="BS259" s="215">
        <f>IF(ISNUMBER(BS230),IFERROR(-BS230/BS117,""),"")</f>
        <v>0.0187700558266297</v>
      </c>
      <c r="BT259" s="215">
        <f>IF(ISNUMBER(BT230),IFERROR(-BT230/BT117,""),"")</f>
        <v>0.038031800601633</v>
      </c>
      <c r="BU259" s="215">
        <f>IF(ISNUMBER(BU230),IFERROR(-BU230/BU117,""),"")</f>
        <v>0.0399198262902956</v>
      </c>
      <c r="BV259" s="215">
        <f>IF(ISNUMBER(BV230),IFERROR(-BV230/BV117,""),"")</f>
        <v>0.0328851033388105</v>
      </c>
      <c r="BW259" s="215">
        <f>IF(ISNUMBER(BW230),IFERROR(-BW230/BW117,""),"")</f>
        <v>0.0573884862942792</v>
      </c>
      <c r="BX259" s="215">
        <f>IF(ISNUMBER(BX230),IFERROR(-BX230/BX117,""),"")</f>
        <v>0.0298452768729642</v>
      </c>
      <c r="BY259" s="24" t="n"/>
      <c r="BZ259" s="24" t="n"/>
      <c r="CA259" s="260">
        <f>IF(ISNUMBER(CA230),IFERROR(-CA230/CA117,""),"")</f>
        <v>0.0431767793382062</v>
      </c>
      <c r="CB259" s="270" t="n">
        <v>0.042</v>
      </c>
      <c r="CC259" s="270" t="n">
        <v>0.04</v>
      </c>
      <c r="CD259" s="270" t="n">
        <v>0.037</v>
      </c>
      <c r="CE259" s="270" t="n">
        <v>0.035</v>
      </c>
      <c r="CF259" s="270" t="n">
        <v>0.033</v>
      </c>
      <c r="CG259" s="153" t="inlineStr">
        <is>
          <t>2027E+ input: elevated for the 737 North Line, 787 Charleston expansion and 777X; normalising toward 3%.</t>
        </is>
      </c>
      <c r="CI259" s="37">
        <f>IFERROR(AVERAGE(CB259,CC259,CD259,CE259,CF259),"n/m")</f>
        <v>0.0374</v>
      </c>
      <c r="CJ259" s="37">
        <f>IFERROR(AVERAGE(BB259,BG259,BL259,BQ259,BV259),"n/m")</f>
        <v>0.0240238296176644</v>
      </c>
      <c r="CK259" s="37">
        <f>IFERROR(AVERAGE(AC259,AH259,AM259,AR259,AW259,BB259,BG259,BL259,BQ259,BV259),"n/m")</f>
        <v>0.0229757579787687</v>
      </c>
      <c r="CL259" s="37">
        <f>IFERROR(AVERAGE(C259,D259,E259,F259,G259,H259,I259,N259,S259,X259,AC259,AH259,AM259,AR259,AW259,BB259,BG259,BL259,BQ259,BV259),"n/m")</f>
        <v>0.0232802718702483</v>
      </c>
    </row>
    <row r="260" ht="15" customHeight="1" s="251">
      <c r="B260" s="25" t="inlineStr">
        <is>
          <t xml:space="preserve">  Capex / D&amp;A (x)</t>
        </is>
      </c>
      <c r="C260" s="291">
        <f>IF(ISNUMBER(C230),IFERROR(-C230/C104,""),"")</f>
        <v>1.08802588996764</v>
      </c>
      <c r="D260" s="291">
        <f>IF(ISNUMBER(D230),IFERROR(-D230/D104,""),"")</f>
        <v>1.16487213997308</v>
      </c>
      <c r="E260" s="291">
        <f>IF(ISNUMBER(E230),IFERROR(-E230/E104,""),"")</f>
        <v>1.12273641851107</v>
      </c>
      <c r="F260" s="291">
        <f>IF(ISNUMBER(F230),IFERROR(-F230/F104,""),"")</f>
        <v>0.711884753901561</v>
      </c>
      <c r="G260" s="291">
        <f>IF(ISNUMBER(G230),IFERROR(-G230/G104,""),"")</f>
        <v>0.651418645049218</v>
      </c>
      <c r="H260" s="291">
        <f>IF(ISNUMBER(H230),IFERROR(-H230/H104,""),"")</f>
        <v>1.17570350034317</v>
      </c>
      <c r="I260" s="291">
        <f>IF(ISNUMBER(I230),IFERROR(-I230/I104,""),"")</f>
        <v>0.940364439536168</v>
      </c>
      <c r="J260" s="291">
        <f>IF(ISNUMBER(J230),IFERROR(-J230/J104,""),"")</f>
        <v>1.21445221445221</v>
      </c>
      <c r="K260" s="291">
        <f>IF(ISNUMBER(K230),IFERROR(-K230/K104,""),"")</f>
        <v>1.04357798165138</v>
      </c>
      <c r="L260" s="291">
        <f>IF(ISNUMBER(L230),IFERROR(-L230/L104,""),"")</f>
        <v>1.05676855895197</v>
      </c>
      <c r="M260" s="291">
        <f>IF(ISNUMBER(M230),IFERROR(-M230/M104,""),"")</f>
        <v>1.22456813819578</v>
      </c>
      <c r="N260" s="291">
        <f>IF(ISNUMBER(N230),IFERROR(-N230/N104,""),"")</f>
        <v>1.13774403470716</v>
      </c>
      <c r="O260" s="291">
        <f>IF(ISNUMBER(O230),IFERROR(-O230/O104,""),"")</f>
        <v>1.109375</v>
      </c>
      <c r="P260" s="291">
        <f>IF(ISNUMBER(P230),IFERROR(-P230/P104,""),"")</f>
        <v>0.993362831858407</v>
      </c>
      <c r="Q260" s="291">
        <f>IF(ISNUMBER(Q230),IFERROR(-Q230/Q104,""),"")</f>
        <v>1.30125523012552</v>
      </c>
      <c r="R260" s="291">
        <f>IF(ISNUMBER(R230),IFERROR(-R230/R104,""),"")</f>
        <v>1.26515151515152</v>
      </c>
      <c r="S260" s="291">
        <f>IF(ISNUMBER(S230),IFERROR(-S230/S104,""),"")</f>
        <v>1.17313746065058</v>
      </c>
      <c r="T260" s="291">
        <f>IF(ISNUMBER(T230),IFERROR(-T230/T104,""),"")</f>
        <v>1.25054466230937</v>
      </c>
      <c r="U260" s="291">
        <f>IF(ISNUMBER(U230),IFERROR(-U230/U104,""),"")</f>
        <v>1.52759381898455</v>
      </c>
      <c r="V260" s="291">
        <f>IF(ISNUMBER(V230),IFERROR(-V230/V104,""),"")</f>
        <v>1.2837528604119</v>
      </c>
      <c r="W260" s="291">
        <f>IF(ISNUMBER(W230),IFERROR(-W230/W104,""),"")</f>
        <v>1.28719008264463</v>
      </c>
      <c r="X260" s="291">
        <f>IF(ISNUMBER(X230),IFERROR(-X230/X104,""),"")</f>
        <v>1.33660665575559</v>
      </c>
      <c r="Y260" s="291">
        <f>IF(ISNUMBER(Y230),IFERROR(-Y230/Y104,""),"")</f>
        <v>1.68848758465011</v>
      </c>
      <c r="Z260" s="291">
        <f>IF(ISNUMBER(Z230),IFERROR(-Z230/Z104,""),"")</f>
        <v>1.50111856823266</v>
      </c>
      <c r="AA260" s="291">
        <f>IF(ISNUMBER(AA230),IFERROR(-AA230/AA104,""),"")</f>
        <v>1.25527426160338</v>
      </c>
      <c r="AB260" s="291">
        <f>IF(ISNUMBER(AB230),IFERROR(-AB230/AB104,""),"")</f>
        <v>1.0970695970696</v>
      </c>
      <c r="AC260" s="291">
        <f>IF(ISNUMBER(AC230),IFERROR(-AC230/AC104,""),"")</f>
        <v>1.36806282722513</v>
      </c>
      <c r="AD260" s="291">
        <f>IF(ISNUMBER(AD230),IFERROR(-AD230/AD104,""),"")</f>
        <v>0.989384288747346</v>
      </c>
      <c r="AE260" s="291">
        <f>IF(ISNUMBER(AE230),IFERROR(-AE230/AE104,""),"")</f>
        <v>0.888663967611336</v>
      </c>
      <c r="AF260" s="291">
        <f>IF(ISNUMBER(AF230),IFERROR(-AF230/AF104,""),"")</f>
        <v>0.764367816091954</v>
      </c>
      <c r="AG260" s="291">
        <f>IF(ISNUMBER(AG230),IFERROR(-AG230/AG104,""),"")</f>
        <v>0.747422680412371</v>
      </c>
      <c r="AH260" s="291">
        <f>IF(ISNUMBER(AH230),IFERROR(-AH230/AH104,""),"")</f>
        <v>0.840502658289029</v>
      </c>
      <c r="AI260" s="291">
        <f>IF(ISNUMBER(AI230),IFERROR(-AI230/AI104,""),"")</f>
        <v>0.786427145708583</v>
      </c>
      <c r="AJ260" s="291">
        <f>IF(ISNUMBER(AJ230),IFERROR(-AJ230/AJ104,""),"")</f>
        <v>0.741617357001972</v>
      </c>
      <c r="AK260" s="291">
        <f>IF(ISNUMBER(AK230),IFERROR(-AK230/AK104,""),"")</f>
        <v>0.873804971319312</v>
      </c>
      <c r="AL260" s="291">
        <f>IF(ISNUMBER(AL230),IFERROR(-AL230/AL104,""),"")</f>
        <v>0.849056603773585</v>
      </c>
      <c r="AM260" s="291">
        <f>IF(ISNUMBER(AM230),IFERROR(-AM230/AM104,""),"")</f>
        <v>0.814569536423841</v>
      </c>
      <c r="AN260" s="291">
        <f>IF(ISNUMBER(AN230),IFERROR(-AN230/AN104,""),"")</f>
        <v>0.961612284069098</v>
      </c>
      <c r="AO260" s="291">
        <f>IF(ISNUMBER(AO230),IFERROR(-AO230/AO104,""),"")</f>
        <v>0.771062271062271</v>
      </c>
      <c r="AP260" s="291">
        <f>IF(ISNUMBER(AP230),IFERROR(-AP230/AP104,""),"")</f>
        <v>0.807291666666667</v>
      </c>
      <c r="AQ260" s="291">
        <f>IF(ISNUMBER(AQ230),IFERROR(-AQ230/AQ104,""),"")</f>
        <v>0.711783439490446</v>
      </c>
      <c r="AR260" s="291">
        <f>IF(ISNUMBER(AR230),IFERROR(-AR230/AR104,""),"")</f>
        <v>0.807573756054602</v>
      </c>
      <c r="AS260" s="291">
        <f>IF(ISNUMBER(AS230),IFERROR(-AS230/AS104,""),"")</f>
        <v>0.769784172661871</v>
      </c>
      <c r="AT260" s="291">
        <f>IF(ISNUMBER(AT230),IFERROR(-AT230/AT104,""),"")</f>
        <v>0.636197440585009</v>
      </c>
      <c r="AU260" s="291">
        <f>IF(ISNUMBER(AU230),IFERROR(-AU230/AU104,""),"")</f>
        <v>0.463716814159292</v>
      </c>
      <c r="AV260" s="291">
        <f>IF(ISNUMBER(AV230),IFERROR(-AV230/AV104,""),"")</f>
        <v>0.458477508650519</v>
      </c>
      <c r="AW260" s="291">
        <f>IF(ISNUMBER(AW230),IFERROR(-AW230/AW104,""),"")</f>
        <v>0.580142475512021</v>
      </c>
      <c r="AX260" s="291">
        <f>IF(ISNUMBER(AX230),IFERROR(-AX230/AX104,""),"")</f>
        <v>0.542910447761194</v>
      </c>
      <c r="AY260" s="291">
        <f>IF(ISNUMBER(AY230),IFERROR(-AY230/AY104,""),"")</f>
        <v>0.402903811252269</v>
      </c>
      <c r="AZ260" s="291">
        <f>IF(ISNUMBER(AZ230),IFERROR(-AZ230/AZ104,""),"")</f>
        <v>0.468451242829828</v>
      </c>
      <c r="BA260" s="291">
        <f>IF(ISNUMBER(BA230),IFERROR(-BA230/BA104,""),"")</f>
        <v>0.415730337078652</v>
      </c>
      <c r="BB260" s="291">
        <f>IF(ISNUMBER(BB230),IFERROR(-BB230/BB104,""),"")</f>
        <v>0.457089552238806</v>
      </c>
      <c r="BC260" s="291">
        <f>IF(ISNUMBER(BC230),IFERROR(-BC230/BC104,""),"")</f>
        <v>0.718106995884774</v>
      </c>
      <c r="BD260" s="291">
        <f>IF(ISNUMBER(BD230),IFERROR(-BD230/BD104,""),"")</f>
        <v>0.528112449799197</v>
      </c>
      <c r="BE260" s="291">
        <f>IF(ISNUMBER(BE230),IFERROR(-BE230/BE104,""),"")</f>
        <v>0.57606490872211</v>
      </c>
      <c r="BF260" s="291">
        <f>IF(ISNUMBER(BF230),IFERROR(-BF230/BF104,""),"")</f>
        <v>0.649402390438247</v>
      </c>
      <c r="BG260" s="291">
        <f>IF(ISNUMBER(BG230),IFERROR(-BG230/BG104,""),"")</f>
        <v>0.617483577564427</v>
      </c>
      <c r="BH260" s="291">
        <f>IF(ISNUMBER(BH230),IFERROR(-BH230/BH104,""),"")</f>
        <v>1.02407002188184</v>
      </c>
      <c r="BI260" s="291">
        <f>IF(ISNUMBER(BI230),IFERROR(-BI230/BI104,""),"")</f>
        <v>0.649122807017544</v>
      </c>
      <c r="BJ260" s="291">
        <f>IF(ISNUMBER(BJ230),IFERROR(-BJ230/BJ104,""),"")</f>
        <v>0.710920770877944</v>
      </c>
      <c r="BK260" s="291">
        <f>IF(ISNUMBER(BK230),IFERROR(-BK230/BK104,""),"")</f>
        <v>0.896049896049896</v>
      </c>
      <c r="BL260" s="291">
        <f>IF(ISNUMBER(BL230),IFERROR(-BL230/BL104,""),"")</f>
        <v>0.820526598602902</v>
      </c>
      <c r="BM260" s="291">
        <f>IF(ISNUMBER(BM230),IFERROR(-BM230/BM104,""),"")</f>
        <v>1.28280542986425</v>
      </c>
      <c r="BN260" s="291">
        <f>IF(ISNUMBER(BN230),IFERROR(-BN230/BN104,""),"")</f>
        <v>0.91609977324263</v>
      </c>
      <c r="BO260" s="291">
        <f>IF(ISNUMBER(BO230),IFERROR(-BO230/BO104,""),"")</f>
        <v>1.37612612612613</v>
      </c>
      <c r="BP260" s="291">
        <f>IF(ISNUMBER(BP230),IFERROR(-BP230/BP104,""),"")</f>
        <v>1.27308447937132</v>
      </c>
      <c r="BQ260" s="291">
        <f>IF(ISNUMBER(BQ230),IFERROR(-BQ230/BQ104,""),"")</f>
        <v>1.21459694989107</v>
      </c>
      <c r="BR260" s="291">
        <f>IF(ISNUMBER(BR230),IFERROR(-BR230/BR104,""),"")</f>
        <v>1.44635193133047</v>
      </c>
      <c r="BS260" s="291">
        <f>IF(ISNUMBER(BS230),IFERROR(-BS230/BS104,""),"")</f>
        <v>0.928260869565217</v>
      </c>
      <c r="BT260" s="291">
        <f>IF(ISNUMBER(BT230),IFERROR(-BT230/BT104,""),"")</f>
        <v>1.80244399185336</v>
      </c>
      <c r="BU260" s="291">
        <f>IF(ISNUMBER(BU230),IFERROR(-BU230/BU104,""),"")</f>
        <v>1.78358208955224</v>
      </c>
      <c r="BV260" s="291">
        <f>IF(ISNUMBER(BV230),IFERROR(-BV230/BV104,""),"")</f>
        <v>1.50640040962622</v>
      </c>
      <c r="BW260" s="291">
        <f>IF(ISNUMBER(BW230),IFERROR(-BW230/BW104,""),"")</f>
        <v>2.22513089005236</v>
      </c>
      <c r="BX260" s="291">
        <f>IF(ISNUMBER(BX230),IFERROR(-BX230/BX104,""),"")</f>
        <v>1.22986577181208</v>
      </c>
      <c r="BY260" s="35" t="n"/>
      <c r="BZ260" s="35" t="n"/>
      <c r="CA260" s="292">
        <f>IF(ISNUMBER(CA230),IFERROR(-CA230/CA104,""),"")</f>
        <v>1.79563916203506</v>
      </c>
      <c r="CB260" s="292">
        <f>IF(ISNUMBER(CB230),IFERROR(-CB230/CB104,""),"")</f>
        <v>1.75</v>
      </c>
      <c r="CC260" s="292">
        <f>IF(ISNUMBER(CC230),IFERROR(-CC230/CC104,""),"")</f>
        <v>1.66666666666667</v>
      </c>
      <c r="CD260" s="292">
        <f>IF(ISNUMBER(CD230),IFERROR(-CD230/CD104,""),"")</f>
        <v>1.60869565217391</v>
      </c>
      <c r="CE260" s="292">
        <f>IF(ISNUMBER(CE230),IFERROR(-CE230/CE104,""),"")</f>
        <v>1.52173913043478</v>
      </c>
      <c r="CF260" s="292">
        <f>IF(ISNUMBER(CF230),IFERROR(-CF230/CF104,""),"")</f>
        <v>1.43478260869565</v>
      </c>
      <c r="CG260" s="19" t="n"/>
    </row>
    <row r="261" ht="15" customHeight="1" s="251">
      <c r="CO261" s="11" t="n"/>
      <c r="CP261" s="12" t="n"/>
      <c r="CQ261" s="12" t="n"/>
      <c r="CR261" s="12" t="n"/>
      <c r="CS261" s="13" t="n"/>
    </row>
    <row r="262" ht="15" customHeight="1" s="251">
      <c r="B262" s="10" t="inlineStr">
        <is>
          <t>SHARE SCHEDULE (buybacks, 401(k) treasury-share issuance, preferred conversion)</t>
        </is>
      </c>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c r="AH262" s="10" t="n"/>
      <c r="AI262" s="10" t="n"/>
      <c r="AJ262" s="10" t="n"/>
      <c r="AK262" s="10" t="n"/>
      <c r="AL262" s="10" t="n"/>
      <c r="AM262" s="10" t="n"/>
      <c r="AN262" s="10" t="n"/>
      <c r="AO262" s="10" t="n"/>
      <c r="AP262" s="10" t="n"/>
      <c r="AQ262" s="10" t="n"/>
      <c r="AR262" s="10" t="n"/>
      <c r="AS262" s="10" t="n"/>
      <c r="AT262" s="10" t="n"/>
      <c r="AU262" s="10" t="n"/>
      <c r="AV262" s="10" t="n"/>
      <c r="AW262" s="10" t="n"/>
      <c r="AX262" s="10" t="n"/>
      <c r="AY262" s="10" t="n"/>
      <c r="AZ262" s="10" t="n"/>
      <c r="BA262" s="10" t="n"/>
      <c r="BB262" s="10" t="n"/>
      <c r="BC262" s="10" t="n"/>
      <c r="BD262" s="10" t="n"/>
      <c r="BE262" s="10" t="n"/>
      <c r="BF262" s="10" t="n"/>
      <c r="BG262" s="10" t="n"/>
      <c r="BH262" s="10" t="n"/>
      <c r="BI262" s="10" t="n"/>
      <c r="BJ262" s="10" t="n"/>
      <c r="BK262" s="10" t="n"/>
      <c r="BL262" s="10" t="n"/>
      <c r="BM262" s="10" t="n"/>
      <c r="BN262" s="10" t="n"/>
      <c r="BO262" s="10" t="n"/>
      <c r="BP262" s="10" t="n"/>
      <c r="BQ262" s="10" t="n"/>
      <c r="BR262" s="10" t="n"/>
      <c r="BS262" s="10" t="n"/>
      <c r="BT262" s="10" t="n"/>
      <c r="BU262" s="10" t="n"/>
      <c r="BV262" s="10" t="n"/>
      <c r="BW262" s="10" t="n"/>
      <c r="BX262" s="10" t="n"/>
      <c r="BY262" s="10" t="n"/>
      <c r="BZ262" s="10" t="n"/>
      <c r="CA262" s="10" t="n"/>
      <c r="CB262" s="10" t="n"/>
      <c r="CC262" s="10" t="n"/>
      <c r="CD262" s="10" t="n"/>
      <c r="CE262" s="10" t="n"/>
      <c r="CF262" s="10" t="n"/>
      <c r="CG262" s="10" t="inlineStr">
        <is>
          <t>SHARES — 2026E = 2H from shares outstanding at 30-Jun-2026; 2027E+ buybacks via the leverage plug; preferred converts Oct-2027</t>
        </is>
      </c>
    </row>
    <row r="263" ht="15" customHeight="1" s="251">
      <c r="B263" s="25" t="inlineStr">
        <is>
          <t xml:space="preserve">  Avg buyback / issuance price ($)</t>
        </is>
      </c>
      <c r="C263" s="34" t="n"/>
      <c r="D263" s="34" t="n"/>
      <c r="E263" s="34" t="n"/>
      <c r="F263" s="34" t="n"/>
      <c r="G263" s="34" t="n"/>
      <c r="H263" s="34" t="n"/>
      <c r="I263" s="34" t="n"/>
      <c r="J263" s="34" t="n"/>
      <c r="K263" s="34" t="n"/>
      <c r="L263" s="34" t="n"/>
      <c r="M263" s="34" t="n"/>
      <c r="N263" s="34" t="n"/>
      <c r="O263" s="34" t="n"/>
      <c r="P263" s="34" t="n"/>
      <c r="Q263" s="34" t="n"/>
      <c r="R263" s="34" t="n"/>
      <c r="S263" s="34" t="n"/>
      <c r="T263" s="34" t="n"/>
      <c r="U263" s="34" t="n"/>
      <c r="V263" s="34" t="n"/>
      <c r="W263" s="34" t="n"/>
      <c r="X263" s="34" t="n"/>
      <c r="Y263" s="34" t="n"/>
      <c r="Z263" s="34" t="n"/>
      <c r="AA263" s="34" t="n"/>
      <c r="AB263" s="34" t="n"/>
      <c r="AC263" s="34" t="n"/>
      <c r="AD263" s="34" t="n"/>
      <c r="AE263" s="34" t="n"/>
      <c r="AF263" s="34" t="n"/>
      <c r="AG263" s="34" t="n"/>
      <c r="AH263" s="34" t="n"/>
      <c r="AI263" s="34" t="n"/>
      <c r="AJ263" s="34" t="n"/>
      <c r="AK263" s="34" t="n"/>
      <c r="AL263" s="34" t="n"/>
      <c r="AM263" s="34" t="n"/>
      <c r="AN263" s="34" t="n"/>
      <c r="AO263" s="34" t="n"/>
      <c r="AP263" s="34" t="n"/>
      <c r="AQ263" s="34" t="n"/>
      <c r="AR263" s="34" t="n"/>
      <c r="AS263" s="34" t="n"/>
      <c r="AT263" s="34" t="n"/>
      <c r="AU263" s="34" t="n"/>
      <c r="AV263" s="34" t="n"/>
      <c r="AW263" s="34" t="n"/>
      <c r="AX263" s="34" t="n"/>
      <c r="AY263" s="34" t="n"/>
      <c r="AZ263" s="34" t="n"/>
      <c r="BA263" s="34" t="n"/>
      <c r="BB263" s="34" t="n"/>
      <c r="BC263" s="34" t="n"/>
      <c r="BD263" s="34" t="n"/>
      <c r="BE263" s="34" t="n"/>
      <c r="BF263" s="34" t="n"/>
      <c r="BG263" s="34" t="n"/>
      <c r="BH263" s="34" t="n"/>
      <c r="BI263" s="34" t="n"/>
      <c r="BJ263" s="34" t="n"/>
      <c r="BK263" s="34" t="n"/>
      <c r="BL263" s="34" t="n"/>
      <c r="BM263" s="34" t="n"/>
      <c r="BN263" s="34" t="n"/>
      <c r="BO263" s="34" t="n"/>
      <c r="BP263" s="34" t="n"/>
      <c r="BQ263" s="34" t="n"/>
      <c r="BR263" s="34" t="n"/>
      <c r="BS263" s="34" t="n"/>
      <c r="BT263" s="34" t="n"/>
      <c r="BU263" s="34" t="n"/>
      <c r="BV263" s="34" t="n"/>
      <c r="BW263" s="34" t="n"/>
      <c r="BX263" s="34" t="n"/>
      <c r="BY263" s="35" t="n"/>
      <c r="BZ263" s="35" t="n"/>
      <c r="CA263" s="293">
        <f>CA395</f>
        <v>185</v>
      </c>
      <c r="CB263" s="293">
        <f>CA263*(1+CB338)</f>
        <v>199.8</v>
      </c>
      <c r="CC263" s="293">
        <f>CB263*(1+CC338)</f>
        <v>215.784</v>
      </c>
      <c r="CD263" s="293">
        <f>CC263*(1+CD338)</f>
        <v>233.04672</v>
      </c>
      <c r="CE263" s="293">
        <f>CD263*(1+CE338)</f>
        <v>251.6904576</v>
      </c>
      <c r="CF263" s="293">
        <f>CE263*(1+CF338)</f>
        <v>271.825694208</v>
      </c>
      <c r="CG263" s="19" t="n"/>
    </row>
    <row r="264" ht="15" customHeight="1" s="251">
      <c r="B264" s="25" t="inlineStr">
        <is>
          <t xml:space="preserve">  Buyback cash deployed (USDm; 2026E = 2H)</t>
        </is>
      </c>
      <c r="C264" s="34" t="n"/>
      <c r="D264" s="34" t="n"/>
      <c r="E264" s="34" t="n"/>
      <c r="F264" s="34" t="n"/>
      <c r="G264" s="34" t="n"/>
      <c r="H264" s="34" t="n"/>
      <c r="I264" s="34" t="n"/>
      <c r="J264" s="34" t="n"/>
      <c r="K264" s="34" t="n"/>
      <c r="L264" s="34" t="n"/>
      <c r="M264" s="34" t="n"/>
      <c r="N264" s="34" t="n"/>
      <c r="O264" s="34" t="n"/>
      <c r="P264" s="34" t="n"/>
      <c r="Q264" s="34" t="n"/>
      <c r="R264" s="34" t="n"/>
      <c r="S264" s="34" t="n"/>
      <c r="T264" s="34" t="n"/>
      <c r="U264" s="34" t="n"/>
      <c r="V264" s="34" t="n"/>
      <c r="W264" s="34" t="n"/>
      <c r="X264" s="34" t="n"/>
      <c r="Y264" s="34" t="n"/>
      <c r="Z264" s="34" t="n"/>
      <c r="AA264" s="34" t="n"/>
      <c r="AB264" s="34" t="n"/>
      <c r="AC264" s="34" t="n"/>
      <c r="AD264" s="34" t="n"/>
      <c r="AE264" s="34" t="n"/>
      <c r="AF264" s="34" t="n"/>
      <c r="AG264" s="34" t="n"/>
      <c r="AH264" s="34" t="n"/>
      <c r="AI264" s="34" t="n"/>
      <c r="AJ264" s="34" t="n"/>
      <c r="AK264" s="34" t="n"/>
      <c r="AL264" s="34" t="n"/>
      <c r="AM264" s="34" t="n"/>
      <c r="AN264" s="34" t="n"/>
      <c r="AO264" s="34" t="n"/>
      <c r="AP264" s="34" t="n"/>
      <c r="AQ264" s="34" t="n"/>
      <c r="AR264" s="34" t="n"/>
      <c r="AS264" s="34" t="n"/>
      <c r="AT264" s="34" t="n"/>
      <c r="AU264" s="34" t="n"/>
      <c r="AV264" s="34" t="n"/>
      <c r="AW264" s="34" t="n"/>
      <c r="AX264" s="34" t="n"/>
      <c r="AY264" s="34" t="n"/>
      <c r="AZ264" s="34" t="n"/>
      <c r="BA264" s="34" t="n"/>
      <c r="BB264" s="34" t="n"/>
      <c r="BC264" s="34" t="n"/>
      <c r="BD264" s="34" t="n"/>
      <c r="BE264" s="34" t="n"/>
      <c r="BF264" s="34" t="n"/>
      <c r="BG264" s="34" t="n"/>
      <c r="BH264" s="34" t="n"/>
      <c r="BI264" s="34" t="n"/>
      <c r="BJ264" s="34" t="n"/>
      <c r="BK264" s="34" t="n"/>
      <c r="BL264" s="34" t="n"/>
      <c r="BM264" s="34" t="n"/>
      <c r="BN264" s="34" t="n"/>
      <c r="BO264" s="34" t="n"/>
      <c r="BP264" s="34" t="n"/>
      <c r="BQ264" s="34" t="n"/>
      <c r="BR264" s="34" t="n"/>
      <c r="BS264" s="34" t="n"/>
      <c r="BT264" s="34" t="n"/>
      <c r="BU264" s="34" t="n"/>
      <c r="BV264" s="34" t="n"/>
      <c r="BW264" s="34" t="n"/>
      <c r="BX264" s="34" t="n"/>
      <c r="BY264" s="35" t="n"/>
      <c r="BZ264" s="35" t="n"/>
      <c r="CA264" s="254">
        <f>CHOOSE(MATCH($CG$2,{"Bull","Base","Bear"},0),$CP$18,$CQ$18,$CR$18)</f>
        <v>0</v>
      </c>
      <c r="CB264" s="254">
        <f>-CB237</f>
        <v>0</v>
      </c>
      <c r="CC264" s="254">
        <f>-CC237</f>
        <v>0</v>
      </c>
      <c r="CD264" s="254">
        <f>-CD237</f>
        <v>14105.6722998696</v>
      </c>
      <c r="CE264" s="254">
        <f>-CE237</f>
        <v>15719.7739038903</v>
      </c>
      <c r="CF264" s="254">
        <f>-CF237</f>
        <v>15836.216920444</v>
      </c>
      <c r="CG264" s="19" t="n"/>
    </row>
    <row r="265" ht="15" customHeight="1" s="251">
      <c r="B265" s="25" t="inlineStr">
        <is>
          <t xml:space="preserve">  Implied shares repurchased (m)</t>
        </is>
      </c>
      <c r="C265" s="34" t="n"/>
      <c r="D265" s="34" t="n"/>
      <c r="E265" s="34" t="n"/>
      <c r="F265" s="34" t="n"/>
      <c r="G265" s="34" t="n"/>
      <c r="H265" s="34" t="n"/>
      <c r="I265" s="34" t="n"/>
      <c r="J265" s="34" t="n"/>
      <c r="K265" s="34" t="n"/>
      <c r="L265" s="34" t="n"/>
      <c r="M265" s="34" t="n"/>
      <c r="N265" s="34" t="n"/>
      <c r="O265" s="34" t="n"/>
      <c r="P265" s="34" t="n"/>
      <c r="Q265" s="34" t="n"/>
      <c r="R265" s="34" t="n"/>
      <c r="S265" s="34" t="n"/>
      <c r="T265" s="34" t="n"/>
      <c r="U265" s="34" t="n"/>
      <c r="V265" s="34" t="n"/>
      <c r="W265" s="34" t="n"/>
      <c r="X265" s="34" t="n"/>
      <c r="Y265" s="34" t="n"/>
      <c r="Z265" s="34" t="n"/>
      <c r="AA265" s="34" t="n"/>
      <c r="AB265" s="34" t="n"/>
      <c r="AC265" s="34" t="n"/>
      <c r="AD265" s="34" t="n"/>
      <c r="AE265" s="34" t="n"/>
      <c r="AF265" s="34" t="n"/>
      <c r="AG265" s="34" t="n"/>
      <c r="AH265" s="34" t="n"/>
      <c r="AI265" s="34" t="n"/>
      <c r="AJ265" s="34" t="n"/>
      <c r="AK265" s="34" t="n"/>
      <c r="AL265" s="34" t="n"/>
      <c r="AM265" s="34" t="n"/>
      <c r="AN265" s="34" t="n"/>
      <c r="AO265" s="34" t="n"/>
      <c r="AP265" s="34" t="n"/>
      <c r="AQ265" s="34" t="n"/>
      <c r="AR265" s="34" t="n"/>
      <c r="AS265" s="34" t="n"/>
      <c r="AT265" s="34" t="n"/>
      <c r="AU265" s="34" t="n"/>
      <c r="AV265" s="34" t="n"/>
      <c r="AW265" s="34" t="n"/>
      <c r="AX265" s="34" t="n"/>
      <c r="AY265" s="34" t="n"/>
      <c r="AZ265" s="34" t="n"/>
      <c r="BA265" s="34" t="n"/>
      <c r="BB265" s="34" t="n"/>
      <c r="BC265" s="34" t="n"/>
      <c r="BD265" s="34" t="n"/>
      <c r="BE265" s="34" t="n"/>
      <c r="BF265" s="34" t="n"/>
      <c r="BG265" s="34" t="n"/>
      <c r="BH265" s="34" t="n"/>
      <c r="BI265" s="34" t="n"/>
      <c r="BJ265" s="34" t="n"/>
      <c r="BK265" s="34" t="n"/>
      <c r="BL265" s="34" t="n"/>
      <c r="BM265" s="34" t="n"/>
      <c r="BN265" s="34" t="n"/>
      <c r="BO265" s="34" t="n"/>
      <c r="BP265" s="34" t="n"/>
      <c r="BQ265" s="34" t="n"/>
      <c r="BR265" s="34" t="n"/>
      <c r="BS265" s="34" t="n"/>
      <c r="BT265" s="34" t="n"/>
      <c r="BU265" s="34" t="n"/>
      <c r="BV265" s="34" t="n"/>
      <c r="BW265" s="34" t="n"/>
      <c r="BX265" s="34" t="n"/>
      <c r="BY265" s="35" t="n"/>
      <c r="BZ265" s="35" t="n"/>
      <c r="CA265" s="293">
        <f>IFERROR(CA264/CA263,0)</f>
        <v>0</v>
      </c>
      <c r="CB265" s="293">
        <f>IFERROR(CB264/CB263,0)</f>
        <v>0</v>
      </c>
      <c r="CC265" s="293">
        <f>IFERROR(CC264/CC263,0)</f>
        <v>0</v>
      </c>
      <c r="CD265" s="293">
        <f>IFERROR(CD264/CD263,0)</f>
        <v>60.527229475144</v>
      </c>
      <c r="CE265" s="293">
        <f>IFERROR(CE264/CE263,0)</f>
        <v>62.456773505784</v>
      </c>
      <c r="CF265" s="293">
        <f>IFERROR(CF264/CF263,0)</f>
        <v>58.2587196791124</v>
      </c>
      <c r="CG265" s="19" t="n"/>
    </row>
    <row r="266" ht="15" customHeight="1" s="251">
      <c r="B266" s="25" t="inlineStr">
        <is>
          <t xml:space="preserve">  Treasury shares issued for 401(k) contributions (m)</t>
        </is>
      </c>
      <c r="C266" s="34" t="n"/>
      <c r="D266" s="34" t="n"/>
      <c r="E266" s="34" t="n"/>
      <c r="F266" s="34" t="n"/>
      <c r="G266" s="34" t="n"/>
      <c r="H266" s="34" t="n"/>
      <c r="I266" s="34" t="n"/>
      <c r="J266" s="34" t="n"/>
      <c r="K266" s="34" t="n"/>
      <c r="L266" s="34" t="n"/>
      <c r="M266" s="34" t="n"/>
      <c r="N266" s="34" t="n"/>
      <c r="O266" s="34" t="n"/>
      <c r="P266" s="34" t="n"/>
      <c r="Q266" s="34" t="n"/>
      <c r="R266" s="34" t="n"/>
      <c r="S266" s="34" t="n"/>
      <c r="T266" s="34" t="n"/>
      <c r="U266" s="34" t="n"/>
      <c r="V266" s="34" t="n"/>
      <c r="W266" s="34" t="n"/>
      <c r="X266" s="34" t="n"/>
      <c r="Y266" s="34" t="n"/>
      <c r="Z266" s="34" t="n"/>
      <c r="AA266" s="34" t="n"/>
      <c r="AB266" s="34" t="n"/>
      <c r="AC266" s="34" t="n"/>
      <c r="AD266" s="34" t="n"/>
      <c r="AE266" s="34" t="n"/>
      <c r="AF266" s="34" t="n"/>
      <c r="AG266" s="34" t="n"/>
      <c r="AH266" s="34" t="n"/>
      <c r="AI266" s="34" t="n"/>
      <c r="AJ266" s="34" t="n"/>
      <c r="AK266" s="34" t="n"/>
      <c r="AL266" s="34" t="n"/>
      <c r="AM266" s="34" t="n"/>
      <c r="AN266" s="34" t="n"/>
      <c r="AO266" s="34" t="n"/>
      <c r="AP266" s="34" t="n"/>
      <c r="AQ266" s="34" t="n"/>
      <c r="AR266" s="34" t="n"/>
      <c r="AS266" s="34" t="n"/>
      <c r="AT266" s="34" t="n"/>
      <c r="AU266" s="34" t="n"/>
      <c r="AV266" s="34" t="n"/>
      <c r="AW266" s="34" t="n"/>
      <c r="AX266" s="34" t="n"/>
      <c r="AY266" s="34" t="n"/>
      <c r="AZ266" s="34" t="n"/>
      <c r="BA266" s="34" t="n"/>
      <c r="BB266" s="34" t="n"/>
      <c r="BC266" s="34" t="n"/>
      <c r="BD266" s="34" t="n"/>
      <c r="BE266" s="34" t="n"/>
      <c r="BF266" s="34" t="n"/>
      <c r="BG266" s="34" t="n"/>
      <c r="BH266" s="34" t="n"/>
      <c r="BI266" s="34" t="n"/>
      <c r="BJ266" s="34" t="n"/>
      <c r="BK266" s="34" t="n"/>
      <c r="BL266" s="34" t="n"/>
      <c r="BM266" s="34" t="n"/>
      <c r="BN266" s="34" t="n"/>
      <c r="BO266" s="34" t="n"/>
      <c r="BP266" s="34" t="n"/>
      <c r="BQ266" s="34" t="n"/>
      <c r="BR266" s="34" t="n"/>
      <c r="BS266" s="34" t="n"/>
      <c r="BT266" s="34" t="n"/>
      <c r="BU266" s="34" t="n"/>
      <c r="BV266" s="34" t="n"/>
      <c r="BW266" s="34" t="n"/>
      <c r="BX266" s="34" t="n"/>
      <c r="BY266" s="35" t="n"/>
      <c r="BZ266" s="35" t="n"/>
      <c r="CA266" s="293">
        <f>IFERROR(SUM(BY111:BZ111)/CA263,0)</f>
        <v>4.62162162162162</v>
      </c>
      <c r="CB266" s="293">
        <f>IFERROR(CB111/CB263,0)</f>
        <v>8.81531531531532</v>
      </c>
      <c r="CC266" s="293">
        <f>IFERROR(CC111/CC263,0)</f>
        <v>8.4071988655322</v>
      </c>
      <c r="CD266" s="293">
        <f>IFERROR(CD111/CD263,0)</f>
        <v>8.01797669583163</v>
      </c>
      <c r="CE266" s="293">
        <f>IFERROR(CE111/CE263,0)</f>
        <v>7.64677407102461</v>
      </c>
      <c r="CF266" s="293">
        <f>IFERROR(CF111/CF263,0)</f>
        <v>7.29275675292162</v>
      </c>
      <c r="CG266" s="19" t="n"/>
    </row>
    <row r="267" ht="15" customHeight="1" s="251">
      <c r="B267" s="25" t="inlineStr">
        <is>
          <t xml:space="preserve">  Shares issued under equity plans (m)</t>
        </is>
      </c>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c r="AF267" s="36" t="n"/>
      <c r="AG267" s="36" t="n"/>
      <c r="AH267" s="36" t="n"/>
      <c r="AI267" s="36" t="n"/>
      <c r="AJ267" s="36" t="n"/>
      <c r="AK267" s="36" t="n"/>
      <c r="AL267" s="36" t="n"/>
      <c r="AM267" s="36" t="n"/>
      <c r="AN267" s="36" t="n"/>
      <c r="AO267" s="36" t="n"/>
      <c r="AP267" s="36" t="n"/>
      <c r="AQ267" s="36" t="n"/>
      <c r="AR267" s="36" t="n"/>
      <c r="AS267" s="36" t="n"/>
      <c r="AT267" s="36" t="n"/>
      <c r="AU267" s="36" t="n"/>
      <c r="AV267" s="36" t="n"/>
      <c r="AW267" s="36" t="n"/>
      <c r="AX267" s="36" t="n"/>
      <c r="AY267" s="36" t="n"/>
      <c r="AZ267" s="36" t="n"/>
      <c r="BA267" s="36" t="n"/>
      <c r="BB267" s="36" t="n"/>
      <c r="BC267" s="36" t="n"/>
      <c r="BD267" s="36" t="n"/>
      <c r="BE267" s="36" t="n"/>
      <c r="BF267" s="36" t="n"/>
      <c r="BG267" s="36" t="n"/>
      <c r="BH267" s="36" t="n"/>
      <c r="BI267" s="36" t="n"/>
      <c r="BJ267" s="36" t="n"/>
      <c r="BK267" s="36" t="n"/>
      <c r="BL267" s="36" t="n"/>
      <c r="BM267" s="36" t="n"/>
      <c r="BN267" s="36" t="n"/>
      <c r="BO267" s="36" t="n"/>
      <c r="BP267" s="36" t="n"/>
      <c r="BQ267" s="36" t="n"/>
      <c r="BR267" s="36" t="n"/>
      <c r="BS267" s="36" t="n"/>
      <c r="BT267" s="36" t="n"/>
      <c r="BU267" s="36" t="n"/>
      <c r="BV267" s="36" t="n"/>
      <c r="BW267" s="36" t="n"/>
      <c r="BX267" s="36" t="n"/>
      <c r="BY267" s="24" t="n"/>
      <c r="BZ267" s="24" t="n"/>
      <c r="CA267" s="294" t="n">
        <v>0.3</v>
      </c>
      <c r="CB267" s="294" t="n">
        <v>1</v>
      </c>
      <c r="CC267" s="294" t="n">
        <v>1</v>
      </c>
      <c r="CD267" s="294" t="n">
        <v>1</v>
      </c>
      <c r="CE267" s="294" t="n">
        <v>1</v>
      </c>
      <c r="CF267" s="294" t="n">
        <v>1</v>
      </c>
      <c r="CG267" s="19" t="n"/>
    </row>
    <row r="268" ht="15" customHeight="1" s="251">
      <c r="B268" s="25" t="inlineStr">
        <is>
          <t xml:space="preserve">  Common shares issued on conversion of the mandatory convertible preferred (m)</t>
        </is>
      </c>
      <c r="C268" s="34" t="n"/>
      <c r="D268" s="34" t="n"/>
      <c r="E268" s="34" t="n"/>
      <c r="F268" s="34" t="n"/>
      <c r="G268" s="34" t="n"/>
      <c r="H268" s="34" t="n"/>
      <c r="I268" s="34" t="n"/>
      <c r="J268" s="34" t="n"/>
      <c r="K268" s="34" t="n"/>
      <c r="L268" s="34" t="n"/>
      <c r="M268" s="34" t="n"/>
      <c r="N268" s="34" t="n"/>
      <c r="O268" s="34" t="n"/>
      <c r="P268" s="34" t="n"/>
      <c r="Q268" s="34" t="n"/>
      <c r="R268" s="34" t="n"/>
      <c r="S268" s="34" t="n"/>
      <c r="T268" s="34" t="n"/>
      <c r="U268" s="34" t="n"/>
      <c r="V268" s="34" t="n"/>
      <c r="W268" s="34" t="n"/>
      <c r="X268" s="34" t="n"/>
      <c r="Y268" s="34" t="n"/>
      <c r="Z268" s="34" t="n"/>
      <c r="AA268" s="34" t="n"/>
      <c r="AB268" s="34" t="n"/>
      <c r="AC268" s="34" t="n"/>
      <c r="AD268" s="34" t="n"/>
      <c r="AE268" s="34" t="n"/>
      <c r="AF268" s="34" t="n"/>
      <c r="AG268" s="34" t="n"/>
      <c r="AH268" s="34" t="n"/>
      <c r="AI268" s="34" t="n"/>
      <c r="AJ268" s="34" t="n"/>
      <c r="AK268" s="34" t="n"/>
      <c r="AL268" s="34" t="n"/>
      <c r="AM268" s="34" t="n"/>
      <c r="AN268" s="34" t="n"/>
      <c r="AO268" s="34" t="n"/>
      <c r="AP268" s="34" t="n"/>
      <c r="AQ268" s="34" t="n"/>
      <c r="AR268" s="34" t="n"/>
      <c r="AS268" s="34" t="n"/>
      <c r="AT268" s="34" t="n"/>
      <c r="AU268" s="34" t="n"/>
      <c r="AV268" s="34" t="n"/>
      <c r="AW268" s="34" t="n"/>
      <c r="AX268" s="34" t="n"/>
      <c r="AY268" s="34" t="n"/>
      <c r="AZ268" s="34" t="n"/>
      <c r="BA268" s="34" t="n"/>
      <c r="BB268" s="34" t="n"/>
      <c r="BC268" s="34" t="n"/>
      <c r="BD268" s="34" t="n"/>
      <c r="BE268" s="34" t="n"/>
      <c r="BF268" s="34" t="n"/>
      <c r="BG268" s="34" t="n"/>
      <c r="BH268" s="34" t="n"/>
      <c r="BI268" s="34" t="n"/>
      <c r="BJ268" s="34" t="n"/>
      <c r="BK268" s="34" t="n"/>
      <c r="BL268" s="34" t="n"/>
      <c r="BM268" s="34" t="n"/>
      <c r="BN268" s="34" t="n"/>
      <c r="BO268" s="34" t="n"/>
      <c r="BP268" s="34" t="n"/>
      <c r="BQ268" s="34" t="n"/>
      <c r="BR268" s="34" t="n"/>
      <c r="BS268" s="34" t="n"/>
      <c r="BT268" s="34" t="n"/>
      <c r="BU268" s="34" t="n"/>
      <c r="BV268" s="34" t="n"/>
      <c r="BW268" s="34" t="n"/>
      <c r="BX268" s="34" t="n"/>
      <c r="BY268" s="35" t="n"/>
      <c r="BZ268" s="35" t="n"/>
      <c r="CA268" s="294" t="n">
        <v>0</v>
      </c>
      <c r="CB268" s="293">
        <f>CB339</f>
        <v>33.511</v>
      </c>
      <c r="CC268" s="293">
        <f>0</f>
        <v>0</v>
      </c>
      <c r="CD268" s="293">
        <f>0</f>
        <v>0</v>
      </c>
      <c r="CE268" s="293">
        <f>0</f>
        <v>0</v>
      </c>
      <c r="CF268" s="293">
        <f>0</f>
        <v>0</v>
      </c>
      <c r="CG268" s="19" t="inlineStr">
        <is>
          <t>5.75m preferred shares convert on ~15-Oct-2027 into 5.8280–6.9940 common shares each (10-K): minimum ratio above $171.59, maximum below $142.98.</t>
        </is>
      </c>
    </row>
    <row r="269" ht="15" customHeight="1" s="251">
      <c r="B269" s="25" t="inlineStr">
        <is>
          <t xml:space="preserve">  Beginning shares outstanding (m)</t>
        </is>
      </c>
      <c r="C269" s="34" t="n"/>
      <c r="D269" s="34" t="n"/>
      <c r="E269" s="34" t="n"/>
      <c r="F269" s="34" t="n"/>
      <c r="G269" s="34" t="n"/>
      <c r="H269" s="34" t="n"/>
      <c r="I269" s="34" t="n"/>
      <c r="J269" s="34" t="n"/>
      <c r="K269" s="34" t="n"/>
      <c r="L269" s="34" t="n"/>
      <c r="M269" s="34" t="n"/>
      <c r="N269" s="34" t="n"/>
      <c r="O269" s="34" t="n"/>
      <c r="P269" s="34" t="n"/>
      <c r="Q269" s="34" t="n"/>
      <c r="R269" s="34" t="n"/>
      <c r="S269" s="34" t="n"/>
      <c r="T269" s="34" t="n"/>
      <c r="U269" s="34" t="n"/>
      <c r="V269" s="34" t="n"/>
      <c r="W269" s="34" t="n"/>
      <c r="X269" s="34" t="n"/>
      <c r="Y269" s="34" t="n"/>
      <c r="Z269" s="34" t="n"/>
      <c r="AA269" s="34" t="n"/>
      <c r="AB269" s="34" t="n"/>
      <c r="AC269" s="34" t="n"/>
      <c r="AD269" s="34" t="n"/>
      <c r="AE269" s="34" t="n"/>
      <c r="AF269" s="34" t="n"/>
      <c r="AG269" s="34" t="n"/>
      <c r="AH269" s="34" t="n"/>
      <c r="AI269" s="34" t="n"/>
      <c r="AJ269" s="34" t="n"/>
      <c r="AK269" s="34" t="n"/>
      <c r="AL269" s="34" t="n"/>
      <c r="AM269" s="34" t="n"/>
      <c r="AN269" s="34" t="n"/>
      <c r="AO269" s="34" t="n"/>
      <c r="AP269" s="34" t="n"/>
      <c r="AQ269" s="34" t="n"/>
      <c r="AR269" s="34" t="n"/>
      <c r="AS269" s="34" t="n"/>
      <c r="AT269" s="34" t="n"/>
      <c r="AU269" s="34" t="n"/>
      <c r="AV269" s="34" t="n"/>
      <c r="AW269" s="34" t="n"/>
      <c r="AX269" s="34" t="n"/>
      <c r="AY269" s="34" t="n"/>
      <c r="AZ269" s="34" t="n"/>
      <c r="BA269" s="34" t="n"/>
      <c r="BB269" s="34" t="n"/>
      <c r="BC269" s="34" t="n"/>
      <c r="BD269" s="34" t="n"/>
      <c r="BE269" s="34" t="n"/>
      <c r="BF269" s="34" t="n"/>
      <c r="BG269" s="34" t="n"/>
      <c r="BH269" s="34" t="n"/>
      <c r="BI269" s="34" t="n"/>
      <c r="BJ269" s="34" t="n"/>
      <c r="BK269" s="34" t="n"/>
      <c r="BL269" s="34" t="n"/>
      <c r="BM269" s="34" t="n"/>
      <c r="BN269" s="34" t="n"/>
      <c r="BO269" s="34" t="n"/>
      <c r="BP269" s="34" t="n"/>
      <c r="BQ269" s="34" t="n"/>
      <c r="BR269" s="34" t="n"/>
      <c r="BS269" s="34" t="n"/>
      <c r="BT269" s="34" t="n"/>
      <c r="BU269" s="34" t="n"/>
      <c r="BV269" s="34" t="n"/>
      <c r="BW269" s="34" t="n"/>
      <c r="BX269" s="34" t="n"/>
      <c r="BY269" s="35" t="n"/>
      <c r="BZ269" s="35" t="n"/>
      <c r="CA269" s="263">
        <f>BX305</f>
        <v>789.792534</v>
      </c>
      <c r="CB269" s="263">
        <f>CA270</f>
        <v>794.714155621622</v>
      </c>
      <c r="CC269" s="263">
        <f>CB270</f>
        <v>838.040470936937</v>
      </c>
      <c r="CD269" s="263">
        <f>CC270</f>
        <v>847.447669802469</v>
      </c>
      <c r="CE269" s="263">
        <f>CD270</f>
        <v>795.938417023157</v>
      </c>
      <c r="CF269" s="263">
        <f>CE270</f>
        <v>742.128417588397</v>
      </c>
      <c r="CG269" s="19" t="inlineStr">
        <is>
          <t>2026E begins from shares outstanding at 30-Jun-2026 (1,012.3m issued − treasury shares; balance-sheet caption).</t>
        </is>
      </c>
    </row>
    <row r="270" ht="15" customHeight="1" s="251">
      <c r="B270" s="25" t="inlineStr">
        <is>
          <t xml:space="preserve">  Ending shares outstanding (m)</t>
        </is>
      </c>
      <c r="C270" s="34" t="n"/>
      <c r="D270" s="34" t="n"/>
      <c r="E270" s="34" t="n"/>
      <c r="F270" s="34" t="n"/>
      <c r="G270" s="34" t="n"/>
      <c r="H270" s="34" t="n"/>
      <c r="I270" s="34" t="n"/>
      <c r="J270" s="34" t="n"/>
      <c r="K270" s="34" t="n"/>
      <c r="L270" s="34" t="n"/>
      <c r="M270" s="34" t="n"/>
      <c r="N270" s="34" t="n"/>
      <c r="O270" s="34" t="n"/>
      <c r="P270" s="34" t="n"/>
      <c r="Q270" s="34" t="n"/>
      <c r="R270" s="34" t="n"/>
      <c r="S270" s="34" t="n"/>
      <c r="T270" s="34" t="n"/>
      <c r="U270" s="34" t="n"/>
      <c r="V270" s="34" t="n"/>
      <c r="W270" s="34" t="n"/>
      <c r="X270" s="34" t="n"/>
      <c r="Y270" s="34" t="n"/>
      <c r="Z270" s="34" t="n"/>
      <c r="AA270" s="34" t="n"/>
      <c r="AB270" s="34" t="n"/>
      <c r="AC270" s="34" t="n"/>
      <c r="AD270" s="34" t="n"/>
      <c r="AE270" s="34" t="n"/>
      <c r="AF270" s="34" t="n"/>
      <c r="AG270" s="34" t="n"/>
      <c r="AH270" s="34" t="n"/>
      <c r="AI270" s="34" t="n"/>
      <c r="AJ270" s="34" t="n"/>
      <c r="AK270" s="34" t="n"/>
      <c r="AL270" s="34" t="n"/>
      <c r="AM270" s="34" t="n"/>
      <c r="AN270" s="34" t="n"/>
      <c r="AO270" s="34" t="n"/>
      <c r="AP270" s="34" t="n"/>
      <c r="AQ270" s="34" t="n"/>
      <c r="AR270" s="34" t="n"/>
      <c r="AS270" s="34" t="n"/>
      <c r="AT270" s="34" t="n"/>
      <c r="AU270" s="34" t="n"/>
      <c r="AV270" s="34" t="n"/>
      <c r="AW270" s="34" t="n"/>
      <c r="AX270" s="34" t="n"/>
      <c r="AY270" s="34" t="n"/>
      <c r="AZ270" s="34" t="n"/>
      <c r="BA270" s="34" t="n"/>
      <c r="BB270" s="34" t="n"/>
      <c r="BC270" s="34" t="n"/>
      <c r="BD270" s="34" t="n"/>
      <c r="BE270" s="34" t="n"/>
      <c r="BF270" s="34" t="n"/>
      <c r="BG270" s="34" t="n"/>
      <c r="BH270" s="34" t="n"/>
      <c r="BI270" s="34" t="n"/>
      <c r="BJ270" s="34" t="n"/>
      <c r="BK270" s="34" t="n"/>
      <c r="BL270" s="34" t="n"/>
      <c r="BM270" s="34" t="n"/>
      <c r="BN270" s="34" t="n"/>
      <c r="BO270" s="34" t="n"/>
      <c r="BP270" s="34" t="n"/>
      <c r="BQ270" s="34" t="n"/>
      <c r="BR270" s="34" t="n"/>
      <c r="BS270" s="34" t="n"/>
      <c r="BT270" s="34" t="n"/>
      <c r="BU270" s="34" t="n"/>
      <c r="BV270" s="34" t="n"/>
      <c r="BW270" s="34" t="n"/>
      <c r="BX270" s="34" t="n"/>
      <c r="BY270" s="35" t="n"/>
      <c r="BZ270" s="35" t="n"/>
      <c r="CA270" s="263">
        <f>CA269-CA265+CA266+CA267+CA268</f>
        <v>794.714155621622</v>
      </c>
      <c r="CB270" s="263">
        <f>CB269-CB265+CB266+CB267+CB268</f>
        <v>838.040470936937</v>
      </c>
      <c r="CC270" s="263">
        <f>CC269-CC265+CC266+CC267+CC268</f>
        <v>847.447669802469</v>
      </c>
      <c r="CD270" s="263">
        <f>CD269-CD265+CD266+CD267+CD268</f>
        <v>795.938417023157</v>
      </c>
      <c r="CE270" s="263">
        <f>CE269-CE265+CE266+CE267+CE268</f>
        <v>742.128417588397</v>
      </c>
      <c r="CF270" s="263">
        <f>CF269-CF265+CF266+CF267+CF268</f>
        <v>692.162454662207</v>
      </c>
      <c r="CG270" s="19" t="n"/>
    </row>
    <row r="271" ht="15" customHeight="1" s="251">
      <c r="B271" s="25" t="inlineStr">
        <is>
          <t xml:space="preserve">  % of shares repurchased</t>
        </is>
      </c>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c r="AF271" s="36" t="n"/>
      <c r="AG271" s="36" t="n"/>
      <c r="AH271" s="36" t="n"/>
      <c r="AI271" s="36" t="n"/>
      <c r="AJ271" s="36" t="n"/>
      <c r="AK271" s="36" t="n"/>
      <c r="AL271" s="36" t="n"/>
      <c r="AM271" s="36" t="n"/>
      <c r="AN271" s="36" t="n"/>
      <c r="AO271" s="36" t="n"/>
      <c r="AP271" s="36" t="n"/>
      <c r="AQ271" s="36" t="n"/>
      <c r="AR271" s="36" t="n"/>
      <c r="AS271" s="36" t="n"/>
      <c r="AT271" s="36" t="n"/>
      <c r="AU271" s="36" t="n"/>
      <c r="AV271" s="36" t="n"/>
      <c r="AW271" s="36" t="n"/>
      <c r="AX271" s="36" t="n"/>
      <c r="AY271" s="36" t="n"/>
      <c r="AZ271" s="36" t="n"/>
      <c r="BA271" s="36" t="n"/>
      <c r="BB271" s="36" t="n"/>
      <c r="BC271" s="36" t="n"/>
      <c r="BD271" s="36" t="n"/>
      <c r="BE271" s="36" t="n"/>
      <c r="BF271" s="36" t="n"/>
      <c r="BG271" s="36" t="n"/>
      <c r="BH271" s="36" t="n"/>
      <c r="BI271" s="36" t="n"/>
      <c r="BJ271" s="36" t="n"/>
      <c r="BK271" s="36" t="n"/>
      <c r="BL271" s="36" t="n"/>
      <c r="BM271" s="36" t="n"/>
      <c r="BN271" s="36" t="n"/>
      <c r="BO271" s="36" t="n"/>
      <c r="BP271" s="36" t="n"/>
      <c r="BQ271" s="36" t="n"/>
      <c r="BR271" s="36" t="n"/>
      <c r="BS271" s="36" t="n"/>
      <c r="BT271" s="36" t="n"/>
      <c r="BU271" s="36" t="n"/>
      <c r="BV271" s="36" t="n"/>
      <c r="BW271" s="36" t="n"/>
      <c r="BX271" s="36" t="n"/>
      <c r="BY271" s="24" t="n"/>
      <c r="BZ271" s="24" t="n"/>
      <c r="CA271" s="260">
        <f>IF(AND(ISNUMBER(CA265),ISNUMBER(CA269)),IFERROR(CA265/CA269,""),"")</f>
        <v>0</v>
      </c>
      <c r="CB271" s="260">
        <f>IF(AND(ISNUMBER(CB265),ISNUMBER(CB269)),IFERROR(CB265/CB269,""),"")</f>
        <v>0</v>
      </c>
      <c r="CC271" s="260">
        <f>IF(AND(ISNUMBER(CC265),ISNUMBER(CC269)),IFERROR(CC265/CC269,""),"")</f>
        <v>0</v>
      </c>
      <c r="CD271" s="260">
        <f>IF(AND(ISNUMBER(CD265),ISNUMBER(CD269)),IFERROR(CD265/CD269,""),"")</f>
        <v>0.0714229699743611</v>
      </c>
      <c r="CE271" s="260">
        <f>IF(AND(ISNUMBER(CE265),ISNUMBER(CE269)),IFERROR(CE265/CE269,""),"")</f>
        <v>0.0784693541233692</v>
      </c>
      <c r="CF271" s="260">
        <f>IF(AND(ISNUMBER(CF265),ISNUMBER(CF269)),IFERROR(CF265/CF269,""),"")</f>
        <v>0.0785022083757802</v>
      </c>
      <c r="CG271" s="153" t="n"/>
    </row>
    <row r="272" ht="15" customHeight="1" s="251">
      <c r="B272" s="156" t="inlineStr">
        <is>
          <t xml:space="preserve">  Memo: cumulative shares repurchased since 2H26 (m)</t>
        </is>
      </c>
      <c r="C272" s="34" t="n"/>
      <c r="D272" s="34" t="n"/>
      <c r="E272" s="34" t="n"/>
      <c r="F272" s="34" t="n"/>
      <c r="G272" s="34" t="n"/>
      <c r="H272" s="34" t="n"/>
      <c r="I272" s="34" t="n"/>
      <c r="J272" s="34" t="n"/>
      <c r="K272" s="34" t="n"/>
      <c r="L272" s="34" t="n"/>
      <c r="M272" s="34" t="n"/>
      <c r="N272" s="34" t="n"/>
      <c r="O272" s="34" t="n"/>
      <c r="P272" s="34" t="n"/>
      <c r="Q272" s="34" t="n"/>
      <c r="R272" s="34" t="n"/>
      <c r="S272" s="34" t="n"/>
      <c r="T272" s="34" t="n"/>
      <c r="U272" s="34" t="n"/>
      <c r="V272" s="34" t="n"/>
      <c r="W272" s="34" t="n"/>
      <c r="X272" s="34" t="n"/>
      <c r="Y272" s="34" t="n"/>
      <c r="Z272" s="34" t="n"/>
      <c r="AA272" s="34" t="n"/>
      <c r="AB272" s="34" t="n"/>
      <c r="AC272" s="34" t="n"/>
      <c r="AD272" s="34" t="n"/>
      <c r="AE272" s="34" t="n"/>
      <c r="AF272" s="34" t="n"/>
      <c r="AG272" s="34" t="n"/>
      <c r="AH272" s="34" t="n"/>
      <c r="AI272" s="34" t="n"/>
      <c r="AJ272" s="34" t="n"/>
      <c r="AK272" s="34" t="n"/>
      <c r="AL272" s="34" t="n"/>
      <c r="AM272" s="34" t="n"/>
      <c r="AN272" s="34" t="n"/>
      <c r="AO272" s="34" t="n"/>
      <c r="AP272" s="34" t="n"/>
      <c r="AQ272" s="34" t="n"/>
      <c r="AR272" s="34" t="n"/>
      <c r="AS272" s="34" t="n"/>
      <c r="AT272" s="34" t="n"/>
      <c r="AU272" s="34" t="n"/>
      <c r="AV272" s="34" t="n"/>
      <c r="AW272" s="34" t="n"/>
      <c r="AX272" s="34" t="n"/>
      <c r="AY272" s="34" t="n"/>
      <c r="AZ272" s="34" t="n"/>
      <c r="BA272" s="34" t="n"/>
      <c r="BB272" s="34" t="n"/>
      <c r="BC272" s="34" t="n"/>
      <c r="BD272" s="34" t="n"/>
      <c r="BE272" s="34" t="n"/>
      <c r="BF272" s="34" t="n"/>
      <c r="BG272" s="34" t="n"/>
      <c r="BH272" s="34" t="n"/>
      <c r="BI272" s="34" t="n"/>
      <c r="BJ272" s="34" t="n"/>
      <c r="BK272" s="34" t="n"/>
      <c r="BL272" s="34" t="n"/>
      <c r="BM272" s="34" t="n"/>
      <c r="BN272" s="34" t="n"/>
      <c r="BO272" s="34" t="n"/>
      <c r="BP272" s="34" t="n"/>
      <c r="BQ272" s="34" t="n"/>
      <c r="BR272" s="34" t="n"/>
      <c r="BS272" s="34" t="n"/>
      <c r="BT272" s="34" t="n"/>
      <c r="BU272" s="34" t="n"/>
      <c r="BV272" s="34" t="n"/>
      <c r="BW272" s="34" t="n"/>
      <c r="BX272" s="34" t="n"/>
      <c r="BY272" s="153" t="n"/>
      <c r="BZ272" s="153" t="n"/>
      <c r="CA272" s="276">
        <f>CA265</f>
        <v>0</v>
      </c>
      <c r="CB272" s="276">
        <f>CA272+CB265</f>
        <v>0</v>
      </c>
      <c r="CC272" s="276">
        <f>CB272+CC265</f>
        <v>0</v>
      </c>
      <c r="CD272" s="276">
        <f>CC272+CD265</f>
        <v>60.527229475144</v>
      </c>
      <c r="CE272" s="276">
        <f>CD272+CE265</f>
        <v>122.984002980928</v>
      </c>
      <c r="CF272" s="276">
        <f>CE272+CF265</f>
        <v>181.24272266004</v>
      </c>
      <c r="CG272" s="153" t="n"/>
    </row>
    <row r="273" ht="15" customHeight="1" s="251">
      <c r="CO273" s="11" t="n"/>
      <c r="CP273" s="12" t="n"/>
      <c r="CQ273" s="12" t="n"/>
      <c r="CR273" s="12" t="n"/>
      <c r="CS273" s="13" t="n"/>
    </row>
    <row r="274" ht="15" customHeight="1" s="251">
      <c r="B274" s="10" t="inlineStr">
        <is>
          <t>CONSOLIDATED STATEMENTS OF FINANCIAL POSITION (condensed)</t>
        </is>
      </c>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c r="AH274" s="10" t="n"/>
      <c r="AI274" s="10" t="n"/>
      <c r="AJ274" s="10" t="n"/>
      <c r="AK274" s="10" t="n"/>
      <c r="AL274" s="10" t="n"/>
      <c r="AM274" s="10" t="n"/>
      <c r="AN274" s="10" t="n"/>
      <c r="AO274" s="10" t="n"/>
      <c r="AP274" s="10" t="n"/>
      <c r="AQ274" s="10" t="n"/>
      <c r="AR274" s="10" t="n"/>
      <c r="AS274" s="10" t="n"/>
      <c r="AT274" s="10" t="n"/>
      <c r="AU274" s="10" t="n"/>
      <c r="AV274" s="10" t="n"/>
      <c r="AW274" s="10" t="n"/>
      <c r="AX274" s="10" t="n"/>
      <c r="AY274" s="10" t="n"/>
      <c r="AZ274" s="10" t="n"/>
      <c r="BA274" s="10" t="n"/>
      <c r="BB274" s="10" t="n"/>
      <c r="BC274" s="10" t="n"/>
      <c r="BD274" s="10" t="n"/>
      <c r="BE274" s="10" t="n"/>
      <c r="BF274" s="10" t="n"/>
      <c r="BG274" s="10" t="n"/>
      <c r="BH274" s="10" t="n"/>
      <c r="BI274" s="10" t="n"/>
      <c r="BJ274" s="10" t="n"/>
      <c r="BK274" s="10" t="n"/>
      <c r="BL274" s="10" t="n"/>
      <c r="BM274" s="10" t="n"/>
      <c r="BN274" s="10" t="n"/>
      <c r="BO274" s="10" t="n"/>
      <c r="BP274" s="10" t="n"/>
      <c r="BQ274" s="10" t="n"/>
      <c r="BR274" s="10" t="n"/>
      <c r="BS274" s="10" t="n"/>
      <c r="BT274" s="10" t="n"/>
      <c r="BU274" s="10" t="n"/>
      <c r="BV274" s="10" t="n"/>
      <c r="BW274" s="10" t="n"/>
      <c r="BX274" s="10" t="n"/>
      <c r="BY274" s="10" t="n"/>
      <c r="BZ274" s="10" t="n"/>
      <c r="CA274" s="10" t="n"/>
      <c r="CB274" s="10" t="n"/>
      <c r="CC274" s="10" t="n"/>
      <c r="CD274" s="10" t="n"/>
      <c r="CE274" s="10" t="n"/>
      <c r="CF274" s="10" t="n"/>
      <c r="CG274" s="10" t="inlineStr">
        <is>
          <t>BS FORECAST — 2026E rolled forward from the 30-Jun-2026 balance sheet + 2H flows; 2027E+ from prior year end</t>
        </is>
      </c>
    </row>
    <row r="275" ht="15" customHeight="1" s="251">
      <c r="B275" s="25" t="inlineStr">
        <is>
          <t>ASSETS</t>
        </is>
      </c>
      <c r="CG275" s="153" t="n"/>
    </row>
    <row r="276" ht="15" customHeight="1" s="251">
      <c r="B276" s="25" t="inlineStr">
        <is>
          <t xml:space="preserve">  Cash and cash equivalents</t>
        </is>
      </c>
      <c r="C276" s="266" t="n">
        <v>6118</v>
      </c>
      <c r="D276" s="266" t="n">
        <v>7042</v>
      </c>
      <c r="E276" s="266" t="n">
        <v>3268</v>
      </c>
      <c r="F276" s="266" t="n">
        <v>9215</v>
      </c>
      <c r="G276" s="266" t="n">
        <v>5359</v>
      </c>
      <c r="H276" s="266" t="n">
        <v>10049</v>
      </c>
      <c r="I276" s="266" t="n">
        <v>10341</v>
      </c>
      <c r="J276" s="266" t="n">
        <v>8335</v>
      </c>
      <c r="K276" s="266" t="n">
        <v>8694</v>
      </c>
      <c r="L276" s="266" t="n">
        <v>10041</v>
      </c>
      <c r="M276" s="266" t="n">
        <v>9088</v>
      </c>
      <c r="N276" s="266" t="n">
        <v>9088</v>
      </c>
      <c r="O276" s="266" t="n">
        <v>6942</v>
      </c>
      <c r="P276" s="266" t="n">
        <v>7533</v>
      </c>
      <c r="Q276" s="266" t="n">
        <v>6655</v>
      </c>
      <c r="R276" s="266" t="n">
        <v>11733</v>
      </c>
      <c r="S276" s="266" t="n">
        <v>11733</v>
      </c>
      <c r="T276" s="266" t="n">
        <v>8655</v>
      </c>
      <c r="U276" s="266" t="n">
        <v>9157</v>
      </c>
      <c r="V276" s="266" t="n">
        <v>9383</v>
      </c>
      <c r="W276" s="266" t="n">
        <v>11302</v>
      </c>
      <c r="X276" s="266" t="n">
        <v>11302</v>
      </c>
      <c r="Y276" s="266" t="n">
        <v>7886</v>
      </c>
      <c r="Z276" s="266" t="n">
        <v>8605</v>
      </c>
      <c r="AA276" s="266" t="n">
        <v>8986</v>
      </c>
      <c r="AB276" s="266" t="n">
        <v>8801</v>
      </c>
      <c r="AC276" s="266" t="n">
        <v>8801</v>
      </c>
      <c r="AD276" s="266" t="n">
        <v>8190</v>
      </c>
      <c r="AE276" s="266" t="n">
        <v>8737</v>
      </c>
      <c r="AF276" s="266" t="n">
        <v>8569</v>
      </c>
      <c r="AG276" s="266" t="n">
        <v>8813</v>
      </c>
      <c r="AH276" s="266" t="n">
        <v>8813</v>
      </c>
      <c r="AI276" s="266" t="n">
        <v>9235</v>
      </c>
      <c r="AJ276" s="266" t="n">
        <v>8121</v>
      </c>
      <c r="AK276" s="266" t="n">
        <v>8034</v>
      </c>
      <c r="AL276" s="266" t="n">
        <v>7637</v>
      </c>
      <c r="AM276" s="266" t="n">
        <v>7637</v>
      </c>
      <c r="AN276" s="266" t="n">
        <v>6836</v>
      </c>
      <c r="AO276" s="266" t="n">
        <v>9167</v>
      </c>
      <c r="AP276" s="266" t="n">
        <v>9763</v>
      </c>
      <c r="AQ276" s="266" t="n">
        <v>9485</v>
      </c>
      <c r="AR276" s="266" t="n">
        <v>9485</v>
      </c>
      <c r="AS276" s="266" t="n">
        <v>15039</v>
      </c>
      <c r="AT276" s="266" t="n">
        <v>19992</v>
      </c>
      <c r="AU276" s="266" t="n">
        <v>10564</v>
      </c>
      <c r="AV276" s="266" t="n">
        <v>7752</v>
      </c>
      <c r="AW276" s="266" t="n">
        <v>7752</v>
      </c>
      <c r="AX276" s="266" t="n">
        <v>7059</v>
      </c>
      <c r="AY276" s="266" t="n">
        <v>8271</v>
      </c>
      <c r="AZ276" s="266" t="n">
        <v>9764</v>
      </c>
      <c r="BA276" s="266" t="n">
        <v>8052</v>
      </c>
      <c r="BB276" s="266" t="n">
        <v>8052</v>
      </c>
      <c r="BC276" s="266" t="n">
        <v>7409</v>
      </c>
      <c r="BD276" s="266" t="n">
        <v>10090</v>
      </c>
      <c r="BE276" s="266" t="n">
        <v>13494</v>
      </c>
      <c r="BF276" s="266" t="n">
        <v>14614</v>
      </c>
      <c r="BG276" s="266" t="n">
        <v>14614</v>
      </c>
      <c r="BH276" s="266" t="n">
        <v>10812</v>
      </c>
      <c r="BI276" s="266" t="n">
        <v>7254</v>
      </c>
      <c r="BJ276" s="266" t="n">
        <v>6811</v>
      </c>
      <c r="BK276" s="266" t="n">
        <v>12691</v>
      </c>
      <c r="BL276" s="266" t="n">
        <v>12691</v>
      </c>
      <c r="BM276" s="266" t="n">
        <v>6914</v>
      </c>
      <c r="BN276" s="266" t="n">
        <v>10894</v>
      </c>
      <c r="BO276" s="266" t="n">
        <v>9961</v>
      </c>
      <c r="BP276" s="266" t="n">
        <v>13801</v>
      </c>
      <c r="BQ276" s="266" t="n">
        <v>13801</v>
      </c>
      <c r="BR276" s="266" t="n">
        <v>10142</v>
      </c>
      <c r="BS276" s="266" t="n">
        <v>7087</v>
      </c>
      <c r="BT276" s="266" t="n">
        <v>6173</v>
      </c>
      <c r="BU276" s="266" t="n">
        <v>10921</v>
      </c>
      <c r="BV276" s="266" t="n">
        <v>10921</v>
      </c>
      <c r="BW276" s="266" t="n">
        <v>9441</v>
      </c>
      <c r="BX276" s="266" t="n">
        <v>7239</v>
      </c>
      <c r="BY276" s="35" t="n"/>
      <c r="BZ276" s="35" t="n"/>
      <c r="CA276" s="263">
        <f>CA245-CA246</f>
        <v>9889.5</v>
      </c>
      <c r="CB276" s="263">
        <f>CB245-CB246</f>
        <v>11863.8112720767</v>
      </c>
      <c r="CC276" s="263">
        <f>CC245-CC246</f>
        <v>21054.9410645051</v>
      </c>
      <c r="CD276" s="263">
        <f>CD245-CD246</f>
        <v>19768.7307195024</v>
      </c>
      <c r="CE276" s="263">
        <f>CE245-CE246</f>
        <v>18611.9352079449</v>
      </c>
      <c r="CF276" s="263">
        <f>CF245-CF246</f>
        <v>17847.6004144271</v>
      </c>
      <c r="CG276" s="19" t="n"/>
    </row>
    <row r="277" ht="15" customHeight="1" s="251">
      <c r="B277" s="25" t="inlineStr">
        <is>
          <t xml:space="preserve">  Short-term and other investments</t>
        </is>
      </c>
      <c r="C277" s="266" t="n">
        <v>268</v>
      </c>
      <c r="D277" s="266" t="n">
        <v>2266</v>
      </c>
      <c r="E277" s="266" t="n">
        <v>11</v>
      </c>
      <c r="F277" s="266" t="n">
        <v>2008</v>
      </c>
      <c r="G277" s="266" t="n">
        <v>5158</v>
      </c>
      <c r="H277" s="266" t="n">
        <v>1223</v>
      </c>
      <c r="I277" s="266" t="n">
        <v>3217</v>
      </c>
      <c r="J277" s="266" t="n">
        <v>3518</v>
      </c>
      <c r="K277" s="266" t="n">
        <v>5631</v>
      </c>
      <c r="L277" s="266" t="n">
        <v>5870</v>
      </c>
      <c r="M277" s="266" t="n">
        <v>6170</v>
      </c>
      <c r="N277" s="266" t="n">
        <v>6170</v>
      </c>
      <c r="O277" s="266" t="n">
        <v>5282</v>
      </c>
      <c r="P277" s="266" t="n">
        <v>3797</v>
      </c>
      <c r="Q277" s="266" t="n">
        <v>3422</v>
      </c>
      <c r="R277" s="266" t="n">
        <v>1359</v>
      </c>
      <c r="S277" s="266" t="n">
        <v>1359</v>
      </c>
      <c r="T277" s="266" t="n">
        <v>976</v>
      </c>
      <c r="U277" s="266" t="n">
        <v>468</v>
      </c>
      <c r="V277" s="266" t="n">
        <v>474</v>
      </c>
      <c r="W277" s="266" t="n">
        <v>750</v>
      </c>
      <c r="X277" s="266" t="n">
        <v>750</v>
      </c>
      <c r="Y277" s="266" t="n">
        <v>466</v>
      </c>
      <c r="Z277" s="266" t="n">
        <v>660</v>
      </c>
      <c r="AA277" s="266" t="n">
        <v>682</v>
      </c>
      <c r="AB277" s="266" t="n">
        <v>1228</v>
      </c>
      <c r="AC277" s="266" t="n">
        <v>1228</v>
      </c>
      <c r="AD277" s="266" t="n">
        <v>1015</v>
      </c>
      <c r="AE277" s="266" t="n">
        <v>1589</v>
      </c>
      <c r="AF277" s="266" t="n">
        <v>1463</v>
      </c>
      <c r="AG277" s="266" t="n">
        <v>1179</v>
      </c>
      <c r="AH277" s="266" t="n">
        <v>1179</v>
      </c>
      <c r="AI277" s="266" t="n">
        <v>656</v>
      </c>
      <c r="AJ277" s="266" t="n">
        <v>1649</v>
      </c>
      <c r="AK277" s="266" t="n">
        <v>1956</v>
      </c>
      <c r="AL277" s="266" t="n">
        <v>927</v>
      </c>
      <c r="AM277" s="266" t="n">
        <v>927</v>
      </c>
      <c r="AN277" s="266" t="n">
        <v>893</v>
      </c>
      <c r="AO277" s="266" t="n">
        <v>439</v>
      </c>
      <c r="AP277" s="266" t="n">
        <v>1150</v>
      </c>
      <c r="AQ277" s="266" t="n">
        <v>545</v>
      </c>
      <c r="AR277" s="266" t="n">
        <v>545</v>
      </c>
      <c r="AS277" s="266" t="n">
        <v>488</v>
      </c>
      <c r="AT277" s="266" t="n">
        <v>12438</v>
      </c>
      <c r="AU277" s="266" t="n">
        <v>16552</v>
      </c>
      <c r="AV277" s="266" t="n">
        <v>17838</v>
      </c>
      <c r="AW277" s="266" t="n">
        <v>17838</v>
      </c>
      <c r="AX277" s="266" t="n">
        <v>14861</v>
      </c>
      <c r="AY277" s="266" t="n">
        <v>13071</v>
      </c>
      <c r="AZ277" s="266" t="n">
        <v>10231</v>
      </c>
      <c r="BA277" s="266" t="n">
        <v>8192</v>
      </c>
      <c r="BB277" s="266" t="n">
        <v>8192</v>
      </c>
      <c r="BC277" s="266" t="n">
        <v>4873</v>
      </c>
      <c r="BD277" s="266" t="n">
        <v>1358</v>
      </c>
      <c r="BE277" s="266" t="n">
        <v>763</v>
      </c>
      <c r="BF277" s="266" t="n">
        <v>2606</v>
      </c>
      <c r="BG277" s="266" t="n">
        <v>2606</v>
      </c>
      <c r="BH277" s="266" t="n">
        <v>3955</v>
      </c>
      <c r="BI277" s="266" t="n">
        <v>6508</v>
      </c>
      <c r="BJ277" s="266" t="n">
        <v>6561</v>
      </c>
      <c r="BK277" s="266" t="n">
        <v>3274</v>
      </c>
      <c r="BL277" s="266" t="n">
        <v>3274</v>
      </c>
      <c r="BM277" s="266" t="n">
        <v>615</v>
      </c>
      <c r="BN277" s="266" t="n">
        <v>1727</v>
      </c>
      <c r="BO277" s="266" t="n">
        <v>509</v>
      </c>
      <c r="BP277" s="266" t="n">
        <v>12481</v>
      </c>
      <c r="BQ277" s="266" t="n">
        <v>12481</v>
      </c>
      <c r="BR277" s="266" t="n">
        <v>13532</v>
      </c>
      <c r="BS277" s="266" t="n">
        <v>15880</v>
      </c>
      <c r="BT277" s="266" t="n">
        <v>16811</v>
      </c>
      <c r="BU277" s="266" t="n">
        <v>18479</v>
      </c>
      <c r="BV277" s="266" t="n">
        <v>18479</v>
      </c>
      <c r="BW277" s="266" t="n">
        <v>11464</v>
      </c>
      <c r="BX277" s="266" t="n">
        <v>12783</v>
      </c>
      <c r="BY277" s="35" t="n"/>
      <c r="BZ277" s="35" t="n"/>
      <c r="CA277" s="263">
        <f>BX277</f>
        <v>12783</v>
      </c>
      <c r="CB277" s="263">
        <f>CA277</f>
        <v>12783</v>
      </c>
      <c r="CC277" s="263">
        <f>CB277</f>
        <v>12783</v>
      </c>
      <c r="CD277" s="263">
        <f>CC277</f>
        <v>12783</v>
      </c>
      <c r="CE277" s="263">
        <f>CD277</f>
        <v>12783</v>
      </c>
      <c r="CF277" s="263">
        <f>CE277</f>
        <v>12783</v>
      </c>
      <c r="CG277" s="19" t="inlineStr">
        <is>
          <t>Held at the 30-Jun-2026 level (assumption); counted with cash in net debt.</t>
        </is>
      </c>
    </row>
    <row r="278" ht="15" customHeight="1" s="251">
      <c r="B278" s="25" t="inlineStr">
        <is>
          <t xml:space="preserve">  Accounts receivable and unbilled receivables, net</t>
        </is>
      </c>
      <c r="C278" s="266" t="n">
        <v>5285</v>
      </c>
      <c r="D278" s="266" t="n">
        <v>5740</v>
      </c>
      <c r="E278" s="266" t="n">
        <v>5506</v>
      </c>
      <c r="F278" s="266" t="n">
        <v>5785</v>
      </c>
      <c r="G278" s="266" t="n">
        <v>5422</v>
      </c>
      <c r="H278" s="266" t="n">
        <v>5793</v>
      </c>
      <c r="I278" s="266" t="n">
        <v>5608</v>
      </c>
      <c r="J278" s="266" t="n">
        <v>6351</v>
      </c>
      <c r="K278" s="266" t="n">
        <v>6406</v>
      </c>
      <c r="L278" s="266" t="n">
        <v>6652</v>
      </c>
      <c r="M278" s="266" t="n">
        <v>6546</v>
      </c>
      <c r="N278" s="266" t="n">
        <v>6546</v>
      </c>
      <c r="O278" s="266" t="n">
        <v>7341</v>
      </c>
      <c r="P278" s="266" t="n">
        <v>7694</v>
      </c>
      <c r="Q278" s="266" t="n">
        <v>7799</v>
      </c>
      <c r="R278" s="266" t="n">
        <v>7729</v>
      </c>
      <c r="S278" s="266" t="n">
        <v>7729</v>
      </c>
      <c r="T278" s="266" t="n">
        <v>8087</v>
      </c>
      <c r="U278" s="266" t="n">
        <v>7927</v>
      </c>
      <c r="V278" s="266" t="n">
        <v>8854</v>
      </c>
      <c r="W278" s="266" t="n">
        <v>8713</v>
      </c>
      <c r="X278" s="266" t="n">
        <v>8713</v>
      </c>
      <c r="Y278" s="266" t="n">
        <v>9711</v>
      </c>
      <c r="Z278" s="266" t="n">
        <v>9809</v>
      </c>
      <c r="AA278" s="266" t="n">
        <v>9524</v>
      </c>
      <c r="AB278" s="266" t="n">
        <v>8832</v>
      </c>
      <c r="AC278" s="266" t="n">
        <v>8832</v>
      </c>
      <c r="AD278" s="266" t="n">
        <v>9335</v>
      </c>
      <c r="AE278" s="266" t="n">
        <v>9503</v>
      </c>
      <c r="AF278" s="266" t="n">
        <v>10644</v>
      </c>
      <c r="AG278" s="266" t="n">
        <v>10516</v>
      </c>
      <c r="AH278" s="266" t="n">
        <v>10516</v>
      </c>
      <c r="AI278" s="266" t="n">
        <v>12624</v>
      </c>
      <c r="AJ278" s="266" t="n">
        <v>12691</v>
      </c>
      <c r="AK278" s="266" t="n">
        <v>12829</v>
      </c>
      <c r="AL278" s="266" t="n">
        <v>13904</v>
      </c>
      <c r="AM278" s="266" t="n">
        <v>13904</v>
      </c>
      <c r="AN278" s="266" t="n">
        <v>13877</v>
      </c>
      <c r="AO278" s="266" t="n">
        <v>13538</v>
      </c>
      <c r="AP278" s="266" t="n">
        <v>14642</v>
      </c>
      <c r="AQ278" s="266" t="n">
        <v>12309</v>
      </c>
      <c r="AR278" s="266" t="n">
        <v>12309</v>
      </c>
      <c r="AS278" s="266" t="n">
        <v>12576</v>
      </c>
      <c r="AT278" s="266" t="n">
        <v>11363</v>
      </c>
      <c r="AU278" s="266" t="n">
        <v>11622</v>
      </c>
      <c r="AV278" s="266" t="n">
        <v>9950</v>
      </c>
      <c r="AW278" s="266" t="n">
        <v>9950</v>
      </c>
      <c r="AX278" s="266" t="n">
        <v>11141</v>
      </c>
      <c r="AY278" s="266" t="n">
        <v>11693</v>
      </c>
      <c r="AZ278" s="266" t="n">
        <v>12256</v>
      </c>
      <c r="BA278" s="266" t="n">
        <v>11261</v>
      </c>
      <c r="BB278" s="266" t="n">
        <v>11261</v>
      </c>
      <c r="BC278" s="266" t="n">
        <v>11398</v>
      </c>
      <c r="BD278" s="266" t="n">
        <v>12390</v>
      </c>
      <c r="BE278" s="266" t="n">
        <v>11989</v>
      </c>
      <c r="BF278" s="266" t="n">
        <v>11151</v>
      </c>
      <c r="BG278" s="266" t="n">
        <v>11151</v>
      </c>
      <c r="BH278" s="266" t="n">
        <v>12551</v>
      </c>
      <c r="BI278" s="266" t="n">
        <v>12302</v>
      </c>
      <c r="BJ278" s="266" t="n">
        <v>12216</v>
      </c>
      <c r="BK278" s="266" t="n">
        <v>10966</v>
      </c>
      <c r="BL278" s="266" t="n">
        <v>10966</v>
      </c>
      <c r="BM278" s="266" t="n">
        <v>12632</v>
      </c>
      <c r="BN278" s="266" t="n">
        <v>12815</v>
      </c>
      <c r="BO278" s="266" t="n">
        <v>12250</v>
      </c>
      <c r="BP278" s="266" t="n">
        <v>10994</v>
      </c>
      <c r="BQ278" s="266" t="n">
        <v>10994</v>
      </c>
      <c r="BR278" s="266" t="n">
        <v>12235</v>
      </c>
      <c r="BS278" s="266" t="n">
        <v>12451</v>
      </c>
      <c r="BT278" s="266" t="n">
        <v>12346</v>
      </c>
      <c r="BU278" s="266" t="n">
        <v>12079</v>
      </c>
      <c r="BV278" s="266" t="n">
        <v>12079</v>
      </c>
      <c r="BW278" s="266" t="n">
        <v>13278</v>
      </c>
      <c r="BX278" s="266" t="n">
        <v>13175</v>
      </c>
      <c r="BY278" s="35" t="n"/>
      <c r="BZ278" s="35" t="n"/>
      <c r="CA278" s="263">
        <f>CA308*CA310/365</f>
        <v>13058.769669266</v>
      </c>
      <c r="CB278" s="263">
        <f>CB308*CB310/365</f>
        <v>14310.4713583002</v>
      </c>
      <c r="CC278" s="263">
        <f>CC308*CC310/365</f>
        <v>15543.2485460723</v>
      </c>
      <c r="CD278" s="263">
        <f>CD308*CD310/365</f>
        <v>16620.865982438</v>
      </c>
      <c r="CE278" s="263">
        <f>CE308*CE310/365</f>
        <v>17440.3033979975</v>
      </c>
      <c r="CF278" s="263">
        <f>CF308*CF310/365</f>
        <v>18191.1559990238</v>
      </c>
      <c r="CG278" s="19" t="n"/>
    </row>
    <row r="279" ht="15" customHeight="1" s="251">
      <c r="B279" s="25" t="inlineStr">
        <is>
          <t xml:space="preserve">  Inventories</t>
        </is>
      </c>
      <c r="C279" s="266" t="n">
        <v>8105</v>
      </c>
      <c r="D279" s="266" t="n">
        <v>9563</v>
      </c>
      <c r="E279" s="266" t="n">
        <v>15612</v>
      </c>
      <c r="F279" s="266" t="n">
        <v>16933</v>
      </c>
      <c r="G279" s="266" t="n">
        <v>24317</v>
      </c>
      <c r="H279" s="266" t="n">
        <v>32240</v>
      </c>
      <c r="I279" s="266" t="n">
        <v>37751</v>
      </c>
      <c r="J279" s="266" t="n">
        <v>40797</v>
      </c>
      <c r="K279" s="266" t="n">
        <v>40234</v>
      </c>
      <c r="L279" s="266" t="n">
        <v>41240</v>
      </c>
      <c r="M279" s="266" t="n">
        <v>42912</v>
      </c>
      <c r="N279" s="266" t="n">
        <v>42912</v>
      </c>
      <c r="O279" s="266" t="n">
        <v>44941</v>
      </c>
      <c r="P279" s="266" t="n">
        <v>46251</v>
      </c>
      <c r="Q279" s="266" t="n">
        <v>47058</v>
      </c>
      <c r="R279" s="266" t="n">
        <v>46756</v>
      </c>
      <c r="S279" s="266" t="n">
        <v>46756</v>
      </c>
      <c r="T279" s="266" t="n">
        <v>48502</v>
      </c>
      <c r="U279" s="266" t="n">
        <v>49028</v>
      </c>
      <c r="V279" s="266" t="n">
        <v>48624</v>
      </c>
      <c r="W279" s="266" t="n">
        <v>47257</v>
      </c>
      <c r="X279" s="266" t="n">
        <v>47257</v>
      </c>
      <c r="Y279" s="266" t="n">
        <v>47266</v>
      </c>
      <c r="Z279" s="266" t="n">
        <v>44182</v>
      </c>
      <c r="AA279" s="266" t="n">
        <v>42680</v>
      </c>
      <c r="AB279" s="266" t="n">
        <v>43199</v>
      </c>
      <c r="AC279" s="266" t="n">
        <v>43199</v>
      </c>
      <c r="AD279" s="266" t="n">
        <v>43247</v>
      </c>
      <c r="AE279" s="266" t="n">
        <v>42453</v>
      </c>
      <c r="AF279" s="266" t="n">
        <v>43031</v>
      </c>
      <c r="AG279" s="266" t="n">
        <v>44344</v>
      </c>
      <c r="AH279" s="266" t="n">
        <v>44344</v>
      </c>
      <c r="AI279" s="266" t="n">
        <v>61303</v>
      </c>
      <c r="AJ279" s="266" t="n">
        <v>61250</v>
      </c>
      <c r="AK279" s="266" t="n">
        <v>62038</v>
      </c>
      <c r="AL279" s="266" t="n">
        <v>62567</v>
      </c>
      <c r="AM279" s="266" t="n">
        <v>62567</v>
      </c>
      <c r="AN279" s="266" t="n">
        <v>65369</v>
      </c>
      <c r="AO279" s="266" t="n">
        <v>68492</v>
      </c>
      <c r="AP279" s="266" t="n">
        <v>73279</v>
      </c>
      <c r="AQ279" s="266" t="n">
        <v>76622</v>
      </c>
      <c r="AR279" s="266" t="n">
        <v>76622</v>
      </c>
      <c r="AS279" s="266" t="n">
        <v>80020</v>
      </c>
      <c r="AT279" s="266" t="n">
        <v>83745</v>
      </c>
      <c r="AU279" s="266" t="n">
        <v>86961</v>
      </c>
      <c r="AV279" s="266" t="n">
        <v>81715</v>
      </c>
      <c r="AW279" s="266" t="n">
        <v>81715</v>
      </c>
      <c r="AX279" s="266" t="n">
        <v>82668</v>
      </c>
      <c r="AY279" s="266" t="n">
        <v>81799</v>
      </c>
      <c r="AZ279" s="266" t="n">
        <v>81897</v>
      </c>
      <c r="BA279" s="266" t="n">
        <v>78823</v>
      </c>
      <c r="BB279" s="266" t="n">
        <v>78823</v>
      </c>
      <c r="BC279" s="266" t="n">
        <v>79819</v>
      </c>
      <c r="BD279" s="266" t="n">
        <v>79917</v>
      </c>
      <c r="BE279" s="266" t="n">
        <v>79777</v>
      </c>
      <c r="BF279" s="266" t="n">
        <v>78151</v>
      </c>
      <c r="BG279" s="266" t="n">
        <v>78151</v>
      </c>
      <c r="BH279" s="266" t="n">
        <v>78503</v>
      </c>
      <c r="BI279" s="266" t="n">
        <v>78322</v>
      </c>
      <c r="BJ279" s="266" t="n">
        <v>78972</v>
      </c>
      <c r="BK279" s="266" t="n">
        <v>79741</v>
      </c>
      <c r="BL279" s="266" t="n">
        <v>79741</v>
      </c>
      <c r="BM279" s="266" t="n">
        <v>83471</v>
      </c>
      <c r="BN279" s="266" t="n">
        <v>85661</v>
      </c>
      <c r="BO279" s="266" t="n">
        <v>83341</v>
      </c>
      <c r="BP279" s="266" t="n">
        <v>87550</v>
      </c>
      <c r="BQ279" s="266" t="n">
        <v>87550</v>
      </c>
      <c r="BR279" s="266" t="n">
        <v>89077</v>
      </c>
      <c r="BS279" s="266" t="n">
        <v>87853</v>
      </c>
      <c r="BT279" s="266" t="n">
        <v>82425</v>
      </c>
      <c r="BU279" s="266" t="n">
        <v>84679</v>
      </c>
      <c r="BV279" s="266" t="n">
        <v>84679</v>
      </c>
      <c r="BW279" s="266" t="n">
        <v>87225</v>
      </c>
      <c r="BX279" s="266" t="n">
        <v>88388</v>
      </c>
      <c r="BY279" s="35" t="n"/>
      <c r="BZ279" s="35" t="n"/>
      <c r="CA279" s="263">
        <f>BX279+CA321+CA230-CA99</f>
        <v>88333.8509587655</v>
      </c>
      <c r="CB279" s="263">
        <f>CB309*CB311/365</f>
        <v>91410.4605034089</v>
      </c>
      <c r="CC279" s="263">
        <f>CC309*CC311/365</f>
        <v>93423.5323053544</v>
      </c>
      <c r="CD279" s="263">
        <f>CD309*CD311/365</f>
        <v>93844.0600058674</v>
      </c>
      <c r="CE279" s="263">
        <f>CE309*CE311/365</f>
        <v>92858.6211132216</v>
      </c>
      <c r="CF279" s="263">
        <f>CF309*CF311/365</f>
        <v>93219.1734790589</v>
      </c>
      <c r="CG279" s="19" t="inlineStr">
        <is>
          <t>2026E: solved so that 2026 free cash flow = the scenario target (UNVERIFIED $1–3bn); 2027E+: inventory days on cost of sales (737 / 787 / 777X inventory unwind).</t>
        </is>
      </c>
    </row>
    <row r="280" ht="15" customHeight="1" s="251">
      <c r="B280" s="25" t="inlineStr">
        <is>
          <t xml:space="preserve">  Current customer financing, deferred / income taxes, held for sale &amp; other current assets</t>
        </is>
      </c>
      <c r="C280" s="266" t="n">
        <v>3207</v>
      </c>
      <c r="D280" s="266" t="n">
        <v>2435</v>
      </c>
      <c r="E280" s="266" t="n">
        <v>1576</v>
      </c>
      <c r="F280" s="266" t="n">
        <v>1334</v>
      </c>
      <c r="G280" s="266" t="n">
        <v>316</v>
      </c>
      <c r="H280" s="266" t="n">
        <v>505</v>
      </c>
      <c r="I280" s="266" t="n">
        <v>392</v>
      </c>
      <c r="J280" s="266" t="n">
        <v>489</v>
      </c>
      <c r="K280" s="266" t="n">
        <v>345</v>
      </c>
      <c r="L280" s="266" t="n">
        <v>359</v>
      </c>
      <c r="M280" s="266" t="n">
        <v>358</v>
      </c>
      <c r="N280" s="266" t="n">
        <v>358</v>
      </c>
      <c r="O280" s="266" t="n">
        <v>271</v>
      </c>
      <c r="P280" s="266" t="n">
        <v>252</v>
      </c>
      <c r="Q280" s="266" t="n">
        <v>284</v>
      </c>
      <c r="R280" s="266" t="n">
        <v>208</v>
      </c>
      <c r="S280" s="266" t="n">
        <v>208</v>
      </c>
      <c r="T280" s="266" t="n">
        <v>201</v>
      </c>
      <c r="U280" s="266" t="n">
        <v>226</v>
      </c>
      <c r="V280" s="266" t="n">
        <v>241</v>
      </c>
      <c r="W280" s="266" t="n">
        <v>212</v>
      </c>
      <c r="X280" s="266" t="n">
        <v>212</v>
      </c>
      <c r="Y280" s="266" t="n">
        <v>258</v>
      </c>
      <c r="Z280" s="266" t="n">
        <v>251</v>
      </c>
      <c r="AA280" s="266" t="n">
        <v>365</v>
      </c>
      <c r="AB280" s="266" t="n">
        <v>428</v>
      </c>
      <c r="AC280" s="266" t="n">
        <v>428</v>
      </c>
      <c r="AD280" s="266" t="n">
        <v>580</v>
      </c>
      <c r="AE280" s="266" t="n">
        <v>549</v>
      </c>
      <c r="AF280" s="266" t="n">
        <v>435</v>
      </c>
      <c r="AG280" s="266" t="n">
        <v>309</v>
      </c>
      <c r="AH280" s="266" t="n">
        <v>309</v>
      </c>
      <c r="AI280" s="266" t="n">
        <v>2725</v>
      </c>
      <c r="AJ280" s="266" t="n">
        <v>2690</v>
      </c>
      <c r="AK280" s="266" t="n">
        <v>2829</v>
      </c>
      <c r="AL280" s="266" t="n">
        <v>2795</v>
      </c>
      <c r="AM280" s="266" t="n">
        <v>2795</v>
      </c>
      <c r="AN280" s="266" t="n">
        <v>2534</v>
      </c>
      <c r="AO280" s="266" t="n">
        <v>3475</v>
      </c>
      <c r="AP280" s="266" t="n">
        <v>2822</v>
      </c>
      <c r="AQ280" s="266" t="n">
        <v>3268</v>
      </c>
      <c r="AR280" s="266" t="n">
        <v>3268</v>
      </c>
      <c r="AS280" s="266" t="n">
        <v>2888</v>
      </c>
      <c r="AT280" s="266" t="n">
        <v>2739</v>
      </c>
      <c r="AU280" s="266" t="n">
        <v>5313</v>
      </c>
      <c r="AV280" s="266" t="n">
        <v>4387</v>
      </c>
      <c r="AW280" s="266" t="n">
        <v>4387</v>
      </c>
      <c r="AX280" s="266" t="n">
        <v>4216</v>
      </c>
      <c r="AY280" s="266" t="n">
        <v>4261</v>
      </c>
      <c r="AZ280" s="266" t="n">
        <v>2740</v>
      </c>
      <c r="BA280" s="266" t="n">
        <v>2338</v>
      </c>
      <c r="BB280" s="266" t="n">
        <v>2338</v>
      </c>
      <c r="BC280" s="266" t="n">
        <v>2513</v>
      </c>
      <c r="BD280" s="266" t="n">
        <v>2245</v>
      </c>
      <c r="BE280" s="266" t="n">
        <v>3228</v>
      </c>
      <c r="BF280" s="266" t="n">
        <v>3001</v>
      </c>
      <c r="BG280" s="266" t="n">
        <v>3001</v>
      </c>
      <c r="BH280" s="266" t="n">
        <v>2990</v>
      </c>
      <c r="BI280" s="266" t="n">
        <v>3026</v>
      </c>
      <c r="BJ280" s="266" t="n">
        <v>2375</v>
      </c>
      <c r="BK280" s="266" t="n">
        <v>2603</v>
      </c>
      <c r="BL280" s="266" t="n">
        <v>2603</v>
      </c>
      <c r="BM280" s="266" t="n">
        <v>2900</v>
      </c>
      <c r="BN280" s="266" t="n">
        <v>3342</v>
      </c>
      <c r="BO280" s="266" t="n">
        <v>3375</v>
      </c>
      <c r="BP280" s="266" t="n">
        <v>3172</v>
      </c>
      <c r="BQ280" s="266" t="n">
        <v>3172</v>
      </c>
      <c r="BR280" s="266" t="n">
        <v>2676</v>
      </c>
      <c r="BS280" s="266" t="n">
        <v>4030</v>
      </c>
      <c r="BT280" s="266" t="n">
        <v>4377</v>
      </c>
      <c r="BU280" s="266" t="n">
        <v>2301</v>
      </c>
      <c r="BV280" s="266" t="n">
        <v>2301</v>
      </c>
      <c r="BW280" s="266" t="n">
        <v>2733</v>
      </c>
      <c r="BX280" s="266" t="n">
        <v>3045</v>
      </c>
      <c r="BY280" s="35" t="n"/>
      <c r="BZ280" s="35" t="n"/>
      <c r="CA280" s="263">
        <f>BX280</f>
        <v>3045</v>
      </c>
      <c r="CB280" s="263">
        <f>CA280</f>
        <v>3045</v>
      </c>
      <c r="CC280" s="263">
        <f>CB280</f>
        <v>3045</v>
      </c>
      <c r="CD280" s="263">
        <f>CC280</f>
        <v>3045</v>
      </c>
      <c r="CE280" s="263">
        <f>CD280</f>
        <v>3045</v>
      </c>
      <c r="CF280" s="263">
        <f>CE280</f>
        <v>3045</v>
      </c>
      <c r="CG280" s="19" t="n"/>
    </row>
    <row r="281" ht="15" customHeight="1" s="251">
      <c r="B281" s="16" t="inlineStr">
        <is>
          <t>Total current assets</t>
        </is>
      </c>
      <c r="C281" s="281">
        <f>IF(ISNUMBER(C276),SUM(C276:C280),"")</f>
        <v>22983</v>
      </c>
      <c r="D281" s="281">
        <f>IF(ISNUMBER(D276),SUM(D276:D280),"")</f>
        <v>27046</v>
      </c>
      <c r="E281" s="281">
        <f>IF(ISNUMBER(E276),SUM(E276:E280),"")</f>
        <v>25973</v>
      </c>
      <c r="F281" s="281">
        <f>IF(ISNUMBER(F276),SUM(F276:F280),"")</f>
        <v>35275</v>
      </c>
      <c r="G281" s="281">
        <f>IF(ISNUMBER(G276),SUM(G276:G280),"")</f>
        <v>40572</v>
      </c>
      <c r="H281" s="281">
        <f>IF(ISNUMBER(H276),SUM(H276:H280),"")</f>
        <v>49810</v>
      </c>
      <c r="I281" s="281">
        <f>IF(ISNUMBER(I276),SUM(I276:I280),"")</f>
        <v>57309</v>
      </c>
      <c r="J281" s="281">
        <f>IF(ISNUMBER(J276),SUM(J276:J280),"")</f>
        <v>59490</v>
      </c>
      <c r="K281" s="281">
        <f>IF(ISNUMBER(K276),SUM(K276:K280),"")</f>
        <v>61310</v>
      </c>
      <c r="L281" s="281">
        <f>IF(ISNUMBER(L276),SUM(L276:L280),"")</f>
        <v>64162</v>
      </c>
      <c r="M281" s="281">
        <f>IF(ISNUMBER(M276),SUM(M276:M280),"")</f>
        <v>65074</v>
      </c>
      <c r="N281" s="281">
        <f>IF(ISNUMBER(N276),SUM(N276:N280),"")</f>
        <v>65074</v>
      </c>
      <c r="O281" s="281">
        <f>IF(ISNUMBER(O276),SUM(O276:O280),"")</f>
        <v>64777</v>
      </c>
      <c r="P281" s="281">
        <f>IF(ISNUMBER(P276),SUM(P276:P280),"")</f>
        <v>65527</v>
      </c>
      <c r="Q281" s="281">
        <f>IF(ISNUMBER(Q276),SUM(Q276:Q280),"")</f>
        <v>65218</v>
      </c>
      <c r="R281" s="281">
        <f>IF(ISNUMBER(R276),SUM(R276:R280),"")</f>
        <v>67785</v>
      </c>
      <c r="S281" s="281">
        <f>IF(ISNUMBER(S276),SUM(S276:S280),"")</f>
        <v>67785</v>
      </c>
      <c r="T281" s="281">
        <f>IF(ISNUMBER(T276),SUM(T276:T280),"")</f>
        <v>66421</v>
      </c>
      <c r="U281" s="281">
        <f>IF(ISNUMBER(U276),SUM(U276:U280),"")</f>
        <v>66806</v>
      </c>
      <c r="V281" s="281">
        <f>IF(ISNUMBER(V276),SUM(V276:V280),"")</f>
        <v>67576</v>
      </c>
      <c r="W281" s="281">
        <f>IF(ISNUMBER(W276),SUM(W276:W280),"")</f>
        <v>68234</v>
      </c>
      <c r="X281" s="281">
        <f>IF(ISNUMBER(X276),SUM(X276:X280),"")</f>
        <v>68234</v>
      </c>
      <c r="Y281" s="281">
        <f>IF(ISNUMBER(Y276),SUM(Y276:Y280),"")</f>
        <v>65587</v>
      </c>
      <c r="Z281" s="281">
        <f>IF(ISNUMBER(Z276),SUM(Z276:Z280),"")</f>
        <v>63507</v>
      </c>
      <c r="AA281" s="281">
        <f>IF(ISNUMBER(AA276),SUM(AA276:AA280),"")</f>
        <v>62237</v>
      </c>
      <c r="AB281" s="281">
        <f>IF(ISNUMBER(AB276),SUM(AB276:AB280),"")</f>
        <v>62488</v>
      </c>
      <c r="AC281" s="281">
        <f>IF(ISNUMBER(AC276),SUM(AC276:AC280),"")</f>
        <v>62488</v>
      </c>
      <c r="AD281" s="281">
        <f>IF(ISNUMBER(AD276),SUM(AD276:AD280),"")</f>
        <v>62367</v>
      </c>
      <c r="AE281" s="281">
        <f>IF(ISNUMBER(AE276),SUM(AE276:AE280),"")</f>
        <v>62831</v>
      </c>
      <c r="AF281" s="281">
        <f>IF(ISNUMBER(AF276),SUM(AF276:AF280),"")</f>
        <v>64142</v>
      </c>
      <c r="AG281" s="281">
        <f>IF(ISNUMBER(AG276),SUM(AG276:AG280),"")</f>
        <v>65161</v>
      </c>
      <c r="AH281" s="281">
        <f>IF(ISNUMBER(AH276),SUM(AH276:AH280),"")</f>
        <v>65161</v>
      </c>
      <c r="AI281" s="281">
        <f>IF(ISNUMBER(AI276),SUM(AI276:AI280),"")</f>
        <v>86543</v>
      </c>
      <c r="AJ281" s="281">
        <f>IF(ISNUMBER(AJ276),SUM(AJ276:AJ280),"")</f>
        <v>86401</v>
      </c>
      <c r="AK281" s="281">
        <f>IF(ISNUMBER(AK276),SUM(AK276:AK280),"")</f>
        <v>87686</v>
      </c>
      <c r="AL281" s="281">
        <f>IF(ISNUMBER(AL276),SUM(AL276:AL280),"")</f>
        <v>87830</v>
      </c>
      <c r="AM281" s="281">
        <f>IF(ISNUMBER(AM276),SUM(AM276:AM280),"")</f>
        <v>87830</v>
      </c>
      <c r="AN281" s="281">
        <f>IF(ISNUMBER(AN276),SUM(AN276:AN280),"")</f>
        <v>89509</v>
      </c>
      <c r="AO281" s="281">
        <f>IF(ISNUMBER(AO276),SUM(AO276:AO280),"")</f>
        <v>95111</v>
      </c>
      <c r="AP281" s="281">
        <f>IF(ISNUMBER(AP276),SUM(AP276:AP280),"")</f>
        <v>101656</v>
      </c>
      <c r="AQ281" s="281">
        <f>IF(ISNUMBER(AQ276),SUM(AQ276:AQ280),"")</f>
        <v>102229</v>
      </c>
      <c r="AR281" s="281">
        <f>IF(ISNUMBER(AR276),SUM(AR276:AR280),"")</f>
        <v>102229</v>
      </c>
      <c r="AS281" s="281">
        <f>IF(ISNUMBER(AS276),SUM(AS276:AS280),"")</f>
        <v>111011</v>
      </c>
      <c r="AT281" s="281">
        <f>IF(ISNUMBER(AT276),SUM(AT276:AT280),"")</f>
        <v>130277</v>
      </c>
      <c r="AU281" s="281">
        <f>IF(ISNUMBER(AU276),SUM(AU276:AU280),"")</f>
        <v>131012</v>
      </c>
      <c r="AV281" s="281">
        <f>IF(ISNUMBER(AV276),SUM(AV276:AV280),"")</f>
        <v>121642</v>
      </c>
      <c r="AW281" s="281">
        <f>IF(ISNUMBER(AW276),SUM(AW276:AW280),"")</f>
        <v>121642</v>
      </c>
      <c r="AX281" s="281">
        <f>IF(ISNUMBER(AX276),SUM(AX276:AX280),"")</f>
        <v>119945</v>
      </c>
      <c r="AY281" s="281">
        <f>IF(ISNUMBER(AY276),SUM(AY276:AY280),"")</f>
        <v>119095</v>
      </c>
      <c r="AZ281" s="281">
        <f>IF(ISNUMBER(AZ276),SUM(AZ276:AZ280),"")</f>
        <v>116888</v>
      </c>
      <c r="BA281" s="281">
        <f>IF(ISNUMBER(BA276),SUM(BA276:BA280),"")</f>
        <v>108666</v>
      </c>
      <c r="BB281" s="281">
        <f>IF(ISNUMBER(BB276),SUM(BB276:BB280),"")</f>
        <v>108666</v>
      </c>
      <c r="BC281" s="281">
        <f>IF(ISNUMBER(BC276),SUM(BC276:BC280),"")</f>
        <v>106012</v>
      </c>
      <c r="BD281" s="281">
        <f>IF(ISNUMBER(BD276),SUM(BD276:BD280),"")</f>
        <v>106000</v>
      </c>
      <c r="BE281" s="281">
        <f>IF(ISNUMBER(BE276),SUM(BE276:BE280),"")</f>
        <v>109251</v>
      </c>
      <c r="BF281" s="281">
        <f>IF(ISNUMBER(BF276),SUM(BF276:BF280),"")</f>
        <v>109523</v>
      </c>
      <c r="BG281" s="281">
        <f>IF(ISNUMBER(BG276),SUM(BG276:BG280),"")</f>
        <v>109523</v>
      </c>
      <c r="BH281" s="281">
        <f>IF(ISNUMBER(BH276),SUM(BH276:BH280),"")</f>
        <v>108811</v>
      </c>
      <c r="BI281" s="281">
        <f>IF(ISNUMBER(BI276),SUM(BI276:BI280),"")</f>
        <v>107412</v>
      </c>
      <c r="BJ281" s="281">
        <f>IF(ISNUMBER(BJ276),SUM(BJ276:BJ280),"")</f>
        <v>106935</v>
      </c>
      <c r="BK281" s="281">
        <f>IF(ISNUMBER(BK276),SUM(BK276:BK280),"")</f>
        <v>109275</v>
      </c>
      <c r="BL281" s="281">
        <f>IF(ISNUMBER(BL276),SUM(BL276:BL280),"")</f>
        <v>109275</v>
      </c>
      <c r="BM281" s="281">
        <f>IF(ISNUMBER(BM276),SUM(BM276:BM280),"")</f>
        <v>106532</v>
      </c>
      <c r="BN281" s="281">
        <f>IF(ISNUMBER(BN276),SUM(BN276:BN280),"")</f>
        <v>114439</v>
      </c>
      <c r="BO281" s="281">
        <f>IF(ISNUMBER(BO276),SUM(BO276:BO280),"")</f>
        <v>109436</v>
      </c>
      <c r="BP281" s="281">
        <f>IF(ISNUMBER(BP276),SUM(BP276:BP280),"")</f>
        <v>127998</v>
      </c>
      <c r="BQ281" s="281">
        <f>IF(ISNUMBER(BQ276),SUM(BQ276:BQ280),"")</f>
        <v>127998</v>
      </c>
      <c r="BR281" s="281">
        <f>IF(ISNUMBER(BR276),SUM(BR276:BR280),"")</f>
        <v>127662</v>
      </c>
      <c r="BS281" s="281">
        <f>IF(ISNUMBER(BS276),SUM(BS276:BS280),"")</f>
        <v>127301</v>
      </c>
      <c r="BT281" s="281">
        <f>IF(ISNUMBER(BT276),SUM(BT276:BT280),"")</f>
        <v>122132</v>
      </c>
      <c r="BU281" s="281">
        <f>IF(ISNUMBER(BU276),SUM(BU276:BU280),"")</f>
        <v>128459</v>
      </c>
      <c r="BV281" s="281">
        <f>IF(ISNUMBER(BV276),SUM(BV276:BV280),"")</f>
        <v>128459</v>
      </c>
      <c r="BW281" s="281">
        <f>IF(ISNUMBER(BW276),SUM(BW276:BW280),"")</f>
        <v>124141</v>
      </c>
      <c r="BX281" s="281">
        <f>IF(ISNUMBER(BX276),SUM(BX276:BX280),"")</f>
        <v>124630</v>
      </c>
      <c r="BY281" s="32" t="n"/>
      <c r="BZ281" s="32" t="n"/>
      <c r="CA281" s="265">
        <f>IF(ISNUMBER(CA276),SUM(CA276:CA280),"")</f>
        <v>127110.120628031</v>
      </c>
      <c r="CB281" s="265">
        <f>IF(ISNUMBER(CB276),SUM(CB276:CB280),"")</f>
        <v>133412.743133786</v>
      </c>
      <c r="CC281" s="265">
        <f>IF(ISNUMBER(CC276),SUM(CC276:CC280),"")</f>
        <v>145849.721915932</v>
      </c>
      <c r="CD281" s="265">
        <f>IF(ISNUMBER(CD276),SUM(CD276:CD280),"")</f>
        <v>146061.656707808</v>
      </c>
      <c r="CE281" s="265">
        <f>IF(ISNUMBER(CE276),SUM(CE276:CE280),"")</f>
        <v>144738.859719164</v>
      </c>
      <c r="CF281" s="265">
        <f>IF(ISNUMBER(CF276),SUM(CF276:CF280),"")</f>
        <v>145085.92989251</v>
      </c>
      <c r="CG281" s="153" t="n"/>
    </row>
    <row r="282" ht="15" customHeight="1" s="251">
      <c r="B282" s="25" t="inlineStr">
        <is>
          <t xml:space="preserve">  Property, plant and equipment, net</t>
        </is>
      </c>
      <c r="C282" s="266" t="n">
        <v>7675</v>
      </c>
      <c r="D282" s="266" t="n">
        <v>8265</v>
      </c>
      <c r="E282" s="266" t="n">
        <v>8762</v>
      </c>
      <c r="F282" s="266" t="n">
        <v>8784</v>
      </c>
      <c r="G282" s="266" t="n">
        <v>8931</v>
      </c>
      <c r="H282" s="266" t="n">
        <v>9313</v>
      </c>
      <c r="I282" s="266" t="n">
        <v>9660</v>
      </c>
      <c r="J282" s="266" t="n">
        <v>9736</v>
      </c>
      <c r="K282" s="266" t="n">
        <v>9814</v>
      </c>
      <c r="L282" s="266" t="n">
        <v>9987</v>
      </c>
      <c r="M282" s="266" t="n">
        <v>10224</v>
      </c>
      <c r="N282" s="266" t="n">
        <v>10224</v>
      </c>
      <c r="O282" s="266" t="n">
        <v>10263</v>
      </c>
      <c r="P282" s="266" t="n">
        <v>10449</v>
      </c>
      <c r="Q282" s="266" t="n">
        <v>10707</v>
      </c>
      <c r="R282" s="266" t="n">
        <v>11007</v>
      </c>
      <c r="S282" s="266" t="n">
        <v>11007</v>
      </c>
      <c r="T282" s="266" t="n">
        <v>11172</v>
      </c>
      <c r="U282" s="266" t="n">
        <v>11338</v>
      </c>
      <c r="V282" s="266" t="n">
        <v>11614</v>
      </c>
      <c r="W282" s="266" t="n">
        <v>12076</v>
      </c>
      <c r="X282" s="266" t="n">
        <v>12076</v>
      </c>
      <c r="Y282" s="266" t="n">
        <v>12269</v>
      </c>
      <c r="Z282" s="266" t="n">
        <v>12533</v>
      </c>
      <c r="AA282" s="266" t="n">
        <v>12713</v>
      </c>
      <c r="AB282" s="266" t="n">
        <v>12807</v>
      </c>
      <c r="AC282" s="266" t="n">
        <v>12807</v>
      </c>
      <c r="AD282" s="266" t="n">
        <v>12842</v>
      </c>
      <c r="AE282" s="266" t="n">
        <v>12820</v>
      </c>
      <c r="AF282" s="266" t="n">
        <v>12712</v>
      </c>
      <c r="AG282" s="266" t="n">
        <v>12672</v>
      </c>
      <c r="AH282" s="266" t="n">
        <v>12672</v>
      </c>
      <c r="AI282" s="266" t="n">
        <v>12628</v>
      </c>
      <c r="AJ282" s="266" t="n">
        <v>12605</v>
      </c>
      <c r="AK282" s="266" t="n">
        <v>12571</v>
      </c>
      <c r="AL282" s="266" t="n">
        <v>12645</v>
      </c>
      <c r="AM282" s="266" t="n">
        <v>12645</v>
      </c>
      <c r="AN282" s="266" t="n">
        <v>12594</v>
      </c>
      <c r="AO282" s="266" t="n">
        <v>12601</v>
      </c>
      <c r="AP282" s="266" t="n">
        <v>12527</v>
      </c>
      <c r="AQ282" s="266" t="n">
        <v>12502</v>
      </c>
      <c r="AR282" s="266" t="n">
        <v>12502</v>
      </c>
      <c r="AS282" s="266" t="n">
        <v>12405</v>
      </c>
      <c r="AT282" s="266" t="n">
        <v>12182</v>
      </c>
      <c r="AU282" s="266" t="n">
        <v>11969</v>
      </c>
      <c r="AV282" s="266" t="n">
        <v>11820</v>
      </c>
      <c r="AW282" s="266" t="n">
        <v>11820</v>
      </c>
      <c r="AX282" s="266" t="n">
        <v>11643</v>
      </c>
      <c r="AY282" s="266" t="n">
        <v>11341</v>
      </c>
      <c r="AZ282" s="266" t="n">
        <v>11113</v>
      </c>
      <c r="BA282" s="266" t="n">
        <v>10918</v>
      </c>
      <c r="BB282" s="266" t="n">
        <v>10918</v>
      </c>
      <c r="BC282" s="266" t="n">
        <v>10755</v>
      </c>
      <c r="BD282" s="266" t="n">
        <v>10617</v>
      </c>
      <c r="BE282" s="266" t="n">
        <v>10508</v>
      </c>
      <c r="BF282" s="266" t="n">
        <v>10550</v>
      </c>
      <c r="BG282" s="266" t="n">
        <v>10550</v>
      </c>
      <c r="BH282" s="266" t="n">
        <v>10493</v>
      </c>
      <c r="BI282" s="266" t="n">
        <v>10455</v>
      </c>
      <c r="BJ282" s="266" t="n">
        <v>10484</v>
      </c>
      <c r="BK282" s="266" t="n">
        <v>10661</v>
      </c>
      <c r="BL282" s="266" t="n">
        <v>10661</v>
      </c>
      <c r="BM282" s="266" t="n">
        <v>10696</v>
      </c>
      <c r="BN282" s="266" t="n">
        <v>10976</v>
      </c>
      <c r="BO282" s="266" t="n">
        <v>11236</v>
      </c>
      <c r="BP282" s="266" t="n">
        <v>11412</v>
      </c>
      <c r="BQ282" s="266" t="n">
        <v>11412</v>
      </c>
      <c r="BR282" s="266" t="n">
        <v>11459</v>
      </c>
      <c r="BS282" s="266" t="n">
        <v>11658</v>
      </c>
      <c r="BT282" s="266" t="n">
        <v>12078</v>
      </c>
      <c r="BU282" s="266" t="n">
        <v>15361</v>
      </c>
      <c r="BV282" s="266" t="n">
        <v>15361</v>
      </c>
      <c r="BW282" s="266" t="n">
        <v>15763</v>
      </c>
      <c r="BX282" s="266" t="n">
        <v>16321</v>
      </c>
      <c r="BY282" s="35" t="n"/>
      <c r="BZ282" s="35" t="n"/>
      <c r="CA282" s="263">
        <f>BX282-(CA230-SUM(BW230:BX230))-(SUM(BY104:BZ104)-98.5)</f>
        <v>17441.5</v>
      </c>
      <c r="CB282" s="263">
        <f>CA282-CB230-(CB104-CB106)+CB70*CB76</f>
        <v>19542.2713637558</v>
      </c>
      <c r="CC282" s="263">
        <f>CB282-CC230-(CC104-CC106)+CC70*CC76</f>
        <v>21549.7728231244</v>
      </c>
      <c r="CD282" s="263">
        <f>CC282-CD230-(CD104-CD106)+CD70*CD76</f>
        <v>23433.0917041501</v>
      </c>
      <c r="CE282" s="263">
        <f>CD282-CE230-(CE104-CE106)+CE70*CE76</f>
        <v>25136.0412731955</v>
      </c>
      <c r="CF282" s="263">
        <f>CE282-CF230-(CF104-CF106)+CF70*CF76</f>
        <v>26631.096771082</v>
      </c>
      <c r="CG282" s="19" t="inlineStr">
        <is>
          <t>Roll-forward: prior − capex (negative cash flow) − depreciation (D&amp;A − intangible amortization) + acquired PP&amp;E.</t>
        </is>
      </c>
    </row>
    <row r="283" ht="15" customHeight="1" s="251">
      <c r="B283" s="25" t="inlineStr">
        <is>
          <t xml:space="preserve">  Goodwill</t>
        </is>
      </c>
      <c r="C283" s="266" t="n">
        <v>3047</v>
      </c>
      <c r="D283" s="266" t="n">
        <v>3081</v>
      </c>
      <c r="E283" s="266" t="n">
        <v>3647</v>
      </c>
      <c r="F283" s="266" t="n">
        <v>4319</v>
      </c>
      <c r="G283" s="266" t="n">
        <v>4937</v>
      </c>
      <c r="H283" s="266" t="n">
        <v>4945</v>
      </c>
      <c r="I283" s="266" t="n">
        <v>5035</v>
      </c>
      <c r="J283" s="266" t="n">
        <v>5049</v>
      </c>
      <c r="K283" s="266" t="n">
        <v>5043</v>
      </c>
      <c r="L283" s="266" t="n">
        <v>5047</v>
      </c>
      <c r="M283" s="266" t="n">
        <v>5043</v>
      </c>
      <c r="N283" s="266" t="n">
        <v>5043</v>
      </c>
      <c r="O283" s="266" t="n">
        <v>5046</v>
      </c>
      <c r="P283" s="266" t="n">
        <v>5139</v>
      </c>
      <c r="Q283" s="266" t="n">
        <v>5131</v>
      </c>
      <c r="R283" s="266" t="n">
        <v>5119</v>
      </c>
      <c r="S283" s="266" t="n">
        <v>5119</v>
      </c>
      <c r="T283" s="266" t="n">
        <v>5105</v>
      </c>
      <c r="U283" s="266" t="n">
        <v>5126</v>
      </c>
      <c r="V283" s="266" t="n">
        <v>5122</v>
      </c>
      <c r="W283" s="266" t="n">
        <v>5126</v>
      </c>
      <c r="X283" s="266" t="n">
        <v>5126</v>
      </c>
      <c r="Y283" s="266" t="n">
        <v>5132</v>
      </c>
      <c r="Z283" s="266" t="n">
        <v>5128</v>
      </c>
      <c r="AA283" s="266" t="n">
        <v>5128</v>
      </c>
      <c r="AB283" s="266" t="n">
        <v>5324</v>
      </c>
      <c r="AC283" s="266" t="n">
        <v>5324</v>
      </c>
      <c r="AD283" s="266" t="n">
        <v>5342</v>
      </c>
      <c r="AE283" s="266" t="n">
        <v>5347</v>
      </c>
      <c r="AF283" s="266" t="n">
        <v>5344</v>
      </c>
      <c r="AG283" s="266" t="n">
        <v>5559</v>
      </c>
      <c r="AH283" s="266" t="n">
        <v>5559</v>
      </c>
      <c r="AI283" s="266" t="n">
        <v>5558</v>
      </c>
      <c r="AJ283" s="266" t="n">
        <v>5550</v>
      </c>
      <c r="AK283" s="266" t="n">
        <v>5722</v>
      </c>
      <c r="AL283" s="266" t="n">
        <v>7840</v>
      </c>
      <c r="AM283" s="266" t="n">
        <v>7840</v>
      </c>
      <c r="AN283" s="266" t="n">
        <v>7967</v>
      </c>
      <c r="AO283" s="266" t="n">
        <v>8051</v>
      </c>
      <c r="AP283" s="266" t="n">
        <v>8063</v>
      </c>
      <c r="AQ283" s="266" t="n">
        <v>8060</v>
      </c>
      <c r="AR283" s="266" t="n">
        <v>8060</v>
      </c>
      <c r="AS283" s="266" t="n">
        <v>8057</v>
      </c>
      <c r="AT283" s="266" t="n">
        <v>8064</v>
      </c>
      <c r="AU283" s="266" t="n">
        <v>8071</v>
      </c>
      <c r="AV283" s="266" t="n">
        <v>8081</v>
      </c>
      <c r="AW283" s="266" t="n">
        <v>8081</v>
      </c>
      <c r="AX283" s="266" t="n">
        <v>8074</v>
      </c>
      <c r="AY283" s="266" t="n">
        <v>8076</v>
      </c>
      <c r="AZ283" s="266" t="n">
        <v>8070</v>
      </c>
      <c r="BA283" s="266" t="n">
        <v>8068</v>
      </c>
      <c r="BB283" s="266" t="n">
        <v>8068</v>
      </c>
      <c r="BC283" s="266" t="n">
        <v>8065</v>
      </c>
      <c r="BD283" s="266" t="n">
        <v>8055</v>
      </c>
      <c r="BE283" s="266" t="n">
        <v>8045</v>
      </c>
      <c r="BF283" s="266" t="n">
        <v>8057</v>
      </c>
      <c r="BG283" s="266" t="n">
        <v>8057</v>
      </c>
      <c r="BH283" s="266" t="n">
        <v>8063</v>
      </c>
      <c r="BI283" s="266" t="n">
        <v>8061</v>
      </c>
      <c r="BJ283" s="266" t="n">
        <v>8069</v>
      </c>
      <c r="BK283" s="266" t="n">
        <v>8093</v>
      </c>
      <c r="BL283" s="266" t="n">
        <v>8093</v>
      </c>
      <c r="BM283" s="266" t="n">
        <v>8089</v>
      </c>
      <c r="BN283" s="266" t="n">
        <v>8108</v>
      </c>
      <c r="BO283" s="266" t="n">
        <v>8112</v>
      </c>
      <c r="BP283" s="266" t="n">
        <v>8084</v>
      </c>
      <c r="BQ283" s="266" t="n">
        <v>8084</v>
      </c>
      <c r="BR283" s="266" t="n">
        <v>8091</v>
      </c>
      <c r="BS283" s="266" t="n">
        <v>7280</v>
      </c>
      <c r="BT283" s="266" t="n">
        <v>7281</v>
      </c>
      <c r="BU283" s="266" t="n">
        <v>17275</v>
      </c>
      <c r="BV283" s="266" t="n">
        <v>17275</v>
      </c>
      <c r="BW283" s="266" t="n">
        <v>17633</v>
      </c>
      <c r="BX283" s="266" t="n">
        <v>17554</v>
      </c>
      <c r="BY283" s="35" t="n"/>
      <c r="BZ283" s="35" t="n"/>
      <c r="CA283" s="263">
        <f>BX283</f>
        <v>17554</v>
      </c>
      <c r="CB283" s="263">
        <f>CA283+CB70*(1-CB76-CB77)</f>
        <v>17554</v>
      </c>
      <c r="CC283" s="263">
        <f>CB283+CC70*(1-CC76-CC77)</f>
        <v>17554</v>
      </c>
      <c r="CD283" s="263">
        <f>CC283+CD70*(1-CD76-CD77)</f>
        <v>17554</v>
      </c>
      <c r="CE283" s="263">
        <f>CD283+CE70*(1-CE76-CE77)</f>
        <v>17554</v>
      </c>
      <c r="CF283" s="263">
        <f>CE283+CF70*(1-CF76-CF77)</f>
        <v>17554</v>
      </c>
      <c r="CG283" s="19" t="inlineStr">
        <is>
          <t>Spirit AeroSystems provisional goodwill $10.0bn (BCA), Dec-2025.</t>
        </is>
      </c>
    </row>
    <row r="284" ht="15" customHeight="1" s="251">
      <c r="B284" s="25" t="inlineStr">
        <is>
          <t xml:space="preserve">  Acquired intangible assets, net</t>
        </is>
      </c>
      <c r="C284" s="266" t="n">
        <v>1698</v>
      </c>
      <c r="D284" s="266" t="n">
        <v>2093</v>
      </c>
      <c r="E284" s="266" t="n">
        <v>2685</v>
      </c>
      <c r="F284" s="266" t="n">
        <v>2877</v>
      </c>
      <c r="G284" s="266" t="n">
        <v>2979</v>
      </c>
      <c r="H284" s="266" t="n">
        <v>3044</v>
      </c>
      <c r="I284" s="266" t="n">
        <v>3111</v>
      </c>
      <c r="J284" s="266" t="n">
        <v>3075</v>
      </c>
      <c r="K284" s="266" t="n">
        <v>3011</v>
      </c>
      <c r="L284" s="266" t="n">
        <v>2962</v>
      </c>
      <c r="M284" s="266" t="n">
        <v>3052</v>
      </c>
      <c r="N284" s="266" t="n">
        <v>3052</v>
      </c>
      <c r="O284" s="266" t="n">
        <v>2996</v>
      </c>
      <c r="P284" s="266" t="n">
        <v>3004</v>
      </c>
      <c r="Q284" s="266" t="n">
        <v>2954</v>
      </c>
      <c r="R284" s="266" t="n">
        <v>2869</v>
      </c>
      <c r="S284" s="266" t="n">
        <v>2869</v>
      </c>
      <c r="T284" s="266" t="n">
        <v>2809</v>
      </c>
      <c r="U284" s="266" t="n">
        <v>2763</v>
      </c>
      <c r="V284" s="266" t="n">
        <v>2706</v>
      </c>
      <c r="W284" s="266" t="n">
        <v>2657</v>
      </c>
      <c r="X284" s="266" t="n">
        <v>2657</v>
      </c>
      <c r="Y284" s="266" t="n">
        <v>2594</v>
      </c>
      <c r="Z284" s="266" t="n">
        <v>2544</v>
      </c>
      <c r="AA284" s="266" t="n">
        <v>2488</v>
      </c>
      <c r="AB284" s="266" t="n">
        <v>2540</v>
      </c>
      <c r="AC284" s="266" t="n">
        <v>2540</v>
      </c>
      <c r="AD284" s="266" t="n">
        <v>2496</v>
      </c>
      <c r="AE284" s="266" t="n">
        <v>2567</v>
      </c>
      <c r="AF284" s="266" t="n">
        <v>2523</v>
      </c>
      <c r="AG284" s="266" t="n">
        <v>2573</v>
      </c>
      <c r="AH284" s="266" t="n">
        <v>2573</v>
      </c>
      <c r="AI284" s="266" t="n">
        <v>2525</v>
      </c>
      <c r="AJ284" s="266" t="n">
        <v>2494</v>
      </c>
      <c r="AK284" s="266" t="n">
        <v>2530</v>
      </c>
      <c r="AL284" s="266" t="n">
        <v>3429</v>
      </c>
      <c r="AM284" s="266" t="n">
        <v>3429</v>
      </c>
      <c r="AN284" s="266" t="n">
        <v>3498</v>
      </c>
      <c r="AO284" s="266" t="n">
        <v>3761</v>
      </c>
      <c r="AP284" s="266" t="n">
        <v>3587</v>
      </c>
      <c r="AQ284" s="266" t="n">
        <v>3338</v>
      </c>
      <c r="AR284" s="266" t="n">
        <v>3338</v>
      </c>
      <c r="AS284" s="266" t="n">
        <v>3256</v>
      </c>
      <c r="AT284" s="266" t="n">
        <v>3019</v>
      </c>
      <c r="AU284" s="266" t="n">
        <v>2941</v>
      </c>
      <c r="AV284" s="266" t="n">
        <v>2843</v>
      </c>
      <c r="AW284" s="266" t="n">
        <v>2843</v>
      </c>
      <c r="AX284" s="266" t="n">
        <v>2773</v>
      </c>
      <c r="AY284" s="266" t="n">
        <v>2702</v>
      </c>
      <c r="AZ284" s="266" t="n">
        <v>2631</v>
      </c>
      <c r="BA284" s="266" t="n">
        <v>2562</v>
      </c>
      <c r="BB284" s="266" t="n">
        <v>2562</v>
      </c>
      <c r="BC284" s="266" t="n">
        <v>2492</v>
      </c>
      <c r="BD284" s="266" t="n">
        <v>2431</v>
      </c>
      <c r="BE284" s="266" t="n">
        <v>2371</v>
      </c>
      <c r="BF284" s="266" t="n">
        <v>2311</v>
      </c>
      <c r="BG284" s="266" t="n">
        <v>2311</v>
      </c>
      <c r="BH284" s="266" t="n">
        <v>2254</v>
      </c>
      <c r="BI284" s="266" t="n">
        <v>2194</v>
      </c>
      <c r="BJ284" s="266" t="n">
        <v>2143</v>
      </c>
      <c r="BK284" s="266" t="n">
        <v>2094</v>
      </c>
      <c r="BL284" s="266" t="n">
        <v>2094</v>
      </c>
      <c r="BM284" s="266" t="n">
        <v>2034</v>
      </c>
      <c r="BN284" s="266" t="n">
        <v>2067</v>
      </c>
      <c r="BO284" s="266" t="n">
        <v>2011</v>
      </c>
      <c r="BP284" s="266" t="n">
        <v>1957</v>
      </c>
      <c r="BQ284" s="266" t="n">
        <v>1957</v>
      </c>
      <c r="BR284" s="266" t="n">
        <v>1904</v>
      </c>
      <c r="BS284" s="266" t="n">
        <v>1542</v>
      </c>
      <c r="BT284" s="266" t="n">
        <v>1495</v>
      </c>
      <c r="BU284" s="266" t="n">
        <v>1567</v>
      </c>
      <c r="BV284" s="266" t="n">
        <v>1567</v>
      </c>
      <c r="BW284" s="266" t="n">
        <v>1517</v>
      </c>
      <c r="BX284" s="266" t="n">
        <v>1531</v>
      </c>
      <c r="BY284" s="35" t="n"/>
      <c r="BZ284" s="35" t="n"/>
      <c r="CA284" s="263">
        <f>BX284-98.5</f>
        <v>1432.5</v>
      </c>
      <c r="CB284" s="263">
        <f>MAX(0,CA284-CB106+CB70*CB77)</f>
        <v>1250.5</v>
      </c>
      <c r="CC284" s="263">
        <f>MAX(0,CB284-CC106+CC70*CC77)</f>
        <v>1095.5</v>
      </c>
      <c r="CD284" s="263">
        <f>MAX(0,CC284-CD106+CD70*CD77)</f>
        <v>945.5</v>
      </c>
      <c r="CE284" s="263">
        <f>MAX(0,CD284-CE106+CE70*CE77)</f>
        <v>801.5</v>
      </c>
      <c r="CF284" s="263">
        <f>MAX(0,CE284-CF106+CF70*CF77)</f>
        <v>661.5</v>
      </c>
      <c r="CG284" s="19" t="n"/>
    </row>
    <row r="285" ht="15" customHeight="1" s="251">
      <c r="B285" s="25" t="inlineStr">
        <is>
          <t xml:space="preserve">  Customer financing, deferred taxes, investments, pension assets &amp; other assets (derived)</t>
        </is>
      </c>
      <c r="C285" s="266" t="n">
        <v>16391</v>
      </c>
      <c r="D285" s="266" t="n">
        <v>18287</v>
      </c>
      <c r="E285" s="266" t="n">
        <v>12734</v>
      </c>
      <c r="F285" s="266" t="n">
        <v>10798</v>
      </c>
      <c r="G285" s="266" t="n">
        <v>11146</v>
      </c>
      <c r="H285" s="266" t="n">
        <v>12874</v>
      </c>
      <c r="I285" s="266" t="n">
        <v>13781</v>
      </c>
      <c r="J285" s="266" t="n">
        <v>13097</v>
      </c>
      <c r="K285" s="266" t="n">
        <v>12913</v>
      </c>
      <c r="L285" s="266" t="n">
        <v>12475</v>
      </c>
      <c r="M285" s="266" t="n">
        <v>9270</v>
      </c>
      <c r="N285" s="266" t="n">
        <v>9270</v>
      </c>
      <c r="O285" s="266" t="n">
        <v>8493</v>
      </c>
      <c r="P285" s="266" t="n">
        <v>8618</v>
      </c>
      <c r="Q285" s="266" t="n">
        <v>8643</v>
      </c>
      <c r="R285" s="266" t="n">
        <v>12418</v>
      </c>
      <c r="S285" s="266" t="n">
        <v>12418</v>
      </c>
      <c r="T285" s="266" t="n">
        <v>12268</v>
      </c>
      <c r="U285" s="266" t="n">
        <v>12069</v>
      </c>
      <c r="V285" s="266" t="n">
        <v>11980</v>
      </c>
      <c r="W285" s="266" t="n">
        <v>6315</v>
      </c>
      <c r="X285" s="266" t="n">
        <v>6315</v>
      </c>
      <c r="Y285" s="266" t="n">
        <v>5965</v>
      </c>
      <c r="Z285" s="266" t="n">
        <v>5897</v>
      </c>
      <c r="AA285" s="266" t="n">
        <v>6384</v>
      </c>
      <c r="AB285" s="266" t="n">
        <v>6838</v>
      </c>
      <c r="AC285" s="266" t="n">
        <v>6838</v>
      </c>
      <c r="AD285" s="266" t="n">
        <v>6626</v>
      </c>
      <c r="AE285" s="266" t="n">
        <v>6471</v>
      </c>
      <c r="AF285" s="266" t="n">
        <v>6286</v>
      </c>
      <c r="AG285" s="266" t="n">
        <v>6368</v>
      </c>
      <c r="AH285" s="266" t="n">
        <v>6368</v>
      </c>
      <c r="AI285" s="266" t="n">
        <v>6295</v>
      </c>
      <c r="AJ285" s="266" t="n">
        <v>6145</v>
      </c>
      <c r="AK285" s="266" t="n">
        <v>6150</v>
      </c>
      <c r="AL285" s="266" t="n">
        <v>5615</v>
      </c>
      <c r="AM285" s="266" t="n">
        <v>5615</v>
      </c>
      <c r="AN285" s="266" t="n">
        <v>6641</v>
      </c>
      <c r="AO285" s="266" t="n">
        <v>6737</v>
      </c>
      <c r="AP285" s="266" t="n">
        <v>6765</v>
      </c>
      <c r="AQ285" s="266" t="n">
        <v>7496</v>
      </c>
      <c r="AR285" s="266" t="n">
        <v>7496</v>
      </c>
      <c r="AS285" s="266" t="n">
        <v>8346</v>
      </c>
      <c r="AT285" s="266" t="n">
        <v>9330</v>
      </c>
      <c r="AU285" s="266" t="n">
        <v>7268</v>
      </c>
      <c r="AV285" s="266" t="n">
        <v>7750</v>
      </c>
      <c r="AW285" s="266" t="n">
        <v>7750</v>
      </c>
      <c r="AX285" s="266" t="n">
        <v>7600</v>
      </c>
      <c r="AY285" s="266" t="n">
        <v>7721</v>
      </c>
      <c r="AZ285" s="266" t="n">
        <v>8144</v>
      </c>
      <c r="BA285" s="266" t="n">
        <v>8338</v>
      </c>
      <c r="BB285" s="266" t="n">
        <v>8338</v>
      </c>
      <c r="BC285" s="266" t="n">
        <v>8477</v>
      </c>
      <c r="BD285" s="266" t="n">
        <v>8376</v>
      </c>
      <c r="BE285" s="266" t="n">
        <v>7383</v>
      </c>
      <c r="BF285" s="266" t="n">
        <v>6659</v>
      </c>
      <c r="BG285" s="266" t="n">
        <v>6659</v>
      </c>
      <c r="BH285" s="266" t="n">
        <v>6726</v>
      </c>
      <c r="BI285" s="266" t="n">
        <v>6652</v>
      </c>
      <c r="BJ285" s="266" t="n">
        <v>6650</v>
      </c>
      <c r="BK285" s="266" t="n">
        <v>6889</v>
      </c>
      <c r="BL285" s="266" t="n">
        <v>6889</v>
      </c>
      <c r="BM285" s="266" t="n">
        <v>7133</v>
      </c>
      <c r="BN285" s="266" t="n">
        <v>7130</v>
      </c>
      <c r="BO285" s="266" t="n">
        <v>6900</v>
      </c>
      <c r="BP285" s="266" t="n">
        <v>6912</v>
      </c>
      <c r="BQ285" s="266" t="n">
        <v>6912</v>
      </c>
      <c r="BR285" s="266" t="n">
        <v>7378</v>
      </c>
      <c r="BS285" s="266" t="n">
        <v>7339</v>
      </c>
      <c r="BT285" s="266" t="n">
        <v>7037</v>
      </c>
      <c r="BU285" s="266" t="n">
        <v>5573</v>
      </c>
      <c r="BV285" s="266" t="n">
        <v>5573</v>
      </c>
      <c r="BW285" s="266" t="n">
        <v>5733</v>
      </c>
      <c r="BX285" s="266" t="n">
        <v>5834</v>
      </c>
      <c r="BY285" s="35" t="n"/>
      <c r="BZ285" s="35" t="n"/>
      <c r="CA285" s="263">
        <f>BX285</f>
        <v>5834</v>
      </c>
      <c r="CB285" s="263">
        <f>CA285</f>
        <v>5834</v>
      </c>
      <c r="CC285" s="263">
        <f>CB285</f>
        <v>5834</v>
      </c>
      <c r="CD285" s="263">
        <f>CC285</f>
        <v>5834</v>
      </c>
      <c r="CE285" s="263">
        <f>CD285</f>
        <v>5834</v>
      </c>
      <c r="CF285" s="263">
        <f>CE285</f>
        <v>5834</v>
      </c>
      <c r="CG285" s="19" t="n"/>
    </row>
    <row r="286" ht="15" customHeight="1" s="251">
      <c r="B286" s="55" t="inlineStr">
        <is>
          <t>TOTAL ASSETS</t>
        </is>
      </c>
      <c r="C286" s="275">
        <f>IF(ISNUMBER(C276),C281+SUM(C282:C285),"")</f>
        <v>51794</v>
      </c>
      <c r="D286" s="275">
        <f>IF(ISNUMBER(D276),D281+SUM(D282:D285),"")</f>
        <v>58772</v>
      </c>
      <c r="E286" s="275">
        <f>IF(ISNUMBER(E276),E281+SUM(E282:E285),"")</f>
        <v>53801</v>
      </c>
      <c r="F286" s="275">
        <f>IF(ISNUMBER(F276),F281+SUM(F282:F285),"")</f>
        <v>62053</v>
      </c>
      <c r="G286" s="275">
        <f>IF(ISNUMBER(G276),G281+SUM(G282:G285),"")</f>
        <v>68565</v>
      </c>
      <c r="H286" s="275">
        <f>IF(ISNUMBER(H276),H281+SUM(H282:H285),"")</f>
        <v>79986</v>
      </c>
      <c r="I286" s="275">
        <f>IF(ISNUMBER(I276),I281+SUM(I282:I285),"")</f>
        <v>88896</v>
      </c>
      <c r="J286" s="275">
        <f>IF(ISNUMBER(J276),J281+SUM(J282:J285),"")</f>
        <v>90447</v>
      </c>
      <c r="K286" s="275">
        <f>IF(ISNUMBER(K276),K281+SUM(K282:K285),"")</f>
        <v>92091</v>
      </c>
      <c r="L286" s="275">
        <f>IF(ISNUMBER(L276),L281+SUM(L282:L285),"")</f>
        <v>94633</v>
      </c>
      <c r="M286" s="275">
        <f>IF(ISNUMBER(M276),M281+SUM(M282:M285),"")</f>
        <v>92663</v>
      </c>
      <c r="N286" s="275">
        <f>IF(ISNUMBER(N276),N281+SUM(N282:N285),"")</f>
        <v>92663</v>
      </c>
      <c r="O286" s="275">
        <f>IF(ISNUMBER(O276),O281+SUM(O282:O285),"")</f>
        <v>91575</v>
      </c>
      <c r="P286" s="275">
        <f>IF(ISNUMBER(P276),P281+SUM(P282:P285),"")</f>
        <v>92737</v>
      </c>
      <c r="Q286" s="275">
        <f>IF(ISNUMBER(Q276),Q281+SUM(Q282:Q285),"")</f>
        <v>92653</v>
      </c>
      <c r="R286" s="275">
        <f>IF(ISNUMBER(R276),R281+SUM(R282:R285),"")</f>
        <v>99198</v>
      </c>
      <c r="S286" s="275">
        <f>IF(ISNUMBER(S276),S281+SUM(S282:S285),"")</f>
        <v>99198</v>
      </c>
      <c r="T286" s="275">
        <f>IF(ISNUMBER(T276),T281+SUM(T282:T285),"")</f>
        <v>97775</v>
      </c>
      <c r="U286" s="275">
        <f>IF(ISNUMBER(U276),U281+SUM(U282:U285),"")</f>
        <v>98102</v>
      </c>
      <c r="V286" s="275">
        <f>IF(ISNUMBER(V276),V281+SUM(V282:V285),"")</f>
        <v>98998</v>
      </c>
      <c r="W286" s="275">
        <f>IF(ISNUMBER(W276),W281+SUM(W282:W285),"")</f>
        <v>94408</v>
      </c>
      <c r="X286" s="275">
        <f>IF(ISNUMBER(X276),X281+SUM(X282:X285),"")</f>
        <v>94408</v>
      </c>
      <c r="Y286" s="275">
        <f>IF(ISNUMBER(Y276),Y281+SUM(Y282:Y285),"")</f>
        <v>91547</v>
      </c>
      <c r="Z286" s="275">
        <f>IF(ISNUMBER(Z276),Z281+SUM(Z282:Z285),"")</f>
        <v>89609</v>
      </c>
      <c r="AA286" s="275">
        <f>IF(ISNUMBER(AA276),AA281+SUM(AA282:AA285),"")</f>
        <v>88950</v>
      </c>
      <c r="AB286" s="275">
        <f>IF(ISNUMBER(AB276),AB281+SUM(AB282:AB285),"")</f>
        <v>89997</v>
      </c>
      <c r="AC286" s="275">
        <f>IF(ISNUMBER(AC276),AC281+SUM(AC282:AC285),"")</f>
        <v>89997</v>
      </c>
      <c r="AD286" s="275">
        <f>IF(ISNUMBER(AD276),AD281+SUM(AD282:AD285),"")</f>
        <v>89673</v>
      </c>
      <c r="AE286" s="275">
        <f>IF(ISNUMBER(AE276),AE281+SUM(AE282:AE285),"")</f>
        <v>90036</v>
      </c>
      <c r="AF286" s="275">
        <f>IF(ISNUMBER(AF276),AF281+SUM(AF282:AF285),"")</f>
        <v>91007</v>
      </c>
      <c r="AG286" s="275">
        <f>IF(ISNUMBER(AG276),AG281+SUM(AG282:AG285),"")</f>
        <v>92333</v>
      </c>
      <c r="AH286" s="275">
        <f>IF(ISNUMBER(AH276),AH281+SUM(AH282:AH285),"")</f>
        <v>92333</v>
      </c>
      <c r="AI286" s="275">
        <f>IF(ISNUMBER(AI276),AI281+SUM(AI282:AI285),"")</f>
        <v>113549</v>
      </c>
      <c r="AJ286" s="275">
        <f>IF(ISNUMBER(AJ276),AJ281+SUM(AJ282:AJ285),"")</f>
        <v>113195</v>
      </c>
      <c r="AK286" s="275">
        <f>IF(ISNUMBER(AK276),AK281+SUM(AK282:AK285),"")</f>
        <v>114659</v>
      </c>
      <c r="AL286" s="275">
        <f>IF(ISNUMBER(AL276),AL281+SUM(AL282:AL285),"")</f>
        <v>117359</v>
      </c>
      <c r="AM286" s="275">
        <f>IF(ISNUMBER(AM276),AM281+SUM(AM282:AM285),"")</f>
        <v>117359</v>
      </c>
      <c r="AN286" s="275">
        <f>IF(ISNUMBER(AN276),AN281+SUM(AN282:AN285),"")</f>
        <v>120209</v>
      </c>
      <c r="AO286" s="275">
        <f>IF(ISNUMBER(AO276),AO281+SUM(AO282:AO285),"")</f>
        <v>126261</v>
      </c>
      <c r="AP286" s="275">
        <f>IF(ISNUMBER(AP276),AP281+SUM(AP282:AP285),"")</f>
        <v>132598</v>
      </c>
      <c r="AQ286" s="275">
        <f>IF(ISNUMBER(AQ276),AQ281+SUM(AQ282:AQ285),"")</f>
        <v>133625</v>
      </c>
      <c r="AR286" s="275">
        <f>IF(ISNUMBER(AR276),AR281+SUM(AR282:AR285),"")</f>
        <v>133625</v>
      </c>
      <c r="AS286" s="275">
        <f>IF(ISNUMBER(AS276),AS281+SUM(AS282:AS285),"")</f>
        <v>143075</v>
      </c>
      <c r="AT286" s="275">
        <f>IF(ISNUMBER(AT276),AT281+SUM(AT282:AT285),"")</f>
        <v>162872</v>
      </c>
      <c r="AU286" s="275">
        <f>IF(ISNUMBER(AU276),AU281+SUM(AU282:AU285),"")</f>
        <v>161261</v>
      </c>
      <c r="AV286" s="275">
        <f>IF(ISNUMBER(AV276),AV281+SUM(AV282:AV285),"")</f>
        <v>152136</v>
      </c>
      <c r="AW286" s="275">
        <f>IF(ISNUMBER(AW276),AW281+SUM(AW282:AW285),"")</f>
        <v>152136</v>
      </c>
      <c r="AX286" s="275">
        <f>IF(ISNUMBER(AX276),AX281+SUM(AX282:AX285),"")</f>
        <v>150035</v>
      </c>
      <c r="AY286" s="275">
        <f>IF(ISNUMBER(AY276),AY281+SUM(AY282:AY285),"")</f>
        <v>148935</v>
      </c>
      <c r="AZ286" s="275">
        <f>IF(ISNUMBER(AZ276),AZ281+SUM(AZ282:AZ285),"")</f>
        <v>146846</v>
      </c>
      <c r="BA286" s="275">
        <f>IF(ISNUMBER(BA276),BA281+SUM(BA282:BA285),"")</f>
        <v>138552</v>
      </c>
      <c r="BB286" s="275">
        <f>IF(ISNUMBER(BB276),BB281+SUM(BB282:BB285),"")</f>
        <v>138552</v>
      </c>
      <c r="BC286" s="275">
        <f>IF(ISNUMBER(BC276),BC281+SUM(BC282:BC285),"")</f>
        <v>135801</v>
      </c>
      <c r="BD286" s="275">
        <f>IF(ISNUMBER(BD276),BD281+SUM(BD282:BD285),"")</f>
        <v>135479</v>
      </c>
      <c r="BE286" s="275">
        <f>IF(ISNUMBER(BE276),BE281+SUM(BE282:BE285),"")</f>
        <v>137558</v>
      </c>
      <c r="BF286" s="275">
        <f>IF(ISNUMBER(BF276),BF281+SUM(BF282:BF285),"")</f>
        <v>137100</v>
      </c>
      <c r="BG286" s="275">
        <f>IF(ISNUMBER(BG276),BG281+SUM(BG282:BG285),"")</f>
        <v>137100</v>
      </c>
      <c r="BH286" s="275">
        <f>IF(ISNUMBER(BH276),BH281+SUM(BH282:BH285),"")</f>
        <v>136347</v>
      </c>
      <c r="BI286" s="275">
        <f>IF(ISNUMBER(BI276),BI281+SUM(BI282:BI285),"")</f>
        <v>134774</v>
      </c>
      <c r="BJ286" s="275">
        <f>IF(ISNUMBER(BJ276),BJ281+SUM(BJ282:BJ285),"")</f>
        <v>134281</v>
      </c>
      <c r="BK286" s="275">
        <f>IF(ISNUMBER(BK276),BK281+SUM(BK282:BK285),"")</f>
        <v>137012</v>
      </c>
      <c r="BL286" s="275">
        <f>IF(ISNUMBER(BL276),BL281+SUM(BL282:BL285),"")</f>
        <v>137012</v>
      </c>
      <c r="BM286" s="275">
        <f>IF(ISNUMBER(BM276),BM281+SUM(BM282:BM285),"")</f>
        <v>134484</v>
      </c>
      <c r="BN286" s="275">
        <f>IF(ISNUMBER(BN276),BN281+SUM(BN282:BN285),"")</f>
        <v>142720</v>
      </c>
      <c r="BO286" s="275">
        <f>IF(ISNUMBER(BO276),BO281+SUM(BO282:BO285),"")</f>
        <v>137695</v>
      </c>
      <c r="BP286" s="275">
        <f>IF(ISNUMBER(BP276),BP281+SUM(BP282:BP285),"")</f>
        <v>156363</v>
      </c>
      <c r="BQ286" s="275">
        <f>IF(ISNUMBER(BQ276),BQ281+SUM(BQ282:BQ285),"")</f>
        <v>156363</v>
      </c>
      <c r="BR286" s="275">
        <f>IF(ISNUMBER(BR276),BR281+SUM(BR282:BR285),"")</f>
        <v>156494</v>
      </c>
      <c r="BS286" s="275">
        <f>IF(ISNUMBER(BS276),BS281+SUM(BS282:BS285),"")</f>
        <v>155120</v>
      </c>
      <c r="BT286" s="275">
        <f>IF(ISNUMBER(BT276),BT281+SUM(BT282:BT285),"")</f>
        <v>150023</v>
      </c>
      <c r="BU286" s="275">
        <f>IF(ISNUMBER(BU276),BU281+SUM(BU282:BU285),"")</f>
        <v>168235</v>
      </c>
      <c r="BV286" s="275">
        <f>IF(ISNUMBER(BV276),BV281+SUM(BV282:BV285),"")</f>
        <v>168235</v>
      </c>
      <c r="BW286" s="275">
        <f>IF(ISNUMBER(BW276),BW281+SUM(BW282:BW285),"")</f>
        <v>164787</v>
      </c>
      <c r="BX286" s="275">
        <f>IF(ISNUMBER(BX276),BX281+SUM(BX282:BX285),"")</f>
        <v>165870</v>
      </c>
      <c r="BY286" s="56" t="n"/>
      <c r="BZ286" s="56" t="n"/>
      <c r="CA286" s="275">
        <f>IF(ISNUMBER(CA276),CA281+SUM(CA282:CA285),"")</f>
        <v>169372.120628031</v>
      </c>
      <c r="CB286" s="275">
        <f>IF(ISNUMBER(CB276),CB281+SUM(CB282:CB285),"")</f>
        <v>177593.514497542</v>
      </c>
      <c r="CC286" s="275">
        <f>IF(ISNUMBER(CC276),CC281+SUM(CC282:CC285),"")</f>
        <v>191882.994739056</v>
      </c>
      <c r="CD286" s="275">
        <f>IF(ISNUMBER(CD276),CD281+SUM(CD282:CD285),"")</f>
        <v>193828.248411958</v>
      </c>
      <c r="CE286" s="275">
        <f>IF(ISNUMBER(CE276),CE281+SUM(CE282:CE285),"")</f>
        <v>194064.40099236</v>
      </c>
      <c r="CF286" s="275">
        <f>IF(ISNUMBER(CF276),CF281+SUM(CF282:CF285),"")</f>
        <v>195766.526663592</v>
      </c>
      <c r="CG286" s="153" t="n"/>
      <c r="CI286" s="20">
        <f>IFERROR(IF(AND(CF286&gt;0,CA286&gt;0),(CF286/CA286)^(1/5)-1,"n/m"),"n/m")</f>
        <v>0.0293884761409633</v>
      </c>
      <c r="CJ286" s="20">
        <f>IFERROR(IF(AND(BV286&gt;0,AW286&gt;0),(BV286/AW286)^(1/5)-1,"n/m"),"n/m")</f>
        <v>0.0203211092782856</v>
      </c>
      <c r="CK286" s="20">
        <f>IFERROR(IF(AND(BV286&gt;0,X286&gt;0),(BV286/X286)^(1/10)-1,"n/m"),"n/m")</f>
        <v>0.0594751029874758</v>
      </c>
      <c r="CL286" s="20">
        <f>IFERROR(IF(AND(BV286&gt;0,C286&gt;0),(BV286/C286)^(1/19)-1,"n/m"),"n/m")</f>
        <v>0.0639672445134683</v>
      </c>
    </row>
    <row r="287" ht="15" customHeight="1" s="251">
      <c r="B287" s="25" t="inlineStr">
        <is>
          <t>LIABILITIES AND EQUITY</t>
        </is>
      </c>
      <c r="CG287" s="153" t="n"/>
    </row>
    <row r="288" ht="15" customHeight="1" s="251">
      <c r="B288" s="25" t="inlineStr">
        <is>
          <t xml:space="preserve">  Accounts payable</t>
        </is>
      </c>
      <c r="C288" s="266" t="n">
        <v>16201</v>
      </c>
      <c r="D288" s="266" t="n">
        <v>16676</v>
      </c>
      <c r="E288" s="266" t="n">
        <v>17571</v>
      </c>
      <c r="F288" s="266" t="n">
        <v>7096</v>
      </c>
      <c r="G288" s="266" t="n">
        <v>7715</v>
      </c>
      <c r="H288" s="266" t="n">
        <v>8406</v>
      </c>
      <c r="I288" s="266" t="n">
        <v>9394</v>
      </c>
      <c r="J288" s="266" t="n">
        <v>9876</v>
      </c>
      <c r="K288" s="266" t="n">
        <v>10437</v>
      </c>
      <c r="L288" s="266" t="n">
        <v>10657</v>
      </c>
      <c r="M288" s="266" t="n">
        <v>9498</v>
      </c>
      <c r="N288" s="266" t="n">
        <v>9498</v>
      </c>
      <c r="O288" s="266" t="n">
        <v>10779</v>
      </c>
      <c r="P288" s="266" t="n">
        <v>11060</v>
      </c>
      <c r="Q288" s="266" t="n">
        <v>11136</v>
      </c>
      <c r="R288" s="266" t="n">
        <v>10667</v>
      </c>
      <c r="S288" s="266" t="n">
        <v>10667</v>
      </c>
      <c r="T288" s="266" t="n">
        <v>11497</v>
      </c>
      <c r="U288" s="266" t="n">
        <v>11531</v>
      </c>
      <c r="V288" s="266" t="n">
        <v>11777</v>
      </c>
      <c r="W288" s="266" t="n">
        <v>10800</v>
      </c>
      <c r="X288" s="266" t="n">
        <v>10800</v>
      </c>
      <c r="Y288" s="266" t="n">
        <v>11558</v>
      </c>
      <c r="Z288" s="266" t="n">
        <v>11748</v>
      </c>
      <c r="AA288" s="266" t="n">
        <v>11968</v>
      </c>
      <c r="AB288" s="266" t="n">
        <v>11190</v>
      </c>
      <c r="AC288" s="266" t="n">
        <v>11190</v>
      </c>
      <c r="AD288" s="266" t="n">
        <v>11964</v>
      </c>
      <c r="AE288" s="266" t="n">
        <v>12093</v>
      </c>
      <c r="AF288" s="266" t="n">
        <v>12718</v>
      </c>
      <c r="AG288" s="266" t="n">
        <v>12202</v>
      </c>
      <c r="AH288" s="266" t="n">
        <v>12202</v>
      </c>
      <c r="AI288" s="266" t="n">
        <v>12613</v>
      </c>
      <c r="AJ288" s="266" t="n">
        <v>12904</v>
      </c>
      <c r="AK288" s="266" t="n">
        <v>13663</v>
      </c>
      <c r="AL288" s="266" t="n">
        <v>12916</v>
      </c>
      <c r="AM288" s="266" t="n">
        <v>12916</v>
      </c>
      <c r="AN288" s="266" t="n">
        <v>14693</v>
      </c>
      <c r="AO288" s="266" t="n">
        <v>15267</v>
      </c>
      <c r="AP288" s="266" t="n">
        <v>15101</v>
      </c>
      <c r="AQ288" s="266" t="n">
        <v>15553</v>
      </c>
      <c r="AR288" s="266" t="n">
        <v>15553</v>
      </c>
      <c r="AS288" s="266" t="n">
        <v>14963</v>
      </c>
      <c r="AT288" s="266" t="n">
        <v>13700</v>
      </c>
      <c r="AU288" s="266" t="n">
        <v>14479</v>
      </c>
      <c r="AV288" s="266" t="n">
        <v>12928</v>
      </c>
      <c r="AW288" s="266" t="n">
        <v>12928</v>
      </c>
      <c r="AX288" s="266" t="n">
        <v>12410</v>
      </c>
      <c r="AY288" s="266" t="n">
        <v>11450</v>
      </c>
      <c r="AZ288" s="266" t="n">
        <v>10151</v>
      </c>
      <c r="BA288" s="266" t="n">
        <v>9261</v>
      </c>
      <c r="BB288" s="266" t="n">
        <v>9261</v>
      </c>
      <c r="BC288" s="266" t="n">
        <v>8779</v>
      </c>
      <c r="BD288" s="266" t="n">
        <v>9575</v>
      </c>
      <c r="BE288" s="266" t="n">
        <v>9793</v>
      </c>
      <c r="BF288" s="266" t="n">
        <v>10200</v>
      </c>
      <c r="BG288" s="266" t="n">
        <v>10200</v>
      </c>
      <c r="BH288" s="266" t="n">
        <v>10274</v>
      </c>
      <c r="BI288" s="266" t="n">
        <v>10936</v>
      </c>
      <c r="BJ288" s="266" t="n">
        <v>11143</v>
      </c>
      <c r="BK288" s="266" t="n">
        <v>11964</v>
      </c>
      <c r="BL288" s="266" t="n">
        <v>11964</v>
      </c>
      <c r="BM288" s="266" t="n">
        <v>11616</v>
      </c>
      <c r="BN288" s="266" t="n">
        <v>11864</v>
      </c>
      <c r="BO288" s="266" t="n">
        <v>12267</v>
      </c>
      <c r="BP288" s="266" t="n">
        <v>11364</v>
      </c>
      <c r="BQ288" s="266" t="n">
        <v>11364</v>
      </c>
      <c r="BR288" s="266" t="n">
        <v>11034</v>
      </c>
      <c r="BS288" s="266" t="n">
        <v>11238</v>
      </c>
      <c r="BT288" s="266" t="n">
        <v>11732</v>
      </c>
      <c r="BU288" s="266" t="n">
        <v>13109</v>
      </c>
      <c r="BV288" s="266" t="n">
        <v>13109</v>
      </c>
      <c r="BW288" s="266" t="n">
        <v>13713</v>
      </c>
      <c r="BX288" s="266" t="n">
        <v>14346</v>
      </c>
      <c r="BY288" s="35" t="n"/>
      <c r="BZ288" s="35" t="n"/>
      <c r="CA288" s="263">
        <f>CA309*CA312/365</f>
        <v>13206.5699225144</v>
      </c>
      <c r="CB288" s="263">
        <f>CB309*CB312/365</f>
        <v>13835.0967248403</v>
      </c>
      <c r="CC288" s="263">
        <f>CC309*CC312/365</f>
        <v>14737.23326507</v>
      </c>
      <c r="CD288" s="263">
        <f>CD309*CD312/365</f>
        <v>15456.6687068488</v>
      </c>
      <c r="CE288" s="263">
        <f>CE309*CE312/365</f>
        <v>16000.2547148936</v>
      </c>
      <c r="CF288" s="263">
        <f>CF309*CF312/365</f>
        <v>16572.2975073882</v>
      </c>
      <c r="CG288" s="19" t="n"/>
    </row>
    <row r="289" ht="15" customHeight="1" s="251">
      <c r="B289" s="25" t="inlineStr">
        <is>
          <t xml:space="preserve">  Advances and progress billings (advances and billings in excess of related costs)</t>
        </is>
      </c>
      <c r="C289" s="266" t="n">
        <v>11449</v>
      </c>
      <c r="D289" s="266" t="n">
        <v>13847</v>
      </c>
      <c r="E289" s="266" t="n">
        <v>12737</v>
      </c>
      <c r="F289" s="266" t="n">
        <v>12076</v>
      </c>
      <c r="G289" s="266" t="n">
        <v>12323</v>
      </c>
      <c r="H289" s="266" t="n">
        <v>15496</v>
      </c>
      <c r="I289" s="266" t="n">
        <v>16672</v>
      </c>
      <c r="J289" s="266" t="n">
        <v>18505</v>
      </c>
      <c r="K289" s="266" t="n">
        <v>18145</v>
      </c>
      <c r="L289" s="266" t="n">
        <v>20216</v>
      </c>
      <c r="M289" s="266" t="n">
        <v>20027</v>
      </c>
      <c r="N289" s="266" t="n">
        <v>20027</v>
      </c>
      <c r="O289" s="266" t="n">
        <v>21112</v>
      </c>
      <c r="P289" s="266" t="n">
        <v>21244</v>
      </c>
      <c r="Q289" s="266" t="n">
        <v>21127</v>
      </c>
      <c r="R289" s="266" t="n">
        <v>23175</v>
      </c>
      <c r="S289" s="266" t="n">
        <v>23175</v>
      </c>
      <c r="T289" s="266" t="n">
        <v>22752</v>
      </c>
      <c r="U289" s="266" t="n">
        <v>23373</v>
      </c>
      <c r="V289" s="266" t="n">
        <v>23442</v>
      </c>
      <c r="W289" s="266" t="n">
        <v>24364</v>
      </c>
      <c r="X289" s="266" t="n">
        <v>24364</v>
      </c>
      <c r="Y289" s="266" t="n">
        <v>23926</v>
      </c>
      <c r="Z289" s="266" t="n">
        <v>23409</v>
      </c>
      <c r="AA289" s="266" t="n">
        <v>22646</v>
      </c>
      <c r="AB289" s="266" t="n">
        <v>23869</v>
      </c>
      <c r="AC289" s="266" t="n">
        <v>23869</v>
      </c>
      <c r="AD289" s="266" t="n">
        <v>24118</v>
      </c>
      <c r="AE289" s="266" t="n">
        <v>25802</v>
      </c>
      <c r="AF289" s="266" t="n">
        <v>26695</v>
      </c>
      <c r="AG289" s="266" t="n">
        <v>27440</v>
      </c>
      <c r="AH289" s="266" t="n">
        <v>27440</v>
      </c>
      <c r="AI289" s="266" t="n">
        <v>49955</v>
      </c>
      <c r="AJ289" s="266" t="n">
        <v>50970</v>
      </c>
      <c r="AK289" s="266" t="n">
        <v>51496</v>
      </c>
      <c r="AL289" s="266" t="n">
        <v>50676</v>
      </c>
      <c r="AM289" s="266" t="n">
        <v>50676</v>
      </c>
      <c r="AN289" s="266" t="n">
        <v>52534</v>
      </c>
      <c r="AO289" s="266" t="n">
        <v>52523</v>
      </c>
      <c r="AP289" s="266" t="n">
        <v>53167</v>
      </c>
      <c r="AQ289" s="266" t="n">
        <v>51551</v>
      </c>
      <c r="AR289" s="266" t="n">
        <v>51551</v>
      </c>
      <c r="AS289" s="266" t="n">
        <v>52883</v>
      </c>
      <c r="AT289" s="266" t="n">
        <v>53367</v>
      </c>
      <c r="AU289" s="266" t="n">
        <v>51974</v>
      </c>
      <c r="AV289" s="266" t="n">
        <v>50488</v>
      </c>
      <c r="AW289" s="266" t="n">
        <v>50488</v>
      </c>
      <c r="AX289" s="266" t="n">
        <v>50908</v>
      </c>
      <c r="AY289" s="266" t="n">
        <v>50738</v>
      </c>
      <c r="AZ289" s="266" t="n">
        <v>51269</v>
      </c>
      <c r="BA289" s="266" t="n">
        <v>52980</v>
      </c>
      <c r="BB289" s="266" t="n">
        <v>52980</v>
      </c>
      <c r="BC289" s="266" t="n">
        <v>52458</v>
      </c>
      <c r="BD289" s="266" t="n">
        <v>52066</v>
      </c>
      <c r="BE289" s="266" t="n">
        <v>53177</v>
      </c>
      <c r="BF289" s="266" t="n">
        <v>53081</v>
      </c>
      <c r="BG289" s="266" t="n">
        <v>53081</v>
      </c>
      <c r="BH289" s="266" t="n">
        <v>54498</v>
      </c>
      <c r="BI289" s="266" t="n">
        <v>55310</v>
      </c>
      <c r="BJ289" s="266" t="n">
        <v>55924</v>
      </c>
      <c r="BK289" s="266" t="n">
        <v>56328</v>
      </c>
      <c r="BL289" s="266" t="n">
        <v>56328</v>
      </c>
      <c r="BM289" s="266" t="n">
        <v>58972</v>
      </c>
      <c r="BN289" s="266" t="n">
        <v>58151</v>
      </c>
      <c r="BO289" s="266" t="n">
        <v>57931</v>
      </c>
      <c r="BP289" s="266" t="n">
        <v>60333</v>
      </c>
      <c r="BQ289" s="266" t="n">
        <v>60333</v>
      </c>
      <c r="BR289" s="266" t="n">
        <v>61114</v>
      </c>
      <c r="BS289" s="266" t="n">
        <v>59407</v>
      </c>
      <c r="BT289" s="266" t="n">
        <v>57962</v>
      </c>
      <c r="BU289" s="266" t="n">
        <v>59404</v>
      </c>
      <c r="BV289" s="266" t="n">
        <v>59404</v>
      </c>
      <c r="BW289" s="266" t="n">
        <v>62591</v>
      </c>
      <c r="BX289" s="266" t="n">
        <v>64059</v>
      </c>
      <c r="BY289" s="35" t="n"/>
      <c r="BZ289" s="35" t="n"/>
      <c r="CA289" s="263">
        <f>CA308*CA313</f>
        <v>64590.2738172101</v>
      </c>
      <c r="CB289" s="263">
        <f>CB308*CB313</f>
        <v>68222.9818224269</v>
      </c>
      <c r="CC289" s="263">
        <f>CC308*CC313</f>
        <v>71784.4315505339</v>
      </c>
      <c r="CD289" s="263">
        <f>CD308*CD313</f>
        <v>74285.0949011006</v>
      </c>
      <c r="CE289" s="263">
        <f>CE308*CE313</f>
        <v>75349.2291705323</v>
      </c>
      <c r="CF289" s="263">
        <f>CF308*CF313</f>
        <v>77238.1633795285</v>
      </c>
      <c r="CG289" s="19" t="n"/>
    </row>
    <row r="290" ht="15" customHeight="1" s="251">
      <c r="B290" s="25" t="inlineStr">
        <is>
          <t xml:space="preserve">  Short-term debt and current portion of long-term debt</t>
        </is>
      </c>
      <c r="C290" s="266" t="n">
        <v>1381</v>
      </c>
      <c r="D290" s="266" t="n">
        <v>762</v>
      </c>
      <c r="E290" s="266" t="n">
        <v>560</v>
      </c>
      <c r="F290" s="266" t="n">
        <v>707</v>
      </c>
      <c r="G290" s="266" t="n">
        <v>948</v>
      </c>
      <c r="H290" s="266" t="n">
        <v>2353</v>
      </c>
      <c r="I290" s="266" t="n">
        <v>1436</v>
      </c>
      <c r="J290" s="266" t="n">
        <v>917</v>
      </c>
      <c r="K290" s="266" t="n">
        <v>883</v>
      </c>
      <c r="L290" s="266" t="n">
        <v>919</v>
      </c>
      <c r="M290" s="266" t="n">
        <v>1563</v>
      </c>
      <c r="N290" s="266" t="n">
        <v>1563</v>
      </c>
      <c r="O290" s="266" t="n">
        <v>1660</v>
      </c>
      <c r="P290" s="266" t="n">
        <v>1591</v>
      </c>
      <c r="Q290" s="266" t="n">
        <v>1579</v>
      </c>
      <c r="R290" s="266" t="n">
        <v>929</v>
      </c>
      <c r="S290" s="266" t="n">
        <v>929</v>
      </c>
      <c r="T290" s="266" t="n">
        <v>133</v>
      </c>
      <c r="U290" s="266" t="n">
        <v>112</v>
      </c>
      <c r="V290" s="266" t="n">
        <v>614</v>
      </c>
      <c r="W290" s="266" t="n">
        <v>1234</v>
      </c>
      <c r="X290" s="266" t="n">
        <v>1234</v>
      </c>
      <c r="Y290" s="266" t="n">
        <v>1243</v>
      </c>
      <c r="Z290" s="266" t="n">
        <v>1168</v>
      </c>
      <c r="AA290" s="266" t="n">
        <v>632</v>
      </c>
      <c r="AB290" s="266" t="n">
        <v>384</v>
      </c>
      <c r="AC290" s="266" t="n">
        <v>384</v>
      </c>
      <c r="AD290" s="266" t="n">
        <v>367</v>
      </c>
      <c r="AE290" s="266" t="n">
        <v>720</v>
      </c>
      <c r="AF290" s="266" t="n">
        <v>988</v>
      </c>
      <c r="AG290" s="266" t="n">
        <v>1335</v>
      </c>
      <c r="AH290" s="266" t="n">
        <v>1335</v>
      </c>
      <c r="AI290" s="266" t="n">
        <v>1981</v>
      </c>
      <c r="AJ290" s="266" t="n">
        <v>1611</v>
      </c>
      <c r="AK290" s="266" t="n">
        <v>1389</v>
      </c>
      <c r="AL290" s="266" t="n">
        <v>3190</v>
      </c>
      <c r="AM290" s="266" t="n">
        <v>3190</v>
      </c>
      <c r="AN290" s="266" t="n">
        <v>3381</v>
      </c>
      <c r="AO290" s="266" t="n">
        <v>4357</v>
      </c>
      <c r="AP290" s="266" t="n">
        <v>4354</v>
      </c>
      <c r="AQ290" s="266" t="n">
        <v>7340</v>
      </c>
      <c r="AR290" s="266" t="n">
        <v>7340</v>
      </c>
      <c r="AS290" s="266" t="n">
        <v>5173</v>
      </c>
      <c r="AT290" s="266" t="n">
        <v>2922</v>
      </c>
      <c r="AU290" s="266" t="n">
        <v>3634</v>
      </c>
      <c r="AV290" s="266" t="n">
        <v>1693</v>
      </c>
      <c r="AW290" s="266" t="n">
        <v>1693</v>
      </c>
      <c r="AX290" s="266" t="n">
        <v>6021</v>
      </c>
      <c r="AY290" s="266" t="n">
        <v>6534</v>
      </c>
      <c r="AZ290" s="266" t="n">
        <v>5377</v>
      </c>
      <c r="BA290" s="266" t="n">
        <v>1296</v>
      </c>
      <c r="BB290" s="266" t="n">
        <v>1296</v>
      </c>
      <c r="BC290" s="266" t="n">
        <v>2591</v>
      </c>
      <c r="BD290" s="266" t="n">
        <v>5406</v>
      </c>
      <c r="BE290" s="266" t="n">
        <v>5431</v>
      </c>
      <c r="BF290" s="266" t="n">
        <v>5190</v>
      </c>
      <c r="BG290" s="266" t="n">
        <v>5190</v>
      </c>
      <c r="BH290" s="266" t="n">
        <v>7926</v>
      </c>
      <c r="BI290" s="266" t="n">
        <v>4609</v>
      </c>
      <c r="BJ290" s="266" t="n">
        <v>4891</v>
      </c>
      <c r="BK290" s="266" t="n">
        <v>5204</v>
      </c>
      <c r="BL290" s="266" t="n">
        <v>5204</v>
      </c>
      <c r="BM290" s="266" t="n">
        <v>1063</v>
      </c>
      <c r="BN290" s="266" t="n">
        <v>4765</v>
      </c>
      <c r="BO290" s="266" t="n">
        <v>4474</v>
      </c>
      <c r="BP290" s="266" t="n">
        <v>1278</v>
      </c>
      <c r="BQ290" s="266" t="n">
        <v>1278</v>
      </c>
      <c r="BR290" s="266" t="n">
        <v>7930</v>
      </c>
      <c r="BS290" s="266" t="n">
        <v>8719</v>
      </c>
      <c r="BT290" s="266" t="n">
        <v>8742</v>
      </c>
      <c r="BU290" s="266" t="n">
        <v>8461</v>
      </c>
      <c r="BV290" s="266" t="n">
        <v>8461</v>
      </c>
      <c r="BW290" s="266" t="n">
        <v>2855</v>
      </c>
      <c r="BX290" s="266" t="n">
        <v>4565</v>
      </c>
      <c r="BY290" s="35" t="n"/>
      <c r="BZ290" s="35" t="n"/>
      <c r="CA290" s="263">
        <f>CA349+MIN(CA342,CA346)</f>
        <v>4403</v>
      </c>
      <c r="CB290" s="263">
        <f>CB349+MIN(CB342,CB346)</f>
        <v>2739</v>
      </c>
      <c r="CC290" s="263">
        <f>CC349+MIN(CC342,CC346)</f>
        <v>2508</v>
      </c>
      <c r="CD290" s="263">
        <f>CD349+MIN(CD342,CD346)</f>
        <v>5274</v>
      </c>
      <c r="CE290" s="263">
        <f>CE349+MIN(CE342,CE346)</f>
        <v>3000</v>
      </c>
      <c r="CF290" s="263">
        <f>CF349+MIN(CF342,CF346)</f>
        <v>3000</v>
      </c>
      <c r="CG290" s="19" t="inlineStr">
        <is>
          <t>Revolver / commercial paper + scheduled maturities in the following year.</t>
        </is>
      </c>
    </row>
    <row r="291" ht="15" customHeight="1" s="251">
      <c r="B291" s="25" t="inlineStr">
        <is>
          <t xml:space="preserve">  Accrued liabilities &amp; other current liabilities</t>
        </is>
      </c>
      <c r="C291" s="266" t="n">
        <v>670</v>
      </c>
      <c r="D291" s="266" t="n">
        <v>253</v>
      </c>
      <c r="E291" s="266" t="n">
        <v>49</v>
      </c>
      <c r="F291" s="266" t="n">
        <v>13004</v>
      </c>
      <c r="G291" s="266" t="n">
        <v>14409</v>
      </c>
      <c r="H291" s="266" t="n">
        <v>15019</v>
      </c>
      <c r="I291" s="266" t="n">
        <v>17480</v>
      </c>
      <c r="J291" s="266" t="n">
        <v>16368</v>
      </c>
      <c r="K291" s="266" t="n">
        <v>17484</v>
      </c>
      <c r="L291" s="266" t="n">
        <v>17888</v>
      </c>
      <c r="M291" s="266" t="n">
        <v>20398</v>
      </c>
      <c r="N291" s="266" t="n">
        <v>20398</v>
      </c>
      <c r="O291" s="266" t="n">
        <v>18951</v>
      </c>
      <c r="P291" s="266" t="n">
        <v>19444</v>
      </c>
      <c r="Q291" s="266" t="n">
        <v>19362</v>
      </c>
      <c r="R291" s="266" t="n">
        <v>21946</v>
      </c>
      <c r="S291" s="266" t="n">
        <v>21946</v>
      </c>
      <c r="T291" s="266" t="n">
        <v>20874</v>
      </c>
      <c r="U291" s="266" t="n">
        <v>22120</v>
      </c>
      <c r="V291" s="266" t="n">
        <v>21975</v>
      </c>
      <c r="W291" s="266" t="n">
        <v>14014</v>
      </c>
      <c r="X291" s="266" t="n">
        <v>14014</v>
      </c>
      <c r="Y291" s="266" t="n">
        <v>12790</v>
      </c>
      <c r="Z291" s="266" t="n">
        <v>13534</v>
      </c>
      <c r="AA291" s="266" t="n">
        <v>13243</v>
      </c>
      <c r="AB291" s="266" t="n">
        <v>14691</v>
      </c>
      <c r="AC291" s="266" t="n">
        <v>14691</v>
      </c>
      <c r="AD291" s="266" t="n">
        <v>13332</v>
      </c>
      <c r="AE291" s="266" t="n">
        <v>14294</v>
      </c>
      <c r="AF291" s="266" t="n">
        <v>14008</v>
      </c>
      <c r="AG291" s="266" t="n">
        <v>15292</v>
      </c>
      <c r="AH291" s="266" t="n">
        <v>15292</v>
      </c>
      <c r="AI291" s="266" t="n">
        <v>10983</v>
      </c>
      <c r="AJ291" s="266" t="n">
        <v>12240</v>
      </c>
      <c r="AK291" s="266" t="n">
        <v>12869</v>
      </c>
      <c r="AL291" s="266" t="n">
        <v>14808</v>
      </c>
      <c r="AM291" s="266" t="n">
        <v>14808</v>
      </c>
      <c r="AN291" s="266" t="n">
        <v>13007</v>
      </c>
      <c r="AO291" s="266" t="n">
        <v>20042</v>
      </c>
      <c r="AP291" s="266" t="n">
        <v>19224</v>
      </c>
      <c r="AQ291" s="266" t="n">
        <v>22868</v>
      </c>
      <c r="AR291" s="266" t="n">
        <v>22868</v>
      </c>
      <c r="AS291" s="266" t="n">
        <v>21483</v>
      </c>
      <c r="AT291" s="266" t="n">
        <v>22493</v>
      </c>
      <c r="AU291" s="266" t="n">
        <v>22220</v>
      </c>
      <c r="AV291" s="266" t="n">
        <v>22171</v>
      </c>
      <c r="AW291" s="266" t="n">
        <v>22171</v>
      </c>
      <c r="AX291" s="266" t="n">
        <v>20553</v>
      </c>
      <c r="AY291" s="266" t="n">
        <v>19502</v>
      </c>
      <c r="AZ291" s="266" t="n">
        <v>18974</v>
      </c>
      <c r="BA291" s="266" t="n">
        <v>18455</v>
      </c>
      <c r="BB291" s="266" t="n">
        <v>18455</v>
      </c>
      <c r="BC291" s="266" t="n">
        <v>17864</v>
      </c>
      <c r="BD291" s="266" t="n">
        <v>17752</v>
      </c>
      <c r="BE291" s="266" t="n">
        <v>21217</v>
      </c>
      <c r="BF291" s="266" t="n">
        <v>21581</v>
      </c>
      <c r="BG291" s="266" t="n">
        <v>21581</v>
      </c>
      <c r="BH291" s="266" t="n">
        <v>20812</v>
      </c>
      <c r="BI291" s="266" t="n">
        <v>21221</v>
      </c>
      <c r="BJ291" s="266" t="n">
        <v>21104</v>
      </c>
      <c r="BK291" s="266" t="n">
        <v>22331</v>
      </c>
      <c r="BL291" s="266" t="n">
        <v>22331</v>
      </c>
      <c r="BM291" s="266" t="n">
        <v>21607</v>
      </c>
      <c r="BN291" s="266" t="n">
        <v>21850</v>
      </c>
      <c r="BO291" s="266" t="n">
        <v>22628</v>
      </c>
      <c r="BP291" s="266" t="n">
        <v>24103</v>
      </c>
      <c r="BQ291" s="266" t="n">
        <v>24103</v>
      </c>
      <c r="BR291" s="266" t="n">
        <v>23576</v>
      </c>
      <c r="BS291" s="266" t="n">
        <v>24012</v>
      </c>
      <c r="BT291" s="266" t="n">
        <v>24888</v>
      </c>
      <c r="BU291" s="266" t="n">
        <v>27141</v>
      </c>
      <c r="BV291" s="266" t="n">
        <v>27141</v>
      </c>
      <c r="BW291" s="266" t="n">
        <v>26388</v>
      </c>
      <c r="BX291" s="266" t="n">
        <v>26593</v>
      </c>
      <c r="BY291" s="35" t="n"/>
      <c r="BZ291" s="35" t="n"/>
      <c r="CA291" s="263">
        <f>CA308*CA314</f>
        <v>29474.1761545402</v>
      </c>
      <c r="CB291" s="263">
        <f>CB308*CB314</f>
        <v>32299.3179565552</v>
      </c>
      <c r="CC291" s="263">
        <f>CC308*CC314</f>
        <v>35081.7463867932</v>
      </c>
      <c r="CD291" s="263">
        <f>CD308*CD314</f>
        <v>37513.9729250558</v>
      </c>
      <c r="CE291" s="263">
        <f>CE308*CE314</f>
        <v>39363.4766183988</v>
      </c>
      <c r="CF291" s="263">
        <f>CF308*CF314</f>
        <v>41058.1815859599</v>
      </c>
      <c r="CG291" s="19" t="n"/>
    </row>
    <row r="292" ht="15" customHeight="1" s="251">
      <c r="B292" s="16" t="inlineStr">
        <is>
          <t>Total current liabilities</t>
        </is>
      </c>
      <c r="C292" s="281">
        <f>IF(ISNUMBER(C288),SUM(C288:C291),"")</f>
        <v>29701</v>
      </c>
      <c r="D292" s="281">
        <f>IF(ISNUMBER(D288),SUM(D288:D291),"")</f>
        <v>31538</v>
      </c>
      <c r="E292" s="281">
        <f>IF(ISNUMBER(E288),SUM(E288:E291),"")</f>
        <v>30917</v>
      </c>
      <c r="F292" s="281">
        <f>IF(ISNUMBER(F288),SUM(F288:F291),"")</f>
        <v>32883</v>
      </c>
      <c r="G292" s="281">
        <f>IF(ISNUMBER(G288),SUM(G288:G291),"")</f>
        <v>35395</v>
      </c>
      <c r="H292" s="281">
        <f>IF(ISNUMBER(H288),SUM(H288:H291),"")</f>
        <v>41274</v>
      </c>
      <c r="I292" s="281">
        <f>IF(ISNUMBER(I288),SUM(I288:I291),"")</f>
        <v>44982</v>
      </c>
      <c r="J292" s="281">
        <f>IF(ISNUMBER(J288),SUM(J288:J291),"")</f>
        <v>45666</v>
      </c>
      <c r="K292" s="281">
        <f>IF(ISNUMBER(K288),SUM(K288:K291),"")</f>
        <v>46949</v>
      </c>
      <c r="L292" s="281">
        <f>IF(ISNUMBER(L288),SUM(L288:L291),"")</f>
        <v>49680</v>
      </c>
      <c r="M292" s="281">
        <f>IF(ISNUMBER(M288),SUM(M288:M291),"")</f>
        <v>51486</v>
      </c>
      <c r="N292" s="281">
        <f>IF(ISNUMBER(N288),SUM(N288:N291),"")</f>
        <v>51486</v>
      </c>
      <c r="O292" s="281">
        <f>IF(ISNUMBER(O288),SUM(O288:O291),"")</f>
        <v>52502</v>
      </c>
      <c r="P292" s="281">
        <f>IF(ISNUMBER(P288),SUM(P288:P291),"")</f>
        <v>53339</v>
      </c>
      <c r="Q292" s="281">
        <f>IF(ISNUMBER(Q288),SUM(Q288:Q291),"")</f>
        <v>53204</v>
      </c>
      <c r="R292" s="281">
        <f>IF(ISNUMBER(R288),SUM(R288:R291),"")</f>
        <v>56717</v>
      </c>
      <c r="S292" s="281">
        <f>IF(ISNUMBER(S288),SUM(S288:S291),"")</f>
        <v>56717</v>
      </c>
      <c r="T292" s="281">
        <f>IF(ISNUMBER(T288),SUM(T288:T291),"")</f>
        <v>55256</v>
      </c>
      <c r="U292" s="281">
        <f>IF(ISNUMBER(U288),SUM(U288:U291),"")</f>
        <v>57136</v>
      </c>
      <c r="V292" s="281">
        <f>IF(ISNUMBER(V288),SUM(V288:V291),"")</f>
        <v>57808</v>
      </c>
      <c r="W292" s="281">
        <f>IF(ISNUMBER(W288),SUM(W288:W291),"")</f>
        <v>50412</v>
      </c>
      <c r="X292" s="281">
        <f>IF(ISNUMBER(X288),SUM(X288:X291),"")</f>
        <v>50412</v>
      </c>
      <c r="Y292" s="281">
        <f>IF(ISNUMBER(Y288),SUM(Y288:Y291),"")</f>
        <v>49517</v>
      </c>
      <c r="Z292" s="281">
        <f>IF(ISNUMBER(Z288),SUM(Z288:Z291),"")</f>
        <v>49859</v>
      </c>
      <c r="AA292" s="281">
        <f>IF(ISNUMBER(AA288),SUM(AA288:AA291),"")</f>
        <v>48489</v>
      </c>
      <c r="AB292" s="281">
        <f>IF(ISNUMBER(AB288),SUM(AB288:AB291),"")</f>
        <v>50134</v>
      </c>
      <c r="AC292" s="281">
        <f>IF(ISNUMBER(AC288),SUM(AC288:AC291),"")</f>
        <v>50134</v>
      </c>
      <c r="AD292" s="281">
        <f>IF(ISNUMBER(AD288),SUM(AD288:AD291),"")</f>
        <v>49781</v>
      </c>
      <c r="AE292" s="281">
        <f>IF(ISNUMBER(AE288),SUM(AE288:AE291),"")</f>
        <v>52909</v>
      </c>
      <c r="AF292" s="281">
        <f>IF(ISNUMBER(AF288),SUM(AF288:AF291),"")</f>
        <v>54409</v>
      </c>
      <c r="AG292" s="281">
        <f>IF(ISNUMBER(AG288),SUM(AG288:AG291),"")</f>
        <v>56269</v>
      </c>
      <c r="AH292" s="281">
        <f>IF(ISNUMBER(AH288),SUM(AH288:AH291),"")</f>
        <v>56269</v>
      </c>
      <c r="AI292" s="281">
        <f>IF(ISNUMBER(AI288),SUM(AI288:AI291),"")</f>
        <v>75532</v>
      </c>
      <c r="AJ292" s="281">
        <f>IF(ISNUMBER(AJ288),SUM(AJ288:AJ291),"")</f>
        <v>77725</v>
      </c>
      <c r="AK292" s="281">
        <f>IF(ISNUMBER(AK288),SUM(AK288:AK291),"")</f>
        <v>79417</v>
      </c>
      <c r="AL292" s="281">
        <f>IF(ISNUMBER(AL288),SUM(AL288:AL291),"")</f>
        <v>81590</v>
      </c>
      <c r="AM292" s="281">
        <f>IF(ISNUMBER(AM288),SUM(AM288:AM291),"")</f>
        <v>81590</v>
      </c>
      <c r="AN292" s="281">
        <f>IF(ISNUMBER(AN288),SUM(AN288:AN291),"")</f>
        <v>83615</v>
      </c>
      <c r="AO292" s="281">
        <f>IF(ISNUMBER(AO288),SUM(AO288:AO291),"")</f>
        <v>92189</v>
      </c>
      <c r="AP292" s="281">
        <f>IF(ISNUMBER(AP288),SUM(AP288:AP291),"")</f>
        <v>91846</v>
      </c>
      <c r="AQ292" s="281">
        <f>IF(ISNUMBER(AQ288),SUM(AQ288:AQ291),"")</f>
        <v>97312</v>
      </c>
      <c r="AR292" s="281">
        <f>IF(ISNUMBER(AR288),SUM(AR288:AR291),"")</f>
        <v>97312</v>
      </c>
      <c r="AS292" s="281">
        <f>IF(ISNUMBER(AS288),SUM(AS288:AS291),"")</f>
        <v>94502</v>
      </c>
      <c r="AT292" s="281">
        <f>IF(ISNUMBER(AT288),SUM(AT288:AT291),"")</f>
        <v>92482</v>
      </c>
      <c r="AU292" s="281">
        <f>IF(ISNUMBER(AU288),SUM(AU288:AU291),"")</f>
        <v>92307</v>
      </c>
      <c r="AV292" s="281">
        <f>IF(ISNUMBER(AV288),SUM(AV288:AV291),"")</f>
        <v>87280</v>
      </c>
      <c r="AW292" s="281">
        <f>IF(ISNUMBER(AW288),SUM(AW288:AW291),"")</f>
        <v>87280</v>
      </c>
      <c r="AX292" s="281">
        <f>IF(ISNUMBER(AX288),SUM(AX288:AX291),"")</f>
        <v>89892</v>
      </c>
      <c r="AY292" s="281">
        <f>IF(ISNUMBER(AY288),SUM(AY288:AY291),"")</f>
        <v>88224</v>
      </c>
      <c r="AZ292" s="281">
        <f>IF(ISNUMBER(AZ288),SUM(AZ288:AZ291),"")</f>
        <v>85771</v>
      </c>
      <c r="BA292" s="281">
        <f>IF(ISNUMBER(BA288),SUM(BA288:BA291),"")</f>
        <v>81992</v>
      </c>
      <c r="BB292" s="281">
        <f>IF(ISNUMBER(BB288),SUM(BB288:BB291),"")</f>
        <v>81992</v>
      </c>
      <c r="BC292" s="281">
        <f>IF(ISNUMBER(BC288),SUM(BC288:BC291),"")</f>
        <v>81692</v>
      </c>
      <c r="BD292" s="281">
        <f>IF(ISNUMBER(BD288),SUM(BD288:BD291),"")</f>
        <v>84799</v>
      </c>
      <c r="BE292" s="281">
        <f>IF(ISNUMBER(BE288),SUM(BE288:BE291),"")</f>
        <v>89618</v>
      </c>
      <c r="BF292" s="281">
        <f>IF(ISNUMBER(BF288),SUM(BF288:BF291),"")</f>
        <v>90052</v>
      </c>
      <c r="BG292" s="281">
        <f>IF(ISNUMBER(BG288),SUM(BG288:BG291),"")</f>
        <v>90052</v>
      </c>
      <c r="BH292" s="281">
        <f>IF(ISNUMBER(BH288),SUM(BH288:BH291),"")</f>
        <v>93510</v>
      </c>
      <c r="BI292" s="281">
        <f>IF(ISNUMBER(BI288),SUM(BI288:BI291),"")</f>
        <v>92076</v>
      </c>
      <c r="BJ292" s="281">
        <f>IF(ISNUMBER(BJ288),SUM(BJ288:BJ291),"")</f>
        <v>93062</v>
      </c>
      <c r="BK292" s="281">
        <f>IF(ISNUMBER(BK288),SUM(BK288:BK291),"")</f>
        <v>95827</v>
      </c>
      <c r="BL292" s="281">
        <f>IF(ISNUMBER(BL288),SUM(BL288:BL291),"")</f>
        <v>95827</v>
      </c>
      <c r="BM292" s="281">
        <f>IF(ISNUMBER(BM288),SUM(BM288:BM291),"")</f>
        <v>93258</v>
      </c>
      <c r="BN292" s="281">
        <f>IF(ISNUMBER(BN288),SUM(BN288:BN291),"")</f>
        <v>96630</v>
      </c>
      <c r="BO292" s="281">
        <f>IF(ISNUMBER(BO288),SUM(BO288:BO291),"")</f>
        <v>97300</v>
      </c>
      <c r="BP292" s="281">
        <f>IF(ISNUMBER(BP288),SUM(BP288:BP291),"")</f>
        <v>97078</v>
      </c>
      <c r="BQ292" s="281">
        <f>IF(ISNUMBER(BQ288),SUM(BQ288:BQ291),"")</f>
        <v>97078</v>
      </c>
      <c r="BR292" s="281">
        <f>IF(ISNUMBER(BR288),SUM(BR288:BR291),"")</f>
        <v>103654</v>
      </c>
      <c r="BS292" s="281">
        <f>IF(ISNUMBER(BS288),SUM(BS288:BS291),"")</f>
        <v>103376</v>
      </c>
      <c r="BT292" s="281">
        <f>IF(ISNUMBER(BT288),SUM(BT288:BT291),"")</f>
        <v>103324</v>
      </c>
      <c r="BU292" s="281">
        <f>IF(ISNUMBER(BU288),SUM(BU288:BU291),"")</f>
        <v>108115</v>
      </c>
      <c r="BV292" s="281">
        <f>IF(ISNUMBER(BV288),SUM(BV288:BV291),"")</f>
        <v>108115</v>
      </c>
      <c r="BW292" s="281">
        <f>IF(ISNUMBER(BW288),SUM(BW288:BW291),"")</f>
        <v>105547</v>
      </c>
      <c r="BX292" s="281">
        <f>IF(ISNUMBER(BX288),SUM(BX288:BX291),"")</f>
        <v>109563</v>
      </c>
      <c r="BY292" s="32" t="n"/>
      <c r="BZ292" s="32" t="n"/>
      <c r="CA292" s="265">
        <f>IF(ISNUMBER(CA288),SUM(CA288:CA291),"")</f>
        <v>111674.019894265</v>
      </c>
      <c r="CB292" s="265">
        <f>IF(ISNUMBER(CB288),SUM(CB288:CB291),"")</f>
        <v>117096.396503822</v>
      </c>
      <c r="CC292" s="265">
        <f>IF(ISNUMBER(CC288),SUM(CC288:CC291),"")</f>
        <v>124111.411202397</v>
      </c>
      <c r="CD292" s="265">
        <f>IF(ISNUMBER(CD288),SUM(CD288:CD291),"")</f>
        <v>132529.736533005</v>
      </c>
      <c r="CE292" s="265">
        <f>IF(ISNUMBER(CE288),SUM(CE288:CE291),"")</f>
        <v>133712.960503825</v>
      </c>
      <c r="CF292" s="265">
        <f>IF(ISNUMBER(CF288),SUM(CF288:CF291),"")</f>
        <v>137868.642472877</v>
      </c>
      <c r="CG292" s="153" t="n"/>
    </row>
    <row r="293" ht="15" customHeight="1" s="251">
      <c r="B293" s="25" t="inlineStr">
        <is>
          <t xml:space="preserve">  Long-term debt</t>
        </is>
      </c>
      <c r="C293" s="266" t="n">
        <v>8157</v>
      </c>
      <c r="D293" s="266" t="n">
        <v>7455</v>
      </c>
      <c r="E293" s="266" t="n">
        <v>6952</v>
      </c>
      <c r="F293" s="266" t="n">
        <v>12217</v>
      </c>
      <c r="G293" s="266" t="n">
        <v>11473</v>
      </c>
      <c r="H293" s="266" t="n">
        <v>10018</v>
      </c>
      <c r="I293" s="266" t="n">
        <v>8973</v>
      </c>
      <c r="J293" s="266" t="n">
        <v>8254</v>
      </c>
      <c r="K293" s="266" t="n">
        <v>8695</v>
      </c>
      <c r="L293" s="266" t="n">
        <v>8677</v>
      </c>
      <c r="M293" s="266" t="n">
        <v>8072</v>
      </c>
      <c r="N293" s="266" t="n">
        <v>8072</v>
      </c>
      <c r="O293" s="266" t="n">
        <v>7275</v>
      </c>
      <c r="P293" s="266" t="n">
        <v>7292</v>
      </c>
      <c r="Q293" s="266" t="n">
        <v>7301</v>
      </c>
      <c r="R293" s="266" t="n">
        <v>8141</v>
      </c>
      <c r="S293" s="266" t="n">
        <v>8141</v>
      </c>
      <c r="T293" s="266" t="n">
        <v>8905</v>
      </c>
      <c r="U293" s="266" t="n">
        <v>8904</v>
      </c>
      <c r="V293" s="266" t="n">
        <v>8402</v>
      </c>
      <c r="W293" s="266" t="n">
        <v>8730</v>
      </c>
      <c r="X293" s="266" t="n">
        <v>8730</v>
      </c>
      <c r="Y293" s="266" t="n">
        <v>8721</v>
      </c>
      <c r="Z293" s="266" t="n">
        <v>9847</v>
      </c>
      <c r="AA293" s="266" t="n">
        <v>9824</v>
      </c>
      <c r="AB293" s="266" t="n">
        <v>9568</v>
      </c>
      <c r="AC293" s="266" t="n">
        <v>9568</v>
      </c>
      <c r="AD293" s="266" t="n">
        <v>10432</v>
      </c>
      <c r="AE293" s="266" t="n">
        <v>10055</v>
      </c>
      <c r="AF293" s="266" t="n">
        <v>9780</v>
      </c>
      <c r="AG293" s="266" t="n">
        <v>9782</v>
      </c>
      <c r="AH293" s="266" t="n">
        <v>9782</v>
      </c>
      <c r="AI293" s="266" t="n">
        <v>10471</v>
      </c>
      <c r="AJ293" s="266" t="n">
        <v>10507</v>
      </c>
      <c r="AK293" s="266" t="n">
        <v>10487</v>
      </c>
      <c r="AL293" s="266" t="n">
        <v>10657</v>
      </c>
      <c r="AM293" s="266" t="n">
        <v>10657</v>
      </c>
      <c r="AN293" s="266" t="n">
        <v>11363</v>
      </c>
      <c r="AO293" s="266" t="n">
        <v>14859</v>
      </c>
      <c r="AP293" s="266" t="n">
        <v>20298</v>
      </c>
      <c r="AQ293" s="266" t="n">
        <v>19962</v>
      </c>
      <c r="AR293" s="266" t="n">
        <v>19962</v>
      </c>
      <c r="AS293" s="266" t="n">
        <v>33754</v>
      </c>
      <c r="AT293" s="266" t="n">
        <v>58457</v>
      </c>
      <c r="AU293" s="266" t="n">
        <v>57325</v>
      </c>
      <c r="AV293" s="266" t="n">
        <v>61890</v>
      </c>
      <c r="AW293" s="266" t="n">
        <v>61890</v>
      </c>
      <c r="AX293" s="266" t="n">
        <v>57554</v>
      </c>
      <c r="AY293" s="266" t="n">
        <v>57025</v>
      </c>
      <c r="AZ293" s="266" t="n">
        <v>57042</v>
      </c>
      <c r="BA293" s="266" t="n">
        <v>56806</v>
      </c>
      <c r="BB293" s="266" t="n">
        <v>56806</v>
      </c>
      <c r="BC293" s="266" t="n">
        <v>55150</v>
      </c>
      <c r="BD293" s="266" t="n">
        <v>51794</v>
      </c>
      <c r="BE293" s="266" t="n">
        <v>51788</v>
      </c>
      <c r="BF293" s="266" t="n">
        <v>51811</v>
      </c>
      <c r="BG293" s="266" t="n">
        <v>51811</v>
      </c>
      <c r="BH293" s="266" t="n">
        <v>47465</v>
      </c>
      <c r="BI293" s="266" t="n">
        <v>47659</v>
      </c>
      <c r="BJ293" s="266" t="n">
        <v>47381</v>
      </c>
      <c r="BK293" s="266" t="n">
        <v>47103</v>
      </c>
      <c r="BL293" s="266" t="n">
        <v>47103</v>
      </c>
      <c r="BM293" s="266" t="n">
        <v>46877</v>
      </c>
      <c r="BN293" s="266" t="n">
        <v>53162</v>
      </c>
      <c r="BO293" s="266" t="n">
        <v>53176</v>
      </c>
      <c r="BP293" s="266" t="n">
        <v>52586</v>
      </c>
      <c r="BQ293" s="266" t="n">
        <v>52586</v>
      </c>
      <c r="BR293" s="266" t="n">
        <v>45688</v>
      </c>
      <c r="BS293" s="266" t="n">
        <v>44604</v>
      </c>
      <c r="BT293" s="266" t="n">
        <v>44611</v>
      </c>
      <c r="BU293" s="266" t="n">
        <v>45637</v>
      </c>
      <c r="BV293" s="266" t="n">
        <v>45637</v>
      </c>
      <c r="BW293" s="266" t="n">
        <v>44354</v>
      </c>
      <c r="BX293" s="266" t="n">
        <v>41335</v>
      </c>
      <c r="BY293" s="35" t="n"/>
      <c r="BZ293" s="35" t="n"/>
      <c r="CA293" s="263">
        <f>CA341-CA290</f>
        <v>41497</v>
      </c>
      <c r="CB293" s="263">
        <f>CB341-CB290</f>
        <v>38758</v>
      </c>
      <c r="CC293" s="263">
        <f>CC341-CC290</f>
        <v>37619.5</v>
      </c>
      <c r="CD293" s="263">
        <f>CD341-CD290</f>
        <v>34226.5</v>
      </c>
      <c r="CE293" s="263">
        <f>CE341-CE290</f>
        <v>36500.5</v>
      </c>
      <c r="CF293" s="263">
        <f>CF341-CF290</f>
        <v>36500.5</v>
      </c>
      <c r="CG293" s="19" t="n"/>
    </row>
    <row r="294" ht="15" customHeight="1" s="251">
      <c r="B294" s="25" t="inlineStr">
        <is>
          <t xml:space="preserve">  Accrued pension plan liability, net &amp; accrued retiree health care</t>
        </is>
      </c>
      <c r="C294" s="266" t="n">
        <v>8806</v>
      </c>
      <c r="D294" s="266" t="n">
        <v>8162</v>
      </c>
      <c r="E294" s="266" t="n">
        <v>15705</v>
      </c>
      <c r="F294" s="266" t="n">
        <v>13364</v>
      </c>
      <c r="G294" s="266" t="n">
        <v>17825</v>
      </c>
      <c r="H294" s="266" t="n">
        <v>24057</v>
      </c>
      <c r="I294" s="266" t="n">
        <v>27179</v>
      </c>
      <c r="J294" s="266" t="n">
        <v>27325</v>
      </c>
      <c r="K294" s="266" t="n">
        <v>27501</v>
      </c>
      <c r="L294" s="266" t="n">
        <v>25974</v>
      </c>
      <c r="M294" s="266" t="n">
        <v>17002</v>
      </c>
      <c r="N294" s="266" t="n">
        <v>17002</v>
      </c>
      <c r="O294" s="266" t="n">
        <v>16191</v>
      </c>
      <c r="P294" s="266" t="n">
        <v>16318</v>
      </c>
      <c r="Q294" s="266" t="n">
        <v>15756</v>
      </c>
      <c r="R294" s="266" t="n">
        <v>23984</v>
      </c>
      <c r="S294" s="266" t="n">
        <v>23984</v>
      </c>
      <c r="T294" s="266" t="n">
        <v>24151</v>
      </c>
      <c r="U294" s="266" t="n">
        <v>24314</v>
      </c>
      <c r="V294" s="266" t="n">
        <v>24541</v>
      </c>
      <c r="W294" s="266" t="n">
        <v>24399</v>
      </c>
      <c r="X294" s="266" t="n">
        <v>24399</v>
      </c>
      <c r="Y294" s="266" t="n">
        <v>24810</v>
      </c>
      <c r="Z294" s="266" t="n">
        <v>24786</v>
      </c>
      <c r="AA294" s="266" t="n">
        <v>24547</v>
      </c>
      <c r="AB294" s="266" t="n">
        <v>25859</v>
      </c>
      <c r="AC294" s="266" t="n">
        <v>25859</v>
      </c>
      <c r="AD294" s="266" t="n">
        <v>25681</v>
      </c>
      <c r="AE294" s="266" t="n">
        <v>25507</v>
      </c>
      <c r="AF294" s="266" t="n">
        <v>21340</v>
      </c>
      <c r="AG294" s="266" t="n">
        <v>22016</v>
      </c>
      <c r="AH294" s="266" t="n">
        <v>22016</v>
      </c>
      <c r="AI294" s="266" t="n">
        <v>21773</v>
      </c>
      <c r="AJ294" s="266" t="n">
        <v>21562</v>
      </c>
      <c r="AK294" s="266" t="n">
        <v>21321</v>
      </c>
      <c r="AL294" s="266" t="n">
        <v>19907</v>
      </c>
      <c r="AM294" s="266" t="n">
        <v>19907</v>
      </c>
      <c r="AN294" s="266" t="n">
        <v>19612</v>
      </c>
      <c r="AO294" s="266" t="n">
        <v>19317</v>
      </c>
      <c r="AP294" s="266" t="n">
        <v>19027</v>
      </c>
      <c r="AQ294" s="266" t="n">
        <v>20816</v>
      </c>
      <c r="AR294" s="266" t="n">
        <v>20816</v>
      </c>
      <c r="AS294" s="266" t="n">
        <v>20445</v>
      </c>
      <c r="AT294" s="266" t="n">
        <v>20090</v>
      </c>
      <c r="AU294" s="266" t="n">
        <v>19772</v>
      </c>
      <c r="AV294" s="266" t="n">
        <v>18545</v>
      </c>
      <c r="AW294" s="266" t="n">
        <v>18545</v>
      </c>
      <c r="AX294" s="266" t="n">
        <v>18045</v>
      </c>
      <c r="AY294" s="266" t="n">
        <v>17536</v>
      </c>
      <c r="AZ294" s="266" t="n">
        <v>15392</v>
      </c>
      <c r="BA294" s="266" t="n">
        <v>12632</v>
      </c>
      <c r="BB294" s="266" t="n">
        <v>12632</v>
      </c>
      <c r="BC294" s="266" t="n">
        <v>12190</v>
      </c>
      <c r="BD294" s="266" t="n">
        <v>11748</v>
      </c>
      <c r="BE294" s="266" t="n">
        <v>11307</v>
      </c>
      <c r="BF294" s="266" t="n">
        <v>8644</v>
      </c>
      <c r="BG294" s="266" t="n">
        <v>8644</v>
      </c>
      <c r="BH294" s="266" t="n">
        <v>8464</v>
      </c>
      <c r="BI294" s="266" t="n">
        <v>8279</v>
      </c>
      <c r="BJ294" s="266" t="n">
        <v>8098</v>
      </c>
      <c r="BK294" s="266" t="n">
        <v>8749</v>
      </c>
      <c r="BL294" s="266" t="n">
        <v>8749</v>
      </c>
      <c r="BM294" s="266" t="n">
        <v>8596</v>
      </c>
      <c r="BN294" s="266" t="n">
        <v>8407</v>
      </c>
      <c r="BO294" s="266" t="n">
        <v>8218</v>
      </c>
      <c r="BP294" s="266" t="n">
        <v>8173</v>
      </c>
      <c r="BQ294" s="266" t="n">
        <v>8173</v>
      </c>
      <c r="BR294" s="266" t="n">
        <v>8055</v>
      </c>
      <c r="BS294" s="266" t="n">
        <v>7919</v>
      </c>
      <c r="BT294" s="266" t="n">
        <v>7800</v>
      </c>
      <c r="BU294" s="266" t="n">
        <v>6378</v>
      </c>
      <c r="BV294" s="266" t="n">
        <v>6378</v>
      </c>
      <c r="BW294" s="266" t="n">
        <v>6257</v>
      </c>
      <c r="BX294" s="266" t="n">
        <v>6135</v>
      </c>
      <c r="BY294" s="35" t="n"/>
      <c r="BZ294" s="35" t="n"/>
      <c r="CA294" s="263">
        <f>BX294+(CA226-SUM(BW226:BX226))</f>
        <v>6035</v>
      </c>
      <c r="CB294" s="263">
        <f>CA294+CB226</f>
        <v>5735</v>
      </c>
      <c r="CC294" s="263">
        <f>CB294+CC226</f>
        <v>5435</v>
      </c>
      <c r="CD294" s="263">
        <f>CC294+CD226</f>
        <v>5135</v>
      </c>
      <c r="CE294" s="263">
        <f>CD294+CE226</f>
        <v>4835</v>
      </c>
      <c r="CF294" s="263">
        <f>CE294+CF226</f>
        <v>4535</v>
      </c>
      <c r="CG294" s="19" t="n"/>
    </row>
    <row r="295" ht="15" customHeight="1" s="251">
      <c r="B295" s="25" t="inlineStr">
        <is>
          <t xml:space="preserve">  Deferred taxes, non-current income taxes &amp; other long-term liabilities (derived)</t>
        </is>
      </c>
      <c r="C295" s="266" t="n">
        <v>391</v>
      </c>
      <c r="D295" s="266" t="n">
        <v>2613</v>
      </c>
      <c r="E295" s="266" t="n">
        <v>1491</v>
      </c>
      <c r="F295" s="266" t="n">
        <v>1364</v>
      </c>
      <c r="G295" s="266" t="n">
        <v>1010</v>
      </c>
      <c r="H295" s="266" t="n">
        <v>1029</v>
      </c>
      <c r="I295" s="266" t="n">
        <v>1795</v>
      </c>
      <c r="J295" s="266" t="n">
        <v>1642</v>
      </c>
      <c r="K295" s="266" t="n">
        <v>1314</v>
      </c>
      <c r="L295" s="266" t="n">
        <v>1235</v>
      </c>
      <c r="M295" s="266" t="n">
        <v>1106</v>
      </c>
      <c r="N295" s="266" t="n">
        <v>1106</v>
      </c>
      <c r="O295" s="266" t="n">
        <v>974</v>
      </c>
      <c r="P295" s="266" t="n">
        <v>1604</v>
      </c>
      <c r="Q295" s="266" t="n">
        <v>1755</v>
      </c>
      <c r="R295" s="266" t="n">
        <v>1566</v>
      </c>
      <c r="S295" s="266" t="n">
        <v>1566</v>
      </c>
      <c r="T295" s="266" t="n">
        <v>1433</v>
      </c>
      <c r="U295" s="266" t="n">
        <v>1441</v>
      </c>
      <c r="V295" s="266" t="n">
        <v>1461</v>
      </c>
      <c r="W295" s="266" t="n">
        <v>4470</v>
      </c>
      <c r="X295" s="266" t="n">
        <v>4470</v>
      </c>
      <c r="Y295" s="266" t="n">
        <v>4393</v>
      </c>
      <c r="Z295" s="266" t="n">
        <v>4470</v>
      </c>
      <c r="AA295" s="266" t="n">
        <v>3940</v>
      </c>
      <c r="AB295" s="266" t="n">
        <v>3559</v>
      </c>
      <c r="AC295" s="266" t="n">
        <v>3559</v>
      </c>
      <c r="AD295" s="266" t="n">
        <v>3624</v>
      </c>
      <c r="AE295" s="266" t="n">
        <v>3543</v>
      </c>
      <c r="AF295" s="266" t="n">
        <v>4333</v>
      </c>
      <c r="AG295" s="266" t="n">
        <v>3854</v>
      </c>
      <c r="AH295" s="266" t="n">
        <v>3854</v>
      </c>
      <c r="AI295" s="266" t="n">
        <v>4475</v>
      </c>
      <c r="AJ295" s="266" t="n">
        <v>4775</v>
      </c>
      <c r="AK295" s="266" t="n">
        <v>4643</v>
      </c>
      <c r="AL295" s="266" t="n">
        <v>4795</v>
      </c>
      <c r="AM295" s="266" t="n">
        <v>4795</v>
      </c>
      <c r="AN295" s="266" t="n">
        <v>5387</v>
      </c>
      <c r="AO295" s="266" t="n">
        <v>4839</v>
      </c>
      <c r="AP295" s="266" t="n">
        <v>5236</v>
      </c>
      <c r="AQ295" s="266" t="n">
        <v>3835</v>
      </c>
      <c r="AR295" s="266" t="n">
        <v>3835</v>
      </c>
      <c r="AS295" s="266" t="n">
        <v>3734</v>
      </c>
      <c r="AT295" s="266" t="n">
        <v>3225</v>
      </c>
      <c r="AU295" s="266" t="n">
        <v>3410</v>
      </c>
      <c r="AV295" s="266" t="n">
        <v>2496</v>
      </c>
      <c r="AW295" s="266" t="n">
        <v>2496</v>
      </c>
      <c r="AX295" s="266" t="n">
        <v>2385</v>
      </c>
      <c r="AY295" s="266" t="n">
        <v>2635</v>
      </c>
      <c r="AZ295" s="266" t="n">
        <v>2907</v>
      </c>
      <c r="BA295" s="266" t="n">
        <v>1968</v>
      </c>
      <c r="BB295" s="266" t="n">
        <v>1968</v>
      </c>
      <c r="BC295" s="266" t="n">
        <v>2037</v>
      </c>
      <c r="BD295" s="266" t="n">
        <v>1929</v>
      </c>
      <c r="BE295" s="266" t="n">
        <v>2480</v>
      </c>
      <c r="BF295" s="266" t="n">
        <v>2441</v>
      </c>
      <c r="BG295" s="266" t="n">
        <v>2441</v>
      </c>
      <c r="BH295" s="266" t="n">
        <v>2392</v>
      </c>
      <c r="BI295" s="266" t="n">
        <v>2253</v>
      </c>
      <c r="BJ295" s="266" t="n">
        <v>2457</v>
      </c>
      <c r="BK295" s="266" t="n">
        <v>2561</v>
      </c>
      <c r="BL295" s="266" t="n">
        <v>2561</v>
      </c>
      <c r="BM295" s="266" t="n">
        <v>2769</v>
      </c>
      <c r="BN295" s="266" t="n">
        <v>2503</v>
      </c>
      <c r="BO295" s="266" t="n">
        <v>2563</v>
      </c>
      <c r="BP295" s="266" t="n">
        <v>2440</v>
      </c>
      <c r="BQ295" s="266" t="n">
        <v>2440</v>
      </c>
      <c r="BR295" s="266" t="n">
        <v>2422</v>
      </c>
      <c r="BS295" s="266" t="n">
        <v>2517</v>
      </c>
      <c r="BT295" s="266" t="n">
        <v>2541</v>
      </c>
      <c r="BU295" s="266" t="n">
        <v>2648</v>
      </c>
      <c r="BV295" s="266" t="n">
        <v>2648</v>
      </c>
      <c r="BW295" s="266" t="n">
        <v>2642</v>
      </c>
      <c r="BX295" s="266" t="n">
        <v>2722</v>
      </c>
      <c r="BY295" s="35" t="n"/>
      <c r="BZ295" s="35" t="n"/>
      <c r="CA295" s="263">
        <f>BX295</f>
        <v>2722</v>
      </c>
      <c r="CB295" s="263">
        <f>CA295</f>
        <v>2722</v>
      </c>
      <c r="CC295" s="263">
        <f>CB295</f>
        <v>2722</v>
      </c>
      <c r="CD295" s="263">
        <f>CC295</f>
        <v>2722</v>
      </c>
      <c r="CE295" s="263">
        <f>CD295</f>
        <v>2722</v>
      </c>
      <c r="CF295" s="263">
        <f>CE295</f>
        <v>2722</v>
      </c>
      <c r="CG295" s="19" t="n"/>
    </row>
    <row r="296" ht="15" customHeight="1" s="251">
      <c r="B296" s="16" t="inlineStr">
        <is>
          <t>Total liabilities</t>
        </is>
      </c>
      <c r="C296" s="281">
        <f>IF(ISNUMBER(C288),C292+SUM(C293:C295),"")</f>
        <v>47055</v>
      </c>
      <c r="D296" s="281">
        <f>IF(ISNUMBER(D288),D292+SUM(D293:D295),"")</f>
        <v>49768</v>
      </c>
      <c r="E296" s="281">
        <f>IF(ISNUMBER(E288),E292+SUM(E293:E295),"")</f>
        <v>55065</v>
      </c>
      <c r="F296" s="281">
        <f>IF(ISNUMBER(F288),F292+SUM(F293:F295),"")</f>
        <v>59828</v>
      </c>
      <c r="G296" s="281">
        <f>IF(ISNUMBER(G288),G292+SUM(G293:G295),"")</f>
        <v>65703</v>
      </c>
      <c r="H296" s="281">
        <f>IF(ISNUMBER(H288),H292+SUM(H293:H295),"")</f>
        <v>76378</v>
      </c>
      <c r="I296" s="281">
        <f>IF(ISNUMBER(I288),I292+SUM(I293:I295),"")</f>
        <v>82929</v>
      </c>
      <c r="J296" s="281">
        <f>IF(ISNUMBER(J288),J292+SUM(J293:J295),"")</f>
        <v>82887</v>
      </c>
      <c r="K296" s="281">
        <f>IF(ISNUMBER(K288),K292+SUM(K293:K295),"")</f>
        <v>84459</v>
      </c>
      <c r="L296" s="281">
        <f>IF(ISNUMBER(L288),L292+SUM(L293:L295),"")</f>
        <v>85566</v>
      </c>
      <c r="M296" s="281">
        <f>IF(ISNUMBER(M288),M292+SUM(M293:M295),"")</f>
        <v>77666</v>
      </c>
      <c r="N296" s="281">
        <f>IF(ISNUMBER(N288),N292+SUM(N293:N295),"")</f>
        <v>77666</v>
      </c>
      <c r="O296" s="281">
        <f>IF(ISNUMBER(O288),O292+SUM(O293:O295),"")</f>
        <v>76942</v>
      </c>
      <c r="P296" s="281">
        <f>IF(ISNUMBER(P288),P292+SUM(P293:P295),"")</f>
        <v>78553</v>
      </c>
      <c r="Q296" s="281">
        <f>IF(ISNUMBER(Q288),Q292+SUM(Q293:Q295),"")</f>
        <v>78016</v>
      </c>
      <c r="R296" s="281">
        <f>IF(ISNUMBER(R288),R292+SUM(R293:R295),"")</f>
        <v>90408</v>
      </c>
      <c r="S296" s="281">
        <f>IF(ISNUMBER(S288),S292+SUM(S293:S295),"")</f>
        <v>90408</v>
      </c>
      <c r="T296" s="281">
        <f>IF(ISNUMBER(T288),T292+SUM(T293:T295),"")</f>
        <v>89745</v>
      </c>
      <c r="U296" s="281">
        <f>IF(ISNUMBER(U288),U292+SUM(U293:U295),"")</f>
        <v>91795</v>
      </c>
      <c r="V296" s="281">
        <f>IF(ISNUMBER(V288),V292+SUM(V293:V295),"")</f>
        <v>92212</v>
      </c>
      <c r="W296" s="281">
        <f>IF(ISNUMBER(W288),W292+SUM(W293:W295),"")</f>
        <v>88011</v>
      </c>
      <c r="X296" s="281">
        <f>IF(ISNUMBER(X288),X292+SUM(X293:X295),"")</f>
        <v>88011</v>
      </c>
      <c r="Y296" s="281">
        <f>IF(ISNUMBER(Y288),Y292+SUM(Y293:Y295),"")</f>
        <v>87441</v>
      </c>
      <c r="Z296" s="281">
        <f>IF(ISNUMBER(Z288),Z292+SUM(Z293:Z295),"")</f>
        <v>88962</v>
      </c>
      <c r="AA296" s="281">
        <f>IF(ISNUMBER(AA288),AA292+SUM(AA293:AA295),"")</f>
        <v>86800</v>
      </c>
      <c r="AB296" s="281">
        <f>IF(ISNUMBER(AB288),AB292+SUM(AB293:AB295),"")</f>
        <v>89120</v>
      </c>
      <c r="AC296" s="281">
        <f>IF(ISNUMBER(AC288),AC292+SUM(AC293:AC295),"")</f>
        <v>89120</v>
      </c>
      <c r="AD296" s="281">
        <f>IF(ISNUMBER(AD288),AD292+SUM(AD293:AD295),"")</f>
        <v>89518</v>
      </c>
      <c r="AE296" s="281">
        <f>IF(ISNUMBER(AE288),AE292+SUM(AE293:AE295),"")</f>
        <v>92014</v>
      </c>
      <c r="AF296" s="281">
        <f>IF(ISNUMBER(AF288),AF292+SUM(AF293:AF295),"")</f>
        <v>89862</v>
      </c>
      <c r="AG296" s="281">
        <f>IF(ISNUMBER(AG288),AG292+SUM(AG293:AG295),"")</f>
        <v>91921</v>
      </c>
      <c r="AH296" s="281">
        <f>IF(ISNUMBER(AH288),AH292+SUM(AH293:AH295),"")</f>
        <v>91921</v>
      </c>
      <c r="AI296" s="281">
        <f>IF(ISNUMBER(AI288),AI292+SUM(AI293:AI295),"")</f>
        <v>112251</v>
      </c>
      <c r="AJ296" s="281">
        <f>IF(ISNUMBER(AJ288),AJ292+SUM(AJ293:AJ295),"")</f>
        <v>114569</v>
      </c>
      <c r="AK296" s="281">
        <f>IF(ISNUMBER(AK288),AK292+SUM(AK293:AK295),"")</f>
        <v>115868</v>
      </c>
      <c r="AL296" s="281">
        <f>IF(ISNUMBER(AL288),AL292+SUM(AL293:AL295),"")</f>
        <v>116949</v>
      </c>
      <c r="AM296" s="281">
        <f>IF(ISNUMBER(AM288),AM292+SUM(AM293:AM295),"")</f>
        <v>116949</v>
      </c>
      <c r="AN296" s="281">
        <f>IF(ISNUMBER(AN288),AN292+SUM(AN293:AN295),"")</f>
        <v>119977</v>
      </c>
      <c r="AO296" s="281">
        <f>IF(ISNUMBER(AO288),AO292+SUM(AO293:AO295),"")</f>
        <v>131204</v>
      </c>
      <c r="AP296" s="281">
        <f>IF(ISNUMBER(AP288),AP292+SUM(AP293:AP295),"")</f>
        <v>136407</v>
      </c>
      <c r="AQ296" s="281">
        <f>IF(ISNUMBER(AQ288),AQ292+SUM(AQ293:AQ295),"")</f>
        <v>141925</v>
      </c>
      <c r="AR296" s="281">
        <f>IF(ISNUMBER(AR288),AR292+SUM(AR293:AR295),"")</f>
        <v>141925</v>
      </c>
      <c r="AS296" s="281">
        <f>IF(ISNUMBER(AS288),AS292+SUM(AS293:AS295),"")</f>
        <v>152435</v>
      </c>
      <c r="AT296" s="281">
        <f>IF(ISNUMBER(AT288),AT292+SUM(AT293:AT295),"")</f>
        <v>174254</v>
      </c>
      <c r="AU296" s="281">
        <f>IF(ISNUMBER(AU288),AU292+SUM(AU293:AU295),"")</f>
        <v>172814</v>
      </c>
      <c r="AV296" s="281">
        <f>IF(ISNUMBER(AV288),AV292+SUM(AV293:AV295),"")</f>
        <v>170211</v>
      </c>
      <c r="AW296" s="281">
        <f>IF(ISNUMBER(AW288),AW292+SUM(AW293:AW295),"")</f>
        <v>170211</v>
      </c>
      <c r="AX296" s="281">
        <f>IF(ISNUMBER(AX288),AX292+SUM(AX293:AX295),"")</f>
        <v>167876</v>
      </c>
      <c r="AY296" s="281">
        <f>IF(ISNUMBER(AY288),AY292+SUM(AY293:AY295),"")</f>
        <v>165420</v>
      </c>
      <c r="AZ296" s="281">
        <f>IF(ISNUMBER(AZ288),AZ292+SUM(AZ293:AZ295),"")</f>
        <v>161112</v>
      </c>
      <c r="BA296" s="281">
        <f>IF(ISNUMBER(BA288),BA292+SUM(BA293:BA295),"")</f>
        <v>153398</v>
      </c>
      <c r="BB296" s="281">
        <f>IF(ISNUMBER(BB288),BB292+SUM(BB293:BB295),"")</f>
        <v>153398</v>
      </c>
      <c r="BC296" s="281">
        <f>IF(ISNUMBER(BC288),BC292+SUM(BC293:BC295),"")</f>
        <v>151069</v>
      </c>
      <c r="BD296" s="281">
        <f>IF(ISNUMBER(BD288),BD292+SUM(BD293:BD295),"")</f>
        <v>150270</v>
      </c>
      <c r="BE296" s="281">
        <f>IF(ISNUMBER(BE288),BE292+SUM(BE293:BE295),"")</f>
        <v>155193</v>
      </c>
      <c r="BF296" s="281">
        <f>IF(ISNUMBER(BF288),BF292+SUM(BF293:BF295),"")</f>
        <v>152948</v>
      </c>
      <c r="BG296" s="281">
        <f>IF(ISNUMBER(BG288),BG292+SUM(BG293:BG295),"")</f>
        <v>152948</v>
      </c>
      <c r="BH296" s="281">
        <f>IF(ISNUMBER(BH288),BH292+SUM(BH293:BH295),"")</f>
        <v>151831</v>
      </c>
      <c r="BI296" s="281">
        <f>IF(ISNUMBER(BI288),BI292+SUM(BI293:BI295),"")</f>
        <v>150267</v>
      </c>
      <c r="BJ296" s="281">
        <f>IF(ISNUMBER(BJ288),BJ292+SUM(BJ293:BJ295),"")</f>
        <v>150998</v>
      </c>
      <c r="BK296" s="281">
        <f>IF(ISNUMBER(BK288),BK292+SUM(BK293:BK295),"")</f>
        <v>154240</v>
      </c>
      <c r="BL296" s="281">
        <f>IF(ISNUMBER(BL288),BL292+SUM(BL293:BL295),"")</f>
        <v>154240</v>
      </c>
      <c r="BM296" s="281">
        <f>IF(ISNUMBER(BM288),BM292+SUM(BM293:BM295),"")</f>
        <v>151500</v>
      </c>
      <c r="BN296" s="281">
        <f>IF(ISNUMBER(BN288),BN292+SUM(BN293:BN295),"")</f>
        <v>160702</v>
      </c>
      <c r="BO296" s="281">
        <f>IF(ISNUMBER(BO288),BO292+SUM(BO293:BO295),"")</f>
        <v>161257</v>
      </c>
      <c r="BP296" s="281">
        <f>IF(ISNUMBER(BP288),BP292+SUM(BP293:BP295),"")</f>
        <v>160277</v>
      </c>
      <c r="BQ296" s="281">
        <f>IF(ISNUMBER(BQ288),BQ292+SUM(BQ293:BQ295),"")</f>
        <v>160277</v>
      </c>
      <c r="BR296" s="281">
        <f>IF(ISNUMBER(BR288),BR292+SUM(BR293:BR295),"")</f>
        <v>159819</v>
      </c>
      <c r="BS296" s="281">
        <f>IF(ISNUMBER(BS288),BS292+SUM(BS293:BS295),"")</f>
        <v>158416</v>
      </c>
      <c r="BT296" s="281">
        <f>IF(ISNUMBER(BT288),BT292+SUM(BT293:BT295),"")</f>
        <v>158276</v>
      </c>
      <c r="BU296" s="281">
        <f>IF(ISNUMBER(BU288),BU292+SUM(BU293:BU295),"")</f>
        <v>162778</v>
      </c>
      <c r="BV296" s="281">
        <f>IF(ISNUMBER(BV288),BV292+SUM(BV293:BV295),"")</f>
        <v>162778</v>
      </c>
      <c r="BW296" s="281">
        <f>IF(ISNUMBER(BW288),BW292+SUM(BW293:BW295),"")</f>
        <v>158800</v>
      </c>
      <c r="BX296" s="281">
        <f>IF(ISNUMBER(BX288),BX292+SUM(BX293:BX295),"")</f>
        <v>159755</v>
      </c>
      <c r="BY296" s="32" t="n"/>
      <c r="BZ296" s="32" t="n"/>
      <c r="CA296" s="265">
        <f>IF(ISNUMBER(CA288),CA292+SUM(CA293:CA295),"")</f>
        <v>161928.019894265</v>
      </c>
      <c r="CB296" s="265">
        <f>IF(ISNUMBER(CB288),CB292+SUM(CB293:CB295),"")</f>
        <v>164311.396503822</v>
      </c>
      <c r="CC296" s="265">
        <f>IF(ISNUMBER(CC288),CC292+SUM(CC293:CC295),"")</f>
        <v>169887.911202397</v>
      </c>
      <c r="CD296" s="265">
        <f>IF(ISNUMBER(CD288),CD292+SUM(CD293:CD295),"")</f>
        <v>174613.236533005</v>
      </c>
      <c r="CE296" s="265">
        <f>IF(ISNUMBER(CE288),CE292+SUM(CE293:CE295),"")</f>
        <v>177770.460503825</v>
      </c>
      <c r="CF296" s="265">
        <f>IF(ISNUMBER(CF288),CF292+SUM(CF293:CF295),"")</f>
        <v>181626.142472877</v>
      </c>
      <c r="CG296" s="153" t="n"/>
    </row>
    <row r="297" ht="15" customHeight="1" s="251">
      <c r="B297" s="25" t="inlineStr">
        <is>
          <t xml:space="preserve">  Total shareholders' equity / (deficit) (incl. mandatory convertible preferred)</t>
        </is>
      </c>
      <c r="C297" s="266" t="n">
        <v>4739</v>
      </c>
      <c r="D297" s="266" t="n">
        <v>9004</v>
      </c>
      <c r="E297" s="266" t="n">
        <v>-1264</v>
      </c>
      <c r="F297" s="266" t="n">
        <v>2128</v>
      </c>
      <c r="G297" s="266" t="n">
        <v>2766</v>
      </c>
      <c r="H297" s="266" t="n">
        <v>3515</v>
      </c>
      <c r="I297" s="266" t="n">
        <v>5867</v>
      </c>
      <c r="J297" s="266" t="n">
        <v>7462</v>
      </c>
      <c r="K297" s="266" t="n">
        <v>7526</v>
      </c>
      <c r="L297" s="266" t="n">
        <v>8951</v>
      </c>
      <c r="M297" s="266" t="n">
        <v>14875</v>
      </c>
      <c r="N297" s="266" t="n">
        <v>14875</v>
      </c>
      <c r="O297" s="266" t="n">
        <v>14520</v>
      </c>
      <c r="P297" s="266" t="n">
        <v>14061</v>
      </c>
      <c r="Q297" s="266" t="n">
        <v>14511</v>
      </c>
      <c r="R297" s="266" t="n">
        <v>8665</v>
      </c>
      <c r="S297" s="266" t="n">
        <v>8665</v>
      </c>
      <c r="T297" s="266" t="n">
        <v>7906</v>
      </c>
      <c r="U297" s="266" t="n">
        <v>6264</v>
      </c>
      <c r="V297" s="266" t="n">
        <v>6740</v>
      </c>
      <c r="W297" s="266" t="n">
        <v>6335</v>
      </c>
      <c r="X297" s="266" t="n">
        <v>6335</v>
      </c>
      <c r="Y297" s="266" t="n">
        <v>4043</v>
      </c>
      <c r="Z297" s="266" t="n">
        <v>585</v>
      </c>
      <c r="AA297" s="266" t="n">
        <v>2089</v>
      </c>
      <c r="AB297" s="266" t="n">
        <v>817</v>
      </c>
      <c r="AC297" s="266" t="n">
        <v>817</v>
      </c>
      <c r="AD297" s="266" t="n">
        <v>95</v>
      </c>
      <c r="AE297" s="266" t="n">
        <v>-2037</v>
      </c>
      <c r="AF297" s="266" t="n">
        <v>1086</v>
      </c>
      <c r="AG297" s="266" t="n">
        <v>355</v>
      </c>
      <c r="AH297" s="266" t="n">
        <v>355</v>
      </c>
      <c r="AI297" s="266" t="n">
        <v>1222</v>
      </c>
      <c r="AJ297" s="266" t="n">
        <v>-1441</v>
      </c>
      <c r="AK297" s="266" t="n">
        <v>-1289</v>
      </c>
      <c r="AL297" s="266" t="n">
        <v>339</v>
      </c>
      <c r="AM297" s="266" t="n">
        <v>339</v>
      </c>
      <c r="AN297" s="266" t="n">
        <v>125</v>
      </c>
      <c r="AO297" s="266" t="n">
        <v>-5322</v>
      </c>
      <c r="AP297" s="266" t="n">
        <v>-4116</v>
      </c>
      <c r="AQ297" s="266" t="n">
        <v>-8617</v>
      </c>
      <c r="AR297" s="266" t="n">
        <v>-8617</v>
      </c>
      <c r="AS297" s="266" t="n">
        <v>-9665</v>
      </c>
      <c r="AT297" s="266" t="n">
        <v>-11667</v>
      </c>
      <c r="AU297" s="266" t="n">
        <v>-11821</v>
      </c>
      <c r="AV297" s="266" t="n">
        <v>-18316</v>
      </c>
      <c r="AW297" s="266" t="n">
        <v>-18316</v>
      </c>
      <c r="AX297" s="266" t="n">
        <v>-18058</v>
      </c>
      <c r="AY297" s="266" t="n">
        <v>-16682</v>
      </c>
      <c r="AZ297" s="266" t="n">
        <v>-14440</v>
      </c>
      <c r="BA297" s="266" t="n">
        <v>-14999</v>
      </c>
      <c r="BB297" s="266" t="n">
        <v>-14999</v>
      </c>
      <c r="BC297" s="266" t="n">
        <v>-15398</v>
      </c>
      <c r="BD297" s="266" t="n">
        <v>-14888</v>
      </c>
      <c r="BE297" s="266" t="n">
        <v>-17699</v>
      </c>
      <c r="BF297" s="266" t="n">
        <v>-15883</v>
      </c>
      <c r="BG297" s="266" t="n">
        <v>-15883</v>
      </c>
      <c r="BH297" s="266" t="n">
        <v>-15508</v>
      </c>
      <c r="BI297" s="266" t="n">
        <v>-15517</v>
      </c>
      <c r="BJ297" s="266" t="n">
        <v>-16729</v>
      </c>
      <c r="BK297" s="266" t="n">
        <v>-17233</v>
      </c>
      <c r="BL297" s="266" t="n">
        <v>-17233</v>
      </c>
      <c r="BM297" s="266" t="n">
        <v>-17009</v>
      </c>
      <c r="BN297" s="266" t="n">
        <v>-17976</v>
      </c>
      <c r="BO297" s="266" t="n">
        <v>-23552</v>
      </c>
      <c r="BP297" s="266" t="n">
        <v>-3908</v>
      </c>
      <c r="BQ297" s="266" t="n">
        <v>-3908</v>
      </c>
      <c r="BR297" s="266" t="n">
        <v>-3325</v>
      </c>
      <c r="BS297" s="266" t="n">
        <v>-3295</v>
      </c>
      <c r="BT297" s="266" t="n">
        <v>-8250</v>
      </c>
      <c r="BU297" s="266" t="n">
        <v>5454</v>
      </c>
      <c r="BV297" s="266" t="n">
        <v>5454</v>
      </c>
      <c r="BW297" s="266" t="n">
        <v>5987</v>
      </c>
      <c r="BX297" s="266" t="n">
        <v>6100</v>
      </c>
      <c r="BY297" s="35" t="n"/>
      <c r="BZ297" s="35" t="n"/>
      <c r="CA297" s="263">
        <f>BX297+SUM(BY143:BZ143)+(CA238-SUM(BW238:BX238))+(CA237-SUM(BW237:BX237))+SUM(BY109:BZ109)+SUM(BY111:BZ111)+(CA239-SUM(BW239:BX239))</f>
        <v>7429.10073376675</v>
      </c>
      <c r="CB297" s="263">
        <f>CA297+CB143+CB238+CB237+CB224+CB225+CB239</f>
        <v>13267.1179937192</v>
      </c>
      <c r="CC297" s="263">
        <f>CB297+CC143+CC238+CC237+CC224+CC225+CC239</f>
        <v>21980.0835366591</v>
      </c>
      <c r="CD297" s="263">
        <f>CC297+CD143+CD238+CD237+CD224+CD225+CD239</f>
        <v>19200.0118789528</v>
      </c>
      <c r="CE297" s="263">
        <f>CD297+CE143+CE238+CE237+CE224+CE225+CE239</f>
        <v>16278.940488535</v>
      </c>
      <c r="CF297" s="263">
        <f>CE297+CF143+CF238+CF237+CF224+CF225+CF239</f>
        <v>14125.3841907152</v>
      </c>
      <c r="CG297" s="19" t="inlineStr">
        <is>
          <t>+ net earnings attributable − dividends (common &amp; preferred) − repurchases + share-based plans + 401(k) treasury shares + issuance (AOCI held flat). Deficit 2018–Q2-25.</t>
        </is>
      </c>
    </row>
    <row r="298" ht="15" customHeight="1" s="251">
      <c r="B298" s="25" t="inlineStr">
        <is>
          <t xml:space="preserve">  Noncontrolling interests</t>
        </is>
      </c>
      <c r="C298" s="266" t="n">
        <v>0</v>
      </c>
      <c r="D298" s="266" t="n">
        <v>0</v>
      </c>
      <c r="E298" s="266" t="n">
        <v>0</v>
      </c>
      <c r="F298" s="266" t="n">
        <v>97</v>
      </c>
      <c r="G298" s="266" t="n">
        <v>96</v>
      </c>
      <c r="H298" s="266" t="n">
        <v>93</v>
      </c>
      <c r="I298" s="266" t="n">
        <v>100</v>
      </c>
      <c r="J298" s="266" t="n">
        <v>98</v>
      </c>
      <c r="K298" s="266" t="n">
        <v>106</v>
      </c>
      <c r="L298" s="266" t="n">
        <v>116</v>
      </c>
      <c r="M298" s="266" t="n">
        <v>122</v>
      </c>
      <c r="N298" s="266" t="n">
        <v>122</v>
      </c>
      <c r="O298" s="266" t="n">
        <v>113</v>
      </c>
      <c r="P298" s="266" t="n">
        <v>123</v>
      </c>
      <c r="Q298" s="266" t="n">
        <v>126</v>
      </c>
      <c r="R298" s="266" t="n">
        <v>125</v>
      </c>
      <c r="S298" s="266" t="n">
        <v>125</v>
      </c>
      <c r="T298" s="266" t="n">
        <v>124</v>
      </c>
      <c r="U298" s="266" t="n">
        <v>43</v>
      </c>
      <c r="V298" s="266" t="n">
        <v>46</v>
      </c>
      <c r="W298" s="266" t="n">
        <v>62</v>
      </c>
      <c r="X298" s="266" t="n">
        <v>62</v>
      </c>
      <c r="Y298" s="266" t="n">
        <v>63</v>
      </c>
      <c r="Z298" s="266" t="n">
        <v>62</v>
      </c>
      <c r="AA298" s="266" t="n">
        <v>61</v>
      </c>
      <c r="AB298" s="266" t="n">
        <v>60</v>
      </c>
      <c r="AC298" s="266" t="n">
        <v>60</v>
      </c>
      <c r="AD298" s="266" t="n">
        <v>60</v>
      </c>
      <c r="AE298" s="266" t="n">
        <v>59</v>
      </c>
      <c r="AF298" s="266" t="n">
        <v>59</v>
      </c>
      <c r="AG298" s="266" t="n">
        <v>57</v>
      </c>
      <c r="AH298" s="266" t="n">
        <v>57</v>
      </c>
      <c r="AI298" s="266" t="n">
        <v>76</v>
      </c>
      <c r="AJ298" s="266" t="n">
        <v>67</v>
      </c>
      <c r="AK298" s="266" t="n">
        <v>80</v>
      </c>
      <c r="AL298" s="266" t="n">
        <v>71</v>
      </c>
      <c r="AM298" s="266" t="n">
        <v>71</v>
      </c>
      <c r="AN298" s="266" t="n">
        <v>107</v>
      </c>
      <c r="AO298" s="266" t="n">
        <v>379</v>
      </c>
      <c r="AP298" s="266" t="n">
        <v>307</v>
      </c>
      <c r="AQ298" s="266" t="n">
        <v>317</v>
      </c>
      <c r="AR298" s="266" t="n">
        <v>317</v>
      </c>
      <c r="AS298" s="266" t="n">
        <v>305</v>
      </c>
      <c r="AT298" s="266" t="n">
        <v>285</v>
      </c>
      <c r="AU298" s="266" t="n">
        <v>268</v>
      </c>
      <c r="AV298" s="266" t="n">
        <v>241</v>
      </c>
      <c r="AW298" s="266" t="n">
        <v>241</v>
      </c>
      <c r="AX298" s="266" t="n">
        <v>217</v>
      </c>
      <c r="AY298" s="266" t="n">
        <v>197</v>
      </c>
      <c r="AZ298" s="266" t="n">
        <v>174</v>
      </c>
      <c r="BA298" s="266" t="n">
        <v>153</v>
      </c>
      <c r="BB298" s="266" t="n">
        <v>153</v>
      </c>
      <c r="BC298" s="266" t="n">
        <v>130</v>
      </c>
      <c r="BD298" s="266" t="n">
        <v>97</v>
      </c>
      <c r="BE298" s="266" t="n">
        <v>64</v>
      </c>
      <c r="BF298" s="266" t="n">
        <v>35</v>
      </c>
      <c r="BG298" s="266" t="n">
        <v>35</v>
      </c>
      <c r="BH298" s="266" t="n">
        <v>24</v>
      </c>
      <c r="BI298" s="266" t="n">
        <v>24</v>
      </c>
      <c r="BJ298" s="266" t="n">
        <v>12</v>
      </c>
      <c r="BK298" s="266" t="n">
        <v>5</v>
      </c>
      <c r="BL298" s="266" t="n">
        <v>5</v>
      </c>
      <c r="BM298" s="266" t="n">
        <v>-7</v>
      </c>
      <c r="BN298" s="266" t="n">
        <v>-6</v>
      </c>
      <c r="BO298" s="266" t="n">
        <v>-10</v>
      </c>
      <c r="BP298" s="266" t="n">
        <v>-6</v>
      </c>
      <c r="BQ298" s="266" t="n">
        <v>-6</v>
      </c>
      <c r="BR298" s="266" t="n">
        <v>0</v>
      </c>
      <c r="BS298" s="266" t="n">
        <v>-1</v>
      </c>
      <c r="BT298" s="266" t="n">
        <v>-3</v>
      </c>
      <c r="BU298" s="266" t="n">
        <v>3</v>
      </c>
      <c r="BV298" s="266" t="n">
        <v>3</v>
      </c>
      <c r="BW298" s="266" t="n">
        <v>0</v>
      </c>
      <c r="BX298" s="266" t="n">
        <v>15</v>
      </c>
      <c r="BY298" s="35" t="n"/>
      <c r="BZ298" s="35" t="n"/>
      <c r="CA298" s="263">
        <f>BX298+SUM(BY142:BZ142)</f>
        <v>15</v>
      </c>
      <c r="CB298" s="263">
        <f>CA298+CB142</f>
        <v>15</v>
      </c>
      <c r="CC298" s="263">
        <f>CB298+CC142</f>
        <v>15</v>
      </c>
      <c r="CD298" s="263">
        <f>CC298+CD142</f>
        <v>15</v>
      </c>
      <c r="CE298" s="263">
        <f>CD298+CE142</f>
        <v>15</v>
      </c>
      <c r="CF298" s="263">
        <f>CE298+CF142</f>
        <v>15</v>
      </c>
      <c r="CG298" s="19" t="n"/>
    </row>
    <row r="299" ht="15" customHeight="1" s="251">
      <c r="B299" s="16" t="inlineStr">
        <is>
          <t>Total equity / (deficit)</t>
        </is>
      </c>
      <c r="C299" s="281">
        <f>IF(ISNUMBER(C297),C297+N(C298),"")</f>
        <v>4739</v>
      </c>
      <c r="D299" s="281">
        <f>IF(ISNUMBER(D297),D297+N(D298),"")</f>
        <v>9004</v>
      </c>
      <c r="E299" s="281">
        <f>IF(ISNUMBER(E297),E297+N(E298),"")</f>
        <v>-1264</v>
      </c>
      <c r="F299" s="281">
        <f>IF(ISNUMBER(F297),F297+N(F298),"")</f>
        <v>2225</v>
      </c>
      <c r="G299" s="281">
        <f>IF(ISNUMBER(G297),G297+N(G298),"")</f>
        <v>2862</v>
      </c>
      <c r="H299" s="281">
        <f>IF(ISNUMBER(H297),H297+N(H298),"")</f>
        <v>3608</v>
      </c>
      <c r="I299" s="281">
        <f>IF(ISNUMBER(I297),I297+N(I298),"")</f>
        <v>5967</v>
      </c>
      <c r="J299" s="281">
        <f>IF(ISNUMBER(J297),J297+N(J298),"")</f>
        <v>7560</v>
      </c>
      <c r="K299" s="281">
        <f>IF(ISNUMBER(K297),K297+N(K298),"")</f>
        <v>7632</v>
      </c>
      <c r="L299" s="281">
        <f>IF(ISNUMBER(L297),L297+N(L298),"")</f>
        <v>9067</v>
      </c>
      <c r="M299" s="281">
        <f>IF(ISNUMBER(M297),M297+N(M298),"")</f>
        <v>14997</v>
      </c>
      <c r="N299" s="281">
        <f>IF(ISNUMBER(N297),N297+N(N298),"")</f>
        <v>14997</v>
      </c>
      <c r="O299" s="281">
        <f>IF(ISNUMBER(O297),O297+N(O298),"")</f>
        <v>14633</v>
      </c>
      <c r="P299" s="281">
        <f>IF(ISNUMBER(P297),P297+N(P298),"")</f>
        <v>14184</v>
      </c>
      <c r="Q299" s="281">
        <f>IF(ISNUMBER(Q297),Q297+N(Q298),"")</f>
        <v>14637</v>
      </c>
      <c r="R299" s="281">
        <f>IF(ISNUMBER(R297),R297+N(R298),"")</f>
        <v>8790</v>
      </c>
      <c r="S299" s="281">
        <f>IF(ISNUMBER(S297),S297+N(S298),"")</f>
        <v>8790</v>
      </c>
      <c r="T299" s="281">
        <f>IF(ISNUMBER(T297),T297+N(T298),"")</f>
        <v>8030</v>
      </c>
      <c r="U299" s="281">
        <f>IF(ISNUMBER(U297),U297+N(U298),"")</f>
        <v>6307</v>
      </c>
      <c r="V299" s="281">
        <f>IF(ISNUMBER(V297),V297+N(V298),"")</f>
        <v>6786</v>
      </c>
      <c r="W299" s="281">
        <f>IF(ISNUMBER(W297),W297+N(W298),"")</f>
        <v>6397</v>
      </c>
      <c r="X299" s="281">
        <f>IF(ISNUMBER(X297),X297+N(X298),"")</f>
        <v>6397</v>
      </c>
      <c r="Y299" s="281">
        <f>IF(ISNUMBER(Y297),Y297+N(Y298),"")</f>
        <v>4106</v>
      </c>
      <c r="Z299" s="281">
        <f>IF(ISNUMBER(Z297),Z297+N(Z298),"")</f>
        <v>647</v>
      </c>
      <c r="AA299" s="281">
        <f>IF(ISNUMBER(AA297),AA297+N(AA298),"")</f>
        <v>2150</v>
      </c>
      <c r="AB299" s="281">
        <f>IF(ISNUMBER(AB297),AB297+N(AB298),"")</f>
        <v>877</v>
      </c>
      <c r="AC299" s="281">
        <f>IF(ISNUMBER(AC297),AC297+N(AC298),"")</f>
        <v>877</v>
      </c>
      <c r="AD299" s="281">
        <f>IF(ISNUMBER(AD297),AD297+N(AD298),"")</f>
        <v>155</v>
      </c>
      <c r="AE299" s="281">
        <f>IF(ISNUMBER(AE297),AE297+N(AE298),"")</f>
        <v>-1978</v>
      </c>
      <c r="AF299" s="281">
        <f>IF(ISNUMBER(AF297),AF297+N(AF298),"")</f>
        <v>1145</v>
      </c>
      <c r="AG299" s="281">
        <f>IF(ISNUMBER(AG297),AG297+N(AG298),"")</f>
        <v>412</v>
      </c>
      <c r="AH299" s="281">
        <f>IF(ISNUMBER(AH297),AH297+N(AH298),"")</f>
        <v>412</v>
      </c>
      <c r="AI299" s="281">
        <f>IF(ISNUMBER(AI297),AI297+N(AI298),"")</f>
        <v>1298</v>
      </c>
      <c r="AJ299" s="281">
        <f>IF(ISNUMBER(AJ297),AJ297+N(AJ298),"")</f>
        <v>-1374</v>
      </c>
      <c r="AK299" s="281">
        <f>IF(ISNUMBER(AK297),AK297+N(AK298),"")</f>
        <v>-1209</v>
      </c>
      <c r="AL299" s="281">
        <f>IF(ISNUMBER(AL297),AL297+N(AL298),"")</f>
        <v>410</v>
      </c>
      <c r="AM299" s="281">
        <f>IF(ISNUMBER(AM297),AM297+N(AM298),"")</f>
        <v>410</v>
      </c>
      <c r="AN299" s="281">
        <f>IF(ISNUMBER(AN297),AN297+N(AN298),"")</f>
        <v>232</v>
      </c>
      <c r="AO299" s="281">
        <f>IF(ISNUMBER(AO297),AO297+N(AO298),"")</f>
        <v>-4943</v>
      </c>
      <c r="AP299" s="281">
        <f>IF(ISNUMBER(AP297),AP297+N(AP298),"")</f>
        <v>-3809</v>
      </c>
      <c r="AQ299" s="281">
        <f>IF(ISNUMBER(AQ297),AQ297+N(AQ298),"")</f>
        <v>-8300</v>
      </c>
      <c r="AR299" s="281">
        <f>IF(ISNUMBER(AR297),AR297+N(AR298),"")</f>
        <v>-8300</v>
      </c>
      <c r="AS299" s="281">
        <f>IF(ISNUMBER(AS297),AS297+N(AS298),"")</f>
        <v>-9360</v>
      </c>
      <c r="AT299" s="281">
        <f>IF(ISNUMBER(AT297),AT297+N(AT298),"")</f>
        <v>-11382</v>
      </c>
      <c r="AU299" s="281">
        <f>IF(ISNUMBER(AU297),AU297+N(AU298),"")</f>
        <v>-11553</v>
      </c>
      <c r="AV299" s="281">
        <f>IF(ISNUMBER(AV297),AV297+N(AV298),"")</f>
        <v>-18075</v>
      </c>
      <c r="AW299" s="281">
        <f>IF(ISNUMBER(AW297),AW297+N(AW298),"")</f>
        <v>-18075</v>
      </c>
      <c r="AX299" s="281">
        <f>IF(ISNUMBER(AX297),AX297+N(AX298),"")</f>
        <v>-17841</v>
      </c>
      <c r="AY299" s="281">
        <f>IF(ISNUMBER(AY297),AY297+N(AY298),"")</f>
        <v>-16485</v>
      </c>
      <c r="AZ299" s="281">
        <f>IF(ISNUMBER(AZ297),AZ297+N(AZ298),"")</f>
        <v>-14266</v>
      </c>
      <c r="BA299" s="281">
        <f>IF(ISNUMBER(BA297),BA297+N(BA298),"")</f>
        <v>-14846</v>
      </c>
      <c r="BB299" s="281">
        <f>IF(ISNUMBER(BB297),BB297+N(BB298),"")</f>
        <v>-14846</v>
      </c>
      <c r="BC299" s="281">
        <f>IF(ISNUMBER(BC297),BC297+N(BC298),"")</f>
        <v>-15268</v>
      </c>
      <c r="BD299" s="281">
        <f>IF(ISNUMBER(BD297),BD297+N(BD298),"")</f>
        <v>-14791</v>
      </c>
      <c r="BE299" s="281">
        <f>IF(ISNUMBER(BE297),BE297+N(BE298),"")</f>
        <v>-17635</v>
      </c>
      <c r="BF299" s="281">
        <f>IF(ISNUMBER(BF297),BF297+N(BF298),"")</f>
        <v>-15848</v>
      </c>
      <c r="BG299" s="281">
        <f>IF(ISNUMBER(BG297),BG297+N(BG298),"")</f>
        <v>-15848</v>
      </c>
      <c r="BH299" s="281">
        <f>IF(ISNUMBER(BH297),BH297+N(BH298),"")</f>
        <v>-15484</v>
      </c>
      <c r="BI299" s="281">
        <f>IF(ISNUMBER(BI297),BI297+N(BI298),"")</f>
        <v>-15493</v>
      </c>
      <c r="BJ299" s="281">
        <f>IF(ISNUMBER(BJ297),BJ297+N(BJ298),"")</f>
        <v>-16717</v>
      </c>
      <c r="BK299" s="281">
        <f>IF(ISNUMBER(BK297),BK297+N(BK298),"")</f>
        <v>-17228</v>
      </c>
      <c r="BL299" s="281">
        <f>IF(ISNUMBER(BL297),BL297+N(BL298),"")</f>
        <v>-17228</v>
      </c>
      <c r="BM299" s="281">
        <f>IF(ISNUMBER(BM297),BM297+N(BM298),"")</f>
        <v>-17016</v>
      </c>
      <c r="BN299" s="281">
        <f>IF(ISNUMBER(BN297),BN297+N(BN298),"")</f>
        <v>-17982</v>
      </c>
      <c r="BO299" s="281">
        <f>IF(ISNUMBER(BO297),BO297+N(BO298),"")</f>
        <v>-23562</v>
      </c>
      <c r="BP299" s="281">
        <f>IF(ISNUMBER(BP297),BP297+N(BP298),"")</f>
        <v>-3914</v>
      </c>
      <c r="BQ299" s="281">
        <f>IF(ISNUMBER(BQ297),BQ297+N(BQ298),"")</f>
        <v>-3914</v>
      </c>
      <c r="BR299" s="281">
        <f>IF(ISNUMBER(BR297),BR297+N(BR298),"")</f>
        <v>-3325</v>
      </c>
      <c r="BS299" s="281">
        <f>IF(ISNUMBER(BS297),BS297+N(BS298),"")</f>
        <v>-3296</v>
      </c>
      <c r="BT299" s="281">
        <f>IF(ISNUMBER(BT297),BT297+N(BT298),"")</f>
        <v>-8253</v>
      </c>
      <c r="BU299" s="281">
        <f>IF(ISNUMBER(BU297),BU297+N(BU298),"")</f>
        <v>5457</v>
      </c>
      <c r="BV299" s="281">
        <f>IF(ISNUMBER(BV297),BV297+N(BV298),"")</f>
        <v>5457</v>
      </c>
      <c r="BW299" s="281">
        <f>IF(ISNUMBER(BW297),BW297+N(BW298),"")</f>
        <v>5987</v>
      </c>
      <c r="BX299" s="281">
        <f>IF(ISNUMBER(BX297),BX297+N(BX298),"")</f>
        <v>6115</v>
      </c>
      <c r="BY299" s="32" t="n"/>
      <c r="BZ299" s="32" t="n"/>
      <c r="CA299" s="265">
        <f>IF(ISNUMBER(CA297),CA297+N(CA298),"")</f>
        <v>7444.10073376675</v>
      </c>
      <c r="CB299" s="265">
        <f>IF(ISNUMBER(CB297),CB297+N(CB298),"")</f>
        <v>13282.1179937192</v>
      </c>
      <c r="CC299" s="265">
        <f>IF(ISNUMBER(CC297),CC297+N(CC298),"")</f>
        <v>21995.0835366591</v>
      </c>
      <c r="CD299" s="265">
        <f>IF(ISNUMBER(CD297),CD297+N(CD298),"")</f>
        <v>19215.0118789528</v>
      </c>
      <c r="CE299" s="265">
        <f>IF(ISNUMBER(CE297),CE297+N(CE298),"")</f>
        <v>16293.940488535</v>
      </c>
      <c r="CF299" s="265">
        <f>IF(ISNUMBER(CF297),CF297+N(CF298),"")</f>
        <v>14140.3841907152</v>
      </c>
      <c r="CG299" s="153" t="n"/>
    </row>
    <row r="300" ht="15" customHeight="1" s="251">
      <c r="B300" s="55" t="inlineStr">
        <is>
          <t>TOTAL LIABILITIES AND EQUITY</t>
        </is>
      </c>
      <c r="C300" s="275">
        <f>IF(ISNUMBER(C296),C296+C299,"")</f>
        <v>51794</v>
      </c>
      <c r="D300" s="275">
        <f>IF(ISNUMBER(D296),D296+D299,"")</f>
        <v>58772</v>
      </c>
      <c r="E300" s="275">
        <f>IF(ISNUMBER(E296),E296+E299,"")</f>
        <v>53801</v>
      </c>
      <c r="F300" s="275">
        <f>IF(ISNUMBER(F296),F296+F299,"")</f>
        <v>62053</v>
      </c>
      <c r="G300" s="275">
        <f>IF(ISNUMBER(G296),G296+G299,"")</f>
        <v>68565</v>
      </c>
      <c r="H300" s="275">
        <f>IF(ISNUMBER(H296),H296+H299,"")</f>
        <v>79986</v>
      </c>
      <c r="I300" s="275">
        <f>IF(ISNUMBER(I296),I296+I299,"")</f>
        <v>88896</v>
      </c>
      <c r="J300" s="275">
        <f>IF(ISNUMBER(J296),J296+J299,"")</f>
        <v>90447</v>
      </c>
      <c r="K300" s="275">
        <f>IF(ISNUMBER(K296),K296+K299,"")</f>
        <v>92091</v>
      </c>
      <c r="L300" s="275">
        <f>IF(ISNUMBER(L296),L296+L299,"")</f>
        <v>94633</v>
      </c>
      <c r="M300" s="275">
        <f>IF(ISNUMBER(M296),M296+M299,"")</f>
        <v>92663</v>
      </c>
      <c r="N300" s="275">
        <f>IF(ISNUMBER(N296),N296+N299,"")</f>
        <v>92663</v>
      </c>
      <c r="O300" s="275">
        <f>IF(ISNUMBER(O296),O296+O299,"")</f>
        <v>91575</v>
      </c>
      <c r="P300" s="275">
        <f>IF(ISNUMBER(P296),P296+P299,"")</f>
        <v>92737</v>
      </c>
      <c r="Q300" s="275">
        <f>IF(ISNUMBER(Q296),Q296+Q299,"")</f>
        <v>92653</v>
      </c>
      <c r="R300" s="275">
        <f>IF(ISNUMBER(R296),R296+R299,"")</f>
        <v>99198</v>
      </c>
      <c r="S300" s="275">
        <f>IF(ISNUMBER(S296),S296+S299,"")</f>
        <v>99198</v>
      </c>
      <c r="T300" s="275">
        <f>IF(ISNUMBER(T296),T296+T299,"")</f>
        <v>97775</v>
      </c>
      <c r="U300" s="275">
        <f>IF(ISNUMBER(U296),U296+U299,"")</f>
        <v>98102</v>
      </c>
      <c r="V300" s="275">
        <f>IF(ISNUMBER(V296),V296+V299,"")</f>
        <v>98998</v>
      </c>
      <c r="W300" s="275">
        <f>IF(ISNUMBER(W296),W296+W299,"")</f>
        <v>94408</v>
      </c>
      <c r="X300" s="275">
        <f>IF(ISNUMBER(X296),X296+X299,"")</f>
        <v>94408</v>
      </c>
      <c r="Y300" s="275">
        <f>IF(ISNUMBER(Y296),Y296+Y299,"")</f>
        <v>91547</v>
      </c>
      <c r="Z300" s="275">
        <f>IF(ISNUMBER(Z296),Z296+Z299,"")</f>
        <v>89609</v>
      </c>
      <c r="AA300" s="275">
        <f>IF(ISNUMBER(AA296),AA296+AA299,"")</f>
        <v>88950</v>
      </c>
      <c r="AB300" s="275">
        <f>IF(ISNUMBER(AB296),AB296+AB299,"")</f>
        <v>89997</v>
      </c>
      <c r="AC300" s="275">
        <f>IF(ISNUMBER(AC296),AC296+AC299,"")</f>
        <v>89997</v>
      </c>
      <c r="AD300" s="275">
        <f>IF(ISNUMBER(AD296),AD296+AD299,"")</f>
        <v>89673</v>
      </c>
      <c r="AE300" s="275">
        <f>IF(ISNUMBER(AE296),AE296+AE299,"")</f>
        <v>90036</v>
      </c>
      <c r="AF300" s="275">
        <f>IF(ISNUMBER(AF296),AF296+AF299,"")</f>
        <v>91007</v>
      </c>
      <c r="AG300" s="275">
        <f>IF(ISNUMBER(AG296),AG296+AG299,"")</f>
        <v>92333</v>
      </c>
      <c r="AH300" s="275">
        <f>IF(ISNUMBER(AH296),AH296+AH299,"")</f>
        <v>92333</v>
      </c>
      <c r="AI300" s="275">
        <f>IF(ISNUMBER(AI296),AI296+AI299,"")</f>
        <v>113549</v>
      </c>
      <c r="AJ300" s="275">
        <f>IF(ISNUMBER(AJ296),AJ296+AJ299,"")</f>
        <v>113195</v>
      </c>
      <c r="AK300" s="275">
        <f>IF(ISNUMBER(AK296),AK296+AK299,"")</f>
        <v>114659</v>
      </c>
      <c r="AL300" s="275">
        <f>IF(ISNUMBER(AL296),AL296+AL299,"")</f>
        <v>117359</v>
      </c>
      <c r="AM300" s="275">
        <f>IF(ISNUMBER(AM296),AM296+AM299,"")</f>
        <v>117359</v>
      </c>
      <c r="AN300" s="275">
        <f>IF(ISNUMBER(AN296),AN296+AN299,"")</f>
        <v>120209</v>
      </c>
      <c r="AO300" s="275">
        <f>IF(ISNUMBER(AO296),AO296+AO299,"")</f>
        <v>126261</v>
      </c>
      <c r="AP300" s="275">
        <f>IF(ISNUMBER(AP296),AP296+AP299,"")</f>
        <v>132598</v>
      </c>
      <c r="AQ300" s="275">
        <f>IF(ISNUMBER(AQ296),AQ296+AQ299,"")</f>
        <v>133625</v>
      </c>
      <c r="AR300" s="275">
        <f>IF(ISNUMBER(AR296),AR296+AR299,"")</f>
        <v>133625</v>
      </c>
      <c r="AS300" s="275">
        <f>IF(ISNUMBER(AS296),AS296+AS299,"")</f>
        <v>143075</v>
      </c>
      <c r="AT300" s="275">
        <f>IF(ISNUMBER(AT296),AT296+AT299,"")</f>
        <v>162872</v>
      </c>
      <c r="AU300" s="275">
        <f>IF(ISNUMBER(AU296),AU296+AU299,"")</f>
        <v>161261</v>
      </c>
      <c r="AV300" s="275">
        <f>IF(ISNUMBER(AV296),AV296+AV299,"")</f>
        <v>152136</v>
      </c>
      <c r="AW300" s="275">
        <f>IF(ISNUMBER(AW296),AW296+AW299,"")</f>
        <v>152136</v>
      </c>
      <c r="AX300" s="275">
        <f>IF(ISNUMBER(AX296),AX296+AX299,"")</f>
        <v>150035</v>
      </c>
      <c r="AY300" s="275">
        <f>IF(ISNUMBER(AY296),AY296+AY299,"")</f>
        <v>148935</v>
      </c>
      <c r="AZ300" s="275">
        <f>IF(ISNUMBER(AZ296),AZ296+AZ299,"")</f>
        <v>146846</v>
      </c>
      <c r="BA300" s="275">
        <f>IF(ISNUMBER(BA296),BA296+BA299,"")</f>
        <v>138552</v>
      </c>
      <c r="BB300" s="275">
        <f>IF(ISNUMBER(BB296),BB296+BB299,"")</f>
        <v>138552</v>
      </c>
      <c r="BC300" s="275">
        <f>IF(ISNUMBER(BC296),BC296+BC299,"")</f>
        <v>135801</v>
      </c>
      <c r="BD300" s="275">
        <f>IF(ISNUMBER(BD296),BD296+BD299,"")</f>
        <v>135479</v>
      </c>
      <c r="BE300" s="275">
        <f>IF(ISNUMBER(BE296),BE296+BE299,"")</f>
        <v>137558</v>
      </c>
      <c r="BF300" s="275">
        <f>IF(ISNUMBER(BF296),BF296+BF299,"")</f>
        <v>137100</v>
      </c>
      <c r="BG300" s="275">
        <f>IF(ISNUMBER(BG296),BG296+BG299,"")</f>
        <v>137100</v>
      </c>
      <c r="BH300" s="275">
        <f>IF(ISNUMBER(BH296),BH296+BH299,"")</f>
        <v>136347</v>
      </c>
      <c r="BI300" s="275">
        <f>IF(ISNUMBER(BI296),BI296+BI299,"")</f>
        <v>134774</v>
      </c>
      <c r="BJ300" s="275">
        <f>IF(ISNUMBER(BJ296),BJ296+BJ299,"")</f>
        <v>134281</v>
      </c>
      <c r="BK300" s="275">
        <f>IF(ISNUMBER(BK296),BK296+BK299,"")</f>
        <v>137012</v>
      </c>
      <c r="BL300" s="275">
        <f>IF(ISNUMBER(BL296),BL296+BL299,"")</f>
        <v>137012</v>
      </c>
      <c r="BM300" s="275">
        <f>IF(ISNUMBER(BM296),BM296+BM299,"")</f>
        <v>134484</v>
      </c>
      <c r="BN300" s="275">
        <f>IF(ISNUMBER(BN296),BN296+BN299,"")</f>
        <v>142720</v>
      </c>
      <c r="BO300" s="275">
        <f>IF(ISNUMBER(BO296),BO296+BO299,"")</f>
        <v>137695</v>
      </c>
      <c r="BP300" s="275">
        <f>IF(ISNUMBER(BP296),BP296+BP299,"")</f>
        <v>156363</v>
      </c>
      <c r="BQ300" s="275">
        <f>IF(ISNUMBER(BQ296),BQ296+BQ299,"")</f>
        <v>156363</v>
      </c>
      <c r="BR300" s="275">
        <f>IF(ISNUMBER(BR296),BR296+BR299,"")</f>
        <v>156494</v>
      </c>
      <c r="BS300" s="275">
        <f>IF(ISNUMBER(BS296),BS296+BS299,"")</f>
        <v>155120</v>
      </c>
      <c r="BT300" s="275">
        <f>IF(ISNUMBER(BT296),BT296+BT299,"")</f>
        <v>150023</v>
      </c>
      <c r="BU300" s="275">
        <f>IF(ISNUMBER(BU296),BU296+BU299,"")</f>
        <v>168235</v>
      </c>
      <c r="BV300" s="275">
        <f>IF(ISNUMBER(BV296),BV296+BV299,"")</f>
        <v>168235</v>
      </c>
      <c r="BW300" s="275">
        <f>IF(ISNUMBER(BW296),BW296+BW299,"")</f>
        <v>164787</v>
      </c>
      <c r="BX300" s="275">
        <f>IF(ISNUMBER(BX296),BX296+BX299,"")</f>
        <v>165870</v>
      </c>
      <c r="BY300" s="56" t="n"/>
      <c r="BZ300" s="56" t="n"/>
      <c r="CA300" s="275">
        <f>IF(ISNUMBER(CA296),CA296+CA299,"")</f>
        <v>169372.120628031</v>
      </c>
      <c r="CB300" s="275">
        <f>IF(ISNUMBER(CB296),CB296+CB299,"")</f>
        <v>177593.514497542</v>
      </c>
      <c r="CC300" s="275">
        <f>IF(ISNUMBER(CC296),CC296+CC299,"")</f>
        <v>191882.994739056</v>
      </c>
      <c r="CD300" s="275">
        <f>IF(ISNUMBER(CD296),CD296+CD299,"")</f>
        <v>193828.248411958</v>
      </c>
      <c r="CE300" s="275">
        <f>IF(ISNUMBER(CE296),CE296+CE299,"")</f>
        <v>194064.40099236</v>
      </c>
      <c r="CF300" s="275">
        <f>IF(ISNUMBER(CF296),CF296+CF299,"")</f>
        <v>195766.526663592</v>
      </c>
      <c r="CG300" s="153" t="n"/>
    </row>
    <row r="301" ht="15" customHeight="1" s="251">
      <c r="B301" s="57" t="inlineStr">
        <is>
          <t>BS tie-out check (TA − TL&amp;E)</t>
        </is>
      </c>
      <c r="C301" s="262">
        <f>IF(ISNUMBER(C286),ROUND(C286-C300,1),"")</f>
        <v>0</v>
      </c>
      <c r="D301" s="262">
        <f>IF(ISNUMBER(D286),ROUND(D286-D300,1),"")</f>
        <v>0</v>
      </c>
      <c r="E301" s="262">
        <f>IF(ISNUMBER(E286),ROUND(E286-E300,1),"")</f>
        <v>0</v>
      </c>
      <c r="F301" s="262">
        <f>IF(ISNUMBER(F286),ROUND(F286-F300,1),"")</f>
        <v>0</v>
      </c>
      <c r="G301" s="262">
        <f>IF(ISNUMBER(G286),ROUND(G286-G300,1),"")</f>
        <v>0</v>
      </c>
      <c r="H301" s="262">
        <f>IF(ISNUMBER(H286),ROUND(H286-H300,1),"")</f>
        <v>0</v>
      </c>
      <c r="I301" s="262">
        <f>IF(ISNUMBER(I286),ROUND(I286-I300,1),"")</f>
        <v>0</v>
      </c>
      <c r="J301" s="262">
        <f>IF(ISNUMBER(J286),ROUND(J286-J300,1),"")</f>
        <v>0</v>
      </c>
      <c r="K301" s="262">
        <f>IF(ISNUMBER(K286),ROUND(K286-K300,1),"")</f>
        <v>0</v>
      </c>
      <c r="L301" s="262">
        <f>IF(ISNUMBER(L286),ROUND(L286-L300,1),"")</f>
        <v>0</v>
      </c>
      <c r="M301" s="262">
        <f>IF(ISNUMBER(M286),ROUND(M286-M300,1),"")</f>
        <v>0</v>
      </c>
      <c r="N301" s="262">
        <f>IF(ISNUMBER(N286),ROUND(N286-N300,1),"")</f>
        <v>0</v>
      </c>
      <c r="O301" s="262">
        <f>IF(ISNUMBER(O286),ROUND(O286-O300,1),"")</f>
        <v>0</v>
      </c>
      <c r="P301" s="262">
        <f>IF(ISNUMBER(P286),ROUND(P286-P300,1),"")</f>
        <v>0</v>
      </c>
      <c r="Q301" s="262">
        <f>IF(ISNUMBER(Q286),ROUND(Q286-Q300,1),"")</f>
        <v>0</v>
      </c>
      <c r="R301" s="262">
        <f>IF(ISNUMBER(R286),ROUND(R286-R300,1),"")</f>
        <v>0</v>
      </c>
      <c r="S301" s="262">
        <f>IF(ISNUMBER(S286),ROUND(S286-S300,1),"")</f>
        <v>0</v>
      </c>
      <c r="T301" s="262">
        <f>IF(ISNUMBER(T286),ROUND(T286-T300,1),"")</f>
        <v>0</v>
      </c>
      <c r="U301" s="262">
        <f>IF(ISNUMBER(U286),ROUND(U286-U300,1),"")</f>
        <v>0</v>
      </c>
      <c r="V301" s="262">
        <f>IF(ISNUMBER(V286),ROUND(V286-V300,1),"")</f>
        <v>0</v>
      </c>
      <c r="W301" s="262">
        <f>IF(ISNUMBER(W286),ROUND(W286-W300,1),"")</f>
        <v>0</v>
      </c>
      <c r="X301" s="262">
        <f>IF(ISNUMBER(X286),ROUND(X286-X300,1),"")</f>
        <v>0</v>
      </c>
      <c r="Y301" s="262">
        <f>IF(ISNUMBER(Y286),ROUND(Y286-Y300,1),"")</f>
        <v>0</v>
      </c>
      <c r="Z301" s="262">
        <f>IF(ISNUMBER(Z286),ROUND(Z286-Z300,1),"")</f>
        <v>0</v>
      </c>
      <c r="AA301" s="262">
        <f>IF(ISNUMBER(AA286),ROUND(AA286-AA300,1),"")</f>
        <v>0</v>
      </c>
      <c r="AB301" s="262">
        <f>IF(ISNUMBER(AB286),ROUND(AB286-AB300,1),"")</f>
        <v>0</v>
      </c>
      <c r="AC301" s="262">
        <f>IF(ISNUMBER(AC286),ROUND(AC286-AC300,1),"")</f>
        <v>0</v>
      </c>
      <c r="AD301" s="262">
        <f>IF(ISNUMBER(AD286),ROUND(AD286-AD300,1),"")</f>
        <v>0</v>
      </c>
      <c r="AE301" s="262">
        <f>IF(ISNUMBER(AE286),ROUND(AE286-AE300,1),"")</f>
        <v>0</v>
      </c>
      <c r="AF301" s="262">
        <f>IF(ISNUMBER(AF286),ROUND(AF286-AF300,1),"")</f>
        <v>0</v>
      </c>
      <c r="AG301" s="262">
        <f>IF(ISNUMBER(AG286),ROUND(AG286-AG300,1),"")</f>
        <v>0</v>
      </c>
      <c r="AH301" s="262">
        <f>IF(ISNUMBER(AH286),ROUND(AH286-AH300,1),"")</f>
        <v>0</v>
      </c>
      <c r="AI301" s="262">
        <f>IF(ISNUMBER(AI286),ROUND(AI286-AI300,1),"")</f>
        <v>0</v>
      </c>
      <c r="AJ301" s="262">
        <f>IF(ISNUMBER(AJ286),ROUND(AJ286-AJ300,1),"")</f>
        <v>0</v>
      </c>
      <c r="AK301" s="262">
        <f>IF(ISNUMBER(AK286),ROUND(AK286-AK300,1),"")</f>
        <v>0</v>
      </c>
      <c r="AL301" s="262">
        <f>IF(ISNUMBER(AL286),ROUND(AL286-AL300,1),"")</f>
        <v>0</v>
      </c>
      <c r="AM301" s="262">
        <f>IF(ISNUMBER(AM286),ROUND(AM286-AM300,1),"")</f>
        <v>0</v>
      </c>
      <c r="AN301" s="262">
        <f>IF(ISNUMBER(AN286),ROUND(AN286-AN300,1),"")</f>
        <v>0</v>
      </c>
      <c r="AO301" s="262">
        <f>IF(ISNUMBER(AO286),ROUND(AO286-AO300,1),"")</f>
        <v>0</v>
      </c>
      <c r="AP301" s="262">
        <f>IF(ISNUMBER(AP286),ROUND(AP286-AP300,1),"")</f>
        <v>0</v>
      </c>
      <c r="AQ301" s="262">
        <f>IF(ISNUMBER(AQ286),ROUND(AQ286-AQ300,1),"")</f>
        <v>0</v>
      </c>
      <c r="AR301" s="262">
        <f>IF(ISNUMBER(AR286),ROUND(AR286-AR300,1),"")</f>
        <v>0</v>
      </c>
      <c r="AS301" s="262">
        <f>IF(ISNUMBER(AS286),ROUND(AS286-AS300,1),"")</f>
        <v>0</v>
      </c>
      <c r="AT301" s="262">
        <f>IF(ISNUMBER(AT286),ROUND(AT286-AT300,1),"")</f>
        <v>0</v>
      </c>
      <c r="AU301" s="262">
        <f>IF(ISNUMBER(AU286),ROUND(AU286-AU300,1),"")</f>
        <v>0</v>
      </c>
      <c r="AV301" s="262">
        <f>IF(ISNUMBER(AV286),ROUND(AV286-AV300,1),"")</f>
        <v>0</v>
      </c>
      <c r="AW301" s="262">
        <f>IF(ISNUMBER(AW286),ROUND(AW286-AW300,1),"")</f>
        <v>0</v>
      </c>
      <c r="AX301" s="262">
        <f>IF(ISNUMBER(AX286),ROUND(AX286-AX300,1),"")</f>
        <v>0</v>
      </c>
      <c r="AY301" s="262">
        <f>IF(ISNUMBER(AY286),ROUND(AY286-AY300,1),"")</f>
        <v>0</v>
      </c>
      <c r="AZ301" s="262">
        <f>IF(ISNUMBER(AZ286),ROUND(AZ286-AZ300,1),"")</f>
        <v>0</v>
      </c>
      <c r="BA301" s="262">
        <f>IF(ISNUMBER(BA286),ROUND(BA286-BA300,1),"")</f>
        <v>0</v>
      </c>
      <c r="BB301" s="262">
        <f>IF(ISNUMBER(BB286),ROUND(BB286-BB300,1),"")</f>
        <v>0</v>
      </c>
      <c r="BC301" s="262">
        <f>IF(ISNUMBER(BC286),ROUND(BC286-BC300,1),"")</f>
        <v>0</v>
      </c>
      <c r="BD301" s="262">
        <f>IF(ISNUMBER(BD286),ROUND(BD286-BD300,1),"")</f>
        <v>0</v>
      </c>
      <c r="BE301" s="262">
        <f>IF(ISNUMBER(BE286),ROUND(BE286-BE300,1),"")</f>
        <v>0</v>
      </c>
      <c r="BF301" s="262">
        <f>IF(ISNUMBER(BF286),ROUND(BF286-BF300,1),"")</f>
        <v>0</v>
      </c>
      <c r="BG301" s="262">
        <f>IF(ISNUMBER(BG286),ROUND(BG286-BG300,1),"")</f>
        <v>0</v>
      </c>
      <c r="BH301" s="262">
        <f>IF(ISNUMBER(BH286),ROUND(BH286-BH300,1),"")</f>
        <v>0</v>
      </c>
      <c r="BI301" s="262">
        <f>IF(ISNUMBER(BI286),ROUND(BI286-BI300,1),"")</f>
        <v>0</v>
      </c>
      <c r="BJ301" s="262">
        <f>IF(ISNUMBER(BJ286),ROUND(BJ286-BJ300,1),"")</f>
        <v>0</v>
      </c>
      <c r="BK301" s="262">
        <f>IF(ISNUMBER(BK286),ROUND(BK286-BK300,1),"")</f>
        <v>0</v>
      </c>
      <c r="BL301" s="262">
        <f>IF(ISNUMBER(BL286),ROUND(BL286-BL300,1),"")</f>
        <v>0</v>
      </c>
      <c r="BM301" s="262">
        <f>IF(ISNUMBER(BM286),ROUND(BM286-BM300,1),"")</f>
        <v>0</v>
      </c>
      <c r="BN301" s="262">
        <f>IF(ISNUMBER(BN286),ROUND(BN286-BN300,1),"")</f>
        <v>0</v>
      </c>
      <c r="BO301" s="262">
        <f>IF(ISNUMBER(BO286),ROUND(BO286-BO300,1),"")</f>
        <v>0</v>
      </c>
      <c r="BP301" s="262">
        <f>IF(ISNUMBER(BP286),ROUND(BP286-BP300,1),"")</f>
        <v>0</v>
      </c>
      <c r="BQ301" s="262">
        <f>IF(ISNUMBER(BQ286),ROUND(BQ286-BQ300,1),"")</f>
        <v>0</v>
      </c>
      <c r="BR301" s="262">
        <f>IF(ISNUMBER(BR286),ROUND(BR286-BR300,1),"")</f>
        <v>0</v>
      </c>
      <c r="BS301" s="262">
        <f>IF(ISNUMBER(BS286),ROUND(BS286-BS300,1),"")</f>
        <v>0</v>
      </c>
      <c r="BT301" s="262">
        <f>IF(ISNUMBER(BT286),ROUND(BT286-BT300,1),"")</f>
        <v>0</v>
      </c>
      <c r="BU301" s="262">
        <f>IF(ISNUMBER(BU286),ROUND(BU286-BU300,1),"")</f>
        <v>0</v>
      </c>
      <c r="BV301" s="262">
        <f>IF(ISNUMBER(BV286),ROUND(BV286-BV300,1),"")</f>
        <v>0</v>
      </c>
      <c r="BW301" s="262">
        <f>IF(ISNUMBER(BW286),ROUND(BW286-BW300,1),"")</f>
        <v>0</v>
      </c>
      <c r="BX301" s="262">
        <f>IF(ISNUMBER(BX286),ROUND(BX286-BX300,1),"")</f>
        <v>0</v>
      </c>
      <c r="BY301" s="153" t="n"/>
      <c r="BZ301" s="153" t="n"/>
      <c r="CA301" s="276">
        <f>IF(ISNUMBER(CA286),ROUND(CA286-CA300,1),"")</f>
        <v>0</v>
      </c>
      <c r="CB301" s="276">
        <f>IF(ISNUMBER(CB286),ROUND(CB286-CB300,1),"")</f>
        <v>0</v>
      </c>
      <c r="CC301" s="276">
        <f>IF(ISNUMBER(CC286),ROUND(CC286-CC300,1),"")</f>
        <v>0</v>
      </c>
      <c r="CD301" s="276">
        <f>IF(ISNUMBER(CD286),ROUND(CD286-CD300,1),"")</f>
        <v>0</v>
      </c>
      <c r="CE301" s="276">
        <f>IF(ISNUMBER(CE286),ROUND(CE286-CE300,1),"")</f>
        <v>0</v>
      </c>
      <c r="CF301" s="276">
        <f>IF(ISNUMBER(CF286),ROUND(CF286-CF300,1),"")</f>
        <v>0</v>
      </c>
      <c r="CG301" s="153" t="n"/>
    </row>
    <row r="302" ht="15" customHeight="1" s="251">
      <c r="B302" s="57" t="inlineStr">
        <is>
          <t xml:space="preserve">  Check: model total assets vs reported (should be 0)</t>
        </is>
      </c>
      <c r="C302" s="262">
        <f>IF(ISNUMBER(C303),ROUND(C286-C303,1),"")</f>
        <v>0</v>
      </c>
      <c r="D302" s="262">
        <f>IF(ISNUMBER(D303),ROUND(D286-D303,1),"")</f>
        <v>0</v>
      </c>
      <c r="E302" s="262">
        <f>IF(ISNUMBER(E303),ROUND(E286-E303,1),"")</f>
        <v>0</v>
      </c>
      <c r="F302" s="262">
        <f>IF(ISNUMBER(F303),ROUND(F286-F303,1),"")</f>
        <v>0</v>
      </c>
      <c r="G302" s="262">
        <f>IF(ISNUMBER(G303),ROUND(G286-G303,1),"")</f>
        <v>0</v>
      </c>
      <c r="H302" s="262">
        <f>IF(ISNUMBER(H303),ROUND(H286-H303,1),"")</f>
        <v>0</v>
      </c>
      <c r="I302" s="262">
        <f>IF(ISNUMBER(I303),ROUND(I286-I303,1),"")</f>
        <v>0</v>
      </c>
      <c r="J302" s="262">
        <f>IF(ISNUMBER(J303),ROUND(J286-J303,1),"")</f>
        <v>0</v>
      </c>
      <c r="K302" s="262">
        <f>IF(ISNUMBER(K303),ROUND(K286-K303,1),"")</f>
        <v>0</v>
      </c>
      <c r="L302" s="262">
        <f>IF(ISNUMBER(L303),ROUND(L286-L303,1),"")</f>
        <v>0</v>
      </c>
      <c r="M302" s="262">
        <f>IF(ISNUMBER(M303),ROUND(M286-M303,1),"")</f>
        <v>0</v>
      </c>
      <c r="N302" s="262">
        <f>IF(ISNUMBER(N303),ROUND(N286-N303,1),"")</f>
        <v>0</v>
      </c>
      <c r="O302" s="262">
        <f>IF(ISNUMBER(O303),ROUND(O286-O303,1),"")</f>
        <v>0</v>
      </c>
      <c r="P302" s="262">
        <f>IF(ISNUMBER(P303),ROUND(P286-P303,1),"")</f>
        <v>0</v>
      </c>
      <c r="Q302" s="262">
        <f>IF(ISNUMBER(Q303),ROUND(Q286-Q303,1),"")</f>
        <v>0</v>
      </c>
      <c r="R302" s="262">
        <f>IF(ISNUMBER(R303),ROUND(R286-R303,1),"")</f>
        <v>0</v>
      </c>
      <c r="S302" s="262">
        <f>IF(ISNUMBER(S303),ROUND(S286-S303,1),"")</f>
        <v>0</v>
      </c>
      <c r="T302" s="262">
        <f>IF(ISNUMBER(T303),ROUND(T286-T303,1),"")</f>
        <v>0</v>
      </c>
      <c r="U302" s="262">
        <f>IF(ISNUMBER(U303),ROUND(U286-U303,1),"")</f>
        <v>0</v>
      </c>
      <c r="V302" s="262">
        <f>IF(ISNUMBER(V303),ROUND(V286-V303,1),"")</f>
        <v>0</v>
      </c>
      <c r="W302" s="262">
        <f>IF(ISNUMBER(W303),ROUND(W286-W303,1),"")</f>
        <v>0</v>
      </c>
      <c r="X302" s="262">
        <f>IF(ISNUMBER(X303),ROUND(X286-X303,1),"")</f>
        <v>0</v>
      </c>
      <c r="Y302" s="262">
        <f>IF(ISNUMBER(Y303),ROUND(Y286-Y303,1),"")</f>
        <v>0</v>
      </c>
      <c r="Z302" s="262">
        <f>IF(ISNUMBER(Z303),ROUND(Z286-Z303,1),"")</f>
        <v>0</v>
      </c>
      <c r="AA302" s="262">
        <f>IF(ISNUMBER(AA303),ROUND(AA286-AA303,1),"")</f>
        <v>0</v>
      </c>
      <c r="AB302" s="262">
        <f>IF(ISNUMBER(AB303),ROUND(AB286-AB303,1),"")</f>
        <v>0</v>
      </c>
      <c r="AC302" s="262">
        <f>IF(ISNUMBER(AC303),ROUND(AC286-AC303,1),"")</f>
        <v>0</v>
      </c>
      <c r="AD302" s="262">
        <f>IF(ISNUMBER(AD303),ROUND(AD286-AD303,1),"")</f>
        <v>0</v>
      </c>
      <c r="AE302" s="262">
        <f>IF(ISNUMBER(AE303),ROUND(AE286-AE303,1),"")</f>
        <v>0</v>
      </c>
      <c r="AF302" s="262">
        <f>IF(ISNUMBER(AF303),ROUND(AF286-AF303,1),"")</f>
        <v>0</v>
      </c>
      <c r="AG302" s="262">
        <f>IF(ISNUMBER(AG303),ROUND(AG286-AG303,1),"")</f>
        <v>0</v>
      </c>
      <c r="AH302" s="262">
        <f>IF(ISNUMBER(AH303),ROUND(AH286-AH303,1),"")</f>
        <v>0</v>
      </c>
      <c r="AI302" s="262">
        <f>IF(ISNUMBER(AI303),ROUND(AI286-AI303,1),"")</f>
        <v>0</v>
      </c>
      <c r="AJ302" s="262">
        <f>IF(ISNUMBER(AJ303),ROUND(AJ286-AJ303,1),"")</f>
        <v>0</v>
      </c>
      <c r="AK302" s="262">
        <f>IF(ISNUMBER(AK303),ROUND(AK286-AK303,1),"")</f>
        <v>0</v>
      </c>
      <c r="AL302" s="262">
        <f>IF(ISNUMBER(AL303),ROUND(AL286-AL303,1),"")</f>
        <v>0</v>
      </c>
      <c r="AM302" s="262">
        <f>IF(ISNUMBER(AM303),ROUND(AM286-AM303,1),"")</f>
        <v>0</v>
      </c>
      <c r="AN302" s="262">
        <f>IF(ISNUMBER(AN303),ROUND(AN286-AN303,1),"")</f>
        <v>0</v>
      </c>
      <c r="AO302" s="262">
        <f>IF(ISNUMBER(AO303),ROUND(AO286-AO303,1),"")</f>
        <v>0</v>
      </c>
      <c r="AP302" s="262">
        <f>IF(ISNUMBER(AP303),ROUND(AP286-AP303,1),"")</f>
        <v>0</v>
      </c>
      <c r="AQ302" s="262">
        <f>IF(ISNUMBER(AQ303),ROUND(AQ286-AQ303,1),"")</f>
        <v>0</v>
      </c>
      <c r="AR302" s="262">
        <f>IF(ISNUMBER(AR303),ROUND(AR286-AR303,1),"")</f>
        <v>0</v>
      </c>
      <c r="AS302" s="262">
        <f>IF(ISNUMBER(AS303),ROUND(AS286-AS303,1),"")</f>
        <v>0</v>
      </c>
      <c r="AT302" s="262">
        <f>IF(ISNUMBER(AT303),ROUND(AT286-AT303,1),"")</f>
        <v>0</v>
      </c>
      <c r="AU302" s="262">
        <f>IF(ISNUMBER(AU303),ROUND(AU286-AU303,1),"")</f>
        <v>0</v>
      </c>
      <c r="AV302" s="262">
        <f>IF(ISNUMBER(AV303),ROUND(AV286-AV303,1),"")</f>
        <v>0</v>
      </c>
      <c r="AW302" s="262">
        <f>IF(ISNUMBER(AW303),ROUND(AW286-AW303,1),"")</f>
        <v>0</v>
      </c>
      <c r="AX302" s="262">
        <f>IF(ISNUMBER(AX303),ROUND(AX286-AX303,1),"")</f>
        <v>0</v>
      </c>
      <c r="AY302" s="262">
        <f>IF(ISNUMBER(AY303),ROUND(AY286-AY303,1),"")</f>
        <v>0</v>
      </c>
      <c r="AZ302" s="262">
        <f>IF(ISNUMBER(AZ303),ROUND(AZ286-AZ303,1),"")</f>
        <v>0</v>
      </c>
      <c r="BA302" s="262">
        <f>IF(ISNUMBER(BA303),ROUND(BA286-BA303,1),"")</f>
        <v>0</v>
      </c>
      <c r="BB302" s="262">
        <f>IF(ISNUMBER(BB303),ROUND(BB286-BB303,1),"")</f>
        <v>0</v>
      </c>
      <c r="BC302" s="262">
        <f>IF(ISNUMBER(BC303),ROUND(BC286-BC303,1),"")</f>
        <v>0</v>
      </c>
      <c r="BD302" s="262">
        <f>IF(ISNUMBER(BD303),ROUND(BD286-BD303,1),"")</f>
        <v>0</v>
      </c>
      <c r="BE302" s="262">
        <f>IF(ISNUMBER(BE303),ROUND(BE286-BE303,1),"")</f>
        <v>0</v>
      </c>
      <c r="BF302" s="262">
        <f>IF(ISNUMBER(BF303),ROUND(BF286-BF303,1),"")</f>
        <v>0</v>
      </c>
      <c r="BG302" s="262">
        <f>IF(ISNUMBER(BG303),ROUND(BG286-BG303,1),"")</f>
        <v>0</v>
      </c>
      <c r="BH302" s="262">
        <f>IF(ISNUMBER(BH303),ROUND(BH286-BH303,1),"")</f>
        <v>0</v>
      </c>
      <c r="BI302" s="262">
        <f>IF(ISNUMBER(BI303),ROUND(BI286-BI303,1),"")</f>
        <v>0</v>
      </c>
      <c r="BJ302" s="262">
        <f>IF(ISNUMBER(BJ303),ROUND(BJ286-BJ303,1),"")</f>
        <v>0</v>
      </c>
      <c r="BK302" s="262">
        <f>IF(ISNUMBER(BK303),ROUND(BK286-BK303,1),"")</f>
        <v>0</v>
      </c>
      <c r="BL302" s="262">
        <f>IF(ISNUMBER(BL303),ROUND(BL286-BL303,1),"")</f>
        <v>0</v>
      </c>
      <c r="BM302" s="262">
        <f>IF(ISNUMBER(BM303),ROUND(BM286-BM303,1),"")</f>
        <v>0</v>
      </c>
      <c r="BN302" s="262">
        <f>IF(ISNUMBER(BN303),ROUND(BN286-BN303,1),"")</f>
        <v>0</v>
      </c>
      <c r="BO302" s="262">
        <f>IF(ISNUMBER(BO303),ROUND(BO286-BO303,1),"")</f>
        <v>0</v>
      </c>
      <c r="BP302" s="262">
        <f>IF(ISNUMBER(BP303),ROUND(BP286-BP303,1),"")</f>
        <v>0</v>
      </c>
      <c r="BQ302" s="262">
        <f>IF(ISNUMBER(BQ303),ROUND(BQ286-BQ303,1),"")</f>
        <v>0</v>
      </c>
      <c r="BR302" s="262">
        <f>IF(ISNUMBER(BR303),ROUND(BR286-BR303,1),"")</f>
        <v>0</v>
      </c>
      <c r="BS302" s="262">
        <f>IF(ISNUMBER(BS303),ROUND(BS286-BS303,1),"")</f>
        <v>0</v>
      </c>
      <c r="BT302" s="262">
        <f>IF(ISNUMBER(BT303),ROUND(BT286-BT303,1),"")</f>
        <v>0</v>
      </c>
      <c r="BU302" s="262">
        <f>IF(ISNUMBER(BU303),ROUND(BU286-BU303,1),"")</f>
        <v>0</v>
      </c>
      <c r="BV302" s="262">
        <f>IF(ISNUMBER(BV303),ROUND(BV286-BV303,1),"")</f>
        <v>0</v>
      </c>
      <c r="BW302" s="262">
        <f>IF(ISNUMBER(BW303),ROUND(BW286-BW303,1),"")</f>
        <v>0</v>
      </c>
      <c r="BX302" s="262">
        <f>IF(ISNUMBER(BX303),ROUND(BX286-BX303,1),"")</f>
        <v>0</v>
      </c>
      <c r="BY302" s="153" t="n"/>
      <c r="BZ302" s="153" t="n"/>
      <c r="CA302" s="153" t="n"/>
      <c r="CB302" s="153" t="n"/>
      <c r="CC302" s="153" t="n"/>
      <c r="CD302" s="153" t="n"/>
      <c r="CE302" s="153" t="n"/>
      <c r="CF302" s="153" t="n"/>
      <c r="CG302" s="153" t="n"/>
    </row>
    <row r="303" ht="15" customHeight="1" s="251">
      <c r="B303" s="156" t="inlineStr">
        <is>
          <t xml:space="preserve">  Memo: total assets as reported</t>
        </is>
      </c>
      <c r="C303" s="266" t="n">
        <v>51794</v>
      </c>
      <c r="D303" s="266" t="n">
        <v>58772</v>
      </c>
      <c r="E303" s="266" t="n">
        <v>53801</v>
      </c>
      <c r="F303" s="266" t="n">
        <v>62053</v>
      </c>
      <c r="G303" s="266" t="n">
        <v>68565</v>
      </c>
      <c r="H303" s="266" t="n">
        <v>79986</v>
      </c>
      <c r="I303" s="266" t="n">
        <v>88896</v>
      </c>
      <c r="J303" s="266" t="n">
        <v>90447</v>
      </c>
      <c r="K303" s="266" t="n">
        <v>92091</v>
      </c>
      <c r="L303" s="266" t="n">
        <v>94633</v>
      </c>
      <c r="M303" s="266" t="n">
        <v>92663</v>
      </c>
      <c r="N303" s="266" t="n">
        <v>92663</v>
      </c>
      <c r="O303" s="266" t="n">
        <v>91575</v>
      </c>
      <c r="P303" s="266" t="n">
        <v>92737</v>
      </c>
      <c r="Q303" s="266" t="n">
        <v>92653</v>
      </c>
      <c r="R303" s="266" t="n">
        <v>99198</v>
      </c>
      <c r="S303" s="266" t="n">
        <v>99198</v>
      </c>
      <c r="T303" s="266" t="n">
        <v>97775</v>
      </c>
      <c r="U303" s="266" t="n">
        <v>98102</v>
      </c>
      <c r="V303" s="266" t="n">
        <v>98998</v>
      </c>
      <c r="W303" s="266" t="n">
        <v>94408</v>
      </c>
      <c r="X303" s="266" t="n">
        <v>94408</v>
      </c>
      <c r="Y303" s="266" t="n">
        <v>91547</v>
      </c>
      <c r="Z303" s="266" t="n">
        <v>89609</v>
      </c>
      <c r="AA303" s="266" t="n">
        <v>88950</v>
      </c>
      <c r="AB303" s="266" t="n">
        <v>89997</v>
      </c>
      <c r="AC303" s="266" t="n">
        <v>89997</v>
      </c>
      <c r="AD303" s="266" t="n">
        <v>89673</v>
      </c>
      <c r="AE303" s="266" t="n">
        <v>90036</v>
      </c>
      <c r="AF303" s="266" t="n">
        <v>91007</v>
      </c>
      <c r="AG303" s="266" t="n">
        <v>92333</v>
      </c>
      <c r="AH303" s="266" t="n">
        <v>92333</v>
      </c>
      <c r="AI303" s="266" t="n">
        <v>113549</v>
      </c>
      <c r="AJ303" s="266" t="n">
        <v>113195</v>
      </c>
      <c r="AK303" s="266" t="n">
        <v>114659</v>
      </c>
      <c r="AL303" s="266" t="n">
        <v>117359</v>
      </c>
      <c r="AM303" s="266" t="n">
        <v>117359</v>
      </c>
      <c r="AN303" s="266" t="n">
        <v>120209</v>
      </c>
      <c r="AO303" s="266" t="n">
        <v>126261</v>
      </c>
      <c r="AP303" s="266" t="n">
        <v>132598</v>
      </c>
      <c r="AQ303" s="266" t="n">
        <v>133625</v>
      </c>
      <c r="AR303" s="266" t="n">
        <v>133625</v>
      </c>
      <c r="AS303" s="266" t="n">
        <v>143075</v>
      </c>
      <c r="AT303" s="266" t="n">
        <v>162872</v>
      </c>
      <c r="AU303" s="266" t="n">
        <v>161261</v>
      </c>
      <c r="AV303" s="266" t="n">
        <v>152136</v>
      </c>
      <c r="AW303" s="266" t="n">
        <v>152136</v>
      </c>
      <c r="AX303" s="266" t="n">
        <v>150035</v>
      </c>
      <c r="AY303" s="266" t="n">
        <v>148935</v>
      </c>
      <c r="AZ303" s="266" t="n">
        <v>146846</v>
      </c>
      <c r="BA303" s="266" t="n">
        <v>138552</v>
      </c>
      <c r="BB303" s="266" t="n">
        <v>138552</v>
      </c>
      <c r="BC303" s="266" t="n">
        <v>135801</v>
      </c>
      <c r="BD303" s="266" t="n">
        <v>135479</v>
      </c>
      <c r="BE303" s="266" t="n">
        <v>137558</v>
      </c>
      <c r="BF303" s="266" t="n">
        <v>137100</v>
      </c>
      <c r="BG303" s="266" t="n">
        <v>137100</v>
      </c>
      <c r="BH303" s="266" t="n">
        <v>136347</v>
      </c>
      <c r="BI303" s="266" t="n">
        <v>134774</v>
      </c>
      <c r="BJ303" s="266" t="n">
        <v>134281</v>
      </c>
      <c r="BK303" s="266" t="n">
        <v>137012</v>
      </c>
      <c r="BL303" s="266" t="n">
        <v>137012</v>
      </c>
      <c r="BM303" s="266" t="n">
        <v>134484</v>
      </c>
      <c r="BN303" s="266" t="n">
        <v>142720</v>
      </c>
      <c r="BO303" s="266" t="n">
        <v>137695</v>
      </c>
      <c r="BP303" s="266" t="n">
        <v>156363</v>
      </c>
      <c r="BQ303" s="266" t="n">
        <v>156363</v>
      </c>
      <c r="BR303" s="266" t="n">
        <v>156494</v>
      </c>
      <c r="BS303" s="266" t="n">
        <v>155120</v>
      </c>
      <c r="BT303" s="266" t="n">
        <v>150023</v>
      </c>
      <c r="BU303" s="266" t="n">
        <v>168235</v>
      </c>
      <c r="BV303" s="266" t="n">
        <v>168235</v>
      </c>
      <c r="BW303" s="266" t="n">
        <v>164787</v>
      </c>
      <c r="BX303" s="266" t="n">
        <v>165870</v>
      </c>
      <c r="BY303" s="153" t="n"/>
      <c r="BZ303" s="153" t="n"/>
      <c r="CA303" s="153" t="n"/>
      <c r="CB303" s="153" t="n"/>
      <c r="CC303" s="153" t="n"/>
      <c r="CD303" s="153" t="n"/>
      <c r="CE303" s="153" t="n"/>
      <c r="CF303" s="153" t="n"/>
      <c r="CG303" s="153" t="n"/>
    </row>
    <row r="304" ht="15" customHeight="1" s="251">
      <c r="B304" s="57" t="inlineStr">
        <is>
          <t xml:space="preserve">  Check: BS cash vs cash-flow ending cash less restricted cash (should be 0)</t>
        </is>
      </c>
      <c r="C304" s="262">
        <f>IF(AND(ISNUMBER(C276),ISNUMBER(C245)),ROUND(C276-(C245-N(C246)),1),"")</f>
        <v>0</v>
      </c>
      <c r="D304" s="262">
        <f>IF(AND(ISNUMBER(D276),ISNUMBER(D245)),ROUND(D276-(D245-N(D246)),1),"")</f>
        <v>0</v>
      </c>
      <c r="E304" s="262">
        <f>IF(AND(ISNUMBER(E276),ISNUMBER(E245)),ROUND(E276-(E245-N(E246)),1),"")</f>
        <v>0</v>
      </c>
      <c r="F304" s="262">
        <f>IF(AND(ISNUMBER(F276),ISNUMBER(F245)),ROUND(F276-(F245-N(F246)),1),"")</f>
        <v>0</v>
      </c>
      <c r="G304" s="262">
        <f>IF(AND(ISNUMBER(G276),ISNUMBER(G245)),ROUND(G276-(G245-N(G246)),1),"")</f>
        <v>0</v>
      </c>
      <c r="H304" s="262">
        <f>IF(AND(ISNUMBER(H276),ISNUMBER(H245)),ROUND(H276-(H245-N(H246)),1),"")</f>
        <v>0</v>
      </c>
      <c r="I304" s="262">
        <f>IF(AND(ISNUMBER(I276),ISNUMBER(I245)),ROUND(I276-(I245-N(I246)),1),"")</f>
        <v>0</v>
      </c>
      <c r="J304" s="262">
        <f>IF(AND(ISNUMBER(J276),ISNUMBER(J245)),ROUND(J276-(J245-N(J246)),1),"")</f>
        <v>0</v>
      </c>
      <c r="K304" s="262">
        <f>IF(AND(ISNUMBER(K276),ISNUMBER(K245)),ROUND(K276-(K245-N(K246)),1),"")</f>
        <v>0</v>
      </c>
      <c r="L304" s="262">
        <f>IF(AND(ISNUMBER(L276),ISNUMBER(L245)),ROUND(L276-(L245-N(L246)),1),"")</f>
        <v>0</v>
      </c>
      <c r="M304" s="262">
        <f>IF(AND(ISNUMBER(M276),ISNUMBER(M245)),ROUND(M276-(M245-N(M246)),1),"")</f>
        <v>0</v>
      </c>
      <c r="N304" s="262">
        <f>IF(AND(ISNUMBER(N276),ISNUMBER(N245)),ROUND(N276-(N245-N(N246)),1),"")</f>
        <v>0</v>
      </c>
      <c r="O304" s="262">
        <f>IF(AND(ISNUMBER(O276),ISNUMBER(O245)),ROUND(O276-(O245-N(O246)),1),"")</f>
        <v>0</v>
      </c>
      <c r="P304" s="262">
        <f>IF(AND(ISNUMBER(P276),ISNUMBER(P245)),ROUND(P276-(P245-N(P246)),1),"")</f>
        <v>0</v>
      </c>
      <c r="Q304" s="262">
        <f>IF(AND(ISNUMBER(Q276),ISNUMBER(Q245)),ROUND(Q276-(Q245-N(Q246)),1),"")</f>
        <v>0</v>
      </c>
      <c r="R304" s="262">
        <f>IF(AND(ISNUMBER(R276),ISNUMBER(R245)),ROUND(R276-(R245-N(R246)),1),"")</f>
        <v>0</v>
      </c>
      <c r="S304" s="262">
        <f>IF(AND(ISNUMBER(S276),ISNUMBER(S245)),ROUND(S276-(S245-N(S246)),1),"")</f>
        <v>0</v>
      </c>
      <c r="T304" s="262">
        <f>IF(AND(ISNUMBER(T276),ISNUMBER(T245)),ROUND(T276-(T245-N(T246)),1),"")</f>
        <v>0</v>
      </c>
      <c r="U304" s="262">
        <f>IF(AND(ISNUMBER(U276),ISNUMBER(U245)),ROUND(U276-(U245-N(U246)),1),"")</f>
        <v>0</v>
      </c>
      <c r="V304" s="262">
        <f>IF(AND(ISNUMBER(V276),ISNUMBER(V245)),ROUND(V276-(V245-N(V246)),1),"")</f>
        <v>0</v>
      </c>
      <c r="W304" s="262">
        <f>IF(AND(ISNUMBER(W276),ISNUMBER(W245)),ROUND(W276-(W245-N(W246)),1),"")</f>
        <v>0</v>
      </c>
      <c r="X304" s="262">
        <f>IF(AND(ISNUMBER(X276),ISNUMBER(X245)),ROUND(X276-(X245-N(X246)),1),"")</f>
        <v>0</v>
      </c>
      <c r="Y304" s="262">
        <f>IF(AND(ISNUMBER(Y276),ISNUMBER(Y245)),ROUND(Y276-(Y245-N(Y246)),1),"")</f>
        <v>0</v>
      </c>
      <c r="Z304" s="262">
        <f>IF(AND(ISNUMBER(Z276),ISNUMBER(Z245)),ROUND(Z276-(Z245-N(Z246)),1),"")</f>
        <v>0</v>
      </c>
      <c r="AA304" s="262">
        <f>IF(AND(ISNUMBER(AA276),ISNUMBER(AA245)),ROUND(AA276-(AA245-N(AA246)),1),"")</f>
        <v>0</v>
      </c>
      <c r="AB304" s="262">
        <f>IF(AND(ISNUMBER(AB276),ISNUMBER(AB245)),ROUND(AB276-(AB245-N(AB246)),1),"")</f>
        <v>0</v>
      </c>
      <c r="AC304" s="262">
        <f>IF(AND(ISNUMBER(AC276),ISNUMBER(AC245)),ROUND(AC276-(AC245-N(AC246)),1),"")</f>
        <v>0</v>
      </c>
      <c r="AD304" s="262">
        <f>IF(AND(ISNUMBER(AD276),ISNUMBER(AD245)),ROUND(AD276-(AD245-N(AD246)),1),"")</f>
        <v>0</v>
      </c>
      <c r="AE304" s="262">
        <f>IF(AND(ISNUMBER(AE276),ISNUMBER(AE245)),ROUND(AE276-(AE245-N(AE246)),1),"")</f>
        <v>0</v>
      </c>
      <c r="AF304" s="262">
        <f>IF(AND(ISNUMBER(AF276),ISNUMBER(AF245)),ROUND(AF276-(AF245-N(AF246)),1),"")</f>
        <v>0</v>
      </c>
      <c r="AG304" s="262">
        <f>IF(AND(ISNUMBER(AG276),ISNUMBER(AG245)),ROUND(AG276-(AG245-N(AG246)),1),"")</f>
        <v>0</v>
      </c>
      <c r="AH304" s="262">
        <f>IF(AND(ISNUMBER(AH276),ISNUMBER(AH245)),ROUND(AH276-(AH245-N(AH246)),1),"")</f>
        <v>0</v>
      </c>
      <c r="AI304" s="262">
        <f>IF(AND(ISNUMBER(AI276),ISNUMBER(AI245)),ROUND(AI276-(AI245-N(AI246)),1),"")</f>
        <v>0</v>
      </c>
      <c r="AJ304" s="262">
        <f>IF(AND(ISNUMBER(AJ276),ISNUMBER(AJ245)),ROUND(AJ276-(AJ245-N(AJ246)),1),"")</f>
        <v>0</v>
      </c>
      <c r="AK304" s="262">
        <f>IF(AND(ISNUMBER(AK276),ISNUMBER(AK245)),ROUND(AK276-(AK245-N(AK246)),1),"")</f>
        <v>0</v>
      </c>
      <c r="AL304" s="262">
        <f>IF(AND(ISNUMBER(AL276),ISNUMBER(AL245)),ROUND(AL276-(AL245-N(AL246)),1),"")</f>
        <v>0</v>
      </c>
      <c r="AM304" s="262">
        <f>IF(AND(ISNUMBER(AM276),ISNUMBER(AM245)),ROUND(AM276-(AM245-N(AM246)),1),"")</f>
        <v>0</v>
      </c>
      <c r="AN304" s="262">
        <f>IF(AND(ISNUMBER(AN276),ISNUMBER(AN245)),ROUND(AN276-(AN245-N(AN246)),1),"")</f>
        <v>0</v>
      </c>
      <c r="AO304" s="262">
        <f>IF(AND(ISNUMBER(AO276),ISNUMBER(AO245)),ROUND(AO276-(AO245-N(AO246)),1),"")</f>
        <v>0</v>
      </c>
      <c r="AP304" s="262">
        <f>IF(AND(ISNUMBER(AP276),ISNUMBER(AP245)),ROUND(AP276-(AP245-N(AP246)),1),"")</f>
        <v>0</v>
      </c>
      <c r="AQ304" s="262">
        <f>IF(AND(ISNUMBER(AQ276),ISNUMBER(AQ245)),ROUND(AQ276-(AQ245-N(AQ246)),1),"")</f>
        <v>0</v>
      </c>
      <c r="AR304" s="262">
        <f>IF(AND(ISNUMBER(AR276),ISNUMBER(AR245)),ROUND(AR276-(AR245-N(AR246)),1),"")</f>
        <v>0</v>
      </c>
      <c r="AS304" s="262">
        <f>IF(AND(ISNUMBER(AS276),ISNUMBER(AS245)),ROUND(AS276-(AS245-N(AS246)),1),"")</f>
        <v>0</v>
      </c>
      <c r="AT304" s="262">
        <f>IF(AND(ISNUMBER(AT276),ISNUMBER(AT245)),ROUND(AT276-(AT245-N(AT246)),1),"")</f>
        <v>0</v>
      </c>
      <c r="AU304" s="262">
        <f>IF(AND(ISNUMBER(AU276),ISNUMBER(AU245)),ROUND(AU276-(AU245-N(AU246)),1),"")</f>
        <v>0</v>
      </c>
      <c r="AV304" s="262">
        <f>IF(AND(ISNUMBER(AV276),ISNUMBER(AV245)),ROUND(AV276-(AV245-N(AV246)),1),"")</f>
        <v>0</v>
      </c>
      <c r="AW304" s="262">
        <f>IF(AND(ISNUMBER(AW276),ISNUMBER(AW245)),ROUND(AW276-(AW245-N(AW246)),1),"")</f>
        <v>0</v>
      </c>
      <c r="AX304" s="262">
        <f>IF(AND(ISNUMBER(AX276),ISNUMBER(AX245)),ROUND(AX276-(AX245-N(AX246)),1),"")</f>
        <v>0</v>
      </c>
      <c r="AY304" s="262">
        <f>IF(AND(ISNUMBER(AY276),ISNUMBER(AY245)),ROUND(AY276-(AY245-N(AY246)),1),"")</f>
        <v>0</v>
      </c>
      <c r="AZ304" s="262">
        <f>IF(AND(ISNUMBER(AZ276),ISNUMBER(AZ245)),ROUND(AZ276-(AZ245-N(AZ246)),1),"")</f>
        <v>0</v>
      </c>
      <c r="BA304" s="262">
        <f>IF(AND(ISNUMBER(BA276),ISNUMBER(BA245)),ROUND(BA276-(BA245-N(BA246)),1),"")</f>
        <v>0</v>
      </c>
      <c r="BB304" s="262">
        <f>IF(AND(ISNUMBER(BB276),ISNUMBER(BB245)),ROUND(BB276-(BB245-N(BB246)),1),"")</f>
        <v>0</v>
      </c>
      <c r="BC304" s="262">
        <f>IF(AND(ISNUMBER(BC276),ISNUMBER(BC245)),ROUND(BC276-(BC245-N(BC246)),1),"")</f>
        <v>0</v>
      </c>
      <c r="BD304" s="262">
        <f>IF(AND(ISNUMBER(BD276),ISNUMBER(BD245)),ROUND(BD276-(BD245-N(BD246)),1),"")</f>
        <v>0</v>
      </c>
      <c r="BE304" s="262">
        <f>IF(AND(ISNUMBER(BE276),ISNUMBER(BE245)),ROUND(BE276-(BE245-N(BE246)),1),"")</f>
        <v>0</v>
      </c>
      <c r="BF304" s="262">
        <f>IF(AND(ISNUMBER(BF276),ISNUMBER(BF245)),ROUND(BF276-(BF245-N(BF246)),1),"")</f>
        <v>0</v>
      </c>
      <c r="BG304" s="262">
        <f>IF(AND(ISNUMBER(BG276),ISNUMBER(BG245)),ROUND(BG276-(BG245-N(BG246)),1),"")</f>
        <v>0</v>
      </c>
      <c r="BH304" s="262">
        <f>IF(AND(ISNUMBER(BH276),ISNUMBER(BH245)),ROUND(BH276-(BH245-N(BH246)),1),"")</f>
        <v>0</v>
      </c>
      <c r="BI304" s="262">
        <f>IF(AND(ISNUMBER(BI276),ISNUMBER(BI245)),ROUND(BI276-(BI245-N(BI246)),1),"")</f>
        <v>0</v>
      </c>
      <c r="BJ304" s="262">
        <f>IF(AND(ISNUMBER(BJ276),ISNUMBER(BJ245)),ROUND(BJ276-(BJ245-N(BJ246)),1),"")</f>
        <v>0</v>
      </c>
      <c r="BK304" s="262">
        <f>IF(AND(ISNUMBER(BK276),ISNUMBER(BK245)),ROUND(BK276-(BK245-N(BK246)),1),"")</f>
        <v>0</v>
      </c>
      <c r="BL304" s="262">
        <f>IF(AND(ISNUMBER(BL276),ISNUMBER(BL245)),ROUND(BL276-(BL245-N(BL246)),1),"")</f>
        <v>0</v>
      </c>
      <c r="BM304" s="262">
        <f>IF(AND(ISNUMBER(BM276),ISNUMBER(BM245)),ROUND(BM276-(BM245-N(BM246)),1),"")</f>
        <v>0</v>
      </c>
      <c r="BN304" s="262">
        <f>IF(AND(ISNUMBER(BN276),ISNUMBER(BN245)),ROUND(BN276-(BN245-N(BN246)),1),"")</f>
        <v>0</v>
      </c>
      <c r="BO304" s="262">
        <f>IF(AND(ISNUMBER(BO276),ISNUMBER(BO245)),ROUND(BO276-(BO245-N(BO246)),1),"")</f>
        <v>0</v>
      </c>
      <c r="BP304" s="262">
        <f>IF(AND(ISNUMBER(BP276),ISNUMBER(BP245)),ROUND(BP276-(BP245-N(BP246)),1),"")</f>
        <v>0</v>
      </c>
      <c r="BQ304" s="262">
        <f>IF(AND(ISNUMBER(BQ276),ISNUMBER(BQ245)),ROUND(BQ276-(BQ245-N(BQ246)),1),"")</f>
        <v>0</v>
      </c>
      <c r="BR304" s="262">
        <f>IF(AND(ISNUMBER(BR276),ISNUMBER(BR245)),ROUND(BR276-(BR245-N(BR246)),1),"")</f>
        <v>0</v>
      </c>
      <c r="BS304" s="262">
        <f>IF(AND(ISNUMBER(BS276),ISNUMBER(BS245)),ROUND(BS276-(BS245-N(BS246)),1),"")</f>
        <v>0</v>
      </c>
      <c r="BT304" s="262">
        <f>IF(AND(ISNUMBER(BT276),ISNUMBER(BT245)),ROUND(BT276-(BT245-N(BT246)),1),"")</f>
        <v>0</v>
      </c>
      <c r="BU304" s="262">
        <f>IF(AND(ISNUMBER(BU276),ISNUMBER(BU245)),ROUND(BU276-(BU245-N(BU246)),1),"")</f>
        <v>0</v>
      </c>
      <c r="BV304" s="262">
        <f>IF(AND(ISNUMBER(BV276),ISNUMBER(BV245)),ROUND(BV276-(BV245-N(BV246)),1),"")</f>
        <v>0</v>
      </c>
      <c r="BW304" s="262">
        <f>IF(AND(ISNUMBER(BW276),ISNUMBER(BW245)),ROUND(BW276-(BW245-N(BW246)),1),"")</f>
        <v>0</v>
      </c>
      <c r="BX304" s="262">
        <f>IF(AND(ISNUMBER(BX276),ISNUMBER(BX245)),ROUND(BX276-(BX245-N(BX246)),1),"")</f>
        <v>0</v>
      </c>
      <c r="BY304" s="153" t="n"/>
      <c r="BZ304" s="153" t="n"/>
      <c r="CA304" s="276">
        <f>IF(AND(ISNUMBER(CA276),ISNUMBER(CA245)),ROUND(CA276-(CA245-N(CA246)),1),"")</f>
        <v>0</v>
      </c>
      <c r="CB304" s="276">
        <f>IF(AND(ISNUMBER(CB276),ISNUMBER(CB245)),ROUND(CB276-(CB245-N(CB246)),1),"")</f>
        <v>0</v>
      </c>
      <c r="CC304" s="276">
        <f>IF(AND(ISNUMBER(CC276),ISNUMBER(CC245)),ROUND(CC276-(CC245-N(CC246)),1),"")</f>
        <v>0</v>
      </c>
      <c r="CD304" s="276">
        <f>IF(AND(ISNUMBER(CD276),ISNUMBER(CD245)),ROUND(CD276-(CD245-N(CD246)),1),"")</f>
        <v>0</v>
      </c>
      <c r="CE304" s="276">
        <f>IF(AND(ISNUMBER(CE276),ISNUMBER(CE245)),ROUND(CE276-(CE245-N(CE246)),1),"")</f>
        <v>0</v>
      </c>
      <c r="CF304" s="276">
        <f>IF(AND(ISNUMBER(CF276),ISNUMBER(CF245)),ROUND(CF276-(CF245-N(CF246)),1),"")</f>
        <v>0</v>
      </c>
      <c r="CG304" s="153" t="n"/>
    </row>
    <row r="305" ht="15" customHeight="1" s="251">
      <c r="B305" s="156" t="inlineStr">
        <is>
          <t xml:space="preserve">  Memo: shares outstanding at period end (issued less treasury, m)</t>
        </is>
      </c>
      <c r="C305" s="266" t="n">
        <v>788.738982</v>
      </c>
      <c r="D305" s="266" t="n">
        <v>768.043989</v>
      </c>
      <c r="E305" s="266" t="n">
        <v>726.599215</v>
      </c>
      <c r="F305" s="266" t="n">
        <v>755.85445</v>
      </c>
      <c r="G305" s="266" t="n">
        <v>735.2591</v>
      </c>
      <c r="H305" s="266" t="n">
        <v>744.7047710000001</v>
      </c>
      <c r="I305" s="266" t="n">
        <v>755.630531</v>
      </c>
      <c r="J305" s="266" t="n">
        <v>758.321344</v>
      </c>
      <c r="K305" s="266" t="n">
        <v>754.034388</v>
      </c>
      <c r="L305" s="266" t="n">
        <v>751.9100550000001</v>
      </c>
      <c r="M305" s="266" t="n">
        <v>747.378698</v>
      </c>
      <c r="N305" s="266" t="n">
        <v>747.378698</v>
      </c>
      <c r="O305" s="266" t="n">
        <v>730.750569</v>
      </c>
      <c r="P305" s="266" t="n">
        <v>721.356642</v>
      </c>
      <c r="Q305" s="266" t="n">
        <v>713.841395</v>
      </c>
      <c r="R305" s="266" t="n">
        <v>706.7275529999999</v>
      </c>
      <c r="S305" s="266" t="n">
        <v>706.7275529999999</v>
      </c>
      <c r="T305" s="266" t="n">
        <v>694.003618</v>
      </c>
      <c r="U305" s="266" t="n">
        <v>681.067191</v>
      </c>
      <c r="V305" s="266" t="n">
        <v>670.960953</v>
      </c>
      <c r="W305" s="266" t="n">
        <v>666.6238049999999</v>
      </c>
      <c r="X305" s="266" t="n">
        <v>666.6238049999999</v>
      </c>
      <c r="Y305" s="266" t="n">
        <v>639.8150010000001</v>
      </c>
      <c r="Z305" s="266" t="n">
        <v>625.858366</v>
      </c>
      <c r="AA305" s="266" t="n">
        <v>618.959511</v>
      </c>
      <c r="AB305" s="266" t="n">
        <v>617.1515910000001</v>
      </c>
      <c r="AC305" s="266" t="n">
        <v>617.1515910000001</v>
      </c>
      <c r="AD305" s="266" t="n">
        <v>605.792357</v>
      </c>
      <c r="AE305" s="266" t="n">
        <v>593.1985519999999</v>
      </c>
      <c r="AF305" s="266" t="n">
        <v>597.35094</v>
      </c>
      <c r="AG305" s="266" t="n">
        <v>591.038833</v>
      </c>
      <c r="AH305" s="266" t="n">
        <v>591.038833</v>
      </c>
      <c r="AI305" s="266" t="n">
        <v>584.222172</v>
      </c>
      <c r="AJ305" s="266" t="n">
        <v>575.88368</v>
      </c>
      <c r="AK305" s="266" t="n">
        <v>568.9990330000001</v>
      </c>
      <c r="AL305" s="266" t="n">
        <v>567.6411890000001</v>
      </c>
      <c r="AM305" s="266" t="n">
        <v>567.6411890000001</v>
      </c>
      <c r="AN305" s="266" t="n">
        <v>563.411394</v>
      </c>
      <c r="AO305" s="266" t="n">
        <v>562.7026059999999</v>
      </c>
      <c r="AP305" s="266" t="n">
        <v>562.788756</v>
      </c>
      <c r="AQ305" s="266" t="n">
        <v>562.908754</v>
      </c>
      <c r="AR305" s="266" t="n">
        <v>562.908754</v>
      </c>
      <c r="AS305" s="266" t="n">
        <v>564.313352</v>
      </c>
      <c r="AT305" s="266" t="n">
        <v>564.420221</v>
      </c>
      <c r="AU305" s="266" t="n">
        <v>564.516263</v>
      </c>
      <c r="AV305" s="266" t="n">
        <v>582.320138</v>
      </c>
      <c r="AW305" s="266" t="n">
        <v>582.320138</v>
      </c>
      <c r="AX305" s="266" t="n">
        <v>584.455078</v>
      </c>
      <c r="AY305" s="266" t="n">
        <v>585.875929</v>
      </c>
      <c r="AZ305" s="266" t="n">
        <v>587.471805</v>
      </c>
      <c r="BA305" s="266" t="n">
        <v>588.917452</v>
      </c>
      <c r="BB305" s="266" t="n">
        <v>588.917452</v>
      </c>
      <c r="BC305" s="266" t="n">
        <v>591.374675</v>
      </c>
      <c r="BD305" s="266" t="n">
        <v>593.451225</v>
      </c>
      <c r="BE305" s="266" t="n">
        <v>595.621977</v>
      </c>
      <c r="BF305" s="266" t="n">
        <v>597.589774</v>
      </c>
      <c r="BG305" s="266" t="n">
        <v>597.589774</v>
      </c>
      <c r="BH305" s="266" t="n">
        <v>601.276519</v>
      </c>
      <c r="BI305" s="266" t="n">
        <v>602.885744</v>
      </c>
      <c r="BJ305" s="266" t="n">
        <v>604.612386</v>
      </c>
      <c r="BK305" s="266" t="n">
        <v>609.515023</v>
      </c>
      <c r="BL305" s="266" t="n">
        <v>609.515023</v>
      </c>
      <c r="BM305" s="266" t="n">
        <v>613.382279</v>
      </c>
      <c r="BN305" s="266" t="n">
        <v>615.5306890000001</v>
      </c>
      <c r="BO305" s="266" t="n">
        <v>617.795755</v>
      </c>
      <c r="BP305" s="266" t="n">
        <v>749.216318</v>
      </c>
      <c r="BQ305" s="266" t="n">
        <v>749.216318</v>
      </c>
      <c r="BR305" s="266" t="n">
        <v>753.371481</v>
      </c>
      <c r="BS305" s="266" t="n">
        <v>755.623105</v>
      </c>
      <c r="BT305" s="266" t="n">
        <v>759.6736529999999</v>
      </c>
      <c r="BU305" s="266" t="n">
        <v>784.69827</v>
      </c>
      <c r="BV305" s="266" t="n">
        <v>784.69827</v>
      </c>
      <c r="BW305" s="266" t="n">
        <v>787.916815</v>
      </c>
      <c r="BX305" s="266" t="n">
        <v>789.792534</v>
      </c>
      <c r="BY305" s="153" t="n"/>
      <c r="BZ305" s="153" t="n"/>
      <c r="CA305" s="276">
        <f>CA270</f>
        <v>794.714155621622</v>
      </c>
      <c r="CB305" s="276">
        <f>CB270</f>
        <v>838.040470936937</v>
      </c>
      <c r="CC305" s="276">
        <f>CC270</f>
        <v>847.447669802469</v>
      </c>
      <c r="CD305" s="276">
        <f>CD270</f>
        <v>795.938417023157</v>
      </c>
      <c r="CE305" s="276">
        <f>CE270</f>
        <v>742.128417588397</v>
      </c>
      <c r="CF305" s="276">
        <f>CF270</f>
        <v>692.162454662207</v>
      </c>
      <c r="CG305" s="153" t="n"/>
    </row>
    <row r="306" ht="15" customHeight="1" s="251">
      <c r="CO306" s="11" t="n"/>
      <c r="CP306" s="12" t="n"/>
      <c r="CQ306" s="12" t="n"/>
      <c r="CR306" s="12" t="n"/>
      <c r="CS306" s="13" t="n"/>
    </row>
    <row r="307" ht="15" customHeight="1" s="251">
      <c r="B307" s="10" t="inlineStr">
        <is>
          <t>WORKING CAPITAL &amp; CASH CONVERSION</t>
        </is>
      </c>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n"/>
      <c r="AM307" s="10" t="n"/>
      <c r="AN307" s="10" t="n"/>
      <c r="AO307" s="10" t="n"/>
      <c r="AP307" s="10" t="n"/>
      <c r="AQ307" s="10" t="n"/>
      <c r="AR307" s="10" t="n"/>
      <c r="AS307" s="10" t="n"/>
      <c r="AT307" s="10" t="n"/>
      <c r="AU307" s="10" t="n"/>
      <c r="AV307" s="10" t="n"/>
      <c r="AW307" s="10" t="n"/>
      <c r="AX307" s="10" t="n"/>
      <c r="AY307" s="10" t="n"/>
      <c r="AZ307" s="10" t="n"/>
      <c r="BA307" s="10" t="n"/>
      <c r="BB307" s="10" t="n"/>
      <c r="BC307" s="10" t="n"/>
      <c r="BD307" s="10" t="n"/>
      <c r="BE307" s="10" t="n"/>
      <c r="BF307" s="10" t="n"/>
      <c r="BG307" s="10" t="n"/>
      <c r="BH307" s="10" t="n"/>
      <c r="BI307" s="10" t="n"/>
      <c r="BJ307" s="10" t="n"/>
      <c r="BK307" s="10" t="n"/>
      <c r="BL307" s="10" t="n"/>
      <c r="BM307" s="10" t="n"/>
      <c r="BN307" s="10" t="n"/>
      <c r="BO307" s="10" t="n"/>
      <c r="BP307" s="10" t="n"/>
      <c r="BQ307" s="10" t="n"/>
      <c r="BR307" s="10" t="n"/>
      <c r="BS307" s="10" t="n"/>
      <c r="BT307" s="10" t="n"/>
      <c r="BU307" s="10" t="n"/>
      <c r="BV307" s="10" t="n"/>
      <c r="BW307" s="10" t="n"/>
      <c r="BX307" s="10" t="n"/>
      <c r="BY307" s="10" t="n"/>
      <c r="BZ307" s="10" t="n"/>
      <c r="CA307" s="10" t="n"/>
      <c r="CB307" s="10" t="n"/>
      <c r="CC307" s="10" t="n"/>
      <c r="CD307" s="10" t="n"/>
      <c r="CE307" s="10" t="n"/>
      <c r="CF307" s="10" t="n"/>
      <c r="CG307" s="10" t="inlineStr">
        <is>
          <t>WORKING CAPITAL — forecast drivers (blue = input; year-end levels)</t>
        </is>
      </c>
    </row>
    <row r="308" ht="15" customHeight="1" s="251">
      <c r="B308" s="25" t="inlineStr">
        <is>
          <t xml:space="preserve">  Revenues — annualised (quarters × 4)</t>
        </is>
      </c>
      <c r="C308" s="262">
        <f>IF(ISNUMBER(C117),C117*1,"")</f>
        <v>61530</v>
      </c>
      <c r="D308" s="262">
        <f>IF(ISNUMBER(D117),D117*1,"")</f>
        <v>66387</v>
      </c>
      <c r="E308" s="262">
        <f>IF(ISNUMBER(E117),E117*1,"")</f>
        <v>60925</v>
      </c>
      <c r="F308" s="262">
        <f>IF(ISNUMBER(F117),F117*1,"")</f>
        <v>68281</v>
      </c>
      <c r="G308" s="262">
        <f>IF(ISNUMBER(G117),G117*1,"")</f>
        <v>64306</v>
      </c>
      <c r="H308" s="262">
        <f>IF(ISNUMBER(H117),H117*1,"")</f>
        <v>68735</v>
      </c>
      <c r="I308" s="262">
        <f>IF(ISNUMBER(I117),I117*1,"")</f>
        <v>81698</v>
      </c>
      <c r="J308" s="262">
        <f>IF(ISNUMBER(J117),J117*4,"")</f>
        <v>75572</v>
      </c>
      <c r="K308" s="262">
        <f>IF(ISNUMBER(K117),K117*4,"")</f>
        <v>87260</v>
      </c>
      <c r="L308" s="262">
        <f>IF(ISNUMBER(L117),L117*4,"")</f>
        <v>88520</v>
      </c>
      <c r="M308" s="262">
        <f>IF(ISNUMBER(M117),M117*4,"")</f>
        <v>95140</v>
      </c>
      <c r="N308" s="262">
        <f>IF(ISNUMBER(N117),N117*1,"")</f>
        <v>86623</v>
      </c>
      <c r="O308" s="262">
        <f>IF(ISNUMBER(O117),O117*4,"")</f>
        <v>81860</v>
      </c>
      <c r="P308" s="262">
        <f>IF(ISNUMBER(P117),P117*4,"")</f>
        <v>88180</v>
      </c>
      <c r="Q308" s="262">
        <f>IF(ISNUMBER(Q117),Q117*4,"")</f>
        <v>95136</v>
      </c>
      <c r="R308" s="262">
        <f>IF(ISNUMBER(R117),R117*4,"")</f>
        <v>97872</v>
      </c>
      <c r="S308" s="262">
        <f>IF(ISNUMBER(S117),S117*1,"")</f>
        <v>90762</v>
      </c>
      <c r="T308" s="262">
        <f>IF(ISNUMBER(T117),T117*4,"")</f>
        <v>88596</v>
      </c>
      <c r="U308" s="262">
        <f>IF(ISNUMBER(U117),U117*4,"")</f>
        <v>98172</v>
      </c>
      <c r="V308" s="262">
        <f>IF(ISNUMBER(V117),V117*4,"")</f>
        <v>103396</v>
      </c>
      <c r="W308" s="262">
        <f>IF(ISNUMBER(W117),W117*4,"")</f>
        <v>94292</v>
      </c>
      <c r="X308" s="262">
        <f>IF(ISNUMBER(X117),X117*1,"")</f>
        <v>96114</v>
      </c>
      <c r="Y308" s="262">
        <f>IF(ISNUMBER(Y117),Y117*4,"")</f>
        <v>90528</v>
      </c>
      <c r="Z308" s="262">
        <f>IF(ISNUMBER(Z117),Z117*4,"")</f>
        <v>99020</v>
      </c>
      <c r="AA308" s="262">
        <f>IF(ISNUMBER(AA117),AA117*4,"")</f>
        <v>95592</v>
      </c>
      <c r="AB308" s="262">
        <f>IF(ISNUMBER(AB117),AB117*4,"")</f>
        <v>93144</v>
      </c>
      <c r="AC308" s="262">
        <f>IF(ISNUMBER(AC117),AC117*1,"")</f>
        <v>94571</v>
      </c>
      <c r="AD308" s="262">
        <f>IF(ISNUMBER(AD117),AD117*4,"")</f>
        <v>83904</v>
      </c>
      <c r="AE308" s="262">
        <f>IF(ISNUMBER(AE117),AE117*4,"")</f>
        <v>90956</v>
      </c>
      <c r="AF308" s="262">
        <f>IF(ISNUMBER(AF117),AF117*4,"")</f>
        <v>97236</v>
      </c>
      <c r="AG308" s="262">
        <f>IF(ISNUMBER(AG117),AG117*4,"")</f>
        <v>101472</v>
      </c>
      <c r="AH308" s="262">
        <f>IF(ISNUMBER(AH117),AH117*1,"")</f>
        <v>93392</v>
      </c>
      <c r="AI308" s="262">
        <f>IF(ISNUMBER(AI117),AI117*4,"")</f>
        <v>93528</v>
      </c>
      <c r="AJ308" s="262">
        <f>IF(ISNUMBER(AJ117),AJ117*4,"")</f>
        <v>97032</v>
      </c>
      <c r="AK308" s="262">
        <f>IF(ISNUMBER(AK117),AK117*4,"")</f>
        <v>100584</v>
      </c>
      <c r="AL308" s="262">
        <f>IF(ISNUMBER(AL117),AL117*4,"")</f>
        <v>113364</v>
      </c>
      <c r="AM308" s="262">
        <f>IF(ISNUMBER(AM117),AM117*1,"")</f>
        <v>101127</v>
      </c>
      <c r="AN308" s="262">
        <f>IF(ISNUMBER(AN117),AN117*4,"")</f>
        <v>91668</v>
      </c>
      <c r="AO308" s="262">
        <f>IF(ISNUMBER(AO117),AO117*4,"")</f>
        <v>63004</v>
      </c>
      <c r="AP308" s="262">
        <f>IF(ISNUMBER(AP117),AP117*4,"")</f>
        <v>79920</v>
      </c>
      <c r="AQ308" s="262">
        <f>IF(ISNUMBER(AQ117),AQ117*4,"")</f>
        <v>71644</v>
      </c>
      <c r="AR308" s="262">
        <f>IF(ISNUMBER(AR117),AR117*1,"")</f>
        <v>76559</v>
      </c>
      <c r="AS308" s="262">
        <f>IF(ISNUMBER(AS117),AS117*4,"")</f>
        <v>67632</v>
      </c>
      <c r="AT308" s="262">
        <f>IF(ISNUMBER(AT117),AT117*4,"")</f>
        <v>47228</v>
      </c>
      <c r="AU308" s="262">
        <f>IF(ISNUMBER(AU117),AU117*4,"")</f>
        <v>56556</v>
      </c>
      <c r="AV308" s="262">
        <f>IF(ISNUMBER(AV117),AV117*4,"")</f>
        <v>61216</v>
      </c>
      <c r="AW308" s="262">
        <f>IF(ISNUMBER(AW117),AW117*1,"")</f>
        <v>58158</v>
      </c>
      <c r="AX308" s="262">
        <f>IF(ISNUMBER(AX117),AX117*4,"")</f>
        <v>60868</v>
      </c>
      <c r="AY308" s="262">
        <f>IF(ISNUMBER(AY117),AY117*4,"")</f>
        <v>67992</v>
      </c>
      <c r="AZ308" s="262">
        <f>IF(ISNUMBER(AZ117),AZ117*4,"")</f>
        <v>61112</v>
      </c>
      <c r="BA308" s="262">
        <f>IF(ISNUMBER(BA117),BA117*4,"")</f>
        <v>59172</v>
      </c>
      <c r="BB308" s="262">
        <f>IF(ISNUMBER(BB117),BB117*1,"")</f>
        <v>62286</v>
      </c>
      <c r="BC308" s="262">
        <f>IF(ISNUMBER(BC117),BC117*4,"")</f>
        <v>55964</v>
      </c>
      <c r="BD308" s="262">
        <f>IF(ISNUMBER(BD117),BD117*4,"")</f>
        <v>66724</v>
      </c>
      <c r="BE308" s="262">
        <f>IF(ISNUMBER(BE117),BE117*4,"")</f>
        <v>63824</v>
      </c>
      <c r="BF308" s="262">
        <f>IF(ISNUMBER(BF117),BF117*4,"")</f>
        <v>79920</v>
      </c>
      <c r="BG308" s="262">
        <f>IF(ISNUMBER(BG117),BG117*1,"")</f>
        <v>66608</v>
      </c>
      <c r="BH308" s="262">
        <f>IF(ISNUMBER(BH117),BH117*4,"")</f>
        <v>71684</v>
      </c>
      <c r="BI308" s="262">
        <f>IF(ISNUMBER(BI117),BI117*4,"")</f>
        <v>79004</v>
      </c>
      <c r="BJ308" s="262">
        <f>IF(ISNUMBER(BJ117),BJ117*4,"")</f>
        <v>72416</v>
      </c>
      <c r="BK308" s="262">
        <f>IF(ISNUMBER(BK117),BK117*4,"")</f>
        <v>88072</v>
      </c>
      <c r="BL308" s="262">
        <f>IF(ISNUMBER(BL117),BL117*1,"")</f>
        <v>77794</v>
      </c>
      <c r="BM308" s="262">
        <f>IF(ISNUMBER(BM117),BM117*4,"")</f>
        <v>66276</v>
      </c>
      <c r="BN308" s="262">
        <f>IF(ISNUMBER(BN117),BN117*4,"")</f>
        <v>67464</v>
      </c>
      <c r="BO308" s="262">
        <f>IF(ISNUMBER(BO117),BO117*4,"")</f>
        <v>71360</v>
      </c>
      <c r="BP308" s="262">
        <f>IF(ISNUMBER(BP117),BP117*4,"")</f>
        <v>60968</v>
      </c>
      <c r="BQ308" s="262">
        <f>IF(ISNUMBER(BQ117),BQ117*1,"")</f>
        <v>66517</v>
      </c>
      <c r="BR308" s="262">
        <f>IF(ISNUMBER(BR117),BR117*4,"")</f>
        <v>77984</v>
      </c>
      <c r="BS308" s="262">
        <f>IF(ISNUMBER(BS117),BS117*4,"")</f>
        <v>90996</v>
      </c>
      <c r="BT308" s="262">
        <f>IF(ISNUMBER(BT117),BT117*4,"")</f>
        <v>93080</v>
      </c>
      <c r="BU308" s="262">
        <f>IF(ISNUMBER(BU117),BU117*4,"")</f>
        <v>95792</v>
      </c>
      <c r="BV308" s="262">
        <f>IF(ISNUMBER(BV117),BV117*1,"")</f>
        <v>89463</v>
      </c>
      <c r="BW308" s="262">
        <f>IF(ISNUMBER(BW117),BW117*4,"")</f>
        <v>88868</v>
      </c>
      <c r="BX308" s="262">
        <f>IF(ISNUMBER(BX117),BX117*4,"")</f>
        <v>98240</v>
      </c>
      <c r="BY308" s="35" t="n"/>
      <c r="BZ308" s="35" t="n"/>
      <c r="CA308" s="263">
        <f>IF(ISNUMBER(CA117),CA117*1,"")</f>
        <v>97274.5087608587</v>
      </c>
      <c r="CB308" s="263">
        <f>IF(ISNUMBER(CB117),CB117*1,"")</f>
        <v>106598.409097542</v>
      </c>
      <c r="CC308" s="263">
        <f>IF(ISNUMBER(CC117),CC117*1,"")</f>
        <v>115781.341210539</v>
      </c>
      <c r="CD308" s="263">
        <f>IF(ISNUMBER(CD117),CD117*1,"")</f>
        <v>123808.491501834</v>
      </c>
      <c r="CE308" s="263">
        <f>IF(ISNUMBER(CE117),CE117*1,"")</f>
        <v>129912.464087125</v>
      </c>
      <c r="CF308" s="263">
        <f>IF(ISNUMBER(CF117),CF117*1,"")</f>
        <v>135505.549788647</v>
      </c>
      <c r="CG308" s="19" t="n"/>
    </row>
    <row r="309" ht="15" customHeight="1" s="251">
      <c r="B309" s="25" t="inlineStr">
        <is>
          <t xml:space="preserve">  Cost of products &amp; services — annualised</t>
        </is>
      </c>
      <c r="C309" s="262">
        <f>IF(ISNUMBER(C119),C119*1,"")</f>
        <v>50084</v>
      </c>
      <c r="D309" s="262">
        <f>IF(ISNUMBER(D119),D119*1,"")</f>
        <v>53107</v>
      </c>
      <c r="E309" s="262">
        <f>IF(ISNUMBER(E119),E119*1,"")</f>
        <v>50107</v>
      </c>
      <c r="F309" s="262">
        <f>IF(ISNUMBER(F119),F119*1,"")</f>
        <v>56365</v>
      </c>
      <c r="G309" s="262">
        <f>IF(ISNUMBER(G119),G119*1,"")</f>
        <v>51683</v>
      </c>
      <c r="H309" s="262">
        <f>IF(ISNUMBER(H119),H119*1,"")</f>
        <v>55739</v>
      </c>
      <c r="I309" s="262">
        <f>IF(ISNUMBER(I119),I119*1,"")</f>
        <v>68556</v>
      </c>
      <c r="J309" s="262">
        <f>IF(ISNUMBER(J119),J119*4,"")</f>
        <v>62948</v>
      </c>
      <c r="K309" s="262">
        <f>IF(ISNUMBER(K119),K119*4,"")</f>
        <v>73728</v>
      </c>
      <c r="L309" s="262">
        <f>IF(ISNUMBER(L119),L119*4,"")</f>
        <v>74624</v>
      </c>
      <c r="M309" s="262">
        <f>IF(ISNUMBER(M119),M119*4,"")</f>
        <v>81472</v>
      </c>
      <c r="N309" s="262">
        <f>IF(ISNUMBER(N119),N119*1,"")</f>
        <v>73193</v>
      </c>
      <c r="O309" s="262">
        <f>IF(ISNUMBER(O119),O119*4,"")</f>
        <v>69112</v>
      </c>
      <c r="P309" s="262">
        <f>IF(ISNUMBER(P119),P119*4,"")</f>
        <v>74612</v>
      </c>
      <c r="Q309" s="262">
        <f>IF(ISNUMBER(Q119),Q119*4,"")</f>
        <v>80228</v>
      </c>
      <c r="R309" s="262">
        <f>IF(ISNUMBER(R119),R119*4,"")</f>
        <v>82780</v>
      </c>
      <c r="S309" s="262">
        <f>IF(ISNUMBER(S119),S119*1,"")</f>
        <v>76683</v>
      </c>
      <c r="T309" s="262">
        <f>IF(ISNUMBER(T119),T119*4,"")</f>
        <v>73920</v>
      </c>
      <c r="U309" s="262">
        <f>IF(ISNUMBER(U119),U119*4,"")</f>
        <v>85332</v>
      </c>
      <c r="V309" s="262">
        <f>IF(ISNUMBER(V119),V119*4,"")</f>
        <v>86336</v>
      </c>
      <c r="W309" s="262">
        <f>IF(ISNUMBER(W119),W119*4,"")</f>
        <v>82508</v>
      </c>
      <c r="X309" s="262">
        <f>IF(ISNUMBER(X119),X119*1,"")</f>
        <v>82024</v>
      </c>
      <c r="Y309" s="262">
        <f>IF(ISNUMBER(Y119),Y119*4,"")</f>
        <v>76324</v>
      </c>
      <c r="Z309" s="262">
        <f>IF(ISNUMBER(Z119),Z119*4,"")</f>
        <v>89236</v>
      </c>
      <c r="AA309" s="262">
        <f>IF(ISNUMBER(AA119),AA119*4,"")</f>
        <v>79560</v>
      </c>
      <c r="AB309" s="262">
        <f>IF(ISNUMBER(AB119),AB119*4,"")</f>
        <v>77804</v>
      </c>
      <c r="AC309" s="262">
        <f>IF(ISNUMBER(AC119),AC119*1,"")</f>
        <v>80731</v>
      </c>
      <c r="AD309" s="262">
        <f>IF(ISNUMBER(AD119),AD119*4,"")</f>
        <v>69004</v>
      </c>
      <c r="AE309" s="262">
        <f>IF(ISNUMBER(AE119),AE119*4,"")</f>
        <v>73500</v>
      </c>
      <c r="AF309" s="262">
        <f>IF(ISNUMBER(AF119),AF119*4,"")</f>
        <v>79840</v>
      </c>
      <c r="AG309" s="262">
        <f>IF(ISNUMBER(AG119),AG119*4,"")</f>
        <v>81640</v>
      </c>
      <c r="AH309" s="262">
        <f>IF(ISNUMBER(AH119),AH119*1,"")</f>
        <v>75996</v>
      </c>
      <c r="AI309" s="262">
        <f>IF(ISNUMBER(AI119),AI119*4,"")</f>
        <v>75232</v>
      </c>
      <c r="AJ309" s="262">
        <f>IF(ISNUMBER(AJ119),AJ119*4,"")</f>
        <v>78076</v>
      </c>
      <c r="AK309" s="262">
        <f>IF(ISNUMBER(AK119),AK119*4,"")</f>
        <v>84088</v>
      </c>
      <c r="AL309" s="262">
        <f>IF(ISNUMBER(AL119),AL119*4,"")</f>
        <v>88288</v>
      </c>
      <c r="AM309" s="262">
        <f>IF(ISNUMBER(AM119),AM119*1,"")</f>
        <v>81421</v>
      </c>
      <c r="AN309" s="262">
        <f>IF(ISNUMBER(AN119),AN119*4,"")</f>
        <v>74508</v>
      </c>
      <c r="AO309" s="262">
        <f>IF(ISNUMBER(AO119),AO119*4,"")</f>
        <v>71176</v>
      </c>
      <c r="AP309" s="262">
        <f>IF(ISNUMBER(AP119),AP119*4,"")</f>
        <v>67660</v>
      </c>
      <c r="AQ309" s="262">
        <f>IF(ISNUMBER(AQ119),AQ119*4,"")</f>
        <v>74780</v>
      </c>
      <c r="AR309" s="262">
        <f>IF(ISNUMBER(AR119),AR119*1,"")</f>
        <v>72031</v>
      </c>
      <c r="AS309" s="262">
        <f>IF(ISNUMBER(AS119),AS119*4,"")</f>
        <v>67024</v>
      </c>
      <c r="AT309" s="262">
        <f>IF(ISNUMBER(AT119),AT119*4,"")</f>
        <v>51868</v>
      </c>
      <c r="AU309" s="262">
        <f>IF(ISNUMBER(AU119),AU119*4,"")</f>
        <v>52380</v>
      </c>
      <c r="AV309" s="262">
        <f>IF(ISNUMBER(AV119),AV119*4,"")</f>
        <v>83928</v>
      </c>
      <c r="AW309" s="262">
        <f>IF(ISNUMBER(AW119),AW119*1,"")</f>
        <v>63800</v>
      </c>
      <c r="AX309" s="262">
        <f>IF(ISNUMBER(AX119),AX119*4,"")</f>
        <v>55196</v>
      </c>
      <c r="AY309" s="262">
        <f>IF(ISNUMBER(AY119),AY119*4,"")</f>
        <v>58316</v>
      </c>
      <c r="AZ309" s="262">
        <f>IF(ISNUMBER(AZ119),AZ119*4,"")</f>
        <v>54236</v>
      </c>
      <c r="BA309" s="262">
        <f>IF(ISNUMBER(BA119),BA119*4,"")</f>
        <v>69200</v>
      </c>
      <c r="BB309" s="262">
        <f>IF(ISNUMBER(BB119),BB119*1,"")</f>
        <v>59237</v>
      </c>
      <c r="BC309" s="262">
        <f>IF(ISNUMBER(BC119),BC119*4,"")</f>
        <v>54552</v>
      </c>
      <c r="BD309" s="262">
        <f>IF(ISNUMBER(BD119),BD119*4,"")</f>
        <v>58212</v>
      </c>
      <c r="BE309" s="262">
        <f>IF(ISNUMBER(BE119),BE119*4,"")</f>
        <v>67084</v>
      </c>
      <c r="BF309" s="262">
        <f>IF(ISNUMBER(BF119),BF119*4,"")</f>
        <v>72464</v>
      </c>
      <c r="BG309" s="262">
        <f>IF(ISNUMBER(BG119),BG119*1,"")</f>
        <v>63078</v>
      </c>
      <c r="BH309" s="262">
        <f>IF(ISNUMBER(BH119),BH119*4,"")</f>
        <v>63992</v>
      </c>
      <c r="BI309" s="262">
        <f>IF(ISNUMBER(BI119),BI119*4,"")</f>
        <v>71248</v>
      </c>
      <c r="BJ309" s="262">
        <f>IF(ISNUMBER(BJ119),BJ119*4,"")</f>
        <v>67756</v>
      </c>
      <c r="BK309" s="262">
        <f>IF(ISNUMBER(BK119),BK119*4,"")</f>
        <v>77284</v>
      </c>
      <c r="BL309" s="262">
        <f>IF(ISNUMBER(BL119),BL119*1,"")</f>
        <v>70070</v>
      </c>
      <c r="BM309" s="262">
        <f>IF(ISNUMBER(BM119),BM119*4,"")</f>
        <v>58772</v>
      </c>
      <c r="BN309" s="262">
        <f>IF(ISNUMBER(BN119),BN119*4,"")</f>
        <v>62548</v>
      </c>
      <c r="BO309" s="262">
        <f>IF(ISNUMBER(BO119),BO119*4,"")</f>
        <v>85388</v>
      </c>
      <c r="BP309" s="262">
        <f>IF(ISNUMBER(BP119),BP119*4,"")</f>
        <v>67324</v>
      </c>
      <c r="BQ309" s="262">
        <f>IF(ISNUMBER(BQ119),BQ119*1,"")</f>
        <v>68508</v>
      </c>
      <c r="BR309" s="262">
        <f>IF(ISNUMBER(BR119),BR119*4,"")</f>
        <v>68316</v>
      </c>
      <c r="BS309" s="262">
        <f>IF(ISNUMBER(BS119),BS119*4,"")</f>
        <v>81256</v>
      </c>
      <c r="BT309" s="262">
        <f>IF(ISNUMBER(BT119),BT119*4,"")</f>
        <v>102580</v>
      </c>
      <c r="BU309" s="262">
        <f>IF(ISNUMBER(BU119),BU119*4,"")</f>
        <v>88544</v>
      </c>
      <c r="BV309" s="262">
        <f>IF(ISNUMBER(BV119),BV119*1,"")</f>
        <v>85174</v>
      </c>
      <c r="BW309" s="262">
        <f>IF(ISNUMBER(BW119),BW119*4,"")</f>
        <v>78684</v>
      </c>
      <c r="BX309" s="262">
        <f>IF(ISNUMBER(BX119),BX119*4,"")</f>
        <v>88584</v>
      </c>
      <c r="BY309" s="35" t="n"/>
      <c r="BZ309" s="35" t="n"/>
      <c r="CA309" s="263">
        <f>IF(ISNUMBER(CA119),CA119*1,"")</f>
        <v>86078.5361021028</v>
      </c>
      <c r="CB309" s="263">
        <f>IF(ISNUMBER(CB119),CB119*1,"")</f>
        <v>90175.1840101196</v>
      </c>
      <c r="CC309" s="263">
        <f>IF(ISNUMBER(CC119),CC119*1,"")</f>
        <v>96055.1811026883</v>
      </c>
      <c r="CD309" s="263">
        <f>IF(ISNUMBER(CD119),CD119*1,"")</f>
        <v>100744.358535711</v>
      </c>
      <c r="CE309" s="263">
        <f>IF(ISNUMBER(CE119),CE119*1,"")</f>
        <v>104287.374481003</v>
      </c>
      <c r="CF309" s="263">
        <f>IF(ISNUMBER(CF119),CF119*1,"")</f>
        <v>108015.867682084</v>
      </c>
      <c r="CG309" s="19" t="n"/>
    </row>
    <row r="310" ht="15" customHeight="1" s="251">
      <c r="B310" s="25" t="inlineStr">
        <is>
          <t xml:space="preserve">  Receivable days (incl. unbilled) — receivables / revenues × 365</t>
        </is>
      </c>
      <c r="C310" s="295">
        <f>IFERROR(C278/C308*365,"")</f>
        <v>31.3509670079636</v>
      </c>
      <c r="D310" s="295">
        <f>IFERROR(D278/D308*365,"")</f>
        <v>31.5588895416271</v>
      </c>
      <c r="E310" s="295">
        <f>IFERROR(E278/E308*365,"")</f>
        <v>32.9862946245384</v>
      </c>
      <c r="F310" s="295">
        <f>IFERROR(F278/F308*365,"")</f>
        <v>30.9240491498367</v>
      </c>
      <c r="G310" s="295">
        <f>IFERROR(G278/G308*365,"")</f>
        <v>30.7751998258327</v>
      </c>
      <c r="H310" s="295">
        <f>IFERROR(H278/H308*365,"")</f>
        <v>30.762275405543</v>
      </c>
      <c r="I310" s="295">
        <f>IFERROR(I278/I308*365,"")</f>
        <v>25.0547137016818</v>
      </c>
      <c r="J310" s="295">
        <f>IFERROR(J278/J308*365,"")</f>
        <v>30.6742576615678</v>
      </c>
      <c r="K310" s="295">
        <f>IFERROR(K278/K308*365,"")</f>
        <v>26.7956681182672</v>
      </c>
      <c r="L310" s="295">
        <f>IFERROR(L278/L308*365,"")</f>
        <v>27.4286037053773</v>
      </c>
      <c r="M310" s="295">
        <f>IFERROR(M278/M308*365,"")</f>
        <v>25.1134118141686</v>
      </c>
      <c r="N310" s="295">
        <f>IFERROR(N278/N308*365,"")</f>
        <v>27.5826281703474</v>
      </c>
      <c r="O310" s="295">
        <f>IFERROR(O278/O308*365,"")</f>
        <v>32.7322868311752</v>
      </c>
      <c r="P310" s="295">
        <f>IFERROR(P278/P308*365,"")</f>
        <v>31.847471081878</v>
      </c>
      <c r="Q310" s="295">
        <f>IFERROR(Q278/Q308*365,"")</f>
        <v>29.921743609149</v>
      </c>
      <c r="R310" s="295">
        <f>IFERROR(R278/R308*365,"")</f>
        <v>28.824229606016</v>
      </c>
      <c r="S310" s="295">
        <f>IFERROR(S278/S308*365,"")</f>
        <v>31.0822260417355</v>
      </c>
      <c r="T310" s="295">
        <f>IFERROR(T278/T308*365,"")</f>
        <v>33.3170233419116</v>
      </c>
      <c r="U310" s="295">
        <f>IFERROR(U278/U308*365,"")</f>
        <v>29.4723037118527</v>
      </c>
      <c r="V310" s="295">
        <f>IFERROR(V278/V308*365,"")</f>
        <v>31.2556578591048</v>
      </c>
      <c r="W310" s="295">
        <f>IFERROR(W278/W308*365,"")</f>
        <v>33.727622703941</v>
      </c>
      <c r="X310" s="295">
        <f>IFERROR(X278/X308*365,"")</f>
        <v>33.0882597748507</v>
      </c>
      <c r="Y310" s="295">
        <f>IFERROR(Y278/Y308*365,"")</f>
        <v>39.1537977200424</v>
      </c>
      <c r="Z310" s="295">
        <f>IFERROR(Z278/Z308*365,"")</f>
        <v>36.1571904665724</v>
      </c>
      <c r="AA310" s="295">
        <f>IFERROR(AA278/AA308*365,"")</f>
        <v>36.3655954473178</v>
      </c>
      <c r="AB310" s="295">
        <f>IFERROR(AB278/AB308*365,"")</f>
        <v>34.6096366915743</v>
      </c>
      <c r="AC310" s="295">
        <f>IFERROR(AC278/AC308*365,"")</f>
        <v>34.0874052299331</v>
      </c>
      <c r="AD310" s="295">
        <f>IFERROR(AD278/AD308*365,"")</f>
        <v>40.6092081426392</v>
      </c>
      <c r="AE310" s="295">
        <f>IFERROR(AE278/AE308*365,"")</f>
        <v>38.1348674084173</v>
      </c>
      <c r="AF310" s="295">
        <f>IFERROR(AF278/AF308*365,"")</f>
        <v>39.954954954955</v>
      </c>
      <c r="AG310" s="295">
        <f>IFERROR(AG278/AG308*365,"")</f>
        <v>37.8265925575528</v>
      </c>
      <c r="AH310" s="295">
        <f>IFERROR(AH278/AH308*365,"")</f>
        <v>41.0992376220661</v>
      </c>
      <c r="AI310" s="295">
        <f>IFERROR(AI278/AI308*365,"")</f>
        <v>49.2661021298435</v>
      </c>
      <c r="AJ310" s="295">
        <f>IFERROR(AJ278/AJ308*365,"")</f>
        <v>47.7390448511831</v>
      </c>
      <c r="AK310" s="295">
        <f>IFERROR(AK278/AK308*365,"")</f>
        <v>46.5539747872425</v>
      </c>
      <c r="AL310" s="295">
        <f>IFERROR(AL278/AL308*365,"")</f>
        <v>44.7669454147701</v>
      </c>
      <c r="AM310" s="295">
        <f>IFERROR(AM278/AM308*365,"")</f>
        <v>50.1840260266793</v>
      </c>
      <c r="AN310" s="295">
        <f>IFERROR(AN278/AN308*365,"")</f>
        <v>55.2548872016407</v>
      </c>
      <c r="AO310" s="295">
        <f>IFERROR(AO278/AO308*365,"")</f>
        <v>78.429464795886</v>
      </c>
      <c r="AP310" s="295">
        <f>IFERROR(AP278/AP308*365,"")</f>
        <v>66.870995995996</v>
      </c>
      <c r="AQ310" s="295">
        <f>IFERROR(AQ278/AQ308*365,"")</f>
        <v>62.7098570710736</v>
      </c>
      <c r="AR310" s="295">
        <f>IFERROR(AR278/AR308*365,"")</f>
        <v>58.6839561645267</v>
      </c>
      <c r="AS310" s="295">
        <f>IFERROR(AS278/AS308*365,"")</f>
        <v>67.8708303761533</v>
      </c>
      <c r="AT310" s="295">
        <f>IFERROR(AT278/AT308*365,"")</f>
        <v>87.8185610231219</v>
      </c>
      <c r="AU310" s="295">
        <f>IFERROR(AU278/AU308*365,"")</f>
        <v>75.0058349246764</v>
      </c>
      <c r="AV310" s="295">
        <f>IFERROR(AV278/AV308*365,"")</f>
        <v>59.3268099843178</v>
      </c>
      <c r="AW310" s="295">
        <f>IFERROR(AW278/AW308*365,"")</f>
        <v>62.44626706558</v>
      </c>
      <c r="AX310" s="295">
        <f>IFERROR(AX278/AX308*365,"")</f>
        <v>66.8079286324506</v>
      </c>
      <c r="AY310" s="295">
        <f>IFERROR(AY278/AY308*365,"")</f>
        <v>62.7712819155195</v>
      </c>
      <c r="AZ310" s="295">
        <f>IFERROR(AZ278/AZ308*365,"")</f>
        <v>73.2006807173714</v>
      </c>
      <c r="BA310" s="295">
        <f>IFERROR(BA278/BA308*365,"")</f>
        <v>69.4630061515582</v>
      </c>
      <c r="BB310" s="295">
        <f>IFERROR(BB278/BB308*365,"")</f>
        <v>65.9901904119706</v>
      </c>
      <c r="BC310" s="295">
        <f>IFERROR(BC278/BC308*365,"")</f>
        <v>74.3383246372668</v>
      </c>
      <c r="BD310" s="295">
        <f>IFERROR(BD278/BD308*365,"")</f>
        <v>67.776961812841</v>
      </c>
      <c r="BE310" s="295">
        <f>IFERROR(BE278/BE308*365,"")</f>
        <v>68.5633147405365</v>
      </c>
      <c r="BF310" s="295">
        <f>IFERROR(BF278/BF308*365,"")</f>
        <v>50.9273648648649</v>
      </c>
      <c r="BG310" s="295">
        <f>IFERROR(BG278/BG308*365,"")</f>
        <v>61.1054978380975</v>
      </c>
      <c r="BH310" s="295">
        <f>IFERROR(BH278/BH308*365,"")</f>
        <v>63.907078288042</v>
      </c>
      <c r="BI310" s="295">
        <f>IFERROR(BI278/BI308*365,"")</f>
        <v>56.8354766847248</v>
      </c>
      <c r="BJ310" s="295">
        <f>IFERROR(BJ278/BJ308*365,"")</f>
        <v>61.5725806451613</v>
      </c>
      <c r="BK310" s="295">
        <f>IFERROR(BK278/BK308*365,"")</f>
        <v>45.4467935325643</v>
      </c>
      <c r="BL310" s="295">
        <f>IFERROR(BL278/BL308*365,"")</f>
        <v>51.4511401907602</v>
      </c>
      <c r="BM310" s="295">
        <f>IFERROR(BM278/BM308*365,"")</f>
        <v>69.5678677047498</v>
      </c>
      <c r="BN310" s="295">
        <f>IFERROR(BN278/BN308*365,"")</f>
        <v>69.3329034744456</v>
      </c>
      <c r="BO310" s="295">
        <f>IFERROR(BO278/BO308*365,"")</f>
        <v>62.6576513452915</v>
      </c>
      <c r="BP310" s="295">
        <f>IFERROR(BP278/BP308*365,"")</f>
        <v>65.8182981236058</v>
      </c>
      <c r="BQ310" s="295">
        <f>IFERROR(BQ278/BQ308*365,"")</f>
        <v>60.3275854292888</v>
      </c>
      <c r="BR310" s="295">
        <f>IFERROR(BR278/BR308*365,"")</f>
        <v>57.2652723635618</v>
      </c>
      <c r="BS310" s="295">
        <f>IFERROR(BS278/BS308*365,"")</f>
        <v>49.9430194733834</v>
      </c>
      <c r="BT310" s="295">
        <f>IFERROR(BT278/BT308*365,"")</f>
        <v>48.4130855178341</v>
      </c>
      <c r="BU310" s="295">
        <f>IFERROR(BU278/BU308*365,"")</f>
        <v>46.025085602138</v>
      </c>
      <c r="BV310" s="295">
        <f>IFERROR(BV278/BV308*365,"")</f>
        <v>49.2810994489342</v>
      </c>
      <c r="BW310" s="295">
        <f>IFERROR(BW278/BW308*365,"")</f>
        <v>54.5356033667912</v>
      </c>
      <c r="BX310" s="295">
        <f>IFERROR(BX278/BX308*365,"")</f>
        <v>48.9502748371336</v>
      </c>
      <c r="BY310" s="35" t="n"/>
      <c r="BZ310" s="35" t="n"/>
      <c r="CA310" s="296" t="n">
        <v>49</v>
      </c>
      <c r="CB310" s="296" t="n">
        <v>49</v>
      </c>
      <c r="CC310" s="296" t="n">
        <v>49</v>
      </c>
      <c r="CD310" s="296" t="n">
        <v>49</v>
      </c>
      <c r="CE310" s="296" t="n">
        <v>49</v>
      </c>
      <c r="CF310" s="296" t="n">
        <v>49</v>
      </c>
      <c r="CG310" s="19" t="n"/>
    </row>
    <row r="311" ht="15" customHeight="1" s="251">
      <c r="B311" s="25" t="inlineStr">
        <is>
          <t xml:space="preserve">  Inventory days — inventories / cost of sales × 365</t>
        </is>
      </c>
      <c r="C311" s="295">
        <f>IFERROR(C279/C309*365,"")</f>
        <v>59.0672669914544</v>
      </c>
      <c r="D311" s="295">
        <f>IFERROR(D279/D309*365,"")</f>
        <v>65.7257047093604</v>
      </c>
      <c r="E311" s="295">
        <f>IFERROR(E279/E309*365,"")</f>
        <v>113.724230147484</v>
      </c>
      <c r="F311" s="295">
        <f>IFERROR(F279/F309*365,"")</f>
        <v>109.652177769893</v>
      </c>
      <c r="G311" s="295">
        <f>IFERROR(G279/G309*365,"")</f>
        <v>171.733548749105</v>
      </c>
      <c r="H311" s="295">
        <f>IFERROR(H279/H309*365,"")</f>
        <v>211.11968280737</v>
      </c>
      <c r="I311" s="295">
        <f>IFERROR(I279/I309*365,"")</f>
        <v>200.990649979579</v>
      </c>
      <c r="J311" s="295">
        <f>IFERROR(J279/J309*365,"")</f>
        <v>236.558826332846</v>
      </c>
      <c r="K311" s="295">
        <f>IFERROR(K279/K309*365,"")</f>
        <v>199.183620876736</v>
      </c>
      <c r="L311" s="295">
        <f>IFERROR(L279/L309*365,"")</f>
        <v>201.712585763293</v>
      </c>
      <c r="M311" s="295">
        <f>IFERROR(M279/M309*365,"")</f>
        <v>192.24862529458</v>
      </c>
      <c r="N311" s="295">
        <f>IFERROR(N279/N309*365,"")</f>
        <v>213.994234421324</v>
      </c>
      <c r="O311" s="295">
        <f>IFERROR(O279/O309*365,"")</f>
        <v>237.346119342517</v>
      </c>
      <c r="P311" s="295">
        <f>IFERROR(P279/P309*365,"")</f>
        <v>226.258711735378</v>
      </c>
      <c r="Q311" s="295">
        <f>IFERROR(Q279/Q309*365,"")</f>
        <v>214.091962905719</v>
      </c>
      <c r="R311" s="295">
        <f>IFERROR(R279/R309*365,"")</f>
        <v>206.160183619232</v>
      </c>
      <c r="S311" s="295">
        <f>IFERROR(S279/S309*365,"")</f>
        <v>222.551804180848</v>
      </c>
      <c r="T311" s="295">
        <f>IFERROR(T279/T309*365,"")</f>
        <v>239.491747835498</v>
      </c>
      <c r="U311" s="295">
        <f>IFERROR(U279/U309*365,"")</f>
        <v>209.712886138846</v>
      </c>
      <c r="V311" s="295">
        <f>IFERROR(V279/V309*365,"")</f>
        <v>205.566160118606</v>
      </c>
      <c r="W311" s="295">
        <f>IFERROR(W279/W309*365,"")</f>
        <v>209.056152130703</v>
      </c>
      <c r="X311" s="295">
        <f>IFERROR(X279/X309*365,"")</f>
        <v>210.289732273481</v>
      </c>
      <c r="Y311" s="295">
        <f>IFERROR(Y279/Y309*365,"")</f>
        <v>226.037550442849</v>
      </c>
      <c r="Z311" s="295">
        <f>IFERROR(Z279/Z309*365,"")</f>
        <v>180.716639024609</v>
      </c>
      <c r="AA311" s="295">
        <f>IFERROR(AA279/AA309*365,"")</f>
        <v>195.804424333836</v>
      </c>
      <c r="AB311" s="295">
        <f>IFERROR(AB279/AB309*365,"")</f>
        <v>202.658410878618</v>
      </c>
      <c r="AC311" s="295">
        <f>IFERROR(AC279/AC309*365,"")</f>
        <v>195.310785200233</v>
      </c>
      <c r="AD311" s="295">
        <f>IFERROR(AD279/AD309*365,"")</f>
        <v>228.757101037621</v>
      </c>
      <c r="AE311" s="295">
        <f>IFERROR(AE279/AE309*365,"")</f>
        <v>210.821020408163</v>
      </c>
      <c r="AF311" s="295">
        <f>IFERROR(AF279/AF309*365,"")</f>
        <v>196.722382264529</v>
      </c>
      <c r="AG311" s="295">
        <f>IFERROR(AG279/AG309*365,"")</f>
        <v>198.255267025968</v>
      </c>
      <c r="AH311" s="295">
        <f>IFERROR(AH279/AH309*365,"")</f>
        <v>212.979104163377</v>
      </c>
      <c r="AI311" s="295">
        <f>IFERROR(AI279/AI309*365,"")</f>
        <v>297.421243619736</v>
      </c>
      <c r="AJ311" s="295">
        <f>IFERROR(AJ279/AJ309*365,"")</f>
        <v>286.339592192223</v>
      </c>
      <c r="AK311" s="295">
        <f>IFERROR(AK279/AK309*365,"")</f>
        <v>269.287769955285</v>
      </c>
      <c r="AL311" s="295">
        <f>IFERROR(AL279/AL309*365,"")</f>
        <v>258.664314516129</v>
      </c>
      <c r="AM311" s="295">
        <f>IFERROR(AM279/AM309*365,"")</f>
        <v>280.479913044546</v>
      </c>
      <c r="AN311" s="295">
        <f>IFERROR(AN279/AN309*365,"")</f>
        <v>320.22984109089</v>
      </c>
      <c r="AO311" s="295">
        <f>IFERROR(AO279/AO309*365,"")</f>
        <v>351.236090817129</v>
      </c>
      <c r="AP311" s="295">
        <f>IFERROR(AP279/AP309*365,"")</f>
        <v>395.312370676914</v>
      </c>
      <c r="AQ311" s="295">
        <f>IFERROR(AQ279/AQ309*365,"")</f>
        <v>373.99077293394</v>
      </c>
      <c r="AR311" s="295">
        <f>IFERROR(AR279/AR309*365,"")</f>
        <v>388.263803084783</v>
      </c>
      <c r="AS311" s="295">
        <f>IFERROR(AS279/AS309*365,"")</f>
        <v>435.773752685605</v>
      </c>
      <c r="AT311" s="295">
        <f>IFERROR(AT279/AT309*365,"")</f>
        <v>589.321450605383</v>
      </c>
      <c r="AU311" s="295">
        <f>IFERROR(AU279/AU309*365,"")</f>
        <v>605.97107674685</v>
      </c>
      <c r="AV311" s="295">
        <f>IFERROR(AV279/AV309*365,"")</f>
        <v>355.375738728434</v>
      </c>
      <c r="AW311" s="295">
        <f>IFERROR(AW279/AW309*365,"")</f>
        <v>467.491771159875</v>
      </c>
      <c r="AX311" s="295">
        <f>IFERROR(AX279/AX309*365,"")</f>
        <v>546.666787448366</v>
      </c>
      <c r="AY311" s="295">
        <f>IFERROR(AY279/AY309*365,"")</f>
        <v>511.980159818918</v>
      </c>
      <c r="AZ311" s="295">
        <f>IFERROR(AZ279/AZ309*365,"")</f>
        <v>551.154307102294</v>
      </c>
      <c r="BA311" s="295">
        <f>IFERROR(BA279/BA309*365,"")</f>
        <v>415.757153179191</v>
      </c>
      <c r="BB311" s="295">
        <f>IFERROR(BB279/BB309*365,"")</f>
        <v>485.682850245624</v>
      </c>
      <c r="BC311" s="295">
        <f>IFERROR(BC279/BC309*365,"")</f>
        <v>534.058054700103</v>
      </c>
      <c r="BD311" s="295">
        <f>IFERROR(BD279/BD309*365,"")</f>
        <v>501.094361987219</v>
      </c>
      <c r="BE311" s="295">
        <f>IFERROR(BE279/BE309*365,"")</f>
        <v>434.061847832568</v>
      </c>
      <c r="BF311" s="295">
        <f>IFERROR(BF279/BF309*365,"")</f>
        <v>393.645327334953</v>
      </c>
      <c r="BG311" s="295">
        <f>IFERROR(BG279/BG309*365,"")</f>
        <v>452.219712102476</v>
      </c>
      <c r="BH311" s="295">
        <f>IFERROR(BH279/BH309*365,"")</f>
        <v>447.768392924115</v>
      </c>
      <c r="BI311" s="295">
        <f>IFERROR(BI279/BI309*365,"")</f>
        <v>401.239754098361</v>
      </c>
      <c r="BJ311" s="295">
        <f>IFERROR(BJ279/BJ309*365,"")</f>
        <v>425.420331778736</v>
      </c>
      <c r="BK311" s="295">
        <f>IFERROR(BK279/BK309*365,"")</f>
        <v>376.604018943119</v>
      </c>
      <c r="BL311" s="295">
        <f>IFERROR(BL279/BL309*365,"")</f>
        <v>415.376980162694</v>
      </c>
      <c r="BM311" s="295">
        <f>IFERROR(BM279/BM309*365,"")</f>
        <v>518.391666099503</v>
      </c>
      <c r="BN311" s="295">
        <f>IFERROR(BN279/BN309*365,"")</f>
        <v>499.876334974739</v>
      </c>
      <c r="BO311" s="295">
        <f>IFERROR(BO279/BO309*365,"")</f>
        <v>356.249882887525</v>
      </c>
      <c r="BP311" s="295">
        <f>IFERROR(BP279/BP309*365,"")</f>
        <v>474.656140455113</v>
      </c>
      <c r="BQ311" s="295">
        <f>IFERROR(BQ279/BQ309*365,"")</f>
        <v>466.452823027968</v>
      </c>
      <c r="BR311" s="295">
        <f>IFERROR(BR279/BR309*365,"")</f>
        <v>475.922258328942</v>
      </c>
      <c r="BS311" s="295">
        <f>IFERROR(BS279/BS309*365,"")</f>
        <v>394.633565521315</v>
      </c>
      <c r="BT311" s="295">
        <f>IFERROR(BT279/BT309*365,"")</f>
        <v>293.284509651004</v>
      </c>
      <c r="BU311" s="295">
        <f>IFERROR(BU279/BU309*365,"")</f>
        <v>349.06752574991</v>
      </c>
      <c r="BV311" s="295">
        <f>IFERROR(BV279/BV309*365,"")</f>
        <v>362.878754079884</v>
      </c>
      <c r="BW311" s="295">
        <f>IFERROR(BW279/BW309*365,"")</f>
        <v>404.620062528595</v>
      </c>
      <c r="BX311" s="295">
        <f>IFERROR(BX279/BX309*365,"")</f>
        <v>364.192404948975</v>
      </c>
      <c r="BY311" s="35" t="n"/>
      <c r="BZ311" s="35" t="n"/>
      <c r="CA311" s="297">
        <f>IFERROR(CA279/CA309*365,"")</f>
        <v>374.563242591689</v>
      </c>
      <c r="CB311" s="296" t="n">
        <v>370</v>
      </c>
      <c r="CC311" s="296" t="n">
        <v>355</v>
      </c>
      <c r="CD311" s="296" t="n">
        <v>340</v>
      </c>
      <c r="CE311" s="296" t="n">
        <v>325</v>
      </c>
      <c r="CF311" s="296" t="n">
        <v>315</v>
      </c>
      <c r="CG311" s="19" t="inlineStr">
        <is>
          <t>2026E: output of the free-cash-flow solve. 2027E+: input path declining as 737-7/-10 and 777X inventory is delivered (YE25 363 days; 2018: 281 days). Assumption.</t>
        </is>
      </c>
    </row>
    <row r="312" ht="15" customHeight="1" s="251">
      <c r="B312" s="25" t="inlineStr">
        <is>
          <t xml:space="preserve">  Payable days — payables / cost of sales × 365</t>
        </is>
      </c>
      <c r="C312" s="295">
        <f>IFERROR(C288/C309*365,"")</f>
        <v>118.068944173788</v>
      </c>
      <c r="D312" s="295">
        <f>IFERROR(D288/D309*365,"")</f>
        <v>114.61276291261</v>
      </c>
      <c r="E312" s="295">
        <f>IFERROR(E288/E309*365,"")</f>
        <v>127.994392001118</v>
      </c>
      <c r="F312" s="295">
        <f>IFERROR(F288/F309*365,"")</f>
        <v>45.9512108578018</v>
      </c>
      <c r="G312" s="295">
        <f>IFERROR(G288/G309*365,"")</f>
        <v>54.4855174815703</v>
      </c>
      <c r="H312" s="295">
        <f>IFERROR(H288/H309*365,"")</f>
        <v>55.0456592332119</v>
      </c>
      <c r="I312" s="295">
        <f>IFERROR(I288/I309*365,"")</f>
        <v>50.014732481475</v>
      </c>
      <c r="J312" s="295">
        <f>IFERROR(J288/J309*365,"")</f>
        <v>57.2653618860011</v>
      </c>
      <c r="K312" s="295">
        <f>IFERROR(K288/K309*365,"")</f>
        <v>51.6697184244792</v>
      </c>
      <c r="L312" s="295">
        <f>IFERROR(L288/L309*365,"")</f>
        <v>52.1253886149228</v>
      </c>
      <c r="M312" s="295">
        <f>IFERROR(M288/M309*365,"")</f>
        <v>42.5516741948154</v>
      </c>
      <c r="N312" s="295">
        <f>IFERROR(N288/N309*365,"")</f>
        <v>47.3647753200443</v>
      </c>
      <c r="O312" s="295">
        <f>IFERROR(O288/O309*365,"")</f>
        <v>56.9269446695219</v>
      </c>
      <c r="P312" s="295">
        <f>IFERROR(P288/P309*365,"")</f>
        <v>54.1052377633625</v>
      </c>
      <c r="Q312" s="295">
        <f>IFERROR(Q288/Q309*365,"")</f>
        <v>50.6636087151618</v>
      </c>
      <c r="R312" s="295">
        <f>IFERROR(R288/R309*365,"")</f>
        <v>47.0337641942498</v>
      </c>
      <c r="S312" s="295">
        <f>IFERROR(S288/S309*365,"")</f>
        <v>50.7733787149694</v>
      </c>
      <c r="T312" s="295">
        <f>IFERROR(T288/T309*365,"")</f>
        <v>56.7695481601732</v>
      </c>
      <c r="U312" s="295">
        <f>IFERROR(U288/U309*365,"")</f>
        <v>49.3228214503352</v>
      </c>
      <c r="V312" s="295">
        <f>IFERROR(V288/V309*365,"")</f>
        <v>49.789253613788</v>
      </c>
      <c r="W312" s="295">
        <f>IFERROR(W288/W309*365,"")</f>
        <v>47.7771852426431</v>
      </c>
      <c r="X312" s="295">
        <f>IFERROR(X288/X309*365,"")</f>
        <v>48.0591046522969</v>
      </c>
      <c r="Y312" s="295">
        <f>IFERROR(Y288/Y309*365,"")</f>
        <v>55.27317750642</v>
      </c>
      <c r="Z312" s="295">
        <f>IFERROR(Z288/Z309*365,"")</f>
        <v>48.0525796763638</v>
      </c>
      <c r="AA312" s="295">
        <f>IFERROR(AA288/AA309*365,"")</f>
        <v>54.9059829059829</v>
      </c>
      <c r="AB312" s="295">
        <f>IFERROR(AB288/AB309*365,"")</f>
        <v>52.4953729885353</v>
      </c>
      <c r="AC312" s="295">
        <f>IFERROR(AC288/AC309*365,"")</f>
        <v>50.5920897796386</v>
      </c>
      <c r="AD312" s="295">
        <f>IFERROR(AD288/AD309*365,"")</f>
        <v>63.2841574401484</v>
      </c>
      <c r="AE312" s="295">
        <f>IFERROR(AE288/AE309*365,"")</f>
        <v>60.0536734693878</v>
      </c>
      <c r="AF312" s="295">
        <f>IFERROR(AF288/AF309*365,"")</f>
        <v>58.1421593186373</v>
      </c>
      <c r="AG312" s="295">
        <f>IFERROR(AG288/AG309*365,"")</f>
        <v>54.5532827045566</v>
      </c>
      <c r="AH312" s="295">
        <f>IFERROR(AH288/AH309*365,"")</f>
        <v>58.60479498921</v>
      </c>
      <c r="AI312" s="295">
        <f>IFERROR(AI288/AI309*365,"")</f>
        <v>61.1939733092301</v>
      </c>
      <c r="AJ312" s="295">
        <f>IFERROR(AJ288/AJ309*365,"")</f>
        <v>60.3253240432399</v>
      </c>
      <c r="AK312" s="295">
        <f>IFERROR(AK288/AK309*365,"")</f>
        <v>59.3068571020835</v>
      </c>
      <c r="AL312" s="295">
        <f>IFERROR(AL288/AL309*365,"")</f>
        <v>53.3972906850308</v>
      </c>
      <c r="AM312" s="295">
        <f>IFERROR(AM288/AM309*365,"")</f>
        <v>57.9007872661844</v>
      </c>
      <c r="AN312" s="295">
        <f>IFERROR(AN288/AN309*365,"")</f>
        <v>71.978109733183</v>
      </c>
      <c r="AO312" s="295">
        <f>IFERROR(AO288/AO309*365,"")</f>
        <v>78.2912077104642</v>
      </c>
      <c r="AP312" s="295">
        <f>IFERROR(AP288/AP309*365,"")</f>
        <v>81.4641590304463</v>
      </c>
      <c r="AQ312" s="295">
        <f>IFERROR(AQ288/AQ309*365,"")</f>
        <v>75.9139475795667</v>
      </c>
      <c r="AR312" s="295">
        <f>IFERROR(AR288/AR309*365,"")</f>
        <v>78.8111368716247</v>
      </c>
      <c r="AS312" s="295">
        <f>IFERROR(AS288/AS309*365,"")</f>
        <v>81.4856618524708</v>
      </c>
      <c r="AT312" s="295">
        <f>IFERROR(AT288/AT309*365,"")</f>
        <v>96.4081900208221</v>
      </c>
      <c r="AU312" s="295">
        <f>IFERROR(AU288/AU309*365,"")</f>
        <v>100.894138984345</v>
      </c>
      <c r="AV312" s="295">
        <f>IFERROR(AV288/AV309*365,"")</f>
        <v>56.2234296063292</v>
      </c>
      <c r="AW312" s="295">
        <f>IFERROR(AW288/AW309*365,"")</f>
        <v>73.9611285266458</v>
      </c>
      <c r="AX312" s="295">
        <f>IFERROR(AX288/AX309*365,"")</f>
        <v>82.0648235379375</v>
      </c>
      <c r="AY312" s="295">
        <f>IFERROR(AY288/AY309*365,"")</f>
        <v>71.6655806296728</v>
      </c>
      <c r="AZ312" s="295">
        <f>IFERROR(AZ288/AZ309*365,"")</f>
        <v>68.3146802861568</v>
      </c>
      <c r="BA312" s="295">
        <f>IFERROR(BA288/BA309*365,"")</f>
        <v>48.8477601156069</v>
      </c>
      <c r="BB312" s="295">
        <f>IFERROR(BB288/BB309*365,"")</f>
        <v>57.0634063169978</v>
      </c>
      <c r="BC312" s="295">
        <f>IFERROR(BC288/BC309*365,"")</f>
        <v>58.7390929755096</v>
      </c>
      <c r="BD312" s="295">
        <f>IFERROR(BD288/BD309*365,"")</f>
        <v>60.0370198584484</v>
      </c>
      <c r="BE312" s="295">
        <f>IFERROR(BE288/BE309*365,"")</f>
        <v>53.2831226521972</v>
      </c>
      <c r="BF312" s="295">
        <f>IFERROR(BF288/BF309*365,"")</f>
        <v>51.3772355928461</v>
      </c>
      <c r="BG312" s="295">
        <f>IFERROR(BG288/BG309*365,"")</f>
        <v>59.0221630362409</v>
      </c>
      <c r="BH312" s="295">
        <f>IFERROR(BH288/BH309*365,"")</f>
        <v>58.6012314039255</v>
      </c>
      <c r="BI312" s="295">
        <f>IFERROR(BI288/BI309*365,"")</f>
        <v>56.0245901639344</v>
      </c>
      <c r="BJ312" s="295">
        <f>IFERROR(BJ288/BJ309*365,"")</f>
        <v>60.027082472401</v>
      </c>
      <c r="BK312" s="295">
        <f>IFERROR(BK288/BK309*365,"")</f>
        <v>56.504062936701</v>
      </c>
      <c r="BL312" s="295">
        <f>IFERROR(BL288/BL309*365,"")</f>
        <v>62.3213928928215</v>
      </c>
      <c r="BM312" s="295">
        <f>IFERROR(BM288/BM309*365,"")</f>
        <v>72.1404750561492</v>
      </c>
      <c r="BN312" s="295">
        <f>IFERROR(BN288/BN309*365,"")</f>
        <v>69.2325893713628</v>
      </c>
      <c r="BO312" s="295">
        <f>IFERROR(BO288/BO309*365,"")</f>
        <v>52.4365835948845</v>
      </c>
      <c r="BP312" s="295">
        <f>IFERROR(BP288/BP309*365,"")</f>
        <v>61.6104212465094</v>
      </c>
      <c r="BQ312" s="295">
        <f>IFERROR(BQ288/BQ309*365,"")</f>
        <v>60.5456297074794</v>
      </c>
      <c r="BR312" s="295">
        <f>IFERROR(BR288/BR309*365,"")</f>
        <v>58.9526611628316</v>
      </c>
      <c r="BS312" s="295">
        <f>IFERROR(BS288/BS309*365,"")</f>
        <v>50.4808260313085</v>
      </c>
      <c r="BT312" s="295">
        <f>IFERROR(BT288/BT309*365,"")</f>
        <v>41.7447845583935</v>
      </c>
      <c r="BU312" s="295">
        <f>IFERROR(BU288/BU309*365,"")</f>
        <v>54.0385006324539</v>
      </c>
      <c r="BV312" s="295">
        <f>IFERROR(BV288/BV309*365,"")</f>
        <v>56.1765914480945</v>
      </c>
      <c r="BW312" s="295">
        <f>IFERROR(BW288/BW309*365,"")</f>
        <v>63.6119795638249</v>
      </c>
      <c r="BX312" s="295">
        <f>IFERROR(BX288/BX309*365,"")</f>
        <v>59.1110132755351</v>
      </c>
      <c r="BY312" s="35" t="n"/>
      <c r="BZ312" s="35" t="n"/>
      <c r="CA312" s="296" t="n">
        <v>56</v>
      </c>
      <c r="CB312" s="296" t="n">
        <v>56</v>
      </c>
      <c r="CC312" s="296" t="n">
        <v>56</v>
      </c>
      <c r="CD312" s="296" t="n">
        <v>56</v>
      </c>
      <c r="CE312" s="296" t="n">
        <v>56</v>
      </c>
      <c r="CF312" s="296" t="n">
        <v>56</v>
      </c>
      <c r="CG312" s="19" t="n"/>
    </row>
    <row r="313" ht="15" customHeight="1" s="251">
      <c r="B313" s="25" t="inlineStr">
        <is>
          <t xml:space="preserve">  Advances &amp; progress billings % of revenues</t>
        </is>
      </c>
      <c r="C313" s="215">
        <f>IFERROR(C289/C308,"")</f>
        <v>0.186071834877296</v>
      </c>
      <c r="D313" s="215">
        <f>IFERROR(D289/D308,"")</f>
        <v>0.208579993070933</v>
      </c>
      <c r="E313" s="215">
        <f>IFERROR(E289/E308,"")</f>
        <v>0.209060320065655</v>
      </c>
      <c r="F313" s="215">
        <f>IFERROR(F289/F308,"")</f>
        <v>0.17685739810489</v>
      </c>
      <c r="G313" s="215">
        <f>IFERROR(G289/G308,"")</f>
        <v>0.19163064099773</v>
      </c>
      <c r="H313" s="215">
        <f>IFERROR(H289/H308,"")</f>
        <v>0.225445551756747</v>
      </c>
      <c r="I313" s="215">
        <f>IFERROR(I289/I308,"")</f>
        <v>0.204068643051237</v>
      </c>
      <c r="J313" s="215">
        <f>IFERROR(J289/J308,"")</f>
        <v>0.244865823320807</v>
      </c>
      <c r="K313" s="215">
        <f>IFERROR(K289/K308,"")</f>
        <v>0.207941783176713</v>
      </c>
      <c r="L313" s="215">
        <f>IFERROR(L289/L308,"")</f>
        <v>0.228377767736105</v>
      </c>
      <c r="M313" s="215">
        <f>IFERROR(M289/M308,"")</f>
        <v>0.210500315324785</v>
      </c>
      <c r="N313" s="215">
        <f>IFERROR(N289/N308,"")</f>
        <v>0.231197257079529</v>
      </c>
      <c r="O313" s="215">
        <f>IFERROR(O289/O308,"")</f>
        <v>0.257903738089421</v>
      </c>
      <c r="P313" s="215">
        <f>IFERROR(P289/P308,"")</f>
        <v>0.240916307552733</v>
      </c>
      <c r="Q313" s="215">
        <f>IFERROR(Q289/Q308,"")</f>
        <v>0.222071560713084</v>
      </c>
      <c r="R313" s="215">
        <f>IFERROR(R289/R308,"")</f>
        <v>0.236788867091712</v>
      </c>
      <c r="S313" s="215">
        <f>IFERROR(S289/S308,"")</f>
        <v>0.255338137105837</v>
      </c>
      <c r="T313" s="215">
        <f>IFERROR(T289/T308,"")</f>
        <v>0.256806176351077</v>
      </c>
      <c r="U313" s="215">
        <f>IFERROR(U289/U308,"")</f>
        <v>0.238082141547488</v>
      </c>
      <c r="V313" s="215">
        <f>IFERROR(V289/V308,"")</f>
        <v>0.226720569461101</v>
      </c>
      <c r="W313" s="215">
        <f>IFERROR(W289/W308,"")</f>
        <v>0.258388834683748</v>
      </c>
      <c r="X313" s="215">
        <f>IFERROR(X289/X308,"")</f>
        <v>0.25349064652392</v>
      </c>
      <c r="Y313" s="215">
        <f>IFERROR(Y289/Y308,"")</f>
        <v>0.264293920113114</v>
      </c>
      <c r="Z313" s="215">
        <f>IFERROR(Z289/Z308,"")</f>
        <v>0.236406786507776</v>
      </c>
      <c r="AA313" s="215">
        <f>IFERROR(AA289/AA308,"")</f>
        <v>0.236902669679471</v>
      </c>
      <c r="AB313" s="215">
        <f>IFERROR(AB289/AB308,"")</f>
        <v>0.2562591256549</v>
      </c>
      <c r="AC313" s="215">
        <f>IFERROR(AC289/AC308,"")</f>
        <v>0.252392382442821</v>
      </c>
      <c r="AD313" s="215">
        <f>IFERROR(AD289/AD308,"")</f>
        <v>0.287447559115179</v>
      </c>
      <c r="AE313" s="215">
        <f>IFERROR(AE289/AE308,"")</f>
        <v>0.283675623378337</v>
      </c>
      <c r="AF313" s="215">
        <f>IFERROR(AF289/AF308,"")</f>
        <v>0.274538236867004</v>
      </c>
      <c r="AG313" s="215">
        <f>IFERROR(AG289/AG308,"")</f>
        <v>0.270419426048565</v>
      </c>
      <c r="AH313" s="215">
        <f>IFERROR(AH289/AH308,"")</f>
        <v>0.293815316087031</v>
      </c>
      <c r="AI313" s="215">
        <f>IFERROR(AI289/AI308,"")</f>
        <v>0.53411812505346</v>
      </c>
      <c r="AJ313" s="215">
        <f>IFERROR(AJ289/AJ308,"")</f>
        <v>0.525290625772941</v>
      </c>
      <c r="AK313" s="215">
        <f>IFERROR(AK289/AK308,"")</f>
        <v>0.51197009464726</v>
      </c>
      <c r="AL313" s="215">
        <f>IFERROR(AL289/AL308,"")</f>
        <v>0.447020218058643</v>
      </c>
      <c r="AM313" s="215">
        <f>IFERROR(AM289/AM308,"")</f>
        <v>0.501112462547094</v>
      </c>
      <c r="AN313" s="215">
        <f>IFERROR(AN289/AN308,"")</f>
        <v>0.573089845965877</v>
      </c>
      <c r="AO313" s="215">
        <f>IFERROR(AO289/AO308,"")</f>
        <v>0.833645482826487</v>
      </c>
      <c r="AP313" s="215">
        <f>IFERROR(AP289/AP308,"")</f>
        <v>0.665252752752753</v>
      </c>
      <c r="AQ313" s="215">
        <f>IFERROR(AQ289/AQ308,"")</f>
        <v>0.719543855731115</v>
      </c>
      <c r="AR313" s="215">
        <f>IFERROR(AR289/AR308,"")</f>
        <v>0.673349965386173</v>
      </c>
      <c r="AS313" s="215">
        <f>IFERROR(AS289/AS308,"")</f>
        <v>0.781922758457535</v>
      </c>
      <c r="AT313" s="215">
        <f>IFERROR(AT289/AT308,"")</f>
        <v>1.12998644871686</v>
      </c>
      <c r="AU313" s="215">
        <f>IFERROR(AU289/AU308,"")</f>
        <v>0.918982954947309</v>
      </c>
      <c r="AV313" s="215">
        <f>IFERROR(AV289/AV308,"")</f>
        <v>0.824751698902248</v>
      </c>
      <c r="AW313" s="215">
        <f>IFERROR(AW289/AW308,"")</f>
        <v>0.868117885759483</v>
      </c>
      <c r="AX313" s="215">
        <f>IFERROR(AX289/AX308,"")</f>
        <v>0.836367220871394</v>
      </c>
      <c r="AY313" s="215">
        <f>IFERROR(AY289/AY308,"")</f>
        <v>0.74623485115896</v>
      </c>
      <c r="AZ313" s="215">
        <f>IFERROR(AZ289/AZ308,"")</f>
        <v>0.838935070035345</v>
      </c>
      <c r="BA313" s="215">
        <f>IFERROR(BA289/BA308,"")</f>
        <v>0.895355911579801</v>
      </c>
      <c r="BB313" s="215">
        <f>IFERROR(BB289/BB308,"")</f>
        <v>0.850592428475099</v>
      </c>
      <c r="BC313" s="215">
        <f>IFERROR(BC289/BC308,"")</f>
        <v>0.937352583803874</v>
      </c>
      <c r="BD313" s="215">
        <f>IFERROR(BD289/BD308,"")</f>
        <v>0.780318925723878</v>
      </c>
      <c r="BE313" s="215">
        <f>IFERROR(BE289/BE308,"")</f>
        <v>0.833181875156681</v>
      </c>
      <c r="BF313" s="215">
        <f>IFERROR(BF289/BF308,"")</f>
        <v>0.664176676676677</v>
      </c>
      <c r="BG313" s="215">
        <f>IFERROR(BG289/BG308,"")</f>
        <v>0.796916286331972</v>
      </c>
      <c r="BH313" s="215">
        <f>IFERROR(BH289/BH308,"")</f>
        <v>0.760253334077339</v>
      </c>
      <c r="BI313" s="215">
        <f>IFERROR(BI289/BI308,"")</f>
        <v>0.700091134626095</v>
      </c>
      <c r="BJ313" s="215">
        <f>IFERROR(BJ289/BJ308,"")</f>
        <v>0.772260273972603</v>
      </c>
      <c r="BK313" s="215">
        <f>IFERROR(BK289/BK308,"")</f>
        <v>0.639567626487419</v>
      </c>
      <c r="BL313" s="215">
        <f>IFERROR(BL289/BL308,"")</f>
        <v>0.724066123351415</v>
      </c>
      <c r="BM313" s="215">
        <f>IFERROR(BM289/BM308,"")</f>
        <v>0.889794193976704</v>
      </c>
      <c r="BN313" s="215">
        <f>IFERROR(BN289/BN308,"")</f>
        <v>0.861956006166252</v>
      </c>
      <c r="BO313" s="215">
        <f>IFERROR(BO289/BO308,"")</f>
        <v>0.811813340807175</v>
      </c>
      <c r="BP313" s="215">
        <f>IFERROR(BP289/BP308,"")</f>
        <v>0.989584700170581</v>
      </c>
      <c r="BQ313" s="215">
        <f>IFERROR(BQ289/BQ308,"")</f>
        <v>0.907031285235353</v>
      </c>
      <c r="BR313" s="215">
        <f>IFERROR(BR289/BR308,"")</f>
        <v>0.783673574066475</v>
      </c>
      <c r="BS313" s="215">
        <f>IFERROR(BS289/BS308,"")</f>
        <v>0.652852872653743</v>
      </c>
      <c r="BT313" s="215">
        <f>IFERROR(BT289/BT308,"")</f>
        <v>0.622711645896004</v>
      </c>
      <c r="BU313" s="215">
        <f>IFERROR(BU289/BU308,"")</f>
        <v>0.620135293135126</v>
      </c>
      <c r="BV313" s="215">
        <f>IFERROR(BV289/BV308,"")</f>
        <v>0.664006348993439</v>
      </c>
      <c r="BW313" s="215">
        <f>IFERROR(BW289/BW308,"")</f>
        <v>0.704314263852005</v>
      </c>
      <c r="BX313" s="215">
        <f>IFERROR(BX289/BX308,"")</f>
        <v>0.652066368078176</v>
      </c>
      <c r="BY313" s="24" t="n"/>
      <c r="BZ313" s="24" t="n"/>
      <c r="CA313" s="270" t="n">
        <v>0.664</v>
      </c>
      <c r="CB313" s="270" t="n">
        <v>0.64</v>
      </c>
      <c r="CC313" s="270" t="n">
        <v>0.62</v>
      </c>
      <c r="CD313" s="270" t="n">
        <v>0.6</v>
      </c>
      <c r="CE313" s="270" t="n">
        <v>0.58</v>
      </c>
      <c r="CF313" s="270" t="n">
        <v>0.57</v>
      </c>
      <c r="CG313" s="153" t="inlineStr">
        <is>
          <t>Customer advances fund the order book (backlog $715bn at 30-Jun-2026); drifting down as deliveries catch up with pre-delivery payments (input).</t>
        </is>
      </c>
    </row>
    <row r="314" ht="15" customHeight="1" s="251">
      <c r="B314" s="25" t="inlineStr">
        <is>
          <t xml:space="preserve">  Accrued &amp; other current liabilities % of revenues</t>
        </is>
      </c>
      <c r="C314" s="215">
        <f>IFERROR(C291/C308,"")</f>
        <v>0.0108889972371201</v>
      </c>
      <c r="D314" s="215">
        <f>IFERROR(D291/D308,"")</f>
        <v>0.0038109870908461</v>
      </c>
      <c r="E314" s="215">
        <f>IFERROR(E291/E308,"")</f>
        <v>0.00080426754205991</v>
      </c>
      <c r="F314" s="215">
        <f>IFERROR(F291/F308,"")</f>
        <v>0.190448294547532</v>
      </c>
      <c r="G314" s="215">
        <f>IFERROR(G291/G308,"")</f>
        <v>0.224069293689547</v>
      </c>
      <c r="H314" s="215">
        <f>IFERROR(H291/H308,"")</f>
        <v>0.218505855823089</v>
      </c>
      <c r="I314" s="215">
        <f>IFERROR(I291/I308,"")</f>
        <v>0.213958726039805</v>
      </c>
      <c r="J314" s="215">
        <f>IFERROR(J291/J308,"")</f>
        <v>0.216588154342878</v>
      </c>
      <c r="K314" s="215">
        <f>IFERROR(K291/K308,"")</f>
        <v>0.200366720146688</v>
      </c>
      <c r="L314" s="215">
        <f>IFERROR(L291/L308,"")</f>
        <v>0.202078626299141</v>
      </c>
      <c r="M314" s="215">
        <f>IFERROR(M291/M308,"")</f>
        <v>0.214399831826782</v>
      </c>
      <c r="N314" s="215">
        <f>IFERROR(N291/N308,"")</f>
        <v>0.235480184246678</v>
      </c>
      <c r="O314" s="215">
        <f>IFERROR(O291/O308,"")</f>
        <v>0.231505008551185</v>
      </c>
      <c r="P314" s="215">
        <f>IFERROR(P291/P308,"")</f>
        <v>0.220503515536403</v>
      </c>
      <c r="Q314" s="215">
        <f>IFERROR(Q291/Q308,"")</f>
        <v>0.203519172552977</v>
      </c>
      <c r="R314" s="215">
        <f>IFERROR(R291/R308,"")</f>
        <v>0.22423164950139</v>
      </c>
      <c r="S314" s="215">
        <f>IFERROR(S291/S308,"")</f>
        <v>0.241797227914766</v>
      </c>
      <c r="T314" s="215">
        <f>IFERROR(T291/T308,"")</f>
        <v>0.235608831098469</v>
      </c>
      <c r="U314" s="215">
        <f>IFERROR(U291/U308,"")</f>
        <v>0.225318828179114</v>
      </c>
      <c r="V314" s="215">
        <f>IFERROR(V291/V308,"")</f>
        <v>0.212532399705985</v>
      </c>
      <c r="W314" s="215">
        <f>IFERROR(W291/W308,"")</f>
        <v>0.148623425104993</v>
      </c>
      <c r="X314" s="215">
        <f>IFERROR(X291/X308,"")</f>
        <v>0.145806022015523</v>
      </c>
      <c r="Y314" s="215">
        <f>IFERROR(Y291/Y308,"")</f>
        <v>0.141282255213856</v>
      </c>
      <c r="Z314" s="215">
        <f>IFERROR(Z291/Z308,"")</f>
        <v>0.136679458695213</v>
      </c>
      <c r="AA314" s="215">
        <f>IFERROR(AA291/AA308,"")</f>
        <v>0.138536697631601</v>
      </c>
      <c r="AB314" s="215">
        <f>IFERROR(AB291/AB308,"")</f>
        <v>0.157723524864726</v>
      </c>
      <c r="AC314" s="215">
        <f>IFERROR(AC291/AC308,"")</f>
        <v>0.155343604276152</v>
      </c>
      <c r="AD314" s="215">
        <f>IFERROR(AD291/AD308,"")</f>
        <v>0.158895881006865</v>
      </c>
      <c r="AE314" s="215">
        <f>IFERROR(AE291/AE308,"")</f>
        <v>0.157152909098905</v>
      </c>
      <c r="AF314" s="215">
        <f>IFERROR(AF291/AF308,"")</f>
        <v>0.144061870089267</v>
      </c>
      <c r="AG314" s="215">
        <f>IFERROR(AG291/AG308,"")</f>
        <v>0.150701671397036</v>
      </c>
      <c r="AH314" s="215">
        <f>IFERROR(AH291/AH308,"")</f>
        <v>0.163739934898064</v>
      </c>
      <c r="AI314" s="215">
        <f>IFERROR(AI291/AI308,"")</f>
        <v>0.117430074416218</v>
      </c>
      <c r="AJ314" s="215">
        <f>IFERROR(AJ291/AJ308,"")</f>
        <v>0.126143952510512</v>
      </c>
      <c r="AK314" s="215">
        <f>IFERROR(AK291/AK308,"")</f>
        <v>0.127942813966436</v>
      </c>
      <c r="AL314" s="215">
        <f>IFERROR(AL291/AL308,"")</f>
        <v>0.130623478352916</v>
      </c>
      <c r="AM314" s="215">
        <f>IFERROR(AM291/AM308,"")</f>
        <v>0.146429736865526</v>
      </c>
      <c r="AN314" s="215">
        <f>IFERROR(AN291/AN308,"")</f>
        <v>0.141892481563905</v>
      </c>
      <c r="AO314" s="215">
        <f>IFERROR(AO291/AO308,"")</f>
        <v>0.318106786870675</v>
      </c>
      <c r="AP314" s="215">
        <f>IFERROR(AP291/AP308,"")</f>
        <v>0.240540540540541</v>
      </c>
      <c r="AQ314" s="215">
        <f>IFERROR(AQ291/AQ308,"")</f>
        <v>0.319189324995813</v>
      </c>
      <c r="AR314" s="215">
        <f>IFERROR(AR291/AR308,"")</f>
        <v>0.298697736386316</v>
      </c>
      <c r="AS314" s="215">
        <f>IFERROR(AS291/AS308,"")</f>
        <v>0.31764549325763</v>
      </c>
      <c r="AT314" s="215">
        <f>IFERROR(AT291/AT308,"")</f>
        <v>0.476264080630135</v>
      </c>
      <c r="AU314" s="215">
        <f>IFERROR(AU291/AU308,"")</f>
        <v>0.392884928212745</v>
      </c>
      <c r="AV314" s="215">
        <f>IFERROR(AV291/AV308,"")</f>
        <v>0.362176555148981</v>
      </c>
      <c r="AW314" s="215">
        <f>IFERROR(AW291/AW308,"")</f>
        <v>0.381220124488463</v>
      </c>
      <c r="AX314" s="215">
        <f>IFERROR(AX291/AX308,"")</f>
        <v>0.337665111388579</v>
      </c>
      <c r="AY314" s="215">
        <f>IFERROR(AY291/AY308,"")</f>
        <v>0.286827862101424</v>
      </c>
      <c r="AZ314" s="215">
        <f>IFERROR(AZ291/AZ308,"")</f>
        <v>0.310479120303705</v>
      </c>
      <c r="BA314" s="215">
        <f>IFERROR(BA291/BA308,"")</f>
        <v>0.311887379165822</v>
      </c>
      <c r="BB314" s="215">
        <f>IFERROR(BB291/BB308,"")</f>
        <v>0.296294512410494</v>
      </c>
      <c r="BC314" s="215">
        <f>IFERROR(BC291/BC308,"")</f>
        <v>0.319205203345008</v>
      </c>
      <c r="BD314" s="215">
        <f>IFERROR(BD291/BD308,"")</f>
        <v>0.266051195971465</v>
      </c>
      <c r="BE314" s="215">
        <f>IFERROR(BE291/BE308,"")</f>
        <v>0.332429806969165</v>
      </c>
      <c r="BF314" s="215">
        <f>IFERROR(BF291/BF308,"")</f>
        <v>0.270032532532533</v>
      </c>
      <c r="BG314" s="215">
        <f>IFERROR(BG291/BG308,"")</f>
        <v>0.324000120105693</v>
      </c>
      <c r="BH314" s="215">
        <f>IFERROR(BH291/BH308,"")</f>
        <v>0.290329780704202</v>
      </c>
      <c r="BI314" s="215">
        <f>IFERROR(BI291/BI308,"")</f>
        <v>0.268606652827705</v>
      </c>
      <c r="BJ314" s="215">
        <f>IFERROR(BJ291/BJ308,"")</f>
        <v>0.291427308882015</v>
      </c>
      <c r="BK314" s="215">
        <f>IFERROR(BK291/BK308,"")</f>
        <v>0.253553910436915</v>
      </c>
      <c r="BL314" s="215">
        <f>IFERROR(BL291/BL308,"")</f>
        <v>0.287052986091472</v>
      </c>
      <c r="BM314" s="215">
        <f>IFERROR(BM291/BM308,"")</f>
        <v>0.326015450540165</v>
      </c>
      <c r="BN314" s="215">
        <f>IFERROR(BN291/BN308,"")</f>
        <v>0.323876437803866</v>
      </c>
      <c r="BO314" s="215">
        <f>IFERROR(BO291/BO308,"")</f>
        <v>0.317096412556054</v>
      </c>
      <c r="BP314" s="215">
        <f>IFERROR(BP291/BP308,"")</f>
        <v>0.395338538249574</v>
      </c>
      <c r="BQ314" s="215">
        <f>IFERROR(BQ291/BQ308,"")</f>
        <v>0.362358494820873</v>
      </c>
      <c r="BR314" s="215">
        <f>IFERROR(BR291/BR308,"")</f>
        <v>0.302318424292163</v>
      </c>
      <c r="BS314" s="215">
        <f>IFERROR(BS291/BS308,"")</f>
        <v>0.263879730977186</v>
      </c>
      <c r="BT314" s="215">
        <f>IFERROR(BT291/BT308,"")</f>
        <v>0.267382896433176</v>
      </c>
      <c r="BU314" s="215">
        <f>IFERROR(BU291/BU308,"")</f>
        <v>0.283332637380992</v>
      </c>
      <c r="BV314" s="215">
        <f>IFERROR(BV291/BV308,"")</f>
        <v>0.303376814996144</v>
      </c>
      <c r="BW314" s="215">
        <f>IFERROR(BW291/BW308,"")</f>
        <v>0.296934779673223</v>
      </c>
      <c r="BX314" s="215">
        <f>IFERROR(BX291/BX308,"")</f>
        <v>0.270694218241042</v>
      </c>
      <c r="BY314" s="24" t="n"/>
      <c r="BZ314" s="24" t="n"/>
      <c r="CA314" s="270" t="n">
        <v>0.303</v>
      </c>
      <c r="CB314" s="270" t="n">
        <v>0.303</v>
      </c>
      <c r="CC314" s="270" t="n">
        <v>0.303</v>
      </c>
      <c r="CD314" s="270" t="n">
        <v>0.303</v>
      </c>
      <c r="CE314" s="270" t="n">
        <v>0.303</v>
      </c>
      <c r="CF314" s="270" t="n">
        <v>0.303</v>
      </c>
      <c r="CG314" s="153" t="inlineStr">
        <is>
          <t>Forecast inputs at year-end 2025 levels on FY2025 revenues / cost of sales (receivable days 49d, payable days 56d, advances 66.4% of revenues in 2026E, accrued &amp; other current liabilities 30.3%); year ends are compared with year ends.</t>
        </is>
      </c>
    </row>
    <row r="315" ht="15" customHeight="1" s="251">
      <c r="B315" s="25" t="inlineStr">
        <is>
          <t xml:space="preserve">  Operating NWC (receivables + inventories + other current assets − payables − advances − other current liabilities)</t>
        </is>
      </c>
      <c r="C315" s="262">
        <f>IF(ISNUMBER(C278),C278+C279+C280-C288-N(C289)-C291,"")</f>
        <v>-11723</v>
      </c>
      <c r="D315" s="262">
        <f>IF(ISNUMBER(D278),D278+D279+D280-D288-N(D289)-D291,"")</f>
        <v>-13038</v>
      </c>
      <c r="E315" s="262">
        <f>IF(ISNUMBER(E278),E278+E279+E280-E288-N(E289)-E291,"")</f>
        <v>-7663</v>
      </c>
      <c r="F315" s="262">
        <f>IF(ISNUMBER(F278),F278+F279+F280-F288-N(F289)-F291,"")</f>
        <v>-8124</v>
      </c>
      <c r="G315" s="262">
        <f>IF(ISNUMBER(G278),G278+G279+G280-G288-N(G289)-G291,"")</f>
        <v>-4392</v>
      </c>
      <c r="H315" s="262">
        <f>IF(ISNUMBER(H278),H278+H279+H280-H288-N(H289)-H291,"")</f>
        <v>-383</v>
      </c>
      <c r="I315" s="262">
        <f>IF(ISNUMBER(I278),I278+I279+I280-I288-N(I289)-I291,"")</f>
        <v>205</v>
      </c>
      <c r="J315" s="262">
        <f>IF(ISNUMBER(J278),J278+J279+J280-J288-N(J289)-J291,"")</f>
        <v>2888</v>
      </c>
      <c r="K315" s="262">
        <f>IF(ISNUMBER(K278),K278+K279+K280-K288-N(K289)-K291,"")</f>
        <v>919</v>
      </c>
      <c r="L315" s="262">
        <f>IF(ISNUMBER(L278),L278+L279+L280-L288-N(L289)-L291,"")</f>
        <v>-510</v>
      </c>
      <c r="M315" s="262">
        <f>IF(ISNUMBER(M278),M278+M279+M280-M288-N(M289)-M291,"")</f>
        <v>-107</v>
      </c>
      <c r="N315" s="262">
        <f>IF(ISNUMBER(N278),N278+N279+N280-N288-N(N289)-N291,"")</f>
        <v>-107</v>
      </c>
      <c r="O315" s="262">
        <f>IF(ISNUMBER(O278),O278+O279+O280-O288-N(O289)-O291,"")</f>
        <v>1711</v>
      </c>
      <c r="P315" s="262">
        <f>IF(ISNUMBER(P278),P278+P279+P280-P288-N(P289)-P291,"")</f>
        <v>2449</v>
      </c>
      <c r="Q315" s="262">
        <f>IF(ISNUMBER(Q278),Q278+Q279+Q280-Q288-N(Q289)-Q291,"")</f>
        <v>3516</v>
      </c>
      <c r="R315" s="262">
        <f>IF(ISNUMBER(R278),R278+R279+R280-R288-N(R289)-R291,"")</f>
        <v>-1095</v>
      </c>
      <c r="S315" s="262">
        <f>IF(ISNUMBER(S278),S278+S279+S280-S288-N(S289)-S291,"")</f>
        <v>-1095</v>
      </c>
      <c r="T315" s="262">
        <f>IF(ISNUMBER(T278),T278+T279+T280-T288-N(T289)-T291,"")</f>
        <v>1667</v>
      </c>
      <c r="U315" s="262">
        <f>IF(ISNUMBER(U278),U278+U279+U280-U288-N(U289)-U291,"")</f>
        <v>157</v>
      </c>
      <c r="V315" s="262">
        <f>IF(ISNUMBER(V278),V278+V279+V280-V288-N(V289)-V291,"")</f>
        <v>525</v>
      </c>
      <c r="W315" s="262">
        <f>IF(ISNUMBER(W278),W278+W279+W280-W288-N(W289)-W291,"")</f>
        <v>7004</v>
      </c>
      <c r="X315" s="262">
        <f>IF(ISNUMBER(X278),X278+X279+X280-X288-N(X289)-X291,"")</f>
        <v>7004</v>
      </c>
      <c r="Y315" s="262">
        <f>IF(ISNUMBER(Y278),Y278+Y279+Y280-Y288-N(Y289)-Y291,"")</f>
        <v>8961</v>
      </c>
      <c r="Z315" s="262">
        <f>IF(ISNUMBER(Z278),Z278+Z279+Z280-Z288-N(Z289)-Z291,"")</f>
        <v>5551</v>
      </c>
      <c r="AA315" s="262">
        <f>IF(ISNUMBER(AA278),AA278+AA279+AA280-AA288-N(AA289)-AA291,"")</f>
        <v>4712</v>
      </c>
      <c r="AB315" s="262">
        <f>IF(ISNUMBER(AB278),AB278+AB279+AB280-AB288-N(AB289)-AB291,"")</f>
        <v>2709</v>
      </c>
      <c r="AC315" s="262">
        <f>IF(ISNUMBER(AC278),AC278+AC279+AC280-AC288-N(AC289)-AC291,"")</f>
        <v>2709</v>
      </c>
      <c r="AD315" s="262">
        <f>IF(ISNUMBER(AD278),AD278+AD279+AD280-AD288-N(AD289)-AD291,"")</f>
        <v>3748</v>
      </c>
      <c r="AE315" s="262">
        <f>IF(ISNUMBER(AE278),AE278+AE279+AE280-AE288-N(AE289)-AE291,"")</f>
        <v>316</v>
      </c>
      <c r="AF315" s="262">
        <f>IF(ISNUMBER(AF278),AF278+AF279+AF280-AF288-N(AF289)-AF291,"")</f>
        <v>689</v>
      </c>
      <c r="AG315" s="262">
        <f>IF(ISNUMBER(AG278),AG278+AG279+AG280-AG288-N(AG289)-AG291,"")</f>
        <v>235</v>
      </c>
      <c r="AH315" s="262">
        <f>IF(ISNUMBER(AH278),AH278+AH279+AH280-AH288-N(AH289)-AH291,"")</f>
        <v>235</v>
      </c>
      <c r="AI315" s="262">
        <f>IF(ISNUMBER(AI278),AI278+AI279+AI280-AI288-N(AI289)-AI291,"")</f>
        <v>3101</v>
      </c>
      <c r="AJ315" s="262">
        <f>IF(ISNUMBER(AJ278),AJ278+AJ279+AJ280-AJ288-N(AJ289)-AJ291,"")</f>
        <v>517</v>
      </c>
      <c r="AK315" s="262">
        <f>IF(ISNUMBER(AK278),AK278+AK279+AK280-AK288-N(AK289)-AK291,"")</f>
        <v>-332</v>
      </c>
      <c r="AL315" s="262">
        <f>IF(ISNUMBER(AL278),AL278+AL279+AL280-AL288-N(AL289)-AL291,"")</f>
        <v>866</v>
      </c>
      <c r="AM315" s="262">
        <f>IF(ISNUMBER(AM278),AM278+AM279+AM280-AM288-N(AM289)-AM291,"")</f>
        <v>866</v>
      </c>
      <c r="AN315" s="262">
        <f>IF(ISNUMBER(AN278),AN278+AN279+AN280-AN288-N(AN289)-AN291,"")</f>
        <v>1546</v>
      </c>
      <c r="AO315" s="262">
        <f>IF(ISNUMBER(AO278),AO278+AO279+AO280-AO288-N(AO289)-AO291,"")</f>
        <v>-2327</v>
      </c>
      <c r="AP315" s="262">
        <f>IF(ISNUMBER(AP278),AP278+AP279+AP280-AP288-N(AP289)-AP291,"")</f>
        <v>3251</v>
      </c>
      <c r="AQ315" s="262">
        <f>IF(ISNUMBER(AQ278),AQ278+AQ279+AQ280-AQ288-N(AQ289)-AQ291,"")</f>
        <v>2227</v>
      </c>
      <c r="AR315" s="262">
        <f>IF(ISNUMBER(AR278),AR278+AR279+AR280-AR288-N(AR289)-AR291,"")</f>
        <v>2227</v>
      </c>
      <c r="AS315" s="262">
        <f>IF(ISNUMBER(AS278),AS278+AS279+AS280-AS288-N(AS289)-AS291,"")</f>
        <v>6155</v>
      </c>
      <c r="AT315" s="262">
        <f>IF(ISNUMBER(AT278),AT278+AT279+AT280-AT288-N(AT289)-AT291,"")</f>
        <v>8287</v>
      </c>
      <c r="AU315" s="262">
        <f>IF(ISNUMBER(AU278),AU278+AU279+AU280-AU288-N(AU289)-AU291,"")</f>
        <v>15223</v>
      </c>
      <c r="AV315" s="262">
        <f>IF(ISNUMBER(AV278),AV278+AV279+AV280-AV288-N(AV289)-AV291,"")</f>
        <v>10465</v>
      </c>
      <c r="AW315" s="262">
        <f>IF(ISNUMBER(AW278),AW278+AW279+AW280-AW288-N(AW289)-AW291,"")</f>
        <v>10465</v>
      </c>
      <c r="AX315" s="262">
        <f>IF(ISNUMBER(AX278),AX278+AX279+AX280-AX288-N(AX289)-AX291,"")</f>
        <v>14154</v>
      </c>
      <c r="AY315" s="262">
        <f>IF(ISNUMBER(AY278),AY278+AY279+AY280-AY288-N(AY289)-AY291,"")</f>
        <v>16063</v>
      </c>
      <c r="AZ315" s="262">
        <f>IF(ISNUMBER(AZ278),AZ278+AZ279+AZ280-AZ288-N(AZ289)-AZ291,"")</f>
        <v>16499</v>
      </c>
      <c r="BA315" s="262">
        <f>IF(ISNUMBER(BA278),BA278+BA279+BA280-BA288-N(BA289)-BA291,"")</f>
        <v>11726</v>
      </c>
      <c r="BB315" s="262">
        <f>IF(ISNUMBER(BB278),BB278+BB279+BB280-BB288-N(BB289)-BB291,"")</f>
        <v>11726</v>
      </c>
      <c r="BC315" s="262">
        <f>IF(ISNUMBER(BC278),BC278+BC279+BC280-BC288-N(BC289)-BC291,"")</f>
        <v>14629</v>
      </c>
      <c r="BD315" s="262">
        <f>IF(ISNUMBER(BD278),BD278+BD279+BD280-BD288-N(BD289)-BD291,"")</f>
        <v>15159</v>
      </c>
      <c r="BE315" s="262">
        <f>IF(ISNUMBER(BE278),BE278+BE279+BE280-BE288-N(BE289)-BE291,"")</f>
        <v>10807</v>
      </c>
      <c r="BF315" s="262">
        <f>IF(ISNUMBER(BF278),BF278+BF279+BF280-BF288-N(BF289)-BF291,"")</f>
        <v>7441</v>
      </c>
      <c r="BG315" s="262">
        <f>IF(ISNUMBER(BG278),BG278+BG279+BG280-BG288-N(BG289)-BG291,"")</f>
        <v>7441</v>
      </c>
      <c r="BH315" s="262">
        <f>IF(ISNUMBER(BH278),BH278+BH279+BH280-BH288-N(BH289)-BH291,"")</f>
        <v>8460</v>
      </c>
      <c r="BI315" s="262">
        <f>IF(ISNUMBER(BI278),BI278+BI279+BI280-BI288-N(BI289)-BI291,"")</f>
        <v>6183</v>
      </c>
      <c r="BJ315" s="262">
        <f>IF(ISNUMBER(BJ278),BJ278+BJ279+BJ280-BJ288-N(BJ289)-BJ291,"")</f>
        <v>5392</v>
      </c>
      <c r="BK315" s="262">
        <f>IF(ISNUMBER(BK278),BK278+BK279+BK280-BK288-N(BK289)-BK291,"")</f>
        <v>2687</v>
      </c>
      <c r="BL315" s="262">
        <f>IF(ISNUMBER(BL278),BL278+BL279+BL280-BL288-N(BL289)-BL291,"")</f>
        <v>2687</v>
      </c>
      <c r="BM315" s="262">
        <f>IF(ISNUMBER(BM278),BM278+BM279+BM280-BM288-N(BM289)-BM291,"")</f>
        <v>6808</v>
      </c>
      <c r="BN315" s="262">
        <f>IF(ISNUMBER(BN278),BN278+BN279+BN280-BN288-N(BN289)-BN291,"")</f>
        <v>9953</v>
      </c>
      <c r="BO315" s="262">
        <f>IF(ISNUMBER(BO278),BO278+BO279+BO280-BO288-N(BO289)-BO291,"")</f>
        <v>6140</v>
      </c>
      <c r="BP315" s="262">
        <f>IF(ISNUMBER(BP278),BP278+BP279+BP280-BP288-N(BP289)-BP291,"")</f>
        <v>5916</v>
      </c>
      <c r="BQ315" s="262">
        <f>IF(ISNUMBER(BQ278),BQ278+BQ279+BQ280-BQ288-N(BQ289)-BQ291,"")</f>
        <v>5916</v>
      </c>
      <c r="BR315" s="262">
        <f>IF(ISNUMBER(BR278),BR278+BR279+BR280-BR288-N(BR289)-BR291,"")</f>
        <v>8264</v>
      </c>
      <c r="BS315" s="262">
        <f>IF(ISNUMBER(BS278),BS278+BS279+BS280-BS288-N(BS289)-BS291,"")</f>
        <v>9677</v>
      </c>
      <c r="BT315" s="262">
        <f>IF(ISNUMBER(BT278),BT278+BT279+BT280-BT288-N(BT289)-BT291,"")</f>
        <v>4566</v>
      </c>
      <c r="BU315" s="262">
        <f>IF(ISNUMBER(BU278),BU278+BU279+BU280-BU288-N(BU289)-BU291,"")</f>
        <v>-595</v>
      </c>
      <c r="BV315" s="262">
        <f>IF(ISNUMBER(BV278),BV278+BV279+BV280-BV288-N(BV289)-BV291,"")</f>
        <v>-595</v>
      </c>
      <c r="BW315" s="262">
        <f>IF(ISNUMBER(BW278),BW278+BW279+BW280-BW288-N(BW289)-BW291,"")</f>
        <v>544</v>
      </c>
      <c r="BX315" s="262">
        <f>IF(ISNUMBER(BX278),BX278+BX279+BX280-BX288-N(BX289)-BX291,"")</f>
        <v>-390</v>
      </c>
      <c r="BY315" s="35" t="n"/>
      <c r="BZ315" s="35" t="n"/>
      <c r="CA315" s="263">
        <f>IF(ISNUMBER(CA278),CA278+CA279+CA280-CA288-N(CA289)-CA291,"")</f>
        <v>-2833.39926623325</v>
      </c>
      <c r="CB315" s="263">
        <f>IF(ISNUMBER(CB278),CB278+CB279+CB280-CB288-N(CB289)-CB291,"")</f>
        <v>-5591.4646421133</v>
      </c>
      <c r="CC315" s="263">
        <f>IF(ISNUMBER(CC278),CC278+CC279+CC280-CC288-N(CC289)-CC291,"")</f>
        <v>-9591.63035097044</v>
      </c>
      <c r="CD315" s="263">
        <f>IF(ISNUMBER(CD278),CD278+CD279+CD280-CD288-N(CD289)-CD291,"")</f>
        <v>-13745.8105446997</v>
      </c>
      <c r="CE315" s="263">
        <f>IF(ISNUMBER(CE278),CE278+CE279+CE280-CE288-N(CE289)-CE291,"")</f>
        <v>-17369.0359926054</v>
      </c>
      <c r="CF315" s="263">
        <f>IF(ISNUMBER(CF278),CF278+CF279+CF280-CF288-N(CF289)-CF291,"")</f>
        <v>-20413.3129947939</v>
      </c>
      <c r="CG315" s="19" t="n"/>
    </row>
    <row r="316" ht="15" customHeight="1" s="251">
      <c r="B316" s="25" t="inlineStr">
        <is>
          <t xml:space="preserve">  NWC % of revenues</t>
        </is>
      </c>
      <c r="C316" s="215">
        <f>IF(ISNUMBER(C315),IFERROR(C315/C308,""),"")</f>
        <v>-0.190524947180237</v>
      </c>
      <c r="D316" s="215">
        <f>IF(ISNUMBER(D315),IFERROR(D315/D308,""),"")</f>
        <v>-0.196393872294275</v>
      </c>
      <c r="E316" s="215">
        <f>IF(ISNUMBER(E315),IFERROR(E315/E308,""),"")</f>
        <v>-0.125777595404185</v>
      </c>
      <c r="F316" s="215">
        <f>IF(ISNUMBER(F315),IFERROR(F315/F308,""),"")</f>
        <v>-0.118978925323296</v>
      </c>
      <c r="G316" s="215">
        <f>IF(ISNUMBER(G315),IFERROR(G315/G308,""),"")</f>
        <v>-0.0682984480452835</v>
      </c>
      <c r="H316" s="215">
        <f>IF(ISNUMBER(H315),IFERROR(H315/H308,""),"")</f>
        <v>-0.00557212482723503</v>
      </c>
      <c r="I316" s="215">
        <f>IF(ISNUMBER(I315),IFERROR(I315/I308,""),"")</f>
        <v>0.00250924135229749</v>
      </c>
      <c r="J316" s="215">
        <f>IF(ISNUMBER(J315),IFERROR(J315/J308,""),"")</f>
        <v>0.0382152119832742</v>
      </c>
      <c r="K316" s="215">
        <f>IF(ISNUMBER(K315),IFERROR(K315/K308,""),"")</f>
        <v>0.0105317442126977</v>
      </c>
      <c r="L316" s="215">
        <f>IF(ISNUMBER(L315),IFERROR(L315/L308,""),"")</f>
        <v>-0.00576140985088116</v>
      </c>
      <c r="M316" s="215">
        <f>IF(ISNUMBER(M315),IFERROR(M315/M308,""),"")</f>
        <v>-0.00112465839815009</v>
      </c>
      <c r="N316" s="215">
        <f>IF(ISNUMBER(N315),IFERROR(N315/N308,""),"")</f>
        <v>-0.00123523775440703</v>
      </c>
      <c r="O316" s="215">
        <f>IF(ISNUMBER(O315),IFERROR(O315/O308,""),"")</f>
        <v>0.020901539213291</v>
      </c>
      <c r="P316" s="215">
        <f>IF(ISNUMBER(P315),IFERROR(P315/P308,""),"")</f>
        <v>0.0277727375822182</v>
      </c>
      <c r="Q316" s="215">
        <f>IF(ISNUMBER(Q315),IFERROR(Q315/Q308,""),"")</f>
        <v>0.0369576185671039</v>
      </c>
      <c r="R316" s="215">
        <f>IF(ISNUMBER(R315),IFERROR(R315/R308,""),"")</f>
        <v>-0.0111880823933301</v>
      </c>
      <c r="S316" s="215">
        <f>IF(ISNUMBER(S315),IFERROR(S315/S308,""),"")</f>
        <v>-0.0120645203939975</v>
      </c>
      <c r="T316" s="215">
        <f>IF(ISNUMBER(T315),IFERROR(T315/T308,""),"")</f>
        <v>0.0188157478892952</v>
      </c>
      <c r="U316" s="215">
        <f>IF(ISNUMBER(U315),IFERROR(U315/U308,""),"")</f>
        <v>0.00159923399747382</v>
      </c>
      <c r="V316" s="215">
        <f>IF(ISNUMBER(V315),IFERROR(V315/V308,""),"")</f>
        <v>0.00507756586328291</v>
      </c>
      <c r="W316" s="215">
        <f>IF(ISNUMBER(W315),IFERROR(W315/W308,""),"")</f>
        <v>0.074279896491749</v>
      </c>
      <c r="X316" s="215">
        <f>IF(ISNUMBER(X315),IFERROR(X315/X308,""),"")</f>
        <v>0.0728717980731215</v>
      </c>
      <c r="Y316" s="215">
        <f>IF(ISNUMBER(Y315),IFERROR(Y315/Y308,""),"")</f>
        <v>0.0989859490986214</v>
      </c>
      <c r="Z316" s="215">
        <f>IF(ISNUMBER(Z315),IFERROR(Z315/Z308,""),"")</f>
        <v>0.0560593819430418</v>
      </c>
      <c r="AA316" s="215">
        <f>IF(ISNUMBER(AA315),IFERROR(AA315/AA308,""),"")</f>
        <v>0.0492928278517031</v>
      </c>
      <c r="AB316" s="215">
        <f>IF(ISNUMBER(AB315),IFERROR(AB315/AB308,""),"")</f>
        <v>0.0290839989693378</v>
      </c>
      <c r="AC316" s="215">
        <f>IF(ISNUMBER(AC315),IFERROR(AC315/AC308,""),"")</f>
        <v>0.0286451449175752</v>
      </c>
      <c r="AD316" s="215">
        <f>IF(ISNUMBER(AD315),IFERROR(AD315/AD308,""),"")</f>
        <v>0.0446700991609458</v>
      </c>
      <c r="AE316" s="215">
        <f>IF(ISNUMBER(AE315),IFERROR(AE315/AE308,""),"")</f>
        <v>0.00347420730902854</v>
      </c>
      <c r="AF316" s="215">
        <f>IF(ISNUMBER(AF315),IFERROR(AF315/AF308,""),"")</f>
        <v>0.00708585297626394</v>
      </c>
      <c r="AG316" s="215">
        <f>IF(ISNUMBER(AG315),IFERROR(AG315/AG308,""),"")</f>
        <v>0.00231590980763166</v>
      </c>
      <c r="AH316" s="215">
        <f>IF(ISNUMBER(AH315),IFERROR(AH315/AH308,""),"")</f>
        <v>0.0025162754839815</v>
      </c>
      <c r="AI316" s="215">
        <f>IF(ISNUMBER(AI315),IFERROR(AI315/AI308,""),"")</f>
        <v>0.0331558463775554</v>
      </c>
      <c r="AJ316" s="215">
        <f>IF(ISNUMBER(AJ315),IFERROR(AJ315/AJ308,""),"")</f>
        <v>0.0053281391705829</v>
      </c>
      <c r="AK316" s="215">
        <f>IF(ISNUMBER(AK315),IFERROR(AK315/AK308,""),"")</f>
        <v>-0.00330072377316472</v>
      </c>
      <c r="AL316" s="215">
        <f>IF(ISNUMBER(AL315),IFERROR(AL315/AL308,""),"")</f>
        <v>0.00763910941745175</v>
      </c>
      <c r="AM316" s="215">
        <f>IF(ISNUMBER(AM315),IFERROR(AM315/AM308,""),"")</f>
        <v>0.00856348947363217</v>
      </c>
      <c r="AN316" s="215">
        <f>IF(ISNUMBER(AN315),IFERROR(AN315/AN308,""),"")</f>
        <v>0.0168652092333202</v>
      </c>
      <c r="AO316" s="215">
        <f>IF(ISNUMBER(AO315),IFERROR(AO315/AO308,""),"")</f>
        <v>-0.0369341629102914</v>
      </c>
      <c r="AP316" s="215">
        <f>IF(ISNUMBER(AP315),IFERROR(AP315/AP308,""),"")</f>
        <v>0.0406781781781782</v>
      </c>
      <c r="AQ316" s="215">
        <f>IF(ISNUMBER(AQ315),IFERROR(AQ315/AQ308,""),"")</f>
        <v>0.0310842499022947</v>
      </c>
      <c r="AR316" s="215">
        <f>IF(ISNUMBER(AR315),IFERROR(AR315/AR308,""),"")</f>
        <v>0.0290886767068535</v>
      </c>
      <c r="AS316" s="215">
        <f>IF(ISNUMBER(AS315),IFERROR(AS315/AS308,""),"")</f>
        <v>0.0910072155192808</v>
      </c>
      <c r="AT316" s="215">
        <f>IF(ISNUMBER(AT315),IFERROR(AT315/AT308,""),"")</f>
        <v>0.175467942745829</v>
      </c>
      <c r="AU316" s="215">
        <f>IF(ISNUMBER(AU315),IFERROR(AU315/AU308,""),"")</f>
        <v>0.269166843482566</v>
      </c>
      <c r="AV316" s="215">
        <f>IF(ISNUMBER(AV315),IFERROR(AV315/AV308,""),"")</f>
        <v>0.170952038682697</v>
      </c>
      <c r="AW316" s="215">
        <f>IF(ISNUMBER(AW315),IFERROR(AW315/AW308,""),"")</f>
        <v>0.17994085078579</v>
      </c>
      <c r="AX316" s="215">
        <f>IF(ISNUMBER(AX315),IFERROR(AX315/AX308,""),"")</f>
        <v>0.232535979496616</v>
      </c>
      <c r="AY316" s="215">
        <f>IF(ISNUMBER(AY315),IFERROR(AY315/AY308,""),"")</f>
        <v>0.236248382162607</v>
      </c>
      <c r="AZ316" s="215">
        <f>IF(ISNUMBER(AZ315),IFERROR(AZ315/AZ308,""),"")</f>
        <v>0.269979709386045</v>
      </c>
      <c r="BA316" s="215">
        <f>IF(ISNUMBER(BA315),IFERROR(BA315/BA308,""),"")</f>
        <v>0.198168052457243</v>
      </c>
      <c r="BB316" s="215">
        <f>IF(ISNUMBER(BB315),IFERROR(BB315/BB308,""),"")</f>
        <v>0.188260604309155</v>
      </c>
      <c r="BC316" s="215">
        <f>IF(ISNUMBER(BC315),IFERROR(BC315/BC308,""),"")</f>
        <v>0.26140018583375</v>
      </c>
      <c r="BD316" s="215">
        <f>IF(ISNUMBER(BD315),IFERROR(BD315/BD308,""),"")</f>
        <v>0.227189616929441</v>
      </c>
      <c r="BE316" s="215">
        <f>IF(ISNUMBER(BE315),IFERROR(BE315/BE308,""),"")</f>
        <v>0.169325018801705</v>
      </c>
      <c r="BF316" s="215">
        <f>IF(ISNUMBER(BF315),IFERROR(BF315/BF308,""),"")</f>
        <v>0.0931056056056056</v>
      </c>
      <c r="BG316" s="215">
        <f>IF(ISNUMBER(BG315),IFERROR(BG315/BG308,""),"")</f>
        <v>0.111713307710786</v>
      </c>
      <c r="BH316" s="215">
        <f>IF(ISNUMBER(BH315),IFERROR(BH315/BH308,""),"")</f>
        <v>0.118017967747336</v>
      </c>
      <c r="BI316" s="215">
        <f>IF(ISNUMBER(BI315),IFERROR(BI315/BI308,""),"")</f>
        <v>0.0782618601589793</v>
      </c>
      <c r="BJ316" s="215">
        <f>IF(ISNUMBER(BJ315),IFERROR(BJ315/BJ308,""),"")</f>
        <v>0.0744586831639417</v>
      </c>
      <c r="BK316" s="215">
        <f>IF(ISNUMBER(BK315),IFERROR(BK315/BK308,""),"")</f>
        <v>0.0305091288945408</v>
      </c>
      <c r="BL316" s="215">
        <f>IF(ISNUMBER(BL315),IFERROR(BL315/BL308,""),"")</f>
        <v>0.0345399388127619</v>
      </c>
      <c r="BM316" s="215">
        <f>IF(ISNUMBER(BM315),IFERROR(BM315/BM308,""),"")</f>
        <v>0.102721950630696</v>
      </c>
      <c r="BN316" s="215">
        <f>IF(ISNUMBER(BN315),IFERROR(BN315/BN308,""),"")</f>
        <v>0.147530534803747</v>
      </c>
      <c r="BO316" s="215">
        <f>IF(ISNUMBER(BO315),IFERROR(BO315/BO308,""),"")</f>
        <v>0.086042600896861</v>
      </c>
      <c r="BP316" s="215">
        <f>IF(ISNUMBER(BP315),IFERROR(BP315/BP308,""),"")</f>
        <v>0.0970345099068364</v>
      </c>
      <c r="BQ316" s="215">
        <f>IF(ISNUMBER(BQ315),IFERROR(BQ315/BQ308,""),"")</f>
        <v>0.0889396695581581</v>
      </c>
      <c r="BR316" s="215">
        <f>IF(ISNUMBER(BR315),IFERROR(BR315/BR308,""),"")</f>
        <v>0.105970455478047</v>
      </c>
      <c r="BS316" s="215">
        <f>IF(ISNUMBER(BS315),IFERROR(BS315/BS308,""),"")</f>
        <v>0.106345333860829</v>
      </c>
      <c r="BT316" s="215">
        <f>IF(ISNUMBER(BT315),IFERROR(BT315/BT308,""),"")</f>
        <v>0.049054576708208</v>
      </c>
      <c r="BU316" s="215">
        <f>IF(ISNUMBER(BU315),IFERROR(BU315/BU308,""),"")</f>
        <v>-0.00621137464506431</v>
      </c>
      <c r="BV316" s="215">
        <f>IF(ISNUMBER(BV315),IFERROR(BV315/BV308,""),"")</f>
        <v>-0.0066507941830701</v>
      </c>
      <c r="BW316" s="215">
        <f>IF(ISNUMBER(BW315),IFERROR(BW315/BW308,""),"")</f>
        <v>0.00612143853805644</v>
      </c>
      <c r="BX316" s="215">
        <f>IF(ISNUMBER(BX315),IFERROR(BX315/BX308,""),"")</f>
        <v>-0.00396986970684039</v>
      </c>
      <c r="BY316" s="24" t="n"/>
      <c r="BZ316" s="24" t="n"/>
      <c r="CA316" s="260">
        <f>IF(ISNUMBER(CA315),IFERROR(CA315/CA308,""),"")</f>
        <v>-0.0291278702131401</v>
      </c>
      <c r="CB316" s="260">
        <f>IF(ISNUMBER(CB315),IFERROR(CB315/CB308,""),"")</f>
        <v>-0.05245354681604</v>
      </c>
      <c r="CC316" s="260">
        <f>IF(ISNUMBER(CC315),IFERROR(CC315/CC308,""),"")</f>
        <v>-0.0828426260283932</v>
      </c>
      <c r="CD316" s="260">
        <f>IF(ISNUMBER(CD315),IFERROR(CD315/CD308,""),"")</f>
        <v>-0.111024780109658</v>
      </c>
      <c r="CE316" s="260">
        <f>IF(ISNUMBER(CE315),IFERROR(CE315/CE308,""),"")</f>
        <v>-0.133697995143538</v>
      </c>
      <c r="CF316" s="260">
        <f>IF(ISNUMBER(CF315),IFERROR(CF315/CF308,""),"")</f>
        <v>-0.150645586299848</v>
      </c>
      <c r="CG316" s="153" t="n"/>
      <c r="CI316" s="37">
        <f>IFERROR(AVERAGE(CB316,CC316,CD316,CE316,CF316),"n/m")</f>
        <v>-0.106132906879496</v>
      </c>
      <c r="CJ316" s="37">
        <f>IFERROR(AVERAGE(BB316,BG316,BL316,BQ316,BV316),"n/m")</f>
        <v>0.083360545241558</v>
      </c>
      <c r="CK316" s="37">
        <f>IFERROR(AVERAGE(AC316,AH316,AM316,AR316,AW316,BB316,BG316,BL316,BQ316,BV316),"n/m")</f>
        <v>0.0665557163575623</v>
      </c>
      <c r="CL316" s="37">
        <f>IFERROR(AVERAGE(C316,D316,E316,F316,G316,H316,I316,N316,S316,X316,AC316,AH316,AM316,AR316,AW316,BB316,BG316,BL316,BQ316,BV316),"n/m")</f>
        <v>0.00110462658890625</v>
      </c>
    </row>
    <row r="317" ht="15" customHeight="1" s="251">
      <c r="B317" s="25" t="inlineStr">
        <is>
          <t xml:space="preserve">  ΔNWC (y/y)</t>
        </is>
      </c>
      <c r="C317" s="34" t="n"/>
      <c r="D317" s="262">
        <f>IF(AND(ISNUMBER(D315),ISNUMBER(C315)),D315-C315,"")</f>
        <v>-1315</v>
      </c>
      <c r="E317" s="262">
        <f>IF(AND(ISNUMBER(E315),ISNUMBER(D315)),E315-D315,"")</f>
        <v>5375</v>
      </c>
      <c r="F317" s="262">
        <f>IF(AND(ISNUMBER(F315),ISNUMBER(E315)),F315-E315,"")</f>
        <v>-461</v>
      </c>
      <c r="G317" s="262">
        <f>IF(AND(ISNUMBER(G315),ISNUMBER(F315)),G315-F315,"")</f>
        <v>3732</v>
      </c>
      <c r="H317" s="262">
        <f>IF(AND(ISNUMBER(H315),ISNUMBER(G315)),H315-G315,"")</f>
        <v>4009</v>
      </c>
      <c r="I317" s="262">
        <f>IF(AND(ISNUMBER(I315),ISNUMBER(H315)),I315-H315,"")</f>
        <v>588</v>
      </c>
      <c r="J317" s="34" t="n"/>
      <c r="K317" s="34" t="n"/>
      <c r="L317" s="34" t="n"/>
      <c r="M317" s="34" t="n"/>
      <c r="N317" s="262">
        <f>IF(AND(ISNUMBER(N315),ISNUMBER(I315)),N315-I315,"")</f>
        <v>-312</v>
      </c>
      <c r="O317" s="262">
        <f>IF(AND(ISNUMBER(O315),ISNUMBER(J315)),O315-J315,"")</f>
        <v>-1177</v>
      </c>
      <c r="P317" s="262">
        <f>IF(AND(ISNUMBER(P315),ISNUMBER(K315)),P315-K315,"")</f>
        <v>1530</v>
      </c>
      <c r="Q317" s="262">
        <f>IF(AND(ISNUMBER(Q315),ISNUMBER(L315)),Q315-L315,"")</f>
        <v>4026</v>
      </c>
      <c r="R317" s="262">
        <f>IF(AND(ISNUMBER(R315),ISNUMBER(M315)),R315-M315,"")</f>
        <v>-988</v>
      </c>
      <c r="S317" s="262">
        <f>IF(AND(ISNUMBER(S315),ISNUMBER(N315)),S315-N315,"")</f>
        <v>-988</v>
      </c>
      <c r="T317" s="262">
        <f>IF(AND(ISNUMBER(T315),ISNUMBER(O315)),T315-O315,"")</f>
        <v>-44</v>
      </c>
      <c r="U317" s="262">
        <f>IF(AND(ISNUMBER(U315),ISNUMBER(P315)),U315-P315,"")</f>
        <v>-2292</v>
      </c>
      <c r="V317" s="262">
        <f>IF(AND(ISNUMBER(V315),ISNUMBER(Q315)),V315-Q315,"")</f>
        <v>-2991</v>
      </c>
      <c r="W317" s="262">
        <f>IF(AND(ISNUMBER(W315),ISNUMBER(R315)),W315-R315,"")</f>
        <v>8099</v>
      </c>
      <c r="X317" s="262">
        <f>IF(AND(ISNUMBER(X315),ISNUMBER(S315)),X315-S315,"")</f>
        <v>8099</v>
      </c>
      <c r="Y317" s="262">
        <f>IF(AND(ISNUMBER(Y315),ISNUMBER(T315)),Y315-T315,"")</f>
        <v>7294</v>
      </c>
      <c r="Z317" s="262">
        <f>IF(AND(ISNUMBER(Z315),ISNUMBER(U315)),Z315-U315,"")</f>
        <v>5394</v>
      </c>
      <c r="AA317" s="262">
        <f>IF(AND(ISNUMBER(AA315),ISNUMBER(V315)),AA315-V315,"")</f>
        <v>4187</v>
      </c>
      <c r="AB317" s="262">
        <f>IF(AND(ISNUMBER(AB315),ISNUMBER(W315)),AB315-W315,"")</f>
        <v>-4295</v>
      </c>
      <c r="AC317" s="262">
        <f>IF(AND(ISNUMBER(AC315),ISNUMBER(X315)),AC315-X315,"")</f>
        <v>-4295</v>
      </c>
      <c r="AD317" s="262">
        <f>IF(AND(ISNUMBER(AD315),ISNUMBER(Y315)),AD315-Y315,"")</f>
        <v>-5213</v>
      </c>
      <c r="AE317" s="262">
        <f>IF(AND(ISNUMBER(AE315),ISNUMBER(Z315)),AE315-Z315,"")</f>
        <v>-5235</v>
      </c>
      <c r="AF317" s="262">
        <f>IF(AND(ISNUMBER(AF315),ISNUMBER(AA315)),AF315-AA315,"")</f>
        <v>-4023</v>
      </c>
      <c r="AG317" s="262">
        <f>IF(AND(ISNUMBER(AG315),ISNUMBER(AB315)),AG315-AB315,"")</f>
        <v>-2474</v>
      </c>
      <c r="AH317" s="262">
        <f>IF(AND(ISNUMBER(AH315),ISNUMBER(AC315)),AH315-AC315,"")</f>
        <v>-2474</v>
      </c>
      <c r="AI317" s="262">
        <f>IF(AND(ISNUMBER(AI315),ISNUMBER(AD315)),AI315-AD315,"")</f>
        <v>-647</v>
      </c>
      <c r="AJ317" s="262">
        <f>IF(AND(ISNUMBER(AJ315),ISNUMBER(AE315)),AJ315-AE315,"")</f>
        <v>201</v>
      </c>
      <c r="AK317" s="262">
        <f>IF(AND(ISNUMBER(AK315),ISNUMBER(AF315)),AK315-AF315,"")</f>
        <v>-1021</v>
      </c>
      <c r="AL317" s="262">
        <f>IF(AND(ISNUMBER(AL315),ISNUMBER(AG315)),AL315-AG315,"")</f>
        <v>631</v>
      </c>
      <c r="AM317" s="262">
        <f>IF(AND(ISNUMBER(AM315),ISNUMBER(AH315)),AM315-AH315,"")</f>
        <v>631</v>
      </c>
      <c r="AN317" s="262">
        <f>IF(AND(ISNUMBER(AN315),ISNUMBER(AI315)),AN315-AI315,"")</f>
        <v>-1555</v>
      </c>
      <c r="AO317" s="262">
        <f>IF(AND(ISNUMBER(AO315),ISNUMBER(AJ315)),AO315-AJ315,"")</f>
        <v>-2844</v>
      </c>
      <c r="AP317" s="262">
        <f>IF(AND(ISNUMBER(AP315),ISNUMBER(AK315)),AP315-AK315,"")</f>
        <v>3583</v>
      </c>
      <c r="AQ317" s="262">
        <f>IF(AND(ISNUMBER(AQ315),ISNUMBER(AL315)),AQ315-AL315,"")</f>
        <v>1361</v>
      </c>
      <c r="AR317" s="262">
        <f>IF(AND(ISNUMBER(AR315),ISNUMBER(AM315)),AR315-AM315,"")</f>
        <v>1361</v>
      </c>
      <c r="AS317" s="262">
        <f>IF(AND(ISNUMBER(AS315),ISNUMBER(AN315)),AS315-AN315,"")</f>
        <v>4609</v>
      </c>
      <c r="AT317" s="262">
        <f>IF(AND(ISNUMBER(AT315),ISNUMBER(AO315)),AT315-AO315,"")</f>
        <v>10614</v>
      </c>
      <c r="AU317" s="262">
        <f>IF(AND(ISNUMBER(AU315),ISNUMBER(AP315)),AU315-AP315,"")</f>
        <v>11972</v>
      </c>
      <c r="AV317" s="262">
        <f>IF(AND(ISNUMBER(AV315),ISNUMBER(AQ315)),AV315-AQ315,"")</f>
        <v>8238</v>
      </c>
      <c r="AW317" s="262">
        <f>IF(AND(ISNUMBER(AW315),ISNUMBER(AR315)),AW315-AR315,"")</f>
        <v>8238</v>
      </c>
      <c r="AX317" s="262">
        <f>IF(AND(ISNUMBER(AX315),ISNUMBER(AS315)),AX315-AS315,"")</f>
        <v>7999</v>
      </c>
      <c r="AY317" s="262">
        <f>IF(AND(ISNUMBER(AY315),ISNUMBER(AT315)),AY315-AT315,"")</f>
        <v>7776</v>
      </c>
      <c r="AZ317" s="262">
        <f>IF(AND(ISNUMBER(AZ315),ISNUMBER(AU315)),AZ315-AU315,"")</f>
        <v>1276</v>
      </c>
      <c r="BA317" s="262">
        <f>IF(AND(ISNUMBER(BA315),ISNUMBER(AV315)),BA315-AV315,"")</f>
        <v>1261</v>
      </c>
      <c r="BB317" s="262">
        <f>IF(AND(ISNUMBER(BB315),ISNUMBER(AW315)),BB315-AW315,"")</f>
        <v>1261</v>
      </c>
      <c r="BC317" s="262">
        <f>IF(AND(ISNUMBER(BC315),ISNUMBER(AX315)),BC315-AX315,"")</f>
        <v>475</v>
      </c>
      <c r="BD317" s="262">
        <f>IF(AND(ISNUMBER(BD315),ISNUMBER(AY315)),BD315-AY315,"")</f>
        <v>-904</v>
      </c>
      <c r="BE317" s="262">
        <f>IF(AND(ISNUMBER(BE315),ISNUMBER(AZ315)),BE315-AZ315,"")</f>
        <v>-5692</v>
      </c>
      <c r="BF317" s="262">
        <f>IF(AND(ISNUMBER(BF315),ISNUMBER(BA315)),BF315-BA315,"")</f>
        <v>-4285</v>
      </c>
      <c r="BG317" s="262">
        <f>IF(AND(ISNUMBER(BG315),ISNUMBER(BB315)),BG315-BB315,"")</f>
        <v>-4285</v>
      </c>
      <c r="BH317" s="262">
        <f>IF(AND(ISNUMBER(BH315),ISNUMBER(BC315)),BH315-BC315,"")</f>
        <v>-6169</v>
      </c>
      <c r="BI317" s="262">
        <f>IF(AND(ISNUMBER(BI315),ISNUMBER(BD315)),BI315-BD315,"")</f>
        <v>-8976</v>
      </c>
      <c r="BJ317" s="262">
        <f>IF(AND(ISNUMBER(BJ315),ISNUMBER(BE315)),BJ315-BE315,"")</f>
        <v>-5415</v>
      </c>
      <c r="BK317" s="262">
        <f>IF(AND(ISNUMBER(BK315),ISNUMBER(BF315)),BK315-BF315,"")</f>
        <v>-4754</v>
      </c>
      <c r="BL317" s="262">
        <f>IF(AND(ISNUMBER(BL315),ISNUMBER(BG315)),BL315-BG315,"")</f>
        <v>-4754</v>
      </c>
      <c r="BM317" s="262">
        <f>IF(AND(ISNUMBER(BM315),ISNUMBER(BH315)),BM315-BH315,"")</f>
        <v>-1652</v>
      </c>
      <c r="BN317" s="262">
        <f>IF(AND(ISNUMBER(BN315),ISNUMBER(BI315)),BN315-BI315,"")</f>
        <v>3770</v>
      </c>
      <c r="BO317" s="262">
        <f>IF(AND(ISNUMBER(BO315),ISNUMBER(BJ315)),BO315-BJ315,"")</f>
        <v>748</v>
      </c>
      <c r="BP317" s="262">
        <f>IF(AND(ISNUMBER(BP315),ISNUMBER(BK315)),BP315-BK315,"")</f>
        <v>3229</v>
      </c>
      <c r="BQ317" s="262">
        <f>IF(AND(ISNUMBER(BQ315),ISNUMBER(BL315)),BQ315-BL315,"")</f>
        <v>3229</v>
      </c>
      <c r="BR317" s="262">
        <f>IF(AND(ISNUMBER(BR315),ISNUMBER(BM315)),BR315-BM315,"")</f>
        <v>1456</v>
      </c>
      <c r="BS317" s="262">
        <f>IF(AND(ISNUMBER(BS315),ISNUMBER(BN315)),BS315-BN315,"")</f>
        <v>-276</v>
      </c>
      <c r="BT317" s="262">
        <f>IF(AND(ISNUMBER(BT315),ISNUMBER(BO315)),BT315-BO315,"")</f>
        <v>-1574</v>
      </c>
      <c r="BU317" s="262">
        <f>IF(AND(ISNUMBER(BU315),ISNUMBER(BP315)),BU315-BP315,"")</f>
        <v>-6511</v>
      </c>
      <c r="BV317" s="262">
        <f>IF(AND(ISNUMBER(BV315),ISNUMBER(BQ315)),BV315-BQ315,"")</f>
        <v>-6511</v>
      </c>
      <c r="BW317" s="262">
        <f>IF(AND(ISNUMBER(BW315),ISNUMBER(BR315)),BW315-BR315,"")</f>
        <v>-7720</v>
      </c>
      <c r="BX317" s="262">
        <f>IF(AND(ISNUMBER(BX315),ISNUMBER(BS315)),BX315-BS315,"")</f>
        <v>-10067</v>
      </c>
      <c r="BY317" s="35" t="n"/>
      <c r="BZ317" s="35" t="n"/>
      <c r="CA317" s="263">
        <f>IF(AND(ISNUMBER(CA315),ISNUMBER(BV315)),CA315-BV315,"")</f>
        <v>-2238.39926623325</v>
      </c>
      <c r="CB317" s="263">
        <f>IF(AND(ISNUMBER(CB315),ISNUMBER(CA315)),CB315-CA315,"")</f>
        <v>-2758.06537588005</v>
      </c>
      <c r="CC317" s="263">
        <f>IF(AND(ISNUMBER(CC315),ISNUMBER(CB315)),CC315-CB315,"")</f>
        <v>-4000.16570885713</v>
      </c>
      <c r="CD317" s="263">
        <f>IF(AND(ISNUMBER(CD315),ISNUMBER(CC315)),CD315-CC315,"")</f>
        <v>-4154.18019372923</v>
      </c>
      <c r="CE317" s="263">
        <f>IF(AND(ISNUMBER(CE315),ISNUMBER(CD315)),CE315-CD315,"")</f>
        <v>-3623.22544790576</v>
      </c>
      <c r="CF317" s="263">
        <f>IF(AND(ISNUMBER(CF315),ISNUMBER(CE315)),CF315-CE315,"")</f>
        <v>-3044.27700218852</v>
      </c>
      <c r="CG317" s="19" t="n"/>
    </row>
    <row r="318" ht="15" customHeight="1" s="251">
      <c r="CO318" s="11" t="n"/>
      <c r="CP318" s="12" t="n"/>
      <c r="CQ318" s="12" t="n"/>
      <c r="CR318" s="12" t="n"/>
      <c r="CS318" s="13" t="n"/>
    </row>
    <row r="319" ht="15" customHeight="1" s="251">
      <c r="B319" s="10" t="inlineStr">
        <is>
          <t>BALANCE SHEET FORECAST SCHEDULES</t>
        </is>
      </c>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c r="AH319" s="10" t="n"/>
      <c r="AI319" s="10" t="n"/>
      <c r="AJ319" s="10" t="n"/>
      <c r="AK319" s="10" t="n"/>
      <c r="AL319" s="10" t="n"/>
      <c r="AM319" s="10" t="n"/>
      <c r="AN319" s="10" t="n"/>
      <c r="AO319" s="10" t="n"/>
      <c r="AP319" s="10" t="n"/>
      <c r="AQ319" s="10" t="n"/>
      <c r="AR319" s="10" t="n"/>
      <c r="AS319" s="10" t="n"/>
      <c r="AT319" s="10" t="n"/>
      <c r="AU319" s="10" t="n"/>
      <c r="AV319" s="10" t="n"/>
      <c r="AW319" s="10" t="n"/>
      <c r="AX319" s="10" t="n"/>
      <c r="AY319" s="10" t="n"/>
      <c r="AZ319" s="10" t="n"/>
      <c r="BA319" s="10" t="n"/>
      <c r="BB319" s="10" t="n"/>
      <c r="BC319" s="10" t="n"/>
      <c r="BD319" s="10" t="n"/>
      <c r="BE319" s="10" t="n"/>
      <c r="BF319" s="10" t="n"/>
      <c r="BG319" s="10" t="n"/>
      <c r="BH319" s="10" t="n"/>
      <c r="BI319" s="10" t="n"/>
      <c r="BJ319" s="10" t="n"/>
      <c r="BK319" s="10" t="n"/>
      <c r="BL319" s="10" t="n"/>
      <c r="BM319" s="10" t="n"/>
      <c r="BN319" s="10" t="n"/>
      <c r="BO319" s="10" t="n"/>
      <c r="BP319" s="10" t="n"/>
      <c r="BQ319" s="10" t="n"/>
      <c r="BR319" s="10" t="n"/>
      <c r="BS319" s="10" t="n"/>
      <c r="BT319" s="10" t="n"/>
      <c r="BU319" s="10" t="n"/>
      <c r="BV319" s="10" t="n"/>
      <c r="BW319" s="10" t="n"/>
      <c r="BX319" s="10" t="n"/>
      <c r="BY319" s="10" t="n"/>
      <c r="BZ319" s="10" t="n"/>
      <c r="CA319" s="10" t="n"/>
      <c r="CB319" s="10" t="n"/>
      <c r="CC319" s="10" t="n"/>
      <c r="CD319" s="10" t="n"/>
      <c r="CE319" s="10" t="n"/>
      <c r="CF319" s="10" t="n"/>
      <c r="CG319" s="10" t="inlineStr">
        <is>
          <t>BS FORECAST SCHEDULES — explicit driver assumptions</t>
        </is>
      </c>
    </row>
    <row r="320" ht="15" customHeight="1" s="251">
      <c r="B320" s="25" t="inlineStr">
        <is>
          <t>2026 free-cash-flow solve (2026E column)</t>
        </is>
      </c>
      <c r="CG320" s="153" t="n"/>
    </row>
    <row r="321" ht="15" customHeight="1" s="251">
      <c r="B321" s="69" t="inlineStr">
        <is>
          <t xml:space="preserve">  Operating cash flow before the 2H26 change in inventories (helper)</t>
        </is>
      </c>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c r="AA321" s="44" t="n"/>
      <c r="AB321" s="44" t="n"/>
      <c r="AC321" s="44" t="n"/>
      <c r="AD321" s="44" t="n"/>
      <c r="AE321" s="44" t="n"/>
      <c r="AF321" s="44" t="n"/>
      <c r="AG321" s="44" t="n"/>
      <c r="AH321" s="44" t="n"/>
      <c r="AI321" s="44" t="n"/>
      <c r="AJ321" s="44" t="n"/>
      <c r="AK321" s="44" t="n"/>
      <c r="AL321" s="44" t="n"/>
      <c r="AM321" s="44" t="n"/>
      <c r="AN321" s="44" t="n"/>
      <c r="AO321" s="44" t="n"/>
      <c r="AP321" s="44" t="n"/>
      <c r="AQ321" s="44" t="n"/>
      <c r="AR321" s="44" t="n"/>
      <c r="AS321" s="44" t="n"/>
      <c r="AT321" s="44" t="n"/>
      <c r="AU321" s="44" t="n"/>
      <c r="AV321" s="44" t="n"/>
      <c r="AW321" s="44" t="n"/>
      <c r="AX321" s="44" t="n"/>
      <c r="AY321" s="44" t="n"/>
      <c r="AZ321" s="44" t="n"/>
      <c r="BA321" s="44" t="n"/>
      <c r="BB321" s="44" t="n"/>
      <c r="BC321" s="44" t="n"/>
      <c r="BD321" s="44" t="n"/>
      <c r="BE321" s="44" t="n"/>
      <c r="BF321" s="44" t="n"/>
      <c r="BG321" s="44" t="n"/>
      <c r="BH321" s="44" t="n"/>
      <c r="BI321" s="44" t="n"/>
      <c r="BJ321" s="44" t="n"/>
      <c r="BK321" s="44" t="n"/>
      <c r="BL321" s="44" t="n"/>
      <c r="BM321" s="44" t="n"/>
      <c r="BN321" s="44" t="n"/>
      <c r="BO321" s="44" t="n"/>
      <c r="BP321" s="44" t="n"/>
      <c r="BQ321" s="44" t="n"/>
      <c r="BR321" s="44" t="n"/>
      <c r="BS321" s="44" t="n"/>
      <c r="BT321" s="44" t="n"/>
      <c r="BU321" s="44" t="n"/>
      <c r="BV321" s="44" t="n"/>
      <c r="BW321" s="44" t="n"/>
      <c r="BX321" s="44" t="n"/>
      <c r="BY321" s="153" t="n"/>
      <c r="BZ321" s="153" t="n"/>
      <c r="CA321" s="263">
        <f>CA221+CA223+CA224+CA225+CA226+CA227+SUM(BW228:BX228)-(CA278-BX278)-(CA280-BX280)+(CA288-BX288)+(CA289-BX289)+(CA291-BX291)</f>
        <v>6145.8509587655</v>
      </c>
      <c r="CB321" s="35" t="n"/>
      <c r="CC321" s="35" t="n"/>
      <c r="CD321" s="35" t="n"/>
      <c r="CE321" s="35" t="n"/>
      <c r="CF321" s="35" t="n"/>
      <c r="CG321" s="19" t="inlineStr">
        <is>
          <t>Closed-form solve: year-end inventories = 30-Jun-2026 inventories + this helper + capex − free-cash-flow target (no circularity).</t>
        </is>
      </c>
    </row>
    <row r="322" ht="15" customHeight="1" s="251">
      <c r="B322" s="69" t="inlineStr">
        <is>
          <t xml:space="preserve">  Implied 2H26 change in inventories (solved)</t>
        </is>
      </c>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c r="AA322" s="44" t="n"/>
      <c r="AB322" s="44" t="n"/>
      <c r="AC322" s="44" t="n"/>
      <c r="AD322" s="44" t="n"/>
      <c r="AE322" s="44" t="n"/>
      <c r="AF322" s="44" t="n"/>
      <c r="AG322" s="44" t="n"/>
      <c r="AH322" s="44" t="n"/>
      <c r="AI322" s="44" t="n"/>
      <c r="AJ322" s="44" t="n"/>
      <c r="AK322" s="44" t="n"/>
      <c r="AL322" s="44" t="n"/>
      <c r="AM322" s="44" t="n"/>
      <c r="AN322" s="44" t="n"/>
      <c r="AO322" s="44" t="n"/>
      <c r="AP322" s="44" t="n"/>
      <c r="AQ322" s="44" t="n"/>
      <c r="AR322" s="44" t="n"/>
      <c r="AS322" s="44" t="n"/>
      <c r="AT322" s="44" t="n"/>
      <c r="AU322" s="44" t="n"/>
      <c r="AV322" s="44" t="n"/>
      <c r="AW322" s="44" t="n"/>
      <c r="AX322" s="44" t="n"/>
      <c r="AY322" s="44" t="n"/>
      <c r="AZ322" s="44" t="n"/>
      <c r="BA322" s="44" t="n"/>
      <c r="BB322" s="44" t="n"/>
      <c r="BC322" s="44" t="n"/>
      <c r="BD322" s="44" t="n"/>
      <c r="BE322" s="44" t="n"/>
      <c r="BF322" s="44" t="n"/>
      <c r="BG322" s="44" t="n"/>
      <c r="BH322" s="44" t="n"/>
      <c r="BI322" s="44" t="n"/>
      <c r="BJ322" s="44" t="n"/>
      <c r="BK322" s="44" t="n"/>
      <c r="BL322" s="44" t="n"/>
      <c r="BM322" s="44" t="n"/>
      <c r="BN322" s="44" t="n"/>
      <c r="BO322" s="44" t="n"/>
      <c r="BP322" s="44" t="n"/>
      <c r="BQ322" s="44" t="n"/>
      <c r="BR322" s="44" t="n"/>
      <c r="BS322" s="44" t="n"/>
      <c r="BT322" s="44" t="n"/>
      <c r="BU322" s="44" t="n"/>
      <c r="BV322" s="44" t="n"/>
      <c r="BW322" s="44" t="n"/>
      <c r="BX322" s="44" t="n"/>
      <c r="BY322" s="153" t="n"/>
      <c r="BZ322" s="153" t="n"/>
      <c r="CA322" s="263">
        <f>CA279-BX279</f>
        <v>-54.1490412345011</v>
      </c>
      <c r="CB322" s="35" t="n"/>
      <c r="CC322" s="35" t="n"/>
      <c r="CD322" s="35" t="n"/>
      <c r="CE322" s="35" t="n"/>
      <c r="CF322" s="35" t="n"/>
      <c r="CG322" s="19" t="n"/>
    </row>
    <row r="323" ht="15" customHeight="1" s="251">
      <c r="B323" s="25" t="inlineStr">
        <is>
          <t>Acquisitions — consideration &amp; purchase-price allocation (closing-period column)</t>
        </is>
      </c>
      <c r="CG323" s="153" t="n"/>
    </row>
    <row r="324" ht="15" customHeight="1" s="251">
      <c r="B324" s="69" t="inlineStr">
        <is>
          <t xml:space="preserve">  Consideration — total fair value (incl. shares, settled loans / advances, debt repaid)</t>
        </is>
      </c>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c r="AA324" s="44" t="n"/>
      <c r="AB324" s="44" t="n"/>
      <c r="AC324" s="44" t="n"/>
      <c r="AD324" s="44" t="n"/>
      <c r="AE324" s="44" t="n"/>
      <c r="AF324" s="44" t="n"/>
      <c r="AG324" s="44" t="n"/>
      <c r="AH324" s="44" t="n"/>
      <c r="AI324" s="44" t="n"/>
      <c r="AJ324" s="44" t="n"/>
      <c r="AK324" s="44" t="n"/>
      <c r="AL324" s="44" t="n"/>
      <c r="AM324" s="44" t="n"/>
      <c r="AN324" s="44" t="n"/>
      <c r="AO324" s="44" t="n"/>
      <c r="AP324" s="44" t="n"/>
      <c r="AQ324" s="44" t="n"/>
      <c r="AR324" s="44" t="n"/>
      <c r="AS324" s="44" t="n"/>
      <c r="AT324" s="44" t="n"/>
      <c r="AU324" s="44" t="n"/>
      <c r="AV324" s="44" t="n"/>
      <c r="AW324" s="44" t="n"/>
      <c r="AX324" s="44" t="n"/>
      <c r="AY324" s="44" t="n"/>
      <c r="AZ324" s="44" t="n"/>
      <c r="BA324" s="44" t="n"/>
      <c r="BB324" s="44" t="n"/>
      <c r="BC324" s="44" t="n"/>
      <c r="BD324" s="44" t="n"/>
      <c r="BE324" s="44" t="n"/>
      <c r="BF324" s="44" t="n"/>
      <c r="BG324" s="44" t="n"/>
      <c r="BH324" s="44" t="n"/>
      <c r="BI324" s="44" t="n"/>
      <c r="BJ324" s="44" t="n"/>
      <c r="BK324" s="44" t="n"/>
      <c r="BL324" s="44" t="n"/>
      <c r="BM324" s="44" t="n"/>
      <c r="BN324" s="44" t="n"/>
      <c r="BO324" s="44" t="n"/>
      <c r="BP324" s="44" t="n"/>
      <c r="BQ324" s="44" t="n"/>
      <c r="BR324" s="44" t="n"/>
      <c r="BS324" s="44" t="n"/>
      <c r="BT324" s="44" t="n"/>
      <c r="BU324" s="266" t="n">
        <v>8371</v>
      </c>
      <c r="BV324" s="44" t="n"/>
      <c r="BW324" s="44" t="n"/>
      <c r="BX324" s="44" t="n"/>
      <c r="BY324" s="153" t="n"/>
      <c r="BZ324" s="153" t="n"/>
      <c r="CA324" s="35" t="n"/>
      <c r="CB324" s="35" t="n"/>
      <c r="CC324" s="35" t="n"/>
      <c r="CD324" s="35" t="n"/>
      <c r="CE324" s="35" t="n"/>
      <c r="CF324" s="35" t="n"/>
      <c r="CG324" s="19" t="n"/>
    </row>
    <row r="325" ht="15" customHeight="1" s="251">
      <c r="B325" s="69" t="inlineStr">
        <is>
          <t xml:space="preserve">  Cash acquired</t>
        </is>
      </c>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c r="AA325" s="44" t="n"/>
      <c r="AB325" s="44" t="n"/>
      <c r="AC325" s="44" t="n"/>
      <c r="AD325" s="44" t="n"/>
      <c r="AE325" s="44" t="n"/>
      <c r="AF325" s="44" t="n"/>
      <c r="AG325" s="44" t="n"/>
      <c r="AH325" s="44" t="n"/>
      <c r="AI325" s="44" t="n"/>
      <c r="AJ325" s="44" t="n"/>
      <c r="AK325" s="44" t="n"/>
      <c r="AL325" s="44" t="n"/>
      <c r="AM325" s="44" t="n"/>
      <c r="AN325" s="44" t="n"/>
      <c r="AO325" s="44" t="n"/>
      <c r="AP325" s="44" t="n"/>
      <c r="AQ325" s="44" t="n"/>
      <c r="AR325" s="44" t="n"/>
      <c r="AS325" s="44" t="n"/>
      <c r="AT325" s="44" t="n"/>
      <c r="AU325" s="44" t="n"/>
      <c r="AV325" s="44" t="n"/>
      <c r="AW325" s="44" t="n"/>
      <c r="AX325" s="44" t="n"/>
      <c r="AY325" s="44" t="n"/>
      <c r="AZ325" s="44" t="n"/>
      <c r="BA325" s="44" t="n"/>
      <c r="BB325" s="44" t="n"/>
      <c r="BC325" s="44" t="n"/>
      <c r="BD325" s="44" t="n"/>
      <c r="BE325" s="44" t="n"/>
      <c r="BF325" s="44" t="n"/>
      <c r="BG325" s="44" t="n"/>
      <c r="BH325" s="44" t="n"/>
      <c r="BI325" s="44" t="n"/>
      <c r="BJ325" s="44" t="n"/>
      <c r="BK325" s="44" t="n"/>
      <c r="BL325" s="44" t="n"/>
      <c r="BM325" s="44" t="n"/>
      <c r="BN325" s="44" t="n"/>
      <c r="BO325" s="44" t="n"/>
      <c r="BP325" s="44" t="n"/>
      <c r="BQ325" s="44" t="n"/>
      <c r="BR325" s="44" t="n"/>
      <c r="BS325" s="44" t="n"/>
      <c r="BT325" s="44" t="n"/>
      <c r="BU325" s="266" t="n">
        <v>281</v>
      </c>
      <c r="BV325" s="44" t="n"/>
      <c r="BW325" s="44" t="n"/>
      <c r="BX325" s="44" t="n"/>
      <c r="BY325" s="153" t="n"/>
      <c r="BZ325" s="153" t="n"/>
      <c r="CA325" s="35" t="n"/>
      <c r="CB325" s="35" t="n"/>
      <c r="CC325" s="35" t="n"/>
      <c r="CD325" s="35" t="n"/>
      <c r="CE325" s="35" t="n"/>
      <c r="CF325" s="35" t="n"/>
      <c r="CG325" s="19" t="n"/>
    </row>
    <row r="326" ht="15" customHeight="1" s="251">
      <c r="B326" s="69" t="inlineStr">
        <is>
          <t xml:space="preserve">  Receivables, unbilled receivables &amp; inventories</t>
        </is>
      </c>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c r="AA326" s="44" t="n"/>
      <c r="AB326" s="44" t="n"/>
      <c r="AC326" s="44" t="n"/>
      <c r="AD326" s="44" t="n"/>
      <c r="AE326" s="44" t="n"/>
      <c r="AF326" s="44" t="n"/>
      <c r="AG326" s="44" t="n"/>
      <c r="AH326" s="44" t="n"/>
      <c r="AI326" s="44" t="n"/>
      <c r="AJ326" s="44" t="n"/>
      <c r="AK326" s="44" t="n"/>
      <c r="AL326" s="44" t="n"/>
      <c r="AM326" s="44" t="n"/>
      <c r="AN326" s="44" t="n"/>
      <c r="AO326" s="44" t="n"/>
      <c r="AP326" s="44" t="n"/>
      <c r="AQ326" s="44" t="n"/>
      <c r="AR326" s="44" t="n"/>
      <c r="AS326" s="44" t="n"/>
      <c r="AT326" s="44" t="n"/>
      <c r="AU326" s="44" t="n"/>
      <c r="AV326" s="44" t="n"/>
      <c r="AW326" s="44" t="n"/>
      <c r="AX326" s="44" t="n"/>
      <c r="AY326" s="44" t="n"/>
      <c r="AZ326" s="44" t="n"/>
      <c r="BA326" s="44" t="n"/>
      <c r="BB326" s="44" t="n"/>
      <c r="BC326" s="44" t="n"/>
      <c r="BD326" s="44" t="n"/>
      <c r="BE326" s="44" t="n"/>
      <c r="BF326" s="44" t="n"/>
      <c r="BG326" s="44" t="n"/>
      <c r="BH326" s="44" t="n"/>
      <c r="BI326" s="44" t="n"/>
      <c r="BJ326" s="44" t="n"/>
      <c r="BK326" s="44" t="n"/>
      <c r="BL326" s="44" t="n"/>
      <c r="BM326" s="44" t="n"/>
      <c r="BN326" s="44" t="n"/>
      <c r="BO326" s="44" t="n"/>
      <c r="BP326" s="44" t="n"/>
      <c r="BQ326" s="44" t="n"/>
      <c r="BR326" s="44" t="n"/>
      <c r="BS326" s="44" t="n"/>
      <c r="BT326" s="44" t="n"/>
      <c r="BU326" s="266" t="n">
        <v>1903</v>
      </c>
      <c r="BV326" s="44" t="n"/>
      <c r="BW326" s="44" t="n"/>
      <c r="BX326" s="44" t="n"/>
      <c r="BY326" s="153" t="n"/>
      <c r="BZ326" s="153" t="n"/>
      <c r="CA326" s="35" t="n"/>
      <c r="CB326" s="35" t="n"/>
      <c r="CC326" s="35" t="n"/>
      <c r="CD326" s="35" t="n"/>
      <c r="CE326" s="35" t="n"/>
      <c r="CF326" s="35" t="n"/>
      <c r="CG326" s="19" t="n"/>
    </row>
    <row r="327" ht="15" customHeight="1" s="251">
      <c r="B327" s="69" t="inlineStr">
        <is>
          <t xml:space="preserve">  Property, plant &amp; equipment</t>
        </is>
      </c>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c r="AA327" s="44" t="n"/>
      <c r="AB327" s="44" t="n"/>
      <c r="AC327" s="44" t="n"/>
      <c r="AD327" s="44" t="n"/>
      <c r="AE327" s="44" t="n"/>
      <c r="AF327" s="44" t="n"/>
      <c r="AG327" s="44" t="n"/>
      <c r="AH327" s="44" t="n"/>
      <c r="AI327" s="44" t="n"/>
      <c r="AJ327" s="44" t="n"/>
      <c r="AK327" s="44" t="n"/>
      <c r="AL327" s="44" t="n"/>
      <c r="AM327" s="44" t="n"/>
      <c r="AN327" s="44" t="n"/>
      <c r="AO327" s="44" t="n"/>
      <c r="AP327" s="44" t="n"/>
      <c r="AQ327" s="44" t="n"/>
      <c r="AR327" s="44" t="n"/>
      <c r="AS327" s="44" t="n"/>
      <c r="AT327" s="44" t="n"/>
      <c r="AU327" s="44" t="n"/>
      <c r="AV327" s="44" t="n"/>
      <c r="AW327" s="44" t="n"/>
      <c r="AX327" s="44" t="n"/>
      <c r="AY327" s="44" t="n"/>
      <c r="AZ327" s="44" t="n"/>
      <c r="BA327" s="44" t="n"/>
      <c r="BB327" s="44" t="n"/>
      <c r="BC327" s="44" t="n"/>
      <c r="BD327" s="44" t="n"/>
      <c r="BE327" s="44" t="n"/>
      <c r="BF327" s="44" t="n"/>
      <c r="BG327" s="44" t="n"/>
      <c r="BH327" s="44" t="n"/>
      <c r="BI327" s="44" t="n"/>
      <c r="BJ327" s="44" t="n"/>
      <c r="BK327" s="44" t="n"/>
      <c r="BL327" s="44" t="n"/>
      <c r="BM327" s="44" t="n"/>
      <c r="BN327" s="44" t="n"/>
      <c r="BO327" s="44" t="n"/>
      <c r="BP327" s="44" t="n"/>
      <c r="BQ327" s="44" t="n"/>
      <c r="BR327" s="44" t="n"/>
      <c r="BS327" s="44" t="n"/>
      <c r="BT327" s="44" t="n"/>
      <c r="BU327" s="266" t="n">
        <v>2419</v>
      </c>
      <c r="BV327" s="44" t="n"/>
      <c r="BW327" s="44" t="n"/>
      <c r="BX327" s="44" t="n"/>
      <c r="BY327" s="153" t="n"/>
      <c r="BZ327" s="153" t="n"/>
      <c r="CA327" s="35" t="n"/>
      <c r="CB327" s="35" t="n"/>
      <c r="CC327" s="35" t="n"/>
      <c r="CD327" s="35" t="n"/>
      <c r="CE327" s="35" t="n"/>
      <c r="CF327" s="35" t="n"/>
      <c r="CG327" s="19" t="n"/>
    </row>
    <row r="328" ht="15" customHeight="1" s="251">
      <c r="B328" s="69" t="inlineStr">
        <is>
          <t xml:space="preserve">  Acquired intangible assets</t>
        </is>
      </c>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c r="AA328" s="44" t="n"/>
      <c r="AB328" s="44" t="n"/>
      <c r="AC328" s="44" t="n"/>
      <c r="AD328" s="44" t="n"/>
      <c r="AE328" s="44" t="n"/>
      <c r="AF328" s="44" t="n"/>
      <c r="AG328" s="44" t="n"/>
      <c r="AH328" s="44" t="n"/>
      <c r="AI328" s="44" t="n"/>
      <c r="AJ328" s="44" t="n"/>
      <c r="AK328" s="44" t="n"/>
      <c r="AL328" s="44" t="n"/>
      <c r="AM328" s="44" t="n"/>
      <c r="AN328" s="44" t="n"/>
      <c r="AO328" s="44" t="n"/>
      <c r="AP328" s="44" t="n"/>
      <c r="AQ328" s="44" t="n"/>
      <c r="AR328" s="44" t="n"/>
      <c r="AS328" s="44" t="n"/>
      <c r="AT328" s="44" t="n"/>
      <c r="AU328" s="44" t="n"/>
      <c r="AV328" s="44" t="n"/>
      <c r="AW328" s="44" t="n"/>
      <c r="AX328" s="44" t="n"/>
      <c r="AY328" s="44" t="n"/>
      <c r="AZ328" s="44" t="n"/>
      <c r="BA328" s="44" t="n"/>
      <c r="BB328" s="44" t="n"/>
      <c r="BC328" s="44" t="n"/>
      <c r="BD328" s="44" t="n"/>
      <c r="BE328" s="44" t="n"/>
      <c r="BF328" s="44" t="n"/>
      <c r="BG328" s="44" t="n"/>
      <c r="BH328" s="44" t="n"/>
      <c r="BI328" s="44" t="n"/>
      <c r="BJ328" s="44" t="n"/>
      <c r="BK328" s="44" t="n"/>
      <c r="BL328" s="44" t="n"/>
      <c r="BM328" s="44" t="n"/>
      <c r="BN328" s="44" t="n"/>
      <c r="BO328" s="44" t="n"/>
      <c r="BP328" s="44" t="n"/>
      <c r="BQ328" s="44" t="n"/>
      <c r="BR328" s="44" t="n"/>
      <c r="BS328" s="44" t="n"/>
      <c r="BT328" s="44" t="n"/>
      <c r="BU328" s="266" t="n">
        <v>109</v>
      </c>
      <c r="BV328" s="44" t="n"/>
      <c r="BW328" s="44" t="n"/>
      <c r="BX328" s="44" t="n"/>
      <c r="BY328" s="153" t="n"/>
      <c r="BZ328" s="153" t="n"/>
      <c r="CA328" s="35" t="n"/>
      <c r="CB328" s="35" t="n"/>
      <c r="CC328" s="35" t="n"/>
      <c r="CD328" s="35" t="n"/>
      <c r="CE328" s="35" t="n"/>
      <c r="CF328" s="35" t="n"/>
      <c r="CG328" s="19" t="n"/>
    </row>
    <row r="329" ht="15" customHeight="1" s="251">
      <c r="B329" s="69" t="inlineStr">
        <is>
          <t xml:space="preserve">  Goodwill</t>
        </is>
      </c>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c r="AA329" s="44" t="n"/>
      <c r="AB329" s="44" t="n"/>
      <c r="AC329" s="44" t="n"/>
      <c r="AD329" s="44" t="n"/>
      <c r="AE329" s="44" t="n"/>
      <c r="AF329" s="44" t="n"/>
      <c r="AG329" s="44" t="n"/>
      <c r="AH329" s="44" t="n"/>
      <c r="AI329" s="44" t="n"/>
      <c r="AJ329" s="44" t="n"/>
      <c r="AK329" s="44" t="n"/>
      <c r="AL329" s="44" t="n"/>
      <c r="AM329" s="44" t="n"/>
      <c r="AN329" s="44" t="n"/>
      <c r="AO329" s="44" t="n"/>
      <c r="AP329" s="44" t="n"/>
      <c r="AQ329" s="44" t="n"/>
      <c r="AR329" s="44" t="n"/>
      <c r="AS329" s="44" t="n"/>
      <c r="AT329" s="44" t="n"/>
      <c r="AU329" s="44" t="n"/>
      <c r="AV329" s="44" t="n"/>
      <c r="AW329" s="44" t="n"/>
      <c r="AX329" s="44" t="n"/>
      <c r="AY329" s="44" t="n"/>
      <c r="AZ329" s="44" t="n"/>
      <c r="BA329" s="44" t="n"/>
      <c r="BB329" s="44" t="n"/>
      <c r="BC329" s="44" t="n"/>
      <c r="BD329" s="44" t="n"/>
      <c r="BE329" s="44" t="n"/>
      <c r="BF329" s="44" t="n"/>
      <c r="BG329" s="44" t="n"/>
      <c r="BH329" s="44" t="n"/>
      <c r="BI329" s="44" t="n"/>
      <c r="BJ329" s="44" t="n"/>
      <c r="BK329" s="44" t="n"/>
      <c r="BL329" s="44" t="n"/>
      <c r="BM329" s="44" t="n"/>
      <c r="BN329" s="44" t="n"/>
      <c r="BO329" s="44" t="n"/>
      <c r="BP329" s="44" t="n"/>
      <c r="BQ329" s="44" t="n"/>
      <c r="BR329" s="44" t="n"/>
      <c r="BS329" s="44" t="n"/>
      <c r="BT329" s="44" t="n"/>
      <c r="BU329" s="266" t="n">
        <v>9997</v>
      </c>
      <c r="BV329" s="44" t="n"/>
      <c r="BW329" s="44" t="n"/>
      <c r="BX329" s="44" t="n"/>
      <c r="BY329" s="153" t="n"/>
      <c r="BZ329" s="153" t="n"/>
      <c r="CA329" s="35" t="n"/>
      <c r="CB329" s="35" t="n"/>
      <c r="CC329" s="35" t="n"/>
      <c r="CD329" s="35" t="n"/>
      <c r="CE329" s="35" t="n"/>
      <c r="CF329" s="35" t="n"/>
      <c r="CG329" s="19" t="n"/>
    </row>
    <row r="330" ht="15" customHeight="1" s="251">
      <c r="B330" s="69" t="inlineStr">
        <is>
          <t xml:space="preserve">  Other assets &amp; other</t>
        </is>
      </c>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c r="AA330" s="44" t="n"/>
      <c r="AB330" s="44" t="n"/>
      <c r="AC330" s="44" t="n"/>
      <c r="AD330" s="44" t="n"/>
      <c r="AE330" s="44" t="n"/>
      <c r="AF330" s="44" t="n"/>
      <c r="AG330" s="44" t="n"/>
      <c r="AH330" s="44" t="n"/>
      <c r="AI330" s="44" t="n"/>
      <c r="AJ330" s="44" t="n"/>
      <c r="AK330" s="44" t="n"/>
      <c r="AL330" s="44" t="n"/>
      <c r="AM330" s="44" t="n"/>
      <c r="AN330" s="44" t="n"/>
      <c r="AO330" s="44" t="n"/>
      <c r="AP330" s="44" t="n"/>
      <c r="AQ330" s="44" t="n"/>
      <c r="AR330" s="44" t="n"/>
      <c r="AS330" s="44" t="n"/>
      <c r="AT330" s="44" t="n"/>
      <c r="AU330" s="44" t="n"/>
      <c r="AV330" s="44" t="n"/>
      <c r="AW330" s="44" t="n"/>
      <c r="AX330" s="44" t="n"/>
      <c r="AY330" s="44" t="n"/>
      <c r="AZ330" s="44" t="n"/>
      <c r="BA330" s="44" t="n"/>
      <c r="BB330" s="44" t="n"/>
      <c r="BC330" s="44" t="n"/>
      <c r="BD330" s="44" t="n"/>
      <c r="BE330" s="44" t="n"/>
      <c r="BF330" s="44" t="n"/>
      <c r="BG330" s="44" t="n"/>
      <c r="BH330" s="44" t="n"/>
      <c r="BI330" s="44" t="n"/>
      <c r="BJ330" s="44" t="n"/>
      <c r="BK330" s="44" t="n"/>
      <c r="BL330" s="44" t="n"/>
      <c r="BM330" s="44" t="n"/>
      <c r="BN330" s="44" t="n"/>
      <c r="BO330" s="44" t="n"/>
      <c r="BP330" s="44" t="n"/>
      <c r="BQ330" s="44" t="n"/>
      <c r="BR330" s="44" t="n"/>
      <c r="BS330" s="44" t="n"/>
      <c r="BT330" s="44" t="n"/>
      <c r="BU330" s="266" t="n">
        <v>282</v>
      </c>
      <c r="BV330" s="44" t="n"/>
      <c r="BW330" s="44" t="n"/>
      <c r="BX330" s="44" t="n"/>
      <c r="BY330" s="153" t="n"/>
      <c r="BZ330" s="153" t="n"/>
      <c r="CA330" s="35" t="n"/>
      <c r="CB330" s="35" t="n"/>
      <c r="CC330" s="35" t="n"/>
      <c r="CD330" s="35" t="n"/>
      <c r="CE330" s="35" t="n"/>
      <c r="CF330" s="35" t="n"/>
      <c r="CG330" s="19" t="n"/>
    </row>
    <row r="331" ht="15" customHeight="1" s="251">
      <c r="B331" s="69" t="inlineStr">
        <is>
          <t xml:space="preserve">  Accounts payable, accrued liabilities (incl. $1,065m off-market contracts) &amp; advances</t>
        </is>
      </c>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c r="AA331" s="44" t="n"/>
      <c r="AB331" s="44" t="n"/>
      <c r="AC331" s="44" t="n"/>
      <c r="AD331" s="44" t="n"/>
      <c r="AE331" s="44" t="n"/>
      <c r="AF331" s="44" t="n"/>
      <c r="AG331" s="44" t="n"/>
      <c r="AH331" s="44" t="n"/>
      <c r="AI331" s="44" t="n"/>
      <c r="AJ331" s="44" t="n"/>
      <c r="AK331" s="44" t="n"/>
      <c r="AL331" s="44" t="n"/>
      <c r="AM331" s="44" t="n"/>
      <c r="AN331" s="44" t="n"/>
      <c r="AO331" s="44" t="n"/>
      <c r="AP331" s="44" t="n"/>
      <c r="AQ331" s="44" t="n"/>
      <c r="AR331" s="44" t="n"/>
      <c r="AS331" s="44" t="n"/>
      <c r="AT331" s="44" t="n"/>
      <c r="AU331" s="44" t="n"/>
      <c r="AV331" s="44" t="n"/>
      <c r="AW331" s="44" t="n"/>
      <c r="AX331" s="44" t="n"/>
      <c r="AY331" s="44" t="n"/>
      <c r="AZ331" s="44" t="n"/>
      <c r="BA331" s="44" t="n"/>
      <c r="BB331" s="44" t="n"/>
      <c r="BC331" s="44" t="n"/>
      <c r="BD331" s="44" t="n"/>
      <c r="BE331" s="44" t="n"/>
      <c r="BF331" s="44" t="n"/>
      <c r="BG331" s="44" t="n"/>
      <c r="BH331" s="44" t="n"/>
      <c r="BI331" s="44" t="n"/>
      <c r="BJ331" s="44" t="n"/>
      <c r="BK331" s="44" t="n"/>
      <c r="BL331" s="44" t="n"/>
      <c r="BM331" s="44" t="n"/>
      <c r="BN331" s="44" t="n"/>
      <c r="BO331" s="44" t="n"/>
      <c r="BP331" s="44" t="n"/>
      <c r="BQ331" s="44" t="n"/>
      <c r="BR331" s="44" t="n"/>
      <c r="BS331" s="44" t="n"/>
      <c r="BT331" s="44" t="n"/>
      <c r="BU331" s="266" t="n">
        <v>2834</v>
      </c>
      <c r="BV331" s="44" t="n"/>
      <c r="BW331" s="44" t="n"/>
      <c r="BX331" s="44" t="n"/>
      <c r="BY331" s="153" t="n"/>
      <c r="BZ331" s="153" t="n"/>
      <c r="CA331" s="35" t="n"/>
      <c r="CB331" s="35" t="n"/>
      <c r="CC331" s="35" t="n"/>
      <c r="CD331" s="35" t="n"/>
      <c r="CE331" s="35" t="n"/>
      <c r="CF331" s="35" t="n"/>
      <c r="CG331" s="19" t="n"/>
    </row>
    <row r="332" ht="15" customHeight="1" s="251">
      <c r="B332" s="69" t="inlineStr">
        <is>
          <t xml:space="preserve">  Debt assumed (short-term and long-term)</t>
        </is>
      </c>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c r="AA332" s="44" t="n"/>
      <c r="AB332" s="44" t="n"/>
      <c r="AC332" s="44" t="n"/>
      <c r="AD332" s="44" t="n"/>
      <c r="AE332" s="44" t="n"/>
      <c r="AF332" s="44" t="n"/>
      <c r="AG332" s="44" t="n"/>
      <c r="AH332" s="44" t="n"/>
      <c r="AI332" s="44" t="n"/>
      <c r="AJ332" s="44" t="n"/>
      <c r="AK332" s="44" t="n"/>
      <c r="AL332" s="44" t="n"/>
      <c r="AM332" s="44" t="n"/>
      <c r="AN332" s="44" t="n"/>
      <c r="AO332" s="44" t="n"/>
      <c r="AP332" s="44" t="n"/>
      <c r="AQ332" s="44" t="n"/>
      <c r="AR332" s="44" t="n"/>
      <c r="AS332" s="44" t="n"/>
      <c r="AT332" s="44" t="n"/>
      <c r="AU332" s="44" t="n"/>
      <c r="AV332" s="44" t="n"/>
      <c r="AW332" s="44" t="n"/>
      <c r="AX332" s="44" t="n"/>
      <c r="AY332" s="44" t="n"/>
      <c r="AZ332" s="44" t="n"/>
      <c r="BA332" s="44" t="n"/>
      <c r="BB332" s="44" t="n"/>
      <c r="BC332" s="44" t="n"/>
      <c r="BD332" s="44" t="n"/>
      <c r="BE332" s="44" t="n"/>
      <c r="BF332" s="44" t="n"/>
      <c r="BG332" s="44" t="n"/>
      <c r="BH332" s="44" t="n"/>
      <c r="BI332" s="44" t="n"/>
      <c r="BJ332" s="44" t="n"/>
      <c r="BK332" s="44" t="n"/>
      <c r="BL332" s="44" t="n"/>
      <c r="BM332" s="44" t="n"/>
      <c r="BN332" s="44" t="n"/>
      <c r="BO332" s="44" t="n"/>
      <c r="BP332" s="44" t="n"/>
      <c r="BQ332" s="44" t="n"/>
      <c r="BR332" s="44" t="n"/>
      <c r="BS332" s="44" t="n"/>
      <c r="BT332" s="44" t="n"/>
      <c r="BU332" s="266" t="n">
        <v>3608</v>
      </c>
      <c r="BV332" s="44" t="n"/>
      <c r="BW332" s="44" t="n"/>
      <c r="BX332" s="44" t="n"/>
      <c r="BY332" s="153" t="n"/>
      <c r="BZ332" s="153" t="n"/>
      <c r="CA332" s="35" t="n"/>
      <c r="CB332" s="35" t="n"/>
      <c r="CC332" s="35" t="n"/>
      <c r="CD332" s="35" t="n"/>
      <c r="CE332" s="35" t="n"/>
      <c r="CF332" s="35" t="n"/>
      <c r="CG332" s="19" t="n"/>
    </row>
    <row r="333" ht="15" customHeight="1" s="251">
      <c r="B333" s="69" t="inlineStr">
        <is>
          <t xml:space="preserve">  Other long-term liabilities</t>
        </is>
      </c>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c r="AA333" s="44" t="n"/>
      <c r="AB333" s="44" t="n"/>
      <c r="AC333" s="44" t="n"/>
      <c r="AD333" s="44" t="n"/>
      <c r="AE333" s="44" t="n"/>
      <c r="AF333" s="44" t="n"/>
      <c r="AG333" s="44" t="n"/>
      <c r="AH333" s="44" t="n"/>
      <c r="AI333" s="44" t="n"/>
      <c r="AJ333" s="44" t="n"/>
      <c r="AK333" s="44" t="n"/>
      <c r="AL333" s="44" t="n"/>
      <c r="AM333" s="44" t="n"/>
      <c r="AN333" s="44" t="n"/>
      <c r="AO333" s="44" t="n"/>
      <c r="AP333" s="44" t="n"/>
      <c r="AQ333" s="44" t="n"/>
      <c r="AR333" s="44" t="n"/>
      <c r="AS333" s="44" t="n"/>
      <c r="AT333" s="44" t="n"/>
      <c r="AU333" s="44" t="n"/>
      <c r="AV333" s="44" t="n"/>
      <c r="AW333" s="44" t="n"/>
      <c r="AX333" s="44" t="n"/>
      <c r="AY333" s="44" t="n"/>
      <c r="AZ333" s="44" t="n"/>
      <c r="BA333" s="44" t="n"/>
      <c r="BB333" s="44" t="n"/>
      <c r="BC333" s="44" t="n"/>
      <c r="BD333" s="44" t="n"/>
      <c r="BE333" s="44" t="n"/>
      <c r="BF333" s="44" t="n"/>
      <c r="BG333" s="44" t="n"/>
      <c r="BH333" s="44" t="n"/>
      <c r="BI333" s="44" t="n"/>
      <c r="BJ333" s="44" t="n"/>
      <c r="BK333" s="44" t="n"/>
      <c r="BL333" s="44" t="n"/>
      <c r="BM333" s="44" t="n"/>
      <c r="BN333" s="44" t="n"/>
      <c r="BO333" s="44" t="n"/>
      <c r="BP333" s="44" t="n"/>
      <c r="BQ333" s="44" t="n"/>
      <c r="BR333" s="44" t="n"/>
      <c r="BS333" s="44" t="n"/>
      <c r="BT333" s="44" t="n"/>
      <c r="BU333" s="266" t="n">
        <v>178</v>
      </c>
      <c r="BV333" s="44" t="n"/>
      <c r="BW333" s="44" t="n"/>
      <c r="BX333" s="44" t="n"/>
      <c r="BY333" s="153" t="n"/>
      <c r="BZ333" s="153" t="n"/>
      <c r="CA333" s="35" t="n"/>
      <c r="CB333" s="35" t="n"/>
      <c r="CC333" s="35" t="n"/>
      <c r="CD333" s="35" t="n"/>
      <c r="CE333" s="35" t="n"/>
      <c r="CF333" s="35" t="n"/>
      <c r="CG333" s="19" t="n"/>
    </row>
    <row r="334" ht="15" customHeight="1" s="251">
      <c r="B334" s="57" t="inlineStr">
        <is>
          <t xml:space="preserve">  Check: assets acquired − liabilities assumed − consideration (should be 0)</t>
        </is>
      </c>
      <c r="C334" s="262">
        <f>IF(ISNUMBER(C324),ROUND(N(C325)+N(C326)+N(C327)+N(C328)+N(C329)+N(C330)-N(C331)-N(C332)-N(C333)-C324,1),"")</f>
      </c>
      <c r="D334" s="262">
        <f>IF(ISNUMBER(D324),ROUND(N(D325)+N(D326)+N(D327)+N(D328)+N(D329)+N(D330)-N(D331)-N(D332)-N(D333)-D324,1),"")</f>
      </c>
      <c r="E334" s="262">
        <f>IF(ISNUMBER(E324),ROUND(N(E325)+N(E326)+N(E327)+N(E328)+N(E329)+N(E330)-N(E331)-N(E332)-N(E333)-E324,1),"")</f>
      </c>
      <c r="F334" s="262">
        <f>IF(ISNUMBER(F324),ROUND(N(F325)+N(F326)+N(F327)+N(F328)+N(F329)+N(F330)-N(F331)-N(F332)-N(F333)-F324,1),"")</f>
      </c>
      <c r="G334" s="262">
        <f>IF(ISNUMBER(G324),ROUND(N(G325)+N(G326)+N(G327)+N(G328)+N(G329)+N(G330)-N(G331)-N(G332)-N(G333)-G324,1),"")</f>
      </c>
      <c r="H334" s="262">
        <f>IF(ISNUMBER(H324),ROUND(N(H325)+N(H326)+N(H327)+N(H328)+N(H329)+N(H330)-N(H331)-N(H332)-N(H333)-H324,1),"")</f>
      </c>
      <c r="I334" s="262">
        <f>IF(ISNUMBER(I324),ROUND(N(I325)+N(I326)+N(I327)+N(I328)+N(I329)+N(I330)-N(I331)-N(I332)-N(I333)-I324,1),"")</f>
      </c>
      <c r="J334" s="262">
        <f>IF(ISNUMBER(J324),ROUND(N(J325)+N(J326)+N(J327)+N(J328)+N(J329)+N(J330)-N(J331)-N(J332)-N(J333)-J324,1),"")</f>
      </c>
      <c r="K334" s="262">
        <f>IF(ISNUMBER(K324),ROUND(N(K325)+N(K326)+N(K327)+N(K328)+N(K329)+N(K330)-N(K331)-N(K332)-N(K333)-K324,1),"")</f>
      </c>
      <c r="L334" s="262">
        <f>IF(ISNUMBER(L324),ROUND(N(L325)+N(L326)+N(L327)+N(L328)+N(L329)+N(L330)-N(L331)-N(L332)-N(L333)-L324,1),"")</f>
      </c>
      <c r="M334" s="262">
        <f>IF(ISNUMBER(M324),ROUND(N(M325)+N(M326)+N(M327)+N(M328)+N(M329)+N(M330)-N(M331)-N(M332)-N(M333)-M324,1),"")</f>
      </c>
      <c r="N334" s="262">
        <f>IF(ISNUMBER(N324),ROUND(N(N325)+N(N326)+N(N327)+N(N328)+N(N329)+N(N330)-N(N331)-N(N332)-N(N333)-N324,1),"")</f>
      </c>
      <c r="O334" s="262">
        <f>IF(ISNUMBER(O324),ROUND(N(O325)+N(O326)+N(O327)+N(O328)+N(O329)+N(O330)-N(O331)-N(O332)-N(O333)-O324,1),"")</f>
      </c>
      <c r="P334" s="262">
        <f>IF(ISNUMBER(P324),ROUND(N(P325)+N(P326)+N(P327)+N(P328)+N(P329)+N(P330)-N(P331)-N(P332)-N(P333)-P324,1),"")</f>
      </c>
      <c r="Q334" s="262">
        <f>IF(ISNUMBER(Q324),ROUND(N(Q325)+N(Q326)+N(Q327)+N(Q328)+N(Q329)+N(Q330)-N(Q331)-N(Q332)-N(Q333)-Q324,1),"")</f>
      </c>
      <c r="R334" s="262">
        <f>IF(ISNUMBER(R324),ROUND(N(R325)+N(R326)+N(R327)+N(R328)+N(R329)+N(R330)-N(R331)-N(R332)-N(R333)-R324,1),"")</f>
      </c>
      <c r="S334" s="262">
        <f>IF(ISNUMBER(S324),ROUND(N(S325)+N(S326)+N(S327)+N(S328)+N(S329)+N(S330)-N(S331)-N(S332)-N(S333)-S324,1),"")</f>
      </c>
      <c r="T334" s="262">
        <f>IF(ISNUMBER(T324),ROUND(N(T325)+N(T326)+N(T327)+N(T328)+N(T329)+N(T330)-N(T331)-N(T332)-N(T333)-T324,1),"")</f>
      </c>
      <c r="U334" s="262">
        <f>IF(ISNUMBER(U324),ROUND(N(U325)+N(U326)+N(U327)+N(U328)+N(U329)+N(U330)-N(U331)-N(U332)-N(U333)-U324,1),"")</f>
      </c>
      <c r="V334" s="262">
        <f>IF(ISNUMBER(V324),ROUND(N(V325)+N(V326)+N(V327)+N(V328)+N(V329)+N(V330)-N(V331)-N(V332)-N(V333)-V324,1),"")</f>
      </c>
      <c r="W334" s="262">
        <f>IF(ISNUMBER(W324),ROUND(N(W325)+N(W326)+N(W327)+N(W328)+N(W329)+N(W330)-N(W331)-N(W332)-N(W333)-W324,1),"")</f>
      </c>
      <c r="X334" s="262">
        <f>IF(ISNUMBER(X324),ROUND(N(X325)+N(X326)+N(X327)+N(X328)+N(X329)+N(X330)-N(X331)-N(X332)-N(X333)-X324,1),"")</f>
      </c>
      <c r="Y334" s="262">
        <f>IF(ISNUMBER(Y324),ROUND(N(Y325)+N(Y326)+N(Y327)+N(Y328)+N(Y329)+N(Y330)-N(Y331)-N(Y332)-N(Y333)-Y324,1),"")</f>
      </c>
      <c r="Z334" s="262">
        <f>IF(ISNUMBER(Z324),ROUND(N(Z325)+N(Z326)+N(Z327)+N(Z328)+N(Z329)+N(Z330)-N(Z331)-N(Z332)-N(Z333)-Z324,1),"")</f>
      </c>
      <c r="AA334" s="262">
        <f>IF(ISNUMBER(AA324),ROUND(N(AA325)+N(AA326)+N(AA327)+N(AA328)+N(AA329)+N(AA330)-N(AA331)-N(AA332)-N(AA333)-AA324,1),"")</f>
      </c>
      <c r="AB334" s="262">
        <f>IF(ISNUMBER(AB324),ROUND(N(AB325)+N(AB326)+N(AB327)+N(AB328)+N(AB329)+N(AB330)-N(AB331)-N(AB332)-N(AB333)-AB324,1),"")</f>
      </c>
      <c r="AC334" s="262">
        <f>IF(ISNUMBER(AC324),ROUND(N(AC325)+N(AC326)+N(AC327)+N(AC328)+N(AC329)+N(AC330)-N(AC331)-N(AC332)-N(AC333)-AC324,1),"")</f>
      </c>
      <c r="AD334" s="262">
        <f>IF(ISNUMBER(AD324),ROUND(N(AD325)+N(AD326)+N(AD327)+N(AD328)+N(AD329)+N(AD330)-N(AD331)-N(AD332)-N(AD333)-AD324,1),"")</f>
      </c>
      <c r="AE334" s="262">
        <f>IF(ISNUMBER(AE324),ROUND(N(AE325)+N(AE326)+N(AE327)+N(AE328)+N(AE329)+N(AE330)-N(AE331)-N(AE332)-N(AE333)-AE324,1),"")</f>
      </c>
      <c r="AF334" s="262">
        <f>IF(ISNUMBER(AF324),ROUND(N(AF325)+N(AF326)+N(AF327)+N(AF328)+N(AF329)+N(AF330)-N(AF331)-N(AF332)-N(AF333)-AF324,1),"")</f>
      </c>
      <c r="AG334" s="262">
        <f>IF(ISNUMBER(AG324),ROUND(N(AG325)+N(AG326)+N(AG327)+N(AG328)+N(AG329)+N(AG330)-N(AG331)-N(AG332)-N(AG333)-AG324,1),"")</f>
      </c>
      <c r="AH334" s="262">
        <f>IF(ISNUMBER(AH324),ROUND(N(AH325)+N(AH326)+N(AH327)+N(AH328)+N(AH329)+N(AH330)-N(AH331)-N(AH332)-N(AH333)-AH324,1),"")</f>
      </c>
      <c r="AI334" s="262">
        <f>IF(ISNUMBER(AI324),ROUND(N(AI325)+N(AI326)+N(AI327)+N(AI328)+N(AI329)+N(AI330)-N(AI331)-N(AI332)-N(AI333)-AI324,1),"")</f>
      </c>
      <c r="AJ334" s="262">
        <f>IF(ISNUMBER(AJ324),ROUND(N(AJ325)+N(AJ326)+N(AJ327)+N(AJ328)+N(AJ329)+N(AJ330)-N(AJ331)-N(AJ332)-N(AJ333)-AJ324,1),"")</f>
      </c>
      <c r="AK334" s="262">
        <f>IF(ISNUMBER(AK324),ROUND(N(AK325)+N(AK326)+N(AK327)+N(AK328)+N(AK329)+N(AK330)-N(AK331)-N(AK332)-N(AK333)-AK324,1),"")</f>
      </c>
      <c r="AL334" s="262">
        <f>IF(ISNUMBER(AL324),ROUND(N(AL325)+N(AL326)+N(AL327)+N(AL328)+N(AL329)+N(AL330)-N(AL331)-N(AL332)-N(AL333)-AL324,1),"")</f>
      </c>
      <c r="AM334" s="262">
        <f>IF(ISNUMBER(AM324),ROUND(N(AM325)+N(AM326)+N(AM327)+N(AM328)+N(AM329)+N(AM330)-N(AM331)-N(AM332)-N(AM333)-AM324,1),"")</f>
      </c>
      <c r="AN334" s="262">
        <f>IF(ISNUMBER(AN324),ROUND(N(AN325)+N(AN326)+N(AN327)+N(AN328)+N(AN329)+N(AN330)-N(AN331)-N(AN332)-N(AN333)-AN324,1),"")</f>
      </c>
      <c r="AO334" s="262">
        <f>IF(ISNUMBER(AO324),ROUND(N(AO325)+N(AO326)+N(AO327)+N(AO328)+N(AO329)+N(AO330)-N(AO331)-N(AO332)-N(AO333)-AO324,1),"")</f>
      </c>
      <c r="AP334" s="262">
        <f>IF(ISNUMBER(AP324),ROUND(N(AP325)+N(AP326)+N(AP327)+N(AP328)+N(AP329)+N(AP330)-N(AP331)-N(AP332)-N(AP333)-AP324,1),"")</f>
      </c>
      <c r="AQ334" s="262">
        <f>IF(ISNUMBER(AQ324),ROUND(N(AQ325)+N(AQ326)+N(AQ327)+N(AQ328)+N(AQ329)+N(AQ330)-N(AQ331)-N(AQ332)-N(AQ333)-AQ324,1),"")</f>
      </c>
      <c r="AR334" s="262">
        <f>IF(ISNUMBER(AR324),ROUND(N(AR325)+N(AR326)+N(AR327)+N(AR328)+N(AR329)+N(AR330)-N(AR331)-N(AR332)-N(AR333)-AR324,1),"")</f>
      </c>
      <c r="AS334" s="262">
        <f>IF(ISNUMBER(AS324),ROUND(N(AS325)+N(AS326)+N(AS327)+N(AS328)+N(AS329)+N(AS330)-N(AS331)-N(AS332)-N(AS333)-AS324,1),"")</f>
      </c>
      <c r="AT334" s="262">
        <f>IF(ISNUMBER(AT324),ROUND(N(AT325)+N(AT326)+N(AT327)+N(AT328)+N(AT329)+N(AT330)-N(AT331)-N(AT332)-N(AT333)-AT324,1),"")</f>
      </c>
      <c r="AU334" s="262">
        <f>IF(ISNUMBER(AU324),ROUND(N(AU325)+N(AU326)+N(AU327)+N(AU328)+N(AU329)+N(AU330)-N(AU331)-N(AU332)-N(AU333)-AU324,1),"")</f>
      </c>
      <c r="AV334" s="262">
        <f>IF(ISNUMBER(AV324),ROUND(N(AV325)+N(AV326)+N(AV327)+N(AV328)+N(AV329)+N(AV330)-N(AV331)-N(AV332)-N(AV333)-AV324,1),"")</f>
      </c>
      <c r="AW334" s="262">
        <f>IF(ISNUMBER(AW324),ROUND(N(AW325)+N(AW326)+N(AW327)+N(AW328)+N(AW329)+N(AW330)-N(AW331)-N(AW332)-N(AW333)-AW324,1),"")</f>
      </c>
      <c r="AX334" s="262">
        <f>IF(ISNUMBER(AX324),ROUND(N(AX325)+N(AX326)+N(AX327)+N(AX328)+N(AX329)+N(AX330)-N(AX331)-N(AX332)-N(AX333)-AX324,1),"")</f>
      </c>
      <c r="AY334" s="262">
        <f>IF(ISNUMBER(AY324),ROUND(N(AY325)+N(AY326)+N(AY327)+N(AY328)+N(AY329)+N(AY330)-N(AY331)-N(AY332)-N(AY333)-AY324,1),"")</f>
      </c>
      <c r="AZ334" s="262">
        <f>IF(ISNUMBER(AZ324),ROUND(N(AZ325)+N(AZ326)+N(AZ327)+N(AZ328)+N(AZ329)+N(AZ330)-N(AZ331)-N(AZ332)-N(AZ333)-AZ324,1),"")</f>
      </c>
      <c r="BA334" s="262">
        <f>IF(ISNUMBER(BA324),ROUND(N(BA325)+N(BA326)+N(BA327)+N(BA328)+N(BA329)+N(BA330)-N(BA331)-N(BA332)-N(BA333)-BA324,1),"")</f>
      </c>
      <c r="BB334" s="262">
        <f>IF(ISNUMBER(BB324),ROUND(N(BB325)+N(BB326)+N(BB327)+N(BB328)+N(BB329)+N(BB330)-N(BB331)-N(BB332)-N(BB333)-BB324,1),"")</f>
      </c>
      <c r="BC334" s="262">
        <f>IF(ISNUMBER(BC324),ROUND(N(BC325)+N(BC326)+N(BC327)+N(BC328)+N(BC329)+N(BC330)-N(BC331)-N(BC332)-N(BC333)-BC324,1),"")</f>
      </c>
      <c r="BD334" s="262">
        <f>IF(ISNUMBER(BD324),ROUND(N(BD325)+N(BD326)+N(BD327)+N(BD328)+N(BD329)+N(BD330)-N(BD331)-N(BD332)-N(BD333)-BD324,1),"")</f>
      </c>
      <c r="BE334" s="262">
        <f>IF(ISNUMBER(BE324),ROUND(N(BE325)+N(BE326)+N(BE327)+N(BE328)+N(BE329)+N(BE330)-N(BE331)-N(BE332)-N(BE333)-BE324,1),"")</f>
      </c>
      <c r="BF334" s="262">
        <f>IF(ISNUMBER(BF324),ROUND(N(BF325)+N(BF326)+N(BF327)+N(BF328)+N(BF329)+N(BF330)-N(BF331)-N(BF332)-N(BF333)-BF324,1),"")</f>
      </c>
      <c r="BG334" s="262">
        <f>IF(ISNUMBER(BG324),ROUND(N(BG325)+N(BG326)+N(BG327)+N(BG328)+N(BG329)+N(BG330)-N(BG331)-N(BG332)-N(BG333)-BG324,1),"")</f>
      </c>
      <c r="BH334" s="262">
        <f>IF(ISNUMBER(BH324),ROUND(N(BH325)+N(BH326)+N(BH327)+N(BH328)+N(BH329)+N(BH330)-N(BH331)-N(BH332)-N(BH333)-BH324,1),"")</f>
      </c>
      <c r="BI334" s="262">
        <f>IF(ISNUMBER(BI324),ROUND(N(BI325)+N(BI326)+N(BI327)+N(BI328)+N(BI329)+N(BI330)-N(BI331)-N(BI332)-N(BI333)-BI324,1),"")</f>
      </c>
      <c r="BJ334" s="262">
        <f>IF(ISNUMBER(BJ324),ROUND(N(BJ325)+N(BJ326)+N(BJ327)+N(BJ328)+N(BJ329)+N(BJ330)-N(BJ331)-N(BJ332)-N(BJ333)-BJ324,1),"")</f>
      </c>
      <c r="BK334" s="262">
        <f>IF(ISNUMBER(BK324),ROUND(N(BK325)+N(BK326)+N(BK327)+N(BK328)+N(BK329)+N(BK330)-N(BK331)-N(BK332)-N(BK333)-BK324,1),"")</f>
      </c>
      <c r="BL334" s="262">
        <f>IF(ISNUMBER(BL324),ROUND(N(BL325)+N(BL326)+N(BL327)+N(BL328)+N(BL329)+N(BL330)-N(BL331)-N(BL332)-N(BL333)-BL324,1),"")</f>
      </c>
      <c r="BM334" s="262">
        <f>IF(ISNUMBER(BM324),ROUND(N(BM325)+N(BM326)+N(BM327)+N(BM328)+N(BM329)+N(BM330)-N(BM331)-N(BM332)-N(BM333)-BM324,1),"")</f>
      </c>
      <c r="BN334" s="262">
        <f>IF(ISNUMBER(BN324),ROUND(N(BN325)+N(BN326)+N(BN327)+N(BN328)+N(BN329)+N(BN330)-N(BN331)-N(BN332)-N(BN333)-BN324,1),"")</f>
      </c>
      <c r="BO334" s="262">
        <f>IF(ISNUMBER(BO324),ROUND(N(BO325)+N(BO326)+N(BO327)+N(BO328)+N(BO329)+N(BO330)-N(BO331)-N(BO332)-N(BO333)-BO324,1),"")</f>
      </c>
      <c r="BP334" s="262">
        <f>IF(ISNUMBER(BP324),ROUND(N(BP325)+N(BP326)+N(BP327)+N(BP328)+N(BP329)+N(BP330)-N(BP331)-N(BP332)-N(BP333)-BP324,1),"")</f>
      </c>
      <c r="BQ334" s="262">
        <f>IF(ISNUMBER(BQ324),ROUND(N(BQ325)+N(BQ326)+N(BQ327)+N(BQ328)+N(BQ329)+N(BQ330)-N(BQ331)-N(BQ332)-N(BQ333)-BQ324,1),"")</f>
      </c>
      <c r="BR334" s="262">
        <f>IF(ISNUMBER(BR324),ROUND(N(BR325)+N(BR326)+N(BR327)+N(BR328)+N(BR329)+N(BR330)-N(BR331)-N(BR332)-N(BR333)-BR324,1),"")</f>
      </c>
      <c r="BS334" s="262">
        <f>IF(ISNUMBER(BS324),ROUND(N(BS325)+N(BS326)+N(BS327)+N(BS328)+N(BS329)+N(BS330)-N(BS331)-N(BS332)-N(BS333)-BS324,1),"")</f>
      </c>
      <c r="BT334" s="262">
        <f>IF(ISNUMBER(BT324),ROUND(N(BT325)+N(BT326)+N(BT327)+N(BT328)+N(BT329)+N(BT330)-N(BT331)-N(BT332)-N(BT333)-BT324,1),"")</f>
      </c>
      <c r="BU334" s="262">
        <f>IF(ISNUMBER(BU324),ROUND(N(BU325)+N(BU326)+N(BU327)+N(BU328)+N(BU329)+N(BU330)-N(BU331)-N(BU332)-N(BU333)-BU324,1),"")</f>
        <v>0</v>
      </c>
      <c r="BV334" s="262">
        <f>IF(ISNUMBER(BV324),ROUND(N(BV325)+N(BV326)+N(BV327)+N(BV328)+N(BV329)+N(BV330)-N(BV331)-N(BV332)-N(BV333)-BV324,1),"")</f>
      </c>
      <c r="BW334" s="262">
        <f>IF(ISNUMBER(BW324),ROUND(N(BW325)+N(BW326)+N(BW327)+N(BW328)+N(BW329)+N(BW330)-N(BW331)-N(BW332)-N(BW333)-BW324,1),"")</f>
      </c>
      <c r="BX334" s="262">
        <f>IF(ISNUMBER(BX324),ROUND(N(BX325)+N(BX326)+N(BX327)+N(BX328)+N(BX329)+N(BX330)-N(BX331)-N(BX332)-N(BX333)-BX324,1),"")</f>
      </c>
      <c r="BY334" s="153" t="n"/>
      <c r="BZ334" s="153" t="n"/>
      <c r="CA334" s="153" t="n"/>
      <c r="CB334" s="153" t="n"/>
      <c r="CC334" s="153" t="n"/>
      <c r="CD334" s="153" t="n"/>
      <c r="CE334" s="153" t="n"/>
      <c r="CF334" s="153" t="n"/>
      <c r="CG334" s="153" t="n"/>
    </row>
    <row r="335" ht="15" customHeight="1" s="251">
      <c r="B335" s="158" t="inlineStr">
        <is>
          <t xml:space="preserve">  Deal closed in the period</t>
        </is>
      </c>
      <c r="BU335" s="298" t="inlineStr">
        <is>
          <t>Spirit AeroSystems (closed 8-Dec-2025; preliminary)</t>
        </is>
      </c>
      <c r="BY335" s="153" t="n"/>
      <c r="BZ335" s="153" t="n"/>
      <c r="CA335" s="153" t="n"/>
      <c r="CB335" s="153" t="n"/>
      <c r="CC335" s="153" t="n"/>
      <c r="CD335" s="153" t="n"/>
      <c r="CE335" s="153" t="n"/>
      <c r="CF335" s="153" t="n"/>
      <c r="CG335" s="19" t="n"/>
    </row>
    <row r="336" ht="15" customHeight="1" s="251">
      <c r="B336" s="25" t="inlineStr">
        <is>
          <t>Share count, preferred conversion &amp; pricing</t>
        </is>
      </c>
      <c r="CG336" s="153" t="n"/>
    </row>
    <row r="337" ht="15" customHeight="1" s="251">
      <c r="B337" s="69" t="inlineStr">
        <is>
          <t xml:space="preserve">  Dilutive securities (m shares; stock units, options)</t>
        </is>
      </c>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c r="AA337" s="44" t="n"/>
      <c r="AB337" s="44" t="n"/>
      <c r="AC337" s="44" t="n"/>
      <c r="AD337" s="44" t="n"/>
      <c r="AE337" s="44" t="n"/>
      <c r="AF337" s="44" t="n"/>
      <c r="AG337" s="44" t="n"/>
      <c r="AH337" s="44" t="n"/>
      <c r="AI337" s="44" t="n"/>
      <c r="AJ337" s="44" t="n"/>
      <c r="AK337" s="44" t="n"/>
      <c r="AL337" s="44" t="n"/>
      <c r="AM337" s="44" t="n"/>
      <c r="AN337" s="44" t="n"/>
      <c r="AO337" s="44" t="n"/>
      <c r="AP337" s="44" t="n"/>
      <c r="AQ337" s="44" t="n"/>
      <c r="AR337" s="44" t="n"/>
      <c r="AS337" s="44" t="n"/>
      <c r="AT337" s="44" t="n"/>
      <c r="AU337" s="44" t="n"/>
      <c r="AV337" s="44" t="n"/>
      <c r="AW337" s="44" t="n"/>
      <c r="AX337" s="44" t="n"/>
      <c r="AY337" s="44" t="n"/>
      <c r="AZ337" s="44" t="n"/>
      <c r="BA337" s="44" t="n"/>
      <c r="BB337" s="44" t="n"/>
      <c r="BC337" s="44" t="n"/>
      <c r="BD337" s="44" t="n"/>
      <c r="BE337" s="44" t="n"/>
      <c r="BF337" s="44" t="n"/>
      <c r="BG337" s="44" t="n"/>
      <c r="BH337" s="44" t="n"/>
      <c r="BI337" s="44" t="n"/>
      <c r="BJ337" s="44" t="n"/>
      <c r="BK337" s="44" t="n"/>
      <c r="BL337" s="44" t="n"/>
      <c r="BM337" s="44" t="n"/>
      <c r="BN337" s="44" t="n"/>
      <c r="BO337" s="44" t="n"/>
      <c r="BP337" s="44" t="n"/>
      <c r="BQ337" s="44" t="n"/>
      <c r="BR337" s="44" t="n"/>
      <c r="BS337" s="44" t="n"/>
      <c r="BT337" s="44" t="n"/>
      <c r="BU337" s="44" t="n"/>
      <c r="BV337" s="44" t="n"/>
      <c r="BW337" s="44" t="n"/>
      <c r="BX337" s="44" t="n"/>
      <c r="BY337" s="153" t="n"/>
      <c r="BZ337" s="153" t="n"/>
      <c r="CA337" s="35" t="n"/>
      <c r="CB337" s="271" t="n">
        <v>6</v>
      </c>
      <c r="CC337" s="271" t="n">
        <v>6</v>
      </c>
      <c r="CD337" s="271" t="n">
        <v>6</v>
      </c>
      <c r="CE337" s="271" t="n">
        <v>6</v>
      </c>
      <c r="CF337" s="271" t="n">
        <v>6</v>
      </c>
      <c r="CG337" s="19" t="n"/>
    </row>
    <row r="338" ht="15" customHeight="1" s="251">
      <c r="B338" s="69" t="inlineStr">
        <is>
          <t xml:space="preserve">  Share-price appreciation % (buyback / issuance pricing)</t>
        </is>
      </c>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c r="AA338" s="44" t="n"/>
      <c r="AB338" s="44" t="n"/>
      <c r="AC338" s="44" t="n"/>
      <c r="AD338" s="44" t="n"/>
      <c r="AE338" s="44" t="n"/>
      <c r="AF338" s="44" t="n"/>
      <c r="AG338" s="44" t="n"/>
      <c r="AH338" s="44" t="n"/>
      <c r="AI338" s="44" t="n"/>
      <c r="AJ338" s="44" t="n"/>
      <c r="AK338" s="44" t="n"/>
      <c r="AL338" s="44" t="n"/>
      <c r="AM338" s="44" t="n"/>
      <c r="AN338" s="44" t="n"/>
      <c r="AO338" s="44" t="n"/>
      <c r="AP338" s="44" t="n"/>
      <c r="AQ338" s="44" t="n"/>
      <c r="AR338" s="44" t="n"/>
      <c r="AS338" s="44" t="n"/>
      <c r="AT338" s="44" t="n"/>
      <c r="AU338" s="44" t="n"/>
      <c r="AV338" s="44" t="n"/>
      <c r="AW338" s="44" t="n"/>
      <c r="AX338" s="44" t="n"/>
      <c r="AY338" s="44" t="n"/>
      <c r="AZ338" s="44" t="n"/>
      <c r="BA338" s="44" t="n"/>
      <c r="BB338" s="44" t="n"/>
      <c r="BC338" s="44" t="n"/>
      <c r="BD338" s="44" t="n"/>
      <c r="BE338" s="44" t="n"/>
      <c r="BF338" s="44" t="n"/>
      <c r="BG338" s="44" t="n"/>
      <c r="BH338" s="44" t="n"/>
      <c r="BI338" s="44" t="n"/>
      <c r="BJ338" s="44" t="n"/>
      <c r="BK338" s="44" t="n"/>
      <c r="BL338" s="44" t="n"/>
      <c r="BM338" s="44" t="n"/>
      <c r="BN338" s="44" t="n"/>
      <c r="BO338" s="44" t="n"/>
      <c r="BP338" s="44" t="n"/>
      <c r="BQ338" s="44" t="n"/>
      <c r="BR338" s="44" t="n"/>
      <c r="BS338" s="44" t="n"/>
      <c r="BT338" s="44" t="n"/>
      <c r="BU338" s="44" t="n"/>
      <c r="BV338" s="44" t="n"/>
      <c r="BW338" s="44" t="n"/>
      <c r="BX338" s="44" t="n"/>
      <c r="BY338" s="153" t="n"/>
      <c r="BZ338" s="153" t="n"/>
      <c r="CA338" s="35" t="n"/>
      <c r="CB338" s="270" t="n">
        <v>0.08</v>
      </c>
      <c r="CC338" s="270" t="n">
        <v>0.08</v>
      </c>
      <c r="CD338" s="270" t="n">
        <v>0.08</v>
      </c>
      <c r="CE338" s="270" t="n">
        <v>0.08</v>
      </c>
      <c r="CF338" s="270" t="n">
        <v>0.08</v>
      </c>
      <c r="CG338" s="19" t="n"/>
    </row>
    <row r="339" ht="15" customHeight="1" s="251">
      <c r="B339" s="69" t="inlineStr">
        <is>
          <t xml:space="preserve">  Common shares on conversion of the mandatory convertible preferred (m)</t>
        </is>
      </c>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c r="AA339" s="44" t="n"/>
      <c r="AB339" s="44" t="n"/>
      <c r="AC339" s="44" t="n"/>
      <c r="AD339" s="44" t="n"/>
      <c r="AE339" s="44" t="n"/>
      <c r="AF339" s="44" t="n"/>
      <c r="AG339" s="44" t="n"/>
      <c r="AH339" s="44" t="n"/>
      <c r="AI339" s="44" t="n"/>
      <c r="AJ339" s="44" t="n"/>
      <c r="AK339" s="44" t="n"/>
      <c r="AL339" s="44" t="n"/>
      <c r="AM339" s="44" t="n"/>
      <c r="AN339" s="44" t="n"/>
      <c r="AO339" s="44" t="n"/>
      <c r="AP339" s="44" t="n"/>
      <c r="AQ339" s="44" t="n"/>
      <c r="AR339" s="44" t="n"/>
      <c r="AS339" s="44" t="n"/>
      <c r="AT339" s="44" t="n"/>
      <c r="AU339" s="44" t="n"/>
      <c r="AV339" s="44" t="n"/>
      <c r="AW339" s="44" t="n"/>
      <c r="AX339" s="44" t="n"/>
      <c r="AY339" s="44" t="n"/>
      <c r="AZ339" s="44" t="n"/>
      <c r="BA339" s="44" t="n"/>
      <c r="BB339" s="44" t="n"/>
      <c r="BC339" s="44" t="n"/>
      <c r="BD339" s="44" t="n"/>
      <c r="BE339" s="44" t="n"/>
      <c r="BF339" s="44" t="n"/>
      <c r="BG339" s="44" t="n"/>
      <c r="BH339" s="44" t="n"/>
      <c r="BI339" s="44" t="n"/>
      <c r="BJ339" s="44" t="n"/>
      <c r="BK339" s="44" t="n"/>
      <c r="BL339" s="44" t="n"/>
      <c r="BM339" s="44" t="n"/>
      <c r="BN339" s="44" t="n"/>
      <c r="BO339" s="44" t="n"/>
      <c r="BP339" s="44" t="n"/>
      <c r="BQ339" s="44" t="n"/>
      <c r="BR339" s="44" t="n"/>
      <c r="BS339" s="44" t="n"/>
      <c r="BT339" s="44" t="n"/>
      <c r="BU339" s="44" t="n"/>
      <c r="BV339" s="44" t="n"/>
      <c r="BW339" s="44" t="n"/>
      <c r="BX339" s="44" t="n"/>
      <c r="BY339" s="153" t="n"/>
      <c r="BZ339" s="153" t="n"/>
      <c r="CA339" s="293">
        <f>5.75*IF(CA395&gt;=1000/5.828,5.828,IF(CA395&lt;=1000/6.994,6.994,1000/CA395))</f>
        <v>33.511</v>
      </c>
      <c r="CB339" s="293">
        <f>5.75*IF(CB263&gt;=1000/5.828,5.828,IF(CB263&lt;=1000/6.994,6.994,1000/CB263))</f>
        <v>33.511</v>
      </c>
      <c r="CC339" s="293">
        <f>0</f>
        <v>0</v>
      </c>
      <c r="CD339" s="293">
        <f>0</f>
        <v>0</v>
      </c>
      <c r="CE339" s="293">
        <f>0</f>
        <v>0</v>
      </c>
      <c r="CF339" s="293">
        <f>0</f>
        <v>0</v>
      </c>
      <c r="CG339" s="19" t="inlineStr">
        <is>
          <t>5,750,000 shares × conversion rate (5.8280 at ≥ $171.59; 6.9940 at ≤ $142.98; $1,000 ÷ price in between). 2026E: at the current price (valuation share count); 2027E: at the conversion-date price.</t>
        </is>
      </c>
    </row>
    <row r="340" ht="15" customHeight="1" s="251">
      <c r="B340" s="25" t="inlineStr">
        <is>
          <t>Debt schedule (notes &amp; term loans repaid at maturity, refinancing input; revolver / commercial paper drawn or repaid to a minimum cash balance)</t>
        </is>
      </c>
      <c r="CG340" s="153" t="n"/>
    </row>
    <row r="341" ht="15" customHeight="1" s="251">
      <c r="B341" s="69" t="inlineStr">
        <is>
          <t xml:space="preserve">  Total debt (short-term + long-term)</t>
        </is>
      </c>
      <c r="C341" s="262">
        <f>IF(ISNUMBER(C293),N(C290)+C293,"")</f>
        <v>9538</v>
      </c>
      <c r="D341" s="262">
        <f>IF(ISNUMBER(D293),N(D290)+D293,"")</f>
        <v>8217</v>
      </c>
      <c r="E341" s="262">
        <f>IF(ISNUMBER(E293),N(E290)+E293,"")</f>
        <v>7512</v>
      </c>
      <c r="F341" s="262">
        <f>IF(ISNUMBER(F293),N(F290)+F293,"")</f>
        <v>12924</v>
      </c>
      <c r="G341" s="262">
        <f>IF(ISNUMBER(G293),N(G290)+G293,"")</f>
        <v>12421</v>
      </c>
      <c r="H341" s="262">
        <f>IF(ISNUMBER(H293),N(H290)+H293,"")</f>
        <v>12371</v>
      </c>
      <c r="I341" s="262">
        <f>IF(ISNUMBER(I293),N(I290)+I293,"")</f>
        <v>10409</v>
      </c>
      <c r="J341" s="262">
        <f>IF(ISNUMBER(J293),N(J290)+J293,"")</f>
        <v>9171</v>
      </c>
      <c r="K341" s="262">
        <f>IF(ISNUMBER(K293),N(K290)+K293,"")</f>
        <v>9578</v>
      </c>
      <c r="L341" s="262">
        <f>IF(ISNUMBER(L293),N(L290)+L293,"")</f>
        <v>9596</v>
      </c>
      <c r="M341" s="262">
        <f>IF(ISNUMBER(M293),N(M290)+M293,"")</f>
        <v>9635</v>
      </c>
      <c r="N341" s="262">
        <f>IF(ISNUMBER(N293),N(N290)+N293,"")</f>
        <v>9635</v>
      </c>
      <c r="O341" s="262">
        <f>IF(ISNUMBER(O293),N(O290)+O293,"")</f>
        <v>8935</v>
      </c>
      <c r="P341" s="262">
        <f>IF(ISNUMBER(P293),N(P290)+P293,"")</f>
        <v>8883</v>
      </c>
      <c r="Q341" s="262">
        <f>IF(ISNUMBER(Q293),N(Q290)+Q293,"")</f>
        <v>8880</v>
      </c>
      <c r="R341" s="262">
        <f>IF(ISNUMBER(R293),N(R290)+R293,"")</f>
        <v>9070</v>
      </c>
      <c r="S341" s="262">
        <f>IF(ISNUMBER(S293),N(S290)+S293,"")</f>
        <v>9070</v>
      </c>
      <c r="T341" s="262">
        <f>IF(ISNUMBER(T293),N(T290)+T293,"")</f>
        <v>9038</v>
      </c>
      <c r="U341" s="262">
        <f>IF(ISNUMBER(U293),N(U290)+U293,"")</f>
        <v>9016</v>
      </c>
      <c r="V341" s="262">
        <f>IF(ISNUMBER(V293),N(V290)+V293,"")</f>
        <v>9016</v>
      </c>
      <c r="W341" s="262">
        <f>IF(ISNUMBER(W293),N(W290)+W293,"")</f>
        <v>9964</v>
      </c>
      <c r="X341" s="262">
        <f>IF(ISNUMBER(X293),N(X290)+X293,"")</f>
        <v>9964</v>
      </c>
      <c r="Y341" s="262">
        <f>IF(ISNUMBER(Y293),N(Y290)+Y293,"")</f>
        <v>9964</v>
      </c>
      <c r="Z341" s="262">
        <f>IF(ISNUMBER(Z293),N(Z290)+Z293,"")</f>
        <v>11015</v>
      </c>
      <c r="AA341" s="262">
        <f>IF(ISNUMBER(AA293),N(AA290)+AA293,"")</f>
        <v>10456</v>
      </c>
      <c r="AB341" s="262">
        <f>IF(ISNUMBER(AB293),N(AB290)+AB293,"")</f>
        <v>9952</v>
      </c>
      <c r="AC341" s="262">
        <f>IF(ISNUMBER(AC293),N(AC290)+AC293,"")</f>
        <v>9952</v>
      </c>
      <c r="AD341" s="262">
        <f>IF(ISNUMBER(AD293),N(AD290)+AD293,"")</f>
        <v>10799</v>
      </c>
      <c r="AE341" s="262">
        <f>IF(ISNUMBER(AE293),N(AE290)+AE293,"")</f>
        <v>10775</v>
      </c>
      <c r="AF341" s="262">
        <f>IF(ISNUMBER(AF293),N(AF290)+AF293,"")</f>
        <v>10768</v>
      </c>
      <c r="AG341" s="262">
        <f>IF(ISNUMBER(AG293),N(AG290)+AG293,"")</f>
        <v>11117</v>
      </c>
      <c r="AH341" s="262">
        <f>IF(ISNUMBER(AH293),N(AH290)+AH293,"")</f>
        <v>11117</v>
      </c>
      <c r="AI341" s="262">
        <f>IF(ISNUMBER(AI293),N(AI290)+AI293,"")</f>
        <v>12452</v>
      </c>
      <c r="AJ341" s="262">
        <f>IF(ISNUMBER(AJ293),N(AJ290)+AJ293,"")</f>
        <v>12118</v>
      </c>
      <c r="AK341" s="262">
        <f>IF(ISNUMBER(AK293),N(AK290)+AK293,"")</f>
        <v>11876</v>
      </c>
      <c r="AL341" s="262">
        <f>IF(ISNUMBER(AL293),N(AL290)+AL293,"")</f>
        <v>13847</v>
      </c>
      <c r="AM341" s="262">
        <f>IF(ISNUMBER(AM293),N(AM290)+AM293,"")</f>
        <v>13847</v>
      </c>
      <c r="AN341" s="262">
        <f>IF(ISNUMBER(AN293),N(AN290)+AN293,"")</f>
        <v>14744</v>
      </c>
      <c r="AO341" s="262">
        <f>IF(ISNUMBER(AO293),N(AO290)+AO293,"")</f>
        <v>19216</v>
      </c>
      <c r="AP341" s="262">
        <f>IF(ISNUMBER(AP293),N(AP290)+AP293,"")</f>
        <v>24652</v>
      </c>
      <c r="AQ341" s="262">
        <f>IF(ISNUMBER(AQ293),N(AQ290)+AQ293,"")</f>
        <v>27302</v>
      </c>
      <c r="AR341" s="262">
        <f>IF(ISNUMBER(AR293),N(AR290)+AR293,"")</f>
        <v>27302</v>
      </c>
      <c r="AS341" s="262">
        <f>IF(ISNUMBER(AS293),N(AS290)+AS293,"")</f>
        <v>38927</v>
      </c>
      <c r="AT341" s="262">
        <f>IF(ISNUMBER(AT293),N(AT290)+AT293,"")</f>
        <v>61379</v>
      </c>
      <c r="AU341" s="262">
        <f>IF(ISNUMBER(AU293),N(AU290)+AU293,"")</f>
        <v>60959</v>
      </c>
      <c r="AV341" s="262">
        <f>IF(ISNUMBER(AV293),N(AV290)+AV293,"")</f>
        <v>63583</v>
      </c>
      <c r="AW341" s="262">
        <f>IF(ISNUMBER(AW293),N(AW290)+AW293,"")</f>
        <v>63583</v>
      </c>
      <c r="AX341" s="262">
        <f>IF(ISNUMBER(AX293),N(AX290)+AX293,"")</f>
        <v>63575</v>
      </c>
      <c r="AY341" s="262">
        <f>IF(ISNUMBER(AY293),N(AY290)+AY293,"")</f>
        <v>63559</v>
      </c>
      <c r="AZ341" s="262">
        <f>IF(ISNUMBER(AZ293),N(AZ290)+AZ293,"")</f>
        <v>62419</v>
      </c>
      <c r="BA341" s="262">
        <f>IF(ISNUMBER(BA293),N(BA290)+BA293,"")</f>
        <v>58102</v>
      </c>
      <c r="BB341" s="262">
        <f>IF(ISNUMBER(BB293),N(BB290)+BB293,"")</f>
        <v>58102</v>
      </c>
      <c r="BC341" s="262">
        <f>IF(ISNUMBER(BC293),N(BC290)+BC293,"")</f>
        <v>57741</v>
      </c>
      <c r="BD341" s="262">
        <f>IF(ISNUMBER(BD293),N(BD290)+BD293,"")</f>
        <v>57200</v>
      </c>
      <c r="BE341" s="262">
        <f>IF(ISNUMBER(BE293),N(BE290)+BE293,"")</f>
        <v>57219</v>
      </c>
      <c r="BF341" s="262">
        <f>IF(ISNUMBER(BF293),N(BF290)+BF293,"")</f>
        <v>57001</v>
      </c>
      <c r="BG341" s="262">
        <f>IF(ISNUMBER(BG293),N(BG290)+BG293,"")</f>
        <v>57001</v>
      </c>
      <c r="BH341" s="262">
        <f>IF(ISNUMBER(BH293),N(BH290)+BH293,"")</f>
        <v>55391</v>
      </c>
      <c r="BI341" s="262">
        <f>IF(ISNUMBER(BI293),N(BI290)+BI293,"")</f>
        <v>52268</v>
      </c>
      <c r="BJ341" s="262">
        <f>IF(ISNUMBER(BJ293),N(BJ290)+BJ293,"")</f>
        <v>52272</v>
      </c>
      <c r="BK341" s="262">
        <f>IF(ISNUMBER(BK293),N(BK290)+BK293,"")</f>
        <v>52307</v>
      </c>
      <c r="BL341" s="262">
        <f>IF(ISNUMBER(BL293),N(BL290)+BL293,"")</f>
        <v>52307</v>
      </c>
      <c r="BM341" s="262">
        <f>IF(ISNUMBER(BM293),N(BM290)+BM293,"")</f>
        <v>47940</v>
      </c>
      <c r="BN341" s="262">
        <f>IF(ISNUMBER(BN293),N(BN290)+BN293,"")</f>
        <v>57927</v>
      </c>
      <c r="BO341" s="262">
        <f>IF(ISNUMBER(BO293),N(BO290)+BO293,"")</f>
        <v>57650</v>
      </c>
      <c r="BP341" s="262">
        <f>IF(ISNUMBER(BP293),N(BP290)+BP293,"")</f>
        <v>53864</v>
      </c>
      <c r="BQ341" s="262">
        <f>IF(ISNUMBER(BQ293),N(BQ290)+BQ293,"")</f>
        <v>53864</v>
      </c>
      <c r="BR341" s="262">
        <f>IF(ISNUMBER(BR293),N(BR290)+BR293,"")</f>
        <v>53618</v>
      </c>
      <c r="BS341" s="262">
        <f>IF(ISNUMBER(BS293),N(BS290)+BS293,"")</f>
        <v>53323</v>
      </c>
      <c r="BT341" s="262">
        <f>IF(ISNUMBER(BT293),N(BT290)+BT293,"")</f>
        <v>53353</v>
      </c>
      <c r="BU341" s="262">
        <f>IF(ISNUMBER(BU293),N(BU290)+BU293,"")</f>
        <v>54098</v>
      </c>
      <c r="BV341" s="262">
        <f>IF(ISNUMBER(BV293),N(BV290)+BV293,"")</f>
        <v>54098</v>
      </c>
      <c r="BW341" s="262">
        <f>IF(ISNUMBER(BW293),N(BW290)+BW293,"")</f>
        <v>47209</v>
      </c>
      <c r="BX341" s="262">
        <f>IF(ISNUMBER(BX293),N(BX290)+BX293,"")</f>
        <v>45900</v>
      </c>
      <c r="BY341" s="153" t="n"/>
      <c r="BZ341" s="153" t="n"/>
      <c r="CA341" s="263">
        <f>CA342+CA349</f>
        <v>45900</v>
      </c>
      <c r="CB341" s="263">
        <f>CB342+CB349</f>
        <v>41497</v>
      </c>
      <c r="CC341" s="263">
        <f>CC342+CC349</f>
        <v>40127.5</v>
      </c>
      <c r="CD341" s="263">
        <f>CD342+CD349</f>
        <v>39500.5</v>
      </c>
      <c r="CE341" s="263">
        <f>CE342+CE349</f>
        <v>39500.5</v>
      </c>
      <c r="CF341" s="263">
        <f>CF342+CF349</f>
        <v>39500.5</v>
      </c>
      <c r="CG341" s="19" t="inlineStr">
        <is>
          <t>Total debt $54.1bn at 31-Dec-2025 (10-K); $45.9bn at 30-Jun-2026, $4.6bn short-term; cash $7.2bn, short-term investments $12.8bn; $10.0bn unused revolvers (Q2-26 10-Q).</t>
        </is>
      </c>
    </row>
    <row r="342" ht="15" customHeight="1" s="251">
      <c r="B342" s="69" t="inlineStr">
        <is>
          <t xml:space="preserve">  Notes, term loans, finance leases &amp; other debt</t>
        </is>
      </c>
      <c r="C342" s="262">
        <f>C341</f>
        <v>9538</v>
      </c>
      <c r="D342" s="262">
        <f>D341</f>
        <v>8217</v>
      </c>
      <c r="E342" s="262">
        <f>E341</f>
        <v>7512</v>
      </c>
      <c r="F342" s="262">
        <f>F341</f>
        <v>12924</v>
      </c>
      <c r="G342" s="262">
        <f>G341</f>
        <v>12421</v>
      </c>
      <c r="H342" s="262">
        <f>H341</f>
        <v>12371</v>
      </c>
      <c r="I342" s="262">
        <f>I341</f>
        <v>10409</v>
      </c>
      <c r="J342" s="262">
        <f>J341</f>
        <v>9171</v>
      </c>
      <c r="K342" s="262">
        <f>K341</f>
        <v>9578</v>
      </c>
      <c r="L342" s="262">
        <f>L341</f>
        <v>9596</v>
      </c>
      <c r="M342" s="262">
        <f>M341</f>
        <v>9635</v>
      </c>
      <c r="N342" s="262">
        <f>N341</f>
        <v>9635</v>
      </c>
      <c r="O342" s="262">
        <f>O341</f>
        <v>8935</v>
      </c>
      <c r="P342" s="262">
        <f>P341</f>
        <v>8883</v>
      </c>
      <c r="Q342" s="262">
        <f>Q341</f>
        <v>8880</v>
      </c>
      <c r="R342" s="262">
        <f>R341</f>
        <v>9070</v>
      </c>
      <c r="S342" s="262">
        <f>S341</f>
        <v>9070</v>
      </c>
      <c r="T342" s="262">
        <f>T341</f>
        <v>9038</v>
      </c>
      <c r="U342" s="262">
        <f>U341</f>
        <v>9016</v>
      </c>
      <c r="V342" s="262">
        <f>V341</f>
        <v>9016</v>
      </c>
      <c r="W342" s="262">
        <f>W341</f>
        <v>9964</v>
      </c>
      <c r="X342" s="262">
        <f>X341</f>
        <v>9964</v>
      </c>
      <c r="Y342" s="262">
        <f>Y341</f>
        <v>9964</v>
      </c>
      <c r="Z342" s="262">
        <f>Z341</f>
        <v>11015</v>
      </c>
      <c r="AA342" s="262">
        <f>AA341</f>
        <v>10456</v>
      </c>
      <c r="AB342" s="262">
        <f>AB341</f>
        <v>9952</v>
      </c>
      <c r="AC342" s="262">
        <f>AC341</f>
        <v>9952</v>
      </c>
      <c r="AD342" s="262">
        <f>AD341</f>
        <v>10799</v>
      </c>
      <c r="AE342" s="262">
        <f>AE341</f>
        <v>10775</v>
      </c>
      <c r="AF342" s="262">
        <f>AF341</f>
        <v>10768</v>
      </c>
      <c r="AG342" s="262">
        <f>AG341</f>
        <v>11117</v>
      </c>
      <c r="AH342" s="262">
        <f>AH341</f>
        <v>11117</v>
      </c>
      <c r="AI342" s="262">
        <f>AI341</f>
        <v>12452</v>
      </c>
      <c r="AJ342" s="262">
        <f>AJ341</f>
        <v>12118</v>
      </c>
      <c r="AK342" s="262">
        <f>AK341</f>
        <v>11876</v>
      </c>
      <c r="AL342" s="262">
        <f>AL341</f>
        <v>13847</v>
      </c>
      <c r="AM342" s="262">
        <f>AM341</f>
        <v>13847</v>
      </c>
      <c r="AN342" s="262">
        <f>AN341</f>
        <v>14744</v>
      </c>
      <c r="AO342" s="262">
        <f>AO341</f>
        <v>19216</v>
      </c>
      <c r="AP342" s="262">
        <f>AP341</f>
        <v>24652</v>
      </c>
      <c r="AQ342" s="262">
        <f>AQ341</f>
        <v>27302</v>
      </c>
      <c r="AR342" s="262">
        <f>AR341</f>
        <v>27302</v>
      </c>
      <c r="AS342" s="262">
        <f>AS341</f>
        <v>38927</v>
      </c>
      <c r="AT342" s="262">
        <f>AT341</f>
        <v>61379</v>
      </c>
      <c r="AU342" s="262">
        <f>AU341</f>
        <v>60959</v>
      </c>
      <c r="AV342" s="262">
        <f>AV341</f>
        <v>63583</v>
      </c>
      <c r="AW342" s="262">
        <f>AW341</f>
        <v>63583</v>
      </c>
      <c r="AX342" s="262">
        <f>AX341</f>
        <v>63575</v>
      </c>
      <c r="AY342" s="262">
        <f>AY341</f>
        <v>63559</v>
      </c>
      <c r="AZ342" s="262">
        <f>AZ341</f>
        <v>62419</v>
      </c>
      <c r="BA342" s="262">
        <f>BA341</f>
        <v>58102</v>
      </c>
      <c r="BB342" s="262">
        <f>BB341</f>
        <v>58102</v>
      </c>
      <c r="BC342" s="262">
        <f>BC341</f>
        <v>57741</v>
      </c>
      <c r="BD342" s="262">
        <f>BD341</f>
        <v>57200</v>
      </c>
      <c r="BE342" s="262">
        <f>BE341</f>
        <v>57219</v>
      </c>
      <c r="BF342" s="262">
        <f>BF341</f>
        <v>57001</v>
      </c>
      <c r="BG342" s="262">
        <f>BG341</f>
        <v>57001</v>
      </c>
      <c r="BH342" s="262">
        <f>BH341</f>
        <v>55391</v>
      </c>
      <c r="BI342" s="262">
        <f>BI341</f>
        <v>52268</v>
      </c>
      <c r="BJ342" s="262">
        <f>BJ341</f>
        <v>52272</v>
      </c>
      <c r="BK342" s="262">
        <f>BK341</f>
        <v>52307</v>
      </c>
      <c r="BL342" s="262">
        <f>BL341</f>
        <v>52307</v>
      </c>
      <c r="BM342" s="262">
        <f>BM341</f>
        <v>47940</v>
      </c>
      <c r="BN342" s="262">
        <f>BN341</f>
        <v>57927</v>
      </c>
      <c r="BO342" s="262">
        <f>BO341</f>
        <v>57650</v>
      </c>
      <c r="BP342" s="262">
        <f>BP341</f>
        <v>53864</v>
      </c>
      <c r="BQ342" s="262">
        <f>BQ341</f>
        <v>53864</v>
      </c>
      <c r="BR342" s="262">
        <f>BR341</f>
        <v>53618</v>
      </c>
      <c r="BS342" s="262">
        <f>BS341</f>
        <v>53323</v>
      </c>
      <c r="BT342" s="262">
        <f>BT341</f>
        <v>53353</v>
      </c>
      <c r="BU342" s="262">
        <f>BU341</f>
        <v>54098</v>
      </c>
      <c r="BV342" s="262">
        <f>BV341</f>
        <v>54098</v>
      </c>
      <c r="BW342" s="262">
        <f>BW341</f>
        <v>47209</v>
      </c>
      <c r="BX342" s="262">
        <f>BX341</f>
        <v>45900</v>
      </c>
      <c r="BY342" s="153" t="n"/>
      <c r="BZ342" s="153" t="n"/>
      <c r="CA342" s="263">
        <f>BX341-CA343+CA345</f>
        <v>45900</v>
      </c>
      <c r="CB342" s="263">
        <f>CA342-CB343+CB345</f>
        <v>41497</v>
      </c>
      <c r="CC342" s="263">
        <f>CB342-CC343+CC345</f>
        <v>40127.5</v>
      </c>
      <c r="CD342" s="263">
        <f>CC342-CD343+CD345</f>
        <v>39500.5</v>
      </c>
      <c r="CE342" s="263">
        <f>CD342-CE343+CE345</f>
        <v>39500.5</v>
      </c>
      <c r="CF342" s="263">
        <f>CE342-CF343+CF345</f>
        <v>39500.5</v>
      </c>
      <c r="CG342" s="19" t="n"/>
    </row>
    <row r="343" ht="15" customHeight="1" s="251">
      <c r="B343" s="69" t="inlineStr">
        <is>
          <t xml:space="preserve">  Scheduled repayments (input)</t>
        </is>
      </c>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c r="AA343" s="44" t="n"/>
      <c r="AB343" s="44" t="n"/>
      <c r="AC343" s="44" t="n"/>
      <c r="AD343" s="44" t="n"/>
      <c r="AE343" s="44" t="n"/>
      <c r="AF343" s="44" t="n"/>
      <c r="AG343" s="44" t="n"/>
      <c r="AH343" s="44" t="n"/>
      <c r="AI343" s="44" t="n"/>
      <c r="AJ343" s="44" t="n"/>
      <c r="AK343" s="44" t="n"/>
      <c r="AL343" s="44" t="n"/>
      <c r="AM343" s="44" t="n"/>
      <c r="AN343" s="44" t="n"/>
      <c r="AO343" s="44" t="n"/>
      <c r="AP343" s="44" t="n"/>
      <c r="AQ343" s="44" t="n"/>
      <c r="AR343" s="44" t="n"/>
      <c r="AS343" s="44" t="n"/>
      <c r="AT343" s="44" t="n"/>
      <c r="AU343" s="44" t="n"/>
      <c r="AV343" s="44" t="n"/>
      <c r="AW343" s="44" t="n"/>
      <c r="AX343" s="44" t="n"/>
      <c r="AY343" s="44" t="n"/>
      <c r="AZ343" s="44" t="n"/>
      <c r="BA343" s="44" t="n"/>
      <c r="BB343" s="44" t="n"/>
      <c r="BC343" s="44" t="n"/>
      <c r="BD343" s="44" t="n"/>
      <c r="BE343" s="44" t="n"/>
      <c r="BF343" s="44" t="n"/>
      <c r="BG343" s="44" t="n"/>
      <c r="BH343" s="44" t="n"/>
      <c r="BI343" s="44" t="n"/>
      <c r="BJ343" s="44" t="n"/>
      <c r="BK343" s="44" t="n"/>
      <c r="BL343" s="44" t="n"/>
      <c r="BM343" s="44" t="n"/>
      <c r="BN343" s="44" t="n"/>
      <c r="BO343" s="44" t="n"/>
      <c r="BP343" s="44" t="n"/>
      <c r="BQ343" s="44" t="n"/>
      <c r="BR343" s="44" t="n"/>
      <c r="BS343" s="44" t="n"/>
      <c r="BT343" s="44" t="n"/>
      <c r="BU343" s="44" t="n"/>
      <c r="BV343" s="44" t="n"/>
      <c r="BW343" s="44" t="n"/>
      <c r="BX343" s="44" t="n"/>
      <c r="BY343" s="153" t="n"/>
      <c r="BZ343" s="153" t="n"/>
      <c r="CA343" s="271" t="n">
        <v>0</v>
      </c>
      <c r="CB343" s="271" t="n">
        <v>4403</v>
      </c>
      <c r="CC343" s="271" t="n">
        <v>2739</v>
      </c>
      <c r="CD343" s="271" t="n">
        <v>2508</v>
      </c>
      <c r="CE343" s="271" t="n">
        <v>5274</v>
      </c>
      <c r="CF343" s="271" t="n">
        <v>3000</v>
      </c>
      <c r="CG343" s="19" t="inlineStr">
        <is>
          <t>FY2025 10-K: scheduled principal 2026 $8,351m (repaid in 1H26: debt repayments $8,376m, so 2H26 = 0), 2027 $4,403m, 2028 $2,739m, 2029 $2,508m, 2030 $5,274m; 2031 $3,000m assumed (≈$30.8bn due after 2030). Refinancing % is an assumption (deleveraging first).</t>
        </is>
      </c>
    </row>
    <row r="344" ht="15" customHeight="1" s="251">
      <c r="B344" s="69" t="inlineStr">
        <is>
          <t xml:space="preserve">  % of repayments refinanced with new debt (input)</t>
        </is>
      </c>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c r="AA344" s="44" t="n"/>
      <c r="AB344" s="44" t="n"/>
      <c r="AC344" s="44" t="n"/>
      <c r="AD344" s="44" t="n"/>
      <c r="AE344" s="44" t="n"/>
      <c r="AF344" s="44" t="n"/>
      <c r="AG344" s="44" t="n"/>
      <c r="AH344" s="44" t="n"/>
      <c r="AI344" s="44" t="n"/>
      <c r="AJ344" s="44" t="n"/>
      <c r="AK344" s="44" t="n"/>
      <c r="AL344" s="44" t="n"/>
      <c r="AM344" s="44" t="n"/>
      <c r="AN344" s="44" t="n"/>
      <c r="AO344" s="44" t="n"/>
      <c r="AP344" s="44" t="n"/>
      <c r="AQ344" s="44" t="n"/>
      <c r="AR344" s="44" t="n"/>
      <c r="AS344" s="44" t="n"/>
      <c r="AT344" s="44" t="n"/>
      <c r="AU344" s="44" t="n"/>
      <c r="AV344" s="44" t="n"/>
      <c r="AW344" s="44" t="n"/>
      <c r="AX344" s="44" t="n"/>
      <c r="AY344" s="44" t="n"/>
      <c r="AZ344" s="44" t="n"/>
      <c r="BA344" s="44" t="n"/>
      <c r="BB344" s="44" t="n"/>
      <c r="BC344" s="44" t="n"/>
      <c r="BD344" s="44" t="n"/>
      <c r="BE344" s="44" t="n"/>
      <c r="BF344" s="44" t="n"/>
      <c r="BG344" s="44" t="n"/>
      <c r="BH344" s="44" t="n"/>
      <c r="BI344" s="44" t="n"/>
      <c r="BJ344" s="44" t="n"/>
      <c r="BK344" s="44" t="n"/>
      <c r="BL344" s="44" t="n"/>
      <c r="BM344" s="44" t="n"/>
      <c r="BN344" s="44" t="n"/>
      <c r="BO344" s="44" t="n"/>
      <c r="BP344" s="44" t="n"/>
      <c r="BQ344" s="44" t="n"/>
      <c r="BR344" s="44" t="n"/>
      <c r="BS344" s="44" t="n"/>
      <c r="BT344" s="44" t="n"/>
      <c r="BU344" s="44" t="n"/>
      <c r="BV344" s="44" t="n"/>
      <c r="BW344" s="44" t="n"/>
      <c r="BX344" s="44" t="n"/>
      <c r="BY344" s="153" t="n"/>
      <c r="BZ344" s="153" t="n"/>
      <c r="CA344" s="270" t="n">
        <v>0</v>
      </c>
      <c r="CB344" s="270" t="n">
        <v>0</v>
      </c>
      <c r="CC344" s="270" t="n">
        <v>0.5</v>
      </c>
      <c r="CD344" s="270" t="n">
        <v>0.75</v>
      </c>
      <c r="CE344" s="270" t="n">
        <v>1</v>
      </c>
      <c r="CF344" s="270" t="n">
        <v>1</v>
      </c>
      <c r="CG344" s="19" t="n"/>
    </row>
    <row r="345" ht="15" customHeight="1" s="251">
      <c r="B345" s="69" t="inlineStr">
        <is>
          <t xml:space="preserve">  New debt issued</t>
        </is>
      </c>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c r="AA345" s="44" t="n"/>
      <c r="AB345" s="44" t="n"/>
      <c r="AC345" s="44" t="n"/>
      <c r="AD345" s="44" t="n"/>
      <c r="AE345" s="44" t="n"/>
      <c r="AF345" s="44" t="n"/>
      <c r="AG345" s="44" t="n"/>
      <c r="AH345" s="44" t="n"/>
      <c r="AI345" s="44" t="n"/>
      <c r="AJ345" s="44" t="n"/>
      <c r="AK345" s="44" t="n"/>
      <c r="AL345" s="44" t="n"/>
      <c r="AM345" s="44" t="n"/>
      <c r="AN345" s="44" t="n"/>
      <c r="AO345" s="44" t="n"/>
      <c r="AP345" s="44" t="n"/>
      <c r="AQ345" s="44" t="n"/>
      <c r="AR345" s="44" t="n"/>
      <c r="AS345" s="44" t="n"/>
      <c r="AT345" s="44" t="n"/>
      <c r="AU345" s="44" t="n"/>
      <c r="AV345" s="44" t="n"/>
      <c r="AW345" s="44" t="n"/>
      <c r="AX345" s="44" t="n"/>
      <c r="AY345" s="44" t="n"/>
      <c r="AZ345" s="44" t="n"/>
      <c r="BA345" s="44" t="n"/>
      <c r="BB345" s="44" t="n"/>
      <c r="BC345" s="44" t="n"/>
      <c r="BD345" s="44" t="n"/>
      <c r="BE345" s="44" t="n"/>
      <c r="BF345" s="44" t="n"/>
      <c r="BG345" s="44" t="n"/>
      <c r="BH345" s="44" t="n"/>
      <c r="BI345" s="44" t="n"/>
      <c r="BJ345" s="44" t="n"/>
      <c r="BK345" s="44" t="n"/>
      <c r="BL345" s="44" t="n"/>
      <c r="BM345" s="44" t="n"/>
      <c r="BN345" s="44" t="n"/>
      <c r="BO345" s="44" t="n"/>
      <c r="BP345" s="44" t="n"/>
      <c r="BQ345" s="44" t="n"/>
      <c r="BR345" s="44" t="n"/>
      <c r="BS345" s="44" t="n"/>
      <c r="BT345" s="44" t="n"/>
      <c r="BU345" s="44" t="n"/>
      <c r="BV345" s="44" t="n"/>
      <c r="BW345" s="44" t="n"/>
      <c r="BX345" s="44" t="n"/>
      <c r="BY345" s="153" t="n"/>
      <c r="BZ345" s="153" t="n"/>
      <c r="CA345" s="263">
        <f>CA343*CA344</f>
        <v>0</v>
      </c>
      <c r="CB345" s="263">
        <f>CB343*CB344</f>
        <v>0</v>
      </c>
      <c r="CC345" s="263">
        <f>CC343*CC344</f>
        <v>1369.5</v>
      </c>
      <c r="CD345" s="263">
        <f>CD343*CD344</f>
        <v>1881</v>
      </c>
      <c r="CE345" s="263">
        <f>CE343*CE344</f>
        <v>5274</v>
      </c>
      <c r="CF345" s="263">
        <f>CF343*CF344</f>
        <v>3000</v>
      </c>
      <c r="CG345" s="19" t="n"/>
    </row>
    <row r="346" ht="15" customHeight="1" s="251">
      <c r="B346" s="69" t="inlineStr">
        <is>
          <t xml:space="preserve">  Maturities in the following year (current portion)</t>
        </is>
      </c>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c r="AA346" s="44" t="n"/>
      <c r="AB346" s="44" t="n"/>
      <c r="AC346" s="44" t="n"/>
      <c r="AD346" s="44" t="n"/>
      <c r="AE346" s="44" t="n"/>
      <c r="AF346" s="44" t="n"/>
      <c r="AG346" s="44" t="n"/>
      <c r="AH346" s="44" t="n"/>
      <c r="AI346" s="44" t="n"/>
      <c r="AJ346" s="44" t="n"/>
      <c r="AK346" s="44" t="n"/>
      <c r="AL346" s="44" t="n"/>
      <c r="AM346" s="44" t="n"/>
      <c r="AN346" s="44" t="n"/>
      <c r="AO346" s="44" t="n"/>
      <c r="AP346" s="44" t="n"/>
      <c r="AQ346" s="44" t="n"/>
      <c r="AR346" s="44" t="n"/>
      <c r="AS346" s="44" t="n"/>
      <c r="AT346" s="44" t="n"/>
      <c r="AU346" s="44" t="n"/>
      <c r="AV346" s="44" t="n"/>
      <c r="AW346" s="44" t="n"/>
      <c r="AX346" s="44" t="n"/>
      <c r="AY346" s="44" t="n"/>
      <c r="AZ346" s="44" t="n"/>
      <c r="BA346" s="44" t="n"/>
      <c r="BB346" s="44" t="n"/>
      <c r="BC346" s="44" t="n"/>
      <c r="BD346" s="44" t="n"/>
      <c r="BE346" s="44" t="n"/>
      <c r="BF346" s="44" t="n"/>
      <c r="BG346" s="44" t="n"/>
      <c r="BH346" s="44" t="n"/>
      <c r="BI346" s="44" t="n"/>
      <c r="BJ346" s="44" t="n"/>
      <c r="BK346" s="44" t="n"/>
      <c r="BL346" s="44" t="n"/>
      <c r="BM346" s="44" t="n"/>
      <c r="BN346" s="44" t="n"/>
      <c r="BO346" s="44" t="n"/>
      <c r="BP346" s="44" t="n"/>
      <c r="BQ346" s="44" t="n"/>
      <c r="BR346" s="44" t="n"/>
      <c r="BS346" s="44" t="n"/>
      <c r="BT346" s="44" t="n"/>
      <c r="BU346" s="44" t="n"/>
      <c r="BV346" s="44" t="n"/>
      <c r="BW346" s="44" t="n"/>
      <c r="BX346" s="44" t="n"/>
      <c r="BY346" s="153" t="n"/>
      <c r="BZ346" s="153" t="n"/>
      <c r="CA346" s="271" t="n">
        <v>4403</v>
      </c>
      <c r="CB346" s="271" t="n">
        <v>2739</v>
      </c>
      <c r="CC346" s="271" t="n">
        <v>2508</v>
      </c>
      <c r="CD346" s="271" t="n">
        <v>5274</v>
      </c>
      <c r="CE346" s="271" t="n">
        <v>3000</v>
      </c>
      <c r="CF346" s="271" t="n">
        <v>3000</v>
      </c>
      <c r="CG346" s="19" t="n"/>
    </row>
    <row r="347" ht="15" customHeight="1" s="251">
      <c r="B347" s="69" t="inlineStr">
        <is>
          <t xml:space="preserve">  Cash before revolver draws / repayments (opening cash + CFO + CFI + buybacks, dividends, equity, other financing + FX − repaid + issued)</t>
        </is>
      </c>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c r="AA347" s="44" t="n"/>
      <c r="AB347" s="44" t="n"/>
      <c r="AC347" s="44" t="n"/>
      <c r="AD347" s="44" t="n"/>
      <c r="AE347" s="44" t="n"/>
      <c r="AF347" s="44" t="n"/>
      <c r="AG347" s="44" t="n"/>
      <c r="AH347" s="44" t="n"/>
      <c r="AI347" s="44" t="n"/>
      <c r="AJ347" s="44" t="n"/>
      <c r="AK347" s="44" t="n"/>
      <c r="AL347" s="44" t="n"/>
      <c r="AM347" s="44" t="n"/>
      <c r="AN347" s="44" t="n"/>
      <c r="AO347" s="44" t="n"/>
      <c r="AP347" s="44" t="n"/>
      <c r="AQ347" s="44" t="n"/>
      <c r="AR347" s="44" t="n"/>
      <c r="AS347" s="44" t="n"/>
      <c r="AT347" s="44" t="n"/>
      <c r="AU347" s="44" t="n"/>
      <c r="AV347" s="44" t="n"/>
      <c r="AW347" s="44" t="n"/>
      <c r="AX347" s="44" t="n"/>
      <c r="AY347" s="44" t="n"/>
      <c r="AZ347" s="44" t="n"/>
      <c r="BA347" s="44" t="n"/>
      <c r="BB347" s="44" t="n"/>
      <c r="BC347" s="44" t="n"/>
      <c r="BD347" s="44" t="n"/>
      <c r="BE347" s="44" t="n"/>
      <c r="BF347" s="44" t="n"/>
      <c r="BG347" s="44" t="n"/>
      <c r="BH347" s="44" t="n"/>
      <c r="BI347" s="44" t="n"/>
      <c r="BJ347" s="44" t="n"/>
      <c r="BK347" s="44" t="n"/>
      <c r="BL347" s="44" t="n"/>
      <c r="BM347" s="44" t="n"/>
      <c r="BN347" s="44" t="n"/>
      <c r="BO347" s="44" t="n"/>
      <c r="BP347" s="44" t="n"/>
      <c r="BQ347" s="44" t="n"/>
      <c r="BR347" s="44" t="n"/>
      <c r="BS347" s="44" t="n"/>
      <c r="BT347" s="44" t="n"/>
      <c r="BU347" s="44" t="n"/>
      <c r="BV347" s="44" t="n"/>
      <c r="BW347" s="44" t="n"/>
      <c r="BX347" s="44" t="n"/>
      <c r="BY347" s="153" t="n"/>
      <c r="BZ347" s="153" t="n"/>
      <c r="CA347" s="263">
        <f>BX245+(CA229-SUM(BW229:BX229))+(CA235-SUM(BW235:BX235))+(CA237-SUM(BW237:BX237))+(CA238-SUM(BW238:BX238))+(CA239-SUM(BW239:BX239))+(CA240-SUM(BW240:BX240))+(CA242-SUM(BW242:BX242))-CA343+CA345</f>
        <v>10616.5</v>
      </c>
      <c r="CB347" s="263">
        <f>CB244+CB229+CB235+CB237+CB238+CB239+CB240+CB242-CB343+CB345</f>
        <v>12590.8112720767</v>
      </c>
      <c r="CC347" s="263">
        <f>CC244+CC229+CC235+CC237+CC238+CC239+CC240+CC242-CC343+CC345</f>
        <v>21781.9410645051</v>
      </c>
      <c r="CD347" s="263">
        <f>CD244+CD229+CD235+CD237+CD238+CD239+CD240+CD242-CD343+CD345</f>
        <v>20495.7307195024</v>
      </c>
      <c r="CE347" s="263">
        <f>CE244+CE229+CE235+CE237+CE238+CE239+CE240+CE242-CE343+CE345</f>
        <v>19338.9352079449</v>
      </c>
      <c r="CF347" s="263">
        <f>CF244+CF229+CF235+CF237+CF238+CF239+CF240+CF242-CF343+CF345</f>
        <v>18574.6004144271</v>
      </c>
      <c r="CG347" s="19" t="n"/>
    </row>
    <row r="348" ht="15" customHeight="1" s="251">
      <c r="B348" s="69" t="inlineStr">
        <is>
          <t xml:space="preserve">  Minimum cash balance (cash flow basis, incl. restricted)</t>
        </is>
      </c>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c r="AA348" s="44" t="n"/>
      <c r="AB348" s="44" t="n"/>
      <c r="AC348" s="44" t="n"/>
      <c r="AD348" s="44" t="n"/>
      <c r="AE348" s="44" t="n"/>
      <c r="AF348" s="44" t="n"/>
      <c r="AG348" s="44" t="n"/>
      <c r="AH348" s="44" t="n"/>
      <c r="AI348" s="44" t="n"/>
      <c r="AJ348" s="44" t="n"/>
      <c r="AK348" s="44" t="n"/>
      <c r="AL348" s="44" t="n"/>
      <c r="AM348" s="44" t="n"/>
      <c r="AN348" s="44" t="n"/>
      <c r="AO348" s="44" t="n"/>
      <c r="AP348" s="44" t="n"/>
      <c r="AQ348" s="44" t="n"/>
      <c r="AR348" s="44" t="n"/>
      <c r="AS348" s="44" t="n"/>
      <c r="AT348" s="44" t="n"/>
      <c r="AU348" s="44" t="n"/>
      <c r="AV348" s="44" t="n"/>
      <c r="AW348" s="44" t="n"/>
      <c r="AX348" s="44" t="n"/>
      <c r="AY348" s="44" t="n"/>
      <c r="AZ348" s="44" t="n"/>
      <c r="BA348" s="44" t="n"/>
      <c r="BB348" s="44" t="n"/>
      <c r="BC348" s="44" t="n"/>
      <c r="BD348" s="44" t="n"/>
      <c r="BE348" s="44" t="n"/>
      <c r="BF348" s="44" t="n"/>
      <c r="BG348" s="44" t="n"/>
      <c r="BH348" s="44" t="n"/>
      <c r="BI348" s="44" t="n"/>
      <c r="BJ348" s="44" t="n"/>
      <c r="BK348" s="44" t="n"/>
      <c r="BL348" s="44" t="n"/>
      <c r="BM348" s="44" t="n"/>
      <c r="BN348" s="44" t="n"/>
      <c r="BO348" s="44" t="n"/>
      <c r="BP348" s="44" t="n"/>
      <c r="BQ348" s="44" t="n"/>
      <c r="BR348" s="44" t="n"/>
      <c r="BS348" s="44" t="n"/>
      <c r="BT348" s="44" t="n"/>
      <c r="BU348" s="44" t="n"/>
      <c r="BV348" s="44" t="n"/>
      <c r="BW348" s="44" t="n"/>
      <c r="BX348" s="44" t="n"/>
      <c r="BY348" s="153" t="n"/>
      <c r="BZ348" s="153" t="n"/>
      <c r="CA348" s="271" t="n">
        <v>8000</v>
      </c>
      <c r="CB348" s="271" t="n">
        <v>8000</v>
      </c>
      <c r="CC348" s="271" t="n">
        <v>8000</v>
      </c>
      <c r="CD348" s="271" t="n">
        <v>8000</v>
      </c>
      <c r="CE348" s="271" t="n">
        <v>8000</v>
      </c>
      <c r="CF348" s="271" t="n">
        <v>8000</v>
      </c>
      <c r="CG348" s="19" t="n"/>
    </row>
    <row r="349" ht="15" customHeight="1" s="251">
      <c r="B349" s="69" t="inlineStr">
        <is>
          <t xml:space="preserve">  Revolver / commercial paper (year end)</t>
        </is>
      </c>
      <c r="C349" s="262">
        <f>0</f>
        <v>0</v>
      </c>
      <c r="D349" s="262">
        <f>0</f>
        <v>0</v>
      </c>
      <c r="E349" s="262">
        <f>0</f>
        <v>0</v>
      </c>
      <c r="F349" s="262">
        <f>0</f>
        <v>0</v>
      </c>
      <c r="G349" s="262">
        <f>0</f>
        <v>0</v>
      </c>
      <c r="H349" s="262">
        <f>0</f>
        <v>0</v>
      </c>
      <c r="I349" s="262">
        <f>0</f>
        <v>0</v>
      </c>
      <c r="J349" s="262">
        <f>0</f>
        <v>0</v>
      </c>
      <c r="K349" s="262">
        <f>0</f>
        <v>0</v>
      </c>
      <c r="L349" s="262">
        <f>0</f>
        <v>0</v>
      </c>
      <c r="M349" s="262">
        <f>0</f>
        <v>0</v>
      </c>
      <c r="N349" s="262">
        <f>0</f>
        <v>0</v>
      </c>
      <c r="O349" s="262">
        <f>0</f>
        <v>0</v>
      </c>
      <c r="P349" s="262">
        <f>0</f>
        <v>0</v>
      </c>
      <c r="Q349" s="262">
        <f>0</f>
        <v>0</v>
      </c>
      <c r="R349" s="262">
        <f>0</f>
        <v>0</v>
      </c>
      <c r="S349" s="262">
        <f>0</f>
        <v>0</v>
      </c>
      <c r="T349" s="262">
        <f>0</f>
        <v>0</v>
      </c>
      <c r="U349" s="262">
        <f>0</f>
        <v>0</v>
      </c>
      <c r="V349" s="262">
        <f>0</f>
        <v>0</v>
      </c>
      <c r="W349" s="262">
        <f>0</f>
        <v>0</v>
      </c>
      <c r="X349" s="262">
        <f>0</f>
        <v>0</v>
      </c>
      <c r="Y349" s="262">
        <f>0</f>
        <v>0</v>
      </c>
      <c r="Z349" s="262">
        <f>0</f>
        <v>0</v>
      </c>
      <c r="AA349" s="262">
        <f>0</f>
        <v>0</v>
      </c>
      <c r="AB349" s="262">
        <f>0</f>
        <v>0</v>
      </c>
      <c r="AC349" s="262">
        <f>0</f>
        <v>0</v>
      </c>
      <c r="AD349" s="262">
        <f>0</f>
        <v>0</v>
      </c>
      <c r="AE349" s="262">
        <f>0</f>
        <v>0</v>
      </c>
      <c r="AF349" s="262">
        <f>0</f>
        <v>0</v>
      </c>
      <c r="AG349" s="262">
        <f>0</f>
        <v>0</v>
      </c>
      <c r="AH349" s="262">
        <f>0</f>
        <v>0</v>
      </c>
      <c r="AI349" s="262">
        <f>0</f>
        <v>0</v>
      </c>
      <c r="AJ349" s="262">
        <f>0</f>
        <v>0</v>
      </c>
      <c r="AK349" s="262">
        <f>0</f>
        <v>0</v>
      </c>
      <c r="AL349" s="262">
        <f>0</f>
        <v>0</v>
      </c>
      <c r="AM349" s="262">
        <f>0</f>
        <v>0</v>
      </c>
      <c r="AN349" s="262">
        <f>0</f>
        <v>0</v>
      </c>
      <c r="AO349" s="262">
        <f>0</f>
        <v>0</v>
      </c>
      <c r="AP349" s="262">
        <f>0</f>
        <v>0</v>
      </c>
      <c r="AQ349" s="262">
        <f>0</f>
        <v>0</v>
      </c>
      <c r="AR349" s="262">
        <f>0</f>
        <v>0</v>
      </c>
      <c r="AS349" s="262">
        <f>0</f>
        <v>0</v>
      </c>
      <c r="AT349" s="262">
        <f>0</f>
        <v>0</v>
      </c>
      <c r="AU349" s="262">
        <f>0</f>
        <v>0</v>
      </c>
      <c r="AV349" s="262">
        <f>0</f>
        <v>0</v>
      </c>
      <c r="AW349" s="262">
        <f>0</f>
        <v>0</v>
      </c>
      <c r="AX349" s="262">
        <f>0</f>
        <v>0</v>
      </c>
      <c r="AY349" s="262">
        <f>0</f>
        <v>0</v>
      </c>
      <c r="AZ349" s="262">
        <f>0</f>
        <v>0</v>
      </c>
      <c r="BA349" s="262">
        <f>0</f>
        <v>0</v>
      </c>
      <c r="BB349" s="262">
        <f>0</f>
        <v>0</v>
      </c>
      <c r="BC349" s="262">
        <f>0</f>
        <v>0</v>
      </c>
      <c r="BD349" s="262">
        <f>0</f>
        <v>0</v>
      </c>
      <c r="BE349" s="262">
        <f>0</f>
        <v>0</v>
      </c>
      <c r="BF349" s="262">
        <f>0</f>
        <v>0</v>
      </c>
      <c r="BG349" s="262">
        <f>0</f>
        <v>0</v>
      </c>
      <c r="BH349" s="262">
        <f>0</f>
        <v>0</v>
      </c>
      <c r="BI349" s="262">
        <f>0</f>
        <v>0</v>
      </c>
      <c r="BJ349" s="262">
        <f>0</f>
        <v>0</v>
      </c>
      <c r="BK349" s="262">
        <f>0</f>
        <v>0</v>
      </c>
      <c r="BL349" s="262">
        <f>0</f>
        <v>0</v>
      </c>
      <c r="BM349" s="262">
        <f>0</f>
        <v>0</v>
      </c>
      <c r="BN349" s="262">
        <f>0</f>
        <v>0</v>
      </c>
      <c r="BO349" s="262">
        <f>0</f>
        <v>0</v>
      </c>
      <c r="BP349" s="262">
        <f>0</f>
        <v>0</v>
      </c>
      <c r="BQ349" s="262">
        <f>0</f>
        <v>0</v>
      </c>
      <c r="BR349" s="262">
        <f>0</f>
        <v>0</v>
      </c>
      <c r="BS349" s="262">
        <f>0</f>
        <v>0</v>
      </c>
      <c r="BT349" s="262">
        <f>0</f>
        <v>0</v>
      </c>
      <c r="BU349" s="262">
        <f>0</f>
        <v>0</v>
      </c>
      <c r="BV349" s="262">
        <f>0</f>
        <v>0</v>
      </c>
      <c r="BW349" s="262">
        <f>0</f>
        <v>0</v>
      </c>
      <c r="BX349" s="262">
        <f>0</f>
        <v>0</v>
      </c>
      <c r="BY349" s="153" t="n"/>
      <c r="BZ349" s="153" t="n"/>
      <c r="CA349" s="263">
        <f>MAX(0,N(BX349)+CA348-CA347)</f>
        <v>0</v>
      </c>
      <c r="CB349" s="263">
        <f>MAX(0,CA349+CB348-CB347)</f>
        <v>0</v>
      </c>
      <c r="CC349" s="263">
        <f>MAX(0,CB349+CC348-CC347)</f>
        <v>0</v>
      </c>
      <c r="CD349" s="263">
        <f>MAX(0,CC349+CD348-CD347)</f>
        <v>0</v>
      </c>
      <c r="CE349" s="263">
        <f>MAX(0,CD349+CE348-CE347)</f>
        <v>0</v>
      </c>
      <c r="CF349" s="263">
        <f>MAX(0,CE349+CF348-CF347)</f>
        <v>0</v>
      </c>
      <c r="CG349" s="19" t="inlineStr">
        <is>
          <t>$10.0bn unused revolving credit lines at 30-Jun-2026 (Q2-26 10-Q; $3.0bn 364-day to Aug-2026, $3.0bn to Aug-2028, $4.0bn to May-2029). Shortfalls below the minimum cash balance are drawn; surplus repays.</t>
        </is>
      </c>
    </row>
    <row r="350" ht="15" customHeight="1" s="251">
      <c r="B350" s="156" t="inlineStr">
        <is>
          <t xml:space="preserve">  Memo: revolver headroom vs the $7.0bn multi-year commitments (negative = would need other financing)</t>
        </is>
      </c>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c r="AA350" s="44" t="n"/>
      <c r="AB350" s="44" t="n"/>
      <c r="AC350" s="44" t="n"/>
      <c r="AD350" s="44" t="n"/>
      <c r="AE350" s="44" t="n"/>
      <c r="AF350" s="44" t="n"/>
      <c r="AG350" s="44" t="n"/>
      <c r="AH350" s="44" t="n"/>
      <c r="AI350" s="44" t="n"/>
      <c r="AJ350" s="44" t="n"/>
      <c r="AK350" s="44" t="n"/>
      <c r="AL350" s="44" t="n"/>
      <c r="AM350" s="44" t="n"/>
      <c r="AN350" s="44" t="n"/>
      <c r="AO350" s="44" t="n"/>
      <c r="AP350" s="44" t="n"/>
      <c r="AQ350" s="44" t="n"/>
      <c r="AR350" s="44" t="n"/>
      <c r="AS350" s="44" t="n"/>
      <c r="AT350" s="44" t="n"/>
      <c r="AU350" s="44" t="n"/>
      <c r="AV350" s="44" t="n"/>
      <c r="AW350" s="44" t="n"/>
      <c r="AX350" s="44" t="n"/>
      <c r="AY350" s="44" t="n"/>
      <c r="AZ350" s="44" t="n"/>
      <c r="BA350" s="44" t="n"/>
      <c r="BB350" s="44" t="n"/>
      <c r="BC350" s="44" t="n"/>
      <c r="BD350" s="44" t="n"/>
      <c r="BE350" s="44" t="n"/>
      <c r="BF350" s="44" t="n"/>
      <c r="BG350" s="44" t="n"/>
      <c r="BH350" s="44" t="n"/>
      <c r="BI350" s="44" t="n"/>
      <c r="BJ350" s="44" t="n"/>
      <c r="BK350" s="44" t="n"/>
      <c r="BL350" s="44" t="n"/>
      <c r="BM350" s="44" t="n"/>
      <c r="BN350" s="44" t="n"/>
      <c r="BO350" s="44" t="n"/>
      <c r="BP350" s="44" t="n"/>
      <c r="BQ350" s="44" t="n"/>
      <c r="BR350" s="44" t="n"/>
      <c r="BS350" s="44" t="n"/>
      <c r="BT350" s="44" t="n"/>
      <c r="BU350" s="44" t="n"/>
      <c r="BV350" s="44" t="n"/>
      <c r="BW350" s="44" t="n"/>
      <c r="BX350" s="44" t="n"/>
      <c r="BY350" s="35" t="n"/>
      <c r="BZ350" s="35" t="n"/>
      <c r="CA350" s="263">
        <f>7000-CA349</f>
        <v>7000</v>
      </c>
      <c r="CB350" s="263">
        <f>7000-CB349</f>
        <v>7000</v>
      </c>
      <c r="CC350" s="263">
        <f>7000-CC349</f>
        <v>7000</v>
      </c>
      <c r="CD350" s="263">
        <f>7000-CD349</f>
        <v>7000</v>
      </c>
      <c r="CE350" s="263">
        <f>7000-CE349</f>
        <v>7000</v>
      </c>
      <c r="CF350" s="263">
        <f>7000-CF349</f>
        <v>7000</v>
      </c>
      <c r="CG350" s="153" t="n"/>
    </row>
    <row r="351" ht="15" customHeight="1" s="251">
      <c r="B351" s="69" t="inlineStr">
        <is>
          <t xml:space="preserve">  Net issuance / (repayment)</t>
        </is>
      </c>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c r="AA351" s="44" t="n"/>
      <c r="AB351" s="44" t="n"/>
      <c r="AC351" s="44" t="n"/>
      <c r="AD351" s="44" t="n"/>
      <c r="AE351" s="44" t="n"/>
      <c r="AF351" s="44" t="n"/>
      <c r="AG351" s="44" t="n"/>
      <c r="AH351" s="44" t="n"/>
      <c r="AI351" s="44" t="n"/>
      <c r="AJ351" s="44" t="n"/>
      <c r="AK351" s="44" t="n"/>
      <c r="AL351" s="44" t="n"/>
      <c r="AM351" s="44" t="n"/>
      <c r="AN351" s="44" t="n"/>
      <c r="AO351" s="44" t="n"/>
      <c r="AP351" s="44" t="n"/>
      <c r="AQ351" s="44" t="n"/>
      <c r="AR351" s="44" t="n"/>
      <c r="AS351" s="44" t="n"/>
      <c r="AT351" s="44" t="n"/>
      <c r="AU351" s="44" t="n"/>
      <c r="AV351" s="44" t="n"/>
      <c r="AW351" s="44" t="n"/>
      <c r="AX351" s="44" t="n"/>
      <c r="AY351" s="44" t="n"/>
      <c r="AZ351" s="44" t="n"/>
      <c r="BA351" s="44" t="n"/>
      <c r="BB351" s="44" t="n"/>
      <c r="BC351" s="44" t="n"/>
      <c r="BD351" s="44" t="n"/>
      <c r="BE351" s="44" t="n"/>
      <c r="BF351" s="44" t="n"/>
      <c r="BG351" s="44" t="n"/>
      <c r="BH351" s="44" t="n"/>
      <c r="BI351" s="44" t="n"/>
      <c r="BJ351" s="44" t="n"/>
      <c r="BK351" s="44" t="n"/>
      <c r="BL351" s="44" t="n"/>
      <c r="BM351" s="44" t="n"/>
      <c r="BN351" s="44" t="n"/>
      <c r="BO351" s="44" t="n"/>
      <c r="BP351" s="44" t="n"/>
      <c r="BQ351" s="44" t="n"/>
      <c r="BR351" s="44" t="n"/>
      <c r="BS351" s="44" t="n"/>
      <c r="BT351" s="44" t="n"/>
      <c r="BU351" s="44" t="n"/>
      <c r="BV351" s="44" t="n"/>
      <c r="BW351" s="44" t="n"/>
      <c r="BX351" s="44" t="n"/>
      <c r="BY351" s="153" t="n"/>
      <c r="BZ351" s="153" t="n"/>
      <c r="CA351" s="263">
        <f>IFERROR(CA341-BV341,"")</f>
        <v>-8198</v>
      </c>
      <c r="CB351" s="263">
        <f>IFERROR(CB341-CA341,"")</f>
        <v>-4403</v>
      </c>
      <c r="CC351" s="263">
        <f>IFERROR(CC341-CB341,"")</f>
        <v>-1369.5</v>
      </c>
      <c r="CD351" s="263">
        <f>IFERROR(CD341-CC341,"")</f>
        <v>-627</v>
      </c>
      <c r="CE351" s="263">
        <f>IFERROR(CE341-CD341,"")</f>
        <v>0</v>
      </c>
      <c r="CF351" s="263">
        <f>IFERROR(CF341-CE341,"")</f>
        <v>0</v>
      </c>
      <c r="CG351" s="19" t="n"/>
    </row>
    <row r="352" ht="15" customHeight="1" s="251">
      <c r="B352" s="69" t="inlineStr">
        <is>
          <t xml:space="preserve">  Interest rate on opening notes &amp; term loans %</t>
        </is>
      </c>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c r="AA352" s="44" t="n"/>
      <c r="AB352" s="44" t="n"/>
      <c r="AC352" s="44" t="n"/>
      <c r="AD352" s="44" t="n"/>
      <c r="AE352" s="44" t="n"/>
      <c r="AF352" s="44" t="n"/>
      <c r="AG352" s="44" t="n"/>
      <c r="AH352" s="44" t="n"/>
      <c r="AI352" s="44" t="n"/>
      <c r="AJ352" s="44" t="n"/>
      <c r="AK352" s="44" t="n"/>
      <c r="AL352" s="44" t="n"/>
      <c r="AM352" s="44" t="n"/>
      <c r="AN352" s="44" t="n"/>
      <c r="AO352" s="44" t="n"/>
      <c r="AP352" s="44" t="n"/>
      <c r="AQ352" s="44" t="n"/>
      <c r="AR352" s="44" t="n"/>
      <c r="AS352" s="44" t="n"/>
      <c r="AT352" s="44" t="n"/>
      <c r="AU352" s="44" t="n"/>
      <c r="AV352" s="44" t="n"/>
      <c r="AW352" s="44" t="n"/>
      <c r="AX352" s="44" t="n"/>
      <c r="AY352" s="44" t="n"/>
      <c r="AZ352" s="44" t="n"/>
      <c r="BA352" s="44" t="n"/>
      <c r="BB352" s="44" t="n"/>
      <c r="BC352" s="44" t="n"/>
      <c r="BD352" s="44" t="n"/>
      <c r="BE352" s="44" t="n"/>
      <c r="BF352" s="44" t="n"/>
      <c r="BG352" s="44" t="n"/>
      <c r="BH352" s="44" t="n"/>
      <c r="BI352" s="44" t="n"/>
      <c r="BJ352" s="44" t="n"/>
      <c r="BK352" s="44" t="n"/>
      <c r="BL352" s="44" t="n"/>
      <c r="BM352" s="44" t="n"/>
      <c r="BN352" s="44" t="n"/>
      <c r="BO352" s="44" t="n"/>
      <c r="BP352" s="44" t="n"/>
      <c r="BQ352" s="44" t="n"/>
      <c r="BR352" s="44" t="n"/>
      <c r="BS352" s="44" t="n"/>
      <c r="BT352" s="44" t="n"/>
      <c r="BU352" s="44" t="n"/>
      <c r="BV352" s="44" t="n"/>
      <c r="BW352" s="44" t="n"/>
      <c r="BX352" s="44" t="n"/>
      <c r="BY352" s="153" t="n"/>
      <c r="BZ352" s="153" t="n"/>
      <c r="CA352" s="35" t="n"/>
      <c r="CB352" s="270" t="n">
        <v>0.052</v>
      </c>
      <c r="CC352" s="270" t="n">
        <v>0.052</v>
      </c>
      <c r="CD352" s="270" t="n">
        <v>0.052</v>
      </c>
      <c r="CE352" s="270" t="n">
        <v>0.053</v>
      </c>
      <c r="CF352" s="270" t="n">
        <v>0.053</v>
      </c>
      <c r="CG352" s="19" t="inlineStr">
        <is>
          <t>Q2-26 interest and debt expense $600m on $45.9bn (≈5.2% annualised); 2024 notes issued at 6.3–7.1%. Assumption.</t>
        </is>
      </c>
    </row>
    <row r="353" ht="15" customHeight="1" s="251">
      <c r="B353" s="69" t="inlineStr">
        <is>
          <t xml:space="preserve">  Interest rate on opening revolver / commercial paper %</t>
        </is>
      </c>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c r="AA353" s="44" t="n"/>
      <c r="AB353" s="44" t="n"/>
      <c r="AC353" s="44" t="n"/>
      <c r="AD353" s="44" t="n"/>
      <c r="AE353" s="44" t="n"/>
      <c r="AF353" s="44" t="n"/>
      <c r="AG353" s="44" t="n"/>
      <c r="AH353" s="44" t="n"/>
      <c r="AI353" s="44" t="n"/>
      <c r="AJ353" s="44" t="n"/>
      <c r="AK353" s="44" t="n"/>
      <c r="AL353" s="44" t="n"/>
      <c r="AM353" s="44" t="n"/>
      <c r="AN353" s="44" t="n"/>
      <c r="AO353" s="44" t="n"/>
      <c r="AP353" s="44" t="n"/>
      <c r="AQ353" s="44" t="n"/>
      <c r="AR353" s="44" t="n"/>
      <c r="AS353" s="44" t="n"/>
      <c r="AT353" s="44" t="n"/>
      <c r="AU353" s="44" t="n"/>
      <c r="AV353" s="44" t="n"/>
      <c r="AW353" s="44" t="n"/>
      <c r="AX353" s="44" t="n"/>
      <c r="AY353" s="44" t="n"/>
      <c r="AZ353" s="44" t="n"/>
      <c r="BA353" s="44" t="n"/>
      <c r="BB353" s="44" t="n"/>
      <c r="BC353" s="44" t="n"/>
      <c r="BD353" s="44" t="n"/>
      <c r="BE353" s="44" t="n"/>
      <c r="BF353" s="44" t="n"/>
      <c r="BG353" s="44" t="n"/>
      <c r="BH353" s="44" t="n"/>
      <c r="BI353" s="44" t="n"/>
      <c r="BJ353" s="44" t="n"/>
      <c r="BK353" s="44" t="n"/>
      <c r="BL353" s="44" t="n"/>
      <c r="BM353" s="44" t="n"/>
      <c r="BN353" s="44" t="n"/>
      <c r="BO353" s="44" t="n"/>
      <c r="BP353" s="44" t="n"/>
      <c r="BQ353" s="44" t="n"/>
      <c r="BR353" s="44" t="n"/>
      <c r="BS353" s="44" t="n"/>
      <c r="BT353" s="44" t="n"/>
      <c r="BU353" s="44" t="n"/>
      <c r="BV353" s="44" t="n"/>
      <c r="BW353" s="44" t="n"/>
      <c r="BX353" s="44" t="n"/>
      <c r="BY353" s="153" t="n"/>
      <c r="BZ353" s="153" t="n"/>
      <c r="CA353" s="35" t="n"/>
      <c r="CB353" s="270" t="n">
        <v>0.05</v>
      </c>
      <c r="CC353" s="270" t="n">
        <v>0.05</v>
      </c>
      <c r="CD353" s="270" t="n">
        <v>0.05</v>
      </c>
      <c r="CE353" s="270" t="n">
        <v>0.05</v>
      </c>
      <c r="CF353" s="270" t="n">
        <v>0.05</v>
      </c>
      <c r="CG353" s="19" t="n"/>
    </row>
    <row r="354" ht="15" customHeight="1" s="251">
      <c r="B354" s="69" t="inlineStr">
        <is>
          <t xml:space="preserve">  Yield on opening cash &amp; short-term investments %</t>
        </is>
      </c>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c r="AA354" s="44" t="n"/>
      <c r="AB354" s="44" t="n"/>
      <c r="AC354" s="44" t="n"/>
      <c r="AD354" s="44" t="n"/>
      <c r="AE354" s="44" t="n"/>
      <c r="AF354" s="44" t="n"/>
      <c r="AG354" s="44" t="n"/>
      <c r="AH354" s="44" t="n"/>
      <c r="AI354" s="44" t="n"/>
      <c r="AJ354" s="44" t="n"/>
      <c r="AK354" s="44" t="n"/>
      <c r="AL354" s="44" t="n"/>
      <c r="AM354" s="44" t="n"/>
      <c r="AN354" s="44" t="n"/>
      <c r="AO354" s="44" t="n"/>
      <c r="AP354" s="44" t="n"/>
      <c r="AQ354" s="44" t="n"/>
      <c r="AR354" s="44" t="n"/>
      <c r="AS354" s="44" t="n"/>
      <c r="AT354" s="44" t="n"/>
      <c r="AU354" s="44" t="n"/>
      <c r="AV354" s="44" t="n"/>
      <c r="AW354" s="44" t="n"/>
      <c r="AX354" s="44" t="n"/>
      <c r="AY354" s="44" t="n"/>
      <c r="AZ354" s="44" t="n"/>
      <c r="BA354" s="44" t="n"/>
      <c r="BB354" s="44" t="n"/>
      <c r="BC354" s="44" t="n"/>
      <c r="BD354" s="44" t="n"/>
      <c r="BE354" s="44" t="n"/>
      <c r="BF354" s="44" t="n"/>
      <c r="BG354" s="44" t="n"/>
      <c r="BH354" s="44" t="n"/>
      <c r="BI354" s="44" t="n"/>
      <c r="BJ354" s="44" t="n"/>
      <c r="BK354" s="44" t="n"/>
      <c r="BL354" s="44" t="n"/>
      <c r="BM354" s="44" t="n"/>
      <c r="BN354" s="44" t="n"/>
      <c r="BO354" s="44" t="n"/>
      <c r="BP354" s="44" t="n"/>
      <c r="BQ354" s="44" t="n"/>
      <c r="BR354" s="44" t="n"/>
      <c r="BS354" s="44" t="n"/>
      <c r="BT354" s="44" t="n"/>
      <c r="BU354" s="44" t="n"/>
      <c r="BV354" s="44" t="n"/>
      <c r="BW354" s="44" t="n"/>
      <c r="BX354" s="44" t="n"/>
      <c r="BY354" s="153" t="n"/>
      <c r="BZ354" s="153" t="n"/>
      <c r="CA354" s="35" t="n"/>
      <c r="CB354" s="270" t="n">
        <v>0.035</v>
      </c>
      <c r="CC354" s="270" t="n">
        <v>0.035</v>
      </c>
      <c r="CD354" s="270" t="n">
        <v>0.035</v>
      </c>
      <c r="CE354" s="270" t="n">
        <v>0.035</v>
      </c>
      <c r="CF354" s="270" t="n">
        <v>0.035</v>
      </c>
      <c r="CG354" s="19" t="inlineStr">
        <is>
          <t>2025 interest &amp; other income ≈$0.9bn on ~$30bn average cash &amp; investments (~3%). Assumption.</t>
        </is>
      </c>
    </row>
    <row r="355" ht="15" customHeight="1" s="251">
      <c r="B355" s="25" t="inlineStr">
        <is>
          <t>Leverage-targeted buybacks (repurchases plug to a target net debt / adjusted EBITDA, 2027E+)</t>
        </is>
      </c>
      <c r="CG355" s="153" t="n"/>
    </row>
    <row r="356" ht="15" customHeight="1" s="251">
      <c r="B356" s="69" t="inlineStr">
        <is>
          <t xml:space="preserve">  Target net debt / adjusted EBITDA (x) (scenario)</t>
        </is>
      </c>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c r="AA356" s="44" t="n"/>
      <c r="AB356" s="44" t="n"/>
      <c r="AC356" s="44" t="n"/>
      <c r="AD356" s="44" t="n"/>
      <c r="AE356" s="44" t="n"/>
      <c r="AF356" s="44" t="n"/>
      <c r="AG356" s="44" t="n"/>
      <c r="AH356" s="44" t="n"/>
      <c r="AI356" s="44" t="n"/>
      <c r="AJ356" s="44" t="n"/>
      <c r="AK356" s="44" t="n"/>
      <c r="AL356" s="44" t="n"/>
      <c r="AM356" s="44" t="n"/>
      <c r="AN356" s="44" t="n"/>
      <c r="AO356" s="44" t="n"/>
      <c r="AP356" s="44" t="n"/>
      <c r="AQ356" s="44" t="n"/>
      <c r="AR356" s="44" t="n"/>
      <c r="AS356" s="44" t="n"/>
      <c r="AT356" s="44" t="n"/>
      <c r="AU356" s="44" t="n"/>
      <c r="AV356" s="44" t="n"/>
      <c r="AW356" s="44" t="n"/>
      <c r="AX356" s="44" t="n"/>
      <c r="AY356" s="44" t="n"/>
      <c r="AZ356" s="44" t="n"/>
      <c r="BA356" s="44" t="n"/>
      <c r="BB356" s="44" t="n"/>
      <c r="BC356" s="44" t="n"/>
      <c r="BD356" s="44" t="n"/>
      <c r="BE356" s="44" t="n"/>
      <c r="BF356" s="44" t="n"/>
      <c r="BG356" s="44" t="n"/>
      <c r="BH356" s="44" t="n"/>
      <c r="BI356" s="44" t="n"/>
      <c r="BJ356" s="44" t="n"/>
      <c r="BK356" s="44" t="n"/>
      <c r="BL356" s="44" t="n"/>
      <c r="BM356" s="44" t="n"/>
      <c r="BN356" s="44" t="n"/>
      <c r="BO356" s="44" t="n"/>
      <c r="BP356" s="44" t="n"/>
      <c r="BQ356" s="44" t="n"/>
      <c r="BR356" s="44" t="n"/>
      <c r="BS356" s="44" t="n"/>
      <c r="BT356" s="44" t="n"/>
      <c r="BU356" s="44" t="n"/>
      <c r="BV356" s="44" t="n"/>
      <c r="BW356" s="44" t="n"/>
      <c r="BX356" s="44" t="n"/>
      <c r="BY356" s="153" t="n"/>
      <c r="BZ356" s="153" t="n"/>
      <c r="CA356" s="35" t="n"/>
      <c r="CB356" s="268">
        <f>CHOOSE(MATCH($CG$2,{"Bull","Base","Bear"},0),$CP$31,$CQ$31,$CR$31)</f>
        <v>0.5</v>
      </c>
      <c r="CC356" s="268">
        <f>CHOOSE(MATCH($CG$2,{"Bull","Base","Bear"},0),$CP$31,$CQ$31,$CR$31)</f>
        <v>0.5</v>
      </c>
      <c r="CD356" s="268">
        <f>CHOOSE(MATCH($CG$2,{"Bull","Base","Bear"},0),$CP$31,$CQ$31,$CR$31)</f>
        <v>0.5</v>
      </c>
      <c r="CE356" s="268">
        <f>CHOOSE(MATCH($CG$2,{"Bull","Base","Bear"},0),$CP$31,$CQ$31,$CR$31)</f>
        <v>0.5</v>
      </c>
      <c r="CF356" s="268">
        <f>CHOOSE(MATCH($CG$2,{"Bull","Base","Bear"},0),$CP$31,$CQ$31,$CR$31)</f>
        <v>0.5</v>
      </c>
      <c r="CG356" s="19" t="inlineStr">
        <is>
          <t>Buybacks resume only once net debt / adjusted EBITDA (model) is below the target; Boeing's stated priority is debt reduction to protect its investment-grade rating (10-K). Net debt ~$26bn at 30-Jun-2026 (≈7x 2026E adjusted EBITDA). Targets are assumptions: Bull 1.0x / Base 0.5x / Bear 0.0x (higher target = earlier, larger buybacks).</t>
        </is>
      </c>
    </row>
    <row r="357" ht="15" customHeight="1" s="251">
      <c r="B357" s="69" t="inlineStr">
        <is>
          <t xml:space="preserve">  Net debt before buybacks (year end; debt − cash − short-term investments)</t>
        </is>
      </c>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c r="AA357" s="44" t="n"/>
      <c r="AB357" s="44" t="n"/>
      <c r="AC357" s="44" t="n"/>
      <c r="AD357" s="44" t="n"/>
      <c r="AE357" s="44" t="n"/>
      <c r="AF357" s="44" t="n"/>
      <c r="AG357" s="44" t="n"/>
      <c r="AH357" s="44" t="n"/>
      <c r="AI357" s="44" t="n"/>
      <c r="AJ357" s="44" t="n"/>
      <c r="AK357" s="44" t="n"/>
      <c r="AL357" s="44" t="n"/>
      <c r="AM357" s="44" t="n"/>
      <c r="AN357" s="44" t="n"/>
      <c r="AO357" s="44" t="n"/>
      <c r="AP357" s="44" t="n"/>
      <c r="AQ357" s="44" t="n"/>
      <c r="AR357" s="44" t="n"/>
      <c r="AS357" s="44" t="n"/>
      <c r="AT357" s="44" t="n"/>
      <c r="AU357" s="44" t="n"/>
      <c r="AV357" s="44" t="n"/>
      <c r="AW357" s="44" t="n"/>
      <c r="AX357" s="44" t="n"/>
      <c r="AY357" s="44" t="n"/>
      <c r="AZ357" s="44" t="n"/>
      <c r="BA357" s="44" t="n"/>
      <c r="BB357" s="44" t="n"/>
      <c r="BC357" s="44" t="n"/>
      <c r="BD357" s="44" t="n"/>
      <c r="BE357" s="44" t="n"/>
      <c r="BF357" s="44" t="n"/>
      <c r="BG357" s="44" t="n"/>
      <c r="BH357" s="44" t="n"/>
      <c r="BI357" s="44" t="n"/>
      <c r="BJ357" s="44" t="n"/>
      <c r="BK357" s="44" t="n"/>
      <c r="BL357" s="44" t="n"/>
      <c r="BM357" s="44" t="n"/>
      <c r="BN357" s="44" t="n"/>
      <c r="BO357" s="44" t="n"/>
      <c r="BP357" s="44" t="n"/>
      <c r="BQ357" s="44" t="n"/>
      <c r="BR357" s="44" t="n"/>
      <c r="BS357" s="44" t="n"/>
      <c r="BT357" s="44" t="n"/>
      <c r="BU357" s="44" t="n"/>
      <c r="BV357" s="44" t="n"/>
      <c r="BW357" s="44" t="n"/>
      <c r="BX357" s="44" t="n"/>
      <c r="BY357" s="153" t="n"/>
      <c r="BZ357" s="153" t="n"/>
      <c r="CA357" s="35" t="n"/>
      <c r="CB357" s="263">
        <f>CA341-CA276-CB229-CB235-CB238-CB239-CB240-CB242-CB277</f>
        <v>16850.1887279233</v>
      </c>
      <c r="CC357" s="263">
        <f>CB341-CB276-CC229-CC235-CC238-CC239-CC240-CC242-CC277</f>
        <v>6289.55893549486</v>
      </c>
      <c r="CD357" s="263">
        <f>CC341-CC276-CD229-CD235-CD238-CD239-CD240-CD242-CD277</f>
        <v>-7156.90301937201</v>
      </c>
      <c r="CE357" s="263">
        <f>CD341-CD276-CE229-CE235-CE238-CE239-CE240-CE242-CE277</f>
        <v>-7614.2091118352</v>
      </c>
      <c r="CF357" s="263">
        <f>CE341-CE276-CF229-CF235-CF238-CF239-CF240-CF242-CF277</f>
        <v>-6966.31733487113</v>
      </c>
      <c r="CG357" s="19" t="n"/>
    </row>
    <row r="358" ht="15" customHeight="1" s="251">
      <c r="B358" s="69" t="inlineStr">
        <is>
          <t xml:space="preserve">  Target net debt = target leverage × adjusted EBITDA</t>
        </is>
      </c>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c r="AA358" s="44" t="n"/>
      <c r="AB358" s="44" t="n"/>
      <c r="AC358" s="44" t="n"/>
      <c r="AD358" s="44" t="n"/>
      <c r="AE358" s="44" t="n"/>
      <c r="AF358" s="44" t="n"/>
      <c r="AG358" s="44" t="n"/>
      <c r="AH358" s="44" t="n"/>
      <c r="AI358" s="44" t="n"/>
      <c r="AJ358" s="44" t="n"/>
      <c r="AK358" s="44" t="n"/>
      <c r="AL358" s="44" t="n"/>
      <c r="AM358" s="44" t="n"/>
      <c r="AN358" s="44" t="n"/>
      <c r="AO358" s="44" t="n"/>
      <c r="AP358" s="44" t="n"/>
      <c r="AQ358" s="44" t="n"/>
      <c r="AR358" s="44" t="n"/>
      <c r="AS358" s="44" t="n"/>
      <c r="AT358" s="44" t="n"/>
      <c r="AU358" s="44" t="n"/>
      <c r="AV358" s="44" t="n"/>
      <c r="AW358" s="44" t="n"/>
      <c r="AX358" s="44" t="n"/>
      <c r="AY358" s="44" t="n"/>
      <c r="AZ358" s="44" t="n"/>
      <c r="BA358" s="44" t="n"/>
      <c r="BB358" s="44" t="n"/>
      <c r="BC358" s="44" t="n"/>
      <c r="BD358" s="44" t="n"/>
      <c r="BE358" s="44" t="n"/>
      <c r="BF358" s="44" t="n"/>
      <c r="BG358" s="44" t="n"/>
      <c r="BH358" s="44" t="n"/>
      <c r="BI358" s="44" t="n"/>
      <c r="BJ358" s="44" t="n"/>
      <c r="BK358" s="44" t="n"/>
      <c r="BL358" s="44" t="n"/>
      <c r="BM358" s="44" t="n"/>
      <c r="BN358" s="44" t="n"/>
      <c r="BO358" s="44" t="n"/>
      <c r="BP358" s="44" t="n"/>
      <c r="BQ358" s="44" t="n"/>
      <c r="BR358" s="44" t="n"/>
      <c r="BS358" s="44" t="n"/>
      <c r="BT358" s="44" t="n"/>
      <c r="BU358" s="44" t="n"/>
      <c r="BV358" s="44" t="n"/>
      <c r="BW358" s="44" t="n"/>
      <c r="BX358" s="44" t="n"/>
      <c r="BY358" s="153" t="n"/>
      <c r="BZ358" s="153" t="n"/>
      <c r="CA358" s="35" t="n"/>
      <c r="CB358" s="263">
        <f>CB356*CB180</f>
        <v>4020.77061165091</v>
      </c>
      <c r="CC358" s="263">
        <f>CC356*CC180</f>
        <v>5477.84244095103</v>
      </c>
      <c r="CD358" s="263">
        <f>CD356*CD180</f>
        <v>6948.76928049763</v>
      </c>
      <c r="CE358" s="263">
        <f>CE356*CE180</f>
        <v>8105.56479205513</v>
      </c>
      <c r="CF358" s="263">
        <f>CF356*CF180</f>
        <v>8869.89958557288</v>
      </c>
      <c r="CG358" s="19" t="n"/>
    </row>
    <row r="359" ht="15" customHeight="1" s="251">
      <c r="B359" s="69" t="inlineStr">
        <is>
          <t xml:space="preserve">  Share repurchases: plug to target leverage</t>
        </is>
      </c>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c r="AA359" s="44" t="n"/>
      <c r="AB359" s="44" t="n"/>
      <c r="AC359" s="44" t="n"/>
      <c r="AD359" s="44" t="n"/>
      <c r="AE359" s="44" t="n"/>
      <c r="AF359" s="44" t="n"/>
      <c r="AG359" s="44" t="n"/>
      <c r="AH359" s="44" t="n"/>
      <c r="AI359" s="44" t="n"/>
      <c r="AJ359" s="44" t="n"/>
      <c r="AK359" s="44" t="n"/>
      <c r="AL359" s="44" t="n"/>
      <c r="AM359" s="44" t="n"/>
      <c r="AN359" s="44" t="n"/>
      <c r="AO359" s="44" t="n"/>
      <c r="AP359" s="44" t="n"/>
      <c r="AQ359" s="44" t="n"/>
      <c r="AR359" s="44" t="n"/>
      <c r="AS359" s="44" t="n"/>
      <c r="AT359" s="44" t="n"/>
      <c r="AU359" s="44" t="n"/>
      <c r="AV359" s="44" t="n"/>
      <c r="AW359" s="44" t="n"/>
      <c r="AX359" s="44" t="n"/>
      <c r="AY359" s="44" t="n"/>
      <c r="AZ359" s="44" t="n"/>
      <c r="BA359" s="44" t="n"/>
      <c r="BB359" s="44" t="n"/>
      <c r="BC359" s="44" t="n"/>
      <c r="BD359" s="44" t="n"/>
      <c r="BE359" s="44" t="n"/>
      <c r="BF359" s="44" t="n"/>
      <c r="BG359" s="44" t="n"/>
      <c r="BH359" s="44" t="n"/>
      <c r="BI359" s="44" t="n"/>
      <c r="BJ359" s="44" t="n"/>
      <c r="BK359" s="44" t="n"/>
      <c r="BL359" s="44" t="n"/>
      <c r="BM359" s="44" t="n"/>
      <c r="BN359" s="44" t="n"/>
      <c r="BO359" s="44" t="n"/>
      <c r="BP359" s="44" t="n"/>
      <c r="BQ359" s="44" t="n"/>
      <c r="BR359" s="44" t="n"/>
      <c r="BS359" s="44" t="n"/>
      <c r="BT359" s="44" t="n"/>
      <c r="BU359" s="44" t="n"/>
      <c r="BV359" s="44" t="n"/>
      <c r="BW359" s="44" t="n"/>
      <c r="BX359" s="44" t="n"/>
      <c r="BY359" s="153" t="n"/>
      <c r="BZ359" s="153" t="n"/>
      <c r="CA359" s="35" t="n"/>
      <c r="CB359" s="263">
        <f>MAX(0,CB358-CB357)</f>
        <v>0</v>
      </c>
      <c r="CC359" s="263">
        <f>MAX(0,CC358-CC357)</f>
        <v>0</v>
      </c>
      <c r="CD359" s="263">
        <f>MAX(0,CD358-CD357)</f>
        <v>14105.6722998696</v>
      </c>
      <c r="CE359" s="263">
        <f>MAX(0,CE358-CE357)</f>
        <v>15719.7739038903</v>
      </c>
      <c r="CF359" s="263">
        <f>MAX(0,CF358-CF357)</f>
        <v>15836.216920444</v>
      </c>
      <c r="CG359" s="19" t="inlineStr">
        <is>
          <t>Surplus cash beyond the leverage target is returned via buybacks; feeds the cash-flow repurchase line.</t>
        </is>
      </c>
    </row>
    <row r="360" ht="15" customHeight="1" s="251">
      <c r="B360" s="25" t="inlineStr">
        <is>
          <t>Historical reference (driver context)</t>
        </is>
      </c>
      <c r="CG360" s="153" t="n"/>
    </row>
    <row r="361" ht="15" customHeight="1" s="251">
      <c r="B361" s="25" t="inlineStr">
        <is>
          <t xml:space="preserve">  D&amp;A % of revenues</t>
        </is>
      </c>
      <c r="C361" s="215">
        <f>IF(AND(ISNUMBER(C146),ISNUMBER(C117)),IFERROR(C146/C117,""),"")</f>
        <v>0.0251097025841053</v>
      </c>
      <c r="D361" s="215">
        <f>IF(AND(ISNUMBER(D146),ISNUMBER(D117)),IFERROR(D146/D117,""),"")</f>
        <v>0.0223839004624399</v>
      </c>
      <c r="E361" s="215">
        <f>IF(AND(ISNUMBER(E146),ISNUMBER(E117)),IFERROR(E146/E117,""),"")</f>
        <v>0.0244727123512515</v>
      </c>
      <c r="F361" s="215">
        <f>IF(AND(ISNUMBER(F146),ISNUMBER(F117)),IFERROR(F146/F117,""),"")</f>
        <v>0.0243991740015524</v>
      </c>
      <c r="G361" s="215">
        <f>IF(AND(ISNUMBER(G146),ISNUMBER(G117)),IFERROR(G146/G117,""),"")</f>
        <v>0.0268559698939446</v>
      </c>
      <c r="H361" s="215">
        <f>IF(AND(ISNUMBER(H146),ISNUMBER(H117)),IFERROR(H146/H117,""),"")</f>
        <v>0.0211973521495599</v>
      </c>
      <c r="I361" s="215">
        <f>IF(AND(ISNUMBER(I146),ISNUMBER(I117)),IFERROR(I146/I117,""),"")</f>
        <v>0.0221670053122475</v>
      </c>
      <c r="J361" s="215">
        <f>IF(AND(ISNUMBER(J146),ISNUMBER(J117)),IFERROR(J146/J117,""),"")</f>
        <v>0.0227068226327211</v>
      </c>
      <c r="K361" s="215">
        <f>IF(AND(ISNUMBER(K146),ISNUMBER(K117)),IFERROR(K146/K117,""),"")</f>
        <v>0.0199862479944992</v>
      </c>
      <c r="L361" s="215">
        <f>IF(AND(ISNUMBER(L146),ISNUMBER(L117)),IFERROR(L146/L117,""),"")</f>
        <v>0.02069588793493</v>
      </c>
      <c r="M361" s="215">
        <f>IF(AND(ISNUMBER(M146),ISNUMBER(M117)),IFERROR(M146/M117,""),"")</f>
        <v>0.0219045616985495</v>
      </c>
      <c r="N361" s="215">
        <f>IF(AND(ISNUMBER(N146),ISNUMBER(N117)),IFERROR(N146/N117,""),"")</f>
        <v>0.0212876487768837</v>
      </c>
      <c r="O361" s="215">
        <f>IF(AND(ISNUMBER(O146),ISNUMBER(O117)),IFERROR(O146/O117,""),"")</f>
        <v>0.0218910334717811</v>
      </c>
      <c r="P361" s="215">
        <f>IF(AND(ISNUMBER(P146),ISNUMBER(P117)),IFERROR(P146/P117,""),"")</f>
        <v>0.0205035155364028</v>
      </c>
      <c r="Q361" s="215">
        <f>IF(AND(ISNUMBER(Q146),ISNUMBER(Q117)),IFERROR(Q146/Q117,""),"")</f>
        <v>0.0200975445677767</v>
      </c>
      <c r="R361" s="215">
        <f>IF(AND(ISNUMBER(R146),ISNUMBER(R117)),IFERROR(R146/R117,""),"")</f>
        <v>0.0215792054928887</v>
      </c>
      <c r="S361" s="215">
        <f>IF(AND(ISNUMBER(S146),ISNUMBER(S117)),IFERROR(S146/S117,""),"")</f>
        <v>0.0209999779643463</v>
      </c>
      <c r="T361" s="215">
        <f>IF(AND(ISNUMBER(T146),ISNUMBER(T117)),IFERROR(T146/T117,""),"")</f>
        <v>0.020723283218204</v>
      </c>
      <c r="U361" s="215">
        <f>IF(AND(ISNUMBER(U146),ISNUMBER(U117)),IFERROR(U146/U117,""),"")</f>
        <v>0.0184574012956851</v>
      </c>
      <c r="V361" s="215">
        <f>IF(AND(ISNUMBER(V146),ISNUMBER(V117)),IFERROR(V146/V117,""),"")</f>
        <v>0.0169058764362258</v>
      </c>
      <c r="W361" s="215">
        <f>IF(AND(ISNUMBER(W146),ISNUMBER(W117)),IFERROR(W146/W117,""),"")</f>
        <v>0.0205319645356976</v>
      </c>
      <c r="X361" s="215">
        <f>IF(AND(ISNUMBER(X146),ISNUMBER(X117)),IFERROR(X146/X117,""),"")</f>
        <v>0.0190711030651102</v>
      </c>
      <c r="Y361" s="215">
        <f>IF(AND(ISNUMBER(Y146),ISNUMBER(Y117)),IFERROR(Y146/Y117,""),"")</f>
        <v>0.0195740544361965</v>
      </c>
      <c r="Z361" s="215">
        <f>IF(AND(ISNUMBER(Z146),ISNUMBER(Z117)),IFERROR(Z146/Z117,""),"")</f>
        <v>0.0180569581902646</v>
      </c>
      <c r="AA361" s="215">
        <f>IF(AND(ISNUMBER(AA146),ISNUMBER(AA117)),IFERROR(AA146/AA117,""),"")</f>
        <v>0.0198342957569671</v>
      </c>
      <c r="AB361" s="215">
        <f>IF(AND(ISNUMBER(AB146),ISNUMBER(AB117)),IFERROR(AB146/AB117,""),"")</f>
        <v>0.0234475650605514</v>
      </c>
      <c r="AC361" s="215">
        <f>IF(AND(ISNUMBER(AC146),ISNUMBER(AC117)),IFERROR(AC146/AC117,""),"")</f>
        <v>0.0201964661471276</v>
      </c>
      <c r="AD361" s="215">
        <f>IF(AND(ISNUMBER(AD146),ISNUMBER(AD117)),IFERROR(AD146/AD117,""),"")</f>
        <v>0.022454233409611</v>
      </c>
      <c r="AE361" s="215">
        <f>IF(AND(ISNUMBER(AE146),ISNUMBER(AE117)),IFERROR(AE146/AE117,""),"")</f>
        <v>0.0217247900083557</v>
      </c>
      <c r="AF361" s="215">
        <f>IF(AND(ISNUMBER(AF146),ISNUMBER(AF117)),IFERROR(AF146/AF117,""),"")</f>
        <v>0.0214735283228434</v>
      </c>
      <c r="AG361" s="215">
        <f>IF(AND(ISNUMBER(AG146),ISNUMBER(AG117)),IFERROR(AG146/AG117,""),"")</f>
        <v>0.0229422894985809</v>
      </c>
      <c r="AH361" s="215">
        <f>IF(AND(ISNUMBER(AH146),ISNUMBER(AH117)),IFERROR(AH146/AH117,""),"")</f>
        <v>0.0221539318142882</v>
      </c>
      <c r="AI361" s="215">
        <f>IF(AND(ISNUMBER(AI146),ISNUMBER(AI117)),IFERROR(AI146/AI117,""),"")</f>
        <v>0.0214267385168078</v>
      </c>
      <c r="AJ361" s="215">
        <f>IF(AND(ISNUMBER(AJ146),ISNUMBER(AJ117)),IFERROR(AJ146/AJ117,""),"")</f>
        <v>0.0209003215434084</v>
      </c>
      <c r="AK361" s="215">
        <f>IF(AND(ISNUMBER(AK146),ISNUMBER(AK117)),IFERROR(AK146/AK117,""),"")</f>
        <v>0.020798536546568</v>
      </c>
      <c r="AL361" s="215">
        <f>IF(AND(ISNUMBER(AL146),ISNUMBER(AL117)),IFERROR(AL146/AL117,""),"")</f>
        <v>0.0205709043435306</v>
      </c>
      <c r="AM361" s="215">
        <f>IF(AND(ISNUMBER(AM146),ISNUMBER(AM117)),IFERROR(AM146/AM117,""),"")</f>
        <v>0.0209044073293977</v>
      </c>
      <c r="AN361" s="215">
        <f>IF(AND(ISNUMBER(AN146),ISNUMBER(AN117)),IFERROR(AN146/AN117,""),"")</f>
        <v>0.0227342147750578</v>
      </c>
      <c r="AO361" s="215">
        <f>IF(AND(ISNUMBER(AO146),ISNUMBER(AO117)),IFERROR(AO146/AO117,""),"")</f>
        <v>0.0346644657482065</v>
      </c>
      <c r="AP361" s="215">
        <f>IF(AND(ISNUMBER(AP146),ISNUMBER(AP117)),IFERROR(AP146/AP117,""),"")</f>
        <v>0.0288288288288288</v>
      </c>
      <c r="AQ361" s="215">
        <f>IF(AND(ISNUMBER(AQ146),ISNUMBER(AQ117)),IFERROR(AQ146/AQ117,""),"")</f>
        <v>0.0350622522472224</v>
      </c>
      <c r="AR361" s="215">
        <f>IF(AND(ISNUMBER(AR146),ISNUMBER(AR117)),IFERROR(AR146/AR117,""),"")</f>
        <v>0.0296633968573257</v>
      </c>
      <c r="AS361" s="215">
        <f>IF(AND(ISNUMBER(AS146),ISNUMBER(AS117)),IFERROR(AS146/AS117,""),"")</f>
        <v>0.032883841968299</v>
      </c>
      <c r="AT361" s="215">
        <f>IF(AND(ISNUMBER(AT146),ISNUMBER(AT117)),IFERROR(AT146/AT117,""),"")</f>
        <v>0.046328449225036</v>
      </c>
      <c r="AU361" s="215">
        <f>IF(AND(ISNUMBER(AU146),ISNUMBER(AU117)),IFERROR(AU146/AU117,""),"")</f>
        <v>0.03996039323856</v>
      </c>
      <c r="AV361" s="215">
        <f>IF(AND(ISNUMBER(AV146),ISNUMBER(AV117)),IFERROR(AV146/AV117,""),"")</f>
        <v>0.0377679038159958</v>
      </c>
      <c r="AW361" s="215">
        <f>IF(AND(ISNUMBER(AW146),ISNUMBER(AW117)),IFERROR(AW146/AW117,""),"")</f>
        <v>0.0386189346263627</v>
      </c>
      <c r="AX361" s="215">
        <f>IF(AND(ISNUMBER(AX146),ISNUMBER(AX117)),IFERROR(AX146/AX117,""),"")</f>
        <v>0.0352237628967602</v>
      </c>
      <c r="AY361" s="215">
        <f>IF(AND(ISNUMBER(AY146),ISNUMBER(AY117)),IFERROR(AY146/AY117,""),"")</f>
        <v>0.0324155783033298</v>
      </c>
      <c r="AZ361" s="215">
        <f>IF(AND(ISNUMBER(AZ146),ISNUMBER(AZ117)),IFERROR(AZ146/AZ117,""),"")</f>
        <v>0.0342322293493913</v>
      </c>
      <c r="BA361" s="215">
        <f>IF(AND(ISNUMBER(BA146),ISNUMBER(BA117)),IFERROR(BA146/BA117,""),"")</f>
        <v>0.0360981545325492</v>
      </c>
      <c r="BB361" s="215">
        <f>IF(AND(ISNUMBER(BB146),ISNUMBER(BB117)),IFERROR(BB146/BB117,""),"")</f>
        <v>0.0344218604501814</v>
      </c>
      <c r="BC361" s="215">
        <f>IF(AND(ISNUMBER(BC146),ISNUMBER(BC117)),IFERROR(BC146/BC117,""),"")</f>
        <v>0.0347366163962547</v>
      </c>
      <c r="BD361" s="215">
        <f>IF(AND(ISNUMBER(BD146),ISNUMBER(BD117)),IFERROR(BD146/BD117,""),"")</f>
        <v>0.029854325280259</v>
      </c>
      <c r="BE361" s="215">
        <f>IF(AND(ISNUMBER(BE146),ISNUMBER(BE117)),IFERROR(BE146/BE117,""),"")</f>
        <v>0.030897468037102</v>
      </c>
      <c r="BF361" s="215">
        <f>IF(AND(ISNUMBER(BF146),ISNUMBER(BF117)),IFERROR(BF146/BF117,""),"")</f>
        <v>0.0251251251251251</v>
      </c>
      <c r="BG361" s="215">
        <f>IF(AND(ISNUMBER(BG146),ISNUMBER(BG117)),IFERROR(BG146/BG117,""),"")</f>
        <v>0.0297111458083113</v>
      </c>
      <c r="BH361" s="215">
        <f>IF(AND(ISNUMBER(BH146),ISNUMBER(BH117)),IFERROR(BH146/BH117,""),"")</f>
        <v>0.0255008091066347</v>
      </c>
      <c r="BI361" s="215">
        <f>IF(AND(ISNUMBER(BI146),ISNUMBER(BI117)),IFERROR(BI146/BI117,""),"")</f>
        <v>0.0230874386107033</v>
      </c>
      <c r="BJ361" s="215">
        <f>IF(AND(ISNUMBER(BJ146),ISNUMBER(BJ117)),IFERROR(BJ146/BJ117,""),"")</f>
        <v>0.0257954043305347</v>
      </c>
      <c r="BK361" s="215">
        <f>IF(AND(ISNUMBER(BK146),ISNUMBER(BK117)),IFERROR(BK146/BK117,""),"")</f>
        <v>0.0218457625579072</v>
      </c>
      <c r="BL361" s="215">
        <f>IF(AND(ISNUMBER(BL146),ISNUMBER(BL117)),IFERROR(BL146/BL117,""),"")</f>
        <v>0.023922153379438</v>
      </c>
      <c r="BM361" s="215">
        <f>IF(AND(ISNUMBER(BM146),ISNUMBER(BM117)),IFERROR(BM146/BM117,""),"")</f>
        <v>0.02667632325427</v>
      </c>
      <c r="BN361" s="215">
        <f>IF(AND(ISNUMBER(BN146),ISNUMBER(BN117)),IFERROR(BN146/BN117,""),"")</f>
        <v>0.0261472785485592</v>
      </c>
      <c r="BO361" s="215">
        <f>IF(AND(ISNUMBER(BO146),ISNUMBER(BO117)),IFERROR(BO146/BO117,""),"")</f>
        <v>0.0248878923766816</v>
      </c>
      <c r="BP361" s="215">
        <f>IF(AND(ISNUMBER(BP146),ISNUMBER(BP117)),IFERROR(BP146/BP117,""),"")</f>
        <v>0.0333945676420417</v>
      </c>
      <c r="BQ361" s="215">
        <f>IF(AND(ISNUMBER(BQ146),ISNUMBER(BQ117)),IFERROR(BQ146/BQ117,""),"")</f>
        <v>0.0276019664146008</v>
      </c>
      <c r="BR361" s="215">
        <f>IF(AND(ISNUMBER(BR146),ISNUMBER(BR117)),IFERROR(BR146/BR117,""),"")</f>
        <v>0.0239023389413213</v>
      </c>
      <c r="BS361" s="215">
        <f>IF(AND(ISNUMBER(BS146),ISNUMBER(BS117)),IFERROR(BS146/BS117,""),"")</f>
        <v>0.0202206690403974</v>
      </c>
      <c r="BT361" s="215">
        <f>IF(AND(ISNUMBER(BT146),ISNUMBER(BT117)),IFERROR(BT146/BT117,""),"")</f>
        <v>0.021100128921358</v>
      </c>
      <c r="BU361" s="215">
        <f>IF(AND(ISNUMBER(BU146),ISNUMBER(BU117)),IFERROR(BU146/BU117,""),"")</f>
        <v>0.022381827292467</v>
      </c>
      <c r="BV361" s="215">
        <f>IF(AND(ISNUMBER(BV146),ISNUMBER(BV117)),IFERROR(BV146/BV117,""),"")</f>
        <v>0.0218302538479595</v>
      </c>
      <c r="BW361" s="215">
        <f>IF(AND(ISNUMBER(BW146),ISNUMBER(BW117)),IFERROR(BW146/BW117,""),"")</f>
        <v>0.0257910608993113</v>
      </c>
      <c r="BX361" s="215">
        <f>IF(AND(ISNUMBER(BX146),ISNUMBER(BX117)),IFERROR(BX146/BX117,""),"")</f>
        <v>0.0242671009771987</v>
      </c>
      <c r="BY361" s="24" t="n"/>
      <c r="BZ361" s="24" t="n"/>
      <c r="CA361" s="260">
        <f>IF(AND(ISNUMBER(CA146),ISNUMBER(CA117)),IFERROR(CA146/CA117,""),"")</f>
        <v>0.0240453540171582</v>
      </c>
      <c r="CB361" s="260">
        <f>IF(AND(ISNUMBER(CB146),ISNUMBER(CB117)),IFERROR(CB146/CB117,""),"")</f>
        <v>0.024</v>
      </c>
      <c r="CC361" s="260">
        <f>IF(AND(ISNUMBER(CC146),ISNUMBER(CC117)),IFERROR(CC146/CC117,""),"")</f>
        <v>0.024</v>
      </c>
      <c r="CD361" s="260">
        <f>IF(AND(ISNUMBER(CD146),ISNUMBER(CD117)),IFERROR(CD146/CD117,""),"")</f>
        <v>0.023</v>
      </c>
      <c r="CE361" s="260">
        <f>IF(AND(ISNUMBER(CE146),ISNUMBER(CE117)),IFERROR(CE146/CE117,""),"")</f>
        <v>0.023</v>
      </c>
      <c r="CF361" s="260">
        <f>IF(AND(ISNUMBER(CF146),ISNUMBER(CF117)),IFERROR(CF146/CF117,""),"")</f>
        <v>0.023</v>
      </c>
      <c r="CG361" s="153" t="n"/>
    </row>
    <row r="362" ht="15" customHeight="1" s="251">
      <c r="B362" s="25" t="inlineStr">
        <is>
          <t xml:space="preserve">  Interest and debt expense ÷ average total debt %</t>
        </is>
      </c>
      <c r="C362" s="36" t="n"/>
      <c r="D362" s="215">
        <f>IFERROR(D133*1/AVERAGE(D341,C341),"")</f>
        <v>0.0220782878062518</v>
      </c>
      <c r="E362" s="215">
        <f>IFERROR(E133*1/AVERAGE(E341,D341),"")</f>
        <v>0.0256850403712887</v>
      </c>
      <c r="F362" s="215">
        <f>IFERROR(F133*1/AVERAGE(F341,E341),"")</f>
        <v>0.0331767469172049</v>
      </c>
      <c r="G362" s="215">
        <f>IFERROR(G133*1/AVERAGE(G341,F341),"")</f>
        <v>0.0407180903531269</v>
      </c>
      <c r="H362" s="215">
        <f>IFERROR(H133*1/AVERAGE(H341,G341),"")</f>
        <v>0.0401742497579865</v>
      </c>
      <c r="I362" s="215">
        <f>IFERROR(I133*1/AVERAGE(I341,H341),"")</f>
        <v>0.0406496927129061</v>
      </c>
      <c r="J362" s="36" t="n"/>
      <c r="K362" s="215">
        <f>IFERROR(K133*4/AVERAGE(K341,J341),"")</f>
        <v>0.040962184649848</v>
      </c>
      <c r="L362" s="215">
        <f>IFERROR(L133*4/AVERAGE(L341,K341),"")</f>
        <v>0.0396370084489413</v>
      </c>
      <c r="M362" s="215">
        <f>IFERROR(M133*4/AVERAGE(M341,L341),"")</f>
        <v>0.0399355207737507</v>
      </c>
      <c r="N362" s="215">
        <f>IFERROR(N133*1/AVERAGE(N341,I341),"")</f>
        <v>0.0385152664138894</v>
      </c>
      <c r="O362" s="215">
        <f>IFERROR(O133*4/AVERAGE(O341,M341),"")</f>
        <v>0.0396338179859989</v>
      </c>
      <c r="P362" s="215">
        <f>IFERROR(P133*4/AVERAGE(P341,O341),"")</f>
        <v>0.0363677180379392</v>
      </c>
      <c r="Q362" s="215">
        <f>IFERROR(Q133*4/AVERAGE(Q341,P341),"")</f>
        <v>0.0355795755221528</v>
      </c>
      <c r="R362" s="215">
        <f>IFERROR(R133*4/AVERAGE(R341,Q341),"")</f>
        <v>0.036100278551532</v>
      </c>
      <c r="S362" s="215">
        <f>IFERROR(S133*1/AVERAGE(S341,N341),"")</f>
        <v>0.0356054530874098</v>
      </c>
      <c r="T362" s="215">
        <f>IFERROR(T133*4/AVERAGE(T341,R341),"")</f>
        <v>0.0269494146233709</v>
      </c>
      <c r="U362" s="215">
        <f>IFERROR(U133*4/AVERAGE(U341,T341),"")</f>
        <v>0.0332336324360253</v>
      </c>
      <c r="V362" s="215">
        <f>IFERROR(V133*4/AVERAGE(V341,U341),"")</f>
        <v>0.0297249334516415</v>
      </c>
      <c r="W362" s="215">
        <f>IFERROR(W133*4/AVERAGE(W341,V341),"")</f>
        <v>0.0303477344573235</v>
      </c>
      <c r="X362" s="215">
        <f>IFERROR(X133*1/AVERAGE(X341,S341),"")</f>
        <v>0.028895660397184</v>
      </c>
      <c r="Y362" s="215">
        <f>IFERROR(Y133*4/AVERAGE(Y341,W341),"")</f>
        <v>0.0293054997992774</v>
      </c>
      <c r="Z362" s="215">
        <f>IFERROR(Z133*4/AVERAGE(Z341,Y341),"")</f>
        <v>0.0278373611706945</v>
      </c>
      <c r="AA362" s="215">
        <f>IFERROR(AA133*4/AVERAGE(AA341,Z341),"")</f>
        <v>0.0301802431186251</v>
      </c>
      <c r="AB362" s="215">
        <f>IFERROR(AB133*4/AVERAGE(AB341,AA341),"")</f>
        <v>0.030968247745982</v>
      </c>
      <c r="AC362" s="215">
        <f>IFERROR(AC133*1/AVERAGE(AC341,X341),"")</f>
        <v>0.0307290620606548</v>
      </c>
      <c r="AD362" s="215">
        <f>IFERROR(AD133*4/AVERAGE(AD341,AB341),"")</f>
        <v>0.0335405522625416</v>
      </c>
      <c r="AE362" s="215">
        <f>IFERROR(AE133*4/AVERAGE(AE341,AD341),"")</f>
        <v>0.0344859553165848</v>
      </c>
      <c r="AF362" s="215">
        <f>IFERROR(AF133*4/AVERAGE(AF341,AE341),"")</f>
        <v>0.0323074780671216</v>
      </c>
      <c r="AG362" s="215">
        <f>IFERROR(AG133*4/AVERAGE(AG341,AF341),"")</f>
        <v>0.0339958875942426</v>
      </c>
      <c r="AH362" s="215">
        <f>IFERROR(AH133*1/AVERAGE(AH341,AC341),"")</f>
        <v>0.0341734301580521</v>
      </c>
      <c r="AI362" s="215">
        <f>IFERROR(AI133*4/AVERAGE(AI341,AG341),"")</f>
        <v>0.0346217489074632</v>
      </c>
      <c r="AJ362" s="215">
        <f>IFERROR(AJ133*4/AVERAGE(AJ341,AI341),"")</f>
        <v>0.0354904354904355</v>
      </c>
      <c r="AK362" s="215">
        <f>IFERROR(AK133*4/AVERAGE(AK341,AJ341),"")</f>
        <v>0.0353421688755522</v>
      </c>
      <c r="AL362" s="215">
        <f>IFERROR(AL133*4/AVERAGE(AL341,AK341),"")</f>
        <v>0.0491389029273413</v>
      </c>
      <c r="AM362" s="215">
        <f>IFERROR(AM133*1/AVERAGE(AM341,AH341),"")</f>
        <v>0.038054798910431</v>
      </c>
      <c r="AN362" s="215">
        <f>IFERROR(AN133*4/AVERAGE(AN341,AL341),"")</f>
        <v>0.0344164247490469</v>
      </c>
      <c r="AO362" s="215">
        <f>IFERROR(AO133*4/AVERAGE(AO341,AN341),"")</f>
        <v>0.0362779740871614</v>
      </c>
      <c r="AP362" s="215">
        <f>IFERROR(AP133*4/AVERAGE(AP341,AO341),"")</f>
        <v>0.0370201513631805</v>
      </c>
      <c r="AQ362" s="215">
        <f>IFERROR(AQ133*4/AVERAGE(AQ341,AP341),"")</f>
        <v>0.0372637333025369</v>
      </c>
      <c r="AR362" s="215">
        <f>IFERROR(AR133*1/AVERAGE(AR341,AM341),"")</f>
        <v>0.0350919827942356</v>
      </c>
      <c r="AS362" s="215">
        <f>IFERROR(AS133*4/AVERAGE(AS341,AQ341),"")</f>
        <v>0.0316477675942563</v>
      </c>
      <c r="AT362" s="215">
        <f>IFERROR(AT133*4/AVERAGE(AT341,AS341),"")</f>
        <v>0.0441050385819393</v>
      </c>
      <c r="AU362" s="215">
        <f>IFERROR(AU133*4/AVERAGE(AU341,AT341),"")</f>
        <v>0.0420474423319001</v>
      </c>
      <c r="AV362" s="215">
        <f>IFERROR(AV133*4/AVERAGE(AV341,AU341),"")</f>
        <v>0.0448362801303978</v>
      </c>
      <c r="AW362" s="215">
        <f>IFERROR(AW133*1/AVERAGE(AW341,AR341),"")</f>
        <v>0.0474445728117951</v>
      </c>
      <c r="AX362" s="215">
        <f>IFERROR(AX133*4/AVERAGE(AX341,AV341),"")</f>
        <v>0.0427185076833546</v>
      </c>
      <c r="AY362" s="215">
        <f>IFERROR(AY133*4/AVERAGE(AY341,AX341),"")</f>
        <v>0.0423490175720106</v>
      </c>
      <c r="AZ362" s="215">
        <f>IFERROR(AZ133*4/AVERAGE(AZ341,AY341),"")</f>
        <v>0.0424836082490594</v>
      </c>
      <c r="BA362" s="215">
        <f>IFERROR(BA133*4/AVERAGE(BA341,AZ341),"")</f>
        <v>0.0438761709577584</v>
      </c>
      <c r="BB362" s="215">
        <f>IFERROR(BB133*1/AVERAGE(BB341,AW341),"")</f>
        <v>0.0440810288860583</v>
      </c>
      <c r="BC362" s="215">
        <f>IFERROR(BC133*4/AVERAGE(BC341,BA341),"")</f>
        <v>0.0435071605535078</v>
      </c>
      <c r="BD362" s="215">
        <f>IFERROR(BD133*4/AVERAGE(BD341,BC341),"")</f>
        <v>0.0452406017000026</v>
      </c>
      <c r="BE362" s="215">
        <f>IFERROR(BE133*4/AVERAGE(BE341,BD341),"")</f>
        <v>0.0434193621688706</v>
      </c>
      <c r="BF362" s="215">
        <f>IFERROR(BF133*4/AVERAGE(BF341,BE341),"")</f>
        <v>0.0442654526352653</v>
      </c>
      <c r="BG362" s="215">
        <f>IFERROR(BG133*1/AVERAGE(BG341,BB341),"")</f>
        <v>0.0440127537944276</v>
      </c>
      <c r="BH362" s="215">
        <f>IFERROR(BH133*4/AVERAGE(BH341,BF341),"")</f>
        <v>0.0461954587515126</v>
      </c>
      <c r="BI362" s="215">
        <f>IFERROR(BI133*4/AVERAGE(BI341,BH341),"")</f>
        <v>0.0461457007774547</v>
      </c>
      <c r="BJ362" s="215">
        <f>IFERROR(BJ133*4/AVERAGE(BJ341,BI341),"")</f>
        <v>0.0450736560168357</v>
      </c>
      <c r="BK362" s="215">
        <f>IFERROR(BK133*4/AVERAGE(BK341,BJ341),"")</f>
        <v>0.0458983161055279</v>
      </c>
      <c r="BL362" s="215">
        <f>IFERROR(BL133*1/AVERAGE(BL341,BG341),"")</f>
        <v>0.0449921323233432</v>
      </c>
      <c r="BM362" s="215">
        <f>IFERROR(BM133*4/AVERAGE(BM341,BK341),"")</f>
        <v>0.0454078426287071</v>
      </c>
      <c r="BN362" s="215">
        <f>IFERROR(BN133*4/AVERAGE(BN341,BM341),"")</f>
        <v>0.0508562630470307</v>
      </c>
      <c r="BO362" s="215">
        <f>IFERROR(BO133*4/AVERAGE(BO341,BN341),"")</f>
        <v>0.0503906486584701</v>
      </c>
      <c r="BP362" s="215">
        <f>IFERROR(BP133*4/AVERAGE(BP341,BO341),"")</f>
        <v>0.054163602776333</v>
      </c>
      <c r="BQ362" s="215">
        <f>IFERROR(BQ133*1/AVERAGE(BQ341,BL341),"")</f>
        <v>0.0513322847105142</v>
      </c>
      <c r="BR362" s="215">
        <f>IFERROR(BR133*4/AVERAGE(BR341,BP341),"")</f>
        <v>0.0526971958095309</v>
      </c>
      <c r="BS362" s="215">
        <f>IFERROR(BS133*4/AVERAGE(BS341,BR341),"")</f>
        <v>0.053113398977006</v>
      </c>
      <c r="BT362" s="215">
        <f>IFERROR(BT133*4/AVERAGE(BT341,BS341),"")</f>
        <v>0.052045446023473</v>
      </c>
      <c r="BU362" s="215">
        <f>IFERROR(BU133*4/AVERAGE(BU341,BT341),"")</f>
        <v>0.0490642246233167</v>
      </c>
      <c r="BV362" s="215">
        <f>IFERROR(BV133*1/AVERAGE(BV341,BQ341),"")</f>
        <v>0.0513328763824309</v>
      </c>
      <c r="BW362" s="215">
        <f>IFERROR(BW133*4/AVERAGE(BW341,BU341),"")</f>
        <v>0.0486442200440246</v>
      </c>
      <c r="BX362" s="215">
        <f>IFERROR(BX133*4/AVERAGE(BX341,BW341),"")</f>
        <v>0.0515524815001772</v>
      </c>
      <c r="BY362" s="24" t="n"/>
      <c r="BZ362" s="24" t="n"/>
      <c r="CA362" s="260">
        <f>IFERROR(CA133*1/AVERAGE(CA341,BV341),"")</f>
        <v>0.0479209584191684</v>
      </c>
      <c r="CB362" s="260">
        <f>IFERROR(CB133*1/AVERAGE(CB341,CA341),"")</f>
        <v>0.0546197237891461</v>
      </c>
      <c r="CC362" s="260">
        <f>IFERROR(CC133*1/AVERAGE(CC341,CB341),"")</f>
        <v>0.0528724586368064</v>
      </c>
      <c r="CD362" s="260">
        <f>IFERROR(CD133*1/AVERAGE(CD341,CC341),"")</f>
        <v>0.0524094539609183</v>
      </c>
      <c r="CE362" s="260">
        <f>IFERROR(CE133*1/AVERAGE(CE341,CD341),"")</f>
        <v>0.053</v>
      </c>
      <c r="CF362" s="260">
        <f>IFERROR(CF133*1/AVERAGE(CF341,CE341),"")</f>
        <v>0.053</v>
      </c>
      <c r="CG362" s="153" t="n"/>
    </row>
    <row r="363" ht="15" customHeight="1" s="251">
      <c r="CO363" s="11" t="n"/>
      <c r="CP363" s="12" t="n"/>
      <c r="CQ363" s="12" t="n"/>
      <c r="CR363" s="12" t="n"/>
      <c r="CS363" s="13" t="n"/>
    </row>
    <row r="364" ht="15" customHeight="1" s="251">
      <c r="B364" s="10" t="inlineStr">
        <is>
          <t>RATIO ANALYSIS</t>
        </is>
      </c>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c r="AH364" s="10" t="n"/>
      <c r="AI364" s="10" t="n"/>
      <c r="AJ364" s="10" t="n"/>
      <c r="AK364" s="10" t="n"/>
      <c r="AL364" s="10" t="n"/>
      <c r="AM364" s="10" t="n"/>
      <c r="AN364" s="10" t="n"/>
      <c r="AO364" s="10" t="n"/>
      <c r="AP364" s="10" t="n"/>
      <c r="AQ364" s="10" t="n"/>
      <c r="AR364" s="10" t="n"/>
      <c r="AS364" s="10" t="n"/>
      <c r="AT364" s="10" t="n"/>
      <c r="AU364" s="10" t="n"/>
      <c r="AV364" s="10" t="n"/>
      <c r="AW364" s="10" t="n"/>
      <c r="AX364" s="10" t="n"/>
      <c r="AY364" s="10" t="n"/>
      <c r="AZ364" s="10" t="n"/>
      <c r="BA364" s="10" t="n"/>
      <c r="BB364" s="10" t="n"/>
      <c r="BC364" s="10" t="n"/>
      <c r="BD364" s="10" t="n"/>
      <c r="BE364" s="10" t="n"/>
      <c r="BF364" s="10" t="n"/>
      <c r="BG364" s="10" t="n"/>
      <c r="BH364" s="10" t="n"/>
      <c r="BI364" s="10" t="n"/>
      <c r="BJ364" s="10" t="n"/>
      <c r="BK364" s="10" t="n"/>
      <c r="BL364" s="10" t="n"/>
      <c r="BM364" s="10" t="n"/>
      <c r="BN364" s="10" t="n"/>
      <c r="BO364" s="10" t="n"/>
      <c r="BP364" s="10" t="n"/>
      <c r="BQ364" s="10" t="n"/>
      <c r="BR364" s="10" t="n"/>
      <c r="BS364" s="10" t="n"/>
      <c r="BT364" s="10" t="n"/>
      <c r="BU364" s="10" t="n"/>
      <c r="BV364" s="10" t="n"/>
      <c r="BW364" s="10" t="n"/>
      <c r="BX364" s="10" t="n"/>
      <c r="BY364" s="10" t="n"/>
      <c r="BZ364" s="10" t="n"/>
      <c r="CA364" s="10" t="n"/>
      <c r="CB364" s="10" t="n"/>
      <c r="CC364" s="10" t="n"/>
      <c r="CD364" s="10" t="n"/>
      <c r="CE364" s="10" t="n"/>
      <c r="CF364" s="10" t="n"/>
      <c r="CG364" s="10" t="inlineStr">
        <is>
          <t>RETURNS — annual columns (NOPAT on adjusted EBIT = core operating earnings excl. divestiture gains)</t>
        </is>
      </c>
    </row>
    <row r="365" ht="15" customHeight="1" s="251">
      <c r="B365" s="25" t="inlineStr">
        <is>
          <t>DuPont decomposition of ROIC</t>
        </is>
      </c>
      <c r="CG365" s="153" t="n"/>
    </row>
    <row r="366" ht="15" customHeight="1" s="251">
      <c r="B366" s="25" t="inlineStr">
        <is>
          <t>Adjusted EBIT (core operating earnings excl. gains on dispositions)</t>
        </is>
      </c>
      <c r="C366" s="262">
        <f>C183-C185</f>
        <v>3240</v>
      </c>
      <c r="D366" s="262">
        <f>D183-D185</f>
        <v>6478</v>
      </c>
      <c r="E366" s="262">
        <f>E183-E185</f>
        <v>4271</v>
      </c>
      <c r="F366" s="262">
        <f>F183-F185</f>
        <v>2103</v>
      </c>
      <c r="G366" s="262">
        <f>G183-G185</f>
        <v>4970</v>
      </c>
      <c r="H366" s="262">
        <f>H183-H185</f>
        <v>6337</v>
      </c>
      <c r="I366" s="262">
        <f>I183-I185</f>
        <v>7206</v>
      </c>
      <c r="J366" s="34" t="n"/>
      <c r="K366" s="34" t="n"/>
      <c r="L366" s="34" t="n"/>
      <c r="M366" s="34" t="n"/>
      <c r="N366" s="262">
        <f>N183-N185</f>
        <v>7856</v>
      </c>
      <c r="O366" s="34" t="n"/>
      <c r="P366" s="34" t="n"/>
      <c r="Q366" s="34" t="n"/>
      <c r="R366" s="34" t="n"/>
      <c r="S366" s="262">
        <f>S183-S185</f>
        <v>8870</v>
      </c>
      <c r="T366" s="34" t="n"/>
      <c r="U366" s="34" t="n"/>
      <c r="V366" s="34" t="n"/>
      <c r="W366" s="34" t="n"/>
      <c r="X366" s="262">
        <f>X183-X185</f>
        <v>7742</v>
      </c>
      <c r="Y366" s="34" t="n"/>
      <c r="Z366" s="34" t="n"/>
      <c r="AA366" s="34" t="n"/>
      <c r="AB366" s="34" t="n"/>
      <c r="AC366" s="262">
        <f>AC183-AC185</f>
        <v>5471</v>
      </c>
      <c r="AD366" s="34" t="n"/>
      <c r="AE366" s="34" t="n"/>
      <c r="AF366" s="34" t="n"/>
      <c r="AG366" s="34" t="n"/>
      <c r="AH366" s="262">
        <f>AH183-AH185</f>
        <v>8949</v>
      </c>
      <c r="AI366" s="34" t="n"/>
      <c r="AJ366" s="34" t="n"/>
      <c r="AK366" s="34" t="n"/>
      <c r="AL366" s="34" t="n"/>
      <c r="AM366" s="262">
        <f>AM183-AM185</f>
        <v>10585</v>
      </c>
      <c r="AN366" s="34" t="n"/>
      <c r="AO366" s="34" t="n"/>
      <c r="AP366" s="34" t="n"/>
      <c r="AQ366" s="34" t="n"/>
      <c r="AR366" s="262">
        <f>AR183-AR185</f>
        <v>-4081</v>
      </c>
      <c r="AS366" s="34" t="n"/>
      <c r="AT366" s="34" t="n"/>
      <c r="AU366" s="34" t="n"/>
      <c r="AV366" s="34" t="n"/>
      <c r="AW366" s="262">
        <f>AW183-AW185</f>
        <v>-14352</v>
      </c>
      <c r="AX366" s="34" t="n"/>
      <c r="AY366" s="34" t="n"/>
      <c r="AZ366" s="34" t="n"/>
      <c r="BA366" s="34" t="n"/>
      <c r="BB366" s="262">
        <f>BB183-BB185</f>
        <v>-4352</v>
      </c>
      <c r="BC366" s="34" t="n"/>
      <c r="BD366" s="34" t="n"/>
      <c r="BE366" s="34" t="n"/>
      <c r="BF366" s="34" t="n"/>
      <c r="BG366" s="262">
        <f>BG183-BG185</f>
        <v>-4696</v>
      </c>
      <c r="BH366" s="34" t="n"/>
      <c r="BI366" s="34" t="n"/>
      <c r="BJ366" s="34" t="n"/>
      <c r="BK366" s="34" t="n"/>
      <c r="BL366" s="262">
        <f>BL183-BL185</f>
        <v>-1831</v>
      </c>
      <c r="BM366" s="34" t="n"/>
      <c r="BN366" s="34" t="n"/>
      <c r="BO366" s="34" t="n"/>
      <c r="BP366" s="34" t="n"/>
      <c r="BQ366" s="262">
        <f>BQ183-BQ185</f>
        <v>-11857</v>
      </c>
      <c r="BR366" s="34" t="n"/>
      <c r="BS366" s="34" t="n"/>
      <c r="BT366" s="34" t="n"/>
      <c r="BU366" s="34" t="n"/>
      <c r="BV366" s="262">
        <f>BV183-BV185</f>
        <v>-6436</v>
      </c>
      <c r="BW366" s="34" t="n"/>
      <c r="BX366" s="34" t="n"/>
      <c r="BY366" s="35" t="n"/>
      <c r="BZ366" s="35" t="n"/>
      <c r="CA366" s="263">
        <f>CA183-CA185</f>
        <v>1338.1119264075</v>
      </c>
      <c r="CB366" s="263">
        <f>CB183-CB185</f>
        <v>5483.17940496081</v>
      </c>
      <c r="CC366" s="263">
        <f>CC183-CC185</f>
        <v>8176.93269284913</v>
      </c>
      <c r="CD366" s="263">
        <f>CD183-CD185</f>
        <v>11049.9432564531</v>
      </c>
      <c r="CE366" s="263">
        <f>CE183-CE185</f>
        <v>13223.1429101064</v>
      </c>
      <c r="CF366" s="263">
        <f>CF183-CF185</f>
        <v>14623.1715260069</v>
      </c>
      <c r="CG366" s="19" t="n"/>
    </row>
    <row r="367" ht="15" customHeight="1" s="251">
      <c r="B367" s="25" t="inlineStr">
        <is>
          <t>Tax rate (statutory 21% from 2018; 35% before)</t>
        </is>
      </c>
      <c r="C367" s="215">
        <f>0.35</f>
        <v>0.35</v>
      </c>
      <c r="D367" s="215">
        <f>0.35</f>
        <v>0.35</v>
      </c>
      <c r="E367" s="215">
        <f>0.35</f>
        <v>0.35</v>
      </c>
      <c r="F367" s="215">
        <f>0.35</f>
        <v>0.35</v>
      </c>
      <c r="G367" s="215">
        <f>0.35</f>
        <v>0.35</v>
      </c>
      <c r="H367" s="215">
        <f>0.35</f>
        <v>0.35</v>
      </c>
      <c r="I367" s="215">
        <f>0.35</f>
        <v>0.35</v>
      </c>
      <c r="J367" s="34" t="n"/>
      <c r="K367" s="34" t="n"/>
      <c r="L367" s="34" t="n"/>
      <c r="M367" s="34" t="n"/>
      <c r="N367" s="215">
        <f>0.35</f>
        <v>0.35</v>
      </c>
      <c r="O367" s="34" t="n"/>
      <c r="P367" s="34" t="n"/>
      <c r="Q367" s="34" t="n"/>
      <c r="R367" s="34" t="n"/>
      <c r="S367" s="215">
        <f>0.35</f>
        <v>0.35</v>
      </c>
      <c r="T367" s="34" t="n"/>
      <c r="U367" s="34" t="n"/>
      <c r="V367" s="34" t="n"/>
      <c r="W367" s="34" t="n"/>
      <c r="X367" s="215">
        <f>0.35</f>
        <v>0.35</v>
      </c>
      <c r="Y367" s="34" t="n"/>
      <c r="Z367" s="34" t="n"/>
      <c r="AA367" s="34" t="n"/>
      <c r="AB367" s="34" t="n"/>
      <c r="AC367" s="215">
        <f>0.35</f>
        <v>0.35</v>
      </c>
      <c r="AD367" s="34" t="n"/>
      <c r="AE367" s="34" t="n"/>
      <c r="AF367" s="34" t="n"/>
      <c r="AG367" s="34" t="n"/>
      <c r="AH367" s="215">
        <f>0.35</f>
        <v>0.35</v>
      </c>
      <c r="AI367" s="34" t="n"/>
      <c r="AJ367" s="34" t="n"/>
      <c r="AK367" s="34" t="n"/>
      <c r="AL367" s="34" t="n"/>
      <c r="AM367" s="215">
        <f>0.21</f>
        <v>0.21</v>
      </c>
      <c r="AN367" s="34" t="n"/>
      <c r="AO367" s="34" t="n"/>
      <c r="AP367" s="34" t="n"/>
      <c r="AQ367" s="34" t="n"/>
      <c r="AR367" s="215">
        <f>0.21</f>
        <v>0.21</v>
      </c>
      <c r="AS367" s="34" t="n"/>
      <c r="AT367" s="34" t="n"/>
      <c r="AU367" s="34" t="n"/>
      <c r="AV367" s="34" t="n"/>
      <c r="AW367" s="215">
        <f>0.21</f>
        <v>0.21</v>
      </c>
      <c r="AX367" s="34" t="n"/>
      <c r="AY367" s="34" t="n"/>
      <c r="AZ367" s="34" t="n"/>
      <c r="BA367" s="34" t="n"/>
      <c r="BB367" s="215">
        <f>0.21</f>
        <v>0.21</v>
      </c>
      <c r="BC367" s="34" t="n"/>
      <c r="BD367" s="34" t="n"/>
      <c r="BE367" s="34" t="n"/>
      <c r="BF367" s="34" t="n"/>
      <c r="BG367" s="215">
        <f>0.21</f>
        <v>0.21</v>
      </c>
      <c r="BH367" s="34" t="n"/>
      <c r="BI367" s="34" t="n"/>
      <c r="BJ367" s="34" t="n"/>
      <c r="BK367" s="34" t="n"/>
      <c r="BL367" s="215">
        <f>0.21</f>
        <v>0.21</v>
      </c>
      <c r="BM367" s="34" t="n"/>
      <c r="BN367" s="34" t="n"/>
      <c r="BO367" s="34" t="n"/>
      <c r="BP367" s="34" t="n"/>
      <c r="BQ367" s="215">
        <f>0.21</f>
        <v>0.21</v>
      </c>
      <c r="BR367" s="34" t="n"/>
      <c r="BS367" s="34" t="n"/>
      <c r="BT367" s="34" t="n"/>
      <c r="BU367" s="34" t="n"/>
      <c r="BV367" s="215">
        <f>0.21</f>
        <v>0.21</v>
      </c>
      <c r="BW367" s="34" t="n"/>
      <c r="BX367" s="34" t="n"/>
      <c r="BY367" s="35" t="n"/>
      <c r="BZ367" s="35" t="n"/>
      <c r="CA367" s="260">
        <f>0.21</f>
        <v>0.21</v>
      </c>
      <c r="CB367" s="260">
        <f>0.21</f>
        <v>0.21</v>
      </c>
      <c r="CC367" s="260">
        <f>0.21</f>
        <v>0.21</v>
      </c>
      <c r="CD367" s="260">
        <f>0.21</f>
        <v>0.21</v>
      </c>
      <c r="CE367" s="260">
        <f>0.21</f>
        <v>0.21</v>
      </c>
      <c r="CF367" s="260">
        <f>0.21</f>
        <v>0.21</v>
      </c>
      <c r="CG367" s="19" t="n"/>
    </row>
    <row r="368" ht="15" customHeight="1" s="251">
      <c r="B368" s="25" t="inlineStr">
        <is>
          <t>NOPAT = Adjusted EBIT × (1 − tax rate)</t>
        </is>
      </c>
      <c r="C368" s="262">
        <f>IFERROR(C366*(1-C367),"n/a")</f>
        <v>2106</v>
      </c>
      <c r="D368" s="262">
        <f>IFERROR(D366*(1-D367),"n/a")</f>
        <v>4210.7</v>
      </c>
      <c r="E368" s="262">
        <f>IFERROR(E366*(1-E367),"n/a")</f>
        <v>2776.15</v>
      </c>
      <c r="F368" s="262">
        <f>IFERROR(F366*(1-F367),"n/a")</f>
        <v>1366.95</v>
      </c>
      <c r="G368" s="262">
        <f>IFERROR(G366*(1-G367),"n/a")</f>
        <v>3230.5</v>
      </c>
      <c r="H368" s="262">
        <f>IFERROR(H366*(1-H367),"n/a")</f>
        <v>4119.05</v>
      </c>
      <c r="I368" s="262">
        <f>IFERROR(I366*(1-I367),"n/a")</f>
        <v>4683.9</v>
      </c>
      <c r="J368" s="34" t="n"/>
      <c r="K368" s="34" t="n"/>
      <c r="L368" s="34" t="n"/>
      <c r="M368" s="34" t="n"/>
      <c r="N368" s="262">
        <f>IFERROR(N366*(1-N367),"n/a")</f>
        <v>5106.4</v>
      </c>
      <c r="O368" s="34" t="n"/>
      <c r="P368" s="34" t="n"/>
      <c r="Q368" s="34" t="n"/>
      <c r="R368" s="34" t="n"/>
      <c r="S368" s="262">
        <f>IFERROR(S366*(1-S367),"n/a")</f>
        <v>5765.5</v>
      </c>
      <c r="T368" s="34" t="n"/>
      <c r="U368" s="34" t="n"/>
      <c r="V368" s="34" t="n"/>
      <c r="W368" s="34" t="n"/>
      <c r="X368" s="262">
        <f>IFERROR(X366*(1-X367),"n/a")</f>
        <v>5032.3</v>
      </c>
      <c r="Y368" s="34" t="n"/>
      <c r="Z368" s="34" t="n"/>
      <c r="AA368" s="34" t="n"/>
      <c r="AB368" s="34" t="n"/>
      <c r="AC368" s="262">
        <f>IFERROR(AC366*(1-AC367),"n/a")</f>
        <v>3556.15</v>
      </c>
      <c r="AD368" s="34" t="n"/>
      <c r="AE368" s="34" t="n"/>
      <c r="AF368" s="34" t="n"/>
      <c r="AG368" s="34" t="n"/>
      <c r="AH368" s="262">
        <f>IFERROR(AH366*(1-AH367),"n/a")</f>
        <v>5816.85</v>
      </c>
      <c r="AI368" s="34" t="n"/>
      <c r="AJ368" s="34" t="n"/>
      <c r="AK368" s="34" t="n"/>
      <c r="AL368" s="34" t="n"/>
      <c r="AM368" s="262">
        <f>IFERROR(AM366*(1-AM367),"n/a")</f>
        <v>8362.15</v>
      </c>
      <c r="AN368" s="34" t="n"/>
      <c r="AO368" s="34" t="n"/>
      <c r="AP368" s="34" t="n"/>
      <c r="AQ368" s="34" t="n"/>
      <c r="AR368" s="262">
        <f>IFERROR(AR366*(1-AR367),"n/a")</f>
        <v>-3223.99</v>
      </c>
      <c r="AS368" s="34" t="n"/>
      <c r="AT368" s="34" t="n"/>
      <c r="AU368" s="34" t="n"/>
      <c r="AV368" s="34" t="n"/>
      <c r="AW368" s="262">
        <f>IFERROR(AW366*(1-AW367),"n/a")</f>
        <v>-11338.08</v>
      </c>
      <c r="AX368" s="34" t="n"/>
      <c r="AY368" s="34" t="n"/>
      <c r="AZ368" s="34" t="n"/>
      <c r="BA368" s="34" t="n"/>
      <c r="BB368" s="262">
        <f>IFERROR(BB366*(1-BB367),"n/a")</f>
        <v>-3438.08</v>
      </c>
      <c r="BC368" s="34" t="n"/>
      <c r="BD368" s="34" t="n"/>
      <c r="BE368" s="34" t="n"/>
      <c r="BF368" s="34" t="n"/>
      <c r="BG368" s="262">
        <f>IFERROR(BG366*(1-BG367),"n/a")</f>
        <v>-3709.84</v>
      </c>
      <c r="BH368" s="34" t="n"/>
      <c r="BI368" s="34" t="n"/>
      <c r="BJ368" s="34" t="n"/>
      <c r="BK368" s="34" t="n"/>
      <c r="BL368" s="262">
        <f>IFERROR(BL366*(1-BL367),"n/a")</f>
        <v>-1446.49</v>
      </c>
      <c r="BM368" s="34" t="n"/>
      <c r="BN368" s="34" t="n"/>
      <c r="BO368" s="34" t="n"/>
      <c r="BP368" s="34" t="n"/>
      <c r="BQ368" s="262">
        <f>IFERROR(BQ366*(1-BQ367),"n/a")</f>
        <v>-9367.03</v>
      </c>
      <c r="BR368" s="34" t="n"/>
      <c r="BS368" s="34" t="n"/>
      <c r="BT368" s="34" t="n"/>
      <c r="BU368" s="34" t="n"/>
      <c r="BV368" s="262">
        <f>IFERROR(BV366*(1-BV367),"n/a")</f>
        <v>-5084.44</v>
      </c>
      <c r="BW368" s="34" t="n"/>
      <c r="BX368" s="34" t="n"/>
      <c r="BY368" s="35" t="n"/>
      <c r="BZ368" s="35" t="n"/>
      <c r="CA368" s="263">
        <f>IFERROR(CA366*(1-CA367),"n/a")</f>
        <v>1057.10842186192</v>
      </c>
      <c r="CB368" s="263">
        <f>IFERROR(CB366*(1-CB367),"n/a")</f>
        <v>4331.71172991904</v>
      </c>
      <c r="CC368" s="263">
        <f>IFERROR(CC366*(1-CC367),"n/a")</f>
        <v>6459.77682735081</v>
      </c>
      <c r="CD368" s="263">
        <f>IFERROR(CD366*(1-CD367),"n/a")</f>
        <v>8729.45517259793</v>
      </c>
      <c r="CE368" s="263">
        <f>IFERROR(CE366*(1-CE367),"n/a")</f>
        <v>10446.2828989841</v>
      </c>
      <c r="CF368" s="263">
        <f>IFERROR(CF366*(1-CF367),"n/a")</f>
        <v>11552.3055055454</v>
      </c>
      <c r="CG368" s="19" t="n"/>
    </row>
    <row r="369" ht="15" customHeight="1" s="251">
      <c r="B369" s="25" t="inlineStr">
        <is>
          <t>Invested capital (IC) = Equity + Net debt</t>
        </is>
      </c>
      <c r="C369" s="262">
        <f>IFERROR(C370+C371,"n/a")</f>
        <v>7891</v>
      </c>
      <c r="D369" s="262">
        <f>IFERROR(D370+D371,"n/a")</f>
        <v>7913</v>
      </c>
      <c r="E369" s="262">
        <f>IFERROR(E370+E371,"n/a")</f>
        <v>2969</v>
      </c>
      <c r="F369" s="262">
        <f>IFERROR(F370+F371,"n/a")</f>
        <v>3926</v>
      </c>
      <c r="G369" s="262">
        <f>IFERROR(G370+G371,"n/a")</f>
        <v>4766</v>
      </c>
      <c r="H369" s="262">
        <f>IFERROR(H370+H371,"n/a")</f>
        <v>4707</v>
      </c>
      <c r="I369" s="262">
        <f>IFERROR(I370+I371,"n/a")</f>
        <v>2818</v>
      </c>
      <c r="J369" s="34" t="n"/>
      <c r="K369" s="34" t="n"/>
      <c r="L369" s="34" t="n"/>
      <c r="M369" s="34" t="n"/>
      <c r="N369" s="262">
        <f>IFERROR(N370+N371,"n/a")</f>
        <v>9374</v>
      </c>
      <c r="O369" s="34" t="n"/>
      <c r="P369" s="34" t="n"/>
      <c r="Q369" s="34" t="n"/>
      <c r="R369" s="34" t="n"/>
      <c r="S369" s="262">
        <f>IFERROR(S370+S371,"n/a")</f>
        <v>4768</v>
      </c>
      <c r="T369" s="34" t="n"/>
      <c r="U369" s="34" t="n"/>
      <c r="V369" s="34" t="n"/>
      <c r="W369" s="34" t="n"/>
      <c r="X369" s="262">
        <f>IFERROR(X370+X371,"n/a")</f>
        <v>4309</v>
      </c>
      <c r="Y369" s="34" t="n"/>
      <c r="Z369" s="34" t="n"/>
      <c r="AA369" s="34" t="n"/>
      <c r="AB369" s="34" t="n"/>
      <c r="AC369" s="262">
        <f>IFERROR(AC370+AC371,"n/a")</f>
        <v>800</v>
      </c>
      <c r="AD369" s="34" t="n"/>
      <c r="AE369" s="34" t="n"/>
      <c r="AF369" s="34" t="n"/>
      <c r="AG369" s="34" t="n"/>
      <c r="AH369" s="262">
        <f>IFERROR(AH370+AH371,"n/a")</f>
        <v>1537</v>
      </c>
      <c r="AI369" s="34" t="n"/>
      <c r="AJ369" s="34" t="n"/>
      <c r="AK369" s="34" t="n"/>
      <c r="AL369" s="34" t="n"/>
      <c r="AM369" s="262">
        <f>IFERROR(AM370+AM371,"n/a")</f>
        <v>5693</v>
      </c>
      <c r="AN369" s="34" t="n"/>
      <c r="AO369" s="34" t="n"/>
      <c r="AP369" s="34" t="n"/>
      <c r="AQ369" s="34" t="n"/>
      <c r="AR369" s="262">
        <f>IFERROR(AR370+AR371,"n/a")</f>
        <v>8972</v>
      </c>
      <c r="AS369" s="34" t="n"/>
      <c r="AT369" s="34" t="n"/>
      <c r="AU369" s="34" t="n"/>
      <c r="AV369" s="34" t="n"/>
      <c r="AW369" s="262">
        <f>IFERROR(AW370+AW371,"n/a")</f>
        <v>19918</v>
      </c>
      <c r="AX369" s="34" t="n"/>
      <c r="AY369" s="34" t="n"/>
      <c r="AZ369" s="34" t="n"/>
      <c r="BA369" s="34" t="n"/>
      <c r="BB369" s="262">
        <f>IFERROR(BB370+BB371,"n/a")</f>
        <v>27012</v>
      </c>
      <c r="BC369" s="34" t="n"/>
      <c r="BD369" s="34" t="n"/>
      <c r="BE369" s="34" t="n"/>
      <c r="BF369" s="34" t="n"/>
      <c r="BG369" s="262">
        <f>IFERROR(BG370+BG371,"n/a")</f>
        <v>23933</v>
      </c>
      <c r="BH369" s="34" t="n"/>
      <c r="BI369" s="34" t="n"/>
      <c r="BJ369" s="34" t="n"/>
      <c r="BK369" s="34" t="n"/>
      <c r="BL369" s="262">
        <f>IFERROR(BL370+BL371,"n/a")</f>
        <v>19114</v>
      </c>
      <c r="BM369" s="34" t="n"/>
      <c r="BN369" s="34" t="n"/>
      <c r="BO369" s="34" t="n"/>
      <c r="BP369" s="34" t="n"/>
      <c r="BQ369" s="262">
        <f>IFERROR(BQ370+BQ371,"n/a")</f>
        <v>23668</v>
      </c>
      <c r="BR369" s="34" t="n"/>
      <c r="BS369" s="34" t="n"/>
      <c r="BT369" s="34" t="n"/>
      <c r="BU369" s="34" t="n"/>
      <c r="BV369" s="262">
        <f>IFERROR(BV370+BV371,"n/a")</f>
        <v>30155</v>
      </c>
      <c r="BW369" s="34" t="n"/>
      <c r="BX369" s="34" t="n"/>
      <c r="BY369" s="35" t="n"/>
      <c r="BZ369" s="35" t="n"/>
      <c r="CA369" s="263">
        <f>IFERROR(CA370+CA371,"n/a")</f>
        <v>30671.6007337667</v>
      </c>
      <c r="CB369" s="263">
        <f>IFERROR(CB370+CB371,"n/a")</f>
        <v>30132.3067216425</v>
      </c>
      <c r="CC369" s="263">
        <f>IFERROR(CC370+CC371,"n/a")</f>
        <v>28284.6424721539</v>
      </c>
      <c r="CD369" s="263">
        <f>IFERROR(CD370+CD371,"n/a")</f>
        <v>26163.7811594504</v>
      </c>
      <c r="CE369" s="263">
        <f>IFERROR(CE370+CE371,"n/a")</f>
        <v>24399.5052805901</v>
      </c>
      <c r="CF369" s="263">
        <f>IFERROR(CF370+CF371,"n/a")</f>
        <v>23010.2837762881</v>
      </c>
      <c r="CG369" s="19" t="n"/>
    </row>
    <row r="370" ht="15" customHeight="1" s="251">
      <c r="B370" s="25" t="inlineStr">
        <is>
          <t xml:space="preserve">  Total equity / (deficit)</t>
        </is>
      </c>
      <c r="C370" s="262">
        <f>IF(ISNUMBER(C299),C299,"n/a")</f>
        <v>4739</v>
      </c>
      <c r="D370" s="262">
        <f>IF(ISNUMBER(D299),D299,"n/a")</f>
        <v>9004</v>
      </c>
      <c r="E370" s="262">
        <f>IF(ISNUMBER(E299),E299,"n/a")</f>
        <v>-1264</v>
      </c>
      <c r="F370" s="262">
        <f>IF(ISNUMBER(F299),F299,"n/a")</f>
        <v>2225</v>
      </c>
      <c r="G370" s="262">
        <f>IF(ISNUMBER(G299),G299,"n/a")</f>
        <v>2862</v>
      </c>
      <c r="H370" s="262">
        <f>IF(ISNUMBER(H299),H299,"n/a")</f>
        <v>3608</v>
      </c>
      <c r="I370" s="262">
        <f>IF(ISNUMBER(I299),I299,"n/a")</f>
        <v>5967</v>
      </c>
      <c r="J370" s="34" t="n"/>
      <c r="K370" s="34" t="n"/>
      <c r="L370" s="34" t="n"/>
      <c r="M370" s="34" t="n"/>
      <c r="N370" s="262">
        <f>IF(ISNUMBER(N299),N299,"n/a")</f>
        <v>14997</v>
      </c>
      <c r="O370" s="34" t="n"/>
      <c r="P370" s="34" t="n"/>
      <c r="Q370" s="34" t="n"/>
      <c r="R370" s="34" t="n"/>
      <c r="S370" s="262">
        <f>IF(ISNUMBER(S299),S299,"n/a")</f>
        <v>8790</v>
      </c>
      <c r="T370" s="34" t="n"/>
      <c r="U370" s="34" t="n"/>
      <c r="V370" s="34" t="n"/>
      <c r="W370" s="34" t="n"/>
      <c r="X370" s="262">
        <f>IF(ISNUMBER(X299),X299,"n/a")</f>
        <v>6397</v>
      </c>
      <c r="Y370" s="34" t="n"/>
      <c r="Z370" s="34" t="n"/>
      <c r="AA370" s="34" t="n"/>
      <c r="AB370" s="34" t="n"/>
      <c r="AC370" s="262">
        <f>IF(ISNUMBER(AC299),AC299,"n/a")</f>
        <v>877</v>
      </c>
      <c r="AD370" s="34" t="n"/>
      <c r="AE370" s="34" t="n"/>
      <c r="AF370" s="34" t="n"/>
      <c r="AG370" s="34" t="n"/>
      <c r="AH370" s="262">
        <f>IF(ISNUMBER(AH299),AH299,"n/a")</f>
        <v>412</v>
      </c>
      <c r="AI370" s="34" t="n"/>
      <c r="AJ370" s="34" t="n"/>
      <c r="AK370" s="34" t="n"/>
      <c r="AL370" s="34" t="n"/>
      <c r="AM370" s="262">
        <f>IF(ISNUMBER(AM299),AM299,"n/a")</f>
        <v>410</v>
      </c>
      <c r="AN370" s="34" t="n"/>
      <c r="AO370" s="34" t="n"/>
      <c r="AP370" s="34" t="n"/>
      <c r="AQ370" s="34" t="n"/>
      <c r="AR370" s="262">
        <f>IF(ISNUMBER(AR299),AR299,"n/a")</f>
        <v>-8300</v>
      </c>
      <c r="AS370" s="34" t="n"/>
      <c r="AT370" s="34" t="n"/>
      <c r="AU370" s="34" t="n"/>
      <c r="AV370" s="34" t="n"/>
      <c r="AW370" s="262">
        <f>IF(ISNUMBER(AW299),AW299,"n/a")</f>
        <v>-18075</v>
      </c>
      <c r="AX370" s="34" t="n"/>
      <c r="AY370" s="34" t="n"/>
      <c r="AZ370" s="34" t="n"/>
      <c r="BA370" s="34" t="n"/>
      <c r="BB370" s="262">
        <f>IF(ISNUMBER(BB299),BB299,"n/a")</f>
        <v>-14846</v>
      </c>
      <c r="BC370" s="34" t="n"/>
      <c r="BD370" s="34" t="n"/>
      <c r="BE370" s="34" t="n"/>
      <c r="BF370" s="34" t="n"/>
      <c r="BG370" s="262">
        <f>IF(ISNUMBER(BG299),BG299,"n/a")</f>
        <v>-15848</v>
      </c>
      <c r="BH370" s="34" t="n"/>
      <c r="BI370" s="34" t="n"/>
      <c r="BJ370" s="34" t="n"/>
      <c r="BK370" s="34" t="n"/>
      <c r="BL370" s="262">
        <f>IF(ISNUMBER(BL299),BL299,"n/a")</f>
        <v>-17228</v>
      </c>
      <c r="BM370" s="34" t="n"/>
      <c r="BN370" s="34" t="n"/>
      <c r="BO370" s="34" t="n"/>
      <c r="BP370" s="34" t="n"/>
      <c r="BQ370" s="262">
        <f>IF(ISNUMBER(BQ299),BQ299,"n/a")</f>
        <v>-3914</v>
      </c>
      <c r="BR370" s="34" t="n"/>
      <c r="BS370" s="34" t="n"/>
      <c r="BT370" s="34" t="n"/>
      <c r="BU370" s="34" t="n"/>
      <c r="BV370" s="262">
        <f>IF(ISNUMBER(BV299),BV299,"n/a")</f>
        <v>5457</v>
      </c>
      <c r="BW370" s="34" t="n"/>
      <c r="BX370" s="34" t="n"/>
      <c r="BY370" s="35" t="n"/>
      <c r="BZ370" s="35" t="n"/>
      <c r="CA370" s="263">
        <f>IF(ISNUMBER(CA299),CA299,"n/a")</f>
        <v>7444.10073376675</v>
      </c>
      <c r="CB370" s="263">
        <f>IF(ISNUMBER(CB299),CB299,"n/a")</f>
        <v>13282.1179937192</v>
      </c>
      <c r="CC370" s="263">
        <f>IF(ISNUMBER(CC299),CC299,"n/a")</f>
        <v>21995.0835366591</v>
      </c>
      <c r="CD370" s="263">
        <f>IF(ISNUMBER(CD299),CD299,"n/a")</f>
        <v>19215.0118789528</v>
      </c>
      <c r="CE370" s="263">
        <f>IF(ISNUMBER(CE299),CE299,"n/a")</f>
        <v>16293.940488535</v>
      </c>
      <c r="CF370" s="263">
        <f>IF(ISNUMBER(CF299),CF299,"n/a")</f>
        <v>14140.3841907152</v>
      </c>
      <c r="CG370" s="19" t="n"/>
    </row>
    <row r="371" ht="15" customHeight="1" s="251">
      <c r="B371" s="25" t="inlineStr">
        <is>
          <t xml:space="preserve">  Net debt = Total debt − cash − short-term investments</t>
        </is>
      </c>
      <c r="C371" s="262">
        <f>IFERROR(C341-C276-C277,"n/a")</f>
        <v>3152</v>
      </c>
      <c r="D371" s="262">
        <f>IFERROR(D341-D276-D277,"n/a")</f>
        <v>-1091</v>
      </c>
      <c r="E371" s="262">
        <f>IFERROR(E341-E276-E277,"n/a")</f>
        <v>4233</v>
      </c>
      <c r="F371" s="262">
        <f>IFERROR(F341-F276-F277,"n/a")</f>
        <v>1701</v>
      </c>
      <c r="G371" s="262">
        <f>IFERROR(G341-G276-G277,"n/a")</f>
        <v>1904</v>
      </c>
      <c r="H371" s="262">
        <f>IFERROR(H341-H276-H277,"n/a")</f>
        <v>1099</v>
      </c>
      <c r="I371" s="262">
        <f>IFERROR(I341-I276-I277,"n/a")</f>
        <v>-3149</v>
      </c>
      <c r="J371" s="34" t="n"/>
      <c r="K371" s="34" t="n"/>
      <c r="L371" s="34" t="n"/>
      <c r="M371" s="34" t="n"/>
      <c r="N371" s="262">
        <f>IFERROR(N341-N276-N277,"n/a")</f>
        <v>-5623</v>
      </c>
      <c r="O371" s="34" t="n"/>
      <c r="P371" s="34" t="n"/>
      <c r="Q371" s="34" t="n"/>
      <c r="R371" s="34" t="n"/>
      <c r="S371" s="262">
        <f>IFERROR(S341-S276-S277,"n/a")</f>
        <v>-4022</v>
      </c>
      <c r="T371" s="34" t="n"/>
      <c r="U371" s="34" t="n"/>
      <c r="V371" s="34" t="n"/>
      <c r="W371" s="34" t="n"/>
      <c r="X371" s="262">
        <f>IFERROR(X341-X276-X277,"n/a")</f>
        <v>-2088</v>
      </c>
      <c r="Y371" s="34" t="n"/>
      <c r="Z371" s="34" t="n"/>
      <c r="AA371" s="34" t="n"/>
      <c r="AB371" s="34" t="n"/>
      <c r="AC371" s="262">
        <f>IFERROR(AC341-AC276-AC277,"n/a")</f>
        <v>-77</v>
      </c>
      <c r="AD371" s="34" t="n"/>
      <c r="AE371" s="34" t="n"/>
      <c r="AF371" s="34" t="n"/>
      <c r="AG371" s="34" t="n"/>
      <c r="AH371" s="262">
        <f>IFERROR(AH341-AH276-AH277,"n/a")</f>
        <v>1125</v>
      </c>
      <c r="AI371" s="34" t="n"/>
      <c r="AJ371" s="34" t="n"/>
      <c r="AK371" s="34" t="n"/>
      <c r="AL371" s="34" t="n"/>
      <c r="AM371" s="262">
        <f>IFERROR(AM341-AM276-AM277,"n/a")</f>
        <v>5283</v>
      </c>
      <c r="AN371" s="34" t="n"/>
      <c r="AO371" s="34" t="n"/>
      <c r="AP371" s="34" t="n"/>
      <c r="AQ371" s="34" t="n"/>
      <c r="AR371" s="262">
        <f>IFERROR(AR341-AR276-AR277,"n/a")</f>
        <v>17272</v>
      </c>
      <c r="AS371" s="34" t="n"/>
      <c r="AT371" s="34" t="n"/>
      <c r="AU371" s="34" t="n"/>
      <c r="AV371" s="34" t="n"/>
      <c r="AW371" s="262">
        <f>IFERROR(AW341-AW276-AW277,"n/a")</f>
        <v>37993</v>
      </c>
      <c r="AX371" s="34" t="n"/>
      <c r="AY371" s="34" t="n"/>
      <c r="AZ371" s="34" t="n"/>
      <c r="BA371" s="34" t="n"/>
      <c r="BB371" s="262">
        <f>IFERROR(BB341-BB276-BB277,"n/a")</f>
        <v>41858</v>
      </c>
      <c r="BC371" s="34" t="n"/>
      <c r="BD371" s="34" t="n"/>
      <c r="BE371" s="34" t="n"/>
      <c r="BF371" s="34" t="n"/>
      <c r="BG371" s="262">
        <f>IFERROR(BG341-BG276-BG277,"n/a")</f>
        <v>39781</v>
      </c>
      <c r="BH371" s="34" t="n"/>
      <c r="BI371" s="34" t="n"/>
      <c r="BJ371" s="34" t="n"/>
      <c r="BK371" s="34" t="n"/>
      <c r="BL371" s="262">
        <f>IFERROR(BL341-BL276-BL277,"n/a")</f>
        <v>36342</v>
      </c>
      <c r="BM371" s="34" t="n"/>
      <c r="BN371" s="34" t="n"/>
      <c r="BO371" s="34" t="n"/>
      <c r="BP371" s="34" t="n"/>
      <c r="BQ371" s="262">
        <f>IFERROR(BQ341-BQ276-BQ277,"n/a")</f>
        <v>27582</v>
      </c>
      <c r="BR371" s="34" t="n"/>
      <c r="BS371" s="34" t="n"/>
      <c r="BT371" s="34" t="n"/>
      <c r="BU371" s="34" t="n"/>
      <c r="BV371" s="262">
        <f>IFERROR(BV341-BV276-BV277,"n/a")</f>
        <v>24698</v>
      </c>
      <c r="BW371" s="34" t="n"/>
      <c r="BX371" s="34" t="n"/>
      <c r="BY371" s="35" t="n"/>
      <c r="BZ371" s="35" t="n"/>
      <c r="CA371" s="263">
        <f>IFERROR(CA341-CA276-CA277,"n/a")</f>
        <v>23227.5</v>
      </c>
      <c r="CB371" s="263">
        <f>IFERROR(CB341-CB276-CB277,"n/a")</f>
        <v>16850.1887279233</v>
      </c>
      <c r="CC371" s="263">
        <f>IFERROR(CC341-CC276-CC277,"n/a")</f>
        <v>6289.55893549486</v>
      </c>
      <c r="CD371" s="263">
        <f>IFERROR(CD341-CD276-CD277,"n/a")</f>
        <v>6948.76928049763</v>
      </c>
      <c r="CE371" s="263">
        <f>IFERROR(CE341-CE276-CE277,"n/a")</f>
        <v>8105.56479205513</v>
      </c>
      <c r="CF371" s="263">
        <f>IFERROR(CF341-CF276-CF277,"n/a")</f>
        <v>8869.89958557288</v>
      </c>
      <c r="CG371" s="19" t="n"/>
    </row>
    <row r="372" ht="15" customHeight="1" s="251">
      <c r="B372" s="55" t="inlineStr">
        <is>
          <t>ROIC = NOPAT / IC</t>
        </is>
      </c>
      <c r="C372" s="299">
        <f>IFERROR(IF(C369&gt;0,C368/C369,"n/m"),"n/a")</f>
        <v>0.266886326194399</v>
      </c>
      <c r="D372" s="299">
        <f>IFERROR(IF(D369&gt;0,D368/D369,"n/m"),"n/a")</f>
        <v>0.532124352331606</v>
      </c>
      <c r="E372" s="299">
        <f>IFERROR(IF(E369&gt;0,E368/E369,"n/m"),"n/a")</f>
        <v>0.93504546985517</v>
      </c>
      <c r="F372" s="299">
        <f>IFERROR(IF(F369&gt;0,F368/F369,"n/m"),"n/a")</f>
        <v>0.34817880794702</v>
      </c>
      <c r="G372" s="299">
        <f>IFERROR(IF(G369&gt;0,G368/G369,"n/m"),"n/a")</f>
        <v>0.677822073017205</v>
      </c>
      <c r="H372" s="299">
        <f>IFERROR(IF(H369&gt;0,H368/H369,"n/m"),"n/a")</f>
        <v>0.875090291055874</v>
      </c>
      <c r="I372" s="299">
        <f>IFERROR(IF(I369&gt;0,I368/I369,"n/m"),"n/a")</f>
        <v>1.66213626685593</v>
      </c>
      <c r="J372" s="56" t="n"/>
      <c r="K372" s="56" t="n"/>
      <c r="L372" s="56" t="n"/>
      <c r="M372" s="56" t="n"/>
      <c r="N372" s="299">
        <f>IFERROR(IF(N369&gt;0,N368/N369,"n/m"),"n/a")</f>
        <v>0.544740772349051</v>
      </c>
      <c r="O372" s="56" t="n"/>
      <c r="P372" s="56" t="n"/>
      <c r="Q372" s="56" t="n"/>
      <c r="R372" s="56" t="n"/>
      <c r="S372" s="299">
        <f>IFERROR(IF(S369&gt;0,S368/S369,"n/m"),"n/a")</f>
        <v>1.2092072147651</v>
      </c>
      <c r="T372" s="56" t="n"/>
      <c r="U372" s="56" t="n"/>
      <c r="V372" s="56" t="n"/>
      <c r="W372" s="56" t="n"/>
      <c r="X372" s="299">
        <f>IFERROR(IF(X369&gt;0,X368/X369,"n/m"),"n/a")</f>
        <v>1.16785797168717</v>
      </c>
      <c r="Y372" s="56" t="n"/>
      <c r="Z372" s="56" t="n"/>
      <c r="AA372" s="56" t="n"/>
      <c r="AB372" s="56" t="n"/>
      <c r="AC372" s="299">
        <f>IFERROR(IF(AC369&gt;0,AC368/AC369,"n/m"),"n/a")</f>
        <v>4.4451875</v>
      </c>
      <c r="AD372" s="56" t="n"/>
      <c r="AE372" s="56" t="n"/>
      <c r="AF372" s="56" t="n"/>
      <c r="AG372" s="56" t="n"/>
      <c r="AH372" s="299">
        <f>IFERROR(IF(AH369&gt;0,AH368/AH369,"n/m"),"n/a")</f>
        <v>3.78454782042941</v>
      </c>
      <c r="AI372" s="56" t="n"/>
      <c r="AJ372" s="56" t="n"/>
      <c r="AK372" s="56" t="n"/>
      <c r="AL372" s="56" t="n"/>
      <c r="AM372" s="299">
        <f>IFERROR(IF(AM369&gt;0,AM368/AM369,"n/m"),"n/a")</f>
        <v>1.46884770771122</v>
      </c>
      <c r="AN372" s="56" t="n"/>
      <c r="AO372" s="56" t="n"/>
      <c r="AP372" s="56" t="n"/>
      <c r="AQ372" s="56" t="n"/>
      <c r="AR372" s="299">
        <f>IFERROR(IF(AR369&gt;0,AR368/AR369,"n/m"),"n/a")</f>
        <v>-0.359339054837272</v>
      </c>
      <c r="AS372" s="56" t="n"/>
      <c r="AT372" s="56" t="n"/>
      <c r="AU372" s="56" t="n"/>
      <c r="AV372" s="56" t="n"/>
      <c r="AW372" s="299">
        <f>IFERROR(IF(AW369&gt;0,AW368/AW369,"n/m"),"n/a")</f>
        <v>-0.569237875288684</v>
      </c>
      <c r="AX372" s="56" t="n"/>
      <c r="AY372" s="56" t="n"/>
      <c r="AZ372" s="56" t="n"/>
      <c r="BA372" s="56" t="n"/>
      <c r="BB372" s="299">
        <f>IFERROR(IF(BB369&gt;0,BB368/BB369,"n/m"),"n/a")</f>
        <v>-0.127279727528506</v>
      </c>
      <c r="BC372" s="56" t="n"/>
      <c r="BD372" s="56" t="n"/>
      <c r="BE372" s="56" t="n"/>
      <c r="BF372" s="56" t="n"/>
      <c r="BG372" s="299">
        <f>IFERROR(IF(BG369&gt;0,BG368/BG369,"n/m"),"n/a")</f>
        <v>-0.155009401245143</v>
      </c>
      <c r="BH372" s="56" t="n"/>
      <c r="BI372" s="56" t="n"/>
      <c r="BJ372" s="56" t="n"/>
      <c r="BK372" s="56" t="n"/>
      <c r="BL372" s="299">
        <f>IFERROR(IF(BL369&gt;0,BL368/BL369,"n/m"),"n/a")</f>
        <v>-0.0756769906874542</v>
      </c>
      <c r="BM372" s="56" t="n"/>
      <c r="BN372" s="56" t="n"/>
      <c r="BO372" s="56" t="n"/>
      <c r="BP372" s="56" t="n"/>
      <c r="BQ372" s="299">
        <f>IFERROR(IF(BQ369&gt;0,BQ368/BQ369,"n/m"),"n/a")</f>
        <v>-0.395767703227987</v>
      </c>
      <c r="BR372" s="56" t="n"/>
      <c r="BS372" s="56" t="n"/>
      <c r="BT372" s="56" t="n"/>
      <c r="BU372" s="56" t="n"/>
      <c r="BV372" s="299">
        <f>IFERROR(IF(BV369&gt;0,BV368/BV369,"n/m"),"n/a")</f>
        <v>-0.16861018073288</v>
      </c>
      <c r="BW372" s="56" t="n"/>
      <c r="BX372" s="56" t="n"/>
      <c r="BY372" s="56" t="n"/>
      <c r="BZ372" s="56" t="n"/>
      <c r="CA372" s="299">
        <f>IFERROR(IF(CA369&gt;0,CA368/CA369,"n/m"),"n/a")</f>
        <v>0.0344653815442419</v>
      </c>
      <c r="CB372" s="299">
        <f>IFERROR(IF(CB369&gt;0,CB368/CB369,"n/m"),"n/a")</f>
        <v>0.143756393094452</v>
      </c>
      <c r="CC372" s="299">
        <f>IFERROR(IF(CC369&gt;0,CC368/CC369,"n/m"),"n/a")</f>
        <v>0.228384602482086</v>
      </c>
      <c r="CD372" s="299">
        <f>IFERROR(IF(CD369&gt;0,CD368/CD369,"n/m"),"n/a")</f>
        <v>0.333646544411829</v>
      </c>
      <c r="CE372" s="299">
        <f>IFERROR(IF(CE369&gt;0,CE368/CE369,"n/m"),"n/a")</f>
        <v>0.42813502892184</v>
      </c>
      <c r="CF372" s="299">
        <f>IFERROR(IF(CF369&gt;0,CF368/CF369,"n/m"),"n/a")</f>
        <v>0.502049675608521</v>
      </c>
      <c r="CG372" s="153" t="n"/>
      <c r="CI372" s="37">
        <f>IFERROR(AVERAGE(CB372,CC372,CD372,CE372,CF372),"n/m")</f>
        <v>0.327194448903746</v>
      </c>
      <c r="CJ372" s="37">
        <f>IFERROR(AVERAGE(BB372,BG372,BL372,BQ372,BV372),"n/m")</f>
        <v>-0.184468800684394</v>
      </c>
      <c r="CK372" s="37">
        <f>IFERROR(AVERAGE(AC372,AH372,AM372,AR372,AW372,BB372,BG372,BL372,BQ372,BV372),"n/m")</f>
        <v>0.784766209459271</v>
      </c>
      <c r="CL372" s="37">
        <f>IFERROR(AVERAGE(C372,D372,E372,F372,G372,H372,I372,N372,S372,X372,AC372,AH372,AM372,AR372,AW372,BB372,BG372,BL372,BQ372,BV372),"n/m")</f>
        <v>0.803337582032561</v>
      </c>
    </row>
    <row r="373" ht="15" customHeight="1" s="251">
      <c r="B373" s="25" t="inlineStr">
        <is>
          <t xml:space="preserve">  Margin = Adjusted EBIT / Revenues</t>
        </is>
      </c>
      <c r="C373" s="215">
        <f>IFERROR(C366/C117,"n/a")</f>
        <v>0.052657240370551</v>
      </c>
      <c r="D373" s="215">
        <f>IFERROR(D366/D117,"n/a")</f>
        <v>0.097579345353759</v>
      </c>
      <c r="E373" s="215">
        <f>IFERROR(E366/E117,"n/a")</f>
        <v>0.0701025851456709</v>
      </c>
      <c r="F373" s="215">
        <f>IFERROR(F366/F117,"n/a")</f>
        <v>0.0307991974341325</v>
      </c>
      <c r="G373" s="215">
        <f>IFERROR(G366/G117,"n/a")</f>
        <v>0.0772867228563431</v>
      </c>
      <c r="H373" s="215">
        <f>IFERROR(H366/H117,"n/a")</f>
        <v>0.0921946606532334</v>
      </c>
      <c r="I373" s="215">
        <f>IFERROR(I366/I117,"n/a")</f>
        <v>0.0882028935836863</v>
      </c>
      <c r="J373" s="34" t="n"/>
      <c r="K373" s="34" t="n"/>
      <c r="L373" s="34" t="n"/>
      <c r="M373" s="34" t="n"/>
      <c r="N373" s="215">
        <f>IFERROR(N366/N117,"n/a")</f>
        <v>0.0906918485852487</v>
      </c>
      <c r="O373" s="34" t="n"/>
      <c r="P373" s="34" t="n"/>
      <c r="Q373" s="34" t="n"/>
      <c r="R373" s="34" t="n"/>
      <c r="S373" s="215">
        <f>IFERROR(S366/S117,"n/a")</f>
        <v>0.0977281241048016</v>
      </c>
      <c r="T373" s="34" t="n"/>
      <c r="U373" s="34" t="n"/>
      <c r="V373" s="34" t="n"/>
      <c r="W373" s="34" t="n"/>
      <c r="X373" s="215">
        <f>IFERROR(X366/X117,"n/a")</f>
        <v>0.0805501799945898</v>
      </c>
      <c r="Y373" s="34" t="n"/>
      <c r="Z373" s="34" t="n"/>
      <c r="AA373" s="34" t="n"/>
      <c r="AB373" s="34" t="n"/>
      <c r="AC373" s="215">
        <f>IFERROR(AC366/AC117,"n/a")</f>
        <v>0.057850715335568</v>
      </c>
      <c r="AD373" s="34" t="n"/>
      <c r="AE373" s="34" t="n"/>
      <c r="AF373" s="34" t="n"/>
      <c r="AG373" s="34" t="n"/>
      <c r="AH373" s="215">
        <f>IFERROR(AH366/AH117,"n/a")</f>
        <v>0.0958219119410656</v>
      </c>
      <c r="AI373" s="34" t="n"/>
      <c r="AJ373" s="34" t="n"/>
      <c r="AK373" s="34" t="n"/>
      <c r="AL373" s="34" t="n"/>
      <c r="AM373" s="215">
        <f>IFERROR(AM366/AM117,"n/a")</f>
        <v>0.104670364986601</v>
      </c>
      <c r="AN373" s="34" t="n"/>
      <c r="AO373" s="34" t="n"/>
      <c r="AP373" s="34" t="n"/>
      <c r="AQ373" s="34" t="n"/>
      <c r="AR373" s="215">
        <f>IFERROR(AR366/AR117,"n/a")</f>
        <v>-0.0533052939562951</v>
      </c>
      <c r="AS373" s="34" t="n"/>
      <c r="AT373" s="34" t="n"/>
      <c r="AU373" s="34" t="n"/>
      <c r="AV373" s="34" t="n"/>
      <c r="AW373" s="215">
        <f>IFERROR(AW366/AW117,"n/a")</f>
        <v>-0.246776023934798</v>
      </c>
      <c r="AX373" s="34" t="n"/>
      <c r="AY373" s="34" t="n"/>
      <c r="AZ373" s="34" t="n"/>
      <c r="BA373" s="34" t="n"/>
      <c r="BB373" s="215">
        <f>IFERROR(BB366/BB117,"n/a")</f>
        <v>-0.0698712391227563</v>
      </c>
      <c r="BC373" s="34" t="n"/>
      <c r="BD373" s="34" t="n"/>
      <c r="BE373" s="34" t="n"/>
      <c r="BF373" s="34" t="n"/>
      <c r="BG373" s="215">
        <f>IFERROR(BG366/BG117,"n/a")</f>
        <v>-0.0705020417967812</v>
      </c>
      <c r="BH373" s="34" t="n"/>
      <c r="BI373" s="34" t="n"/>
      <c r="BJ373" s="34" t="n"/>
      <c r="BK373" s="34" t="n"/>
      <c r="BL373" s="215">
        <f>IFERROR(BL366/BL117,"n/a")</f>
        <v>-0.0235365195259275</v>
      </c>
      <c r="BM373" s="34" t="n"/>
      <c r="BN373" s="34" t="n"/>
      <c r="BO373" s="34" t="n"/>
      <c r="BP373" s="34" t="n"/>
      <c r="BQ373" s="215">
        <f>IFERROR(BQ366/BQ117,"n/a")</f>
        <v>-0.178255182885578</v>
      </c>
      <c r="BR373" s="34" t="n"/>
      <c r="BS373" s="34" t="n"/>
      <c r="BT373" s="34" t="n"/>
      <c r="BU373" s="34" t="n"/>
      <c r="BV373" s="215">
        <f>IFERROR(BV366/BV117,"n/a")</f>
        <v>-0.071940355230654</v>
      </c>
      <c r="BW373" s="34" t="n"/>
      <c r="BX373" s="34" t="n"/>
      <c r="BY373" s="35" t="n"/>
      <c r="BZ373" s="35" t="n"/>
      <c r="CA373" s="260">
        <f>IFERROR(CA366/CA117,"n/a")</f>
        <v>0.0137560388991234</v>
      </c>
      <c r="CB373" s="260">
        <f>IFERROR(CB366/CB117,"n/a")</f>
        <v>0.0514377226769254</v>
      </c>
      <c r="CC373" s="260">
        <f>IFERROR(CC366/CC117,"n/a")</f>
        <v>0.0706239244368406</v>
      </c>
      <c r="CD373" s="260">
        <f>IFERROR(CD366/CD117,"n/a")</f>
        <v>0.0892502858439994</v>
      </c>
      <c r="CE373" s="260">
        <f>IFERROR(CE366/CE117,"n/a")</f>
        <v>0.10178502119118</v>
      </c>
      <c r="CF373" s="260">
        <f>IFERROR(CF366/CF117,"n/a")</f>
        <v>0.107915665069182</v>
      </c>
      <c r="CG373" s="19" t="n"/>
    </row>
    <row r="374" ht="15" customHeight="1" s="251">
      <c r="B374" s="25" t="inlineStr">
        <is>
          <t xml:space="preserve">  Capital turnover = Revenues / IC</t>
        </is>
      </c>
      <c r="C374" s="291">
        <f>IFERROR(IF(C369&gt;0,C117/C369,"n/m"),"n/a")</f>
        <v>7.79749081231783</v>
      </c>
      <c r="D374" s="291">
        <f>IFERROR(IF(D369&gt;0,D117/D369,"n/m"),"n/a")</f>
        <v>8.38961203083533</v>
      </c>
      <c r="E374" s="291">
        <f>IFERROR(IF(E369&gt;0,E117/E369,"n/m"),"n/a")</f>
        <v>20.520377231391</v>
      </c>
      <c r="F374" s="291">
        <f>IFERROR(IF(F369&gt;0,F117/F369,"n/m"),"n/a")</f>
        <v>17.3920020376974</v>
      </c>
      <c r="G374" s="291">
        <f>IFERROR(IF(G369&gt;0,G117/G369,"n/m"),"n/a")</f>
        <v>13.4926563155686</v>
      </c>
      <c r="H374" s="291">
        <f>IFERROR(IF(H369&gt;0,H117/H369,"n/m"),"n/a")</f>
        <v>14.6027193541534</v>
      </c>
      <c r="I374" s="291">
        <f>IFERROR(IF(I369&gt;0,I117/I369,"n/m"),"n/a")</f>
        <v>28.9914833215046</v>
      </c>
      <c r="J374" s="34" t="n"/>
      <c r="K374" s="34" t="n"/>
      <c r="L374" s="34" t="n"/>
      <c r="M374" s="34" t="n"/>
      <c r="N374" s="291">
        <f>IFERROR(IF(N369&gt;0,N117/N369,"n/m"),"n/a")</f>
        <v>9.24077234905057</v>
      </c>
      <c r="O374" s="34" t="n"/>
      <c r="P374" s="34" t="n"/>
      <c r="Q374" s="34" t="n"/>
      <c r="R374" s="34" t="n"/>
      <c r="S374" s="291">
        <f>IFERROR(IF(S369&gt;0,S117/S369,"n/m"),"n/a")</f>
        <v>19.0356543624161</v>
      </c>
      <c r="T374" s="34" t="n"/>
      <c r="U374" s="34" t="n"/>
      <c r="V374" s="34" t="n"/>
      <c r="W374" s="34" t="n"/>
      <c r="X374" s="291">
        <f>IFERROR(IF(X369&gt;0,X117/X369,"n/m"),"n/a")</f>
        <v>22.3054072870736</v>
      </c>
      <c r="Y374" s="34" t="n"/>
      <c r="Z374" s="34" t="n"/>
      <c r="AA374" s="34" t="n"/>
      <c r="AB374" s="34" t="n"/>
      <c r="AC374" s="291">
        <f>IFERROR(IF(AC369&gt;0,AC117/AC369,"n/m"),"n/a")</f>
        <v>118.21375</v>
      </c>
      <c r="AD374" s="34" t="n"/>
      <c r="AE374" s="34" t="n"/>
      <c r="AF374" s="34" t="n"/>
      <c r="AG374" s="34" t="n"/>
      <c r="AH374" s="291">
        <f>IFERROR(IF(AH369&gt;0,AH117/AH369,"n/m"),"n/a")</f>
        <v>60.7625243981783</v>
      </c>
      <c r="AI374" s="34" t="n"/>
      <c r="AJ374" s="34" t="n"/>
      <c r="AK374" s="34" t="n"/>
      <c r="AL374" s="34" t="n"/>
      <c r="AM374" s="291">
        <f>IFERROR(IF(AM369&gt;0,AM117/AM369,"n/m"),"n/a")</f>
        <v>17.7633936413139</v>
      </c>
      <c r="AN374" s="34" t="n"/>
      <c r="AO374" s="34" t="n"/>
      <c r="AP374" s="34" t="n"/>
      <c r="AQ374" s="34" t="n"/>
      <c r="AR374" s="291">
        <f>IFERROR(IF(AR369&gt;0,AR117/AR369,"n/m"),"n/a")</f>
        <v>8.53310298707089</v>
      </c>
      <c r="AS374" s="34" t="n"/>
      <c r="AT374" s="34" t="n"/>
      <c r="AU374" s="34" t="n"/>
      <c r="AV374" s="34" t="n"/>
      <c r="AW374" s="291">
        <f>IFERROR(IF(AW369&gt;0,AW117/AW369,"n/m"),"n/a")</f>
        <v>2.91987147303946</v>
      </c>
      <c r="AX374" s="34" t="n"/>
      <c r="AY374" s="34" t="n"/>
      <c r="AZ374" s="34" t="n"/>
      <c r="BA374" s="34" t="n"/>
      <c r="BB374" s="291">
        <f>IFERROR(IF(BB369&gt;0,BB117/BB369,"n/m"),"n/a")</f>
        <v>2.30586406041759</v>
      </c>
      <c r="BC374" s="34" t="n"/>
      <c r="BD374" s="34" t="n"/>
      <c r="BE374" s="34" t="n"/>
      <c r="BF374" s="34" t="n"/>
      <c r="BG374" s="291">
        <f>IFERROR(IF(BG369&gt;0,BG117/BG369,"n/m"),"n/a")</f>
        <v>2.78310282873021</v>
      </c>
      <c r="BH374" s="34" t="n"/>
      <c r="BI374" s="34" t="n"/>
      <c r="BJ374" s="34" t="n"/>
      <c r="BK374" s="34" t="n"/>
      <c r="BL374" s="291">
        <f>IFERROR(IF(BL369&gt;0,BL117/BL369,"n/m"),"n/a")</f>
        <v>4.07000104635346</v>
      </c>
      <c r="BM374" s="34" t="n"/>
      <c r="BN374" s="34" t="n"/>
      <c r="BO374" s="34" t="n"/>
      <c r="BP374" s="34" t="n"/>
      <c r="BQ374" s="291">
        <f>IFERROR(IF(BQ369&gt;0,BQ117/BQ369,"n/m"),"n/a")</f>
        <v>2.81041913131655</v>
      </c>
      <c r="BR374" s="34" t="n"/>
      <c r="BS374" s="34" t="n"/>
      <c r="BT374" s="34" t="n"/>
      <c r="BU374" s="34" t="n"/>
      <c r="BV374" s="291">
        <f>IFERROR(IF(BV369&gt;0,BV117/BV369,"n/m"),"n/a")</f>
        <v>2.96677167965512</v>
      </c>
      <c r="BW374" s="34" t="n"/>
      <c r="BX374" s="34" t="n"/>
      <c r="BY374" s="35" t="n"/>
      <c r="BZ374" s="35" t="n"/>
      <c r="CA374" s="292">
        <f>IFERROR(IF(CA369&gt;0,CA117/CA369,"n/m"),"n/a")</f>
        <v>3.17148457966747</v>
      </c>
      <c r="CB374" s="292">
        <f>IFERROR(IF(CB369&gt;0,CB117/CB369,"n/m"),"n/a")</f>
        <v>3.53767834909824</v>
      </c>
      <c r="CC374" s="292">
        <f>IFERROR(IF(CC369&gt;0,CC117/CC369,"n/m"),"n/a")</f>
        <v>4.09343484983148</v>
      </c>
      <c r="CD374" s="292">
        <f>IFERROR(IF(CD369&gt;0,CD117/CD369,"n/m"),"n/a")</f>
        <v>4.73205653064081</v>
      </c>
      <c r="CE374" s="292">
        <f>IFERROR(IF(CE369&gt;0,CE117/CE369,"n/m"),"n/a")</f>
        <v>5.32438926909187</v>
      </c>
      <c r="CF374" s="292">
        <f>IFERROR(IF(CF369&gt;0,CF117/CF369,"n/m"),"n/a")</f>
        <v>5.8889125882178</v>
      </c>
      <c r="CG374" s="19" t="n"/>
    </row>
    <row r="375" ht="15" customHeight="1" s="251">
      <c r="B375" s="25" t="inlineStr">
        <is>
          <t xml:space="preserve">  Tax burden = (1 − tax rate)</t>
        </is>
      </c>
      <c r="C375" s="215">
        <f>IFERROR(1-C367,"n/a")</f>
        <v>0.65</v>
      </c>
      <c r="D375" s="215">
        <f>IFERROR(1-D367,"n/a")</f>
        <v>0.65</v>
      </c>
      <c r="E375" s="215">
        <f>IFERROR(1-E367,"n/a")</f>
        <v>0.65</v>
      </c>
      <c r="F375" s="215">
        <f>IFERROR(1-F367,"n/a")</f>
        <v>0.65</v>
      </c>
      <c r="G375" s="215">
        <f>IFERROR(1-G367,"n/a")</f>
        <v>0.65</v>
      </c>
      <c r="H375" s="215">
        <f>IFERROR(1-H367,"n/a")</f>
        <v>0.65</v>
      </c>
      <c r="I375" s="215">
        <f>IFERROR(1-I367,"n/a")</f>
        <v>0.65</v>
      </c>
      <c r="J375" s="34" t="n"/>
      <c r="K375" s="34" t="n"/>
      <c r="L375" s="34" t="n"/>
      <c r="M375" s="34" t="n"/>
      <c r="N375" s="215">
        <f>IFERROR(1-N367,"n/a")</f>
        <v>0.65</v>
      </c>
      <c r="O375" s="34" t="n"/>
      <c r="P375" s="34" t="n"/>
      <c r="Q375" s="34" t="n"/>
      <c r="R375" s="34" t="n"/>
      <c r="S375" s="215">
        <f>IFERROR(1-S367,"n/a")</f>
        <v>0.65</v>
      </c>
      <c r="T375" s="34" t="n"/>
      <c r="U375" s="34" t="n"/>
      <c r="V375" s="34" t="n"/>
      <c r="W375" s="34" t="n"/>
      <c r="X375" s="215">
        <f>IFERROR(1-X367,"n/a")</f>
        <v>0.65</v>
      </c>
      <c r="Y375" s="34" t="n"/>
      <c r="Z375" s="34" t="n"/>
      <c r="AA375" s="34" t="n"/>
      <c r="AB375" s="34" t="n"/>
      <c r="AC375" s="215">
        <f>IFERROR(1-AC367,"n/a")</f>
        <v>0.65</v>
      </c>
      <c r="AD375" s="34" t="n"/>
      <c r="AE375" s="34" t="n"/>
      <c r="AF375" s="34" t="n"/>
      <c r="AG375" s="34" t="n"/>
      <c r="AH375" s="215">
        <f>IFERROR(1-AH367,"n/a")</f>
        <v>0.65</v>
      </c>
      <c r="AI375" s="34" t="n"/>
      <c r="AJ375" s="34" t="n"/>
      <c r="AK375" s="34" t="n"/>
      <c r="AL375" s="34" t="n"/>
      <c r="AM375" s="215">
        <f>IFERROR(1-AM367,"n/a")</f>
        <v>0.79</v>
      </c>
      <c r="AN375" s="34" t="n"/>
      <c r="AO375" s="34" t="n"/>
      <c r="AP375" s="34" t="n"/>
      <c r="AQ375" s="34" t="n"/>
      <c r="AR375" s="215">
        <f>IFERROR(1-AR367,"n/a")</f>
        <v>0.79</v>
      </c>
      <c r="AS375" s="34" t="n"/>
      <c r="AT375" s="34" t="n"/>
      <c r="AU375" s="34" t="n"/>
      <c r="AV375" s="34" t="n"/>
      <c r="AW375" s="215">
        <f>IFERROR(1-AW367,"n/a")</f>
        <v>0.79</v>
      </c>
      <c r="AX375" s="34" t="n"/>
      <c r="AY375" s="34" t="n"/>
      <c r="AZ375" s="34" t="n"/>
      <c r="BA375" s="34" t="n"/>
      <c r="BB375" s="215">
        <f>IFERROR(1-BB367,"n/a")</f>
        <v>0.79</v>
      </c>
      <c r="BC375" s="34" t="n"/>
      <c r="BD375" s="34" t="n"/>
      <c r="BE375" s="34" t="n"/>
      <c r="BF375" s="34" t="n"/>
      <c r="BG375" s="215">
        <f>IFERROR(1-BG367,"n/a")</f>
        <v>0.79</v>
      </c>
      <c r="BH375" s="34" t="n"/>
      <c r="BI375" s="34" t="n"/>
      <c r="BJ375" s="34" t="n"/>
      <c r="BK375" s="34" t="n"/>
      <c r="BL375" s="215">
        <f>IFERROR(1-BL367,"n/a")</f>
        <v>0.79</v>
      </c>
      <c r="BM375" s="34" t="n"/>
      <c r="BN375" s="34" t="n"/>
      <c r="BO375" s="34" t="n"/>
      <c r="BP375" s="34" t="n"/>
      <c r="BQ375" s="215">
        <f>IFERROR(1-BQ367,"n/a")</f>
        <v>0.79</v>
      </c>
      <c r="BR375" s="34" t="n"/>
      <c r="BS375" s="34" t="n"/>
      <c r="BT375" s="34" t="n"/>
      <c r="BU375" s="34" t="n"/>
      <c r="BV375" s="215">
        <f>IFERROR(1-BV367,"n/a")</f>
        <v>0.79</v>
      </c>
      <c r="BW375" s="34" t="n"/>
      <c r="BX375" s="34" t="n"/>
      <c r="BY375" s="35" t="n"/>
      <c r="BZ375" s="35" t="n"/>
      <c r="CA375" s="260">
        <f>IFERROR(1-CA367,"n/a")</f>
        <v>0.79</v>
      </c>
      <c r="CB375" s="260">
        <f>IFERROR(1-CB367,"n/a")</f>
        <v>0.79</v>
      </c>
      <c r="CC375" s="260">
        <f>IFERROR(1-CC367,"n/a")</f>
        <v>0.79</v>
      </c>
      <c r="CD375" s="260">
        <f>IFERROR(1-CD367,"n/a")</f>
        <v>0.79</v>
      </c>
      <c r="CE375" s="260">
        <f>IFERROR(1-CE367,"n/a")</f>
        <v>0.79</v>
      </c>
      <c r="CF375" s="260">
        <f>IFERROR(1-CF367,"n/a")</f>
        <v>0.79</v>
      </c>
      <c r="CG375" s="19" t="n"/>
    </row>
    <row r="376" ht="15" customHeight="1" s="251">
      <c r="B376" s="25" t="inlineStr">
        <is>
          <t xml:space="preserve">  Check: Margin × Turnover × Tax burden = ROIC</t>
        </is>
      </c>
      <c r="C376" s="215">
        <f>IFERROR(C373*C374*C375,"n/a")</f>
        <v>0.266886326194399</v>
      </c>
      <c r="D376" s="215">
        <f>IFERROR(D373*D374*D375,"n/a")</f>
        <v>0.532124352331606</v>
      </c>
      <c r="E376" s="215">
        <f>IFERROR(E373*E374*E375,"n/a")</f>
        <v>0.93504546985517</v>
      </c>
      <c r="F376" s="215">
        <f>IFERROR(F373*F374*F375,"n/a")</f>
        <v>0.34817880794702</v>
      </c>
      <c r="G376" s="215">
        <f>IFERROR(G373*G374*G375,"n/a")</f>
        <v>0.677822073017205</v>
      </c>
      <c r="H376" s="215">
        <f>IFERROR(H373*H374*H375,"n/a")</f>
        <v>0.875090291055874</v>
      </c>
      <c r="I376" s="215">
        <f>IFERROR(I373*I374*I375,"n/a")</f>
        <v>1.66213626685593</v>
      </c>
      <c r="J376" s="34" t="n"/>
      <c r="K376" s="34" t="n"/>
      <c r="L376" s="34" t="n"/>
      <c r="M376" s="34" t="n"/>
      <c r="N376" s="215">
        <f>IFERROR(N373*N374*N375,"n/a")</f>
        <v>0.544740772349051</v>
      </c>
      <c r="O376" s="34" t="n"/>
      <c r="P376" s="34" t="n"/>
      <c r="Q376" s="34" t="n"/>
      <c r="R376" s="34" t="n"/>
      <c r="S376" s="215">
        <f>IFERROR(S373*S374*S375,"n/a")</f>
        <v>1.2092072147651</v>
      </c>
      <c r="T376" s="34" t="n"/>
      <c r="U376" s="34" t="n"/>
      <c r="V376" s="34" t="n"/>
      <c r="W376" s="34" t="n"/>
      <c r="X376" s="215">
        <f>IFERROR(X373*X374*X375,"n/a")</f>
        <v>1.16785797168717</v>
      </c>
      <c r="Y376" s="34" t="n"/>
      <c r="Z376" s="34" t="n"/>
      <c r="AA376" s="34" t="n"/>
      <c r="AB376" s="34" t="n"/>
      <c r="AC376" s="215">
        <f>IFERROR(AC373*AC374*AC375,"n/a")</f>
        <v>4.4451875</v>
      </c>
      <c r="AD376" s="34" t="n"/>
      <c r="AE376" s="34" t="n"/>
      <c r="AF376" s="34" t="n"/>
      <c r="AG376" s="34" t="n"/>
      <c r="AH376" s="215">
        <f>IFERROR(AH373*AH374*AH375,"n/a")</f>
        <v>3.78454782042941</v>
      </c>
      <c r="AI376" s="34" t="n"/>
      <c r="AJ376" s="34" t="n"/>
      <c r="AK376" s="34" t="n"/>
      <c r="AL376" s="34" t="n"/>
      <c r="AM376" s="215">
        <f>IFERROR(AM373*AM374*AM375,"n/a")</f>
        <v>1.46884770771122</v>
      </c>
      <c r="AN376" s="34" t="n"/>
      <c r="AO376" s="34" t="n"/>
      <c r="AP376" s="34" t="n"/>
      <c r="AQ376" s="34" t="n"/>
      <c r="AR376" s="215">
        <f>IFERROR(AR373*AR374*AR375,"n/a")</f>
        <v>-0.359339054837272</v>
      </c>
      <c r="AS376" s="34" t="n"/>
      <c r="AT376" s="34" t="n"/>
      <c r="AU376" s="34" t="n"/>
      <c r="AV376" s="34" t="n"/>
      <c r="AW376" s="215">
        <f>IFERROR(AW373*AW374*AW375,"n/a")</f>
        <v>-0.569237875288684</v>
      </c>
      <c r="AX376" s="34" t="n"/>
      <c r="AY376" s="34" t="n"/>
      <c r="AZ376" s="34" t="n"/>
      <c r="BA376" s="34" t="n"/>
      <c r="BB376" s="215">
        <f>IFERROR(BB373*BB374*BB375,"n/a")</f>
        <v>-0.127279727528506</v>
      </c>
      <c r="BC376" s="34" t="n"/>
      <c r="BD376" s="34" t="n"/>
      <c r="BE376" s="34" t="n"/>
      <c r="BF376" s="34" t="n"/>
      <c r="BG376" s="215">
        <f>IFERROR(BG373*BG374*BG375,"n/a")</f>
        <v>-0.155009401245143</v>
      </c>
      <c r="BH376" s="34" t="n"/>
      <c r="BI376" s="34" t="n"/>
      <c r="BJ376" s="34" t="n"/>
      <c r="BK376" s="34" t="n"/>
      <c r="BL376" s="215">
        <f>IFERROR(BL373*BL374*BL375,"n/a")</f>
        <v>-0.0756769906874542</v>
      </c>
      <c r="BM376" s="34" t="n"/>
      <c r="BN376" s="34" t="n"/>
      <c r="BO376" s="34" t="n"/>
      <c r="BP376" s="34" t="n"/>
      <c r="BQ376" s="215">
        <f>IFERROR(BQ373*BQ374*BQ375,"n/a")</f>
        <v>-0.395767703227987</v>
      </c>
      <c r="BR376" s="34" t="n"/>
      <c r="BS376" s="34" t="n"/>
      <c r="BT376" s="34" t="n"/>
      <c r="BU376" s="34" t="n"/>
      <c r="BV376" s="215">
        <f>IFERROR(BV373*BV374*BV375,"n/a")</f>
        <v>-0.16861018073288</v>
      </c>
      <c r="BW376" s="34" t="n"/>
      <c r="BX376" s="34" t="n"/>
      <c r="BY376" s="35" t="n"/>
      <c r="BZ376" s="35" t="n"/>
      <c r="CA376" s="260">
        <f>IFERROR(CA373*CA374*CA375,"n/a")</f>
        <v>0.0344653815442419</v>
      </c>
      <c r="CB376" s="260">
        <f>IFERROR(CB373*CB374*CB375,"n/a")</f>
        <v>0.143756393094452</v>
      </c>
      <c r="CC376" s="260">
        <f>IFERROR(CC373*CC374*CC375,"n/a")</f>
        <v>0.228384602482086</v>
      </c>
      <c r="CD376" s="260">
        <f>IFERROR(CD373*CD374*CD375,"n/a")</f>
        <v>0.333646544411829</v>
      </c>
      <c r="CE376" s="260">
        <f>IFERROR(CE373*CE374*CE375,"n/a")</f>
        <v>0.42813502892184</v>
      </c>
      <c r="CF376" s="260">
        <f>IFERROR(CF373*CF374*CF375,"n/a")</f>
        <v>0.502049675608521</v>
      </c>
      <c r="CG376" s="19" t="n"/>
    </row>
    <row r="377" ht="15" customHeight="1" s="251">
      <c r="B377" s="25" t="inlineStr">
        <is>
          <t>RONTA decomposition</t>
        </is>
      </c>
      <c r="CG377" s="153" t="n"/>
    </row>
    <row r="378" ht="15" customHeight="1" s="251">
      <c r="B378" s="25" t="inlineStr">
        <is>
          <t>NOPAT = Adjusted EBIT × (1 − tax rate)</t>
        </is>
      </c>
      <c r="C378" s="262">
        <f>C368</f>
        <v>2106</v>
      </c>
      <c r="D378" s="262">
        <f>D368</f>
        <v>4210.7</v>
      </c>
      <c r="E378" s="262">
        <f>E368</f>
        <v>2776.15</v>
      </c>
      <c r="F378" s="262">
        <f>F368</f>
        <v>1366.95</v>
      </c>
      <c r="G378" s="262">
        <f>G368</f>
        <v>3230.5</v>
      </c>
      <c r="H378" s="262">
        <f>H368</f>
        <v>4119.05</v>
      </c>
      <c r="I378" s="262">
        <f>I368</f>
        <v>4683.9</v>
      </c>
      <c r="J378" s="34" t="n"/>
      <c r="K378" s="34" t="n"/>
      <c r="L378" s="34" t="n"/>
      <c r="M378" s="34" t="n"/>
      <c r="N378" s="262">
        <f>N368</f>
        <v>5106.4</v>
      </c>
      <c r="O378" s="34" t="n"/>
      <c r="P378" s="34" t="n"/>
      <c r="Q378" s="34" t="n"/>
      <c r="R378" s="34" t="n"/>
      <c r="S378" s="262">
        <f>S368</f>
        <v>5765.5</v>
      </c>
      <c r="T378" s="34" t="n"/>
      <c r="U378" s="34" t="n"/>
      <c r="V378" s="34" t="n"/>
      <c r="W378" s="34" t="n"/>
      <c r="X378" s="262">
        <f>X368</f>
        <v>5032.3</v>
      </c>
      <c r="Y378" s="34" t="n"/>
      <c r="Z378" s="34" t="n"/>
      <c r="AA378" s="34" t="n"/>
      <c r="AB378" s="34" t="n"/>
      <c r="AC378" s="262">
        <f>AC368</f>
        <v>3556.15</v>
      </c>
      <c r="AD378" s="34" t="n"/>
      <c r="AE378" s="34" t="n"/>
      <c r="AF378" s="34" t="n"/>
      <c r="AG378" s="34" t="n"/>
      <c r="AH378" s="262">
        <f>AH368</f>
        <v>5816.85</v>
      </c>
      <c r="AI378" s="34" t="n"/>
      <c r="AJ378" s="34" t="n"/>
      <c r="AK378" s="34" t="n"/>
      <c r="AL378" s="34" t="n"/>
      <c r="AM378" s="262">
        <f>AM368</f>
        <v>8362.15</v>
      </c>
      <c r="AN378" s="34" t="n"/>
      <c r="AO378" s="34" t="n"/>
      <c r="AP378" s="34" t="n"/>
      <c r="AQ378" s="34" t="n"/>
      <c r="AR378" s="262">
        <f>AR368</f>
        <v>-3223.99</v>
      </c>
      <c r="AS378" s="34" t="n"/>
      <c r="AT378" s="34" t="n"/>
      <c r="AU378" s="34" t="n"/>
      <c r="AV378" s="34" t="n"/>
      <c r="AW378" s="262">
        <f>AW368</f>
        <v>-11338.08</v>
      </c>
      <c r="AX378" s="34" t="n"/>
      <c r="AY378" s="34" t="n"/>
      <c r="AZ378" s="34" t="n"/>
      <c r="BA378" s="34" t="n"/>
      <c r="BB378" s="262">
        <f>BB368</f>
        <v>-3438.08</v>
      </c>
      <c r="BC378" s="34" t="n"/>
      <c r="BD378" s="34" t="n"/>
      <c r="BE378" s="34" t="n"/>
      <c r="BF378" s="34" t="n"/>
      <c r="BG378" s="262">
        <f>BG368</f>
        <v>-3709.84</v>
      </c>
      <c r="BH378" s="34" t="n"/>
      <c r="BI378" s="34" t="n"/>
      <c r="BJ378" s="34" t="n"/>
      <c r="BK378" s="34" t="n"/>
      <c r="BL378" s="262">
        <f>BL368</f>
        <v>-1446.49</v>
      </c>
      <c r="BM378" s="34" t="n"/>
      <c r="BN378" s="34" t="n"/>
      <c r="BO378" s="34" t="n"/>
      <c r="BP378" s="34" t="n"/>
      <c r="BQ378" s="262">
        <f>BQ368</f>
        <v>-9367.03</v>
      </c>
      <c r="BR378" s="34" t="n"/>
      <c r="BS378" s="34" t="n"/>
      <c r="BT378" s="34" t="n"/>
      <c r="BU378" s="34" t="n"/>
      <c r="BV378" s="262">
        <f>BV368</f>
        <v>-5084.44</v>
      </c>
      <c r="BW378" s="34" t="n"/>
      <c r="BX378" s="34" t="n"/>
      <c r="BY378" s="35" t="n"/>
      <c r="BZ378" s="35" t="n"/>
      <c r="CA378" s="263">
        <f>CA368</f>
        <v>1057.10842186192</v>
      </c>
      <c r="CB378" s="263">
        <f>CB368</f>
        <v>4331.71172991904</v>
      </c>
      <c r="CC378" s="263">
        <f>CC368</f>
        <v>6459.77682735081</v>
      </c>
      <c r="CD378" s="263">
        <f>CD368</f>
        <v>8729.45517259793</v>
      </c>
      <c r="CE378" s="263">
        <f>CE368</f>
        <v>10446.2828989841</v>
      </c>
      <c r="CF378" s="263">
        <f>CF368</f>
        <v>11552.3055055454</v>
      </c>
      <c r="CG378" s="19" t="n"/>
    </row>
    <row r="379" ht="15" customHeight="1" s="251">
      <c r="B379" s="25" t="inlineStr">
        <is>
          <t xml:space="preserve">  Total assets</t>
        </is>
      </c>
      <c r="C379" s="262">
        <f>C286</f>
        <v>51794</v>
      </c>
      <c r="D379" s="262">
        <f>D286</f>
        <v>58772</v>
      </c>
      <c r="E379" s="262">
        <f>E286</f>
        <v>53801</v>
      </c>
      <c r="F379" s="262">
        <f>F286</f>
        <v>62053</v>
      </c>
      <c r="G379" s="262">
        <f>G286</f>
        <v>68565</v>
      </c>
      <c r="H379" s="262">
        <f>H286</f>
        <v>79986</v>
      </c>
      <c r="I379" s="262">
        <f>I286</f>
        <v>88896</v>
      </c>
      <c r="J379" s="34" t="n"/>
      <c r="K379" s="34" t="n"/>
      <c r="L379" s="34" t="n"/>
      <c r="M379" s="34" t="n"/>
      <c r="N379" s="262">
        <f>N286</f>
        <v>92663</v>
      </c>
      <c r="O379" s="34" t="n"/>
      <c r="P379" s="34" t="n"/>
      <c r="Q379" s="34" t="n"/>
      <c r="R379" s="34" t="n"/>
      <c r="S379" s="262">
        <f>S286</f>
        <v>99198</v>
      </c>
      <c r="T379" s="34" t="n"/>
      <c r="U379" s="34" t="n"/>
      <c r="V379" s="34" t="n"/>
      <c r="W379" s="34" t="n"/>
      <c r="X379" s="262">
        <f>X286</f>
        <v>94408</v>
      </c>
      <c r="Y379" s="34" t="n"/>
      <c r="Z379" s="34" t="n"/>
      <c r="AA379" s="34" t="n"/>
      <c r="AB379" s="34" t="n"/>
      <c r="AC379" s="262">
        <f>AC286</f>
        <v>89997</v>
      </c>
      <c r="AD379" s="34" t="n"/>
      <c r="AE379" s="34" t="n"/>
      <c r="AF379" s="34" t="n"/>
      <c r="AG379" s="34" t="n"/>
      <c r="AH379" s="262">
        <f>AH286</f>
        <v>92333</v>
      </c>
      <c r="AI379" s="34" t="n"/>
      <c r="AJ379" s="34" t="n"/>
      <c r="AK379" s="34" t="n"/>
      <c r="AL379" s="34" t="n"/>
      <c r="AM379" s="262">
        <f>AM286</f>
        <v>117359</v>
      </c>
      <c r="AN379" s="34" t="n"/>
      <c r="AO379" s="34" t="n"/>
      <c r="AP379" s="34" t="n"/>
      <c r="AQ379" s="34" t="n"/>
      <c r="AR379" s="262">
        <f>AR286</f>
        <v>133625</v>
      </c>
      <c r="AS379" s="34" t="n"/>
      <c r="AT379" s="34" t="n"/>
      <c r="AU379" s="34" t="n"/>
      <c r="AV379" s="34" t="n"/>
      <c r="AW379" s="262">
        <f>AW286</f>
        <v>152136</v>
      </c>
      <c r="AX379" s="34" t="n"/>
      <c r="AY379" s="34" t="n"/>
      <c r="AZ379" s="34" t="n"/>
      <c r="BA379" s="34" t="n"/>
      <c r="BB379" s="262">
        <f>BB286</f>
        <v>138552</v>
      </c>
      <c r="BC379" s="34" t="n"/>
      <c r="BD379" s="34" t="n"/>
      <c r="BE379" s="34" t="n"/>
      <c r="BF379" s="34" t="n"/>
      <c r="BG379" s="262">
        <f>BG286</f>
        <v>137100</v>
      </c>
      <c r="BH379" s="34" t="n"/>
      <c r="BI379" s="34" t="n"/>
      <c r="BJ379" s="34" t="n"/>
      <c r="BK379" s="34" t="n"/>
      <c r="BL379" s="262">
        <f>BL286</f>
        <v>137012</v>
      </c>
      <c r="BM379" s="34" t="n"/>
      <c r="BN379" s="34" t="n"/>
      <c r="BO379" s="34" t="n"/>
      <c r="BP379" s="34" t="n"/>
      <c r="BQ379" s="262">
        <f>BQ286</f>
        <v>156363</v>
      </c>
      <c r="BR379" s="34" t="n"/>
      <c r="BS379" s="34" t="n"/>
      <c r="BT379" s="34" t="n"/>
      <c r="BU379" s="34" t="n"/>
      <c r="BV379" s="262">
        <f>BV286</f>
        <v>168235</v>
      </c>
      <c r="BW379" s="34" t="n"/>
      <c r="BX379" s="34" t="n"/>
      <c r="BY379" s="35" t="n"/>
      <c r="BZ379" s="35" t="n"/>
      <c r="CA379" s="263">
        <f>CA286</f>
        <v>169372.120628031</v>
      </c>
      <c r="CB379" s="263">
        <f>CB286</f>
        <v>177593.514497542</v>
      </c>
      <c r="CC379" s="263">
        <f>CC286</f>
        <v>191882.994739056</v>
      </c>
      <c r="CD379" s="263">
        <f>CD286</f>
        <v>193828.248411958</v>
      </c>
      <c r="CE379" s="263">
        <f>CE286</f>
        <v>194064.40099236</v>
      </c>
      <c r="CF379" s="263">
        <f>CF286</f>
        <v>195766.526663592</v>
      </c>
      <c r="CG379" s="19" t="n"/>
    </row>
    <row r="380" ht="15" customHeight="1" s="251">
      <c r="B380" s="25" t="inlineStr">
        <is>
          <t xml:space="preserve">  − Goodwill &amp; acquired intangible assets</t>
        </is>
      </c>
      <c r="C380" s="262">
        <f>IFERROR(-(C283+C284),"n/a")</f>
        <v>-4745</v>
      </c>
      <c r="D380" s="262">
        <f>IFERROR(-(D283+D284),"n/a")</f>
        <v>-5174</v>
      </c>
      <c r="E380" s="262">
        <f>IFERROR(-(E283+E284),"n/a")</f>
        <v>-6332</v>
      </c>
      <c r="F380" s="262">
        <f>IFERROR(-(F283+F284),"n/a")</f>
        <v>-7196</v>
      </c>
      <c r="G380" s="262">
        <f>IFERROR(-(G283+G284),"n/a")</f>
        <v>-7916</v>
      </c>
      <c r="H380" s="262">
        <f>IFERROR(-(H283+H284),"n/a")</f>
        <v>-7989</v>
      </c>
      <c r="I380" s="262">
        <f>IFERROR(-(I283+I284),"n/a")</f>
        <v>-8146</v>
      </c>
      <c r="J380" s="34" t="n"/>
      <c r="K380" s="34" t="n"/>
      <c r="L380" s="34" t="n"/>
      <c r="M380" s="34" t="n"/>
      <c r="N380" s="262">
        <f>IFERROR(-(N283+N284),"n/a")</f>
        <v>-8095</v>
      </c>
      <c r="O380" s="34" t="n"/>
      <c r="P380" s="34" t="n"/>
      <c r="Q380" s="34" t="n"/>
      <c r="R380" s="34" t="n"/>
      <c r="S380" s="262">
        <f>IFERROR(-(S283+S284),"n/a")</f>
        <v>-7988</v>
      </c>
      <c r="T380" s="34" t="n"/>
      <c r="U380" s="34" t="n"/>
      <c r="V380" s="34" t="n"/>
      <c r="W380" s="34" t="n"/>
      <c r="X380" s="262">
        <f>IFERROR(-(X283+X284),"n/a")</f>
        <v>-7783</v>
      </c>
      <c r="Y380" s="34" t="n"/>
      <c r="Z380" s="34" t="n"/>
      <c r="AA380" s="34" t="n"/>
      <c r="AB380" s="34" t="n"/>
      <c r="AC380" s="262">
        <f>IFERROR(-(AC283+AC284),"n/a")</f>
        <v>-7864</v>
      </c>
      <c r="AD380" s="34" t="n"/>
      <c r="AE380" s="34" t="n"/>
      <c r="AF380" s="34" t="n"/>
      <c r="AG380" s="34" t="n"/>
      <c r="AH380" s="262">
        <f>IFERROR(-(AH283+AH284),"n/a")</f>
        <v>-8132</v>
      </c>
      <c r="AI380" s="34" t="n"/>
      <c r="AJ380" s="34" t="n"/>
      <c r="AK380" s="34" t="n"/>
      <c r="AL380" s="34" t="n"/>
      <c r="AM380" s="262">
        <f>IFERROR(-(AM283+AM284),"n/a")</f>
        <v>-11269</v>
      </c>
      <c r="AN380" s="34" t="n"/>
      <c r="AO380" s="34" t="n"/>
      <c r="AP380" s="34" t="n"/>
      <c r="AQ380" s="34" t="n"/>
      <c r="AR380" s="262">
        <f>IFERROR(-(AR283+AR284),"n/a")</f>
        <v>-11398</v>
      </c>
      <c r="AS380" s="34" t="n"/>
      <c r="AT380" s="34" t="n"/>
      <c r="AU380" s="34" t="n"/>
      <c r="AV380" s="34" t="n"/>
      <c r="AW380" s="262">
        <f>IFERROR(-(AW283+AW284),"n/a")</f>
        <v>-10924</v>
      </c>
      <c r="AX380" s="34" t="n"/>
      <c r="AY380" s="34" t="n"/>
      <c r="AZ380" s="34" t="n"/>
      <c r="BA380" s="34" t="n"/>
      <c r="BB380" s="262">
        <f>IFERROR(-(BB283+BB284),"n/a")</f>
        <v>-10630</v>
      </c>
      <c r="BC380" s="34" t="n"/>
      <c r="BD380" s="34" t="n"/>
      <c r="BE380" s="34" t="n"/>
      <c r="BF380" s="34" t="n"/>
      <c r="BG380" s="262">
        <f>IFERROR(-(BG283+BG284),"n/a")</f>
        <v>-10368</v>
      </c>
      <c r="BH380" s="34" t="n"/>
      <c r="BI380" s="34" t="n"/>
      <c r="BJ380" s="34" t="n"/>
      <c r="BK380" s="34" t="n"/>
      <c r="BL380" s="262">
        <f>IFERROR(-(BL283+BL284),"n/a")</f>
        <v>-10187</v>
      </c>
      <c r="BM380" s="34" t="n"/>
      <c r="BN380" s="34" t="n"/>
      <c r="BO380" s="34" t="n"/>
      <c r="BP380" s="34" t="n"/>
      <c r="BQ380" s="262">
        <f>IFERROR(-(BQ283+BQ284),"n/a")</f>
        <v>-10041</v>
      </c>
      <c r="BR380" s="34" t="n"/>
      <c r="BS380" s="34" t="n"/>
      <c r="BT380" s="34" t="n"/>
      <c r="BU380" s="34" t="n"/>
      <c r="BV380" s="262">
        <f>IFERROR(-(BV283+BV284),"n/a")</f>
        <v>-18842</v>
      </c>
      <c r="BW380" s="34" t="n"/>
      <c r="BX380" s="34" t="n"/>
      <c r="BY380" s="35" t="n"/>
      <c r="BZ380" s="35" t="n"/>
      <c r="CA380" s="263">
        <f>IFERROR(-(CA283+CA284),"n/a")</f>
        <v>-18986.5</v>
      </c>
      <c r="CB380" s="263">
        <f>IFERROR(-(CB283+CB284),"n/a")</f>
        <v>-18804.5</v>
      </c>
      <c r="CC380" s="263">
        <f>IFERROR(-(CC283+CC284),"n/a")</f>
        <v>-18649.5</v>
      </c>
      <c r="CD380" s="263">
        <f>IFERROR(-(CD283+CD284),"n/a")</f>
        <v>-18499.5</v>
      </c>
      <c r="CE380" s="263">
        <f>IFERROR(-(CE283+CE284),"n/a")</f>
        <v>-18355.5</v>
      </c>
      <c r="CF380" s="263">
        <f>IFERROR(-(CF283+CF284),"n/a")</f>
        <v>-18215.5</v>
      </c>
      <c r="CG380" s="19" t="n"/>
    </row>
    <row r="381" ht="15" customHeight="1" s="251">
      <c r="B381" s="25" t="inlineStr">
        <is>
          <t xml:space="preserve">  − Non-interest-bearing current liabilities (total current liabilities excl. short-term debt)</t>
        </is>
      </c>
      <c r="C381" s="262">
        <f>IFERROR(-(C292-N(C290)),"n/a")</f>
        <v>-28320</v>
      </c>
      <c r="D381" s="262">
        <f>IFERROR(-(D292-N(D290)),"n/a")</f>
        <v>-30776</v>
      </c>
      <c r="E381" s="262">
        <f>IFERROR(-(E292-N(E290)),"n/a")</f>
        <v>-30357</v>
      </c>
      <c r="F381" s="262">
        <f>IFERROR(-(F292-N(F290)),"n/a")</f>
        <v>-32176</v>
      </c>
      <c r="G381" s="262">
        <f>IFERROR(-(G292-N(G290)),"n/a")</f>
        <v>-34447</v>
      </c>
      <c r="H381" s="262">
        <f>IFERROR(-(H292-N(H290)),"n/a")</f>
        <v>-38921</v>
      </c>
      <c r="I381" s="262">
        <f>IFERROR(-(I292-N(I290)),"n/a")</f>
        <v>-43546</v>
      </c>
      <c r="J381" s="34" t="n"/>
      <c r="K381" s="34" t="n"/>
      <c r="L381" s="34" t="n"/>
      <c r="M381" s="34" t="n"/>
      <c r="N381" s="262">
        <f>IFERROR(-(N292-N(N290)),"n/a")</f>
        <v>-49923</v>
      </c>
      <c r="O381" s="34" t="n"/>
      <c r="P381" s="34" t="n"/>
      <c r="Q381" s="34" t="n"/>
      <c r="R381" s="34" t="n"/>
      <c r="S381" s="262">
        <f>IFERROR(-(S292-N(S290)),"n/a")</f>
        <v>-55788</v>
      </c>
      <c r="T381" s="34" t="n"/>
      <c r="U381" s="34" t="n"/>
      <c r="V381" s="34" t="n"/>
      <c r="W381" s="34" t="n"/>
      <c r="X381" s="262">
        <f>IFERROR(-(X292-N(X290)),"n/a")</f>
        <v>-49178</v>
      </c>
      <c r="Y381" s="34" t="n"/>
      <c r="Z381" s="34" t="n"/>
      <c r="AA381" s="34" t="n"/>
      <c r="AB381" s="34" t="n"/>
      <c r="AC381" s="262">
        <f>IFERROR(-(AC292-N(AC290)),"n/a")</f>
        <v>-49750</v>
      </c>
      <c r="AD381" s="34" t="n"/>
      <c r="AE381" s="34" t="n"/>
      <c r="AF381" s="34" t="n"/>
      <c r="AG381" s="34" t="n"/>
      <c r="AH381" s="262">
        <f>IFERROR(-(AH292-N(AH290)),"n/a")</f>
        <v>-54934</v>
      </c>
      <c r="AI381" s="34" t="n"/>
      <c r="AJ381" s="34" t="n"/>
      <c r="AK381" s="34" t="n"/>
      <c r="AL381" s="34" t="n"/>
      <c r="AM381" s="262">
        <f>IFERROR(-(AM292-N(AM290)),"n/a")</f>
        <v>-78400</v>
      </c>
      <c r="AN381" s="34" t="n"/>
      <c r="AO381" s="34" t="n"/>
      <c r="AP381" s="34" t="n"/>
      <c r="AQ381" s="34" t="n"/>
      <c r="AR381" s="262">
        <f>IFERROR(-(AR292-N(AR290)),"n/a")</f>
        <v>-89972</v>
      </c>
      <c r="AS381" s="34" t="n"/>
      <c r="AT381" s="34" t="n"/>
      <c r="AU381" s="34" t="n"/>
      <c r="AV381" s="34" t="n"/>
      <c r="AW381" s="262">
        <f>IFERROR(-(AW292-N(AW290)),"n/a")</f>
        <v>-85587</v>
      </c>
      <c r="AX381" s="34" t="n"/>
      <c r="AY381" s="34" t="n"/>
      <c r="AZ381" s="34" t="n"/>
      <c r="BA381" s="34" t="n"/>
      <c r="BB381" s="262">
        <f>IFERROR(-(BB292-N(BB290)),"n/a")</f>
        <v>-80696</v>
      </c>
      <c r="BC381" s="34" t="n"/>
      <c r="BD381" s="34" t="n"/>
      <c r="BE381" s="34" t="n"/>
      <c r="BF381" s="34" t="n"/>
      <c r="BG381" s="262">
        <f>IFERROR(-(BG292-N(BG290)),"n/a")</f>
        <v>-84862</v>
      </c>
      <c r="BH381" s="34" t="n"/>
      <c r="BI381" s="34" t="n"/>
      <c r="BJ381" s="34" t="n"/>
      <c r="BK381" s="34" t="n"/>
      <c r="BL381" s="262">
        <f>IFERROR(-(BL292-N(BL290)),"n/a")</f>
        <v>-90623</v>
      </c>
      <c r="BM381" s="34" t="n"/>
      <c r="BN381" s="34" t="n"/>
      <c r="BO381" s="34" t="n"/>
      <c r="BP381" s="34" t="n"/>
      <c r="BQ381" s="262">
        <f>IFERROR(-(BQ292-N(BQ290)),"n/a")</f>
        <v>-95800</v>
      </c>
      <c r="BR381" s="34" t="n"/>
      <c r="BS381" s="34" t="n"/>
      <c r="BT381" s="34" t="n"/>
      <c r="BU381" s="34" t="n"/>
      <c r="BV381" s="262">
        <f>IFERROR(-(BV292-N(BV290)),"n/a")</f>
        <v>-99654</v>
      </c>
      <c r="BW381" s="34" t="n"/>
      <c r="BX381" s="34" t="n"/>
      <c r="BY381" s="35" t="n"/>
      <c r="BZ381" s="35" t="n"/>
      <c r="CA381" s="263">
        <f>IFERROR(-(CA292-N(CA290)),"n/a")</f>
        <v>-107271.019894265</v>
      </c>
      <c r="CB381" s="263">
        <f>IFERROR(-(CB292-N(CB290)),"n/a")</f>
        <v>-114357.396503822</v>
      </c>
      <c r="CC381" s="263">
        <f>IFERROR(-(CC292-N(CC290)),"n/a")</f>
        <v>-121603.411202397</v>
      </c>
      <c r="CD381" s="263">
        <f>IFERROR(-(CD292-N(CD290)),"n/a")</f>
        <v>-127255.736533005</v>
      </c>
      <c r="CE381" s="263">
        <f>IFERROR(-(CE292-N(CE290)),"n/a")</f>
        <v>-130712.960503825</v>
      </c>
      <c r="CF381" s="263">
        <f>IFERROR(-(CF292-N(CF290)),"n/a")</f>
        <v>-134868.642472877</v>
      </c>
      <c r="CG381" s="19" t="n"/>
    </row>
    <row r="382" ht="15" customHeight="1" s="251">
      <c r="B382" s="25" t="inlineStr">
        <is>
          <t xml:space="preserve">  = Net tangible assets</t>
        </is>
      </c>
      <c r="C382" s="262">
        <f>IFERROR(SUM(C379:C381),"n/a")</f>
        <v>18729</v>
      </c>
      <c r="D382" s="262">
        <f>IFERROR(SUM(D379:D381),"n/a")</f>
        <v>22822</v>
      </c>
      <c r="E382" s="262">
        <f>IFERROR(SUM(E379:E381),"n/a")</f>
        <v>17112</v>
      </c>
      <c r="F382" s="262">
        <f>IFERROR(SUM(F379:F381),"n/a")</f>
        <v>22681</v>
      </c>
      <c r="G382" s="262">
        <f>IFERROR(SUM(G379:G381),"n/a")</f>
        <v>26202</v>
      </c>
      <c r="H382" s="262">
        <f>IFERROR(SUM(H379:H381),"n/a")</f>
        <v>33076</v>
      </c>
      <c r="I382" s="262">
        <f>IFERROR(SUM(I379:I381),"n/a")</f>
        <v>37204</v>
      </c>
      <c r="J382" s="34" t="n"/>
      <c r="K382" s="34" t="n"/>
      <c r="L382" s="34" t="n"/>
      <c r="M382" s="34" t="n"/>
      <c r="N382" s="262">
        <f>IFERROR(SUM(N379:N381),"n/a")</f>
        <v>34645</v>
      </c>
      <c r="O382" s="34" t="n"/>
      <c r="P382" s="34" t="n"/>
      <c r="Q382" s="34" t="n"/>
      <c r="R382" s="34" t="n"/>
      <c r="S382" s="262">
        <f>IFERROR(SUM(S379:S381),"n/a")</f>
        <v>35422</v>
      </c>
      <c r="T382" s="34" t="n"/>
      <c r="U382" s="34" t="n"/>
      <c r="V382" s="34" t="n"/>
      <c r="W382" s="34" t="n"/>
      <c r="X382" s="262">
        <f>IFERROR(SUM(X379:X381),"n/a")</f>
        <v>37447</v>
      </c>
      <c r="Y382" s="34" t="n"/>
      <c r="Z382" s="34" t="n"/>
      <c r="AA382" s="34" t="n"/>
      <c r="AB382" s="34" t="n"/>
      <c r="AC382" s="262">
        <f>IFERROR(SUM(AC379:AC381),"n/a")</f>
        <v>32383</v>
      </c>
      <c r="AD382" s="34" t="n"/>
      <c r="AE382" s="34" t="n"/>
      <c r="AF382" s="34" t="n"/>
      <c r="AG382" s="34" t="n"/>
      <c r="AH382" s="262">
        <f>IFERROR(SUM(AH379:AH381),"n/a")</f>
        <v>29267</v>
      </c>
      <c r="AI382" s="34" t="n"/>
      <c r="AJ382" s="34" t="n"/>
      <c r="AK382" s="34" t="n"/>
      <c r="AL382" s="34" t="n"/>
      <c r="AM382" s="262">
        <f>IFERROR(SUM(AM379:AM381),"n/a")</f>
        <v>27690</v>
      </c>
      <c r="AN382" s="34" t="n"/>
      <c r="AO382" s="34" t="n"/>
      <c r="AP382" s="34" t="n"/>
      <c r="AQ382" s="34" t="n"/>
      <c r="AR382" s="262">
        <f>IFERROR(SUM(AR379:AR381),"n/a")</f>
        <v>32255</v>
      </c>
      <c r="AS382" s="34" t="n"/>
      <c r="AT382" s="34" t="n"/>
      <c r="AU382" s="34" t="n"/>
      <c r="AV382" s="34" t="n"/>
      <c r="AW382" s="262">
        <f>IFERROR(SUM(AW379:AW381),"n/a")</f>
        <v>55625</v>
      </c>
      <c r="AX382" s="34" t="n"/>
      <c r="AY382" s="34" t="n"/>
      <c r="AZ382" s="34" t="n"/>
      <c r="BA382" s="34" t="n"/>
      <c r="BB382" s="262">
        <f>IFERROR(SUM(BB379:BB381),"n/a")</f>
        <v>47226</v>
      </c>
      <c r="BC382" s="34" t="n"/>
      <c r="BD382" s="34" t="n"/>
      <c r="BE382" s="34" t="n"/>
      <c r="BF382" s="34" t="n"/>
      <c r="BG382" s="262">
        <f>IFERROR(SUM(BG379:BG381),"n/a")</f>
        <v>41870</v>
      </c>
      <c r="BH382" s="34" t="n"/>
      <c r="BI382" s="34" t="n"/>
      <c r="BJ382" s="34" t="n"/>
      <c r="BK382" s="34" t="n"/>
      <c r="BL382" s="262">
        <f>IFERROR(SUM(BL379:BL381),"n/a")</f>
        <v>36202</v>
      </c>
      <c r="BM382" s="34" t="n"/>
      <c r="BN382" s="34" t="n"/>
      <c r="BO382" s="34" t="n"/>
      <c r="BP382" s="34" t="n"/>
      <c r="BQ382" s="262">
        <f>IFERROR(SUM(BQ379:BQ381),"n/a")</f>
        <v>50522</v>
      </c>
      <c r="BR382" s="34" t="n"/>
      <c r="BS382" s="34" t="n"/>
      <c r="BT382" s="34" t="n"/>
      <c r="BU382" s="34" t="n"/>
      <c r="BV382" s="262">
        <f>IFERROR(SUM(BV379:BV381),"n/a")</f>
        <v>49739</v>
      </c>
      <c r="BW382" s="34" t="n"/>
      <c r="BX382" s="34" t="n"/>
      <c r="BY382" s="35" t="n"/>
      <c r="BZ382" s="35" t="n"/>
      <c r="CA382" s="263">
        <f>IFERROR(SUM(CA379:CA381),"n/a")</f>
        <v>43114.6007337668</v>
      </c>
      <c r="CB382" s="263">
        <f>IFERROR(SUM(CB379:CB381),"n/a")</f>
        <v>44431.6179937192</v>
      </c>
      <c r="CC382" s="263">
        <f>IFERROR(SUM(CC379:CC381),"n/a")</f>
        <v>51630.0835366591</v>
      </c>
      <c r="CD382" s="263">
        <f>IFERROR(SUM(CD379:CD381),"n/a")</f>
        <v>48073.0118789528</v>
      </c>
      <c r="CE382" s="263">
        <f>IFERROR(SUM(CE379:CE381),"n/a")</f>
        <v>44995.940488535</v>
      </c>
      <c r="CF382" s="263">
        <f>IFERROR(SUM(CF379:CF381),"n/a")</f>
        <v>42682.3841907152</v>
      </c>
      <c r="CG382" s="19" t="n"/>
    </row>
    <row r="383" ht="15" customHeight="1" s="251">
      <c r="B383" s="55" t="inlineStr">
        <is>
          <t>RONTA = NOPAT / NTA</t>
        </is>
      </c>
      <c r="C383" s="299">
        <f>IFERROR(C378/C382,"n/a")</f>
        <v>0.112445939452186</v>
      </c>
      <c r="D383" s="299">
        <f>IFERROR(D378/D382,"n/a")</f>
        <v>0.184501796512137</v>
      </c>
      <c r="E383" s="299">
        <f>IFERROR(E378/E382,"n/a")</f>
        <v>0.162234104721833</v>
      </c>
      <c r="F383" s="299">
        <f>IFERROR(F378/F382,"n/a")</f>
        <v>0.0602685066795997</v>
      </c>
      <c r="G383" s="299">
        <f>IFERROR(G378/G382,"n/a")</f>
        <v>0.123292115105717</v>
      </c>
      <c r="H383" s="299">
        <f>IFERROR(H378/H382,"n/a")</f>
        <v>0.124532893941226</v>
      </c>
      <c r="I383" s="299">
        <f>IFERROR(I378/I382,"n/a")</f>
        <v>0.125897752929793</v>
      </c>
      <c r="J383" s="56" t="n"/>
      <c r="K383" s="56" t="n"/>
      <c r="L383" s="56" t="n"/>
      <c r="M383" s="56" t="n"/>
      <c r="N383" s="299">
        <f>IFERROR(N378/N382,"n/a")</f>
        <v>0.147392120075047</v>
      </c>
      <c r="O383" s="56" t="n"/>
      <c r="P383" s="56" t="n"/>
      <c r="Q383" s="56" t="n"/>
      <c r="R383" s="56" t="n"/>
      <c r="S383" s="299">
        <f>IFERROR(S378/S382,"n/a")</f>
        <v>0.162766077578906</v>
      </c>
      <c r="T383" s="56" t="n"/>
      <c r="U383" s="56" t="n"/>
      <c r="V383" s="56" t="n"/>
      <c r="W383" s="56" t="n"/>
      <c r="X383" s="299">
        <f>IFERROR(X378/X382,"n/a")</f>
        <v>0.134384596896948</v>
      </c>
      <c r="Y383" s="56" t="n"/>
      <c r="Z383" s="56" t="n"/>
      <c r="AA383" s="56" t="n"/>
      <c r="AB383" s="56" t="n"/>
      <c r="AC383" s="299">
        <f>IFERROR(AC378/AC382,"n/a")</f>
        <v>0.109815335206744</v>
      </c>
      <c r="AD383" s="56" t="n"/>
      <c r="AE383" s="56" t="n"/>
      <c r="AF383" s="56" t="n"/>
      <c r="AG383" s="56" t="n"/>
      <c r="AH383" s="299">
        <f>IFERROR(AH378/AH382,"n/a")</f>
        <v>0.198751153175932</v>
      </c>
      <c r="AI383" s="56" t="n"/>
      <c r="AJ383" s="56" t="n"/>
      <c r="AK383" s="56" t="n"/>
      <c r="AL383" s="56" t="n"/>
      <c r="AM383" s="299">
        <f>IFERROR(AM378/AM382,"n/a")</f>
        <v>0.301991693752257</v>
      </c>
      <c r="AN383" s="56" t="n"/>
      <c r="AO383" s="56" t="n"/>
      <c r="AP383" s="56" t="n"/>
      <c r="AQ383" s="56" t="n"/>
      <c r="AR383" s="299">
        <f>IFERROR(AR378/AR382,"n/a")</f>
        <v>-0.0999531855526275</v>
      </c>
      <c r="AS383" s="56" t="n"/>
      <c r="AT383" s="56" t="n"/>
      <c r="AU383" s="56" t="n"/>
      <c r="AV383" s="56" t="n"/>
      <c r="AW383" s="299">
        <f>IFERROR(AW378/AW382,"n/a")</f>
        <v>-0.203830651685393</v>
      </c>
      <c r="AX383" s="56" t="n"/>
      <c r="AY383" s="56" t="n"/>
      <c r="AZ383" s="56" t="n"/>
      <c r="BA383" s="56" t="n"/>
      <c r="BB383" s="299">
        <f>IFERROR(BB378/BB382,"n/a")</f>
        <v>-0.0728005759539237</v>
      </c>
      <c r="BC383" s="56" t="n"/>
      <c r="BD383" s="56" t="n"/>
      <c r="BE383" s="56" t="n"/>
      <c r="BF383" s="56" t="n"/>
      <c r="BG383" s="299">
        <f>IFERROR(BG378/BG382,"n/a")</f>
        <v>-0.0886037735849057</v>
      </c>
      <c r="BH383" s="56" t="n"/>
      <c r="BI383" s="56" t="n"/>
      <c r="BJ383" s="56" t="n"/>
      <c r="BK383" s="56" t="n"/>
      <c r="BL383" s="299">
        <f>IFERROR(BL378/BL382,"n/a")</f>
        <v>-0.0399560797745981</v>
      </c>
      <c r="BM383" s="56" t="n"/>
      <c r="BN383" s="56" t="n"/>
      <c r="BO383" s="56" t="n"/>
      <c r="BP383" s="56" t="n"/>
      <c r="BQ383" s="299">
        <f>IFERROR(BQ378/BQ382,"n/a")</f>
        <v>-0.185404972091366</v>
      </c>
      <c r="BR383" s="56" t="n"/>
      <c r="BS383" s="56" t="n"/>
      <c r="BT383" s="56" t="n"/>
      <c r="BU383" s="56" t="n"/>
      <c r="BV383" s="299">
        <f>IFERROR(BV378/BV382,"n/a")</f>
        <v>-0.10222240093287</v>
      </c>
      <c r="BW383" s="56" t="n"/>
      <c r="BX383" s="56" t="n"/>
      <c r="BY383" s="56" t="n"/>
      <c r="BZ383" s="56" t="n"/>
      <c r="CA383" s="299">
        <f>IFERROR(CA378/CA382,"n/a")</f>
        <v>0.0245185715249825</v>
      </c>
      <c r="CB383" s="299">
        <f>IFERROR(CB378/CB382,"n/a")</f>
        <v>0.0974916495395547</v>
      </c>
      <c r="CC383" s="299">
        <f>IFERROR(CC378/CC382,"n/a")</f>
        <v>0.125116528675848</v>
      </c>
      <c r="CD383" s="299">
        <f>IFERROR(CD378/CD382,"n/a")</f>
        <v>0.181587440258135</v>
      </c>
      <c r="CE383" s="299">
        <f>IFERROR(CE378/CE382,"n/a")</f>
        <v>0.232160563498962</v>
      </c>
      <c r="CF383" s="299">
        <f>IFERROR(CF378/CF382,"n/a")</f>
        <v>0.270657455636193</v>
      </c>
      <c r="CG383" s="153" t="n"/>
      <c r="CI383" s="37">
        <f>IFERROR(AVERAGE(CB383,CC383,CD383,CE383,CF383),"n/m")</f>
        <v>0.181402727521738</v>
      </c>
      <c r="CJ383" s="37">
        <f>IFERROR(AVERAGE(BB383,BG383,BL383,BQ383,BV383),"n/m")</f>
        <v>-0.0977975604675326</v>
      </c>
      <c r="CK383" s="37">
        <f>IFERROR(AVERAGE(AC383,AH383,AM383,AR383,AW383,BB383,BG383,BL383,BQ383,BV383),"n/m")</f>
        <v>-0.0182213457440751</v>
      </c>
      <c r="CL383" s="37">
        <f>IFERROR(AVERAGE(C383,D383,E383,F383,G383,H383,I383,N383,S383,X383,AC383,AH383,AM383,AR383,AW383,BB383,BG383,BL383,BQ383,BV383),"n/m")</f>
        <v>0.0577751223226321</v>
      </c>
    </row>
    <row r="384" ht="15" customHeight="1" s="251">
      <c r="B384" s="25" t="inlineStr">
        <is>
          <t>Return on Equity (ROE)</t>
        </is>
      </c>
      <c r="CG384" s="153" t="n"/>
    </row>
    <row r="385" ht="15" customHeight="1" s="251">
      <c r="B385" s="25" t="inlineStr">
        <is>
          <t>Net earnings attributable</t>
        </is>
      </c>
      <c r="C385" s="262">
        <f>C143</f>
        <v>2215</v>
      </c>
      <c r="D385" s="262">
        <f>D143</f>
        <v>4074</v>
      </c>
      <c r="E385" s="262">
        <f>E143</f>
        <v>2702</v>
      </c>
      <c r="F385" s="262">
        <f>F143</f>
        <v>1312</v>
      </c>
      <c r="G385" s="262">
        <f>G143</f>
        <v>3307</v>
      </c>
      <c r="H385" s="262">
        <f>H143</f>
        <v>4018</v>
      </c>
      <c r="I385" s="262">
        <f>I143</f>
        <v>3900</v>
      </c>
      <c r="J385" s="34" t="n"/>
      <c r="K385" s="34" t="n"/>
      <c r="L385" s="34" t="n"/>
      <c r="M385" s="34" t="n"/>
      <c r="N385" s="262">
        <f>N143</f>
        <v>4585</v>
      </c>
      <c r="O385" s="34" t="n"/>
      <c r="P385" s="34" t="n"/>
      <c r="Q385" s="34" t="n"/>
      <c r="R385" s="34" t="n"/>
      <c r="S385" s="262">
        <f>S143</f>
        <v>5446</v>
      </c>
      <c r="T385" s="34" t="n"/>
      <c r="U385" s="34" t="n"/>
      <c r="V385" s="34" t="n"/>
      <c r="W385" s="34" t="n"/>
      <c r="X385" s="262">
        <f>X143</f>
        <v>5176</v>
      </c>
      <c r="Y385" s="34" t="n"/>
      <c r="Z385" s="34" t="n"/>
      <c r="AA385" s="34" t="n"/>
      <c r="AB385" s="34" t="n"/>
      <c r="AC385" s="262">
        <f>AC143</f>
        <v>4895</v>
      </c>
      <c r="AD385" s="34" t="n"/>
      <c r="AE385" s="34" t="n"/>
      <c r="AF385" s="34" t="n"/>
      <c r="AG385" s="34" t="n"/>
      <c r="AH385" s="262">
        <f>AH143</f>
        <v>8197</v>
      </c>
      <c r="AI385" s="34" t="n"/>
      <c r="AJ385" s="34" t="n"/>
      <c r="AK385" s="34" t="n"/>
      <c r="AL385" s="34" t="n"/>
      <c r="AM385" s="262">
        <f>AM143</f>
        <v>10460</v>
      </c>
      <c r="AN385" s="34" t="n"/>
      <c r="AO385" s="34" t="n"/>
      <c r="AP385" s="34" t="n"/>
      <c r="AQ385" s="34" t="n"/>
      <c r="AR385" s="262">
        <f>AR143</f>
        <v>-636</v>
      </c>
      <c r="AS385" s="34" t="n"/>
      <c r="AT385" s="34" t="n"/>
      <c r="AU385" s="34" t="n"/>
      <c r="AV385" s="34" t="n"/>
      <c r="AW385" s="262">
        <f>AW143</f>
        <v>-11873</v>
      </c>
      <c r="AX385" s="34" t="n"/>
      <c r="AY385" s="34" t="n"/>
      <c r="AZ385" s="34" t="n"/>
      <c r="BA385" s="34" t="n"/>
      <c r="BB385" s="262">
        <f>BB143</f>
        <v>-4202</v>
      </c>
      <c r="BC385" s="34" t="n"/>
      <c r="BD385" s="34" t="n"/>
      <c r="BE385" s="34" t="n"/>
      <c r="BF385" s="34" t="n"/>
      <c r="BG385" s="262">
        <f>BG143</f>
        <v>-4935</v>
      </c>
      <c r="BH385" s="34" t="n"/>
      <c r="BI385" s="34" t="n"/>
      <c r="BJ385" s="34" t="n"/>
      <c r="BK385" s="34" t="n"/>
      <c r="BL385" s="262">
        <f>BL143</f>
        <v>-2222</v>
      </c>
      <c r="BM385" s="34" t="n"/>
      <c r="BN385" s="34" t="n"/>
      <c r="BO385" s="34" t="n"/>
      <c r="BP385" s="34" t="n"/>
      <c r="BQ385" s="262">
        <f>BQ143</f>
        <v>-11817</v>
      </c>
      <c r="BR385" s="34" t="n"/>
      <c r="BS385" s="34" t="n"/>
      <c r="BT385" s="34" t="n"/>
      <c r="BU385" s="34" t="n"/>
      <c r="BV385" s="262">
        <f>BV143</f>
        <v>2235</v>
      </c>
      <c r="BW385" s="34" t="n"/>
      <c r="BX385" s="34" t="n"/>
      <c r="BY385" s="35" t="n"/>
      <c r="BZ385" s="35" t="n"/>
      <c r="CA385" s="263">
        <f>CA143</f>
        <v>-65.3992662332536</v>
      </c>
      <c r="CB385" s="263">
        <f>CB143</f>
        <v>3815.92521446473</v>
      </c>
      <c r="CC385" s="263">
        <f>CC143</f>
        <v>6319.9198368872</v>
      </c>
      <c r="CD385" s="263">
        <f>CD143</f>
        <v>8837.99501465415</v>
      </c>
      <c r="CE385" s="263">
        <f>CE143</f>
        <v>10224.520127937</v>
      </c>
      <c r="CF385" s="263">
        <f>CF143</f>
        <v>11022.774206628</v>
      </c>
      <c r="CG385" s="19" t="n"/>
    </row>
    <row r="386" ht="15" customHeight="1" s="251">
      <c r="B386" s="25" t="inlineStr">
        <is>
          <t>Shareholders' equity / (deficit)</t>
        </is>
      </c>
      <c r="C386" s="262">
        <f>C297</f>
        <v>4739</v>
      </c>
      <c r="D386" s="262">
        <f>D297</f>
        <v>9004</v>
      </c>
      <c r="E386" s="262">
        <f>E297</f>
        <v>-1264</v>
      </c>
      <c r="F386" s="262">
        <f>F297</f>
        <v>2128</v>
      </c>
      <c r="G386" s="262">
        <f>G297</f>
        <v>2766</v>
      </c>
      <c r="H386" s="262">
        <f>H297</f>
        <v>3515</v>
      </c>
      <c r="I386" s="262">
        <f>I297</f>
        <v>5867</v>
      </c>
      <c r="J386" s="34" t="n"/>
      <c r="K386" s="34" t="n"/>
      <c r="L386" s="34" t="n"/>
      <c r="M386" s="34" t="n"/>
      <c r="N386" s="262">
        <f>N297</f>
        <v>14875</v>
      </c>
      <c r="O386" s="34" t="n"/>
      <c r="P386" s="34" t="n"/>
      <c r="Q386" s="34" t="n"/>
      <c r="R386" s="34" t="n"/>
      <c r="S386" s="262">
        <f>S297</f>
        <v>8665</v>
      </c>
      <c r="T386" s="34" t="n"/>
      <c r="U386" s="34" t="n"/>
      <c r="V386" s="34" t="n"/>
      <c r="W386" s="34" t="n"/>
      <c r="X386" s="262">
        <f>X297</f>
        <v>6335</v>
      </c>
      <c r="Y386" s="34" t="n"/>
      <c r="Z386" s="34" t="n"/>
      <c r="AA386" s="34" t="n"/>
      <c r="AB386" s="34" t="n"/>
      <c r="AC386" s="262">
        <f>AC297</f>
        <v>817</v>
      </c>
      <c r="AD386" s="34" t="n"/>
      <c r="AE386" s="34" t="n"/>
      <c r="AF386" s="34" t="n"/>
      <c r="AG386" s="34" t="n"/>
      <c r="AH386" s="262">
        <f>AH297</f>
        <v>355</v>
      </c>
      <c r="AI386" s="34" t="n"/>
      <c r="AJ386" s="34" t="n"/>
      <c r="AK386" s="34" t="n"/>
      <c r="AL386" s="34" t="n"/>
      <c r="AM386" s="262">
        <f>AM297</f>
        <v>339</v>
      </c>
      <c r="AN386" s="34" t="n"/>
      <c r="AO386" s="34" t="n"/>
      <c r="AP386" s="34" t="n"/>
      <c r="AQ386" s="34" t="n"/>
      <c r="AR386" s="262">
        <f>AR297</f>
        <v>-8617</v>
      </c>
      <c r="AS386" s="34" t="n"/>
      <c r="AT386" s="34" t="n"/>
      <c r="AU386" s="34" t="n"/>
      <c r="AV386" s="34" t="n"/>
      <c r="AW386" s="262">
        <f>AW297</f>
        <v>-18316</v>
      </c>
      <c r="AX386" s="34" t="n"/>
      <c r="AY386" s="34" t="n"/>
      <c r="AZ386" s="34" t="n"/>
      <c r="BA386" s="34" t="n"/>
      <c r="BB386" s="262">
        <f>BB297</f>
        <v>-14999</v>
      </c>
      <c r="BC386" s="34" t="n"/>
      <c r="BD386" s="34" t="n"/>
      <c r="BE386" s="34" t="n"/>
      <c r="BF386" s="34" t="n"/>
      <c r="BG386" s="262">
        <f>BG297</f>
        <v>-15883</v>
      </c>
      <c r="BH386" s="34" t="n"/>
      <c r="BI386" s="34" t="n"/>
      <c r="BJ386" s="34" t="n"/>
      <c r="BK386" s="34" t="n"/>
      <c r="BL386" s="262">
        <f>BL297</f>
        <v>-17233</v>
      </c>
      <c r="BM386" s="34" t="n"/>
      <c r="BN386" s="34" t="n"/>
      <c r="BO386" s="34" t="n"/>
      <c r="BP386" s="34" t="n"/>
      <c r="BQ386" s="262">
        <f>BQ297</f>
        <v>-3908</v>
      </c>
      <c r="BR386" s="34" t="n"/>
      <c r="BS386" s="34" t="n"/>
      <c r="BT386" s="34" t="n"/>
      <c r="BU386" s="34" t="n"/>
      <c r="BV386" s="262">
        <f>BV297</f>
        <v>5454</v>
      </c>
      <c r="BW386" s="34" t="n"/>
      <c r="BX386" s="34" t="n"/>
      <c r="BY386" s="35" t="n"/>
      <c r="BZ386" s="35" t="n"/>
      <c r="CA386" s="263">
        <f>CA297</f>
        <v>7429.10073376675</v>
      </c>
      <c r="CB386" s="263">
        <f>CB297</f>
        <v>13267.1179937192</v>
      </c>
      <c r="CC386" s="263">
        <f>CC297</f>
        <v>21980.0835366591</v>
      </c>
      <c r="CD386" s="263">
        <f>CD297</f>
        <v>19200.0118789528</v>
      </c>
      <c r="CE386" s="263">
        <f>CE297</f>
        <v>16278.940488535</v>
      </c>
      <c r="CF386" s="263">
        <f>CF297</f>
        <v>14125.3841907152</v>
      </c>
      <c r="CG386" s="19" t="n"/>
    </row>
    <row r="387" ht="15" customHeight="1" s="251">
      <c r="B387" s="25" t="inlineStr">
        <is>
          <t>ROE = Net earnings / Equity (n/m when equity ≤ 0)</t>
        </is>
      </c>
      <c r="C387" s="215">
        <f>IFERROR(IF(C386&gt;0,C385/C386,"n/m"),"n/a")</f>
        <v>0.467398185271154</v>
      </c>
      <c r="D387" s="215">
        <f>IFERROR(IF(D386&gt;0,D385/D386,"n/m"),"n/a")</f>
        <v>0.452465570857397</v>
      </c>
      <c r="E387" s="215" t="str">
        <f>IFERROR(IF(E386&gt;0,E385/E386,"n/m"),"n/a")</f>
        <v>n/m</v>
      </c>
      <c r="F387" s="215">
        <f>IFERROR(IF(F386&gt;0,F385/F386,"n/m"),"n/a")</f>
        <v>0.616541353383459</v>
      </c>
      <c r="G387" s="215">
        <f>IFERROR(IF(G386&gt;0,G385/G386,"n/m"),"n/a")</f>
        <v>1.19558929862618</v>
      </c>
      <c r="H387" s="215">
        <f>IFERROR(IF(H386&gt;0,H385/H386,"n/m"),"n/a")</f>
        <v>1.14310099573257</v>
      </c>
      <c r="I387" s="215">
        <f>IFERROR(IF(I386&gt;0,I385/I386,"n/m"),"n/a")</f>
        <v>0.664734958241009</v>
      </c>
      <c r="J387" s="34" t="n"/>
      <c r="K387" s="34" t="n"/>
      <c r="L387" s="34" t="n"/>
      <c r="M387" s="34" t="n"/>
      <c r="N387" s="215">
        <f>IFERROR(IF(N386&gt;0,N385/N386,"n/m"),"n/a")</f>
        <v>0.308235294117647</v>
      </c>
      <c r="O387" s="34" t="n"/>
      <c r="P387" s="34" t="n"/>
      <c r="Q387" s="34" t="n"/>
      <c r="R387" s="34" t="n"/>
      <c r="S387" s="215">
        <f>IFERROR(IF(S386&gt;0,S385/S386,"n/m"),"n/a")</f>
        <v>0.628505481823428</v>
      </c>
      <c r="T387" s="34" t="n"/>
      <c r="U387" s="34" t="n"/>
      <c r="V387" s="34" t="n"/>
      <c r="W387" s="34" t="n"/>
      <c r="X387" s="215">
        <f>IFERROR(IF(X386&gt;0,X385/X386,"n/m"),"n/a")</f>
        <v>0.817048145224941</v>
      </c>
      <c r="Y387" s="34" t="n"/>
      <c r="Z387" s="34" t="n"/>
      <c r="AA387" s="34" t="n"/>
      <c r="AB387" s="34" t="n"/>
      <c r="AC387" s="215">
        <f>IFERROR(IF(AC386&gt;0,AC385/AC386,"n/m"),"n/a")</f>
        <v>5.99143206854345</v>
      </c>
      <c r="AD387" s="34" t="n"/>
      <c r="AE387" s="34" t="n"/>
      <c r="AF387" s="34" t="n"/>
      <c r="AG387" s="34" t="n"/>
      <c r="AH387" s="215">
        <f>IFERROR(IF(AH386&gt;0,AH385/AH386,"n/m"),"n/a")</f>
        <v>23.0901408450704</v>
      </c>
      <c r="AI387" s="34" t="n"/>
      <c r="AJ387" s="34" t="n"/>
      <c r="AK387" s="34" t="n"/>
      <c r="AL387" s="34" t="n"/>
      <c r="AM387" s="215">
        <f>IFERROR(IF(AM386&gt;0,AM385/AM386,"n/m"),"n/a")</f>
        <v>30.8554572271386</v>
      </c>
      <c r="AN387" s="34" t="n"/>
      <c r="AO387" s="34" t="n"/>
      <c r="AP387" s="34" t="n"/>
      <c r="AQ387" s="34" t="n"/>
      <c r="AR387" s="215" t="str">
        <f>IFERROR(IF(AR386&gt;0,AR385/AR386,"n/m"),"n/a")</f>
        <v>n/m</v>
      </c>
      <c r="AS387" s="34" t="n"/>
      <c r="AT387" s="34" t="n"/>
      <c r="AU387" s="34" t="n"/>
      <c r="AV387" s="34" t="n"/>
      <c r="AW387" s="215" t="str">
        <f>IFERROR(IF(AW386&gt;0,AW385/AW386,"n/m"),"n/a")</f>
        <v>n/m</v>
      </c>
      <c r="AX387" s="34" t="n"/>
      <c r="AY387" s="34" t="n"/>
      <c r="AZ387" s="34" t="n"/>
      <c r="BA387" s="34" t="n"/>
      <c r="BB387" s="215" t="str">
        <f>IFERROR(IF(BB386&gt;0,BB385/BB386,"n/m"),"n/a")</f>
        <v>n/m</v>
      </c>
      <c r="BC387" s="34" t="n"/>
      <c r="BD387" s="34" t="n"/>
      <c r="BE387" s="34" t="n"/>
      <c r="BF387" s="34" t="n"/>
      <c r="BG387" s="215" t="str">
        <f>IFERROR(IF(BG386&gt;0,BG385/BG386,"n/m"),"n/a")</f>
        <v>n/m</v>
      </c>
      <c r="BH387" s="34" t="n"/>
      <c r="BI387" s="34" t="n"/>
      <c r="BJ387" s="34" t="n"/>
      <c r="BK387" s="34" t="n"/>
      <c r="BL387" s="215" t="str">
        <f>IFERROR(IF(BL386&gt;0,BL385/BL386,"n/m"),"n/a")</f>
        <v>n/m</v>
      </c>
      <c r="BM387" s="34" t="n"/>
      <c r="BN387" s="34" t="n"/>
      <c r="BO387" s="34" t="n"/>
      <c r="BP387" s="34" t="n"/>
      <c r="BQ387" s="215" t="str">
        <f>IFERROR(IF(BQ386&gt;0,BQ385/BQ386,"n/m"),"n/a")</f>
        <v>n/m</v>
      </c>
      <c r="BR387" s="34" t="n"/>
      <c r="BS387" s="34" t="n"/>
      <c r="BT387" s="34" t="n"/>
      <c r="BU387" s="34" t="n"/>
      <c r="BV387" s="215">
        <f>IFERROR(IF(BV386&gt;0,BV385/BV386,"n/m"),"n/a")</f>
        <v>0.40979097909791</v>
      </c>
      <c r="BW387" s="34" t="n"/>
      <c r="BX387" s="34" t="n"/>
      <c r="BY387" s="35" t="n"/>
      <c r="BZ387" s="35" t="n"/>
      <c r="CA387" s="260">
        <f>IFERROR(IF(CA386&gt;0,CA385/CA386,"n/m"),"n/a")</f>
        <v>-0.00880312013215824</v>
      </c>
      <c r="CB387" s="260">
        <f>IFERROR(IF(CB386&gt;0,CB385/CB386,"n/m"),"n/a")</f>
        <v>0.287622769034785</v>
      </c>
      <c r="CC387" s="260">
        <f>IFERROR(IF(CC386&gt;0,CC385/CC386,"n/m"),"n/a")</f>
        <v>0.287529382058382</v>
      </c>
      <c r="CD387" s="260">
        <f>IFERROR(IF(CD386&gt;0,CD385/CD386,"n/m"),"n/a")</f>
        <v>0.460311955553655</v>
      </c>
      <c r="CE387" s="260">
        <f>IFERROR(IF(CE386&gt;0,CE385/CE386,"n/m"),"n/a")</f>
        <v>0.628082652869081</v>
      </c>
      <c r="CF387" s="260">
        <f>IFERROR(IF(CF386&gt;0,CF385/CF386,"n/m"),"n/a")</f>
        <v>0.780352170093426</v>
      </c>
      <c r="CG387" s="19" t="n"/>
    </row>
    <row r="388" ht="15" customHeight="1" s="251">
      <c r="B388" s="25" t="inlineStr">
        <is>
          <t>Leverage</t>
        </is>
      </c>
      <c r="CG388" s="153" t="n"/>
    </row>
    <row r="389" ht="15" customHeight="1" s="251">
      <c r="B389" s="25" t="inlineStr">
        <is>
          <t>Net debt = Total debt − cash − short-term investments</t>
        </is>
      </c>
      <c r="C389" s="262">
        <f>C371</f>
        <v>3152</v>
      </c>
      <c r="D389" s="262">
        <f>D371</f>
        <v>-1091</v>
      </c>
      <c r="E389" s="262">
        <f>E371</f>
        <v>4233</v>
      </c>
      <c r="F389" s="262">
        <f>F371</f>
        <v>1701</v>
      </c>
      <c r="G389" s="262">
        <f>G371</f>
        <v>1904</v>
      </c>
      <c r="H389" s="262">
        <f>H371</f>
        <v>1099</v>
      </c>
      <c r="I389" s="262">
        <f>I371</f>
        <v>-3149</v>
      </c>
      <c r="J389" s="34" t="n"/>
      <c r="K389" s="34" t="n"/>
      <c r="L389" s="34" t="n"/>
      <c r="M389" s="34" t="n"/>
      <c r="N389" s="262">
        <f>N371</f>
        <v>-5623</v>
      </c>
      <c r="O389" s="34" t="n"/>
      <c r="P389" s="34" t="n"/>
      <c r="Q389" s="34" t="n"/>
      <c r="R389" s="34" t="n"/>
      <c r="S389" s="262">
        <f>S371</f>
        <v>-4022</v>
      </c>
      <c r="T389" s="34" t="n"/>
      <c r="U389" s="34" t="n"/>
      <c r="V389" s="34" t="n"/>
      <c r="W389" s="34" t="n"/>
      <c r="X389" s="262">
        <f>X371</f>
        <v>-2088</v>
      </c>
      <c r="Y389" s="34" t="n"/>
      <c r="Z389" s="34" t="n"/>
      <c r="AA389" s="34" t="n"/>
      <c r="AB389" s="34" t="n"/>
      <c r="AC389" s="262">
        <f>AC371</f>
        <v>-77</v>
      </c>
      <c r="AD389" s="34" t="n"/>
      <c r="AE389" s="34" t="n"/>
      <c r="AF389" s="34" t="n"/>
      <c r="AG389" s="34" t="n"/>
      <c r="AH389" s="262">
        <f>AH371</f>
        <v>1125</v>
      </c>
      <c r="AI389" s="34" t="n"/>
      <c r="AJ389" s="34" t="n"/>
      <c r="AK389" s="34" t="n"/>
      <c r="AL389" s="34" t="n"/>
      <c r="AM389" s="262">
        <f>AM371</f>
        <v>5283</v>
      </c>
      <c r="AN389" s="34" t="n"/>
      <c r="AO389" s="34" t="n"/>
      <c r="AP389" s="34" t="n"/>
      <c r="AQ389" s="34" t="n"/>
      <c r="AR389" s="262">
        <f>AR371</f>
        <v>17272</v>
      </c>
      <c r="AS389" s="34" t="n"/>
      <c r="AT389" s="34" t="n"/>
      <c r="AU389" s="34" t="n"/>
      <c r="AV389" s="34" t="n"/>
      <c r="AW389" s="262">
        <f>AW371</f>
        <v>37993</v>
      </c>
      <c r="AX389" s="34" t="n"/>
      <c r="AY389" s="34" t="n"/>
      <c r="AZ389" s="34" t="n"/>
      <c r="BA389" s="34" t="n"/>
      <c r="BB389" s="262">
        <f>BB371</f>
        <v>41858</v>
      </c>
      <c r="BC389" s="34" t="n"/>
      <c r="BD389" s="34" t="n"/>
      <c r="BE389" s="34" t="n"/>
      <c r="BF389" s="34" t="n"/>
      <c r="BG389" s="262">
        <f>BG371</f>
        <v>39781</v>
      </c>
      <c r="BH389" s="34" t="n"/>
      <c r="BI389" s="34" t="n"/>
      <c r="BJ389" s="34" t="n"/>
      <c r="BK389" s="34" t="n"/>
      <c r="BL389" s="262">
        <f>BL371</f>
        <v>36342</v>
      </c>
      <c r="BM389" s="34" t="n"/>
      <c r="BN389" s="34" t="n"/>
      <c r="BO389" s="34" t="n"/>
      <c r="BP389" s="34" t="n"/>
      <c r="BQ389" s="262">
        <f>BQ371</f>
        <v>27582</v>
      </c>
      <c r="BR389" s="34" t="n"/>
      <c r="BS389" s="34" t="n"/>
      <c r="BT389" s="34" t="n"/>
      <c r="BU389" s="34" t="n"/>
      <c r="BV389" s="262">
        <f>BV371</f>
        <v>24698</v>
      </c>
      <c r="BW389" s="34" t="n"/>
      <c r="BX389" s="34" t="n"/>
      <c r="BY389" s="35" t="n"/>
      <c r="BZ389" s="35" t="n"/>
      <c r="CA389" s="263">
        <f>CA371</f>
        <v>23227.5</v>
      </c>
      <c r="CB389" s="263">
        <f>CB371</f>
        <v>16850.1887279233</v>
      </c>
      <c r="CC389" s="263">
        <f>CC371</f>
        <v>6289.55893549486</v>
      </c>
      <c r="CD389" s="263">
        <f>CD371</f>
        <v>6948.76928049763</v>
      </c>
      <c r="CE389" s="263">
        <f>CE371</f>
        <v>8105.56479205513</v>
      </c>
      <c r="CF389" s="263">
        <f>CF371</f>
        <v>8869.89958557288</v>
      </c>
      <c r="CG389" s="19" t="n"/>
    </row>
    <row r="390" ht="15" customHeight="1" s="251">
      <c r="B390" s="25" t="inlineStr">
        <is>
          <t>Adjusted EBITDA (model)</t>
        </is>
      </c>
      <c r="C390" s="262">
        <f>C180</f>
        <v>4559</v>
      </c>
      <c r="D390" s="262">
        <f>D180</f>
        <v>8002</v>
      </c>
      <c r="E390" s="262">
        <f>E180</f>
        <v>5766</v>
      </c>
      <c r="F390" s="262">
        <f>F180</f>
        <v>3745</v>
      </c>
      <c r="G390" s="262">
        <f>G180</f>
        <v>6703</v>
      </c>
      <c r="H390" s="262">
        <f>H180</f>
        <v>7818</v>
      </c>
      <c r="I390" s="262">
        <f>I180</f>
        <v>9021</v>
      </c>
      <c r="J390" s="34" t="n"/>
      <c r="K390" s="34" t="n"/>
      <c r="L390" s="34" t="n"/>
      <c r="M390" s="34" t="n"/>
      <c r="N390" s="262">
        <f>N180</f>
        <v>9720</v>
      </c>
      <c r="O390" s="34" t="n"/>
      <c r="P390" s="34" t="n"/>
      <c r="Q390" s="34" t="n"/>
      <c r="R390" s="34" t="n"/>
      <c r="S390" s="262">
        <f>S180</f>
        <v>10766</v>
      </c>
      <c r="T390" s="34" t="n"/>
      <c r="U390" s="34" t="n"/>
      <c r="V390" s="34" t="n"/>
      <c r="W390" s="34" t="n"/>
      <c r="X390" s="262">
        <f>X180</f>
        <v>9574</v>
      </c>
      <c r="Y390" s="34" t="n"/>
      <c r="Z390" s="34" t="n"/>
      <c r="AA390" s="34" t="n"/>
      <c r="AB390" s="34" t="n"/>
      <c r="AC390" s="262">
        <f>AC180</f>
        <v>7374</v>
      </c>
      <c r="AD390" s="34" t="n"/>
      <c r="AE390" s="34" t="n"/>
      <c r="AF390" s="34" t="n"/>
      <c r="AG390" s="34" t="n"/>
      <c r="AH390" s="262">
        <f>AH180</f>
        <v>11039</v>
      </c>
      <c r="AI390" s="34" t="n"/>
      <c r="AJ390" s="34" t="n"/>
      <c r="AK390" s="34" t="n"/>
      <c r="AL390" s="34" t="n"/>
      <c r="AM390" s="262">
        <f>AM180</f>
        <v>12774</v>
      </c>
      <c r="AN390" s="34" t="n"/>
      <c r="AO390" s="34" t="n"/>
      <c r="AP390" s="34" t="n"/>
      <c r="AQ390" s="34" t="n"/>
      <c r="AR390" s="262">
        <f>AR180</f>
        <v>-1119</v>
      </c>
      <c r="AS390" s="34" t="n"/>
      <c r="AT390" s="34" t="n"/>
      <c r="AU390" s="34" t="n"/>
      <c r="AV390" s="34" t="n"/>
      <c r="AW390" s="262">
        <f>AW180</f>
        <v>-11904</v>
      </c>
      <c r="AX390" s="34" t="n"/>
      <c r="AY390" s="34" t="n"/>
      <c r="AZ390" s="34" t="n"/>
      <c r="BA390" s="34" t="n"/>
      <c r="BB390" s="262">
        <f>BB180</f>
        <v>-1931</v>
      </c>
      <c r="BC390" s="34" t="n"/>
      <c r="BD390" s="34" t="n"/>
      <c r="BE390" s="34" t="n"/>
      <c r="BF390" s="34" t="n"/>
      <c r="BG390" s="262">
        <f>BG180</f>
        <v>-2711</v>
      </c>
      <c r="BH390" s="34" t="n"/>
      <c r="BI390" s="34" t="n"/>
      <c r="BJ390" s="34" t="n"/>
      <c r="BK390" s="34" t="n"/>
      <c r="BL390" s="262">
        <f>BL180</f>
        <v>32</v>
      </c>
      <c r="BM390" s="34" t="n"/>
      <c r="BN390" s="34" t="n"/>
      <c r="BO390" s="34" t="n"/>
      <c r="BP390" s="34" t="n"/>
      <c r="BQ390" s="262">
        <f>BQ180</f>
        <v>-9975</v>
      </c>
      <c r="BR390" s="34" t="n"/>
      <c r="BS390" s="34" t="n"/>
      <c r="BT390" s="34" t="n"/>
      <c r="BU390" s="34" t="n"/>
      <c r="BV390" s="262">
        <f>BV180</f>
        <v>5189</v>
      </c>
      <c r="BW390" s="34" t="n"/>
      <c r="BX390" s="34" t="n"/>
      <c r="BY390" s="35" t="n"/>
      <c r="BZ390" s="35" t="n"/>
      <c r="CA390" s="263">
        <f>CA180</f>
        <v>3756.1119264075</v>
      </c>
      <c r="CB390" s="263">
        <f>CB180</f>
        <v>8041.54122330181</v>
      </c>
      <c r="CC390" s="263">
        <f>CC180</f>
        <v>10955.6848819021</v>
      </c>
      <c r="CD390" s="263">
        <f>CD180</f>
        <v>13897.5385609953</v>
      </c>
      <c r="CE390" s="263">
        <f>CE180</f>
        <v>16211.1295841103</v>
      </c>
      <c r="CF390" s="263">
        <f>CF180</f>
        <v>17739.7991711458</v>
      </c>
      <c r="CG390" s="19" t="n"/>
    </row>
    <row r="391" ht="15" customHeight="1" s="251">
      <c r="B391" s="55" t="inlineStr">
        <is>
          <t>Net debt / adjusted EBITDA (x) (n/m when EBITDA ≤ 0)</t>
        </is>
      </c>
      <c r="C391" s="300">
        <f>IFERROR(IF(C390&gt;0,C389/C390,"n/m"),"n/a")</f>
        <v>0.691379688528186</v>
      </c>
      <c r="D391" s="300">
        <f>IFERROR(IF(D390&gt;0,D389/D390,"n/m"),"n/a")</f>
        <v>-0.136340914771307</v>
      </c>
      <c r="E391" s="300">
        <f>IFERROR(IF(E390&gt;0,E389/E390,"n/m"),"n/a")</f>
        <v>0.734131113423517</v>
      </c>
      <c r="F391" s="300">
        <f>IFERROR(IF(F390&gt;0,F389/F390,"n/m"),"n/a")</f>
        <v>0.454205607476636</v>
      </c>
      <c r="G391" s="300">
        <f>IFERROR(IF(G390&gt;0,G389/G390,"n/m"),"n/a")</f>
        <v>0.284051917052066</v>
      </c>
      <c r="H391" s="300">
        <f>IFERROR(IF(H390&gt;0,H389/H390,"n/m"),"n/a")</f>
        <v>0.140573036582246</v>
      </c>
      <c r="I391" s="300">
        <f>IFERROR(IF(I390&gt;0,I389/I390,"n/m"),"n/a")</f>
        <v>-0.349074381997561</v>
      </c>
      <c r="J391" s="56" t="n"/>
      <c r="K391" s="56" t="n"/>
      <c r="L391" s="56" t="n"/>
      <c r="M391" s="56" t="n"/>
      <c r="N391" s="300">
        <f>IFERROR(IF(N390&gt;0,N389/N390,"n/m"),"n/a")</f>
        <v>-0.578497942386831</v>
      </c>
      <c r="O391" s="56" t="n"/>
      <c r="P391" s="56" t="n"/>
      <c r="Q391" s="56" t="n"/>
      <c r="R391" s="56" t="n"/>
      <c r="S391" s="300">
        <f>IFERROR(IF(S390&gt;0,S389/S390,"n/m"),"n/a")</f>
        <v>-0.373583503622515</v>
      </c>
      <c r="T391" s="56" t="n"/>
      <c r="U391" s="56" t="n"/>
      <c r="V391" s="56" t="n"/>
      <c r="W391" s="56" t="n"/>
      <c r="X391" s="300">
        <f>IFERROR(IF(X390&gt;0,X389/X390,"n/m"),"n/a")</f>
        <v>-0.218090662210153</v>
      </c>
      <c r="Y391" s="56" t="n"/>
      <c r="Z391" s="56" t="n"/>
      <c r="AA391" s="56" t="n"/>
      <c r="AB391" s="56" t="n"/>
      <c r="AC391" s="300">
        <f>IFERROR(IF(AC390&gt;0,AC389/AC390,"n/m"),"n/a")</f>
        <v>-0.010442093843233</v>
      </c>
      <c r="AD391" s="56" t="n"/>
      <c r="AE391" s="56" t="n"/>
      <c r="AF391" s="56" t="n"/>
      <c r="AG391" s="56" t="n"/>
      <c r="AH391" s="300">
        <f>IFERROR(IF(AH390&gt;0,AH389/AH390,"n/m"),"n/a")</f>
        <v>0.101911405018571</v>
      </c>
      <c r="AI391" s="56" t="n"/>
      <c r="AJ391" s="56" t="n"/>
      <c r="AK391" s="56" t="n"/>
      <c r="AL391" s="56" t="n"/>
      <c r="AM391" s="300">
        <f>IFERROR(IF(AM390&gt;0,AM389/AM390,"n/m"),"n/a")</f>
        <v>0.413574448097698</v>
      </c>
      <c r="AN391" s="56" t="n"/>
      <c r="AO391" s="56" t="n"/>
      <c r="AP391" s="56" t="n"/>
      <c r="AQ391" s="56" t="n"/>
      <c r="AR391" s="300" t="str">
        <f>IFERROR(IF(AR390&gt;0,AR389/AR390,"n/m"),"n/a")</f>
        <v>n/m</v>
      </c>
      <c r="AS391" s="56" t="n"/>
      <c r="AT391" s="56" t="n"/>
      <c r="AU391" s="56" t="n"/>
      <c r="AV391" s="56" t="n"/>
      <c r="AW391" s="300" t="str">
        <f>IFERROR(IF(AW390&gt;0,AW389/AW390,"n/m"),"n/a")</f>
        <v>n/m</v>
      </c>
      <c r="AX391" s="56" t="n"/>
      <c r="AY391" s="56" t="n"/>
      <c r="AZ391" s="56" t="n"/>
      <c r="BA391" s="56" t="n"/>
      <c r="BB391" s="300" t="str">
        <f>IFERROR(IF(BB390&gt;0,BB389/BB390,"n/m"),"n/a")</f>
        <v>n/m</v>
      </c>
      <c r="BC391" s="56" t="n"/>
      <c r="BD391" s="56" t="n"/>
      <c r="BE391" s="56" t="n"/>
      <c r="BF391" s="56" t="n"/>
      <c r="BG391" s="300" t="str">
        <f>IFERROR(IF(BG390&gt;0,BG389/BG390,"n/m"),"n/a")</f>
        <v>n/m</v>
      </c>
      <c r="BH391" s="56" t="n"/>
      <c r="BI391" s="56" t="n"/>
      <c r="BJ391" s="56" t="n"/>
      <c r="BK391" s="56" t="n"/>
      <c r="BL391" s="300">
        <f>IFERROR(IF(BL390&gt;0,BL389/BL390,"n/m"),"n/a")</f>
        <v>1135.6875</v>
      </c>
      <c r="BM391" s="56" t="n"/>
      <c r="BN391" s="56" t="n"/>
      <c r="BO391" s="56" t="n"/>
      <c r="BP391" s="56" t="n"/>
      <c r="BQ391" s="300" t="str">
        <f>IFERROR(IF(BQ390&gt;0,BQ389/BQ390,"n/m"),"n/a")</f>
        <v>n/m</v>
      </c>
      <c r="BR391" s="56" t="n"/>
      <c r="BS391" s="56" t="n"/>
      <c r="BT391" s="56" t="n"/>
      <c r="BU391" s="56" t="n"/>
      <c r="BV391" s="300">
        <f>IFERROR(IF(BV390&gt;0,BV389/BV390,"n/m"),"n/a")</f>
        <v>4.75968394681056</v>
      </c>
      <c r="BW391" s="56" t="n"/>
      <c r="BX391" s="56" t="n"/>
      <c r="BY391" s="56" t="n"/>
      <c r="BZ391" s="56" t="n"/>
      <c r="CA391" s="300">
        <f>IFERROR(IF(CA390&gt;0,CA389/CA390,"n/m"),"n/a")</f>
        <v>6.18392115439855</v>
      </c>
      <c r="CB391" s="300">
        <f>IFERROR(IF(CB390&gt;0,CB389/CB390,"n/m"),"n/a")</f>
        <v>2.09539294272307</v>
      </c>
      <c r="CC391" s="300">
        <f>IFERROR(IF(CC390&gt;0,CC389/CC390,"n/m"),"n/a")</f>
        <v>0.5740908946628</v>
      </c>
      <c r="CD391" s="300">
        <f>IFERROR(IF(CD390&gt;0,CD389/CD390,"n/m"),"n/a")</f>
        <v>0.5</v>
      </c>
      <c r="CE391" s="300">
        <f>IFERROR(IF(CE390&gt;0,CE389/CE390,"n/m"),"n/a")</f>
        <v>0.5</v>
      </c>
      <c r="CF391" s="300">
        <f>IFERROR(IF(CF390&gt;0,CF389/CF390,"n/m"),"n/a")</f>
        <v>0.5</v>
      </c>
      <c r="CG391" s="153" t="n"/>
    </row>
    <row r="392" ht="15" customHeight="1" s="251">
      <c r="B392" s="25" t="inlineStr">
        <is>
          <t>Total debt / adjusted EBITDA (x)</t>
        </is>
      </c>
      <c r="C392" s="291">
        <f>IFERROR(IF(C390&gt;0,C341/C390,"n/m"),"n/a")</f>
        <v>2.09212546611099</v>
      </c>
      <c r="D392" s="291">
        <f>IFERROR(IF(D390&gt;0,D341/D390,"n/m"),"n/a")</f>
        <v>1.02686828292927</v>
      </c>
      <c r="E392" s="291">
        <f>IFERROR(IF(E390&gt;0,E341/E390,"n/m"),"n/a")</f>
        <v>1.30280957336108</v>
      </c>
      <c r="F392" s="291">
        <f>IFERROR(IF(F390&gt;0,F341/F390,"n/m"),"n/a")</f>
        <v>3.45100133511348</v>
      </c>
      <c r="G392" s="291">
        <f>IFERROR(IF(G390&gt;0,G341/G390,"n/m"),"n/a")</f>
        <v>1.85305087274355</v>
      </c>
      <c r="H392" s="291">
        <f>IFERROR(IF(H390&gt;0,H341/H390,"n/m"),"n/a")</f>
        <v>1.58237400869788</v>
      </c>
      <c r="I392" s="291">
        <f>IFERROR(IF(I390&gt;0,I341/I390,"n/m"),"n/a")</f>
        <v>1.15386320807006</v>
      </c>
      <c r="J392" s="34" t="n"/>
      <c r="K392" s="34" t="n"/>
      <c r="L392" s="34" t="n"/>
      <c r="M392" s="34" t="n"/>
      <c r="N392" s="291">
        <f>IFERROR(IF(N390&gt;0,N341/N390,"n/m"),"n/a")</f>
        <v>0.991255144032922</v>
      </c>
      <c r="O392" s="34" t="n"/>
      <c r="P392" s="34" t="n"/>
      <c r="Q392" s="34" t="n"/>
      <c r="R392" s="34" t="n"/>
      <c r="S392" s="291">
        <f>IFERROR(IF(S390&gt;0,S341/S390,"n/m"),"n/a")</f>
        <v>0.842467025822032</v>
      </c>
      <c r="T392" s="34" t="n"/>
      <c r="U392" s="34" t="n"/>
      <c r="V392" s="34" t="n"/>
      <c r="W392" s="34" t="n"/>
      <c r="X392" s="291">
        <f>IFERROR(IF(X390&gt;0,X341/X390,"n/m"),"n/a")</f>
        <v>1.0407353248381</v>
      </c>
      <c r="Y392" s="34" t="n"/>
      <c r="Z392" s="34" t="n"/>
      <c r="AA392" s="34" t="n"/>
      <c r="AB392" s="34" t="n"/>
      <c r="AC392" s="291">
        <f>IFERROR(IF(AC390&gt;0,AC341/AC390,"n/m"),"n/a")</f>
        <v>1.34960672633577</v>
      </c>
      <c r="AD392" s="34" t="n"/>
      <c r="AE392" s="34" t="n"/>
      <c r="AF392" s="34" t="n"/>
      <c r="AG392" s="34" t="n"/>
      <c r="AH392" s="291">
        <f>IFERROR(IF(AH390&gt;0,AH341/AH390,"n/m"),"n/a")</f>
        <v>1.00706585741462</v>
      </c>
      <c r="AI392" s="34" t="n"/>
      <c r="AJ392" s="34" t="n"/>
      <c r="AK392" s="34" t="n"/>
      <c r="AL392" s="34" t="n"/>
      <c r="AM392" s="291">
        <f>IFERROR(IF(AM390&gt;0,AM341/AM390,"n/m"),"n/a")</f>
        <v>1.08399874745577</v>
      </c>
      <c r="AN392" s="34" t="n"/>
      <c r="AO392" s="34" t="n"/>
      <c r="AP392" s="34" t="n"/>
      <c r="AQ392" s="34" t="n"/>
      <c r="AR392" s="291" t="str">
        <f>IFERROR(IF(AR390&gt;0,AR341/AR390,"n/m"),"n/a")</f>
        <v>n/m</v>
      </c>
      <c r="AS392" s="34" t="n"/>
      <c r="AT392" s="34" t="n"/>
      <c r="AU392" s="34" t="n"/>
      <c r="AV392" s="34" t="n"/>
      <c r="AW392" s="291" t="str">
        <f>IFERROR(IF(AW390&gt;0,AW341/AW390,"n/m"),"n/a")</f>
        <v>n/m</v>
      </c>
      <c r="AX392" s="34" t="n"/>
      <c r="AY392" s="34" t="n"/>
      <c r="AZ392" s="34" t="n"/>
      <c r="BA392" s="34" t="n"/>
      <c r="BB392" s="291" t="str">
        <f>IFERROR(IF(BB390&gt;0,BB341/BB390,"n/m"),"n/a")</f>
        <v>n/m</v>
      </c>
      <c r="BC392" s="34" t="n"/>
      <c r="BD392" s="34" t="n"/>
      <c r="BE392" s="34" t="n"/>
      <c r="BF392" s="34" t="n"/>
      <c r="BG392" s="291" t="str">
        <f>IFERROR(IF(BG390&gt;0,BG341/BG390,"n/m"),"n/a")</f>
        <v>n/m</v>
      </c>
      <c r="BH392" s="34" t="n"/>
      <c r="BI392" s="34" t="n"/>
      <c r="BJ392" s="34" t="n"/>
      <c r="BK392" s="34" t="n"/>
      <c r="BL392" s="291">
        <f>IFERROR(IF(BL390&gt;0,BL341/BL390,"n/m"),"n/a")</f>
        <v>1634.59375</v>
      </c>
      <c r="BM392" s="34" t="n"/>
      <c r="BN392" s="34" t="n"/>
      <c r="BO392" s="34" t="n"/>
      <c r="BP392" s="34" t="n"/>
      <c r="BQ392" s="291" t="str">
        <f>IFERROR(IF(BQ390&gt;0,BQ341/BQ390,"n/m"),"n/a")</f>
        <v>n/m</v>
      </c>
      <c r="BR392" s="34" t="n"/>
      <c r="BS392" s="34" t="n"/>
      <c r="BT392" s="34" t="n"/>
      <c r="BU392" s="34" t="n"/>
      <c r="BV392" s="291">
        <f>IFERROR(IF(BV390&gt;0,BV341/BV390,"n/m"),"n/a")</f>
        <v>10.4255155135864</v>
      </c>
      <c r="BW392" s="34" t="n"/>
      <c r="BX392" s="34" t="n"/>
      <c r="BY392" s="35" t="n"/>
      <c r="BZ392" s="35" t="n"/>
      <c r="CA392" s="292">
        <f>IFERROR(IF(CA390&gt;0,CA341/CA390,"n/m"),"n/a")</f>
        <v>12.2200831336516</v>
      </c>
      <c r="CB392" s="292">
        <f>IFERROR(IF(CB390&gt;0,CB341/CB390,"n/m"),"n/a")</f>
        <v>5.16032920154099</v>
      </c>
      <c r="CC392" s="292">
        <f>IFERROR(IF(CC390&gt;0,CC341/CC390,"n/m"),"n/a")</f>
        <v>3.66271031273339</v>
      </c>
      <c r="CD392" s="292">
        <f>IFERROR(IF(CD390&gt;0,CD341/CD390,"n/m"),"n/a")</f>
        <v>2.84226590389624</v>
      </c>
      <c r="CE392" s="292">
        <f>IFERROR(IF(CE390&gt;0,CE341/CE390,"n/m"),"n/a")</f>
        <v>2.43662847767977</v>
      </c>
      <c r="CF392" s="292">
        <f>IFERROR(IF(CF390&gt;0,CF341/CF390,"n/m"),"n/a")</f>
        <v>2.22665993109147</v>
      </c>
      <c r="CG392" s="19" t="n"/>
    </row>
    <row r="393" ht="15" customHeight="1" s="251">
      <c r="CO393" s="11" t="n"/>
      <c r="CP393" s="12" t="n"/>
      <c r="CQ393" s="12" t="n"/>
      <c r="CR393" s="12" t="n"/>
      <c r="CS393" s="13" t="n"/>
    </row>
    <row r="394" ht="15" customHeight="1" s="251">
      <c r="B394" s="10" t="inlineStr">
        <is>
          <t>VALUATION</t>
        </is>
      </c>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c r="AH394" s="10" t="n"/>
      <c r="AI394" s="10" t="n"/>
      <c r="AJ394" s="10" t="n"/>
      <c r="AK394" s="10" t="n"/>
      <c r="AL394" s="10" t="n"/>
      <c r="AM394" s="10" t="n"/>
      <c r="AN394" s="10" t="n"/>
      <c r="AO394" s="10" t="n"/>
      <c r="AP394" s="10" t="n"/>
      <c r="AQ394" s="10" t="n"/>
      <c r="AR394" s="10" t="n"/>
      <c r="AS394" s="10" t="n"/>
      <c r="AT394" s="10" t="n"/>
      <c r="AU394" s="10" t="n"/>
      <c r="AV394" s="10" t="n"/>
      <c r="AW394" s="10" t="n"/>
      <c r="AX394" s="10" t="n"/>
      <c r="AY394" s="10" t="n"/>
      <c r="AZ394" s="10" t="n"/>
      <c r="BA394" s="10" t="n"/>
      <c r="BB394" s="10" t="n"/>
      <c r="BC394" s="10" t="n"/>
      <c r="BD394" s="10" t="n"/>
      <c r="BE394" s="10" t="n"/>
      <c r="BF394" s="10" t="n"/>
      <c r="BG394" s="10" t="n"/>
      <c r="BH394" s="10" t="n"/>
      <c r="BI394" s="10" t="n"/>
      <c r="BJ394" s="10" t="n"/>
      <c r="BK394" s="10" t="n"/>
      <c r="BL394" s="10" t="n"/>
      <c r="BM394" s="10" t="n"/>
      <c r="BN394" s="10" t="n"/>
      <c r="BO394" s="10" t="n"/>
      <c r="BP394" s="10" t="n"/>
      <c r="BQ394" s="10" t="n"/>
      <c r="BR394" s="10" t="n"/>
      <c r="BS394" s="10" t="n"/>
      <c r="BT394" s="10" t="n"/>
      <c r="BU394" s="10" t="n"/>
      <c r="BV394" s="10" t="n"/>
      <c r="BW394" s="10" t="n"/>
      <c r="BX394" s="10" t="n"/>
      <c r="BY394" s="10" t="n"/>
      <c r="BZ394" s="10" t="n"/>
      <c r="CA394" s="10" t="n"/>
      <c r="CB394" s="10" t="n"/>
      <c r="CC394" s="10" t="n"/>
      <c r="CD394" s="10" t="n"/>
      <c r="CE394" s="10" t="n"/>
      <c r="CF394" s="10" t="n"/>
      <c r="CG394" s="10" t="inlineStr">
        <is>
          <t>VALUATION — share price input $185.00 (user-provided, 10-Oct-2026); update to market</t>
        </is>
      </c>
    </row>
    <row r="395" ht="15" customHeight="1" s="251">
      <c r="B395" s="69" t="inlineStr">
        <is>
          <t>Share price ($) — current</t>
        </is>
      </c>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c r="AA395" s="44" t="n"/>
      <c r="AB395" s="44" t="n"/>
      <c r="AC395" s="44" t="n"/>
      <c r="AD395" s="44" t="n"/>
      <c r="AE395" s="44" t="n"/>
      <c r="AF395" s="44" t="n"/>
      <c r="AG395" s="44" t="n"/>
      <c r="AH395" s="44" t="n"/>
      <c r="AI395" s="44" t="n"/>
      <c r="AJ395" s="44" t="n"/>
      <c r="AK395" s="44" t="n"/>
      <c r="AL395" s="44" t="n"/>
      <c r="AM395" s="44" t="n"/>
      <c r="AN395" s="44" t="n"/>
      <c r="AO395" s="44" t="n"/>
      <c r="AP395" s="44" t="n"/>
      <c r="AQ395" s="44" t="n"/>
      <c r="AR395" s="44" t="n"/>
      <c r="AS395" s="44" t="n"/>
      <c r="AT395" s="44" t="n"/>
      <c r="AU395" s="44" t="n"/>
      <c r="AV395" s="44" t="n"/>
      <c r="AW395" s="44" t="n"/>
      <c r="AX395" s="44" t="n"/>
      <c r="AY395" s="44" t="n"/>
      <c r="AZ395" s="44" t="n"/>
      <c r="BA395" s="44" t="n"/>
      <c r="BB395" s="44" t="n"/>
      <c r="BC395" s="44" t="n"/>
      <c r="BD395" s="44" t="n"/>
      <c r="BE395" s="44" t="n"/>
      <c r="BF395" s="44" t="n"/>
      <c r="BG395" s="44" t="n"/>
      <c r="BH395" s="44" t="n"/>
      <c r="BI395" s="44" t="n"/>
      <c r="BJ395" s="44" t="n"/>
      <c r="BK395" s="44" t="n"/>
      <c r="BL395" s="44" t="n"/>
      <c r="BM395" s="44" t="n"/>
      <c r="BN395" s="44" t="n"/>
      <c r="BO395" s="44" t="n"/>
      <c r="BP395" s="44" t="n"/>
      <c r="BQ395" s="44" t="n"/>
      <c r="BR395" s="44" t="n"/>
      <c r="BS395" s="44" t="n"/>
      <c r="BT395" s="44" t="n"/>
      <c r="BU395" s="44" t="n"/>
      <c r="BV395" s="44" t="n"/>
      <c r="BW395" s="44" t="n"/>
      <c r="BX395" s="44" t="n"/>
      <c r="BY395" s="153" t="n"/>
      <c r="BZ395" s="153" t="n"/>
      <c r="CA395" s="294" t="n">
        <v>185</v>
      </c>
      <c r="CB395" s="293">
        <f>CA395</f>
        <v>185</v>
      </c>
      <c r="CC395" s="293">
        <f>CB395</f>
        <v>185</v>
      </c>
      <c r="CD395" s="293">
        <f>CC395</f>
        <v>185</v>
      </c>
      <c r="CE395" s="293">
        <f>CD395</f>
        <v>185</v>
      </c>
      <c r="CF395" s="293">
        <f>CE395</f>
        <v>185</v>
      </c>
      <c r="CG395" s="19" t="n"/>
    </row>
    <row r="396" ht="15" customHeight="1" s="251">
      <c r="B396" s="25" t="inlineStr">
        <is>
          <t>Diluted shares at period end (m; 2026E incl. preferred conversion shares)</t>
        </is>
      </c>
      <c r="C396" s="34" t="n"/>
      <c r="D396" s="34" t="n"/>
      <c r="E396" s="34" t="n"/>
      <c r="F396" s="34" t="n"/>
      <c r="G396" s="34" t="n"/>
      <c r="H396" s="34" t="n"/>
      <c r="I396" s="34" t="n"/>
      <c r="J396" s="34" t="n"/>
      <c r="K396" s="34" t="n"/>
      <c r="L396" s="34" t="n"/>
      <c r="M396" s="34" t="n"/>
      <c r="N396" s="34" t="n"/>
      <c r="O396" s="34" t="n"/>
      <c r="P396" s="34" t="n"/>
      <c r="Q396" s="34" t="n"/>
      <c r="R396" s="34" t="n"/>
      <c r="S396" s="34" t="n"/>
      <c r="T396" s="34" t="n"/>
      <c r="U396" s="34" t="n"/>
      <c r="V396" s="34" t="n"/>
      <c r="W396" s="34" t="n"/>
      <c r="X396" s="34" t="n"/>
      <c r="Y396" s="34" t="n"/>
      <c r="Z396" s="34" t="n"/>
      <c r="AA396" s="34" t="n"/>
      <c r="AB396" s="34" t="n"/>
      <c r="AC396" s="34" t="n"/>
      <c r="AD396" s="34" t="n"/>
      <c r="AE396" s="34" t="n"/>
      <c r="AF396" s="34" t="n"/>
      <c r="AG396" s="34" t="n"/>
      <c r="AH396" s="34" t="n"/>
      <c r="AI396" s="34" t="n"/>
      <c r="AJ396" s="34" t="n"/>
      <c r="AK396" s="34" t="n"/>
      <c r="AL396" s="34" t="n"/>
      <c r="AM396" s="34" t="n"/>
      <c r="AN396" s="34" t="n"/>
      <c r="AO396" s="34" t="n"/>
      <c r="AP396" s="34" t="n"/>
      <c r="AQ396" s="34" t="n"/>
      <c r="AR396" s="34" t="n"/>
      <c r="AS396" s="34" t="n"/>
      <c r="AT396" s="34" t="n"/>
      <c r="AU396" s="34" t="n"/>
      <c r="AV396" s="34" t="n"/>
      <c r="AW396" s="34" t="n"/>
      <c r="AX396" s="34" t="n"/>
      <c r="AY396" s="34" t="n"/>
      <c r="AZ396" s="34" t="n"/>
      <c r="BA396" s="34" t="n"/>
      <c r="BB396" s="34" t="n"/>
      <c r="BC396" s="34" t="n"/>
      <c r="BD396" s="34" t="n"/>
      <c r="BE396" s="34" t="n"/>
      <c r="BF396" s="34" t="n"/>
      <c r="BG396" s="34" t="n"/>
      <c r="BH396" s="34" t="n"/>
      <c r="BI396" s="34" t="n"/>
      <c r="BJ396" s="34" t="n"/>
      <c r="BK396" s="34" t="n"/>
      <c r="BL396" s="34" t="n"/>
      <c r="BM396" s="34" t="n"/>
      <c r="BN396" s="34" t="n"/>
      <c r="BO396" s="34" t="n"/>
      <c r="BP396" s="34" t="n"/>
      <c r="BQ396" s="34" t="n"/>
      <c r="BR396" s="34" t="n"/>
      <c r="BS396" s="34" t="n"/>
      <c r="BT396" s="34" t="n"/>
      <c r="BU396" s="34" t="n"/>
      <c r="BV396" s="34" t="n"/>
      <c r="BW396" s="34" t="n"/>
      <c r="BX396" s="34" t="n"/>
      <c r="BY396" s="35" t="n"/>
      <c r="BZ396" s="35" t="n"/>
      <c r="CA396" s="263">
        <f>CA270+5.0+CA339</f>
        <v>833.225155621622</v>
      </c>
      <c r="CB396" s="263">
        <f>CB270+N(CB337)</f>
        <v>844.040470936937</v>
      </c>
      <c r="CC396" s="263">
        <f>CC270+N(CC337)</f>
        <v>853.447669802469</v>
      </c>
      <c r="CD396" s="263">
        <f>CD270+N(CD337)</f>
        <v>801.938417023157</v>
      </c>
      <c r="CE396" s="263">
        <f>CE270+N(CE337)</f>
        <v>748.128417588397</v>
      </c>
      <c r="CF396" s="263">
        <f>CF270+N(CF337)</f>
        <v>698.162454662207</v>
      </c>
      <c r="CG396" s="19" t="n"/>
    </row>
    <row r="397" ht="15" customHeight="1" s="251">
      <c r="B397" s="25" t="inlineStr">
        <is>
          <t>Market capitalisation (USDm)</t>
        </is>
      </c>
      <c r="C397" s="34" t="n"/>
      <c r="D397" s="34" t="n"/>
      <c r="E397" s="34" t="n"/>
      <c r="F397" s="34" t="n"/>
      <c r="G397" s="34" t="n"/>
      <c r="H397" s="34" t="n"/>
      <c r="I397" s="34" t="n"/>
      <c r="J397" s="34" t="n"/>
      <c r="K397" s="34" t="n"/>
      <c r="L397" s="34" t="n"/>
      <c r="M397" s="34" t="n"/>
      <c r="N397" s="34" t="n"/>
      <c r="O397" s="34" t="n"/>
      <c r="P397" s="34" t="n"/>
      <c r="Q397" s="34" t="n"/>
      <c r="R397" s="34" t="n"/>
      <c r="S397" s="34" t="n"/>
      <c r="T397" s="34" t="n"/>
      <c r="U397" s="34" t="n"/>
      <c r="V397" s="34" t="n"/>
      <c r="W397" s="34" t="n"/>
      <c r="X397" s="34" t="n"/>
      <c r="Y397" s="34" t="n"/>
      <c r="Z397" s="34" t="n"/>
      <c r="AA397" s="34" t="n"/>
      <c r="AB397" s="34" t="n"/>
      <c r="AC397" s="34" t="n"/>
      <c r="AD397" s="34" t="n"/>
      <c r="AE397" s="34" t="n"/>
      <c r="AF397" s="34" t="n"/>
      <c r="AG397" s="34" t="n"/>
      <c r="AH397" s="34" t="n"/>
      <c r="AI397" s="34" t="n"/>
      <c r="AJ397" s="34" t="n"/>
      <c r="AK397" s="34" t="n"/>
      <c r="AL397" s="34" t="n"/>
      <c r="AM397" s="34" t="n"/>
      <c r="AN397" s="34" t="n"/>
      <c r="AO397" s="34" t="n"/>
      <c r="AP397" s="34" t="n"/>
      <c r="AQ397" s="34" t="n"/>
      <c r="AR397" s="34" t="n"/>
      <c r="AS397" s="34" t="n"/>
      <c r="AT397" s="34" t="n"/>
      <c r="AU397" s="34" t="n"/>
      <c r="AV397" s="34" t="n"/>
      <c r="AW397" s="34" t="n"/>
      <c r="AX397" s="34" t="n"/>
      <c r="AY397" s="34" t="n"/>
      <c r="AZ397" s="34" t="n"/>
      <c r="BA397" s="34" t="n"/>
      <c r="BB397" s="34" t="n"/>
      <c r="BC397" s="34" t="n"/>
      <c r="BD397" s="34" t="n"/>
      <c r="BE397" s="34" t="n"/>
      <c r="BF397" s="34" t="n"/>
      <c r="BG397" s="34" t="n"/>
      <c r="BH397" s="34" t="n"/>
      <c r="BI397" s="34" t="n"/>
      <c r="BJ397" s="34" t="n"/>
      <c r="BK397" s="34" t="n"/>
      <c r="BL397" s="34" t="n"/>
      <c r="BM397" s="34" t="n"/>
      <c r="BN397" s="34" t="n"/>
      <c r="BO397" s="34" t="n"/>
      <c r="BP397" s="34" t="n"/>
      <c r="BQ397" s="34" t="n"/>
      <c r="BR397" s="34" t="n"/>
      <c r="BS397" s="34" t="n"/>
      <c r="BT397" s="34" t="n"/>
      <c r="BU397" s="34" t="n"/>
      <c r="BV397" s="34" t="n"/>
      <c r="BW397" s="34" t="n"/>
      <c r="BX397" s="34" t="n"/>
      <c r="BY397" s="35" t="n"/>
      <c r="BZ397" s="35" t="n"/>
      <c r="CA397" s="254">
        <f>IFERROR(CA395*CA396,"n/a")</f>
        <v>154146.65379</v>
      </c>
      <c r="CB397" s="254">
        <f>IFERROR(CB395*CB396,"n/a")</f>
        <v>156147.487123333</v>
      </c>
      <c r="CC397" s="254">
        <f>IFERROR(CC395*CC396,"n/a")</f>
        <v>157887.818913457</v>
      </c>
      <c r="CD397" s="254">
        <f>IFERROR(CD395*CD396,"n/a")</f>
        <v>148358.607149284</v>
      </c>
      <c r="CE397" s="254">
        <f>IFERROR(CE395*CE396,"n/a")</f>
        <v>138403.757253854</v>
      </c>
      <c r="CF397" s="254">
        <f>IFERROR(CF395*CF396,"n/a")</f>
        <v>129160.054112508</v>
      </c>
      <c r="CG397" s="19" t="n"/>
    </row>
    <row r="398" ht="15" customHeight="1" s="251">
      <c r="B398" s="25" t="inlineStr">
        <is>
          <t>Net debt (USDm; debt − cash − short-term investments)</t>
        </is>
      </c>
      <c r="C398" s="34" t="n"/>
      <c r="D398" s="34" t="n"/>
      <c r="E398" s="34" t="n"/>
      <c r="F398" s="34" t="n"/>
      <c r="G398" s="34" t="n"/>
      <c r="H398" s="34" t="n"/>
      <c r="I398" s="34" t="n"/>
      <c r="J398" s="34" t="n"/>
      <c r="K398" s="34" t="n"/>
      <c r="L398" s="34" t="n"/>
      <c r="M398" s="34" t="n"/>
      <c r="N398" s="34" t="n"/>
      <c r="O398" s="34" t="n"/>
      <c r="P398" s="34" t="n"/>
      <c r="Q398" s="34" t="n"/>
      <c r="R398" s="34" t="n"/>
      <c r="S398" s="34" t="n"/>
      <c r="T398" s="34" t="n"/>
      <c r="U398" s="34" t="n"/>
      <c r="V398" s="34" t="n"/>
      <c r="W398" s="34" t="n"/>
      <c r="X398" s="34" t="n"/>
      <c r="Y398" s="34" t="n"/>
      <c r="Z398" s="34" t="n"/>
      <c r="AA398" s="34" t="n"/>
      <c r="AB398" s="34" t="n"/>
      <c r="AC398" s="34" t="n"/>
      <c r="AD398" s="34" t="n"/>
      <c r="AE398" s="34" t="n"/>
      <c r="AF398" s="34" t="n"/>
      <c r="AG398" s="34" t="n"/>
      <c r="AH398" s="34" t="n"/>
      <c r="AI398" s="34" t="n"/>
      <c r="AJ398" s="34" t="n"/>
      <c r="AK398" s="34" t="n"/>
      <c r="AL398" s="34" t="n"/>
      <c r="AM398" s="34" t="n"/>
      <c r="AN398" s="34" t="n"/>
      <c r="AO398" s="34" t="n"/>
      <c r="AP398" s="34" t="n"/>
      <c r="AQ398" s="34" t="n"/>
      <c r="AR398" s="34" t="n"/>
      <c r="AS398" s="34" t="n"/>
      <c r="AT398" s="34" t="n"/>
      <c r="AU398" s="34" t="n"/>
      <c r="AV398" s="34" t="n"/>
      <c r="AW398" s="34" t="n"/>
      <c r="AX398" s="34" t="n"/>
      <c r="AY398" s="34" t="n"/>
      <c r="AZ398" s="34" t="n"/>
      <c r="BA398" s="34" t="n"/>
      <c r="BB398" s="34" t="n"/>
      <c r="BC398" s="34" t="n"/>
      <c r="BD398" s="34" t="n"/>
      <c r="BE398" s="34" t="n"/>
      <c r="BF398" s="34" t="n"/>
      <c r="BG398" s="34" t="n"/>
      <c r="BH398" s="34" t="n"/>
      <c r="BI398" s="34" t="n"/>
      <c r="BJ398" s="34" t="n"/>
      <c r="BK398" s="34" t="n"/>
      <c r="BL398" s="34" t="n"/>
      <c r="BM398" s="34" t="n"/>
      <c r="BN398" s="34" t="n"/>
      <c r="BO398" s="34" t="n"/>
      <c r="BP398" s="34" t="n"/>
      <c r="BQ398" s="34" t="n"/>
      <c r="BR398" s="34" t="n"/>
      <c r="BS398" s="34" t="n"/>
      <c r="BT398" s="34" t="n"/>
      <c r="BU398" s="34" t="n"/>
      <c r="BV398" s="34" t="n"/>
      <c r="BW398" s="34" t="n"/>
      <c r="BX398" s="34" t="n"/>
      <c r="BY398" s="35" t="n"/>
      <c r="BZ398" s="35" t="n"/>
      <c r="CA398" s="254">
        <f>CA389</f>
        <v>23227.5</v>
      </c>
      <c r="CB398" s="254">
        <f>CB389</f>
        <v>16850.1887279233</v>
      </c>
      <c r="CC398" s="254">
        <f>CC389</f>
        <v>6289.55893549486</v>
      </c>
      <c r="CD398" s="254">
        <f>CD389</f>
        <v>6948.76928049763</v>
      </c>
      <c r="CE398" s="254">
        <f>CE389</f>
        <v>8105.56479205513</v>
      </c>
      <c r="CF398" s="254">
        <f>CF389</f>
        <v>8869.89958557288</v>
      </c>
      <c r="CG398" s="19" t="n"/>
    </row>
    <row r="399" ht="15" customHeight="1" s="251">
      <c r="B399" s="25" t="inlineStr">
        <is>
          <t>Pension &amp; retiree health liabilities, net (debt-like, pre-tax)</t>
        </is>
      </c>
      <c r="C399" s="34" t="n"/>
      <c r="D399" s="34" t="n"/>
      <c r="E399" s="34" t="n"/>
      <c r="F399" s="34" t="n"/>
      <c r="G399" s="34" t="n"/>
      <c r="H399" s="34" t="n"/>
      <c r="I399" s="34" t="n"/>
      <c r="J399" s="34" t="n"/>
      <c r="K399" s="34" t="n"/>
      <c r="L399" s="34" t="n"/>
      <c r="M399" s="34" t="n"/>
      <c r="N399" s="34" t="n"/>
      <c r="O399" s="34" t="n"/>
      <c r="P399" s="34" t="n"/>
      <c r="Q399" s="34" t="n"/>
      <c r="R399" s="34" t="n"/>
      <c r="S399" s="34" t="n"/>
      <c r="T399" s="34" t="n"/>
      <c r="U399" s="34" t="n"/>
      <c r="V399" s="34" t="n"/>
      <c r="W399" s="34" t="n"/>
      <c r="X399" s="34" t="n"/>
      <c r="Y399" s="34" t="n"/>
      <c r="Z399" s="34" t="n"/>
      <c r="AA399" s="34" t="n"/>
      <c r="AB399" s="34" t="n"/>
      <c r="AC399" s="34" t="n"/>
      <c r="AD399" s="34" t="n"/>
      <c r="AE399" s="34" t="n"/>
      <c r="AF399" s="34" t="n"/>
      <c r="AG399" s="34" t="n"/>
      <c r="AH399" s="34" t="n"/>
      <c r="AI399" s="34" t="n"/>
      <c r="AJ399" s="34" t="n"/>
      <c r="AK399" s="34" t="n"/>
      <c r="AL399" s="34" t="n"/>
      <c r="AM399" s="34" t="n"/>
      <c r="AN399" s="34" t="n"/>
      <c r="AO399" s="34" t="n"/>
      <c r="AP399" s="34" t="n"/>
      <c r="AQ399" s="34" t="n"/>
      <c r="AR399" s="34" t="n"/>
      <c r="AS399" s="34" t="n"/>
      <c r="AT399" s="34" t="n"/>
      <c r="AU399" s="34" t="n"/>
      <c r="AV399" s="34" t="n"/>
      <c r="AW399" s="34" t="n"/>
      <c r="AX399" s="34" t="n"/>
      <c r="AY399" s="34" t="n"/>
      <c r="AZ399" s="34" t="n"/>
      <c r="BA399" s="34" t="n"/>
      <c r="BB399" s="34" t="n"/>
      <c r="BC399" s="34" t="n"/>
      <c r="BD399" s="34" t="n"/>
      <c r="BE399" s="34" t="n"/>
      <c r="BF399" s="34" t="n"/>
      <c r="BG399" s="34" t="n"/>
      <c r="BH399" s="34" t="n"/>
      <c r="BI399" s="34" t="n"/>
      <c r="BJ399" s="34" t="n"/>
      <c r="BK399" s="34" t="n"/>
      <c r="BL399" s="34" t="n"/>
      <c r="BM399" s="34" t="n"/>
      <c r="BN399" s="34" t="n"/>
      <c r="BO399" s="34" t="n"/>
      <c r="BP399" s="34" t="n"/>
      <c r="BQ399" s="34" t="n"/>
      <c r="BR399" s="34" t="n"/>
      <c r="BS399" s="34" t="n"/>
      <c r="BT399" s="34" t="n"/>
      <c r="BU399" s="34" t="n"/>
      <c r="BV399" s="34" t="n"/>
      <c r="BW399" s="34" t="n"/>
      <c r="BX399" s="34" t="n"/>
      <c r="BY399" s="35" t="n"/>
      <c r="BZ399" s="35" t="n"/>
      <c r="CA399" s="254">
        <f>CA294</f>
        <v>6035</v>
      </c>
      <c r="CB399" s="254">
        <f>CB294</f>
        <v>5735</v>
      </c>
      <c r="CC399" s="254">
        <f>CC294</f>
        <v>5435</v>
      </c>
      <c r="CD399" s="254">
        <f>CD294</f>
        <v>5135</v>
      </c>
      <c r="CE399" s="254">
        <f>CE294</f>
        <v>4835</v>
      </c>
      <c r="CF399" s="254">
        <f>CF294</f>
        <v>4535</v>
      </c>
      <c r="CG399" s="19" t="inlineStr">
        <is>
          <t>Unfunded pension plan liability + accrued retiree health care (balance sheet). Included in EV and the DCF equity bridge.</t>
        </is>
      </c>
    </row>
    <row r="400" ht="15" customHeight="1" s="251">
      <c r="B400" s="25" t="inlineStr">
        <is>
          <t>Noncontrolling interests (USDm)</t>
        </is>
      </c>
      <c r="C400" s="34" t="n"/>
      <c r="D400" s="34" t="n"/>
      <c r="E400" s="34" t="n"/>
      <c r="F400" s="34" t="n"/>
      <c r="G400" s="34" t="n"/>
      <c r="H400" s="34" t="n"/>
      <c r="I400" s="34" t="n"/>
      <c r="J400" s="34" t="n"/>
      <c r="K400" s="34" t="n"/>
      <c r="L400" s="34" t="n"/>
      <c r="M400" s="34" t="n"/>
      <c r="N400" s="34" t="n"/>
      <c r="O400" s="34" t="n"/>
      <c r="P400" s="34" t="n"/>
      <c r="Q400" s="34" t="n"/>
      <c r="R400" s="34" t="n"/>
      <c r="S400" s="34" t="n"/>
      <c r="T400" s="34" t="n"/>
      <c r="U400" s="34" t="n"/>
      <c r="V400" s="34" t="n"/>
      <c r="W400" s="34" t="n"/>
      <c r="X400" s="34" t="n"/>
      <c r="Y400" s="34" t="n"/>
      <c r="Z400" s="34" t="n"/>
      <c r="AA400" s="34" t="n"/>
      <c r="AB400" s="34" t="n"/>
      <c r="AC400" s="34" t="n"/>
      <c r="AD400" s="34" t="n"/>
      <c r="AE400" s="34" t="n"/>
      <c r="AF400" s="34" t="n"/>
      <c r="AG400" s="34" t="n"/>
      <c r="AH400" s="34" t="n"/>
      <c r="AI400" s="34" t="n"/>
      <c r="AJ400" s="34" t="n"/>
      <c r="AK400" s="34" t="n"/>
      <c r="AL400" s="34" t="n"/>
      <c r="AM400" s="34" t="n"/>
      <c r="AN400" s="34" t="n"/>
      <c r="AO400" s="34" t="n"/>
      <c r="AP400" s="34" t="n"/>
      <c r="AQ400" s="34" t="n"/>
      <c r="AR400" s="34" t="n"/>
      <c r="AS400" s="34" t="n"/>
      <c r="AT400" s="34" t="n"/>
      <c r="AU400" s="34" t="n"/>
      <c r="AV400" s="34" t="n"/>
      <c r="AW400" s="34" t="n"/>
      <c r="AX400" s="34" t="n"/>
      <c r="AY400" s="34" t="n"/>
      <c r="AZ400" s="34" t="n"/>
      <c r="BA400" s="34" t="n"/>
      <c r="BB400" s="34" t="n"/>
      <c r="BC400" s="34" t="n"/>
      <c r="BD400" s="34" t="n"/>
      <c r="BE400" s="34" t="n"/>
      <c r="BF400" s="34" t="n"/>
      <c r="BG400" s="34" t="n"/>
      <c r="BH400" s="34" t="n"/>
      <c r="BI400" s="34" t="n"/>
      <c r="BJ400" s="34" t="n"/>
      <c r="BK400" s="34" t="n"/>
      <c r="BL400" s="34" t="n"/>
      <c r="BM400" s="34" t="n"/>
      <c r="BN400" s="34" t="n"/>
      <c r="BO400" s="34" t="n"/>
      <c r="BP400" s="34" t="n"/>
      <c r="BQ400" s="34" t="n"/>
      <c r="BR400" s="34" t="n"/>
      <c r="BS400" s="34" t="n"/>
      <c r="BT400" s="34" t="n"/>
      <c r="BU400" s="34" t="n"/>
      <c r="BV400" s="34" t="n"/>
      <c r="BW400" s="34" t="n"/>
      <c r="BX400" s="34" t="n"/>
      <c r="BY400" s="35" t="n"/>
      <c r="BZ400" s="35" t="n"/>
      <c r="CA400" s="254">
        <f>CA298</f>
        <v>15</v>
      </c>
      <c r="CB400" s="254">
        <f>CB298</f>
        <v>15</v>
      </c>
      <c r="CC400" s="254">
        <f>CC298</f>
        <v>15</v>
      </c>
      <c r="CD400" s="254">
        <f>CD298</f>
        <v>15</v>
      </c>
      <c r="CE400" s="254">
        <f>CE298</f>
        <v>15</v>
      </c>
      <c r="CF400" s="254">
        <f>CF298</f>
        <v>15</v>
      </c>
      <c r="CG400" s="19" t="n"/>
    </row>
    <row r="401" ht="15" customHeight="1" s="251">
      <c r="B401" s="25" t="inlineStr">
        <is>
          <t>Debt-like items: pension &amp; retiree health liabilities + noncontrolling interests (USDm)</t>
        </is>
      </c>
      <c r="C401" s="34" t="n"/>
      <c r="D401" s="34" t="n"/>
      <c r="E401" s="34" t="n"/>
      <c r="F401" s="34" t="n"/>
      <c r="G401" s="34" t="n"/>
      <c r="H401" s="34" t="n"/>
      <c r="I401" s="34" t="n"/>
      <c r="J401" s="34" t="n"/>
      <c r="K401" s="34" t="n"/>
      <c r="L401" s="34" t="n"/>
      <c r="M401" s="34" t="n"/>
      <c r="N401" s="34" t="n"/>
      <c r="O401" s="34" t="n"/>
      <c r="P401" s="34" t="n"/>
      <c r="Q401" s="34" t="n"/>
      <c r="R401" s="34" t="n"/>
      <c r="S401" s="34" t="n"/>
      <c r="T401" s="34" t="n"/>
      <c r="U401" s="34" t="n"/>
      <c r="V401" s="34" t="n"/>
      <c r="W401" s="34" t="n"/>
      <c r="X401" s="34" t="n"/>
      <c r="Y401" s="34" t="n"/>
      <c r="Z401" s="34" t="n"/>
      <c r="AA401" s="34" t="n"/>
      <c r="AB401" s="34" t="n"/>
      <c r="AC401" s="34" t="n"/>
      <c r="AD401" s="34" t="n"/>
      <c r="AE401" s="34" t="n"/>
      <c r="AF401" s="34" t="n"/>
      <c r="AG401" s="34" t="n"/>
      <c r="AH401" s="34" t="n"/>
      <c r="AI401" s="34" t="n"/>
      <c r="AJ401" s="34" t="n"/>
      <c r="AK401" s="34" t="n"/>
      <c r="AL401" s="34" t="n"/>
      <c r="AM401" s="34" t="n"/>
      <c r="AN401" s="34" t="n"/>
      <c r="AO401" s="34" t="n"/>
      <c r="AP401" s="34" t="n"/>
      <c r="AQ401" s="34" t="n"/>
      <c r="AR401" s="34" t="n"/>
      <c r="AS401" s="34" t="n"/>
      <c r="AT401" s="34" t="n"/>
      <c r="AU401" s="34" t="n"/>
      <c r="AV401" s="34" t="n"/>
      <c r="AW401" s="34" t="n"/>
      <c r="AX401" s="34" t="n"/>
      <c r="AY401" s="34" t="n"/>
      <c r="AZ401" s="34" t="n"/>
      <c r="BA401" s="34" t="n"/>
      <c r="BB401" s="34" t="n"/>
      <c r="BC401" s="34" t="n"/>
      <c r="BD401" s="34" t="n"/>
      <c r="BE401" s="34" t="n"/>
      <c r="BF401" s="34" t="n"/>
      <c r="BG401" s="34" t="n"/>
      <c r="BH401" s="34" t="n"/>
      <c r="BI401" s="34" t="n"/>
      <c r="BJ401" s="34" t="n"/>
      <c r="BK401" s="34" t="n"/>
      <c r="BL401" s="34" t="n"/>
      <c r="BM401" s="34" t="n"/>
      <c r="BN401" s="34" t="n"/>
      <c r="BO401" s="34" t="n"/>
      <c r="BP401" s="34" t="n"/>
      <c r="BQ401" s="34" t="n"/>
      <c r="BR401" s="34" t="n"/>
      <c r="BS401" s="34" t="n"/>
      <c r="BT401" s="34" t="n"/>
      <c r="BU401" s="34" t="n"/>
      <c r="BV401" s="34" t="n"/>
      <c r="BW401" s="34" t="n"/>
      <c r="BX401" s="34" t="n"/>
      <c r="BY401" s="35" t="n"/>
      <c r="BZ401" s="35" t="n"/>
      <c r="CA401" s="254">
        <f>CA399+CA400</f>
        <v>6050</v>
      </c>
      <c r="CB401" s="254">
        <f>CB399+CB400</f>
        <v>5750</v>
      </c>
      <c r="CC401" s="254">
        <f>CC399+CC400</f>
        <v>5450</v>
      </c>
      <c r="CD401" s="254">
        <f>CD399+CD400</f>
        <v>5150</v>
      </c>
      <c r="CE401" s="254">
        <f>CE399+CE400</f>
        <v>4850</v>
      </c>
      <c r="CF401" s="254">
        <f>CF399+CF400</f>
        <v>4550</v>
      </c>
      <c r="CG401" s="19" t="n"/>
    </row>
    <row r="402" ht="15" customHeight="1" s="251">
      <c r="B402" s="16" t="inlineStr">
        <is>
          <t>Enterprise value (USDm)</t>
        </is>
      </c>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c r="AC402" s="43" t="n"/>
      <c r="AD402" s="43" t="n"/>
      <c r="AE402" s="43" t="n"/>
      <c r="AF402" s="43" t="n"/>
      <c r="AG402" s="43" t="n"/>
      <c r="AH402" s="43" t="n"/>
      <c r="AI402" s="43" t="n"/>
      <c r="AJ402" s="43" t="n"/>
      <c r="AK402" s="43" t="n"/>
      <c r="AL402" s="43" t="n"/>
      <c r="AM402" s="43" t="n"/>
      <c r="AN402" s="43" t="n"/>
      <c r="AO402" s="43" t="n"/>
      <c r="AP402" s="43" t="n"/>
      <c r="AQ402" s="43" t="n"/>
      <c r="AR402" s="43" t="n"/>
      <c r="AS402" s="43" t="n"/>
      <c r="AT402" s="43" t="n"/>
      <c r="AU402" s="43" t="n"/>
      <c r="AV402" s="43" t="n"/>
      <c r="AW402" s="43" t="n"/>
      <c r="AX402" s="43" t="n"/>
      <c r="AY402" s="43" t="n"/>
      <c r="AZ402" s="43" t="n"/>
      <c r="BA402" s="43" t="n"/>
      <c r="BB402" s="43" t="n"/>
      <c r="BC402" s="43" t="n"/>
      <c r="BD402" s="43" t="n"/>
      <c r="BE402" s="43" t="n"/>
      <c r="BF402" s="43" t="n"/>
      <c r="BG402" s="43" t="n"/>
      <c r="BH402" s="43" t="n"/>
      <c r="BI402" s="43" t="n"/>
      <c r="BJ402" s="43" t="n"/>
      <c r="BK402" s="43" t="n"/>
      <c r="BL402" s="43" t="n"/>
      <c r="BM402" s="43" t="n"/>
      <c r="BN402" s="43" t="n"/>
      <c r="BO402" s="43" t="n"/>
      <c r="BP402" s="43" t="n"/>
      <c r="BQ402" s="43" t="n"/>
      <c r="BR402" s="43" t="n"/>
      <c r="BS402" s="43" t="n"/>
      <c r="BT402" s="43" t="n"/>
      <c r="BU402" s="43" t="n"/>
      <c r="BV402" s="43" t="n"/>
      <c r="BW402" s="43" t="n"/>
      <c r="BX402" s="43" t="n"/>
      <c r="BY402" s="32" t="n"/>
      <c r="BZ402" s="32" t="n"/>
      <c r="CA402" s="258">
        <f>IFERROR(CA397+CA398+CA399+CA400,"n/a")</f>
        <v>183424.15379</v>
      </c>
      <c r="CB402" s="258">
        <f>IFERROR(CB397+CB398+CB399+CB400,"n/a")</f>
        <v>178747.675851257</v>
      </c>
      <c r="CC402" s="258">
        <f>IFERROR(CC397+CC398+CC399+CC400,"n/a")</f>
        <v>169627.377848952</v>
      </c>
      <c r="CD402" s="258">
        <f>IFERROR(CD397+CD398+CD399+CD400,"n/a")</f>
        <v>160457.376429782</v>
      </c>
      <c r="CE402" s="258">
        <f>IFERROR(CE397+CE398+CE399+CE400,"n/a")</f>
        <v>151359.322045909</v>
      </c>
      <c r="CF402" s="258">
        <f>IFERROR(CF397+CF398+CF399+CF400,"n/a")</f>
        <v>142579.953698081</v>
      </c>
      <c r="CG402" s="153" t="n"/>
    </row>
    <row r="403" ht="15" customHeight="1" s="251">
      <c r="B403" s="25" t="inlineStr">
        <is>
          <t>Multiples</t>
        </is>
      </c>
      <c r="CG403" s="153" t="n"/>
    </row>
    <row r="404" ht="15" customHeight="1" s="251">
      <c r="B404" s="25" t="inlineStr">
        <is>
          <t xml:space="preserve">  EV / Revenues</t>
        </is>
      </c>
      <c r="C404" s="34" t="n"/>
      <c r="D404" s="34" t="n"/>
      <c r="E404" s="34" t="n"/>
      <c r="F404" s="34" t="n"/>
      <c r="G404" s="34" t="n"/>
      <c r="H404" s="34" t="n"/>
      <c r="I404" s="34" t="n"/>
      <c r="J404" s="34" t="n"/>
      <c r="K404" s="34" t="n"/>
      <c r="L404" s="34" t="n"/>
      <c r="M404" s="34" t="n"/>
      <c r="N404" s="34" t="n"/>
      <c r="O404" s="34" t="n"/>
      <c r="P404" s="34" t="n"/>
      <c r="Q404" s="34" t="n"/>
      <c r="R404" s="34" t="n"/>
      <c r="S404" s="34" t="n"/>
      <c r="T404" s="34" t="n"/>
      <c r="U404" s="34" t="n"/>
      <c r="V404" s="34" t="n"/>
      <c r="W404" s="34" t="n"/>
      <c r="X404" s="34" t="n"/>
      <c r="Y404" s="34" t="n"/>
      <c r="Z404" s="34" t="n"/>
      <c r="AA404" s="34" t="n"/>
      <c r="AB404" s="34" t="n"/>
      <c r="AC404" s="34" t="n"/>
      <c r="AD404" s="34" t="n"/>
      <c r="AE404" s="34" t="n"/>
      <c r="AF404" s="34" t="n"/>
      <c r="AG404" s="34" t="n"/>
      <c r="AH404" s="34" t="n"/>
      <c r="AI404" s="34" t="n"/>
      <c r="AJ404" s="34" t="n"/>
      <c r="AK404" s="34" t="n"/>
      <c r="AL404" s="34" t="n"/>
      <c r="AM404" s="34" t="n"/>
      <c r="AN404" s="34" t="n"/>
      <c r="AO404" s="34" t="n"/>
      <c r="AP404" s="34" t="n"/>
      <c r="AQ404" s="34" t="n"/>
      <c r="AR404" s="34" t="n"/>
      <c r="AS404" s="34" t="n"/>
      <c r="AT404" s="34" t="n"/>
      <c r="AU404" s="34" t="n"/>
      <c r="AV404" s="34" t="n"/>
      <c r="AW404" s="34" t="n"/>
      <c r="AX404" s="34" t="n"/>
      <c r="AY404" s="34" t="n"/>
      <c r="AZ404" s="34" t="n"/>
      <c r="BA404" s="34" t="n"/>
      <c r="BB404" s="34" t="n"/>
      <c r="BC404" s="34" t="n"/>
      <c r="BD404" s="34" t="n"/>
      <c r="BE404" s="34" t="n"/>
      <c r="BF404" s="34" t="n"/>
      <c r="BG404" s="34" t="n"/>
      <c r="BH404" s="34" t="n"/>
      <c r="BI404" s="34" t="n"/>
      <c r="BJ404" s="34" t="n"/>
      <c r="BK404" s="34" t="n"/>
      <c r="BL404" s="34" t="n"/>
      <c r="BM404" s="34" t="n"/>
      <c r="BN404" s="34" t="n"/>
      <c r="BO404" s="34" t="n"/>
      <c r="BP404" s="34" t="n"/>
      <c r="BQ404" s="34" t="n"/>
      <c r="BR404" s="34" t="n"/>
      <c r="BS404" s="34" t="n"/>
      <c r="BT404" s="34" t="n"/>
      <c r="BU404" s="34" t="n"/>
      <c r="BV404" s="34" t="n"/>
      <c r="BW404" s="34" t="n"/>
      <c r="BX404" s="34" t="n"/>
      <c r="BY404" s="35" t="n"/>
      <c r="BZ404" s="35" t="n"/>
      <c r="CA404" s="268">
        <f>IFERROR(CA402/CA117,"n/a")</f>
        <v>1.88563433654477</v>
      </c>
      <c r="CB404" s="268">
        <f>IFERROR(CB402/CB117,"n/a")</f>
        <v>1.67683249088356</v>
      </c>
      <c r="CC404" s="268">
        <f>IFERROR(CC402/CC117,"n/a")</f>
        <v>1.46506661674007</v>
      </c>
      <c r="CD404" s="268">
        <f>IFERROR(CD402/CD117,"n/a")</f>
        <v>1.29601269253333</v>
      </c>
      <c r="CE404" s="268">
        <f>IFERROR(CE402/CE117,"n/a")</f>
        <v>1.16508699230276</v>
      </c>
      <c r="CF404" s="268">
        <f>IFERROR(CF402/CF117,"n/a")</f>
        <v>1.05220748464154</v>
      </c>
      <c r="CG404" s="19" t="n"/>
    </row>
    <row r="405" ht="15" customHeight="1" s="251">
      <c r="B405" s="25" t="inlineStr">
        <is>
          <t xml:space="preserve">  EV / Adjusted EBITDA</t>
        </is>
      </c>
      <c r="C405" s="34" t="n"/>
      <c r="D405" s="34" t="n"/>
      <c r="E405" s="34" t="n"/>
      <c r="F405" s="34" t="n"/>
      <c r="G405" s="34" t="n"/>
      <c r="H405" s="34" t="n"/>
      <c r="I405" s="34" t="n"/>
      <c r="J405" s="34" t="n"/>
      <c r="K405" s="34" t="n"/>
      <c r="L405" s="34" t="n"/>
      <c r="M405" s="34" t="n"/>
      <c r="N405" s="34" t="n"/>
      <c r="O405" s="34" t="n"/>
      <c r="P405" s="34" t="n"/>
      <c r="Q405" s="34" t="n"/>
      <c r="R405" s="34" t="n"/>
      <c r="S405" s="34" t="n"/>
      <c r="T405" s="34" t="n"/>
      <c r="U405" s="34" t="n"/>
      <c r="V405" s="34" t="n"/>
      <c r="W405" s="34" t="n"/>
      <c r="X405" s="34" t="n"/>
      <c r="Y405" s="34" t="n"/>
      <c r="Z405" s="34" t="n"/>
      <c r="AA405" s="34" t="n"/>
      <c r="AB405" s="34" t="n"/>
      <c r="AC405" s="34" t="n"/>
      <c r="AD405" s="34" t="n"/>
      <c r="AE405" s="34" t="n"/>
      <c r="AF405" s="34" t="n"/>
      <c r="AG405" s="34" t="n"/>
      <c r="AH405" s="34" t="n"/>
      <c r="AI405" s="34" t="n"/>
      <c r="AJ405" s="34" t="n"/>
      <c r="AK405" s="34" t="n"/>
      <c r="AL405" s="34" t="n"/>
      <c r="AM405" s="34" t="n"/>
      <c r="AN405" s="34" t="n"/>
      <c r="AO405" s="34" t="n"/>
      <c r="AP405" s="34" t="n"/>
      <c r="AQ405" s="34" t="n"/>
      <c r="AR405" s="34" t="n"/>
      <c r="AS405" s="34" t="n"/>
      <c r="AT405" s="34" t="n"/>
      <c r="AU405" s="34" t="n"/>
      <c r="AV405" s="34" t="n"/>
      <c r="AW405" s="34" t="n"/>
      <c r="AX405" s="34" t="n"/>
      <c r="AY405" s="34" t="n"/>
      <c r="AZ405" s="34" t="n"/>
      <c r="BA405" s="34" t="n"/>
      <c r="BB405" s="34" t="n"/>
      <c r="BC405" s="34" t="n"/>
      <c r="BD405" s="34" t="n"/>
      <c r="BE405" s="34" t="n"/>
      <c r="BF405" s="34" t="n"/>
      <c r="BG405" s="34" t="n"/>
      <c r="BH405" s="34" t="n"/>
      <c r="BI405" s="34" t="n"/>
      <c r="BJ405" s="34" t="n"/>
      <c r="BK405" s="34" t="n"/>
      <c r="BL405" s="34" t="n"/>
      <c r="BM405" s="34" t="n"/>
      <c r="BN405" s="34" t="n"/>
      <c r="BO405" s="34" t="n"/>
      <c r="BP405" s="34" t="n"/>
      <c r="BQ405" s="34" t="n"/>
      <c r="BR405" s="34" t="n"/>
      <c r="BS405" s="34" t="n"/>
      <c r="BT405" s="34" t="n"/>
      <c r="BU405" s="34" t="n"/>
      <c r="BV405" s="34" t="n"/>
      <c r="BW405" s="34" t="n"/>
      <c r="BX405" s="34" t="n"/>
      <c r="BY405" s="35" t="n"/>
      <c r="BZ405" s="35" t="n"/>
      <c r="CA405" s="268">
        <f>IFERROR(IF(CA180&gt;0,CA402/CA180,"n/m"),"n/a")</f>
        <v>48.8335165148911</v>
      </c>
      <c r="CB405" s="268">
        <f>IFERROR(IF(CB180&gt;0,CB402/CB180,"n/m"),"n/a")</f>
        <v>22.2280370003331</v>
      </c>
      <c r="CC405" s="268">
        <f>IFERROR(IF(CC180&gt;0,CC402/CC180,"n/m"),"n/a")</f>
        <v>15.4830464436927</v>
      </c>
      <c r="CD405" s="268">
        <f>IFERROR(IF(CD180&gt;0,CD402/CD180,"n/m"),"n/a")</f>
        <v>11.5457406882194</v>
      </c>
      <c r="CE405" s="268">
        <f>IFERROR(IF(CE180&gt;0,CE402/CE180,"n/m"),"n/a")</f>
        <v>9.33675357171084</v>
      </c>
      <c r="CF405" s="268">
        <f>IFERROR(IF(CF180&gt;0,CF402/CF180,"n/m"),"n/a")</f>
        <v>8.03729243620701</v>
      </c>
      <c r="CG405" s="19" t="n"/>
    </row>
    <row r="406" ht="15" customHeight="1" s="251">
      <c r="B406" s="25" t="inlineStr">
        <is>
          <t xml:space="preserve">  EV / Core operating earnings</t>
        </is>
      </c>
      <c r="C406" s="34" t="n"/>
      <c r="D406" s="34" t="n"/>
      <c r="E406" s="34" t="n"/>
      <c r="F406" s="34" t="n"/>
      <c r="G406" s="34" t="n"/>
      <c r="H406" s="34" t="n"/>
      <c r="I406" s="34" t="n"/>
      <c r="J406" s="34" t="n"/>
      <c r="K406" s="34" t="n"/>
      <c r="L406" s="34" t="n"/>
      <c r="M406" s="34" t="n"/>
      <c r="N406" s="34" t="n"/>
      <c r="O406" s="34" t="n"/>
      <c r="P406" s="34" t="n"/>
      <c r="Q406" s="34" t="n"/>
      <c r="R406" s="34" t="n"/>
      <c r="S406" s="34" t="n"/>
      <c r="T406" s="34" t="n"/>
      <c r="U406" s="34" t="n"/>
      <c r="V406" s="34" t="n"/>
      <c r="W406" s="34" t="n"/>
      <c r="X406" s="34" t="n"/>
      <c r="Y406" s="34" t="n"/>
      <c r="Z406" s="34" t="n"/>
      <c r="AA406" s="34" t="n"/>
      <c r="AB406" s="34" t="n"/>
      <c r="AC406" s="34" t="n"/>
      <c r="AD406" s="34" t="n"/>
      <c r="AE406" s="34" t="n"/>
      <c r="AF406" s="34" t="n"/>
      <c r="AG406" s="34" t="n"/>
      <c r="AH406" s="34" t="n"/>
      <c r="AI406" s="34" t="n"/>
      <c r="AJ406" s="34" t="n"/>
      <c r="AK406" s="34" t="n"/>
      <c r="AL406" s="34" t="n"/>
      <c r="AM406" s="34" t="n"/>
      <c r="AN406" s="34" t="n"/>
      <c r="AO406" s="34" t="n"/>
      <c r="AP406" s="34" t="n"/>
      <c r="AQ406" s="34" t="n"/>
      <c r="AR406" s="34" t="n"/>
      <c r="AS406" s="34" t="n"/>
      <c r="AT406" s="34" t="n"/>
      <c r="AU406" s="34" t="n"/>
      <c r="AV406" s="34" t="n"/>
      <c r="AW406" s="34" t="n"/>
      <c r="AX406" s="34" t="n"/>
      <c r="AY406" s="34" t="n"/>
      <c r="AZ406" s="34" t="n"/>
      <c r="BA406" s="34" t="n"/>
      <c r="BB406" s="34" t="n"/>
      <c r="BC406" s="34" t="n"/>
      <c r="BD406" s="34" t="n"/>
      <c r="BE406" s="34" t="n"/>
      <c r="BF406" s="34" t="n"/>
      <c r="BG406" s="34" t="n"/>
      <c r="BH406" s="34" t="n"/>
      <c r="BI406" s="34" t="n"/>
      <c r="BJ406" s="34" t="n"/>
      <c r="BK406" s="34" t="n"/>
      <c r="BL406" s="34" t="n"/>
      <c r="BM406" s="34" t="n"/>
      <c r="BN406" s="34" t="n"/>
      <c r="BO406" s="34" t="n"/>
      <c r="BP406" s="34" t="n"/>
      <c r="BQ406" s="34" t="n"/>
      <c r="BR406" s="34" t="n"/>
      <c r="BS406" s="34" t="n"/>
      <c r="BT406" s="34" t="n"/>
      <c r="BU406" s="34" t="n"/>
      <c r="BV406" s="34" t="n"/>
      <c r="BW406" s="34" t="n"/>
      <c r="BX406" s="34" t="n"/>
      <c r="BY406" s="35" t="n"/>
      <c r="BZ406" s="35" t="n"/>
      <c r="CA406" s="268">
        <f>IFERROR(IF(CA161&gt;0,CA402/CA161,"n/m"),"n/a")</f>
        <v>129.435191654195</v>
      </c>
      <c r="CB406" s="268">
        <f>IFERROR(IF(CB161&gt;0,CB402/CB161,"n/m"),"n/a")</f>
        <v>32.5992754658981</v>
      </c>
      <c r="CC406" s="268">
        <f>IFERROR(IF(CC161&gt;0,CC402/CC161,"n/m"),"n/a")</f>
        <v>20.7446220020001</v>
      </c>
      <c r="CD406" s="268">
        <f>IFERROR(IF(CD161&gt;0,CD402/CD161,"n/m"),"n/a")</f>
        <v>14.5211041093877</v>
      </c>
      <c r="CE406" s="268">
        <f>IFERROR(IF(CE161&gt;0,CE402/CE161,"n/m"),"n/a")</f>
        <v>11.446546639848</v>
      </c>
      <c r="CF406" s="268">
        <f>IFERROR(IF(CF161&gt;0,CF402/CF161,"n/m"),"n/a")</f>
        <v>9.75027568024534</v>
      </c>
      <c r="CG406" s="19" t="n"/>
    </row>
    <row r="407" ht="15" customHeight="1" s="251">
      <c r="B407" s="25" t="inlineStr">
        <is>
          <t xml:space="preserve">  EV / IC</t>
        </is>
      </c>
      <c r="C407" s="34" t="n"/>
      <c r="D407" s="34" t="n"/>
      <c r="E407" s="34" t="n"/>
      <c r="F407" s="34" t="n"/>
      <c r="G407" s="34" t="n"/>
      <c r="H407" s="34" t="n"/>
      <c r="I407" s="34" t="n"/>
      <c r="J407" s="34" t="n"/>
      <c r="K407" s="34" t="n"/>
      <c r="L407" s="34" t="n"/>
      <c r="M407" s="34" t="n"/>
      <c r="N407" s="34" t="n"/>
      <c r="O407" s="34" t="n"/>
      <c r="P407" s="34" t="n"/>
      <c r="Q407" s="34" t="n"/>
      <c r="R407" s="34" t="n"/>
      <c r="S407" s="34" t="n"/>
      <c r="T407" s="34" t="n"/>
      <c r="U407" s="34" t="n"/>
      <c r="V407" s="34" t="n"/>
      <c r="W407" s="34" t="n"/>
      <c r="X407" s="34" t="n"/>
      <c r="Y407" s="34" t="n"/>
      <c r="Z407" s="34" t="n"/>
      <c r="AA407" s="34" t="n"/>
      <c r="AB407" s="34" t="n"/>
      <c r="AC407" s="34" t="n"/>
      <c r="AD407" s="34" t="n"/>
      <c r="AE407" s="34" t="n"/>
      <c r="AF407" s="34" t="n"/>
      <c r="AG407" s="34" t="n"/>
      <c r="AH407" s="34" t="n"/>
      <c r="AI407" s="34" t="n"/>
      <c r="AJ407" s="34" t="n"/>
      <c r="AK407" s="34" t="n"/>
      <c r="AL407" s="34" t="n"/>
      <c r="AM407" s="34" t="n"/>
      <c r="AN407" s="34" t="n"/>
      <c r="AO407" s="34" t="n"/>
      <c r="AP407" s="34" t="n"/>
      <c r="AQ407" s="34" t="n"/>
      <c r="AR407" s="34" t="n"/>
      <c r="AS407" s="34" t="n"/>
      <c r="AT407" s="34" t="n"/>
      <c r="AU407" s="34" t="n"/>
      <c r="AV407" s="34" t="n"/>
      <c r="AW407" s="34" t="n"/>
      <c r="AX407" s="34" t="n"/>
      <c r="AY407" s="34" t="n"/>
      <c r="AZ407" s="34" t="n"/>
      <c r="BA407" s="34" t="n"/>
      <c r="BB407" s="34" t="n"/>
      <c r="BC407" s="34" t="n"/>
      <c r="BD407" s="34" t="n"/>
      <c r="BE407" s="34" t="n"/>
      <c r="BF407" s="34" t="n"/>
      <c r="BG407" s="34" t="n"/>
      <c r="BH407" s="34" t="n"/>
      <c r="BI407" s="34" t="n"/>
      <c r="BJ407" s="34" t="n"/>
      <c r="BK407" s="34" t="n"/>
      <c r="BL407" s="34" t="n"/>
      <c r="BM407" s="34" t="n"/>
      <c r="BN407" s="34" t="n"/>
      <c r="BO407" s="34" t="n"/>
      <c r="BP407" s="34" t="n"/>
      <c r="BQ407" s="34" t="n"/>
      <c r="BR407" s="34" t="n"/>
      <c r="BS407" s="34" t="n"/>
      <c r="BT407" s="34" t="n"/>
      <c r="BU407" s="34" t="n"/>
      <c r="BV407" s="34" t="n"/>
      <c r="BW407" s="34" t="n"/>
      <c r="BX407" s="34" t="n"/>
      <c r="BY407" s="35" t="n"/>
      <c r="BZ407" s="35" t="n"/>
      <c r="CA407" s="268">
        <f>IFERROR(CA402/CA369,"n/a")</f>
        <v>5.98026022124323</v>
      </c>
      <c r="CB407" s="268">
        <f>IFERROR(CB402/CB369,"n/a")</f>
        <v>5.93209399806327</v>
      </c>
      <c r="CC407" s="268">
        <f>IFERROR(CC402/CC369,"n/a")</f>
        <v>5.99715474628851</v>
      </c>
      <c r="CD407" s="268">
        <f>IFERROR(CD402/CD369,"n/a")</f>
        <v>6.13280532549571</v>
      </c>
      <c r="CE407" s="268">
        <f>IFERROR(CE402/CE369,"n/a")</f>
        <v>6.20337667937536</v>
      </c>
      <c r="CF407" s="268">
        <f>IFERROR(CF402/CF369,"n/a")</f>
        <v>6.19635790172256</v>
      </c>
      <c r="CG407" s="19" t="n"/>
    </row>
    <row r="408" ht="15" customHeight="1" s="251">
      <c r="B408" s="25" t="inlineStr">
        <is>
          <t xml:space="preserve">  P / E (GAAP diluted)</t>
        </is>
      </c>
      <c r="C408" s="34" t="n"/>
      <c r="D408" s="34" t="n"/>
      <c r="E408" s="34" t="n"/>
      <c r="F408" s="34" t="n"/>
      <c r="G408" s="34" t="n"/>
      <c r="H408" s="34" t="n"/>
      <c r="I408" s="34" t="n"/>
      <c r="J408" s="34" t="n"/>
      <c r="K408" s="34" t="n"/>
      <c r="L408" s="34" t="n"/>
      <c r="M408" s="34" t="n"/>
      <c r="N408" s="34" t="n"/>
      <c r="O408" s="34" t="n"/>
      <c r="P408" s="34" t="n"/>
      <c r="Q408" s="34" t="n"/>
      <c r="R408" s="34" t="n"/>
      <c r="S408" s="34" t="n"/>
      <c r="T408" s="34" t="n"/>
      <c r="U408" s="34" t="n"/>
      <c r="V408" s="34" t="n"/>
      <c r="W408" s="34" t="n"/>
      <c r="X408" s="34" t="n"/>
      <c r="Y408" s="34" t="n"/>
      <c r="Z408" s="34" t="n"/>
      <c r="AA408" s="34" t="n"/>
      <c r="AB408" s="34" t="n"/>
      <c r="AC408" s="34" t="n"/>
      <c r="AD408" s="34" t="n"/>
      <c r="AE408" s="34" t="n"/>
      <c r="AF408" s="34" t="n"/>
      <c r="AG408" s="34" t="n"/>
      <c r="AH408" s="34" t="n"/>
      <c r="AI408" s="34" t="n"/>
      <c r="AJ408" s="34" t="n"/>
      <c r="AK408" s="34" t="n"/>
      <c r="AL408" s="34" t="n"/>
      <c r="AM408" s="34" t="n"/>
      <c r="AN408" s="34" t="n"/>
      <c r="AO408" s="34" t="n"/>
      <c r="AP408" s="34" t="n"/>
      <c r="AQ408" s="34" t="n"/>
      <c r="AR408" s="34" t="n"/>
      <c r="AS408" s="34" t="n"/>
      <c r="AT408" s="34" t="n"/>
      <c r="AU408" s="34" t="n"/>
      <c r="AV408" s="34" t="n"/>
      <c r="AW408" s="34" t="n"/>
      <c r="AX408" s="34" t="n"/>
      <c r="AY408" s="34" t="n"/>
      <c r="AZ408" s="34" t="n"/>
      <c r="BA408" s="34" t="n"/>
      <c r="BB408" s="34" t="n"/>
      <c r="BC408" s="34" t="n"/>
      <c r="BD408" s="34" t="n"/>
      <c r="BE408" s="34" t="n"/>
      <c r="BF408" s="34" t="n"/>
      <c r="BG408" s="34" t="n"/>
      <c r="BH408" s="34" t="n"/>
      <c r="BI408" s="34" t="n"/>
      <c r="BJ408" s="34" t="n"/>
      <c r="BK408" s="34" t="n"/>
      <c r="BL408" s="34" t="n"/>
      <c r="BM408" s="34" t="n"/>
      <c r="BN408" s="34" t="n"/>
      <c r="BO408" s="34" t="n"/>
      <c r="BP408" s="34" t="n"/>
      <c r="BQ408" s="34" t="n"/>
      <c r="BR408" s="34" t="n"/>
      <c r="BS408" s="34" t="n"/>
      <c r="BT408" s="34" t="n"/>
      <c r="BU408" s="34" t="n"/>
      <c r="BV408" s="34" t="n"/>
      <c r="BW408" s="34" t="n"/>
      <c r="BX408" s="34" t="n"/>
      <c r="BY408" s="35" t="n"/>
      <c r="BZ408" s="35" t="n"/>
      <c r="CA408" s="268" t="str">
        <f>IFERROR(IF(CA152&gt;0,CA395/CA152,"n/m"),"n/a")</f>
        <v>n/m</v>
      </c>
      <c r="CB408" s="268">
        <f>IFERROR(IF(CB152&gt;0,CB395/CB152,"n/m"),"n/a")</f>
        <v>41.1515496887677</v>
      </c>
      <c r="CC408" s="268">
        <f>IFERROR(IF(CC152&gt;0,CC395/CC152,"n/m"),"n/a")</f>
        <v>24.8448804843911</v>
      </c>
      <c r="CD408" s="268">
        <f>IFERROR(IF(CD152&gt;0,CD395/CD152,"n/m"),"n/a")</f>
        <v>17.3255600141751</v>
      </c>
      <c r="CE408" s="268">
        <f>IFERROR(IF(CE152&gt;0,CE395/CE152,"n/m"),"n/a")</f>
        <v>14.0232676357887</v>
      </c>
      <c r="CF408" s="268">
        <f>IFERROR(IF(CF152&gt;0,CF395/CF152,"n/m"),"n/a")</f>
        <v>12.1368634769583</v>
      </c>
      <c r="CG408" s="19" t="n"/>
    </row>
    <row r="409" ht="15" customHeight="1" s="251">
      <c r="B409" s="25" t="inlineStr">
        <is>
          <t xml:space="preserve">  P / E (core EPS)</t>
        </is>
      </c>
      <c r="C409" s="34" t="n"/>
      <c r="D409" s="34" t="n"/>
      <c r="E409" s="34" t="n"/>
      <c r="F409" s="34" t="n"/>
      <c r="G409" s="34" t="n"/>
      <c r="H409" s="34" t="n"/>
      <c r="I409" s="34" t="n"/>
      <c r="J409" s="34" t="n"/>
      <c r="K409" s="34" t="n"/>
      <c r="L409" s="34" t="n"/>
      <c r="M409" s="34" t="n"/>
      <c r="N409" s="34" t="n"/>
      <c r="O409" s="34" t="n"/>
      <c r="P409" s="34" t="n"/>
      <c r="Q409" s="34" t="n"/>
      <c r="R409" s="34" t="n"/>
      <c r="S409" s="34" t="n"/>
      <c r="T409" s="34" t="n"/>
      <c r="U409" s="34" t="n"/>
      <c r="V409" s="34" t="n"/>
      <c r="W409" s="34" t="n"/>
      <c r="X409" s="34" t="n"/>
      <c r="Y409" s="34" t="n"/>
      <c r="Z409" s="34" t="n"/>
      <c r="AA409" s="34" t="n"/>
      <c r="AB409" s="34" t="n"/>
      <c r="AC409" s="34" t="n"/>
      <c r="AD409" s="34" t="n"/>
      <c r="AE409" s="34" t="n"/>
      <c r="AF409" s="34" t="n"/>
      <c r="AG409" s="34" t="n"/>
      <c r="AH409" s="34" t="n"/>
      <c r="AI409" s="34" t="n"/>
      <c r="AJ409" s="34" t="n"/>
      <c r="AK409" s="34" t="n"/>
      <c r="AL409" s="34" t="n"/>
      <c r="AM409" s="34" t="n"/>
      <c r="AN409" s="34" t="n"/>
      <c r="AO409" s="34" t="n"/>
      <c r="AP409" s="34" t="n"/>
      <c r="AQ409" s="34" t="n"/>
      <c r="AR409" s="34" t="n"/>
      <c r="AS409" s="34" t="n"/>
      <c r="AT409" s="34" t="n"/>
      <c r="AU409" s="34" t="n"/>
      <c r="AV409" s="34" t="n"/>
      <c r="AW409" s="34" t="n"/>
      <c r="AX409" s="34" t="n"/>
      <c r="AY409" s="34" t="n"/>
      <c r="AZ409" s="34" t="n"/>
      <c r="BA409" s="34" t="n"/>
      <c r="BB409" s="34" t="n"/>
      <c r="BC409" s="34" t="n"/>
      <c r="BD409" s="34" t="n"/>
      <c r="BE409" s="34" t="n"/>
      <c r="BF409" s="34" t="n"/>
      <c r="BG409" s="34" t="n"/>
      <c r="BH409" s="34" t="n"/>
      <c r="BI409" s="34" t="n"/>
      <c r="BJ409" s="34" t="n"/>
      <c r="BK409" s="34" t="n"/>
      <c r="BL409" s="34" t="n"/>
      <c r="BM409" s="34" t="n"/>
      <c r="BN409" s="34" t="n"/>
      <c r="BO409" s="34" t="n"/>
      <c r="BP409" s="34" t="n"/>
      <c r="BQ409" s="34" t="n"/>
      <c r="BR409" s="34" t="n"/>
      <c r="BS409" s="34" t="n"/>
      <c r="BT409" s="34" t="n"/>
      <c r="BU409" s="34" t="n"/>
      <c r="BV409" s="34" t="n"/>
      <c r="BW409" s="34" t="n"/>
      <c r="BX409" s="34" t="n"/>
      <c r="BY409" s="35" t="n"/>
      <c r="BZ409" s="35" t="n"/>
      <c r="CA409" s="268" t="str">
        <f>IFERROR(IF(CA196&gt;0,CA395/CA196,"n/m"),"n/a")</f>
        <v>n/m</v>
      </c>
      <c r="CB409" s="268">
        <f>IFERROR(IF(CB196&gt;0,CB395/CB196,"n/m"),"n/a")</f>
        <v>44.3663099392297</v>
      </c>
      <c r="CC409" s="268">
        <f>IFERROR(IF(CC196&gt;0,CC395/CC196,"n/m"),"n/a")</f>
        <v>25.8128755973785</v>
      </c>
      <c r="CD409" s="268">
        <f>IFERROR(IF(CD196&gt;0,CD395/CD196,"n/m"),"n/a")</f>
        <v>17.721578772012</v>
      </c>
      <c r="CE409" s="268">
        <f>IFERROR(IF(CE196&gt;0,CE395/CE196,"n/m"),"n/a")</f>
        <v>14.2433711331538</v>
      </c>
      <c r="CF409" s="268">
        <f>IFERROR(IF(CF196&gt;0,CF395/CF196,"n/m"),"n/a")</f>
        <v>12.2687583921784</v>
      </c>
      <c r="CG409" s="19" t="n"/>
    </row>
    <row r="410" ht="15" customHeight="1" s="251">
      <c r="B410" s="25" t="inlineStr">
        <is>
          <t xml:space="preserve">  FCF yield</t>
        </is>
      </c>
      <c r="C410" s="34" t="n"/>
      <c r="D410" s="34" t="n"/>
      <c r="E410" s="34" t="n"/>
      <c r="F410" s="34" t="n"/>
      <c r="G410" s="34" t="n"/>
      <c r="H410" s="34" t="n"/>
      <c r="I410" s="34" t="n"/>
      <c r="J410" s="34" t="n"/>
      <c r="K410" s="34" t="n"/>
      <c r="L410" s="34" t="n"/>
      <c r="M410" s="34" t="n"/>
      <c r="N410" s="34" t="n"/>
      <c r="O410" s="34" t="n"/>
      <c r="P410" s="34" t="n"/>
      <c r="Q410" s="34" t="n"/>
      <c r="R410" s="34" t="n"/>
      <c r="S410" s="34" t="n"/>
      <c r="T410" s="34" t="n"/>
      <c r="U410" s="34" t="n"/>
      <c r="V410" s="34" t="n"/>
      <c r="W410" s="34" t="n"/>
      <c r="X410" s="34" t="n"/>
      <c r="Y410" s="34" t="n"/>
      <c r="Z410" s="34" t="n"/>
      <c r="AA410" s="34" t="n"/>
      <c r="AB410" s="34" t="n"/>
      <c r="AC410" s="34" t="n"/>
      <c r="AD410" s="34" t="n"/>
      <c r="AE410" s="34" t="n"/>
      <c r="AF410" s="34" t="n"/>
      <c r="AG410" s="34" t="n"/>
      <c r="AH410" s="34" t="n"/>
      <c r="AI410" s="34" t="n"/>
      <c r="AJ410" s="34" t="n"/>
      <c r="AK410" s="34" t="n"/>
      <c r="AL410" s="34" t="n"/>
      <c r="AM410" s="34" t="n"/>
      <c r="AN410" s="34" t="n"/>
      <c r="AO410" s="34" t="n"/>
      <c r="AP410" s="34" t="n"/>
      <c r="AQ410" s="34" t="n"/>
      <c r="AR410" s="34" t="n"/>
      <c r="AS410" s="34" t="n"/>
      <c r="AT410" s="34" t="n"/>
      <c r="AU410" s="34" t="n"/>
      <c r="AV410" s="34" t="n"/>
      <c r="AW410" s="34" t="n"/>
      <c r="AX410" s="34" t="n"/>
      <c r="AY410" s="34" t="n"/>
      <c r="AZ410" s="34" t="n"/>
      <c r="BA410" s="34" t="n"/>
      <c r="BB410" s="34" t="n"/>
      <c r="BC410" s="34" t="n"/>
      <c r="BD410" s="34" t="n"/>
      <c r="BE410" s="34" t="n"/>
      <c r="BF410" s="34" t="n"/>
      <c r="BG410" s="34" t="n"/>
      <c r="BH410" s="34" t="n"/>
      <c r="BI410" s="34" t="n"/>
      <c r="BJ410" s="34" t="n"/>
      <c r="BK410" s="34" t="n"/>
      <c r="BL410" s="34" t="n"/>
      <c r="BM410" s="34" t="n"/>
      <c r="BN410" s="34" t="n"/>
      <c r="BO410" s="34" t="n"/>
      <c r="BP410" s="34" t="n"/>
      <c r="BQ410" s="34" t="n"/>
      <c r="BR410" s="34" t="n"/>
      <c r="BS410" s="34" t="n"/>
      <c r="BT410" s="34" t="n"/>
      <c r="BU410" s="34" t="n"/>
      <c r="BV410" s="34" t="n"/>
      <c r="BW410" s="34" t="n"/>
      <c r="BX410" s="34" t="n"/>
      <c r="BY410" s="35" t="n"/>
      <c r="BZ410" s="35" t="n"/>
      <c r="CA410" s="260">
        <f>IFERROR(CA250/CA397,"n/a")</f>
        <v>0.0129746572554516</v>
      </c>
      <c r="CB410" s="260">
        <f>IFERROR(CB250/CB397,"n/a")</f>
        <v>0.0425848112869379</v>
      </c>
      <c r="CC410" s="260">
        <f>IFERROR(CC250/CC397,"n/a")</f>
        <v>0.0668869192386337</v>
      </c>
      <c r="CD410" s="260">
        <f>IFERROR(CD250/CD397,"n/a")</f>
        <v>0.090634862467646</v>
      </c>
      <c r="CE410" s="260">
        <f>IFERROR(CE250/CE397,"n/a")</f>
        <v>0.105220975797804</v>
      </c>
      <c r="CF410" s="260">
        <f>IFERROR(CF250/CF397,"n/a")</f>
        <v>0.116691512948713</v>
      </c>
      <c r="CG410" s="19" t="n"/>
    </row>
    <row r="411" ht="15" customHeight="1" s="251">
      <c r="B411" s="25" t="inlineStr">
        <is>
          <t xml:space="preserve">  Dividend yield</t>
        </is>
      </c>
      <c r="C411" s="34" t="n"/>
      <c r="D411" s="34" t="n"/>
      <c r="E411" s="34" t="n"/>
      <c r="F411" s="34" t="n"/>
      <c r="G411" s="34" t="n"/>
      <c r="H411" s="34" t="n"/>
      <c r="I411" s="34" t="n"/>
      <c r="J411" s="34" t="n"/>
      <c r="K411" s="34" t="n"/>
      <c r="L411" s="34" t="n"/>
      <c r="M411" s="34" t="n"/>
      <c r="N411" s="34" t="n"/>
      <c r="O411" s="34" t="n"/>
      <c r="P411" s="34" t="n"/>
      <c r="Q411" s="34" t="n"/>
      <c r="R411" s="34" t="n"/>
      <c r="S411" s="34" t="n"/>
      <c r="T411" s="34" t="n"/>
      <c r="U411" s="34" t="n"/>
      <c r="V411" s="34" t="n"/>
      <c r="W411" s="34" t="n"/>
      <c r="X411" s="34" t="n"/>
      <c r="Y411" s="34" t="n"/>
      <c r="Z411" s="34" t="n"/>
      <c r="AA411" s="34" t="n"/>
      <c r="AB411" s="34" t="n"/>
      <c r="AC411" s="34" t="n"/>
      <c r="AD411" s="34" t="n"/>
      <c r="AE411" s="34" t="n"/>
      <c r="AF411" s="34" t="n"/>
      <c r="AG411" s="34" t="n"/>
      <c r="AH411" s="34" t="n"/>
      <c r="AI411" s="34" t="n"/>
      <c r="AJ411" s="34" t="n"/>
      <c r="AK411" s="34" t="n"/>
      <c r="AL411" s="34" t="n"/>
      <c r="AM411" s="34" t="n"/>
      <c r="AN411" s="34" t="n"/>
      <c r="AO411" s="34" t="n"/>
      <c r="AP411" s="34" t="n"/>
      <c r="AQ411" s="34" t="n"/>
      <c r="AR411" s="34" t="n"/>
      <c r="AS411" s="34" t="n"/>
      <c r="AT411" s="34" t="n"/>
      <c r="AU411" s="34" t="n"/>
      <c r="AV411" s="34" t="n"/>
      <c r="AW411" s="34" t="n"/>
      <c r="AX411" s="34" t="n"/>
      <c r="AY411" s="34" t="n"/>
      <c r="AZ411" s="34" t="n"/>
      <c r="BA411" s="34" t="n"/>
      <c r="BB411" s="34" t="n"/>
      <c r="BC411" s="34" t="n"/>
      <c r="BD411" s="34" t="n"/>
      <c r="BE411" s="34" t="n"/>
      <c r="BF411" s="34" t="n"/>
      <c r="BG411" s="34" t="n"/>
      <c r="BH411" s="34" t="n"/>
      <c r="BI411" s="34" t="n"/>
      <c r="BJ411" s="34" t="n"/>
      <c r="BK411" s="34" t="n"/>
      <c r="BL411" s="34" t="n"/>
      <c r="BM411" s="34" t="n"/>
      <c r="BN411" s="34" t="n"/>
      <c r="BO411" s="34" t="n"/>
      <c r="BP411" s="34" t="n"/>
      <c r="BQ411" s="34" t="n"/>
      <c r="BR411" s="34" t="n"/>
      <c r="BS411" s="34" t="n"/>
      <c r="BT411" s="34" t="n"/>
      <c r="BU411" s="34" t="n"/>
      <c r="BV411" s="34" t="n"/>
      <c r="BW411" s="34" t="n"/>
      <c r="BX411" s="34" t="n"/>
      <c r="BY411" s="35" t="n"/>
      <c r="BZ411" s="35" t="n"/>
      <c r="CA411" s="260">
        <f>IFERROR(CA156/CA395,"n/a")</f>
        <v>0</v>
      </c>
      <c r="CB411" s="260">
        <f>IFERROR(CB156/CB395,"n/a")</f>
        <v>0</v>
      </c>
      <c r="CC411" s="260">
        <f>IFERROR(CC156/CC395,"n/a")</f>
        <v>0</v>
      </c>
      <c r="CD411" s="260">
        <f>IFERROR(CD156/CD395,"n/a")</f>
        <v>0</v>
      </c>
      <c r="CE411" s="260">
        <f>IFERROR(CE156/CE395,"n/a")</f>
        <v>0</v>
      </c>
      <c r="CF411" s="260">
        <f>IFERROR(CF156/CF395,"n/a")</f>
        <v>0</v>
      </c>
      <c r="CG411" s="19" t="n"/>
    </row>
    <row r="412" ht="15" customHeight="1" s="251"/>
    <row r="413" ht="15" customHeight="1" s="251"/>
    <row r="414" ht="15" customHeight="1" s="251"/>
    <row r="415" ht="15" customHeight="1" s="251"/>
    <row r="416" ht="15" customHeight="1" s="251"/>
    <row r="417" ht="15" customHeight="1" s="251"/>
    <row r="418" ht="15" customHeight="1" s="251"/>
    <row r="419" ht="15" customHeight="1" s="251"/>
    <row r="420" ht="15" customHeight="1" s="251"/>
    <row r="421" ht="15" customHeight="1" s="251"/>
    <row r="422" ht="15" customHeight="1" s="251"/>
    <row r="423" ht="15" customHeight="1" s="251"/>
    <row r="424" ht="15" customHeight="1" s="251"/>
    <row r="425" ht="15" customHeight="1" s="251"/>
    <row r="426" ht="15" customHeight="1" s="251"/>
    <row r="427" ht="15" customHeight="1" s="251"/>
    <row r="428" ht="15" customHeight="1" s="251"/>
    <row r="429" ht="15" customHeight="1" s="251"/>
    <row r="430" ht="15" customHeight="1" s="251"/>
    <row r="431" ht="15" customHeight="1" s="251"/>
    <row r="432" ht="15" customHeight="1" s="251"/>
    <row r="433" ht="15" customHeight="1" s="251"/>
    <row r="434" ht="15" customHeight="1" s="251"/>
    <row r="435" ht="15" customHeight="1" s="251"/>
    <row r="436" ht="15" customHeight="1" s="251"/>
    <row r="437" ht="15" customHeight="1" s="251"/>
    <row r="438" ht="15" customHeight="1" s="251"/>
    <row r="439" ht="15" customHeight="1" s="251"/>
    <row r="440" ht="15" customHeight="1" s="251"/>
    <row r="441" ht="15" customHeight="1" s="251"/>
    <row r="442" ht="15" customHeight="1" s="251"/>
    <row r="443" ht="15" customHeight="1" s="251"/>
    <row r="444" ht="15" customHeight="1" s="251"/>
    <row r="445" ht="15" customHeight="1" s="251"/>
    <row r="446" ht="15" customHeight="1" s="251"/>
    <row r="447" ht="15" customHeight="1" s="251"/>
  </sheetData>
  <dataValidations count="1">
    <dataValidation sqref="CG2" showDropDown="0" showInputMessage="0" showErrorMessage="0" allowBlank="0" type="list">
      <formula1>"Bull,Base,Bear"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The Boeing Company (BA) — Bull / Base / Bear Case P&amp;L Summary</t>
        </is>
      </c>
      <c r="J2" s="152" t="inlineStr">
        <is>
          <t>Share price ($):</t>
        </is>
      </c>
      <c r="K2" s="74">
        <f>Model!$CB$395</f>
        <v>185</v>
      </c>
    </row>
    <row r="3" ht="15" customHeight="1" s="251">
      <c r="B3" s="4" t="inlineStr">
        <is>
          <t>Core figures (company non-GAAP definitions: core operating earnings, core EPS) and model adjusted EBITDA (core operating earnings + D&amp;A) · USD millions · Live panel linked to Model — toggle scenario via Model!CG2. Bull and Bear panels are value snapshots generated from the Model with the switch set to each case. 2026E = 1H26 actual + Q3/Q4 calibrated to 2026 delivery, margin and FCF end-points (UNVERIFIED call statements).</t>
        </is>
      </c>
      <c r="J3" s="152" t="inlineStr">
        <is>
          <t>As of:</t>
        </is>
      </c>
      <c r="K3" s="301" t="str">
        <f>TODAY()</f>
        <v>2026-10-10 00:00:00</v>
      </c>
    </row>
    <row r="5" ht="15" customHeight="1" s="251">
      <c r="B5" s="10" t="inlineStr">
        <is>
          <t>Scenario:</t>
        </is>
      </c>
      <c r="C5" s="75" t="str">
        <f>Model!$CG$2</f>
        <v>Base</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2026E</t>
        </is>
      </c>
      <c r="D7" s="150" t="inlineStr">
        <is>
          <t>2027E</t>
        </is>
      </c>
      <c r="E7" s="150" t="inlineStr">
        <is>
          <t>2028E</t>
        </is>
      </c>
      <c r="F7" s="150" t="inlineStr">
        <is>
          <t>2029E</t>
        </is>
      </c>
      <c r="G7" s="150" t="inlineStr">
        <is>
          <t>2030E</t>
        </is>
      </c>
      <c r="H7" s="150" t="inlineStr">
        <is>
          <t>2031E</t>
        </is>
      </c>
      <c r="I7" s="150" t="inlineStr">
        <is>
          <t>26-'31 CAGR</t>
        </is>
      </c>
      <c r="J7" s="151" t="inlineStr">
        <is>
          <t>LT Hist Avg</t>
        </is>
      </c>
      <c r="K7" s="151" t="inlineStr">
        <is>
          <t>LT Hist Min</t>
        </is>
      </c>
      <c r="L7" s="151" t="inlineStr">
        <is>
          <t>LT Hist Max</t>
        </is>
      </c>
      <c r="N7" s="78" t="inlineStr">
        <is>
          <t>(USDm, except EPS and shares)</t>
        </is>
      </c>
      <c r="O7" s="150" t="inlineStr">
        <is>
          <t>2026E</t>
        </is>
      </c>
      <c r="P7" s="150" t="inlineStr">
        <is>
          <t>2027E</t>
        </is>
      </c>
      <c r="Q7" s="150" t="inlineStr">
        <is>
          <t>2028E</t>
        </is>
      </c>
      <c r="R7" s="150" t="inlineStr">
        <is>
          <t>2029E</t>
        </is>
      </c>
      <c r="S7" s="150" t="inlineStr">
        <is>
          <t>2030E</t>
        </is>
      </c>
      <c r="T7" s="150" t="inlineStr">
        <is>
          <t>2031E</t>
        </is>
      </c>
      <c r="U7" s="150" t="inlineStr">
        <is>
          <t>26-'31 CAGR</t>
        </is>
      </c>
      <c r="V7" s="151" t="inlineStr">
        <is>
          <t>LT Hist Avg</t>
        </is>
      </c>
      <c r="W7" s="151" t="inlineStr">
        <is>
          <t>LT Hist Min</t>
        </is>
      </c>
      <c r="X7" s="151" t="inlineStr">
        <is>
          <t>LT Hist Max</t>
        </is>
      </c>
      <c r="Z7" s="78" t="inlineStr">
        <is>
          <t>(USDm, except EPS and shares)</t>
        </is>
      </c>
      <c r="AA7" s="150" t="inlineStr">
        <is>
          <t>2026E</t>
        </is>
      </c>
      <c r="AB7" s="150" t="inlineStr">
        <is>
          <t>2027E</t>
        </is>
      </c>
      <c r="AC7" s="150" t="inlineStr">
        <is>
          <t>2028E</t>
        </is>
      </c>
      <c r="AD7" s="150" t="inlineStr">
        <is>
          <t>2029E</t>
        </is>
      </c>
      <c r="AE7" s="150" t="inlineStr">
        <is>
          <t>2030E</t>
        </is>
      </c>
      <c r="AF7" s="150" t="inlineStr">
        <is>
          <t>2031E</t>
        </is>
      </c>
      <c r="AG7" s="150" t="inlineStr">
        <is>
          <t>26-'31 CAGR</t>
        </is>
      </c>
      <c r="AH7" s="151" t="inlineStr">
        <is>
          <t>LT Hist Avg</t>
        </is>
      </c>
      <c r="AI7" s="151" t="inlineStr">
        <is>
          <t>LT Hist Min</t>
        </is>
      </c>
      <c r="AJ7" s="151" t="inlineStr">
        <is>
          <t>LT Hist Max</t>
        </is>
      </c>
    </row>
    <row r="9" ht="15" customHeight="1" s="251">
      <c r="B9" s="79" t="inlineStr">
        <is>
          <t>Total revenues</t>
        </is>
      </c>
      <c r="C9" s="80">
        <f>Model!CA117</f>
        <v>97274.5087608587</v>
      </c>
      <c r="D9" s="81">
        <f>Model!CB117</f>
        <v>106598.409097542</v>
      </c>
      <c r="E9" s="81">
        <f>Model!CC117</f>
        <v>115781.341210539</v>
      </c>
      <c r="F9" s="81">
        <f>Model!CD117</f>
        <v>123808.491501834</v>
      </c>
      <c r="G9" s="81">
        <f>Model!CE117</f>
        <v>129912.464087125</v>
      </c>
      <c r="H9" s="81">
        <f>Model!CF117</f>
        <v>135505.549788647</v>
      </c>
      <c r="I9" s="302">
        <f>IFERROR((H9/C9)^(1/5)-1,"n/m")</f>
        <v>0.068542024844142</v>
      </c>
      <c r="N9" s="79" t="inlineStr">
        <is>
          <t>Total revenues</t>
        </is>
      </c>
      <c r="O9" s="80" t="n">
        <v>98275.4960220051</v>
      </c>
      <c r="P9" s="81" t="n">
        <v>111082.465603253</v>
      </c>
      <c r="Q9" s="81" t="n">
        <v>121959.588017806</v>
      </c>
      <c r="R9" s="81" t="n">
        <v>131885.948109141</v>
      </c>
      <c r="S9" s="81" t="n">
        <v>140033.574035154</v>
      </c>
      <c r="T9" s="81" t="n">
        <v>147829.902003704</v>
      </c>
      <c r="U9" s="302" t="n">
        <v>0.08508412297921759</v>
      </c>
      <c r="Z9" s="79" t="inlineStr">
        <is>
          <t>Total revenues</t>
        </is>
      </c>
      <c r="AA9" s="80" t="n">
        <v>95606.1966589478</v>
      </c>
      <c r="AB9" s="81" t="n">
        <v>98871.1465430847</v>
      </c>
      <c r="AC9" s="81" t="n">
        <v>106169.009670484</v>
      </c>
      <c r="AD9" s="81" t="n">
        <v>112135.688015481</v>
      </c>
      <c r="AE9" s="81" t="n">
        <v>116075.262263906</v>
      </c>
      <c r="AF9" s="81" t="n">
        <v>119387.458799992</v>
      </c>
      <c r="AG9" s="302" t="n">
        <v>0.0454289762170264</v>
      </c>
    </row>
    <row r="10" ht="15" customHeight="1" s="251">
      <c r="B10" s="83" t="inlineStr">
        <is>
          <t xml:space="preserve">   Revenues y/y %</t>
        </is>
      </c>
      <c r="C10" s="303" t="n"/>
      <c r="D10" s="304">
        <f>IFERROR(D9/C9-1,"")</f>
        <v>0.0958514255734295</v>
      </c>
      <c r="E10" s="304">
        <f>IFERROR(E9/D9-1,"")</f>
        <v>0.0861451140850875</v>
      </c>
      <c r="F10" s="304">
        <f>IFERROR(F9/E9-1,"")</f>
        <v>0.0693302582900557</v>
      </c>
      <c r="G10" s="304">
        <f>IFERROR(G9/F9-1,"")</f>
        <v>0.049301728106427</v>
      </c>
      <c r="H10" s="304">
        <f>IFERROR(H9/G9-1,"")</f>
        <v>0.0430527258552416</v>
      </c>
      <c r="N10" s="83" t="inlineStr">
        <is>
          <t xml:space="preserve">   Revenues y/y %</t>
        </is>
      </c>
      <c r="O10" s="303" t="n"/>
      <c r="P10" s="304" t="n">
        <v>0.130317017971403</v>
      </c>
      <c r="Q10" s="304" t="n">
        <v>0.0979193462756018</v>
      </c>
      <c r="R10" s="304" t="n">
        <v>0.08139056758609151</v>
      </c>
      <c r="S10" s="304" t="n">
        <v>0.0617778166880276</v>
      </c>
      <c r="T10" s="304" t="n">
        <v>0.0556747053145468</v>
      </c>
      <c r="Z10" s="83" t="inlineStr">
        <is>
          <t xml:space="preserve">   Revenues y/y %</t>
        </is>
      </c>
      <c r="AA10" s="303" t="n"/>
      <c r="AB10" s="304" t="n">
        <v>0.0341499818864652</v>
      </c>
      <c r="AC10" s="304" t="n">
        <v>0.0738118589958774</v>
      </c>
      <c r="AD10" s="304" t="n">
        <v>0.0561998116353903</v>
      </c>
      <c r="AE10" s="304" t="n">
        <v>0.0351322074010996</v>
      </c>
      <c r="AF10" s="304" t="n">
        <v>0.028534904608325</v>
      </c>
    </row>
    <row r="11" ht="15" customHeight="1" s="251">
      <c r="B11" s="79" t="inlineStr">
        <is>
          <t xml:space="preserve">   Commercial deliveries y/y %</t>
        </is>
      </c>
      <c r="C11" s="86">
        <f>Model!CA204</f>
        <v>0.0925595238095238</v>
      </c>
      <c r="D11" s="87">
        <f>Model!CB204</f>
        <v>0.113593026423318</v>
      </c>
      <c r="E11" s="87">
        <f>Model!CC204</f>
        <v>0.0890410958904109</v>
      </c>
      <c r="F11" s="87">
        <f>Model!CD204</f>
        <v>0.0566037735849057</v>
      </c>
      <c r="G11" s="87">
        <f>Model!CE204</f>
        <v>0.0238095238095237</v>
      </c>
      <c r="H11" s="87">
        <f>Model!CF204</f>
        <v>0.0116279069767442</v>
      </c>
      <c r="N11" s="79" t="inlineStr">
        <is>
          <t xml:space="preserve">   Commercial deliveries y/y %</t>
        </is>
      </c>
      <c r="O11" s="86" t="n">
        <v>0.117559523809524</v>
      </c>
      <c r="P11" s="87" t="n">
        <v>0.155792276964048</v>
      </c>
      <c r="Q11" s="87" t="n">
        <v>0.0838709677419356</v>
      </c>
      <c r="R11" s="87" t="n">
        <v>0.0535714285714286</v>
      </c>
      <c r="S11" s="87" t="n">
        <v>0.0225988700564972</v>
      </c>
      <c r="T11" s="87" t="n">
        <v>0.011049723756906</v>
      </c>
      <c r="Z11" s="79" t="inlineStr">
        <is>
          <t xml:space="preserve">   Commercial deliveries y/y %</t>
        </is>
      </c>
      <c r="AA11" s="86" t="n">
        <v>0.0508928571428573</v>
      </c>
      <c r="AB11" s="87" t="n">
        <v>0.0150099122061738</v>
      </c>
      <c r="AC11" s="87" t="n">
        <v>0.1015625</v>
      </c>
      <c r="AD11" s="87" t="n">
        <v>0.06382978723404251</v>
      </c>
      <c r="AE11" s="87" t="n">
        <v>0.0266666666666666</v>
      </c>
      <c r="AF11" s="87" t="n">
        <v>0.0129870129870129</v>
      </c>
    </row>
    <row r="12" ht="15" customHeight="1" s="251">
      <c r="B12" s="79" t="inlineStr">
        <is>
          <t>Adjusted EBITDA (model)</t>
        </is>
      </c>
      <c r="C12" s="80">
        <f>Model!CA180</f>
        <v>3756.1119264075</v>
      </c>
      <c r="D12" s="81">
        <f>Model!CB180</f>
        <v>8041.54122330181</v>
      </c>
      <c r="E12" s="81">
        <f>Model!CC180</f>
        <v>10955.6848819021</v>
      </c>
      <c r="F12" s="81">
        <f>Model!CD180</f>
        <v>13897.5385609953</v>
      </c>
      <c r="G12" s="81">
        <f>Model!CE180</f>
        <v>16211.1295841103</v>
      </c>
      <c r="H12" s="81">
        <f>Model!CF180</f>
        <v>17739.7991711458</v>
      </c>
      <c r="I12" s="302">
        <f>IFERROR((H12/C12)^(1/5)-1,"n/m")</f>
        <v>0.364086889230874</v>
      </c>
      <c r="N12" s="79" t="inlineStr">
        <is>
          <t>Adjusted EBITDA (model)</t>
        </is>
      </c>
      <c r="O12" s="80" t="n">
        <v>4360.3548000571</v>
      </c>
      <c r="P12" s="81" t="n">
        <v>9786.906155662689</v>
      </c>
      <c r="Q12" s="81" t="n">
        <v>13144.4028343822</v>
      </c>
      <c r="R12" s="81" t="n">
        <v>16582.0409512878</v>
      </c>
      <c r="S12" s="81" t="n">
        <v>19376.4215658152</v>
      </c>
      <c r="T12" s="81" t="n">
        <v>21354.6566511464</v>
      </c>
      <c r="U12" s="302" t="n">
        <v>0.374023475486633</v>
      </c>
      <c r="Z12" s="79" t="inlineStr">
        <is>
          <t>Adjusted EBITDA (model)</t>
        </is>
      </c>
      <c r="AA12" s="80" t="n">
        <v>3099.63896745307</v>
      </c>
      <c r="AB12" s="81" t="n">
        <v>5496.49232103289</v>
      </c>
      <c r="AC12" s="81" t="n">
        <v>7811.78348095325</v>
      </c>
      <c r="AD12" s="81" t="n">
        <v>10126.9061141799</v>
      </c>
      <c r="AE12" s="81" t="n">
        <v>11882.4261508742</v>
      </c>
      <c r="AF12" s="81" t="n">
        <v>12927.729492915</v>
      </c>
      <c r="AG12" s="302" t="n">
        <v>0.330583791583728</v>
      </c>
    </row>
    <row r="13" ht="15" customHeight="1" s="251">
      <c r="B13" s="83" t="inlineStr">
        <is>
          <t xml:space="preserve">   Adjusted EBITDA margin %</t>
        </is>
      </c>
      <c r="C13" s="88">
        <f>IFERROR(C12/C9,"")</f>
        <v>0.0386135275752622</v>
      </c>
      <c r="D13" s="89">
        <f>IFERROR(D12/D9,"")</f>
        <v>0.0754377226769254</v>
      </c>
      <c r="E13" s="89">
        <f>IFERROR(E12/E9,"")</f>
        <v>0.0946239244368406</v>
      </c>
      <c r="F13" s="89">
        <f>IFERROR(F12/F9,"")</f>
        <v>0.112250285843999</v>
      </c>
      <c r="G13" s="89">
        <f>IFERROR(G12/G9,"")</f>
        <v>0.12478502119118</v>
      </c>
      <c r="H13" s="89">
        <f>IFERROR(H12/H9,"")</f>
        <v>0.130915665069182</v>
      </c>
      <c r="J13" s="90">
        <f>IFERROR(AVERAGE(Model!C181,Model!D181,Model!E181,Model!F181,Model!G181,Model!H181,Model!I181,Model!N181,Model!S181,Model!X181,Model!AC181,Model!AH181,Model!AM181,Model!AR181,Model!AW181,Model!BB181,Model!BG181,Model!BL181,Model!BQ181,Model!BV181),"")</f>
        <v>0.0471445646378596</v>
      </c>
      <c r="K13" s="90">
        <f>IFERROR(MIN(Model!C181,Model!D181,Model!E181,Model!F181,Model!G181,Model!H181,Model!I181,Model!N181,Model!S181,Model!X181,Model!AC181,Model!AH181,Model!AM181,Model!AR181,Model!AW181,Model!BB181,Model!BG181,Model!BL181,Model!BQ181,Model!BV181),"")</f>
        <v>-0.204683792427525</v>
      </c>
      <c r="L13" s="90">
        <f>IFERROR(MAX(Model!C181,Model!D181,Model!E181,Model!F181,Model!G181,Model!H181,Model!I181,Model!N181,Model!S181,Model!X181,Model!AC181,Model!AH181,Model!AM181,Model!AR181,Model!AW181,Model!BB181,Model!BG181,Model!BL181,Model!BQ181,Model!BV181),"")</f>
        <v>0.126316414014062</v>
      </c>
      <c r="N13" s="83" t="inlineStr">
        <is>
          <t xml:space="preserve">   Adjusted EBITDA margin %</t>
        </is>
      </c>
      <c r="O13" s="88" t="n">
        <v>0.0443686877864322</v>
      </c>
      <c r="P13" s="89" t="n">
        <v>0.08810486967959461</v>
      </c>
      <c r="Q13" s="89" t="n">
        <v>0.107776707416092</v>
      </c>
      <c r="R13" s="89" t="n">
        <v>0.125730156919867</v>
      </c>
      <c r="S13" s="89" t="n">
        <v>0.138369828088162</v>
      </c>
      <c r="T13" s="89" t="n">
        <v>0.144454243435887</v>
      </c>
      <c r="V13" s="90" t="n">
        <v>0.0471445646378596</v>
      </c>
      <c r="W13" s="90" t="n">
        <v>-0.204683792427525</v>
      </c>
      <c r="X13" s="90" t="n">
        <v>0.126316414014062</v>
      </c>
      <c r="Z13" s="83" t="inlineStr">
        <is>
          <t xml:space="preserve">   Adjusted EBITDA margin %</t>
        </is>
      </c>
      <c r="AA13" s="88" t="n">
        <v>0.0324209002739674</v>
      </c>
      <c r="AB13" s="89" t="n">
        <v>0.0555924808522141</v>
      </c>
      <c r="AC13" s="89" t="n">
        <v>0.0735787543389418</v>
      </c>
      <c r="AD13" s="89" t="n">
        <v>0.0903093947466742</v>
      </c>
      <c r="AE13" s="89" t="n">
        <v>0.102368290358532</v>
      </c>
      <c r="AF13" s="89" t="n">
        <v>0.108283814923748</v>
      </c>
      <c r="AH13" s="90" t="n">
        <v>0.0471445646378596</v>
      </c>
      <c r="AI13" s="90" t="n">
        <v>-0.204683792427525</v>
      </c>
      <c r="AJ13" s="90" t="n">
        <v>0.126316414014062</v>
      </c>
    </row>
    <row r="15" ht="15" customHeight="1" s="251">
      <c r="B15" s="79" t="inlineStr">
        <is>
          <t>Earnings from operations (GAAP)</t>
        </is>
      </c>
      <c r="C15" s="80">
        <f>Model!CA128</f>
        <v>2037.1119264075</v>
      </c>
      <c r="D15" s="81">
        <f>Model!CB128</f>
        <v>6083.17940496081</v>
      </c>
      <c r="E15" s="81">
        <f>Model!CC128</f>
        <v>8726.93269284913</v>
      </c>
      <c r="F15" s="81">
        <f>Model!CD128</f>
        <v>11549.9432564531</v>
      </c>
      <c r="G15" s="81">
        <f>Model!CE128</f>
        <v>13673.1429101064</v>
      </c>
      <c r="H15" s="81">
        <f>Model!CF128</f>
        <v>15023.1715260069</v>
      </c>
      <c r="I15" s="302">
        <f>IFERROR((H15/C15)^(1/5)-1,"n/m")</f>
        <v>0.491246189264686</v>
      </c>
      <c r="N15" s="79" t="inlineStr">
        <is>
          <t>Earnings from operations (GAAP)</t>
        </is>
      </c>
      <c r="O15" s="80" t="n">
        <v>2641.3548000571</v>
      </c>
      <c r="P15" s="81" t="n">
        <v>7720.9269811846</v>
      </c>
      <c r="Q15" s="81" t="n">
        <v>10767.3727219549</v>
      </c>
      <c r="R15" s="81" t="n">
        <v>14048.6641447775</v>
      </c>
      <c r="S15" s="81" t="n">
        <v>16605.6493630067</v>
      </c>
      <c r="T15" s="81" t="n">
        <v>18354.5689050612</v>
      </c>
      <c r="U15" s="302" t="n">
        <v>0.473613153471422</v>
      </c>
      <c r="Z15" s="79" t="inlineStr">
        <is>
          <t>Earnings from operations (GAAP)</t>
        </is>
      </c>
      <c r="AA15" s="80" t="n">
        <v>1380.63896745307</v>
      </c>
      <c r="AB15" s="81" t="n">
        <v>3723.58480399885</v>
      </c>
      <c r="AC15" s="81" t="n">
        <v>5813.72724886164</v>
      </c>
      <c r="AD15" s="81" t="n">
        <v>8047.78528982389</v>
      </c>
      <c r="AE15" s="81" t="n">
        <v>9662.695118804369</v>
      </c>
      <c r="AF15" s="81" t="n">
        <v>10581.8179405151</v>
      </c>
      <c r="AG15" s="302" t="n">
        <v>0.502782163133717</v>
      </c>
    </row>
    <row r="16" ht="15" customHeight="1" s="251">
      <c r="B16" s="83" t="inlineStr">
        <is>
          <t xml:space="preserve">   Earnings from operations y/y %</t>
        </is>
      </c>
      <c r="C16" s="303" t="n"/>
      <c r="D16" s="304">
        <f>IFERROR(D15/C15-1,"")</f>
        <v>1.98617828804756</v>
      </c>
      <c r="E16" s="304">
        <f>IFERROR(E15/D15-1,"")</f>
        <v>0.434600578396941</v>
      </c>
      <c r="F16" s="304">
        <f>IFERROR(F15/E15-1,"")</f>
        <v>0.323482564030444</v>
      </c>
      <c r="G16" s="304">
        <f>IFERROR(G15/F15-1,"")</f>
        <v>0.183827712960153</v>
      </c>
      <c r="H16" s="304">
        <f>IFERROR(H15/G15-1,"")</f>
        <v>0.098735793575494</v>
      </c>
      <c r="N16" s="83" t="inlineStr">
        <is>
          <t xml:space="preserve">   Earnings from operations y/y %</t>
        </is>
      </c>
      <c r="O16" s="303" t="n"/>
      <c r="P16" s="304" t="n">
        <v>1.92309347499158</v>
      </c>
      <c r="Q16" s="304" t="n">
        <v>0.394569945836074</v>
      </c>
      <c r="R16" s="304" t="n">
        <v>0.304743924776748</v>
      </c>
      <c r="S16" s="304" t="n">
        <v>0.18200913566431</v>
      </c>
      <c r="T16" s="304" t="n">
        <v>0.105320755835706</v>
      </c>
      <c r="Z16" s="83" t="inlineStr">
        <is>
          <t xml:space="preserve">   Earnings from operations y/y %</t>
        </is>
      </c>
      <c r="AA16" s="303" t="n"/>
      <c r="AB16" s="304" t="n">
        <v>1.69700109281135</v>
      </c>
      <c r="AC16" s="304" t="n">
        <v>0.561325323547924</v>
      </c>
      <c r="AD16" s="304" t="n">
        <v>0.384272936333518</v>
      </c>
      <c r="AE16" s="304" t="n">
        <v>0.200665123487138</v>
      </c>
      <c r="AF16" s="304" t="n">
        <v>0.0951207515511978</v>
      </c>
    </row>
    <row r="17" ht="15" customHeight="1" s="251">
      <c r="B17" s="83" t="inlineStr">
        <is>
          <t xml:space="preserve">   Operating margin (GAAP) %</t>
        </is>
      </c>
      <c r="C17" s="88">
        <f>IFERROR(C15/C9,"")</f>
        <v>0.0209418886032678</v>
      </c>
      <c r="D17" s="89">
        <f>IFERROR(D15/D9,"")</f>
        <v>0.0570663245020331</v>
      </c>
      <c r="E17" s="89">
        <f>IFERROR(E15/E9,"")</f>
        <v>0.0753742580765233</v>
      </c>
      <c r="F17" s="89">
        <f>IFERROR(F15/F9,"")</f>
        <v>0.0932887810549082</v>
      </c>
      <c r="G17" s="89">
        <f>IFERROR(G15/G9,"")</f>
        <v>0.10524889206117</v>
      </c>
      <c r="H17" s="89">
        <f>IFERROR(H15/H9,"")</f>
        <v>0.110867573685647</v>
      </c>
      <c r="J17" s="90">
        <f>IFERROR(AVERAGE(Model!C215,Model!D215,Model!E215,Model!F215,Model!G215,Model!H215,Model!I215,Model!N215,Model!S215,Model!X215,Model!AC215,Model!AH215,Model!AM215,Model!AR215,Model!AW215,Model!BB215,Model!BG215,Model!BL215,Model!BQ215,Model!BV215),"")</f>
        <v>0.0265059951278251</v>
      </c>
      <c r="K17" s="90">
        <f>IFERROR(MIN(Model!C215,Model!D215,Model!E215,Model!F215,Model!G215,Model!H215,Model!I215,Model!N215,Model!S215,Model!X215,Model!AC215,Model!AH215,Model!AM215,Model!AR215,Model!AW215,Model!BB215,Model!BG215,Model!BL215,Model!BQ215,Model!BV215),"")</f>
        <v>-0.21952267959696</v>
      </c>
      <c r="L17" s="90">
        <f>IFERROR(MAX(Model!C215,Model!D215,Model!E215,Model!F215,Model!G215,Model!H215,Model!I215,Model!N215,Model!S215,Model!X215,Model!AC215,Model!AH215,Model!AM215,Model!AR215,Model!AW215,Model!BB215,Model!BG215,Model!BL215,Model!BQ215,Model!BV215),"")</f>
        <v>0.118534120462389</v>
      </c>
      <c r="N17" s="83" t="inlineStr">
        <is>
          <t xml:space="preserve">   Operating margin (GAAP) %</t>
        </is>
      </c>
      <c r="O17" s="88" t="n">
        <v>0.0268770436881404</v>
      </c>
      <c r="P17" s="89" t="n">
        <v>0.06950626221028421</v>
      </c>
      <c r="Q17" s="89" t="n">
        <v>0.0882863979532537</v>
      </c>
      <c r="R17" s="89" t="n">
        <v>0.106521311376946</v>
      </c>
      <c r="S17" s="89" t="n">
        <v>0.11858334315482</v>
      </c>
      <c r="T17" s="89" t="n">
        <v>0.124160055958106</v>
      </c>
      <c r="V17" s="90" t="n">
        <v>0.0265059951278251</v>
      </c>
      <c r="W17" s="90" t="n">
        <v>-0.21952267959696</v>
      </c>
      <c r="X17" s="90" t="n">
        <v>0.118534120462389</v>
      </c>
      <c r="Z17" s="83" t="inlineStr">
        <is>
          <t xml:space="preserve">   Operating margin (GAAP) %</t>
        </is>
      </c>
      <c r="AA17" s="88" t="n">
        <v>0.0144408941648224</v>
      </c>
      <c r="AB17" s="89" t="n">
        <v>0.037660985375306</v>
      </c>
      <c r="AC17" s="89" t="n">
        <v>0.0547591737636593</v>
      </c>
      <c r="AD17" s="89" t="n">
        <v>0.071768278522649</v>
      </c>
      <c r="AE17" s="89" t="n">
        <v>0.0832450853898183</v>
      </c>
      <c r="AF17" s="89" t="n">
        <v>0.0886342505894414</v>
      </c>
      <c r="AH17" s="90" t="n">
        <v>0.0265059951278251</v>
      </c>
      <c r="AI17" s="90" t="n">
        <v>-0.21952267959696</v>
      </c>
      <c r="AJ17" s="90" t="n">
        <v>0.118534120462389</v>
      </c>
    </row>
    <row r="19" ht="15" customHeight="1" s="251">
      <c r="B19" s="79" t="inlineStr">
        <is>
          <t>Core earnings (for core EPS)</t>
        </is>
      </c>
      <c r="C19" s="80">
        <f>Model!CA194</f>
        <v>-696.679266233254</v>
      </c>
      <c r="D19" s="81">
        <f>Model!CB194</f>
        <v>3539.42521446473</v>
      </c>
      <c r="E19" s="81">
        <f>Model!CC194</f>
        <v>6082.9198368872</v>
      </c>
      <c r="F19" s="81">
        <f>Model!CD194</f>
        <v>8640.49501465415</v>
      </c>
      <c r="G19" s="81">
        <f>Model!CE194</f>
        <v>10066.520127937</v>
      </c>
      <c r="H19" s="81">
        <f>Model!CF194</f>
        <v>10904.274206628</v>
      </c>
      <c r="I19" s="302">
        <f>IFERROR((H19/C19)^(1/5)-1,"n/m")</f>
        <v>-2.73345581297522</v>
      </c>
      <c r="N19" s="79" t="inlineStr">
        <is>
          <t>Core earnings (for core EPS)</t>
        </is>
      </c>
      <c r="O19" s="80" t="n">
        <v>-152.860679948607</v>
      </c>
      <c r="P19" s="81" t="n">
        <v>5044.89803306615</v>
      </c>
      <c r="Q19" s="81" t="n">
        <v>7987.63356905649</v>
      </c>
      <c r="R19" s="81" t="n">
        <v>10560.476163738</v>
      </c>
      <c r="S19" s="81" t="n">
        <v>12194.7005223635</v>
      </c>
      <c r="T19" s="81" t="n">
        <v>13253.8081202062</v>
      </c>
      <c r="U19" s="302" t="n">
        <v>-3.44123157419446</v>
      </c>
      <c r="Z19" s="79" t="inlineStr">
        <is>
          <t>Core earnings (for core EPS)</t>
        </is>
      </c>
      <c r="AA19" s="80" t="n">
        <v>-1287.50492929224</v>
      </c>
      <c r="AB19" s="81" t="n">
        <v>1384.29007359897</v>
      </c>
      <c r="AC19" s="81" t="n">
        <v>3363.32513462476</v>
      </c>
      <c r="AD19" s="81" t="n">
        <v>5422.6441622024</v>
      </c>
      <c r="AE19" s="81" t="n">
        <v>6843.1815558276</v>
      </c>
      <c r="AF19" s="81" t="n">
        <v>7578.14715241211</v>
      </c>
      <c r="AG19" s="302" t="n">
        <v>-2.42548557452633</v>
      </c>
    </row>
    <row r="21" ht="15" customHeight="1" s="251">
      <c r="B21" s="79" t="inlineStr">
        <is>
          <t>Diluted shares (m)</t>
        </is>
      </c>
      <c r="C21" s="91">
        <f>Model!CA151</f>
        <v>791.683108108108</v>
      </c>
      <c r="D21" s="92">
        <f>Model!CB151</f>
        <v>848.817492279279</v>
      </c>
      <c r="E21" s="92">
        <f>Model!CC151</f>
        <v>848.744070369703</v>
      </c>
      <c r="F21" s="92">
        <f>Model!CD151</f>
        <v>827.693043412813</v>
      </c>
      <c r="G21" s="92">
        <f>Model!CE151</f>
        <v>775.033417305777</v>
      </c>
      <c r="H21" s="92">
        <f>Model!CF151</f>
        <v>723.145436125302</v>
      </c>
      <c r="I21" s="302">
        <f>IFERROR((H21/C21)^(1/5)-1,"n/m")</f>
        <v>-0.0179471638729902</v>
      </c>
      <c r="N21" s="79" t="inlineStr">
        <is>
          <t>Diluted shares (m)</t>
        </is>
      </c>
      <c r="O21" s="91" t="n">
        <v>791.6831081081079</v>
      </c>
      <c r="P21" s="92" t="n">
        <v>848.817492279279</v>
      </c>
      <c r="Q21" s="92" t="n">
        <v>819.439508149335</v>
      </c>
      <c r="R21" s="92" t="n">
        <v>758.110257464198</v>
      </c>
      <c r="S21" s="92" t="n">
        <v>686.117267553552</v>
      </c>
      <c r="T21" s="92" t="n">
        <v>618.3957211459621</v>
      </c>
      <c r="U21" s="302" t="n">
        <v>-0.0482058756774435</v>
      </c>
      <c r="Z21" s="79" t="inlineStr">
        <is>
          <t>Diluted shares (m)</t>
        </is>
      </c>
      <c r="AA21" s="91" t="n">
        <v>791.6831081081079</v>
      </c>
      <c r="AB21" s="92" t="n">
        <v>848.817492279279</v>
      </c>
      <c r="AC21" s="92" t="n">
        <v>848.744070369703</v>
      </c>
      <c r="AD21" s="92" t="n">
        <v>857.956658150385</v>
      </c>
      <c r="AE21" s="92" t="n">
        <v>854.542695500357</v>
      </c>
      <c r="AF21" s="92" t="n">
        <v>830.14779875099</v>
      </c>
      <c r="AG21" s="302" t="n">
        <v>0.00953367064657607</v>
      </c>
    </row>
    <row r="23" ht="15" customHeight="1" s="251">
      <c r="B23" s="79" t="inlineStr">
        <is>
          <t>Core EPS ($)</t>
        </is>
      </c>
      <c r="C23" s="93">
        <f>Model!CA196</f>
        <v>-0.879997639330861</v>
      </c>
      <c r="D23" s="94">
        <f>Model!CB196</f>
        <v>4.16983067226916</v>
      </c>
      <c r="E23" s="94">
        <f>Model!CC196</f>
        <v>7.16696593148221</v>
      </c>
      <c r="F23" s="94">
        <f>Model!CD196</f>
        <v>10.4392504968109</v>
      </c>
      <c r="G23" s="94">
        <f>Model!CE196</f>
        <v>12.9884981771894</v>
      </c>
      <c r="H23" s="94">
        <f>Model!CF196</f>
        <v>15.0789504598886</v>
      </c>
      <c r="I23" s="302">
        <f>IFERROR((H23/C23)^(1/5)-1,"n/m")</f>
        <v>-2.7651349797141</v>
      </c>
      <c r="N23" s="79" t="inlineStr">
        <is>
          <t>Core EPS ($)</t>
        </is>
      </c>
      <c r="O23" s="93" t="n">
        <v>-0.193083164694393</v>
      </c>
      <c r="P23" s="94" t="n">
        <v>5.94344258801663</v>
      </c>
      <c r="Q23" s="94" t="n">
        <v>9.7476793462109</v>
      </c>
      <c r="R23" s="94" t="n">
        <v>13.9300003657275</v>
      </c>
      <c r="S23" s="94" t="n">
        <v>17.7734931024917</v>
      </c>
      <c r="T23" s="94" t="n">
        <v>21.4325676375077</v>
      </c>
      <c r="U23" s="302" t="n">
        <v>-3.56487354965762</v>
      </c>
      <c r="Z23" s="79" t="inlineStr">
        <is>
          <t>Core EPS ($)</t>
        </is>
      </c>
      <c r="AA23" s="93" t="n">
        <v>-1.62628824097182</v>
      </c>
      <c r="AB23" s="94" t="n">
        <v>1.63084536568847</v>
      </c>
      <c r="AC23" s="94" t="n">
        <v>3.9627082556933</v>
      </c>
      <c r="AD23" s="94" t="n">
        <v>6.32041736687812</v>
      </c>
      <c r="AE23" s="94" t="n">
        <v>8.00800427159551</v>
      </c>
      <c r="AF23" s="94" t="n">
        <v>9.128672224167691</v>
      </c>
      <c r="AG23" s="302" t="n">
        <v>-2.41202380462788</v>
      </c>
    </row>
    <row r="24" ht="15" customHeight="1" s="251">
      <c r="B24" s="83" t="inlineStr">
        <is>
          <t xml:space="preserve">   EPS y/y %</t>
        </is>
      </c>
      <c r="C24" s="303" t="n"/>
      <c r="D24" s="304">
        <f>IFERROR(D23/C23-1,"")</f>
        <v>-5.73845665704268</v>
      </c>
      <c r="E24" s="304">
        <f>IFERROR(E23/D23-1,"")</f>
        <v>0.71876665859481</v>
      </c>
      <c r="F24" s="304">
        <f>IFERROR(F23/E23-1,"")</f>
        <v>0.456578780562441</v>
      </c>
      <c r="G24" s="304">
        <f>IFERROR(G23/F23-1,"")</f>
        <v>0.24419834366052</v>
      </c>
      <c r="H24" s="304">
        <f>IFERROR(H23/G23-1,"")</f>
        <v>0.160946419992612</v>
      </c>
      <c r="N24" s="83" t="inlineStr">
        <is>
          <t xml:space="preserve">   EPS y/y %</t>
        </is>
      </c>
      <c r="O24" s="303" t="n"/>
      <c r="P24" s="304" t="n">
        <v>-31.7817752905788</v>
      </c>
      <c r="Q24" s="304" t="n">
        <v>0.640072937839847</v>
      </c>
      <c r="R24" s="304" t="n">
        <v>0.429058124602993</v>
      </c>
      <c r="S24" s="304" t="n">
        <v>0.27591476208576</v>
      </c>
      <c r="T24" s="304" t="n">
        <v>0.205872560554964</v>
      </c>
      <c r="Z24" s="83" t="inlineStr">
        <is>
          <t xml:space="preserve">   EPS y/y %</t>
        </is>
      </c>
      <c r="AA24" s="303" t="n"/>
      <c r="AB24" s="304" t="n">
        <v>-2.00280216298798</v>
      </c>
      <c r="AC24" s="304" t="n">
        <v>1.42984916845285</v>
      </c>
      <c r="AD24" s="304" t="n">
        <v>0.594974184081668</v>
      </c>
      <c r="AE24" s="304" t="n">
        <v>0.267005611616904</v>
      </c>
      <c r="AF24" s="304" t="n">
        <v>0.139943475872909</v>
      </c>
    </row>
    <row r="26" ht="15" customHeight="1" s="251">
      <c r="B26" s="83" t="inlineStr">
        <is>
          <t>P / E (x) — assumed (core EPS)</t>
        </is>
      </c>
      <c r="C26" s="305" t="n"/>
      <c r="D26" s="305" t="n"/>
      <c r="E26" s="305" t="n"/>
      <c r="F26" s="305" t="n"/>
      <c r="G26" s="305" t="n">
        <v>30</v>
      </c>
      <c r="H26" s="305" t="n">
        <v>30</v>
      </c>
      <c r="N26" s="83" t="inlineStr">
        <is>
          <t>P / E (x) — assumed (core EPS)</t>
        </is>
      </c>
      <c r="O26" s="305" t="n"/>
      <c r="P26" s="305" t="n"/>
      <c r="Q26" s="305" t="n"/>
      <c r="R26" s="305" t="n"/>
      <c r="S26" s="305" t="n">
        <v>34</v>
      </c>
      <c r="T26" s="305" t="n">
        <v>34</v>
      </c>
      <c r="Z26" s="83" t="inlineStr">
        <is>
          <t>P / E (x) — assumed (core EPS)</t>
        </is>
      </c>
      <c r="AA26" s="305" t="n"/>
      <c r="AB26" s="305" t="n"/>
      <c r="AC26" s="305" t="n"/>
      <c r="AD26" s="305" t="n">
        <v>22</v>
      </c>
      <c r="AE26" s="305" t="n">
        <v>22</v>
      </c>
      <c r="AF26" s="305" t="n">
        <v>22</v>
      </c>
    </row>
    <row r="27" ht="15" customHeight="1" s="251">
      <c r="B27" s="10" t="inlineStr">
        <is>
          <t>Price Target ($)</t>
        </is>
      </c>
      <c r="C27" s="96" t="n"/>
      <c r="D27" s="96" t="n"/>
      <c r="E27" s="96" t="n"/>
      <c r="F27" s="96" t="n"/>
      <c r="G27" s="96">
        <f>G26*G23</f>
        <v>389.654945315682</v>
      </c>
      <c r="H27" s="96">
        <f>H26*H23</f>
        <v>452.368513796658</v>
      </c>
      <c r="N27" s="10" t="inlineStr">
        <is>
          <t>Price Target ($)</t>
        </is>
      </c>
      <c r="O27" s="96" t="n"/>
      <c r="P27" s="96" t="n"/>
      <c r="Q27" s="96" t="n"/>
      <c r="R27" s="96" t="n"/>
      <c r="S27" s="96">
        <f>S26*S23</f>
        <v>604.298765484718</v>
      </c>
      <c r="T27" s="96">
        <f>T26*T23</f>
        <v>728.707299675262</v>
      </c>
      <c r="Z27" s="10" t="inlineStr">
        <is>
          <t>Price Target ($)</t>
        </is>
      </c>
      <c r="AA27" s="96" t="n"/>
      <c r="AB27" s="96" t="n"/>
      <c r="AC27" s="96" t="n"/>
      <c r="AD27" s="96">
        <f>AD26*AD23</f>
        <v>139.049182071319</v>
      </c>
      <c r="AE27" s="96">
        <f>AE26*AE23</f>
        <v>176.176093975101</v>
      </c>
      <c r="AF27" s="96">
        <f>AF26*AF23</f>
        <v>200.830788931689</v>
      </c>
    </row>
    <row r="28" ht="15" customHeight="1" s="251">
      <c r="B28" t="inlineStr">
        <is>
          <t xml:space="preserve">   Upside / (Downside) vs current</t>
        </is>
      </c>
      <c r="E28" s="306" t="n"/>
      <c r="F28" s="306" t="n"/>
      <c r="G28" s="306">
        <f>IFERROR(G27/$K$2-1,"")</f>
        <v>1.10624294765234</v>
      </c>
      <c r="H28" s="306">
        <f>IFERROR(H27/$K$2-1,"")</f>
        <v>1.44523520971167</v>
      </c>
      <c r="N28" t="inlineStr">
        <is>
          <t xml:space="preserve">   Upside / (Downside) vs current</t>
        </is>
      </c>
      <c r="O28" s="306" t="n"/>
      <c r="P28" s="306" t="n"/>
      <c r="Q28" s="306" t="n"/>
      <c r="R28" s="306" t="n"/>
      <c r="S28" s="306">
        <f>IFERROR(S27/$K$2-1,"")</f>
        <v>2.26647981343091</v>
      </c>
      <c r="T28" s="306">
        <f>IFERROR(T27/$K$2-1,"")</f>
        <v>2.93895837662304</v>
      </c>
      <c r="Z28" t="inlineStr">
        <is>
          <t xml:space="preserve">   Upside / (Downside) vs current</t>
        </is>
      </c>
      <c r="AA28" s="306" t="n"/>
      <c r="AB28" s="306" t="n"/>
      <c r="AC28" s="306" t="n"/>
      <c r="AD28" s="306">
        <f>IFERROR(AD27/$K$2-1,"")</f>
        <v>-0.248382799614494</v>
      </c>
      <c r="AE28" s="306">
        <f>IFERROR(AE27/$K$2-1,"")</f>
        <v>-0.0476967893237772</v>
      </c>
      <c r="AF28" s="306">
        <f>IFERROR(AF27/$K$2-1,"")</f>
        <v>0.0855718320631849</v>
      </c>
    </row>
    <row r="29" ht="15" customHeight="1" s="251">
      <c r="B29" s="75" t="inlineStr">
        <is>
          <t>IRR (to 31-Dec of Y-1)</t>
        </is>
      </c>
      <c r="C29" s="307" t="n"/>
      <c r="D29" s="307" t="n"/>
      <c r="E29" s="307" t="n"/>
      <c r="F29" s="307" t="n"/>
      <c r="G29" s="307">
        <f>IFERROR((G27/$K$2)^(1/((DATE(2030-1,12,31)-$K$3)/365.25))-1,"")</f>
        <v>0.259815210737055</v>
      </c>
      <c r="H29" s="307">
        <f>IFERROR((H27/$K$2)^(1/((DATE(2031-1,12,31)-$K$3)/365.25))-1,"")</f>
        <v>0.235722650151989</v>
      </c>
      <c r="N29" s="75" t="inlineStr">
        <is>
          <t>IRR (to 31-Dec of Y-1)</t>
        </is>
      </c>
      <c r="O29" s="307" t="n"/>
      <c r="P29" s="307" t="n"/>
      <c r="Q29" s="307" t="n"/>
      <c r="R29" s="307" t="n"/>
      <c r="S29" s="307">
        <f>IFERROR((S27/$K$2)^(1/((DATE(2030-1,12,31)-$K$3)/365.25))-1,"")</f>
        <v>0.443428717298288</v>
      </c>
      <c r="T29" s="307">
        <f>IFERROR((T27/$K$2)^(1/((DATE(2031-1,12,31)-$K$3)/365.25))-1,"")</f>
        <v>0.383360037789151</v>
      </c>
      <c r="Z29" s="75" t="inlineStr">
        <is>
          <t>IRR (to 31-Dec of Y-1)</t>
        </is>
      </c>
      <c r="AA29" s="307" t="n"/>
      <c r="AB29" s="307" t="n"/>
      <c r="AC29" s="307" t="n"/>
      <c r="AD29" s="307">
        <f>IFERROR((AD27/$K$2)^(1/((DATE(2029-1,12,31)-$K$3)/365.25))-1,"")</f>
        <v>-0.120390249438509</v>
      </c>
      <c r="AE29" s="307">
        <f>IFERROR((AE27/$K$2)^(1/((DATE(2030-1,12,31)-$K$3)/365.25))-1,"")</f>
        <v>-0.0150389295204153</v>
      </c>
      <c r="AF29" s="307">
        <f>IFERROR((AF27/$K$2)^(1/((DATE(2031-1,12,31)-$K$3)/365.25))-1,"")</f>
        <v>0.0196259704385624</v>
      </c>
    </row>
    <row r="31" ht="15" customHeight="1" s="251">
      <c r="B31" s="79" t="inlineStr">
        <is>
          <t>Free Cash Flow</t>
        </is>
      </c>
      <c r="C31" s="80">
        <f>Model!CA250</f>
        <v>2000</v>
      </c>
      <c r="D31" s="81">
        <f>Model!CB250</f>
        <v>6649.51127207672</v>
      </c>
      <c r="E31" s="81">
        <f>Model!CC250</f>
        <v>10560.6297924284</v>
      </c>
      <c r="F31" s="81">
        <f>Model!CD250</f>
        <v>13446.4619548669</v>
      </c>
      <c r="G31" s="81">
        <f>Model!CE250</f>
        <v>14562.9783923328</v>
      </c>
      <c r="H31" s="81">
        <f>Model!CF250</f>
        <v>15071.8821269263</v>
      </c>
      <c r="I31" s="302">
        <f>IFERROR((H31/C31)^(1/5)-1,"n/m")</f>
        <v>0.4977092038431</v>
      </c>
      <c r="N31" s="79" t="inlineStr">
        <is>
          <t>Free Cash Flow</t>
        </is>
      </c>
      <c r="O31" s="80" t="n">
        <v>3000.00000000001</v>
      </c>
      <c r="P31" s="81" t="n">
        <v>9192.579666759289</v>
      </c>
      <c r="Q31" s="81" t="n">
        <v>12809.6288071781</v>
      </c>
      <c r="R31" s="81" t="n">
        <v>15782.7858245674</v>
      </c>
      <c r="S31" s="81" t="n">
        <v>17133.5078817872</v>
      </c>
      <c r="T31" s="81" t="n">
        <v>17921.1577945907</v>
      </c>
      <c r="U31" s="302" t="n">
        <v>0.429713315029618</v>
      </c>
      <c r="Z31" s="79" t="inlineStr">
        <is>
          <t>Free Cash Flow</t>
        </is>
      </c>
      <c r="AA31" s="80" t="n">
        <v>1000</v>
      </c>
      <c r="AB31" s="81" t="n">
        <v>2727.40626423899</v>
      </c>
      <c r="AC31" s="81" t="n">
        <v>7381.33712574749</v>
      </c>
      <c r="AD31" s="81" t="n">
        <v>9714.96143259225</v>
      </c>
      <c r="AE31" s="81" t="n">
        <v>10840.568024551</v>
      </c>
      <c r="AF31" s="81" t="n">
        <v>11209.1805389352</v>
      </c>
      <c r="AG31" s="302" t="n">
        <v>0.621491859989267</v>
      </c>
    </row>
    <row r="32" ht="15" customHeight="1" s="251">
      <c r="B32" s="83" t="inlineStr">
        <is>
          <t xml:space="preserve">   FCF %</t>
        </is>
      </c>
      <c r="C32" s="88">
        <f>IFERROR(C31/C9,"")</f>
        <v>0.0205603711134316</v>
      </c>
      <c r="D32" s="89">
        <f>IFERROR(D31/D9,"")</f>
        <v>0.0623790854701419</v>
      </c>
      <c r="E32" s="89">
        <f>IFERROR(E31/E9,"")</f>
        <v>0.0912118453803778</v>
      </c>
      <c r="F32" s="89">
        <f>IFERROR(F31/F9,"")</f>
        <v>0.108606944416794</v>
      </c>
      <c r="G32" s="89">
        <f>IFERROR(G31/G9,"")</f>
        <v>0.112098392518876</v>
      </c>
      <c r="H32" s="89">
        <f>IFERROR(H31/H9,"")</f>
        <v>0.111227046792065</v>
      </c>
      <c r="J32" s="90">
        <f>IFERROR(AVERAGE(Model!C254,Model!D254,Model!E254,Model!F254,Model!G254,Model!H254,Model!I254,Model!N254,Model!S254,Model!X254,Model!AC254,Model!AH254,Model!AM254,Model!AR254,Model!AW254,Model!BB254,Model!BG254,Model!BL254,Model!BQ254,Model!BV254),"")</f>
        <v>0.0161790185886974</v>
      </c>
      <c r="K32" s="90">
        <f>IFERROR(MIN(Model!C254,Model!D254,Model!E254,Model!F254,Model!G254,Model!H254,Model!I254,Model!N254,Model!S254,Model!X254,Model!AC254,Model!AH254,Model!AM254,Model!AR254,Model!AW254,Model!BB254,Model!BG254,Model!BL254,Model!BQ254,Model!BV254),"")</f>
        <v>-0.338955947591045</v>
      </c>
      <c r="L32" s="90">
        <f>IFERROR(MAX(Model!C254,Model!D254,Model!E254,Model!F254,Model!G254,Model!H254,Model!I254,Model!N254,Model!S254,Model!X254,Model!AC254,Model!AH254,Model!AM254,Model!AR254,Model!AW254,Model!BB254,Model!BG254,Model!BL254,Model!BQ254,Model!BV254),"")</f>
        <v>0.134484361248727</v>
      </c>
      <c r="N32" s="83" t="inlineStr">
        <is>
          <t xml:space="preserve">   FCF %</t>
        </is>
      </c>
      <c r="O32" s="88" t="n">
        <v>0.0305264294909106</v>
      </c>
      <c r="P32" s="89" t="n">
        <v>0.0827545519163382</v>
      </c>
      <c r="Q32" s="89" t="n">
        <v>0.105031748756874</v>
      </c>
      <c r="R32" s="89" t="n">
        <v>0.11966995764785</v>
      </c>
      <c r="S32" s="89" t="n">
        <v>0.122352857161854</v>
      </c>
      <c r="T32" s="89" t="n">
        <v>0.121228232933156</v>
      </c>
      <c r="V32" s="90" t="n">
        <v>0.0161790185886974</v>
      </c>
      <c r="W32" s="90" t="n">
        <v>-0.338955947591045</v>
      </c>
      <c r="X32" s="90" t="n">
        <v>0.134484361248727</v>
      </c>
      <c r="Z32" s="83" t="inlineStr">
        <is>
          <t xml:space="preserve">   FCF %</t>
        </is>
      </c>
      <c r="AA32" s="88" t="n">
        <v>0.0104595730710558</v>
      </c>
      <c r="AB32" s="89" t="n">
        <v>0.0275854620847395</v>
      </c>
      <c r="AC32" s="89" t="n">
        <v>0.069524404048384</v>
      </c>
      <c r="AD32" s="89" t="n">
        <v>0.0866357678320132</v>
      </c>
      <c r="AE32" s="89" t="n">
        <v>0.0933925783420089</v>
      </c>
      <c r="AF32" s="89" t="n">
        <v>0.0938890956521133</v>
      </c>
      <c r="AH32" s="90" t="n">
        <v>0.0161790185886974</v>
      </c>
      <c r="AI32" s="90" t="n">
        <v>-0.338955947591045</v>
      </c>
      <c r="AJ32" s="90" t="n">
        <v>0.134484361248727</v>
      </c>
    </row>
    <row r="33" ht="15" customHeight="1" s="251">
      <c r="B33" s="83" t="inlineStr">
        <is>
          <t xml:space="preserve">   FCF / share ($)</t>
        </is>
      </c>
      <c r="C33" s="99">
        <f>IFERROR(C31/C21,"")</f>
        <v>2.526263323692</v>
      </c>
      <c r="D33" s="100">
        <f>IFERROR(D31/D21,"")</f>
        <v>7.83385278055614</v>
      </c>
      <c r="E33" s="100">
        <f>IFERROR(E31/E21,"")</f>
        <v>12.4426551667434</v>
      </c>
      <c r="F33" s="100">
        <f>IFERROR(F31/F21,"")</f>
        <v>16.2457109696407</v>
      </c>
      <c r="G33" s="100">
        <f>IFERROR(G31/G21,"")</f>
        <v>18.7901296475159</v>
      </c>
      <c r="H33" s="100">
        <f>IFERROR(H31/H21,"")</f>
        <v>20.8421174690435</v>
      </c>
      <c r="N33" s="83" t="inlineStr">
        <is>
          <t xml:space="preserve">   FCF / share ($)</t>
        </is>
      </c>
      <c r="O33" s="99" t="n">
        <v>3.789394985538</v>
      </c>
      <c r="P33" s="100" t="n">
        <v>10.8298659610266</v>
      </c>
      <c r="Q33" s="100" t="n">
        <v>15.6321835593551</v>
      </c>
      <c r="R33" s="100" t="n">
        <v>20.818588944251</v>
      </c>
      <c r="S33" s="100" t="n">
        <v>24.9716902518415</v>
      </c>
      <c r="T33" s="100" t="n">
        <v>28.9800805241353</v>
      </c>
      <c r="Z33" s="83" t="inlineStr">
        <is>
          <t xml:space="preserve">   FCF / share ($)</t>
        </is>
      </c>
      <c r="AA33" s="99" t="n">
        <v>1.263131661846</v>
      </c>
      <c r="AB33" s="100" t="n">
        <v>3.21318338635464</v>
      </c>
      <c r="AC33" s="100" t="n">
        <v>8.696776075893251</v>
      </c>
      <c r="AD33" s="100" t="n">
        <v>11.3233708722957</v>
      </c>
      <c r="AE33" s="100" t="n">
        <v>12.6858120508579</v>
      </c>
      <c r="AF33" s="100" t="n">
        <v>13.5026323695614</v>
      </c>
    </row>
    <row r="34" ht="15" customHeight="1" s="251">
      <c r="B34" s="83" t="inlineStr">
        <is>
          <t xml:space="preserve">   FCF Yield (on PT)</t>
        </is>
      </c>
      <c r="E34" s="101" t="n"/>
      <c r="F34" s="101">
        <f>IFERROR(F33/F$27,"")</f>
      </c>
      <c r="G34" s="101">
        <f>IFERROR(G33/G$27,"")</f>
        <v>0.0482224847224585</v>
      </c>
      <c r="H34" s="101">
        <f>IFERROR(H33/H$27,"")</f>
        <v>0.0460733159656027</v>
      </c>
      <c r="N34" s="83" t="inlineStr">
        <is>
          <t xml:space="preserve">   FCF Yield (on PT)</t>
        </is>
      </c>
      <c r="Q34" s="101" t="n"/>
      <c r="R34" s="101">
        <f>IFERROR(R33/R$27,"")</f>
      </c>
      <c r="S34" s="101">
        <f>IFERROR(S33/S$27,"")</f>
        <v>0.0413234176174616</v>
      </c>
      <c r="T34" s="101">
        <f>IFERROR(T33/T$27,"")</f>
        <v>0.0397691645699856</v>
      </c>
      <c r="Z34" s="83" t="inlineStr">
        <is>
          <t xml:space="preserve">   FCF Yield (on PT)</t>
        </is>
      </c>
      <c r="AC34" s="101" t="n"/>
      <c r="AD34" s="101">
        <f>IFERROR(AD33/AD$27,"")</f>
        <v>0.0814342860822289</v>
      </c>
      <c r="AE34" s="101">
        <f>IFERROR(AE33/AE$27,"")</f>
        <v>0.0720064326812171</v>
      </c>
      <c r="AF34" s="101">
        <f>IFERROR(AF33/AF$27,"")</f>
        <v>0.0672338760475327</v>
      </c>
    </row>
    <row r="35" ht="15" customHeight="1" s="251">
      <c r="B35" s="79" t="inlineStr">
        <is>
          <t>Adjusted EBITDA (leverage basis)</t>
        </is>
      </c>
      <c r="C35" s="80">
        <f>Model!CA180</f>
        <v>3756.1119264075</v>
      </c>
      <c r="D35" s="81">
        <f>Model!CB180</f>
        <v>8041.54122330181</v>
      </c>
      <c r="E35" s="81">
        <f>Model!CC180</f>
        <v>10955.6848819021</v>
      </c>
      <c r="F35" s="81">
        <f>Model!CD180</f>
        <v>13897.5385609953</v>
      </c>
      <c r="G35" s="81">
        <f>Model!CE180</f>
        <v>16211.1295841103</v>
      </c>
      <c r="H35" s="81">
        <f>Model!CF180</f>
        <v>17739.7991711458</v>
      </c>
      <c r="I35" s="302">
        <f>IFERROR((H35/C35)^(1/5)-1,"n/m")</f>
        <v>0.364086889230874</v>
      </c>
      <c r="N35" s="79" t="inlineStr">
        <is>
          <t>Adjusted EBITDA (leverage basis)</t>
        </is>
      </c>
      <c r="O35" s="80" t="n">
        <v>4360.3548000571</v>
      </c>
      <c r="P35" s="81" t="n">
        <v>9786.906155662689</v>
      </c>
      <c r="Q35" s="81" t="n">
        <v>13144.4028343822</v>
      </c>
      <c r="R35" s="81" t="n">
        <v>16582.0409512878</v>
      </c>
      <c r="S35" s="81" t="n">
        <v>19376.4215658152</v>
      </c>
      <c r="T35" s="81" t="n">
        <v>21354.6566511464</v>
      </c>
      <c r="U35" s="302" t="n">
        <v>0.374023475486633</v>
      </c>
      <c r="Z35" s="79" t="inlineStr">
        <is>
          <t>Adjusted EBITDA (leverage basis)</t>
        </is>
      </c>
      <c r="AA35" s="80" t="n">
        <v>3099.63896745307</v>
      </c>
      <c r="AB35" s="81" t="n">
        <v>5496.49232103289</v>
      </c>
      <c r="AC35" s="81" t="n">
        <v>7811.78348095325</v>
      </c>
      <c r="AD35" s="81" t="n">
        <v>10126.9061141799</v>
      </c>
      <c r="AE35" s="81" t="n">
        <v>11882.4261508742</v>
      </c>
      <c r="AF35" s="81" t="n">
        <v>12927.729492915</v>
      </c>
      <c r="AG35" s="302" t="n">
        <v>0.330583791583728</v>
      </c>
    </row>
    <row r="36" ht="15" customHeight="1" s="251">
      <c r="B36" s="83" t="inlineStr">
        <is>
          <t xml:space="preserve">   Adjusted EBITDA % of revenues</t>
        </is>
      </c>
      <c r="C36" s="88">
        <f>IFERROR(C35/C9,"")</f>
        <v>0.0386135275752622</v>
      </c>
      <c r="D36" s="89">
        <f>IFERROR(D35/D9,"")</f>
        <v>0.0754377226769254</v>
      </c>
      <c r="E36" s="89">
        <f>IFERROR(E35/E9,"")</f>
        <v>0.0946239244368406</v>
      </c>
      <c r="F36" s="89">
        <f>IFERROR(F35/F9,"")</f>
        <v>0.112250285843999</v>
      </c>
      <c r="G36" s="89">
        <f>IFERROR(G35/G9,"")</f>
        <v>0.12478502119118</v>
      </c>
      <c r="H36" s="89">
        <f>IFERROR(H35/H9,"")</f>
        <v>0.130915665069182</v>
      </c>
      <c r="J36" s="90">
        <f>IFERROR(AVERAGE(Model!C214,Model!D214,Model!E214,Model!F214,Model!G214,Model!H214,Model!I214,Model!N214,Model!S214,Model!X214,Model!AC214,Model!AH214,Model!AM214,Model!AR214,Model!AW214,Model!BB214,Model!BG214,Model!BL214,Model!BQ214,Model!BV214),"")</f>
        <v>0.0471445646378596</v>
      </c>
      <c r="K36" s="90">
        <f>IFERROR(MIN(Model!C214,Model!D214,Model!E214,Model!F214,Model!G214,Model!H214,Model!I214,Model!N214,Model!S214,Model!X214,Model!AC214,Model!AH214,Model!AM214,Model!AR214,Model!AW214,Model!BB214,Model!BG214,Model!BL214,Model!BQ214,Model!BV214),"")</f>
        <v>-0.204683792427525</v>
      </c>
      <c r="L36" s="90">
        <f>IFERROR(MAX(Model!C214,Model!D214,Model!E214,Model!F214,Model!G214,Model!H214,Model!I214,Model!N214,Model!S214,Model!X214,Model!AC214,Model!AH214,Model!AM214,Model!AR214,Model!AW214,Model!BB214,Model!BG214,Model!BL214,Model!BQ214,Model!BV214),"")</f>
        <v>0.126316414014062</v>
      </c>
      <c r="N36" s="83" t="inlineStr">
        <is>
          <t xml:space="preserve">   Adjusted EBITDA % of revenues</t>
        </is>
      </c>
      <c r="O36" s="88" t="n">
        <v>0.0443686877864322</v>
      </c>
      <c r="P36" s="89" t="n">
        <v>0.08810486967959461</v>
      </c>
      <c r="Q36" s="89" t="n">
        <v>0.107776707416092</v>
      </c>
      <c r="R36" s="89" t="n">
        <v>0.125730156919867</v>
      </c>
      <c r="S36" s="89" t="n">
        <v>0.138369828088162</v>
      </c>
      <c r="T36" s="89" t="n">
        <v>0.144454243435887</v>
      </c>
      <c r="V36" s="90" t="n">
        <v>0.0471445646378596</v>
      </c>
      <c r="W36" s="90" t="n">
        <v>-0.204683792427525</v>
      </c>
      <c r="X36" s="90" t="n">
        <v>0.126316414014062</v>
      </c>
      <c r="Z36" s="83" t="inlineStr">
        <is>
          <t xml:space="preserve">   Adjusted EBITDA % of revenues</t>
        </is>
      </c>
      <c r="AA36" s="88" t="n">
        <v>0.0324209002739674</v>
      </c>
      <c r="AB36" s="89" t="n">
        <v>0.0555924808522141</v>
      </c>
      <c r="AC36" s="89" t="n">
        <v>0.0735787543389418</v>
      </c>
      <c r="AD36" s="89" t="n">
        <v>0.0903093947466742</v>
      </c>
      <c r="AE36" s="89" t="n">
        <v>0.102368290358532</v>
      </c>
      <c r="AF36" s="89" t="n">
        <v>0.108283814923748</v>
      </c>
      <c r="AH36" s="90" t="n">
        <v>0.0471445646378596</v>
      </c>
      <c r="AI36" s="90" t="n">
        <v>-0.204683792427525</v>
      </c>
      <c r="AJ36" s="90" t="n">
        <v>0.126316414014062</v>
      </c>
    </row>
    <row r="38" ht="15" customHeight="1" s="251">
      <c r="B38" s="79" t="inlineStr">
        <is>
          <t>Net Debt</t>
        </is>
      </c>
      <c r="C38" s="80">
        <f>Model!CA389</f>
        <v>23227.5</v>
      </c>
      <c r="D38" s="81">
        <f>Model!CB389</f>
        <v>16850.1887279233</v>
      </c>
      <c r="E38" s="81">
        <f>Model!CC389</f>
        <v>6289.55893549486</v>
      </c>
      <c r="F38" s="81">
        <f>Model!CD389</f>
        <v>6948.76928049763</v>
      </c>
      <c r="G38" s="81">
        <f>Model!CE389</f>
        <v>8105.56479205513</v>
      </c>
      <c r="H38" s="81">
        <f>Model!CF389</f>
        <v>8869.89958557288</v>
      </c>
      <c r="N38" s="79" t="inlineStr">
        <is>
          <t>Net Debt</t>
        </is>
      </c>
      <c r="O38" s="80" t="n">
        <v>22227.5</v>
      </c>
      <c r="P38" s="81" t="n">
        <v>13307.1203332407</v>
      </c>
      <c r="Q38" s="81" t="n">
        <v>13144.4028343822</v>
      </c>
      <c r="R38" s="81" t="n">
        <v>16582.0409512878</v>
      </c>
      <c r="S38" s="81" t="n">
        <v>19376.4215658152</v>
      </c>
      <c r="T38" s="81" t="n">
        <v>21354.6566511464</v>
      </c>
      <c r="Z38" s="79" t="inlineStr">
        <is>
          <t>Net Debt</t>
        </is>
      </c>
      <c r="AA38" s="80" t="n">
        <v>24227.5</v>
      </c>
      <c r="AB38" s="81" t="n">
        <v>21772.293735761</v>
      </c>
      <c r="AC38" s="81" t="n">
        <v>14390.9566100135</v>
      </c>
      <c r="AD38" s="81" t="n">
        <v>4675.99517742128</v>
      </c>
      <c r="AE38" s="81" t="n">
        <v>0</v>
      </c>
      <c r="AF38" s="81" t="n">
        <v>0</v>
      </c>
    </row>
    <row r="39" ht="15" customHeight="1" s="251">
      <c r="B39" s="83" t="inlineStr">
        <is>
          <t xml:space="preserve">   Net Debt / Adjusted EBITDA (x)</t>
        </is>
      </c>
      <c r="C39" s="102">
        <f>IFERROR(C38/C35,"")</f>
        <v>6.18392115439855</v>
      </c>
      <c r="D39" s="103">
        <f>IFERROR(D38/D35,"")</f>
        <v>2.09539294272307</v>
      </c>
      <c r="E39" s="103">
        <f>IFERROR(E38/E35,"")</f>
        <v>0.5740908946628</v>
      </c>
      <c r="F39" s="103">
        <f>IFERROR(F38/F35,"")</f>
        <v>0.5</v>
      </c>
      <c r="G39" s="103">
        <f>IFERROR(G38/G35,"")</f>
        <v>0.5</v>
      </c>
      <c r="H39" s="103">
        <f>IFERROR(H38/H35,"")</f>
        <v>0.5</v>
      </c>
      <c r="N39" s="83" t="inlineStr">
        <is>
          <t xml:space="preserve">   Net Debt / Adjusted EBITDA (x)</t>
        </is>
      </c>
      <c r="O39" s="102" t="n">
        <v>5.09763563270331</v>
      </c>
      <c r="P39" s="103" t="n">
        <v>1.35968610729359</v>
      </c>
      <c r="Q39" s="103" t="n">
        <v>1</v>
      </c>
      <c r="R39" s="103" t="n">
        <v>1</v>
      </c>
      <c r="S39" s="103" t="n">
        <v>1</v>
      </c>
      <c r="T39" s="103" t="n">
        <v>1</v>
      </c>
      <c r="Z39" s="83" t="inlineStr">
        <is>
          <t xml:space="preserve">   Net Debt / Adjusted EBITDA (x)</t>
        </is>
      </c>
      <c r="AA39" s="102" t="n">
        <v>7.81623287563307</v>
      </c>
      <c r="AB39" s="103" t="n">
        <v>3.9611251074521</v>
      </c>
      <c r="AC39" s="103" t="n">
        <v>1.84221140346525</v>
      </c>
      <c r="AD39" s="103" t="n">
        <v>0.4617397578984</v>
      </c>
      <c r="AE39" s="103" t="n">
        <v>0</v>
      </c>
      <c r="AF39" s="103" t="n">
        <v>0</v>
      </c>
    </row>
    <row r="40" ht="15" customHeight="1" s="251">
      <c r="B40" s="252" t="inlineStr">
        <is>
          <t xml:space="preserve">   Share repurchases ($m; 2026E = 2H)</t>
        </is>
      </c>
      <c r="C40" s="102" t="n"/>
      <c r="D40" s="248">
        <f>Model!CB264</f>
        <v>0</v>
      </c>
      <c r="E40" s="248">
        <f>Model!CC264</f>
        <v>0</v>
      </c>
      <c r="F40" s="248">
        <f>Model!CD264</f>
        <v>14105.6722998696</v>
      </c>
      <c r="G40" s="248">
        <f>Model!CE264</f>
        <v>15719.7739038903</v>
      </c>
      <c r="H40" s="248">
        <f>Model!CF264</f>
        <v>15836.216920444</v>
      </c>
      <c r="N40" s="252" t="inlineStr">
        <is>
          <t xml:space="preserve">   Share repurchases ($m; 2026E = 2H)</t>
        </is>
      </c>
      <c r="O40" s="102" t="n"/>
      <c r="P40" s="248" t="n">
        <v>0</v>
      </c>
      <c r="Q40" s="248" t="n">
        <v>12646.9113083196</v>
      </c>
      <c r="R40" s="248" t="n">
        <v>19220.423941473</v>
      </c>
      <c r="S40" s="248" t="n">
        <v>19927.8884963146</v>
      </c>
      <c r="T40" s="248" t="n">
        <v>19899.3928799219</v>
      </c>
      <c r="Z40" s="83" t="n"/>
      <c r="AA40" s="102" t="n"/>
      <c r="AB40" s="103" t="n">
        <v>0</v>
      </c>
      <c r="AC40" s="103" t="n">
        <v>0</v>
      </c>
      <c r="AD40" s="103" t="n">
        <v>0</v>
      </c>
      <c r="AE40" s="103" t="n">
        <v>6164.57284712976</v>
      </c>
      <c r="AF40" s="103" t="n">
        <v>11209.1805389352</v>
      </c>
    </row>
    <row r="41" ht="15" customHeight="1" s="251">
      <c r="B41" s="252" t="inlineStr">
        <is>
          <t xml:space="preserve">   Implied avg buyback price ($)</t>
        </is>
      </c>
      <c r="C41" s="102" t="n"/>
      <c r="D41" s="249">
        <f>Model!CB263</f>
        <v>199.8</v>
      </c>
      <c r="E41" s="249">
        <f>Model!CC263</f>
        <v>215.784</v>
      </c>
      <c r="F41" s="249">
        <f>Model!CD263</f>
        <v>233.04672</v>
      </c>
      <c r="G41" s="249">
        <f>Model!CE263</f>
        <v>251.6904576</v>
      </c>
      <c r="H41" s="249">
        <f>Model!CF263</f>
        <v>271.825694208</v>
      </c>
      <c r="N41" s="252" t="inlineStr">
        <is>
          <t xml:space="preserve">   Implied avg buyback price ($)</t>
        </is>
      </c>
      <c r="O41" s="102" t="n"/>
      <c r="P41" s="249" t="n">
        <v>199.8</v>
      </c>
      <c r="Q41" s="249" t="n">
        <v>215.784</v>
      </c>
      <c r="R41" s="249" t="n">
        <v>233.04672</v>
      </c>
      <c r="S41" s="249" t="n">
        <v>251.6904576</v>
      </c>
      <c r="T41" s="249" t="n">
        <v>271.825694208</v>
      </c>
      <c r="Z41" s="83" t="n"/>
      <c r="AA41" s="102" t="n"/>
      <c r="AB41" s="103" t="n">
        <v>199.8</v>
      </c>
      <c r="AC41" s="103" t="n">
        <v>215.784</v>
      </c>
      <c r="AD41" s="103" t="n">
        <v>233.04672</v>
      </c>
      <c r="AE41" s="103" t="n">
        <v>251.6904576</v>
      </c>
      <c r="AF41" s="103" t="n">
        <v>271.825694208</v>
      </c>
    </row>
    <row r="42" ht="15" customHeight="1" s="251">
      <c r="B42" s="252" t="inlineStr">
        <is>
          <t xml:space="preserve">   Shares repurchased (m)</t>
        </is>
      </c>
      <c r="C42" s="102" t="n"/>
      <c r="D42" s="250">
        <f>Model!CB265</f>
        <v>0</v>
      </c>
      <c r="E42" s="250">
        <f>Model!CC265</f>
        <v>0</v>
      </c>
      <c r="F42" s="250">
        <f>Model!CD265</f>
        <v>60.527229475144</v>
      </c>
      <c r="G42" s="250">
        <f>Model!CE265</f>
        <v>62.456773505784</v>
      </c>
      <c r="H42" s="250">
        <f>Model!CF265</f>
        <v>58.2587196791124</v>
      </c>
      <c r="N42" s="252" t="inlineStr">
        <is>
          <t xml:space="preserve">   Shares repurchased (m)</t>
        </is>
      </c>
      <c r="O42" s="102" t="n"/>
      <c r="P42" s="250" t="n">
        <v>0</v>
      </c>
      <c r="Q42" s="250" t="n">
        <v>58.6091244407354</v>
      </c>
      <c r="R42" s="250" t="n">
        <v>82.4745524909038</v>
      </c>
      <c r="S42" s="250" t="n">
        <v>79.1761780972447</v>
      </c>
      <c r="T42" s="250" t="n">
        <v>73.2064455418809</v>
      </c>
      <c r="Z42" s="83" t="n"/>
      <c r="AA42" s="102" t="n"/>
      <c r="AB42" s="103" t="n">
        <v>0</v>
      </c>
      <c r="AC42" s="103" t="n">
        <v>0</v>
      </c>
      <c r="AD42" s="103" t="n">
        <v>0</v>
      </c>
      <c r="AE42" s="103" t="n">
        <v>24.4926760669124</v>
      </c>
      <c r="AF42" s="103" t="n">
        <v>41.2366482557679</v>
      </c>
    </row>
    <row r="44" ht="15" customHeight="1" s="251">
      <c r="B44" s="79" t="inlineStr">
        <is>
          <t>ROIC</t>
        </is>
      </c>
      <c r="C44" s="86">
        <f>Model!CA372</f>
        <v>0.0344653815442419</v>
      </c>
      <c r="D44" s="87">
        <f>Model!CB372</f>
        <v>0.143756393094452</v>
      </c>
      <c r="E44" s="87">
        <f>Model!CC372</f>
        <v>0.228384602482086</v>
      </c>
      <c r="F44" s="87">
        <f>Model!CD372</f>
        <v>0.333646544411829</v>
      </c>
      <c r="G44" s="87">
        <f>Model!CE372</f>
        <v>0.42813502892184</v>
      </c>
      <c r="H44" s="87">
        <f>Model!CF372</f>
        <v>0.502049675608521</v>
      </c>
      <c r="J44" s="90">
        <f>IFERROR(AVERAGE(Model!C372,Model!D372,Model!E372,Model!F372,Model!G372,Model!H372,Model!I372,Model!N372,Model!S372,Model!X372,Model!AC372,Model!AH372,Model!AM372,Model!AR372,Model!AW372,Model!BB372,Model!BG372,Model!BL372,Model!BQ372,Model!BV372),"")</f>
        <v>0.803337582032561</v>
      </c>
      <c r="K44" s="90">
        <f>IFERROR(MIN(Model!C372,Model!D372,Model!E372,Model!F372,Model!G372,Model!H372,Model!I372,Model!N372,Model!S372,Model!X372,Model!AC372,Model!AH372,Model!AM372,Model!AR372,Model!AW372,Model!BB372,Model!BG372,Model!BL372,Model!BQ372,Model!BV372),"")</f>
        <v>-0.569237875288684</v>
      </c>
      <c r="L44" s="90">
        <f>IFERROR(MAX(Model!C372,Model!D372,Model!E372,Model!F372,Model!G372,Model!H372,Model!I372,Model!N372,Model!S372,Model!X372,Model!AC372,Model!AH372,Model!AM372,Model!AR372,Model!AW372,Model!BB372,Model!BG372,Model!BL372,Model!BQ372,Model!BV372),"")</f>
        <v>4.4451875</v>
      </c>
      <c r="N44" s="79" t="inlineStr">
        <is>
          <t>ROIC</t>
        </is>
      </c>
      <c r="O44" s="86" t="n">
        <v>0.0507840144725982</v>
      </c>
      <c r="P44" s="87" t="n">
        <v>0.196278640879469</v>
      </c>
      <c r="Q44" s="87" t="n">
        <v>0.304594620111851</v>
      </c>
      <c r="R44" s="87" t="n">
        <v>0.445919728597672</v>
      </c>
      <c r="S44" s="87" t="n">
        <v>0.584196024598895</v>
      </c>
      <c r="T44" s="87" t="n">
        <v>0.708507094726771</v>
      </c>
      <c r="V44" s="90" t="n">
        <v>0.803337582032561</v>
      </c>
      <c r="W44" s="90" t="n">
        <v>-0.569237875288684</v>
      </c>
      <c r="X44" s="90" t="n">
        <v>4.4451875</v>
      </c>
      <c r="Z44" s="79" t="inlineStr">
        <is>
          <t>ROIC</t>
        </is>
      </c>
      <c r="AA44" s="86" t="n">
        <v>0.017325654944668</v>
      </c>
      <c r="AB44" s="87" t="n">
        <v>0.0764687378830364</v>
      </c>
      <c r="AC44" s="87" t="n">
        <v>0.134863245020919</v>
      </c>
      <c r="AD44" s="87" t="n">
        <v>0.204426331699872</v>
      </c>
      <c r="AE44" s="87" t="n">
        <v>0.261481496394431</v>
      </c>
      <c r="AF44" s="87" t="n">
        <v>0.299013446136627</v>
      </c>
      <c r="AH44" s="90" t="n">
        <v>0.803337582032561</v>
      </c>
      <c r="AI44" s="90" t="n">
        <v>-0.569237875288684</v>
      </c>
      <c r="AJ44" s="90" t="n">
        <v>4.4451875</v>
      </c>
    </row>
    <row r="45" ht="15" customHeight="1" s="251">
      <c r="B45" s="79" t="inlineStr">
        <is>
          <t>RONTA</t>
        </is>
      </c>
      <c r="C45" s="86">
        <f>Model!CA383</f>
        <v>0.0245185715249825</v>
      </c>
      <c r="D45" s="87">
        <f>Model!CB383</f>
        <v>0.0974916495395547</v>
      </c>
      <c r="E45" s="87">
        <f>Model!CC383</f>
        <v>0.125116528675848</v>
      </c>
      <c r="F45" s="87">
        <f>Model!CD383</f>
        <v>0.181587440258135</v>
      </c>
      <c r="G45" s="87">
        <f>Model!CE383</f>
        <v>0.232160563498962</v>
      </c>
      <c r="H45" s="87">
        <f>Model!CF383</f>
        <v>0.270657455636193</v>
      </c>
      <c r="J45" s="90">
        <f>IFERROR(AVERAGE(Model!C383,Model!D383,Model!E383,Model!F383,Model!G383,Model!H383,Model!I383,Model!N383,Model!S383,Model!X383,Model!AC383,Model!AH383,Model!AM383,Model!AR383,Model!AW383,Model!BB383,Model!BG383,Model!BL383,Model!BQ383,Model!BV383),"")</f>
        <v>0.0577751223226321</v>
      </c>
      <c r="K45" s="90">
        <f>IFERROR(MIN(Model!C383,Model!D383,Model!E383,Model!F383,Model!G383,Model!H383,Model!I383,Model!N383,Model!S383,Model!X383,Model!AC383,Model!AH383,Model!AM383,Model!AR383,Model!AW383,Model!BB383,Model!BG383,Model!BL383,Model!BQ383,Model!BV383),"")</f>
        <v>-0.203830651685393</v>
      </c>
      <c r="L45" s="90">
        <f>IFERROR(MAX(Model!C383,Model!D383,Model!E383,Model!F383,Model!G383,Model!H383,Model!I383,Model!N383,Model!S383,Model!X383,Model!AC383,Model!AH383,Model!AM383,Model!AR383,Model!AW383,Model!BB383,Model!BG383,Model!BL383,Model!BQ383,Model!BV383),"")</f>
        <v>0.301991693752257</v>
      </c>
      <c r="N45" s="79" t="inlineStr">
        <is>
          <t>RONTA</t>
        </is>
      </c>
      <c r="O45" s="86" t="n">
        <v>0.0351469502548015</v>
      </c>
      <c r="P45" s="87" t="n">
        <v>0.120970527351681</v>
      </c>
      <c r="Q45" s="87" t="n">
        <v>0.187756051635215</v>
      </c>
      <c r="R45" s="87" t="n">
        <v>0.295031137543974</v>
      </c>
      <c r="S45" s="87" t="n">
        <v>0.409428443119776</v>
      </c>
      <c r="T45" s="87" t="n">
        <v>0.487138275429556</v>
      </c>
      <c r="V45" s="90" t="n">
        <v>0.0577751223226321</v>
      </c>
      <c r="W45" s="90" t="n">
        <v>-0.203830651685393</v>
      </c>
      <c r="X45" s="90" t="n">
        <v>0.301991693752257</v>
      </c>
      <c r="Z45" s="79" t="inlineStr">
        <is>
          <t>RONTA</t>
        </is>
      </c>
      <c r="AA45" s="86" t="n">
        <v>0.0126633814470264</v>
      </c>
      <c r="AB45" s="87" t="n">
        <v>0.0587834937615064</v>
      </c>
      <c r="AC45" s="87" t="n">
        <v>0.090246101458901</v>
      </c>
      <c r="AD45" s="87" t="n">
        <v>0.111766190369434</v>
      </c>
      <c r="AE45" s="87" t="n">
        <v>0.128733058541579</v>
      </c>
      <c r="AF45" s="87" t="n">
        <v>0.145080471839453</v>
      </c>
      <c r="AH45" s="90" t="n">
        <v>0.0577751223226321</v>
      </c>
      <c r="AI45" s="90" t="n">
        <v>-0.203830651685393</v>
      </c>
      <c r="AJ45" s="90" t="n">
        <v>0.301991693752257</v>
      </c>
    </row>
    <row r="47" ht="15" customHeight="1" s="251">
      <c r="B47" s="83" t="inlineStr">
        <is>
          <t>Implied Market Cap (USDm)</t>
        </is>
      </c>
      <c r="E47" s="104" t="n"/>
      <c r="F47" s="104">
        <f>F27*F21</f>
        <v>0</v>
      </c>
      <c r="G47" s="104">
        <f>G27*G21</f>
        <v>301995.603838109</v>
      </c>
      <c r="H47" s="104">
        <f>H27*H21</f>
        <v>327128.226198839</v>
      </c>
      <c r="N47" s="83" t="inlineStr">
        <is>
          <t>Implied Market Cap (USDm)</t>
        </is>
      </c>
      <c r="Q47" s="104" t="n"/>
      <c r="R47" s="104">
        <f>R27*R21</f>
        <v>0</v>
      </c>
      <c r="S47" s="104">
        <f>S27*S21</f>
        <v>414619.817760359</v>
      </c>
      <c r="T47" s="104">
        <f>T27*T21</f>
        <v>450629.47608701</v>
      </c>
      <c r="Z47" s="83" t="inlineStr">
        <is>
          <t>Implied Market Cap (USDm)</t>
        </is>
      </c>
      <c r="AC47" s="104" t="n"/>
      <c r="AD47" s="104">
        <f>AD27*AD21</f>
        <v>119298.171568453</v>
      </c>
      <c r="AE47" s="104">
        <f>AE27*AE21</f>
        <v>150549.994228207</v>
      </c>
      <c r="AF47" s="104">
        <f>AF27*AF21</f>
        <v>166719.237353066</v>
      </c>
    </row>
    <row r="48" ht="15" customHeight="1" s="251">
      <c r="B48" s="83" t="inlineStr">
        <is>
          <t>(+) Net debt, pension &amp; retiree health, NCI</t>
        </is>
      </c>
      <c r="E48" s="104" t="n"/>
      <c r="F48" s="104">
        <f>F38+Model!CD401</f>
        <v>12098.7692804976</v>
      </c>
      <c r="G48" s="104">
        <f>G38+Model!CE401</f>
        <v>12955.5647920551</v>
      </c>
      <c r="H48" s="104">
        <f>H38+Model!CF401</f>
        <v>13419.8995855729</v>
      </c>
      <c r="N48" s="83" t="inlineStr">
        <is>
          <t>(+) Net debt, pension &amp; retiree health, NCI</t>
        </is>
      </c>
      <c r="Q48" s="104" t="n"/>
      <c r="R48" s="104">
        <f>R38+Model!CD401</f>
        <v>21732.0409512878</v>
      </c>
      <c r="S48" s="104">
        <f>S38+Model!CE401</f>
        <v>24226.4215658152</v>
      </c>
      <c r="T48" s="104">
        <f>T38+Model!CF401</f>
        <v>25904.6566511464</v>
      </c>
      <c r="Z48" s="83" t="inlineStr">
        <is>
          <t>(+) Net debt, pension &amp; retiree health, NCI</t>
        </is>
      </c>
      <c r="AC48" s="104" t="n"/>
      <c r="AD48" s="104">
        <f>AD38+Model!CD401</f>
        <v>9825.99517742128</v>
      </c>
      <c r="AE48" s="104">
        <f>AE38+Model!CE401</f>
        <v>4850</v>
      </c>
      <c r="AF48" s="104">
        <f>AF38+Model!CF401</f>
        <v>4550</v>
      </c>
    </row>
    <row r="49" ht="15" customHeight="1" s="251">
      <c r="B49" s="83" t="inlineStr">
        <is>
          <t>Implied Enterprise Value (USDm)</t>
        </is>
      </c>
      <c r="E49" s="104" t="n"/>
      <c r="F49" s="104">
        <f>F47+F48</f>
        <v>12098.7692804976</v>
      </c>
      <c r="G49" s="104">
        <f>G47+G48</f>
        <v>314951.168630164</v>
      </c>
      <c r="H49" s="104">
        <f>H47+H48</f>
        <v>340548.125784412</v>
      </c>
      <c r="N49" s="83" t="inlineStr">
        <is>
          <t>Implied Enterprise Value (USDm)</t>
        </is>
      </c>
      <c r="Q49" s="104" t="n"/>
      <c r="R49" s="104">
        <f>R47+R48</f>
        <v>21732.0409512878</v>
      </c>
      <c r="S49" s="104">
        <f>S47+S48</f>
        <v>438846.239326174</v>
      </c>
      <c r="T49" s="104">
        <f>T47+T48</f>
        <v>476534.132738157</v>
      </c>
      <c r="Z49" s="83" t="inlineStr">
        <is>
          <t>Implied Enterprise Value (USDm)</t>
        </is>
      </c>
      <c r="AC49" s="104" t="n"/>
      <c r="AD49" s="104">
        <f>AD47+AD48</f>
        <v>129124.166745874</v>
      </c>
      <c r="AE49" s="104">
        <f>AE47+AE48</f>
        <v>155399.994228207</v>
      </c>
      <c r="AF49" s="104">
        <f>AF47+AF48</f>
        <v>171269.237353066</v>
      </c>
    </row>
    <row r="50" ht="15" customHeight="1" s="251">
      <c r="B50" s="83" t="inlineStr">
        <is>
          <t>Implied EV / Adjusted EBITDA (x)</t>
        </is>
      </c>
      <c r="E50" s="105" t="n"/>
      <c r="F50" s="105">
        <f>IFERROR(F49/F35,"")</f>
        <v>0.870569218239405</v>
      </c>
      <c r="G50" s="105">
        <f>IFERROR(G49/G35,"")</f>
        <v>19.4280828486419</v>
      </c>
      <c r="H50" s="105">
        <f>IFERROR(H49/H35,"")</f>
        <v>19.1968422245908</v>
      </c>
      <c r="N50" s="83" t="inlineStr">
        <is>
          <t>Implied EV / Adjusted EBITDA (x)</t>
        </is>
      </c>
      <c r="Q50" s="105" t="n"/>
      <c r="R50" s="105">
        <f>IFERROR(R49/R35,"")</f>
        <v>1.31057696788525</v>
      </c>
      <c r="S50" s="105">
        <f>IFERROR(S49/S35,"")</f>
        <v>22.6484667375532</v>
      </c>
      <c r="T50" s="105">
        <f>IFERROR(T49/T35,"")</f>
        <v>22.3152327158852</v>
      </c>
      <c r="Z50" s="83" t="inlineStr">
        <is>
          <t>Implied EV / Adjusted EBITDA (x)</t>
        </is>
      </c>
      <c r="AC50" s="105" t="n"/>
      <c r="AD50" s="105">
        <f>IFERROR(AD49/AD35,"")</f>
        <v>12.7506037174643</v>
      </c>
      <c r="AE50" s="105">
        <f>IFERROR(AE49/AE35,"")</f>
        <v>13.0781367588617</v>
      </c>
      <c r="AF50" s="105">
        <f>IFERROR(AF49/AF35,"")</f>
        <v>13.248207076651</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THE BOEING COMPANY (BA)</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0.0425</v>
      </c>
      <c r="D5" s="198" t="inlineStr">
        <is>
          <t>Assumption (~US 10Y Treasury yield, Oct-2026; government rate sources not reachable from the build environment);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Assumption: US implied ERP ~4.5–5.5%</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1.2</v>
      </c>
      <c r="D7" s="198" t="inlineStr">
        <is>
          <t>Assumption: commercial aerospace OEM with high operating leverage, 2019–24 losses and BBB- / Baa3-area credit; A&amp;D primes ~0.8–1.0, commercial aero suppliers ~1.2–1.4</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0.1025</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0.06</v>
      </c>
      <c r="D9" s="198" t="inlineStr">
        <is>
          <t>Interest and debt expense ≈5.2% of debt (Q2-26); 2024 notes issued at 6.3–7.1%; marginal pre-tax cost ~6%</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0.21</v>
      </c>
      <c r="D10" s="198" t="inlineStr">
        <is>
          <t>US statutory rate (cash taxes lower near term: valuation allowance $9.8bn and NOLs at YE25)</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0.0474</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0.2</v>
      </c>
      <c r="D12" s="198" t="inlineStr">
        <is>
          <t>Net debt ~$26bn + pension / retiree health ~$6bn vs ~$150bn market cap ($185 × ~833m diluted incl. preferred conversion shares)</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0.09148</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t="str">
        <f>TODAY()</f>
        <v>2026-10-10 00:00:00</v>
      </c>
      <c r="D15" s="198" t="inlineStr">
        <is>
          <t>Periods = (31-Dec of the year − today) / 365.25; cash flows assumed at year end; 2026E (Q4 in progress at the valuation date) is the base year</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2027E</t>
        </is>
      </c>
      <c r="E17" s="203" t="inlineStr">
        <is>
          <t>2028E</t>
        </is>
      </c>
      <c r="F17" s="203" t="inlineStr">
        <is>
          <t>2029E</t>
        </is>
      </c>
      <c r="G17" s="203" t="inlineStr">
        <is>
          <t>2030E</t>
        </is>
      </c>
      <c r="H17" s="203" t="inlineStr">
        <is>
          <t>2031E</t>
        </is>
      </c>
      <c r="I17" s="203" t="inlineStr">
        <is>
          <t>2032E</t>
        </is>
      </c>
      <c r="J17" s="203" t="inlineStr">
        <is>
          <t>2033E</t>
        </is>
      </c>
      <c r="K17" s="203" t="inlineStr">
        <is>
          <t>2034E</t>
        </is>
      </c>
      <c r="L17" s="203" t="inlineStr">
        <is>
          <t>2035E</t>
        </is>
      </c>
      <c r="M17" s="203" t="inlineStr">
        <is>
          <t>2036E</t>
        </is>
      </c>
      <c r="N17" s="203" t="inlineStr">
        <is>
          <t>Terminal</t>
        </is>
      </c>
      <c r="O17" s="192" t="n"/>
      <c r="P17" s="204" t="inlineStr">
        <is>
          <t>CAGR 27–31E</t>
        </is>
      </c>
      <c r="Q17" s="204" t="inlineStr">
        <is>
          <t>CAGR 27–36E</t>
        </is>
      </c>
    </row>
    <row r="18" ht="15.75" customHeight="1" s="251">
      <c r="A18" s="192" t="n"/>
      <c r="B18" s="197" t="inlineStr">
        <is>
          <t>Adj. EBIT (core operating earnings) less gains on dispositions</t>
        </is>
      </c>
      <c r="C18" s="192" t="n"/>
      <c r="D18" s="173">
        <f>Model!CB183-Model!CB185</f>
        <v>5483.17940496081</v>
      </c>
      <c r="E18" s="173">
        <f>Model!CC183-Model!CC185</f>
        <v>8176.93269284913</v>
      </c>
      <c r="F18" s="173">
        <f>Model!CD183-Model!CD185</f>
        <v>11049.9432564531</v>
      </c>
      <c r="G18" s="173">
        <f>Model!CE183-Model!CE185</f>
        <v>13223.1429101064</v>
      </c>
      <c r="H18" s="173">
        <f>Model!CF183-Model!CF185</f>
        <v>14623.1715260069</v>
      </c>
      <c r="I18" s="174">
        <f>H18*(1+I$26)</f>
        <v>15500.5618175673</v>
      </c>
      <c r="J18" s="174">
        <f>I18*(1+J$26)</f>
        <v>16353.0927175335</v>
      </c>
      <c r="K18" s="174">
        <f>J18*(1+K$26)</f>
        <v>17170.7473534102</v>
      </c>
      <c r="L18" s="174">
        <f>K18*(1+L$26)</f>
        <v>17943.4309843136</v>
      </c>
      <c r="M18" s="174">
        <f>L18*(1+M$26)</f>
        <v>18661.1682236862</v>
      </c>
      <c r="N18" s="192" t="n"/>
      <c r="O18" s="192" t="n"/>
      <c r="P18" s="176">
        <f>(H18/D18)^(1/(COLUMNS(D18:H18)-1))-1</f>
        <v>0.277915917239216</v>
      </c>
      <c r="Q18" s="176">
        <f>(M18/D18)^(1/(COLUMNS(D18:M18)-1))-1</f>
        <v>0.145778603809871</v>
      </c>
    </row>
    <row r="19" ht="15.75" customHeight="1" s="251">
      <c r="A19" s="192" t="n"/>
      <c r="B19" s="197" t="inlineStr">
        <is>
          <t>× (1 − tax rate)</t>
        </is>
      </c>
      <c r="C19" s="192" t="n"/>
      <c r="D19" s="177">
        <f>1-$C$10</f>
        <v>0.79</v>
      </c>
      <c r="E19" s="177">
        <f>1-$C$10</f>
        <v>0.79</v>
      </c>
      <c r="F19" s="177">
        <f>1-$C$10</f>
        <v>0.79</v>
      </c>
      <c r="G19" s="177">
        <f>1-$C$10</f>
        <v>0.79</v>
      </c>
      <c r="H19" s="177">
        <f>1-$C$10</f>
        <v>0.79</v>
      </c>
      <c r="I19" s="177">
        <f>1-$C$10</f>
        <v>0.79</v>
      </c>
      <c r="J19" s="177">
        <f>1-$C$10</f>
        <v>0.79</v>
      </c>
      <c r="K19" s="177">
        <f>1-$C$10</f>
        <v>0.79</v>
      </c>
      <c r="L19" s="177">
        <f>1-$C$10</f>
        <v>0.79</v>
      </c>
      <c r="M19" s="177">
        <f>1-$C$10</f>
        <v>0.79</v>
      </c>
      <c r="N19" s="192" t="n"/>
      <c r="O19" s="192" t="n"/>
      <c r="P19" s="176" t="n"/>
      <c r="Q19" s="176" t="n"/>
    </row>
    <row r="20" ht="15.75" customHeight="1" s="251">
      <c r="A20" s="192" t="n"/>
      <c r="B20" s="199" t="inlineStr">
        <is>
          <t>NOPAT</t>
        </is>
      </c>
      <c r="C20" s="192" t="n"/>
      <c r="D20" s="174">
        <f>D18*D19</f>
        <v>4331.71172991904</v>
      </c>
      <c r="E20" s="174">
        <f>E18*E19</f>
        <v>6459.77682735081</v>
      </c>
      <c r="F20" s="174">
        <f>F18*F19</f>
        <v>8729.45517259793</v>
      </c>
      <c r="G20" s="174">
        <f>G18*G19</f>
        <v>10446.2828989841</v>
      </c>
      <c r="H20" s="174">
        <f>H18*H19</f>
        <v>11552.3055055454</v>
      </c>
      <c r="I20" s="174">
        <f>I18*I19</f>
        <v>12245.4438358782</v>
      </c>
      <c r="J20" s="174">
        <f>J18*J19</f>
        <v>12918.9432468515</v>
      </c>
      <c r="K20" s="174">
        <f>K18*K19</f>
        <v>13564.890409194</v>
      </c>
      <c r="L20" s="174">
        <f>L18*L19</f>
        <v>14175.3104776078</v>
      </c>
      <c r="M20" s="174">
        <f>M18*M19</f>
        <v>14742.3228967121</v>
      </c>
      <c r="N20" s="192" t="n"/>
      <c r="O20" s="192" t="n"/>
      <c r="P20" s="176" t="n"/>
      <c r="Q20" s="176" t="n"/>
    </row>
    <row r="21" ht="15.75" customHeight="1" s="251">
      <c r="A21" s="192" t="n"/>
      <c r="B21" s="197" t="inlineStr">
        <is>
          <t>plus D&amp;A (depreciation + amortization of acquired intangibles)</t>
        </is>
      </c>
      <c r="C21" s="192" t="n"/>
      <c r="D21" s="173">
        <f>Model!CB146</f>
        <v>2558.36181834101</v>
      </c>
      <c r="E21" s="173">
        <f>Model!CC146</f>
        <v>2778.75218905293</v>
      </c>
      <c r="F21" s="173">
        <f>Model!CD146</f>
        <v>2847.59530454219</v>
      </c>
      <c r="G21" s="173">
        <f>Model!CE146</f>
        <v>2987.98667400387</v>
      </c>
      <c r="H21" s="173">
        <f>Model!CF146</f>
        <v>3116.62764513887</v>
      </c>
      <c r="I21" s="174">
        <f>H21*(1+I$26)</f>
        <v>3303.6253038472</v>
      </c>
      <c r="J21" s="174">
        <f>I21*(1+J$26)</f>
        <v>3485.3246955588</v>
      </c>
      <c r="K21" s="174">
        <f>J21*(1+K$26)</f>
        <v>3659.59093033674</v>
      </c>
      <c r="L21" s="174">
        <f>K21*(1+L$26)</f>
        <v>3824.27252220189</v>
      </c>
      <c r="M21" s="174">
        <f>L21*(1+M$26)</f>
        <v>3977.24342308997</v>
      </c>
      <c r="N21" s="192" t="n"/>
      <c r="O21" s="192" t="n"/>
      <c r="P21" s="176" t="n"/>
      <c r="Q21" s="176" t="n"/>
    </row>
    <row r="22" ht="15.75" customHeight="1" s="251">
      <c r="A22" s="192" t="n"/>
      <c r="B22" s="197" t="inlineStr">
        <is>
          <t>− Capex (PP&amp;E) and acquisitions (M&amp;A lever, zero in all cases)</t>
        </is>
      </c>
      <c r="C22" s="192" t="n"/>
      <c r="D22" s="173">
        <f>Model!CB230+Model!CB231</f>
        <v>-4477.13318209676</v>
      </c>
      <c r="E22" s="173">
        <f>Model!CC230+Model!CC231</f>
        <v>-4631.25364842154</v>
      </c>
      <c r="F22" s="173">
        <f>Model!CD230+Model!CD231</f>
        <v>-4580.91418556787</v>
      </c>
      <c r="G22" s="173">
        <f>Model!CE230+Model!CE231</f>
        <v>-4546.93624304936</v>
      </c>
      <c r="H22" s="173">
        <f>Model!CF230+Model!CF231</f>
        <v>-4471.68314302533</v>
      </c>
      <c r="I22" s="174">
        <f>Model!CF230*(1+I$26)</f>
        <v>-4739.98413160685</v>
      </c>
      <c r="J22" s="174">
        <f>I22*(1+J$26)</f>
        <v>-5000.68325884523</v>
      </c>
      <c r="K22" s="174">
        <f>J22*(1+K$26)</f>
        <v>-5250.71742178749</v>
      </c>
      <c r="L22" s="174">
        <f>K22*(1+L$26)</f>
        <v>-5486.99970576793</v>
      </c>
      <c r="M22" s="174">
        <f>L22*(1+M$26)</f>
        <v>-5706.47969399865</v>
      </c>
      <c r="N22" s="192" t="n"/>
      <c r="O22" s="192" t="n"/>
      <c r="P22" s="176" t="n"/>
      <c r="Q22" s="176" t="n"/>
    </row>
    <row r="23" ht="15.75" customHeight="1" s="251">
      <c r="A23" s="192" t="n"/>
      <c r="B23" s="197" t="inlineStr">
        <is>
          <t>± Δ Working capital (cash-flow statement; + = release)</t>
        </is>
      </c>
      <c r="C23" s="192" t="n"/>
      <c r="D23" s="173">
        <f>Model!CB228</f>
        <v>2758.06537588004</v>
      </c>
      <c r="E23" s="173">
        <f>Model!CC228</f>
        <v>4000.16570885714</v>
      </c>
      <c r="F23" s="173">
        <f>Model!CD228</f>
        <v>4154.18019372924</v>
      </c>
      <c r="G23" s="173">
        <f>Model!CE228</f>
        <v>3623.22544790575</v>
      </c>
      <c r="H23" s="173">
        <f>Model!CF228</f>
        <v>3044.27700218853</v>
      </c>
      <c r="I23" s="174">
        <f>H23*(1+I$26)</f>
        <v>3226.93362231984</v>
      </c>
      <c r="J23" s="174">
        <f>I23*(1+J$26)</f>
        <v>3404.41497154743</v>
      </c>
      <c r="K23" s="174">
        <f>J23*(1+K$26)</f>
        <v>3574.63572012481</v>
      </c>
      <c r="L23" s="174">
        <f>K23*(1+L$26)</f>
        <v>3735.49432753042</v>
      </c>
      <c r="M23" s="174">
        <f>L23*(1+M$26)</f>
        <v>3884.91410063164</v>
      </c>
      <c r="N23" s="192" t="n"/>
      <c r="O23" s="192" t="n"/>
      <c r="P23" s="176" t="n"/>
      <c r="Q23" s="176" t="n"/>
    </row>
    <row r="24" ht="15.75" customHeight="1" s="251">
      <c r="A24" s="192" t="n"/>
      <c r="B24" s="217" t="inlineStr">
        <is>
          <t>Unlevered FCF</t>
        </is>
      </c>
      <c r="C24" s="218" t="n"/>
      <c r="D24" s="219">
        <f>D20+D21+D22+D23</f>
        <v>5171.00574204332</v>
      </c>
      <c r="E24" s="219">
        <f>E20+E21+E22+E23</f>
        <v>8607.44107683933</v>
      </c>
      <c r="F24" s="219">
        <f>F20+F21+F22+F23</f>
        <v>11150.3164853015</v>
      </c>
      <c r="G24" s="219">
        <f>G20+G21+G22+G23</f>
        <v>12510.5587778443</v>
      </c>
      <c r="H24" s="219">
        <f>H20+H21+H22+H23</f>
        <v>13241.5270098475</v>
      </c>
      <c r="I24" s="219">
        <f>I20+I21+I22+I23</f>
        <v>14036.0186304384</v>
      </c>
      <c r="J24" s="219">
        <f>J20+J21+J22+J23</f>
        <v>14807.9996551125</v>
      </c>
      <c r="K24" s="219">
        <f>K20+K21+K22+K23</f>
        <v>15548.3996378681</v>
      </c>
      <c r="L24" s="219">
        <f>L20+L21+L22+L23</f>
        <v>16248.0776215722</v>
      </c>
      <c r="M24" s="219">
        <f>M20+M21+M22+M23</f>
        <v>16898.000726435</v>
      </c>
      <c r="N24" s="219">
        <f>M24*(1+$C$27)</f>
        <v>17404.9407482281</v>
      </c>
      <c r="O24" s="192" t="n"/>
      <c r="P24" s="181">
        <f>(H24/D24)^(1/(COLUMNS(D24:H24)-1))-1</f>
        <v>0.265000690805706</v>
      </c>
      <c r="Q24" s="181">
        <f>(M24/D24)^(1/(COLUMNS(D24:M24)-1))-1</f>
        <v>0.140617508751448</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283099.231428564</v>
      </c>
      <c r="O25" s="192" t="n"/>
      <c r="P25" s="192" t="n"/>
      <c r="Q25" s="192" t="n"/>
    </row>
    <row r="26" ht="15.75" customHeight="1" s="251">
      <c r="A26" s="192" t="n"/>
      <c r="B26" s="197" t="inlineStr">
        <is>
          <t>Fade-period growth (2032E–36E; 6.0% → 4.0% linear)</t>
        </is>
      </c>
      <c r="C26" s="192" t="n"/>
      <c r="D26" s="192" t="n"/>
      <c r="E26" s="192" t="n"/>
      <c r="F26" s="192" t="n"/>
      <c r="G26" s="192" t="n"/>
      <c r="H26" s="192" t="n"/>
      <c r="I26" s="182" t="n">
        <v>0.06</v>
      </c>
      <c r="J26" s="183">
        <f>I26+($M$26-$I$26)/4</f>
        <v>0.055</v>
      </c>
      <c r="K26" s="183">
        <f>J26+($M$26-$I$26)/4</f>
        <v>0.05</v>
      </c>
      <c r="L26" s="183">
        <f>K26+($M$26-$I$26)/4</f>
        <v>0.045</v>
      </c>
      <c r="M26" s="182" t="n">
        <v>0.04</v>
      </c>
      <c r="N26" s="192" t="n"/>
      <c r="O26" s="192" t="n"/>
      <c r="P26" s="192" t="n"/>
      <c r="Q26" s="192" t="n"/>
    </row>
    <row r="27" ht="15.75" customHeight="1" s="251">
      <c r="A27" s="192" t="n"/>
      <c r="B27" s="197" t="inlineStr">
        <is>
          <t>Terminal growth rate</t>
        </is>
      </c>
      <c r="C27" s="184" t="n">
        <v>0.03</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(DATE(2027,12,31)-$C$15)/365.25</f>
        <v>1.22381930184805</v>
      </c>
      <c r="E29" s="177">
        <f>(DATE(2028,12,31)-$C$15)/365.25</f>
        <v>2.2258726899384</v>
      </c>
      <c r="F29" s="177">
        <f>(DATE(2029,12,31)-$C$15)/365.25</f>
        <v>3.22518822724162</v>
      </c>
      <c r="G29" s="177">
        <f>(DATE(2030,12,31)-$C$15)/365.25</f>
        <v>4.22450376454483</v>
      </c>
      <c r="H29" s="177">
        <f>(DATE(2031,12,31)-$C$15)/365.25</f>
        <v>5.22381930184805</v>
      </c>
      <c r="I29" s="177">
        <f>(DATE(2032,12,31)-$C$15)/365.25</f>
        <v>6.2258726899384</v>
      </c>
      <c r="J29" s="177">
        <f>(DATE(2033,12,31)-$C$15)/365.25</f>
        <v>7.22518822724162</v>
      </c>
      <c r="K29" s="177">
        <f>(DATE(2034,12,31)-$C$15)/365.25</f>
        <v>8.22450376454483</v>
      </c>
      <c r="L29" s="177">
        <f>(DATE(2035,12,31)-$C$15)/365.25</f>
        <v>9.22381930184805</v>
      </c>
      <c r="M29" s="177">
        <f>(DATE(2036,12,31)-$C$15)/365.25</f>
        <v>10.2258726899384</v>
      </c>
      <c r="N29" s="177">
        <f>M29</f>
        <v>10.2258726899384</v>
      </c>
      <c r="O29" s="192" t="n"/>
      <c r="P29" s="192" t="n"/>
      <c r="Q29" s="192" t="n"/>
    </row>
    <row r="30" ht="15.75" customHeight="1" s="251">
      <c r="A30" s="192" t="n"/>
      <c r="B30" s="197" t="inlineStr">
        <is>
          <t>Discount factor</t>
        </is>
      </c>
      <c r="C30" s="192" t="n"/>
      <c r="D30" s="185">
        <f>1/(1+$C$13)^D29</f>
        <v>0.898412016192031</v>
      </c>
      <c r="E30" s="185">
        <f>1/(1+$C$13)^E29</f>
        <v>0.822965650242237</v>
      </c>
      <c r="F30" s="185">
        <f>1/(1+$C$13)^F29</f>
        <v>0.754035767038279</v>
      </c>
      <c r="G30" s="185">
        <f>1/(1+$C$13)^G29</f>
        <v>0.690879306816328</v>
      </c>
      <c r="H30" s="185">
        <f>1/(1+$C$13)^H29</f>
        <v>0.633012699731496</v>
      </c>
      <c r="I30" s="185">
        <f>1/(1+$C$13)^I29</f>
        <v>0.579853896271546</v>
      </c>
      <c r="J30" s="185">
        <f>1/(1+$C$13)^J29</f>
        <v>0.53128654557642</v>
      </c>
      <c r="K30" s="185">
        <f>1/(1+$C$13)^K29</f>
        <v>0.486787094689694</v>
      </c>
      <c r="L30" s="185">
        <f>1/(1+$C$13)^L29</f>
        <v>0.446014824823657</v>
      </c>
      <c r="M30" s="185">
        <f>1/(1+$C$13)^M29</f>
        <v>0.408559629338509</v>
      </c>
      <c r="N30" s="185">
        <f>1/(1+$C$13)^N29</f>
        <v>0.408559629338509</v>
      </c>
      <c r="O30" s="192" t="n"/>
      <c r="P30" s="192" t="n"/>
      <c r="Q30" s="192" t="n"/>
    </row>
    <row r="31" ht="15.75" customHeight="1" s="251">
      <c r="A31" s="192" t="n"/>
      <c r="B31" s="220" t="inlineStr">
        <is>
          <t>PV of UFCF</t>
        </is>
      </c>
      <c r="C31" s="221" t="n"/>
      <c r="D31" s="222">
        <f>D24*D30</f>
        <v>4645.69369444971</v>
      </c>
      <c r="E31" s="222">
        <f>E24*E30</f>
        <v>7083.62834272282</v>
      </c>
      <c r="F31" s="222">
        <f>F24*F30</f>
        <v>8407.73744371387</v>
      </c>
      <c r="G31" s="222">
        <f>G24*G30</f>
        <v>8643.286176322</v>
      </c>
      <c r="H31" s="222">
        <f>H24*H30</f>
        <v>8382.0547610711</v>
      </c>
      <c r="I31" s="222">
        <f>I24*I30</f>
        <v>8138.84009099969</v>
      </c>
      <c r="J31" s="222">
        <f>J24*J30</f>
        <v>7867.29098366152</v>
      </c>
      <c r="K31" s="222">
        <f>K24*K30</f>
        <v>7568.76028679209</v>
      </c>
      <c r="L31" s="222">
        <f>L24*L30</f>
        <v>7246.88349410669</v>
      </c>
      <c r="M31" s="222">
        <f>M24*M30</f>
        <v>6903.84091335415</v>
      </c>
      <c r="N31" s="222">
        <f>N25*N30</f>
        <v>115662.917058471</v>
      </c>
      <c r="O31" s="192" t="n"/>
      <c r="P31" s="192" t="n"/>
      <c r="Q31" s="192" t="n"/>
    </row>
    <row r="32" ht="15" customHeight="1" s="251">
      <c r="A32" s="192" t="n"/>
      <c r="B32" s="192" t="n"/>
      <c r="C32" s="192" t="n"/>
      <c r="D32" s="198" t="inlineStr">
        <is>
          <t>Boeing's core operating earnings are full-cost: after D&amp;A, share-based plans, reach-forward losses and abnormal production costs; only the FAS/CAS service cost adjustment is removed (non-cash pension recovery; also excluded from UFCF). D&amp;A is added back in row 21. Row 18 deducts gains on dispositions (2025 Digital Aviation Solutions $9.6bn) so NOPAT is operating only. 401(k) treasury-share contributions (~$1.6bn a year) are a real compensation cost: they sit inside core earnings and are funded with shares, not cash, so UFCF is not adjusted for them (their dilution is in the share count). Working capital (row 23) carries the inventory / advances unwind that drives Boeing's cash recovery.</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Model!CA369</f>
        <v>30671.6007337667</v>
      </c>
      <c r="E34" s="174">
        <f>D38</f>
        <v>29832.3067216425</v>
      </c>
      <c r="F34" s="174">
        <f>E38</f>
        <v>27684.6424721539</v>
      </c>
      <c r="G34" s="174">
        <f>F38</f>
        <v>25263.7811594504</v>
      </c>
      <c r="H34" s="174">
        <f>G38</f>
        <v>23199.5052805901</v>
      </c>
      <c r="I34" s="174">
        <f>H38</f>
        <v>21510.2837762881</v>
      </c>
      <c r="J34" s="174">
        <f>I38</f>
        <v>19719.7089817279</v>
      </c>
      <c r="K34" s="174">
        <f>J38</f>
        <v>17830.6525734669</v>
      </c>
      <c r="L34" s="174">
        <f>K38</f>
        <v>15847.1433447928</v>
      </c>
      <c r="M34" s="174">
        <f>L38</f>
        <v>13774.3762008285</v>
      </c>
      <c r="N34" s="174" t="n"/>
      <c r="O34" s="192" t="n"/>
      <c r="P34" s="192" t="n"/>
      <c r="Q34" s="192" t="n"/>
    </row>
    <row r="35" ht="15.75" customHeight="1" s="251">
      <c r="A35" s="192" t="n"/>
      <c r="B35" s="197" t="inlineStr">
        <is>
          <t>plus Capex and acquisitions</t>
        </is>
      </c>
      <c r="C35" s="192" t="n"/>
      <c r="D35" s="174">
        <f>-D22</f>
        <v>4477.13318209676</v>
      </c>
      <c r="E35" s="174">
        <f>-E22</f>
        <v>4631.25364842154</v>
      </c>
      <c r="F35" s="174">
        <f>-F22</f>
        <v>4580.91418556787</v>
      </c>
      <c r="G35" s="174">
        <f>-G22</f>
        <v>4546.93624304936</v>
      </c>
      <c r="H35" s="174">
        <f>-H22</f>
        <v>4471.68314302533</v>
      </c>
      <c r="I35" s="174">
        <f>-I22</f>
        <v>4739.98413160685</v>
      </c>
      <c r="J35" s="174">
        <f>-J22</f>
        <v>5000.68325884523</v>
      </c>
      <c r="K35" s="174">
        <f>-K22</f>
        <v>5250.71742178749</v>
      </c>
      <c r="L35" s="174">
        <f>-L22</f>
        <v>5486.99970576793</v>
      </c>
      <c r="M35" s="174">
        <f>-M22</f>
        <v>5706.47969399865</v>
      </c>
      <c r="N35" s="174" t="n"/>
      <c r="O35" s="192" t="n"/>
      <c r="P35" s="192" t="n"/>
      <c r="Q35" s="192" t="n"/>
    </row>
    <row r="36" ht="15.75" customHeight="1" s="251">
      <c r="A36" s="192" t="n"/>
      <c r="B36" s="197" t="inlineStr">
        <is>
          <t>less DD&amp;A</t>
        </is>
      </c>
      <c r="C36" s="192" t="n"/>
      <c r="D36" s="174">
        <f>-D21</f>
        <v>-2558.36181834101</v>
      </c>
      <c r="E36" s="174">
        <f>-E21</f>
        <v>-2778.75218905293</v>
      </c>
      <c r="F36" s="174">
        <f>-F21</f>
        <v>-2847.59530454219</v>
      </c>
      <c r="G36" s="174">
        <f>-G21</f>
        <v>-2987.98667400387</v>
      </c>
      <c r="H36" s="174">
        <f>-H21</f>
        <v>-3116.62764513887</v>
      </c>
      <c r="I36" s="174">
        <f>-I21</f>
        <v>-3303.6253038472</v>
      </c>
      <c r="J36" s="174">
        <f>-J21</f>
        <v>-3485.3246955588</v>
      </c>
      <c r="K36" s="174">
        <f>-K21</f>
        <v>-3659.59093033674</v>
      </c>
      <c r="L36" s="174">
        <f>-L21</f>
        <v>-3824.27252220189</v>
      </c>
      <c r="M36" s="174">
        <f>-M21</f>
        <v>-3977.24342308997</v>
      </c>
      <c r="N36" s="174" t="n"/>
      <c r="O36" s="192" t="n"/>
      <c r="P36" s="192" t="n"/>
      <c r="Q36" s="192" t="n"/>
    </row>
    <row r="37" ht="15.75" customHeight="1" s="251">
      <c r="A37" s="192" t="n"/>
      <c r="B37" s="197" t="inlineStr">
        <is>
          <t>plus Δ Working capital investment</t>
        </is>
      </c>
      <c r="C37" s="192" t="n"/>
      <c r="D37" s="174">
        <f>-D23</f>
        <v>-2758.06537588004</v>
      </c>
      <c r="E37" s="174">
        <f>-E23</f>
        <v>-4000.16570885714</v>
      </c>
      <c r="F37" s="174">
        <f>-F23</f>
        <v>-4154.18019372924</v>
      </c>
      <c r="G37" s="174">
        <f>-G23</f>
        <v>-3623.22544790575</v>
      </c>
      <c r="H37" s="174">
        <f>-H23</f>
        <v>-3044.27700218853</v>
      </c>
      <c r="I37" s="174">
        <f>-I23</f>
        <v>-3226.93362231984</v>
      </c>
      <c r="J37" s="174">
        <f>-J23</f>
        <v>-3404.41497154743</v>
      </c>
      <c r="K37" s="174">
        <f>-K23</f>
        <v>-3574.63572012481</v>
      </c>
      <c r="L37" s="174">
        <f>-L23</f>
        <v>-3735.49432753042</v>
      </c>
      <c r="M37" s="174">
        <f>-M23</f>
        <v>-3884.91410063164</v>
      </c>
      <c r="N37" s="174" t="n"/>
      <c r="O37" s="192" t="n"/>
      <c r="P37" s="192" t="n"/>
      <c r="Q37" s="192" t="n"/>
    </row>
    <row r="38" ht="15.75" customHeight="1" s="251">
      <c r="A38" s="192" t="n"/>
      <c r="B38" s="223" t="inlineStr">
        <is>
          <t>Closing invested capital</t>
        </is>
      </c>
      <c r="C38" s="223" t="n"/>
      <c r="D38" s="224">
        <f>SUM(D34:D37)</f>
        <v>29832.3067216425</v>
      </c>
      <c r="E38" s="224">
        <f>SUM(E34:E37)</f>
        <v>27684.6424721539</v>
      </c>
      <c r="F38" s="224">
        <f>SUM(F34:F37)</f>
        <v>25263.7811594504</v>
      </c>
      <c r="G38" s="224">
        <f>SUM(G34:G37)</f>
        <v>23199.5052805901</v>
      </c>
      <c r="H38" s="224">
        <f>SUM(H34:H37)</f>
        <v>21510.2837762881</v>
      </c>
      <c r="I38" s="224">
        <f>SUM(I34:I37)</f>
        <v>19719.7089817279</v>
      </c>
      <c r="J38" s="224">
        <f>SUM(J34:J37)</f>
        <v>17830.6525734669</v>
      </c>
      <c r="K38" s="224">
        <f>SUM(K34:K37)</f>
        <v>15847.1433447928</v>
      </c>
      <c r="L38" s="224">
        <f>SUM(L34:L37)</f>
        <v>13774.3762008285</v>
      </c>
      <c r="M38" s="224">
        <f>SUM(M34:M37)</f>
        <v>11618.6983711055</v>
      </c>
      <c r="N38" s="178" t="n"/>
      <c r="O38" s="192" t="n"/>
      <c r="P38" s="192" t="n"/>
      <c r="Q38" s="192" t="n"/>
    </row>
    <row r="39" ht="15.75" customHeight="1" s="251">
      <c r="A39" s="192" t="n"/>
      <c r="B39" s="197" t="inlineStr">
        <is>
          <t>NOPAT (row 20)</t>
        </is>
      </c>
      <c r="C39" s="192" t="n"/>
      <c r="D39" s="174">
        <f>D20</f>
        <v>4331.71172991904</v>
      </c>
      <c r="E39" s="174">
        <f>E20</f>
        <v>6459.77682735081</v>
      </c>
      <c r="F39" s="174">
        <f>F20</f>
        <v>8729.45517259793</v>
      </c>
      <c r="G39" s="174">
        <f>G20</f>
        <v>10446.2828989841</v>
      </c>
      <c r="H39" s="174">
        <f>H20</f>
        <v>11552.3055055454</v>
      </c>
      <c r="I39" s="174">
        <f>I20</f>
        <v>12245.4438358782</v>
      </c>
      <c r="J39" s="174">
        <f>J20</f>
        <v>12918.9432468515</v>
      </c>
      <c r="K39" s="174">
        <f>K20</f>
        <v>13564.890409194</v>
      </c>
      <c r="L39" s="174">
        <f>L20</f>
        <v>14175.3104776078</v>
      </c>
      <c r="M39" s="174">
        <f>M20</f>
        <v>14742.3228967121</v>
      </c>
      <c r="N39" s="174" t="n"/>
      <c r="O39" s="192" t="n"/>
      <c r="P39" s="192" t="n"/>
      <c r="Q39" s="192" t="n"/>
    </row>
    <row r="40" ht="15.75" customHeight="1" s="251">
      <c r="A40" s="192" t="n"/>
      <c r="B40" s="200" t="inlineStr">
        <is>
          <t>Implied ROIC (NOPAT / avg. invested capital)</t>
        </is>
      </c>
      <c r="C40" s="200" t="n"/>
      <c r="D40" s="180">
        <f>IFERROR(D39/AVERAGE(D34,D38),"")</f>
        <v>0.143187834045643</v>
      </c>
      <c r="E40" s="180">
        <f>IFERROR(E39/AVERAGE(E34,E38),"")</f>
        <v>0.224621678232111</v>
      </c>
      <c r="F40" s="180">
        <f>IFERROR(F39/AVERAGE(F34,F38),"")</f>
        <v>0.329734280035767</v>
      </c>
      <c r="G40" s="180">
        <f>IFERROR(G39/AVERAGE(G34,G38),"")</f>
        <v>0.431100887551584</v>
      </c>
      <c r="H40" s="180">
        <f>IFERROR(H39/AVERAGE(H34,H38),"")</f>
        <v>0.516768508607769</v>
      </c>
      <c r="I40" s="180">
        <f>IFERROR(I39/AVERAGE(I34,I38),"")</f>
        <v>0.594006596496304</v>
      </c>
      <c r="J40" s="180">
        <f>IFERROR(J39/AVERAGE(J34,J38),"")</f>
        <v>0.688086224036064</v>
      </c>
      <c r="K40" s="180">
        <f>IFERROR(K39/AVERAGE(K34,K38),"")</f>
        <v>0.805568775469615</v>
      </c>
      <c r="L40" s="180">
        <f>IFERROR(L39/AVERAGE(L34,L38),"")</f>
        <v>0.957095428934752</v>
      </c>
      <c r="M40" s="180">
        <f>IFERROR(M39/AVERAGE(M34,M38),"")</f>
        <v>1.16112941384469</v>
      </c>
      <c r="N40" s="180" t="n"/>
      <c r="O40" s="192" t="n"/>
      <c r="P40" s="192" t="n"/>
      <c r="Q40" s="192" t="n"/>
    </row>
    <row r="41" ht="15.75" customHeight="1" s="251">
      <c r="A41" s="192" t="n"/>
      <c r="B41" s="197" t="inlineStr">
        <is>
          <t>Reinvestment rate (net investment / NOPAT)</t>
        </is>
      </c>
      <c r="C41" s="192" t="n"/>
      <c r="D41" s="175">
        <f>IFERROR(SUM(D35:D37)/D39,"")</f>
        <v>-0.193755740098608</v>
      </c>
      <c r="E41" s="175">
        <f>IFERROR(SUM(E35:E37)/E39,"")</f>
        <v>-0.33246725187088</v>
      </c>
      <c r="F41" s="175">
        <f>IFERROR(SUM(F35:F37)/F39,"")</f>
        <v>-0.277321008566803</v>
      </c>
      <c r="G41" s="175">
        <f>IFERROR(SUM(G35:G37)/G39,"")</f>
        <v>-0.197608651691887</v>
      </c>
      <c r="H41" s="175">
        <f>IFERROR(SUM(H35:H37)/H39,"")</f>
        <v>-0.146223756244257</v>
      </c>
      <c r="I41" s="175">
        <f>IFERROR(SUM(I35:I37)/I39,"")</f>
        <v>-0.146223756244257</v>
      </c>
      <c r="J41" s="175">
        <f>IFERROR(SUM(J35:J37)/J39,"")</f>
        <v>-0.146223756244257</v>
      </c>
      <c r="K41" s="175">
        <f>IFERROR(SUM(K35:K37)/K39,"")</f>
        <v>-0.146223756244257</v>
      </c>
      <c r="L41" s="175">
        <f>IFERROR(SUM(L35:L37)/L39,"")</f>
        <v>-0.146223756244257</v>
      </c>
      <c r="M41" s="175">
        <f>IFERROR(SUM(M35:M37)/M39,"")</f>
        <v>-0.146223756244257</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-0.205165020859449</v>
      </c>
      <c r="O42" s="192" t="n"/>
      <c r="P42" s="192" t="n"/>
      <c r="Q42" s="192" t="n"/>
    </row>
    <row r="43" ht="15" customHeight="1" s="251">
      <c r="A43" s="192" t="n"/>
      <c r="B43" s="192" t="n"/>
      <c r="C43" s="192" t="n"/>
      <c r="D43" s="198" t="inlineStr">
        <is>
          <t>Opening IC = Model 2026E book IC (equity + net debt at 31-Dec-2026), rolled forward with capex + M&amp;A − D&amp;A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 fade)</t>
        </is>
      </c>
      <c r="C45" s="174">
        <f>SUM(D31:M31)</f>
        <v>74888.0161871936</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115662.917058471</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190550.933245664</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pension &amp; retiree health + NCI (Model 2026E year end)</t>
        </is>
      </c>
      <c r="C48" s="173">
        <f>Model!CA389+Model!CA401</f>
        <v>29277.5</v>
      </c>
      <c r="D48" s="198" t="inlineStr">
        <is>
          <t>Net debt = debt − cash − short-term investments; unfunded pension and retiree health liabilities are debt-like (pre-tax). The mandatory convertible preferred is in the diluted share count (converts Oct-2027), not in net debt.</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161273.433245664</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2026E period end, incl. preferred conversion shares)</t>
        </is>
      </c>
      <c r="C50" s="186">
        <f>Model!CA396</f>
        <v>833.225155621622</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193.55324567145</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Model!CA395</f>
        <v>185</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0.0462337603862189</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0.145024193408536</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165.483342336344</v>
      </c>
      <c r="D55" s="175">
        <f>C55/C52-1</f>
        <v>-0.105495446830572</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0.08148</v>
      </c>
      <c r="E61" s="228">
        <f>F61-0.005</f>
        <v>0.08648</v>
      </c>
      <c r="F61" s="228">
        <f>$C$13</f>
        <v>0.09148</v>
      </c>
      <c r="G61" s="228">
        <f>F61+0.005</f>
        <v>0.09648</v>
      </c>
      <c r="H61" s="234">
        <f>F61+0.01</f>
        <v>0.10148</v>
      </c>
      <c r="I61" s="192" t="n"/>
      <c r="J61" s="192" t="n"/>
      <c r="K61" s="192" t="n"/>
      <c r="L61" s="192" t="n"/>
      <c r="M61" s="192" t="n"/>
      <c r="N61" s="192" t="n"/>
      <c r="O61" s="192" t="n"/>
      <c r="P61" s="192" t="n"/>
      <c r="Q61" s="192" t="n"/>
    </row>
    <row r="62" ht="15.75" customHeight="1" s="251">
      <c r="A62" s="192" t="n"/>
      <c r="B62" s="232">
        <f>B64-0.01</f>
        <v>0.02</v>
      </c>
      <c r="C62" s="192" t="n"/>
      <c r="D62" s="225">
        <f t="array" ref="D62">IFERROR((SUMPRODUCT($D$24:$M$24/(1+D$61)^$D$29:$M$29)+($M$24*(1+$B62)/(D$61-$B62))/(1+D$61)^$M$29-$C$48)/$C$50,"")</f>
        <v>210.750207494688</v>
      </c>
      <c r="E62" s="225">
        <f t="array" ref="E62">IFERROR((SUMPRODUCT($D$24:$M$24/(1+E$61)^$D$29:$M$29)+($M$24*(1+$B62)/(E$61-$B62))/(1+E$61)^$M$29-$C$48)/$C$50,"")</f>
        <v>190.420353227549</v>
      </c>
      <c r="F62" s="225">
        <f t="array" ref="F62">IFERROR((SUMPRODUCT($D$24:$M$24/(1+F$61)^$D$29:$M$29)+($M$24*(1+$B62)/(F$61-$B62))/(1+F$61)^$M$29-$C$48)/$C$50,"")</f>
        <v>172.974173904151</v>
      </c>
      <c r="G62" s="225">
        <f t="array" ref="G62">IFERROR((SUMPRODUCT($D$24:$M$24/(1+G$61)^$D$29:$M$29)+($M$24*(1+$B62)/(G$61-$B62))/(1+G$61)^$M$29-$C$48)/$C$50,"")</f>
        <v>157.844844980276</v>
      </c>
      <c r="H62" s="235">
        <f t="array" ref="H62">IFERROR((SUMPRODUCT($D$24:$M$24/(1+H$61)^$D$29:$M$29)+($M$24*(1+$B62)/(H$61-$B62))/(1+H$61)^$M$29-$C$48)/$C$50,"")</f>
        <v>144.604723680415</v>
      </c>
      <c r="I62" s="192" t="n"/>
      <c r="J62" s="192" t="n"/>
      <c r="K62" s="192" t="n"/>
      <c r="L62" s="192" t="n"/>
      <c r="M62" s="192" t="n"/>
      <c r="N62" s="192" t="n"/>
      <c r="O62" s="192" t="n"/>
      <c r="P62" s="192" t="n"/>
      <c r="Q62" s="192" t="n"/>
    </row>
    <row r="63" ht="15.75" customHeight="1" s="251">
      <c r="A63" s="192" t="n"/>
      <c r="B63" s="232">
        <f>B64-0.005</f>
        <v>0.025</v>
      </c>
      <c r="C63" s="192" t="n"/>
      <c r="D63" s="225">
        <f t="array" ref="D63">IFERROR((SUMPRODUCT($D$24:$M$24/(1+D$61)^$D$29:$M$29)+($M$24*(1+$B63)/(D$61-$B63))/(1+D$61)^$M$29-$C$48)/$C$50,"")</f>
        <v>224.926547772483</v>
      </c>
      <c r="E63" s="225">
        <f t="array" ref="E63">IFERROR((SUMPRODUCT($D$24:$M$24/(1+E$61)^$D$29:$M$29)+($M$24*(1+$B63)/(E$61-$B63))/(1+E$61)^$M$29-$C$48)/$C$50,"")</f>
        <v>201.962487805494</v>
      </c>
      <c r="F63" s="225">
        <f t="array" ref="F63">IFERROR((SUMPRODUCT($D$24:$M$24/(1+F$61)^$D$29:$M$29)+($M$24*(1+$B63)/(F$61-$B63))/(1+F$61)^$M$29-$C$48)/$C$50,"")</f>
        <v>182.489827726756</v>
      </c>
      <c r="G63" s="225">
        <f t="array" ref="G63">IFERROR((SUMPRODUCT($D$24:$M$24/(1+G$61)^$D$29:$M$29)+($M$24*(1+$B63)/(G$61-$B63))/(1+G$61)^$M$29-$C$48)/$C$50,"")</f>
        <v>165.774769130897</v>
      </c>
      <c r="H63" s="235">
        <f t="array" ref="H63">IFERROR((SUMPRODUCT($D$24:$M$24/(1+H$61)^$D$29:$M$29)+($M$24*(1+$B63)/(H$61-$B63))/(1+H$61)^$M$29-$C$48)/$C$50,"")</f>
        <v>151.27545028563</v>
      </c>
      <c r="I63" s="192" t="n"/>
      <c r="J63" s="192" t="n"/>
      <c r="K63" s="192" t="n"/>
      <c r="L63" s="192" t="n"/>
      <c r="M63" s="192" t="n"/>
      <c r="N63" s="192" t="n"/>
      <c r="O63" s="192" t="n"/>
      <c r="P63" s="192" t="n"/>
      <c r="Q63" s="192" t="n"/>
    </row>
    <row r="64" ht="15.75" customHeight="1" s="251">
      <c r="A64" s="192" t="n"/>
      <c r="B64" s="232">
        <f>$C$27</f>
        <v>0.03</v>
      </c>
      <c r="C64" s="192" t="n"/>
      <c r="D64" s="225">
        <f t="array" ref="D64">IFERROR((SUMPRODUCT($D$24:$M$24/(1+D$61)^$D$29:$M$29)+($M$24*(1+$B64)/(D$61-$B64))/(1+D$61)^$M$29-$C$48)/$C$50,"")</f>
        <v>241.856644902997</v>
      </c>
      <c r="E64" s="225">
        <f t="array" ref="E64">IFERROR((SUMPRODUCT($D$24:$M$24/(1+E$61)^$D$29:$M$29)+($M$24*(1+$B64)/(E$61-$B64))/(1+E$61)^$M$29-$C$48)/$C$50,"")</f>
        <v>215.548201451773</v>
      </c>
      <c r="F64" s="226">
        <f t="array" ref="F64">IFERROR((SUMPRODUCT($D$24:$M$24/(1+F$61)^$D$29:$M$29)+($M$24*(1+$B64)/(F$61-$B64))/(1+F$61)^$M$29-$C$48)/$C$50,"")</f>
        <v>193.55324567145</v>
      </c>
      <c r="G64" s="225">
        <f t="array" ref="G64">IFERROR((SUMPRODUCT($D$24:$M$24/(1+G$61)^$D$29:$M$29)+($M$24*(1+$B64)/(G$61-$B64))/(1+G$61)^$M$29-$C$48)/$C$50,"")</f>
        <v>174.897521824031</v>
      </c>
      <c r="H64" s="235">
        <f t="array" ref="H64">IFERROR((SUMPRODUCT($D$24:$M$24/(1+H$61)^$D$29:$M$29)+($M$24*(1+$B64)/(H$61-$B64))/(1+H$61)^$M$29-$C$48)/$C$50,"")</f>
        <v>158.87940669012</v>
      </c>
      <c r="I64" s="192" t="n"/>
      <c r="J64" s="192" t="n"/>
      <c r="K64" s="192" t="n"/>
      <c r="L64" s="192" t="n"/>
      <c r="M64" s="192" t="n"/>
      <c r="N64" s="192" t="n"/>
      <c r="O64" s="192" t="n"/>
      <c r="P64" s="192" t="n"/>
      <c r="Q64" s="192" t="n"/>
    </row>
    <row r="65" ht="15.75" customHeight="1" s="251">
      <c r="A65" s="192" t="n"/>
      <c r="B65" s="232">
        <f>B64+0.005</f>
        <v>0.035</v>
      </c>
      <c r="C65" s="192" t="n"/>
      <c r="D65" s="225">
        <f t="array" ref="D65">IFERROR((SUMPRODUCT($D$24:$M$24/(1+D$61)^$D$29:$M$29)+($M$24*(1+$B65)/(D$61-$B65))/(1+D$61)^$M$29-$C$48)/$C$50,"")</f>
        <v>262.42918978104</v>
      </c>
      <c r="E65" s="225">
        <f t="array" ref="E65">IFERROR((SUMPRODUCT($D$24:$M$24/(1+E$61)^$D$29:$M$29)+($M$24*(1+$B65)/(E$61-$B65))/(1+E$61)^$M$29-$C$48)/$C$50,"")</f>
        <v>231.772942612868</v>
      </c>
      <c r="F65" s="225">
        <f t="array" ref="F65">IFERROR((SUMPRODUCT($D$24:$M$24/(1+F$61)^$D$29:$M$29)+($M$24*(1+$B65)/(F$61-$B65))/(1+F$61)^$M$29-$C$48)/$C$50,"")</f>
        <v>206.575484073775</v>
      </c>
      <c r="G65" s="225">
        <f t="array" ref="G65">IFERROR((SUMPRODUCT($D$24:$M$24/(1+G$61)^$D$29:$M$29)+($M$24*(1+$B65)/(G$61-$B65))/(1+G$61)^$M$29-$C$48)/$C$50,"")</f>
        <v>185.504131493927</v>
      </c>
      <c r="H65" s="235">
        <f t="array" ref="H65">IFERROR((SUMPRODUCT($D$24:$M$24/(1+H$61)^$D$29:$M$29)+($M$24*(1+$B65)/(H$61-$B65))/(1+H$61)^$M$29-$C$48)/$C$50,"")</f>
        <v>167.627159184335</v>
      </c>
      <c r="I65" s="192" t="n"/>
      <c r="J65" s="192" t="n"/>
      <c r="K65" s="192" t="n"/>
      <c r="L65" s="192" t="n"/>
      <c r="M65" s="192" t="n"/>
      <c r="N65" s="192" t="n"/>
      <c r="O65" s="192" t="n"/>
      <c r="P65" s="192" t="n"/>
      <c r="Q65" s="192" t="n"/>
    </row>
    <row r="66" ht="15.75" customHeight="1" s="251">
      <c r="A66" s="192" t="n"/>
      <c r="B66" s="233">
        <f>B64+0.01</f>
        <v>0.04</v>
      </c>
      <c r="C66" s="229" t="n"/>
      <c r="D66" s="230">
        <f t="array" ref="D66">IFERROR((SUMPRODUCT($D$24:$M$24/(1+D$61)^$D$29:$M$29)+($M$24*(1+$B66)/(D$61-$B66))/(1+D$61)^$M$29-$C$48)/$C$50,"")</f>
        <v>287.961364571822</v>
      </c>
      <c r="E66" s="230">
        <f t="array" ref="E66">IFERROR((SUMPRODUCT($D$24:$M$24/(1+E$61)^$D$29:$M$29)+($M$24*(1+$B66)/(E$61-$B66))/(1+E$61)^$M$29-$C$48)/$C$50,"")</f>
        <v>251.488376794852</v>
      </c>
      <c r="F66" s="230">
        <f t="array" ref="F66">IFERROR((SUMPRODUCT($D$24:$M$24/(1+F$61)^$D$29:$M$29)+($M$24*(1+$B66)/(F$61-$B66))/(1+F$61)^$M$29-$C$48)/$C$50,"")</f>
        <v>222.127294815323</v>
      </c>
      <c r="G66" s="230">
        <f t="array" ref="G66">IFERROR((SUMPRODUCT($D$24:$M$24/(1+G$61)^$D$29:$M$29)+($M$24*(1+$B66)/(G$61-$B66))/(1+G$61)^$M$29-$C$48)/$C$50,"")</f>
        <v>197.9886819694</v>
      </c>
      <c r="H66" s="236">
        <f t="array" ref="H66">IFERROR((SUMPRODUCT($D$24:$M$24/(1+H$61)^$D$29:$M$29)+($M$24*(1+$B66)/(H$61-$B66))/(1+H$61)^$M$29-$C$48)/$C$50,"")</f>
        <v>177.797773177284</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(Boeing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0.09148</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0.1</v>
      </c>
      <c r="D78" s="198" t="inlineStr">
        <is>
          <t>Applied from 2029E (after the recovery years): model NOPAT growth 2029E–31E ~15% a year, then the 6% → 4% fade; ~10% a year over the stage-1 period (assumption)</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0.25</v>
      </c>
      <c r="D79" s="198" t="inlineStr">
        <is>
          <t>Duopoly in large commercial jets with ~$600bn commercial backlog; returns on incremental capital are high at normal production rates (2015–18 ROIC well above WACC) but development programs and quality failures can destroy value for years</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12</v>
      </c>
      <c r="D80" s="198" t="inlineStr">
        <is>
          <t>Very long product cycles (737 / 777 / 787 franchises, 20–30-year services annuities) and certification barriers sustain a long competitive-advantage period; risks: regulator oversight, execution, a new-airplane program in the 2030s</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10.9313511149978</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0.63408</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-81.3538863262655</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-0.0977990112517955</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7.95632964419973</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308">
        <f>C83+C87</f>
        <v>18.8876807591975</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2029E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2029E Adj. EBIT (core operating earnings) less gains on dispositions</t>
        </is>
      </c>
      <c r="C91" s="209">
        <f>Model!CD183-Model!CD185</f>
        <v>11049.9432564531</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0.21</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2029E NOPAT</t>
        </is>
      </c>
      <c r="C93" s="211">
        <f>C91*(1-C92)</f>
        <v>8729.45517259793</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267">
        <f>C88</f>
        <v>18.8876807591975</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(2029E basis)</t>
        </is>
      </c>
      <c r="C95" s="211">
        <f>C93*C94</f>
        <v>164879.162501755</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2028E year-end net debt + pension + NCI (Model)</t>
        </is>
      </c>
      <c r="C96" s="209">
        <f>Model!CC389+Model!CC401</f>
        <v>11739.5589354949</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153139.603566261</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2029E (m, Model)</t>
        </is>
      </c>
      <c r="C98" s="212">
        <f>Model!CD396</f>
        <v>801.938417023157</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2029 ($)</t>
        </is>
      </c>
      <c r="C99" s="213">
        <f>C97/C98</f>
        <v>190.961799953074</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185</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0.0322259456922898</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154146.65379</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2026E year-end net debt + pension + NCI</t>
        </is>
      </c>
      <c r="C106" s="211">
        <f>C48</f>
        <v>29277.5</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183424.15379</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BA market-implied EV/NOPAT (on 2029E NOPAT)</t>
        </is>
      </c>
      <c r="C108" s="309">
        <f>C107/C93</f>
        <v>21.0120964210659</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-2.12441566186833</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-0.101104412396398</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The Boeing Company — Operating Performance (FY2012–FY2025) and Model Forecast (2026E–2031E)</t>
        </is>
      </c>
    </row>
    <row r="3" ht="15" customHeight="1" s="251">
      <c r="B3" s="4" t="inlineStr">
        <is>
          <t>USDm · fiscal years ended 31 December · Linked to Model. Bars = commercial deliveries y/y and BCA revenue per delivery y/y. Adjusted EBITDA = model definition (core operating earnings + D&amp;A); core operating earnings = company definition (published from FY2011; earlier years rebuilt / = GAAP, flagged in the Model). ROIC / RONTA on core operating earnings excl. divestiture gains; n/m when invested capital or equity is negative.</t>
        </is>
      </c>
    </row>
    <row r="7" ht="15" customHeight="1" s="251">
      <c r="C7" s="10" t="n">
        <v>2012</v>
      </c>
      <c r="D7" s="10" t="n">
        <v>2013</v>
      </c>
      <c r="E7" s="10" t="n">
        <v>2014</v>
      </c>
      <c r="F7" s="10" t="n">
        <v>2015</v>
      </c>
      <c r="G7" s="10" t="n">
        <v>2016</v>
      </c>
      <c r="H7" s="10" t="n">
        <v>2017</v>
      </c>
      <c r="I7" s="10" t="n">
        <v>2018</v>
      </c>
      <c r="J7" s="10" t="n">
        <v>2019</v>
      </c>
      <c r="K7" s="10" t="n">
        <v>2020</v>
      </c>
      <c r="L7" s="10" t="n">
        <v>2021</v>
      </c>
      <c r="M7" s="10" t="n">
        <v>2022</v>
      </c>
      <c r="N7" s="10" t="n">
        <v>2023</v>
      </c>
      <c r="O7" s="10" t="n">
        <v>2024</v>
      </c>
      <c r="P7" s="10" t="n">
        <v>2025</v>
      </c>
      <c r="Q7" s="10" t="inlineStr">
        <is>
          <t>2026E</t>
        </is>
      </c>
      <c r="R7" s="10" t="inlineStr">
        <is>
          <t>2027E</t>
        </is>
      </c>
      <c r="S7" s="10" t="inlineStr">
        <is>
          <t>2028E</t>
        </is>
      </c>
      <c r="T7" s="10" t="inlineStr">
        <is>
          <t>2029E</t>
        </is>
      </c>
      <c r="U7" s="10" t="inlineStr">
        <is>
          <t>2030E</t>
        </is>
      </c>
      <c r="V7" s="10" t="inlineStr">
        <is>
          <t>2031E</t>
        </is>
      </c>
    </row>
    <row r="8" ht="15" customHeight="1" s="251">
      <c r="B8" t="inlineStr">
        <is>
          <t>Commercial deliveries y/y</t>
        </is>
      </c>
      <c r="C8" s="108">
        <f>IFERROR(Model!I19+0,0)</f>
        <v>0.259958071278826</v>
      </c>
      <c r="D8" s="108">
        <f>IFERROR(Model!N19+0,0)</f>
        <v>0.0782029950083194</v>
      </c>
      <c r="E8" s="108">
        <f>IFERROR(Model!S19+0,0)</f>
        <v>0.115740740740741</v>
      </c>
      <c r="F8" s="108">
        <f>IFERROR(Model!X19+0,0)</f>
        <v>0.053941908713693</v>
      </c>
      <c r="G8" s="108">
        <f>IFERROR(Model!AC19+0,0)</f>
        <v>-0.0183727034120735</v>
      </c>
      <c r="H8" s="108">
        <f>IFERROR(Model!AH19+0,0)</f>
        <v>0.0200534759358288</v>
      </c>
      <c r="I8" s="108">
        <f>IFERROR(Model!AM19+0,0)</f>
        <v>0.056356487549148</v>
      </c>
      <c r="J8" s="108">
        <f>IFERROR(Model!AR19+0,0)</f>
        <v>-0.528535980148883</v>
      </c>
      <c r="K8" s="108">
        <f>IFERROR(Model!AW19+0,0)</f>
        <v>-0.586842105263158</v>
      </c>
      <c r="L8" s="108">
        <f>IFERROR(Model!BB19+0,0)</f>
        <v>1.1656050955414</v>
      </c>
      <c r="M8" s="108">
        <f>IFERROR(Model!BG19+0,0)</f>
        <v>0.411764705882353</v>
      </c>
      <c r="N8" s="108">
        <f>IFERROR(Model!BL19+0,0)</f>
        <v>0.1</v>
      </c>
      <c r="O8" s="108">
        <f>IFERROR(Model!BQ19+0,0)</f>
        <v>-0.340909090909091</v>
      </c>
      <c r="P8" s="108">
        <f>IFERROR(Model!BV19+0,0)</f>
        <v>0.724137931034483</v>
      </c>
      <c r="Q8" s="108">
        <f>IFERROR(Model!CA19+0,0)</f>
        <v>0.0925595238095238</v>
      </c>
      <c r="R8" s="108">
        <f>IFERROR(Model!CB19+0,0)</f>
        <v>0.113593026423318</v>
      </c>
      <c r="S8" s="108">
        <f>IFERROR(Model!CC19+0,0)</f>
        <v>0.0890410958904109</v>
      </c>
      <c r="T8" s="108">
        <f>IFERROR(Model!CD19+0,0)</f>
        <v>0.0566037735849057</v>
      </c>
      <c r="U8" s="108">
        <f>IFERROR(Model!CE19+0,0)</f>
        <v>0.0238095238095237</v>
      </c>
      <c r="V8" s="108">
        <f>IFERROR(Model!CF19+0,0)</f>
        <v>0.0116279069767442</v>
      </c>
    </row>
    <row r="9" ht="15" customHeight="1" s="251">
      <c r="B9" t="inlineStr">
        <is>
          <t>BCA revenue per delivery y/y</t>
        </is>
      </c>
      <c r="C9" s="108">
        <f>IFERROR(Model!I23+0,0)</f>
        <v>0.0779624570312645</v>
      </c>
      <c r="D9" s="108">
        <f>IFERROR(Model!N23+0,0)</f>
        <v>0.00022884124718825</v>
      </c>
      <c r="E9" s="108">
        <f>IFERROR(Model!S23+0,0)</f>
        <v>0.0148349588410346</v>
      </c>
      <c r="F9" s="108">
        <f>IFERROR(Model!X23+0,0)</f>
        <v>0.0446339481777147</v>
      </c>
      <c r="G9" s="108">
        <f>IFERROR(Model!AC23+0,0)</f>
        <v>0.00361659677745285</v>
      </c>
      <c r="H9" s="108">
        <f>IFERROR(Model!AH23+0,0)</f>
        <v>-0.145311116154206</v>
      </c>
      <c r="I9" s="108">
        <f>IFERROR(Model!AM23+0,0)</f>
        <v>0.0131654406543111</v>
      </c>
      <c r="J9" s="108">
        <f>IFERROR(Model!AR23+0,0)</f>
        <v>0.126814669053429</v>
      </c>
      <c r="K9" s="108">
        <f>IFERROR(Model!AW23+0,0)</f>
        <v>0.212779927468906</v>
      </c>
      <c r="L9" s="108">
        <f>IFERROR(Model!BB23+0,0)</f>
        <v>-0.443065251097345</v>
      </c>
      <c r="M9" s="108">
        <f>IFERROR(Model!BG23+0,0)</f>
        <v>-0.060049333948939</v>
      </c>
      <c r="N9" s="108">
        <f>IFERROR(Model!BL23+0,0)</f>
        <v>0.191444346429463</v>
      </c>
      <c r="O9" s="108">
        <f>IFERROR(Model!BQ23+0,0)</f>
        <v>0.0231454875199491</v>
      </c>
      <c r="P9" s="108">
        <f>IFERROR(Model!BV23+0,0)</f>
        <v>0.0527326013735183</v>
      </c>
      <c r="Q9" s="108">
        <f>IFERROR(Model!CA23+0,0)</f>
        <v>-0.0350534909659258</v>
      </c>
      <c r="R9" s="108">
        <f>IFERROR(Model!CB23+0,0)</f>
        <v>0.04</v>
      </c>
      <c r="S9" s="108">
        <f>IFERROR(Model!CC23+0,0)</f>
        <v>0.03</v>
      </c>
      <c r="T9" s="108">
        <f>IFERROR(Model!CD23+0,0)</f>
        <v>0.03</v>
      </c>
      <c r="U9" s="108">
        <f>IFERROR(Model!CE23+0,0)</f>
        <v>0.03</v>
      </c>
      <c r="V9" s="108">
        <f>IFERROR(Model!CF23+0,0)</f>
        <v>0.03</v>
      </c>
    </row>
    <row r="11" ht="15" customHeight="1" s="251">
      <c r="C11" s="10">
        <f>C7</f>
        <v>2012</v>
      </c>
      <c r="D11" s="10">
        <f>D7</f>
        <v>2013</v>
      </c>
      <c r="E11" s="10">
        <f>E7</f>
        <v>2014</v>
      </c>
      <c r="F11" s="10">
        <f>F7</f>
        <v>2015</v>
      </c>
      <c r="G11" s="10">
        <f>G7</f>
        <v>2016</v>
      </c>
      <c r="H11" s="10">
        <f>H7</f>
        <v>2017</v>
      </c>
      <c r="I11" s="10">
        <f>I7</f>
        <v>2018</v>
      </c>
      <c r="J11" s="10">
        <f>J7</f>
        <v>2019</v>
      </c>
      <c r="K11" s="10">
        <f>K7</f>
        <v>2020</v>
      </c>
      <c r="L11" s="10">
        <f>L7</f>
        <v>2021</v>
      </c>
      <c r="M11" s="10">
        <f>M7</f>
        <v>2022</v>
      </c>
      <c r="N11" s="10">
        <f>N7</f>
        <v>2023</v>
      </c>
      <c r="O11" s="10">
        <f>O7</f>
        <v>2024</v>
      </c>
      <c r="P11" s="10">
        <f>P7</f>
        <v>2025</v>
      </c>
      <c r="Q11" s="10" t="str">
        <f>Q7</f>
        <v>2026E</v>
      </c>
      <c r="R11" s="10" t="str">
        <f>R7</f>
        <v>2027E</v>
      </c>
      <c r="S11" s="10" t="str">
        <f>S7</f>
        <v>2028E</v>
      </c>
      <c r="T11" s="10" t="str">
        <f>T7</f>
        <v>2029E</v>
      </c>
      <c r="U11" s="10" t="str">
        <f>U7</f>
        <v>2030E</v>
      </c>
      <c r="V11" s="10" t="str">
        <f>V7</f>
        <v>2031E</v>
      </c>
    </row>
    <row r="12" ht="15" customHeight="1" s="251">
      <c r="B12" t="inlineStr">
        <is>
          <t>Adjusted EBITDA (model)</t>
        </is>
      </c>
      <c r="C12" s="106">
        <f>Model!I180</f>
        <v>9021</v>
      </c>
      <c r="D12" s="106">
        <f>Model!N180</f>
        <v>9720</v>
      </c>
      <c r="E12" s="106">
        <f>Model!S180</f>
        <v>10766</v>
      </c>
      <c r="F12" s="106">
        <f>Model!X180</f>
        <v>9574</v>
      </c>
      <c r="G12" s="106">
        <f>Model!AC180</f>
        <v>7374</v>
      </c>
      <c r="H12" s="106">
        <f>Model!AH180</f>
        <v>11039</v>
      </c>
      <c r="I12" s="106">
        <f>Model!AM180</f>
        <v>12774</v>
      </c>
      <c r="J12" s="106">
        <f>Model!AR180</f>
        <v>-1119</v>
      </c>
      <c r="K12" s="106">
        <f>Model!AW180</f>
        <v>-11904</v>
      </c>
      <c r="L12" s="106">
        <f>Model!BB180</f>
        <v>-1931</v>
      </c>
      <c r="M12" s="106">
        <f>Model!BG180</f>
        <v>-2711</v>
      </c>
      <c r="N12" s="106">
        <f>Model!BL180</f>
        <v>32</v>
      </c>
      <c r="O12" s="106">
        <f>Model!BQ180</f>
        <v>-9975</v>
      </c>
      <c r="P12" s="106">
        <f>Model!BV180</f>
        <v>5189</v>
      </c>
      <c r="Q12" s="106">
        <f>Model!CA180</f>
        <v>3756.1119264075</v>
      </c>
      <c r="R12" s="106">
        <f>Model!CB180</f>
        <v>8041.54122330181</v>
      </c>
      <c r="S12" s="106">
        <f>Model!CC180</f>
        <v>10955.6848819021</v>
      </c>
      <c r="T12" s="106">
        <f>Model!CD180</f>
        <v>13897.5385609953</v>
      </c>
      <c r="U12" s="106">
        <f>Model!CE180</f>
        <v>16211.1295841103</v>
      </c>
      <c r="V12" s="106">
        <f>Model!CF180</f>
        <v>17739.7991711458</v>
      </c>
    </row>
    <row r="13" ht="15" customHeight="1" s="251">
      <c r="B13" t="inlineStr">
        <is>
          <t>Earnings from operations (GAAP)</t>
        </is>
      </c>
      <c r="C13" s="106">
        <f>Model!I128</f>
        <v>6311</v>
      </c>
      <c r="D13" s="106">
        <f>Model!N128</f>
        <v>6562</v>
      </c>
      <c r="E13" s="106">
        <f>Model!S128</f>
        <v>7473</v>
      </c>
      <c r="F13" s="106">
        <f>Model!X128</f>
        <v>7443</v>
      </c>
      <c r="G13" s="106">
        <f>Model!AC128</f>
        <v>5834</v>
      </c>
      <c r="H13" s="106">
        <f>Model!AH128</f>
        <v>10278</v>
      </c>
      <c r="I13" s="106">
        <f>Model!AM128</f>
        <v>11987</v>
      </c>
      <c r="J13" s="106">
        <f>Model!AR128</f>
        <v>-1975</v>
      </c>
      <c r="K13" s="106">
        <f>Model!AW128</f>
        <v>-12767</v>
      </c>
      <c r="L13" s="106">
        <f>Model!BB128</f>
        <v>-2902</v>
      </c>
      <c r="M13" s="106">
        <f>Model!BG128</f>
        <v>-3547</v>
      </c>
      <c r="N13" s="106">
        <f>Model!BL128</f>
        <v>-773</v>
      </c>
      <c r="O13" s="106">
        <f>Model!BQ128</f>
        <v>-10707</v>
      </c>
      <c r="P13" s="106">
        <f>Model!BV128</f>
        <v>4281</v>
      </c>
      <c r="Q13" s="106">
        <f>Model!CA128</f>
        <v>2037.1119264075</v>
      </c>
      <c r="R13" s="106">
        <f>Model!CB128</f>
        <v>6083.17940496081</v>
      </c>
      <c r="S13" s="106">
        <f>Model!CC128</f>
        <v>8726.93269284913</v>
      </c>
      <c r="T13" s="106">
        <f>Model!CD128</f>
        <v>11549.9432564531</v>
      </c>
      <c r="U13" s="106">
        <f>Model!CE128</f>
        <v>13673.1429101064</v>
      </c>
      <c r="V13" s="106">
        <f>Model!CF128</f>
        <v>15023.1715260069</v>
      </c>
    </row>
    <row r="14" ht="15" customHeight="1" s="251">
      <c r="B14" t="inlineStr">
        <is>
          <t>Adj. EBITDA Margin %</t>
        </is>
      </c>
      <c r="C14" s="108">
        <f>Model!I214</f>
        <v>0.110418859702808</v>
      </c>
      <c r="D14" s="108">
        <f>Model!N214</f>
        <v>0.112210382923704</v>
      </c>
      <c r="E14" s="108">
        <f>Model!S214</f>
        <v>0.11861792380071</v>
      </c>
      <c r="F14" s="108">
        <f>Model!X214</f>
        <v>0.0996108787481532</v>
      </c>
      <c r="G14" s="108">
        <f>Model!AC214</f>
        <v>0.0779731630203762</v>
      </c>
      <c r="H14" s="108">
        <f>Model!AH214</f>
        <v>0.118200702415624</v>
      </c>
      <c r="I14" s="108">
        <f>Model!AM214</f>
        <v>0.126316414014062</v>
      </c>
      <c r="J14" s="108">
        <f>Model!AR214</f>
        <v>-0.0146161783722358</v>
      </c>
      <c r="K14" s="108">
        <f>Model!AW214</f>
        <v>-0.204683792427525</v>
      </c>
      <c r="L14" s="108">
        <f>Model!BB214</f>
        <v>-0.0310021513662781</v>
      </c>
      <c r="M14" s="108">
        <f>Model!BG214</f>
        <v>-0.0407008167187125</v>
      </c>
      <c r="N14" s="108">
        <f>Model!BL214</f>
        <v>0.000411342777077924</v>
      </c>
      <c r="O14" s="108">
        <f>Model!BQ214</f>
        <v>-0.149961663935535</v>
      </c>
      <c r="P14" s="108">
        <f>Model!BV214</f>
        <v>0.0580016319595811</v>
      </c>
      <c r="Q14" s="108">
        <f>Model!CA214</f>
        <v>0.0386135275752622</v>
      </c>
      <c r="R14" s="108">
        <f>Model!CB214</f>
        <v>0.0754377226769254</v>
      </c>
      <c r="S14" s="108">
        <f>Model!CC214</f>
        <v>0.0946239244368406</v>
      </c>
      <c r="T14" s="108">
        <f>Model!CD214</f>
        <v>0.112250285843999</v>
      </c>
      <c r="U14" s="108">
        <f>Model!CE214</f>
        <v>0.12478502119118</v>
      </c>
      <c r="V14" s="108">
        <f>Model!CF214</f>
        <v>0.130915665069182</v>
      </c>
    </row>
    <row r="15" ht="15" customHeight="1" s="251">
      <c r="B15" t="inlineStr">
        <is>
          <t>Operating Margin (GAAP) %</t>
        </is>
      </c>
      <c r="C15" s="108">
        <f>Model!I215</f>
        <v>0.077247913045607</v>
      </c>
      <c r="D15" s="108">
        <f>Model!N215</f>
        <v>0.0757535527515787</v>
      </c>
      <c r="E15" s="108">
        <f>Model!S215</f>
        <v>0.0823362200039664</v>
      </c>
      <c r="F15" s="108">
        <f>Model!X215</f>
        <v>0.077439290842125</v>
      </c>
      <c r="G15" s="108">
        <f>Model!AC215</f>
        <v>0.0616891013101268</v>
      </c>
      <c r="H15" s="108">
        <f>Model!AH215</f>
        <v>0.110052252869625</v>
      </c>
      <c r="I15" s="108">
        <f>Model!AM215</f>
        <v>0.118534120462389</v>
      </c>
      <c r="J15" s="108">
        <f>Model!AR215</f>
        <v>-0.0257970976632401</v>
      </c>
      <c r="K15" s="108">
        <f>Model!AW215</f>
        <v>-0.21952267959696</v>
      </c>
      <c r="L15" s="108">
        <f>Model!BB215</f>
        <v>-0.0465915293966542</v>
      </c>
      <c r="M15" s="108">
        <f>Model!BG215</f>
        <v>-0.0532518616382417</v>
      </c>
      <c r="N15" s="108">
        <f>Model!BL215</f>
        <v>-0.0099364989587886</v>
      </c>
      <c r="O15" s="108">
        <f>Model!BQ215</f>
        <v>-0.160966369499526</v>
      </c>
      <c r="P15" s="108">
        <f>Model!BV215</f>
        <v>0.0478521847020556</v>
      </c>
      <c r="Q15" s="108">
        <f>Model!CA215</f>
        <v>0.0209418886032678</v>
      </c>
      <c r="R15" s="108">
        <f>Model!CB215</f>
        <v>0.0570663245020331</v>
      </c>
      <c r="S15" s="108">
        <f>Model!CC215</f>
        <v>0.0753742580765233</v>
      </c>
      <c r="T15" s="108">
        <f>Model!CD215</f>
        <v>0.0932887810549082</v>
      </c>
      <c r="U15" s="108">
        <f>Model!CE215</f>
        <v>0.10524889206117</v>
      </c>
      <c r="V15" s="108">
        <f>Model!CF215</f>
        <v>0.110867573685647</v>
      </c>
    </row>
    <row r="17" ht="15" customHeight="1" s="251">
      <c r="C17" s="10">
        <f>C7</f>
        <v>2012</v>
      </c>
      <c r="D17" s="10">
        <f>D7</f>
        <v>2013</v>
      </c>
      <c r="E17" s="10">
        <f>E7</f>
        <v>2014</v>
      </c>
      <c r="F17" s="10">
        <f>F7</f>
        <v>2015</v>
      </c>
      <c r="G17" s="10">
        <f>G7</f>
        <v>2016</v>
      </c>
      <c r="H17" s="10">
        <f>H7</f>
        <v>2017</v>
      </c>
      <c r="I17" s="10">
        <f>I7</f>
        <v>2018</v>
      </c>
      <c r="J17" s="10">
        <f>J7</f>
        <v>2019</v>
      </c>
      <c r="K17" s="10">
        <f>K7</f>
        <v>2020</v>
      </c>
      <c r="L17" s="10">
        <f>L7</f>
        <v>2021</v>
      </c>
      <c r="M17" s="10">
        <f>M7</f>
        <v>2022</v>
      </c>
      <c r="N17" s="10">
        <f>N7</f>
        <v>2023</v>
      </c>
      <c r="O17" s="10">
        <f>O7</f>
        <v>2024</v>
      </c>
      <c r="P17" s="10">
        <f>P7</f>
        <v>2025</v>
      </c>
      <c r="Q17" s="10" t="str">
        <f>Q7</f>
        <v>2026E</v>
      </c>
      <c r="R17" s="10" t="str">
        <f>R7</f>
        <v>2027E</v>
      </c>
      <c r="S17" s="10" t="str">
        <f>S7</f>
        <v>2028E</v>
      </c>
      <c r="T17" s="10" t="str">
        <f>T7</f>
        <v>2029E</v>
      </c>
      <c r="U17" s="10" t="str">
        <f>U7</f>
        <v>2030E</v>
      </c>
      <c r="V17" s="10" t="str">
        <f>V7</f>
        <v>2031E</v>
      </c>
    </row>
    <row r="18" ht="15" customHeight="1" s="251">
      <c r="B18" t="inlineStr">
        <is>
          <t>ROIC</t>
        </is>
      </c>
      <c r="C18" s="108">
        <f>IFERROR(Model!I372+0,NA())</f>
        <v>1.66213626685593</v>
      </c>
      <c r="D18" s="108">
        <f>IFERROR(Model!N372+0,NA())</f>
        <v>0.544740772349051</v>
      </c>
      <c r="E18" s="108">
        <f>IFERROR(Model!S372+0,NA())</f>
        <v>1.2092072147651</v>
      </c>
      <c r="F18" s="108">
        <f>IFERROR(Model!X372+0,NA())</f>
        <v>1.16785797168717</v>
      </c>
      <c r="G18" s="108">
        <f>IFERROR(Model!AC372+0,NA())</f>
        <v>4.4451875</v>
      </c>
      <c r="H18" s="108">
        <f>IFERROR(Model!AH372+0,NA())</f>
        <v>3.78454782042941</v>
      </c>
      <c r="I18" s="108">
        <f>IFERROR(Model!AM372+0,NA())</f>
        <v>1.46884770771122</v>
      </c>
      <c r="J18" s="108">
        <f>IFERROR(Model!AR372+0,NA())</f>
        <v>-0.359339054837272</v>
      </c>
      <c r="K18" s="108">
        <f>IFERROR(Model!AW372+0,NA())</f>
        <v>-0.569237875288684</v>
      </c>
      <c r="L18" s="108">
        <f>IFERROR(Model!BB372+0,NA())</f>
        <v>-0.127279727528506</v>
      </c>
      <c r="M18" s="108">
        <f>IFERROR(Model!BG372+0,NA())</f>
        <v>-0.155009401245143</v>
      </c>
      <c r="N18" s="108">
        <f>IFERROR(Model!BL372+0,NA())</f>
        <v>-0.0756769906874542</v>
      </c>
      <c r="O18" s="108">
        <f>IFERROR(Model!BQ372+0,NA())</f>
        <v>-0.395767703227987</v>
      </c>
      <c r="P18" s="108">
        <f>IFERROR(Model!BV372+0,NA())</f>
        <v>-0.16861018073288</v>
      </c>
      <c r="Q18" s="108">
        <f>IFERROR(Model!CA372+0,NA())</f>
        <v>0.0344653815442419</v>
      </c>
      <c r="R18" s="108">
        <f>IFERROR(Model!CB372+0,NA())</f>
        <v>0.143756393094452</v>
      </c>
      <c r="S18" s="108">
        <f>IFERROR(Model!CC372+0,NA())</f>
        <v>0.228384602482086</v>
      </c>
      <c r="T18" s="108">
        <f>IFERROR(Model!CD372+0,NA())</f>
        <v>0.333646544411829</v>
      </c>
      <c r="U18" s="108">
        <f>IFERROR(Model!CE372+0,NA())</f>
        <v>0.42813502892184</v>
      </c>
      <c r="V18" s="108">
        <f>IFERROR(Model!CF372+0,NA())</f>
        <v>0.502049675608521</v>
      </c>
    </row>
    <row r="19" ht="15" customHeight="1" s="251">
      <c r="B19" t="inlineStr">
        <is>
          <t>RONTA</t>
        </is>
      </c>
      <c r="C19" s="108">
        <f>IFERROR(Model!I383+0,NA())</f>
        <v>0.125897752929793</v>
      </c>
      <c r="D19" s="108">
        <f>IFERROR(Model!N383+0,NA())</f>
        <v>0.147392120075047</v>
      </c>
      <c r="E19" s="108">
        <f>IFERROR(Model!S383+0,NA())</f>
        <v>0.162766077578906</v>
      </c>
      <c r="F19" s="108">
        <f>IFERROR(Model!X383+0,NA())</f>
        <v>0.134384596896948</v>
      </c>
      <c r="G19" s="108">
        <f>IFERROR(Model!AC383+0,NA())</f>
        <v>0.109815335206744</v>
      </c>
      <c r="H19" s="108">
        <f>IFERROR(Model!AH383+0,NA())</f>
        <v>0.198751153175932</v>
      </c>
      <c r="I19" s="108">
        <f>IFERROR(Model!AM383+0,NA())</f>
        <v>0.301991693752257</v>
      </c>
      <c r="J19" s="108">
        <f>IFERROR(Model!AR383+0,NA())</f>
        <v>-0.0999531855526275</v>
      </c>
      <c r="K19" s="108">
        <f>IFERROR(Model!AW383+0,NA())</f>
        <v>-0.203830651685393</v>
      </c>
      <c r="L19" s="108">
        <f>IFERROR(Model!BB383+0,NA())</f>
        <v>-0.0728005759539237</v>
      </c>
      <c r="M19" s="108">
        <f>IFERROR(Model!BG383+0,NA())</f>
        <v>-0.0886037735849057</v>
      </c>
      <c r="N19" s="108">
        <f>IFERROR(Model!BL383+0,NA())</f>
        <v>-0.0399560797745981</v>
      </c>
      <c r="O19" s="108">
        <f>IFERROR(Model!BQ383+0,NA())</f>
        <v>-0.185404972091366</v>
      </c>
      <c r="P19" s="108">
        <f>IFERROR(Model!BV383+0,NA())</f>
        <v>-0.10222240093287</v>
      </c>
      <c r="Q19" s="108">
        <f>IFERROR(Model!CA383+0,NA())</f>
        <v>0.0245185715249825</v>
      </c>
      <c r="R19" s="108">
        <f>IFERROR(Model!CB383+0,NA())</f>
        <v>0.0974916495395547</v>
      </c>
      <c r="S19" s="108">
        <f>IFERROR(Model!CC383+0,NA())</f>
        <v>0.125116528675848</v>
      </c>
      <c r="T19" s="108">
        <f>IFERROR(Model!CD383+0,NA())</f>
        <v>0.181587440258135</v>
      </c>
      <c r="U19" s="108">
        <f>IFERROR(Model!CE383+0,NA())</f>
        <v>0.232160563498962</v>
      </c>
      <c r="V19" s="108">
        <f>IFERROR(Model!CF383+0,NA())</f>
        <v>0.270657455636193</v>
      </c>
    </row>
    <row r="20" ht="15" customHeight="1" s="251">
      <c r="B20" t="inlineStr">
        <is>
          <t>Adj. EBITDA margin %</t>
        </is>
      </c>
      <c r="C20" s="108">
        <f>IFERROR(Model!I214+0,NA())</f>
        <v>0.110418859702808</v>
      </c>
      <c r="D20" s="108">
        <f>IFERROR(Model!N214+0,NA())</f>
        <v>0.112210382923704</v>
      </c>
      <c r="E20" s="108">
        <f>IFERROR(Model!S214+0,NA())</f>
        <v>0.11861792380071</v>
      </c>
      <c r="F20" s="108">
        <f>IFERROR(Model!X214+0,NA())</f>
        <v>0.0996108787481532</v>
      </c>
      <c r="G20" s="108">
        <f>IFERROR(Model!AC214+0,NA())</f>
        <v>0.0779731630203762</v>
      </c>
      <c r="H20" s="108">
        <f>IFERROR(Model!AH214+0,NA())</f>
        <v>0.118200702415624</v>
      </c>
      <c r="I20" s="108">
        <f>IFERROR(Model!AM214+0,NA())</f>
        <v>0.126316414014062</v>
      </c>
      <c r="J20" s="108">
        <f>IFERROR(Model!AR214+0,NA())</f>
        <v>-0.0146161783722358</v>
      </c>
      <c r="K20" s="108">
        <f>IFERROR(Model!AW214+0,NA())</f>
        <v>-0.204683792427525</v>
      </c>
      <c r="L20" s="108">
        <f>IFERROR(Model!BB214+0,NA())</f>
        <v>-0.0310021513662781</v>
      </c>
      <c r="M20" s="108">
        <f>IFERROR(Model!BG214+0,NA())</f>
        <v>-0.0407008167187125</v>
      </c>
      <c r="N20" s="108">
        <f>IFERROR(Model!BL214+0,NA())</f>
        <v>0.000411342777077924</v>
      </c>
      <c r="O20" s="108">
        <f>IFERROR(Model!BQ214+0,NA())</f>
        <v>-0.149961663935535</v>
      </c>
      <c r="P20" s="108">
        <f>IFERROR(Model!BV214+0,NA())</f>
        <v>0.0580016319595811</v>
      </c>
      <c r="Q20" s="108">
        <f>IFERROR(Model!CA214+0,NA())</f>
        <v>0.0386135275752622</v>
      </c>
      <c r="R20" s="108">
        <f>IFERROR(Model!CB214+0,NA())</f>
        <v>0.0754377226769254</v>
      </c>
      <c r="S20" s="108">
        <f>IFERROR(Model!CC214+0,NA())</f>
        <v>0.0946239244368406</v>
      </c>
      <c r="T20" s="108">
        <f>IFERROR(Model!CD214+0,NA())</f>
        <v>0.112250285843999</v>
      </c>
      <c r="U20" s="108">
        <f>IFERROR(Model!CE214+0,NA())</f>
        <v>0.12478502119118</v>
      </c>
      <c r="V20" s="108">
        <f>IFERROR(Model!CF214+0,NA())</f>
        <v>0.130915665069182</v>
      </c>
    </row>
    <row r="21" ht="15" customHeight="1" s="251">
      <c r="B21" t="inlineStr">
        <is>
          <t>FCF margin %</t>
        </is>
      </c>
      <c r="C21" s="108">
        <f>IFERROR(Model!I254+0,NA())</f>
        <v>0.0710543709760337</v>
      </c>
      <c r="D21" s="108">
        <f>IFERROR(Model!N254+0,NA())</f>
        <v>0.0702007549957863</v>
      </c>
      <c r="E21" s="108">
        <f>IFERROR(Model!S254+0,NA())</f>
        <v>0.0729600493598643</v>
      </c>
      <c r="F21" s="108">
        <f>IFERROR(Model!X254+0,NA())</f>
        <v>0.0719250057223714</v>
      </c>
      <c r="G21" s="108">
        <f>IFERROR(Model!AC254+0,NA())</f>
        <v>0.0833870848357319</v>
      </c>
      <c r="H21" s="108">
        <f>IFERROR(Model!AH254+0,NA())</f>
        <v>0.124261178687682</v>
      </c>
      <c r="I21" s="108">
        <f>IFERROR(Model!AM254+0,NA())</f>
        <v>0.134484361248727</v>
      </c>
      <c r="J21" s="108">
        <f>IFERROR(Model!AR254+0,NA())</f>
        <v>-0.0559045964550216</v>
      </c>
      <c r="K21" s="108">
        <f>IFERROR(Model!AW254+0,NA())</f>
        <v>-0.338955947591045</v>
      </c>
      <c r="L21" s="108">
        <f>IFERROR(Model!BB254+0,NA())</f>
        <v>-0.0705776579006518</v>
      </c>
      <c r="M21" s="108">
        <f>IFERROR(Model!BG254+0,NA())</f>
        <v>0.0343802546240692</v>
      </c>
      <c r="N21" s="108">
        <f>IFERROR(Model!BL254+0,NA())</f>
        <v>0.0569838290870761</v>
      </c>
      <c r="O21" s="108">
        <f>IFERROR(Model!BQ254+0,NA())</f>
        <v>-0.215132973525565</v>
      </c>
      <c r="P21" s="108">
        <f>IFERROR(Model!BV254+0,NA())</f>
        <v>-0.0209807406413825</v>
      </c>
      <c r="Q21" s="108">
        <f>IFERROR(Model!CA254+0,NA())</f>
        <v>0.0205603711134316</v>
      </c>
      <c r="R21" s="108">
        <f>IFERROR(Model!CB254+0,NA())</f>
        <v>0.0623790854701419</v>
      </c>
      <c r="S21" s="108">
        <f>IFERROR(Model!CC254+0,NA())</f>
        <v>0.0912118453803778</v>
      </c>
      <c r="T21" s="108">
        <f>IFERROR(Model!CD254+0,NA())</f>
        <v>0.108606944416794</v>
      </c>
      <c r="U21" s="108">
        <f>IFERROR(Model!CE254+0,NA())</f>
        <v>0.112098392518876</v>
      </c>
      <c r="V21" s="108">
        <f>IFERROR(Model!CF254+0,NA())</f>
        <v>0.111227046792065</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2026-10-10T17:16:43Z</dcterms:modified>
  <cp:lastModifiedBy>Payton Liske</cp:lastModifiedBy>
  <cp:revision>3</cp:revision>
</cp:coreProperties>
</file>