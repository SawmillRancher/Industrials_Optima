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earnings releases (Form 8-K Ex. 99.1), segment tables. 2020 quarters on the current Aerospace &amp; Industrial basis as restated in the 2021 releases (prior-year columns); earlier periods reported under the legacy structure (memo block below).</t>
        </r>
      </text>
    </comment>
    <comment ref="B25" authorId="0">
      <text>
        <r>
          <rPr>
            <sz val="10"/>
            <rFont val="Arial"/>
            <family val="2"/>
          </rPr>
          <t xml:space="preserve">Source: earnings releases (Form 8-K Ex. 99.1), segment tables. 2020 quarters on the current Defense Electronics basis as restated in the 2021 releases (prior-year columns); earlier periods reported under the legacy structure (memo block below).</t>
        </r>
      </text>
    </comment>
    <comment ref="B39" authorId="0">
      <text>
        <r>
          <rPr>
            <sz val="10"/>
            <rFont val="Arial"/>
            <family val="2"/>
          </rPr>
          <t xml:space="preserve">Source: earnings releases (Form 8-K Ex. 99.1), segment tables. 2020 quarters on the current Naval &amp; Power basis as restated in the 2021 releases (prior-year columns); earlier periods reported under the legacy structure (memo block below).</t>
        </r>
      </text>
    </comment>
    <comment ref="B53" authorId="0">
      <text>
        <r>
          <rPr>
            <sz val="10"/>
            <rFont val="Arial"/>
            <family val="2"/>
          </rPr>
          <t xml:space="preserve">Source: earnings-release segment tables ("Corporate and other"). Includes pension expense/income allocated to operating income where applicable.</t>
        </r>
      </text>
    </comment>
    <comment ref="B58" authorId="0">
      <text>
        <r>
          <rPr>
            <sz val="10"/>
            <rFont val="Arial"/>
            <family val="2"/>
          </rPr>
          <t xml:space="preserve">Periods before Q1/20 are shown in total here; the legacy segment detail (Flow Control / Motion Control / Metal Treatment → Commercial/Industrial, Defense, Power) is in the memo block below.</t>
        </r>
      </text>
    </comment>
    <comment ref="B81" authorId="0">
      <text>
        <r>
          <rPr>
            <sz val="10"/>
            <rFont val="Arial"/>
            <family val="2"/>
          </rPr>
          <t xml:space="preserve">Source: earnings releases (organic sales reconciliation; excludes acquisitions/divestitures in the last 12 months and FX).</t>
        </r>
      </text>
    </comment>
    <comment ref="B100" authorId="0">
      <text>
        <r>
          <rPr>
            <sz val="10"/>
            <rFont val="Arial"/>
            <family val="2"/>
          </rPr>
          <t xml:space="preserve">Source: statements of cash flows (10-K / 10-Q); quarterly = year-to-date differences.</t>
        </r>
      </text>
    </comment>
    <comment ref="B101" authorId="0">
      <text>
        <r>
          <rPr>
            <sz val="10"/>
            <rFont val="Arial"/>
            <family val="2"/>
          </rPr>
          <t xml:space="preserve">Source: XBRL AmortizationOfIntangibleAssets (10-K / 10-Q intangible-asset notes); quarterly derived from year-to-date where needed.</t>
        </r>
      </text>
    </comment>
    <comment ref="B112" authorId="0">
      <text>
        <r>
          <rPr>
            <sz val="10"/>
            <rFont val="Arial"/>
            <family val="2"/>
          </rPr>
          <t xml:space="preserve">Product / service split disclosed on the face of the income statement from Q3/13.</t>
        </r>
      </text>
    </comment>
    <comment ref="B114" authorId="0">
      <text>
        <r>
          <rPr>
            <sz val="10"/>
            <rFont val="Arial"/>
            <family val="2"/>
          </rPr>
          <t xml:space="preserve">Source: earnings releases (Condensed Consolidated Statements of Earnings), as originally reported in each period (prior-period recasts for discontinued operations / pension reclassification noted in the legacy columns).</t>
        </r>
      </text>
    </comment>
    <comment ref="B131" authorId="0">
      <text>
        <r>
          <rPr>
            <sz val="10"/>
            <rFont val="Arial"/>
            <family val="2"/>
          </rPr>
          <t xml:space="preserve">Q2/26: gain on equity securities held for investment ($0.36 per diluted share; FY26 guidance adjustment column −$17m other income).</t>
        </r>
      </text>
    </comment>
    <comment ref="B161" authorId="0">
      <text>
        <r>
          <rPr>
            <sz val="10"/>
            <rFont val="Arial"/>
            <family val="2"/>
          </rPr>
          <t xml:space="preserve">Source: earnings-release "Reconciliation of As Reported to Adjusted". Consistent Adjusted framework from Q2/18 (DRG acquisition). 2012 = adjusted for AP1000 investments, EMD strike &amp; restructuring; 2015 = pro forma excluding the one-time China AP1000 fee. Other pre-2018 periods: not published (n/p).</t>
        </r>
      </text>
    </comment>
    <comment ref="B188" authorId="0">
      <text>
        <r>
          <rPr>
            <sz val="10"/>
            <rFont val="Arial"/>
            <family val="2"/>
          </rPr>
          <t xml:space="preserve">Plug in periods where CW published adjusted EPS: = published adjusted EPS × diluted shares − (GAAP continuing earnings + adjustments after tax). Captures non-operating items CW excluded (e.g. 2018/2022 former-executive pension settlements, 2011 R&amp;D tax credit, discrete tax items) and per-share rounding.</t>
        </r>
      </text>
    </comment>
    <comment ref="B192" authorId="0">
      <text>
        <r>
          <rPr>
            <sz val="10"/>
            <rFont val="Arial"/>
            <family val="2"/>
          </rPr>
          <t xml:space="preserve">Source: earnings releases (Reconciliation of As Reported to Adjusted Diluted EPS). As originally published (2020 later restated to $6.59 in the Feb-2022 release).</t>
        </r>
      </text>
    </comment>
    <comment ref="B200" authorId="0">
      <text>
        <r>
          <rPr>
            <sz val="10"/>
            <rFont val="Arial"/>
            <family val="2"/>
          </rPr>
          <t xml:space="preserve">Source: earnings releases (Non-GAAP Financial Data / free cash flow table). Early-year releases sometimes restated the prior-year quarter.</t>
        </r>
      </text>
    </comment>
    <comment ref="B227" authorId="0">
      <text>
        <r>
          <rPr>
            <sz val="10"/>
            <rFont val="Arial"/>
            <family val="2"/>
          </rPr>
          <t xml:space="preserve">Source: statements of cash flows (Form 10-Q / 10-K; 2006–10 from the 10-K text, 2011+ from the XBRL statement renderings). Quarterly columns = discrete quarter (year-to-date less prior year-to-date).</t>
        </r>
      </text>
    </comment>
    <comment ref="B276" authorId="0">
      <text>
        <r>
          <rPr>
            <sz val="10"/>
            <rFont val="Arial"/>
            <family val="2"/>
          </rPr>
          <t xml:space="preserve">Source: balance sheets (10-K / 10-Q; 2006–10 from 10-K text, 2011+ XBRL statement renderings), as filed for each period end.</t>
        </r>
      </text>
    </comment>
    <comment ref="B381" authorId="0">
      <text>
        <r>
          <rPr>
            <sz val="10"/>
            <rFont val="Arial"/>
            <family val="2"/>
          </rPr>
          <t xml:space="preserve">Input: CW last trade ~$544 in early October 2026 (52-week range ~$465–808). Update to market.</t>
        </r>
      </text>
    </comment>
    <comment ref="B398" authorId="0">
      <text>
        <r>
          <rPr>
            <sz val="10"/>
            <rFont val="Arial"/>
            <family val="2"/>
          </rPr>
          <t xml:space="preserve">Source: earnings-release narrative ("New orders of $x"). Rounded to the precision published.</t>
        </r>
      </text>
    </comment>
    <comment ref="B402" authorId="0">
      <text>
        <r>
          <rPr>
            <sz val="10"/>
            <rFont val="Arial"/>
            <family val="2"/>
          </rPr>
          <t xml:space="preserve">Source: earnings releases ("Net sales by end market"). Taxonomy: Defense (aerospace / ground / naval) + Commercial (commercial aerospace, power &amp; process, general industrial); "Total Aerospace &amp; Defense" from 2021.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guidance end-points (segment sales &amp; Adjusted OI, total calibration), 2H/26 buybacks, 2027E–30E segment growth &amp; incremental margins, M&amp;A spend and the buyback leverage floor.</t>
        </r>
      </text>
    </comment>
  </commentList>
</comments>
</file>

<file path=xl/sharedStrings.xml><?xml version="1.0" encoding="utf-8"?>
<sst xmlns="http://schemas.openxmlformats.org/spreadsheetml/2006/main" count="1013" uniqueCount="817">
  <si>
    <t xml:space="preserve">SCENARIO SWITCH ▼ (Bull / Base / Bear) — drives all scenario-linked forecast drivers</t>
  </si>
  <si>
    <t xml:space="preserve">Curtiss-Wright Corporation (NYSE: CW) — 3-Statement Financial Model</t>
  </si>
  <si>
    <t xml:space="preserve">Base</t>
  </si>
  <si>
    <t xml:space="preserve">US GAAP as reported · USD millions (per-share data in USD; shares in millions) · Source: Curtiss-Wright Forms 10-K / 10-Q and Form 8-K earnings releases (Ex. 99.1), 10b5-1 / credit-agreement 8-Ks (2026), SEC EDGAR CIK 0000026324 (investor-relations releases are the same documents as filed on EDGAR)</t>
  </si>
  <si>
    <t xml:space="preserve">Basis notes: calendar fiscal year. Segments: Flow Control / Motion Control / Metal Treatment (to 2012) → Flow Control / Controls / Surface Technologies (2013) → Commercial/Industrial, Defense, Energy→Power (2014–2020) → Aerospace &amp; Industrial, Defense Electronics, Naval &amp; Power (current; 2020 restated in the 2021 releases). Adjusted (non-GAAP) framework from Q2/18 (first-year purchase accounting; later restructuring, exited businesses, activism, legal, FY26 Restructuring Program and 2026 equity-securities gain). Income statement as originally reported in each period (discontinued operations 2012–17; ASU 2017-07 pension reclass from 2018). FY26 guidance raised 5-Aug-2026; $300m of 10b5-1 buybacks Aug–Oct 2026; $200m 4.24% notes mature Dec-2026.</t>
  </si>
  <si>
    <t xml:space="preserve">Forecast</t>
  </si>
  <si>
    <t xml:space="preserve">Historical</t>
  </si>
  <si>
    <t xml:space="preserve">(USDm)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</si>
  <si>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</si>
  <si>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</si>
  <si>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</si>
  <si>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</si>
  <si>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</si>
  <si>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</si>
  <si>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</si>
  <si>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Q1/13</t>
  </si>
  <si>
    <t xml:space="preserve">Q2/13</t>
  </si>
  <si>
    <t xml:space="preserve">Q3/13</t>
  </si>
  <si>
    <t xml:space="preserve">Q4/13</t>
  </si>
  <si>
    <t xml:space="preserve">2013</t>
  </si>
  <si>
    <t xml:space="preserve">Q1/14</t>
  </si>
  <si>
    <t xml:space="preserve">Q2/14</t>
  </si>
  <si>
    <t xml:space="preserve">Q3/14</t>
  </si>
  <si>
    <t xml:space="preserve">Q4/14</t>
  </si>
  <si>
    <t xml:space="preserve">2014</t>
  </si>
  <si>
    <t xml:space="preserve">Q1/15</t>
  </si>
  <si>
    <t xml:space="preserve">Q2/15</t>
  </si>
  <si>
    <t xml:space="preserve">Q3/15</t>
  </si>
  <si>
    <t xml:space="preserve">Q4/15</t>
  </si>
  <si>
    <t xml:space="preserve">2015</t>
  </si>
  <si>
    <t xml:space="preserve">Q1/16</t>
  </si>
  <si>
    <t xml:space="preserve">Q2/16</t>
  </si>
  <si>
    <t xml:space="preserve">Q3/16</t>
  </si>
  <si>
    <t xml:space="preserve">Q4/16</t>
  </si>
  <si>
    <t xml:space="preserve">2016</t>
  </si>
  <si>
    <t xml:space="preserve">Q1/17</t>
  </si>
  <si>
    <t xml:space="preserve">Q2/17</t>
  </si>
  <si>
    <t xml:space="preserve">Q3/17</t>
  </si>
  <si>
    <t xml:space="preserve">Q4/17</t>
  </si>
  <si>
    <t xml:space="preserve">2017</t>
  </si>
  <si>
    <t xml:space="preserve">Q1/18</t>
  </si>
  <si>
    <t xml:space="preserve">Q2/18</t>
  </si>
  <si>
    <t xml:space="preserve">Q3/18</t>
  </si>
  <si>
    <t xml:space="preserve">Q4/18</t>
  </si>
  <si>
    <t xml:space="preserve">2018</t>
  </si>
  <si>
    <t xml:space="preserve">Q1/19</t>
  </si>
  <si>
    <t xml:space="preserve">Q2/19</t>
  </si>
  <si>
    <t xml:space="preserve">Q3/19</t>
  </si>
  <si>
    <t xml:space="preserve">Q4/19</t>
  </si>
  <si>
    <t xml:space="preserve">2019</t>
  </si>
  <si>
    <t xml:space="preserve">Q1/20</t>
  </si>
  <si>
    <t xml:space="preserve">Q2/20</t>
  </si>
  <si>
    <t xml:space="preserve">Q3/20</t>
  </si>
  <si>
    <t xml:space="preserve">Q4/20</t>
  </si>
  <si>
    <t xml:space="preserve">2020</t>
  </si>
  <si>
    <t xml:space="preserve">Q1/21</t>
  </si>
  <si>
    <t xml:space="preserve">Q2/21</t>
  </si>
  <si>
    <t xml:space="preserve">Q3/21</t>
  </si>
  <si>
    <t xml:space="preserve">Q4/21</t>
  </si>
  <si>
    <t xml:space="preserve">2021</t>
  </si>
  <si>
    <t xml:space="preserve">Q1/22</t>
  </si>
  <si>
    <t xml:space="preserve">Q2/22</t>
  </si>
  <si>
    <t xml:space="preserve">Q3/22</t>
  </si>
  <si>
    <t xml:space="preserve">Q4/22</t>
  </si>
  <si>
    <t xml:space="preserve">2022</t>
  </si>
  <si>
    <t xml:space="preserve">Q1/23</t>
  </si>
  <si>
    <t xml:space="preserve">Q2/23</t>
  </si>
  <si>
    <t xml:space="preserve">Q3/23</t>
  </si>
  <si>
    <t xml:space="preserve">Q4/23</t>
  </si>
  <si>
    <t xml:space="preserve">2023</t>
  </si>
  <si>
    <t xml:space="preserve">Q1/24</t>
  </si>
  <si>
    <t xml:space="preserve">Q2/24</t>
  </si>
  <si>
    <t xml:space="preserve">Q3/24</t>
  </si>
  <si>
    <t xml:space="preserve">Q4/24</t>
  </si>
  <si>
    <t xml:space="preserve">2024</t>
  </si>
  <si>
    <t xml:space="preserve">Q1/25</t>
  </si>
  <si>
    <t xml:space="preserve">Q2/25</t>
  </si>
  <si>
    <t xml:space="preserve">Q3/25</t>
  </si>
  <si>
    <t xml:space="preserve">Q4/25</t>
  </si>
  <si>
    <t xml:space="preserve">2025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</si>
  <si>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</si>
  <si>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</si>
  <si>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</si>
  <si>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</si>
  <si>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</si>
  <si>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</si>
  <si>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</si>
  <si>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</si>
  <si>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</si>
  <si>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</si>
  <si>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</si>
  <si>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</si>
  <si>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</si>
  <si>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</si>
  <si>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</si>
  <si>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</si>
  <si>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</si>
  <si>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AEROSPACE &amp; INDUSTRIAL · DEFENSE ELECTRONICS · NAVAL &amp; POWER (growth × incremental-margin build)</t>
  </si>
  <si>
    <t xml:space="preserve">SEGMENT BUILD — modelling logic (sales growth → sales → Adjusted OI via incremental margins)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</si>
  <si>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</si>
  <si>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</si>
  <si>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</si>
  <si>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lever header). Outlook block = high / mid / low end of the FY26 guidance ranges.</t>
  </si>
  <si>
    <t xml:space="preserve">Aerospace &amp; Industrial (actuation, sensors &amp; controls, surface treatment, industrial vehicles &amp; valves) — current segment basis from Q1/20</t>
  </si>
  <si>
    <t xml:space="preserve">AEROSPACE &amp; INDUSTRIAL — modelling logic</t>
  </si>
  <si>
    <t xml:space="preserve">  Sales</t>
  </si>
  <si>
    <t xml:space="preserve">Q3/Q4-26E: prior-year quarter × (1 + guidance-implied 2H/26 y/y growth + revenue calibration Δ). 2027E+: prior year × (1 + scenario lever).</t>
  </si>
  <si>
    <t xml:space="preserve">FY26 outlook — Q2-26 release (5-Aug-26), Adjusted (non-GAAP)</t>
  </si>
  <si>
    <t xml:space="preserve">High</t>
  </si>
  <si>
    <t xml:space="preserve">Mid</t>
  </si>
  <si>
    <t xml:space="preserve">Low</t>
  </si>
  <si>
    <t xml:space="preserve">Raised on 5-Aug-26 (Form 8-K Ex. 99.1, guidance tables). Segment ranges drive the Q3/Q4-26E build; total ranges drive the calibration.</t>
  </si>
  <si>
    <t xml:space="preserve">  Sales y/y %</t>
  </si>
  <si>
    <t xml:space="preserve">  FY26 total sales ($m)</t>
  </si>
  <si>
    <t xml:space="preserve">Raised to $3,768–3,813m (from $3,740–3,795m); +8–9% vs 2025.</t>
  </si>
  <si>
    <t xml:space="preserve">  Forecast sales growth driver % (Q3/Q4-26E: guidance-implied 2H y/y + calibration; 2027E+: lever)</t>
  </si>
  <si>
    <t xml:space="preserve">FY26: (segment guidance end-point − 1H/26) ÷ 2H/25 − 1, by scenario (high / mid / low). 2027E–30E: scenario lever (table →).</t>
  </si>
  <si>
    <t xml:space="preserve">  FY26 Adjusted operating income ($m)</t>
  </si>
  <si>
    <t xml:space="preserve">Raised to $720–736m (from $712–729m); margin 19.1–19.3%.</t>
  </si>
  <si>
    <t xml:space="preserve">  Operating income (GAAP, as reported)</t>
  </si>
  <si>
    <t xml:space="preserve">  FY26 Adjusted diluted EPS ($)</t>
  </si>
  <si>
    <t xml:space="preserve">Raised to $15.10–15.40 (memo; model output compared below).</t>
  </si>
  <si>
    <t xml:space="preserve">  Operating margin (GAAP) %</t>
  </si>
  <si>
    <t xml:space="preserve">  FY26 free cash flow ($m)</t>
  </si>
  <si>
    <t xml:space="preserve">Raised to $585–605m; capex up ~$25m y/y (memo; model output compared below).</t>
  </si>
  <si>
    <t xml:space="preserve">  (+) Adjustments (first-year purchase accounting, restructuring, exited businesses)</t>
  </si>
  <si>
    <t xml:space="preserve">Q3/Q4-26E: remaining FY26 Restructuring Program cost per the guidance adjustment column, spread evenly. 2027E+: none assumed.</t>
  </si>
  <si>
    <t xml:space="preserve">  A&amp;I sales ($m)</t>
  </si>
  <si>
    <t xml:space="preserve">+8–10% vs 2025.</t>
  </si>
  <si>
    <t xml:space="preserve">  Adjusted operating income</t>
  </si>
  <si>
    <t xml:space="preserve">2027E+: prior-year Adjusted OI + Δ sales × incremental margin (scenario lever) — margin is an output, not an input.</t>
  </si>
  <si>
    <t xml:space="preserve">  A&amp;I Adjusted OI ($m)</t>
  </si>
  <si>
    <t xml:space="preserve">Adj. margin 18.5–18.7%.</t>
  </si>
  <si>
    <t xml:space="preserve">  Adjusted operating margin %</t>
  </si>
  <si>
    <t xml:space="preserve">  Defense Electronics sales ($m)</t>
  </si>
  <si>
    <t xml:space="preserve">+4–6%.</t>
  </si>
  <si>
    <t xml:space="preserve">  Adjusted margin before outlook calibration % (Q3/Q4-26E helper)</t>
  </si>
  <si>
    <t xml:space="preserve">Prior-year quarter margin + uniform shift so that the segment hits its FY26 Adjusted OI guidance end-point (scenario).</t>
  </si>
  <si>
    <t xml:space="preserve">  Defense Electronics Adjusted OI ($m)</t>
  </si>
  <si>
    <t xml:space="preserve">Adj. margin 27.5–27.7%.</t>
  </si>
  <si>
    <t xml:space="preserve">  Incremental Adjusted OI margin on Δ sales % (2027E+: lever)</t>
  </si>
  <si>
    <t xml:space="preserve">  Naval &amp; Power sales ($m)</t>
  </si>
  <si>
    <t xml:space="preserve">+10–11%.</t>
  </si>
  <si>
    <t xml:space="preserve">  Memo: FY26 sales guidance (scenario end-point)</t>
  </si>
  <si>
    <t xml:space="preserve">  Naval &amp; Power Adjusted OI ($m)</t>
  </si>
  <si>
    <t xml:space="preserve">Adj. margin 16.8–17.0%.</t>
  </si>
  <si>
    <t xml:space="preserve">  Memo: FY26 Adjusted OI guidance (scenario end-point)</t>
  </si>
  <si>
    <t xml:space="preserve">  Corporate &amp; other ($m)</t>
  </si>
  <si>
    <t xml:space="preserve">High OI end pairs with -$44m (764-43 = 721 ≈ 720 low; 780-44 = 736 high).</t>
  </si>
  <si>
    <t xml:space="preserve">Defense Electronics (embedded computing, tactical communications, turret aiming &amp; stabilization) — current segment basis from Q1/20</t>
  </si>
  <si>
    <t xml:space="preserve">DEFENSE ELECTRONICS — modelling logic</t>
  </si>
  <si>
    <t xml:space="preserve">FY26 point estimates (all cases)</t>
  </si>
  <si>
    <t xml:space="preserve">  Interest expense ($m)</t>
  </si>
  <si>
    <t xml:space="preserve">~$41m; $200m 4.24% notes due Dec-2026.</t>
  </si>
  <si>
    <t xml:space="preserve">  Other income, net — GAAP ($m)</t>
  </si>
  <si>
    <t xml:space="preserve">Reported guidance $51m incl. $17m gain on equity securities (Q2/26); adjusted ~$34m.</t>
  </si>
  <si>
    <t xml:space="preserve">  Gain on equity securities — excluded from adjusted ($m)</t>
  </si>
  <si>
    <t xml:space="preserve">Guidance adjustment column (-$17m other income).</t>
  </si>
  <si>
    <t xml:space="preserve">  Tax rate</t>
  </si>
  <si>
    <t xml:space="preserve">21.5% (reported and adjusted).</t>
  </si>
  <si>
    <t xml:space="preserve">  Diluted shares (m)</t>
  </si>
  <si>
    <t xml:space="preserve">Memo — guidance predates the Aug–Oct 10b5-1 plans ($300m); model shares are built from the buyback schedule.</t>
  </si>
  <si>
    <t xml:space="preserve">  FY26 restructuring adjustment — A&amp;I ($m)</t>
  </si>
  <si>
    <t xml:space="preserve">FY26 Restructuring Program, guidance adjustment column.</t>
  </si>
  <si>
    <t xml:space="preserve">  FY26 restructuring adjustment — Defense Electronics ($m)</t>
  </si>
  <si>
    <t xml:space="preserve">  FY26 restructuring adjustment — Naval &amp; Power ($m)</t>
  </si>
  <si>
    <t xml:space="preserve">  Capex increase vs 2025 ($m)</t>
  </si>
  <si>
    <t xml:space="preserve">"Year-over-year increase of approximately $25 million compared with 2025".</t>
  </si>
  <si>
    <t xml:space="preserve">  Amortization of acquired intangibles FY26 ($m)</t>
  </si>
  <si>
    <t xml:space="preserve">FY2025 10-K expected amortization: 2026 $60m, 2027 $57m, 2028 $51m, 2029 $51m, 2030 $50m.</t>
  </si>
  <si>
    <t xml:space="preserve">  2H/26 share repurchases ($m)</t>
  </si>
  <si>
    <t xml:space="preserve">10b5-1 plans: $100m (10-Aug), $100m (18-Aug), $100m (10-Sep→30-Oct); $600m authorization left.</t>
  </si>
  <si>
    <t xml:space="preserve">  Minimum net debt / Adjusted EBITDA (x) — buyback floor 2027E+</t>
  </si>
  <si>
    <t xml:space="preserve">CW ran 0.3–0.9x net leverage 2021–25; surplus FCF returned via buybacks once leverage is at the floor.</t>
  </si>
  <si>
    <t xml:space="preserve">  Minimum annual repurchases 2027E+ ($m)</t>
  </si>
  <si>
    <t xml:space="preserve">"Min. $60M share repurchase ... to offset dilution" (2025/2026 guidance).</t>
  </si>
  <si>
    <t xml:space="preserve">Naval &amp; Power (naval pumps/valves/generators, arresting systems, commercial &amp; government nuclear, process) — current segment basis from Q1/20</t>
  </si>
  <si>
    <t xml:space="preserve">NAVAL &amp; POWER — modelling logic</t>
  </si>
  <si>
    <t xml:space="preserve">AI_g (Aerospace &amp; Industrial sales growth y/y)</t>
  </si>
  <si>
    <t xml:space="preserve">Δ →</t>
  </si>
  <si>
    <t xml:space="preserve">Commercial aero OEM ramp (narrow/widebody actuation, sensors, surface treatment), defense actuation; FY26 +8–10%.</t>
  </si>
  <si>
    <t xml:space="preserve">  2027E</t>
  </si>
  <si>
    <t xml:space="preserve">  2028E</t>
  </si>
  <si>
    <t xml:space="preserve">  2029E</t>
  </si>
  <si>
    <t xml:space="preserve">  2030E</t>
  </si>
  <si>
    <t xml:space="preserve">AI_inc (A&amp;I incremental Adjusted OI margin on Δ sales)</t>
  </si>
  <si>
    <t xml:space="preserve">FY26 guide implies ~32% (Δ OI $27.5m / Δ sales $87m); restructuring savings.</t>
  </si>
  <si>
    <t xml:space="preserve">DE_g (Defense Electronics sales growth y/y)</t>
  </si>
  <si>
    <t xml:space="preserve">Record orders, embedded computing (fighter / UAV), tactical comms; FY26 +4–6%.</t>
  </si>
  <si>
    <t xml:space="preserve">Corporate &amp; other; reconciling items to consolidated (legacy segment structure before 2020)</t>
  </si>
  <si>
    <t xml:space="preserve">CORPORATE &amp; RECONCILING ITEMS</t>
  </si>
  <si>
    <t xml:space="preserve">  Corporate &amp; other (GAAP)</t>
  </si>
  <si>
    <t xml:space="preserve">  (+) Corporate adjustments (activism costs, restructuring)</t>
  </si>
  <si>
    <t xml:space="preserve">  Adjusted corporate &amp; other</t>
  </si>
  <si>
    <t xml:space="preserve">Q3/Q4-26E: FY26 guidance (−$43–44m) less 1H/26, spread evenly. 2027E+: % of sales input.</t>
  </si>
  <si>
    <t xml:space="preserve">  Adjusted corporate &amp; other % of sales</t>
  </si>
  <si>
    <t xml:space="preserve">2027E+: −1.1% input (FY25 −1.2%; FY26 guidance ~−1.15%).</t>
  </si>
  <si>
    <t xml:space="preserve">  Memo: FY26 corporate guidance (scenario end-point)</t>
  </si>
  <si>
    <t xml:space="preserve">DE_inc (Defense Electronics incremental Adjusted OI margin)</t>
  </si>
  <si>
    <t xml:space="preserve">FY26 guide implies ~36% (Δ OI $16.5m / Δ sales $46m); segment margin ~27.6%.</t>
  </si>
  <si>
    <t xml:space="preserve">  Sales not on current segment basis (pre-2020: total company under legacy segments)</t>
  </si>
  <si>
    <t xml:space="preserve">  GAAP operating income not on current segment basis (pre-2020; incl. corporate)</t>
  </si>
  <si>
    <t xml:space="preserve">  (+) Adjustments in periods before the current segment basis</t>
  </si>
  <si>
    <t xml:space="preserve">Future acquisitions (M&amp;A lever — bolt-ons, unallocated across segments; deals closed from 2027E)</t>
  </si>
  <si>
    <t xml:space="preserve">M&amp;A LEVER — acquired sales = spend ÷ EV/sales; mid-year convention</t>
  </si>
  <si>
    <t xml:space="preserve">  Acquisition spend (USDm, scenario)</t>
  </si>
  <si>
    <t xml:space="preserve">Scenario lever M&amp;A_spend. Historical acquisitions (cash flow statement): see "Acquisitions, net of cash acquired".</t>
  </si>
  <si>
    <t xml:space="preserve">NP_g (Naval &amp; Power sales growth y/y)</t>
  </si>
  <si>
    <t xml:space="preserve">Virginia/Columbia-class submarine ramp, commercial nuclear (AP1000, SMR/advanced reactors); FY26 +10–11%.</t>
  </si>
  <si>
    <t xml:space="preserve">  Purchase multiple — EV / sales (x)</t>
  </si>
  <si>
    <t xml:space="preserve">Input 3.0x: CW bolt-ons (e.g., PacStar ~$400m / ~$100m+ sales, Arresting Systems ~$240m / ~$80m) typically 2.5–4x sales.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</si>
  <si>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</si>
  <si>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</si>
  <si>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</si>
  <si>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Sales from future acquisitions</t>
  </si>
  <si>
    <t xml:space="preserve">Mid-year convention: half a year of acquired sales in the year of the deal.</t>
  </si>
  <si>
    <t xml:space="preserve">  Adjusted operating margin of acquired businesses % (after amortization)</t>
  </si>
  <si>
    <t xml:space="preserve">NP_inc (Naval &amp; Power incremental Adjusted OI margin)</t>
  </si>
  <si>
    <t xml:space="preserve">FY26 guide implies ~22% (Δ OI $35.5m / Δ sales $158.5m); mix of development-stage nuclear revenue.</t>
  </si>
  <si>
    <t xml:space="preserve">  Adjusted operating income from future acquisitions</t>
  </si>
  <si>
    <t xml:space="preserve">  PP&amp;E % of spend</t>
  </si>
  <si>
    <t xml:space="preserve">  Acquired intangibles % of spend</t>
  </si>
  <si>
    <t xml:space="preserve">CW purchase-price allocations: ~35–45% intangibles (customer relationships, technology), balance mostly goodwill.</t>
  </si>
  <si>
    <t xml:space="preserve">  Intangible amortization life (years)</t>
  </si>
  <si>
    <t xml:space="preserve">  Cumulative acquired intangibles (gross)</t>
  </si>
  <si>
    <t xml:space="preserve">  Amortization of future-acquisition intangibles</t>
  </si>
  <si>
    <t xml:space="preserve">M&amp;A_spend (bolt-on acquisitions, $m)</t>
  </si>
  <si>
    <t xml:space="preserve">CW: "acquisitions remain top priority"; spend $488m (2020), $287m (2022), $226m (2024), ~$10m (2025).</t>
  </si>
  <si>
    <t xml:space="preserve">  Depreciation of acquired businesses</t>
  </si>
  <si>
    <t xml:space="preserve">2% of acquired sales.</t>
  </si>
  <si>
    <t xml:space="preserve">Group Total — sales &amp; Adjusted operating income (segment build) — CW's primary profit KPI</t>
  </si>
  <si>
    <t xml:space="preserve">GROUP TOTAL (CONSOLIDATED) — modelling logic</t>
  </si>
  <si>
    <t xml:space="preserve">Sales (segment build)</t>
  </si>
  <si>
    <t xml:space="preserve">Σ segments + legacy-basis periods + future M&amp;A.</t>
  </si>
  <si>
    <t xml:space="preserve">  Memo: company organic sales growth % (as published)</t>
  </si>
  <si>
    <t xml:space="preserve">Adjusted operating income (segment build)</t>
  </si>
  <si>
    <t xml:space="preserve">  Check: segment build vs consolidated sales (should be 0)</t>
  </si>
  <si>
    <t xml:space="preserve">  Check: segment build vs Adjusted OI bridge (should be 0)</t>
  </si>
  <si>
    <t xml:space="preserve">Q2-26 release: $3,768–3,813m. Drives the revenue-outlook calibration below.</t>
  </si>
  <si>
    <t xml:space="preserve">  Sales before revenue calibration (Q3/Q4-26E helper)</t>
  </si>
  <si>
    <t xml:space="preserve">Σ segments at the guidance-implied 2H growth rates.</t>
  </si>
  <si>
    <t xml:space="preserve">  Revenue sensitivity to +1.00 of growth (Q3/Q4-26E helper)</t>
  </si>
  <si>
    <t xml:space="preserve">  Outlook calibration: Δ y/y growth applied to all segments (Q3/Q4-26E)</t>
  </si>
  <si>
    <t xml:space="preserve">Solves the uniform growth shift so that FY26 sales = total guidance end-point (segment ranges do not sum exactly to the total range).</t>
  </si>
  <si>
    <t xml:space="preserve">  Check: FY26 sales vs guidance end-point (should be 0)</t>
  </si>
  <si>
    <t xml:space="preserve">Q2-26 release: $720–736m (19.1–19.3% margin).</t>
  </si>
  <si>
    <t xml:space="preserve">  Adjusted OI before margin calibration (Q3/Q4-26E helper)</t>
  </si>
  <si>
    <t xml:space="preserve">  Outlook calibration: Δ Adjusted margin applied to all segments (Q3/Q4-26E)</t>
  </si>
  <si>
    <t xml:space="preserve">Solves the uniform margin shift so that FY26 Adjusted OI = total guidance end-point for the active scenario.</t>
  </si>
  <si>
    <t xml:space="preserve">  Check: FY26 Adjusted OI vs guidance end-point (should be 0)</t>
  </si>
  <si>
    <t xml:space="preserve">  Memo: FY26 Adjusted EPS guidance (scenario end-point) vs model</t>
  </si>
  <si>
    <t xml:space="preserve">Not forced — model EPS reflects the post-guidance buybacks ($300m Aug–Oct) and model interest / other income.</t>
  </si>
  <si>
    <t xml:space="preserve">  Model Adjusted EPS − guidance ($)</t>
  </si>
  <si>
    <t xml:space="preserve">  Memo: FY26 FCF guidance (scenario end-point) — drives the 2026E receivables calibration</t>
  </si>
  <si>
    <t xml:space="preserve">Cost drivers &amp; D&amp;A</t>
  </si>
  <si>
    <t xml:space="preserve">COST DRIVERS — inputs that drive forecast cost lines</t>
  </si>
  <si>
    <t xml:space="preserve">  Depreciation &amp; amortization (total; cash-flow statement)</t>
  </si>
  <si>
    <t xml:space="preserve">  of which: amortization of acquired intangibles</t>
  </si>
  <si>
    <t xml:space="preserve">FY2025 10-K schedule: $60m (2026), $57m, $51m, $51m, $50m (2030) + amortization of future-M&amp;A intangibles.</t>
  </si>
  <si>
    <t xml:space="preserve">  of which: depreciation (total D&amp;A − amortization)</t>
  </si>
  <si>
    <t xml:space="preserve">  Depreciation % of sales</t>
  </si>
  <si>
    <t xml:space="preserve">2027E+: 1.6% input (FY25 ~1.5%; capex stepping up ~$25m in 2026).</t>
  </si>
  <si>
    <t xml:space="preserve">  Total D&amp;A % of sales</t>
  </si>
  <si>
    <t xml:space="preserve">  Share-based compensation</t>
  </si>
  <si>
    <t xml:space="preserve">  Share-based compensation % of sales</t>
  </si>
  <si>
    <t xml:space="preserve">2027E+: 0.75% input (FY25 ~0.7%).</t>
  </si>
  <si>
    <t xml:space="preserve">  Research &amp; development % of sales</t>
  </si>
  <si>
    <t xml:space="preserve">2027E+: 2.7% input (≈ FY25 level). Opex lines are presentation only — operating income comes from the segment build; gross profit is the residual.</t>
  </si>
  <si>
    <t xml:space="preserve">  Selling % of sales</t>
  </si>
  <si>
    <t xml:space="preserve">2027E+: 5.0% input (≈ FY25 level). Opex lines are presentation only — operating income comes from the segment build; gross profit is the residual.</t>
  </si>
  <si>
    <t xml:space="preserve">  General &amp; administrative % of sales</t>
  </si>
  <si>
    <t xml:space="preserve">2027E+: 11.5% input (≈ FY25 level). Opex lines are presentation only — operating income comes from the segment build; gross profit is the residual.</t>
  </si>
  <si>
    <t xml:space="preserve">CONSOLIDATED STATEMENT OF EARNINGS (US GAAP, as reported)</t>
  </si>
  <si>
    <t xml:space="preserve">CONSOLIDATED IS — forecast logic</t>
  </si>
  <si>
    <t xml:space="preserve">  Product sales</t>
  </si>
  <si>
    <t xml:space="preserve">  Service sales</t>
  </si>
  <si>
    <t xml:space="preserve">Net sales</t>
  </si>
  <si>
    <t xml:space="preserve">Forecast linked to the segment build.</t>
  </si>
  <si>
    <t xml:space="preserve">Cost of sales</t>
  </si>
  <si>
    <t xml:space="preserve">Forecast = sales − gross profit (residual).</t>
  </si>
  <si>
    <t xml:space="preserve">Gross profit</t>
  </si>
  <si>
    <t xml:space="preserve">Forecast = operating income (segment build) + opex lines.</t>
  </si>
  <si>
    <t xml:space="preserve">  Gross margin %</t>
  </si>
  <si>
    <t xml:space="preserve">Research &amp; development expenses</t>
  </si>
  <si>
    <t xml:space="preserve">Selling expenses</t>
  </si>
  <si>
    <t xml:space="preserve">General &amp; administrative expenses</t>
  </si>
  <si>
    <t xml:space="preserve">Restructuring expenses (separate line from 2020)</t>
  </si>
  <si>
    <t xml:space="preserve">Other operating expense (income), net (environmental, impairments, divestiture losses; expense = +)</t>
  </si>
  <si>
    <t xml:space="preserve">Operating income</t>
  </si>
  <si>
    <t xml:space="preserve">Forecast = Adjusted OI (segment build) − forecast adjustments (restructuring).</t>
  </si>
  <si>
    <t xml:space="preserve">  Operating margin %</t>
  </si>
  <si>
    <t xml:space="preserve">  Memo: operating income as reported</t>
  </si>
  <si>
    <t xml:space="preserve">  Check: model vs reported operating income (should be 0)</t>
  </si>
  <si>
    <t xml:space="preserve">Interest expense</t>
  </si>
  <si>
    <t xml:space="preserve">Q3/Q4-26E: FY26 guidance (~$41m) less 1H. 2027E+: rate × opening balances (no circularity).</t>
  </si>
  <si>
    <t xml:space="preserve">Other income, net (non-service pension income, interest income, investment gains)</t>
  </si>
  <si>
    <t xml:space="preserve">Q3/Q4-26E: FY26 reported guidance ($51m incl. the $17m Q2 equity gain) less 1H. 2027E+: pension &amp; other + interest income on opening cash.</t>
  </si>
  <si>
    <t xml:space="preserve">  of which: non-service pension income &amp; other, excl. interest income (2027E+ input)</t>
  </si>
  <si>
    <t xml:space="preserve">Input $25m p.a.: CW records sizeable non-service pension income (overfunded plans; prepaid pension asset $347m at Q2/26).</t>
  </si>
  <si>
    <t xml:space="preserve">  of which: interest income on opening cash (2027E+)</t>
  </si>
  <si>
    <t xml:space="preserve">  of which: gain on equity securities (excluded from Adjusted)</t>
  </si>
  <si>
    <t xml:space="preserve">Other non-operating items (as reported)</t>
  </si>
  <si>
    <t xml:space="preserve">Earnings before income taxes</t>
  </si>
  <si>
    <t xml:space="preserve">Provision for income taxes</t>
  </si>
  <si>
    <t xml:space="preserve">  Effective tax rate</t>
  </si>
  <si>
    <t xml:space="preserve">Q3/Q4-26E: 21.5% guidance. 2027E+: 22.0% input (FY25 21.9%).</t>
  </si>
  <si>
    <t xml:space="preserve">Net earnings from continuing operations</t>
  </si>
  <si>
    <t xml:space="preserve">Earnings (loss) from discontinued operations, net of tax</t>
  </si>
  <si>
    <t xml:space="preserve">2012–2017: heat-treating / oil &amp; gas businesses sold (discontinued). None forecast.</t>
  </si>
  <si>
    <t xml:space="preserve">Net earnings</t>
  </si>
  <si>
    <t xml:space="preserve">  Memo: net earnings as reported</t>
  </si>
  <si>
    <t xml:space="preserve">  Check: model vs reported net earnings (should be 0)</t>
  </si>
  <si>
    <t xml:space="preserve">(Earnings per share)</t>
  </si>
  <si>
    <t xml:space="preserve">  Weighted-average basic shares (m)</t>
  </si>
  <si>
    <t xml:space="preserve">2027E+: average of beginning and ending shares outstanding (buyback schedule).</t>
  </si>
  <si>
    <t xml:space="preserve">  Weighted-average diluted shares (m)</t>
  </si>
  <si>
    <t xml:space="preserve">Q3/Q4-26E: Q2/26 diluted shares less repurchases (mid-quarter weighting).</t>
  </si>
  <si>
    <t xml:space="preserve">EPS – basic ($)</t>
  </si>
  <si>
    <t xml:space="preserve">EPS – diluted ($)</t>
  </si>
  <si>
    <t xml:space="preserve">EPS computed as net earnings / weighted diluted shares (±$0.01 vs reported).</t>
  </si>
  <si>
    <t xml:space="preserve">EPS – diluted, continuing operations ($)</t>
  </si>
  <si>
    <t xml:space="preserve">  EPS – diluted, continuing operations y/y %</t>
  </si>
  <si>
    <t xml:space="preserve">  Memo: EPS – diluted as reported ($)</t>
  </si>
  <si>
    <t xml:space="preserve">  Dividends declared per share ($)</t>
  </si>
  <si>
    <t xml:space="preserve">Q3/Q4-26E: $0.26 quarterly (raised 8% in May-2026). 2027E+: +8% p.a. (10 consecutive annual increases).</t>
  </si>
  <si>
    <t xml:space="preserve">  Dividend per share growth %</t>
  </si>
  <si>
    <t xml:space="preserve">RECONCILIATION: GAAP OPERATING INCOME → ADJUSTED OPERATING INCOME (company definition)</t>
  </si>
  <si>
    <t xml:space="preserve">ADJUSTED OI — per CW earnings-release reconciliations; definition in force flagged by period</t>
  </si>
  <si>
    <t xml:space="preserve">Operating income (GAAP)</t>
  </si>
  <si>
    <t xml:space="preserve">  (+) First-year purchase accounting (inventory step-up, backlog amortization, deferred revenue, transaction costs)</t>
  </si>
  <si>
    <t xml:space="preserve">  (+) Restructuring &amp; facility relocation / transition costs</t>
  </si>
  <si>
    <t xml:space="preserve">  (+) Impairments, divestiture losses &amp; results of exited businesses</t>
  </si>
  <si>
    <t xml:space="preserve">  (+/−) Other company items (activism, legal settlement, AP1000 / strike 2012, China fee 2015)</t>
  </si>
  <si>
    <t xml:space="preserve">  Total adjustments</t>
  </si>
  <si>
    <t xml:space="preserve">  = Adjusted operating income (model bridge)</t>
  </si>
  <si>
    <t xml:space="preserve">Historical bridge rebuilt from the company reconciliation in each period; periods without a company adjusted measure: Adjusted = GAAP.</t>
  </si>
  <si>
    <t xml:space="preserve">  Company-published Adjusted operating income</t>
  </si>
  <si>
    <t xml:space="preserve">  Check: model bridge vs company-published (should be 0)</t>
  </si>
  <si>
    <t xml:space="preserve">  Definition basis (company Adjusted definition in force)</t>
  </si>
  <si>
    <t xml:space="preserve">Adj. ex AP1000/strike/restr.</t>
  </si>
  <si>
    <t xml:space="preserve">Pro forma ex China fee</t>
  </si>
  <si>
    <t xml:space="preserve">Adj.: 1st-yr purchase acctg</t>
  </si>
  <si>
    <t xml:space="preserve">+ DRG relocation / IT</t>
  </si>
  <si>
    <t xml:space="preserve">+ restructuring</t>
  </si>
  <si>
    <t xml:space="preserve">+ impairment (valves)</t>
  </si>
  <si>
    <t xml:space="preserve">+ exited 737 MAX / valves</t>
  </si>
  <si>
    <t xml:space="preserve">+ legal settlement</t>
  </si>
  <si>
    <t xml:space="preserve">+ activism, divestiture</t>
  </si>
  <si>
    <t xml:space="preserve">2024 Restructuring Prog.</t>
  </si>
  <si>
    <t xml:space="preserve">2026 Restructuring Prog.</t>
  </si>
  <si>
    <t xml:space="preserve">Definition changes are flagged in the column where they take effect.</t>
  </si>
  <si>
    <t xml:space="preserve">RECONCILIATION: NET EARNINGS → EBITDA → ADJUSTED EBITDA (model definition — CW does not publish EBITDA)</t>
  </si>
  <si>
    <t xml:space="preserve">ADJUSTED EBITDA — model-defined: Adjusted OI + D&amp;A (excludes non-operating other income)</t>
  </si>
  <si>
    <t xml:space="preserve">Net earnings from continuing operations (GAAP)</t>
  </si>
  <si>
    <t xml:space="preserve">  (+) Interest expense</t>
  </si>
  <si>
    <t xml:space="preserve">  (+) Provision for income taxes</t>
  </si>
  <si>
    <t xml:space="preserve">  (+) Depreciation &amp; amortization</t>
  </si>
  <si>
    <t xml:space="preserve">  = EBITDA</t>
  </si>
  <si>
    <t xml:space="preserve">  EBITDA margin %</t>
  </si>
  <si>
    <t xml:space="preserve">  (−) Other income, net &amp; other non-operating items (non-service pension income, interest income, investment gains)</t>
  </si>
  <si>
    <t xml:space="preserve">  (+) Operating adjustments (as in the Adjusted OI bridge)</t>
  </si>
  <si>
    <t xml:space="preserve">  = Adjusted EBITDA (model)</t>
  </si>
  <si>
    <t xml:space="preserve">Note: = Adjusted OI + total D&amp;A. First-year backlog amortization is inside both the adjustments and D&amp;A (immaterial: &lt;$3m per quarter).</t>
  </si>
  <si>
    <t xml:space="preserve">  Adjusted EBITDA margin %</t>
  </si>
  <si>
    <t xml:space="preserve">  Check: Adjusted EBITDA − (Adjusted OI + D&amp;A) (should be 0)</t>
  </si>
  <si>
    <t xml:space="preserve">To adjusted EBIT:</t>
  </si>
  <si>
    <t xml:space="preserve">  (−) D&amp;A</t>
  </si>
  <si>
    <t xml:space="preserve">  = Adjusted EBIT (= Adjusted operating income)</t>
  </si>
  <si>
    <t xml:space="preserve">  Adjusted EBIT margin %</t>
  </si>
  <si>
    <t xml:space="preserve">RECONCILIATION: GAAP NET EARNINGS / DILUTED EPS (CONTINUING OPS) → ADJUSTED EPS</t>
  </si>
  <si>
    <t xml:space="preserve">ADJUSTED EPS — published consistently from Q2/18 (plus 2012, 2015); model applies one definition to all periods</t>
  </si>
  <si>
    <t xml:space="preserve">  (+) Operating adjustments, pre-tax (as in the Adjusted OI bridge)</t>
  </si>
  <si>
    <t xml:space="preserve">  (−) Non-operating adjustments, pre-tax (gain on equity securities)</t>
  </si>
  <si>
    <t xml:space="preserve">  Tax rate applied to adjustments</t>
  </si>
  <si>
    <t xml:space="preserve">Historical: period ETR bounded 15–40%. Forecast: 21.5% (FY26 guidance) / 22% thereafter.</t>
  </si>
  <si>
    <t xml:space="preserve">  (−) Income tax effect of adjustments</t>
  </si>
  <si>
    <t xml:space="preserve">  (+/−) Other company-defined items &amp; per-share rounding (periods with published adjusted EPS)</t>
  </si>
  <si>
    <t xml:space="preserve">  = Adjusted net earnings (model)</t>
  </si>
  <si>
    <t xml:space="preserve">Adjusted EPS – diluted ($) (model)</t>
  </si>
  <si>
    <t xml:space="preserve">  Company-published adjusted EPS – diluted ($)</t>
  </si>
  <si>
    <t xml:space="preserve">  Check: model vs company-published adjusted EPS (should be 0.00)</t>
  </si>
  <si>
    <t xml:space="preserve">  Definition basis (company adjusted EPS, where published)</t>
  </si>
  <si>
    <t xml:space="preserve">Adj. EPS (ex acq. dilution)</t>
  </si>
  <si>
    <t xml:space="preserve">Pro forma EPS</t>
  </si>
  <si>
    <t xml:space="preserve">Adjusted EPS</t>
  </si>
  <si>
    <t xml:space="preserve">+ pension settlement</t>
  </si>
  <si>
    <t xml:space="preserve">+ gain on equity securities</t>
  </si>
  <si>
    <t xml:space="preserve">RECONCILIATION: OPERATING CASH FLOW → FREE CASH FLOW → ADJUSTED FREE CASH FLOW (company definitions)</t>
  </si>
  <si>
    <t xml:space="preserve">FCF — CW: CFO − net capex; Adjusted FCF (2015–2023) also excluded pension contributions, legal settlement &amp; DRG facility capex</t>
  </si>
  <si>
    <t xml:space="preserve">Net cash provided by operating activities</t>
  </si>
  <si>
    <t xml:space="preserve">  (−) Net capital expenditures (additions net of grant proceeds)</t>
  </si>
  <si>
    <t xml:space="preserve">  = Free cash flow (company definition)</t>
  </si>
  <si>
    <t xml:space="preserve">  Company-published free cash flow</t>
  </si>
  <si>
    <t xml:space="preserve">  Check: model vs company-published FCF (should be 0; differences = later restatements of CFO)</t>
  </si>
  <si>
    <t xml:space="preserve">  (+) Adjustments: pension contributions, Westinghouse legal settlement, DRG facility capex, restructuring</t>
  </si>
  <si>
    <t xml:space="preserve">  = Adjusted free cash flow (as defined 2015–2023)</t>
  </si>
  <si>
    <t xml:space="preserve">  Company-published adjusted free cash flow</t>
  </si>
  <si>
    <t xml:space="preserve">  Check: model vs company-published adjusted FCF (should be 0)</t>
  </si>
  <si>
    <t xml:space="preserve">  FCF conversion (FCF / adjusted net earnings — current company definition)</t>
  </si>
  <si>
    <t xml:space="preserve">CW target &gt;105% (2024–26 Investor Day). Pre-2023 CW defined conversion on net earnings / adjusted FCF.</t>
  </si>
  <si>
    <t xml:space="preserve">GROWTH &amp; MARGINS</t>
  </si>
  <si>
    <t xml:space="preserve">GROWTH &amp; MARGINS (consolidated) — forecast outputs</t>
  </si>
  <si>
    <t xml:space="preserve">  Net sales y/y %</t>
  </si>
  <si>
    <t xml:space="preserve">  Aerospace &amp; Industrial sales y/y %</t>
  </si>
  <si>
    <t xml:space="preserve">  Defense Electronics sales y/y %</t>
  </si>
  <si>
    <t xml:space="preserve">  Naval &amp; Power sales y/y %</t>
  </si>
  <si>
    <t xml:space="preserve">  Adjusted operating income y/y %</t>
  </si>
  <si>
    <t xml:space="preserve">  Adjusted EBITDA y/y %</t>
  </si>
  <si>
    <t xml:space="preserve">  Operating income (GAAP) y/y %</t>
  </si>
  <si>
    <t xml:space="preserve">  Net earnings y/y %</t>
  </si>
  <si>
    <t xml:space="preserve">  Adjusted EPS y/y %</t>
  </si>
  <si>
    <t xml:space="preserve">  Incremental Adjusted OI margin (Δ Adjusted OI / Δ sales)</t>
  </si>
  <si>
    <t xml:space="preserve">  Net margin %</t>
  </si>
  <si>
    <t xml:space="preserve">  R&amp;D % of sales</t>
  </si>
  <si>
    <t xml:space="preserve">CONSOLIDATED STATEMENT OF CASH FLOWS</t>
  </si>
  <si>
    <t xml:space="preserve">CASH FLOW — forecast logic (annual; 2026E = 1H/26 actual + 2H estimate; quarters = discrete, derived from year-to-date statements)</t>
  </si>
  <si>
    <t xml:space="preserve">Adjustments:</t>
  </si>
  <si>
    <t xml:space="preserve">  Depreciation &amp; amortization</t>
  </si>
  <si>
    <t xml:space="preserve">  (Gains) losses on divestitures, asset sales &amp; equity securities; impairments</t>
  </si>
  <si>
    <t xml:space="preserve">  Deferred income taxes</t>
  </si>
  <si>
    <t xml:space="preserve">  Other non-cash items, net (derived)</t>
  </si>
  <si>
    <t xml:space="preserve">  Changes in operating assets &amp; liabilities, net (incl. pension)</t>
  </si>
  <si>
    <t xml:space="preserve">Linked to the balance sheet: −Δ(receivables, inventories, prepaid pension) + Δ(payables, accrued, deferred revenue).</t>
  </si>
  <si>
    <t xml:space="preserve">    of which: pension &amp; postretirement, net (non-cash pension income / contributions)</t>
  </si>
  <si>
    <t xml:space="preserve">Additions to property, plant &amp; equipment</t>
  </si>
  <si>
    <t xml:space="preserve">2026E: FY25 capex + ~$25m (guidance). 2027E+: sales × capex % input.</t>
  </si>
  <si>
    <t xml:space="preserve">Grant proceeds for property, plant &amp; equipment</t>
  </si>
  <si>
    <t xml:space="preserve">Acquisitions of businesses, net of cash acquired (incl. prior-period consideration)</t>
  </si>
  <si>
    <t xml:space="preserve">2027E+: M&amp;A lever.</t>
  </si>
  <si>
    <t xml:space="preserve">Proceeds from divestitures &amp; sales of long-lived assets</t>
  </si>
  <si>
    <t xml:space="preserve">Other investing activities, net (derived)</t>
  </si>
  <si>
    <t xml:space="preserve">Net cash used for investing activities</t>
  </si>
  <si>
    <t xml:space="preserve">Borrowings (notes, revolving credit, term loans)</t>
  </si>
  <si>
    <t xml:space="preserve">Repayments of debt &amp; revolving credit</t>
  </si>
  <si>
    <t xml:space="preserve">Net issuance / (repayment) = scheduled note maturities (Dec-26 $200m 4.24% notes repaid from cash) + revolver draws to the minimum cash balance.</t>
  </si>
  <si>
    <t xml:space="preserve">Dividends paid</t>
  </si>
  <si>
    <t xml:space="preserve">2027E+: dividends per share × beginning shares (avoids circularity with buybacks).</t>
  </si>
  <si>
    <t xml:space="preserve">Repurchases of common stock</t>
  </si>
  <si>
    <t xml:space="preserve">2026E = 1H actual + 2H 10b5-1 plans (scenario). 2027E+ = max(minimum $60m, leverage plug).</t>
  </si>
  <si>
    <t xml:space="preserve">Proceeds from share-based compensation plans (incl. excess tax benefits)</t>
  </si>
  <si>
    <t xml:space="preserve">Other financing activities, net (derived)</t>
  </si>
  <si>
    <t xml:space="preserve">Net cash provided by (used for) financing activities</t>
  </si>
  <si>
    <t xml:space="preserve">Effect of exchange-rate changes on cash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</si>
  <si>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</si>
  <si>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</si>
  <si>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</si>
  <si>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+ FX = change in cash (should be 0)</t>
  </si>
  <si>
    <t xml:space="preserve">  Check: beginning cash + change = ending cash (should be 0)</t>
  </si>
  <si>
    <t xml:space="preserve">(Memo)</t>
  </si>
  <si>
    <t xml:space="preserve">Free cash flow (CFO − net capex; company definition)</t>
  </si>
  <si>
    <t xml:space="preserve">  FCF y/y %</t>
  </si>
  <si>
    <t xml:space="preserve">  FCF % of sales</t>
  </si>
  <si>
    <t xml:space="preserve">  FCF per diluted share ($)</t>
  </si>
  <si>
    <t xml:space="preserve">  Capex (gross additions) % of sales</t>
  </si>
  <si>
    <t xml:space="preserve">2027E+: 2.9% input (FY26E ~3.0%; FY21–25 1.6–2.6%).</t>
  </si>
  <si>
    <t xml:space="preserve">  Capex / D&amp;A (x)</t>
  </si>
  <si>
    <t xml:space="preserve">SHARE BUYBACK SCHEDULE</t>
  </si>
  <si>
    <t xml:space="preserve">SHARES — 2H/26 = 10b5-1 plans announced Aug–Sep 2026; 2027E+ = leverage-targeted repurchases</t>
  </si>
  <si>
    <t xml:space="preserve">  Avg buyback price ($)</t>
  </si>
  <si>
    <t xml:space="preserve">2026E = share-price input; appreciates with the share-price input thereafter.</t>
  </si>
  <si>
    <t xml:space="preserve">  Buyback cash deployed (USDm)</t>
  </si>
  <si>
    <t xml:space="preserve">Q3/26E: $200m (Aug plans) + ~$40m of the Sep–Oct plan; Q4/26E: remainder. 2026E row = 2H only.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</si>
  <si>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</si>
  <si>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</si>
  <si>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</si>
  <si>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2026E begins from shares outstanding at 30-Jun-2026 (10-Q).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</si>
  <si>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</si>
  <si>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</si>
  <si>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</si>
  <si>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</si>
  <si>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BS FORECAST — 2026E rolled forward from the 30-Jun-2026 balance sheet (Q2/26) + 2H flows; 2027E+ from prior year end</t>
  </si>
  <si>
    <t xml:space="preserve">ASSETS</t>
  </si>
  <si>
    <t xml:space="preserve">  Cash and cash equivalents</t>
  </si>
  <si>
    <t xml:space="preserve">  Receivables, net (billed, unbilled &amp; progress)</t>
  </si>
  <si>
    <t xml:space="preserve">Receivables = sales × DSO / 365.</t>
  </si>
  <si>
    <t xml:space="preserve">  Inventories, net</t>
  </si>
  <si>
    <t xml:space="preserve">  Other current assets (incl. current deferred taxes to 2015, held for sale)</t>
  </si>
  <si>
    <t xml:space="preserve">Total current assets</t>
  </si>
  <si>
    <t xml:space="preserve">  Property, plant &amp; equipment, net</t>
  </si>
  <si>
    <t xml:space="preserve">PP&amp;E roll-forward: prior + gross capex − grants − depreciation (+ acquired PP&amp;E from the M&amp;A lever).</t>
  </si>
  <si>
    <t xml:space="preserve">  Goodwill</t>
  </si>
  <si>
    <t xml:space="preserve">  Other intangible assets, net</t>
  </si>
  <si>
    <t xml:space="preserve">  Operating lease right-of-use assets (2019+)</t>
  </si>
  <si>
    <t xml:space="preserve">  Prepaid pension asset</t>
  </si>
  <si>
    <t xml:space="preserve">Non-service pension income is non-cash: it accretes the prepaid pension asset (and is reversed in CFO).</t>
  </si>
  <si>
    <t xml:space="preserve">  Other noncurrent assets (incl. deferred tax assets)</t>
  </si>
  <si>
    <t xml:space="preserve">TOTAL ASSETS</t>
  </si>
  <si>
    <t xml:space="preserve">LIABILITIES AND EQUITY</t>
  </si>
  <si>
    <t xml:space="preserve">  Accounts payable</t>
  </si>
  <si>
    <t xml:space="preserve">  Accrued expenses</t>
  </si>
  <si>
    <t xml:space="preserve">  Deferred revenue (contract liabilities)</t>
  </si>
  <si>
    <t xml:space="preserve">Customer advances on long-cycle naval / nuclear / defense programs; % of sales input.</t>
  </si>
  <si>
    <t xml:space="preserve">  Current portion of long-term &amp; short-term debt</t>
  </si>
  <si>
    <t xml:space="preserve">Forecast: next year's scheduled note maturities.</t>
  </si>
  <si>
    <t xml:space="preserve">  Other current liabilities (incl. income taxes payable, held for sale; derived)</t>
  </si>
  <si>
    <t xml:space="preserve">Total current liabilities</t>
  </si>
  <si>
    <t xml:space="preserve">  Long-term debt (excluding current portion)</t>
  </si>
  <si>
    <t xml:space="preserve">  Long-term operating lease liabilities (2019+)</t>
  </si>
  <si>
    <t xml:space="preserve">  Accrued pension &amp; other postretirement benefit costs</t>
  </si>
  <si>
    <t xml:space="preserve">  Deferred tax liabilities, net</t>
  </si>
  <si>
    <t xml:space="preserve">  Other noncurrent liabilities (incl. environmental reserves; derived)</t>
  </si>
  <si>
    <t xml:space="preserve">Total liabilities</t>
  </si>
  <si>
    <t xml:space="preserve">Stockholders' equity:</t>
  </si>
  <si>
    <t xml:space="preserve">  Common stock &amp; additional paid-in capital</t>
  </si>
  <si>
    <t xml:space="preserve">+ share-based compensation + proceeds from equity plans.</t>
  </si>
  <si>
    <t xml:space="preserve">  Retained earnings</t>
  </si>
  <si>
    <t xml:space="preserve">  Accumulated other comprehensive income (loss)</t>
  </si>
  <si>
    <t xml:space="preserve">  Treasury stock, at cost</t>
  </si>
  <si>
    <t xml:space="preserve">CW holds repurchased shares in treasury (cost deducted from equity).</t>
  </si>
  <si>
    <t xml:space="preserve">Total stockholders' equity</t>
  </si>
  <si>
    <t xml:space="preserve">TOTAL LIABILITIES AND EQUITY</t>
  </si>
  <si>
    <t xml:space="preserve">BS tie-out check (TA − TL&amp;E)</t>
  </si>
  <si>
    <t xml:space="preserve">  Memo: total assets as reported</t>
  </si>
  <si>
    <t xml:space="preserve">  Check: model total assets vs reported (should be 0)</t>
  </si>
  <si>
    <t xml:space="preserve">  Check: BS cash vs cash-flow ending cash (should be 0)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</si>
  <si>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</si>
  <si>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</si>
  <si>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input; set at FY25 levels)</t>
  </si>
  <si>
    <t xml:space="preserve">  DSO — receivables / sales × 365</t>
  </si>
  <si>
    <t xml:space="preserve">2026E: solved so that FY26 FCF = guidance end-point (scenario) — working-capital outlook calibration (2H release of the 1H/26 build). 2027E+: held at the 2026E level.</t>
  </si>
  <si>
    <t xml:space="preserve">  FY26 FCF before receivables calibration (helper: receivables held at 30-Jun-26)</t>
  </si>
  <si>
    <t xml:space="preserve">  Check: FY26 FCF vs guidance end-point (should be 0)</t>
  </si>
  <si>
    <t xml:space="preserve">  Inventory days — inventories / cost of sales × 365</t>
  </si>
  <si>
    <t xml:space="preserve">Inputs at FY25 year-end levels (DIO 102, DPO 51.5, accrued 6.9%, deferred revenue 16.0% of sales).</t>
  </si>
  <si>
    <t xml:space="preserve">  Payable days — payables / cost of sales × 365</t>
  </si>
  <si>
    <t xml:space="preserve">  Accrued expenses % of sales</t>
  </si>
  <si>
    <t xml:space="preserve">  Deferred revenue % of sales</t>
  </si>
  <si>
    <t xml:space="preserve">FY25 16.0%; Q2/26 16.2% (annualised). Advances on submarine / nuclear programs.</t>
  </si>
  <si>
    <t xml:space="preserve">  Operating NWC (receivables + inventories − payables − accrued − deferred revenue)</t>
  </si>
  <si>
    <t xml:space="preserve">  NWC % of sales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</si>
  <si>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</si>
  <si>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</si>
  <si>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</si>
  <si>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Debt schedule (scheduled note maturities + revolving credit to a minimum cash balance)</t>
  </si>
  <si>
    <t xml:space="preserve">  Total debt (current + long-term)</t>
  </si>
  <si>
    <t xml:space="preserve">Debt at 30-Jun-26 $957m: senior notes 4.24% Dec-2026 $200m, 4.05%/4.11% 2028 $157.5m, 3.10% 2030 $150m, 3.20% 2032 $150m, 4.49% 2032 $200m, 4.64% 2034 $100m; $1bn revolver (May-2031) undrawn.</t>
  </si>
  <si>
    <t xml:space="preserve">  Scheduled note maturities (input, negative)</t>
  </si>
  <si>
    <t xml:space="preserve">FY2025 10-K maturity table: 2026 $200m, 2028 $157.5m, 2030 $150m, thereafter $450m.</t>
  </si>
  <si>
    <t xml:space="preserve">  % of scheduled maturities refinanced (input)</t>
  </si>
  <si>
    <t xml:space="preserve">2026: Dec-26 notes repaid from cash (lower FY26 interest guidance). 2028/2030: refinanced with new notes.</t>
  </si>
  <si>
    <t xml:space="preserve">  Refinancing issuance</t>
  </si>
  <si>
    <t xml:space="preserve">  Senior notes outstanding (carrying, year end)</t>
  </si>
  <si>
    <t xml:space="preserve">  Cash before revolver (opening cash + CFO + CFI + non-revolver financing)</t>
  </si>
  <si>
    <t xml:space="preserve">  Minimum cash balance</t>
  </si>
  <si>
    <t xml:space="preserve">CW typically holds ~$250–450m of cash (largely overseas).</t>
  </si>
  <si>
    <t xml:space="preserve">  Revolving credit / short-term facilities outstanding (year end)</t>
  </si>
  <si>
    <t xml:space="preserve">Drawn / repaid so that cash ≥ minimum balance.</t>
  </si>
  <si>
    <t xml:space="preserve">  Net issuance / (repayment)</t>
  </si>
  <si>
    <t xml:space="preserve">  Interest rate on notes (opening balance) % (historical = interest / opening total debt)</t>
  </si>
  <si>
    <t xml:space="preserve">After repaying the 4.24% Dec-26 notes: ~3.9% on $757.5m; 2028/2030 maturities refinanced at ~5.5%.</t>
  </si>
  <si>
    <t xml:space="preserve">  Interest rate on revolver %</t>
  </si>
  <si>
    <t xml:space="preserve">SOFR + margin (new $1bn credit agreement, May-2026).</t>
  </si>
  <si>
    <t xml:space="preserve">  Interest income yield on opening cash %</t>
  </si>
  <si>
    <t xml:space="preserve">  Dilutive securities (m shares)</t>
  </si>
  <si>
    <t xml:space="preserve">Diluted − basic ≈ 0.2m shares (FY25).</t>
  </si>
  <si>
    <t xml:space="preserve">Leverage-targeted buybacks (repurchases = max(minimum $60m, plug to a minimum net debt / Adjusted EBITDA))</t>
  </si>
  <si>
    <t xml:space="preserve">  Minimum net debt / Adjusted EBITDA (x) (scenario)</t>
  </si>
  <si>
    <t xml:space="preserve">  Net debt before buybacks (year end)</t>
  </si>
  <si>
    <t xml:space="preserve">  Target minimum net debt = min. leverage × Adjusted EBITDA</t>
  </si>
  <si>
    <t xml:space="preserve">  Leverage plug</t>
  </si>
  <si>
    <t xml:space="preserve">  Share repurchases (feeds the cash-flow statement)</t>
  </si>
  <si>
    <t xml:space="preserve">Historical reference (driver context)</t>
  </si>
  <si>
    <t xml:space="preserve">  Capex % of sales</t>
  </si>
  <si>
    <t xml:space="preserve">RATIO ANALYSIS</t>
  </si>
  <si>
    <t xml:space="preserve">RETURNS — annual columns (NOPAT on Adjusted EBIT = Adjusted OI)</t>
  </si>
  <si>
    <t xml:space="preserve">DuPont decomposition of ROIC</t>
  </si>
  <si>
    <t xml:space="preserve">Adjusted EBIT (Adjusted operating income)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</si>
  <si>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</si>
  <si>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</si>
  <si>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</si>
  <si>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stockholders' equity</t>
  </si>
  <si>
    <t xml:space="preserve">  Net debt = Total debt − Cash</t>
  </si>
  <si>
    <t xml:space="preserve">ROIC = NOPAT / IC</t>
  </si>
  <si>
    <t xml:space="preserve">  Margin = Adjusted EBIT / Sales</t>
  </si>
  <si>
    <t xml:space="preserve">  Capital turnover = Sales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</si>
  <si>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</si>
  <si>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</si>
  <si>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</si>
  <si>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</si>
  <si>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</si>
  <si>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</si>
  <si>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</si>
  <si>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</si>
  <si>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</si>
  <si>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Stockholders' equity</t>
  </si>
  <si>
    <t xml:space="preserve">ROE = Net earnings / Equity</t>
  </si>
  <si>
    <t xml:space="preserve">Leverage</t>
  </si>
  <si>
    <t xml:space="preserve">Net debt = Total debt − cash</t>
  </si>
  <si>
    <t xml:space="preserve">Adjusted EBITDA (model)</t>
  </si>
  <si>
    <t xml:space="preserve">Net debt / Adjusted EBITDA (x)</t>
  </si>
  <si>
    <t xml:space="preserve">VALUATION</t>
  </si>
  <si>
    <t xml:space="preserve">VALUATION — share price input $544.21 (early Oct-2026 market quote; update to market)</t>
  </si>
  <si>
    <t xml:space="preserve">Share price ($) — current</t>
  </si>
  <si>
    <t xml:space="preserve">  Share-price appreciation % (buyback pricing only)</t>
  </si>
  <si>
    <t xml:space="preserve">Diluted shares at period end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</si>
  <si>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</si>
  <si>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</si>
  <si>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</si>
  <si>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</si>
  <si>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Sales</t>
  </si>
  <si>
    <t xml:space="preserve">  EV / Adjusted EBITDA</t>
  </si>
  <si>
    <t xml:space="preserve">  EV / Adjusted EBIT (Adjusted OI)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</si>
  <si>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</si>
  <si>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</si>
  <si>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</si>
  <si>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</si>
  <si>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</si>
  <si>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Memo: orders, backlog, end markets and legacy segments (historical disclosure — not forecast)</t>
  </si>
  <si>
    <t xml:space="preserve">MEMO — historical disclosure only</t>
  </si>
  <si>
    <t xml:space="preserve">  New orders (USDm, as published; narrative figures are rounded)</t>
  </si>
  <si>
    <t xml:space="preserve">  Book-to-bill (x)</t>
  </si>
  <si>
    <t xml:space="preserve">  Backlog (USDm, period end)</t>
  </si>
  <si>
    <t xml:space="preserve">Sales by end market (as reported; prior years reclassified by CW from time to time)</t>
  </si>
  <si>
    <t xml:space="preserve">  Aerospace Defense</t>
  </si>
  <si>
    <t xml:space="preserve">  Ground Defense</t>
  </si>
  <si>
    <t xml:space="preserve">  Naval Defense</t>
  </si>
  <si>
    <t xml:space="preserve">  Other Defense</t>
  </si>
  <si>
    <t xml:space="preserve">  Total Defense</t>
  </si>
  <si>
    <t xml:space="preserve">  Commercial Aerospace</t>
  </si>
  <si>
    <t xml:space="preserve">  Total Aerospace &amp; Defense</t>
  </si>
  <si>
    <t xml:space="preserve">  Power &amp; Process</t>
  </si>
  <si>
    <t xml:space="preserve">  General Industrial</t>
  </si>
  <si>
    <t xml:space="preserve">  Total Commercial</t>
  </si>
  <si>
    <t xml:space="preserve">  Total Curtiss-Wright</t>
  </si>
  <si>
    <t xml:space="preserve">  Power Generation (legacy taxonomy)</t>
  </si>
  <si>
    <t xml:space="preserve">  Oil and Gas (legacy taxonomy)</t>
  </si>
  <si>
    <t xml:space="preserve">  General Industrial/Auto (legacy taxonomy)</t>
  </si>
  <si>
    <t xml:space="preserve">  Defense Aerospace (legacy taxonomy)</t>
  </si>
  <si>
    <t xml:space="preserve">  Defense Ground (legacy taxonomy)</t>
  </si>
  <si>
    <t xml:space="preserve">  Defense Naval (legacy taxonomy)</t>
  </si>
  <si>
    <t xml:space="preserve">Legacy reportable segments (as originally reported)</t>
  </si>
  <si>
    <t xml:space="preserve">  Flow Control — sales</t>
  </si>
  <si>
    <t xml:space="preserve">  Motion Control — sales</t>
  </si>
  <si>
    <t xml:space="preserve">  Metal Treatment — sales</t>
  </si>
  <si>
    <t xml:space="preserve">  Controls — sales</t>
  </si>
  <si>
    <t xml:space="preserve">  Surface Technologies — sales</t>
  </si>
  <si>
    <t xml:space="preserve">  Commercial/Industrial — sales</t>
  </si>
  <si>
    <t xml:space="preserve">  Defense — sales</t>
  </si>
  <si>
    <t xml:space="preserve">  Energy — sales</t>
  </si>
  <si>
    <t xml:space="preserve">  Power — sales</t>
  </si>
  <si>
    <t xml:space="preserve">  Flow Control — operating income</t>
  </si>
  <si>
    <t xml:space="preserve">  Motion Control — operating income</t>
  </si>
  <si>
    <t xml:space="preserve">  Metal Treatment — operating income</t>
  </si>
  <si>
    <t xml:space="preserve">  Controls — operating income</t>
  </si>
  <si>
    <t xml:space="preserve">  Surface Technologies — operating income</t>
  </si>
  <si>
    <t xml:space="preserve">  Commercial/Industrial — operating income</t>
  </si>
  <si>
    <t xml:space="preserve">  Defense — operating income</t>
  </si>
  <si>
    <t xml:space="preserve">  Energy — operating income</t>
  </si>
  <si>
    <t xml:space="preserve">  Power — operating income</t>
  </si>
  <si>
    <t xml:space="preserve">  Corporate &amp; other (legacy) — operating income</t>
  </si>
  <si>
    <t xml:space="preserve">  Pension expense (separate line, legacy tables)</t>
  </si>
  <si>
    <t xml:space="preserve">Curtiss-Wright (CW) — Bull / Base / Bear Case P&amp;L Summary</t>
  </si>
  <si>
    <t xml:space="preserve">Share price ($):</t>
  </si>
  <si>
    <t xml:space="preserve">Adjusted figures (company definition: Adjusted operating income / Adjusted diluted EPS; Adjusted EBITDA = model definition) · USD millions · Live panel linked to Model — toggle scenario via Model!CF2. Bull and Bear panels are value snapshots generated from the Model with the switch set to each case. 2026E calibrated to the FY26 guidance end-points (high / mid / low).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</si>
  <si>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</si>
  <si>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</si>
  <si>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</si>
  <si>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</si>
  <si>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</si>
  <si>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</si>
  <si>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</si>
  <si>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</si>
  <si>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</si>
  <si>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</si>
  <si>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Sales</t>
  </si>
  <si>
    <t xml:space="preserve">   Sales y/y %</t>
  </si>
  <si>
    <t xml:space="preserve">   Naval &amp; Power sales y/y % (largest segment; growth driver)</t>
  </si>
  <si>
    <t xml:space="preserve">Adjusted operating income (company KPI)</t>
  </si>
  <si>
    <t xml:space="preserve">   Adjusted operating margin %</t>
  </si>
  <si>
    <t xml:space="preserve">   Operating income y/y %</t>
  </si>
  <si>
    <t xml:space="preserve">   Operating margin (GAAP) %</t>
  </si>
  <si>
    <t xml:space="preserve">Adjusted net earnings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</si>
  <si>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</si>
  <si>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</si>
  <si>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</si>
  <si>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</si>
  <si>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</si>
  <si>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</si>
  <si>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</si>
  <si>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 (CFO − net capex)</t>
  </si>
  <si>
    <t xml:space="preserve">   FCF %</t>
  </si>
  <si>
    <t xml:space="preserve">   FCF / share ($)</t>
  </si>
  <si>
    <t xml:space="preserve">   FCF Yield (on PT)</t>
  </si>
  <si>
    <t xml:space="preserve">Adjusted EBITDA (model: Adjusted OI + D&amp;A)</t>
  </si>
  <si>
    <t xml:space="preserve">   Adjusted EBITDA % of sales</t>
  </si>
  <si>
    <t xml:space="preserve">Net Debt</t>
  </si>
  <si>
    <t xml:space="preserve">   Net Debt / Adjusted EBITDA (x)</t>
  </si>
  <si>
    <t xml:space="preserve">   Share repurchases ($m)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</si>
  <si>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</si>
  <si>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</si>
  <si>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</si>
  <si>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</si>
  <si>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</si>
  <si>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</si>
  <si>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Implied Enterprise Value (USDm)</t>
  </si>
  <si>
    <t xml:space="preserve">Implied EV / Adjusted EBITDA (x)</t>
  </si>
  <si>
    <t xml:space="preserve">DCF VALUATION — CURTISS-WRIGHT (CW)</t>
  </si>
  <si>
    <t xml:space="preserve">1. WACC BUILD</t>
  </si>
  <si>
    <t xml:space="preserve">Risk-free rate (US 10Y govt)</t>
  </si>
  <si>
    <t xml:space="preserve">Assumption (kept consistent with the other models in the coverage set);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</si>
  <si>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</si>
  <si>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</si>
  <si>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</si>
  <si>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A&amp;D / defense-electronics peers (HEI, TDG, MOG, PH aerospace, BWXT) ~0.85–1.1; ~70% A&amp;D mix, long-cycle naval &amp; nuclear backlog</t>
  </si>
  <si>
    <t xml:space="preserve">Cost of equity</t>
  </si>
  <si>
    <t xml:space="preserve">Pre-tax cost of debt</t>
  </si>
  <si>
    <t xml:space="preserve">BBB-rated private-placement notes 3.1–4.6%; marginal cost ~5.5%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</si>
  <si>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</si>
  <si>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</si>
  <si>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</si>
  <si>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</si>
  <si>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~$0.4bn vs ~$20bn market cap; net leverage ~0.5x Adjusted EBITDA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</si>
  <si>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</si>
  <si>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</si>
  <si>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</si>
  <si>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</si>
  <si>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</si>
  <si>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</si>
  <si>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</si>
  <si>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</si>
  <si>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</si>
  <si>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</si>
  <si>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27–30E</t>
  </si>
  <si>
    <t xml:space="preserve">CAGR 27–35E</t>
  </si>
  <si>
    <t xml:space="preserve">Operating income (GAAP) = Adjusted OI less restructuring &amp; other adjustments</t>
  </si>
  <si>
    <t xml:space="preserve">× (1 − tax rate)</t>
  </si>
  <si>
    <t xml:space="preserve">NOPAT</t>
  </si>
  <si>
    <t xml:space="preserve">plus D&amp;A</t>
  </si>
  <si>
    <t xml:space="preserve">− Capex (PP&amp;E, net of grants) and acquisitions (M&amp;A 2027E–30E)</t>
  </si>
  <si>
    <t xml:space="preserve">− Δ Working capital (CF statement, excl. non-cash pension)</t>
  </si>
  <si>
    <t xml:space="preserve">Unlevered FCF</t>
  </si>
  <si>
    <t xml:space="preserve">Terminal Value (Gordon Growth)</t>
  </si>
  <si>
    <t xml:space="preserve">Fade-period growth (2031E–35E; 7% → 5%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</si>
  <si>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</si>
  <si>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</si>
  <si>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</si>
  <si>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</si>
  <si>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2026E is shown for reference but excluded from the PV (×0): its cash flow (incl. the 2H/26 $300m buybacks) is already reflected in YE2026E net debt, which is deducted below. Adjusted OI expenses stock-based compensation; acquisition spend from the M&amp;A lever is deducted in 2027E–30E; fade and terminal value assume no new acquisitions. Non-service pension income sits below operating income and is excluded from UFCF (CW plans are overfunded).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</si>
  <si>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</si>
  <si>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</si>
  <si>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</si>
  <si>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</si>
  <si>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</si>
  <si>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</si>
  <si>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</si>
  <si>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</si>
  <si>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</si>
  <si>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</si>
  <si>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YE2026E book invested capital (equity + net debt), rolled forward with capex + M&amp;A − D&amp;A + ΔWC.</t>
  </si>
  <si>
    <t xml:space="preserve">3. VALUATION SUMMARY</t>
  </si>
  <si>
    <t xml:space="preserve">Sum of PV (2027E–35E explicit + fade)</t>
  </si>
  <si>
    <t xml:space="preserve">PV of Terminal Value</t>
  </si>
  <si>
    <t xml:space="preserve">Enterprise Value</t>
  </si>
  <si>
    <t xml:space="preserve">Less: Net debt (Model YE2026E)</t>
  </si>
  <si>
    <t xml:space="preserve">CW has no NCI; pension plans overfunded (prepaid pension asset) — not deducted.</t>
  </si>
  <si>
    <t xml:space="preserve">Equity Value</t>
  </si>
  <si>
    <t xml:space="preserve">Diluted shares (m, Model YE2026E)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</si>
  <si>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</si>
  <si>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</si>
  <si>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</si>
  <si>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</si>
  <si>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</si>
  <si>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</si>
  <si>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</si>
  <si>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</si>
  <si>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</si>
  <si>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</si>
  <si>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</si>
  <si>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</si>
  <si>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 / 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</si>
  <si>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</si>
  <si>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</si>
  <si>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</si>
  <si>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</si>
  <si>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</si>
  <si>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(Curtiss-Wright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</si>
  <si>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</si>
  <si>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</si>
  <si>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</si>
  <si>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OI CAGR 2026–30E ~10%: high-single-digit sales growth (naval, nuclear, defense electronics, commercial aero) + ~30% incrementals</t>
  </si>
  <si>
    <t xml:space="preserve">ROIIC  (Return on incremental invested capital)</t>
  </si>
  <si>
    <t xml:space="preserve">Asset-light engineered products (capex ~3% of sales) earn high organic returns; bolt-on M&amp;A at ~3x sales earns ~10–12% after tax</t>
  </si>
  <si>
    <t xml:space="preserve">N  (Years of value creation / CAP)</t>
  </si>
  <si>
    <t xml:space="preserve">Sole-source positions on Virginia/Columbia-class submarines and Ford-class carriers, AP1000 reactor coolant pumps, 70%+ A&amp;D mix with multi-decade platforms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</si>
  <si>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</si>
  <si>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</si>
  <si>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</si>
  <si>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</si>
  <si>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</si>
  <si>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</si>
  <si>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</si>
  <si>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</si>
  <si>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</si>
  <si>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operating income (GAAP = Adjusted OI; no adjustments forecast)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</si>
  <si>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</si>
  <si>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</si>
  <si>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</si>
  <si>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</si>
  <si>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</si>
  <si>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</si>
  <si>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</si>
  <si>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</si>
  <si>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</si>
  <si>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</si>
  <si>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</t>
  </si>
  <si>
    <t xml:space="preserve">Implied Enterprise Value (today)</t>
  </si>
  <si>
    <t xml:space="preserve">CW market-implied EV/NOPAT (on 2028E NOPAT)</t>
  </si>
  <si>
    <t xml:space="preserve">Multiple gap (Mauboussin − Market)</t>
  </si>
  <si>
    <t xml:space="preserve">Implied re-rating headroom</t>
  </si>
  <si>
    <t xml:space="preserve">Curtiss-Wright — Historical Operating Performance (2006–2025)</t>
  </si>
  <si>
    <t xml:space="preserve">All historicals · USDm · Linked to Model. Organic growth = company-published (excludes acquisitions / divestitures in the last 12 months and FX; blank where not published). Adjusted OI per CW reconciliations from Q2/18 (2012 / 2015 company adjusted; other years = GAAP).</t>
  </si>
  <si>
    <t xml:space="preserve">Net sales growth y/y %</t>
  </si>
  <si>
    <t xml:space="preserve">Organic sales growth % (company-published)</t>
  </si>
  <si>
    <t xml:space="preserve">Adjusted operating income</t>
  </si>
  <si>
    <t xml:space="preserve">Adj. OI margin %</t>
  </si>
  <si>
    <t xml:space="preserve">GAAP Op. margin %</t>
  </si>
  <si>
    <t xml:space="preserve">FCF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</si>
</sst>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0.00;\(0.00\);\-"/>
    <numFmt numFmtId="169" formatCode="#,##0.0;\(#,##0.0\);\-"/>
    <numFmt numFmtId="170" formatCode="0.0\x;\(0.0&quot;x)&quot;;\-"/>
    <numFmt numFmtId="171" formatCode="#,##0.00;\(#,##0.00\);\-"/>
    <numFmt numFmtId="172" formatCode="dd\-mmm\-yy"/>
    <numFmt numFmtId="173" formatCode="0%;\(0%\);\-"/>
    <numFmt numFmtId="174" formatCode="0.0\x"/>
    <numFmt numFmtId="175" formatCode="0%;\(0%\)"/>
    <numFmt numFmtId="176" formatCode="0.00%"/>
    <numFmt numFmtId="177" formatCode="0.00"/>
    <numFmt numFmtId="178" formatCode="0.0%"/>
    <numFmt numFmtId="179" formatCode="0.000"/>
    <numFmt numFmtId="180" formatCode="#,##0.00"/>
    <numFmt numFmtId="181" formatCode="0.0%;\(0.0%\)"/>
    <numFmt numFmtId="182" formatCode="0"/>
    <numFmt numFmtId="183" formatCode="#,##0"/>
    <numFmt numFmtId="184" formatCode="0.00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sz val="12"/>
      <color rgb="FFC00000"/>
      <name val="Calibri"/>
      <family val="0"/>
      <charset val="1"/>
    </font>
    <font>
      <sz val="11"/>
      <color rgb="FFC00000"/>
      <name val="Calibri"/>
      <family val="0"/>
      <charset val="1"/>
    </font>
    <font>
      <sz val="12"/>
      <color rgb="FF40404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4A7EBB"/>
      </patternFill>
    </fill>
    <fill>
      <patternFill patternType="solid">
        <fgColor rgb="FFF5F5F5"/>
        <bgColor rgb="FFF0F2F0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AD2C5"/>
      <rgbColor rgb="FF878787"/>
      <rgbColor rgb="FF9999FF"/>
      <rgbColor rgb="FFBE4B48"/>
      <rgbColor rgb="FFFFF8DC"/>
      <rgbColor rgb="FFF0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DE7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A6A6A6"/>
      <rgbColor rgb="FF1F3864"/>
      <rgbColor rgb="FF52796F"/>
      <rgbColor rgb="FF003300"/>
      <rgbColor rgb="FF404040"/>
      <rgbColor rgb="FF993300"/>
      <rgbColor rgb="FFC0504D"/>
      <rgbColor rgb="FF59595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Drivers: Net Sales Growth vs. Organic Growth,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sales growth y/y %"</c:f>
              <c:strCache>
                <c:ptCount val="1"/>
                <c:pt idx="0">
                  <c:v>Net sales growth y/y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Charts!$C$8:$V$8</c:f>
              <c:numCache>
                <c:formatCode>0.0%</c:formatCode>
                <c:ptCount val="20"/>
                <c:pt idx="0">
                  <c:v>0</c:v>
                </c:pt>
                <c:pt idx="1">
                  <c:v>0.241756261918411</c:v>
                </c:pt>
                <c:pt idx="2">
                  <c:v>0.149495893535931</c:v>
                </c:pt>
                <c:pt idx="3">
                  <c:v>-0.0111740085457943</c:v>
                </c:pt>
                <c:pt idx="4">
                  <c:v>0.04610955467511</c:v>
                </c:pt>
                <c:pt idx="5">
                  <c:v>0.085042051962513</c:v>
                </c:pt>
                <c:pt idx="6">
                  <c:v>0.0212187154659149</c:v>
                </c:pt>
                <c:pt idx="7">
                  <c:v>0.196907016965118</c:v>
                </c:pt>
                <c:pt idx="8">
                  <c:v>-0.106598730031532</c:v>
                </c:pt>
                <c:pt idx="9">
                  <c:v>-0.0166923302569718</c:v>
                </c:pt>
                <c:pt idx="10">
                  <c:v>-0.0438648708812645</c:v>
                </c:pt>
                <c:pt idx="11">
                  <c:v>0.0768612154688797</c:v>
                </c:pt>
                <c:pt idx="12">
                  <c:v>0.0620023724959558</c:v>
                </c:pt>
                <c:pt idx="13">
                  <c:v>0.0315635190632857</c:v>
                </c:pt>
                <c:pt idx="14">
                  <c:v>-0.0388370235707071</c:v>
                </c:pt>
                <c:pt idx="15">
                  <c:v>0.0479209111559398</c:v>
                </c:pt>
                <c:pt idx="16">
                  <c:v>0.0203892285940834</c:v>
                </c:pt>
                <c:pt idx="17">
                  <c:v>0.112766985070541</c:v>
                </c:pt>
                <c:pt idx="18">
                  <c:v>0.0969349185502217</c:v>
                </c:pt>
                <c:pt idx="19">
                  <c:v>0.120845934033472</c:v>
                </c:pt>
              </c:numCache>
            </c:numRef>
          </c:val>
        </c:ser>
        <c:ser>
          <c:idx val="1"/>
          <c:order val="1"/>
          <c:tx>
            <c:strRef>
              <c:f>"Organic sales growth % (company-published)"</c:f>
              <c:strCache>
                <c:ptCount val="1"/>
                <c:pt idx="0">
                  <c:v>Organic sales growth % (company-published)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Charts!$C$9:$V$9</c:f>
              <c:numCache>
                <c:formatCode>0.0%</c:formatCode>
                <c:ptCount val="20"/>
                <c:pt idx="0">
                  <c:v>0.11</c:v>
                </c:pt>
                <c:pt idx="1">
                  <c:v>0.13</c:v>
                </c:pt>
                <c:pt idx="2">
                  <c:v>0.06</c:v>
                </c:pt>
                <c:pt idx="3">
                  <c:v>-0.02</c:v>
                </c:pt>
                <c:pt idx="4">
                  <c:v>0.03</c:v>
                </c:pt>
                <c:pt idx="5">
                  <c:v>0.03</c:v>
                </c:pt>
                <c:pt idx="6">
                  <c:v>0</c:v>
                </c:pt>
                <c:pt idx="7">
                  <c:v>0.01</c:v>
                </c:pt>
                <c:pt idx="8">
                  <c:v>0.02</c:v>
                </c:pt>
                <c:pt idx="9">
                  <c:v>0</c:v>
                </c:pt>
                <c:pt idx="10">
                  <c:v>-0.04</c:v>
                </c:pt>
                <c:pt idx="11">
                  <c:v>0.05</c:v>
                </c:pt>
                <c:pt idx="12">
                  <c:v>0.03</c:v>
                </c:pt>
                <c:pt idx="13">
                  <c:v>0.02</c:v>
                </c:pt>
                <c:pt idx="14">
                  <c:v>-0.08</c:v>
                </c:pt>
                <c:pt idx="15">
                  <c:v>-0.01</c:v>
                </c:pt>
                <c:pt idx="16">
                  <c:v>0.03</c:v>
                </c:pt>
                <c:pt idx="17">
                  <c:v>0.1</c:v>
                </c:pt>
                <c:pt idx="18">
                  <c:v>0.09</c:v>
                </c:pt>
                <c:pt idx="19">
                  <c:v>0.09</c:v>
                </c:pt>
              </c:numCache>
            </c:numRef>
          </c:val>
        </c:ser>
        <c:gapWidth val="150"/>
        <c:overlap val="0"/>
        <c:axId val="97427080"/>
        <c:axId val="17742706"/>
      </c:barChart>
      <c:catAx>
        <c:axId val="9742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42706"/>
        <c:crosses val="autoZero"/>
        <c:auto val="1"/>
        <c:lblAlgn val="ctr"/>
        <c:lblOffset val="100"/>
        <c:noMultiLvlLbl val="0"/>
      </c:catAx>
      <c:valAx>
        <c:axId val="17742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27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Operating Income &amp; GAAP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"Adjusted operating income"</c:f>
              <c:strCache>
                <c:ptCount val="1"/>
                <c:pt idx="0">
                  <c:v>Adjusted operating 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140.628</c:v>
                </c:pt>
                <c:pt idx="1">
                  <c:v>179.184</c:v>
                </c:pt>
                <c:pt idx="2">
                  <c:v>199.182</c:v>
                </c:pt>
                <c:pt idx="3">
                  <c:v>169.319</c:v>
                </c:pt>
                <c:pt idx="4">
                  <c:v>179.823</c:v>
                </c:pt>
                <c:pt idx="5">
                  <c:v>204.956</c:v>
                </c:pt>
                <c:pt idx="6">
                  <c:v>201.448</c:v>
                </c:pt>
                <c:pt idx="7">
                  <c:v>233.619</c:v>
                </c:pt>
                <c:pt idx="8">
                  <c:v>282.373</c:v>
                </c:pt>
                <c:pt idx="9">
                  <c:v>291</c:v>
                </c:pt>
                <c:pt idx="10">
                  <c:v>308.098</c:v>
                </c:pt>
                <c:pt idx="11">
                  <c:v>339.743</c:v>
                </c:pt>
                <c:pt idx="12">
                  <c:v>382</c:v>
                </c:pt>
                <c:pt idx="13">
                  <c:v>411</c:v>
                </c:pt>
                <c:pt idx="14">
                  <c:v>391</c:v>
                </c:pt>
                <c:pt idx="15">
                  <c:v>420.423</c:v>
                </c:pt>
                <c:pt idx="16">
                  <c:v>443.078001</c:v>
                </c:pt>
                <c:pt idx="17">
                  <c:v>493.8</c:v>
                </c:pt>
                <c:pt idx="18">
                  <c:v>545.866</c:v>
                </c:pt>
                <c:pt idx="19">
                  <c:v>650.994</c:v>
                </c:pt>
              </c:numCache>
            </c:numRef>
          </c:val>
        </c:ser>
        <c:ser>
          <c:idx val="1"/>
          <c:order val="1"/>
          <c:tx>
            <c:strRef>
              <c:f>"Operating income (GAAP)"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140.628</c:v>
                </c:pt>
                <c:pt idx="1">
                  <c:v>179.184</c:v>
                </c:pt>
                <c:pt idx="2">
                  <c:v>199.182</c:v>
                </c:pt>
                <c:pt idx="3">
                  <c:v>169.319</c:v>
                </c:pt>
                <c:pt idx="4">
                  <c:v>179.823</c:v>
                </c:pt>
                <c:pt idx="5">
                  <c:v>204.956</c:v>
                </c:pt>
                <c:pt idx="6">
                  <c:v>161.446</c:v>
                </c:pt>
                <c:pt idx="7">
                  <c:v>233.619</c:v>
                </c:pt>
                <c:pt idx="8">
                  <c:v>282.373</c:v>
                </c:pt>
                <c:pt idx="9">
                  <c:v>310.617</c:v>
                </c:pt>
                <c:pt idx="10">
                  <c:v>308.098</c:v>
                </c:pt>
                <c:pt idx="11">
                  <c:v>339.743</c:v>
                </c:pt>
                <c:pt idx="12">
                  <c:v>373.626</c:v>
                </c:pt>
                <c:pt idx="13">
                  <c:v>403.953</c:v>
                </c:pt>
                <c:pt idx="14">
                  <c:v>288.848</c:v>
                </c:pt>
                <c:pt idx="15">
                  <c:v>382.683</c:v>
                </c:pt>
                <c:pt idx="16">
                  <c:v>423.443</c:v>
                </c:pt>
                <c:pt idx="17">
                  <c:v>484.602</c:v>
                </c:pt>
                <c:pt idx="18">
                  <c:v>528.597</c:v>
                </c:pt>
                <c:pt idx="19">
                  <c:v>633.521</c:v>
                </c:pt>
              </c:numCache>
            </c:numRef>
          </c:val>
        </c:ser>
        <c:gapWidth val="150"/>
        <c:overlap val="0"/>
        <c:axId val="2262514"/>
        <c:axId val="71889463"/>
      </c:barChart>
      <c:catAx>
        <c:axId val="22625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9463"/>
        <c:crosses val="autoZero"/>
        <c:auto val="1"/>
        <c:lblAlgn val="ctr"/>
        <c:lblOffset val="100"/>
        <c:noMultiLvlLbl val="0"/>
      </c:catAx>
      <c:valAx>
        <c:axId val="71889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25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OI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"ROIC"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Charts!$C$18:$V$18</c:f>
              <c:numCache>
                <c:formatCode>0.0%</c:formatCode>
                <c:ptCount val="20"/>
                <c:pt idx="0">
                  <c:v>0.0960941003652033</c:v>
                </c:pt>
                <c:pt idx="1">
                  <c:v>0.0891465514018956</c:v>
                </c:pt>
                <c:pt idx="2">
                  <c:v>0.0974128151444864</c:v>
                </c:pt>
                <c:pt idx="3">
                  <c:v>0.0777893436361802</c:v>
                </c:pt>
                <c:pt idx="4">
                  <c:v>0.0813468826263998</c:v>
                </c:pt>
                <c:pt idx="5">
                  <c:v>0.0891382151998044</c:v>
                </c:pt>
                <c:pt idx="6">
                  <c:v>0.0660068697967977</c:v>
                </c:pt>
                <c:pt idx="7">
                  <c:v>0.0696693561683344</c:v>
                </c:pt>
                <c:pt idx="8">
                  <c:v>0.0980153201426071</c:v>
                </c:pt>
                <c:pt idx="9">
                  <c:v>0.105821306887215</c:v>
                </c:pt>
                <c:pt idx="10">
                  <c:v>0.127813846413283</c:v>
                </c:pt>
                <c:pt idx="11">
                  <c:v>0.130526045843053</c:v>
                </c:pt>
                <c:pt idx="12">
                  <c:v>0.146578948137672</c:v>
                </c:pt>
                <c:pt idx="13">
                  <c:v>0.148724411212305</c:v>
                </c:pt>
                <c:pt idx="14">
                  <c:v>0.113063829261148</c:v>
                </c:pt>
                <c:pt idx="15">
                  <c:v>0.11708050486189</c:v>
                </c:pt>
                <c:pt idx="16">
                  <c:v>0.11209053181787</c:v>
                </c:pt>
                <c:pt idx="17">
                  <c:v>0.127202704068072</c:v>
                </c:pt>
                <c:pt idx="18">
                  <c:v>0.135994949712122</c:v>
                </c:pt>
                <c:pt idx="19">
                  <c:v>0.162951314101426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"RONTA"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Charts!$C$19:$V$19</c:f>
              <c:numCache>
                <c:formatCode>0.0%</c:formatCode>
                <c:ptCount val="20"/>
                <c:pt idx="0">
                  <c:v>0.130751414536775</c:v>
                </c:pt>
                <c:pt idx="1">
                  <c:v>0.156133508549066</c:v>
                </c:pt>
                <c:pt idx="2">
                  <c:v>0.171782679715681</c:v>
                </c:pt>
                <c:pt idx="3">
                  <c:v>0.13741087481055</c:v>
                </c:pt>
                <c:pt idx="4">
                  <c:v>0.137154379134469</c:v>
                </c:pt>
                <c:pt idx="5">
                  <c:v>0.127982318265582</c:v>
                </c:pt>
                <c:pt idx="6">
                  <c:v>0.117315176130102</c:v>
                </c:pt>
                <c:pt idx="7">
                  <c:v>0.121233436075527</c:v>
                </c:pt>
                <c:pt idx="8">
                  <c:v>0.131229374881347</c:v>
                </c:pt>
                <c:pt idx="9">
                  <c:v>0.166347342262263</c:v>
                </c:pt>
                <c:pt idx="10">
                  <c:v>0.168710110119149</c:v>
                </c:pt>
                <c:pt idx="11">
                  <c:v>0.199813938577507</c:v>
                </c:pt>
                <c:pt idx="12">
                  <c:v>0.28142112864519</c:v>
                </c:pt>
                <c:pt idx="13">
                  <c:v>0.232246980174804</c:v>
                </c:pt>
                <c:pt idx="14">
                  <c:v>0.240212029867631</c:v>
                </c:pt>
                <c:pt idx="15">
                  <c:v>0.231673645602429</c:v>
                </c:pt>
                <c:pt idx="16">
                  <c:v>0.221168789328088</c:v>
                </c:pt>
                <c:pt idx="17">
                  <c:v>0.222637001250031</c:v>
                </c:pt>
                <c:pt idx="18">
                  <c:v>0.248035704450798</c:v>
                </c:pt>
                <c:pt idx="19">
                  <c:v>0.283901710298519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"Adj. OI margin %"</c:f>
              <c:strCache>
                <c:ptCount val="1"/>
                <c:pt idx="0">
                  <c:v>Adj. OI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Charts!$C$20:$V$20</c:f>
              <c:numCache>
                <c:formatCode>0.0%</c:formatCode>
                <c:ptCount val="20"/>
                <c:pt idx="0">
                  <c:v>0.109680966809785</c:v>
                </c:pt>
                <c:pt idx="1">
                  <c:v>0.112543997829315</c:v>
                </c:pt>
                <c:pt idx="2">
                  <c:v>0.108834296829751</c:v>
                </c:pt>
                <c:pt idx="3">
                  <c:v>0.0935624333449375</c:v>
                </c:pt>
                <c:pt idx="4">
                  <c:v>0.0949869370049875</c:v>
                </c:pt>
                <c:pt idx="5">
                  <c:v>0.0997775213837489</c:v>
                </c:pt>
                <c:pt idx="6">
                  <c:v>0.096032065351077</c:v>
                </c:pt>
                <c:pt idx="7">
                  <c:v>0.0930467175222272</c:v>
                </c:pt>
                <c:pt idx="8">
                  <c:v>0.125883699801081</c:v>
                </c:pt>
                <c:pt idx="9">
                  <c:v>0.131931923127666</c:v>
                </c:pt>
                <c:pt idx="10">
                  <c:v>0.146092024822054</c:v>
                </c:pt>
                <c:pt idx="11">
                  <c:v>0.149598903755395</c:v>
                </c:pt>
                <c:pt idx="12">
                  <c:v>0.158385627540856</c:v>
                </c:pt>
                <c:pt idx="13">
                  <c:v>0.16519551552456</c:v>
                </c:pt>
                <c:pt idx="14">
                  <c:v>0.163506926671952</c:v>
                </c:pt>
                <c:pt idx="15">
                  <c:v>0.16777117965339</c:v>
                </c:pt>
                <c:pt idx="16">
                  <c:v>0.173278712957441</c:v>
                </c:pt>
                <c:pt idx="17">
                  <c:v>0.17354490957776</c:v>
                </c:pt>
                <c:pt idx="18">
                  <c:v>0.174890402343466</c:v>
                </c:pt>
                <c:pt idx="19">
                  <c:v>0.186084841749248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"FCF margin %"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Charts!$C$7:$V$7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</c:multiLvlStrCache>
            </c:multiLvlStrRef>
          </c:cat>
          <c:val>
            <c:numRef>
              <c:f>Charts!$C$21:$V$21</c:f>
              <c:numCache>
                <c:formatCode>0.0%</c:formatCode>
                <c:ptCount val="20"/>
                <c:pt idx="0">
                  <c:v>0.0808552788079445</c:v>
                </c:pt>
                <c:pt idx="1">
                  <c:v>0.0532012581934573</c:v>
                </c:pt>
                <c:pt idx="2">
                  <c:v>0.041616488356082</c:v>
                </c:pt>
                <c:pt idx="3">
                  <c:v>0.0668269151070073</c:v>
                </c:pt>
                <c:pt idx="4">
                  <c:v>0.0627161099003029</c:v>
                </c:pt>
                <c:pt idx="5">
                  <c:v>0.0572169239532065</c:v>
                </c:pt>
                <c:pt idx="6">
                  <c:v>0.0331408064771399</c:v>
                </c:pt>
                <c:pt idx="7">
                  <c:v>0.0659498616162127</c:v>
                </c:pt>
                <c:pt idx="8">
                  <c:v>0.117983118202009</c:v>
                </c:pt>
                <c:pt idx="9">
                  <c:v>0.057563575545534</c:v>
                </c:pt>
                <c:pt idx="10">
                  <c:v>0.178489006989797</c:v>
                </c:pt>
                <c:pt idx="11">
                  <c:v>0.147953832320722</c:v>
                </c:pt>
                <c:pt idx="12">
                  <c:v>0.117278337863079</c:v>
                </c:pt>
                <c:pt idx="13">
                  <c:v>0.141341443857038</c:v>
                </c:pt>
                <c:pt idx="14">
                  <c:v>0.0893563263380805</c:v>
                </c:pt>
                <c:pt idx="15">
                  <c:v>0.13829590679073</c:v>
                </c:pt>
                <c:pt idx="16">
                  <c:v>0.100334959572159</c:v>
                </c:pt>
                <c:pt idx="17">
                  <c:v>0.14178211433088</c:v>
                </c:pt>
                <c:pt idx="18">
                  <c:v>0.154845156765579</c:v>
                </c:pt>
                <c:pt idx="19">
                  <c:v>0.1582764783162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426760"/>
        <c:axId val="13442"/>
      </c:lineChart>
      <c:catAx>
        <c:axId val="674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42"/>
        <c:crosses val="autoZero"/>
        <c:auto val="1"/>
        <c:lblAlgn val="ctr"/>
        <c:lblOffset val="100"/>
        <c:noMultiLvlLbl val="0"/>
      </c:catAx>
      <c:valAx>
        <c:axId val="13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26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131040</xdr:rowOff>
    </xdr:from>
    <xdr:to>
      <xdr:col>14</xdr:col>
      <xdr:colOff>227160</xdr:colOff>
      <xdr:row>38</xdr:row>
      <xdr:rowOff>132120</xdr:rowOff>
    </xdr:to>
    <xdr:graphicFrame>
      <xdr:nvGraphicFramePr>
        <xdr:cNvPr id="0" name="Chart 1"/>
        <xdr:cNvGraphicFramePr/>
      </xdr:nvGraphicFramePr>
      <xdr:xfrm>
        <a:off x="141120" y="4191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130680</xdr:rowOff>
    </xdr:from>
    <xdr:to>
      <xdr:col>14</xdr:col>
      <xdr:colOff>227160</xdr:colOff>
      <xdr:row>59</xdr:row>
      <xdr:rowOff>131760</xdr:rowOff>
    </xdr:to>
    <xdr:graphicFrame>
      <xdr:nvGraphicFramePr>
        <xdr:cNvPr id="1" name="Chart 2"/>
        <xdr:cNvGraphicFramePr/>
      </xdr:nvGraphicFramePr>
      <xdr:xfrm>
        <a:off x="141120" y="81914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131040</xdr:rowOff>
    </xdr:from>
    <xdr:to>
      <xdr:col>14</xdr:col>
      <xdr:colOff>227160</xdr:colOff>
      <xdr:row>80</xdr:row>
      <xdr:rowOff>132120</xdr:rowOff>
    </xdr:to>
    <xdr:graphicFrame>
      <xdr:nvGraphicFramePr>
        <xdr:cNvPr id="2" name="Chart 3"/>
        <xdr:cNvGraphicFramePr/>
      </xdr:nvGraphicFramePr>
      <xdr:xfrm>
        <a:off x="141120" y="12192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Q439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6" min="75" style="0" width="9.57"/>
    <col collapsed="false" customWidth="true" hidden="true" outlineLevel="1" max="78" min="77" style="0" width="11.43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6" min="86" style="0" width="14.14"/>
    <col collapsed="false" customWidth="true" hidden="false" outlineLevel="0" max="87" min="87" style="0" width="12.43"/>
    <col collapsed="false" customWidth="true" hidden="false" outlineLevel="0" max="88" min="88" style="0" width="13.43"/>
    <col collapsed="false" customWidth="true" hidden="false" outlineLevel="0" max="89" min="89" style="0" width="13"/>
    <col collapsed="false" customWidth="true" hidden="false" outlineLevel="0" max="90" min="90" style="0" width="2"/>
    <col collapsed="false" customWidth="true" hidden="false" outlineLevel="0" max="91" min="91" style="0" width="52"/>
    <col collapsed="false" customWidth="true" hidden="false" outlineLevel="0" max="94" min="92" style="0" width="11.57"/>
    <col collapsed="false" customWidth="true" hidden="false" outlineLevel="0" max="95" min="95" style="0" width="60"/>
  </cols>
  <sheetData>
    <row r="1" customFormat="false" ht="15" hidden="false" customHeight="false" outlineLevel="0" collapsed="false">
      <c r="CF1" s="1" t="s">
        <v>0</v>
      </c>
    </row>
    <row r="2" customFormat="false" ht="19.7" hidden="false" customHeight="false" outlineLevel="0" collapsed="false">
      <c r="B2" s="2" t="s">
        <v>1</v>
      </c>
      <c r="CF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4" t="s">
        <v>4</v>
      </c>
    </row>
    <row r="5" customFormat="false" ht="15" hidden="false" customHeight="false" outlineLevel="0" collapsed="false">
      <c r="CH5" s="5" t="s">
        <v>5</v>
      </c>
      <c r="CI5" s="5" t="s">
        <v>6</v>
      </c>
      <c r="CJ5" s="5" t="s">
        <v>6</v>
      </c>
      <c r="CK5" s="5" t="s">
        <v>6</v>
      </c>
    </row>
    <row r="6" customFormat="false" ht="15" hidden="false" customHeight="false" outlineLevel="0" collapsed="false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  <c r="CB6" s="7" t="s">
        <v>85</v>
      </c>
      <c r="CC6" s="7" t="s">
        <v>86</v>
      </c>
      <c r="CD6" s="7" t="s">
        <v>87</v>
      </c>
      <c r="CE6" s="7" t="s">
        <v>88</v>
      </c>
      <c r="CF6" s="8" t="s">
        <v>89</v>
      </c>
      <c r="CH6" s="5" t="s">
        <v>90</v>
      </c>
      <c r="CI6" s="5" t="s">
        <v>90</v>
      </c>
      <c r="CJ6" s="5" t="s">
        <v>91</v>
      </c>
      <c r="CK6" s="5" t="s">
        <v>92</v>
      </c>
    </row>
    <row r="7" customFormat="false" ht="15" hidden="false" customHeight="false" outlineLevel="0" collapsed="false">
      <c r="CH7" s="5" t="s">
        <v>93</v>
      </c>
      <c r="CI7" s="5" t="s">
        <v>94</v>
      </c>
      <c r="CJ7" s="5" t="s">
        <v>95</v>
      </c>
      <c r="CK7" s="5" t="s">
        <v>96</v>
      </c>
    </row>
    <row r="8" customFormat="false" ht="15" hidden="false" customHeight="false" outlineLevel="0" collapsed="false">
      <c r="B8" s="8" t="s">
        <v>97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8" t="s">
        <v>98</v>
      </c>
    </row>
    <row r="9" customFormat="false" ht="15" hidden="false" customHeight="false" outlineLevel="0" collapsed="false">
      <c r="CM9" s="10" t="s">
        <v>99</v>
      </c>
      <c r="CN9" s="11" t="s">
        <v>100</v>
      </c>
      <c r="CO9" s="11" t="s">
        <v>2</v>
      </c>
      <c r="CP9" s="11" t="s">
        <v>101</v>
      </c>
      <c r="CQ9" s="12" t="s">
        <v>102</v>
      </c>
    </row>
    <row r="10" customFormat="false" ht="15" hidden="false" customHeight="false" outlineLevel="0" collapsed="false">
      <c r="B10" s="13" t="s">
        <v>103</v>
      </c>
      <c r="CF10" s="14" t="s">
        <v>104</v>
      </c>
    </row>
    <row r="11" customFormat="false" ht="15" hidden="false" customHeight="false" outlineLevel="0" collapsed="false">
      <c r="B11" s="15" t="s">
        <v>105</v>
      </c>
      <c r="AS11" s="16" t="n">
        <v>226.728</v>
      </c>
      <c r="AT11" s="16" t="n">
        <v>177.411</v>
      </c>
      <c r="AU11" s="16" t="n">
        <v>188.768</v>
      </c>
      <c r="AV11" s="16" t="n">
        <v>212.766</v>
      </c>
      <c r="AW11" s="16" t="n">
        <v>805.673</v>
      </c>
      <c r="AX11" s="16" t="n">
        <v>180.331</v>
      </c>
      <c r="AY11" s="16" t="n">
        <v>199.713</v>
      </c>
      <c r="AZ11" s="16" t="n">
        <v>196.296</v>
      </c>
      <c r="BA11" s="16" t="n">
        <v>209.994</v>
      </c>
      <c r="BB11" s="16" t="n">
        <v>786.334</v>
      </c>
      <c r="BC11" s="16" t="n">
        <v>191.112</v>
      </c>
      <c r="BD11" s="16" t="n">
        <v>208.572</v>
      </c>
      <c r="BE11" s="16" t="n">
        <v>213.093</v>
      </c>
      <c r="BF11" s="16" t="n">
        <v>223.258</v>
      </c>
      <c r="BG11" s="16" t="n">
        <v>836.035</v>
      </c>
      <c r="BH11" s="16" t="n">
        <v>202.447</v>
      </c>
      <c r="BI11" s="16" t="n">
        <v>226.26</v>
      </c>
      <c r="BJ11" s="16" t="n">
        <v>220.297</v>
      </c>
      <c r="BK11" s="16" t="n">
        <v>238.224</v>
      </c>
      <c r="BL11" s="16" t="n">
        <v>887.228</v>
      </c>
      <c r="BM11" s="16" t="n">
        <v>219.325</v>
      </c>
      <c r="BN11" s="16" t="n">
        <v>233.232</v>
      </c>
      <c r="BO11" s="16" t="n">
        <v>228.659</v>
      </c>
      <c r="BP11" s="16" t="n">
        <v>250.917</v>
      </c>
      <c r="BQ11" s="16" t="n">
        <v>932.133</v>
      </c>
      <c r="BR11" s="16" t="n">
        <v>227.246</v>
      </c>
      <c r="BS11" s="16" t="n">
        <v>239.138</v>
      </c>
      <c r="BT11" s="16" t="n">
        <v>247.985</v>
      </c>
      <c r="BU11" s="16" t="n">
        <v>262.391</v>
      </c>
      <c r="BV11" s="16" t="n">
        <v>976.76</v>
      </c>
      <c r="BW11" s="16" t="n">
        <v>254.919</v>
      </c>
      <c r="BX11" s="16" t="n">
        <v>267.765</v>
      </c>
      <c r="BY11" s="17" t="n">
        <f aca="false">BT11*(1+BY13)</f>
        <v>263.018339929777</v>
      </c>
      <c r="BZ11" s="17" t="n">
        <f aca="false">BU11*(1+BZ13)</f>
        <v>278.297660070223</v>
      </c>
      <c r="CA11" s="17" t="n">
        <f aca="false">SUM(BW11,BX11,BY11,BZ11)</f>
        <v>1064</v>
      </c>
      <c r="CB11" s="17" t="n">
        <f aca="false">CA11*(1+CB13)</f>
        <v>1138.48</v>
      </c>
      <c r="CC11" s="17" t="n">
        <f aca="false">CB11*(1+CC13)</f>
        <v>1212.4812</v>
      </c>
      <c r="CD11" s="17" t="n">
        <f aca="false">CC11*(1+CD13)</f>
        <v>1285.230072</v>
      </c>
      <c r="CE11" s="17" t="n">
        <f aca="false">CD11*(1+CE13)</f>
        <v>1362.34387632</v>
      </c>
      <c r="CF11" s="18" t="s">
        <v>106</v>
      </c>
      <c r="CH11" s="19" t="n">
        <f aca="false">IFERROR((CE11/BV11)^(1/5)-1,"n/m")</f>
        <v>0.06880819620256</v>
      </c>
      <c r="CI11" s="19" t="n">
        <f aca="false">IFERROR((BV11/AW11)^(1/5)-1,"n/m")</f>
        <v>0.0392638269338741</v>
      </c>
      <c r="CJ11" s="19" t="str">
        <f aca="false">IFERROR((BV11/X11)^(1/10)-1,"n/m")</f>
        <v>n/m</v>
      </c>
      <c r="CK11" s="19" t="str">
        <f aca="false">IFERROR((BV11/C11)^(1/19)-1,"n/m")</f>
        <v>n/m</v>
      </c>
      <c r="CM11" s="10" t="s">
        <v>107</v>
      </c>
      <c r="CN11" s="11" t="s">
        <v>108</v>
      </c>
      <c r="CO11" s="11" t="s">
        <v>109</v>
      </c>
      <c r="CP11" s="11" t="s">
        <v>110</v>
      </c>
      <c r="CQ11" s="12" t="s">
        <v>111</v>
      </c>
    </row>
    <row r="12" customFormat="false" ht="15" hidden="false" customHeight="false" outlineLevel="0" collapsed="false">
      <c r="B12" s="20" t="s">
        <v>112</v>
      </c>
      <c r="D12" s="21" t="str">
        <f aca="false">IF(AND(ISNUMBER(D11),ISNUMBER(C11)),IFERROR(D11/C11-1,""),"")</f>
        <v/>
      </c>
      <c r="E12" s="21" t="str">
        <f aca="false">IF(AND(ISNUMBER(E11),ISNUMBER(D11)),IFERROR(E11/D11-1,""),"")</f>
        <v/>
      </c>
      <c r="F12" s="21" t="str">
        <f aca="false">IF(AND(ISNUMBER(F11),ISNUMBER(E11)),IFERROR(F11/E11-1,""),"")</f>
        <v/>
      </c>
      <c r="G12" s="21" t="str">
        <f aca="false">IF(AND(ISNUMBER(G11),ISNUMBER(F11)),IFERROR(G11/F11-1,""),"")</f>
        <v/>
      </c>
      <c r="H12" s="21" t="str">
        <f aca="false">IF(AND(ISNUMBER(H11),ISNUMBER(G11)),IFERROR(H11/G11-1,""),"")</f>
        <v/>
      </c>
      <c r="I12" s="21" t="str">
        <f aca="false">IF(AND(ISNUMBER(I11),ISNUMBER(H11)),IFERROR(I11/H11-1,""),"")</f>
        <v/>
      </c>
      <c r="N12" s="21" t="str">
        <f aca="false">IF(AND(ISNUMBER(N11),ISNUMBER(I11)),IFERROR(N11/I11-1,""),"")</f>
        <v/>
      </c>
      <c r="O12" s="21" t="str">
        <f aca="false">IF(AND(ISNUMBER(O11),ISNUMBER(J11)),IFERROR(O11/J11-1,""),"")</f>
        <v/>
      </c>
      <c r="P12" s="21" t="str">
        <f aca="false">IF(AND(ISNUMBER(P11),ISNUMBER(K11)),IFERROR(P11/K11-1,""),"")</f>
        <v/>
      </c>
      <c r="Q12" s="21" t="str">
        <f aca="false">IF(AND(ISNUMBER(Q11),ISNUMBER(L11)),IFERROR(Q11/L11-1,""),"")</f>
        <v/>
      </c>
      <c r="R12" s="21" t="str">
        <f aca="false">IF(AND(ISNUMBER(R11),ISNUMBER(M11)),IFERROR(R11/M11-1,""),"")</f>
        <v/>
      </c>
      <c r="S12" s="21" t="str">
        <f aca="false">IF(AND(ISNUMBER(S11),ISNUMBER(N11)),IFERROR(S11/N11-1,""),"")</f>
        <v/>
      </c>
      <c r="T12" s="21" t="str">
        <f aca="false">IF(AND(ISNUMBER(T11),ISNUMBER(O11)),IFERROR(T11/O11-1,""),"")</f>
        <v/>
      </c>
      <c r="U12" s="21" t="str">
        <f aca="false">IF(AND(ISNUMBER(U11),ISNUMBER(P11)),IFERROR(U11/P11-1,""),"")</f>
        <v/>
      </c>
      <c r="V12" s="21" t="str">
        <f aca="false">IF(AND(ISNUMBER(V11),ISNUMBER(Q11)),IFERROR(V11/Q11-1,""),"")</f>
        <v/>
      </c>
      <c r="W12" s="21" t="str">
        <f aca="false">IF(AND(ISNUMBER(W11),ISNUMBER(R11)),IFERROR(W11/R11-1,""),"")</f>
        <v/>
      </c>
      <c r="X12" s="21" t="str">
        <f aca="false">IF(AND(ISNUMBER(X11),ISNUMBER(S11)),IFERROR(X11/S11-1,""),"")</f>
        <v/>
      </c>
      <c r="Y12" s="21" t="str">
        <f aca="false">IF(AND(ISNUMBER(Y11),ISNUMBER(T11)),IFERROR(Y11/T11-1,""),"")</f>
        <v/>
      </c>
      <c r="Z12" s="21" t="str">
        <f aca="false">IF(AND(ISNUMBER(Z11),ISNUMBER(U11)),IFERROR(Z11/U11-1,""),"")</f>
        <v/>
      </c>
      <c r="AA12" s="21" t="str">
        <f aca="false">IF(AND(ISNUMBER(AA11),ISNUMBER(V11)),IFERROR(AA11/V11-1,""),"")</f>
        <v/>
      </c>
      <c r="AB12" s="21" t="str">
        <f aca="false">IF(AND(ISNUMBER(AB11),ISNUMBER(W11)),IFERROR(AB11/W11-1,""),"")</f>
        <v/>
      </c>
      <c r="AC12" s="21" t="str">
        <f aca="false">IF(AND(ISNUMBER(AC11),ISNUMBER(X11)),IFERROR(AC11/X11-1,""),"")</f>
        <v/>
      </c>
      <c r="AD12" s="21" t="str">
        <f aca="false">IF(AND(ISNUMBER(AD11),ISNUMBER(Y11)),IFERROR(AD11/Y11-1,""),"")</f>
        <v/>
      </c>
      <c r="AE12" s="21" t="str">
        <f aca="false">IF(AND(ISNUMBER(AE11),ISNUMBER(Z11)),IFERROR(AE11/Z11-1,""),"")</f>
        <v/>
      </c>
      <c r="AF12" s="21" t="str">
        <f aca="false">IF(AND(ISNUMBER(AF11),ISNUMBER(AA11)),IFERROR(AF11/AA11-1,""),"")</f>
        <v/>
      </c>
      <c r="AG12" s="21" t="str">
        <f aca="false">IF(AND(ISNUMBER(AG11),ISNUMBER(AB11)),IFERROR(AG11/AB11-1,""),"")</f>
        <v/>
      </c>
      <c r="AH12" s="21" t="str">
        <f aca="false">IF(AND(ISNUMBER(AH11),ISNUMBER(AC11)),IFERROR(AH11/AC11-1,""),"")</f>
        <v/>
      </c>
      <c r="AI12" s="21" t="str">
        <f aca="false">IF(AND(ISNUMBER(AI11),ISNUMBER(AD11)),IFERROR(AI11/AD11-1,""),"")</f>
        <v/>
      </c>
      <c r="AJ12" s="21" t="str">
        <f aca="false">IF(AND(ISNUMBER(AJ11),ISNUMBER(AE11)),IFERROR(AJ11/AE11-1,""),"")</f>
        <v/>
      </c>
      <c r="AK12" s="21" t="str">
        <f aca="false">IF(AND(ISNUMBER(AK11),ISNUMBER(AF11)),IFERROR(AK11/AF11-1,""),"")</f>
        <v/>
      </c>
      <c r="AL12" s="21" t="str">
        <f aca="false">IF(AND(ISNUMBER(AL11),ISNUMBER(AG11)),IFERROR(AL11/AG11-1,""),"")</f>
        <v/>
      </c>
      <c r="AM12" s="21" t="str">
        <f aca="false">IF(AND(ISNUMBER(AM11),ISNUMBER(AH11)),IFERROR(AM11/AH11-1,""),"")</f>
        <v/>
      </c>
      <c r="AN12" s="21" t="str">
        <f aca="false">IF(AND(ISNUMBER(AN11),ISNUMBER(AI11)),IFERROR(AN11/AI11-1,""),"")</f>
        <v/>
      </c>
      <c r="AO12" s="21" t="str">
        <f aca="false">IF(AND(ISNUMBER(AO11),ISNUMBER(AJ11)),IFERROR(AO11/AJ11-1,""),"")</f>
        <v/>
      </c>
      <c r="AP12" s="21" t="str">
        <f aca="false">IF(AND(ISNUMBER(AP11),ISNUMBER(AK11)),IFERROR(AP11/AK11-1,""),"")</f>
        <v/>
      </c>
      <c r="AQ12" s="21" t="str">
        <f aca="false">IF(AND(ISNUMBER(AQ11),ISNUMBER(AL11)),IFERROR(AQ11/AL11-1,""),"")</f>
        <v/>
      </c>
      <c r="AR12" s="21" t="str">
        <f aca="false">IF(AND(ISNUMBER(AR11),ISNUMBER(AM11)),IFERROR(AR11/AM11-1,""),"")</f>
        <v/>
      </c>
      <c r="AS12" s="21" t="str">
        <f aca="false">IF(AND(ISNUMBER(AS11),ISNUMBER(AN11)),IFERROR(AS11/AN11-1,""),"")</f>
        <v/>
      </c>
      <c r="AT12" s="21" t="str">
        <f aca="false">IF(AND(ISNUMBER(AT11),ISNUMBER(AO11)),IFERROR(AT11/AO11-1,""),"")</f>
        <v/>
      </c>
      <c r="AU12" s="21" t="str">
        <f aca="false">IF(AND(ISNUMBER(AU11),ISNUMBER(AP11)),IFERROR(AU11/AP11-1,""),"")</f>
        <v/>
      </c>
      <c r="AV12" s="21" t="str">
        <f aca="false">IF(AND(ISNUMBER(AV11),ISNUMBER(AQ11)),IFERROR(AV11/AQ11-1,""),"")</f>
        <v/>
      </c>
      <c r="AW12" s="21" t="str">
        <f aca="false">IF(AND(ISNUMBER(AW11),ISNUMBER(AR11)),IFERROR(AW11/AR11-1,""),"")</f>
        <v/>
      </c>
      <c r="AX12" s="21" t="n">
        <f aca="false">IF(AND(ISNUMBER(AX11),ISNUMBER(AS11)),IFERROR(AX11/AS11-1,""),"")</f>
        <v>-0.204637274619809</v>
      </c>
      <c r="AY12" s="21" t="n">
        <f aca="false">IF(AND(ISNUMBER(AY11),ISNUMBER(AT11)),IFERROR(AY11/AT11-1,""),"")</f>
        <v>0.125708101526963</v>
      </c>
      <c r="AZ12" s="21" t="n">
        <f aca="false">IF(AND(ISNUMBER(AZ11),ISNUMBER(AU11)),IFERROR(AZ11/AU11-1,""),"")</f>
        <v>0.0398796406170536</v>
      </c>
      <c r="BA12" s="21" t="n">
        <f aca="false">IF(AND(ISNUMBER(BA11),ISNUMBER(AV11)),IFERROR(BA11/AV11-1,""),"")</f>
        <v>-0.0130283973943205</v>
      </c>
      <c r="BB12" s="21" t="n">
        <f aca="false">IF(AND(ISNUMBER(BB11),ISNUMBER(AW11)),IFERROR(BB11/AW11-1,""),"")</f>
        <v>-0.0240035349329071</v>
      </c>
      <c r="BC12" s="21" t="n">
        <f aca="false">IF(AND(ISNUMBER(BC11),ISNUMBER(AX11)),IFERROR(BC11/AX11-1,""),"")</f>
        <v>0.0597845073780992</v>
      </c>
      <c r="BD12" s="21" t="n">
        <f aca="false">IF(AND(ISNUMBER(BD11),ISNUMBER(AY11)),IFERROR(BD11/AY11-1,""),"")</f>
        <v>0.0443586546694508</v>
      </c>
      <c r="BE12" s="21" t="n">
        <f aca="false">IF(AND(ISNUMBER(BE11),ISNUMBER(AZ11)),IFERROR(BE11/AZ11-1,""),"")</f>
        <v>0.0855697518033989</v>
      </c>
      <c r="BF12" s="21" t="n">
        <f aca="false">IF(AND(ISNUMBER(BF11),ISNUMBER(BA11)),IFERROR(BF11/BA11-1,""),"")</f>
        <v>0.0631637094393174</v>
      </c>
      <c r="BG12" s="21" t="n">
        <f aca="false">IF(AND(ISNUMBER(BG11),ISNUMBER(BB11)),IFERROR(BG11/BB11-1,""),"")</f>
        <v>0.0632059659127038</v>
      </c>
      <c r="BH12" s="21" t="n">
        <f aca="false">IF(AND(ISNUMBER(BH11),ISNUMBER(BC11)),IFERROR(BH11/BC11-1,""),"")</f>
        <v>0.0593107706475784</v>
      </c>
      <c r="BI12" s="21" t="n">
        <f aca="false">IF(AND(ISNUMBER(BI11),ISNUMBER(BD11)),IFERROR(BI11/BD11-1,""),"")</f>
        <v>0.084805247108912</v>
      </c>
      <c r="BJ12" s="21" t="n">
        <f aca="false">IF(AND(ISNUMBER(BJ11),ISNUMBER(BE11)),IFERROR(BJ11/BE11-1,""),"")</f>
        <v>0.0338068355131329</v>
      </c>
      <c r="BK12" s="21" t="n">
        <f aca="false">IF(AND(ISNUMBER(BK11),ISNUMBER(BF11)),IFERROR(BK11/BF11-1,""),"")</f>
        <v>0.0670345519533453</v>
      </c>
      <c r="BL12" s="21" t="n">
        <f aca="false">IF(AND(ISNUMBER(BL11),ISNUMBER(BG11)),IFERROR(BL11/BG11-1,""),"")</f>
        <v>0.0612330823470308</v>
      </c>
      <c r="BM12" s="21" t="n">
        <f aca="false">IF(AND(ISNUMBER(BM11),ISNUMBER(BH11)),IFERROR(BM11/BH11-1,""),"")</f>
        <v>0.0833699684361833</v>
      </c>
      <c r="BN12" s="21" t="n">
        <f aca="false">IF(AND(ISNUMBER(BN11),ISNUMBER(BI11)),IFERROR(BN11/BI11-1,""),"")</f>
        <v>0.0308141076637498</v>
      </c>
      <c r="BO12" s="21" t="n">
        <f aca="false">IF(AND(ISNUMBER(BO11),ISNUMBER(BJ11)),IFERROR(BO11/BJ11-1,""),"")</f>
        <v>0.0379578478145413</v>
      </c>
      <c r="BP12" s="21" t="n">
        <f aca="false">IF(AND(ISNUMBER(BP11),ISNUMBER(BK11)),IFERROR(BP11/BK11-1,""),"")</f>
        <v>0.0532817852105583</v>
      </c>
      <c r="BQ12" s="21" t="n">
        <f aca="false">IF(AND(ISNUMBER(BQ11),ISNUMBER(BL11)),IFERROR(BQ11/BL11-1,""),"")</f>
        <v>0.0506126948202719</v>
      </c>
      <c r="BR12" s="21" t="n">
        <f aca="false">IF(AND(ISNUMBER(BR11),ISNUMBER(BM11)),IFERROR(BR11/BM11-1,""),"")</f>
        <v>0.0361153539268211</v>
      </c>
      <c r="BS12" s="21" t="n">
        <f aca="false">IF(AND(ISNUMBER(BS11),ISNUMBER(BN11)),IFERROR(BS11/BN11-1,""),"")</f>
        <v>0.0253224257391782</v>
      </c>
      <c r="BT12" s="21" t="n">
        <f aca="false">IF(AND(ISNUMBER(BT11),ISNUMBER(BO11)),IFERROR(BT11/BO11-1,""),"")</f>
        <v>0.0845188687084262</v>
      </c>
      <c r="BU12" s="21" t="n">
        <f aca="false">IF(AND(ISNUMBER(BU11),ISNUMBER(BP11)),IFERROR(BU11/BP11-1,""),"")</f>
        <v>0.0457282687103704</v>
      </c>
      <c r="BV12" s="21" t="n">
        <f aca="false">IF(AND(ISNUMBER(BV11),ISNUMBER(BQ11)),IFERROR(BV11/BQ11-1,""),"")</f>
        <v>0.0478762150894776</v>
      </c>
      <c r="BW12" s="21" t="n">
        <f aca="false">IF(AND(ISNUMBER(BW11),ISNUMBER(BR11)),IFERROR(BW11/BR11-1,""),"")</f>
        <v>0.121775520801246</v>
      </c>
      <c r="BX12" s="21" t="n">
        <f aca="false">IF(AND(ISNUMBER(BX11),ISNUMBER(BS11)),IFERROR(BX11/BS11-1,""),"")</f>
        <v>0.119709121929597</v>
      </c>
      <c r="BY12" s="22" t="n">
        <f aca="false">IFERROR(BY11/BT11-1,"")</f>
        <v>0.0606219728200386</v>
      </c>
      <c r="BZ12" s="22" t="n">
        <f aca="false">IFERROR(BZ11/BU11-1,"")</f>
        <v>0.0606219728200386</v>
      </c>
      <c r="CA12" s="22" t="n">
        <f aca="false">IFERROR(CA11/BV11-1,"")</f>
        <v>0.0893156967934805</v>
      </c>
      <c r="CB12" s="22" t="n">
        <f aca="false">IFERROR(CB11/CA11-1,"")</f>
        <v>0.0700000000000001</v>
      </c>
      <c r="CC12" s="22" t="n">
        <f aca="false">IFERROR(CC11/CB11-1,"")</f>
        <v>0.065</v>
      </c>
      <c r="CD12" s="22" t="n">
        <f aca="false">IFERROR(CD11/CC11-1,"")</f>
        <v>0.0600000000000001</v>
      </c>
      <c r="CE12" s="22" t="n">
        <f aca="false">IFERROR(CE11/CD11-1,"")</f>
        <v>0.0600000000000001</v>
      </c>
      <c r="CM12" s="20" t="s">
        <v>113</v>
      </c>
      <c r="CN12" s="23" t="n">
        <v>3813</v>
      </c>
      <c r="CO12" s="23" t="n">
        <v>3790.5</v>
      </c>
      <c r="CP12" s="23" t="n">
        <v>3768</v>
      </c>
      <c r="CQ12" s="12" t="s">
        <v>114</v>
      </c>
    </row>
    <row r="13" customFormat="false" ht="15" hidden="false" customHeight="false" outlineLevel="0" collapsed="false">
      <c r="B13" s="20" t="s">
        <v>115</v>
      </c>
      <c r="BY13" s="22" t="n">
        <f aca="false">($CA$21-$BW$11-$BX$11)/($BT$11+$BU$11)-1+BY89</f>
        <v>0.0606219728200386</v>
      </c>
      <c r="BZ13" s="22" t="n">
        <f aca="false">($CA$21-$BW$11-$BX$11)/($BT$11+$BU$11)-1+BZ89</f>
        <v>0.0606219728200386</v>
      </c>
      <c r="CA13" s="22" t="n">
        <f aca="false">IFERROR(CA11/BV11-1,"")</f>
        <v>0.0893156967934805</v>
      </c>
      <c r="CB13" s="22" t="n">
        <f aca="false">CHOOSE(MATCH($CF$2,{"Bull","Base","Bear"},0),$CN$40,$CO$40,$CP$40)</f>
        <v>0.07</v>
      </c>
      <c r="CC13" s="22" t="n">
        <f aca="false">CHOOSE(MATCH($CF$2,{"Bull","Base","Bear"},0),$CN$41,$CO$41,$CP$41)</f>
        <v>0.065</v>
      </c>
      <c r="CD13" s="22" t="n">
        <f aca="false">CHOOSE(MATCH($CF$2,{"Bull","Base","Bear"},0),$CN$42,$CO$42,$CP$42)</f>
        <v>0.06</v>
      </c>
      <c r="CE13" s="22" t="n">
        <f aca="false">CHOOSE(MATCH($CF$2,{"Bull","Base","Bear"},0),$CN$43,$CO$43,$CP$43)</f>
        <v>0.06</v>
      </c>
      <c r="CF13" s="18" t="s">
        <v>116</v>
      </c>
      <c r="CM13" s="20" t="s">
        <v>117</v>
      </c>
      <c r="CN13" s="23" t="n">
        <v>736</v>
      </c>
      <c r="CO13" s="23" t="n">
        <v>728</v>
      </c>
      <c r="CP13" s="23" t="n">
        <v>720</v>
      </c>
      <c r="CQ13" s="12" t="s">
        <v>118</v>
      </c>
    </row>
    <row r="14" customFormat="false" ht="15" hidden="false" customHeight="false" outlineLevel="0" collapsed="false">
      <c r="B14" s="20" t="s">
        <v>119</v>
      </c>
      <c r="AS14" s="24" t="n">
        <v>32.14</v>
      </c>
      <c r="AT14" s="24" t="n">
        <v>9.615</v>
      </c>
      <c r="AU14" s="24" t="n">
        <v>23.88</v>
      </c>
      <c r="AV14" s="24" t="n">
        <v>34.079</v>
      </c>
      <c r="AW14" s="24" t="n">
        <v>99.714</v>
      </c>
      <c r="AX14" s="24" t="n">
        <v>19.025</v>
      </c>
      <c r="AY14" s="24" t="n">
        <v>31.977</v>
      </c>
      <c r="AZ14" s="24" t="n">
        <v>30.872</v>
      </c>
      <c r="BA14" s="24" t="n">
        <v>39.943</v>
      </c>
      <c r="BB14" s="24" t="n">
        <v>121.817</v>
      </c>
      <c r="BC14" s="24" t="n">
        <v>24.853</v>
      </c>
      <c r="BD14" s="24" t="n">
        <v>32.464</v>
      </c>
      <c r="BE14" s="24" t="n">
        <v>39.08</v>
      </c>
      <c r="BF14" s="24" t="n">
        <v>40.599</v>
      </c>
      <c r="BG14" s="24" t="n">
        <v>136.996</v>
      </c>
      <c r="BH14" s="24" t="n">
        <v>26.545</v>
      </c>
      <c r="BI14" s="24" t="n">
        <v>35.665</v>
      </c>
      <c r="BJ14" s="24" t="n">
        <v>39.014</v>
      </c>
      <c r="BK14" s="24" t="n">
        <v>44.054</v>
      </c>
      <c r="BL14" s="24" t="n">
        <v>145.278</v>
      </c>
      <c r="BM14" s="24" t="n">
        <v>27.466</v>
      </c>
      <c r="BN14" s="24" t="n">
        <v>35.246</v>
      </c>
      <c r="BO14" s="24" t="n">
        <v>37.435</v>
      </c>
      <c r="BP14" s="24" t="n">
        <v>47.876</v>
      </c>
      <c r="BQ14" s="24" t="n">
        <v>148.023</v>
      </c>
      <c r="BR14" s="24" t="n">
        <v>29.922</v>
      </c>
      <c r="BS14" s="24" t="n">
        <v>39.006</v>
      </c>
      <c r="BT14" s="24" t="n">
        <v>45.439</v>
      </c>
      <c r="BU14" s="24" t="n">
        <v>51.799</v>
      </c>
      <c r="BV14" s="24" t="n">
        <v>166.166</v>
      </c>
      <c r="BW14" s="24" t="n">
        <v>38.498</v>
      </c>
      <c r="BX14" s="24" t="n">
        <v>49.004</v>
      </c>
      <c r="BY14" s="25" t="n">
        <f aca="false">BY17-BY16</f>
        <v>48.237615678675</v>
      </c>
      <c r="BZ14" s="25" t="n">
        <f aca="false">BZ17-BZ16</f>
        <v>55.4831851130068</v>
      </c>
      <c r="CA14" s="25" t="n">
        <f aca="false">SUM(BW14,BX14,BY14,BZ14)</f>
        <v>191.222800791682</v>
      </c>
      <c r="CB14" s="25" t="n">
        <f aca="false">CB17-CB16</f>
        <v>219.566800791682</v>
      </c>
      <c r="CC14" s="25" t="n">
        <f aca="false">CC17-CC16</f>
        <v>241.767160791682</v>
      </c>
      <c r="CD14" s="25" t="n">
        <f aca="false">CD17-CD16</f>
        <v>263.591822391682</v>
      </c>
      <c r="CE14" s="25" t="n">
        <f aca="false">CE17-CE16</f>
        <v>286.725963687682</v>
      </c>
      <c r="CM14" s="20" t="s">
        <v>120</v>
      </c>
      <c r="CN14" s="26" t="n">
        <v>15.4</v>
      </c>
      <c r="CO14" s="26" t="n">
        <v>15.25</v>
      </c>
      <c r="CP14" s="26" t="n">
        <v>15.1</v>
      </c>
      <c r="CQ14" s="12" t="s">
        <v>121</v>
      </c>
    </row>
    <row r="15" customFormat="false" ht="15" hidden="false" customHeight="false" outlineLevel="0" collapsed="false">
      <c r="B15" s="20" t="s">
        <v>122</v>
      </c>
      <c r="C15" s="27" t="str">
        <f aca="false">IF(AND(ISNUMBER(C14),ISNUMBER(C11)),IFERROR(C14/C11,""),"")</f>
        <v/>
      </c>
      <c r="D15" s="27" t="str">
        <f aca="false">IF(AND(ISNUMBER(D14),ISNUMBER(D11)),IFERROR(D14/D11,""),"")</f>
        <v/>
      </c>
      <c r="E15" s="27" t="str">
        <f aca="false">IF(AND(ISNUMBER(E14),ISNUMBER(E11)),IFERROR(E14/E11,""),"")</f>
        <v/>
      </c>
      <c r="F15" s="27" t="str">
        <f aca="false">IF(AND(ISNUMBER(F14),ISNUMBER(F11)),IFERROR(F14/F11,""),"")</f>
        <v/>
      </c>
      <c r="G15" s="27" t="str">
        <f aca="false">IF(AND(ISNUMBER(G14),ISNUMBER(G11)),IFERROR(G14/G11,""),"")</f>
        <v/>
      </c>
      <c r="H15" s="27" t="str">
        <f aca="false">IF(AND(ISNUMBER(H14),ISNUMBER(H11)),IFERROR(H14/H11,""),"")</f>
        <v/>
      </c>
      <c r="I15" s="27" t="str">
        <f aca="false">IF(AND(ISNUMBER(I14),ISNUMBER(I11)),IFERROR(I14/I11,""),"")</f>
        <v/>
      </c>
      <c r="J15" s="27" t="str">
        <f aca="false">IF(AND(ISNUMBER(J14),ISNUMBER(J11)),IFERROR(J14/J11,""),"")</f>
        <v/>
      </c>
      <c r="K15" s="27" t="str">
        <f aca="false">IF(AND(ISNUMBER(K14),ISNUMBER(K11)),IFERROR(K14/K11,""),"")</f>
        <v/>
      </c>
      <c r="L15" s="27" t="str">
        <f aca="false">IF(AND(ISNUMBER(L14),ISNUMBER(L11)),IFERROR(L14/L11,""),"")</f>
        <v/>
      </c>
      <c r="M15" s="27" t="str">
        <f aca="false">IF(AND(ISNUMBER(M14),ISNUMBER(M11)),IFERROR(M14/M11,""),"")</f>
        <v/>
      </c>
      <c r="N15" s="27" t="str">
        <f aca="false">IF(AND(ISNUMBER(N14),ISNUMBER(N11)),IFERROR(N14/N11,""),"")</f>
        <v/>
      </c>
      <c r="O15" s="27" t="str">
        <f aca="false">IF(AND(ISNUMBER(O14),ISNUMBER(O11)),IFERROR(O14/O11,""),"")</f>
        <v/>
      </c>
      <c r="P15" s="27" t="str">
        <f aca="false">IF(AND(ISNUMBER(P14),ISNUMBER(P11)),IFERROR(P14/P11,""),"")</f>
        <v/>
      </c>
      <c r="Q15" s="27" t="str">
        <f aca="false">IF(AND(ISNUMBER(Q14),ISNUMBER(Q11)),IFERROR(Q14/Q11,""),"")</f>
        <v/>
      </c>
      <c r="R15" s="27" t="str">
        <f aca="false">IF(AND(ISNUMBER(R14),ISNUMBER(R11)),IFERROR(R14/R11,""),"")</f>
        <v/>
      </c>
      <c r="S15" s="27" t="str">
        <f aca="false">IF(AND(ISNUMBER(S14),ISNUMBER(S11)),IFERROR(S14/S11,""),"")</f>
        <v/>
      </c>
      <c r="T15" s="27" t="str">
        <f aca="false">IF(AND(ISNUMBER(T14),ISNUMBER(T11)),IFERROR(T14/T11,""),"")</f>
        <v/>
      </c>
      <c r="U15" s="27" t="str">
        <f aca="false">IF(AND(ISNUMBER(U14),ISNUMBER(U11)),IFERROR(U14/U11,""),"")</f>
        <v/>
      </c>
      <c r="V15" s="27" t="str">
        <f aca="false">IF(AND(ISNUMBER(V14),ISNUMBER(V11)),IFERROR(V14/V11,""),"")</f>
        <v/>
      </c>
      <c r="W15" s="27" t="str">
        <f aca="false">IF(AND(ISNUMBER(W14),ISNUMBER(W11)),IFERROR(W14/W11,""),"")</f>
        <v/>
      </c>
      <c r="X15" s="27" t="str">
        <f aca="false">IF(AND(ISNUMBER(X14),ISNUMBER(X11)),IFERROR(X14/X11,""),"")</f>
        <v/>
      </c>
      <c r="Y15" s="27" t="str">
        <f aca="false">IF(AND(ISNUMBER(Y14),ISNUMBER(Y11)),IFERROR(Y14/Y11,""),"")</f>
        <v/>
      </c>
      <c r="Z15" s="27" t="str">
        <f aca="false">IF(AND(ISNUMBER(Z14),ISNUMBER(Z11)),IFERROR(Z14/Z11,""),"")</f>
        <v/>
      </c>
      <c r="AA15" s="27" t="str">
        <f aca="false">IF(AND(ISNUMBER(AA14),ISNUMBER(AA11)),IFERROR(AA14/AA11,""),"")</f>
        <v/>
      </c>
      <c r="AB15" s="27" t="str">
        <f aca="false">IF(AND(ISNUMBER(AB14),ISNUMBER(AB11)),IFERROR(AB14/AB11,""),"")</f>
        <v/>
      </c>
      <c r="AC15" s="27" t="str">
        <f aca="false">IF(AND(ISNUMBER(AC14),ISNUMBER(AC11)),IFERROR(AC14/AC11,""),"")</f>
        <v/>
      </c>
      <c r="AD15" s="27" t="str">
        <f aca="false">IF(AND(ISNUMBER(AD14),ISNUMBER(AD11)),IFERROR(AD14/AD11,""),"")</f>
        <v/>
      </c>
      <c r="AE15" s="27" t="str">
        <f aca="false">IF(AND(ISNUMBER(AE14),ISNUMBER(AE11)),IFERROR(AE14/AE11,""),"")</f>
        <v/>
      </c>
      <c r="AF15" s="27" t="str">
        <f aca="false">IF(AND(ISNUMBER(AF14),ISNUMBER(AF11)),IFERROR(AF14/AF11,""),"")</f>
        <v/>
      </c>
      <c r="AG15" s="27" t="str">
        <f aca="false">IF(AND(ISNUMBER(AG14),ISNUMBER(AG11)),IFERROR(AG14/AG11,""),"")</f>
        <v/>
      </c>
      <c r="AH15" s="27" t="str">
        <f aca="false">IF(AND(ISNUMBER(AH14),ISNUMBER(AH11)),IFERROR(AH14/AH11,""),"")</f>
        <v/>
      </c>
      <c r="AI15" s="27" t="str">
        <f aca="false">IF(AND(ISNUMBER(AI14),ISNUMBER(AI11)),IFERROR(AI14/AI11,""),"")</f>
        <v/>
      </c>
      <c r="AJ15" s="27" t="str">
        <f aca="false">IF(AND(ISNUMBER(AJ14),ISNUMBER(AJ11)),IFERROR(AJ14/AJ11,""),"")</f>
        <v/>
      </c>
      <c r="AK15" s="27" t="str">
        <f aca="false">IF(AND(ISNUMBER(AK14),ISNUMBER(AK11)),IFERROR(AK14/AK11,""),"")</f>
        <v/>
      </c>
      <c r="AL15" s="27" t="str">
        <f aca="false">IF(AND(ISNUMBER(AL14),ISNUMBER(AL11)),IFERROR(AL14/AL11,""),"")</f>
        <v/>
      </c>
      <c r="AM15" s="27" t="str">
        <f aca="false">IF(AND(ISNUMBER(AM14),ISNUMBER(AM11)),IFERROR(AM14/AM11,""),"")</f>
        <v/>
      </c>
      <c r="AN15" s="27" t="str">
        <f aca="false">IF(AND(ISNUMBER(AN14),ISNUMBER(AN11)),IFERROR(AN14/AN11,""),"")</f>
        <v/>
      </c>
      <c r="AO15" s="27" t="str">
        <f aca="false">IF(AND(ISNUMBER(AO14),ISNUMBER(AO11)),IFERROR(AO14/AO11,""),"")</f>
        <v/>
      </c>
      <c r="AP15" s="27" t="str">
        <f aca="false">IF(AND(ISNUMBER(AP14),ISNUMBER(AP11)),IFERROR(AP14/AP11,""),"")</f>
        <v/>
      </c>
      <c r="AQ15" s="27" t="str">
        <f aca="false">IF(AND(ISNUMBER(AQ14),ISNUMBER(AQ11)),IFERROR(AQ14/AQ11,""),"")</f>
        <v/>
      </c>
      <c r="AR15" s="27" t="str">
        <f aca="false">IF(AND(ISNUMBER(AR14),ISNUMBER(AR11)),IFERROR(AR14/AR11,""),"")</f>
        <v/>
      </c>
      <c r="AS15" s="27" t="n">
        <f aca="false">IF(AND(ISNUMBER(AS14),ISNUMBER(AS11)),IFERROR(AS14/AS11,""),"")</f>
        <v>0.141755760206062</v>
      </c>
      <c r="AT15" s="27" t="n">
        <f aca="false">IF(AND(ISNUMBER(AT14),ISNUMBER(AT11)),IFERROR(AT14/AT11,""),"")</f>
        <v>0.0541961885114226</v>
      </c>
      <c r="AU15" s="27" t="n">
        <f aca="false">IF(AND(ISNUMBER(AU14),ISNUMBER(AU11)),IFERROR(AU14/AU11,""),"")</f>
        <v>0.126504492286828</v>
      </c>
      <c r="AV15" s="27" t="n">
        <f aca="false">IF(AND(ISNUMBER(AV14),ISNUMBER(AV11)),IFERROR(AV14/AV11,""),"")</f>
        <v>0.160171267965746</v>
      </c>
      <c r="AW15" s="27" t="n">
        <f aca="false">IF(AND(ISNUMBER(AW14),ISNUMBER(AW11)),IFERROR(AW14/AW11,""),"")</f>
        <v>0.123764852489782</v>
      </c>
      <c r="AX15" s="27" t="n">
        <f aca="false">IF(AND(ISNUMBER(AX14),ISNUMBER(AX11)),IFERROR(AX14/AX11,""),"")</f>
        <v>0.105500440855982</v>
      </c>
      <c r="AY15" s="27" t="n">
        <f aca="false">IF(AND(ISNUMBER(AY14),ISNUMBER(AY11)),IFERROR(AY14/AY11,""),"")</f>
        <v>0.160114764687326</v>
      </c>
      <c r="AZ15" s="27" t="n">
        <f aca="false">IF(AND(ISNUMBER(AZ14),ISNUMBER(AZ11)),IFERROR(AZ14/AZ11,""),"")</f>
        <v>0.157272690222929</v>
      </c>
      <c r="BA15" s="27" t="n">
        <f aca="false">IF(AND(ISNUMBER(BA14),ISNUMBER(BA11)),IFERROR(BA14/BA11,""),"")</f>
        <v>0.190210196481804</v>
      </c>
      <c r="BB15" s="27" t="n">
        <f aca="false">IF(AND(ISNUMBER(BB14),ISNUMBER(BB11)),IFERROR(BB14/BB11,""),"")</f>
        <v>0.154917630421678</v>
      </c>
      <c r="BC15" s="27" t="n">
        <f aca="false">IF(AND(ISNUMBER(BC14),ISNUMBER(BC11)),IFERROR(BC14/BC11,""),"")</f>
        <v>0.13004416258529</v>
      </c>
      <c r="BD15" s="27" t="n">
        <f aca="false">IF(AND(ISNUMBER(BD14),ISNUMBER(BD11)),IFERROR(BD14/BD11,""),"")</f>
        <v>0.155648888633182</v>
      </c>
      <c r="BE15" s="27" t="n">
        <f aca="false">IF(AND(ISNUMBER(BE14),ISNUMBER(BE11)),IFERROR(BE14/BE11,""),"")</f>
        <v>0.183394104921325</v>
      </c>
      <c r="BF15" s="27" t="n">
        <f aca="false">IF(AND(ISNUMBER(BF14),ISNUMBER(BF11)),IFERROR(BF14/BF11,""),"")</f>
        <v>0.181847906905912</v>
      </c>
      <c r="BG15" s="27" t="n">
        <f aca="false">IF(AND(ISNUMBER(BG14),ISNUMBER(BG11)),IFERROR(BG14/BG11,""),"")</f>
        <v>0.163863953064166</v>
      </c>
      <c r="BH15" s="27" t="n">
        <f aca="false">IF(AND(ISNUMBER(BH14),ISNUMBER(BH11)),IFERROR(BH14/BH11,""),"")</f>
        <v>0.131120737773343</v>
      </c>
      <c r="BI15" s="27" t="n">
        <f aca="false">IF(AND(ISNUMBER(BI14),ISNUMBER(BI11)),IFERROR(BI14/BI11,""),"")</f>
        <v>0.157628392115266</v>
      </c>
      <c r="BJ15" s="27" t="n">
        <f aca="false">IF(AND(ISNUMBER(BJ14),ISNUMBER(BJ11)),IFERROR(BJ14/BJ11,""),"")</f>
        <v>0.177097282305252</v>
      </c>
      <c r="BK15" s="27" t="n">
        <f aca="false">IF(AND(ISNUMBER(BK14),ISNUMBER(BK11)),IFERROR(BK14/BK11,""),"")</f>
        <v>0.184926791591108</v>
      </c>
      <c r="BL15" s="27" t="n">
        <f aca="false">IF(AND(ISNUMBER(BL14),ISNUMBER(BL11)),IFERROR(BL14/BL11,""),"")</f>
        <v>0.163743705113004</v>
      </c>
      <c r="BM15" s="27" t="n">
        <f aca="false">IF(AND(ISNUMBER(BM14),ISNUMBER(BM11)),IFERROR(BM14/BM11,""),"")</f>
        <v>0.125229681978799</v>
      </c>
      <c r="BN15" s="27" t="n">
        <f aca="false">IF(AND(ISNUMBER(BN14),ISNUMBER(BN11)),IFERROR(BN14/BN11,""),"")</f>
        <v>0.151119914934486</v>
      </c>
      <c r="BO15" s="27" t="n">
        <f aca="false">IF(AND(ISNUMBER(BO14),ISNUMBER(BO11)),IFERROR(BO14/BO11,""),"")</f>
        <v>0.163715401536786</v>
      </c>
      <c r="BP15" s="27" t="n">
        <f aca="false">IF(AND(ISNUMBER(BP14),ISNUMBER(BP11)),IFERROR(BP14/BP11,""),"")</f>
        <v>0.190804130449511</v>
      </c>
      <c r="BQ15" s="27" t="n">
        <f aca="false">IF(AND(ISNUMBER(BQ14),ISNUMBER(BQ11)),IFERROR(BQ14/BQ11,""),"")</f>
        <v>0.158800299957195</v>
      </c>
      <c r="BR15" s="27" t="n">
        <f aca="false">IF(AND(ISNUMBER(BR14),ISNUMBER(BR11)),IFERROR(BR14/BR11,""),"")</f>
        <v>0.131672284660676</v>
      </c>
      <c r="BS15" s="27" t="n">
        <f aca="false">IF(AND(ISNUMBER(BS14),ISNUMBER(BS11)),IFERROR(BS14/BS11,""),"")</f>
        <v>0.16311083976616</v>
      </c>
      <c r="BT15" s="27" t="n">
        <f aca="false">IF(AND(ISNUMBER(BT14),ISNUMBER(BT11)),IFERROR(BT14/BT11,""),"")</f>
        <v>0.183232856826018</v>
      </c>
      <c r="BU15" s="27" t="n">
        <f aca="false">IF(AND(ISNUMBER(BU14),ISNUMBER(BU11)),IFERROR(BU14/BU11,""),"")</f>
        <v>0.197411496583343</v>
      </c>
      <c r="BV15" s="27" t="n">
        <f aca="false">IF(AND(ISNUMBER(BV14),ISNUMBER(BV11)),IFERROR(BV14/BV11,""),"")</f>
        <v>0.17011957901634</v>
      </c>
      <c r="BW15" s="27" t="n">
        <f aca="false">IF(AND(ISNUMBER(BW14),ISNUMBER(BW11)),IFERROR(BW14/BW11,""),"")</f>
        <v>0.151020520243685</v>
      </c>
      <c r="BX15" s="27" t="n">
        <f aca="false">IF(AND(ISNUMBER(BX14),ISNUMBER(BX11)),IFERROR(BX14/BX11,""),"")</f>
        <v>0.183011222527216</v>
      </c>
      <c r="BY15" s="22" t="n">
        <f aca="false">IFERROR(BY14/BY11,"")</f>
        <v>0.183400198220222</v>
      </c>
      <c r="BZ15" s="22" t="n">
        <f aca="false">IFERROR(BZ14/BZ11,"")</f>
        <v>0.199366337104691</v>
      </c>
      <c r="CA15" s="22" t="n">
        <f aca="false">IFERROR(CA14/CA11,"")</f>
        <v>0.179720677435791</v>
      </c>
      <c r="CB15" s="22" t="n">
        <f aca="false">IFERROR(CB14/CB11,"")</f>
        <v>0.192859602972105</v>
      </c>
      <c r="CC15" s="22" t="n">
        <f aca="false">IFERROR(CC14/CC11,"")</f>
        <v>0.199398688236718</v>
      </c>
      <c r="CD15" s="22" t="n">
        <f aca="false">IFERROR(CD14/CD11,"")</f>
        <v>0.205093102110111</v>
      </c>
      <c r="CE15" s="22" t="n">
        <f aca="false">IFERROR(CE14/CE11,"")</f>
        <v>0.210465190669916</v>
      </c>
      <c r="CM15" s="20" t="s">
        <v>123</v>
      </c>
      <c r="CN15" s="23" t="n">
        <v>605</v>
      </c>
      <c r="CO15" s="23" t="n">
        <v>595</v>
      </c>
      <c r="CP15" s="23" t="n">
        <v>585</v>
      </c>
      <c r="CQ15" s="12" t="s">
        <v>124</v>
      </c>
    </row>
    <row r="16" customFormat="false" ht="15" hidden="false" customHeight="false" outlineLevel="0" collapsed="false">
      <c r="B16" s="20" t="s">
        <v>125</v>
      </c>
      <c r="AS16" s="28" t="n">
        <v>-3.74</v>
      </c>
      <c r="AT16" s="28" t="n">
        <v>3.185</v>
      </c>
      <c r="AU16" s="28" t="n">
        <v>-0.98</v>
      </c>
      <c r="AV16" s="28" t="n">
        <v>-0.362</v>
      </c>
      <c r="AW16" s="28" t="n">
        <v>-1.879</v>
      </c>
      <c r="AX16" s="28" t="n">
        <v>-0.525</v>
      </c>
      <c r="AY16" s="28" t="n">
        <v>-1.477</v>
      </c>
      <c r="AZ16" s="28" t="n">
        <v>-0.072</v>
      </c>
      <c r="BA16" s="28" t="n">
        <v>0.493</v>
      </c>
      <c r="BB16" s="28" t="n">
        <v>-1.586</v>
      </c>
      <c r="BC16" s="28" t="n">
        <v>0</v>
      </c>
      <c r="BD16" s="28" t="n">
        <v>0</v>
      </c>
      <c r="BE16" s="28" t="n">
        <v>0</v>
      </c>
      <c r="BF16" s="28" t="n">
        <v>0.703</v>
      </c>
      <c r="BG16" s="28" t="n">
        <v>0.703</v>
      </c>
      <c r="BH16" s="28" t="n">
        <v>0</v>
      </c>
      <c r="BI16" s="28" t="n">
        <v>0</v>
      </c>
      <c r="BJ16" s="28" t="n">
        <v>0</v>
      </c>
      <c r="BK16" s="28" t="n">
        <v>0</v>
      </c>
      <c r="BL16" s="28" t="n">
        <v>0</v>
      </c>
      <c r="BM16" s="28" t="n">
        <v>0</v>
      </c>
      <c r="BN16" s="28" t="n">
        <v>2.619</v>
      </c>
      <c r="BO16" s="28" t="n">
        <v>1.926</v>
      </c>
      <c r="BP16" s="28" t="n">
        <v>5.694</v>
      </c>
      <c r="BQ16" s="28" t="n">
        <v>10.239</v>
      </c>
      <c r="BR16" s="28" t="n">
        <v>1.764</v>
      </c>
      <c r="BS16" s="28" t="n">
        <v>0.582</v>
      </c>
      <c r="BT16" s="28" t="n">
        <v>0.57</v>
      </c>
      <c r="BU16" s="28" t="n">
        <v>0.938</v>
      </c>
      <c r="BV16" s="28" t="n">
        <v>3.855</v>
      </c>
      <c r="BW16" s="28" t="n">
        <v>0.703</v>
      </c>
      <c r="BX16" s="28" t="n">
        <v>0.399</v>
      </c>
      <c r="BY16" s="29" t="n">
        <f aca="false">MAX(0,($CO$30-$BW$16-$BX$16)/2)</f>
        <v>2.449</v>
      </c>
      <c r="BZ16" s="29" t="n">
        <f aca="false">MAX(0,($CO$30-$BW$16-$BX$16)/2)</f>
        <v>2.449</v>
      </c>
      <c r="CA16" s="29" t="n">
        <f aca="false">SUM(BW16,BX16,BY16,BZ16)</f>
        <v>6</v>
      </c>
      <c r="CB16" s="30" t="n">
        <v>0</v>
      </c>
      <c r="CC16" s="30" t="n">
        <v>0</v>
      </c>
      <c r="CD16" s="30" t="n">
        <v>0</v>
      </c>
      <c r="CE16" s="30" t="n">
        <v>0</v>
      </c>
      <c r="CF16" s="18" t="s">
        <v>126</v>
      </c>
      <c r="CM16" s="20" t="s">
        <v>127</v>
      </c>
      <c r="CN16" s="23" t="n">
        <v>1070</v>
      </c>
      <c r="CO16" s="23" t="n">
        <v>1064</v>
      </c>
      <c r="CP16" s="23" t="n">
        <v>1058</v>
      </c>
      <c r="CQ16" s="12" t="s">
        <v>128</v>
      </c>
    </row>
    <row r="17" customFormat="false" ht="15" hidden="false" customHeight="false" outlineLevel="0" collapsed="false">
      <c r="B17" s="15" t="s">
        <v>129</v>
      </c>
      <c r="AS17" s="31" t="n">
        <f aca="false">AS14+AS16</f>
        <v>28.4</v>
      </c>
      <c r="AT17" s="31" t="n">
        <f aca="false">AT14+AT16</f>
        <v>12.8</v>
      </c>
      <c r="AU17" s="31" t="n">
        <f aca="false">AU14+AU16</f>
        <v>22.9</v>
      </c>
      <c r="AV17" s="31" t="n">
        <f aca="false">AV14+AV16</f>
        <v>33.717</v>
      </c>
      <c r="AW17" s="31" t="n">
        <f aca="false">AW14+AW16</f>
        <v>97.835</v>
      </c>
      <c r="AX17" s="31" t="n">
        <f aca="false">AX14+AX16</f>
        <v>18.5</v>
      </c>
      <c r="AY17" s="31" t="n">
        <f aca="false">AY14+AY16</f>
        <v>30.5</v>
      </c>
      <c r="AZ17" s="31" t="n">
        <f aca="false">AZ14+AZ16</f>
        <v>30.8</v>
      </c>
      <c r="BA17" s="31" t="n">
        <f aca="false">BA14+BA16</f>
        <v>40.436</v>
      </c>
      <c r="BB17" s="31" t="n">
        <f aca="false">BB14+BB16</f>
        <v>120.231</v>
      </c>
      <c r="BC17" s="31" t="n">
        <f aca="false">BC14+BC16</f>
        <v>24.853</v>
      </c>
      <c r="BD17" s="31" t="n">
        <f aca="false">BD14+BD16</f>
        <v>32.464</v>
      </c>
      <c r="BE17" s="31" t="n">
        <f aca="false">BE14+BE16</f>
        <v>39.08</v>
      </c>
      <c r="BF17" s="31" t="n">
        <f aca="false">BF14+BF16</f>
        <v>41.302</v>
      </c>
      <c r="BG17" s="31" t="n">
        <f aca="false">BG14+BG16</f>
        <v>137.699</v>
      </c>
      <c r="BH17" s="31" t="n">
        <f aca="false">BH14+BH16</f>
        <v>26.545</v>
      </c>
      <c r="BI17" s="31" t="n">
        <f aca="false">BI14+BI16</f>
        <v>35.665</v>
      </c>
      <c r="BJ17" s="31" t="n">
        <f aca="false">BJ14+BJ16</f>
        <v>39.014</v>
      </c>
      <c r="BK17" s="31" t="n">
        <f aca="false">BK14+BK16</f>
        <v>44.054</v>
      </c>
      <c r="BL17" s="31" t="n">
        <f aca="false">BL14+BL16</f>
        <v>145.278</v>
      </c>
      <c r="BM17" s="31" t="n">
        <f aca="false">BM14+BM16</f>
        <v>27.466</v>
      </c>
      <c r="BN17" s="31" t="n">
        <f aca="false">BN14+BN16</f>
        <v>37.865</v>
      </c>
      <c r="BO17" s="31" t="n">
        <f aca="false">BO14+BO16</f>
        <v>39.361</v>
      </c>
      <c r="BP17" s="31" t="n">
        <f aca="false">BP14+BP16</f>
        <v>53.57</v>
      </c>
      <c r="BQ17" s="31" t="n">
        <f aca="false">BQ14+BQ16</f>
        <v>158.262</v>
      </c>
      <c r="BR17" s="31" t="n">
        <f aca="false">BR14+BR16</f>
        <v>31.686</v>
      </c>
      <c r="BS17" s="31" t="n">
        <f aca="false">BS14+BS16</f>
        <v>39.588</v>
      </c>
      <c r="BT17" s="31" t="n">
        <f aca="false">BT14+BT16</f>
        <v>46.009</v>
      </c>
      <c r="BU17" s="31" t="n">
        <f aca="false">BU14+BU16</f>
        <v>52.737</v>
      </c>
      <c r="BV17" s="31" t="n">
        <f aca="false">BV14+BV16</f>
        <v>170.021</v>
      </c>
      <c r="BW17" s="31" t="n">
        <f aca="false">BW14+BW16</f>
        <v>39.201</v>
      </c>
      <c r="BX17" s="31" t="n">
        <f aca="false">BX14+BX16</f>
        <v>49.403</v>
      </c>
      <c r="BY17" s="17" t="n">
        <f aca="false">BY11*BY18</f>
        <v>50.686615678675</v>
      </c>
      <c r="BZ17" s="17" t="n">
        <f aca="false">BZ11*BZ18</f>
        <v>57.9321851130068</v>
      </c>
      <c r="CA17" s="17" t="n">
        <f aca="false">SUM(BW17,BX17,BY17,BZ17)</f>
        <v>197.222800791682</v>
      </c>
      <c r="CB17" s="17" t="n">
        <f aca="false">CA17+(CB11-CA11)*CB20</f>
        <v>219.566800791682</v>
      </c>
      <c r="CC17" s="17" t="n">
        <f aca="false">CB17+(CC11-CB11)*CC20</f>
        <v>241.767160791682</v>
      </c>
      <c r="CD17" s="17" t="n">
        <f aca="false">CC17+(CD11-CC11)*CD20</f>
        <v>263.591822391682</v>
      </c>
      <c r="CE17" s="17" t="n">
        <f aca="false">CD17+(CE11-CD11)*CE20</f>
        <v>286.725963687682</v>
      </c>
      <c r="CF17" s="18" t="s">
        <v>130</v>
      </c>
      <c r="CH17" s="19" t="n">
        <f aca="false">IFERROR((CE17/BV17)^(1/5)-1,"n/m")</f>
        <v>0.110178700808533</v>
      </c>
      <c r="CI17" s="19" t="n">
        <f aca="false">IFERROR((BV17/AW17)^(1/5)-1,"n/m")</f>
        <v>0.116867525438489</v>
      </c>
      <c r="CJ17" s="19" t="str">
        <f aca="false">IFERROR((BV17/X17)^(1/10)-1,"n/m")</f>
        <v>n/m</v>
      </c>
      <c r="CK17" s="19" t="str">
        <f aca="false">IFERROR((BV17/C17)^(1/19)-1,"n/m")</f>
        <v>n/m</v>
      </c>
      <c r="CM17" s="20" t="s">
        <v>131</v>
      </c>
      <c r="CN17" s="23" t="n">
        <v>200</v>
      </c>
      <c r="CO17" s="23" t="n">
        <v>197.5</v>
      </c>
      <c r="CP17" s="23" t="n">
        <v>195</v>
      </c>
      <c r="CQ17" s="12" t="s">
        <v>132</v>
      </c>
    </row>
    <row r="18" customFormat="false" ht="15" hidden="false" customHeight="false" outlineLevel="0" collapsed="false">
      <c r="B18" s="20" t="s">
        <v>133</v>
      </c>
      <c r="C18" s="27" t="str">
        <f aca="false">IF(AND(ISNUMBER(C17),ISNUMBER(C11)),IFERROR(C17/C11,""),"")</f>
        <v/>
      </c>
      <c r="D18" s="27" t="str">
        <f aca="false">IF(AND(ISNUMBER(D17),ISNUMBER(D11)),IFERROR(D17/D11,""),"")</f>
        <v/>
      </c>
      <c r="E18" s="27" t="str">
        <f aca="false">IF(AND(ISNUMBER(E17),ISNUMBER(E11)),IFERROR(E17/E11,""),"")</f>
        <v/>
      </c>
      <c r="F18" s="27" t="str">
        <f aca="false">IF(AND(ISNUMBER(F17),ISNUMBER(F11)),IFERROR(F17/F11,""),"")</f>
        <v/>
      </c>
      <c r="G18" s="27" t="str">
        <f aca="false">IF(AND(ISNUMBER(G17),ISNUMBER(G11)),IFERROR(G17/G11,""),"")</f>
        <v/>
      </c>
      <c r="H18" s="27" t="str">
        <f aca="false">IF(AND(ISNUMBER(H17),ISNUMBER(H11)),IFERROR(H17/H11,""),"")</f>
        <v/>
      </c>
      <c r="I18" s="27" t="str">
        <f aca="false">IF(AND(ISNUMBER(I17),ISNUMBER(I11)),IFERROR(I17/I11,""),"")</f>
        <v/>
      </c>
      <c r="J18" s="27" t="str">
        <f aca="false">IF(AND(ISNUMBER(J17),ISNUMBER(J11)),IFERROR(J17/J11,""),"")</f>
        <v/>
      </c>
      <c r="K18" s="27" t="str">
        <f aca="false">IF(AND(ISNUMBER(K17),ISNUMBER(K11)),IFERROR(K17/K11,""),"")</f>
        <v/>
      </c>
      <c r="L18" s="27" t="str">
        <f aca="false">IF(AND(ISNUMBER(L17),ISNUMBER(L11)),IFERROR(L17/L11,""),"")</f>
        <v/>
      </c>
      <c r="M18" s="27" t="str">
        <f aca="false">IF(AND(ISNUMBER(M17),ISNUMBER(M11)),IFERROR(M17/M11,""),"")</f>
        <v/>
      </c>
      <c r="N18" s="27" t="str">
        <f aca="false">IF(AND(ISNUMBER(N17),ISNUMBER(N11)),IFERROR(N17/N11,""),"")</f>
        <v/>
      </c>
      <c r="O18" s="27" t="str">
        <f aca="false">IF(AND(ISNUMBER(O17),ISNUMBER(O11)),IFERROR(O17/O11,""),"")</f>
        <v/>
      </c>
      <c r="P18" s="27" t="str">
        <f aca="false">IF(AND(ISNUMBER(P17),ISNUMBER(P11)),IFERROR(P17/P11,""),"")</f>
        <v/>
      </c>
      <c r="Q18" s="27" t="str">
        <f aca="false">IF(AND(ISNUMBER(Q17),ISNUMBER(Q11)),IFERROR(Q17/Q11,""),"")</f>
        <v/>
      </c>
      <c r="R18" s="27" t="str">
        <f aca="false">IF(AND(ISNUMBER(R17),ISNUMBER(R11)),IFERROR(R17/R11,""),"")</f>
        <v/>
      </c>
      <c r="S18" s="27" t="str">
        <f aca="false">IF(AND(ISNUMBER(S17),ISNUMBER(S11)),IFERROR(S17/S11,""),"")</f>
        <v/>
      </c>
      <c r="T18" s="27" t="str">
        <f aca="false">IF(AND(ISNUMBER(T17),ISNUMBER(T11)),IFERROR(T17/T11,""),"")</f>
        <v/>
      </c>
      <c r="U18" s="27" t="str">
        <f aca="false">IF(AND(ISNUMBER(U17),ISNUMBER(U11)),IFERROR(U17/U11,""),"")</f>
        <v/>
      </c>
      <c r="V18" s="27" t="str">
        <f aca="false">IF(AND(ISNUMBER(V17),ISNUMBER(V11)),IFERROR(V17/V11,""),"")</f>
        <v/>
      </c>
      <c r="W18" s="27" t="str">
        <f aca="false">IF(AND(ISNUMBER(W17),ISNUMBER(W11)),IFERROR(W17/W11,""),"")</f>
        <v/>
      </c>
      <c r="X18" s="27" t="str">
        <f aca="false">IF(AND(ISNUMBER(X17),ISNUMBER(X11)),IFERROR(X17/X11,""),"")</f>
        <v/>
      </c>
      <c r="Y18" s="27" t="str">
        <f aca="false">IF(AND(ISNUMBER(Y17),ISNUMBER(Y11)),IFERROR(Y17/Y11,""),"")</f>
        <v/>
      </c>
      <c r="Z18" s="27" t="str">
        <f aca="false">IF(AND(ISNUMBER(Z17),ISNUMBER(Z11)),IFERROR(Z17/Z11,""),"")</f>
        <v/>
      </c>
      <c r="AA18" s="27" t="str">
        <f aca="false">IF(AND(ISNUMBER(AA17),ISNUMBER(AA11)),IFERROR(AA17/AA11,""),"")</f>
        <v/>
      </c>
      <c r="AB18" s="27" t="str">
        <f aca="false">IF(AND(ISNUMBER(AB17),ISNUMBER(AB11)),IFERROR(AB17/AB11,""),"")</f>
        <v/>
      </c>
      <c r="AC18" s="27" t="str">
        <f aca="false">IF(AND(ISNUMBER(AC17),ISNUMBER(AC11)),IFERROR(AC17/AC11,""),"")</f>
        <v/>
      </c>
      <c r="AD18" s="27" t="str">
        <f aca="false">IF(AND(ISNUMBER(AD17),ISNUMBER(AD11)),IFERROR(AD17/AD11,""),"")</f>
        <v/>
      </c>
      <c r="AE18" s="27" t="str">
        <f aca="false">IF(AND(ISNUMBER(AE17),ISNUMBER(AE11)),IFERROR(AE17/AE11,""),"")</f>
        <v/>
      </c>
      <c r="AF18" s="27" t="str">
        <f aca="false">IF(AND(ISNUMBER(AF17),ISNUMBER(AF11)),IFERROR(AF17/AF11,""),"")</f>
        <v/>
      </c>
      <c r="AG18" s="27" t="str">
        <f aca="false">IF(AND(ISNUMBER(AG17),ISNUMBER(AG11)),IFERROR(AG17/AG11,""),"")</f>
        <v/>
      </c>
      <c r="AH18" s="27" t="str">
        <f aca="false">IF(AND(ISNUMBER(AH17),ISNUMBER(AH11)),IFERROR(AH17/AH11,""),"")</f>
        <v/>
      </c>
      <c r="AI18" s="27" t="str">
        <f aca="false">IF(AND(ISNUMBER(AI17),ISNUMBER(AI11)),IFERROR(AI17/AI11,""),"")</f>
        <v/>
      </c>
      <c r="AJ18" s="27" t="str">
        <f aca="false">IF(AND(ISNUMBER(AJ17),ISNUMBER(AJ11)),IFERROR(AJ17/AJ11,""),"")</f>
        <v/>
      </c>
      <c r="AK18" s="27" t="str">
        <f aca="false">IF(AND(ISNUMBER(AK17),ISNUMBER(AK11)),IFERROR(AK17/AK11,""),"")</f>
        <v/>
      </c>
      <c r="AL18" s="27" t="str">
        <f aca="false">IF(AND(ISNUMBER(AL17),ISNUMBER(AL11)),IFERROR(AL17/AL11,""),"")</f>
        <v/>
      </c>
      <c r="AM18" s="27" t="str">
        <f aca="false">IF(AND(ISNUMBER(AM17),ISNUMBER(AM11)),IFERROR(AM17/AM11,""),"")</f>
        <v/>
      </c>
      <c r="AN18" s="27" t="str">
        <f aca="false">IF(AND(ISNUMBER(AN17),ISNUMBER(AN11)),IFERROR(AN17/AN11,""),"")</f>
        <v/>
      </c>
      <c r="AO18" s="27" t="str">
        <f aca="false">IF(AND(ISNUMBER(AO17),ISNUMBER(AO11)),IFERROR(AO17/AO11,""),"")</f>
        <v/>
      </c>
      <c r="AP18" s="27" t="str">
        <f aca="false">IF(AND(ISNUMBER(AP17),ISNUMBER(AP11)),IFERROR(AP17/AP11,""),"")</f>
        <v/>
      </c>
      <c r="AQ18" s="27" t="str">
        <f aca="false">IF(AND(ISNUMBER(AQ17),ISNUMBER(AQ11)),IFERROR(AQ17/AQ11,""),"")</f>
        <v/>
      </c>
      <c r="AR18" s="27" t="str">
        <f aca="false">IF(AND(ISNUMBER(AR17),ISNUMBER(AR11)),IFERROR(AR17/AR11,""),"")</f>
        <v/>
      </c>
      <c r="AS18" s="27" t="n">
        <f aca="false">IF(AND(ISNUMBER(AS17),ISNUMBER(AS11)),IFERROR(AS17/AS11,""),"")</f>
        <v>0.125260223704174</v>
      </c>
      <c r="AT18" s="27" t="n">
        <f aca="false">IF(AND(ISNUMBER(AT17),ISNUMBER(AT11)),IFERROR(AT17/AT11,""),"")</f>
        <v>0.0721488521004898</v>
      </c>
      <c r="AU18" s="27" t="n">
        <f aca="false">IF(AND(ISNUMBER(AU17),ISNUMBER(AU11)),IFERROR(AU17/AU11,""),"")</f>
        <v>0.12131293439566</v>
      </c>
      <c r="AV18" s="27" t="n">
        <f aca="false">IF(AND(ISNUMBER(AV17),ISNUMBER(AV11)),IFERROR(AV17/AV11,""),"")</f>
        <v>0.158469868306026</v>
      </c>
      <c r="AW18" s="27" t="n">
        <f aca="false">IF(AND(ISNUMBER(AW17),ISNUMBER(AW11)),IFERROR(AW17/AW11,""),"")</f>
        <v>0.121432640786026</v>
      </c>
      <c r="AX18" s="27" t="n">
        <f aca="false">IF(AND(ISNUMBER(AX17),ISNUMBER(AX11)),IFERROR(AX17/AX11,""),"")</f>
        <v>0.1025891277706</v>
      </c>
      <c r="AY18" s="27" t="n">
        <f aca="false">IF(AND(ISNUMBER(AY17),ISNUMBER(AY11)),IFERROR(AY17/AY11,""),"")</f>
        <v>0.152719151983096</v>
      </c>
      <c r="AZ18" s="27" t="n">
        <f aca="false">IF(AND(ISNUMBER(AZ17),ISNUMBER(AZ11)),IFERROR(AZ17/AZ11,""),"")</f>
        <v>0.156905897216449</v>
      </c>
      <c r="BA18" s="27" t="n">
        <f aca="false">IF(AND(ISNUMBER(BA17),ISNUMBER(BA11)),IFERROR(BA17/BA11,""),"")</f>
        <v>0.19255788260617</v>
      </c>
      <c r="BB18" s="27" t="n">
        <f aca="false">IF(AND(ISNUMBER(BB17),ISNUMBER(BB11)),IFERROR(BB17/BB11,""),"")</f>
        <v>0.152900675794255</v>
      </c>
      <c r="BC18" s="27" t="n">
        <f aca="false">IF(AND(ISNUMBER(BC17),ISNUMBER(BC11)),IFERROR(BC17/BC11,""),"")</f>
        <v>0.13004416258529</v>
      </c>
      <c r="BD18" s="27" t="n">
        <f aca="false">IF(AND(ISNUMBER(BD17),ISNUMBER(BD11)),IFERROR(BD17/BD11,""),"")</f>
        <v>0.155648888633182</v>
      </c>
      <c r="BE18" s="27" t="n">
        <f aca="false">IF(AND(ISNUMBER(BE17),ISNUMBER(BE11)),IFERROR(BE17/BE11,""),"")</f>
        <v>0.183394104921325</v>
      </c>
      <c r="BF18" s="27" t="n">
        <f aca="false">IF(AND(ISNUMBER(BF17),ISNUMBER(BF11)),IFERROR(BF17/BF11,""),"")</f>
        <v>0.18499673024035</v>
      </c>
      <c r="BG18" s="27" t="n">
        <f aca="false">IF(AND(ISNUMBER(BG17),ISNUMBER(BG11)),IFERROR(BG17/BG11,""),"")</f>
        <v>0.164704826951025</v>
      </c>
      <c r="BH18" s="27" t="n">
        <f aca="false">IF(AND(ISNUMBER(BH17),ISNUMBER(BH11)),IFERROR(BH17/BH11,""),"")</f>
        <v>0.131120737773343</v>
      </c>
      <c r="BI18" s="27" t="n">
        <f aca="false">IF(AND(ISNUMBER(BI17),ISNUMBER(BI11)),IFERROR(BI17/BI11,""),"")</f>
        <v>0.157628392115266</v>
      </c>
      <c r="BJ18" s="27" t="n">
        <f aca="false">IF(AND(ISNUMBER(BJ17),ISNUMBER(BJ11)),IFERROR(BJ17/BJ11,""),"")</f>
        <v>0.177097282305252</v>
      </c>
      <c r="BK18" s="27" t="n">
        <f aca="false">IF(AND(ISNUMBER(BK17),ISNUMBER(BK11)),IFERROR(BK17/BK11,""),"")</f>
        <v>0.184926791591108</v>
      </c>
      <c r="BL18" s="27" t="n">
        <f aca="false">IF(AND(ISNUMBER(BL17),ISNUMBER(BL11)),IFERROR(BL17/BL11,""),"")</f>
        <v>0.163743705113004</v>
      </c>
      <c r="BM18" s="27" t="n">
        <f aca="false">IF(AND(ISNUMBER(BM17),ISNUMBER(BM11)),IFERROR(BM17/BM11,""),"")</f>
        <v>0.125229681978799</v>
      </c>
      <c r="BN18" s="27" t="n">
        <f aca="false">IF(AND(ISNUMBER(BN17),ISNUMBER(BN11)),IFERROR(BN17/BN11,""),"")</f>
        <v>0.162349077313576</v>
      </c>
      <c r="BO18" s="27" t="n">
        <f aca="false">IF(AND(ISNUMBER(BO17),ISNUMBER(BO11)),IFERROR(BO17/BO11,""),"")</f>
        <v>0.172138424466126</v>
      </c>
      <c r="BP18" s="27" t="n">
        <f aca="false">IF(AND(ISNUMBER(BP17),ISNUMBER(BP11)),IFERROR(BP17/BP11,""),"")</f>
        <v>0.213496893395027</v>
      </c>
      <c r="BQ18" s="27" t="n">
        <f aca="false">IF(AND(ISNUMBER(BQ17),ISNUMBER(BQ11)),IFERROR(BQ17/BQ11,""),"")</f>
        <v>0.169784783931048</v>
      </c>
      <c r="BR18" s="27" t="n">
        <f aca="false">IF(AND(ISNUMBER(BR17),ISNUMBER(BR11)),IFERROR(BR17/BR11,""),"")</f>
        <v>0.13943479753219</v>
      </c>
      <c r="BS18" s="27" t="n">
        <f aca="false">IF(AND(ISNUMBER(BS17),ISNUMBER(BS11)),IFERROR(BS17/BS11,""),"")</f>
        <v>0.165544580953257</v>
      </c>
      <c r="BT18" s="27" t="n">
        <f aca="false">IF(AND(ISNUMBER(BT17),ISNUMBER(BT11)),IFERROR(BT17/BT11,""),"")</f>
        <v>0.185531382946549</v>
      </c>
      <c r="BU18" s="27" t="n">
        <f aca="false">IF(AND(ISNUMBER(BU17),ISNUMBER(BU11)),IFERROR(BU17/BU11,""),"")</f>
        <v>0.200986314317183</v>
      </c>
      <c r="BV18" s="27" t="n">
        <f aca="false">IF(AND(ISNUMBER(BV17),ISNUMBER(BV11)),IFERROR(BV17/BV11,""),"")</f>
        <v>0.17406630083132</v>
      </c>
      <c r="BW18" s="27" t="n">
        <f aca="false">IF(AND(ISNUMBER(BW17),ISNUMBER(BW11)),IFERROR(BW17/BW11,""),"")</f>
        <v>0.153778258976381</v>
      </c>
      <c r="BX18" s="27" t="n">
        <f aca="false">IF(AND(ISNUMBER(BX17),ISNUMBER(BX11)),IFERROR(BX17/BX11,""),"")</f>
        <v>0.18450133512595</v>
      </c>
      <c r="BY18" s="22" t="n">
        <f aca="false">BY19+BY93</f>
        <v>0.192711335993557</v>
      </c>
      <c r="BZ18" s="22" t="n">
        <f aca="false">BZ19+BZ93</f>
        <v>0.208166267364191</v>
      </c>
      <c r="CA18" s="22" t="n">
        <f aca="false">IFERROR(CA17/CA11,"")</f>
        <v>0.185359775180152</v>
      </c>
      <c r="CB18" s="22" t="n">
        <f aca="false">IFERROR(CB17/CB11,"")</f>
        <v>0.192859602972105</v>
      </c>
      <c r="CC18" s="22" t="n">
        <f aca="false">IFERROR(CC17/CC11,"")</f>
        <v>0.199398688236718</v>
      </c>
      <c r="CD18" s="22" t="n">
        <f aca="false">IFERROR(CD17/CD11,"")</f>
        <v>0.205093102110111</v>
      </c>
      <c r="CE18" s="22" t="n">
        <f aca="false">IFERROR(CE17/CE11,"")</f>
        <v>0.210465190669916</v>
      </c>
      <c r="CH18" s="32" t="n">
        <f aca="false">IFERROR(AVERAGE(CA18,CB18,CC18,CD18,CE18),"n/m")</f>
        <v>0.198635271833801</v>
      </c>
      <c r="CI18" s="32" t="n">
        <f aca="false">IFERROR(AVERAGE(BB18,BG18,BL18,BQ18,BV18),"n/m")</f>
        <v>0.16504005852413</v>
      </c>
      <c r="CJ18" s="32" t="n">
        <f aca="false">IFERROR(AVERAGE(AC18,AH18,AM18,AR18,AW18,BB18,BG18,BL18,BQ18,BV18),"n/m")</f>
        <v>0.15777215556778</v>
      </c>
      <c r="CK18" s="32" t="n">
        <f aca="false">IFERROR(AVERAGE(C18,D18,E18,F18,G18,H18,I18,N18,S18,X18,AC18,AH18,AM18,AR18,AW18,BB18,BG18,BL18,BQ18,BV18),"n/m")</f>
        <v>0.15777215556778</v>
      </c>
      <c r="CM18" s="20" t="s">
        <v>134</v>
      </c>
      <c r="CN18" s="23" t="n">
        <v>1075</v>
      </c>
      <c r="CO18" s="23" t="n">
        <v>1065</v>
      </c>
      <c r="CP18" s="23" t="n">
        <v>1055</v>
      </c>
      <c r="CQ18" s="12" t="s">
        <v>135</v>
      </c>
    </row>
    <row r="19" customFormat="false" ht="15" hidden="false" customHeight="false" outlineLevel="0" collapsed="false">
      <c r="B19" s="20" t="s">
        <v>136</v>
      </c>
      <c r="BY19" s="22" t="n">
        <f aca="false">BT18+(($CA$22-$BW$17-$BX$17)-($BT$18*$BY$11+$BU$18*$BZ$11))/($BY$11+$BZ$11)</f>
        <v>0.193223419893383</v>
      </c>
      <c r="BZ19" s="22" t="n">
        <f aca="false">BU18+(($CA$22-$BW$17-$BX$17)-($BT$18*$BY$11+$BU$18*$BZ$11))/($BY$11+$BZ$11)</f>
        <v>0.208678351264017</v>
      </c>
      <c r="CF19" s="18" t="s">
        <v>137</v>
      </c>
      <c r="CM19" s="20" t="s">
        <v>138</v>
      </c>
      <c r="CN19" s="23" t="n">
        <v>298</v>
      </c>
      <c r="CO19" s="23" t="n">
        <v>294.5</v>
      </c>
      <c r="CP19" s="23" t="n">
        <v>291</v>
      </c>
      <c r="CQ19" s="12" t="s">
        <v>139</v>
      </c>
    </row>
    <row r="20" customFormat="false" ht="15" hidden="false" customHeight="false" outlineLevel="0" collapsed="false">
      <c r="B20" s="20" t="s">
        <v>140</v>
      </c>
      <c r="BB20" s="21" t="n">
        <f aca="false">IFERROR((BB17-AW17)/(BB11-AW11),"")</f>
        <v>-1.1580743575159</v>
      </c>
      <c r="BG20" s="21" t="n">
        <f aca="false">IFERROR((BG17-BB17)/(BG11-BB11),"")</f>
        <v>0.351461741212451</v>
      </c>
      <c r="BL20" s="21" t="n">
        <f aca="false">IFERROR((BL17-BG17)/(BL11-BG11),"")</f>
        <v>0.148047584630711</v>
      </c>
      <c r="BQ20" s="21" t="n">
        <f aca="false">IFERROR((BQ17-BL17)/(BQ11-BL11),"")</f>
        <v>0.289143747912259</v>
      </c>
      <c r="BV20" s="21" t="n">
        <f aca="false">IFERROR((BV17-BQ17)/(BV11-BQ11),"")</f>
        <v>0.263495193492729</v>
      </c>
      <c r="CA20" s="22" t="n">
        <f aca="false">IFERROR((CA17-BV17)/(CA11-BV11),"")</f>
        <v>0.311804227323266</v>
      </c>
      <c r="CB20" s="22" t="n">
        <f aca="false">CHOOSE(MATCH($CF$2,{"Bull","Base","Bear"},0),$CN$46,$CO$46,$CP$46)</f>
        <v>0.3</v>
      </c>
      <c r="CC20" s="22" t="n">
        <f aca="false">CHOOSE(MATCH($CF$2,{"Bull","Base","Bear"},0),$CN$47,$CO$47,$CP$47)</f>
        <v>0.3</v>
      </c>
      <c r="CD20" s="22" t="n">
        <f aca="false">CHOOSE(MATCH($CF$2,{"Bull","Base","Bear"},0),$CN$48,$CO$48,$CP$48)</f>
        <v>0.3</v>
      </c>
      <c r="CE20" s="22" t="n">
        <f aca="false">CHOOSE(MATCH($CF$2,{"Bull","Base","Bear"},0),$CN$49,$CO$49,$CP$49)</f>
        <v>0.3</v>
      </c>
      <c r="CM20" s="20" t="s">
        <v>141</v>
      </c>
      <c r="CN20" s="23" t="n">
        <v>1668</v>
      </c>
      <c r="CO20" s="23" t="n">
        <v>1661.5</v>
      </c>
      <c r="CP20" s="23" t="n">
        <v>1655</v>
      </c>
      <c r="CQ20" s="12" t="s">
        <v>142</v>
      </c>
    </row>
    <row r="21" customFormat="false" ht="15" hidden="false" customHeight="false" outlineLevel="0" collapsed="false">
      <c r="B21" s="33" t="s">
        <v>143</v>
      </c>
      <c r="CA21" s="25" t="n">
        <f aca="false">CHOOSE(MATCH($CF$2,{"Bull","Base","Bear"},0),$CN$16,$CO$16,$CP$16)</f>
        <v>1064</v>
      </c>
      <c r="CM21" s="20" t="s">
        <v>144</v>
      </c>
      <c r="CN21" s="23" t="n">
        <v>283</v>
      </c>
      <c r="CO21" s="23" t="n">
        <v>280.5</v>
      </c>
      <c r="CP21" s="23" t="n">
        <v>278</v>
      </c>
      <c r="CQ21" s="12" t="s">
        <v>145</v>
      </c>
    </row>
    <row r="22" customFormat="false" ht="15" hidden="false" customHeight="false" outlineLevel="0" collapsed="false">
      <c r="B22" s="33" t="s">
        <v>146</v>
      </c>
      <c r="CA22" s="25" t="n">
        <f aca="false">CHOOSE(MATCH($CF$2,{"Bull","Base","Bear"},0),$CN$17,$CO$17,$CP$17)</f>
        <v>197.5</v>
      </c>
      <c r="CM22" s="20" t="s">
        <v>147</v>
      </c>
      <c r="CN22" s="23" t="n">
        <v>-44</v>
      </c>
      <c r="CO22" s="23" t="n">
        <v>-43.5</v>
      </c>
      <c r="CP22" s="23" t="n">
        <v>-43</v>
      </c>
      <c r="CQ22" s="12" t="s">
        <v>148</v>
      </c>
    </row>
    <row r="24" customFormat="false" ht="15" hidden="false" customHeight="false" outlineLevel="0" collapsed="false">
      <c r="B24" s="13" t="s">
        <v>149</v>
      </c>
      <c r="CF24" s="14" t="s">
        <v>150</v>
      </c>
      <c r="CM24" s="10" t="s">
        <v>151</v>
      </c>
    </row>
    <row r="25" customFormat="false" ht="15" hidden="false" customHeight="false" outlineLevel="0" collapsed="false">
      <c r="B25" s="15" t="s">
        <v>105</v>
      </c>
      <c r="AS25" s="16" t="n">
        <v>139.581</v>
      </c>
      <c r="AT25" s="16" t="n">
        <v>139.613</v>
      </c>
      <c r="AU25" s="16" t="n">
        <v>148.324</v>
      </c>
      <c r="AV25" s="16" t="n">
        <v>181.239</v>
      </c>
      <c r="AW25" s="16" t="n">
        <v>608.757</v>
      </c>
      <c r="AX25" s="16" t="n">
        <v>181.212</v>
      </c>
      <c r="AY25" s="16" t="n">
        <v>162.351</v>
      </c>
      <c r="AZ25" s="16" t="n">
        <v>181.504</v>
      </c>
      <c r="BA25" s="16" t="n">
        <v>199.259</v>
      </c>
      <c r="BB25" s="16" t="n">
        <v>724.326</v>
      </c>
      <c r="BC25" s="16" t="n">
        <v>143.069</v>
      </c>
      <c r="BD25" s="16" t="n">
        <v>149.549</v>
      </c>
      <c r="BE25" s="16" t="n">
        <v>161.188</v>
      </c>
      <c r="BF25" s="16" t="n">
        <v>236.456</v>
      </c>
      <c r="BG25" s="16" t="n">
        <v>690.262</v>
      </c>
      <c r="BH25" s="16" t="n">
        <v>162.154</v>
      </c>
      <c r="BI25" s="16" t="n">
        <v>197.722</v>
      </c>
      <c r="BJ25" s="16" t="n">
        <v>216.285</v>
      </c>
      <c r="BK25" s="16" t="n">
        <v>239.751</v>
      </c>
      <c r="BL25" s="16" t="n">
        <v>815.912</v>
      </c>
      <c r="BM25" s="16" t="n">
        <v>211.741</v>
      </c>
      <c r="BN25" s="16" t="n">
        <v>228.461</v>
      </c>
      <c r="BO25" s="16" t="n">
        <v>243.029</v>
      </c>
      <c r="BP25" s="16" t="n">
        <v>227.475</v>
      </c>
      <c r="BQ25" s="16" t="n">
        <v>910.706</v>
      </c>
      <c r="BR25" s="16" t="n">
        <v>245.164</v>
      </c>
      <c r="BS25" s="16" t="n">
        <v>253.011</v>
      </c>
      <c r="BT25" s="16" t="n">
        <v>253.159</v>
      </c>
      <c r="BU25" s="16" t="n">
        <v>267.276</v>
      </c>
      <c r="BV25" s="16" t="n">
        <v>1018.61</v>
      </c>
      <c r="BW25" s="16" t="n">
        <v>256.288</v>
      </c>
      <c r="BX25" s="16" t="n">
        <v>245.987</v>
      </c>
      <c r="BY25" s="17" t="n">
        <f aca="false">BT25*(1+BY27)</f>
        <v>273.730433723712</v>
      </c>
      <c r="BZ25" s="17" t="n">
        <f aca="false">BU25*(1+BZ27)</f>
        <v>288.994566276288</v>
      </c>
      <c r="CA25" s="17" t="n">
        <f aca="false">SUM(BW25,BX25,BY25,BZ25)</f>
        <v>1065</v>
      </c>
      <c r="CB25" s="17" t="n">
        <f aca="false">CA25*(1+CB27)</f>
        <v>1128.9</v>
      </c>
      <c r="CC25" s="17" t="n">
        <f aca="false">CB25*(1+CC27)</f>
        <v>1196.634</v>
      </c>
      <c r="CD25" s="17" t="n">
        <f aca="false">CC25*(1+CD27)</f>
        <v>1262.44887</v>
      </c>
      <c r="CE25" s="17" t="n">
        <f aca="false">CD25*(1+CE27)</f>
        <v>1331.88355785</v>
      </c>
      <c r="CF25" s="18" t="s">
        <v>106</v>
      </c>
      <c r="CH25" s="19" t="n">
        <f aca="false">IFERROR((CE25/BV25)^(1/5)-1,"n/m")</f>
        <v>0.0550952416404038</v>
      </c>
      <c r="CI25" s="19" t="n">
        <f aca="false">IFERROR((BV25/AW25)^(1/5)-1,"n/m")</f>
        <v>0.108441541052531</v>
      </c>
      <c r="CJ25" s="19" t="str">
        <f aca="false">IFERROR((BV25/X25)^(1/10)-1,"n/m")</f>
        <v>n/m</v>
      </c>
      <c r="CK25" s="19" t="str">
        <f aca="false">IFERROR((BV25/C25)^(1/19)-1,"n/m")</f>
        <v>n/m</v>
      </c>
      <c r="CM25" s="20" t="s">
        <v>152</v>
      </c>
      <c r="CO25" s="23" t="n">
        <v>41</v>
      </c>
      <c r="CQ25" s="12" t="s">
        <v>153</v>
      </c>
    </row>
    <row r="26" customFormat="false" ht="15" hidden="false" customHeight="false" outlineLevel="0" collapsed="false">
      <c r="B26" s="20" t="s">
        <v>112</v>
      </c>
      <c r="D26" s="21" t="str">
        <f aca="false">IF(AND(ISNUMBER(D25),ISNUMBER(C25)),IFERROR(D25/C25-1,""),"")</f>
        <v/>
      </c>
      <c r="E26" s="21" t="str">
        <f aca="false">IF(AND(ISNUMBER(E25),ISNUMBER(D25)),IFERROR(E25/D25-1,""),"")</f>
        <v/>
      </c>
      <c r="F26" s="21" t="str">
        <f aca="false">IF(AND(ISNUMBER(F25),ISNUMBER(E25)),IFERROR(F25/E25-1,""),"")</f>
        <v/>
      </c>
      <c r="G26" s="21" t="str">
        <f aca="false">IF(AND(ISNUMBER(G25),ISNUMBER(F25)),IFERROR(G25/F25-1,""),"")</f>
        <v/>
      </c>
      <c r="H26" s="21" t="str">
        <f aca="false">IF(AND(ISNUMBER(H25),ISNUMBER(G25)),IFERROR(H25/G25-1,""),"")</f>
        <v/>
      </c>
      <c r="I26" s="21" t="str">
        <f aca="false">IF(AND(ISNUMBER(I25),ISNUMBER(H25)),IFERROR(I25/H25-1,""),"")</f>
        <v/>
      </c>
      <c r="N26" s="21" t="str">
        <f aca="false">IF(AND(ISNUMBER(N25),ISNUMBER(I25)),IFERROR(N25/I25-1,""),"")</f>
        <v/>
      </c>
      <c r="O26" s="21" t="str">
        <f aca="false">IF(AND(ISNUMBER(O25),ISNUMBER(J25)),IFERROR(O25/J25-1,""),"")</f>
        <v/>
      </c>
      <c r="P26" s="21" t="str">
        <f aca="false">IF(AND(ISNUMBER(P25),ISNUMBER(K25)),IFERROR(P25/K25-1,""),"")</f>
        <v/>
      </c>
      <c r="Q26" s="21" t="str">
        <f aca="false">IF(AND(ISNUMBER(Q25),ISNUMBER(L25)),IFERROR(Q25/L25-1,""),"")</f>
        <v/>
      </c>
      <c r="R26" s="21" t="str">
        <f aca="false">IF(AND(ISNUMBER(R25),ISNUMBER(M25)),IFERROR(R25/M25-1,""),"")</f>
        <v/>
      </c>
      <c r="S26" s="21" t="str">
        <f aca="false">IF(AND(ISNUMBER(S25),ISNUMBER(N25)),IFERROR(S25/N25-1,""),"")</f>
        <v/>
      </c>
      <c r="T26" s="21" t="str">
        <f aca="false">IF(AND(ISNUMBER(T25),ISNUMBER(O25)),IFERROR(T25/O25-1,""),"")</f>
        <v/>
      </c>
      <c r="U26" s="21" t="str">
        <f aca="false">IF(AND(ISNUMBER(U25),ISNUMBER(P25)),IFERROR(U25/P25-1,""),"")</f>
        <v/>
      </c>
      <c r="V26" s="21" t="str">
        <f aca="false">IF(AND(ISNUMBER(V25),ISNUMBER(Q25)),IFERROR(V25/Q25-1,""),"")</f>
        <v/>
      </c>
      <c r="W26" s="21" t="str">
        <f aca="false">IF(AND(ISNUMBER(W25),ISNUMBER(R25)),IFERROR(W25/R25-1,""),"")</f>
        <v/>
      </c>
      <c r="X26" s="21" t="str">
        <f aca="false">IF(AND(ISNUMBER(X25),ISNUMBER(S25)),IFERROR(X25/S25-1,""),"")</f>
        <v/>
      </c>
      <c r="Y26" s="21" t="str">
        <f aca="false">IF(AND(ISNUMBER(Y25),ISNUMBER(T25)),IFERROR(Y25/T25-1,""),"")</f>
        <v/>
      </c>
      <c r="Z26" s="21" t="str">
        <f aca="false">IF(AND(ISNUMBER(Z25),ISNUMBER(U25)),IFERROR(Z25/U25-1,""),"")</f>
        <v/>
      </c>
      <c r="AA26" s="21" t="str">
        <f aca="false">IF(AND(ISNUMBER(AA25),ISNUMBER(V25)),IFERROR(AA25/V25-1,""),"")</f>
        <v/>
      </c>
      <c r="AB26" s="21" t="str">
        <f aca="false">IF(AND(ISNUMBER(AB25),ISNUMBER(W25)),IFERROR(AB25/W25-1,""),"")</f>
        <v/>
      </c>
      <c r="AC26" s="21" t="str">
        <f aca="false">IF(AND(ISNUMBER(AC25),ISNUMBER(X25)),IFERROR(AC25/X25-1,""),"")</f>
        <v/>
      </c>
      <c r="AD26" s="21" t="str">
        <f aca="false">IF(AND(ISNUMBER(AD25),ISNUMBER(Y25)),IFERROR(AD25/Y25-1,""),"")</f>
        <v/>
      </c>
      <c r="AE26" s="21" t="str">
        <f aca="false">IF(AND(ISNUMBER(AE25),ISNUMBER(Z25)),IFERROR(AE25/Z25-1,""),"")</f>
        <v/>
      </c>
      <c r="AF26" s="21" t="str">
        <f aca="false">IF(AND(ISNUMBER(AF25),ISNUMBER(AA25)),IFERROR(AF25/AA25-1,""),"")</f>
        <v/>
      </c>
      <c r="AG26" s="21" t="str">
        <f aca="false">IF(AND(ISNUMBER(AG25),ISNUMBER(AB25)),IFERROR(AG25/AB25-1,""),"")</f>
        <v/>
      </c>
      <c r="AH26" s="21" t="str">
        <f aca="false">IF(AND(ISNUMBER(AH25),ISNUMBER(AC25)),IFERROR(AH25/AC25-1,""),"")</f>
        <v/>
      </c>
      <c r="AI26" s="21" t="str">
        <f aca="false">IF(AND(ISNUMBER(AI25),ISNUMBER(AD25)),IFERROR(AI25/AD25-1,""),"")</f>
        <v/>
      </c>
      <c r="AJ26" s="21" t="str">
        <f aca="false">IF(AND(ISNUMBER(AJ25),ISNUMBER(AE25)),IFERROR(AJ25/AE25-1,""),"")</f>
        <v/>
      </c>
      <c r="AK26" s="21" t="str">
        <f aca="false">IF(AND(ISNUMBER(AK25),ISNUMBER(AF25)),IFERROR(AK25/AF25-1,""),"")</f>
        <v/>
      </c>
      <c r="AL26" s="21" t="str">
        <f aca="false">IF(AND(ISNUMBER(AL25),ISNUMBER(AG25)),IFERROR(AL25/AG25-1,""),"")</f>
        <v/>
      </c>
      <c r="AM26" s="21" t="str">
        <f aca="false">IF(AND(ISNUMBER(AM25),ISNUMBER(AH25)),IFERROR(AM25/AH25-1,""),"")</f>
        <v/>
      </c>
      <c r="AN26" s="21" t="str">
        <f aca="false">IF(AND(ISNUMBER(AN25),ISNUMBER(AI25)),IFERROR(AN25/AI25-1,""),"")</f>
        <v/>
      </c>
      <c r="AO26" s="21" t="str">
        <f aca="false">IF(AND(ISNUMBER(AO25),ISNUMBER(AJ25)),IFERROR(AO25/AJ25-1,""),"")</f>
        <v/>
      </c>
      <c r="AP26" s="21" t="str">
        <f aca="false">IF(AND(ISNUMBER(AP25),ISNUMBER(AK25)),IFERROR(AP25/AK25-1,""),"")</f>
        <v/>
      </c>
      <c r="AQ26" s="21" t="str">
        <f aca="false">IF(AND(ISNUMBER(AQ25),ISNUMBER(AL25)),IFERROR(AQ25/AL25-1,""),"")</f>
        <v/>
      </c>
      <c r="AR26" s="21" t="str">
        <f aca="false">IF(AND(ISNUMBER(AR25),ISNUMBER(AM25)),IFERROR(AR25/AM25-1,""),"")</f>
        <v/>
      </c>
      <c r="AS26" s="21" t="str">
        <f aca="false">IF(AND(ISNUMBER(AS25),ISNUMBER(AN25)),IFERROR(AS25/AN25-1,""),"")</f>
        <v/>
      </c>
      <c r="AT26" s="21" t="str">
        <f aca="false">IF(AND(ISNUMBER(AT25),ISNUMBER(AO25)),IFERROR(AT25/AO25-1,""),"")</f>
        <v/>
      </c>
      <c r="AU26" s="21" t="str">
        <f aca="false">IF(AND(ISNUMBER(AU25),ISNUMBER(AP25)),IFERROR(AU25/AP25-1,""),"")</f>
        <v/>
      </c>
      <c r="AV26" s="21" t="str">
        <f aca="false">IF(AND(ISNUMBER(AV25),ISNUMBER(AQ25)),IFERROR(AV25/AQ25-1,""),"")</f>
        <v/>
      </c>
      <c r="AW26" s="21" t="str">
        <f aca="false">IF(AND(ISNUMBER(AW25),ISNUMBER(AR25)),IFERROR(AW25/AR25-1,""),"")</f>
        <v/>
      </c>
      <c r="AX26" s="21" t="n">
        <f aca="false">IF(AND(ISNUMBER(AX25),ISNUMBER(AS25)),IFERROR(AX25/AS25-1,""),"")</f>
        <v>0.298256926085929</v>
      </c>
      <c r="AY26" s="21" t="n">
        <f aca="false">IF(AND(ISNUMBER(AY25),ISNUMBER(AT25)),IFERROR(AY25/AT25-1,""),"")</f>
        <v>0.162864489696518</v>
      </c>
      <c r="AZ26" s="21" t="n">
        <f aca="false">IF(AND(ISNUMBER(AZ25),ISNUMBER(AU25)),IFERROR(AZ25/AU25-1,""),"")</f>
        <v>0.223699468730617</v>
      </c>
      <c r="BA26" s="21" t="n">
        <f aca="false">IF(AND(ISNUMBER(BA25),ISNUMBER(AV25)),IFERROR(BA25/AV25-1,""),"")</f>
        <v>0.0994267238287565</v>
      </c>
      <c r="BB26" s="21" t="n">
        <f aca="false">IF(AND(ISNUMBER(BB25),ISNUMBER(AW25)),IFERROR(BB25/AW25-1,""),"")</f>
        <v>0.189844223557183</v>
      </c>
      <c r="BC26" s="21" t="n">
        <f aca="false">IF(AND(ISNUMBER(BC25),ISNUMBER(AX25)),IFERROR(BC25/AX25-1,""),"")</f>
        <v>-0.210488267885129</v>
      </c>
      <c r="BD26" s="21" t="n">
        <f aca="false">IF(AND(ISNUMBER(BD25),ISNUMBER(AY25)),IFERROR(BD25/AY25-1,""),"")</f>
        <v>-0.0788538413683931</v>
      </c>
      <c r="BE26" s="21" t="n">
        <f aca="false">IF(AND(ISNUMBER(BE25),ISNUMBER(AZ25)),IFERROR(BE25/AZ25-1,""),"")</f>
        <v>-0.111931417489422</v>
      </c>
      <c r="BF26" s="21" t="n">
        <f aca="false">IF(AND(ISNUMBER(BF25),ISNUMBER(BA25)),IFERROR(BF25/BA25-1,""),"")</f>
        <v>0.186676636939862</v>
      </c>
      <c r="BG26" s="21" t="n">
        <f aca="false">IF(AND(ISNUMBER(BG25),ISNUMBER(BB25)),IFERROR(BG25/BB25-1,""),"")</f>
        <v>-0.047028547919031</v>
      </c>
      <c r="BH26" s="21" t="n">
        <f aca="false">IF(AND(ISNUMBER(BH25),ISNUMBER(BC25)),IFERROR(BH25/BC25-1,""),"")</f>
        <v>0.133397171993933</v>
      </c>
      <c r="BI26" s="21" t="n">
        <f aca="false">IF(AND(ISNUMBER(BI25),ISNUMBER(BD25)),IFERROR(BI25/BD25-1,""),"")</f>
        <v>0.322121846351363</v>
      </c>
      <c r="BJ26" s="21" t="n">
        <f aca="false">IF(AND(ISNUMBER(BJ25),ISNUMBER(BE25)),IFERROR(BJ25/BE25-1,""),"")</f>
        <v>0.341818249497481</v>
      </c>
      <c r="BK26" s="21" t="n">
        <f aca="false">IF(AND(ISNUMBER(BK25),ISNUMBER(BF25)),IFERROR(BK25/BF25-1,""),"")</f>
        <v>0.0139349392698853</v>
      </c>
      <c r="BL26" s="21" t="n">
        <f aca="false">IF(AND(ISNUMBER(BL25),ISNUMBER(BG25)),IFERROR(BL25/BG25-1,""),"")</f>
        <v>0.18203232975305</v>
      </c>
      <c r="BM26" s="21" t="n">
        <f aca="false">IF(AND(ISNUMBER(BM25),ISNUMBER(BH25)),IFERROR(BM25/BH25-1,""),"")</f>
        <v>0.305801892028565</v>
      </c>
      <c r="BN26" s="21" t="n">
        <f aca="false">IF(AND(ISNUMBER(BN25),ISNUMBER(BI25)),IFERROR(BN25/BI25-1,""),"")</f>
        <v>0.155465754948868</v>
      </c>
      <c r="BO26" s="21" t="n">
        <f aca="false">IF(AND(ISNUMBER(BO25),ISNUMBER(BJ25)),IFERROR(BO25/BJ25-1,""),"")</f>
        <v>0.123651663314608</v>
      </c>
      <c r="BP26" s="21" t="n">
        <f aca="false">IF(AND(ISNUMBER(BP25),ISNUMBER(BK25)),IFERROR(BP25/BK25-1,""),"")</f>
        <v>-0.0512031232403619</v>
      </c>
      <c r="BQ26" s="21" t="n">
        <f aca="false">IF(AND(ISNUMBER(BQ25),ISNUMBER(BL25)),IFERROR(BQ25/BL25-1,""),"")</f>
        <v>0.116181647040367</v>
      </c>
      <c r="BR26" s="21" t="n">
        <f aca="false">IF(AND(ISNUMBER(BR25),ISNUMBER(BM25)),IFERROR(BR25/BM25-1,""),"")</f>
        <v>0.157848503596375</v>
      </c>
      <c r="BS26" s="21" t="n">
        <f aca="false">IF(AND(ISNUMBER(BS25),ISNUMBER(BN25)),IFERROR(BS25/BN25-1,""),"")</f>
        <v>0.107458165726317</v>
      </c>
      <c r="BT26" s="21" t="n">
        <f aca="false">IF(AND(ISNUMBER(BT25),ISNUMBER(BO25)),IFERROR(BT25/BO25-1,""),"")</f>
        <v>0.0416822683712643</v>
      </c>
      <c r="BU26" s="21" t="n">
        <f aca="false">IF(AND(ISNUMBER(BU25),ISNUMBER(BP25)),IFERROR(BU25/BP25-1,""),"")</f>
        <v>0.17496867787669</v>
      </c>
      <c r="BV26" s="21" t="n">
        <f aca="false">IF(AND(ISNUMBER(BV25),ISNUMBER(BQ25)),IFERROR(BV25/BQ25-1,""),"")</f>
        <v>0.118483901500594</v>
      </c>
      <c r="BW26" s="21" t="n">
        <f aca="false">IF(AND(ISNUMBER(BW25),ISNUMBER(BR25)),IFERROR(BW25/BR25-1,""),"")</f>
        <v>0.0453737090274267</v>
      </c>
      <c r="BX26" s="21" t="n">
        <f aca="false">IF(AND(ISNUMBER(BX25),ISNUMBER(BS25)),IFERROR(BX25/BS25-1,""),"")</f>
        <v>-0.0277616388220275</v>
      </c>
      <c r="BY26" s="22" t="n">
        <f aca="false">IFERROR(BY25/BT25-1,"")</f>
        <v>0.0812589468425453</v>
      </c>
      <c r="BZ26" s="22" t="n">
        <f aca="false">IFERROR(BZ25/BU25-1,"")</f>
        <v>0.0812589468425453</v>
      </c>
      <c r="CA26" s="22" t="n">
        <f aca="false">IFERROR(CA25/BV25-1,"")</f>
        <v>0.0455424549140495</v>
      </c>
      <c r="CB26" s="22" t="n">
        <f aca="false">IFERROR(CB25/CA25-1,"")</f>
        <v>0.0600000000000001</v>
      </c>
      <c r="CC26" s="22" t="n">
        <f aca="false">IFERROR(CC25/CB25-1,"")</f>
        <v>0.0600000000000001</v>
      </c>
      <c r="CD26" s="22" t="n">
        <f aca="false">IFERROR(CD25/CC25-1,"")</f>
        <v>0.0549999999999999</v>
      </c>
      <c r="CE26" s="22" t="n">
        <f aca="false">IFERROR(CE25/CD25-1,"")</f>
        <v>0.0549999999999999</v>
      </c>
      <c r="CM26" s="20" t="s">
        <v>154</v>
      </c>
      <c r="CO26" s="23" t="n">
        <v>51</v>
      </c>
      <c r="CQ26" s="12" t="s">
        <v>155</v>
      </c>
    </row>
    <row r="27" customFormat="false" ht="15" hidden="false" customHeight="false" outlineLevel="0" collapsed="false">
      <c r="B27" s="20" t="s">
        <v>115</v>
      </c>
      <c r="BY27" s="22" t="n">
        <f aca="false">($CA$35-$BW$25-$BX$25)/($BT$25+$BU$25)-1+BY89</f>
        <v>0.0812589468425453</v>
      </c>
      <c r="BZ27" s="22" t="n">
        <f aca="false">($CA$35-$BW$25-$BX$25)/($BT$25+$BU$25)-1+BZ89</f>
        <v>0.0812589468425453</v>
      </c>
      <c r="CA27" s="22" t="n">
        <f aca="false">IFERROR(CA25/BV25-1,"")</f>
        <v>0.0455424549140495</v>
      </c>
      <c r="CB27" s="22" t="n">
        <f aca="false">CHOOSE(MATCH($CF$2,{"Bull","Base","Bear"},0),$CN$52,$CO$52,$CP$52)</f>
        <v>0.06</v>
      </c>
      <c r="CC27" s="22" t="n">
        <f aca="false">CHOOSE(MATCH($CF$2,{"Bull","Base","Bear"},0),$CN$53,$CO$53,$CP$53)</f>
        <v>0.06</v>
      </c>
      <c r="CD27" s="22" t="n">
        <f aca="false">CHOOSE(MATCH($CF$2,{"Bull","Base","Bear"},0),$CN$54,$CO$54,$CP$54)</f>
        <v>0.055</v>
      </c>
      <c r="CE27" s="22" t="n">
        <f aca="false">CHOOSE(MATCH($CF$2,{"Bull","Base","Bear"},0),$CN$55,$CO$55,$CP$55)</f>
        <v>0.055</v>
      </c>
      <c r="CF27" s="18" t="s">
        <v>116</v>
      </c>
      <c r="CM27" s="20" t="s">
        <v>156</v>
      </c>
      <c r="CO27" s="23" t="n">
        <v>17</v>
      </c>
      <c r="CQ27" s="12" t="s">
        <v>157</v>
      </c>
    </row>
    <row r="28" customFormat="false" ht="15" hidden="false" customHeight="false" outlineLevel="0" collapsed="false">
      <c r="B28" s="20" t="s">
        <v>119</v>
      </c>
      <c r="AS28" s="24" t="n">
        <v>24.063</v>
      </c>
      <c r="AT28" s="24" t="n">
        <v>24.736</v>
      </c>
      <c r="AU28" s="24" t="n">
        <v>35.103</v>
      </c>
      <c r="AV28" s="24" t="n">
        <v>34.846</v>
      </c>
      <c r="AW28" s="24" t="n">
        <v>118.748</v>
      </c>
      <c r="AX28" s="24" t="n">
        <v>36.623</v>
      </c>
      <c r="AY28" s="24" t="n">
        <v>29.271</v>
      </c>
      <c r="AZ28" s="24" t="n">
        <v>40.762</v>
      </c>
      <c r="BA28" s="24" t="n">
        <v>52.433</v>
      </c>
      <c r="BB28" s="24" t="n">
        <v>159.089</v>
      </c>
      <c r="BC28" s="24" t="n">
        <v>23.29</v>
      </c>
      <c r="BD28" s="24" t="n">
        <v>24.46</v>
      </c>
      <c r="BE28" s="24" t="n">
        <v>36.588</v>
      </c>
      <c r="BF28" s="24" t="n">
        <v>70.23</v>
      </c>
      <c r="BG28" s="24" t="n">
        <v>154.568</v>
      </c>
      <c r="BH28" s="24" t="n">
        <v>23.368</v>
      </c>
      <c r="BI28" s="24" t="n">
        <v>43.18</v>
      </c>
      <c r="BJ28" s="24" t="n">
        <v>56.212</v>
      </c>
      <c r="BK28" s="24" t="n">
        <v>69.015</v>
      </c>
      <c r="BL28" s="24" t="n">
        <v>191.775</v>
      </c>
      <c r="BM28" s="24" t="n">
        <v>48.081</v>
      </c>
      <c r="BN28" s="24" t="n">
        <v>58.244</v>
      </c>
      <c r="BO28" s="24" t="n">
        <v>63.639</v>
      </c>
      <c r="BP28" s="24" t="n">
        <v>54.775</v>
      </c>
      <c r="BQ28" s="24" t="n">
        <v>224.739</v>
      </c>
      <c r="BR28" s="24" t="n">
        <v>67.449</v>
      </c>
      <c r="BS28" s="24" t="n">
        <v>67.833</v>
      </c>
      <c r="BT28" s="24" t="n">
        <v>73.957</v>
      </c>
      <c r="BU28" s="24" t="n">
        <v>68.777</v>
      </c>
      <c r="BV28" s="24" t="n">
        <v>278.016</v>
      </c>
      <c r="BW28" s="24" t="n">
        <v>71.927</v>
      </c>
      <c r="BX28" s="24" t="n">
        <v>68.768</v>
      </c>
      <c r="BY28" s="25" t="n">
        <f aca="false">BY31-BY30</f>
        <v>79.3387631896267</v>
      </c>
      <c r="BZ28" s="25" t="n">
        <f aca="false">BZ31-BZ30</f>
        <v>74.0520743978437</v>
      </c>
      <c r="CA28" s="25" t="n">
        <f aca="false">SUM(BW28,BX28,BY28,BZ28)</f>
        <v>294.08583758747</v>
      </c>
      <c r="CB28" s="25" t="n">
        <f aca="false">CB31-CB30</f>
        <v>314.65983758747</v>
      </c>
      <c r="CC28" s="25" t="n">
        <f aca="false">CC31-CC30</f>
        <v>336.33471758747</v>
      </c>
      <c r="CD28" s="25" t="n">
        <f aca="false">CD31-CD30</f>
        <v>356.07917858747</v>
      </c>
      <c r="CE28" s="25" t="n">
        <f aca="false">CE31-CE30</f>
        <v>376.90958494247</v>
      </c>
      <c r="CM28" s="20" t="s">
        <v>158</v>
      </c>
      <c r="CO28" s="34" t="n">
        <v>0.215</v>
      </c>
      <c r="CQ28" s="12" t="s">
        <v>159</v>
      </c>
    </row>
    <row r="29" customFormat="false" ht="15" hidden="false" customHeight="false" outlineLevel="0" collapsed="false">
      <c r="B29" s="20" t="s">
        <v>122</v>
      </c>
      <c r="C29" s="27" t="str">
        <f aca="false">IF(AND(ISNUMBER(C28),ISNUMBER(C25)),IFERROR(C28/C25,""),"")</f>
        <v/>
      </c>
      <c r="D29" s="27" t="str">
        <f aca="false">IF(AND(ISNUMBER(D28),ISNUMBER(D25)),IFERROR(D28/D25,""),"")</f>
        <v/>
      </c>
      <c r="E29" s="27" t="str">
        <f aca="false">IF(AND(ISNUMBER(E28),ISNUMBER(E25)),IFERROR(E28/E25,""),"")</f>
        <v/>
      </c>
      <c r="F29" s="27" t="str">
        <f aca="false">IF(AND(ISNUMBER(F28),ISNUMBER(F25)),IFERROR(F28/F25,""),"")</f>
        <v/>
      </c>
      <c r="G29" s="27" t="str">
        <f aca="false">IF(AND(ISNUMBER(G28),ISNUMBER(G25)),IFERROR(G28/G25,""),"")</f>
        <v/>
      </c>
      <c r="H29" s="27" t="str">
        <f aca="false">IF(AND(ISNUMBER(H28),ISNUMBER(H25)),IFERROR(H28/H25,""),"")</f>
        <v/>
      </c>
      <c r="I29" s="27" t="str">
        <f aca="false">IF(AND(ISNUMBER(I28),ISNUMBER(I25)),IFERROR(I28/I25,""),"")</f>
        <v/>
      </c>
      <c r="J29" s="27" t="str">
        <f aca="false">IF(AND(ISNUMBER(J28),ISNUMBER(J25)),IFERROR(J28/J25,""),"")</f>
        <v/>
      </c>
      <c r="K29" s="27" t="str">
        <f aca="false">IF(AND(ISNUMBER(K28),ISNUMBER(K25)),IFERROR(K28/K25,""),"")</f>
        <v/>
      </c>
      <c r="L29" s="27" t="str">
        <f aca="false">IF(AND(ISNUMBER(L28),ISNUMBER(L25)),IFERROR(L28/L25,""),"")</f>
        <v/>
      </c>
      <c r="M29" s="27" t="str">
        <f aca="false">IF(AND(ISNUMBER(M28),ISNUMBER(M25)),IFERROR(M28/M25,""),"")</f>
        <v/>
      </c>
      <c r="N29" s="27" t="str">
        <f aca="false">IF(AND(ISNUMBER(N28),ISNUMBER(N25)),IFERROR(N28/N25,""),"")</f>
        <v/>
      </c>
      <c r="O29" s="27" t="str">
        <f aca="false">IF(AND(ISNUMBER(O28),ISNUMBER(O25)),IFERROR(O28/O25,""),"")</f>
        <v/>
      </c>
      <c r="P29" s="27" t="str">
        <f aca="false">IF(AND(ISNUMBER(P28),ISNUMBER(P25)),IFERROR(P28/P25,""),"")</f>
        <v/>
      </c>
      <c r="Q29" s="27" t="str">
        <f aca="false">IF(AND(ISNUMBER(Q28),ISNUMBER(Q25)),IFERROR(Q28/Q25,""),"")</f>
        <v/>
      </c>
      <c r="R29" s="27" t="str">
        <f aca="false">IF(AND(ISNUMBER(R28),ISNUMBER(R25)),IFERROR(R28/R25,""),"")</f>
        <v/>
      </c>
      <c r="S29" s="27" t="str">
        <f aca="false">IF(AND(ISNUMBER(S28),ISNUMBER(S25)),IFERROR(S28/S25,""),"")</f>
        <v/>
      </c>
      <c r="T29" s="27" t="str">
        <f aca="false">IF(AND(ISNUMBER(T28),ISNUMBER(T25)),IFERROR(T28/T25,""),"")</f>
        <v/>
      </c>
      <c r="U29" s="27" t="str">
        <f aca="false">IF(AND(ISNUMBER(U28),ISNUMBER(U25)),IFERROR(U28/U25,""),"")</f>
        <v/>
      </c>
      <c r="V29" s="27" t="str">
        <f aca="false">IF(AND(ISNUMBER(V28),ISNUMBER(V25)),IFERROR(V28/V25,""),"")</f>
        <v/>
      </c>
      <c r="W29" s="27" t="str">
        <f aca="false">IF(AND(ISNUMBER(W28),ISNUMBER(W25)),IFERROR(W28/W25,""),"")</f>
        <v/>
      </c>
      <c r="X29" s="27" t="str">
        <f aca="false">IF(AND(ISNUMBER(X28),ISNUMBER(X25)),IFERROR(X28/X25,""),"")</f>
        <v/>
      </c>
      <c r="Y29" s="27" t="str">
        <f aca="false">IF(AND(ISNUMBER(Y28),ISNUMBER(Y25)),IFERROR(Y28/Y25,""),"")</f>
        <v/>
      </c>
      <c r="Z29" s="27" t="str">
        <f aca="false">IF(AND(ISNUMBER(Z28),ISNUMBER(Z25)),IFERROR(Z28/Z25,""),"")</f>
        <v/>
      </c>
      <c r="AA29" s="27" t="str">
        <f aca="false">IF(AND(ISNUMBER(AA28),ISNUMBER(AA25)),IFERROR(AA28/AA25,""),"")</f>
        <v/>
      </c>
      <c r="AB29" s="27" t="str">
        <f aca="false">IF(AND(ISNUMBER(AB28),ISNUMBER(AB25)),IFERROR(AB28/AB25,""),"")</f>
        <v/>
      </c>
      <c r="AC29" s="27" t="str">
        <f aca="false">IF(AND(ISNUMBER(AC28),ISNUMBER(AC25)),IFERROR(AC28/AC25,""),"")</f>
        <v/>
      </c>
      <c r="AD29" s="27" t="str">
        <f aca="false">IF(AND(ISNUMBER(AD28),ISNUMBER(AD25)),IFERROR(AD28/AD25,""),"")</f>
        <v/>
      </c>
      <c r="AE29" s="27" t="str">
        <f aca="false">IF(AND(ISNUMBER(AE28),ISNUMBER(AE25)),IFERROR(AE28/AE25,""),"")</f>
        <v/>
      </c>
      <c r="AF29" s="27" t="str">
        <f aca="false">IF(AND(ISNUMBER(AF28),ISNUMBER(AF25)),IFERROR(AF28/AF25,""),"")</f>
        <v/>
      </c>
      <c r="AG29" s="27" t="str">
        <f aca="false">IF(AND(ISNUMBER(AG28),ISNUMBER(AG25)),IFERROR(AG28/AG25,""),"")</f>
        <v/>
      </c>
      <c r="AH29" s="27" t="str">
        <f aca="false">IF(AND(ISNUMBER(AH28),ISNUMBER(AH25)),IFERROR(AH28/AH25,""),"")</f>
        <v/>
      </c>
      <c r="AI29" s="27" t="str">
        <f aca="false">IF(AND(ISNUMBER(AI28),ISNUMBER(AI25)),IFERROR(AI28/AI25,""),"")</f>
        <v/>
      </c>
      <c r="AJ29" s="27" t="str">
        <f aca="false">IF(AND(ISNUMBER(AJ28),ISNUMBER(AJ25)),IFERROR(AJ28/AJ25,""),"")</f>
        <v/>
      </c>
      <c r="AK29" s="27" t="str">
        <f aca="false">IF(AND(ISNUMBER(AK28),ISNUMBER(AK25)),IFERROR(AK28/AK25,""),"")</f>
        <v/>
      </c>
      <c r="AL29" s="27" t="str">
        <f aca="false">IF(AND(ISNUMBER(AL28),ISNUMBER(AL25)),IFERROR(AL28/AL25,""),"")</f>
        <v/>
      </c>
      <c r="AM29" s="27" t="str">
        <f aca="false">IF(AND(ISNUMBER(AM28),ISNUMBER(AM25)),IFERROR(AM28/AM25,""),"")</f>
        <v/>
      </c>
      <c r="AN29" s="27" t="str">
        <f aca="false">IF(AND(ISNUMBER(AN28),ISNUMBER(AN25)),IFERROR(AN28/AN25,""),"")</f>
        <v/>
      </c>
      <c r="AO29" s="27" t="str">
        <f aca="false">IF(AND(ISNUMBER(AO28),ISNUMBER(AO25)),IFERROR(AO28/AO25,""),"")</f>
        <v/>
      </c>
      <c r="AP29" s="27" t="str">
        <f aca="false">IF(AND(ISNUMBER(AP28),ISNUMBER(AP25)),IFERROR(AP28/AP25,""),"")</f>
        <v/>
      </c>
      <c r="AQ29" s="27" t="str">
        <f aca="false">IF(AND(ISNUMBER(AQ28),ISNUMBER(AQ25)),IFERROR(AQ28/AQ25,""),"")</f>
        <v/>
      </c>
      <c r="AR29" s="27" t="str">
        <f aca="false">IF(AND(ISNUMBER(AR28),ISNUMBER(AR25)),IFERROR(AR28/AR25,""),"")</f>
        <v/>
      </c>
      <c r="AS29" s="27" t="n">
        <f aca="false">IF(AND(ISNUMBER(AS28),ISNUMBER(AS25)),IFERROR(AS28/AS25,""),"")</f>
        <v>0.172394523609947</v>
      </c>
      <c r="AT29" s="27" t="n">
        <f aca="false">IF(AND(ISNUMBER(AT28),ISNUMBER(AT25)),IFERROR(AT28/AT25,""),"")</f>
        <v>0.177175477928273</v>
      </c>
      <c r="AU29" s="27" t="n">
        <f aca="false">IF(AND(ISNUMBER(AU28),ISNUMBER(AU25)),IFERROR(AU28/AU25,""),"")</f>
        <v>0.236664329440954</v>
      </c>
      <c r="AV29" s="27" t="n">
        <f aca="false">IF(AND(ISNUMBER(AV28),ISNUMBER(AV25)),IFERROR(AV28/AV25,""),"")</f>
        <v>0.192265461628016</v>
      </c>
      <c r="AW29" s="27" t="n">
        <f aca="false">IF(AND(ISNUMBER(AW28),ISNUMBER(AW25)),IFERROR(AW28/AW25,""),"")</f>
        <v>0.19506634009958</v>
      </c>
      <c r="AX29" s="27" t="n">
        <f aca="false">IF(AND(ISNUMBER(AX28),ISNUMBER(AX25)),IFERROR(AX28/AX25,""),"")</f>
        <v>0.202100302408229</v>
      </c>
      <c r="AY29" s="27" t="n">
        <f aca="false">IF(AND(ISNUMBER(AY28),ISNUMBER(AY25)),IFERROR(AY28/AY25,""),"")</f>
        <v>0.180294547000018</v>
      </c>
      <c r="AZ29" s="27" t="n">
        <f aca="false">IF(AND(ISNUMBER(AZ28),ISNUMBER(AZ25)),IFERROR(AZ28/AZ25,""),"")</f>
        <v>0.224579072637518</v>
      </c>
      <c r="BA29" s="27" t="n">
        <f aca="false">IF(AND(ISNUMBER(BA28),ISNUMBER(BA25)),IFERROR(BA28/BA25,""),"")</f>
        <v>0.263139933453445</v>
      </c>
      <c r="BB29" s="27" t="n">
        <f aca="false">IF(AND(ISNUMBER(BB28),ISNUMBER(BB25)),IFERROR(BB28/BB25,""),"")</f>
        <v>0.219637290391343</v>
      </c>
      <c r="BC29" s="27" t="n">
        <f aca="false">IF(AND(ISNUMBER(BC28),ISNUMBER(BC25)),IFERROR(BC28/BC25,""),"")</f>
        <v>0.162788584529143</v>
      </c>
      <c r="BD29" s="27" t="n">
        <f aca="false">IF(AND(ISNUMBER(BD28),ISNUMBER(BD25)),IFERROR(BD28/BD25,""),"")</f>
        <v>0.163558432353276</v>
      </c>
      <c r="BE29" s="27" t="n">
        <f aca="false">IF(AND(ISNUMBER(BE28),ISNUMBER(BE25)),IFERROR(BE28/BE25,""),"")</f>
        <v>0.226989602203638</v>
      </c>
      <c r="BF29" s="27" t="n">
        <f aca="false">IF(AND(ISNUMBER(BF28),ISNUMBER(BF25)),IFERROR(BF28/BF25,""),"")</f>
        <v>0.297010860371486</v>
      </c>
      <c r="BG29" s="27" t="n">
        <f aca="false">IF(AND(ISNUMBER(BG28),ISNUMBER(BG25)),IFERROR(BG28/BG25,""),"")</f>
        <v>0.223926567013685</v>
      </c>
      <c r="BH29" s="27" t="n">
        <f aca="false">IF(AND(ISNUMBER(BH28),ISNUMBER(BH25)),IFERROR(BH28/BH25,""),"")</f>
        <v>0.144109920199317</v>
      </c>
      <c r="BI29" s="27" t="n">
        <f aca="false">IF(AND(ISNUMBER(BI28),ISNUMBER(BI25)),IFERROR(BI28/BI25,""),"")</f>
        <v>0.218387432860279</v>
      </c>
      <c r="BJ29" s="27" t="n">
        <f aca="false">IF(AND(ISNUMBER(BJ28),ISNUMBER(BJ25)),IFERROR(BJ28/BJ25,""),"")</f>
        <v>0.259897820006011</v>
      </c>
      <c r="BK29" s="27" t="n">
        <f aca="false">IF(AND(ISNUMBER(BK28),ISNUMBER(BK25)),IFERROR(BK28/BK25,""),"")</f>
        <v>0.287861155949297</v>
      </c>
      <c r="BL29" s="27" t="n">
        <f aca="false">IF(AND(ISNUMBER(BL28),ISNUMBER(BL25)),IFERROR(BL28/BL25,""),"")</f>
        <v>0.235043730206199</v>
      </c>
      <c r="BM29" s="27" t="n">
        <f aca="false">IF(AND(ISNUMBER(BM28),ISNUMBER(BM25)),IFERROR(BM28/BM25,""),"")</f>
        <v>0.227074586405089</v>
      </c>
      <c r="BN29" s="27" t="n">
        <f aca="false">IF(AND(ISNUMBER(BN28),ISNUMBER(BN25)),IFERROR(BN28/BN25,""),"")</f>
        <v>0.254940668210329</v>
      </c>
      <c r="BO29" s="27" t="n">
        <f aca="false">IF(AND(ISNUMBER(BO28),ISNUMBER(BO25)),IFERROR(BO28/BO25,""),"")</f>
        <v>0.261857638388834</v>
      </c>
      <c r="BP29" s="27" t="n">
        <f aca="false">IF(AND(ISNUMBER(BP28),ISNUMBER(BP25)),IFERROR(BP28/BP25,""),"")</f>
        <v>0.240795691834268</v>
      </c>
      <c r="BQ29" s="27" t="n">
        <f aca="false">IF(AND(ISNUMBER(BQ28),ISNUMBER(BQ25)),IFERROR(BQ28/BQ25,""),"")</f>
        <v>0.246774480458018</v>
      </c>
      <c r="BR29" s="27" t="n">
        <f aca="false">IF(AND(ISNUMBER(BR28),ISNUMBER(BR25)),IFERROR(BR28/BR25,""),"")</f>
        <v>0.27511788027606</v>
      </c>
      <c r="BS29" s="27" t="n">
        <f aca="false">IF(AND(ISNUMBER(BS28),ISNUMBER(BS25)),IFERROR(BS28/BS25,""),"")</f>
        <v>0.268102967855153</v>
      </c>
      <c r="BT29" s="27" t="n">
        <f aca="false">IF(AND(ISNUMBER(BT28),ISNUMBER(BT25)),IFERROR(BT28/BT25,""),"")</f>
        <v>0.292136562397545</v>
      </c>
      <c r="BU29" s="27" t="n">
        <f aca="false">IF(AND(ISNUMBER(BU28),ISNUMBER(BU25)),IFERROR(BU28/BU25,""),"")</f>
        <v>0.257325760636945</v>
      </c>
      <c r="BV29" s="27" t="n">
        <f aca="false">IF(AND(ISNUMBER(BV28),ISNUMBER(BV25)),IFERROR(BV28/BV25,""),"")</f>
        <v>0.272936648962802</v>
      </c>
      <c r="BW29" s="27" t="n">
        <f aca="false">IF(AND(ISNUMBER(BW28),ISNUMBER(BW25)),IFERROR(BW28/BW25,""),"")</f>
        <v>0.280649113497316</v>
      </c>
      <c r="BX29" s="27" t="n">
        <f aca="false">IF(AND(ISNUMBER(BX28),ISNUMBER(BX25)),IFERROR(BX28/BX25,""),"")</f>
        <v>0.279559488916081</v>
      </c>
      <c r="BY29" s="22" t="n">
        <f aca="false">IFERROR(BY28/BY25,"")</f>
        <v>0.289842682489981</v>
      </c>
      <c r="BZ29" s="22" t="n">
        <f aca="false">IFERROR(BZ28/BZ25,"")</f>
        <v>0.256240369332922</v>
      </c>
      <c r="CA29" s="22" t="n">
        <f aca="false">IFERROR(CA28/CA25,"")</f>
        <v>0.27613693670185</v>
      </c>
      <c r="CB29" s="22" t="n">
        <f aca="false">IFERROR(CB28/CB25,"")</f>
        <v>0.278731364680193</v>
      </c>
      <c r="CC29" s="22" t="n">
        <f aca="false">IFERROR(CC28/CC25,"")</f>
        <v>0.281067325169994</v>
      </c>
      <c r="CD29" s="22" t="n">
        <f aca="false">IFERROR(CD28/CD25,"")</f>
        <v>0.282054336654023</v>
      </c>
      <c r="CE29" s="22" t="n">
        <f aca="false">IFERROR(CE28/CE25,"")</f>
        <v>0.282989892563055</v>
      </c>
      <c r="CM29" s="20" t="s">
        <v>160</v>
      </c>
      <c r="CO29" s="35" t="n">
        <v>37.1</v>
      </c>
      <c r="CQ29" s="12" t="s">
        <v>161</v>
      </c>
    </row>
    <row r="30" customFormat="false" ht="15" hidden="false" customHeight="false" outlineLevel="0" collapsed="false">
      <c r="B30" s="20" t="s">
        <v>125</v>
      </c>
      <c r="AS30" s="28" t="n">
        <v>2.737</v>
      </c>
      <c r="AT30" s="28" t="n">
        <v>8.764</v>
      </c>
      <c r="AU30" s="28" t="n">
        <v>3.597</v>
      </c>
      <c r="AV30" s="28" t="n">
        <v>10.492</v>
      </c>
      <c r="AW30" s="28" t="n">
        <v>25.625</v>
      </c>
      <c r="AX30" s="28" t="n">
        <v>1.577</v>
      </c>
      <c r="AY30" s="28" t="n">
        <v>1.529</v>
      </c>
      <c r="AZ30" s="28" t="n">
        <v>1.538</v>
      </c>
      <c r="BA30" s="28" t="n">
        <v>0.442</v>
      </c>
      <c r="BB30" s="28" t="n">
        <v>5.134</v>
      </c>
      <c r="BC30" s="28" t="n">
        <v>0</v>
      </c>
      <c r="BD30" s="28" t="n">
        <v>0</v>
      </c>
      <c r="BE30" s="28" t="n">
        <v>0</v>
      </c>
      <c r="BF30" s="28" t="n">
        <v>0</v>
      </c>
      <c r="BG30" s="28" t="n">
        <v>0</v>
      </c>
      <c r="BH30" s="28" t="n">
        <v>0</v>
      </c>
      <c r="BI30" s="28" t="n">
        <v>0</v>
      </c>
      <c r="BJ30" s="28" t="n">
        <v>0</v>
      </c>
      <c r="BK30" s="28" t="n">
        <v>0</v>
      </c>
      <c r="BL30" s="28" t="n">
        <v>0</v>
      </c>
      <c r="BM30" s="28" t="n">
        <v>0</v>
      </c>
      <c r="BN30" s="28" t="n">
        <v>0.523</v>
      </c>
      <c r="BO30" s="28" t="n">
        <v>0.819</v>
      </c>
      <c r="BP30" s="28" t="n">
        <v>0.587</v>
      </c>
      <c r="BQ30" s="28" t="n">
        <v>1.929</v>
      </c>
      <c r="BR30" s="28" t="n">
        <v>0</v>
      </c>
      <c r="BS30" s="28" t="n">
        <v>0.019</v>
      </c>
      <c r="BT30" s="28" t="n">
        <v>0</v>
      </c>
      <c r="BU30" s="28" t="n">
        <v>0.323</v>
      </c>
      <c r="BV30" s="28" t="n">
        <v>0.342</v>
      </c>
      <c r="BW30" s="28" t="n">
        <v>0.096</v>
      </c>
      <c r="BX30" s="28" t="n">
        <v>0.03</v>
      </c>
      <c r="BY30" s="29" t="n">
        <f aca="false">MAX(0,($CO$31-$BW$30-$BX$30)/2)</f>
        <v>0</v>
      </c>
      <c r="BZ30" s="29" t="n">
        <f aca="false">MAX(0,($CO$31-$BW$30-$BX$30)/2)</f>
        <v>0</v>
      </c>
      <c r="CA30" s="29" t="n">
        <f aca="false">SUM(BW30,BX30,BY30,BZ30)</f>
        <v>0.126</v>
      </c>
      <c r="CB30" s="30" t="n">
        <v>0</v>
      </c>
      <c r="CC30" s="30" t="n">
        <v>0</v>
      </c>
      <c r="CD30" s="30" t="n">
        <v>0</v>
      </c>
      <c r="CE30" s="30" t="n">
        <v>0</v>
      </c>
      <c r="CF30" s="18" t="s">
        <v>126</v>
      </c>
      <c r="CM30" s="20" t="s">
        <v>162</v>
      </c>
      <c r="CO30" s="35" t="n">
        <v>6</v>
      </c>
      <c r="CQ30" s="12" t="s">
        <v>163</v>
      </c>
    </row>
    <row r="31" customFormat="false" ht="15" hidden="false" customHeight="false" outlineLevel="0" collapsed="false">
      <c r="B31" s="15" t="s">
        <v>129</v>
      </c>
      <c r="AS31" s="31" t="n">
        <f aca="false">AS28+AS30</f>
        <v>26.8</v>
      </c>
      <c r="AT31" s="31" t="n">
        <f aca="false">AT28+AT30</f>
        <v>33.5</v>
      </c>
      <c r="AU31" s="31" t="n">
        <f aca="false">AU28+AU30</f>
        <v>38.7</v>
      </c>
      <c r="AV31" s="31" t="n">
        <f aca="false">AV28+AV30</f>
        <v>45.338</v>
      </c>
      <c r="AW31" s="31" t="n">
        <f aca="false">AW28+AW30</f>
        <v>144.373</v>
      </c>
      <c r="AX31" s="31" t="n">
        <f aca="false">AX28+AX30</f>
        <v>38.2</v>
      </c>
      <c r="AY31" s="31" t="n">
        <f aca="false">AY28+AY30</f>
        <v>30.8</v>
      </c>
      <c r="AZ31" s="31" t="n">
        <f aca="false">AZ28+AZ30</f>
        <v>42.3</v>
      </c>
      <c r="BA31" s="31" t="n">
        <f aca="false">BA28+BA30</f>
        <v>52.875</v>
      </c>
      <c r="BB31" s="31" t="n">
        <f aca="false">BB28+BB30</f>
        <v>164.223</v>
      </c>
      <c r="BC31" s="31" t="n">
        <f aca="false">BC28+BC30</f>
        <v>23.29</v>
      </c>
      <c r="BD31" s="31" t="n">
        <f aca="false">BD28+BD30</f>
        <v>24.46</v>
      </c>
      <c r="BE31" s="31" t="n">
        <f aca="false">BE28+BE30</f>
        <v>36.588</v>
      </c>
      <c r="BF31" s="31" t="n">
        <f aca="false">BF28+BF30</f>
        <v>70.23</v>
      </c>
      <c r="BG31" s="31" t="n">
        <f aca="false">BG28+BG30</f>
        <v>154.568</v>
      </c>
      <c r="BH31" s="31" t="n">
        <f aca="false">BH28+BH30</f>
        <v>23.368</v>
      </c>
      <c r="BI31" s="31" t="n">
        <f aca="false">BI28+BI30</f>
        <v>43.18</v>
      </c>
      <c r="BJ31" s="31" t="n">
        <f aca="false">BJ28+BJ30</f>
        <v>56.212</v>
      </c>
      <c r="BK31" s="31" t="n">
        <f aca="false">BK28+BK30</f>
        <v>69.015</v>
      </c>
      <c r="BL31" s="31" t="n">
        <f aca="false">BL28+BL30</f>
        <v>191.775</v>
      </c>
      <c r="BM31" s="31" t="n">
        <f aca="false">BM28+BM30</f>
        <v>48.081</v>
      </c>
      <c r="BN31" s="31" t="n">
        <f aca="false">BN28+BN30</f>
        <v>58.767</v>
      </c>
      <c r="BO31" s="31" t="n">
        <f aca="false">BO28+BO30</f>
        <v>64.458</v>
      </c>
      <c r="BP31" s="31" t="n">
        <f aca="false">BP28+BP30</f>
        <v>55.362</v>
      </c>
      <c r="BQ31" s="31" t="n">
        <f aca="false">BQ28+BQ30</f>
        <v>226.668</v>
      </c>
      <c r="BR31" s="31" t="n">
        <f aca="false">BR28+BR30</f>
        <v>67.449</v>
      </c>
      <c r="BS31" s="31" t="n">
        <f aca="false">BS28+BS30</f>
        <v>67.852</v>
      </c>
      <c r="BT31" s="31" t="n">
        <f aca="false">BT28+BT30</f>
        <v>73.957</v>
      </c>
      <c r="BU31" s="31" t="n">
        <f aca="false">BU28+BU30</f>
        <v>69.1</v>
      </c>
      <c r="BV31" s="31" t="n">
        <f aca="false">BV28+BV30</f>
        <v>278.358</v>
      </c>
      <c r="BW31" s="31" t="n">
        <f aca="false">BW28+BW30</f>
        <v>72.023</v>
      </c>
      <c r="BX31" s="31" t="n">
        <f aca="false">BX28+BX30</f>
        <v>68.798</v>
      </c>
      <c r="BY31" s="17" t="n">
        <f aca="false">BY25*BY32</f>
        <v>79.3387631896267</v>
      </c>
      <c r="BZ31" s="17" t="n">
        <f aca="false">BZ25*BZ32</f>
        <v>74.0520743978437</v>
      </c>
      <c r="CA31" s="17" t="n">
        <f aca="false">SUM(BW31,BX31,BY31,BZ31)</f>
        <v>294.21183758747</v>
      </c>
      <c r="CB31" s="17" t="n">
        <f aca="false">CA31+(CB25-CA25)*CB34</f>
        <v>314.65983758747</v>
      </c>
      <c r="CC31" s="17" t="n">
        <f aca="false">CB31+(CC25-CB25)*CC34</f>
        <v>336.33471758747</v>
      </c>
      <c r="CD31" s="17" t="n">
        <f aca="false">CC31+(CD25-CC25)*CD34</f>
        <v>356.07917858747</v>
      </c>
      <c r="CE31" s="17" t="n">
        <f aca="false">CD31+(CE25-CD25)*CE34</f>
        <v>376.90958494247</v>
      </c>
      <c r="CF31" s="18" t="s">
        <v>130</v>
      </c>
      <c r="CH31" s="19" t="n">
        <f aca="false">IFERROR((CE31/BV31)^(1/5)-1,"n/m")</f>
        <v>0.0624945104705048</v>
      </c>
      <c r="CI31" s="19" t="n">
        <f aca="false">IFERROR((BV31/AW31)^(1/5)-1,"n/m")</f>
        <v>0.140311607911318</v>
      </c>
      <c r="CJ31" s="19" t="str">
        <f aca="false">IFERROR((BV31/X31)^(1/10)-1,"n/m")</f>
        <v>n/m</v>
      </c>
      <c r="CK31" s="19" t="str">
        <f aca="false">IFERROR((BV31/C31)^(1/19)-1,"n/m")</f>
        <v>n/m</v>
      </c>
      <c r="CM31" s="20" t="s">
        <v>164</v>
      </c>
      <c r="CO31" s="35" t="n">
        <v>0</v>
      </c>
    </row>
    <row r="32" customFormat="false" ht="15" hidden="false" customHeight="false" outlineLevel="0" collapsed="false">
      <c r="B32" s="20" t="s">
        <v>133</v>
      </c>
      <c r="C32" s="27" t="str">
        <f aca="false">IF(AND(ISNUMBER(C31),ISNUMBER(C25)),IFERROR(C31/C25,""),"")</f>
        <v/>
      </c>
      <c r="D32" s="27" t="str">
        <f aca="false">IF(AND(ISNUMBER(D31),ISNUMBER(D25)),IFERROR(D31/D25,""),"")</f>
        <v/>
      </c>
      <c r="E32" s="27" t="str">
        <f aca="false">IF(AND(ISNUMBER(E31),ISNUMBER(E25)),IFERROR(E31/E25,""),"")</f>
        <v/>
      </c>
      <c r="F32" s="27" t="str">
        <f aca="false">IF(AND(ISNUMBER(F31),ISNUMBER(F25)),IFERROR(F31/F25,""),"")</f>
        <v/>
      </c>
      <c r="G32" s="27" t="str">
        <f aca="false">IF(AND(ISNUMBER(G31),ISNUMBER(G25)),IFERROR(G31/G25,""),"")</f>
        <v/>
      </c>
      <c r="H32" s="27" t="str">
        <f aca="false">IF(AND(ISNUMBER(H31),ISNUMBER(H25)),IFERROR(H31/H25,""),"")</f>
        <v/>
      </c>
      <c r="I32" s="27" t="str">
        <f aca="false">IF(AND(ISNUMBER(I31),ISNUMBER(I25)),IFERROR(I31/I25,""),"")</f>
        <v/>
      </c>
      <c r="J32" s="27" t="str">
        <f aca="false">IF(AND(ISNUMBER(J31),ISNUMBER(J25)),IFERROR(J31/J25,""),"")</f>
        <v/>
      </c>
      <c r="K32" s="27" t="str">
        <f aca="false">IF(AND(ISNUMBER(K31),ISNUMBER(K25)),IFERROR(K31/K25,""),"")</f>
        <v/>
      </c>
      <c r="L32" s="27" t="str">
        <f aca="false">IF(AND(ISNUMBER(L31),ISNUMBER(L25)),IFERROR(L31/L25,""),"")</f>
        <v/>
      </c>
      <c r="M32" s="27" t="str">
        <f aca="false">IF(AND(ISNUMBER(M31),ISNUMBER(M25)),IFERROR(M31/M25,""),"")</f>
        <v/>
      </c>
      <c r="N32" s="27" t="str">
        <f aca="false">IF(AND(ISNUMBER(N31),ISNUMBER(N25)),IFERROR(N31/N25,""),"")</f>
        <v/>
      </c>
      <c r="O32" s="27" t="str">
        <f aca="false">IF(AND(ISNUMBER(O31),ISNUMBER(O25)),IFERROR(O31/O25,""),"")</f>
        <v/>
      </c>
      <c r="P32" s="27" t="str">
        <f aca="false">IF(AND(ISNUMBER(P31),ISNUMBER(P25)),IFERROR(P31/P25,""),"")</f>
        <v/>
      </c>
      <c r="Q32" s="27" t="str">
        <f aca="false">IF(AND(ISNUMBER(Q31),ISNUMBER(Q25)),IFERROR(Q31/Q25,""),"")</f>
        <v/>
      </c>
      <c r="R32" s="27" t="str">
        <f aca="false">IF(AND(ISNUMBER(R31),ISNUMBER(R25)),IFERROR(R31/R25,""),"")</f>
        <v/>
      </c>
      <c r="S32" s="27" t="str">
        <f aca="false">IF(AND(ISNUMBER(S31),ISNUMBER(S25)),IFERROR(S31/S25,""),"")</f>
        <v/>
      </c>
      <c r="T32" s="27" t="str">
        <f aca="false">IF(AND(ISNUMBER(T31),ISNUMBER(T25)),IFERROR(T31/T25,""),"")</f>
        <v/>
      </c>
      <c r="U32" s="27" t="str">
        <f aca="false">IF(AND(ISNUMBER(U31),ISNUMBER(U25)),IFERROR(U31/U25,""),"")</f>
        <v/>
      </c>
      <c r="V32" s="27" t="str">
        <f aca="false">IF(AND(ISNUMBER(V31),ISNUMBER(V25)),IFERROR(V31/V25,""),"")</f>
        <v/>
      </c>
      <c r="W32" s="27" t="str">
        <f aca="false">IF(AND(ISNUMBER(W31),ISNUMBER(W25)),IFERROR(W31/W25,""),"")</f>
        <v/>
      </c>
      <c r="X32" s="27" t="str">
        <f aca="false">IF(AND(ISNUMBER(X31),ISNUMBER(X25)),IFERROR(X31/X25,""),"")</f>
        <v/>
      </c>
      <c r="Y32" s="27" t="str">
        <f aca="false">IF(AND(ISNUMBER(Y31),ISNUMBER(Y25)),IFERROR(Y31/Y25,""),"")</f>
        <v/>
      </c>
      <c r="Z32" s="27" t="str">
        <f aca="false">IF(AND(ISNUMBER(Z31),ISNUMBER(Z25)),IFERROR(Z31/Z25,""),"")</f>
        <v/>
      </c>
      <c r="AA32" s="27" t="str">
        <f aca="false">IF(AND(ISNUMBER(AA31),ISNUMBER(AA25)),IFERROR(AA31/AA25,""),"")</f>
        <v/>
      </c>
      <c r="AB32" s="27" t="str">
        <f aca="false">IF(AND(ISNUMBER(AB31),ISNUMBER(AB25)),IFERROR(AB31/AB25,""),"")</f>
        <v/>
      </c>
      <c r="AC32" s="27" t="str">
        <f aca="false">IF(AND(ISNUMBER(AC31),ISNUMBER(AC25)),IFERROR(AC31/AC25,""),"")</f>
        <v/>
      </c>
      <c r="AD32" s="27" t="str">
        <f aca="false">IF(AND(ISNUMBER(AD31),ISNUMBER(AD25)),IFERROR(AD31/AD25,""),"")</f>
        <v/>
      </c>
      <c r="AE32" s="27" t="str">
        <f aca="false">IF(AND(ISNUMBER(AE31),ISNUMBER(AE25)),IFERROR(AE31/AE25,""),"")</f>
        <v/>
      </c>
      <c r="AF32" s="27" t="str">
        <f aca="false">IF(AND(ISNUMBER(AF31),ISNUMBER(AF25)),IFERROR(AF31/AF25,""),"")</f>
        <v/>
      </c>
      <c r="AG32" s="27" t="str">
        <f aca="false">IF(AND(ISNUMBER(AG31),ISNUMBER(AG25)),IFERROR(AG31/AG25,""),"")</f>
        <v/>
      </c>
      <c r="AH32" s="27" t="str">
        <f aca="false">IF(AND(ISNUMBER(AH31),ISNUMBER(AH25)),IFERROR(AH31/AH25,""),"")</f>
        <v/>
      </c>
      <c r="AI32" s="27" t="str">
        <f aca="false">IF(AND(ISNUMBER(AI31),ISNUMBER(AI25)),IFERROR(AI31/AI25,""),"")</f>
        <v/>
      </c>
      <c r="AJ32" s="27" t="str">
        <f aca="false">IF(AND(ISNUMBER(AJ31),ISNUMBER(AJ25)),IFERROR(AJ31/AJ25,""),"")</f>
        <v/>
      </c>
      <c r="AK32" s="27" t="str">
        <f aca="false">IF(AND(ISNUMBER(AK31),ISNUMBER(AK25)),IFERROR(AK31/AK25,""),"")</f>
        <v/>
      </c>
      <c r="AL32" s="27" t="str">
        <f aca="false">IF(AND(ISNUMBER(AL31),ISNUMBER(AL25)),IFERROR(AL31/AL25,""),"")</f>
        <v/>
      </c>
      <c r="AM32" s="27" t="str">
        <f aca="false">IF(AND(ISNUMBER(AM31),ISNUMBER(AM25)),IFERROR(AM31/AM25,""),"")</f>
        <v/>
      </c>
      <c r="AN32" s="27" t="str">
        <f aca="false">IF(AND(ISNUMBER(AN31),ISNUMBER(AN25)),IFERROR(AN31/AN25,""),"")</f>
        <v/>
      </c>
      <c r="AO32" s="27" t="str">
        <f aca="false">IF(AND(ISNUMBER(AO31),ISNUMBER(AO25)),IFERROR(AO31/AO25,""),"")</f>
        <v/>
      </c>
      <c r="AP32" s="27" t="str">
        <f aca="false">IF(AND(ISNUMBER(AP31),ISNUMBER(AP25)),IFERROR(AP31/AP25,""),"")</f>
        <v/>
      </c>
      <c r="AQ32" s="27" t="str">
        <f aca="false">IF(AND(ISNUMBER(AQ31),ISNUMBER(AQ25)),IFERROR(AQ31/AQ25,""),"")</f>
        <v/>
      </c>
      <c r="AR32" s="27" t="str">
        <f aca="false">IF(AND(ISNUMBER(AR31),ISNUMBER(AR25)),IFERROR(AR31/AR25,""),"")</f>
        <v/>
      </c>
      <c r="AS32" s="27" t="n">
        <f aca="false">IF(AND(ISNUMBER(AS31),ISNUMBER(AS25)),IFERROR(AS31/AS25,""),"")</f>
        <v>0.192003209605892</v>
      </c>
      <c r="AT32" s="27" t="n">
        <f aca="false">IF(AND(ISNUMBER(AT31),ISNUMBER(AT25)),IFERROR(AT31/AT25,""),"")</f>
        <v>0.239949001883779</v>
      </c>
      <c r="AU32" s="27" t="n">
        <f aca="false">IF(AND(ISNUMBER(AU31),ISNUMBER(AU25)),IFERROR(AU31/AU25,""),"")</f>
        <v>0.26091529354656</v>
      </c>
      <c r="AV32" s="27" t="n">
        <f aca="false">IF(AND(ISNUMBER(AV31),ISNUMBER(AV25)),IFERROR(AV31/AV25,""),"")</f>
        <v>0.250155871528755</v>
      </c>
      <c r="AW32" s="27" t="n">
        <f aca="false">IF(AND(ISNUMBER(AW31),ISNUMBER(AW25)),IFERROR(AW31/AW25,""),"")</f>
        <v>0.237160311914278</v>
      </c>
      <c r="AX32" s="27" t="n">
        <f aca="false">IF(AND(ISNUMBER(AX31),ISNUMBER(AX25)),IFERROR(AX31/AX25,""),"")</f>
        <v>0.210802816590513</v>
      </c>
      <c r="AY32" s="27" t="n">
        <f aca="false">IF(AND(ISNUMBER(AY31),ISNUMBER(AY25)),IFERROR(AY31/AY25,""),"")</f>
        <v>0.189712413228129</v>
      </c>
      <c r="AZ32" s="27" t="n">
        <f aca="false">IF(AND(ISNUMBER(AZ31),ISNUMBER(AZ25)),IFERROR(AZ31/AZ25,""),"")</f>
        <v>0.233052715091678</v>
      </c>
      <c r="BA32" s="27" t="n">
        <f aca="false">IF(AND(ISNUMBER(BA31),ISNUMBER(BA25)),IFERROR(BA31/BA25,""),"")</f>
        <v>0.265358151952986</v>
      </c>
      <c r="BB32" s="27" t="n">
        <f aca="false">IF(AND(ISNUMBER(BB31),ISNUMBER(BB25)),IFERROR(BB31/BB25,""),"")</f>
        <v>0.226725259068431</v>
      </c>
      <c r="BC32" s="27" t="n">
        <f aca="false">IF(AND(ISNUMBER(BC31),ISNUMBER(BC25)),IFERROR(BC31/BC25,""),"")</f>
        <v>0.162788584529143</v>
      </c>
      <c r="BD32" s="27" t="n">
        <f aca="false">IF(AND(ISNUMBER(BD31),ISNUMBER(BD25)),IFERROR(BD31/BD25,""),"")</f>
        <v>0.163558432353276</v>
      </c>
      <c r="BE32" s="27" t="n">
        <f aca="false">IF(AND(ISNUMBER(BE31),ISNUMBER(BE25)),IFERROR(BE31/BE25,""),"")</f>
        <v>0.226989602203638</v>
      </c>
      <c r="BF32" s="27" t="n">
        <f aca="false">IF(AND(ISNUMBER(BF31),ISNUMBER(BF25)),IFERROR(BF31/BF25,""),"")</f>
        <v>0.297010860371486</v>
      </c>
      <c r="BG32" s="27" t="n">
        <f aca="false">IF(AND(ISNUMBER(BG31),ISNUMBER(BG25)),IFERROR(BG31/BG25,""),"")</f>
        <v>0.223926567013685</v>
      </c>
      <c r="BH32" s="27" t="n">
        <f aca="false">IF(AND(ISNUMBER(BH31),ISNUMBER(BH25)),IFERROR(BH31/BH25,""),"")</f>
        <v>0.144109920199317</v>
      </c>
      <c r="BI32" s="27" t="n">
        <f aca="false">IF(AND(ISNUMBER(BI31),ISNUMBER(BI25)),IFERROR(BI31/BI25,""),"")</f>
        <v>0.218387432860279</v>
      </c>
      <c r="BJ32" s="27" t="n">
        <f aca="false">IF(AND(ISNUMBER(BJ31),ISNUMBER(BJ25)),IFERROR(BJ31/BJ25,""),"")</f>
        <v>0.259897820006011</v>
      </c>
      <c r="BK32" s="27" t="n">
        <f aca="false">IF(AND(ISNUMBER(BK31),ISNUMBER(BK25)),IFERROR(BK31/BK25,""),"")</f>
        <v>0.287861155949297</v>
      </c>
      <c r="BL32" s="27" t="n">
        <f aca="false">IF(AND(ISNUMBER(BL31),ISNUMBER(BL25)),IFERROR(BL31/BL25,""),"")</f>
        <v>0.235043730206199</v>
      </c>
      <c r="BM32" s="27" t="n">
        <f aca="false">IF(AND(ISNUMBER(BM31),ISNUMBER(BM25)),IFERROR(BM31/BM25,""),"")</f>
        <v>0.227074586405089</v>
      </c>
      <c r="BN32" s="27" t="n">
        <f aca="false">IF(AND(ISNUMBER(BN31),ISNUMBER(BN25)),IFERROR(BN31/BN25,""),"")</f>
        <v>0.257229899195049</v>
      </c>
      <c r="BO32" s="27" t="n">
        <f aca="false">IF(AND(ISNUMBER(BO31),ISNUMBER(BO25)),IFERROR(BO31/BO25,""),"")</f>
        <v>0.265227606581931</v>
      </c>
      <c r="BP32" s="27" t="n">
        <f aca="false">IF(AND(ISNUMBER(BP31),ISNUMBER(BP25)),IFERROR(BP31/BP25,""),"")</f>
        <v>0.243376195186284</v>
      </c>
      <c r="BQ32" s="27" t="n">
        <f aca="false">IF(AND(ISNUMBER(BQ31),ISNUMBER(BQ25)),IFERROR(BQ31/BQ25,""),"")</f>
        <v>0.24889261737597</v>
      </c>
      <c r="BR32" s="27" t="n">
        <f aca="false">IF(AND(ISNUMBER(BR31),ISNUMBER(BR25)),IFERROR(BR31/BR25,""),"")</f>
        <v>0.27511788027606</v>
      </c>
      <c r="BS32" s="27" t="n">
        <f aca="false">IF(AND(ISNUMBER(BS31),ISNUMBER(BS25)),IFERROR(BS31/BS25,""),"")</f>
        <v>0.268178063404358</v>
      </c>
      <c r="BT32" s="27" t="n">
        <f aca="false">IF(AND(ISNUMBER(BT31),ISNUMBER(BT25)),IFERROR(BT31/BT25,""),"")</f>
        <v>0.292136562397545</v>
      </c>
      <c r="BU32" s="27" t="n">
        <f aca="false">IF(AND(ISNUMBER(BU31),ISNUMBER(BU25)),IFERROR(BU31/BU25,""),"")</f>
        <v>0.258534249240485</v>
      </c>
      <c r="BV32" s="27" t="n">
        <f aca="false">IF(AND(ISNUMBER(BV31),ISNUMBER(BV25)),IFERROR(BV31/BV25,""),"")</f>
        <v>0.27327240062438</v>
      </c>
      <c r="BW32" s="27" t="n">
        <f aca="false">IF(AND(ISNUMBER(BW31),ISNUMBER(BW25)),IFERROR(BW31/BW25,""),"")</f>
        <v>0.281023692096392</v>
      </c>
      <c r="BX32" s="27" t="n">
        <f aca="false">IF(AND(ISNUMBER(BX31),ISNUMBER(BX25)),IFERROR(BX31/BX25,""),"")</f>
        <v>0.27968144658051</v>
      </c>
      <c r="BY32" s="22" t="n">
        <f aca="false">BY33+BY93</f>
        <v>0.289842682489981</v>
      </c>
      <c r="BZ32" s="22" t="n">
        <f aca="false">BZ33+BZ93</f>
        <v>0.256240369332922</v>
      </c>
      <c r="CA32" s="22" t="n">
        <f aca="false">IFERROR(CA31/CA25,"")</f>
        <v>0.276255246561005</v>
      </c>
      <c r="CB32" s="22" t="n">
        <f aca="false">IFERROR(CB31/CB25,"")</f>
        <v>0.278731364680193</v>
      </c>
      <c r="CC32" s="22" t="n">
        <f aca="false">IFERROR(CC31/CC25,"")</f>
        <v>0.281067325169994</v>
      </c>
      <c r="CD32" s="22" t="n">
        <f aca="false">IFERROR(CD31/CD25,"")</f>
        <v>0.282054336654023</v>
      </c>
      <c r="CE32" s="22" t="n">
        <f aca="false">IFERROR(CE31/CE25,"")</f>
        <v>0.282989892563055</v>
      </c>
      <c r="CH32" s="32" t="n">
        <f aca="false">IFERROR(AVERAGE(CA32,CB32,CC32,CD32,CE32),"n/m")</f>
        <v>0.280219633125654</v>
      </c>
      <c r="CI32" s="32" t="n">
        <f aca="false">IFERROR(AVERAGE(BB32,BG32,BL32,BQ32,BV32),"n/m")</f>
        <v>0.241572114857733</v>
      </c>
      <c r="CJ32" s="32" t="n">
        <f aca="false">IFERROR(AVERAGE(AC32,AH32,AM32,AR32,AW32,BB32,BG32,BL32,BQ32,BV32),"n/m")</f>
        <v>0.240836814367157</v>
      </c>
      <c r="CK32" s="32" t="n">
        <f aca="false">IFERROR(AVERAGE(C32,D32,E32,F32,G32,H32,I32,N32,S32,X32,AC32,AH32,AM32,AR32,AW32,BB32,BG32,BL32,BQ32,BV32),"n/m")</f>
        <v>0.240836814367157</v>
      </c>
      <c r="CM32" s="20" t="s">
        <v>165</v>
      </c>
      <c r="CO32" s="35" t="n">
        <v>1</v>
      </c>
    </row>
    <row r="33" customFormat="false" ht="15" hidden="false" customHeight="false" outlineLevel="0" collapsed="false">
      <c r="B33" s="20" t="s">
        <v>136</v>
      </c>
      <c r="BY33" s="22" t="n">
        <f aca="false">BT32+(($CA$36-$BW$31-$BX$31)-($BT$32*$BY$25+$BU$32*$BZ$25))/($BY$25+$BZ$25)</f>
        <v>0.290354766389807</v>
      </c>
      <c r="BZ33" s="22" t="n">
        <f aca="false">BU32+(($CA$36-$BW$31-$BX$31)-($BT$32*$BY$25+$BU$32*$BZ$25))/($BY$25+$BZ$25)</f>
        <v>0.256752453232748</v>
      </c>
      <c r="CF33" s="18" t="s">
        <v>137</v>
      </c>
      <c r="CM33" s="20" t="s">
        <v>166</v>
      </c>
      <c r="CO33" s="23" t="n">
        <v>25</v>
      </c>
      <c r="CQ33" s="12" t="s">
        <v>167</v>
      </c>
    </row>
    <row r="34" customFormat="false" ht="15" hidden="false" customHeight="false" outlineLevel="0" collapsed="false">
      <c r="B34" s="20" t="s">
        <v>140</v>
      </c>
      <c r="BB34" s="21" t="n">
        <f aca="false">IFERROR((BB31-AW31)/(BB25-AW25),"")</f>
        <v>0.171758862670786</v>
      </c>
      <c r="BG34" s="21" t="n">
        <f aca="false">IFERROR((BG31-BB31)/(BG25-BB25),"")</f>
        <v>0.283437059652418</v>
      </c>
      <c r="BL34" s="21" t="n">
        <f aca="false">IFERROR((BL31-BG31)/(BL25-BG25),"")</f>
        <v>0.296116195781934</v>
      </c>
      <c r="BQ34" s="21" t="n">
        <f aca="false">IFERROR((BQ31-BL31)/(BQ25-BL25),"")</f>
        <v>0.368092917273245</v>
      </c>
      <c r="BV34" s="21" t="n">
        <f aca="false">IFERROR((BV31-BQ31)/(BV25-BQ25),"")</f>
        <v>0.479036921708185</v>
      </c>
      <c r="CA34" s="22" t="n">
        <f aca="false">IFERROR((CA31-BV31)/(CA25-BV25),"")</f>
        <v>0.341751187485887</v>
      </c>
      <c r="CB34" s="22" t="n">
        <f aca="false">CHOOSE(MATCH($CF$2,{"Bull","Base","Bear"},0),$CN$58,$CO$58,$CP$58)</f>
        <v>0.32</v>
      </c>
      <c r="CC34" s="22" t="n">
        <f aca="false">CHOOSE(MATCH($CF$2,{"Bull","Base","Bear"},0),$CN$59,$CO$59,$CP$59)</f>
        <v>0.32</v>
      </c>
      <c r="CD34" s="22" t="n">
        <f aca="false">CHOOSE(MATCH($CF$2,{"Bull","Base","Bear"},0),$CN$60,$CO$60,$CP$60)</f>
        <v>0.3</v>
      </c>
      <c r="CE34" s="22" t="n">
        <f aca="false">CHOOSE(MATCH($CF$2,{"Bull","Base","Bear"},0),$CN$61,$CO$61,$CP$61)</f>
        <v>0.3</v>
      </c>
      <c r="CM34" s="20" t="s">
        <v>168</v>
      </c>
      <c r="CO34" s="23" t="n">
        <v>60</v>
      </c>
      <c r="CQ34" s="12" t="s">
        <v>169</v>
      </c>
    </row>
    <row r="35" customFormat="false" ht="15" hidden="false" customHeight="false" outlineLevel="0" collapsed="false">
      <c r="B35" s="33" t="s">
        <v>143</v>
      </c>
      <c r="CA35" s="25" t="n">
        <f aca="false">CHOOSE(MATCH($CF$2,{"Bull","Base","Bear"},0),$CN$18,$CO$18,$CP$18)</f>
        <v>1065</v>
      </c>
      <c r="CM35" s="20" t="s">
        <v>170</v>
      </c>
      <c r="CN35" s="23" t="n">
        <v>400</v>
      </c>
      <c r="CO35" s="23" t="n">
        <v>300</v>
      </c>
      <c r="CP35" s="23" t="n">
        <v>300</v>
      </c>
      <c r="CQ35" s="12" t="s">
        <v>171</v>
      </c>
    </row>
    <row r="36" customFormat="false" ht="15" hidden="false" customHeight="false" outlineLevel="0" collapsed="false">
      <c r="B36" s="33" t="s">
        <v>146</v>
      </c>
      <c r="CA36" s="25" t="n">
        <f aca="false">CHOOSE(MATCH($CF$2,{"Bull","Base","Bear"},0),$CN$19,$CO$19,$CP$19)</f>
        <v>294.5</v>
      </c>
      <c r="CM36" s="20" t="s">
        <v>172</v>
      </c>
      <c r="CN36" s="36" t="n">
        <v>1</v>
      </c>
      <c r="CO36" s="36" t="n">
        <v>0.5</v>
      </c>
      <c r="CP36" s="36" t="n">
        <v>0.25</v>
      </c>
      <c r="CQ36" s="12" t="s">
        <v>173</v>
      </c>
    </row>
    <row r="37" customFormat="false" ht="15" hidden="false" customHeight="false" outlineLevel="0" collapsed="false">
      <c r="CM37" s="20" t="s">
        <v>174</v>
      </c>
      <c r="CN37" s="23" t="n">
        <v>60</v>
      </c>
      <c r="CO37" s="23" t="n">
        <v>60</v>
      </c>
      <c r="CP37" s="23" t="n">
        <v>60</v>
      </c>
      <c r="CQ37" s="12" t="s">
        <v>175</v>
      </c>
    </row>
    <row r="38" customFormat="false" ht="15" hidden="false" customHeight="false" outlineLevel="0" collapsed="false">
      <c r="B38" s="13" t="s">
        <v>176</v>
      </c>
      <c r="CF38" s="14" t="s">
        <v>177</v>
      </c>
    </row>
    <row r="39" customFormat="false" ht="15" hidden="false" customHeight="false" outlineLevel="0" collapsed="false">
      <c r="B39" s="15" t="s">
        <v>105</v>
      </c>
      <c r="AS39" s="16" t="n">
        <v>234.922</v>
      </c>
      <c r="AT39" s="16" t="n">
        <v>233.023</v>
      </c>
      <c r="AU39" s="16" t="n">
        <v>234.522</v>
      </c>
      <c r="AV39" s="16" t="n">
        <v>274.439</v>
      </c>
      <c r="AW39" s="16" t="n">
        <v>976.906</v>
      </c>
      <c r="AX39" s="16" t="n">
        <v>235.516</v>
      </c>
      <c r="AY39" s="16" t="n">
        <v>259.431</v>
      </c>
      <c r="AZ39" s="16" t="n">
        <v>242.819</v>
      </c>
      <c r="BA39" s="16" t="n">
        <v>257.505</v>
      </c>
      <c r="BB39" s="16" t="n">
        <v>995.271</v>
      </c>
      <c r="BC39" s="16" t="n">
        <v>225.28</v>
      </c>
      <c r="BD39" s="16" t="n">
        <v>251.236</v>
      </c>
      <c r="BE39" s="16" t="n">
        <v>256.261</v>
      </c>
      <c r="BF39" s="16" t="n">
        <v>297.951</v>
      </c>
      <c r="BG39" s="16" t="n">
        <v>1030.728</v>
      </c>
      <c r="BH39" s="16" t="n">
        <v>266.259</v>
      </c>
      <c r="BI39" s="16" t="n">
        <v>280.414</v>
      </c>
      <c r="BJ39" s="16" t="n">
        <v>287.744</v>
      </c>
      <c r="BK39" s="16" t="n">
        <v>307.816</v>
      </c>
      <c r="BL39" s="16" t="n">
        <v>1142.233</v>
      </c>
      <c r="BM39" s="16" t="n">
        <v>282.101</v>
      </c>
      <c r="BN39" s="16" t="n">
        <v>323.098</v>
      </c>
      <c r="BO39" s="16" t="n">
        <v>327.23</v>
      </c>
      <c r="BP39" s="16" t="n">
        <v>345.921</v>
      </c>
      <c r="BQ39" s="16" t="n">
        <v>1278.35</v>
      </c>
      <c r="BR39" s="16" t="n">
        <v>333.235</v>
      </c>
      <c r="BS39" s="16" t="n">
        <v>384.427</v>
      </c>
      <c r="BT39" s="16" t="n">
        <v>368.026</v>
      </c>
      <c r="BU39" s="16" t="n">
        <v>417.314</v>
      </c>
      <c r="BV39" s="16" t="n">
        <v>1503.002</v>
      </c>
      <c r="BW39" s="16" t="n">
        <v>402.48</v>
      </c>
      <c r="BX39" s="16" t="n">
        <v>410.256</v>
      </c>
      <c r="BY39" s="17" t="n">
        <f aca="false">BT39*(1+BY41)</f>
        <v>397.747752392594</v>
      </c>
      <c r="BZ39" s="17" t="n">
        <f aca="false">BU39*(1+BZ41)</f>
        <v>451.016247607406</v>
      </c>
      <c r="CA39" s="17" t="n">
        <f aca="false">SUM(BW39,BX39,BY39,BZ39)</f>
        <v>1661.5</v>
      </c>
      <c r="CB39" s="17" t="n">
        <f aca="false">CA39*(1+CB41)</f>
        <v>1794.42</v>
      </c>
      <c r="CC39" s="17" t="n">
        <f aca="false">CB39*(1+CC41)</f>
        <v>1929.0015</v>
      </c>
      <c r="CD39" s="17" t="n">
        <f aca="false">CC39*(1+CD41)</f>
        <v>2064.031605</v>
      </c>
      <c r="CE39" s="17" t="n">
        <f aca="false">CD39*(1+CE41)</f>
        <v>2208.51381735</v>
      </c>
      <c r="CF39" s="18" t="s">
        <v>106</v>
      </c>
      <c r="CH39" s="19" t="n">
        <f aca="false">IFERROR((CE39/BV39)^(1/5)-1,"n/m")</f>
        <v>0.0800108349066648</v>
      </c>
      <c r="CI39" s="19" t="n">
        <f aca="false">IFERROR((BV39/AW39)^(1/5)-1,"n/m")</f>
        <v>0.0899870955012969</v>
      </c>
      <c r="CJ39" s="19" t="str">
        <f aca="false">IFERROR((BV39/X39)^(1/10)-1,"n/m")</f>
        <v>n/m</v>
      </c>
      <c r="CK39" s="19" t="str">
        <f aca="false">IFERROR((BV39/C39)^(1/19)-1,"n/m")</f>
        <v>n/m</v>
      </c>
      <c r="CM39" s="20" t="s">
        <v>178</v>
      </c>
      <c r="CN39" s="34" t="n">
        <v>0.03</v>
      </c>
      <c r="CO39" s="37" t="s">
        <v>179</v>
      </c>
      <c r="CP39" s="34" t="n">
        <v>-0.03</v>
      </c>
      <c r="CQ39" s="12" t="s">
        <v>180</v>
      </c>
    </row>
    <row r="40" customFormat="false" ht="15" hidden="false" customHeight="false" outlineLevel="0" collapsed="false">
      <c r="B40" s="20" t="s">
        <v>112</v>
      </c>
      <c r="D40" s="21" t="str">
        <f aca="false">IF(AND(ISNUMBER(D39),ISNUMBER(C39)),IFERROR(D39/C39-1,""),"")</f>
        <v/>
      </c>
      <c r="E40" s="21" t="str">
        <f aca="false">IF(AND(ISNUMBER(E39),ISNUMBER(D39)),IFERROR(E39/D39-1,""),"")</f>
        <v/>
      </c>
      <c r="F40" s="21" t="str">
        <f aca="false">IF(AND(ISNUMBER(F39),ISNUMBER(E39)),IFERROR(F39/E39-1,""),"")</f>
        <v/>
      </c>
      <c r="G40" s="21" t="str">
        <f aca="false">IF(AND(ISNUMBER(G39),ISNUMBER(F39)),IFERROR(G39/F39-1,""),"")</f>
        <v/>
      </c>
      <c r="H40" s="21" t="str">
        <f aca="false">IF(AND(ISNUMBER(H39),ISNUMBER(G39)),IFERROR(H39/G39-1,""),"")</f>
        <v/>
      </c>
      <c r="I40" s="21" t="str">
        <f aca="false">IF(AND(ISNUMBER(I39),ISNUMBER(H39)),IFERROR(I39/H39-1,""),"")</f>
        <v/>
      </c>
      <c r="N40" s="21" t="str">
        <f aca="false">IF(AND(ISNUMBER(N39),ISNUMBER(I39)),IFERROR(N39/I39-1,""),"")</f>
        <v/>
      </c>
      <c r="O40" s="21" t="str">
        <f aca="false">IF(AND(ISNUMBER(O39),ISNUMBER(J39)),IFERROR(O39/J39-1,""),"")</f>
        <v/>
      </c>
      <c r="P40" s="21" t="str">
        <f aca="false">IF(AND(ISNUMBER(P39),ISNUMBER(K39)),IFERROR(P39/K39-1,""),"")</f>
        <v/>
      </c>
      <c r="Q40" s="21" t="str">
        <f aca="false">IF(AND(ISNUMBER(Q39),ISNUMBER(L39)),IFERROR(Q39/L39-1,""),"")</f>
        <v/>
      </c>
      <c r="R40" s="21" t="str">
        <f aca="false">IF(AND(ISNUMBER(R39),ISNUMBER(M39)),IFERROR(R39/M39-1,""),"")</f>
        <v/>
      </c>
      <c r="S40" s="21" t="str">
        <f aca="false">IF(AND(ISNUMBER(S39),ISNUMBER(N39)),IFERROR(S39/N39-1,""),"")</f>
        <v/>
      </c>
      <c r="T40" s="21" t="str">
        <f aca="false">IF(AND(ISNUMBER(T39),ISNUMBER(O39)),IFERROR(T39/O39-1,""),"")</f>
        <v/>
      </c>
      <c r="U40" s="21" t="str">
        <f aca="false">IF(AND(ISNUMBER(U39),ISNUMBER(P39)),IFERROR(U39/P39-1,""),"")</f>
        <v/>
      </c>
      <c r="V40" s="21" t="str">
        <f aca="false">IF(AND(ISNUMBER(V39),ISNUMBER(Q39)),IFERROR(V39/Q39-1,""),"")</f>
        <v/>
      </c>
      <c r="W40" s="21" t="str">
        <f aca="false">IF(AND(ISNUMBER(W39),ISNUMBER(R39)),IFERROR(W39/R39-1,""),"")</f>
        <v/>
      </c>
      <c r="X40" s="21" t="str">
        <f aca="false">IF(AND(ISNUMBER(X39),ISNUMBER(S39)),IFERROR(X39/S39-1,""),"")</f>
        <v/>
      </c>
      <c r="Y40" s="21" t="str">
        <f aca="false">IF(AND(ISNUMBER(Y39),ISNUMBER(T39)),IFERROR(Y39/T39-1,""),"")</f>
        <v/>
      </c>
      <c r="Z40" s="21" t="str">
        <f aca="false">IF(AND(ISNUMBER(Z39),ISNUMBER(U39)),IFERROR(Z39/U39-1,""),"")</f>
        <v/>
      </c>
      <c r="AA40" s="21" t="str">
        <f aca="false">IF(AND(ISNUMBER(AA39),ISNUMBER(V39)),IFERROR(AA39/V39-1,""),"")</f>
        <v/>
      </c>
      <c r="AB40" s="21" t="str">
        <f aca="false">IF(AND(ISNUMBER(AB39),ISNUMBER(W39)),IFERROR(AB39/W39-1,""),"")</f>
        <v/>
      </c>
      <c r="AC40" s="21" t="str">
        <f aca="false">IF(AND(ISNUMBER(AC39),ISNUMBER(X39)),IFERROR(AC39/X39-1,""),"")</f>
        <v/>
      </c>
      <c r="AD40" s="21" t="str">
        <f aca="false">IF(AND(ISNUMBER(AD39),ISNUMBER(Y39)),IFERROR(AD39/Y39-1,""),"")</f>
        <v/>
      </c>
      <c r="AE40" s="21" t="str">
        <f aca="false">IF(AND(ISNUMBER(AE39),ISNUMBER(Z39)),IFERROR(AE39/Z39-1,""),"")</f>
        <v/>
      </c>
      <c r="AF40" s="21" t="str">
        <f aca="false">IF(AND(ISNUMBER(AF39),ISNUMBER(AA39)),IFERROR(AF39/AA39-1,""),"")</f>
        <v/>
      </c>
      <c r="AG40" s="21" t="str">
        <f aca="false">IF(AND(ISNUMBER(AG39),ISNUMBER(AB39)),IFERROR(AG39/AB39-1,""),"")</f>
        <v/>
      </c>
      <c r="AH40" s="21" t="str">
        <f aca="false">IF(AND(ISNUMBER(AH39),ISNUMBER(AC39)),IFERROR(AH39/AC39-1,""),"")</f>
        <v/>
      </c>
      <c r="AI40" s="21" t="str">
        <f aca="false">IF(AND(ISNUMBER(AI39),ISNUMBER(AD39)),IFERROR(AI39/AD39-1,""),"")</f>
        <v/>
      </c>
      <c r="AJ40" s="21" t="str">
        <f aca="false">IF(AND(ISNUMBER(AJ39),ISNUMBER(AE39)),IFERROR(AJ39/AE39-1,""),"")</f>
        <v/>
      </c>
      <c r="AK40" s="21" t="str">
        <f aca="false">IF(AND(ISNUMBER(AK39),ISNUMBER(AF39)),IFERROR(AK39/AF39-1,""),"")</f>
        <v/>
      </c>
      <c r="AL40" s="21" t="str">
        <f aca="false">IF(AND(ISNUMBER(AL39),ISNUMBER(AG39)),IFERROR(AL39/AG39-1,""),"")</f>
        <v/>
      </c>
      <c r="AM40" s="21" t="str">
        <f aca="false">IF(AND(ISNUMBER(AM39),ISNUMBER(AH39)),IFERROR(AM39/AH39-1,""),"")</f>
        <v/>
      </c>
      <c r="AN40" s="21" t="str">
        <f aca="false">IF(AND(ISNUMBER(AN39),ISNUMBER(AI39)),IFERROR(AN39/AI39-1,""),"")</f>
        <v/>
      </c>
      <c r="AO40" s="21" t="str">
        <f aca="false">IF(AND(ISNUMBER(AO39),ISNUMBER(AJ39)),IFERROR(AO39/AJ39-1,""),"")</f>
        <v/>
      </c>
      <c r="AP40" s="21" t="str">
        <f aca="false">IF(AND(ISNUMBER(AP39),ISNUMBER(AK39)),IFERROR(AP39/AK39-1,""),"")</f>
        <v/>
      </c>
      <c r="AQ40" s="21" t="str">
        <f aca="false">IF(AND(ISNUMBER(AQ39),ISNUMBER(AL39)),IFERROR(AQ39/AL39-1,""),"")</f>
        <v/>
      </c>
      <c r="AR40" s="21" t="str">
        <f aca="false">IF(AND(ISNUMBER(AR39),ISNUMBER(AM39)),IFERROR(AR39/AM39-1,""),"")</f>
        <v/>
      </c>
      <c r="AS40" s="21" t="str">
        <f aca="false">IF(AND(ISNUMBER(AS39),ISNUMBER(AN39)),IFERROR(AS39/AN39-1,""),"")</f>
        <v/>
      </c>
      <c r="AT40" s="21" t="str">
        <f aca="false">IF(AND(ISNUMBER(AT39),ISNUMBER(AO39)),IFERROR(AT39/AO39-1,""),"")</f>
        <v/>
      </c>
      <c r="AU40" s="21" t="str">
        <f aca="false">IF(AND(ISNUMBER(AU39),ISNUMBER(AP39)),IFERROR(AU39/AP39-1,""),"")</f>
        <v/>
      </c>
      <c r="AV40" s="21" t="str">
        <f aca="false">IF(AND(ISNUMBER(AV39),ISNUMBER(AQ39)),IFERROR(AV39/AQ39-1,""),"")</f>
        <v/>
      </c>
      <c r="AW40" s="21" t="str">
        <f aca="false">IF(AND(ISNUMBER(AW39),ISNUMBER(AR39)),IFERROR(AW39/AR39-1,""),"")</f>
        <v/>
      </c>
      <c r="AX40" s="21" t="n">
        <f aca="false">IF(AND(ISNUMBER(AX39),ISNUMBER(AS39)),IFERROR(AX39/AS39-1,""),"")</f>
        <v>0.00252849882088513</v>
      </c>
      <c r="AY40" s="21" t="n">
        <f aca="false">IF(AND(ISNUMBER(AY39),ISNUMBER(AT39)),IFERROR(AY39/AT39-1,""),"")</f>
        <v>0.11332786892281</v>
      </c>
      <c r="AZ40" s="21" t="n">
        <f aca="false">IF(AND(ISNUMBER(AZ39),ISNUMBER(AU39)),IFERROR(AZ39/AU39-1,""),"")</f>
        <v>0.0353783440359541</v>
      </c>
      <c r="BA40" s="21" t="n">
        <f aca="false">IF(AND(ISNUMBER(BA39),ISNUMBER(AV39)),IFERROR(BA39/AV39-1,""),"")</f>
        <v>-0.0617040580966992</v>
      </c>
      <c r="BB40" s="21" t="n">
        <f aca="false">IF(AND(ISNUMBER(BB39),ISNUMBER(AW39)),IFERROR(BB39/AW39-1,""),"")</f>
        <v>0.0187991475126572</v>
      </c>
      <c r="BC40" s="21" t="n">
        <f aca="false">IF(AND(ISNUMBER(BC39),ISNUMBER(AX39)),IFERROR(BC39/AX39-1,""),"")</f>
        <v>-0.0434620153195536</v>
      </c>
      <c r="BD40" s="21" t="n">
        <f aca="false">IF(AND(ISNUMBER(BD39),ISNUMBER(AY39)),IFERROR(BD39/AY39-1,""),"")</f>
        <v>-0.0315883606816456</v>
      </c>
      <c r="BE40" s="21" t="n">
        <f aca="false">IF(AND(ISNUMBER(BE39),ISNUMBER(AZ39)),IFERROR(BE39/AZ39-1,""),"")</f>
        <v>0.0553581062437456</v>
      </c>
      <c r="BF40" s="21" t="n">
        <f aca="false">IF(AND(ISNUMBER(BF39),ISNUMBER(BA39)),IFERROR(BF39/BA39-1,""),"")</f>
        <v>0.157068794780684</v>
      </c>
      <c r="BG40" s="21" t="n">
        <f aca="false">IF(AND(ISNUMBER(BG39),ISNUMBER(BB39)),IFERROR(BG39/BB39-1,""),"")</f>
        <v>0.0356254728611605</v>
      </c>
      <c r="BH40" s="21" t="n">
        <f aca="false">IF(AND(ISNUMBER(BH39),ISNUMBER(BC39)),IFERROR(BH39/BC39-1,""),"")</f>
        <v>0.181902521306818</v>
      </c>
      <c r="BI40" s="21" t="n">
        <f aca="false">IF(AND(ISNUMBER(BI39),ISNUMBER(BD39)),IFERROR(BI39/BD39-1,""),"")</f>
        <v>0.116137814644398</v>
      </c>
      <c r="BJ40" s="21" t="n">
        <f aca="false">IF(AND(ISNUMBER(BJ39),ISNUMBER(BE39)),IFERROR(BJ39/BE39-1,""),"")</f>
        <v>0.122855214020081</v>
      </c>
      <c r="BK40" s="21" t="n">
        <f aca="false">IF(AND(ISNUMBER(BK39),ISNUMBER(BF39)),IFERROR(BK39/BF39-1,""),"")</f>
        <v>0.0331094710204025</v>
      </c>
      <c r="BL40" s="21" t="n">
        <f aca="false">IF(AND(ISNUMBER(BL39),ISNUMBER(BG39)),IFERROR(BL39/BG39-1,""),"")</f>
        <v>0.108180819770104</v>
      </c>
      <c r="BM40" s="21" t="n">
        <f aca="false">IF(AND(ISNUMBER(BM39),ISNUMBER(BH39)),IFERROR(BM39/BH39-1,""),"")</f>
        <v>0.0594984582680773</v>
      </c>
      <c r="BN40" s="21" t="n">
        <f aca="false">IF(AND(ISNUMBER(BN39),ISNUMBER(BI39)),IFERROR(BN39/BI39-1,""),"")</f>
        <v>0.152217792264295</v>
      </c>
      <c r="BO40" s="21" t="n">
        <f aca="false">IF(AND(ISNUMBER(BO39),ISNUMBER(BJ39)),IFERROR(BO39/BJ39-1,""),"")</f>
        <v>0.137226145462633</v>
      </c>
      <c r="BP40" s="21" t="n">
        <f aca="false">IF(AND(ISNUMBER(BP39),ISNUMBER(BK39)),IFERROR(BP39/BK39-1,""),"")</f>
        <v>0.123791485822699</v>
      </c>
      <c r="BQ40" s="21" t="n">
        <f aca="false">IF(AND(ISNUMBER(BQ39),ISNUMBER(BL39)),IFERROR(BQ39/BL39-1,""),"")</f>
        <v>0.11916745532654</v>
      </c>
      <c r="BR40" s="21" t="n">
        <f aca="false">IF(AND(ISNUMBER(BR39),ISNUMBER(BM39)),IFERROR(BR39/BM39-1,""),"")</f>
        <v>0.181261321299818</v>
      </c>
      <c r="BS40" s="21" t="n">
        <f aca="false">IF(AND(ISNUMBER(BS39),ISNUMBER(BN39)),IFERROR(BS39/BN39-1,""),"")</f>
        <v>0.18981547394289</v>
      </c>
      <c r="BT40" s="21" t="n">
        <f aca="false">IF(AND(ISNUMBER(BT39),ISNUMBER(BO39)),IFERROR(BT39/BO39-1,""),"")</f>
        <v>0.124670720899673</v>
      </c>
      <c r="BU40" s="21" t="n">
        <f aca="false">IF(AND(ISNUMBER(BU39),ISNUMBER(BP39)),IFERROR(BU39/BP39-1,""),"")</f>
        <v>0.206385272938041</v>
      </c>
      <c r="BV40" s="21" t="n">
        <f aca="false">IF(AND(ISNUMBER(BV39),ISNUMBER(BQ39)),IFERROR(BV39/BQ39-1,""),"")</f>
        <v>0.175735909570931</v>
      </c>
      <c r="BW40" s="21" t="n">
        <f aca="false">IF(AND(ISNUMBER(BW39),ISNUMBER(BR39)),IFERROR(BW39/BR39-1,""),"")</f>
        <v>0.207796299908473</v>
      </c>
      <c r="BX40" s="21" t="n">
        <f aca="false">IF(AND(ISNUMBER(BX39),ISNUMBER(BS39)),IFERROR(BX39/BS39-1,""),"")</f>
        <v>0.0671883088336667</v>
      </c>
      <c r="BY40" s="22" t="n">
        <f aca="false">IFERROR(BY39/BT39-1,"")</f>
        <v>0.0807599256373035</v>
      </c>
      <c r="BZ40" s="22" t="n">
        <f aca="false">IFERROR(BZ39/BU39-1,"")</f>
        <v>0.0807599256373035</v>
      </c>
      <c r="CA40" s="22" t="n">
        <f aca="false">IFERROR(CA39/BV39-1,"")</f>
        <v>0.105454284159302</v>
      </c>
      <c r="CB40" s="22" t="n">
        <f aca="false">IFERROR(CB39/CA39-1,"")</f>
        <v>0.0800000000000001</v>
      </c>
      <c r="CC40" s="22" t="n">
        <f aca="false">IFERROR(CC39/CB39-1,"")</f>
        <v>0.075</v>
      </c>
      <c r="CD40" s="22" t="n">
        <f aca="false">IFERROR(CD39/CC39-1,"")</f>
        <v>0.0700000000000001</v>
      </c>
      <c r="CE40" s="22" t="n">
        <f aca="false">IFERROR(CE39/CD39-1,"")</f>
        <v>0.0700000000000001</v>
      </c>
      <c r="CM40" s="20" t="s">
        <v>181</v>
      </c>
      <c r="CN40" s="37" t="n">
        <f aca="false">CO40+$CN$39</f>
        <v>0.1</v>
      </c>
      <c r="CO40" s="34" t="n">
        <v>0.07</v>
      </c>
      <c r="CP40" s="37" t="n">
        <f aca="false">CO40+$CP$39</f>
        <v>0.04</v>
      </c>
    </row>
    <row r="41" customFormat="false" ht="15" hidden="false" customHeight="false" outlineLevel="0" collapsed="false">
      <c r="B41" s="20" t="s">
        <v>115</v>
      </c>
      <c r="BY41" s="22" t="n">
        <f aca="false">($CA$49-$BW$39-$BX$39)/($BT$39+$BU$39)-1+BY89</f>
        <v>0.0807599256373035</v>
      </c>
      <c r="BZ41" s="22" t="n">
        <f aca="false">($CA$49-$BW$39-$BX$39)/($BT$39+$BU$39)-1+BZ89</f>
        <v>0.0807599256373035</v>
      </c>
      <c r="CA41" s="22" t="n">
        <f aca="false">IFERROR(CA39/BV39-1,"")</f>
        <v>0.105454284159302</v>
      </c>
      <c r="CB41" s="22" t="n">
        <f aca="false">CHOOSE(MATCH($CF$2,{"Bull","Base","Bear"},0),$CN$64,$CO$64,$CP$64)</f>
        <v>0.08</v>
      </c>
      <c r="CC41" s="22" t="n">
        <f aca="false">CHOOSE(MATCH($CF$2,{"Bull","Base","Bear"},0),$CN$65,$CO$65,$CP$65)</f>
        <v>0.075</v>
      </c>
      <c r="CD41" s="22" t="n">
        <f aca="false">CHOOSE(MATCH($CF$2,{"Bull","Base","Bear"},0),$CN$66,$CO$66,$CP$66)</f>
        <v>0.07</v>
      </c>
      <c r="CE41" s="22" t="n">
        <f aca="false">CHOOSE(MATCH($CF$2,{"Bull","Base","Bear"},0),$CN$67,$CO$67,$CP$67)</f>
        <v>0.07</v>
      </c>
      <c r="CF41" s="18" t="s">
        <v>116</v>
      </c>
      <c r="CM41" s="20" t="s">
        <v>182</v>
      </c>
      <c r="CN41" s="37" t="n">
        <f aca="false">CO41+$CN$39</f>
        <v>0.095</v>
      </c>
      <c r="CO41" s="34" t="n">
        <v>0.065</v>
      </c>
      <c r="CP41" s="37" t="n">
        <f aca="false">CO41+$CP$39</f>
        <v>0.035</v>
      </c>
    </row>
    <row r="42" customFormat="false" ht="15" hidden="false" customHeight="false" outlineLevel="0" collapsed="false">
      <c r="B42" s="20" t="s">
        <v>119</v>
      </c>
      <c r="AS42" s="24" t="n">
        <v>28.11</v>
      </c>
      <c r="AT42" s="24" t="n">
        <v>29.146</v>
      </c>
      <c r="AU42" s="24" t="n">
        <v>33.367</v>
      </c>
      <c r="AV42" s="24" t="n">
        <v>17.528</v>
      </c>
      <c r="AW42" s="24" t="n">
        <v>108.151</v>
      </c>
      <c r="AX42" s="24" t="n">
        <v>38.057</v>
      </c>
      <c r="AY42" s="24" t="n">
        <v>43.095</v>
      </c>
      <c r="AZ42" s="24" t="n">
        <v>35.483</v>
      </c>
      <c r="BA42" s="24" t="n">
        <v>25.025</v>
      </c>
      <c r="BB42" s="24" t="n">
        <v>141.66</v>
      </c>
      <c r="BC42" s="24" t="n">
        <v>27.288</v>
      </c>
      <c r="BD42" s="24" t="n">
        <v>50.001</v>
      </c>
      <c r="BE42" s="24" t="n">
        <v>41.576</v>
      </c>
      <c r="BF42" s="24" t="n">
        <v>58.717</v>
      </c>
      <c r="BG42" s="24" t="n">
        <v>177.582</v>
      </c>
      <c r="BH42" s="24" t="n">
        <v>37.937</v>
      </c>
      <c r="BI42" s="24" t="n">
        <v>46.782</v>
      </c>
      <c r="BJ42" s="24" t="n">
        <v>47.663</v>
      </c>
      <c r="BK42" s="24" t="n">
        <v>56.845</v>
      </c>
      <c r="BL42" s="24" t="n">
        <v>189.227</v>
      </c>
      <c r="BM42" s="24" t="n">
        <v>35.191</v>
      </c>
      <c r="BN42" s="24" t="n">
        <v>46.283</v>
      </c>
      <c r="BO42" s="24" t="n">
        <v>53.039</v>
      </c>
      <c r="BP42" s="24" t="n">
        <v>65.15</v>
      </c>
      <c r="BQ42" s="24" t="n">
        <v>199.663</v>
      </c>
      <c r="BR42" s="24" t="n">
        <v>41.863</v>
      </c>
      <c r="BS42" s="24" t="n">
        <v>60.416</v>
      </c>
      <c r="BT42" s="24" t="n">
        <v>57.721</v>
      </c>
      <c r="BU42" s="24" t="n">
        <v>71.284</v>
      </c>
      <c r="BV42" s="24" t="n">
        <v>231.284</v>
      </c>
      <c r="BW42" s="24" t="n">
        <v>59.777</v>
      </c>
      <c r="BX42" s="24" t="n">
        <v>71.019</v>
      </c>
      <c r="BY42" s="25" t="n">
        <f aca="false">BY45-BY44</f>
        <v>66.7388116908594</v>
      </c>
      <c r="BZ42" s="25" t="n">
        <f aca="false">BZ45-BZ44</f>
        <v>81.5305499299886</v>
      </c>
      <c r="CA42" s="25" t="n">
        <f aca="false">SUM(BW42,BX42,BY42,BZ42)</f>
        <v>279.065361620848</v>
      </c>
      <c r="CB42" s="25" t="n">
        <f aca="false">CB45-CB44</f>
        <v>313.295361620848</v>
      </c>
      <c r="CC42" s="25" t="n">
        <f aca="false">CC45-CC44</f>
        <v>346.940736620848</v>
      </c>
      <c r="CD42" s="25" t="n">
        <f aca="false">CD45-CD44</f>
        <v>380.698262870848</v>
      </c>
      <c r="CE42" s="25" t="n">
        <f aca="false">CE45-CE44</f>
        <v>416.818815958348</v>
      </c>
      <c r="CM42" s="20" t="s">
        <v>183</v>
      </c>
      <c r="CN42" s="37" t="n">
        <f aca="false">CO42+$CN$39</f>
        <v>0.09</v>
      </c>
      <c r="CO42" s="34" t="n">
        <v>0.06</v>
      </c>
      <c r="CP42" s="37" t="n">
        <f aca="false">CO42+$CP$39</f>
        <v>0.03</v>
      </c>
    </row>
    <row r="43" customFormat="false" ht="15" hidden="false" customHeight="false" outlineLevel="0" collapsed="false">
      <c r="B43" s="20" t="s">
        <v>122</v>
      </c>
      <c r="C43" s="27" t="str">
        <f aca="false">IF(AND(ISNUMBER(C42),ISNUMBER(C39)),IFERROR(C42/C39,""),"")</f>
        <v/>
      </c>
      <c r="D43" s="27" t="str">
        <f aca="false">IF(AND(ISNUMBER(D42),ISNUMBER(D39)),IFERROR(D42/D39,""),"")</f>
        <v/>
      </c>
      <c r="E43" s="27" t="str">
        <f aca="false">IF(AND(ISNUMBER(E42),ISNUMBER(E39)),IFERROR(E42/E39,""),"")</f>
        <v/>
      </c>
      <c r="F43" s="27" t="str">
        <f aca="false">IF(AND(ISNUMBER(F42),ISNUMBER(F39)),IFERROR(F42/F39,""),"")</f>
        <v/>
      </c>
      <c r="G43" s="27" t="str">
        <f aca="false">IF(AND(ISNUMBER(G42),ISNUMBER(G39)),IFERROR(G42/G39,""),"")</f>
        <v/>
      </c>
      <c r="H43" s="27" t="str">
        <f aca="false">IF(AND(ISNUMBER(H42),ISNUMBER(H39)),IFERROR(H42/H39,""),"")</f>
        <v/>
      </c>
      <c r="I43" s="27" t="str">
        <f aca="false">IF(AND(ISNUMBER(I42),ISNUMBER(I39)),IFERROR(I42/I39,""),"")</f>
        <v/>
      </c>
      <c r="J43" s="27" t="str">
        <f aca="false">IF(AND(ISNUMBER(J42),ISNUMBER(J39)),IFERROR(J42/J39,""),"")</f>
        <v/>
      </c>
      <c r="K43" s="27" t="str">
        <f aca="false">IF(AND(ISNUMBER(K42),ISNUMBER(K39)),IFERROR(K42/K39,""),"")</f>
        <v/>
      </c>
      <c r="L43" s="27" t="str">
        <f aca="false">IF(AND(ISNUMBER(L42),ISNUMBER(L39)),IFERROR(L42/L39,""),"")</f>
        <v/>
      </c>
      <c r="M43" s="27" t="str">
        <f aca="false">IF(AND(ISNUMBER(M42),ISNUMBER(M39)),IFERROR(M42/M39,""),"")</f>
        <v/>
      </c>
      <c r="N43" s="27" t="str">
        <f aca="false">IF(AND(ISNUMBER(N42),ISNUMBER(N39)),IFERROR(N42/N39,""),"")</f>
        <v/>
      </c>
      <c r="O43" s="27" t="str">
        <f aca="false">IF(AND(ISNUMBER(O42),ISNUMBER(O39)),IFERROR(O42/O39,""),"")</f>
        <v/>
      </c>
      <c r="P43" s="27" t="str">
        <f aca="false">IF(AND(ISNUMBER(P42),ISNUMBER(P39)),IFERROR(P42/P39,""),"")</f>
        <v/>
      </c>
      <c r="Q43" s="27" t="str">
        <f aca="false">IF(AND(ISNUMBER(Q42),ISNUMBER(Q39)),IFERROR(Q42/Q39,""),"")</f>
        <v/>
      </c>
      <c r="R43" s="27" t="str">
        <f aca="false">IF(AND(ISNUMBER(R42),ISNUMBER(R39)),IFERROR(R42/R39,""),"")</f>
        <v/>
      </c>
      <c r="S43" s="27" t="str">
        <f aca="false">IF(AND(ISNUMBER(S42),ISNUMBER(S39)),IFERROR(S42/S39,""),"")</f>
        <v/>
      </c>
      <c r="T43" s="27" t="str">
        <f aca="false">IF(AND(ISNUMBER(T42),ISNUMBER(T39)),IFERROR(T42/T39,""),"")</f>
        <v/>
      </c>
      <c r="U43" s="27" t="str">
        <f aca="false">IF(AND(ISNUMBER(U42),ISNUMBER(U39)),IFERROR(U42/U39,""),"")</f>
        <v/>
      </c>
      <c r="V43" s="27" t="str">
        <f aca="false">IF(AND(ISNUMBER(V42),ISNUMBER(V39)),IFERROR(V42/V39,""),"")</f>
        <v/>
      </c>
      <c r="W43" s="27" t="str">
        <f aca="false">IF(AND(ISNUMBER(W42),ISNUMBER(W39)),IFERROR(W42/W39,""),"")</f>
        <v/>
      </c>
      <c r="X43" s="27" t="str">
        <f aca="false">IF(AND(ISNUMBER(X42),ISNUMBER(X39)),IFERROR(X42/X39,""),"")</f>
        <v/>
      </c>
      <c r="Y43" s="27" t="str">
        <f aca="false">IF(AND(ISNUMBER(Y42),ISNUMBER(Y39)),IFERROR(Y42/Y39,""),"")</f>
        <v/>
      </c>
      <c r="Z43" s="27" t="str">
        <f aca="false">IF(AND(ISNUMBER(Z42),ISNUMBER(Z39)),IFERROR(Z42/Z39,""),"")</f>
        <v/>
      </c>
      <c r="AA43" s="27" t="str">
        <f aca="false">IF(AND(ISNUMBER(AA42),ISNUMBER(AA39)),IFERROR(AA42/AA39,""),"")</f>
        <v/>
      </c>
      <c r="AB43" s="27" t="str">
        <f aca="false">IF(AND(ISNUMBER(AB42),ISNUMBER(AB39)),IFERROR(AB42/AB39,""),"")</f>
        <v/>
      </c>
      <c r="AC43" s="27" t="str">
        <f aca="false">IF(AND(ISNUMBER(AC42),ISNUMBER(AC39)),IFERROR(AC42/AC39,""),"")</f>
        <v/>
      </c>
      <c r="AD43" s="27" t="str">
        <f aca="false">IF(AND(ISNUMBER(AD42),ISNUMBER(AD39)),IFERROR(AD42/AD39,""),"")</f>
        <v/>
      </c>
      <c r="AE43" s="27" t="str">
        <f aca="false">IF(AND(ISNUMBER(AE42),ISNUMBER(AE39)),IFERROR(AE42/AE39,""),"")</f>
        <v/>
      </c>
      <c r="AF43" s="27" t="str">
        <f aca="false">IF(AND(ISNUMBER(AF42),ISNUMBER(AF39)),IFERROR(AF42/AF39,""),"")</f>
        <v/>
      </c>
      <c r="AG43" s="27" t="str">
        <f aca="false">IF(AND(ISNUMBER(AG42),ISNUMBER(AG39)),IFERROR(AG42/AG39,""),"")</f>
        <v/>
      </c>
      <c r="AH43" s="27" t="str">
        <f aca="false">IF(AND(ISNUMBER(AH42),ISNUMBER(AH39)),IFERROR(AH42/AH39,""),"")</f>
        <v/>
      </c>
      <c r="AI43" s="27" t="str">
        <f aca="false">IF(AND(ISNUMBER(AI42),ISNUMBER(AI39)),IFERROR(AI42/AI39,""),"")</f>
        <v/>
      </c>
      <c r="AJ43" s="27" t="str">
        <f aca="false">IF(AND(ISNUMBER(AJ42),ISNUMBER(AJ39)),IFERROR(AJ42/AJ39,""),"")</f>
        <v/>
      </c>
      <c r="AK43" s="27" t="str">
        <f aca="false">IF(AND(ISNUMBER(AK42),ISNUMBER(AK39)),IFERROR(AK42/AK39,""),"")</f>
        <v/>
      </c>
      <c r="AL43" s="27" t="str">
        <f aca="false">IF(AND(ISNUMBER(AL42),ISNUMBER(AL39)),IFERROR(AL42/AL39,""),"")</f>
        <v/>
      </c>
      <c r="AM43" s="27" t="str">
        <f aca="false">IF(AND(ISNUMBER(AM42),ISNUMBER(AM39)),IFERROR(AM42/AM39,""),"")</f>
        <v/>
      </c>
      <c r="AN43" s="27" t="str">
        <f aca="false">IF(AND(ISNUMBER(AN42),ISNUMBER(AN39)),IFERROR(AN42/AN39,""),"")</f>
        <v/>
      </c>
      <c r="AO43" s="27" t="str">
        <f aca="false">IF(AND(ISNUMBER(AO42),ISNUMBER(AO39)),IFERROR(AO42/AO39,""),"")</f>
        <v/>
      </c>
      <c r="AP43" s="27" t="str">
        <f aca="false">IF(AND(ISNUMBER(AP42),ISNUMBER(AP39)),IFERROR(AP42/AP39,""),"")</f>
        <v/>
      </c>
      <c r="AQ43" s="27" t="str">
        <f aca="false">IF(AND(ISNUMBER(AQ42),ISNUMBER(AQ39)),IFERROR(AQ42/AQ39,""),"")</f>
        <v/>
      </c>
      <c r="AR43" s="27" t="str">
        <f aca="false">IF(AND(ISNUMBER(AR42),ISNUMBER(AR39)),IFERROR(AR42/AR39,""),"")</f>
        <v/>
      </c>
      <c r="AS43" s="27" t="n">
        <f aca="false">IF(AND(ISNUMBER(AS42),ISNUMBER(AS39)),IFERROR(AS42/AS39,""),"")</f>
        <v>0.119656737129771</v>
      </c>
      <c r="AT43" s="27" t="n">
        <f aca="false">IF(AND(ISNUMBER(AT42),ISNUMBER(AT39)),IFERROR(AT42/AT39,""),"")</f>
        <v>0.125077782021517</v>
      </c>
      <c r="AU43" s="27" t="n">
        <f aca="false">IF(AND(ISNUMBER(AU42),ISNUMBER(AU39)),IFERROR(AU42/AU39,""),"")</f>
        <v>0.142276630763852</v>
      </c>
      <c r="AV43" s="27" t="n">
        <f aca="false">IF(AND(ISNUMBER(AV42),ISNUMBER(AV39)),IFERROR(AV42/AV39,""),"")</f>
        <v>0.0638684735041302</v>
      </c>
      <c r="AW43" s="27" t="n">
        <f aca="false">IF(AND(ISNUMBER(AW42),ISNUMBER(AW39)),IFERROR(AW42/AW39,""),"")</f>
        <v>0.110707683236668</v>
      </c>
      <c r="AX43" s="27" t="n">
        <f aca="false">IF(AND(ISNUMBER(AX42),ISNUMBER(AX39)),IFERROR(AX42/AX39,""),"")</f>
        <v>0.161589870751881</v>
      </c>
      <c r="AY43" s="27" t="n">
        <f aca="false">IF(AND(ISNUMBER(AY42),ISNUMBER(AY39)),IFERROR(AY42/AY39,""),"")</f>
        <v>0.16611353307816</v>
      </c>
      <c r="AZ43" s="27" t="n">
        <f aca="false">IF(AND(ISNUMBER(AZ42),ISNUMBER(AZ39)),IFERROR(AZ42/AZ39,""),"")</f>
        <v>0.14612942150326</v>
      </c>
      <c r="BA43" s="27" t="n">
        <f aca="false">IF(AND(ISNUMBER(BA42),ISNUMBER(BA39)),IFERROR(BA42/BA39,""),"")</f>
        <v>0.0971825789790489</v>
      </c>
      <c r="BB43" s="27" t="n">
        <f aca="false">IF(AND(ISNUMBER(BB42),ISNUMBER(BB39)),IFERROR(BB42/BB39,""),"")</f>
        <v>0.142333093197732</v>
      </c>
      <c r="BC43" s="27" t="n">
        <f aca="false">IF(AND(ISNUMBER(BC42),ISNUMBER(BC39)),IFERROR(BC42/BC39,""),"")</f>
        <v>0.121129261363636</v>
      </c>
      <c r="BD43" s="27" t="n">
        <f aca="false">IF(AND(ISNUMBER(BD42),ISNUMBER(BD39)),IFERROR(BD42/BD39,""),"")</f>
        <v>0.199020044898024</v>
      </c>
      <c r="BE43" s="27" t="n">
        <f aca="false">IF(AND(ISNUMBER(BE42),ISNUMBER(BE39)),IFERROR(BE42/BE39,""),"")</f>
        <v>0.162240840393193</v>
      </c>
      <c r="BF43" s="27" t="n">
        <f aca="false">IF(AND(ISNUMBER(BF42),ISNUMBER(BF39)),IFERROR(BF42/BF39,""),"")</f>
        <v>0.197069316766851</v>
      </c>
      <c r="BG43" s="27" t="n">
        <f aca="false">IF(AND(ISNUMBER(BG42),ISNUMBER(BG39)),IFERROR(BG42/BG39,""),"")</f>
        <v>0.172287936293571</v>
      </c>
      <c r="BH43" s="27" t="n">
        <f aca="false">IF(AND(ISNUMBER(BH42),ISNUMBER(BH39)),IFERROR(BH42/BH39,""),"")</f>
        <v>0.142481568698147</v>
      </c>
      <c r="BI43" s="27" t="n">
        <f aca="false">IF(AND(ISNUMBER(BI42),ISNUMBER(BI39)),IFERROR(BI42/BI39,""),"")</f>
        <v>0.166831898550001</v>
      </c>
      <c r="BJ43" s="27" t="n">
        <f aca="false">IF(AND(ISNUMBER(BJ42),ISNUMBER(BJ39)),IFERROR(BJ42/BJ39,""),"")</f>
        <v>0.165643766681495</v>
      </c>
      <c r="BK43" s="27" t="n">
        <f aca="false">IF(AND(ISNUMBER(BK42),ISNUMBER(BK39)),IFERROR(BK42/BK39,""),"")</f>
        <v>0.184672011851236</v>
      </c>
      <c r="BL43" s="27" t="n">
        <f aca="false">IF(AND(ISNUMBER(BL42),ISNUMBER(BL39)),IFERROR(BL42/BL39,""),"")</f>
        <v>0.165664098305687</v>
      </c>
      <c r="BM43" s="27" t="n">
        <f aca="false">IF(AND(ISNUMBER(BM42),ISNUMBER(BM39)),IFERROR(BM42/BM39,""),"")</f>
        <v>0.12474610157355</v>
      </c>
      <c r="BN43" s="27" t="n">
        <f aca="false">IF(AND(ISNUMBER(BN42),ISNUMBER(BN39)),IFERROR(BN42/BN39,""),"")</f>
        <v>0.143247559563971</v>
      </c>
      <c r="BO43" s="27" t="n">
        <f aca="false">IF(AND(ISNUMBER(BO42),ISNUMBER(BO39)),IFERROR(BO42/BO39,""),"")</f>
        <v>0.16208477217859</v>
      </c>
      <c r="BP43" s="27" t="n">
        <f aca="false">IF(AND(ISNUMBER(BP42),ISNUMBER(BP39)),IFERROR(BP42/BP39,""),"")</f>
        <v>0.188337799671023</v>
      </c>
      <c r="BQ43" s="27" t="n">
        <f aca="false">IF(AND(ISNUMBER(BQ42),ISNUMBER(BQ39)),IFERROR(BQ42/BQ39,""),"")</f>
        <v>0.156188054914538</v>
      </c>
      <c r="BR43" s="27" t="n">
        <f aca="false">IF(AND(ISNUMBER(BR42),ISNUMBER(BR39)),IFERROR(BR42/BR39,""),"")</f>
        <v>0.125626059687608</v>
      </c>
      <c r="BS43" s="27" t="n">
        <f aca="false">IF(AND(ISNUMBER(BS42),ISNUMBER(BS39)),IFERROR(BS42/BS39,""),"")</f>
        <v>0.157158576270657</v>
      </c>
      <c r="BT43" s="27" t="n">
        <f aca="false">IF(AND(ISNUMBER(BT42),ISNUMBER(BT39)),IFERROR(BT42/BT39,""),"")</f>
        <v>0.156839462429285</v>
      </c>
      <c r="BU43" s="27" t="n">
        <f aca="false">IF(AND(ISNUMBER(BU42),ISNUMBER(BU39)),IFERROR(BU42/BU39,""),"")</f>
        <v>0.170816219920731</v>
      </c>
      <c r="BV43" s="27" t="n">
        <f aca="false">IF(AND(ISNUMBER(BV42),ISNUMBER(BV39)),IFERROR(BV42/BV39,""),"")</f>
        <v>0.153881365427325</v>
      </c>
      <c r="BW43" s="27" t="n">
        <f aca="false">IF(AND(ISNUMBER(BW42),ISNUMBER(BW39)),IFERROR(BW42/BW39,""),"")</f>
        <v>0.148521665672828</v>
      </c>
      <c r="BX43" s="27" t="n">
        <f aca="false">IF(AND(ISNUMBER(BX42),ISNUMBER(BX39)),IFERROR(BX42/BX39,""),"")</f>
        <v>0.173108985608986</v>
      </c>
      <c r="BY43" s="22" t="n">
        <f aca="false">IFERROR(BY42/BY39,"")</f>
        <v>0.167791800932631</v>
      </c>
      <c r="BZ43" s="22" t="n">
        <f aca="false">IFERROR(BZ42/BZ39,"")</f>
        <v>0.180770760172166</v>
      </c>
      <c r="CA43" s="22" t="n">
        <f aca="false">IFERROR(CA42/CA39,"")</f>
        <v>0.167959892639692</v>
      </c>
      <c r="CB43" s="22" t="n">
        <f aca="false">IFERROR(CB42/CB39,"")</f>
        <v>0.174594220762613</v>
      </c>
      <c r="CC43" s="22" t="n">
        <f aca="false">IFERROR(CC42/CC39,"")</f>
        <v>0.1798550890815</v>
      </c>
      <c r="CD43" s="22" t="n">
        <f aca="false">IFERROR(CD42/CD39,"")</f>
        <v>0.184444008487384</v>
      </c>
      <c r="CE43" s="22" t="n">
        <f aca="false">IFERROR(CE42/CE39,"")</f>
        <v>0.188732718212508</v>
      </c>
      <c r="CM43" s="20" t="s">
        <v>184</v>
      </c>
      <c r="CN43" s="37" t="n">
        <f aca="false">CO43+$CN$39</f>
        <v>0.09</v>
      </c>
      <c r="CO43" s="34" t="n">
        <v>0.06</v>
      </c>
      <c r="CP43" s="37" t="n">
        <f aca="false">CO43+$CP$39</f>
        <v>0.03</v>
      </c>
    </row>
    <row r="44" customFormat="false" ht="15" hidden="false" customHeight="false" outlineLevel="0" collapsed="false">
      <c r="B44" s="20" t="s">
        <v>125</v>
      </c>
      <c r="AS44" s="28" t="n">
        <v>5.39</v>
      </c>
      <c r="AT44" s="28" t="n">
        <v>9.154</v>
      </c>
      <c r="AU44" s="28" t="n">
        <v>8.633</v>
      </c>
      <c r="AV44" s="28" t="n">
        <v>39.513</v>
      </c>
      <c r="AW44" s="28" t="n">
        <v>62.715</v>
      </c>
      <c r="AX44" s="28" t="n">
        <v>2.543</v>
      </c>
      <c r="AY44" s="28" t="n">
        <v>0.405</v>
      </c>
      <c r="AZ44" s="28" t="n">
        <v>8.417</v>
      </c>
      <c r="BA44" s="28" t="n">
        <v>22.802</v>
      </c>
      <c r="BB44" s="28" t="n">
        <v>34.139</v>
      </c>
      <c r="BC44" s="28" t="n">
        <v>5.427</v>
      </c>
      <c r="BD44" s="28" t="n">
        <v>0</v>
      </c>
      <c r="BE44" s="28" t="n">
        <v>6.905</v>
      </c>
      <c r="BF44" s="28" t="n">
        <v>1.724</v>
      </c>
      <c r="BG44" s="28" t="n">
        <v>14.056</v>
      </c>
      <c r="BH44" s="28" t="n">
        <v>2.676</v>
      </c>
      <c r="BI44" s="28" t="n">
        <v>2.659</v>
      </c>
      <c r="BJ44" s="28" t="n">
        <v>1.333</v>
      </c>
      <c r="BK44" s="28" t="n">
        <v>2.529</v>
      </c>
      <c r="BL44" s="28" t="n">
        <v>9.198</v>
      </c>
      <c r="BM44" s="28" t="n">
        <v>0</v>
      </c>
      <c r="BN44" s="28" t="n">
        <v>0.342</v>
      </c>
      <c r="BO44" s="28" t="n">
        <v>0.759</v>
      </c>
      <c r="BP44" s="28" t="n">
        <v>0.962</v>
      </c>
      <c r="BQ44" s="28" t="n">
        <v>2.063</v>
      </c>
      <c r="BR44" s="28" t="n">
        <v>3.069</v>
      </c>
      <c r="BS44" s="28" t="n">
        <v>3.134</v>
      </c>
      <c r="BT44" s="28" t="n">
        <v>3.532</v>
      </c>
      <c r="BU44" s="28" t="n">
        <v>3.539</v>
      </c>
      <c r="BV44" s="28" t="n">
        <v>13.272</v>
      </c>
      <c r="BW44" s="28" t="n">
        <v>0.111</v>
      </c>
      <c r="BX44" s="28" t="n">
        <v>0.088</v>
      </c>
      <c r="BY44" s="29" t="n">
        <f aca="false">MAX(0,($CO$32-$BW$44-$BX$44)/2)</f>
        <v>0.4005</v>
      </c>
      <c r="BZ44" s="29" t="n">
        <f aca="false">MAX(0,($CO$32-$BW$44-$BX$44)/2)</f>
        <v>0.4005</v>
      </c>
      <c r="CA44" s="29" t="n">
        <f aca="false">SUM(BW44,BX44,BY44,BZ44)</f>
        <v>1</v>
      </c>
      <c r="CB44" s="30" t="n">
        <v>0</v>
      </c>
      <c r="CC44" s="30" t="n">
        <v>0</v>
      </c>
      <c r="CD44" s="30" t="n">
        <v>0</v>
      </c>
      <c r="CE44" s="30" t="n">
        <v>0</v>
      </c>
      <c r="CF44" s="18" t="s">
        <v>126</v>
      </c>
    </row>
    <row r="45" customFormat="false" ht="15" hidden="false" customHeight="false" outlineLevel="0" collapsed="false">
      <c r="B45" s="15" t="s">
        <v>129</v>
      </c>
      <c r="AS45" s="31" t="n">
        <f aca="false">AS42+AS44</f>
        <v>33.5</v>
      </c>
      <c r="AT45" s="31" t="n">
        <f aca="false">AT42+AT44</f>
        <v>38.3</v>
      </c>
      <c r="AU45" s="31" t="n">
        <f aca="false">AU42+AU44</f>
        <v>42</v>
      </c>
      <c r="AV45" s="31" t="n">
        <f aca="false">AV42+AV44</f>
        <v>57.041</v>
      </c>
      <c r="AW45" s="31" t="n">
        <f aca="false">AW42+AW44</f>
        <v>170.866</v>
      </c>
      <c r="AX45" s="31" t="n">
        <f aca="false">AX42+AX44</f>
        <v>40.6</v>
      </c>
      <c r="AY45" s="31" t="n">
        <f aca="false">AY42+AY44</f>
        <v>43.5</v>
      </c>
      <c r="AZ45" s="31" t="n">
        <f aca="false">AZ42+AZ44</f>
        <v>43.9</v>
      </c>
      <c r="BA45" s="31" t="n">
        <f aca="false">BA42+BA44</f>
        <v>47.827</v>
      </c>
      <c r="BB45" s="31" t="n">
        <f aca="false">BB42+BB44</f>
        <v>175.799</v>
      </c>
      <c r="BC45" s="31" t="n">
        <f aca="false">BC42+BC44</f>
        <v>32.715</v>
      </c>
      <c r="BD45" s="31" t="n">
        <f aca="false">BD42+BD44</f>
        <v>50.001</v>
      </c>
      <c r="BE45" s="31" t="n">
        <f aca="false">BE42+BE44</f>
        <v>48.481</v>
      </c>
      <c r="BF45" s="31" t="n">
        <f aca="false">BF42+BF44</f>
        <v>60.441</v>
      </c>
      <c r="BG45" s="31" t="n">
        <f aca="false">BG42+BG44</f>
        <v>191.638</v>
      </c>
      <c r="BH45" s="31" t="n">
        <f aca="false">BH42+BH44</f>
        <v>40.613</v>
      </c>
      <c r="BI45" s="31" t="n">
        <f aca="false">BI42+BI44</f>
        <v>49.441</v>
      </c>
      <c r="BJ45" s="31" t="n">
        <f aca="false">BJ42+BJ44</f>
        <v>48.996</v>
      </c>
      <c r="BK45" s="31" t="n">
        <f aca="false">BK42+BK44</f>
        <v>59.374</v>
      </c>
      <c r="BL45" s="31" t="n">
        <f aca="false">BL42+BL44</f>
        <v>198.425</v>
      </c>
      <c r="BM45" s="31" t="n">
        <f aca="false">BM42+BM44</f>
        <v>35.191</v>
      </c>
      <c r="BN45" s="31" t="n">
        <f aca="false">BN42+BN44</f>
        <v>46.625</v>
      </c>
      <c r="BO45" s="31" t="n">
        <f aca="false">BO42+BO44</f>
        <v>53.798</v>
      </c>
      <c r="BP45" s="31" t="n">
        <f aca="false">BP42+BP44</f>
        <v>66.112</v>
      </c>
      <c r="BQ45" s="31" t="n">
        <f aca="false">BQ42+BQ44</f>
        <v>201.726</v>
      </c>
      <c r="BR45" s="31" t="n">
        <f aca="false">BR42+BR44</f>
        <v>44.932</v>
      </c>
      <c r="BS45" s="31" t="n">
        <f aca="false">BS42+BS44</f>
        <v>63.55</v>
      </c>
      <c r="BT45" s="31" t="n">
        <f aca="false">BT42+BT44</f>
        <v>61.253</v>
      </c>
      <c r="BU45" s="31" t="n">
        <f aca="false">BU42+BU44</f>
        <v>74.823</v>
      </c>
      <c r="BV45" s="31" t="n">
        <f aca="false">BV42+BV44</f>
        <v>244.556</v>
      </c>
      <c r="BW45" s="31" t="n">
        <f aca="false">BW42+BW44</f>
        <v>59.888</v>
      </c>
      <c r="BX45" s="31" t="n">
        <f aca="false">BX42+BX44</f>
        <v>71.107</v>
      </c>
      <c r="BY45" s="17" t="n">
        <f aca="false">BY39*BY46</f>
        <v>67.1393116908594</v>
      </c>
      <c r="BZ45" s="17" t="n">
        <f aca="false">BZ39*BZ46</f>
        <v>81.9310499299886</v>
      </c>
      <c r="CA45" s="17" t="n">
        <f aca="false">SUM(BW45,BX45,BY45,BZ45)</f>
        <v>280.065361620848</v>
      </c>
      <c r="CB45" s="17" t="n">
        <f aca="false">CA45+(CB39-CA39)*CB48</f>
        <v>313.295361620848</v>
      </c>
      <c r="CC45" s="17" t="n">
        <f aca="false">CB45+(CC39-CB39)*CC48</f>
        <v>346.940736620848</v>
      </c>
      <c r="CD45" s="17" t="n">
        <f aca="false">CC45+(CD39-CC39)*CD48</f>
        <v>380.698262870848</v>
      </c>
      <c r="CE45" s="17" t="n">
        <f aca="false">CD45+(CE39-CD39)*CE48</f>
        <v>416.818815958348</v>
      </c>
      <c r="CF45" s="18" t="s">
        <v>130</v>
      </c>
      <c r="CH45" s="19" t="n">
        <f aca="false">IFERROR((CE45/BV45)^(1/5)-1,"n/m")</f>
        <v>0.112535297167522</v>
      </c>
      <c r="CI45" s="19" t="n">
        <f aca="false">IFERROR((BV45/AW45)^(1/5)-1,"n/m")</f>
        <v>0.0743468973375054</v>
      </c>
      <c r="CJ45" s="19" t="str">
        <f aca="false">IFERROR((BV45/X45)^(1/10)-1,"n/m")</f>
        <v>n/m</v>
      </c>
      <c r="CK45" s="19" t="str">
        <f aca="false">IFERROR((BV45/C45)^(1/19)-1,"n/m")</f>
        <v>n/m</v>
      </c>
      <c r="CM45" s="20" t="s">
        <v>185</v>
      </c>
      <c r="CN45" s="34" t="n">
        <v>0.075</v>
      </c>
      <c r="CO45" s="37" t="s">
        <v>179</v>
      </c>
      <c r="CP45" s="34" t="n">
        <v>-0.075</v>
      </c>
      <c r="CQ45" s="12" t="s">
        <v>186</v>
      </c>
    </row>
    <row r="46" customFormat="false" ht="15" hidden="false" customHeight="false" outlineLevel="0" collapsed="false">
      <c r="B46" s="20" t="s">
        <v>133</v>
      </c>
      <c r="C46" s="27" t="str">
        <f aca="false">IF(AND(ISNUMBER(C45),ISNUMBER(C39)),IFERROR(C45/C39,""),"")</f>
        <v/>
      </c>
      <c r="D46" s="27" t="str">
        <f aca="false">IF(AND(ISNUMBER(D45),ISNUMBER(D39)),IFERROR(D45/D39,""),"")</f>
        <v/>
      </c>
      <c r="E46" s="27" t="str">
        <f aca="false">IF(AND(ISNUMBER(E45),ISNUMBER(E39)),IFERROR(E45/E39,""),"")</f>
        <v/>
      </c>
      <c r="F46" s="27" t="str">
        <f aca="false">IF(AND(ISNUMBER(F45),ISNUMBER(F39)),IFERROR(F45/F39,""),"")</f>
        <v/>
      </c>
      <c r="G46" s="27" t="str">
        <f aca="false">IF(AND(ISNUMBER(G45),ISNUMBER(G39)),IFERROR(G45/G39,""),"")</f>
        <v/>
      </c>
      <c r="H46" s="27" t="str">
        <f aca="false">IF(AND(ISNUMBER(H45),ISNUMBER(H39)),IFERROR(H45/H39,""),"")</f>
        <v/>
      </c>
      <c r="I46" s="27" t="str">
        <f aca="false">IF(AND(ISNUMBER(I45),ISNUMBER(I39)),IFERROR(I45/I39,""),"")</f>
        <v/>
      </c>
      <c r="J46" s="27" t="str">
        <f aca="false">IF(AND(ISNUMBER(J45),ISNUMBER(J39)),IFERROR(J45/J39,""),"")</f>
        <v/>
      </c>
      <c r="K46" s="27" t="str">
        <f aca="false">IF(AND(ISNUMBER(K45),ISNUMBER(K39)),IFERROR(K45/K39,""),"")</f>
        <v/>
      </c>
      <c r="L46" s="27" t="str">
        <f aca="false">IF(AND(ISNUMBER(L45),ISNUMBER(L39)),IFERROR(L45/L39,""),"")</f>
        <v/>
      </c>
      <c r="M46" s="27" t="str">
        <f aca="false">IF(AND(ISNUMBER(M45),ISNUMBER(M39)),IFERROR(M45/M39,""),"")</f>
        <v/>
      </c>
      <c r="N46" s="27" t="str">
        <f aca="false">IF(AND(ISNUMBER(N45),ISNUMBER(N39)),IFERROR(N45/N39,""),"")</f>
        <v/>
      </c>
      <c r="O46" s="27" t="str">
        <f aca="false">IF(AND(ISNUMBER(O45),ISNUMBER(O39)),IFERROR(O45/O39,""),"")</f>
        <v/>
      </c>
      <c r="P46" s="27" t="str">
        <f aca="false">IF(AND(ISNUMBER(P45),ISNUMBER(P39)),IFERROR(P45/P39,""),"")</f>
        <v/>
      </c>
      <c r="Q46" s="27" t="str">
        <f aca="false">IF(AND(ISNUMBER(Q45),ISNUMBER(Q39)),IFERROR(Q45/Q39,""),"")</f>
        <v/>
      </c>
      <c r="R46" s="27" t="str">
        <f aca="false">IF(AND(ISNUMBER(R45),ISNUMBER(R39)),IFERROR(R45/R39,""),"")</f>
        <v/>
      </c>
      <c r="S46" s="27" t="str">
        <f aca="false">IF(AND(ISNUMBER(S45),ISNUMBER(S39)),IFERROR(S45/S39,""),"")</f>
        <v/>
      </c>
      <c r="T46" s="27" t="str">
        <f aca="false">IF(AND(ISNUMBER(T45),ISNUMBER(T39)),IFERROR(T45/T39,""),"")</f>
        <v/>
      </c>
      <c r="U46" s="27" t="str">
        <f aca="false">IF(AND(ISNUMBER(U45),ISNUMBER(U39)),IFERROR(U45/U39,""),"")</f>
        <v/>
      </c>
      <c r="V46" s="27" t="str">
        <f aca="false">IF(AND(ISNUMBER(V45),ISNUMBER(V39)),IFERROR(V45/V39,""),"")</f>
        <v/>
      </c>
      <c r="W46" s="27" t="str">
        <f aca="false">IF(AND(ISNUMBER(W45),ISNUMBER(W39)),IFERROR(W45/W39,""),"")</f>
        <v/>
      </c>
      <c r="X46" s="27" t="str">
        <f aca="false">IF(AND(ISNUMBER(X45),ISNUMBER(X39)),IFERROR(X45/X39,""),"")</f>
        <v/>
      </c>
      <c r="Y46" s="27" t="str">
        <f aca="false">IF(AND(ISNUMBER(Y45),ISNUMBER(Y39)),IFERROR(Y45/Y39,""),"")</f>
        <v/>
      </c>
      <c r="Z46" s="27" t="str">
        <f aca="false">IF(AND(ISNUMBER(Z45),ISNUMBER(Z39)),IFERROR(Z45/Z39,""),"")</f>
        <v/>
      </c>
      <c r="AA46" s="27" t="str">
        <f aca="false">IF(AND(ISNUMBER(AA45),ISNUMBER(AA39)),IFERROR(AA45/AA39,""),"")</f>
        <v/>
      </c>
      <c r="AB46" s="27" t="str">
        <f aca="false">IF(AND(ISNUMBER(AB45),ISNUMBER(AB39)),IFERROR(AB45/AB39,""),"")</f>
        <v/>
      </c>
      <c r="AC46" s="27" t="str">
        <f aca="false">IF(AND(ISNUMBER(AC45),ISNUMBER(AC39)),IFERROR(AC45/AC39,""),"")</f>
        <v/>
      </c>
      <c r="AD46" s="27" t="str">
        <f aca="false">IF(AND(ISNUMBER(AD45),ISNUMBER(AD39)),IFERROR(AD45/AD39,""),"")</f>
        <v/>
      </c>
      <c r="AE46" s="27" t="str">
        <f aca="false">IF(AND(ISNUMBER(AE45),ISNUMBER(AE39)),IFERROR(AE45/AE39,""),"")</f>
        <v/>
      </c>
      <c r="AF46" s="27" t="str">
        <f aca="false">IF(AND(ISNUMBER(AF45),ISNUMBER(AF39)),IFERROR(AF45/AF39,""),"")</f>
        <v/>
      </c>
      <c r="AG46" s="27" t="str">
        <f aca="false">IF(AND(ISNUMBER(AG45),ISNUMBER(AG39)),IFERROR(AG45/AG39,""),"")</f>
        <v/>
      </c>
      <c r="AH46" s="27" t="str">
        <f aca="false">IF(AND(ISNUMBER(AH45),ISNUMBER(AH39)),IFERROR(AH45/AH39,""),"")</f>
        <v/>
      </c>
      <c r="AI46" s="27" t="str">
        <f aca="false">IF(AND(ISNUMBER(AI45),ISNUMBER(AI39)),IFERROR(AI45/AI39,""),"")</f>
        <v/>
      </c>
      <c r="AJ46" s="27" t="str">
        <f aca="false">IF(AND(ISNUMBER(AJ45),ISNUMBER(AJ39)),IFERROR(AJ45/AJ39,""),"")</f>
        <v/>
      </c>
      <c r="AK46" s="27" t="str">
        <f aca="false">IF(AND(ISNUMBER(AK45),ISNUMBER(AK39)),IFERROR(AK45/AK39,""),"")</f>
        <v/>
      </c>
      <c r="AL46" s="27" t="str">
        <f aca="false">IF(AND(ISNUMBER(AL45),ISNUMBER(AL39)),IFERROR(AL45/AL39,""),"")</f>
        <v/>
      </c>
      <c r="AM46" s="27" t="str">
        <f aca="false">IF(AND(ISNUMBER(AM45),ISNUMBER(AM39)),IFERROR(AM45/AM39,""),"")</f>
        <v/>
      </c>
      <c r="AN46" s="27" t="str">
        <f aca="false">IF(AND(ISNUMBER(AN45),ISNUMBER(AN39)),IFERROR(AN45/AN39,""),"")</f>
        <v/>
      </c>
      <c r="AO46" s="27" t="str">
        <f aca="false">IF(AND(ISNUMBER(AO45),ISNUMBER(AO39)),IFERROR(AO45/AO39,""),"")</f>
        <v/>
      </c>
      <c r="AP46" s="27" t="str">
        <f aca="false">IF(AND(ISNUMBER(AP45),ISNUMBER(AP39)),IFERROR(AP45/AP39,""),"")</f>
        <v/>
      </c>
      <c r="AQ46" s="27" t="str">
        <f aca="false">IF(AND(ISNUMBER(AQ45),ISNUMBER(AQ39)),IFERROR(AQ45/AQ39,""),"")</f>
        <v/>
      </c>
      <c r="AR46" s="27" t="str">
        <f aca="false">IF(AND(ISNUMBER(AR45),ISNUMBER(AR39)),IFERROR(AR45/AR39,""),"")</f>
        <v/>
      </c>
      <c r="AS46" s="27" t="n">
        <f aca="false">IF(AND(ISNUMBER(AS45),ISNUMBER(AS39)),IFERROR(AS45/AS39,""),"")</f>
        <v>0.142600522726692</v>
      </c>
      <c r="AT46" s="27" t="n">
        <f aca="false">IF(AND(ISNUMBER(AT45),ISNUMBER(AT39)),IFERROR(AT45/AT39,""),"")</f>
        <v>0.16436145788184</v>
      </c>
      <c r="AU46" s="27" t="n">
        <f aca="false">IF(AND(ISNUMBER(AU45),ISNUMBER(AU39)),IFERROR(AU45/AU39,""),"")</f>
        <v>0.179087676209481</v>
      </c>
      <c r="AV46" s="27" t="n">
        <f aca="false">IF(AND(ISNUMBER(AV45),ISNUMBER(AV39)),IFERROR(AV45/AV39,""),"")</f>
        <v>0.207845823662089</v>
      </c>
      <c r="AW46" s="27" t="n">
        <f aca="false">IF(AND(ISNUMBER(AW45),ISNUMBER(AW39)),IFERROR(AW45/AW39,""),"")</f>
        <v>0.17490526212348</v>
      </c>
      <c r="AX46" s="27" t="n">
        <f aca="false">IF(AND(ISNUMBER(AX45),ISNUMBER(AX39)),IFERROR(AX45/AX39,""),"")</f>
        <v>0.172387438645357</v>
      </c>
      <c r="AY46" s="27" t="n">
        <f aca="false">IF(AND(ISNUMBER(AY45),ISNUMBER(AY39)),IFERROR(AY45/AY39,""),"")</f>
        <v>0.167674641812274</v>
      </c>
      <c r="AZ46" s="27" t="n">
        <f aca="false">IF(AND(ISNUMBER(AZ45),ISNUMBER(AZ39)),IFERROR(AZ45/AZ39,""),"")</f>
        <v>0.180793101034104</v>
      </c>
      <c r="BA46" s="27" t="n">
        <f aca="false">IF(AND(ISNUMBER(BA45),ISNUMBER(BA39)),IFERROR(BA45/BA39,""),"")</f>
        <v>0.185732315877362</v>
      </c>
      <c r="BB46" s="27" t="n">
        <f aca="false">IF(AND(ISNUMBER(BB45),ISNUMBER(BB39)),IFERROR(BB45/BB39,""),"")</f>
        <v>0.176634303621828</v>
      </c>
      <c r="BC46" s="27" t="n">
        <f aca="false">IF(AND(ISNUMBER(BC45),ISNUMBER(BC39)),IFERROR(BC45/BC39,""),"")</f>
        <v>0.145219282670455</v>
      </c>
      <c r="BD46" s="27" t="n">
        <f aca="false">IF(AND(ISNUMBER(BD45),ISNUMBER(BD39)),IFERROR(BD45/BD39,""),"")</f>
        <v>0.199020044898024</v>
      </c>
      <c r="BE46" s="27" t="n">
        <f aca="false">IF(AND(ISNUMBER(BE45),ISNUMBER(BE39)),IFERROR(BE45/BE39,""),"")</f>
        <v>0.18918602518526</v>
      </c>
      <c r="BF46" s="27" t="n">
        <f aca="false">IF(AND(ISNUMBER(BF45),ISNUMBER(BF39)),IFERROR(BF45/BF39,""),"")</f>
        <v>0.202855503086078</v>
      </c>
      <c r="BG46" s="27" t="n">
        <f aca="false">IF(AND(ISNUMBER(BG45),ISNUMBER(BG39)),IFERROR(BG45/BG39,""),"")</f>
        <v>0.185924899682554</v>
      </c>
      <c r="BH46" s="27" t="n">
        <f aca="false">IF(AND(ISNUMBER(BH45),ISNUMBER(BH39)),IFERROR(BH45/BH39,""),"")</f>
        <v>0.152531933192869</v>
      </c>
      <c r="BI46" s="27" t="n">
        <f aca="false">IF(AND(ISNUMBER(BI45),ISNUMBER(BI39)),IFERROR(BI45/BI39,""),"")</f>
        <v>0.17631430670366</v>
      </c>
      <c r="BJ46" s="27" t="n">
        <f aca="false">IF(AND(ISNUMBER(BJ45),ISNUMBER(BJ39)),IFERROR(BJ45/BJ39,""),"")</f>
        <v>0.170276356761566</v>
      </c>
      <c r="BK46" s="27" t="n">
        <f aca="false">IF(AND(ISNUMBER(BK45),ISNUMBER(BK39)),IFERROR(BK45/BK39,""),"")</f>
        <v>0.192887959040466</v>
      </c>
      <c r="BL46" s="27" t="n">
        <f aca="false">IF(AND(ISNUMBER(BL45),ISNUMBER(BL39)),IFERROR(BL45/BL39,""),"")</f>
        <v>0.173716746057941</v>
      </c>
      <c r="BM46" s="27" t="n">
        <f aca="false">IF(AND(ISNUMBER(BM45),ISNUMBER(BM39)),IFERROR(BM45/BM39,""),"")</f>
        <v>0.12474610157355</v>
      </c>
      <c r="BN46" s="27" t="n">
        <f aca="false">IF(AND(ISNUMBER(BN45),ISNUMBER(BN39)),IFERROR(BN45/BN39,""),"")</f>
        <v>0.144306061937864</v>
      </c>
      <c r="BO46" s="27" t="n">
        <f aca="false">IF(AND(ISNUMBER(BO45),ISNUMBER(BO39)),IFERROR(BO45/BO39,""),"")</f>
        <v>0.164404241664884</v>
      </c>
      <c r="BP46" s="27" t="n">
        <f aca="false">IF(AND(ISNUMBER(BP45),ISNUMBER(BP39)),IFERROR(BP45/BP39,""),"")</f>
        <v>0.191118781455882</v>
      </c>
      <c r="BQ46" s="27" t="n">
        <f aca="false">IF(AND(ISNUMBER(BQ45),ISNUMBER(BQ39)),IFERROR(BQ45/BQ39,""),"")</f>
        <v>0.157801853952361</v>
      </c>
      <c r="BR46" s="27" t="n">
        <f aca="false">IF(AND(ISNUMBER(BR45),ISNUMBER(BR39)),IFERROR(BR45/BR39,""),"")</f>
        <v>0.134835776554083</v>
      </c>
      <c r="BS46" s="27" t="n">
        <f aca="false">IF(AND(ISNUMBER(BS45),ISNUMBER(BS39)),IFERROR(BS45/BS39,""),"")</f>
        <v>0.165310969312769</v>
      </c>
      <c r="BT46" s="27" t="n">
        <f aca="false">IF(AND(ISNUMBER(BT45),ISNUMBER(BT39)),IFERROR(BT45/BT39,""),"")</f>
        <v>0.16643661045687</v>
      </c>
      <c r="BU46" s="27" t="n">
        <f aca="false">IF(AND(ISNUMBER(BU45),ISNUMBER(BU39)),IFERROR(BU45/BU39,""),"")</f>
        <v>0.179296644732743</v>
      </c>
      <c r="BV46" s="27" t="n">
        <f aca="false">IF(AND(ISNUMBER(BV45),ISNUMBER(BV39)),IFERROR(BV45/BV39,""),"")</f>
        <v>0.162711692998413</v>
      </c>
      <c r="BW46" s="27" t="n">
        <f aca="false">IF(AND(ISNUMBER(BW45),ISNUMBER(BW39)),IFERROR(BW45/BW39,""),"")</f>
        <v>0.1487974557742</v>
      </c>
      <c r="BX46" s="27" t="n">
        <f aca="false">IF(AND(ISNUMBER(BX45),ISNUMBER(BX39)),IFERROR(BX45/BX39,""),"")</f>
        <v>0.173323485823486</v>
      </c>
      <c r="BY46" s="22" t="n">
        <f aca="false">BY47+BY93</f>
        <v>0.168798720513171</v>
      </c>
      <c r="BZ46" s="22" t="n">
        <f aca="false">BZ47+BZ93</f>
        <v>0.181658754789044</v>
      </c>
      <c r="CA46" s="22" t="n">
        <f aca="false">IFERROR(CA45/CA39,"")</f>
        <v>0.168561758423622</v>
      </c>
      <c r="CB46" s="22" t="n">
        <f aca="false">IFERROR(CB45/CB39,"")</f>
        <v>0.174594220762613</v>
      </c>
      <c r="CC46" s="22" t="n">
        <f aca="false">IFERROR(CC45/CC39,"")</f>
        <v>0.1798550890815</v>
      </c>
      <c r="CD46" s="22" t="n">
        <f aca="false">IFERROR(CD45/CD39,"")</f>
        <v>0.184444008487384</v>
      </c>
      <c r="CE46" s="22" t="n">
        <f aca="false">IFERROR(CE45/CE39,"")</f>
        <v>0.188732718212508</v>
      </c>
      <c r="CH46" s="32" t="n">
        <f aca="false">IFERROR(AVERAGE(CA46,CB46,CC46,CD46,CE46),"n/m")</f>
        <v>0.179237558993525</v>
      </c>
      <c r="CI46" s="32" t="n">
        <f aca="false">IFERROR(AVERAGE(BB46,BG46,BL46,BQ46,BV46),"n/m")</f>
        <v>0.171357899262619</v>
      </c>
      <c r="CJ46" s="32" t="n">
        <f aca="false">IFERROR(AVERAGE(AC46,AH46,AM46,AR46,AW46,BB46,BG46,BL46,BQ46,BV46),"n/m")</f>
        <v>0.171949126406096</v>
      </c>
      <c r="CK46" s="32" t="n">
        <f aca="false">IFERROR(AVERAGE(C46,D46,E46,F46,G46,H46,I46,N46,S46,X46,AC46,AH46,AM46,AR46,AW46,BB46,BG46,BL46,BQ46,BV46),"n/m")</f>
        <v>0.171949126406096</v>
      </c>
      <c r="CM46" s="20" t="s">
        <v>181</v>
      </c>
      <c r="CN46" s="37" t="n">
        <f aca="false">CO46+$CN$45</f>
        <v>0.375</v>
      </c>
      <c r="CO46" s="34" t="n">
        <v>0.3</v>
      </c>
      <c r="CP46" s="37" t="n">
        <f aca="false">CO46+$CP$45</f>
        <v>0.225</v>
      </c>
    </row>
    <row r="47" customFormat="false" ht="15" hidden="false" customHeight="false" outlineLevel="0" collapsed="false">
      <c r="B47" s="20" t="s">
        <v>136</v>
      </c>
      <c r="BY47" s="22" t="n">
        <f aca="false">BT46+(($CA$50-$BW$45-$BX$45)-($BT$46*$BY$39+$BU$46*$BZ$39))/($BY$39+$BZ$39)</f>
        <v>0.169310804412997</v>
      </c>
      <c r="BZ47" s="22" t="n">
        <f aca="false">BU46+(($CA$50-$BW$45-$BX$45)-($BT$46*$BY$39+$BU$46*$BZ$39))/($BY$39+$BZ$39)</f>
        <v>0.18217083868887</v>
      </c>
      <c r="CF47" s="18" t="s">
        <v>137</v>
      </c>
      <c r="CM47" s="20" t="s">
        <v>182</v>
      </c>
      <c r="CN47" s="37" t="n">
        <f aca="false">CO47+$CN$45</f>
        <v>0.375</v>
      </c>
      <c r="CO47" s="34" t="n">
        <v>0.3</v>
      </c>
      <c r="CP47" s="37" t="n">
        <f aca="false">CO47+$CP$45</f>
        <v>0.225</v>
      </c>
    </row>
    <row r="48" customFormat="false" ht="15" hidden="false" customHeight="false" outlineLevel="0" collapsed="false">
      <c r="B48" s="20" t="s">
        <v>140</v>
      </c>
      <c r="BB48" s="21" t="n">
        <f aca="false">IFERROR((BB45-AW45)/(BB39-AW39),"")</f>
        <v>0.268608766675743</v>
      </c>
      <c r="BG48" s="21" t="n">
        <f aca="false">IFERROR((BG45-BB45)/(BG39-BB39),"")</f>
        <v>0.446710099557209</v>
      </c>
      <c r="BL48" s="21" t="n">
        <f aca="false">IFERROR((BL45-BG45)/(BL39-BG39),"")</f>
        <v>0.060867225684947</v>
      </c>
      <c r="BQ48" s="21" t="n">
        <f aca="false">IFERROR((BQ45-BL45)/(BQ39-BL39),"")</f>
        <v>0.0242511956625549</v>
      </c>
      <c r="BV48" s="21" t="n">
        <f aca="false">IFERROR((BV45-BQ45)/(BV39-BQ39),"")</f>
        <v>0.190650428217866</v>
      </c>
      <c r="CA48" s="22" t="n">
        <f aca="false">IFERROR((CA45-BV45)/(CA39-BV39),"")</f>
        <v>0.224036654221807</v>
      </c>
      <c r="CB48" s="22" t="n">
        <f aca="false">CHOOSE(MATCH($CF$2,{"Bull","Base","Bear"},0),$CN$70,$CO$70,$CP$70)</f>
        <v>0.25</v>
      </c>
      <c r="CC48" s="22" t="n">
        <f aca="false">CHOOSE(MATCH($CF$2,{"Bull","Base","Bear"},0),$CN$71,$CO$71,$CP$71)</f>
        <v>0.25</v>
      </c>
      <c r="CD48" s="22" t="n">
        <f aca="false">CHOOSE(MATCH($CF$2,{"Bull","Base","Bear"},0),$CN$72,$CO$72,$CP$72)</f>
        <v>0.25</v>
      </c>
      <c r="CE48" s="22" t="n">
        <f aca="false">CHOOSE(MATCH($CF$2,{"Bull","Base","Bear"},0),$CN$73,$CO$73,$CP$73)</f>
        <v>0.25</v>
      </c>
      <c r="CM48" s="20" t="s">
        <v>183</v>
      </c>
      <c r="CN48" s="37" t="n">
        <f aca="false">CO48+$CN$45</f>
        <v>0.375</v>
      </c>
      <c r="CO48" s="34" t="n">
        <v>0.3</v>
      </c>
      <c r="CP48" s="37" t="n">
        <f aca="false">CO48+$CP$45</f>
        <v>0.225</v>
      </c>
    </row>
    <row r="49" customFormat="false" ht="15" hidden="false" customHeight="false" outlineLevel="0" collapsed="false">
      <c r="B49" s="33" t="s">
        <v>143</v>
      </c>
      <c r="CA49" s="25" t="n">
        <f aca="false">CHOOSE(MATCH($CF$2,{"Bull","Base","Bear"},0),$CN$20,$CO$20,$CP$20)</f>
        <v>1661.5</v>
      </c>
      <c r="CM49" s="20" t="s">
        <v>184</v>
      </c>
      <c r="CN49" s="37" t="n">
        <f aca="false">CO49+$CN$45</f>
        <v>0.375</v>
      </c>
      <c r="CO49" s="34" t="n">
        <v>0.3</v>
      </c>
      <c r="CP49" s="37" t="n">
        <f aca="false">CO49+$CP$45</f>
        <v>0.225</v>
      </c>
    </row>
    <row r="50" customFormat="false" ht="15" hidden="false" customHeight="false" outlineLevel="0" collapsed="false">
      <c r="B50" s="33" t="s">
        <v>146</v>
      </c>
      <c r="CA50" s="25" t="n">
        <f aca="false">CHOOSE(MATCH($CF$2,{"Bull","Base","Bear"},0),$CN$21,$CO$21,$CP$21)</f>
        <v>280.5</v>
      </c>
    </row>
    <row r="51" customFormat="false" ht="15" hidden="false" customHeight="false" outlineLevel="0" collapsed="false">
      <c r="CM51" s="20" t="s">
        <v>187</v>
      </c>
      <c r="CN51" s="34" t="n">
        <v>0.03</v>
      </c>
      <c r="CO51" s="37" t="s">
        <v>179</v>
      </c>
      <c r="CP51" s="34" t="n">
        <v>-0.03</v>
      </c>
      <c r="CQ51" s="12" t="s">
        <v>188</v>
      </c>
    </row>
    <row r="52" customFormat="false" ht="15" hidden="false" customHeight="false" outlineLevel="0" collapsed="false">
      <c r="B52" s="13" t="s">
        <v>189</v>
      </c>
      <c r="CF52" s="14" t="s">
        <v>190</v>
      </c>
      <c r="CM52" s="20" t="s">
        <v>181</v>
      </c>
      <c r="CN52" s="37" t="n">
        <f aca="false">CO52+$CN$51</f>
        <v>0.09</v>
      </c>
      <c r="CO52" s="34" t="n">
        <v>0.06</v>
      </c>
      <c r="CP52" s="37" t="n">
        <f aca="false">CO52+$CP$51</f>
        <v>0.03</v>
      </c>
    </row>
    <row r="53" customFormat="false" ht="15" hidden="false" customHeight="false" outlineLevel="0" collapsed="false">
      <c r="B53" s="20" t="s">
        <v>191</v>
      </c>
      <c r="AS53" s="24" t="n">
        <v>-11.867</v>
      </c>
      <c r="AT53" s="24" t="n">
        <v>-8.148</v>
      </c>
      <c r="AU53" s="24" t="n">
        <v>-7.777</v>
      </c>
      <c r="AV53" s="24" t="n">
        <v>-9.973</v>
      </c>
      <c r="AW53" s="24" t="n">
        <v>-37.765</v>
      </c>
      <c r="AX53" s="24" t="n">
        <v>-8.639</v>
      </c>
      <c r="AY53" s="24" t="n">
        <v>-9.76</v>
      </c>
      <c r="AZ53" s="24" t="n">
        <v>-9.448</v>
      </c>
      <c r="BA53" s="24" t="n">
        <v>-12.036</v>
      </c>
      <c r="BB53" s="24" t="n">
        <v>-39.883</v>
      </c>
      <c r="BC53" s="24" t="n">
        <v>-14.921</v>
      </c>
      <c r="BD53" s="24" t="n">
        <v>-8.82</v>
      </c>
      <c r="BE53" s="24" t="n">
        <v>-9.661</v>
      </c>
      <c r="BF53" s="24" t="n">
        <v>-12.301</v>
      </c>
      <c r="BG53" s="24" t="n">
        <v>-45.703</v>
      </c>
      <c r="BH53" s="24" t="n">
        <v>-9.235</v>
      </c>
      <c r="BI53" s="24" t="n">
        <v>-12.852</v>
      </c>
      <c r="BJ53" s="24" t="n">
        <v>-10.37</v>
      </c>
      <c r="BK53" s="24" t="n">
        <v>-9.221</v>
      </c>
      <c r="BL53" s="24" t="n">
        <v>-41.678</v>
      </c>
      <c r="BM53" s="24" t="n">
        <v>-10.777</v>
      </c>
      <c r="BN53" s="24" t="n">
        <v>-10.876</v>
      </c>
      <c r="BO53" s="24" t="n">
        <v>-9.21</v>
      </c>
      <c r="BP53" s="24" t="n">
        <v>-12.965</v>
      </c>
      <c r="BQ53" s="24" t="n">
        <v>-43.828</v>
      </c>
      <c r="BR53" s="24" t="n">
        <v>-10.029</v>
      </c>
      <c r="BS53" s="24" t="n">
        <v>-10.948</v>
      </c>
      <c r="BT53" s="24" t="n">
        <v>-10.866</v>
      </c>
      <c r="BU53" s="24" t="n">
        <v>-10.102</v>
      </c>
      <c r="BV53" s="24" t="n">
        <v>-41.945</v>
      </c>
      <c r="BW53" s="24" t="n">
        <v>-10.693</v>
      </c>
      <c r="BX53" s="24" t="n">
        <v>-10.1</v>
      </c>
      <c r="BY53" s="25" t="n">
        <f aca="false">BY55-BY54</f>
        <v>-11.3535</v>
      </c>
      <c r="BZ53" s="25" t="n">
        <f aca="false">BZ55-BZ54</f>
        <v>-11.3535</v>
      </c>
      <c r="CA53" s="25" t="n">
        <f aca="false">SUM(BW53,BX53,BY53,BZ53)</f>
        <v>-43.5</v>
      </c>
      <c r="CB53" s="25" t="n">
        <f aca="false">CB55-CB54</f>
        <v>-45.2298</v>
      </c>
      <c r="CC53" s="25" t="n">
        <f aca="false">CC55-CC54</f>
        <v>-49.4242837</v>
      </c>
      <c r="CD53" s="25" t="n">
        <f aca="false">CD55-CD54</f>
        <v>-53.646566017</v>
      </c>
      <c r="CE53" s="25" t="n">
        <f aca="false">CE55-CE54</f>
        <v>-58.12129126672</v>
      </c>
      <c r="CM53" s="20" t="s">
        <v>182</v>
      </c>
      <c r="CN53" s="37" t="n">
        <f aca="false">CO53+$CN$51</f>
        <v>0.09</v>
      </c>
      <c r="CO53" s="34" t="n">
        <v>0.06</v>
      </c>
      <c r="CP53" s="37" t="n">
        <f aca="false">CO53+$CP$51</f>
        <v>0.03</v>
      </c>
    </row>
    <row r="54" customFormat="false" ht="15" hidden="false" customHeight="false" outlineLevel="0" collapsed="false">
      <c r="B54" s="20" t="s">
        <v>192</v>
      </c>
      <c r="AS54" s="28" t="n">
        <v>3.167</v>
      </c>
      <c r="AT54" s="28" t="n">
        <v>2.048</v>
      </c>
      <c r="AU54" s="28" t="n">
        <v>4.077</v>
      </c>
      <c r="AV54" s="28" t="n">
        <v>6.677</v>
      </c>
      <c r="AW54" s="28" t="n">
        <v>15.691</v>
      </c>
      <c r="AX54" s="28" t="n">
        <v>0.139</v>
      </c>
      <c r="AY54" s="28" t="n">
        <v>-0.04</v>
      </c>
      <c r="AZ54" s="28" t="n">
        <v>-0.052</v>
      </c>
      <c r="BA54" s="28" t="n">
        <v>-0.022</v>
      </c>
      <c r="BB54" s="28" t="n">
        <v>0.053</v>
      </c>
      <c r="BC54" s="28" t="n">
        <v>4.876</v>
      </c>
      <c r="BD54" s="28" t="n">
        <v>0</v>
      </c>
      <c r="BE54" s="28" t="n">
        <v>0</v>
      </c>
      <c r="BF54" s="28" t="n">
        <v>0</v>
      </c>
      <c r="BG54" s="28" t="n">
        <v>4.876001</v>
      </c>
      <c r="BH54" s="28" t="n">
        <v>0</v>
      </c>
      <c r="BI54" s="28" t="n">
        <v>0</v>
      </c>
      <c r="BJ54" s="28" t="n">
        <v>0</v>
      </c>
      <c r="BK54" s="28" t="n">
        <v>-0.001</v>
      </c>
      <c r="BL54" s="28" t="n">
        <v>0</v>
      </c>
      <c r="BM54" s="28" t="n">
        <v>0</v>
      </c>
      <c r="BN54" s="28" t="n">
        <v>0.964</v>
      </c>
      <c r="BO54" s="28" t="n">
        <v>0.66</v>
      </c>
      <c r="BP54" s="28" t="n">
        <v>1.414</v>
      </c>
      <c r="BQ54" s="28" t="n">
        <v>3.038</v>
      </c>
      <c r="BR54" s="28" t="n">
        <v>-0.028</v>
      </c>
      <c r="BS54" s="28" t="n">
        <v>0</v>
      </c>
      <c r="BT54" s="28" t="n">
        <v>0.02</v>
      </c>
      <c r="BU54" s="28" t="n">
        <v>0.012</v>
      </c>
      <c r="BV54" s="28" t="n">
        <v>0.004</v>
      </c>
      <c r="BW54" s="28" t="n">
        <v>0</v>
      </c>
      <c r="BX54" s="28" t="n">
        <v>0</v>
      </c>
      <c r="BY54" s="30" t="n">
        <v>0</v>
      </c>
      <c r="BZ54" s="30" t="n">
        <v>0</v>
      </c>
      <c r="CA54" s="29" t="n">
        <f aca="false">SUM(BW54,BX54,BY54,BZ54)</f>
        <v>0</v>
      </c>
      <c r="CB54" s="30" t="n">
        <v>0</v>
      </c>
      <c r="CC54" s="30" t="n">
        <v>0</v>
      </c>
      <c r="CD54" s="30" t="n">
        <v>0</v>
      </c>
      <c r="CE54" s="30" t="n">
        <v>0</v>
      </c>
      <c r="CM54" s="20" t="s">
        <v>183</v>
      </c>
      <c r="CN54" s="37" t="n">
        <f aca="false">CO54+$CN$51</f>
        <v>0.085</v>
      </c>
      <c r="CO54" s="34" t="n">
        <v>0.055</v>
      </c>
      <c r="CP54" s="37" t="n">
        <f aca="false">CO54+$CP$51</f>
        <v>0.025</v>
      </c>
    </row>
    <row r="55" customFormat="false" ht="15" hidden="false" customHeight="false" outlineLevel="0" collapsed="false">
      <c r="B55" s="15" t="s">
        <v>193</v>
      </c>
      <c r="AS55" s="31" t="n">
        <f aca="false">AS53+AS54</f>
        <v>-8.7</v>
      </c>
      <c r="AT55" s="31" t="n">
        <f aca="false">AT53+AT54</f>
        <v>-6.1</v>
      </c>
      <c r="AU55" s="31" t="n">
        <f aca="false">AU53+AU54</f>
        <v>-3.7</v>
      </c>
      <c r="AV55" s="31" t="n">
        <f aca="false">AV53+AV54</f>
        <v>-3.296</v>
      </c>
      <c r="AW55" s="31" t="n">
        <f aca="false">AW53+AW54</f>
        <v>-22.074</v>
      </c>
      <c r="AX55" s="31" t="n">
        <f aca="false">AX53+AX54</f>
        <v>-8.5</v>
      </c>
      <c r="AY55" s="31" t="n">
        <f aca="false">AY53+AY54</f>
        <v>-9.8</v>
      </c>
      <c r="AZ55" s="31" t="n">
        <f aca="false">AZ53+AZ54</f>
        <v>-9.5</v>
      </c>
      <c r="BA55" s="31" t="n">
        <f aca="false">BA53+BA54</f>
        <v>-12.058</v>
      </c>
      <c r="BB55" s="31" t="n">
        <f aca="false">BB53+BB54</f>
        <v>-39.83</v>
      </c>
      <c r="BC55" s="31" t="n">
        <f aca="false">BC53+BC54</f>
        <v>-10.045</v>
      </c>
      <c r="BD55" s="31" t="n">
        <f aca="false">BD53+BD54</f>
        <v>-8.82</v>
      </c>
      <c r="BE55" s="31" t="n">
        <f aca="false">BE53+BE54</f>
        <v>-9.661</v>
      </c>
      <c r="BF55" s="31" t="n">
        <f aca="false">BF53+BF54</f>
        <v>-12.301</v>
      </c>
      <c r="BG55" s="31" t="n">
        <f aca="false">BG53+BG54</f>
        <v>-40.826999</v>
      </c>
      <c r="BH55" s="31" t="n">
        <f aca="false">BH53+BH54</f>
        <v>-9.235</v>
      </c>
      <c r="BI55" s="31" t="n">
        <f aca="false">BI53+BI54</f>
        <v>-12.852</v>
      </c>
      <c r="BJ55" s="31" t="n">
        <f aca="false">BJ53+BJ54</f>
        <v>-10.37</v>
      </c>
      <c r="BK55" s="31" t="n">
        <f aca="false">BK53+BK54</f>
        <v>-9.222</v>
      </c>
      <c r="BL55" s="31" t="n">
        <f aca="false">BL53+BL54</f>
        <v>-41.678</v>
      </c>
      <c r="BM55" s="31" t="n">
        <f aca="false">BM53+BM54</f>
        <v>-10.777</v>
      </c>
      <c r="BN55" s="31" t="n">
        <f aca="false">BN53+BN54</f>
        <v>-9.912</v>
      </c>
      <c r="BO55" s="31" t="n">
        <f aca="false">BO53+BO54</f>
        <v>-8.55</v>
      </c>
      <c r="BP55" s="31" t="n">
        <f aca="false">BP53+BP54</f>
        <v>-11.551</v>
      </c>
      <c r="BQ55" s="31" t="n">
        <f aca="false">BQ53+BQ54</f>
        <v>-40.79</v>
      </c>
      <c r="BR55" s="31" t="n">
        <f aca="false">BR53+BR54</f>
        <v>-10.057</v>
      </c>
      <c r="BS55" s="31" t="n">
        <f aca="false">BS53+BS54</f>
        <v>-10.948</v>
      </c>
      <c r="BT55" s="31" t="n">
        <f aca="false">BT53+BT54</f>
        <v>-10.846</v>
      </c>
      <c r="BU55" s="31" t="n">
        <f aca="false">BU53+BU54</f>
        <v>-10.09</v>
      </c>
      <c r="BV55" s="31" t="n">
        <f aca="false">BV53+BV54</f>
        <v>-41.941</v>
      </c>
      <c r="BW55" s="31" t="n">
        <f aca="false">BW53+BW54</f>
        <v>-10.693</v>
      </c>
      <c r="BX55" s="31" t="n">
        <f aca="false">BX53+BX54</f>
        <v>-10.1</v>
      </c>
      <c r="BY55" s="17" t="n">
        <f aca="false">($CA$57-$BW$55-$BX$55)/2</f>
        <v>-11.3535</v>
      </c>
      <c r="BZ55" s="17" t="n">
        <f aca="false">($CA$57-$BW$55-$BX$55)/2</f>
        <v>-11.3535</v>
      </c>
      <c r="CA55" s="17" t="n">
        <f aca="false">SUM(BW55,BX55,BY55,BZ55)</f>
        <v>-43.5</v>
      </c>
      <c r="CB55" s="17" t="n">
        <f aca="false">CB79*CB56</f>
        <v>-45.2298</v>
      </c>
      <c r="CC55" s="17" t="n">
        <f aca="false">CC79*CC56</f>
        <v>-49.4242837</v>
      </c>
      <c r="CD55" s="17" t="n">
        <f aca="false">CD79*CD56</f>
        <v>-53.646566017</v>
      </c>
      <c r="CE55" s="17" t="n">
        <f aca="false">CE79*CE56</f>
        <v>-58.12129126672</v>
      </c>
      <c r="CF55" s="18" t="s">
        <v>194</v>
      </c>
      <c r="CM55" s="20" t="s">
        <v>184</v>
      </c>
      <c r="CN55" s="37" t="n">
        <f aca="false">CO55+$CN$51</f>
        <v>0.085</v>
      </c>
      <c r="CO55" s="34" t="n">
        <v>0.055</v>
      </c>
      <c r="CP55" s="37" t="n">
        <f aca="false">CO55+$CP$51</f>
        <v>0.025</v>
      </c>
    </row>
    <row r="56" customFormat="false" ht="15" hidden="false" customHeight="false" outlineLevel="0" collapsed="false">
      <c r="B56" s="20" t="s">
        <v>195</v>
      </c>
      <c r="C56" s="27" t="str">
        <f aca="false">IF(AND(ISNUMBER(C55),ISNUMBER(C79)),IFERROR(C55/C79,""),"")</f>
        <v/>
      </c>
      <c r="D56" s="27" t="str">
        <f aca="false">IF(AND(ISNUMBER(D55),ISNUMBER(D79)),IFERROR(D55/D79,""),"")</f>
        <v/>
      </c>
      <c r="E56" s="27" t="str">
        <f aca="false">IF(AND(ISNUMBER(E55),ISNUMBER(E79)),IFERROR(E55/E79,""),"")</f>
        <v/>
      </c>
      <c r="F56" s="27" t="str">
        <f aca="false">IF(AND(ISNUMBER(F55),ISNUMBER(F79)),IFERROR(F55/F79,""),"")</f>
        <v/>
      </c>
      <c r="G56" s="27" t="str">
        <f aca="false">IF(AND(ISNUMBER(G55),ISNUMBER(G79)),IFERROR(G55/G79,""),"")</f>
        <v/>
      </c>
      <c r="H56" s="27" t="str">
        <f aca="false">IF(AND(ISNUMBER(H55),ISNUMBER(H79)),IFERROR(H55/H79,""),"")</f>
        <v/>
      </c>
      <c r="I56" s="27" t="str">
        <f aca="false">IF(AND(ISNUMBER(I55),ISNUMBER(I79)),IFERROR(I55/I79,""),"")</f>
        <v/>
      </c>
      <c r="J56" s="27" t="str">
        <f aca="false">IF(AND(ISNUMBER(J55),ISNUMBER(J79)),IFERROR(J55/J79,""),"")</f>
        <v/>
      </c>
      <c r="K56" s="27" t="str">
        <f aca="false">IF(AND(ISNUMBER(K55),ISNUMBER(K79)),IFERROR(K55/K79,""),"")</f>
        <v/>
      </c>
      <c r="L56" s="27" t="str">
        <f aca="false">IF(AND(ISNUMBER(L55),ISNUMBER(L79)),IFERROR(L55/L79,""),"")</f>
        <v/>
      </c>
      <c r="M56" s="27" t="str">
        <f aca="false">IF(AND(ISNUMBER(M55),ISNUMBER(M79)),IFERROR(M55/M79,""),"")</f>
        <v/>
      </c>
      <c r="N56" s="27" t="str">
        <f aca="false">IF(AND(ISNUMBER(N55),ISNUMBER(N79)),IFERROR(N55/N79,""),"")</f>
        <v/>
      </c>
      <c r="O56" s="27" t="str">
        <f aca="false">IF(AND(ISNUMBER(O55),ISNUMBER(O79)),IFERROR(O55/O79,""),"")</f>
        <v/>
      </c>
      <c r="P56" s="27" t="str">
        <f aca="false">IF(AND(ISNUMBER(P55),ISNUMBER(P79)),IFERROR(P55/P79,""),"")</f>
        <v/>
      </c>
      <c r="Q56" s="27" t="str">
        <f aca="false">IF(AND(ISNUMBER(Q55),ISNUMBER(Q79)),IFERROR(Q55/Q79,""),"")</f>
        <v/>
      </c>
      <c r="R56" s="27" t="str">
        <f aca="false">IF(AND(ISNUMBER(R55),ISNUMBER(R79)),IFERROR(R55/R79,""),"")</f>
        <v/>
      </c>
      <c r="S56" s="27" t="str">
        <f aca="false">IF(AND(ISNUMBER(S55),ISNUMBER(S79)),IFERROR(S55/S79,""),"")</f>
        <v/>
      </c>
      <c r="T56" s="27" t="str">
        <f aca="false">IF(AND(ISNUMBER(T55),ISNUMBER(T79)),IFERROR(T55/T79,""),"")</f>
        <v/>
      </c>
      <c r="U56" s="27" t="str">
        <f aca="false">IF(AND(ISNUMBER(U55),ISNUMBER(U79)),IFERROR(U55/U79,""),"")</f>
        <v/>
      </c>
      <c r="V56" s="27" t="str">
        <f aca="false">IF(AND(ISNUMBER(V55),ISNUMBER(V79)),IFERROR(V55/V79,""),"")</f>
        <v/>
      </c>
      <c r="W56" s="27" t="str">
        <f aca="false">IF(AND(ISNUMBER(W55),ISNUMBER(W79)),IFERROR(W55/W79,""),"")</f>
        <v/>
      </c>
      <c r="X56" s="27" t="str">
        <f aca="false">IF(AND(ISNUMBER(X55),ISNUMBER(X79)),IFERROR(X55/X79,""),"")</f>
        <v/>
      </c>
      <c r="Y56" s="27" t="str">
        <f aca="false">IF(AND(ISNUMBER(Y55),ISNUMBER(Y79)),IFERROR(Y55/Y79,""),"")</f>
        <v/>
      </c>
      <c r="Z56" s="27" t="str">
        <f aca="false">IF(AND(ISNUMBER(Z55),ISNUMBER(Z79)),IFERROR(Z55/Z79,""),"")</f>
        <v/>
      </c>
      <c r="AA56" s="27" t="str">
        <f aca="false">IF(AND(ISNUMBER(AA55),ISNUMBER(AA79)),IFERROR(AA55/AA79,""),"")</f>
        <v/>
      </c>
      <c r="AB56" s="27" t="str">
        <f aca="false">IF(AND(ISNUMBER(AB55),ISNUMBER(AB79)),IFERROR(AB55/AB79,""),"")</f>
        <v/>
      </c>
      <c r="AC56" s="27" t="str">
        <f aca="false">IF(AND(ISNUMBER(AC55),ISNUMBER(AC79)),IFERROR(AC55/AC79,""),"")</f>
        <v/>
      </c>
      <c r="AD56" s="27" t="str">
        <f aca="false">IF(AND(ISNUMBER(AD55),ISNUMBER(AD79)),IFERROR(AD55/AD79,""),"")</f>
        <v/>
      </c>
      <c r="AE56" s="27" t="str">
        <f aca="false">IF(AND(ISNUMBER(AE55),ISNUMBER(AE79)),IFERROR(AE55/AE79,""),"")</f>
        <v/>
      </c>
      <c r="AF56" s="27" t="str">
        <f aca="false">IF(AND(ISNUMBER(AF55),ISNUMBER(AF79)),IFERROR(AF55/AF79,""),"")</f>
        <v/>
      </c>
      <c r="AG56" s="27" t="str">
        <f aca="false">IF(AND(ISNUMBER(AG55),ISNUMBER(AG79)),IFERROR(AG55/AG79,""),"")</f>
        <v/>
      </c>
      <c r="AH56" s="27" t="str">
        <f aca="false">IF(AND(ISNUMBER(AH55),ISNUMBER(AH79)),IFERROR(AH55/AH79,""),"")</f>
        <v/>
      </c>
      <c r="AI56" s="27" t="str">
        <f aca="false">IF(AND(ISNUMBER(AI55),ISNUMBER(AI79)),IFERROR(AI55/AI79,""),"")</f>
        <v/>
      </c>
      <c r="AJ56" s="27" t="str">
        <f aca="false">IF(AND(ISNUMBER(AJ55),ISNUMBER(AJ79)),IFERROR(AJ55/AJ79,""),"")</f>
        <v/>
      </c>
      <c r="AK56" s="27" t="str">
        <f aca="false">IF(AND(ISNUMBER(AK55),ISNUMBER(AK79)),IFERROR(AK55/AK79,""),"")</f>
        <v/>
      </c>
      <c r="AL56" s="27" t="str">
        <f aca="false">IF(AND(ISNUMBER(AL55),ISNUMBER(AL79)),IFERROR(AL55/AL79,""),"")</f>
        <v/>
      </c>
      <c r="AM56" s="27" t="str">
        <f aca="false">IF(AND(ISNUMBER(AM55),ISNUMBER(AM79)),IFERROR(AM55/AM79,""),"")</f>
        <v/>
      </c>
      <c r="AN56" s="27" t="str">
        <f aca="false">IF(AND(ISNUMBER(AN55),ISNUMBER(AN79)),IFERROR(AN55/AN79,""),"")</f>
        <v/>
      </c>
      <c r="AO56" s="27" t="str">
        <f aca="false">IF(AND(ISNUMBER(AO55),ISNUMBER(AO79)),IFERROR(AO55/AO79,""),"")</f>
        <v/>
      </c>
      <c r="AP56" s="27" t="str">
        <f aca="false">IF(AND(ISNUMBER(AP55),ISNUMBER(AP79)),IFERROR(AP55/AP79,""),"")</f>
        <v/>
      </c>
      <c r="AQ56" s="27" t="str">
        <f aca="false">IF(AND(ISNUMBER(AQ55),ISNUMBER(AQ79)),IFERROR(AQ55/AQ79,""),"")</f>
        <v/>
      </c>
      <c r="AR56" s="27" t="str">
        <f aca="false">IF(AND(ISNUMBER(AR55),ISNUMBER(AR79)),IFERROR(AR55/AR79,""),"")</f>
        <v/>
      </c>
      <c r="AS56" s="27" t="n">
        <f aca="false">IF(AND(ISNUMBER(AS55),ISNUMBER(AS79)),IFERROR(AS55/AS79,""),"")</f>
        <v>-0.0144703117437391</v>
      </c>
      <c r="AT56" s="27" t="n">
        <f aca="false">IF(AND(ISNUMBER(AT55),ISNUMBER(AT79)),IFERROR(AT55/AT79,""),"")</f>
        <v>-0.0110899614032983</v>
      </c>
      <c r="AU56" s="27" t="n">
        <f aca="false">IF(AND(ISNUMBER(AU55),ISNUMBER(AU79)),IFERROR(AU55/AU79,""),"")</f>
        <v>-0.00647289954409794</v>
      </c>
      <c r="AV56" s="27" t="n">
        <f aca="false">IF(AND(ISNUMBER(AV55),ISNUMBER(AV79)),IFERROR(AV55/AV79,""),"")</f>
        <v>-0.00493085434232337</v>
      </c>
      <c r="AW56" s="27" t="n">
        <f aca="false">IF(AND(ISNUMBER(AW55),ISNUMBER(AW79)),IFERROR(AW55/AW79,""),"")</f>
        <v>-0.00923082327201196</v>
      </c>
      <c r="AX56" s="27" t="n">
        <f aca="false">IF(AND(ISNUMBER(AX55),ISNUMBER(AX79)),IFERROR(AX55/AX79,""),"")</f>
        <v>-0.014236448994153</v>
      </c>
      <c r="AY56" s="27" t="n">
        <f aca="false">IF(AND(ISNUMBER(AY55),ISNUMBER(AY79)),IFERROR(AY55/AY79,""),"")</f>
        <v>-0.0157684293518049</v>
      </c>
      <c r="AZ56" s="27" t="n">
        <f aca="false">IF(AND(ISNUMBER(AZ55),ISNUMBER(AZ79)),IFERROR(AZ55/AZ79,""),"")</f>
        <v>-0.0153072980363154</v>
      </c>
      <c r="BA56" s="27" t="n">
        <f aca="false">IF(AND(ISNUMBER(BA55),ISNUMBER(BA79)),IFERROR(BA55/BA79,""),"")</f>
        <v>-0.0180845224204284</v>
      </c>
      <c r="BB56" s="27" t="n">
        <f aca="false">IF(AND(ISNUMBER(BB55),ISNUMBER(BB79)),IFERROR(BB55/BB79,""),"")</f>
        <v>-0.0158942923807559</v>
      </c>
      <c r="BC56" s="27" t="n">
        <f aca="false">IF(AND(ISNUMBER(BC55),ISNUMBER(BC79)),IFERROR(BC55/BC79,""),"")</f>
        <v>-0.0179547814771718</v>
      </c>
      <c r="BD56" s="27" t="n">
        <f aca="false">IF(AND(ISNUMBER(BD55),ISNUMBER(BD79)),IFERROR(BD55/BD79,""),"")</f>
        <v>-0.0144742737016232</v>
      </c>
      <c r="BE56" s="27" t="n">
        <f aca="false">IF(AND(ISNUMBER(BE55),ISNUMBER(BE79)),IFERROR(BE55/BE79,""),"")</f>
        <v>-0.0153217390752718</v>
      </c>
      <c r="BF56" s="27" t="n">
        <f aca="false">IF(AND(ISNUMBER(BF55),ISNUMBER(BF79)),IFERROR(BF55/BF79,""),"")</f>
        <v>-0.0162354074690002</v>
      </c>
      <c r="BG56" s="27" t="n">
        <f aca="false">IF(AND(ISNUMBER(BG55),ISNUMBER(BG79)),IFERROR(BG55/BG79,""),"")</f>
        <v>-0.0159666014215739</v>
      </c>
      <c r="BH56" s="27" t="n">
        <f aca="false">IF(AND(ISNUMBER(BH55),ISNUMBER(BH79)),IFERROR(BH55/BH79,""),"")</f>
        <v>-0.0146387471071236</v>
      </c>
      <c r="BI56" s="27" t="n">
        <f aca="false">IF(AND(ISNUMBER(BI55),ISNUMBER(BI79)),IFERROR(BI55/BI79,""),"")</f>
        <v>-0.0182454187701236</v>
      </c>
      <c r="BJ56" s="27" t="n">
        <f aca="false">IF(AND(ISNUMBER(BJ55),ISNUMBER(BJ79)),IFERROR(BJ55/BJ79,""),"")</f>
        <v>-0.0143167579239182</v>
      </c>
      <c r="BK56" s="27" t="n">
        <f aca="false">IF(AND(ISNUMBER(BK55),ISNUMBER(BK79)),IFERROR(BK55/BK79,""),"")</f>
        <v>-0.011735945054092</v>
      </c>
      <c r="BL56" s="27" t="n">
        <f aca="false">IF(AND(ISNUMBER(BL55),ISNUMBER(BL79)),IFERROR(BL55/BL79,""),"")</f>
        <v>-0.0146476402215105</v>
      </c>
      <c r="BM56" s="27" t="n">
        <f aca="false">IF(AND(ISNUMBER(BM55),ISNUMBER(BM79)),IFERROR(BM55/BM79,""),"")</f>
        <v>-0.0151114675805246</v>
      </c>
      <c r="BN56" s="27" t="n">
        <f aca="false">IF(AND(ISNUMBER(BN55),ISNUMBER(BN79)),IFERROR(BN55/BN79,""),"")</f>
        <v>-0.0126301142597201</v>
      </c>
      <c r="BO56" s="27" t="n">
        <f aca="false">IF(AND(ISNUMBER(BO55),ISNUMBER(BO79)),IFERROR(BO55/BO79,""),"")</f>
        <v>-0.0107019744204036</v>
      </c>
      <c r="BP56" s="27" t="n">
        <f aca="false">IF(AND(ISNUMBER(BP55),ISNUMBER(BP79)),IFERROR(BP55/BP79,""),"")</f>
        <v>-0.0140128810294148</v>
      </c>
      <c r="BQ56" s="27" t="n">
        <f aca="false">IF(AND(ISNUMBER(BQ55),ISNUMBER(BQ79)),IFERROR(BQ55/BQ79,""),"")</f>
        <v>-0.0130687375868619</v>
      </c>
      <c r="BR56" s="27" t="n">
        <f aca="false">IF(AND(ISNUMBER(BR55),ISNUMBER(BR79)),IFERROR(BR55/BR79,""),"")</f>
        <v>-0.0124831656622954</v>
      </c>
      <c r="BS56" s="27" t="n">
        <f aca="false">IF(AND(ISNUMBER(BS55),ISNUMBER(BS79)),IFERROR(BS55/BS79,""),"")</f>
        <v>-0.0124895046179681</v>
      </c>
      <c r="BT56" s="27" t="n">
        <f aca="false">IF(AND(ISNUMBER(BT55),ISNUMBER(BT79)),IFERROR(BT55/BT79,""),"")</f>
        <v>-0.0124785715107516</v>
      </c>
      <c r="BU56" s="27" t="n">
        <f aca="false">IF(AND(ISNUMBER(BU55),ISNUMBER(BU79)),IFERROR(BU55/BU79,""),"")</f>
        <v>-0.0106549128229605</v>
      </c>
      <c r="BV56" s="27" t="n">
        <f aca="false">IF(AND(ISNUMBER(BV55),ISNUMBER(BV79)),IFERROR(BV55/BV79,""),"")</f>
        <v>-0.0119887193243028</v>
      </c>
      <c r="BW56" s="27" t="n">
        <f aca="false">IF(AND(ISNUMBER(BW55),ISNUMBER(BW79)),IFERROR(BW55/BW79,""),"")</f>
        <v>-0.0117031324731555</v>
      </c>
      <c r="BX56" s="27" t="n">
        <f aca="false">IF(AND(ISNUMBER(BX55),ISNUMBER(BX79)),IFERROR(BX55/BX79,""),"")</f>
        <v>-0.010930641293149</v>
      </c>
      <c r="BY56" s="22" t="n">
        <f aca="false">IFERROR(BY55/BY79,"")</f>
        <v>-0.0121493228530634</v>
      </c>
      <c r="BZ56" s="22" t="n">
        <f aca="false">IFERROR(BZ55/BZ79,"")</f>
        <v>-0.0111493720128993</v>
      </c>
      <c r="CA56" s="22" t="n">
        <f aca="false">IFERROR(CA55/CA79,"")</f>
        <v>-0.0114760585674713</v>
      </c>
      <c r="CB56" s="38" t="n">
        <v>-0.011</v>
      </c>
      <c r="CC56" s="38" t="n">
        <v>-0.011</v>
      </c>
      <c r="CD56" s="38" t="n">
        <v>-0.011</v>
      </c>
      <c r="CE56" s="38" t="n">
        <v>-0.011</v>
      </c>
      <c r="CF56" s="18" t="s">
        <v>196</v>
      </c>
    </row>
    <row r="57" customFormat="false" ht="15" hidden="false" customHeight="false" outlineLevel="0" collapsed="false">
      <c r="B57" s="33" t="s">
        <v>197</v>
      </c>
      <c r="CA57" s="25" t="n">
        <f aca="false">CHOOSE(MATCH($CF$2,{"Bull","Base","Bear"},0),$CN$22,$CO$22,$CP$22)</f>
        <v>-43.5</v>
      </c>
      <c r="CM57" s="20" t="s">
        <v>198</v>
      </c>
      <c r="CN57" s="34" t="n">
        <v>0.075</v>
      </c>
      <c r="CO57" s="37" t="s">
        <v>179</v>
      </c>
      <c r="CP57" s="34" t="n">
        <v>-0.075</v>
      </c>
      <c r="CQ57" s="12" t="s">
        <v>199</v>
      </c>
    </row>
    <row r="58" customFormat="false" ht="15" hidden="false" customHeight="false" outlineLevel="0" collapsed="false">
      <c r="B58" s="20" t="s">
        <v>200</v>
      </c>
      <c r="C58" s="24" t="n">
        <v>1282.155</v>
      </c>
      <c r="D58" s="24" t="n">
        <v>1592.124</v>
      </c>
      <c r="E58" s="24" t="n">
        <v>1830.14</v>
      </c>
      <c r="F58" s="24" t="n">
        <v>1809.69</v>
      </c>
      <c r="G58" s="24" t="n">
        <v>1893.134</v>
      </c>
      <c r="H58" s="24" t="n">
        <v>2054.13</v>
      </c>
      <c r="I58" s="24" t="n">
        <v>2097.716</v>
      </c>
      <c r="J58" s="24" t="n">
        <v>592.687</v>
      </c>
      <c r="K58" s="24" t="n">
        <v>617.687</v>
      </c>
      <c r="L58" s="24" t="n">
        <v>600.667</v>
      </c>
      <c r="M58" s="24" t="n">
        <v>699.73</v>
      </c>
      <c r="N58" s="24" t="n">
        <v>2510.771</v>
      </c>
      <c r="O58" s="24" t="n">
        <v>641.412</v>
      </c>
      <c r="P58" s="24" t="n">
        <v>652.452</v>
      </c>
      <c r="Q58" s="24" t="n">
        <v>559.494</v>
      </c>
      <c r="R58" s="24" t="n">
        <v>572.586</v>
      </c>
      <c r="S58" s="24" t="n">
        <v>2243.126</v>
      </c>
      <c r="T58" s="24" t="n">
        <v>546.199</v>
      </c>
      <c r="U58" s="24" t="n">
        <v>545.194</v>
      </c>
      <c r="V58" s="24" t="n">
        <v>525.535</v>
      </c>
      <c r="W58" s="24" t="n">
        <v>588.755</v>
      </c>
      <c r="X58" s="24" t="n">
        <v>2205.683</v>
      </c>
      <c r="Y58" s="24" t="n">
        <v>503.507</v>
      </c>
      <c r="Z58" s="24" t="n">
        <v>532.766</v>
      </c>
      <c r="AA58" s="24" t="n">
        <v>507.092</v>
      </c>
      <c r="AB58" s="24" t="n">
        <v>565.566</v>
      </c>
      <c r="AC58" s="24" t="n">
        <v>2108.931</v>
      </c>
      <c r="AD58" s="24" t="n">
        <v>523.591</v>
      </c>
      <c r="AE58" s="24" t="n">
        <v>567.653</v>
      </c>
      <c r="AF58" s="24" t="n">
        <v>567.901</v>
      </c>
      <c r="AG58" s="24" t="n">
        <v>611.881</v>
      </c>
      <c r="AH58" s="24" t="n">
        <v>2271.026</v>
      </c>
      <c r="AI58" s="24" t="n">
        <v>547.522</v>
      </c>
      <c r="AJ58" s="24" t="n">
        <v>620.298</v>
      </c>
      <c r="AK58" s="24" t="n">
        <v>595.393</v>
      </c>
      <c r="AL58" s="24" t="n">
        <v>648.622</v>
      </c>
      <c r="AM58" s="24" t="n">
        <v>2411.835</v>
      </c>
      <c r="AN58" s="24" t="n">
        <v>578.314</v>
      </c>
      <c r="AO58" s="24" t="n">
        <v>638.996</v>
      </c>
      <c r="AP58" s="24" t="n">
        <v>614.88</v>
      </c>
      <c r="AQ58" s="24" t="n">
        <v>655.771</v>
      </c>
      <c r="AR58" s="24" t="n">
        <v>2487.961</v>
      </c>
      <c r="CM58" s="20" t="s">
        <v>181</v>
      </c>
      <c r="CN58" s="37" t="n">
        <f aca="false">CO58+$CN$57</f>
        <v>0.395</v>
      </c>
      <c r="CO58" s="34" t="n">
        <v>0.32</v>
      </c>
      <c r="CP58" s="37" t="n">
        <f aca="false">CO58+$CP$57</f>
        <v>0.245</v>
      </c>
    </row>
    <row r="59" customFormat="false" ht="15" hidden="false" customHeight="false" outlineLevel="0" collapsed="false">
      <c r="B59" s="20" t="s">
        <v>201</v>
      </c>
      <c r="C59" s="24" t="n">
        <v>140.628</v>
      </c>
      <c r="D59" s="24" t="n">
        <v>179.184</v>
      </c>
      <c r="E59" s="24" t="n">
        <v>199.182</v>
      </c>
      <c r="F59" s="24" t="n">
        <v>169.319</v>
      </c>
      <c r="G59" s="24" t="n">
        <v>179.823</v>
      </c>
      <c r="H59" s="24" t="n">
        <v>204.956</v>
      </c>
      <c r="I59" s="24" t="n">
        <v>161.446</v>
      </c>
      <c r="J59" s="24" t="n">
        <v>38.026</v>
      </c>
      <c r="K59" s="24" t="n">
        <v>57.788</v>
      </c>
      <c r="L59" s="24" t="n">
        <v>62.887</v>
      </c>
      <c r="M59" s="24" t="n">
        <v>74.918</v>
      </c>
      <c r="N59" s="24" t="n">
        <v>233.619</v>
      </c>
      <c r="O59" s="24" t="n">
        <v>59.101</v>
      </c>
      <c r="P59" s="24" t="n">
        <v>76.65</v>
      </c>
      <c r="Q59" s="24" t="n">
        <v>74.14</v>
      </c>
      <c r="R59" s="24" t="n">
        <v>74.931</v>
      </c>
      <c r="S59" s="24" t="n">
        <v>282.373</v>
      </c>
      <c r="T59" s="24" t="n">
        <v>72.835</v>
      </c>
      <c r="U59" s="24" t="n">
        <v>65.442</v>
      </c>
      <c r="V59" s="24" t="n">
        <v>63.813</v>
      </c>
      <c r="W59" s="24" t="n">
        <v>108.527</v>
      </c>
      <c r="X59" s="24" t="n">
        <v>310.617</v>
      </c>
      <c r="Y59" s="24" t="n">
        <v>57.263</v>
      </c>
      <c r="Z59" s="24" t="n">
        <v>68.089</v>
      </c>
      <c r="AA59" s="24" t="n">
        <v>76.573</v>
      </c>
      <c r="AB59" s="24" t="n">
        <v>106.173</v>
      </c>
      <c r="AC59" s="24" t="n">
        <v>308.098</v>
      </c>
      <c r="AD59" s="24" t="n">
        <v>51.227</v>
      </c>
      <c r="AE59" s="24" t="n">
        <v>83.271</v>
      </c>
      <c r="AF59" s="24" t="n">
        <v>96.55</v>
      </c>
      <c r="AG59" s="24" t="n">
        <v>108.695</v>
      </c>
      <c r="AH59" s="24" t="n">
        <v>339.743</v>
      </c>
      <c r="AI59" s="24" t="n">
        <v>64.498</v>
      </c>
      <c r="AJ59" s="24" t="n">
        <v>102.076</v>
      </c>
      <c r="AK59" s="24" t="n">
        <v>97.047</v>
      </c>
      <c r="AL59" s="24" t="n">
        <v>110.005</v>
      </c>
      <c r="AM59" s="24" t="n">
        <v>373.626</v>
      </c>
      <c r="AN59" s="24" t="n">
        <v>72.045</v>
      </c>
      <c r="AO59" s="24" t="n">
        <v>105.685</v>
      </c>
      <c r="AP59" s="24" t="n">
        <v>105.569</v>
      </c>
      <c r="AQ59" s="24" t="n">
        <v>120.654</v>
      </c>
      <c r="AR59" s="24" t="n">
        <v>403.953</v>
      </c>
      <c r="CM59" s="20" t="s">
        <v>182</v>
      </c>
      <c r="CN59" s="37" t="n">
        <f aca="false">CO59+$CN$57</f>
        <v>0.395</v>
      </c>
      <c r="CO59" s="34" t="n">
        <v>0.32</v>
      </c>
      <c r="CP59" s="37" t="n">
        <f aca="false">CO59+$CP$57</f>
        <v>0.245</v>
      </c>
    </row>
    <row r="60" customFormat="false" ht="15" hidden="false" customHeight="false" outlineLevel="0" collapsed="false">
      <c r="B60" s="20" t="s">
        <v>202</v>
      </c>
      <c r="C60" s="39" t="n">
        <f aca="false">C158</f>
        <v>0</v>
      </c>
      <c r="D60" s="39" t="n">
        <f aca="false">D158</f>
        <v>0</v>
      </c>
      <c r="E60" s="39" t="n">
        <f aca="false">E158</f>
        <v>0</v>
      </c>
      <c r="F60" s="39" t="n">
        <f aca="false">F158</f>
        <v>0</v>
      </c>
      <c r="G60" s="39" t="n">
        <f aca="false">G158</f>
        <v>0</v>
      </c>
      <c r="H60" s="39" t="n">
        <f aca="false">H158</f>
        <v>0</v>
      </c>
      <c r="I60" s="39" t="n">
        <f aca="false">I158</f>
        <v>40.002</v>
      </c>
      <c r="J60" s="39" t="n">
        <f aca="false">J158</f>
        <v>0</v>
      </c>
      <c r="K60" s="39" t="n">
        <f aca="false">K158</f>
        <v>0</v>
      </c>
      <c r="L60" s="39" t="n">
        <f aca="false">L158</f>
        <v>0</v>
      </c>
      <c r="M60" s="39" t="n">
        <f aca="false">M158</f>
        <v>0</v>
      </c>
      <c r="N60" s="39" t="n">
        <f aca="false">N158</f>
        <v>0</v>
      </c>
      <c r="O60" s="39" t="n">
        <f aca="false">O158</f>
        <v>0</v>
      </c>
      <c r="P60" s="39" t="n">
        <f aca="false">P158</f>
        <v>0</v>
      </c>
      <c r="Q60" s="39" t="n">
        <f aca="false">Q158</f>
        <v>0</v>
      </c>
      <c r="R60" s="39" t="n">
        <f aca="false">R158</f>
        <v>0</v>
      </c>
      <c r="S60" s="39" t="n">
        <f aca="false">S158</f>
        <v>0</v>
      </c>
      <c r="T60" s="39" t="n">
        <f aca="false">T158</f>
        <v>0</v>
      </c>
      <c r="U60" s="39" t="n">
        <f aca="false">U158</f>
        <v>0</v>
      </c>
      <c r="V60" s="39" t="n">
        <f aca="false">V158</f>
        <v>0</v>
      </c>
      <c r="W60" s="39" t="n">
        <f aca="false">W158</f>
        <v>0</v>
      </c>
      <c r="X60" s="39" t="n">
        <f aca="false">X158</f>
        <v>-19.617</v>
      </c>
      <c r="Y60" s="39" t="n">
        <f aca="false">Y158</f>
        <v>0</v>
      </c>
      <c r="Z60" s="39" t="n">
        <f aca="false">Z158</f>
        <v>0</v>
      </c>
      <c r="AA60" s="39" t="n">
        <f aca="false">AA158</f>
        <v>0</v>
      </c>
      <c r="AB60" s="39" t="n">
        <f aca="false">AB158</f>
        <v>0</v>
      </c>
      <c r="AC60" s="39" t="n">
        <f aca="false">AC158</f>
        <v>0</v>
      </c>
      <c r="AD60" s="39" t="n">
        <f aca="false">AD158</f>
        <v>0</v>
      </c>
      <c r="AE60" s="39" t="n">
        <f aca="false">AE158</f>
        <v>0</v>
      </c>
      <c r="AF60" s="39" t="n">
        <f aca="false">AF158</f>
        <v>0</v>
      </c>
      <c r="AG60" s="39" t="n">
        <f aca="false">AG158</f>
        <v>0</v>
      </c>
      <c r="AH60" s="39" t="n">
        <f aca="false">AH158</f>
        <v>0</v>
      </c>
      <c r="AI60" s="39" t="n">
        <f aca="false">AI158</f>
        <v>0</v>
      </c>
      <c r="AJ60" s="39" t="n">
        <f aca="false">AJ158</f>
        <v>7.024</v>
      </c>
      <c r="AK60" s="39" t="n">
        <f aca="false">AK158</f>
        <v>1.253</v>
      </c>
      <c r="AL60" s="39" t="n">
        <f aca="false">AL158</f>
        <v>0.395</v>
      </c>
      <c r="AM60" s="39" t="n">
        <f aca="false">AM158</f>
        <v>8.374</v>
      </c>
      <c r="AN60" s="39" t="n">
        <f aca="false">AN158</f>
        <v>0.455</v>
      </c>
      <c r="AO60" s="39" t="n">
        <f aca="false">AO158</f>
        <v>2.015</v>
      </c>
      <c r="AP60" s="39" t="n">
        <f aca="false">AP158</f>
        <v>1.631</v>
      </c>
      <c r="AQ60" s="39" t="n">
        <f aca="false">AQ158</f>
        <v>2.546</v>
      </c>
      <c r="AR60" s="39" t="n">
        <f aca="false">AR158</f>
        <v>7.047</v>
      </c>
      <c r="CM60" s="20" t="s">
        <v>183</v>
      </c>
      <c r="CN60" s="37" t="n">
        <f aca="false">CO60+$CN$57</f>
        <v>0.375</v>
      </c>
      <c r="CO60" s="34" t="n">
        <v>0.3</v>
      </c>
      <c r="CP60" s="37" t="n">
        <f aca="false">CO60+$CP$57</f>
        <v>0.225</v>
      </c>
    </row>
    <row r="61" customFormat="false" ht="15" hidden="false" customHeight="false" outlineLevel="0" collapsed="false">
      <c r="CM61" s="20" t="s">
        <v>184</v>
      </c>
      <c r="CN61" s="37" t="n">
        <f aca="false">CO61+$CN$57</f>
        <v>0.375</v>
      </c>
      <c r="CO61" s="34" t="n">
        <v>0.3</v>
      </c>
      <c r="CP61" s="37" t="n">
        <f aca="false">CO61+$CP$57</f>
        <v>0.225</v>
      </c>
    </row>
    <row r="62" customFormat="false" ht="15" hidden="false" customHeight="false" outlineLevel="0" collapsed="false">
      <c r="B62" s="13" t="s">
        <v>203</v>
      </c>
      <c r="CF62" s="14" t="s">
        <v>204</v>
      </c>
    </row>
    <row r="63" customFormat="false" ht="15" hidden="false" customHeight="false" outlineLevel="0" collapsed="false">
      <c r="B63" s="20" t="s">
        <v>205</v>
      </c>
      <c r="CB63" s="25" t="n">
        <f aca="false">CHOOSE(MATCH($CF$2,{"Bull","Base","Bear"},0),$CN$76,$CO$76,$CP$76)</f>
        <v>300</v>
      </c>
      <c r="CC63" s="25" t="n">
        <f aca="false">CHOOSE(MATCH($CF$2,{"Bull","Base","Bear"},0),$CN$77,$CO$77,$CP$77)</f>
        <v>300</v>
      </c>
      <c r="CD63" s="25" t="n">
        <f aca="false">CHOOSE(MATCH($CF$2,{"Bull","Base","Bear"},0),$CN$78,$CO$78,$CP$78)</f>
        <v>300</v>
      </c>
      <c r="CE63" s="25" t="n">
        <f aca="false">CHOOSE(MATCH($CF$2,{"Bull","Base","Bear"},0),$CN$79,$CO$79,$CP$79)</f>
        <v>300</v>
      </c>
      <c r="CF63" s="18" t="s">
        <v>206</v>
      </c>
      <c r="CM63" s="20" t="s">
        <v>207</v>
      </c>
      <c r="CN63" s="34" t="n">
        <v>0.03</v>
      </c>
      <c r="CO63" s="37" t="s">
        <v>179</v>
      </c>
      <c r="CP63" s="34" t="n">
        <v>-0.03</v>
      </c>
      <c r="CQ63" s="12" t="s">
        <v>208</v>
      </c>
    </row>
    <row r="64" customFormat="false" ht="15" hidden="false" customHeight="false" outlineLevel="0" collapsed="false">
      <c r="B64" s="20" t="s">
        <v>209</v>
      </c>
      <c r="CB64" s="40" t="n">
        <v>3</v>
      </c>
      <c r="CC64" s="40" t="n">
        <v>3</v>
      </c>
      <c r="CD64" s="40" t="n">
        <v>3</v>
      </c>
      <c r="CE64" s="40" t="n">
        <v>3</v>
      </c>
      <c r="CF64" s="18" t="s">
        <v>210</v>
      </c>
      <c r="CM64" s="20" t="s">
        <v>181</v>
      </c>
      <c r="CN64" s="37" t="n">
        <f aca="false">CO64+$CN$63</f>
        <v>0.11</v>
      </c>
      <c r="CO64" s="34" t="n">
        <v>0.08</v>
      </c>
      <c r="CP64" s="37" t="n">
        <f aca="false">CO64+$CP$63</f>
        <v>0.05</v>
      </c>
    </row>
    <row r="65" customFormat="false" ht="15" hidden="false" customHeight="false" outlineLevel="0" collapsed="false">
      <c r="B65" s="20" t="s">
        <v>211</v>
      </c>
      <c r="CB65" s="25" t="n">
        <f aca="false">IFERROR(CB63/CB64,0)</f>
        <v>100</v>
      </c>
      <c r="CC65" s="25" t="n">
        <f aca="false">IFERROR(CC63/CC64,0)</f>
        <v>100</v>
      </c>
      <c r="CD65" s="25" t="n">
        <f aca="false">IFERROR(CD63/CD64,0)</f>
        <v>100</v>
      </c>
      <c r="CE65" s="25" t="n">
        <f aca="false">IFERROR(CE63/CE64,0)</f>
        <v>100</v>
      </c>
      <c r="CM65" s="20" t="s">
        <v>182</v>
      </c>
      <c r="CN65" s="37" t="n">
        <f aca="false">CO65+$CN$63</f>
        <v>0.105</v>
      </c>
      <c r="CO65" s="34" t="n">
        <v>0.075</v>
      </c>
      <c r="CP65" s="37" t="n">
        <f aca="false">CO65+$CP$63</f>
        <v>0.045</v>
      </c>
    </row>
    <row r="66" customFormat="false" ht="15" hidden="false" customHeight="false" outlineLevel="0" collapsed="false">
      <c r="B66" s="20" t="s">
        <v>212</v>
      </c>
      <c r="CB66" s="38" t="n">
        <v>0.05</v>
      </c>
      <c r="CC66" s="38" t="n">
        <v>0.05</v>
      </c>
      <c r="CD66" s="38" t="n">
        <v>0.05</v>
      </c>
      <c r="CE66" s="38" t="n">
        <v>0.05</v>
      </c>
      <c r="CM66" s="20" t="s">
        <v>183</v>
      </c>
      <c r="CN66" s="37" t="n">
        <f aca="false">CO66+$CN$63</f>
        <v>0.1</v>
      </c>
      <c r="CO66" s="34" t="n">
        <v>0.07</v>
      </c>
      <c r="CP66" s="37" t="n">
        <f aca="false">CO66+$CP$63</f>
        <v>0.04</v>
      </c>
    </row>
    <row r="67" customFormat="false" ht="15" hidden="false" customHeight="false" outlineLevel="0" collapsed="false">
      <c r="B67" s="20" t="s">
        <v>213</v>
      </c>
      <c r="CA67" s="41" t="n">
        <v>0</v>
      </c>
      <c r="CB67" s="25" t="n">
        <f aca="false">CA67*(1+CB66)+CB65</f>
        <v>100</v>
      </c>
      <c r="CC67" s="25" t="n">
        <f aca="false">CB67*(1+CC66)+CC65</f>
        <v>205</v>
      </c>
      <c r="CD67" s="25" t="n">
        <f aca="false">CC67*(1+CD66)+CD65</f>
        <v>315.25</v>
      </c>
      <c r="CE67" s="25" t="n">
        <f aca="false">CD67*(1+CE66)+CE65</f>
        <v>431.0125</v>
      </c>
      <c r="CM67" s="20" t="s">
        <v>184</v>
      </c>
      <c r="CN67" s="37" t="n">
        <f aca="false">CO67+$CN$63</f>
        <v>0.1</v>
      </c>
      <c r="CO67" s="34" t="n">
        <v>0.07</v>
      </c>
      <c r="CP67" s="37" t="n">
        <f aca="false">CO67+$CP$63</f>
        <v>0.04</v>
      </c>
    </row>
    <row r="68" customFormat="false" ht="15" hidden="false" customHeight="false" outlineLevel="0" collapsed="false">
      <c r="B68" s="20" t="s">
        <v>214</v>
      </c>
      <c r="CA68" s="41" t="n">
        <v>0</v>
      </c>
      <c r="CB68" s="25" t="n">
        <f aca="false">CA67*(1+CB66)+CB65*0.5</f>
        <v>50</v>
      </c>
      <c r="CC68" s="25" t="n">
        <f aca="false">CB67*(1+CC66)+CC65*0.5</f>
        <v>155</v>
      </c>
      <c r="CD68" s="25" t="n">
        <f aca="false">CC67*(1+CD66)+CD65*0.5</f>
        <v>265.25</v>
      </c>
      <c r="CE68" s="25" t="n">
        <f aca="false">CD67*(1+CE66)+CE65*0.5</f>
        <v>381.0125</v>
      </c>
      <c r="CF68" s="18" t="s">
        <v>215</v>
      </c>
    </row>
    <row r="69" customFormat="false" ht="15" hidden="false" customHeight="false" outlineLevel="0" collapsed="false">
      <c r="B69" s="20" t="s">
        <v>216</v>
      </c>
      <c r="CB69" s="38" t="n">
        <v>0.15</v>
      </c>
      <c r="CC69" s="38" t="n">
        <v>0.15</v>
      </c>
      <c r="CD69" s="38" t="n">
        <v>0.15</v>
      </c>
      <c r="CE69" s="38" t="n">
        <v>0.15</v>
      </c>
      <c r="CM69" s="20" t="s">
        <v>217</v>
      </c>
      <c r="CN69" s="34" t="n">
        <v>0.075</v>
      </c>
      <c r="CO69" s="37" t="s">
        <v>179</v>
      </c>
      <c r="CP69" s="34" t="n">
        <v>-0.075</v>
      </c>
      <c r="CQ69" s="12" t="s">
        <v>218</v>
      </c>
    </row>
    <row r="70" customFormat="false" ht="15" hidden="false" customHeight="false" outlineLevel="0" collapsed="false">
      <c r="B70" s="20" t="s">
        <v>219</v>
      </c>
      <c r="CA70" s="41" t="n">
        <v>0</v>
      </c>
      <c r="CB70" s="25" t="n">
        <f aca="false">CB68*CB69</f>
        <v>7.5</v>
      </c>
      <c r="CC70" s="25" t="n">
        <f aca="false">CC68*CC69</f>
        <v>23.25</v>
      </c>
      <c r="CD70" s="25" t="n">
        <f aca="false">CD68*CD69</f>
        <v>39.7875</v>
      </c>
      <c r="CE70" s="25" t="n">
        <f aca="false">CE68*CE69</f>
        <v>57.151875</v>
      </c>
      <c r="CM70" s="20" t="s">
        <v>181</v>
      </c>
      <c r="CN70" s="37" t="n">
        <f aca="false">CO70+$CN$69</f>
        <v>0.325</v>
      </c>
      <c r="CO70" s="34" t="n">
        <v>0.25</v>
      </c>
      <c r="CP70" s="37" t="n">
        <f aca="false">CO70+$CP$69</f>
        <v>0.175</v>
      </c>
    </row>
    <row r="71" customFormat="false" ht="15" hidden="false" customHeight="false" outlineLevel="0" collapsed="false">
      <c r="B71" s="20" t="s">
        <v>220</v>
      </c>
      <c r="CB71" s="38" t="n">
        <v>0.1</v>
      </c>
      <c r="CC71" s="38" t="n">
        <v>0.1</v>
      </c>
      <c r="CD71" s="38" t="n">
        <v>0.1</v>
      </c>
      <c r="CE71" s="38" t="n">
        <v>0.1</v>
      </c>
      <c r="CM71" s="20" t="s">
        <v>182</v>
      </c>
      <c r="CN71" s="37" t="n">
        <f aca="false">CO71+$CN$69</f>
        <v>0.325</v>
      </c>
      <c r="CO71" s="34" t="n">
        <v>0.25</v>
      </c>
      <c r="CP71" s="37" t="n">
        <f aca="false">CO71+$CP$69</f>
        <v>0.175</v>
      </c>
    </row>
    <row r="72" customFormat="false" ht="15" hidden="false" customHeight="false" outlineLevel="0" collapsed="false">
      <c r="B72" s="20" t="s">
        <v>221</v>
      </c>
      <c r="CB72" s="38" t="n">
        <v>0.4</v>
      </c>
      <c r="CC72" s="38" t="n">
        <v>0.4</v>
      </c>
      <c r="CD72" s="38" t="n">
        <v>0.4</v>
      </c>
      <c r="CE72" s="38" t="n">
        <v>0.4</v>
      </c>
      <c r="CF72" s="18" t="s">
        <v>222</v>
      </c>
      <c r="CM72" s="20" t="s">
        <v>183</v>
      </c>
      <c r="CN72" s="37" t="n">
        <f aca="false">CO72+$CN$69</f>
        <v>0.325</v>
      </c>
      <c r="CO72" s="34" t="n">
        <v>0.25</v>
      </c>
      <c r="CP72" s="37" t="n">
        <f aca="false">CO72+$CP$69</f>
        <v>0.175</v>
      </c>
    </row>
    <row r="73" customFormat="false" ht="15" hidden="false" customHeight="false" outlineLevel="0" collapsed="false">
      <c r="B73" s="20" t="s">
        <v>223</v>
      </c>
      <c r="CB73" s="41" t="n">
        <v>15</v>
      </c>
      <c r="CC73" s="41" t="n">
        <v>15</v>
      </c>
      <c r="CD73" s="41" t="n">
        <v>15</v>
      </c>
      <c r="CE73" s="41" t="n">
        <v>15</v>
      </c>
      <c r="CM73" s="20" t="s">
        <v>184</v>
      </c>
      <c r="CN73" s="37" t="n">
        <f aca="false">CO73+$CN$69</f>
        <v>0.325</v>
      </c>
      <c r="CO73" s="34" t="n">
        <v>0.25</v>
      </c>
      <c r="CP73" s="37" t="n">
        <f aca="false">CO73+$CP$69</f>
        <v>0.175</v>
      </c>
    </row>
    <row r="74" customFormat="false" ht="15" hidden="false" customHeight="false" outlineLevel="0" collapsed="false">
      <c r="B74" s="20" t="s">
        <v>224</v>
      </c>
      <c r="CA74" s="41" t="n">
        <v>0</v>
      </c>
      <c r="CB74" s="25" t="n">
        <f aca="false">CA74+CB63*CB72</f>
        <v>120</v>
      </c>
      <c r="CC74" s="25" t="n">
        <f aca="false">CB74+CC63*CC72</f>
        <v>240</v>
      </c>
      <c r="CD74" s="25" t="n">
        <f aca="false">CC74+CD63*CD72</f>
        <v>360</v>
      </c>
      <c r="CE74" s="25" t="n">
        <f aca="false">CD74+CE63*CE72</f>
        <v>480</v>
      </c>
    </row>
    <row r="75" customFormat="false" ht="15" hidden="false" customHeight="false" outlineLevel="0" collapsed="false">
      <c r="B75" s="20" t="s">
        <v>225</v>
      </c>
      <c r="CA75" s="41" t="n">
        <v>0</v>
      </c>
      <c r="CB75" s="25" t="n">
        <f aca="false">(CA74+0.5*CB63*CB72)/CB73</f>
        <v>4</v>
      </c>
      <c r="CC75" s="25" t="n">
        <f aca="false">(CB74+0.5*CC63*CC72)/CC73</f>
        <v>12</v>
      </c>
      <c r="CD75" s="25" t="n">
        <f aca="false">(CC74+0.5*CD63*CD72)/CD73</f>
        <v>20</v>
      </c>
      <c r="CE75" s="25" t="n">
        <f aca="false">(CD74+0.5*CE63*CE72)/CE73</f>
        <v>28</v>
      </c>
      <c r="CM75" s="20" t="s">
        <v>226</v>
      </c>
      <c r="CN75" s="23" t="n">
        <v>300</v>
      </c>
      <c r="CO75" s="42" t="s">
        <v>179</v>
      </c>
      <c r="CP75" s="23" t="n">
        <v>-300</v>
      </c>
      <c r="CQ75" s="12" t="s">
        <v>227</v>
      </c>
    </row>
    <row r="76" customFormat="false" ht="15" hidden="false" customHeight="false" outlineLevel="0" collapsed="false">
      <c r="B76" s="20" t="s">
        <v>228</v>
      </c>
      <c r="CA76" s="41" t="n">
        <v>0</v>
      </c>
      <c r="CB76" s="25" t="n">
        <f aca="false">CB68*0.02</f>
        <v>1</v>
      </c>
      <c r="CC76" s="25" t="n">
        <f aca="false">CC68*0.02</f>
        <v>3.1</v>
      </c>
      <c r="CD76" s="25" t="n">
        <f aca="false">CD68*0.02</f>
        <v>5.305</v>
      </c>
      <c r="CE76" s="25" t="n">
        <f aca="false">CE68*0.02</f>
        <v>7.62025</v>
      </c>
      <c r="CF76" s="18" t="s">
        <v>229</v>
      </c>
      <c r="CM76" s="20" t="s">
        <v>181</v>
      </c>
      <c r="CN76" s="42" t="n">
        <f aca="false">CO76+$CN$75</f>
        <v>600</v>
      </c>
      <c r="CO76" s="23" t="n">
        <v>300</v>
      </c>
      <c r="CP76" s="42" t="n">
        <f aca="false">CO76+$CP$75</f>
        <v>0</v>
      </c>
    </row>
    <row r="77" customFormat="false" ht="15" hidden="false" customHeight="false" outlineLevel="0" collapsed="false">
      <c r="CM77" s="20" t="s">
        <v>182</v>
      </c>
      <c r="CN77" s="42" t="n">
        <f aca="false">CO77+$CN$75</f>
        <v>600</v>
      </c>
      <c r="CO77" s="23" t="n">
        <v>300</v>
      </c>
      <c r="CP77" s="42" t="n">
        <f aca="false">CO77+$CP$75</f>
        <v>0</v>
      </c>
    </row>
    <row r="78" customFormat="false" ht="15" hidden="false" customHeight="false" outlineLevel="0" collapsed="false">
      <c r="B78" s="8" t="s">
        <v>230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8" t="s">
        <v>231</v>
      </c>
      <c r="CM78" s="20" t="s">
        <v>183</v>
      </c>
      <c r="CN78" s="42" t="n">
        <f aca="false">CO78+$CN$75</f>
        <v>600</v>
      </c>
      <c r="CO78" s="23" t="n">
        <v>300</v>
      </c>
      <c r="CP78" s="42" t="n">
        <f aca="false">CO78+$CP$75</f>
        <v>0</v>
      </c>
    </row>
    <row r="79" customFormat="false" ht="15" hidden="false" customHeight="false" outlineLevel="0" collapsed="false">
      <c r="B79" s="43" t="s">
        <v>232</v>
      </c>
      <c r="C79" s="44" t="n">
        <f aca="false">N(C11)+N(C25)+N(C39)+N(C58)+N(C68)</f>
        <v>1282.155</v>
      </c>
      <c r="D79" s="44" t="n">
        <f aca="false">N(D11)+N(D25)+N(D39)+N(D58)+N(D68)</f>
        <v>1592.124</v>
      </c>
      <c r="E79" s="44" t="n">
        <f aca="false">N(E11)+N(E25)+N(E39)+N(E58)+N(E68)</f>
        <v>1830.14</v>
      </c>
      <c r="F79" s="44" t="n">
        <f aca="false">N(F11)+N(F25)+N(F39)+N(F58)+N(F68)</f>
        <v>1809.69</v>
      </c>
      <c r="G79" s="44" t="n">
        <f aca="false">N(G11)+N(G25)+N(G39)+N(G58)+N(G68)</f>
        <v>1893.134</v>
      </c>
      <c r="H79" s="44" t="n">
        <f aca="false">N(H11)+N(H25)+N(H39)+N(H58)+N(H68)</f>
        <v>2054.13</v>
      </c>
      <c r="I79" s="44" t="n">
        <f aca="false">N(I11)+N(I25)+N(I39)+N(I58)+N(I68)</f>
        <v>2097.716</v>
      </c>
      <c r="J79" s="44" t="n">
        <f aca="false">N(J11)+N(J25)+N(J39)+N(J58)+N(J68)</f>
        <v>592.687</v>
      </c>
      <c r="K79" s="44" t="n">
        <f aca="false">N(K11)+N(K25)+N(K39)+N(K58)+N(K68)</f>
        <v>617.687</v>
      </c>
      <c r="L79" s="44" t="n">
        <f aca="false">N(L11)+N(L25)+N(L39)+N(L58)+N(L68)</f>
        <v>600.667</v>
      </c>
      <c r="M79" s="44" t="n">
        <f aca="false">N(M11)+N(M25)+N(M39)+N(M58)+N(M68)</f>
        <v>699.73</v>
      </c>
      <c r="N79" s="44" t="n">
        <f aca="false">N(N11)+N(N25)+N(N39)+N(N58)+N(N68)</f>
        <v>2510.771</v>
      </c>
      <c r="O79" s="44" t="n">
        <f aca="false">N(O11)+N(O25)+N(O39)+N(O58)+N(O68)</f>
        <v>641.412</v>
      </c>
      <c r="P79" s="44" t="n">
        <f aca="false">N(P11)+N(P25)+N(P39)+N(P58)+N(P68)</f>
        <v>652.452</v>
      </c>
      <c r="Q79" s="44" t="n">
        <f aca="false">N(Q11)+N(Q25)+N(Q39)+N(Q58)+N(Q68)</f>
        <v>559.494</v>
      </c>
      <c r="R79" s="44" t="n">
        <f aca="false">N(R11)+N(R25)+N(R39)+N(R58)+N(R68)</f>
        <v>572.586</v>
      </c>
      <c r="S79" s="44" t="n">
        <f aca="false">N(S11)+N(S25)+N(S39)+N(S58)+N(S68)</f>
        <v>2243.126</v>
      </c>
      <c r="T79" s="44" t="n">
        <f aca="false">N(T11)+N(T25)+N(T39)+N(T58)+N(T68)</f>
        <v>546.199</v>
      </c>
      <c r="U79" s="44" t="n">
        <f aca="false">N(U11)+N(U25)+N(U39)+N(U58)+N(U68)</f>
        <v>545.194</v>
      </c>
      <c r="V79" s="44" t="n">
        <f aca="false">N(V11)+N(V25)+N(V39)+N(V58)+N(V68)</f>
        <v>525.535</v>
      </c>
      <c r="W79" s="44" t="n">
        <f aca="false">N(W11)+N(W25)+N(W39)+N(W58)+N(W68)</f>
        <v>588.755</v>
      </c>
      <c r="X79" s="44" t="n">
        <f aca="false">N(X11)+N(X25)+N(X39)+N(X58)+N(X68)</f>
        <v>2205.683</v>
      </c>
      <c r="Y79" s="44" t="n">
        <f aca="false">N(Y11)+N(Y25)+N(Y39)+N(Y58)+N(Y68)</f>
        <v>503.507</v>
      </c>
      <c r="Z79" s="44" t="n">
        <f aca="false">N(Z11)+N(Z25)+N(Z39)+N(Z58)+N(Z68)</f>
        <v>532.766</v>
      </c>
      <c r="AA79" s="44" t="n">
        <f aca="false">N(AA11)+N(AA25)+N(AA39)+N(AA58)+N(AA68)</f>
        <v>507.092</v>
      </c>
      <c r="AB79" s="44" t="n">
        <f aca="false">N(AB11)+N(AB25)+N(AB39)+N(AB58)+N(AB68)</f>
        <v>565.566</v>
      </c>
      <c r="AC79" s="44" t="n">
        <f aca="false">N(AC11)+N(AC25)+N(AC39)+N(AC58)+N(AC68)</f>
        <v>2108.931</v>
      </c>
      <c r="AD79" s="44" t="n">
        <f aca="false">N(AD11)+N(AD25)+N(AD39)+N(AD58)+N(AD68)</f>
        <v>523.591</v>
      </c>
      <c r="AE79" s="44" t="n">
        <f aca="false">N(AE11)+N(AE25)+N(AE39)+N(AE58)+N(AE68)</f>
        <v>567.653</v>
      </c>
      <c r="AF79" s="44" t="n">
        <f aca="false">N(AF11)+N(AF25)+N(AF39)+N(AF58)+N(AF68)</f>
        <v>567.901</v>
      </c>
      <c r="AG79" s="44" t="n">
        <f aca="false">N(AG11)+N(AG25)+N(AG39)+N(AG58)+N(AG68)</f>
        <v>611.881</v>
      </c>
      <c r="AH79" s="44" t="n">
        <f aca="false">N(AH11)+N(AH25)+N(AH39)+N(AH58)+N(AH68)</f>
        <v>2271.026</v>
      </c>
      <c r="AI79" s="44" t="n">
        <f aca="false">N(AI11)+N(AI25)+N(AI39)+N(AI58)+N(AI68)</f>
        <v>547.522</v>
      </c>
      <c r="AJ79" s="44" t="n">
        <f aca="false">N(AJ11)+N(AJ25)+N(AJ39)+N(AJ58)+N(AJ68)</f>
        <v>620.298</v>
      </c>
      <c r="AK79" s="44" t="n">
        <f aca="false">N(AK11)+N(AK25)+N(AK39)+N(AK58)+N(AK68)</f>
        <v>595.393</v>
      </c>
      <c r="AL79" s="44" t="n">
        <f aca="false">N(AL11)+N(AL25)+N(AL39)+N(AL58)+N(AL68)</f>
        <v>648.622</v>
      </c>
      <c r="AM79" s="44" t="n">
        <f aca="false">N(AM11)+N(AM25)+N(AM39)+N(AM58)+N(AM68)</f>
        <v>2411.835</v>
      </c>
      <c r="AN79" s="44" t="n">
        <f aca="false">N(AN11)+N(AN25)+N(AN39)+N(AN58)+N(AN68)</f>
        <v>578.314</v>
      </c>
      <c r="AO79" s="44" t="n">
        <f aca="false">N(AO11)+N(AO25)+N(AO39)+N(AO58)+N(AO68)</f>
        <v>638.996</v>
      </c>
      <c r="AP79" s="44" t="n">
        <f aca="false">N(AP11)+N(AP25)+N(AP39)+N(AP58)+N(AP68)</f>
        <v>614.88</v>
      </c>
      <c r="AQ79" s="44" t="n">
        <f aca="false">N(AQ11)+N(AQ25)+N(AQ39)+N(AQ58)+N(AQ68)</f>
        <v>655.771</v>
      </c>
      <c r="AR79" s="44" t="n">
        <f aca="false">N(AR11)+N(AR25)+N(AR39)+N(AR58)+N(AR68)</f>
        <v>2487.961</v>
      </c>
      <c r="AS79" s="44" t="n">
        <f aca="false">N(AS11)+N(AS25)+N(AS39)+N(AS58)+N(AS68)</f>
        <v>601.231</v>
      </c>
      <c r="AT79" s="44" t="n">
        <f aca="false">N(AT11)+N(AT25)+N(AT39)+N(AT58)+N(AT68)</f>
        <v>550.047</v>
      </c>
      <c r="AU79" s="44" t="n">
        <f aca="false">N(AU11)+N(AU25)+N(AU39)+N(AU58)+N(AU68)</f>
        <v>571.614</v>
      </c>
      <c r="AV79" s="44" t="n">
        <f aca="false">N(AV11)+N(AV25)+N(AV39)+N(AV58)+N(AV68)</f>
        <v>668.444</v>
      </c>
      <c r="AW79" s="44" t="n">
        <f aca="false">N(AW11)+N(AW25)+N(AW39)+N(AW58)+N(AW68)</f>
        <v>2391.336</v>
      </c>
      <c r="AX79" s="44" t="n">
        <f aca="false">N(AX11)+N(AX25)+N(AX39)+N(AX58)+N(AX68)</f>
        <v>597.059</v>
      </c>
      <c r="AY79" s="44" t="n">
        <f aca="false">N(AY11)+N(AY25)+N(AY39)+N(AY58)+N(AY68)</f>
        <v>621.495</v>
      </c>
      <c r="AZ79" s="44" t="n">
        <f aca="false">N(AZ11)+N(AZ25)+N(AZ39)+N(AZ58)+N(AZ68)</f>
        <v>620.619</v>
      </c>
      <c r="BA79" s="44" t="n">
        <f aca="false">N(BA11)+N(BA25)+N(BA39)+N(BA58)+N(BA68)</f>
        <v>666.758</v>
      </c>
      <c r="BB79" s="44" t="n">
        <f aca="false">N(BB11)+N(BB25)+N(BB39)+N(BB58)+N(BB68)</f>
        <v>2505.931</v>
      </c>
      <c r="BC79" s="44" t="n">
        <f aca="false">N(BC11)+N(BC25)+N(BC39)+N(BC58)+N(BC68)</f>
        <v>559.461</v>
      </c>
      <c r="BD79" s="44" t="n">
        <f aca="false">N(BD11)+N(BD25)+N(BD39)+N(BD58)+N(BD68)</f>
        <v>609.357</v>
      </c>
      <c r="BE79" s="44" t="n">
        <f aca="false">N(BE11)+N(BE25)+N(BE39)+N(BE58)+N(BE68)</f>
        <v>630.542</v>
      </c>
      <c r="BF79" s="44" t="n">
        <f aca="false">N(BF11)+N(BF25)+N(BF39)+N(BF58)+N(BF68)</f>
        <v>757.665</v>
      </c>
      <c r="BG79" s="44" t="n">
        <f aca="false">N(BG11)+N(BG25)+N(BG39)+N(BG58)+N(BG68)</f>
        <v>2557.025</v>
      </c>
      <c r="BH79" s="44" t="n">
        <f aca="false">N(BH11)+N(BH25)+N(BH39)+N(BH58)+N(BH68)</f>
        <v>630.86</v>
      </c>
      <c r="BI79" s="44" t="n">
        <f aca="false">N(BI11)+N(BI25)+N(BI39)+N(BI58)+N(BI68)</f>
        <v>704.396</v>
      </c>
      <c r="BJ79" s="44" t="n">
        <f aca="false">N(BJ11)+N(BJ25)+N(BJ39)+N(BJ58)+N(BJ68)</f>
        <v>724.326</v>
      </c>
      <c r="BK79" s="44" t="n">
        <f aca="false">N(BK11)+N(BK25)+N(BK39)+N(BK58)+N(BK68)</f>
        <v>785.791</v>
      </c>
      <c r="BL79" s="44" t="n">
        <f aca="false">N(BL11)+N(BL25)+N(BL39)+N(BL58)+N(BL68)</f>
        <v>2845.373</v>
      </c>
      <c r="BM79" s="44" t="n">
        <f aca="false">N(BM11)+N(BM25)+N(BM39)+N(BM58)+N(BM68)</f>
        <v>713.167</v>
      </c>
      <c r="BN79" s="44" t="n">
        <f aca="false">N(BN11)+N(BN25)+N(BN39)+N(BN58)+N(BN68)</f>
        <v>784.791</v>
      </c>
      <c r="BO79" s="44" t="n">
        <f aca="false">N(BO11)+N(BO25)+N(BO39)+N(BO58)+N(BO68)</f>
        <v>798.918</v>
      </c>
      <c r="BP79" s="44" t="n">
        <f aca="false">N(BP11)+N(BP25)+N(BP39)+N(BP58)+N(BP68)</f>
        <v>824.313</v>
      </c>
      <c r="BQ79" s="44" t="n">
        <f aca="false">N(BQ11)+N(BQ25)+N(BQ39)+N(BQ58)+N(BQ68)</f>
        <v>3121.189</v>
      </c>
      <c r="BR79" s="44" t="n">
        <f aca="false">N(BR11)+N(BR25)+N(BR39)+N(BR58)+N(BR68)</f>
        <v>805.645</v>
      </c>
      <c r="BS79" s="44" t="n">
        <f aca="false">N(BS11)+N(BS25)+N(BS39)+N(BS58)+N(BS68)</f>
        <v>876.576</v>
      </c>
      <c r="BT79" s="44" t="n">
        <f aca="false">N(BT11)+N(BT25)+N(BT39)+N(BT58)+N(BT68)</f>
        <v>869.17</v>
      </c>
      <c r="BU79" s="44" t="n">
        <f aca="false">N(BU11)+N(BU25)+N(BU39)+N(BU58)+N(BU68)</f>
        <v>946.981</v>
      </c>
      <c r="BV79" s="44" t="n">
        <f aca="false">N(BV11)+N(BV25)+N(BV39)+N(BV58)+N(BV68)</f>
        <v>3498.372</v>
      </c>
      <c r="BW79" s="44" t="n">
        <f aca="false">N(BW11)+N(BW25)+N(BW39)+N(BW58)+N(BW68)</f>
        <v>913.687</v>
      </c>
      <c r="BX79" s="44" t="n">
        <f aca="false">N(BX11)+N(BX25)+N(BX39)+N(BX58)+N(BX68)</f>
        <v>924.008</v>
      </c>
      <c r="BY79" s="44" t="n">
        <f aca="false">N(BY11)+N(BY25)+N(BY39)+N(BY58)+N(BY68)</f>
        <v>934.496526046084</v>
      </c>
      <c r="BZ79" s="44" t="n">
        <f aca="false">N(BZ11)+N(BZ25)+N(BZ39)+N(BZ58)+N(BZ68)</f>
        <v>1018.30847395392</v>
      </c>
      <c r="CA79" s="44" t="n">
        <f aca="false">N(CA11)+N(CA25)+N(CA39)+N(CA58)+N(CA68)</f>
        <v>3790.5</v>
      </c>
      <c r="CB79" s="44" t="n">
        <f aca="false">N(CB11)+N(CB25)+N(CB39)+N(CB58)+N(CB68)</f>
        <v>4111.8</v>
      </c>
      <c r="CC79" s="44" t="n">
        <f aca="false">N(CC11)+N(CC25)+N(CC39)+N(CC58)+N(CC68)</f>
        <v>4493.1167</v>
      </c>
      <c r="CD79" s="44" t="n">
        <f aca="false">N(CD11)+N(CD25)+N(CD39)+N(CD58)+N(CD68)</f>
        <v>4876.960547</v>
      </c>
      <c r="CE79" s="44" t="n">
        <f aca="false">N(CE11)+N(CE25)+N(CE39)+N(CE58)+N(CE68)</f>
        <v>5283.75375152</v>
      </c>
      <c r="CF79" s="18" t="s">
        <v>233</v>
      </c>
      <c r="CH79" s="19" t="n">
        <f aca="false">IFERROR((CE79/BV79)^(1/5)-1,"n/m")</f>
        <v>0.0859637190673677</v>
      </c>
      <c r="CI79" s="19" t="n">
        <f aca="false">IFERROR((BV79/AW79)^(1/5)-1,"n/m")</f>
        <v>0.0790587165621939</v>
      </c>
      <c r="CJ79" s="19" t="n">
        <f aca="false">IFERROR((BV79/X79)^(1/10)-1,"n/m")</f>
        <v>0.0472064036253048</v>
      </c>
      <c r="CK79" s="19" t="n">
        <f aca="false">IFERROR((BV79/C79)^(1/19)-1,"n/m")</f>
        <v>0.054249600614295</v>
      </c>
      <c r="CM79" s="20" t="s">
        <v>184</v>
      </c>
      <c r="CN79" s="42" t="n">
        <f aca="false">CO79+$CN$75</f>
        <v>600</v>
      </c>
      <c r="CO79" s="23" t="n">
        <v>300</v>
      </c>
      <c r="CP79" s="42" t="n">
        <f aca="false">CO79+$CP$75</f>
        <v>0</v>
      </c>
    </row>
    <row r="80" customFormat="false" ht="15" hidden="false" customHeight="false" outlineLevel="0" collapsed="false">
      <c r="B80" s="20" t="s">
        <v>112</v>
      </c>
      <c r="D80" s="21" t="n">
        <f aca="false">IF(AND(ISNUMBER(D79),ISNUMBER(C79)),IFERROR(D79/C79-1,""),"")</f>
        <v>0.241756261918411</v>
      </c>
      <c r="E80" s="21" t="n">
        <f aca="false">IF(AND(ISNUMBER(E79),ISNUMBER(D79)),IFERROR(E79/D79-1,""),"")</f>
        <v>0.149495893535931</v>
      </c>
      <c r="F80" s="21" t="n">
        <f aca="false">IF(AND(ISNUMBER(F79),ISNUMBER(E79)),IFERROR(F79/E79-1,""),"")</f>
        <v>-0.0111740085457943</v>
      </c>
      <c r="G80" s="21" t="n">
        <f aca="false">IF(AND(ISNUMBER(G79),ISNUMBER(F79)),IFERROR(G79/F79-1,""),"")</f>
        <v>0.04610955467511</v>
      </c>
      <c r="H80" s="21" t="n">
        <f aca="false">IF(AND(ISNUMBER(H79),ISNUMBER(G79)),IFERROR(H79/G79-1,""),"")</f>
        <v>0.085042051962513</v>
      </c>
      <c r="I80" s="21" t="n">
        <f aca="false">IF(AND(ISNUMBER(I79),ISNUMBER(H79)),IFERROR(I79/H79-1,""),"")</f>
        <v>0.0212187154659149</v>
      </c>
      <c r="N80" s="21" t="n">
        <f aca="false">IF(AND(ISNUMBER(N79),ISNUMBER(I79)),IFERROR(N79/I79-1,""),"")</f>
        <v>0.196907016965118</v>
      </c>
      <c r="O80" s="21" t="n">
        <f aca="false">IF(AND(ISNUMBER(O79),ISNUMBER(J79)),IFERROR(O79/J79-1,""),"")</f>
        <v>0.0822103403651506</v>
      </c>
      <c r="P80" s="21" t="n">
        <f aca="false">IF(AND(ISNUMBER(P79),ISNUMBER(K79)),IFERROR(P79/K79-1,""),"")</f>
        <v>0.0562825508712341</v>
      </c>
      <c r="Q80" s="21" t="n">
        <f aca="false">IF(AND(ISNUMBER(Q79),ISNUMBER(L79)),IFERROR(Q79/L79-1,""),"")</f>
        <v>-0.0685454669559007</v>
      </c>
      <c r="R80" s="21" t="n">
        <f aca="false">IF(AND(ISNUMBER(R79),ISNUMBER(M79)),IFERROR(R79/M79-1,""),"")</f>
        <v>-0.181704371686222</v>
      </c>
      <c r="S80" s="21" t="n">
        <f aca="false">IF(AND(ISNUMBER(S79),ISNUMBER(N79)),IFERROR(S79/N79-1,""),"")</f>
        <v>-0.106598730031532</v>
      </c>
      <c r="T80" s="21" t="n">
        <f aca="false">IF(AND(ISNUMBER(T79),ISNUMBER(O79)),IFERROR(T79/O79-1,""),"")</f>
        <v>-0.148442810549226</v>
      </c>
      <c r="U80" s="21" t="n">
        <f aca="false">IF(AND(ISNUMBER(U79),ISNUMBER(P79)),IFERROR(U79/P79-1,""),"")</f>
        <v>-0.164392169845445</v>
      </c>
      <c r="V80" s="21" t="n">
        <f aca="false">IF(AND(ISNUMBER(V79),ISNUMBER(Q79)),IFERROR(V79/Q79-1,""),"")</f>
        <v>-0.0606959145227654</v>
      </c>
      <c r="W80" s="21" t="n">
        <f aca="false">IF(AND(ISNUMBER(W79),ISNUMBER(R79)),IFERROR(W79/R79-1,""),"")</f>
        <v>0.0282385528112807</v>
      </c>
      <c r="X80" s="21" t="n">
        <f aca="false">IF(AND(ISNUMBER(X79),ISNUMBER(S79)),IFERROR(X79/S79-1,""),"")</f>
        <v>-0.0166923302569718</v>
      </c>
      <c r="Y80" s="21" t="n">
        <f aca="false">IF(AND(ISNUMBER(Y79),ISNUMBER(T79)),IFERROR(Y79/T79-1,""),"")</f>
        <v>-0.0781619885792541</v>
      </c>
      <c r="Z80" s="21" t="n">
        <f aca="false">IF(AND(ISNUMBER(Z79),ISNUMBER(U79)),IFERROR(Z79/U79-1,""),"")</f>
        <v>-0.0227955553436024</v>
      </c>
      <c r="AA80" s="21" t="n">
        <f aca="false">IF(AND(ISNUMBER(AA79),ISNUMBER(V79)),IFERROR(AA79/V79-1,""),"")</f>
        <v>-0.0350937615953266</v>
      </c>
      <c r="AB80" s="21" t="n">
        <f aca="false">IF(AND(ISNUMBER(AB79),ISNUMBER(W79)),IFERROR(AB79/W79-1,""),"")</f>
        <v>-0.0393865020254605</v>
      </c>
      <c r="AC80" s="21" t="n">
        <f aca="false">IF(AND(ISNUMBER(AC79),ISNUMBER(X79)),IFERROR(AC79/X79-1,""),"")</f>
        <v>-0.0438648708812645</v>
      </c>
      <c r="AD80" s="21" t="n">
        <f aca="false">IF(AND(ISNUMBER(AD79),ISNUMBER(Y79)),IFERROR(AD79/Y79-1,""),"")</f>
        <v>0.0398882239968859</v>
      </c>
      <c r="AE80" s="21" t="n">
        <f aca="false">IF(AND(ISNUMBER(AE79),ISNUMBER(Z79)),IFERROR(AE79/Z79-1,""),"")</f>
        <v>0.065482782309682</v>
      </c>
      <c r="AF80" s="21" t="n">
        <f aca="false">IF(AND(ISNUMBER(AF79),ISNUMBER(AA79)),IFERROR(AF79/AA79-1,""),"")</f>
        <v>0.11991709591159</v>
      </c>
      <c r="AG80" s="21" t="n">
        <f aca="false">IF(AND(ISNUMBER(AG79),ISNUMBER(AB79)),IFERROR(AG79/AB79-1,""),"")</f>
        <v>0.0818914149719041</v>
      </c>
      <c r="AH80" s="21" t="n">
        <f aca="false">IF(AND(ISNUMBER(AH79),ISNUMBER(AC79)),IFERROR(AH79/AC79-1,""),"")</f>
        <v>0.0768612154688797</v>
      </c>
      <c r="AI80" s="21" t="n">
        <f aca="false">IF(AND(ISNUMBER(AI79),ISNUMBER(AD79)),IFERROR(AI79/AD79-1,""),"")</f>
        <v>0.0457055220582479</v>
      </c>
      <c r="AJ80" s="21" t="n">
        <f aca="false">IF(AND(ISNUMBER(AJ79),ISNUMBER(AE79)),IFERROR(AJ79/AE79-1,""),"")</f>
        <v>0.092741516384129</v>
      </c>
      <c r="AK80" s="21" t="n">
        <f aca="false">IF(AND(ISNUMBER(AK79),ISNUMBER(AF79)),IFERROR(AK79/AF79-1,""),"")</f>
        <v>0.0484098460823279</v>
      </c>
      <c r="AL80" s="21" t="n">
        <f aca="false">IF(AND(ISNUMBER(AL79),ISNUMBER(AG79)),IFERROR(AL79/AG79-1,""),"")</f>
        <v>0.0600459893345275</v>
      </c>
      <c r="AM80" s="21" t="n">
        <f aca="false">IF(AND(ISNUMBER(AM79),ISNUMBER(AH79)),IFERROR(AM79/AH79-1,""),"")</f>
        <v>0.0620023724959558</v>
      </c>
      <c r="AN80" s="21" t="n">
        <f aca="false">IF(AND(ISNUMBER(AN79),ISNUMBER(AI79)),IFERROR(AN79/AI79-1,""),"")</f>
        <v>0.0562388360650348</v>
      </c>
      <c r="AO80" s="21" t="n">
        <f aca="false">IF(AND(ISNUMBER(AO79),ISNUMBER(AJ79)),IFERROR(AO79/AJ79-1,""),"")</f>
        <v>0.0301435761521076</v>
      </c>
      <c r="AP80" s="21" t="n">
        <f aca="false">IF(AND(ISNUMBER(AP79),ISNUMBER(AK79)),IFERROR(AP79/AK79-1,""),"")</f>
        <v>0.0327296424378518</v>
      </c>
      <c r="AQ80" s="21" t="n">
        <f aca="false">IF(AND(ISNUMBER(AQ79),ISNUMBER(AL79)),IFERROR(AQ79/AL79-1,""),"")</f>
        <v>0.011021827813426</v>
      </c>
      <c r="AR80" s="21" t="n">
        <f aca="false">IF(AND(ISNUMBER(AR79),ISNUMBER(AM79)),IFERROR(AR79/AM79-1,""),"")</f>
        <v>0.0315635190632857</v>
      </c>
      <c r="AS80" s="21" t="n">
        <f aca="false">IF(AND(ISNUMBER(AS79),ISNUMBER(AN79)),IFERROR(AS79/AN79-1,""),"")</f>
        <v>0.0396272613147874</v>
      </c>
      <c r="AT80" s="21" t="n">
        <f aca="false">IF(AND(ISNUMBER(AT79),ISNUMBER(AO79)),IFERROR(AT79/AO79-1,""),"")</f>
        <v>-0.139201184357961</v>
      </c>
      <c r="AU80" s="21" t="n">
        <f aca="false">IF(AND(ISNUMBER(AU79),ISNUMBER(AP79)),IFERROR(AU79/AP79-1,""),"")</f>
        <v>-0.0703649492583919</v>
      </c>
      <c r="AV80" s="21" t="n">
        <f aca="false">IF(AND(ISNUMBER(AV79),ISNUMBER(AQ79)),IFERROR(AV79/AQ79-1,""),"")</f>
        <v>0.0193253437556709</v>
      </c>
      <c r="AW80" s="21" t="n">
        <f aca="false">IF(AND(ISNUMBER(AW79),ISNUMBER(AR79)),IFERROR(AW79/AR79-1,""),"")</f>
        <v>-0.0388370235707071</v>
      </c>
      <c r="AX80" s="21" t="n">
        <f aca="false">IF(AND(ISNUMBER(AX79),ISNUMBER(AS79)),IFERROR(AX79/AS79-1,""),"")</f>
        <v>-0.00693909662010117</v>
      </c>
      <c r="AY80" s="21" t="n">
        <f aca="false">IF(AND(ISNUMBER(AY79),ISNUMBER(AT79)),IFERROR(AY79/AT79-1,""),"")</f>
        <v>0.129894354482435</v>
      </c>
      <c r="AZ80" s="21" t="n">
        <f aca="false">IF(AND(ISNUMBER(AZ79),ISNUMBER(AU79)),IFERROR(AZ79/AU79-1,""),"")</f>
        <v>0.0857309303131131</v>
      </c>
      <c r="BA80" s="21" t="n">
        <f aca="false">IF(AND(ISNUMBER(BA79),ISNUMBER(AV79)),IFERROR(BA79/AV79-1,""),"")</f>
        <v>-0.00252227561321505</v>
      </c>
      <c r="BB80" s="21" t="n">
        <f aca="false">IF(AND(ISNUMBER(BB79),ISNUMBER(AW79)),IFERROR(BB79/AW79-1,""),"")</f>
        <v>0.0479209111559396</v>
      </c>
      <c r="BC80" s="21" t="n">
        <f aca="false">IF(AND(ISNUMBER(BC79),ISNUMBER(AX79)),IFERROR(BC79/AX79-1,""),"")</f>
        <v>-0.0629720010920193</v>
      </c>
      <c r="BD80" s="21" t="n">
        <f aca="false">IF(AND(ISNUMBER(BD79),ISNUMBER(AY79)),IFERROR(BD79/AY79-1,""),"")</f>
        <v>-0.0195303260685925</v>
      </c>
      <c r="BE80" s="21" t="n">
        <f aca="false">IF(AND(ISNUMBER(BE79),ISNUMBER(AZ79)),IFERROR(BE79/AZ79-1,""),"")</f>
        <v>0.0159888756225639</v>
      </c>
      <c r="BF80" s="21" t="n">
        <f aca="false">IF(AND(ISNUMBER(BF79),ISNUMBER(BA79)),IFERROR(BF79/BA79-1,""),"")</f>
        <v>0.136341821170499</v>
      </c>
      <c r="BG80" s="21" t="n">
        <f aca="false">IF(AND(ISNUMBER(BG79),ISNUMBER(BB79)),IFERROR(BG79/BB79-1,""),"")</f>
        <v>0.0203892285940837</v>
      </c>
      <c r="BH80" s="21" t="n">
        <f aca="false">IF(AND(ISNUMBER(BH79),ISNUMBER(BC79)),IFERROR(BH79/BC79-1,""),"")</f>
        <v>0.127621049545902</v>
      </c>
      <c r="BI80" s="21" t="n">
        <f aca="false">IF(AND(ISNUMBER(BI79),ISNUMBER(BD79)),IFERROR(BI79/BD79-1,""),"")</f>
        <v>0.155966042894395</v>
      </c>
      <c r="BJ80" s="21" t="n">
        <f aca="false">IF(AND(ISNUMBER(BJ79),ISNUMBER(BE79)),IFERROR(BJ79/BE79-1,""),"")</f>
        <v>0.148735532288095</v>
      </c>
      <c r="BK80" s="21" t="n">
        <f aca="false">IF(AND(ISNUMBER(BK79),ISNUMBER(BF79)),IFERROR(BK79/BF79-1,""),"")</f>
        <v>0.0371219470346393</v>
      </c>
      <c r="BL80" s="21" t="n">
        <f aca="false">IF(AND(ISNUMBER(BL79),ISNUMBER(BG79)),IFERROR(BL79/BG79-1,""),"")</f>
        <v>0.112766985070541</v>
      </c>
      <c r="BM80" s="21" t="n">
        <f aca="false">IF(AND(ISNUMBER(BM79),ISNUMBER(BH79)),IFERROR(BM79/BH79-1,""),"")</f>
        <v>0.130467932663348</v>
      </c>
      <c r="BN80" s="21" t="n">
        <f aca="false">IF(AND(ISNUMBER(BN79),ISNUMBER(BI79)),IFERROR(BN79/BI79-1,""),"")</f>
        <v>0.1141332432325</v>
      </c>
      <c r="BO80" s="21" t="n">
        <f aca="false">IF(AND(ISNUMBER(BO79),ISNUMBER(BJ79)),IFERROR(BO79/BJ79-1,""),"")</f>
        <v>0.102981254297098</v>
      </c>
      <c r="BP80" s="21" t="n">
        <f aca="false">IF(AND(ISNUMBER(BP79),ISNUMBER(BK79)),IFERROR(BP79/BK79-1,""),"")</f>
        <v>0.049023213551695</v>
      </c>
      <c r="BQ80" s="21" t="n">
        <f aca="false">IF(AND(ISNUMBER(BQ79),ISNUMBER(BL79)),IFERROR(BQ79/BL79-1,""),"")</f>
        <v>0.0969349185502217</v>
      </c>
      <c r="BR80" s="21" t="n">
        <f aca="false">IF(AND(ISNUMBER(BR79),ISNUMBER(BM79)),IFERROR(BR79/BM79-1,""),"")</f>
        <v>0.129672292744897</v>
      </c>
      <c r="BS80" s="21" t="n">
        <f aca="false">IF(AND(ISNUMBER(BS79),ISNUMBER(BN79)),IFERROR(BS79/BN79-1,""),"")</f>
        <v>0.116954705138056</v>
      </c>
      <c r="BT80" s="21" t="n">
        <f aca="false">IF(AND(ISNUMBER(BT79),ISNUMBER(BO79)),IFERROR(BT79/BO79-1,""),"")</f>
        <v>0.0879339306411924</v>
      </c>
      <c r="BU80" s="21" t="n">
        <f aca="false">IF(AND(ISNUMBER(BU79),ISNUMBER(BP79)),IFERROR(BU79/BP79-1,""),"")</f>
        <v>0.148812404996646</v>
      </c>
      <c r="BV80" s="21" t="n">
        <f aca="false">IF(AND(ISNUMBER(BV79),ISNUMBER(BQ79)),IFERROR(BV79/BQ79-1,""),"")</f>
        <v>0.120845934033472</v>
      </c>
      <c r="BW80" s="21" t="n">
        <f aca="false">IF(AND(ISNUMBER(BW79),ISNUMBER(BR79)),IFERROR(BW79/BR79-1,""),"")</f>
        <v>0.134106213034277</v>
      </c>
      <c r="BX80" s="21" t="n">
        <f aca="false">IF(AND(ISNUMBER(BX79),ISNUMBER(BS79)),IFERROR(BX79/BS79-1,""),"")</f>
        <v>0.0541105391888437</v>
      </c>
      <c r="BY80" s="22" t="n">
        <f aca="false">IFERROR(BY79/BT79-1,"")</f>
        <v>0.075159665020748</v>
      </c>
      <c r="BZ80" s="22" t="n">
        <f aca="false">IFERROR(BZ79/BU79-1,"")</f>
        <v>0.0753209134649129</v>
      </c>
      <c r="CA80" s="22" t="n">
        <f aca="false">IFERROR(CA79/BV79-1,"")</f>
        <v>0.083503984138908</v>
      </c>
      <c r="CB80" s="22" t="n">
        <f aca="false">IFERROR(CB79/CA79-1,"")</f>
        <v>0.0847645429362882</v>
      </c>
      <c r="CC80" s="22" t="n">
        <f aca="false">IFERROR(CC79/CB79-1,"")</f>
        <v>0.0927371710686318</v>
      </c>
      <c r="CD80" s="22" t="n">
        <f aca="false">IFERROR(CD79/CC79-1,"")</f>
        <v>0.08542930723344</v>
      </c>
      <c r="CE80" s="22" t="n">
        <f aca="false">IFERROR(CE79/CD79-1,"")</f>
        <v>0.0834112149564619</v>
      </c>
    </row>
    <row r="81" customFormat="false" ht="15" hidden="false" customHeight="false" outlineLevel="0" collapsed="false">
      <c r="B81" s="20" t="s">
        <v>234</v>
      </c>
      <c r="C81" s="45" t="n">
        <v>0.11</v>
      </c>
      <c r="D81" s="45" t="n">
        <v>0.13</v>
      </c>
      <c r="E81" s="45" t="n">
        <v>0.06</v>
      </c>
      <c r="F81" s="45" t="n">
        <v>-0.02</v>
      </c>
      <c r="G81" s="45" t="n">
        <v>0.03</v>
      </c>
      <c r="H81" s="45" t="n">
        <v>0.03</v>
      </c>
      <c r="J81" s="45" t="n">
        <v>0</v>
      </c>
      <c r="K81" s="45" t="n">
        <v>-0.02</v>
      </c>
      <c r="L81" s="45" t="n">
        <v>0.03</v>
      </c>
      <c r="M81" s="45" t="n">
        <v>0.01</v>
      </c>
      <c r="N81" s="45" t="n">
        <v>0.01</v>
      </c>
      <c r="O81" s="45" t="n">
        <v>0.02</v>
      </c>
      <c r="P81" s="45" t="n">
        <v>0.04</v>
      </c>
      <c r="Q81" s="45" t="n">
        <v>0.04</v>
      </c>
      <c r="R81" s="45" t="n">
        <v>-0.03</v>
      </c>
      <c r="S81" s="45" t="n">
        <v>0.02</v>
      </c>
      <c r="T81" s="45" t="n">
        <v>0.03</v>
      </c>
      <c r="U81" s="45" t="n">
        <v>-0.02</v>
      </c>
      <c r="V81" s="45" t="n">
        <v>-0.04</v>
      </c>
      <c r="W81" s="45" t="n">
        <v>0.04</v>
      </c>
      <c r="X81" s="45" t="n">
        <v>0</v>
      </c>
      <c r="Y81" s="45" t="n">
        <v>-0.07</v>
      </c>
      <c r="Z81" s="45" t="n">
        <v>-0.02</v>
      </c>
      <c r="AA81" s="45" t="n">
        <v>-0.03</v>
      </c>
      <c r="AB81" s="45" t="n">
        <v>-0.03</v>
      </c>
      <c r="AC81" s="45" t="n">
        <v>-0.04</v>
      </c>
      <c r="AD81" s="45" t="n">
        <v>0.03</v>
      </c>
      <c r="AE81" s="45" t="n">
        <v>0.05</v>
      </c>
      <c r="AF81" s="45" t="n">
        <v>0.08</v>
      </c>
      <c r="AG81" s="45" t="n">
        <v>0.03</v>
      </c>
      <c r="AH81" s="45" t="n">
        <v>0.05</v>
      </c>
      <c r="AI81" s="45" t="n">
        <v>0.03</v>
      </c>
      <c r="AJ81" s="45" t="n">
        <v>0.04</v>
      </c>
      <c r="AK81" s="45" t="n">
        <v>0.02</v>
      </c>
      <c r="AL81" s="45" t="n">
        <v>0.03</v>
      </c>
      <c r="AM81" s="45" t="n">
        <v>0.03</v>
      </c>
      <c r="AN81" s="45" t="n">
        <v>0.02</v>
      </c>
      <c r="AO81" s="45" t="n">
        <v>0.03</v>
      </c>
      <c r="AP81" s="45" t="n">
        <v>0.03</v>
      </c>
      <c r="AQ81" s="45" t="n">
        <v>0.01</v>
      </c>
      <c r="AR81" s="45" t="n">
        <v>0.02</v>
      </c>
      <c r="AS81" s="45" t="n">
        <v>0.01</v>
      </c>
      <c r="AT81" s="45" t="n">
        <v>-0.17</v>
      </c>
      <c r="AU81" s="45" t="n">
        <v>-0.1</v>
      </c>
      <c r="AV81" s="45" t="n">
        <v>-0.05</v>
      </c>
      <c r="AW81" s="45" t="n">
        <v>-0.08</v>
      </c>
      <c r="AX81" s="45" t="n">
        <v>-0.08</v>
      </c>
      <c r="AY81" s="45" t="n">
        <v>0.06</v>
      </c>
      <c r="AZ81" s="45" t="n">
        <v>0.01</v>
      </c>
      <c r="BA81" s="45" t="n">
        <v>-0.02</v>
      </c>
      <c r="BB81" s="45" t="n">
        <v>-0.01</v>
      </c>
      <c r="BC81" s="45" t="n">
        <v>-0.06</v>
      </c>
      <c r="BD81" s="45" t="n">
        <v>-0.01</v>
      </c>
      <c r="BE81" s="45" t="n">
        <v>0.01</v>
      </c>
      <c r="BF81" s="45" t="n">
        <v>0.12</v>
      </c>
      <c r="BG81" s="45" t="n">
        <v>0.03</v>
      </c>
      <c r="BH81" s="45" t="n">
        <v>0.11</v>
      </c>
      <c r="BI81" s="45" t="n">
        <v>0.12</v>
      </c>
      <c r="BJ81" s="45" t="n">
        <v>0.14</v>
      </c>
      <c r="BK81" s="45" t="n">
        <v>0.03</v>
      </c>
      <c r="BL81" s="45" t="n">
        <v>0.1</v>
      </c>
      <c r="BM81" s="45" t="n">
        <v>0.13</v>
      </c>
      <c r="BN81" s="45" t="n">
        <v>0.11</v>
      </c>
      <c r="BO81" s="45" t="n">
        <v>0.1</v>
      </c>
      <c r="BP81" s="45" t="n">
        <v>0.05</v>
      </c>
      <c r="BQ81" s="45" t="n">
        <v>0.09</v>
      </c>
      <c r="BR81" s="45" t="n">
        <v>0.11</v>
      </c>
      <c r="BS81" s="45" t="n">
        <v>0.09</v>
      </c>
      <c r="BT81" s="45" t="n">
        <v>0.06</v>
      </c>
      <c r="BU81" s="45" t="n">
        <v>0.11</v>
      </c>
      <c r="BV81" s="45" t="n">
        <v>0.09</v>
      </c>
      <c r="BW81" s="45" t="n">
        <v>0.12</v>
      </c>
      <c r="BX81" s="45" t="n">
        <v>0.05</v>
      </c>
    </row>
    <row r="82" customFormat="false" ht="15" hidden="false" customHeight="false" outlineLevel="0" collapsed="false">
      <c r="B82" s="43" t="s">
        <v>235</v>
      </c>
      <c r="C82" s="44" t="n">
        <f aca="false">N(C17)+N(C31)+N(C45)+N(C55)+N(C59)+N(C60)+N(C70)</f>
        <v>140.628</v>
      </c>
      <c r="D82" s="44" t="n">
        <f aca="false">N(D17)+N(D31)+N(D45)+N(D55)+N(D59)+N(D60)+N(D70)</f>
        <v>179.184</v>
      </c>
      <c r="E82" s="44" t="n">
        <f aca="false">N(E17)+N(E31)+N(E45)+N(E55)+N(E59)+N(E60)+N(E70)</f>
        <v>199.182</v>
      </c>
      <c r="F82" s="44" t="n">
        <f aca="false">N(F17)+N(F31)+N(F45)+N(F55)+N(F59)+N(F60)+N(F70)</f>
        <v>169.319</v>
      </c>
      <c r="G82" s="44" t="n">
        <f aca="false">N(G17)+N(G31)+N(G45)+N(G55)+N(G59)+N(G60)+N(G70)</f>
        <v>179.823</v>
      </c>
      <c r="H82" s="44" t="n">
        <f aca="false">N(H17)+N(H31)+N(H45)+N(H55)+N(H59)+N(H60)+N(H70)</f>
        <v>204.956</v>
      </c>
      <c r="I82" s="44" t="n">
        <f aca="false">N(I17)+N(I31)+N(I45)+N(I55)+N(I59)+N(I60)+N(I70)</f>
        <v>201.448</v>
      </c>
      <c r="J82" s="44" t="n">
        <f aca="false">N(J17)+N(J31)+N(J45)+N(J55)+N(J59)+N(J60)+N(J70)</f>
        <v>38.026</v>
      </c>
      <c r="K82" s="44" t="n">
        <f aca="false">N(K17)+N(K31)+N(K45)+N(K55)+N(K59)+N(K60)+N(K70)</f>
        <v>57.788</v>
      </c>
      <c r="L82" s="44" t="n">
        <f aca="false">N(L17)+N(L31)+N(L45)+N(L55)+N(L59)+N(L60)+N(L70)</f>
        <v>62.887</v>
      </c>
      <c r="M82" s="44" t="n">
        <f aca="false">N(M17)+N(M31)+N(M45)+N(M55)+N(M59)+N(M60)+N(M70)</f>
        <v>74.918</v>
      </c>
      <c r="N82" s="44" t="n">
        <f aca="false">N(N17)+N(N31)+N(N45)+N(N55)+N(N59)+N(N60)+N(N70)</f>
        <v>233.619</v>
      </c>
      <c r="O82" s="44" t="n">
        <f aca="false">N(O17)+N(O31)+N(O45)+N(O55)+N(O59)+N(O60)+N(O70)</f>
        <v>59.101</v>
      </c>
      <c r="P82" s="44" t="n">
        <f aca="false">N(P17)+N(P31)+N(P45)+N(P55)+N(P59)+N(P60)+N(P70)</f>
        <v>76.65</v>
      </c>
      <c r="Q82" s="44" t="n">
        <f aca="false">N(Q17)+N(Q31)+N(Q45)+N(Q55)+N(Q59)+N(Q60)+N(Q70)</f>
        <v>74.14</v>
      </c>
      <c r="R82" s="44" t="n">
        <f aca="false">N(R17)+N(R31)+N(R45)+N(R55)+N(R59)+N(R60)+N(R70)</f>
        <v>74.931</v>
      </c>
      <c r="S82" s="44" t="n">
        <f aca="false">N(S17)+N(S31)+N(S45)+N(S55)+N(S59)+N(S60)+N(S70)</f>
        <v>282.373</v>
      </c>
      <c r="T82" s="44" t="n">
        <f aca="false">N(T17)+N(T31)+N(T45)+N(T55)+N(T59)+N(T60)+N(T70)</f>
        <v>72.835</v>
      </c>
      <c r="U82" s="44" t="n">
        <f aca="false">N(U17)+N(U31)+N(U45)+N(U55)+N(U59)+N(U60)+N(U70)</f>
        <v>65.442</v>
      </c>
      <c r="V82" s="44" t="n">
        <f aca="false">N(V17)+N(V31)+N(V45)+N(V55)+N(V59)+N(V60)+N(V70)</f>
        <v>63.813</v>
      </c>
      <c r="W82" s="44" t="n">
        <f aca="false">N(W17)+N(W31)+N(W45)+N(W55)+N(W59)+N(W60)+N(W70)</f>
        <v>108.527</v>
      </c>
      <c r="X82" s="44" t="n">
        <f aca="false">N(X17)+N(X31)+N(X45)+N(X55)+N(X59)+N(X60)+N(X70)</f>
        <v>291</v>
      </c>
      <c r="Y82" s="44" t="n">
        <f aca="false">N(Y17)+N(Y31)+N(Y45)+N(Y55)+N(Y59)+N(Y60)+N(Y70)</f>
        <v>57.263</v>
      </c>
      <c r="Z82" s="44" t="n">
        <f aca="false">N(Z17)+N(Z31)+N(Z45)+N(Z55)+N(Z59)+N(Z60)+N(Z70)</f>
        <v>68.089</v>
      </c>
      <c r="AA82" s="44" t="n">
        <f aca="false">N(AA17)+N(AA31)+N(AA45)+N(AA55)+N(AA59)+N(AA60)+N(AA70)</f>
        <v>76.573</v>
      </c>
      <c r="AB82" s="44" t="n">
        <f aca="false">N(AB17)+N(AB31)+N(AB45)+N(AB55)+N(AB59)+N(AB60)+N(AB70)</f>
        <v>106.173</v>
      </c>
      <c r="AC82" s="44" t="n">
        <f aca="false">N(AC17)+N(AC31)+N(AC45)+N(AC55)+N(AC59)+N(AC60)+N(AC70)</f>
        <v>308.098</v>
      </c>
      <c r="AD82" s="44" t="n">
        <f aca="false">N(AD17)+N(AD31)+N(AD45)+N(AD55)+N(AD59)+N(AD60)+N(AD70)</f>
        <v>51.227</v>
      </c>
      <c r="AE82" s="44" t="n">
        <f aca="false">N(AE17)+N(AE31)+N(AE45)+N(AE55)+N(AE59)+N(AE60)+N(AE70)</f>
        <v>83.271</v>
      </c>
      <c r="AF82" s="44" t="n">
        <f aca="false">N(AF17)+N(AF31)+N(AF45)+N(AF55)+N(AF59)+N(AF60)+N(AF70)</f>
        <v>96.55</v>
      </c>
      <c r="AG82" s="44" t="n">
        <f aca="false">N(AG17)+N(AG31)+N(AG45)+N(AG55)+N(AG59)+N(AG60)+N(AG70)</f>
        <v>108.695</v>
      </c>
      <c r="AH82" s="44" t="n">
        <f aca="false">N(AH17)+N(AH31)+N(AH45)+N(AH55)+N(AH59)+N(AH60)+N(AH70)</f>
        <v>339.743</v>
      </c>
      <c r="AI82" s="44" t="n">
        <f aca="false">N(AI17)+N(AI31)+N(AI45)+N(AI55)+N(AI59)+N(AI60)+N(AI70)</f>
        <v>64.498</v>
      </c>
      <c r="AJ82" s="44" t="n">
        <f aca="false">N(AJ17)+N(AJ31)+N(AJ45)+N(AJ55)+N(AJ59)+N(AJ60)+N(AJ70)</f>
        <v>109.1</v>
      </c>
      <c r="AK82" s="44" t="n">
        <f aca="false">N(AK17)+N(AK31)+N(AK45)+N(AK55)+N(AK59)+N(AK60)+N(AK70)</f>
        <v>98.3</v>
      </c>
      <c r="AL82" s="44" t="n">
        <f aca="false">N(AL17)+N(AL31)+N(AL45)+N(AL55)+N(AL59)+N(AL60)+N(AL70)</f>
        <v>110.4</v>
      </c>
      <c r="AM82" s="44" t="n">
        <f aca="false">N(AM17)+N(AM31)+N(AM45)+N(AM55)+N(AM59)+N(AM60)+N(AM70)</f>
        <v>382</v>
      </c>
      <c r="AN82" s="44" t="n">
        <f aca="false">N(AN17)+N(AN31)+N(AN45)+N(AN55)+N(AN59)+N(AN60)+N(AN70)</f>
        <v>72.5</v>
      </c>
      <c r="AO82" s="44" t="n">
        <f aca="false">N(AO17)+N(AO31)+N(AO45)+N(AO55)+N(AO59)+N(AO60)+N(AO70)</f>
        <v>107.7</v>
      </c>
      <c r="AP82" s="44" t="n">
        <f aca="false">N(AP17)+N(AP31)+N(AP45)+N(AP55)+N(AP59)+N(AP60)+N(AP70)</f>
        <v>107.2</v>
      </c>
      <c r="AQ82" s="44" t="n">
        <f aca="false">N(AQ17)+N(AQ31)+N(AQ45)+N(AQ55)+N(AQ59)+N(AQ60)+N(AQ70)</f>
        <v>123.2</v>
      </c>
      <c r="AR82" s="44" t="n">
        <f aca="false">N(AR17)+N(AR31)+N(AR45)+N(AR55)+N(AR59)+N(AR60)+N(AR70)</f>
        <v>411</v>
      </c>
      <c r="AS82" s="44" t="n">
        <f aca="false">N(AS17)+N(AS31)+N(AS45)+N(AS55)+N(AS59)+N(AS60)+N(AS70)</f>
        <v>80</v>
      </c>
      <c r="AT82" s="44" t="n">
        <f aca="false">N(AT17)+N(AT31)+N(AT45)+N(AT55)+N(AT59)+N(AT60)+N(AT70)</f>
        <v>78.5</v>
      </c>
      <c r="AU82" s="44" t="n">
        <f aca="false">N(AU17)+N(AU31)+N(AU45)+N(AU55)+N(AU59)+N(AU60)+N(AU70)</f>
        <v>99.9</v>
      </c>
      <c r="AV82" s="44" t="n">
        <f aca="false">N(AV17)+N(AV31)+N(AV45)+N(AV55)+N(AV59)+N(AV60)+N(AV70)</f>
        <v>132.8</v>
      </c>
      <c r="AW82" s="44" t="n">
        <f aca="false">N(AW17)+N(AW31)+N(AW45)+N(AW55)+N(AW59)+N(AW60)+N(AW70)</f>
        <v>391</v>
      </c>
      <c r="AX82" s="44" t="n">
        <f aca="false">N(AX17)+N(AX31)+N(AX45)+N(AX55)+N(AX59)+N(AX60)+N(AX70)</f>
        <v>88.8</v>
      </c>
      <c r="AY82" s="44" t="n">
        <f aca="false">N(AY17)+N(AY31)+N(AY45)+N(AY55)+N(AY59)+N(AY60)+N(AY70)</f>
        <v>95</v>
      </c>
      <c r="AZ82" s="44" t="n">
        <f aca="false">N(AZ17)+N(AZ31)+N(AZ45)+N(AZ55)+N(AZ59)+N(AZ60)+N(AZ70)</f>
        <v>107.5</v>
      </c>
      <c r="BA82" s="44" t="n">
        <f aca="false">N(BA17)+N(BA31)+N(BA45)+N(BA55)+N(BA59)+N(BA60)+N(BA70)</f>
        <v>129.08</v>
      </c>
      <c r="BB82" s="44" t="n">
        <f aca="false">N(BB17)+N(BB31)+N(BB45)+N(BB55)+N(BB59)+N(BB60)+N(BB70)</f>
        <v>420.423</v>
      </c>
      <c r="BC82" s="44" t="n">
        <f aca="false">N(BC17)+N(BC31)+N(BC45)+N(BC55)+N(BC59)+N(BC60)+N(BC70)</f>
        <v>70.813</v>
      </c>
      <c r="BD82" s="44" t="n">
        <f aca="false">N(BD17)+N(BD31)+N(BD45)+N(BD55)+N(BD59)+N(BD60)+N(BD70)</f>
        <v>98.105</v>
      </c>
      <c r="BE82" s="44" t="n">
        <f aca="false">N(BE17)+N(BE31)+N(BE45)+N(BE55)+N(BE59)+N(BE60)+N(BE70)</f>
        <v>114.488</v>
      </c>
      <c r="BF82" s="44" t="n">
        <f aca="false">N(BF17)+N(BF31)+N(BF45)+N(BF55)+N(BF59)+N(BF60)+N(BF70)</f>
        <v>159.672</v>
      </c>
      <c r="BG82" s="44" t="n">
        <f aca="false">N(BG17)+N(BG31)+N(BG45)+N(BG55)+N(BG59)+N(BG60)+N(BG70)</f>
        <v>443.078001</v>
      </c>
      <c r="BH82" s="44" t="n">
        <f aca="false">N(BH17)+N(BH31)+N(BH45)+N(BH55)+N(BH59)+N(BH60)+N(BH70)</f>
        <v>81.291</v>
      </c>
      <c r="BI82" s="44" t="n">
        <f aca="false">N(BI17)+N(BI31)+N(BI45)+N(BI55)+N(BI59)+N(BI60)+N(BI70)</f>
        <v>115.434</v>
      </c>
      <c r="BJ82" s="44" t="n">
        <f aca="false">N(BJ17)+N(BJ31)+N(BJ45)+N(BJ55)+N(BJ59)+N(BJ60)+N(BJ70)</f>
        <v>133.852</v>
      </c>
      <c r="BK82" s="44" t="n">
        <f aca="false">N(BK17)+N(BK31)+N(BK45)+N(BK55)+N(BK59)+N(BK60)+N(BK70)</f>
        <v>163.221</v>
      </c>
      <c r="BL82" s="44" t="n">
        <f aca="false">N(BL17)+N(BL31)+N(BL45)+N(BL55)+N(BL59)+N(BL60)+N(BL70)</f>
        <v>493.8</v>
      </c>
      <c r="BM82" s="44" t="n">
        <f aca="false">N(BM17)+N(BM31)+N(BM45)+N(BM55)+N(BM59)+N(BM60)+N(BM70)</f>
        <v>99.961</v>
      </c>
      <c r="BN82" s="44" t="n">
        <f aca="false">N(BN17)+N(BN31)+N(BN45)+N(BN55)+N(BN59)+N(BN60)+N(BN70)</f>
        <v>133.345</v>
      </c>
      <c r="BO82" s="44" t="n">
        <f aca="false">N(BO17)+N(BO31)+N(BO45)+N(BO55)+N(BO59)+N(BO60)+N(BO70)</f>
        <v>149.067</v>
      </c>
      <c r="BP82" s="44" t="n">
        <f aca="false">N(BP17)+N(BP31)+N(BP45)+N(BP55)+N(BP59)+N(BP60)+N(BP70)</f>
        <v>163.493</v>
      </c>
      <c r="BQ82" s="44" t="n">
        <f aca="false">N(BQ17)+N(BQ31)+N(BQ45)+N(BQ55)+N(BQ59)+N(BQ60)+N(BQ70)</f>
        <v>545.866</v>
      </c>
      <c r="BR82" s="44" t="n">
        <f aca="false">N(BR17)+N(BR31)+N(BR45)+N(BR55)+N(BR59)+N(BR60)+N(BR70)</f>
        <v>134.01</v>
      </c>
      <c r="BS82" s="44" t="n">
        <f aca="false">N(BS17)+N(BS31)+N(BS45)+N(BS55)+N(BS59)+N(BS60)+N(BS70)</f>
        <v>160.042</v>
      </c>
      <c r="BT82" s="44" t="n">
        <f aca="false">N(BT17)+N(BT31)+N(BT45)+N(BT55)+N(BT59)+N(BT60)+N(BT70)</f>
        <v>170.373</v>
      </c>
      <c r="BU82" s="44" t="n">
        <f aca="false">N(BU17)+N(BU31)+N(BU45)+N(BU55)+N(BU59)+N(BU60)+N(BU70)</f>
        <v>186.57</v>
      </c>
      <c r="BV82" s="44" t="n">
        <f aca="false">N(BV17)+N(BV31)+N(BV45)+N(BV55)+N(BV59)+N(BV60)+N(BV70)</f>
        <v>650.994</v>
      </c>
      <c r="BW82" s="44" t="n">
        <f aca="false">N(BW17)+N(BW31)+N(BW45)+N(BW55)+N(BW59)+N(BW60)+N(BW70)</f>
        <v>160.419</v>
      </c>
      <c r="BX82" s="44" t="n">
        <f aca="false">N(BX17)+N(BX31)+N(BX45)+N(BX55)+N(BX59)+N(BX60)+N(BX70)</f>
        <v>179.208</v>
      </c>
      <c r="BY82" s="44" t="n">
        <f aca="false">N(BY17)+N(BY31)+N(BY45)+N(BY55)+N(BY59)+N(BY60)+N(BY70)</f>
        <v>185.811190559161</v>
      </c>
      <c r="BZ82" s="44" t="n">
        <f aca="false">N(BZ17)+N(BZ31)+N(BZ45)+N(BZ55)+N(BZ59)+N(BZ60)+N(BZ70)</f>
        <v>202.561809440839</v>
      </c>
      <c r="CA82" s="44" t="n">
        <f aca="false">N(CA17)+N(CA31)+N(CA45)+N(CA55)+N(CA59)+N(CA60)+N(CA70)</f>
        <v>728</v>
      </c>
      <c r="CB82" s="44" t="n">
        <f aca="false">N(CB17)+N(CB31)+N(CB45)+N(CB55)+N(CB59)+N(CB60)+N(CB70)</f>
        <v>809.7922</v>
      </c>
      <c r="CC82" s="44" t="n">
        <f aca="false">N(CC17)+N(CC31)+N(CC45)+N(CC55)+N(CC59)+N(CC60)+N(CC70)</f>
        <v>898.8683313</v>
      </c>
      <c r="CD82" s="44" t="n">
        <f aca="false">N(CD17)+N(CD31)+N(CD45)+N(CD55)+N(CD59)+N(CD60)+N(CD70)</f>
        <v>986.510197833</v>
      </c>
      <c r="CE82" s="44" t="n">
        <f aca="false">N(CE17)+N(CE31)+N(CE45)+N(CE55)+N(CE59)+N(CE60)+N(CE70)</f>
        <v>1079.48494832178</v>
      </c>
      <c r="CH82" s="19" t="n">
        <f aca="false">IFERROR((CE82/BV82)^(1/5)-1,"n/m")</f>
        <v>0.106440135220898</v>
      </c>
      <c r="CI82" s="19" t="n">
        <f aca="false">IFERROR((BV82/AW82)^(1/5)-1,"n/m")</f>
        <v>0.107337597233939</v>
      </c>
      <c r="CJ82" s="19" t="n">
        <f aca="false">IFERROR((BV82/X82)^(1/10)-1,"n/m")</f>
        <v>0.0838480477512806</v>
      </c>
      <c r="CK82" s="19" t="n">
        <f aca="false">IFERROR((BV82/C82)^(1/19)-1,"n/m")</f>
        <v>0.0839932770631249</v>
      </c>
    </row>
    <row r="83" customFormat="false" ht="15" hidden="false" customHeight="false" outlineLevel="0" collapsed="false">
      <c r="B83" s="20" t="s">
        <v>133</v>
      </c>
      <c r="C83" s="27" t="n">
        <f aca="false">IF(AND(ISNUMBER(C82),ISNUMBER(C79)),IFERROR(C82/C79,""),"")</f>
        <v>0.109680966809785</v>
      </c>
      <c r="D83" s="27" t="n">
        <f aca="false">IF(AND(ISNUMBER(D82),ISNUMBER(D79)),IFERROR(D82/D79,""),"")</f>
        <v>0.112543997829315</v>
      </c>
      <c r="E83" s="27" t="n">
        <f aca="false">IF(AND(ISNUMBER(E82),ISNUMBER(E79)),IFERROR(E82/E79,""),"")</f>
        <v>0.108834296829751</v>
      </c>
      <c r="F83" s="27" t="n">
        <f aca="false">IF(AND(ISNUMBER(F82),ISNUMBER(F79)),IFERROR(F82/F79,""),"")</f>
        <v>0.0935624333449375</v>
      </c>
      <c r="G83" s="27" t="n">
        <f aca="false">IF(AND(ISNUMBER(G82),ISNUMBER(G79)),IFERROR(G82/G79,""),"")</f>
        <v>0.0949869370049875</v>
      </c>
      <c r="H83" s="27" t="n">
        <f aca="false">IF(AND(ISNUMBER(H82),ISNUMBER(H79)),IFERROR(H82/H79,""),"")</f>
        <v>0.0997775213837488</v>
      </c>
      <c r="I83" s="27" t="n">
        <f aca="false">IF(AND(ISNUMBER(I82),ISNUMBER(I79)),IFERROR(I82/I79,""),"")</f>
        <v>0.0960320653510771</v>
      </c>
      <c r="J83" s="27" t="n">
        <f aca="false">IF(AND(ISNUMBER(J82),ISNUMBER(J79)),IFERROR(J82/J79,""),"")</f>
        <v>0.0641586537244785</v>
      </c>
      <c r="K83" s="27" t="n">
        <f aca="false">IF(AND(ISNUMBER(K82),ISNUMBER(K79)),IFERROR(K82/K79,""),"")</f>
        <v>0.093555473888879</v>
      </c>
      <c r="L83" s="27" t="n">
        <f aca="false">IF(AND(ISNUMBER(L82),ISNUMBER(L79)),IFERROR(L82/L79,""),"")</f>
        <v>0.104695280413274</v>
      </c>
      <c r="M83" s="27" t="n">
        <f aca="false">IF(AND(ISNUMBER(M82),ISNUMBER(M79)),IFERROR(M82/M79,""),"")</f>
        <v>0.107067011561602</v>
      </c>
      <c r="N83" s="27" t="n">
        <f aca="false">IF(AND(ISNUMBER(N82),ISNUMBER(N79)),IFERROR(N82/N79,""),"")</f>
        <v>0.0930467175222272</v>
      </c>
      <c r="O83" s="27" t="n">
        <f aca="false">IF(AND(ISNUMBER(O82),ISNUMBER(O79)),IFERROR(O82/O79,""),"")</f>
        <v>0.0921420241591988</v>
      </c>
      <c r="P83" s="27" t="n">
        <f aca="false">IF(AND(ISNUMBER(P82),ISNUMBER(P79)),IFERROR(P82/P79,""),"")</f>
        <v>0.117479906567839</v>
      </c>
      <c r="Q83" s="27" t="n">
        <f aca="false">IF(AND(ISNUMBER(Q82),ISNUMBER(Q79)),IFERROR(Q82/Q79,""),"")</f>
        <v>0.132512591734675</v>
      </c>
      <c r="R83" s="27" t="n">
        <f aca="false">IF(AND(ISNUMBER(R82),ISNUMBER(R79)),IFERROR(R82/R79,""),"")</f>
        <v>0.130864184594105</v>
      </c>
      <c r="S83" s="27" t="n">
        <f aca="false">IF(AND(ISNUMBER(S82),ISNUMBER(S79)),IFERROR(S82/S79,""),"")</f>
        <v>0.125883699801081</v>
      </c>
      <c r="T83" s="27" t="n">
        <f aca="false">IF(AND(ISNUMBER(T82),ISNUMBER(T79)),IFERROR(T82/T79,""),"")</f>
        <v>0.133348834399184</v>
      </c>
      <c r="U83" s="27" t="n">
        <f aca="false">IF(AND(ISNUMBER(U82),ISNUMBER(U79)),IFERROR(U82/U79,""),"")</f>
        <v>0.120034336401354</v>
      </c>
      <c r="V83" s="27" t="n">
        <f aca="false">IF(AND(ISNUMBER(V82),ISNUMBER(V79)),IFERROR(V82/V79,""),"")</f>
        <v>0.121424833740855</v>
      </c>
      <c r="W83" s="27" t="n">
        <f aca="false">IF(AND(ISNUMBER(W82),ISNUMBER(W79)),IFERROR(W82/W79,""),"")</f>
        <v>0.184333041757607</v>
      </c>
      <c r="X83" s="27" t="n">
        <f aca="false">IF(AND(ISNUMBER(X82),ISNUMBER(X79)),IFERROR(X82/X79,""),"")</f>
        <v>0.131931923127666</v>
      </c>
      <c r="Y83" s="27" t="n">
        <f aca="false">IF(AND(ISNUMBER(Y82),ISNUMBER(Y79)),IFERROR(Y82/Y79,""),"")</f>
        <v>0.113728309636212</v>
      </c>
      <c r="Z83" s="27" t="n">
        <f aca="false">IF(AND(ISNUMBER(Z82),ISNUMBER(Z79)),IFERROR(Z82/Z79,""),"")</f>
        <v>0.127802825255365</v>
      </c>
      <c r="AA83" s="27" t="n">
        <f aca="false">IF(AND(ISNUMBER(AA82),ISNUMBER(AA79)),IFERROR(AA82/AA79,""),"")</f>
        <v>0.151004157036593</v>
      </c>
      <c r="AB83" s="27" t="n">
        <f aca="false">IF(AND(ISNUMBER(AB82),ISNUMBER(AB79)),IFERROR(AB82/AB79,""),"")</f>
        <v>0.187728753142869</v>
      </c>
      <c r="AC83" s="27" t="n">
        <f aca="false">IF(AND(ISNUMBER(AC82),ISNUMBER(AC79)),IFERROR(AC82/AC79,""),"")</f>
        <v>0.146092024822054</v>
      </c>
      <c r="AD83" s="27" t="n">
        <f aca="false">IF(AND(ISNUMBER(AD82),ISNUMBER(AD79)),IFERROR(AD82/AD79,""),"")</f>
        <v>0.0978378161580317</v>
      </c>
      <c r="AE83" s="27" t="n">
        <f aca="false">IF(AND(ISNUMBER(AE82),ISNUMBER(AE79)),IFERROR(AE82/AE79,""),"")</f>
        <v>0.146693490565539</v>
      </c>
      <c r="AF83" s="27" t="n">
        <f aca="false">IF(AND(ISNUMBER(AF82),ISNUMBER(AF79)),IFERROR(AF82/AF79,""),"")</f>
        <v>0.170012026744098</v>
      </c>
      <c r="AG83" s="27" t="n">
        <f aca="false">IF(AND(ISNUMBER(AG82),ISNUMBER(AG79)),IFERROR(AG82/AG79,""),"")</f>
        <v>0.17764075040735</v>
      </c>
      <c r="AH83" s="27" t="n">
        <f aca="false">IF(AND(ISNUMBER(AH82),ISNUMBER(AH79)),IFERROR(AH82/AH79,""),"")</f>
        <v>0.149598903755395</v>
      </c>
      <c r="AI83" s="27" t="n">
        <f aca="false">IF(AND(ISNUMBER(AI82),ISNUMBER(AI79)),IFERROR(AI82/AI79,""),"")</f>
        <v>0.117799832700786</v>
      </c>
      <c r="AJ83" s="27" t="n">
        <f aca="false">IF(AND(ISNUMBER(AJ82),ISNUMBER(AJ79)),IFERROR(AJ82/AJ79,""),"")</f>
        <v>0.175883204524277</v>
      </c>
      <c r="AK83" s="27" t="n">
        <f aca="false">IF(AND(ISNUMBER(AK82),ISNUMBER(AK79)),IFERROR(AK82/AK79,""),"")</f>
        <v>0.165101034106884</v>
      </c>
      <c r="AL83" s="27" t="n">
        <f aca="false">IF(AND(ISNUMBER(AL82),ISNUMBER(AL79)),IFERROR(AL82/AL79,""),"")</f>
        <v>0.170206992670616</v>
      </c>
      <c r="AM83" s="27" t="n">
        <f aca="false">IF(AND(ISNUMBER(AM82),ISNUMBER(AM79)),IFERROR(AM82/AM79,""),"")</f>
        <v>0.158385627540856</v>
      </c>
      <c r="AN83" s="27" t="n">
        <f aca="false">IF(AND(ISNUMBER(AN82),ISNUMBER(AN79)),IFERROR(AN82/AN79,""),"")</f>
        <v>0.125364421404289</v>
      </c>
      <c r="AO83" s="27" t="n">
        <f aca="false">IF(AND(ISNUMBER(AO82),ISNUMBER(AO79)),IFERROR(AO82/AO79,""),"")</f>
        <v>0.168545655997847</v>
      </c>
      <c r="AP83" s="27" t="n">
        <f aca="false">IF(AND(ISNUMBER(AP82),ISNUMBER(AP79)),IFERROR(AP82/AP79,""),"")</f>
        <v>0.174342961228207</v>
      </c>
      <c r="AQ83" s="27" t="n">
        <f aca="false">IF(AND(ISNUMBER(AQ82),ISNUMBER(AQ79)),IFERROR(AQ82/AQ79,""),"")</f>
        <v>0.187870460877349</v>
      </c>
      <c r="AR83" s="27" t="n">
        <f aca="false">IF(AND(ISNUMBER(AR82),ISNUMBER(AR79)),IFERROR(AR82/AR79,""),"")</f>
        <v>0.16519551552456</v>
      </c>
      <c r="AS83" s="27" t="n">
        <f aca="false">IF(AND(ISNUMBER(AS82),ISNUMBER(AS79)),IFERROR(AS82/AS79,""),"")</f>
        <v>0.133060337873463</v>
      </c>
      <c r="AT83" s="27" t="n">
        <f aca="false">IF(AND(ISNUMBER(AT82),ISNUMBER(AT79)),IFERROR(AT82/AT79,""),"")</f>
        <v>0.142715077075232</v>
      </c>
      <c r="AU83" s="27" t="n">
        <f aca="false">IF(AND(ISNUMBER(AU82),ISNUMBER(AU79)),IFERROR(AU82/AU79,""),"")</f>
        <v>0.174768287690644</v>
      </c>
      <c r="AV83" s="27" t="n">
        <f aca="false">IF(AND(ISNUMBER(AV82),ISNUMBER(AV79)),IFERROR(AV82/AV79,""),"")</f>
        <v>0.198670344860602</v>
      </c>
      <c r="AW83" s="27" t="n">
        <f aca="false">IF(AND(ISNUMBER(AW82),ISNUMBER(AW79)),IFERROR(AW82/AW79,""),"")</f>
        <v>0.163506926671952</v>
      </c>
      <c r="AX83" s="27" t="n">
        <f aca="false">IF(AND(ISNUMBER(AX82),ISNUMBER(AX79)),IFERROR(AX82/AX79,""),"")</f>
        <v>0.148729020080093</v>
      </c>
      <c r="AY83" s="27" t="n">
        <f aca="false">IF(AND(ISNUMBER(AY82),ISNUMBER(AY79)),IFERROR(AY82/AY79,""),"")</f>
        <v>0.152857223308313</v>
      </c>
      <c r="AZ83" s="27" t="n">
        <f aca="false">IF(AND(ISNUMBER(AZ82),ISNUMBER(AZ79)),IFERROR(AZ82/AZ79,""),"")</f>
        <v>0.173214161989884</v>
      </c>
      <c r="BA83" s="27" t="n">
        <f aca="false">IF(AND(ISNUMBER(BA82),ISNUMBER(BA79)),IFERROR(BA82/BA79,""),"")</f>
        <v>0.193593477693556</v>
      </c>
      <c r="BB83" s="27" t="n">
        <f aca="false">IF(AND(ISNUMBER(BB82),ISNUMBER(BB79)),IFERROR(BB82/BB79,""),"")</f>
        <v>0.16777117965339</v>
      </c>
      <c r="BC83" s="27" t="n">
        <f aca="false">IF(AND(ISNUMBER(BC82),ISNUMBER(BC79)),IFERROR(BC82/BC79,""),"")</f>
        <v>0.126573612816622</v>
      </c>
      <c r="BD83" s="27" t="n">
        <f aca="false">IF(AND(ISNUMBER(BD82),ISNUMBER(BD79)),IFERROR(BD82/BD79,""),"")</f>
        <v>0.160997576133531</v>
      </c>
      <c r="BE83" s="27" t="n">
        <f aca="false">IF(AND(ISNUMBER(BE82),ISNUMBER(BE79)),IFERROR(BE82/BE79,""),"")</f>
        <v>0.181570775618436</v>
      </c>
      <c r="BF83" s="27" t="n">
        <f aca="false">IF(AND(ISNUMBER(BF82),ISNUMBER(BF79)),IFERROR(BF82/BF79,""),"")</f>
        <v>0.210742214567124</v>
      </c>
      <c r="BG83" s="27" t="n">
        <f aca="false">IF(AND(ISNUMBER(BG82),ISNUMBER(BG79)),IFERROR(BG82/BG79,""),"")</f>
        <v>0.173278712957441</v>
      </c>
      <c r="BH83" s="27" t="n">
        <f aca="false">IF(AND(ISNUMBER(BH82),ISNUMBER(BH79)),IFERROR(BH82/BH79,""),"")</f>
        <v>0.128857432710903</v>
      </c>
      <c r="BI83" s="27" t="n">
        <f aca="false">IF(AND(ISNUMBER(BI82),ISNUMBER(BI79)),IFERROR(BI82/BI79,""),"")</f>
        <v>0.163876569429696</v>
      </c>
      <c r="BJ83" s="27" t="n">
        <f aca="false">IF(AND(ISNUMBER(BJ82),ISNUMBER(BJ79)),IFERROR(BJ82/BJ79,""),"")</f>
        <v>0.184795244130405</v>
      </c>
      <c r="BK83" s="27" t="n">
        <f aca="false">IF(AND(ISNUMBER(BK82),ISNUMBER(BK79)),IFERROR(BK82/BK79,""),"")</f>
        <v>0.207715537592057</v>
      </c>
      <c r="BL83" s="27" t="n">
        <f aca="false">IF(AND(ISNUMBER(BL82),ISNUMBER(BL79)),IFERROR(BL82/BL79,""),"")</f>
        <v>0.17354490957776</v>
      </c>
      <c r="BM83" s="27" t="n">
        <f aca="false">IF(AND(ISNUMBER(BM82),ISNUMBER(BM79)),IFERROR(BM82/BM79,""),"")</f>
        <v>0.140164926307583</v>
      </c>
      <c r="BN83" s="27" t="n">
        <f aca="false">IF(AND(ISNUMBER(BN82),ISNUMBER(BN79)),IFERROR(BN82/BN79,""),"")</f>
        <v>0.169911479616866</v>
      </c>
      <c r="BO83" s="27" t="n">
        <f aca="false">IF(AND(ISNUMBER(BO82),ISNUMBER(BO79)),IFERROR(BO82/BO79,""),"")</f>
        <v>0.186586107710679</v>
      </c>
      <c r="BP83" s="27" t="n">
        <f aca="false">IF(AND(ISNUMBER(BP82),ISNUMBER(BP79)),IFERROR(BP82/BP79,""),"")</f>
        <v>0.198338495207524</v>
      </c>
      <c r="BQ83" s="27" t="n">
        <f aca="false">IF(AND(ISNUMBER(BQ82),ISNUMBER(BQ79)),IFERROR(BQ82/BQ79,""),"")</f>
        <v>0.174890402343466</v>
      </c>
      <c r="BR83" s="27" t="n">
        <f aca="false">IF(AND(ISNUMBER(BR82),ISNUMBER(BR79)),IFERROR(BR82/BR79,""),"")</f>
        <v>0.166338772039794</v>
      </c>
      <c r="BS83" s="27" t="n">
        <f aca="false">IF(AND(ISNUMBER(BS82),ISNUMBER(BS79)),IFERROR(BS82/BS79,""),"")</f>
        <v>0.182576296864162</v>
      </c>
      <c r="BT83" s="27" t="n">
        <f aca="false">IF(AND(ISNUMBER(BT82),ISNUMBER(BT79)),IFERROR(BT82/BT79,""),"")</f>
        <v>0.196018040199271</v>
      </c>
      <c r="BU83" s="27" t="n">
        <f aca="false">IF(AND(ISNUMBER(BU82),ISNUMBER(BU79)),IFERROR(BU82/BU79,""),"")</f>
        <v>0.197015568422175</v>
      </c>
      <c r="BV83" s="27" t="n">
        <f aca="false">IF(AND(ISNUMBER(BV82),ISNUMBER(BV79)),IFERROR(BV82/BV79,""),"")</f>
        <v>0.186084841749248</v>
      </c>
      <c r="BW83" s="27" t="n">
        <f aca="false">IF(AND(ISNUMBER(BW82),ISNUMBER(BW79)),IFERROR(BW82/BW79,""),"")</f>
        <v>0.175573254298244</v>
      </c>
      <c r="BX83" s="27" t="n">
        <f aca="false">IF(AND(ISNUMBER(BX82),ISNUMBER(BX79)),IFERROR(BX82/BX79,""),"")</f>
        <v>0.193946372758677</v>
      </c>
      <c r="BY83" s="22" t="n">
        <f aca="false">IFERROR(BY82/BY79,"")</f>
        <v>0.198835614023458</v>
      </c>
      <c r="BZ83" s="22" t="n">
        <f aca="false">IFERROR(BZ82/BZ79,"")</f>
        <v>0.198919889819169</v>
      </c>
      <c r="CA83" s="22" t="n">
        <f aca="false">IFERROR(CA82/CA79,"")</f>
        <v>0.192059095106187</v>
      </c>
      <c r="CB83" s="22" t="n">
        <f aca="false">IFERROR(CB82/CB79,"")</f>
        <v>0.196943479741233</v>
      </c>
      <c r="CC83" s="22" t="n">
        <f aca="false">IFERROR(CC82/CC79,"")</f>
        <v>0.200054525915163</v>
      </c>
      <c r="CD83" s="22" t="n">
        <f aca="false">IFERROR(CD82/CD79,"")</f>
        <v>0.202279716705898</v>
      </c>
      <c r="CE83" s="22" t="n">
        <f aca="false">IFERROR(CE82/CE79,"")</f>
        <v>0.204302660397684</v>
      </c>
      <c r="CH83" s="32" t="n">
        <f aca="false">IFERROR(AVERAGE(CA83,CB83,CC83,CD83,CE83),"n/m")</f>
        <v>0.199127895573233</v>
      </c>
      <c r="CI83" s="32" t="n">
        <f aca="false">IFERROR(AVERAGE(BB83,BG83,BL83,BQ83,BV83),"n/m")</f>
        <v>0.175114009256261</v>
      </c>
      <c r="CJ83" s="32" t="n">
        <f aca="false">IFERROR(AVERAGE(AC83,AH83,AM83,AR83,AW83,BB83,BG83,BL83,BQ83,BV83),"n/m")</f>
        <v>0.165834904459612</v>
      </c>
      <c r="CK83" s="32" t="n">
        <f aca="false">IFERROR(AVERAGE(C83,D83,E83,F83,G83,H83,I83,N83,S83,X83,AC83,AH83,AM83,AR83,AW83,BB83,BG83,BL83,BQ83,BV83),"n/m")</f>
        <v>0.136231480180035</v>
      </c>
    </row>
    <row r="84" customFormat="false" ht="15" hidden="false" customHeight="false" outlineLevel="0" collapsed="false">
      <c r="B84" s="20" t="s">
        <v>236</v>
      </c>
      <c r="C84" s="46" t="n">
        <f aca="false">ROUND(C79-C114,1)</f>
        <v>0</v>
      </c>
      <c r="D84" s="46" t="n">
        <f aca="false">ROUND(D79-D114,1)</f>
        <v>0</v>
      </c>
      <c r="E84" s="46" t="n">
        <f aca="false">ROUND(E79-E114,1)</f>
        <v>0</v>
      </c>
      <c r="F84" s="46" t="n">
        <f aca="false">ROUND(F79-F114,1)</f>
        <v>0</v>
      </c>
      <c r="G84" s="46" t="n">
        <f aca="false">ROUND(G79-G114,1)</f>
        <v>0</v>
      </c>
      <c r="H84" s="46" t="n">
        <f aca="false">ROUND(H79-H114,1)</f>
        <v>0</v>
      </c>
      <c r="I84" s="46" t="n">
        <f aca="false">ROUND(I79-I114,1)</f>
        <v>0</v>
      </c>
      <c r="J84" s="46" t="n">
        <f aca="false">ROUND(J79-J114,1)</f>
        <v>0</v>
      </c>
      <c r="K84" s="46" t="n">
        <f aca="false">ROUND(K79-K114,1)</f>
        <v>0</v>
      </c>
      <c r="L84" s="46" t="n">
        <f aca="false">ROUND(L79-L114,1)</f>
        <v>0</v>
      </c>
      <c r="M84" s="46" t="n">
        <f aca="false">ROUND(M79-M114,1)</f>
        <v>0</v>
      </c>
      <c r="N84" s="46" t="n">
        <f aca="false">ROUND(N79-N114,1)</f>
        <v>0</v>
      </c>
      <c r="O84" s="46" t="n">
        <f aca="false">ROUND(O79-O114,1)</f>
        <v>0</v>
      </c>
      <c r="P84" s="46" t="n">
        <f aca="false">ROUND(P79-P114,1)</f>
        <v>0</v>
      </c>
      <c r="Q84" s="46" t="n">
        <f aca="false">ROUND(Q79-Q114,1)</f>
        <v>0</v>
      </c>
      <c r="R84" s="46" t="n">
        <f aca="false">ROUND(R79-R114,1)</f>
        <v>0</v>
      </c>
      <c r="S84" s="46" t="n">
        <f aca="false">ROUND(S79-S114,1)</f>
        <v>0</v>
      </c>
      <c r="T84" s="46" t="n">
        <f aca="false">ROUND(T79-T114,1)</f>
        <v>0</v>
      </c>
      <c r="U84" s="46" t="n">
        <f aca="false">ROUND(U79-U114,1)</f>
        <v>0</v>
      </c>
      <c r="V84" s="46" t="n">
        <f aca="false">ROUND(V79-V114,1)</f>
        <v>0</v>
      </c>
      <c r="W84" s="46" t="n">
        <f aca="false">ROUND(W79-W114,1)</f>
        <v>0</v>
      </c>
      <c r="X84" s="46" t="n">
        <f aca="false">ROUND(X79-X114,1)</f>
        <v>0</v>
      </c>
      <c r="Y84" s="46" t="n">
        <f aca="false">ROUND(Y79-Y114,1)</f>
        <v>0</v>
      </c>
      <c r="Z84" s="46" t="n">
        <f aca="false">ROUND(Z79-Z114,1)</f>
        <v>0</v>
      </c>
      <c r="AA84" s="46" t="n">
        <f aca="false">ROUND(AA79-AA114,1)</f>
        <v>0</v>
      </c>
      <c r="AB84" s="46" t="n">
        <f aca="false">ROUND(AB79-AB114,1)</f>
        <v>0</v>
      </c>
      <c r="AC84" s="46" t="n">
        <f aca="false">ROUND(AC79-AC114,1)</f>
        <v>0</v>
      </c>
      <c r="AD84" s="46" t="n">
        <f aca="false">ROUND(AD79-AD114,1)</f>
        <v>0</v>
      </c>
      <c r="AE84" s="46" t="n">
        <f aca="false">ROUND(AE79-AE114,1)</f>
        <v>0</v>
      </c>
      <c r="AF84" s="46" t="n">
        <f aca="false">ROUND(AF79-AF114,1)</f>
        <v>0</v>
      </c>
      <c r="AG84" s="46" t="n">
        <f aca="false">ROUND(AG79-AG114,1)</f>
        <v>0</v>
      </c>
      <c r="AH84" s="46" t="n">
        <f aca="false">ROUND(AH79-AH114,1)</f>
        <v>0</v>
      </c>
      <c r="AI84" s="46" t="n">
        <f aca="false">ROUND(AI79-AI114,1)</f>
        <v>0</v>
      </c>
      <c r="AJ84" s="46" t="n">
        <f aca="false">ROUND(AJ79-AJ114,1)</f>
        <v>0</v>
      </c>
      <c r="AK84" s="46" t="n">
        <f aca="false">ROUND(AK79-AK114,1)</f>
        <v>0</v>
      </c>
      <c r="AL84" s="46" t="n">
        <f aca="false">ROUND(AL79-AL114,1)</f>
        <v>0</v>
      </c>
      <c r="AM84" s="46" t="n">
        <f aca="false">ROUND(AM79-AM114,1)</f>
        <v>0</v>
      </c>
      <c r="AN84" s="46" t="n">
        <f aca="false">ROUND(AN79-AN114,1)</f>
        <v>0</v>
      </c>
      <c r="AO84" s="46" t="n">
        <f aca="false">ROUND(AO79-AO114,1)</f>
        <v>0</v>
      </c>
      <c r="AP84" s="46" t="n">
        <f aca="false">ROUND(AP79-AP114,1)</f>
        <v>0</v>
      </c>
      <c r="AQ84" s="46" t="n">
        <f aca="false">ROUND(AQ79-AQ114,1)</f>
        <v>0</v>
      </c>
      <c r="AR84" s="46" t="n">
        <f aca="false">ROUND(AR79-AR114,1)</f>
        <v>0</v>
      </c>
      <c r="AS84" s="46" t="n">
        <f aca="false">ROUND(AS79-AS114,1)</f>
        <v>0</v>
      </c>
      <c r="AT84" s="46" t="n">
        <f aca="false">ROUND(AT79-AT114,1)</f>
        <v>0</v>
      </c>
      <c r="AU84" s="46" t="n">
        <f aca="false">ROUND(AU79-AU114,1)</f>
        <v>0</v>
      </c>
      <c r="AV84" s="46" t="n">
        <f aca="false">ROUND(AV79-AV114,1)</f>
        <v>0</v>
      </c>
      <c r="AW84" s="46" t="n">
        <f aca="false">ROUND(AW79-AW114,1)</f>
        <v>0</v>
      </c>
      <c r="AX84" s="46" t="n">
        <f aca="false">ROUND(AX79-AX114,1)</f>
        <v>0</v>
      </c>
      <c r="AY84" s="46" t="n">
        <f aca="false">ROUND(AY79-AY114,1)</f>
        <v>0</v>
      </c>
      <c r="AZ84" s="46" t="n">
        <f aca="false">ROUND(AZ79-AZ114,1)</f>
        <v>0</v>
      </c>
      <c r="BA84" s="46" t="n">
        <f aca="false">ROUND(BA79-BA114,1)</f>
        <v>0</v>
      </c>
      <c r="BB84" s="46" t="n">
        <f aca="false">ROUND(BB79-BB114,1)</f>
        <v>0</v>
      </c>
      <c r="BC84" s="46" t="n">
        <f aca="false">ROUND(BC79-BC114,1)</f>
        <v>0</v>
      </c>
      <c r="BD84" s="46" t="n">
        <f aca="false">ROUND(BD79-BD114,1)</f>
        <v>0</v>
      </c>
      <c r="BE84" s="46" t="n">
        <f aca="false">ROUND(BE79-BE114,1)</f>
        <v>0</v>
      </c>
      <c r="BF84" s="46" t="n">
        <f aca="false">ROUND(BF79-BF114,1)</f>
        <v>0</v>
      </c>
      <c r="BG84" s="46" t="n">
        <f aca="false">ROUND(BG79-BG114,1)</f>
        <v>0</v>
      </c>
      <c r="BH84" s="46" t="n">
        <f aca="false">ROUND(BH79-BH114,1)</f>
        <v>0</v>
      </c>
      <c r="BI84" s="46" t="n">
        <f aca="false">ROUND(BI79-BI114,1)</f>
        <v>0</v>
      </c>
      <c r="BJ84" s="46" t="n">
        <f aca="false">ROUND(BJ79-BJ114,1)</f>
        <v>0</v>
      </c>
      <c r="BK84" s="46" t="n">
        <f aca="false">ROUND(BK79-BK114,1)</f>
        <v>0</v>
      </c>
      <c r="BL84" s="46" t="n">
        <f aca="false">ROUND(BL79-BL114,1)</f>
        <v>0</v>
      </c>
      <c r="BM84" s="46" t="n">
        <f aca="false">ROUND(BM79-BM114,1)</f>
        <v>0</v>
      </c>
      <c r="BN84" s="46" t="n">
        <f aca="false">ROUND(BN79-BN114,1)</f>
        <v>0</v>
      </c>
      <c r="BO84" s="46" t="n">
        <f aca="false">ROUND(BO79-BO114,1)</f>
        <v>0</v>
      </c>
      <c r="BP84" s="46" t="n">
        <f aca="false">ROUND(BP79-BP114,1)</f>
        <v>0</v>
      </c>
      <c r="BQ84" s="46" t="n">
        <f aca="false">ROUND(BQ79-BQ114,1)</f>
        <v>0</v>
      </c>
      <c r="BR84" s="46" t="n">
        <f aca="false">ROUND(BR79-BR114,1)</f>
        <v>0</v>
      </c>
      <c r="BS84" s="46" t="n">
        <f aca="false">ROUND(BS79-BS114,1)</f>
        <v>0</v>
      </c>
      <c r="BT84" s="46" t="n">
        <f aca="false">ROUND(BT79-BT114,1)</f>
        <v>0</v>
      </c>
      <c r="BU84" s="46" t="n">
        <f aca="false">ROUND(BU79-BU114,1)</f>
        <v>0</v>
      </c>
      <c r="BV84" s="46" t="n">
        <f aca="false">ROUND(BV79-BV114,1)</f>
        <v>0</v>
      </c>
      <c r="BW84" s="46" t="n">
        <f aca="false">ROUND(BW79-BW114,1)</f>
        <v>0</v>
      </c>
      <c r="BX84" s="46" t="n">
        <f aca="false">ROUND(BX79-BX114,1)</f>
        <v>0</v>
      </c>
      <c r="BY84" s="25" t="n">
        <f aca="false">ROUND(BY79-BY114,1)</f>
        <v>0</v>
      </c>
      <c r="BZ84" s="25" t="n">
        <f aca="false">ROUND(BZ79-BZ114,1)</f>
        <v>0</v>
      </c>
      <c r="CA84" s="25" t="n">
        <f aca="false">ROUND(CA79-CA114,1)</f>
        <v>0</v>
      </c>
      <c r="CB84" s="25" t="n">
        <f aca="false">ROUND(CB79-CB114,1)</f>
        <v>0</v>
      </c>
      <c r="CC84" s="25" t="n">
        <f aca="false">ROUND(CC79-CC114,1)</f>
        <v>0</v>
      </c>
      <c r="CD84" s="25" t="n">
        <f aca="false">ROUND(CD79-CD114,1)</f>
        <v>0</v>
      </c>
      <c r="CE84" s="25" t="n">
        <f aca="false">ROUND(CE79-CE114,1)</f>
        <v>0</v>
      </c>
    </row>
    <row r="85" customFormat="false" ht="15" hidden="false" customHeight="false" outlineLevel="0" collapsed="false">
      <c r="B85" s="20" t="s">
        <v>237</v>
      </c>
      <c r="C85" s="46" t="n">
        <f aca="false">ROUND(C82-C159,1)</f>
        <v>0</v>
      </c>
      <c r="D85" s="46" t="n">
        <f aca="false">ROUND(D82-D159,1)</f>
        <v>0</v>
      </c>
      <c r="E85" s="46" t="n">
        <f aca="false">ROUND(E82-E159,1)</f>
        <v>0</v>
      </c>
      <c r="F85" s="46" t="n">
        <f aca="false">ROUND(F82-F159,1)</f>
        <v>0</v>
      </c>
      <c r="G85" s="46" t="n">
        <f aca="false">ROUND(G82-G159,1)</f>
        <v>0</v>
      </c>
      <c r="H85" s="46" t="n">
        <f aca="false">ROUND(H82-H159,1)</f>
        <v>0</v>
      </c>
      <c r="I85" s="46" t="n">
        <f aca="false">ROUND(I82-I159,1)</f>
        <v>0</v>
      </c>
      <c r="J85" s="46" t="n">
        <f aca="false">ROUND(J82-J159,1)</f>
        <v>0</v>
      </c>
      <c r="K85" s="46" t="n">
        <f aca="false">ROUND(K82-K159,1)</f>
        <v>0</v>
      </c>
      <c r="L85" s="46" t="n">
        <f aca="false">ROUND(L82-L159,1)</f>
        <v>0</v>
      </c>
      <c r="M85" s="46" t="n">
        <f aca="false">ROUND(M82-M159,1)</f>
        <v>0</v>
      </c>
      <c r="N85" s="46" t="n">
        <f aca="false">ROUND(N82-N159,1)</f>
        <v>0</v>
      </c>
      <c r="O85" s="46" t="n">
        <f aca="false">ROUND(O82-O159,1)</f>
        <v>0</v>
      </c>
      <c r="P85" s="46" t="n">
        <f aca="false">ROUND(P82-P159,1)</f>
        <v>0</v>
      </c>
      <c r="Q85" s="46" t="n">
        <f aca="false">ROUND(Q82-Q159,1)</f>
        <v>0</v>
      </c>
      <c r="R85" s="46" t="n">
        <f aca="false">ROUND(R82-R159,1)</f>
        <v>0</v>
      </c>
      <c r="S85" s="46" t="n">
        <f aca="false">ROUND(S82-S159,1)</f>
        <v>0</v>
      </c>
      <c r="T85" s="46" t="n">
        <f aca="false">ROUND(T82-T159,1)</f>
        <v>0</v>
      </c>
      <c r="U85" s="46" t="n">
        <f aca="false">ROUND(U82-U159,1)</f>
        <v>0</v>
      </c>
      <c r="V85" s="46" t="n">
        <f aca="false">ROUND(V82-V159,1)</f>
        <v>0</v>
      </c>
      <c r="W85" s="46" t="n">
        <f aca="false">ROUND(W82-W159,1)</f>
        <v>0</v>
      </c>
      <c r="X85" s="46" t="n">
        <f aca="false">ROUND(X82-X159,1)</f>
        <v>0</v>
      </c>
      <c r="Y85" s="46" t="n">
        <f aca="false">ROUND(Y82-Y159,1)</f>
        <v>0</v>
      </c>
      <c r="Z85" s="46" t="n">
        <f aca="false">ROUND(Z82-Z159,1)</f>
        <v>0</v>
      </c>
      <c r="AA85" s="46" t="n">
        <f aca="false">ROUND(AA82-AA159,1)</f>
        <v>0</v>
      </c>
      <c r="AB85" s="46" t="n">
        <f aca="false">ROUND(AB82-AB159,1)</f>
        <v>0</v>
      </c>
      <c r="AC85" s="46" t="n">
        <f aca="false">ROUND(AC82-AC159,1)</f>
        <v>0</v>
      </c>
      <c r="AD85" s="46" t="n">
        <f aca="false">ROUND(AD82-AD159,1)</f>
        <v>0</v>
      </c>
      <c r="AE85" s="46" t="n">
        <f aca="false">ROUND(AE82-AE159,1)</f>
        <v>0</v>
      </c>
      <c r="AF85" s="46" t="n">
        <f aca="false">ROUND(AF82-AF159,1)</f>
        <v>0</v>
      </c>
      <c r="AG85" s="46" t="n">
        <f aca="false">ROUND(AG82-AG159,1)</f>
        <v>0</v>
      </c>
      <c r="AH85" s="46" t="n">
        <f aca="false">ROUND(AH82-AH159,1)</f>
        <v>0</v>
      </c>
      <c r="AI85" s="46" t="n">
        <f aca="false">ROUND(AI82-AI159,1)</f>
        <v>0</v>
      </c>
      <c r="AJ85" s="46" t="n">
        <f aca="false">ROUND(AJ82-AJ159,1)</f>
        <v>0</v>
      </c>
      <c r="AK85" s="46" t="n">
        <f aca="false">ROUND(AK82-AK159,1)</f>
        <v>0</v>
      </c>
      <c r="AL85" s="46" t="n">
        <f aca="false">ROUND(AL82-AL159,1)</f>
        <v>0</v>
      </c>
      <c r="AM85" s="46" t="n">
        <f aca="false">ROUND(AM82-AM159,1)</f>
        <v>0</v>
      </c>
      <c r="AN85" s="46" t="n">
        <f aca="false">ROUND(AN82-AN159,1)</f>
        <v>0</v>
      </c>
      <c r="AO85" s="46" t="n">
        <f aca="false">ROUND(AO82-AO159,1)</f>
        <v>0</v>
      </c>
      <c r="AP85" s="46" t="n">
        <f aca="false">ROUND(AP82-AP159,1)</f>
        <v>0</v>
      </c>
      <c r="AQ85" s="46" t="n">
        <f aca="false">ROUND(AQ82-AQ159,1)</f>
        <v>0</v>
      </c>
      <c r="AR85" s="46" t="n">
        <f aca="false">ROUND(AR82-AR159,1)</f>
        <v>0</v>
      </c>
      <c r="AS85" s="46" t="n">
        <f aca="false">ROUND(AS82-AS159,1)</f>
        <v>0</v>
      </c>
      <c r="AT85" s="46" t="n">
        <f aca="false">ROUND(AT82-AT159,1)</f>
        <v>0</v>
      </c>
      <c r="AU85" s="46" t="n">
        <f aca="false">ROUND(AU82-AU159,1)</f>
        <v>0</v>
      </c>
      <c r="AV85" s="46" t="n">
        <f aca="false">ROUND(AV82-AV159,1)</f>
        <v>0</v>
      </c>
      <c r="AW85" s="46" t="n">
        <f aca="false">ROUND(AW82-AW159,1)</f>
        <v>0</v>
      </c>
      <c r="AX85" s="46" t="n">
        <f aca="false">ROUND(AX82-AX159,1)</f>
        <v>0</v>
      </c>
      <c r="AY85" s="46" t="n">
        <f aca="false">ROUND(AY82-AY159,1)</f>
        <v>0</v>
      </c>
      <c r="AZ85" s="46" t="n">
        <f aca="false">ROUND(AZ82-AZ159,1)</f>
        <v>0</v>
      </c>
      <c r="BA85" s="46" t="n">
        <f aca="false">ROUND(BA82-BA159,1)</f>
        <v>0</v>
      </c>
      <c r="BB85" s="46" t="n">
        <f aca="false">ROUND(BB82-BB159,1)</f>
        <v>0</v>
      </c>
      <c r="BC85" s="46" t="n">
        <f aca="false">ROUND(BC82-BC159,1)</f>
        <v>0</v>
      </c>
      <c r="BD85" s="46" t="n">
        <f aca="false">ROUND(BD82-BD159,1)</f>
        <v>0</v>
      </c>
      <c r="BE85" s="46" t="n">
        <f aca="false">ROUND(BE82-BE159,1)</f>
        <v>0</v>
      </c>
      <c r="BF85" s="46" t="n">
        <f aca="false">ROUND(BF82-BF159,1)</f>
        <v>0</v>
      </c>
      <c r="BG85" s="46" t="n">
        <f aca="false">ROUND(BG82-BG159,1)</f>
        <v>0</v>
      </c>
      <c r="BH85" s="46" t="n">
        <f aca="false">ROUND(BH82-BH159,1)</f>
        <v>0</v>
      </c>
      <c r="BI85" s="46" t="n">
        <f aca="false">ROUND(BI82-BI159,1)</f>
        <v>0</v>
      </c>
      <c r="BJ85" s="46" t="n">
        <f aca="false">ROUND(BJ82-BJ159,1)</f>
        <v>0</v>
      </c>
      <c r="BK85" s="46" t="n">
        <f aca="false">ROUND(BK82-BK159,1)</f>
        <v>-0</v>
      </c>
      <c r="BL85" s="46" t="n">
        <f aca="false">ROUND(BL82-BL159,1)</f>
        <v>0</v>
      </c>
      <c r="BM85" s="46" t="n">
        <f aca="false">ROUND(BM82-BM159,1)</f>
        <v>0</v>
      </c>
      <c r="BN85" s="46" t="n">
        <f aca="false">ROUND(BN82-BN159,1)</f>
        <v>0</v>
      </c>
      <c r="BO85" s="46" t="n">
        <f aca="false">ROUND(BO82-BO159,1)</f>
        <v>0</v>
      </c>
      <c r="BP85" s="46" t="n">
        <f aca="false">ROUND(BP82-BP159,1)</f>
        <v>0</v>
      </c>
      <c r="BQ85" s="46" t="n">
        <f aca="false">ROUND(BQ82-BQ159,1)</f>
        <v>0</v>
      </c>
      <c r="BR85" s="46" t="n">
        <f aca="false">ROUND(BR82-BR159,1)</f>
        <v>0</v>
      </c>
      <c r="BS85" s="46" t="n">
        <f aca="false">ROUND(BS82-BS159,1)</f>
        <v>0</v>
      </c>
      <c r="BT85" s="46" t="n">
        <f aca="false">ROUND(BT82-BT159,1)</f>
        <v>0</v>
      </c>
      <c r="BU85" s="46" t="n">
        <f aca="false">ROUND(BU82-BU159,1)</f>
        <v>0</v>
      </c>
      <c r="BV85" s="46" t="n">
        <f aca="false">ROUND(BV82-BV159,1)</f>
        <v>0</v>
      </c>
      <c r="BW85" s="46" t="n">
        <f aca="false">ROUND(BW82-BW159,1)</f>
        <v>0</v>
      </c>
      <c r="BX85" s="46" t="n">
        <f aca="false">ROUND(BX82-BX159,1)</f>
        <v>0</v>
      </c>
      <c r="BY85" s="25" t="n">
        <f aca="false">ROUND(BY82-BY159,1)</f>
        <v>0</v>
      </c>
      <c r="BZ85" s="25" t="n">
        <f aca="false">ROUND(BZ82-BZ159,1)</f>
        <v>0</v>
      </c>
      <c r="CA85" s="25" t="n">
        <f aca="false">ROUND(CA82-CA159,1)</f>
        <v>0</v>
      </c>
      <c r="CB85" s="25" t="n">
        <f aca="false">ROUND(CB82-CB159,1)</f>
        <v>0</v>
      </c>
      <c r="CC85" s="25" t="n">
        <f aca="false">ROUND(CC82-CC159,1)</f>
        <v>0</v>
      </c>
      <c r="CD85" s="25" t="n">
        <f aca="false">ROUND(CD82-CD159,1)</f>
        <v>0</v>
      </c>
      <c r="CE85" s="25" t="n">
        <f aca="false">ROUND(CE82-CE159,1)</f>
        <v>0</v>
      </c>
    </row>
    <row r="86" customFormat="false" ht="15" hidden="false" customHeight="false" outlineLevel="0" collapsed="false">
      <c r="B86" s="20" t="s">
        <v>143</v>
      </c>
      <c r="CA86" s="25" t="n">
        <f aca="false">CHOOSE(MATCH($CF$2,{"Bull","Base","Bear"},0),$CN$12,$CO$12,$CP$12)</f>
        <v>3790.5</v>
      </c>
      <c r="CF86" s="18" t="s">
        <v>238</v>
      </c>
    </row>
    <row r="87" customFormat="false" ht="15" hidden="false" customHeight="false" outlineLevel="0" collapsed="false">
      <c r="B87" s="20" t="s">
        <v>239</v>
      </c>
      <c r="BY87" s="25" t="n">
        <f aca="false">BT11*($CA$21-$BW$11-$BX$11)/($BT$11+$BU$11)+BT25*($CA$35-$BW$25-$BX$25)/($BT$25+$BU$25)+BT39*($CA$49-$BW$39-$BX$39)/($BT$39+$BU$39)</f>
        <v>934.496526046084</v>
      </c>
      <c r="BZ87" s="25" t="n">
        <f aca="false">BU11*($CA$21-$BW$11-$BX$11)/($BT$11+$BU$11)+BU25*($CA$35-$BW$25-$BX$25)/($BT$25+$BU$25)+BU39*($CA$49-$BW$39-$BX$39)/($BT$39+$BU$39)</f>
        <v>1018.30847395392</v>
      </c>
      <c r="CF87" s="18" t="s">
        <v>240</v>
      </c>
    </row>
    <row r="88" customFormat="false" ht="15" hidden="false" customHeight="false" outlineLevel="0" collapsed="false">
      <c r="B88" s="20" t="s">
        <v>241</v>
      </c>
      <c r="BY88" s="25" t="n">
        <f aca="false">BT11+BT25+BT39</f>
        <v>869.17</v>
      </c>
      <c r="BZ88" s="25" t="n">
        <f aca="false">BU11+BU25+BU39</f>
        <v>946.981</v>
      </c>
    </row>
    <row r="89" customFormat="false" ht="15" hidden="false" customHeight="false" outlineLevel="0" collapsed="false">
      <c r="B89" s="20" t="s">
        <v>242</v>
      </c>
      <c r="BY89" s="22" t="n">
        <f aca="false">($CA$86-$BW$79-$BX$79-$BY$87-$BZ$87)/($BY$88+$BZ$88)</f>
        <v>0</v>
      </c>
      <c r="BZ89" s="22" t="n">
        <f aca="false">($CA$86-$BW$79-$BX$79-$BY$87-$BZ$87)/($BY$88+$BZ$88)</f>
        <v>0</v>
      </c>
      <c r="CF89" s="18" t="s">
        <v>243</v>
      </c>
    </row>
    <row r="90" customFormat="false" ht="15" hidden="false" customHeight="false" outlineLevel="0" collapsed="false">
      <c r="B90" s="20" t="s">
        <v>244</v>
      </c>
      <c r="CA90" s="25" t="n">
        <f aca="false">ROUND(CA79-CA86,1)</f>
        <v>0</v>
      </c>
    </row>
    <row r="91" customFormat="false" ht="15" hidden="false" customHeight="false" outlineLevel="0" collapsed="false">
      <c r="B91" s="20" t="s">
        <v>146</v>
      </c>
      <c r="CA91" s="25" t="n">
        <f aca="false">CHOOSE(MATCH($CF$2,{"Bull","Base","Bear"},0),$CN$13,$CO$13,$CP$13)</f>
        <v>728</v>
      </c>
      <c r="CF91" s="18" t="s">
        <v>245</v>
      </c>
    </row>
    <row r="92" customFormat="false" ht="15" hidden="false" customHeight="false" outlineLevel="0" collapsed="false">
      <c r="B92" s="20" t="s">
        <v>246</v>
      </c>
      <c r="BY92" s="25" t="n">
        <f aca="false">BY11*BY19+BY25*BY33+BY39*BY47+BY55</f>
        <v>186.289731184593</v>
      </c>
      <c r="BZ92" s="25" t="n">
        <f aca="false">BZ11*BZ19+BZ25*BZ33+BZ39*BZ47+BZ55</f>
        <v>203.083268815407</v>
      </c>
    </row>
    <row r="93" customFormat="false" ht="15" hidden="false" customHeight="false" outlineLevel="0" collapsed="false">
      <c r="B93" s="20" t="s">
        <v>247</v>
      </c>
      <c r="BY93" s="22" t="n">
        <f aca="false">($CA$91-$BW$82-$BX$82-$BY$92-$BZ$92)/($BY$11+$BZ$11+$BY$25+$BZ$25+$BY$39+$BZ$39)</f>
        <v>-0.000512083899826104</v>
      </c>
      <c r="BZ93" s="22" t="n">
        <f aca="false">($CA$91-$BW$82-$BX$82-$BY$92-$BZ$92)/($BY$11+$BZ$11+$BY$25+$BZ$25+$BY$39+$BZ$39)</f>
        <v>-0.000512083899826104</v>
      </c>
      <c r="CF93" s="18" t="s">
        <v>248</v>
      </c>
    </row>
    <row r="94" customFormat="false" ht="15" hidden="false" customHeight="false" outlineLevel="0" collapsed="false">
      <c r="B94" s="20" t="s">
        <v>249</v>
      </c>
      <c r="CA94" s="25" t="n">
        <f aca="false">ROUND(CA82-CA91,1)</f>
        <v>0</v>
      </c>
    </row>
    <row r="95" customFormat="false" ht="15" hidden="false" customHeight="false" outlineLevel="0" collapsed="false">
      <c r="B95" s="20" t="s">
        <v>250</v>
      </c>
      <c r="CA95" s="47" t="n">
        <f aca="false">CHOOSE(MATCH($CF$2,{"Bull","Base","Bear"},0),$CN$14,$CO$14,$CP$14)</f>
        <v>15.25</v>
      </c>
      <c r="CF95" s="18" t="s">
        <v>251</v>
      </c>
    </row>
    <row r="96" customFormat="false" ht="15" hidden="false" customHeight="false" outlineLevel="0" collapsed="false">
      <c r="B96" s="20" t="s">
        <v>252</v>
      </c>
      <c r="CA96" s="47" t="n">
        <f aca="false">CA191-CA95</f>
        <v>0.156513462316331</v>
      </c>
    </row>
    <row r="97" customFormat="false" ht="15" hidden="false" customHeight="false" outlineLevel="0" collapsed="false">
      <c r="B97" s="20" t="s">
        <v>253</v>
      </c>
      <c r="CA97" s="25" t="n">
        <f aca="false">CHOOSE(MATCH($CF$2,{"Bull","Base","Bear"},0),$CN$15,$CO$15,$CP$15)</f>
        <v>595</v>
      </c>
    </row>
    <row r="99" customFormat="false" ht="15" hidden="false" customHeight="false" outlineLevel="0" collapsed="false">
      <c r="B99" s="8" t="s">
        <v>254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8" t="s">
        <v>255</v>
      </c>
    </row>
    <row r="100" customFormat="false" ht="15" hidden="false" customHeight="false" outlineLevel="0" collapsed="false">
      <c r="B100" s="15" t="s">
        <v>256</v>
      </c>
      <c r="C100" s="16" t="n">
        <v>50.791</v>
      </c>
      <c r="D100" s="16" t="n">
        <v>62.699</v>
      </c>
      <c r="E100" s="16" t="n">
        <v>74.251</v>
      </c>
      <c r="F100" s="16" t="n">
        <v>76.48</v>
      </c>
      <c r="G100" s="16" t="n">
        <v>79.946</v>
      </c>
      <c r="H100" s="16" t="n">
        <v>88.3</v>
      </c>
      <c r="I100" s="16" t="n">
        <v>93.896</v>
      </c>
      <c r="J100" s="16" t="n">
        <v>30.4</v>
      </c>
      <c r="K100" s="16" t="n">
        <v>29.833</v>
      </c>
      <c r="L100" s="16" t="n">
        <v>29.427</v>
      </c>
      <c r="M100" s="16" t="n">
        <v>31.837</v>
      </c>
      <c r="N100" s="16" t="n">
        <v>121.497</v>
      </c>
      <c r="O100" s="16" t="n">
        <v>30.952</v>
      </c>
      <c r="P100" s="16" t="n">
        <v>30.434</v>
      </c>
      <c r="Q100" s="16" t="n">
        <v>29.548</v>
      </c>
      <c r="R100" s="16" t="n">
        <v>27.997</v>
      </c>
      <c r="S100" s="16" t="n">
        <v>118.931</v>
      </c>
      <c r="T100" s="16" t="n">
        <v>25.708</v>
      </c>
      <c r="U100" s="16" t="n">
        <v>25.83</v>
      </c>
      <c r="V100" s="16" t="n">
        <v>24.89</v>
      </c>
      <c r="W100" s="16" t="n">
        <v>24.382</v>
      </c>
      <c r="X100" s="16" t="n">
        <v>100.81</v>
      </c>
      <c r="Y100" s="16" t="n">
        <v>24.487</v>
      </c>
      <c r="Z100" s="16" t="n">
        <v>24.5</v>
      </c>
      <c r="AA100" s="16" t="n">
        <v>23.432</v>
      </c>
      <c r="AB100" s="16" t="n">
        <v>23.589</v>
      </c>
      <c r="AC100" s="16" t="n">
        <v>96.008</v>
      </c>
      <c r="AD100" s="16" t="n">
        <v>24.926</v>
      </c>
      <c r="AE100" s="16" t="n">
        <v>25.035</v>
      </c>
      <c r="AF100" s="16" t="n">
        <v>24.854</v>
      </c>
      <c r="AG100" s="16" t="n">
        <v>25.18</v>
      </c>
      <c r="AH100" s="16" t="n">
        <v>99.995</v>
      </c>
      <c r="AI100" s="16" t="n">
        <v>24.601</v>
      </c>
      <c r="AJ100" s="16" t="n">
        <v>26.656</v>
      </c>
      <c r="AK100" s="16" t="n">
        <v>25.889</v>
      </c>
      <c r="AL100" s="16" t="n">
        <v>25.803</v>
      </c>
      <c r="AM100" s="16" t="n">
        <v>102.949</v>
      </c>
      <c r="AN100" s="16" t="n">
        <v>25.793</v>
      </c>
      <c r="AO100" s="16" t="n">
        <v>25.807</v>
      </c>
      <c r="AP100" s="16" t="n">
        <v>25.398</v>
      </c>
      <c r="AQ100" s="16" t="n">
        <v>25.414</v>
      </c>
      <c r="AR100" s="16" t="n">
        <v>102.412</v>
      </c>
      <c r="AS100" s="16" t="n">
        <v>28.142</v>
      </c>
      <c r="AT100" s="16" t="n">
        <v>28.426</v>
      </c>
      <c r="AU100" s="16" t="n">
        <v>28.201</v>
      </c>
      <c r="AV100" s="16" t="n">
        <v>31.134</v>
      </c>
      <c r="AW100" s="16" t="n">
        <v>115.903</v>
      </c>
      <c r="AX100" s="16" t="n">
        <v>28.595</v>
      </c>
      <c r="AY100" s="16" t="n">
        <v>29.021</v>
      </c>
      <c r="AZ100" s="16" t="n">
        <v>28.624</v>
      </c>
      <c r="BA100" s="16" t="n">
        <v>28.144</v>
      </c>
      <c r="BB100" s="16" t="n">
        <v>114.384</v>
      </c>
      <c r="BC100" s="16" t="n">
        <v>27.363</v>
      </c>
      <c r="BD100" s="16" t="n">
        <v>26.282</v>
      </c>
      <c r="BE100" s="16" t="n">
        <v>29.875</v>
      </c>
      <c r="BF100" s="16" t="n">
        <v>28.507</v>
      </c>
      <c r="BG100" s="16" t="n">
        <v>112.027</v>
      </c>
      <c r="BH100" s="16" t="n">
        <v>28.927</v>
      </c>
      <c r="BI100" s="16" t="n">
        <v>29.048</v>
      </c>
      <c r="BJ100" s="16" t="n">
        <v>28.861</v>
      </c>
      <c r="BK100" s="16" t="n">
        <v>29.336</v>
      </c>
      <c r="BL100" s="16" t="n">
        <v>116.172</v>
      </c>
      <c r="BM100" s="16" t="n">
        <v>26.983</v>
      </c>
      <c r="BN100" s="16" t="n">
        <v>27.168</v>
      </c>
      <c r="BO100" s="16" t="n">
        <v>26.693</v>
      </c>
      <c r="BP100" s="16" t="n">
        <v>26.823</v>
      </c>
      <c r="BQ100" s="16" t="n">
        <v>107.667</v>
      </c>
      <c r="BR100" s="16" t="n">
        <v>30.821</v>
      </c>
      <c r="BS100" s="16" t="n">
        <v>31.307</v>
      </c>
      <c r="BT100" s="16" t="n">
        <v>31.191</v>
      </c>
      <c r="BU100" s="16" t="n">
        <v>31.498</v>
      </c>
      <c r="BV100" s="16" t="n">
        <v>124.817</v>
      </c>
      <c r="BW100" s="16" t="n">
        <v>28.365</v>
      </c>
      <c r="BX100" s="16" t="n">
        <v>28.37</v>
      </c>
      <c r="BY100" s="17" t="n">
        <f aca="false">BY102+BY101</f>
        <v>29.1824311412887</v>
      </c>
      <c r="BZ100" s="17" t="n">
        <f aca="false">BZ102+BZ101</f>
        <v>29.5146816899494</v>
      </c>
      <c r="CA100" s="17" t="n">
        <f aca="false">SUM(BW100,BX100,BY100,BZ100)</f>
        <v>115.432112831238</v>
      </c>
      <c r="CB100" s="17" t="n">
        <f aca="false">CB102+CB101</f>
        <v>127.7888</v>
      </c>
      <c r="CC100" s="17" t="n">
        <f aca="false">CC102+CC101</f>
        <v>137.9898672</v>
      </c>
      <c r="CD100" s="17" t="n">
        <f aca="false">CD102+CD101</f>
        <v>154.336368752</v>
      </c>
      <c r="CE100" s="17" t="n">
        <f aca="false">CE102+CE101</f>
        <v>170.16031002432</v>
      </c>
    </row>
    <row r="101" customFormat="false" ht="15" hidden="false" customHeight="false" outlineLevel="0" collapsed="false">
      <c r="B101" s="20" t="s">
        <v>257</v>
      </c>
      <c r="G101" s="24" t="n">
        <v>26</v>
      </c>
      <c r="H101" s="24" t="n">
        <v>28.8</v>
      </c>
      <c r="I101" s="24" t="n">
        <v>24.9</v>
      </c>
      <c r="J101" s="24" t="n">
        <v>12.4</v>
      </c>
      <c r="K101" s="24" t="n">
        <v>11.8</v>
      </c>
      <c r="L101" s="24" t="n">
        <v>11.8</v>
      </c>
      <c r="M101" s="24" t="n">
        <v>3</v>
      </c>
      <c r="N101" s="24" t="n">
        <v>39</v>
      </c>
      <c r="O101" s="24" t="n">
        <v>10.3</v>
      </c>
      <c r="P101" s="24" t="n">
        <v>9.5</v>
      </c>
      <c r="Q101" s="24" t="n">
        <v>9.5</v>
      </c>
      <c r="R101" s="24" t="n">
        <v>9</v>
      </c>
      <c r="S101" s="24" t="n">
        <v>38.3</v>
      </c>
      <c r="T101" s="24" t="n">
        <v>8.6</v>
      </c>
      <c r="U101" s="24" t="n">
        <v>8.6</v>
      </c>
      <c r="V101" s="24" t="n">
        <v>9</v>
      </c>
      <c r="W101" s="24" t="n">
        <v>8.6</v>
      </c>
      <c r="X101" s="24" t="n">
        <v>34.8</v>
      </c>
      <c r="Y101" s="24" t="n">
        <v>8.4</v>
      </c>
      <c r="Z101" s="24" t="n">
        <v>8.4</v>
      </c>
      <c r="AA101" s="24" t="n">
        <v>8.1</v>
      </c>
      <c r="AB101" s="24" t="n">
        <v>8.5</v>
      </c>
      <c r="AC101" s="24" t="n">
        <v>33.4</v>
      </c>
      <c r="AD101" s="24" t="n">
        <v>9.6</v>
      </c>
      <c r="AE101" s="24" t="n">
        <v>9.5</v>
      </c>
      <c r="AF101" s="24" t="n">
        <v>9.7</v>
      </c>
      <c r="AG101" s="24" t="n">
        <v>9.6</v>
      </c>
      <c r="AH101" s="24" t="n">
        <v>38.4</v>
      </c>
      <c r="AI101" s="24" t="n">
        <v>9.6</v>
      </c>
      <c r="AJ101" s="24" t="n">
        <v>11.5</v>
      </c>
      <c r="AK101" s="24" t="n">
        <v>11.9</v>
      </c>
      <c r="AL101" s="24" t="n">
        <v>10.6</v>
      </c>
      <c r="AM101" s="24" t="n">
        <v>43.6</v>
      </c>
      <c r="AN101" s="24" t="n">
        <v>11.2</v>
      </c>
      <c r="AO101" s="24" t="n">
        <v>11.4</v>
      </c>
      <c r="AP101" s="24" t="n">
        <v>11.3</v>
      </c>
      <c r="AQ101" s="24" t="n">
        <v>11.1</v>
      </c>
      <c r="AR101" s="24" t="n">
        <v>45</v>
      </c>
      <c r="AS101" s="24" t="n">
        <v>14.1</v>
      </c>
      <c r="AT101" s="24" t="n">
        <v>14.6</v>
      </c>
      <c r="AU101" s="24" t="n">
        <v>14.3</v>
      </c>
      <c r="AV101" s="24" t="n">
        <v>18</v>
      </c>
      <c r="AW101" s="24" t="n">
        <v>61</v>
      </c>
      <c r="AX101" s="24" t="n">
        <v>15</v>
      </c>
      <c r="AY101" s="24" t="n">
        <v>15</v>
      </c>
      <c r="AZ101" s="24" t="n">
        <v>15</v>
      </c>
      <c r="BA101" s="24" t="n">
        <v>15</v>
      </c>
      <c r="BB101" s="24" t="n">
        <v>60</v>
      </c>
      <c r="BC101" s="24" t="n">
        <v>14</v>
      </c>
      <c r="BD101" s="24" t="n">
        <v>14</v>
      </c>
      <c r="BE101" s="24" t="n">
        <v>18</v>
      </c>
      <c r="BF101" s="24" t="n">
        <v>15</v>
      </c>
      <c r="BG101" s="24" t="n">
        <v>61</v>
      </c>
      <c r="BH101" s="24" t="n">
        <v>16</v>
      </c>
      <c r="BI101" s="24" t="n">
        <v>17</v>
      </c>
      <c r="BJ101" s="24" t="n">
        <v>16</v>
      </c>
      <c r="BK101" s="24" t="n">
        <v>16</v>
      </c>
      <c r="BL101" s="24" t="n">
        <v>65</v>
      </c>
      <c r="BM101" s="24" t="n">
        <v>14</v>
      </c>
      <c r="BN101" s="24" t="n">
        <v>15</v>
      </c>
      <c r="BO101" s="24" t="n">
        <v>14</v>
      </c>
      <c r="BP101" s="24" t="n">
        <v>14</v>
      </c>
      <c r="BQ101" s="24" t="n">
        <v>57</v>
      </c>
      <c r="BR101" s="24" t="n">
        <v>18</v>
      </c>
      <c r="BS101" s="24" t="n">
        <v>18</v>
      </c>
      <c r="BT101" s="24" t="n">
        <v>18</v>
      </c>
      <c r="BU101" s="24" t="n">
        <v>18</v>
      </c>
      <c r="BV101" s="24" t="n">
        <v>72</v>
      </c>
      <c r="BW101" s="24" t="n">
        <v>15</v>
      </c>
      <c r="BX101" s="24" t="n">
        <v>15</v>
      </c>
      <c r="BY101" s="25" t="n">
        <f aca="false">($CO$34-$BW$101-$BX$101)/2</f>
        <v>15</v>
      </c>
      <c r="BZ101" s="25" t="n">
        <f aca="false">($CO$34-$BW$101-$BX$101)/2</f>
        <v>15</v>
      </c>
      <c r="CA101" s="25" t="n">
        <f aca="false">SUM(BW101,BX101,BY101,BZ101)</f>
        <v>60</v>
      </c>
      <c r="CB101" s="25" t="n">
        <f aca="false">57+N(CB75)</f>
        <v>61</v>
      </c>
      <c r="CC101" s="25" t="n">
        <f aca="false">51+N(CC75)</f>
        <v>63</v>
      </c>
      <c r="CD101" s="25" t="n">
        <f aca="false">51+N(CD75)</f>
        <v>71</v>
      </c>
      <c r="CE101" s="25" t="n">
        <f aca="false">50+N(CE75)</f>
        <v>78</v>
      </c>
      <c r="CF101" s="18" t="s">
        <v>258</v>
      </c>
    </row>
    <row r="102" customFormat="false" ht="15" hidden="false" customHeight="false" outlineLevel="0" collapsed="false">
      <c r="B102" s="20" t="s">
        <v>259</v>
      </c>
      <c r="G102" s="46" t="n">
        <f aca="false">IF(AND(ISNUMBER(G100),ISNUMBER(G101)),G100-G101,"")</f>
        <v>53.946</v>
      </c>
      <c r="H102" s="46" t="n">
        <f aca="false">IF(AND(ISNUMBER(H100),ISNUMBER(H101)),H100-H101,"")</f>
        <v>59.5</v>
      </c>
      <c r="I102" s="46" t="n">
        <f aca="false">IF(AND(ISNUMBER(I100),ISNUMBER(I101)),I100-I101,"")</f>
        <v>68.996</v>
      </c>
      <c r="J102" s="46" t="n">
        <f aca="false">IF(AND(ISNUMBER(J100),ISNUMBER(J101)),J100-J101,"")</f>
        <v>18</v>
      </c>
      <c r="K102" s="46" t="n">
        <f aca="false">IF(AND(ISNUMBER(K100),ISNUMBER(K101)),K100-K101,"")</f>
        <v>18.033</v>
      </c>
      <c r="L102" s="46" t="n">
        <f aca="false">IF(AND(ISNUMBER(L100),ISNUMBER(L101)),L100-L101,"")</f>
        <v>17.627</v>
      </c>
      <c r="M102" s="46" t="n">
        <f aca="false">IF(AND(ISNUMBER(M100),ISNUMBER(M101)),M100-M101,"")</f>
        <v>28.837</v>
      </c>
      <c r="N102" s="46" t="n">
        <f aca="false">IF(AND(ISNUMBER(N100),ISNUMBER(N101)),N100-N101,"")</f>
        <v>82.497</v>
      </c>
      <c r="O102" s="46" t="n">
        <f aca="false">IF(AND(ISNUMBER(O100),ISNUMBER(O101)),O100-O101,"")</f>
        <v>20.652</v>
      </c>
      <c r="P102" s="46" t="n">
        <f aca="false">IF(AND(ISNUMBER(P100),ISNUMBER(P101)),P100-P101,"")</f>
        <v>20.934</v>
      </c>
      <c r="Q102" s="46" t="n">
        <f aca="false">IF(AND(ISNUMBER(Q100),ISNUMBER(Q101)),Q100-Q101,"")</f>
        <v>20.048</v>
      </c>
      <c r="R102" s="46" t="n">
        <f aca="false">IF(AND(ISNUMBER(R100),ISNUMBER(R101)),R100-R101,"")</f>
        <v>18.997</v>
      </c>
      <c r="S102" s="46" t="n">
        <f aca="false">IF(AND(ISNUMBER(S100),ISNUMBER(S101)),S100-S101,"")</f>
        <v>80.631</v>
      </c>
      <c r="T102" s="46" t="n">
        <f aca="false">IF(AND(ISNUMBER(T100),ISNUMBER(T101)),T100-T101,"")</f>
        <v>17.108</v>
      </c>
      <c r="U102" s="46" t="n">
        <f aca="false">IF(AND(ISNUMBER(U100),ISNUMBER(U101)),U100-U101,"")</f>
        <v>17.23</v>
      </c>
      <c r="V102" s="46" t="n">
        <f aca="false">IF(AND(ISNUMBER(V100),ISNUMBER(V101)),V100-V101,"")</f>
        <v>15.89</v>
      </c>
      <c r="W102" s="46" t="n">
        <f aca="false">IF(AND(ISNUMBER(W100),ISNUMBER(W101)),W100-W101,"")</f>
        <v>15.782</v>
      </c>
      <c r="X102" s="46" t="n">
        <f aca="false">IF(AND(ISNUMBER(X100),ISNUMBER(X101)),X100-X101,"")</f>
        <v>66.01</v>
      </c>
      <c r="Y102" s="46" t="n">
        <f aca="false">IF(AND(ISNUMBER(Y100),ISNUMBER(Y101)),Y100-Y101,"")</f>
        <v>16.087</v>
      </c>
      <c r="Z102" s="46" t="n">
        <f aca="false">IF(AND(ISNUMBER(Z100),ISNUMBER(Z101)),Z100-Z101,"")</f>
        <v>16.1</v>
      </c>
      <c r="AA102" s="46" t="n">
        <f aca="false">IF(AND(ISNUMBER(AA100),ISNUMBER(AA101)),AA100-AA101,"")</f>
        <v>15.332</v>
      </c>
      <c r="AB102" s="46" t="n">
        <f aca="false">IF(AND(ISNUMBER(AB100),ISNUMBER(AB101)),AB100-AB101,"")</f>
        <v>15.089</v>
      </c>
      <c r="AC102" s="46" t="n">
        <f aca="false">IF(AND(ISNUMBER(AC100),ISNUMBER(AC101)),AC100-AC101,"")</f>
        <v>62.608</v>
      </c>
      <c r="AD102" s="46" t="n">
        <f aca="false">IF(AND(ISNUMBER(AD100),ISNUMBER(AD101)),AD100-AD101,"")</f>
        <v>15.326</v>
      </c>
      <c r="AE102" s="46" t="n">
        <f aca="false">IF(AND(ISNUMBER(AE100),ISNUMBER(AE101)),AE100-AE101,"")</f>
        <v>15.535</v>
      </c>
      <c r="AF102" s="46" t="n">
        <f aca="false">IF(AND(ISNUMBER(AF100),ISNUMBER(AF101)),AF100-AF101,"")</f>
        <v>15.154</v>
      </c>
      <c r="AG102" s="46" t="n">
        <f aca="false">IF(AND(ISNUMBER(AG100),ISNUMBER(AG101)),AG100-AG101,"")</f>
        <v>15.58</v>
      </c>
      <c r="AH102" s="46" t="n">
        <f aca="false">IF(AND(ISNUMBER(AH100),ISNUMBER(AH101)),AH100-AH101,"")</f>
        <v>61.595</v>
      </c>
      <c r="AI102" s="46" t="n">
        <f aca="false">IF(AND(ISNUMBER(AI100),ISNUMBER(AI101)),AI100-AI101,"")</f>
        <v>15.001</v>
      </c>
      <c r="AJ102" s="46" t="n">
        <f aca="false">IF(AND(ISNUMBER(AJ100),ISNUMBER(AJ101)),AJ100-AJ101,"")</f>
        <v>15.156</v>
      </c>
      <c r="AK102" s="46" t="n">
        <f aca="false">IF(AND(ISNUMBER(AK100),ISNUMBER(AK101)),AK100-AK101,"")</f>
        <v>13.989</v>
      </c>
      <c r="AL102" s="46" t="n">
        <f aca="false">IF(AND(ISNUMBER(AL100),ISNUMBER(AL101)),AL100-AL101,"")</f>
        <v>15.203</v>
      </c>
      <c r="AM102" s="46" t="n">
        <f aca="false">IF(AND(ISNUMBER(AM100),ISNUMBER(AM101)),AM100-AM101,"")</f>
        <v>59.349</v>
      </c>
      <c r="AN102" s="46" t="n">
        <f aca="false">IF(AND(ISNUMBER(AN100),ISNUMBER(AN101)),AN100-AN101,"")</f>
        <v>14.593</v>
      </c>
      <c r="AO102" s="46" t="n">
        <f aca="false">IF(AND(ISNUMBER(AO100),ISNUMBER(AO101)),AO100-AO101,"")</f>
        <v>14.407</v>
      </c>
      <c r="AP102" s="46" t="n">
        <f aca="false">IF(AND(ISNUMBER(AP100),ISNUMBER(AP101)),AP100-AP101,"")</f>
        <v>14.098</v>
      </c>
      <c r="AQ102" s="46" t="n">
        <f aca="false">IF(AND(ISNUMBER(AQ100),ISNUMBER(AQ101)),AQ100-AQ101,"")</f>
        <v>14.314</v>
      </c>
      <c r="AR102" s="46" t="n">
        <f aca="false">IF(AND(ISNUMBER(AR100),ISNUMBER(AR101)),AR100-AR101,"")</f>
        <v>57.412</v>
      </c>
      <c r="AS102" s="46" t="n">
        <f aca="false">IF(AND(ISNUMBER(AS100),ISNUMBER(AS101)),AS100-AS101,"")</f>
        <v>14.042</v>
      </c>
      <c r="AT102" s="46" t="n">
        <f aca="false">IF(AND(ISNUMBER(AT100),ISNUMBER(AT101)),AT100-AT101,"")</f>
        <v>13.826</v>
      </c>
      <c r="AU102" s="46" t="n">
        <f aca="false">IF(AND(ISNUMBER(AU100),ISNUMBER(AU101)),AU100-AU101,"")</f>
        <v>13.901</v>
      </c>
      <c r="AV102" s="46" t="n">
        <f aca="false">IF(AND(ISNUMBER(AV100),ISNUMBER(AV101)),AV100-AV101,"")</f>
        <v>13.134</v>
      </c>
      <c r="AW102" s="46" t="n">
        <f aca="false">IF(AND(ISNUMBER(AW100),ISNUMBER(AW101)),AW100-AW101,"")</f>
        <v>54.903</v>
      </c>
      <c r="AX102" s="46" t="n">
        <f aca="false">IF(AND(ISNUMBER(AX100),ISNUMBER(AX101)),AX100-AX101,"")</f>
        <v>13.595</v>
      </c>
      <c r="AY102" s="46" t="n">
        <f aca="false">IF(AND(ISNUMBER(AY100),ISNUMBER(AY101)),AY100-AY101,"")</f>
        <v>14.021</v>
      </c>
      <c r="AZ102" s="46" t="n">
        <f aca="false">IF(AND(ISNUMBER(AZ100),ISNUMBER(AZ101)),AZ100-AZ101,"")</f>
        <v>13.624</v>
      </c>
      <c r="BA102" s="46" t="n">
        <f aca="false">IF(AND(ISNUMBER(BA100),ISNUMBER(BA101)),BA100-BA101,"")</f>
        <v>13.144</v>
      </c>
      <c r="BB102" s="46" t="n">
        <f aca="false">IF(AND(ISNUMBER(BB100),ISNUMBER(BB101)),BB100-BB101,"")</f>
        <v>54.384</v>
      </c>
      <c r="BC102" s="46" t="n">
        <f aca="false">IF(AND(ISNUMBER(BC100),ISNUMBER(BC101)),BC100-BC101,"")</f>
        <v>13.363</v>
      </c>
      <c r="BD102" s="46" t="n">
        <f aca="false">IF(AND(ISNUMBER(BD100),ISNUMBER(BD101)),BD100-BD101,"")</f>
        <v>12.282</v>
      </c>
      <c r="BE102" s="46" t="n">
        <f aca="false">IF(AND(ISNUMBER(BE100),ISNUMBER(BE101)),BE100-BE101,"")</f>
        <v>11.875</v>
      </c>
      <c r="BF102" s="46" t="n">
        <f aca="false">IF(AND(ISNUMBER(BF100),ISNUMBER(BF101)),BF100-BF101,"")</f>
        <v>13.507</v>
      </c>
      <c r="BG102" s="46" t="n">
        <f aca="false">IF(AND(ISNUMBER(BG100),ISNUMBER(BG101)),BG100-BG101,"")</f>
        <v>51.027</v>
      </c>
      <c r="BH102" s="46" t="n">
        <f aca="false">IF(AND(ISNUMBER(BH100),ISNUMBER(BH101)),BH100-BH101,"")</f>
        <v>12.927</v>
      </c>
      <c r="BI102" s="46" t="n">
        <f aca="false">IF(AND(ISNUMBER(BI100),ISNUMBER(BI101)),BI100-BI101,"")</f>
        <v>12.048</v>
      </c>
      <c r="BJ102" s="46" t="n">
        <f aca="false">IF(AND(ISNUMBER(BJ100),ISNUMBER(BJ101)),BJ100-BJ101,"")</f>
        <v>12.861</v>
      </c>
      <c r="BK102" s="46" t="n">
        <f aca="false">IF(AND(ISNUMBER(BK100),ISNUMBER(BK101)),BK100-BK101,"")</f>
        <v>13.336</v>
      </c>
      <c r="BL102" s="46" t="n">
        <f aca="false">IF(AND(ISNUMBER(BL100),ISNUMBER(BL101)),BL100-BL101,"")</f>
        <v>51.172</v>
      </c>
      <c r="BM102" s="46" t="n">
        <f aca="false">IF(AND(ISNUMBER(BM100),ISNUMBER(BM101)),BM100-BM101,"")</f>
        <v>12.983</v>
      </c>
      <c r="BN102" s="46" t="n">
        <f aca="false">IF(AND(ISNUMBER(BN100),ISNUMBER(BN101)),BN100-BN101,"")</f>
        <v>12.168</v>
      </c>
      <c r="BO102" s="46" t="n">
        <f aca="false">IF(AND(ISNUMBER(BO100),ISNUMBER(BO101)),BO100-BO101,"")</f>
        <v>12.693</v>
      </c>
      <c r="BP102" s="46" t="n">
        <f aca="false">IF(AND(ISNUMBER(BP100),ISNUMBER(BP101)),BP100-BP101,"")</f>
        <v>12.823</v>
      </c>
      <c r="BQ102" s="46" t="n">
        <f aca="false">IF(AND(ISNUMBER(BQ100),ISNUMBER(BQ101)),BQ100-BQ101,"")</f>
        <v>50.667</v>
      </c>
      <c r="BR102" s="46" t="n">
        <f aca="false">IF(AND(ISNUMBER(BR100),ISNUMBER(BR101)),BR100-BR101,"")</f>
        <v>12.821</v>
      </c>
      <c r="BS102" s="46" t="n">
        <f aca="false">IF(AND(ISNUMBER(BS100),ISNUMBER(BS101)),BS100-BS101,"")</f>
        <v>13.307</v>
      </c>
      <c r="BT102" s="46" t="n">
        <f aca="false">IF(AND(ISNUMBER(BT100),ISNUMBER(BT101)),BT100-BT101,"")</f>
        <v>13.191</v>
      </c>
      <c r="BU102" s="46" t="n">
        <f aca="false">IF(AND(ISNUMBER(BU100),ISNUMBER(BU101)),BU100-BU101,"")</f>
        <v>13.498</v>
      </c>
      <c r="BV102" s="46" t="n">
        <f aca="false">IF(AND(ISNUMBER(BV100),ISNUMBER(BV101)),BV100-BV101,"")</f>
        <v>52.817</v>
      </c>
      <c r="BW102" s="46" t="n">
        <f aca="false">IF(AND(ISNUMBER(BW100),ISNUMBER(BW101)),BW100-BW101,"")</f>
        <v>13.365</v>
      </c>
      <c r="BX102" s="46" t="n">
        <f aca="false">IF(AND(ISNUMBER(BX100),ISNUMBER(BX101)),BX100-BX101,"")</f>
        <v>13.37</v>
      </c>
      <c r="BY102" s="25" t="n">
        <f aca="false">BY79*BY103</f>
        <v>14.1824311412887</v>
      </c>
      <c r="BZ102" s="25" t="n">
        <f aca="false">BZ79*BZ103</f>
        <v>14.5146816899494</v>
      </c>
      <c r="CA102" s="25" t="n">
        <f aca="false">SUM(BW102,BX102,BY102,BZ102)</f>
        <v>55.4321128312381</v>
      </c>
      <c r="CB102" s="25" t="n">
        <f aca="false">CB79*CB103+N(CB76)</f>
        <v>66.7888</v>
      </c>
      <c r="CC102" s="25" t="n">
        <f aca="false">CC79*CC103+N(CC76)</f>
        <v>74.9898672</v>
      </c>
      <c r="CD102" s="25" t="n">
        <f aca="false">CD79*CD103+N(CD76)</f>
        <v>83.336368752</v>
      </c>
      <c r="CE102" s="25" t="n">
        <f aca="false">CE79*CE103+N(CE76)</f>
        <v>92.16031002432</v>
      </c>
    </row>
    <row r="103" customFormat="false" ht="15" hidden="false" customHeight="false" outlineLevel="0" collapsed="false">
      <c r="B103" s="20" t="s">
        <v>260</v>
      </c>
      <c r="C103" s="27" t="str">
        <f aca="false">IF(AND(ISNUMBER(C102),ISNUMBER(C79)),IFERROR(C102/C79,""),"")</f>
        <v/>
      </c>
      <c r="D103" s="27" t="str">
        <f aca="false">IF(AND(ISNUMBER(D102),ISNUMBER(D79)),IFERROR(D102/D79,""),"")</f>
        <v/>
      </c>
      <c r="E103" s="27" t="str">
        <f aca="false">IF(AND(ISNUMBER(E102),ISNUMBER(E79)),IFERROR(E102/E79,""),"")</f>
        <v/>
      </c>
      <c r="F103" s="27" t="str">
        <f aca="false">IF(AND(ISNUMBER(F102),ISNUMBER(F79)),IFERROR(F102/F79,""),"")</f>
        <v/>
      </c>
      <c r="G103" s="27" t="n">
        <f aca="false">IF(AND(ISNUMBER(G102),ISNUMBER(G79)),IFERROR(G102/G79,""),"")</f>
        <v>0.0284956056993324</v>
      </c>
      <c r="H103" s="27" t="n">
        <f aca="false">IF(AND(ISNUMBER(H102),ISNUMBER(H79)),IFERROR(H102/H79,""),"")</f>
        <v>0.0289660342821535</v>
      </c>
      <c r="I103" s="27" t="n">
        <f aca="false">IF(AND(ISNUMBER(I102),ISNUMBER(I79)),IFERROR(I102/I79,""),"")</f>
        <v>0.0328910109852811</v>
      </c>
      <c r="J103" s="27" t="n">
        <f aca="false">IF(AND(ISNUMBER(J102),ISNUMBER(J79)),IFERROR(J102/J79,""),"")</f>
        <v>0.0303701616536216</v>
      </c>
      <c r="K103" s="27" t="n">
        <f aca="false">IF(AND(ISNUMBER(K102),ISNUMBER(K79)),IFERROR(K102/K79,""),"")</f>
        <v>0.029194397809894</v>
      </c>
      <c r="L103" s="27" t="n">
        <f aca="false">IF(AND(ISNUMBER(L102),ISNUMBER(L79)),IFERROR(L102/L79,""),"")</f>
        <v>0.0293457106849552</v>
      </c>
      <c r="M103" s="27" t="n">
        <f aca="false">IF(AND(ISNUMBER(M102),ISNUMBER(M79)),IFERROR(M102/M79,""),"")</f>
        <v>0.0412116101925028</v>
      </c>
      <c r="N103" s="27" t="n">
        <f aca="false">IF(AND(ISNUMBER(N102),ISNUMBER(N79)),IFERROR(N102/N79,""),"")</f>
        <v>0.0328572378763336</v>
      </c>
      <c r="O103" s="27" t="n">
        <f aca="false">IF(AND(ISNUMBER(O102),ISNUMBER(O79)),IFERROR(O102/O79,""),"")</f>
        <v>0.0321977137939421</v>
      </c>
      <c r="P103" s="27" t="n">
        <f aca="false">IF(AND(ISNUMBER(P102),ISNUMBER(P79)),IFERROR(P102/P79,""),"")</f>
        <v>0.0320851189052988</v>
      </c>
      <c r="Q103" s="27" t="n">
        <f aca="false">IF(AND(ISNUMBER(Q102),ISNUMBER(Q79)),IFERROR(Q102/Q79,""),"")</f>
        <v>0.0358323771121764</v>
      </c>
      <c r="R103" s="27" t="n">
        <f aca="false">IF(AND(ISNUMBER(R102),ISNUMBER(R79)),IFERROR(R102/R79,""),"")</f>
        <v>0.0331775488747542</v>
      </c>
      <c r="S103" s="27" t="n">
        <f aca="false">IF(AND(ISNUMBER(S102),ISNUMBER(S79)),IFERROR(S102/S79,""),"")</f>
        <v>0.0359458184694039</v>
      </c>
      <c r="T103" s="27" t="n">
        <f aca="false">IF(AND(ISNUMBER(T102),ISNUMBER(T79)),IFERROR(T102/T79,""),"")</f>
        <v>0.0313219174696402</v>
      </c>
      <c r="U103" s="27" t="n">
        <f aca="false">IF(AND(ISNUMBER(U102),ISNUMBER(U79)),IFERROR(U102/U79,""),"")</f>
        <v>0.0316034292380327</v>
      </c>
      <c r="V103" s="27" t="n">
        <f aca="false">IF(AND(ISNUMBER(V102),ISNUMBER(V79)),IFERROR(V102/V79,""),"")</f>
        <v>0.0302358548907304</v>
      </c>
      <c r="W103" s="27" t="n">
        <f aca="false">IF(AND(ISNUMBER(W102),ISNUMBER(W79)),IFERROR(W102/W79,""),"")</f>
        <v>0.026805717148899</v>
      </c>
      <c r="X103" s="27" t="n">
        <f aca="false">IF(AND(ISNUMBER(X102),ISNUMBER(X79)),IFERROR(X102/X79,""),"")</f>
        <v>0.029927237957585</v>
      </c>
      <c r="Y103" s="27" t="n">
        <f aca="false">IF(AND(ISNUMBER(Y102),ISNUMBER(Y79)),IFERROR(Y102/Y79,""),"")</f>
        <v>0.0319499033777087</v>
      </c>
      <c r="Z103" s="27" t="n">
        <f aca="false">IF(AND(ISNUMBER(Z102),ISNUMBER(Z79)),IFERROR(Z102/Z79,""),"")</f>
        <v>0.0302196461485906</v>
      </c>
      <c r="AA103" s="27" t="n">
        <f aca="false">IF(AND(ISNUMBER(AA102),ISNUMBER(AA79)),IFERROR(AA102/AA79,""),"")</f>
        <v>0.0302351447074693</v>
      </c>
      <c r="AB103" s="27" t="n">
        <f aca="false">IF(AND(ISNUMBER(AB102),ISNUMBER(AB79)),IFERROR(AB102/AB79,""),"")</f>
        <v>0.0266794680019662</v>
      </c>
      <c r="AC103" s="27" t="n">
        <f aca="false">IF(AND(ISNUMBER(AC102),ISNUMBER(AC79)),IFERROR(AC102/AC79,""),"")</f>
        <v>0.0296870784297827</v>
      </c>
      <c r="AD103" s="27" t="n">
        <f aca="false">IF(AND(ISNUMBER(AD102),ISNUMBER(AD79)),IFERROR(AD102/AD79,""),"")</f>
        <v>0.0292709385761023</v>
      </c>
      <c r="AE103" s="27" t="n">
        <f aca="false">IF(AND(ISNUMBER(AE102),ISNUMBER(AE79)),IFERROR(AE102/AE79,""),"")</f>
        <v>0.0273670710803959</v>
      </c>
      <c r="AF103" s="27" t="n">
        <f aca="false">IF(AND(ISNUMBER(AF102),ISNUMBER(AF79)),IFERROR(AF102/AF79,""),"")</f>
        <v>0.0266842284130509</v>
      </c>
      <c r="AG103" s="27" t="n">
        <f aca="false">IF(AND(ISNUMBER(AG102),ISNUMBER(AG79)),IFERROR(AG102/AG79,""),"")</f>
        <v>0.0254624673751922</v>
      </c>
      <c r="AH103" s="27" t="n">
        <f aca="false">IF(AND(ISNUMBER(AH102),ISNUMBER(AH79)),IFERROR(AH102/AH79,""),"")</f>
        <v>0.0271221025210632</v>
      </c>
      <c r="AI103" s="27" t="n">
        <f aca="false">IF(AND(ISNUMBER(AI102),ISNUMBER(AI79)),IFERROR(AI102/AI79,""),"")</f>
        <v>0.0273979858343592</v>
      </c>
      <c r="AJ103" s="27" t="n">
        <f aca="false">IF(AND(ISNUMBER(AJ102),ISNUMBER(AJ79)),IFERROR(AJ102/AJ79,""),"")</f>
        <v>0.0244334174864339</v>
      </c>
      <c r="AK103" s="27" t="n">
        <f aca="false">IF(AND(ISNUMBER(AK102),ISNUMBER(AK79)),IFERROR(AK102/AK79,""),"")</f>
        <v>0.0234954055556582</v>
      </c>
      <c r="AL103" s="27" t="n">
        <f aca="false">IF(AND(ISNUMBER(AL102),ISNUMBER(AL79)),IFERROR(AL102/AL79,""),"")</f>
        <v>0.0234389212823494</v>
      </c>
      <c r="AM103" s="27" t="n">
        <f aca="false">IF(AND(ISNUMBER(AM102),ISNUMBER(AM79)),IFERROR(AM102/AM79,""),"")</f>
        <v>0.0246074047353986</v>
      </c>
      <c r="AN103" s="27" t="n">
        <f aca="false">IF(AND(ISNUMBER(AN102),ISNUMBER(AN79)),IFERROR(AN102/AN79,""),"")</f>
        <v>0.0252336965731419</v>
      </c>
      <c r="AO103" s="27" t="n">
        <f aca="false">IF(AND(ISNUMBER(AO102),ISNUMBER(AO79)),IFERROR(AO102/AO79,""),"")</f>
        <v>0.0225463070191363</v>
      </c>
      <c r="AP103" s="27" t="n">
        <f aca="false">IF(AND(ISNUMBER(AP102),ISNUMBER(AP79)),IFERROR(AP102/AP79,""),"")</f>
        <v>0.0229280510018215</v>
      </c>
      <c r="AQ103" s="27" t="n">
        <f aca="false">IF(AND(ISNUMBER(AQ102),ISNUMBER(AQ79)),IFERROR(AQ102/AQ79,""),"")</f>
        <v>0.0218277416964154</v>
      </c>
      <c r="AR103" s="27" t="n">
        <f aca="false">IF(AND(ISNUMBER(AR102),ISNUMBER(AR79)),IFERROR(AR102/AR79,""),"")</f>
        <v>0.0230759244216449</v>
      </c>
      <c r="AS103" s="27" t="n">
        <f aca="false">IF(AND(ISNUMBER(AS102),ISNUMBER(AS79)),IFERROR(AS102/AS79,""),"")</f>
        <v>0.0233554158052396</v>
      </c>
      <c r="AT103" s="27" t="n">
        <f aca="false">IF(AND(ISNUMBER(AT102),ISNUMBER(AT79)),IFERROR(AT102/AT79,""),"")</f>
        <v>0.0251360338298364</v>
      </c>
      <c r="AU103" s="27" t="n">
        <f aca="false">IF(AND(ISNUMBER(AU102),ISNUMBER(AU79)),IFERROR(AU102/AU79,""),"")</f>
        <v>0.0243188585304069</v>
      </c>
      <c r="AV103" s="27" t="n">
        <f aca="false">IF(AND(ISNUMBER(AV102),ISNUMBER(AV79)),IFERROR(AV102/AV79,""),"")</f>
        <v>0.0196486167876441</v>
      </c>
      <c r="AW103" s="27" t="n">
        <f aca="false">IF(AND(ISNUMBER(AW102),ISNUMBER(AW79)),IFERROR(AW102/AW79,""),"")</f>
        <v>0.0229591324682102</v>
      </c>
      <c r="AX103" s="27" t="n">
        <f aca="false">IF(AND(ISNUMBER(AX102),ISNUMBER(AX79)),IFERROR(AX102/AX79,""),"")</f>
        <v>0.0227699440088835</v>
      </c>
      <c r="AY103" s="27" t="n">
        <f aca="false">IF(AND(ISNUMBER(AY102),ISNUMBER(AY79)),IFERROR(AY102/AY79,""),"")</f>
        <v>0.0225601171369038</v>
      </c>
      <c r="AZ103" s="27" t="n">
        <f aca="false">IF(AND(ISNUMBER(AZ102),ISNUMBER(AZ79)),IFERROR(AZ102/AZ79,""),"")</f>
        <v>0.0219522766786064</v>
      </c>
      <c r="BA103" s="27" t="n">
        <f aca="false">IF(AND(ISNUMBER(BA102),ISNUMBER(BA79)),IFERROR(BA102/BA79,""),"")</f>
        <v>0.0197132992779989</v>
      </c>
      <c r="BB103" s="27" t="n">
        <f aca="false">IF(AND(ISNUMBER(BB102),ISNUMBER(BB79)),IFERROR(BB102/BB79,""),"")</f>
        <v>0.0217021139049719</v>
      </c>
      <c r="BC103" s="27" t="n">
        <f aca="false">IF(AND(ISNUMBER(BC102),ISNUMBER(BC79)),IFERROR(BC102/BC79,""),"")</f>
        <v>0.023885489783917</v>
      </c>
      <c r="BD103" s="27" t="n">
        <f aca="false">IF(AND(ISNUMBER(BD102),ISNUMBER(BD79)),IFERROR(BD102/BD79,""),"")</f>
        <v>0.0201556722906277</v>
      </c>
      <c r="BE103" s="27" t="n">
        <f aca="false">IF(AND(ISNUMBER(BE102),ISNUMBER(BE79)),IFERROR(BE102/BE79,""),"")</f>
        <v>0.0188330039870461</v>
      </c>
      <c r="BF103" s="27" t="n">
        <f aca="false">IF(AND(ISNUMBER(BF102),ISNUMBER(BF79)),IFERROR(BF102/BF79,""),"")</f>
        <v>0.0178271399629124</v>
      </c>
      <c r="BG103" s="27" t="n">
        <f aca="false">IF(AND(ISNUMBER(BG102),ISNUMBER(BG79)),IFERROR(BG102/BG79,""),"")</f>
        <v>0.0199556124793461</v>
      </c>
      <c r="BH103" s="27" t="n">
        <f aca="false">IF(AND(ISNUMBER(BH102),ISNUMBER(BH79)),IFERROR(BH102/BH79,""),"")</f>
        <v>0.0204910756744761</v>
      </c>
      <c r="BI103" s="27" t="n">
        <f aca="false">IF(AND(ISNUMBER(BI102),ISNUMBER(BI79)),IFERROR(BI102/BI79,""),"")</f>
        <v>0.0171040153549992</v>
      </c>
      <c r="BJ103" s="27" t="n">
        <f aca="false">IF(AND(ISNUMBER(BJ102),ISNUMBER(BJ79)),IFERROR(BJ102/BJ79,""),"")</f>
        <v>0.0177558171320648</v>
      </c>
      <c r="BK103" s="27" t="n">
        <f aca="false">IF(AND(ISNUMBER(BK102),ISNUMBER(BK79)),IFERROR(BK102/BK79,""),"")</f>
        <v>0.0169714338800012</v>
      </c>
      <c r="BL103" s="27" t="n">
        <f aca="false">IF(AND(ISNUMBER(BL102),ISNUMBER(BL79)),IFERROR(BL102/BL79,""),"")</f>
        <v>0.0179842853643441</v>
      </c>
      <c r="BM103" s="27" t="n">
        <f aca="false">IF(AND(ISNUMBER(BM102),ISNUMBER(BM79)),IFERROR(BM102/BM79,""),"")</f>
        <v>0.0182047122202794</v>
      </c>
      <c r="BN103" s="27" t="n">
        <f aca="false">IF(AND(ISNUMBER(BN102),ISNUMBER(BN79)),IFERROR(BN102/BN79,""),"")</f>
        <v>0.015504764962901</v>
      </c>
      <c r="BO103" s="27" t="n">
        <f aca="false">IF(AND(ISNUMBER(BO102),ISNUMBER(BO79)),IFERROR(BO102/BO79,""),"")</f>
        <v>0.0158877381658693</v>
      </c>
      <c r="BP103" s="27" t="n">
        <f aca="false">IF(AND(ISNUMBER(BP102),ISNUMBER(BP79)),IFERROR(BP102/BP79,""),"")</f>
        <v>0.0155559841953239</v>
      </c>
      <c r="BQ103" s="27" t="n">
        <f aca="false">IF(AND(ISNUMBER(BQ102),ISNUMBER(BQ79)),IFERROR(BQ102/BQ79,""),"")</f>
        <v>0.0162332367568898</v>
      </c>
      <c r="BR103" s="27" t="n">
        <f aca="false">IF(AND(ISNUMBER(BR102),ISNUMBER(BR79)),IFERROR(BR102/BR79,""),"")</f>
        <v>0.0159139571399314</v>
      </c>
      <c r="BS103" s="27" t="n">
        <f aca="false">IF(AND(ISNUMBER(BS102),ISNUMBER(BS79)),IFERROR(BS102/BS79,""),"")</f>
        <v>0.0151806574672362</v>
      </c>
      <c r="BT103" s="27" t="n">
        <f aca="false">IF(AND(ISNUMBER(BT102),ISNUMBER(BT79)),IFERROR(BT102/BT79,""),"")</f>
        <v>0.0151765477409483</v>
      </c>
      <c r="BU103" s="27" t="n">
        <f aca="false">IF(AND(ISNUMBER(BU102),ISNUMBER(BU79)),IFERROR(BU102/BU79,""),"")</f>
        <v>0.0142537178676235</v>
      </c>
      <c r="BV103" s="27" t="n">
        <f aca="false">IF(AND(ISNUMBER(BV102),ISNUMBER(BV79)),IFERROR(BV102/BV79,""),"")</f>
        <v>0.015097593966565</v>
      </c>
      <c r="BW103" s="27" t="n">
        <f aca="false">IF(AND(ISNUMBER(BW102),ISNUMBER(BW79)),IFERROR(BW102/BW79,""),"")</f>
        <v>0.0146275475080635</v>
      </c>
      <c r="BX103" s="27" t="n">
        <f aca="false">IF(AND(ISNUMBER(BX102),ISNUMBER(BX79)),IFERROR(BX102/BX79,""),"")</f>
        <v>0.01446957169202</v>
      </c>
      <c r="BY103" s="22" t="n">
        <f aca="false">IFERROR(BT102/BT79,0)</f>
        <v>0.0151765477409483</v>
      </c>
      <c r="BZ103" s="22" t="n">
        <f aca="false">IFERROR(BU102/BU79,0)</f>
        <v>0.0142537178676235</v>
      </c>
      <c r="CA103" s="22" t="n">
        <f aca="false">IFERROR(CA102/CA79,"")</f>
        <v>0.014623958008505</v>
      </c>
      <c r="CB103" s="38" t="n">
        <v>0.016</v>
      </c>
      <c r="CC103" s="38" t="n">
        <v>0.016</v>
      </c>
      <c r="CD103" s="38" t="n">
        <v>0.016</v>
      </c>
      <c r="CE103" s="38" t="n">
        <v>0.016</v>
      </c>
      <c r="CF103" s="18" t="s">
        <v>261</v>
      </c>
    </row>
    <row r="104" customFormat="false" ht="15" hidden="false" customHeight="false" outlineLevel="0" collapsed="false">
      <c r="B104" s="20" t="s">
        <v>262</v>
      </c>
      <c r="C104" s="27" t="n">
        <f aca="false">IF(AND(ISNUMBER(C100),ISNUMBER(C79)),IFERROR(C100/C79,""),"")</f>
        <v>0.0396137752455826</v>
      </c>
      <c r="D104" s="27" t="n">
        <f aca="false">IF(AND(ISNUMBER(D100),ISNUMBER(D79)),IFERROR(D100/D79,""),"")</f>
        <v>0.0393807266268205</v>
      </c>
      <c r="E104" s="27" t="n">
        <f aca="false">IF(AND(ISNUMBER(E100),ISNUMBER(E79)),IFERROR(E100/E79,""),"")</f>
        <v>0.0405712131312359</v>
      </c>
      <c r="F104" s="27" t="n">
        <f aca="false">IF(AND(ISNUMBER(F100),ISNUMBER(F79)),IFERROR(F100/F79,""),"")</f>
        <v>0.0422613817836204</v>
      </c>
      <c r="G104" s="27" t="n">
        <f aca="false">IF(AND(ISNUMBER(G100),ISNUMBER(G79)),IFERROR(G100/G79,""),"")</f>
        <v>0.0422294459874473</v>
      </c>
      <c r="H104" s="27" t="n">
        <f aca="false">IF(AND(ISNUMBER(H100),ISNUMBER(H79)),IFERROR(H100/H79,""),"")</f>
        <v>0.042986568522927</v>
      </c>
      <c r="I104" s="27" t="n">
        <f aca="false">IF(AND(ISNUMBER(I100),ISNUMBER(I79)),IFERROR(I100/I79,""),"")</f>
        <v>0.0447610639381117</v>
      </c>
      <c r="J104" s="27" t="n">
        <f aca="false">IF(AND(ISNUMBER(J100),ISNUMBER(J79)),IFERROR(J100/J79,""),"")</f>
        <v>0.0512918285705608</v>
      </c>
      <c r="K104" s="27" t="n">
        <f aca="false">IF(AND(ISNUMBER(K100),ISNUMBER(K79)),IFERROR(K100/K79,""),"")</f>
        <v>0.0482979243532728</v>
      </c>
      <c r="L104" s="27" t="n">
        <f aca="false">IF(AND(ISNUMBER(L100),ISNUMBER(L79)),IFERROR(L100/L79,""),"")</f>
        <v>0.0489905388509773</v>
      </c>
      <c r="M104" s="27" t="n">
        <f aca="false">IF(AND(ISNUMBER(M100),ISNUMBER(M79)),IFERROR(M100/M79,""),"")</f>
        <v>0.045498978177297</v>
      </c>
      <c r="N104" s="27" t="n">
        <f aca="false">IF(AND(ISNUMBER(N100),ISNUMBER(N79)),IFERROR(N100/N79,""),"")</f>
        <v>0.0483903151661382</v>
      </c>
      <c r="O104" s="27" t="n">
        <f aca="false">IF(AND(ISNUMBER(O100),ISNUMBER(O79)),IFERROR(O100/O79,""),"")</f>
        <v>0.048256035122511</v>
      </c>
      <c r="P104" s="27" t="n">
        <f aca="false">IF(AND(ISNUMBER(P100),ISNUMBER(P79)),IFERROR(P100/P79,""),"")</f>
        <v>0.046645576992637</v>
      </c>
      <c r="Q104" s="27" t="n">
        <f aca="false">IF(AND(ISNUMBER(Q100),ISNUMBER(Q79)),IFERROR(Q100/Q79,""),"")</f>
        <v>0.0528120051332097</v>
      </c>
      <c r="R104" s="27" t="n">
        <f aca="false">IF(AND(ISNUMBER(R100),ISNUMBER(R79)),IFERROR(R100/R79,""),"")</f>
        <v>0.048895711735879</v>
      </c>
      <c r="S104" s="27" t="n">
        <f aca="false">IF(AND(ISNUMBER(S100),ISNUMBER(S79)),IFERROR(S100/S79,""),"")</f>
        <v>0.0530202048391397</v>
      </c>
      <c r="T104" s="27" t="n">
        <f aca="false">IF(AND(ISNUMBER(T100),ISNUMBER(T79)),IFERROR(T100/T79,""),"")</f>
        <v>0.0470670945937287</v>
      </c>
      <c r="U104" s="27" t="n">
        <f aca="false">IF(AND(ISNUMBER(U100),ISNUMBER(U79)),IFERROR(U100/U79,""),"")</f>
        <v>0.0473776307149382</v>
      </c>
      <c r="V104" s="27" t="n">
        <f aca="false">IF(AND(ISNUMBER(V100),ISNUMBER(V79)),IFERROR(V100/V79,""),"")</f>
        <v>0.0473612604298477</v>
      </c>
      <c r="W104" s="27" t="n">
        <f aca="false">IF(AND(ISNUMBER(W100),ISNUMBER(W79)),IFERROR(W100/W79,""),"")</f>
        <v>0.0414128117807917</v>
      </c>
      <c r="X104" s="27" t="n">
        <f aca="false">IF(AND(ISNUMBER(X100),ISNUMBER(X79)),IFERROR(X100/X79,""),"")</f>
        <v>0.0457046638161513</v>
      </c>
      <c r="Y104" s="27" t="n">
        <f aca="false">IF(AND(ISNUMBER(Y100),ISNUMBER(Y79)),IFERROR(Y100/Y79,""),"")</f>
        <v>0.0486328889171352</v>
      </c>
      <c r="Z104" s="27" t="n">
        <f aca="false">IF(AND(ISNUMBER(Z100),ISNUMBER(Z79)),IFERROR(Z100/Z79,""),"")</f>
        <v>0.045986418052203</v>
      </c>
      <c r="AA104" s="27" t="n">
        <f aca="false">IF(AND(ISNUMBER(AA100),ISNUMBER(AA79)),IFERROR(AA100/AA79,""),"")</f>
        <v>0.0462085775362262</v>
      </c>
      <c r="AB104" s="27" t="n">
        <f aca="false">IF(AND(ISNUMBER(AB100),ISNUMBER(AB79)),IFERROR(AB100/AB79,""),"")</f>
        <v>0.0417086599972417</v>
      </c>
      <c r="AC104" s="27" t="n">
        <f aca="false">IF(AND(ISNUMBER(AC100),ISNUMBER(AC79)),IFERROR(AC100/AC79,""),"")</f>
        <v>0.0455244861022006</v>
      </c>
      <c r="AD104" s="27" t="n">
        <f aca="false">IF(AND(ISNUMBER(AD100),ISNUMBER(AD79)),IFERROR(AD100/AD79,""),"")</f>
        <v>0.0476058602993558</v>
      </c>
      <c r="AE104" s="27" t="n">
        <f aca="false">IF(AND(ISNUMBER(AE100),ISNUMBER(AE79)),IFERROR(AE100/AE79,""),"")</f>
        <v>0.0441026472158167</v>
      </c>
      <c r="AF104" s="27" t="n">
        <f aca="false">IF(AND(ISNUMBER(AF100),ISNUMBER(AF79)),IFERROR(AF100/AF79,""),"")</f>
        <v>0.0437646702506247</v>
      </c>
      <c r="AG104" s="27" t="n">
        <f aca="false">IF(AND(ISNUMBER(AG100),ISNUMBER(AG79)),IFERROR(AG100/AG79,""),"")</f>
        <v>0.0411517925871207</v>
      </c>
      <c r="AH104" s="27" t="n">
        <f aca="false">IF(AND(ISNUMBER(AH100),ISNUMBER(AH79)),IFERROR(AH100/AH79,""),"")</f>
        <v>0.0440307596654552</v>
      </c>
      <c r="AI104" s="27" t="n">
        <f aca="false">IF(AND(ISNUMBER(AI100),ISNUMBER(AI79)),IFERROR(AI100/AI79,""),"")</f>
        <v>0.044931527865547</v>
      </c>
      <c r="AJ104" s="27" t="n">
        <f aca="false">IF(AND(ISNUMBER(AJ100),ISNUMBER(AJ79)),IFERROR(AJ100/AJ79,""),"")</f>
        <v>0.0429728936736859</v>
      </c>
      <c r="AK104" s="27" t="n">
        <f aca="false">IF(AND(ISNUMBER(AK100),ISNUMBER(AK79)),IFERROR(AK100/AK79,""),"")</f>
        <v>0.0434822041911813</v>
      </c>
      <c r="AL104" s="27" t="n">
        <f aca="false">IF(AND(ISNUMBER(AL100),ISNUMBER(AL79)),IFERROR(AL100/AL79,""),"")</f>
        <v>0.0397812593467382</v>
      </c>
      <c r="AM104" s="27" t="n">
        <f aca="false">IF(AND(ISNUMBER(AM100),ISNUMBER(AM79)),IFERROR(AM100/AM79,""),"")</f>
        <v>0.0426849266222606</v>
      </c>
      <c r="AN104" s="27" t="n">
        <f aca="false">IF(AND(ISNUMBER(AN100),ISNUMBER(AN79)),IFERROR(AN100/AN79,""),"")</f>
        <v>0.0446003382245631</v>
      </c>
      <c r="AO104" s="27" t="n">
        <f aca="false">IF(AND(ISNUMBER(AO100),ISNUMBER(AO79)),IFERROR(AO100/AO79,""),"")</f>
        <v>0.0403867942835323</v>
      </c>
      <c r="AP104" s="27" t="n">
        <f aca="false">IF(AND(ISNUMBER(AP100),ISNUMBER(AP79)),IFERROR(AP100/AP79,""),"")</f>
        <v>0.0413056206088993</v>
      </c>
      <c r="AQ104" s="27" t="n">
        <f aca="false">IF(AND(ISNUMBER(AQ100),ISNUMBER(AQ79)),IFERROR(AQ100/AQ79,""),"")</f>
        <v>0.0387543822462415</v>
      </c>
      <c r="AR104" s="27" t="n">
        <f aca="false">IF(AND(ISNUMBER(AR100),ISNUMBER(AR79)),IFERROR(AR100/AR79,""),"")</f>
        <v>0.0411630246615602</v>
      </c>
      <c r="AS104" s="27" t="n">
        <f aca="false">IF(AND(ISNUMBER(AS100),ISNUMBER(AS79)),IFERROR(AS100/AS79,""),"")</f>
        <v>0.0468073003554374</v>
      </c>
      <c r="AT104" s="27" t="n">
        <f aca="false">IF(AND(ISNUMBER(AT100),ISNUMBER(AT79)),IFERROR(AT100/AT79,""),"")</f>
        <v>0.0516792201393699</v>
      </c>
      <c r="AU104" s="27" t="n">
        <f aca="false">IF(AND(ISNUMBER(AU100),ISNUMBER(AU79)),IFERROR(AU100/AU79,""),"")</f>
        <v>0.0493357405521908</v>
      </c>
      <c r="AV104" s="27" t="n">
        <f aca="false">IF(AND(ISNUMBER(AV100),ISNUMBER(AV79)),IFERROR(AV100/AV79,""),"")</f>
        <v>0.0465768261814004</v>
      </c>
      <c r="AW104" s="27" t="n">
        <f aca="false">IF(AND(ISNUMBER(AW100),ISNUMBER(AW79)),IFERROR(AW100/AW79,""),"")</f>
        <v>0.048467885734167</v>
      </c>
      <c r="AX104" s="27" t="n">
        <f aca="false">IF(AND(ISNUMBER(AX100),ISNUMBER(AX79)),IFERROR(AX100/AX79,""),"")</f>
        <v>0.047893089292683</v>
      </c>
      <c r="AY104" s="27" t="n">
        <f aca="false">IF(AND(ISNUMBER(AY100),ISNUMBER(AY79)),IFERROR(AY100/AY79,""),"")</f>
        <v>0.0466954681855848</v>
      </c>
      <c r="AZ104" s="27" t="n">
        <f aca="false">IF(AND(ISNUMBER(AZ100),ISNUMBER(AZ79)),IFERROR(AZ100/AZ79,""),"")</f>
        <v>0.0461216946306832</v>
      </c>
      <c r="BA104" s="27" t="n">
        <f aca="false">IF(AND(ISNUMBER(BA100),ISNUMBER(BA79)),IFERROR(BA100/BA79,""),"")</f>
        <v>0.0422102172002436</v>
      </c>
      <c r="BB104" s="27" t="n">
        <f aca="false">IF(AND(ISNUMBER(BB100),ISNUMBER(BB79)),IFERROR(BB100/BB79,""),"")</f>
        <v>0.0456453110640317</v>
      </c>
      <c r="BC104" s="27" t="n">
        <f aca="false">IF(AND(ISNUMBER(BC100),ISNUMBER(BC79)),IFERROR(BC100/BC79,""),"")</f>
        <v>0.0489095754663864</v>
      </c>
      <c r="BD104" s="27" t="n">
        <f aca="false">IF(AND(ISNUMBER(BD100),ISNUMBER(BD79)),IFERROR(BD100/BD79,""),"")</f>
        <v>0.0431307099122518</v>
      </c>
      <c r="BE104" s="27" t="n">
        <f aca="false">IF(AND(ISNUMBER(BE100),ISNUMBER(BE79)),IFERROR(BE100/BE79,""),"")</f>
        <v>0.0473798731884633</v>
      </c>
      <c r="BF104" s="27" t="n">
        <f aca="false">IF(AND(ISNUMBER(BF100),ISNUMBER(BF79)),IFERROR(BF100/BF79,""),"")</f>
        <v>0.0376248077976414</v>
      </c>
      <c r="BG104" s="27" t="n">
        <f aca="false">IF(AND(ISNUMBER(BG100),ISNUMBER(BG79)),IFERROR(BG100/BG79,""),"")</f>
        <v>0.0438114605840772</v>
      </c>
      <c r="BH104" s="27" t="n">
        <f aca="false">IF(AND(ISNUMBER(BH100),ISNUMBER(BH79)),IFERROR(BH100/BH79,""),"")</f>
        <v>0.0458532796500016</v>
      </c>
      <c r="BI104" s="27" t="n">
        <f aca="false">IF(AND(ISNUMBER(BI100),ISNUMBER(BI79)),IFERROR(BI100/BI79,""),"")</f>
        <v>0.041238167167332</v>
      </c>
      <c r="BJ104" s="27" t="n">
        <f aca="false">IF(AND(ISNUMBER(BJ100),ISNUMBER(BJ79)),IFERROR(BJ100/BJ79,""),"")</f>
        <v>0.0398453182682936</v>
      </c>
      <c r="BK104" s="27" t="n">
        <f aca="false">IF(AND(ISNUMBER(BK100),ISNUMBER(BK79)),IFERROR(BK100/BK79,""),"")</f>
        <v>0.0373330822063373</v>
      </c>
      <c r="BL104" s="27" t="n">
        <f aca="false">IF(AND(ISNUMBER(BL100),ISNUMBER(BL79)),IFERROR(BL100/BL79,""),"")</f>
        <v>0.0408283905133</v>
      </c>
      <c r="BM104" s="27" t="n">
        <f aca="false">IF(AND(ISNUMBER(BM100),ISNUMBER(BM79)),IFERROR(BM100/BM79,""),"")</f>
        <v>0.0378354578941538</v>
      </c>
      <c r="BN104" s="27" t="n">
        <f aca="false">IF(AND(ISNUMBER(BN100),ISNUMBER(BN79)),IFERROR(BN100/BN79,""),"")</f>
        <v>0.0346181340000077</v>
      </c>
      <c r="BO104" s="27" t="n">
        <f aca="false">IF(AND(ISNUMBER(BO100),ISNUMBER(BO79)),IFERROR(BO100/BO79,""),"")</f>
        <v>0.0334114389712086</v>
      </c>
      <c r="BP104" s="27" t="n">
        <f aca="false">IF(AND(ISNUMBER(BP100),ISNUMBER(BP79)),IFERROR(BP100/BP79,""),"")</f>
        <v>0.0325398240716815</v>
      </c>
      <c r="BQ104" s="27" t="n">
        <f aca="false">IF(AND(ISNUMBER(BQ100),ISNUMBER(BQ79)),IFERROR(BQ100/BQ79,""),"")</f>
        <v>0.0344955079618697</v>
      </c>
      <c r="BR104" s="27" t="n">
        <f aca="false">IF(AND(ISNUMBER(BR100),ISNUMBER(BR79)),IFERROR(BR100/BR79,""),"")</f>
        <v>0.038256303955216</v>
      </c>
      <c r="BS104" s="27" t="n">
        <f aca="false">IF(AND(ISNUMBER(BS100),ISNUMBER(BS79)),IFERROR(BS100/BS79,""),"")</f>
        <v>0.0357151005731391</v>
      </c>
      <c r="BT104" s="27" t="n">
        <f aca="false">IF(AND(ISNUMBER(BT100),ISNUMBER(BT79)),IFERROR(BT100/BT79,""),"")</f>
        <v>0.0358859601688968</v>
      </c>
      <c r="BU104" s="27" t="n">
        <f aca="false">IF(AND(ISNUMBER(BU100),ISNUMBER(BU79)),IFERROR(BU100/BU79,""),"")</f>
        <v>0.0332614909908435</v>
      </c>
      <c r="BV104" s="27" t="n">
        <f aca="false">IF(AND(ISNUMBER(BV100),ISNUMBER(BV79)),IFERROR(BV100/BV79,""),"")</f>
        <v>0.0356785956439167</v>
      </c>
      <c r="BW104" s="27" t="n">
        <f aca="false">IF(AND(ISNUMBER(BW100),ISNUMBER(BW79)),IFERROR(BW100/BW79,""),"")</f>
        <v>0.0310445480782806</v>
      </c>
      <c r="BX104" s="27" t="n">
        <f aca="false">IF(AND(ISNUMBER(BX100),ISNUMBER(BX79)),IFERROR(BX100/BX79,""),"")</f>
        <v>0.0307031973749145</v>
      </c>
      <c r="BY104" s="22" t="n">
        <f aca="false">IFERROR(BY100/BY79,"")</f>
        <v>0.0312279717772323</v>
      </c>
      <c r="BZ104" s="22" t="n">
        <f aca="false">IFERROR(BZ100/BZ79,"")</f>
        <v>0.0289840283616113</v>
      </c>
      <c r="CA104" s="22" t="n">
        <f aca="false">IFERROR(CA100/CA79,"")</f>
        <v>0.0304530043084654</v>
      </c>
      <c r="CB104" s="22" t="n">
        <f aca="false">IFERROR(CB100/CB79,"")</f>
        <v>0.0310785544043971</v>
      </c>
      <c r="CC104" s="22" t="n">
        <f aca="false">IFERROR(CC100/CC79,"")</f>
        <v>0.0307113917606458</v>
      </c>
      <c r="CD104" s="22" t="n">
        <f aca="false">IFERROR(CD100/CD79,"")</f>
        <v>0.0316460154361794</v>
      </c>
      <c r="CE104" s="22" t="n">
        <f aca="false">IFERROR(CE100/CE79,"")</f>
        <v>0.0322044360934438</v>
      </c>
    </row>
    <row r="105" customFormat="false" ht="15" hidden="false" customHeight="false" outlineLevel="0" collapsed="false">
      <c r="B105" s="20" t="s">
        <v>263</v>
      </c>
      <c r="C105" s="24" t="n">
        <v>6.621</v>
      </c>
      <c r="D105" s="24" t="n">
        <v>10.912</v>
      </c>
      <c r="E105" s="24" t="n">
        <v>13.663</v>
      </c>
      <c r="F105" s="24" t="n">
        <v>15.264</v>
      </c>
      <c r="G105" s="24" t="n">
        <v>13.378</v>
      </c>
      <c r="H105" s="24" t="n">
        <v>9.621</v>
      </c>
      <c r="I105" s="24" t="n">
        <v>9.428</v>
      </c>
      <c r="J105" s="24" t="n">
        <v>2.67</v>
      </c>
      <c r="K105" s="24" t="n">
        <v>0.512</v>
      </c>
      <c r="L105" s="24" t="n">
        <v>2.293</v>
      </c>
      <c r="M105" s="24" t="n">
        <v>1.874</v>
      </c>
      <c r="N105" s="24" t="n">
        <v>7.349</v>
      </c>
      <c r="O105" s="24" t="n">
        <v>2.402</v>
      </c>
      <c r="P105" s="24" t="n">
        <v>1.884</v>
      </c>
      <c r="Q105" s="24" t="n">
        <v>2.256</v>
      </c>
      <c r="R105" s="24" t="n">
        <v>1.958</v>
      </c>
      <c r="S105" s="24" t="n">
        <v>8.5</v>
      </c>
      <c r="T105" s="24" t="n">
        <v>2.62</v>
      </c>
      <c r="U105" s="24" t="n">
        <v>2.006</v>
      </c>
      <c r="V105" s="24" t="n">
        <v>2.599</v>
      </c>
      <c r="W105" s="24" t="n">
        <v>2.248</v>
      </c>
      <c r="X105" s="24" t="n">
        <v>9.473</v>
      </c>
      <c r="Y105" s="24" t="n">
        <v>2.723</v>
      </c>
      <c r="Z105" s="24" t="n">
        <v>2.262</v>
      </c>
      <c r="AA105" s="24" t="n">
        <v>2.828</v>
      </c>
      <c r="AB105" s="24" t="n">
        <v>1.665</v>
      </c>
      <c r="AC105" s="24" t="n">
        <v>9.478</v>
      </c>
      <c r="AD105" s="24" t="n">
        <v>3.364</v>
      </c>
      <c r="AE105" s="24" t="n">
        <v>2.652</v>
      </c>
      <c r="AF105" s="24" t="n">
        <v>3.157</v>
      </c>
      <c r="AG105" s="24" t="n">
        <v>2.399</v>
      </c>
      <c r="AH105" s="24" t="n">
        <v>11.572</v>
      </c>
      <c r="AI105" s="24" t="n">
        <v>4.591</v>
      </c>
      <c r="AJ105" s="24" t="n">
        <v>3.21</v>
      </c>
      <c r="AK105" s="24" t="n">
        <v>4.045</v>
      </c>
      <c r="AL105" s="24" t="n">
        <v>2.248</v>
      </c>
      <c r="AM105" s="24" t="n">
        <v>14.094</v>
      </c>
      <c r="AN105" s="24" t="n">
        <v>3.495</v>
      </c>
      <c r="AO105" s="24" t="n">
        <v>3.485</v>
      </c>
      <c r="AP105" s="24" t="n">
        <v>4.282</v>
      </c>
      <c r="AQ105" s="24" t="n">
        <v>2.407</v>
      </c>
      <c r="AR105" s="24" t="n">
        <v>13.669</v>
      </c>
      <c r="AS105" s="24" t="n">
        <v>3.34</v>
      </c>
      <c r="AT105" s="24" t="n">
        <v>3.8</v>
      </c>
      <c r="AU105" s="24" t="n">
        <v>4.637</v>
      </c>
      <c r="AV105" s="24" t="n">
        <v>2.66</v>
      </c>
      <c r="AW105" s="24" t="n">
        <v>14.437</v>
      </c>
      <c r="AX105" s="24" t="n">
        <v>3.327</v>
      </c>
      <c r="AY105" s="24" t="n">
        <v>3.398</v>
      </c>
      <c r="AZ105" s="24" t="n">
        <v>4.136</v>
      </c>
      <c r="BA105" s="24" t="n">
        <v>2.589</v>
      </c>
      <c r="BB105" s="24" t="n">
        <v>13.45</v>
      </c>
      <c r="BC105" s="24" t="n">
        <v>3.809</v>
      </c>
      <c r="BD105" s="24" t="n">
        <v>3.771</v>
      </c>
      <c r="BE105" s="24" t="n">
        <v>4.447</v>
      </c>
      <c r="BF105" s="24" t="n">
        <v>3.357</v>
      </c>
      <c r="BG105" s="24" t="n">
        <v>15.384</v>
      </c>
      <c r="BH105" s="24" t="n">
        <v>5.179</v>
      </c>
      <c r="BI105" s="24" t="n">
        <v>3.68</v>
      </c>
      <c r="BJ105" s="24" t="n">
        <v>4.354</v>
      </c>
      <c r="BK105" s="24" t="n">
        <v>3.59</v>
      </c>
      <c r="BL105" s="24" t="n">
        <v>16.803</v>
      </c>
      <c r="BM105" s="24" t="n">
        <v>4.695</v>
      </c>
      <c r="BN105" s="24" t="n">
        <v>4.771</v>
      </c>
      <c r="BO105" s="24" t="n">
        <v>5.698</v>
      </c>
      <c r="BP105" s="24" t="n">
        <v>3.724</v>
      </c>
      <c r="BQ105" s="24" t="n">
        <v>18.888</v>
      </c>
      <c r="BR105" s="24" t="n">
        <v>5.271</v>
      </c>
      <c r="BS105" s="24" t="n">
        <v>5.213</v>
      </c>
      <c r="BT105" s="24" t="n">
        <v>6.126</v>
      </c>
      <c r="BU105" s="24" t="n">
        <v>4.91</v>
      </c>
      <c r="BV105" s="24" t="n">
        <v>21.52</v>
      </c>
      <c r="BW105" s="24" t="n">
        <v>7.185</v>
      </c>
      <c r="BX105" s="24" t="n">
        <v>7.12</v>
      </c>
      <c r="BY105" s="25" t="n">
        <f aca="false">BY79*BY106</f>
        <v>6.5864281079171</v>
      </c>
      <c r="BZ105" s="25" t="n">
        <f aca="false">BZ79*BZ106</f>
        <v>5.27982568511272</v>
      </c>
      <c r="CA105" s="25" t="n">
        <f aca="false">SUM(BW105,BX105,BY105,BZ105)</f>
        <v>26.1712537930298</v>
      </c>
      <c r="CB105" s="25" t="n">
        <f aca="false">CB79*CB106</f>
        <v>30.8385</v>
      </c>
      <c r="CC105" s="25" t="n">
        <f aca="false">CC79*CC106</f>
        <v>33.69837525</v>
      </c>
      <c r="CD105" s="25" t="n">
        <f aca="false">CD79*CD106</f>
        <v>36.5772041025</v>
      </c>
      <c r="CE105" s="25" t="n">
        <f aca="false">CE79*CE106</f>
        <v>39.6281531364</v>
      </c>
    </row>
    <row r="106" customFormat="false" ht="15" hidden="false" customHeight="false" outlineLevel="0" collapsed="false">
      <c r="B106" s="20" t="s">
        <v>264</v>
      </c>
      <c r="C106" s="27" t="n">
        <f aca="false">IF(AND(ISNUMBER(C105),ISNUMBER(C79)),IFERROR(C105/C79,""),"")</f>
        <v>0.00516396223545515</v>
      </c>
      <c r="D106" s="27" t="n">
        <f aca="false">IF(AND(ISNUMBER(D105),ISNUMBER(D79)),IFERROR(D105/D79,""),"")</f>
        <v>0.00685373752295676</v>
      </c>
      <c r="E106" s="27" t="n">
        <f aca="false">IF(AND(ISNUMBER(E105),ISNUMBER(E79)),IFERROR(E105/E79,""),"")</f>
        <v>0.00746554908367666</v>
      </c>
      <c r="F106" s="27" t="n">
        <f aca="false">IF(AND(ISNUMBER(F105),ISNUMBER(F79)),IFERROR(F105/F79,""),"")</f>
        <v>0.00843459377020374</v>
      </c>
      <c r="G106" s="27" t="n">
        <f aca="false">IF(AND(ISNUMBER(G105),ISNUMBER(G79)),IFERROR(G105/G79,""),"")</f>
        <v>0.00706658905286155</v>
      </c>
      <c r="H106" s="27" t="n">
        <f aca="false">IF(AND(ISNUMBER(H105),ISNUMBER(H79)),IFERROR(H105/H79,""),"")</f>
        <v>0.00468373471980839</v>
      </c>
      <c r="I106" s="27" t="n">
        <f aca="false">IF(AND(ISNUMBER(I105),ISNUMBER(I79)),IFERROR(I105/I79,""),"")</f>
        <v>0.00449441201764205</v>
      </c>
      <c r="J106" s="27" t="n">
        <f aca="false">IF(AND(ISNUMBER(J105),ISNUMBER(J79)),IFERROR(J105/J79,""),"")</f>
        <v>0.00450490731195386</v>
      </c>
      <c r="K106" s="27" t="n">
        <f aca="false">IF(AND(ISNUMBER(K105),ISNUMBER(K79)),IFERROR(K105/K79,""),"")</f>
        <v>0.00082889877883135</v>
      </c>
      <c r="L106" s="27" t="n">
        <f aca="false">IF(AND(ISNUMBER(L105),ISNUMBER(L79)),IFERROR(L105/L79,""),"")</f>
        <v>0.00381742296480413</v>
      </c>
      <c r="M106" s="27" t="n">
        <f aca="false">IF(AND(ISNUMBER(M105),ISNUMBER(M79)),IFERROR(M105/M79,""),"")</f>
        <v>0.00267817586783474</v>
      </c>
      <c r="N106" s="27" t="n">
        <f aca="false">IF(AND(ISNUMBER(N105),ISNUMBER(N79)),IFERROR(N105/N79,""),"")</f>
        <v>0.00292698935904549</v>
      </c>
      <c r="O106" s="27" t="n">
        <f aca="false">IF(AND(ISNUMBER(O105),ISNUMBER(O79)),IFERROR(O105/O79,""),"")</f>
        <v>0.00374486289623518</v>
      </c>
      <c r="P106" s="27" t="n">
        <f aca="false">IF(AND(ISNUMBER(P105),ISNUMBER(P79)),IFERROR(P105/P79,""),"")</f>
        <v>0.00288756874068897</v>
      </c>
      <c r="Q106" s="27" t="n">
        <f aca="false">IF(AND(ISNUMBER(Q105),ISNUMBER(Q79)),IFERROR(Q105/Q79,""),"")</f>
        <v>0.00403221482267906</v>
      </c>
      <c r="R106" s="27" t="n">
        <f aca="false">IF(AND(ISNUMBER(R105),ISNUMBER(R79)),IFERROR(R105/R79,""),"")</f>
        <v>0.0034195736535647</v>
      </c>
      <c r="S106" s="27" t="n">
        <f aca="false">IF(AND(ISNUMBER(S105),ISNUMBER(S79)),IFERROR(S105/S79,""),"")</f>
        <v>0.00378935467735651</v>
      </c>
      <c r="T106" s="27" t="n">
        <f aca="false">IF(AND(ISNUMBER(T105),ISNUMBER(T79)),IFERROR(T105/T79,""),"")</f>
        <v>0.00479678651919905</v>
      </c>
      <c r="U106" s="27" t="n">
        <f aca="false">IF(AND(ISNUMBER(U105),ISNUMBER(U79)),IFERROR(U105/U79,""),"")</f>
        <v>0.0036794242049619</v>
      </c>
      <c r="V106" s="27" t="n">
        <f aca="false">IF(AND(ISNUMBER(V105),ISNUMBER(V79)),IFERROR(V105/V79,""),"")</f>
        <v>0.00494543655512954</v>
      </c>
      <c r="W106" s="27" t="n">
        <f aca="false">IF(AND(ISNUMBER(W105),ISNUMBER(W79)),IFERROR(W105/W79,""),"")</f>
        <v>0.00381822659680173</v>
      </c>
      <c r="X106" s="27" t="n">
        <f aca="false">IF(AND(ISNUMBER(X105),ISNUMBER(X79)),IFERROR(X105/X79,""),"")</f>
        <v>0.0042948148033965</v>
      </c>
      <c r="Y106" s="27" t="n">
        <f aca="false">IF(AND(ISNUMBER(Y105),ISNUMBER(Y79)),IFERROR(Y105/Y79,""),"")</f>
        <v>0.00540806781236408</v>
      </c>
      <c r="Z106" s="27" t="n">
        <f aca="false">IF(AND(ISNUMBER(Z105),ISNUMBER(Z79)),IFERROR(Z105/Z79,""),"")</f>
        <v>0.00424576643404422</v>
      </c>
      <c r="AA106" s="27" t="n">
        <f aca="false">IF(AND(ISNUMBER(AA105),ISNUMBER(AA79)),IFERROR(AA105/AA79,""),"")</f>
        <v>0.00557689728885488</v>
      </c>
      <c r="AB106" s="27" t="n">
        <f aca="false">IF(AND(ISNUMBER(AB105),ISNUMBER(AB79)),IFERROR(AB105/AB79,""),"")</f>
        <v>0.00294395349083927</v>
      </c>
      <c r="AC106" s="27" t="n">
        <f aca="false">IF(AND(ISNUMBER(AC105),ISNUMBER(AC79)),IFERROR(AC105/AC79,""),"")</f>
        <v>0.00449422005746039</v>
      </c>
      <c r="AD106" s="27" t="n">
        <f aca="false">IF(AND(ISNUMBER(AD105),ISNUMBER(AD79)),IFERROR(AD105/AD79,""),"")</f>
        <v>0.00642486215385673</v>
      </c>
      <c r="AE106" s="27" t="n">
        <f aca="false">IF(AND(ISNUMBER(AE105),ISNUMBER(AE79)),IFERROR(AE105/AE79,""),"")</f>
        <v>0.0046718682011722</v>
      </c>
      <c r="AF106" s="27" t="n">
        <f aca="false">IF(AND(ISNUMBER(AF105),ISNUMBER(AF79)),IFERROR(AF105/AF79,""),"")</f>
        <v>0.00555906751352789</v>
      </c>
      <c r="AG106" s="27" t="n">
        <f aca="false">IF(AND(ISNUMBER(AG105),ISNUMBER(AG79)),IFERROR(AG105/AG79,""),"")</f>
        <v>0.00392069699827254</v>
      </c>
      <c r="AH106" s="27" t="n">
        <f aca="false">IF(AND(ISNUMBER(AH105),ISNUMBER(AH79)),IFERROR(AH105/AH79,""),"")</f>
        <v>0.00509549428320063</v>
      </c>
      <c r="AI106" s="27" t="n">
        <f aca="false">IF(AND(ISNUMBER(AI105),ISNUMBER(AI79)),IFERROR(AI105/AI79,""),"")</f>
        <v>0.00838505119428991</v>
      </c>
      <c r="AJ106" s="27" t="n">
        <f aca="false">IF(AND(ISNUMBER(AJ105),ISNUMBER(AJ79)),IFERROR(AJ105/AJ79,""),"")</f>
        <v>0.00517493204878945</v>
      </c>
      <c r="AK106" s="27" t="n">
        <f aca="false">IF(AND(ISNUMBER(AK105),ISNUMBER(AK79)),IFERROR(AK105/AK79,""),"")</f>
        <v>0.0067938319731673</v>
      </c>
      <c r="AL106" s="27" t="n">
        <f aca="false">IF(AND(ISNUMBER(AL105),ISNUMBER(AL79)),IFERROR(AL105/AL79,""),"")</f>
        <v>0.00346580905365529</v>
      </c>
      <c r="AM106" s="27" t="n">
        <f aca="false">IF(AND(ISNUMBER(AM105),ISNUMBER(AM79)),IFERROR(AM105/AM79,""),"")</f>
        <v>0.00584368333654665</v>
      </c>
      <c r="AN106" s="27" t="n">
        <f aca="false">IF(AND(ISNUMBER(AN105),ISNUMBER(AN79)),IFERROR(AN105/AN79,""),"")</f>
        <v>0.00604342969390331</v>
      </c>
      <c r="AO106" s="27" t="n">
        <f aca="false">IF(AND(ISNUMBER(AO105),ISNUMBER(AO79)),IFERROR(AO105/AO79,""),"")</f>
        <v>0.00545386825582633</v>
      </c>
      <c r="AP106" s="27" t="n">
        <f aca="false">IF(AND(ISNUMBER(AP105),ISNUMBER(AP79)),IFERROR(AP105/AP79,""),"")</f>
        <v>0.00696396044756701</v>
      </c>
      <c r="AQ106" s="27" t="n">
        <f aca="false">IF(AND(ISNUMBER(AQ105),ISNUMBER(AQ79)),IFERROR(AQ105/AQ79,""),"")</f>
        <v>0.00367048863093976</v>
      </c>
      <c r="AR106" s="27" t="n">
        <f aca="false">IF(AND(ISNUMBER(AR105),ISNUMBER(AR79)),IFERROR(AR105/AR79,""),"")</f>
        <v>0.00549405718176451</v>
      </c>
      <c r="AS106" s="27" t="n">
        <f aca="false">IF(AND(ISNUMBER(AS105),ISNUMBER(AS79)),IFERROR(AS105/AS79,""),"")</f>
        <v>0.00555526910621708</v>
      </c>
      <c r="AT106" s="27" t="n">
        <f aca="false">IF(AND(ISNUMBER(AT105),ISNUMBER(AT79)),IFERROR(AT105/AT79,""),"")</f>
        <v>0.00690850054631695</v>
      </c>
      <c r="AU106" s="27" t="n">
        <f aca="false">IF(AND(ISNUMBER(AU105),ISNUMBER(AU79)),IFERROR(AU105/AU79,""),"")</f>
        <v>0.00811211761783301</v>
      </c>
      <c r="AV106" s="27" t="n">
        <f aca="false">IF(AND(ISNUMBER(AV105),ISNUMBER(AV79)),IFERROR(AV105/AV79,""),"")</f>
        <v>0.00397939094374398</v>
      </c>
      <c r="AW106" s="27" t="n">
        <f aca="false">IF(AND(ISNUMBER(AW105),ISNUMBER(AW79)),IFERROR(AW105/AW79,""),"")</f>
        <v>0.00603721099837079</v>
      </c>
      <c r="AX106" s="27" t="n">
        <f aca="false">IF(AND(ISNUMBER(AX105),ISNUMBER(AX79)),IFERROR(AX105/AX79,""),"")</f>
        <v>0.00557231362394671</v>
      </c>
      <c r="AY106" s="27" t="n">
        <f aca="false">IF(AND(ISNUMBER(AY105),ISNUMBER(AY79)),IFERROR(AY105/AY79,""),"")</f>
        <v>0.00546746152422787</v>
      </c>
      <c r="AZ106" s="27" t="n">
        <f aca="false">IF(AND(ISNUMBER(AZ105),ISNUMBER(AZ79)),IFERROR(AZ105/AZ79,""),"")</f>
        <v>0.00666431417665267</v>
      </c>
      <c r="BA106" s="27" t="n">
        <f aca="false">IF(AND(ISNUMBER(BA105),ISNUMBER(BA79)),IFERROR(BA105/BA79,""),"")</f>
        <v>0.00388296803337943</v>
      </c>
      <c r="BB106" s="27" t="n">
        <f aca="false">IF(AND(ISNUMBER(BB105),ISNUMBER(BB79)),IFERROR(BB105/BB79,""),"")</f>
        <v>0.00536726669648925</v>
      </c>
      <c r="BC106" s="27" t="n">
        <f aca="false">IF(AND(ISNUMBER(BC105),ISNUMBER(BC79)),IFERROR(BC105/BC79,""),"")</f>
        <v>0.00680833874032328</v>
      </c>
      <c r="BD106" s="27" t="n">
        <f aca="false">IF(AND(ISNUMBER(BD105),ISNUMBER(BD79)),IFERROR(BD105/BD79,""),"")</f>
        <v>0.00618849049079604</v>
      </c>
      <c r="BE106" s="27" t="n">
        <f aca="false">IF(AND(ISNUMBER(BE105),ISNUMBER(BE79)),IFERROR(BE105/BE79,""),"")</f>
        <v>0.0070526626299279</v>
      </c>
      <c r="BF106" s="27" t="n">
        <f aca="false">IF(AND(ISNUMBER(BF105),ISNUMBER(BF79)),IFERROR(BF105/BF79,""),"")</f>
        <v>0.00443071806141237</v>
      </c>
      <c r="BG106" s="27" t="n">
        <f aca="false">IF(AND(ISNUMBER(BG105),ISNUMBER(BG79)),IFERROR(BG105/BG79,""),"")</f>
        <v>0.00601636667611775</v>
      </c>
      <c r="BH106" s="27" t="n">
        <f aca="false">IF(AND(ISNUMBER(BH105),ISNUMBER(BH79)),IFERROR(BH105/BH79,""),"")</f>
        <v>0.0082094283993279</v>
      </c>
      <c r="BI106" s="27" t="n">
        <f aca="false">IF(AND(ISNUMBER(BI105),ISNUMBER(BI79)),IFERROR(BI105/BI79,""),"")</f>
        <v>0.00522433403937558</v>
      </c>
      <c r="BJ106" s="27" t="n">
        <f aca="false">IF(AND(ISNUMBER(BJ105),ISNUMBER(BJ79)),IFERROR(BJ105/BJ79,""),"")</f>
        <v>0.00601110549669624</v>
      </c>
      <c r="BK106" s="27" t="n">
        <f aca="false">IF(AND(ISNUMBER(BK105),ISNUMBER(BK79)),IFERROR(BK105/BK79,""),"")</f>
        <v>0.00456864484322167</v>
      </c>
      <c r="BL106" s="27" t="n">
        <f aca="false">IF(AND(ISNUMBER(BL105),ISNUMBER(BL79)),IFERROR(BL105/BL79,""),"")</f>
        <v>0.00590537690489085</v>
      </c>
      <c r="BM106" s="27" t="n">
        <f aca="false">IF(AND(ISNUMBER(BM105),ISNUMBER(BM79)),IFERROR(BM105/BM79,""),"")</f>
        <v>0.00658331078134574</v>
      </c>
      <c r="BN106" s="27" t="n">
        <f aca="false">IF(AND(ISNUMBER(BN105),ISNUMBER(BN79)),IFERROR(BN105/BN79,""),"")</f>
        <v>0.0060793255784024</v>
      </c>
      <c r="BO106" s="27" t="n">
        <f aca="false">IF(AND(ISNUMBER(BO105),ISNUMBER(BO79)),IFERROR(BO105/BO79,""),"")</f>
        <v>0.00713214622777306</v>
      </c>
      <c r="BP106" s="27" t="n">
        <f aca="false">IF(AND(ISNUMBER(BP105),ISNUMBER(BP79)),IFERROR(BP105/BP79,""),"")</f>
        <v>0.00451770140711113</v>
      </c>
      <c r="BQ106" s="27" t="n">
        <f aca="false">IF(AND(ISNUMBER(BQ105),ISNUMBER(BQ79)),IFERROR(BQ105/BQ79,""),"")</f>
        <v>0.00605153997402913</v>
      </c>
      <c r="BR106" s="27" t="n">
        <f aca="false">IF(AND(ISNUMBER(BR105),ISNUMBER(BR79)),IFERROR(BR105/BR79,""),"")</f>
        <v>0.00654258389240919</v>
      </c>
      <c r="BS106" s="27" t="n">
        <f aca="false">IF(AND(ISNUMBER(BS105),ISNUMBER(BS79)),IFERROR(BS105/BS79,""),"")</f>
        <v>0.00594700288394845</v>
      </c>
      <c r="BT106" s="27" t="n">
        <f aca="false">IF(AND(ISNUMBER(BT105),ISNUMBER(BT79)),IFERROR(BT105/BT79,""),"")</f>
        <v>0.00704810336297847</v>
      </c>
      <c r="BU106" s="27" t="n">
        <f aca="false">IF(AND(ISNUMBER(BU105),ISNUMBER(BU79)),IFERROR(BU105/BU79,""),"")</f>
        <v>0.00518489811305612</v>
      </c>
      <c r="BV106" s="27" t="n">
        <f aca="false">IF(AND(ISNUMBER(BV105),ISNUMBER(BV79)),IFERROR(BV105/BV79,""),"")</f>
        <v>0.00615143272356399</v>
      </c>
      <c r="BW106" s="27" t="n">
        <f aca="false">IF(AND(ISNUMBER(BW105),ISNUMBER(BW79)),IFERROR(BW105/BW79,""),"")</f>
        <v>0.00786374327313402</v>
      </c>
      <c r="BX106" s="27" t="n">
        <f aca="false">IF(AND(ISNUMBER(BX105),ISNUMBER(BX79)),IFERROR(BX105/BX79,""),"")</f>
        <v>0.00770556099081393</v>
      </c>
      <c r="BY106" s="22" t="n">
        <f aca="false">IFERROR(BT105/BT79,0)</f>
        <v>0.00704810336297847</v>
      </c>
      <c r="BZ106" s="22" t="n">
        <f aca="false">IFERROR(BU105/BU79,0)</f>
        <v>0.00518489811305612</v>
      </c>
      <c r="CA106" s="22" t="n">
        <f aca="false">IFERROR(CA105/CA79,"")</f>
        <v>0.0069044331336314</v>
      </c>
      <c r="CB106" s="38" t="n">
        <v>0.0075</v>
      </c>
      <c r="CC106" s="38" t="n">
        <v>0.0075</v>
      </c>
      <c r="CD106" s="38" t="n">
        <v>0.0075</v>
      </c>
      <c r="CE106" s="38" t="n">
        <v>0.0075</v>
      </c>
      <c r="CF106" s="18" t="s">
        <v>265</v>
      </c>
    </row>
    <row r="107" customFormat="false" ht="15" hidden="false" customHeight="false" outlineLevel="0" collapsed="false">
      <c r="B107" s="20" t="s">
        <v>266</v>
      </c>
      <c r="C107" s="27" t="n">
        <f aca="false">IF(AND(ISNUMBER(C118),ISNUMBER(C114)),IFERROR(C118/C114,""),"")</f>
        <v>0.0302935292534834</v>
      </c>
      <c r="D107" s="27" t="n">
        <f aca="false">IF(AND(ISNUMBER(D118),ISNUMBER(D114)),IFERROR(D118/D114,""),"")</f>
        <v>0.0301038110096952</v>
      </c>
      <c r="E107" s="27" t="n">
        <f aca="false">IF(AND(ISNUMBER(E118),ISNUMBER(E114)),IFERROR(E118/E114,""),"")</f>
        <v>0.0271099478728403</v>
      </c>
      <c r="F107" s="27" t="n">
        <f aca="false">IF(AND(ISNUMBER(F118),ISNUMBER(F114)),IFERROR(F118/F114,""),"")</f>
        <v>0.0301957793876299</v>
      </c>
      <c r="G107" s="27" t="n">
        <f aca="false">IF(AND(ISNUMBER(G118),ISNUMBER(G114)),IFERROR(G118/G114,""),"")</f>
        <v>0.0285933272552286</v>
      </c>
      <c r="H107" s="27" t="n">
        <f aca="false">IF(AND(ISNUMBER(H118),ISNUMBER(H114)),IFERROR(H118/H114,""),"")</f>
        <v>0.0302390793182515</v>
      </c>
      <c r="I107" s="27" t="n">
        <f aca="false">IF(AND(ISNUMBER(I118),ISNUMBER(I114)),IFERROR(I118/I114,""),"")</f>
        <v>0.0284652450570049</v>
      </c>
      <c r="J107" s="27" t="n">
        <f aca="false">IF(AND(ISNUMBER(J118),ISNUMBER(J114)),IFERROR(J118/J114,""),"")</f>
        <v>0.0297087670220538</v>
      </c>
      <c r="K107" s="27" t="n">
        <f aca="false">IF(AND(ISNUMBER(K118),ISNUMBER(K114)),IFERROR(K118/K114,""),"")</f>
        <v>0.0257460493745214</v>
      </c>
      <c r="L107" s="27" t="n">
        <f aca="false">IF(AND(ISNUMBER(L118),ISNUMBER(L114)),IFERROR(L118/L114,""),"")</f>
        <v>0.0267269552014677</v>
      </c>
      <c r="M107" s="27" t="n">
        <f aca="false">IF(AND(ISNUMBER(M118),ISNUMBER(M114)),IFERROR(M118/M114,""),"")</f>
        <v>0.0275949294727967</v>
      </c>
      <c r="N107" s="27" t="n">
        <f aca="false">IF(AND(ISNUMBER(N118),ISNUMBER(N114)),IFERROR(N118/N114,""),"")</f>
        <v>0.0274314144937949</v>
      </c>
      <c r="O107" s="27" t="n">
        <f aca="false">IF(AND(ISNUMBER(O118),ISNUMBER(O114)),IFERROR(O118/O114,""),"")</f>
        <v>0.0286071978697</v>
      </c>
      <c r="P107" s="27" t="n">
        <f aca="false">IF(AND(ISNUMBER(P118),ISNUMBER(P114)),IFERROR(P118/P114,""),"")</f>
        <v>0.0270073507323144</v>
      </c>
      <c r="Q107" s="27" t="n">
        <f aca="false">IF(AND(ISNUMBER(Q118),ISNUMBER(Q114)),IFERROR(Q118/Q114,""),"")</f>
        <v>0.0302219505481739</v>
      </c>
      <c r="R107" s="27" t="n">
        <f aca="false">IF(AND(ISNUMBER(R118),ISNUMBER(R114)),IFERROR(R118/R114,""),"")</f>
        <v>0.0291519527197661</v>
      </c>
      <c r="S107" s="27" t="n">
        <f aca="false">IF(AND(ISNUMBER(S118),ISNUMBER(S114)),IFERROR(S118/S114,""),"")</f>
        <v>0.0302444000024965</v>
      </c>
      <c r="T107" s="27" t="n">
        <f aca="false">IF(AND(ISNUMBER(T118),ISNUMBER(T114)),IFERROR(T118/T114,""),"")</f>
        <v>0.0279421968916091</v>
      </c>
      <c r="U107" s="27" t="n">
        <f aca="false">IF(AND(ISNUMBER(U118),ISNUMBER(U114)),IFERROR(U118/U114,""),"")</f>
        <v>0.0281019233520545</v>
      </c>
      <c r="V107" s="27" t="n">
        <f aca="false">IF(AND(ISNUMBER(V118),ISNUMBER(V114)),IFERROR(V118/V114,""),"")</f>
        <v>0.0286374837070795</v>
      </c>
      <c r="W107" s="27" t="n">
        <f aca="false">IF(AND(ISNUMBER(W118),ISNUMBER(W114)),IFERROR(W118/W114,""),"")</f>
        <v>0.0258239845096857</v>
      </c>
      <c r="X107" s="27" t="n">
        <f aca="false">IF(AND(ISNUMBER(X118),ISNUMBER(X114)),IFERROR(X118/X114,""),"")</f>
        <v>0.0275819326711953</v>
      </c>
      <c r="Y107" s="27" t="n">
        <f aca="false">IF(AND(ISNUMBER(Y118),ISNUMBER(Y114)),IFERROR(Y118/Y114,""),"")</f>
        <v>0.0301088167592506</v>
      </c>
      <c r="Z107" s="27" t="n">
        <f aca="false">IF(AND(ISNUMBER(Z118),ISNUMBER(Z114)),IFERROR(Z118/Z114,""),"")</f>
        <v>0.0285979210385047</v>
      </c>
      <c r="AA107" s="27" t="n">
        <f aca="false">IF(AND(ISNUMBER(AA118),ISNUMBER(AA114)),IFERROR(AA118/AA114,""),"")</f>
        <v>0.0277484164609183</v>
      </c>
      <c r="AB107" s="27" t="n">
        <f aca="false">IF(AND(ISNUMBER(AB118),ISNUMBER(AB114)),IFERROR(AB118/AB114,""),"")</f>
        <v>0.0249749808156785</v>
      </c>
      <c r="AC107" s="27" t="n">
        <f aca="false">IF(AND(ISNUMBER(AC118),ISNUMBER(AC114)),IFERROR(AC118/AC114,""),"")</f>
        <v>0.0277827961180333</v>
      </c>
      <c r="AD107" s="27" t="n">
        <f aca="false">IF(AND(ISNUMBER(AD118),ISNUMBER(AD114)),IFERROR(AD118/AD114,""),"")</f>
        <v>0.0292174617210762</v>
      </c>
      <c r="AE107" s="27" t="n">
        <f aca="false">IF(AND(ISNUMBER(AE118),ISNUMBER(AE114)),IFERROR(AE118/AE114,""),"")</f>
        <v>0.0273071753342271</v>
      </c>
      <c r="AF107" s="27" t="n">
        <f aca="false">IF(AND(ISNUMBER(AF118),ISNUMBER(AF114)),IFERROR(AF118/AF114,""),"")</f>
        <v>0.025664684513674</v>
      </c>
      <c r="AG107" s="27" t="n">
        <f aca="false">IF(AND(ISNUMBER(AG118),ISNUMBER(AG114)),IFERROR(AG118/AG114,""),"")</f>
        <v>0.0244067065328062</v>
      </c>
      <c r="AH107" s="27" t="n">
        <f aca="false">IF(AND(ISNUMBER(AH118),ISNUMBER(AH114)),IFERROR(AH118/AH114,""),"")</f>
        <v>0.0265553983089582</v>
      </c>
      <c r="AI107" s="27" t="n">
        <f aca="false">IF(AND(ISNUMBER(AI118),ISNUMBER(AI114)),IFERROR(AI118/AI114,""),"")</f>
        <v>0.029114811824913</v>
      </c>
      <c r="AJ107" s="27" t="n">
        <f aca="false">IF(AND(ISNUMBER(AJ118),ISNUMBER(AJ114)),IFERROR(AJ118/AJ114,""),"")</f>
        <v>0.0242689803932948</v>
      </c>
      <c r="AK107" s="27" t="n">
        <f aca="false">IF(AND(ISNUMBER(AK118),ISNUMBER(AK114)),IFERROR(AK118/AK114,""),"")</f>
        <v>0.0239152962832952</v>
      </c>
      <c r="AL107" s="27" t="n">
        <f aca="false">IF(AND(ISNUMBER(AL118),ISNUMBER(AL114)),IFERROR(AL118/AL114,""),"")</f>
        <v>0.0297415135471816</v>
      </c>
      <c r="AM107" s="27" t="n">
        <f aca="false">IF(AND(ISNUMBER(AM118),ISNUMBER(AM114)),IFERROR(AM118/AM114,""),"")</f>
        <v>0.026753488526371</v>
      </c>
      <c r="AN107" s="27" t="n">
        <f aca="false">IF(AND(ISNUMBER(AN118),ISNUMBER(AN114)),IFERROR(AN118/AN114,""),"")</f>
        <v>0.0298125239921565</v>
      </c>
      <c r="AO107" s="27" t="n">
        <f aca="false">IF(AND(ISNUMBER(AO118),ISNUMBER(AO114)),IFERROR(AO118/AO114,""),"")</f>
        <v>0.0295776499383408</v>
      </c>
      <c r="AP107" s="27" t="n">
        <f aca="false">IF(AND(ISNUMBER(AP118),ISNUMBER(AP114)),IFERROR(AP118/AP114,""),"")</f>
        <v>0.0298627374447047</v>
      </c>
      <c r="AQ107" s="27" t="n">
        <f aca="false">IF(AND(ISNUMBER(AQ118),ISNUMBER(AQ114)),IFERROR(AQ118/AQ114,""),"")</f>
        <v>0.0274745299807402</v>
      </c>
      <c r="AR107" s="27" t="n">
        <f aca="false">IF(AND(ISNUMBER(AR118),ISNUMBER(AR114)),IFERROR(AR118/AR114,""),"")</f>
        <v>0.0291483668755258</v>
      </c>
      <c r="AS107" s="27" t="n">
        <f aca="false">IF(AND(ISNUMBER(AS118),ISNUMBER(AS114)),IFERROR(AS118/AS114,""),"")</f>
        <v>0.0304491950681186</v>
      </c>
      <c r="AT107" s="27" t="n">
        <f aca="false">IF(AND(ISNUMBER(AT118),ISNUMBER(AT114)),IFERROR(AT118/AT114,""),"")</f>
        <v>0.0332135253896485</v>
      </c>
      <c r="AU107" s="27" t="n">
        <f aca="false">IF(AND(ISNUMBER(AU118),ISNUMBER(AU114)),IFERROR(AU118/AU114,""),"")</f>
        <v>0.0307672660221758</v>
      </c>
      <c r="AV107" s="27" t="n">
        <f aca="false">IF(AND(ISNUMBER(AV118),ISNUMBER(AV114)),IFERROR(AV118/AV114,""),"")</f>
        <v>0.0308971282560693</v>
      </c>
      <c r="AW107" s="27" t="n">
        <f aca="false">IF(AND(ISNUMBER(AW118),ISNUMBER(AW114)),IFERROR(AW118/AW114,""),"")</f>
        <v>0.0312862767925545</v>
      </c>
      <c r="AX107" s="27" t="n">
        <f aca="false">IF(AND(ISNUMBER(AX118),ISNUMBER(AX114)),IFERROR(AX118/AX114,""),"")</f>
        <v>0.0366178216893138</v>
      </c>
      <c r="AY107" s="27" t="n">
        <f aca="false">IF(AND(ISNUMBER(AY118),ISNUMBER(AY114)),IFERROR(AY118/AY114,""),"")</f>
        <v>0.0373196888148738</v>
      </c>
      <c r="AZ107" s="27" t="n">
        <f aca="false">IF(AND(ISNUMBER(AZ118),ISNUMBER(AZ114)),IFERROR(AZ118/AZ114,""),"")</f>
        <v>0.0348329651525332</v>
      </c>
      <c r="BA107" s="27" t="n">
        <f aca="false">IF(AND(ISNUMBER(BA118),ISNUMBER(BA114)),IFERROR(BA118/BA114,""),"")</f>
        <v>0.0327165178370563</v>
      </c>
      <c r="BB107" s="27" t="n">
        <f aca="false">IF(AND(ISNUMBER(BB118),ISNUMBER(BB114)),IFERROR(BB118/BB114,""),"")</f>
        <v>0.0353118262234675</v>
      </c>
      <c r="BC107" s="27" t="n">
        <f aca="false">IF(AND(ISNUMBER(BC118),ISNUMBER(BC114)),IFERROR(BC118/BC114,""),"")</f>
        <v>0.0367299954777902</v>
      </c>
      <c r="BD107" s="27" t="n">
        <f aca="false">IF(AND(ISNUMBER(BD118),ISNUMBER(BD114)),IFERROR(BD118/BD114,""),"")</f>
        <v>0.0391691569966374</v>
      </c>
      <c r="BE107" s="27" t="n">
        <f aca="false">IF(AND(ISNUMBER(BE118),ISNUMBER(BE114)),IFERROR(BE118/BE114,""),"")</f>
        <v>0.0275746897113912</v>
      </c>
      <c r="BF107" s="27" t="n">
        <f aca="false">IF(AND(ISNUMBER(BF118),ISNUMBER(BF114)),IFERROR(BF118/BF114,""),"")</f>
        <v>0.0251192809487042</v>
      </c>
      <c r="BG107" s="27" t="n">
        <f aca="false">IF(AND(ISNUMBER(BG118),ISNUMBER(BG114)),IFERROR(BG118/BG114,""),"")</f>
        <v>0.0316133006130171</v>
      </c>
      <c r="BH107" s="27" t="n">
        <f aca="false">IF(AND(ISNUMBER(BH118),ISNUMBER(BH114)),IFERROR(BH118/BH114,""),"")</f>
        <v>0.0349110737723108</v>
      </c>
      <c r="BI107" s="27" t="n">
        <f aca="false">IF(AND(ISNUMBER(BI118),ISNUMBER(BI114)),IFERROR(BI118/BI114,""),"")</f>
        <v>0.0286912475368969</v>
      </c>
      <c r="BJ107" s="27" t="n">
        <f aca="false">IF(AND(ISNUMBER(BJ118),ISNUMBER(BJ114)),IFERROR(BJ118/BJ114,""),"")</f>
        <v>0.0323942534162794</v>
      </c>
      <c r="BK107" s="27" t="n">
        <f aca="false">IF(AND(ISNUMBER(BK118),ISNUMBER(BK114)),IFERROR(BK118/BK114,""),"")</f>
        <v>0.0255360522072663</v>
      </c>
      <c r="BL107" s="27" t="n">
        <f aca="false">IF(AND(ISNUMBER(BL118),ISNUMBER(BL114)),IFERROR(BL118/BL114,""),"")</f>
        <v>0.0301415666768469</v>
      </c>
      <c r="BM107" s="27" t="n">
        <f aca="false">IF(AND(ISNUMBER(BM118),ISNUMBER(BM114)),IFERROR(BM118/BM114,""),"")</f>
        <v>0.0322224668275453</v>
      </c>
      <c r="BN107" s="27" t="n">
        <f aca="false">IF(AND(ISNUMBER(BN118),ISNUMBER(BN114)),IFERROR(BN118/BN114,""),"")</f>
        <v>0.0282266233939992</v>
      </c>
      <c r="BO107" s="27" t="n">
        <f aca="false">IF(AND(ISNUMBER(BO118),ISNUMBER(BO114)),IFERROR(BO118/BO114,""),"")</f>
        <v>0.0259526008927074</v>
      </c>
      <c r="BP107" s="27" t="n">
        <f aca="false">IF(AND(ISNUMBER(BP118),ISNUMBER(BP114)),IFERROR(BP118/BP114,""),"")</f>
        <v>0.0312757411323126</v>
      </c>
      <c r="BQ107" s="27" t="n">
        <f aca="false">IF(AND(ISNUMBER(BQ118),ISNUMBER(BQ114)),IFERROR(BQ118/BQ114,""),"")</f>
        <v>0.0293628485811016</v>
      </c>
      <c r="BR107" s="27" t="n">
        <f aca="false">IF(AND(ISNUMBER(BR118),ISNUMBER(BR114)),IFERROR(BR118/BR114,""),"")</f>
        <v>0.0285721378522799</v>
      </c>
      <c r="BS107" s="27" t="n">
        <f aca="false">IF(AND(ISNUMBER(BS118),ISNUMBER(BS114)),IFERROR(BS118/BS114,""),"")</f>
        <v>0.0265898222173548</v>
      </c>
      <c r="BT107" s="27" t="n">
        <f aca="false">IF(AND(ISNUMBER(BT118),ISNUMBER(BT114)),IFERROR(BT118/BT114,""),"")</f>
        <v>0.0269302898167217</v>
      </c>
      <c r="BU107" s="27" t="n">
        <f aca="false">IF(AND(ISNUMBER(BU118),ISNUMBER(BU114)),IFERROR(BU118/BU114,""),"")</f>
        <v>0.0268505915113397</v>
      </c>
      <c r="BV107" s="27" t="n">
        <f aca="false">IF(AND(ISNUMBER(BV118),ISNUMBER(BV114)),IFERROR(BV118/BV114,""),"")</f>
        <v>0.0272015097308119</v>
      </c>
      <c r="BW107" s="27" t="n">
        <f aca="false">IF(AND(ISNUMBER(BW118),ISNUMBER(BW114)),IFERROR(BW118/BW114,""),"")</f>
        <v>0.0264663938525994</v>
      </c>
      <c r="BX107" s="27" t="n">
        <f aca="false">IF(AND(ISNUMBER(BX118),ISNUMBER(BX114)),IFERROR(BX118/BX114,""),"")</f>
        <v>0.0272075566445312</v>
      </c>
      <c r="BY107" s="22" t="n">
        <f aca="false">IFERROR(BT118/BT114,0)</f>
        <v>0.0269302898167217</v>
      </c>
      <c r="BZ107" s="22" t="n">
        <f aca="false">IFERROR(BU118/BU114,0)</f>
        <v>0.0268505915113397</v>
      </c>
      <c r="CA107" s="22" t="n">
        <f aca="false">IFERROR(CA118/CA114,"")</f>
        <v>0.0268646477102791</v>
      </c>
      <c r="CB107" s="38" t="n">
        <v>0.027</v>
      </c>
      <c r="CC107" s="38" t="n">
        <v>0.027</v>
      </c>
      <c r="CD107" s="38" t="n">
        <v>0.027</v>
      </c>
      <c r="CE107" s="38" t="n">
        <v>0.027</v>
      </c>
      <c r="CF107" s="18" t="s">
        <v>267</v>
      </c>
    </row>
    <row r="108" customFormat="false" ht="15" hidden="false" customHeight="false" outlineLevel="0" collapsed="false">
      <c r="B108" s="20" t="s">
        <v>268</v>
      </c>
      <c r="C108" s="27" t="n">
        <f aca="false">IF(AND(ISNUMBER(C119),ISNUMBER(C114)),IFERROR(C119/C114,""),"")</f>
        <v>0.0597018301219431</v>
      </c>
      <c r="D108" s="27" t="n">
        <f aca="false">IF(AND(ISNUMBER(D119),ISNUMBER(D114)),IFERROR(D119/D114,""),"")</f>
        <v>0.0578654677650736</v>
      </c>
      <c r="E108" s="27" t="n">
        <f aca="false">IF(AND(ISNUMBER(E119),ISNUMBER(E114)),IFERROR(E119/E114,""),"")</f>
        <v>0.0586337657228409</v>
      </c>
      <c r="F108" s="27" t="n">
        <f aca="false">IF(AND(ISNUMBER(F119),ISNUMBER(F114)),IFERROR(F119/F114,""),"")</f>
        <v>0.0586769004636153</v>
      </c>
      <c r="G108" s="27" t="n">
        <f aca="false">IF(AND(ISNUMBER(G119),ISNUMBER(G114)),IFERROR(G119/G114,""),"")</f>
        <v>0.0590412511739792</v>
      </c>
      <c r="H108" s="27" t="n">
        <f aca="false">IF(AND(ISNUMBER(H119),ISNUMBER(H114)),IFERROR(H119/H114,""),"")</f>
        <v>0.0581452975225521</v>
      </c>
      <c r="I108" s="27" t="n">
        <f aca="false">IF(AND(ISNUMBER(I119),ISNUMBER(I114)),IFERROR(I119/I114,""),"")</f>
        <v>0.0596844377408572</v>
      </c>
      <c r="J108" s="27" t="n">
        <f aca="false">IF(AND(ISNUMBER(J119),ISNUMBER(J114)),IFERROR(J119/J114,""),"")</f>
        <v>0.0620833593448144</v>
      </c>
      <c r="K108" s="27" t="n">
        <f aca="false">IF(AND(ISNUMBER(K119),ISNUMBER(K114)),IFERROR(K119/K114,""),"")</f>
        <v>0.0629768798760537</v>
      </c>
      <c r="L108" s="27" t="n">
        <f aca="false">IF(AND(ISNUMBER(L119),ISNUMBER(L114)),IFERROR(L119/L114,""),"")</f>
        <v>0.0632946374613555</v>
      </c>
      <c r="M108" s="27" t="n">
        <f aca="false">IF(AND(ISNUMBER(M119),ISNUMBER(M114)),IFERROR(M119/M114,""),"")</f>
        <v>0.0566232689751761</v>
      </c>
      <c r="N108" s="27" t="n">
        <f aca="false">IF(AND(ISNUMBER(N119),ISNUMBER(N114)),IFERROR(N119/N114,""),"")</f>
        <v>0.0610712804951149</v>
      </c>
      <c r="O108" s="27" t="n">
        <f aca="false">IF(AND(ISNUMBER(O119),ISNUMBER(O114)),IFERROR(O119/O114,""),"")</f>
        <v>0.0617980330894963</v>
      </c>
      <c r="P108" s="27" t="n">
        <f aca="false">IF(AND(ISNUMBER(P119),ISNUMBER(P114)),IFERROR(P119/P114,""),"")</f>
        <v>0.0567811885012231</v>
      </c>
      <c r="Q108" s="27" t="n">
        <f aca="false">IF(AND(ISNUMBER(Q119),ISNUMBER(Q114)),IFERROR(Q119/Q114,""),"")</f>
        <v>0.0547977279470379</v>
      </c>
      <c r="R108" s="27" t="n">
        <f aca="false">IF(AND(ISNUMBER(R119),ISNUMBER(R114)),IFERROR(R119/R114,""),"")</f>
        <v>0.0570481988731824</v>
      </c>
      <c r="S108" s="27" t="n">
        <f aca="false">IF(AND(ISNUMBER(S119),ISNUMBER(S114)),IFERROR(S119/S114,""),"")</f>
        <v>0.0570654524088259</v>
      </c>
      <c r="T108" s="27" t="n">
        <f aca="false">IF(AND(ISNUMBER(T119),ISNUMBER(T114)),IFERROR(T119/T114,""),"")</f>
        <v>0.0569169844690305</v>
      </c>
      <c r="U108" s="27" t="n">
        <f aca="false">IF(AND(ISNUMBER(U119),ISNUMBER(U114)),IFERROR(U119/U114,""),"")</f>
        <v>0.0533846667424807</v>
      </c>
      <c r="V108" s="27" t="n">
        <f aca="false">IF(AND(ISNUMBER(V119),ISNUMBER(V114)),IFERROR(V119/V114,""),"")</f>
        <v>0.0575546823712978</v>
      </c>
      <c r="W108" s="27" t="n">
        <f aca="false">IF(AND(ISNUMBER(W119),ISNUMBER(W114)),IFERROR(W119/W114,""),"")</f>
        <v>0.0527248176236295</v>
      </c>
      <c r="X108" s="27" t="n">
        <f aca="false">IF(AND(ISNUMBER(X119),ISNUMBER(X114)),IFERROR(X119/X114,""),"")</f>
        <v>0.0550768174755847</v>
      </c>
      <c r="Y108" s="27" t="n">
        <f aca="false">IF(AND(ISNUMBER(Y119),ISNUMBER(Y114)),IFERROR(Y119/Y114,""),"")</f>
        <v>0.0588393011417915</v>
      </c>
      <c r="Z108" s="27" t="n">
        <f aca="false">IF(AND(ISNUMBER(Z119),ISNUMBER(Z114)),IFERROR(Z119/Z114,""),"")</f>
        <v>0.0546694045791211</v>
      </c>
      <c r="AA108" s="27" t="n">
        <f aca="false">IF(AND(ISNUMBER(AA119),ISNUMBER(AA114)),IFERROR(AA119/AA114,""),"")</f>
        <v>0.0518111111987568</v>
      </c>
      <c r="AB108" s="27" t="n">
        <f aca="false">IF(AND(ISNUMBER(AB119),ISNUMBER(AB114)),IFERROR(AB119/AB114,""),"")</f>
        <v>0.0463305785708476</v>
      </c>
      <c r="AC108" s="27" t="n">
        <f aca="false">IF(AND(ISNUMBER(AC119),ISNUMBER(AC114)),IFERROR(AC119/AC114,""),"")</f>
        <v>0.0527414125924461</v>
      </c>
      <c r="AD108" s="27" t="n">
        <f aca="false">IF(AND(ISNUMBER(AD119),ISNUMBER(AD114)),IFERROR(AD119/AD114,""),"")</f>
        <v>0.0552969779847247</v>
      </c>
      <c r="AE108" s="27" t="n">
        <f aca="false">IF(AND(ISNUMBER(AE119),ISNUMBER(AE114)),IFERROR(AE119/AE114,""),"")</f>
        <v>0.0503124267818544</v>
      </c>
      <c r="AF108" s="27" t="n">
        <f aca="false">IF(AND(ISNUMBER(AF119),ISNUMBER(AF114)),IFERROR(AF119/AF114,""),"")</f>
        <v>0.050744760090227</v>
      </c>
      <c r="AG108" s="27" t="n">
        <f aca="false">IF(AND(ISNUMBER(AG119),ISNUMBER(AG114)),IFERROR(AG119/AG114,""),"")</f>
        <v>0.0550286738761295</v>
      </c>
      <c r="AH108" s="27" t="n">
        <f aca="false">IF(AND(ISNUMBER(AH119),ISNUMBER(AH114)),IFERROR(AH119/AH114,""),"")</f>
        <v>0.0528404342354513</v>
      </c>
      <c r="AI108" s="27" t="n">
        <f aca="false">IF(AND(ISNUMBER(AI119),ISNUMBER(AI114)),IFERROR(AI119/AI114,""),"")</f>
        <v>0.0575684630023999</v>
      </c>
      <c r="AJ108" s="27" t="n">
        <f aca="false">IF(AND(ISNUMBER(AJ119),ISNUMBER(AJ114)),IFERROR(AJ119/AJ114,""),"")</f>
        <v>0.052660173013616</v>
      </c>
      <c r="AK108" s="27" t="n">
        <f aca="false">IF(AND(ISNUMBER(AK119),ISNUMBER(AK114)),IFERROR(AK119/AK114,""),"")</f>
        <v>0.0509932095271527</v>
      </c>
      <c r="AL108" s="27" t="n">
        <f aca="false">IF(AND(ISNUMBER(AL119),ISNUMBER(AL114)),IFERROR(AL119/AL114,""),"")</f>
        <v>0.0494818245449584</v>
      </c>
      <c r="AM108" s="27" t="n">
        <f aca="false">IF(AND(ISNUMBER(AM119),ISNUMBER(AM114)),IFERROR(AM119/AM114,""),"")</f>
        <v>0.0525081525062867</v>
      </c>
      <c r="AN108" s="27" t="n">
        <f aca="false">IF(AND(ISNUMBER(AN119),ISNUMBER(AN114)),IFERROR(AN119/AN114,""),"")</f>
        <v>0.0544289088626594</v>
      </c>
      <c r="AO108" s="27" t="n">
        <f aca="false">IF(AND(ISNUMBER(AO119),ISNUMBER(AO114)),IFERROR(AO119/AO114,""),"")</f>
        <v>0.0480331645268515</v>
      </c>
      <c r="AP108" s="27" t="n">
        <f aca="false">IF(AND(ISNUMBER(AP119),ISNUMBER(AP114)),IFERROR(AP119/AP114,""),"")</f>
        <v>0.0457536429872495</v>
      </c>
      <c r="AQ108" s="27" t="n">
        <f aca="false">IF(AND(ISNUMBER(AQ119),ISNUMBER(AQ114)),IFERROR(AQ119/AQ114,""),"")</f>
        <v>0.0465985839568996</v>
      </c>
      <c r="AR108" s="27" t="n">
        <f aca="false">IF(AND(ISNUMBER(AR119),ISNUMBER(AR114)),IFERROR(AR119/AR114,""),"")</f>
        <v>0.0485783338243646</v>
      </c>
      <c r="AS108" s="27" t="n">
        <f aca="false">IF(AND(ISNUMBER(AS119),ISNUMBER(AS114)),IFERROR(AS119/AS114,""),"")</f>
        <v>0.0525388744093369</v>
      </c>
      <c r="AT108" s="27" t="n">
        <f aca="false">IF(AND(ISNUMBER(AT119),ISNUMBER(AT114)),IFERROR(AT119/AT114,""),"")</f>
        <v>0.0458015405956218</v>
      </c>
      <c r="AU108" s="27" t="n">
        <f aca="false">IF(AND(ISNUMBER(AU119),ISNUMBER(AU114)),IFERROR(AU119/AU114,""),"")</f>
        <v>0.0435066320978842</v>
      </c>
      <c r="AV108" s="27" t="n">
        <f aca="false">IF(AND(ISNUMBER(AV119),ISNUMBER(AV114)),IFERROR(AV119/AV114,""),"")</f>
        <v>0.0417192764090934</v>
      </c>
      <c r="AW108" s="27" t="n">
        <f aca="false">IF(AND(ISNUMBER(AW119),ISNUMBER(AW114)),IFERROR(AW119/AW114,""),"")</f>
        <v>0.0458057755162805</v>
      </c>
      <c r="AX108" s="27" t="n">
        <f aca="false">IF(AND(ISNUMBER(AX119),ISNUMBER(AX114)),IFERROR(AX119/AX114,""),"")</f>
        <v>0.0495696405212885</v>
      </c>
      <c r="AY108" s="27" t="n">
        <f aca="false">IF(AND(ISNUMBER(AY119),ISNUMBER(AY114)),IFERROR(AY119/AY114,""),"")</f>
        <v>0.047569167893547</v>
      </c>
      <c r="AZ108" s="27" t="n">
        <f aca="false">IF(AND(ISNUMBER(AZ119),ISNUMBER(AZ114)),IFERROR(AZ119/AZ114,""),"")</f>
        <v>0.048446792637673</v>
      </c>
      <c r="BA108" s="27" t="n">
        <f aca="false">IF(AND(ISNUMBER(BA119),ISNUMBER(BA114)),IFERROR(BA119/BA114,""),"")</f>
        <v>0.0415878024710615</v>
      </c>
      <c r="BB108" s="27" t="n">
        <f aca="false">IF(AND(ISNUMBER(BB119),ISNUMBER(BB114)),IFERROR(BB119/BB114,""),"")</f>
        <v>0.0466716761155834</v>
      </c>
      <c r="BC108" s="27" t="n">
        <f aca="false">IF(AND(ISNUMBER(BC119),ISNUMBER(BC114)),IFERROR(BC119/BC114,""),"")</f>
        <v>0.0502126153565664</v>
      </c>
      <c r="BD108" s="27" t="n">
        <f aca="false">IF(AND(ISNUMBER(BD119),ISNUMBER(BD114)),IFERROR(BD119/BD114,""),"")</f>
        <v>0.0499001406400517</v>
      </c>
      <c r="BE108" s="27" t="n">
        <f aca="false">IF(AND(ISNUMBER(BE119),ISNUMBER(BE114)),IFERROR(BE119/BE114,""),"")</f>
        <v>0.0505723647274884</v>
      </c>
      <c r="BF108" s="27" t="n">
        <f aca="false">IF(AND(ISNUMBER(BF119),ISNUMBER(BF114)),IFERROR(BF119/BF114,""),"")</f>
        <v>0.0411778292517142</v>
      </c>
      <c r="BG108" s="27" t="n">
        <f aca="false">IF(AND(ISNUMBER(BG119),ISNUMBER(BG114)),IFERROR(BG119/BG114,""),"")</f>
        <v>0.0475497893059317</v>
      </c>
      <c r="BH108" s="27" t="n">
        <f aca="false">IF(AND(ISNUMBER(BH119),ISNUMBER(BH114)),IFERROR(BH119/BH114,""),"")</f>
        <v>0.0513980914941508</v>
      </c>
      <c r="BI108" s="27" t="n">
        <f aca="false">IF(AND(ISNUMBER(BI119),ISNUMBER(BI114)),IFERROR(BI119/BI114,""),"")</f>
        <v>0.048655869709652</v>
      </c>
      <c r="BJ108" s="27" t="n">
        <f aca="false">IF(AND(ISNUMBER(BJ119),ISNUMBER(BJ114)),IFERROR(BJ119/BJ114,""),"")</f>
        <v>0.0470561597954512</v>
      </c>
      <c r="BK108" s="27" t="n">
        <f aca="false">IF(AND(ISNUMBER(BK119),ISNUMBER(BK114)),IFERROR(BK119/BK114,""),"")</f>
        <v>0.0462031252584975</v>
      </c>
      <c r="BL108" s="27" t="n">
        <f aca="false">IF(AND(ISNUMBER(BL119),ISNUMBER(BL114)),IFERROR(BL119/BL114,""),"")</f>
        <v>0.0481792721024625</v>
      </c>
      <c r="BM108" s="27" t="n">
        <f aca="false">IF(AND(ISNUMBER(BM119),ISNUMBER(BM114)),IFERROR(BM119/BM114,""),"")</f>
        <v>0.0515517403357138</v>
      </c>
      <c r="BN108" s="27" t="n">
        <f aca="false">IF(AND(ISNUMBER(BN119),ISNUMBER(BN114)),IFERROR(BN119/BN114,""),"")</f>
        <v>0.044758413386494</v>
      </c>
      <c r="BO108" s="27" t="n">
        <f aca="false">IF(AND(ISNUMBER(BO119),ISNUMBER(BO114)),IFERROR(BO119/BO114,""),"")</f>
        <v>0.0467019143391437</v>
      </c>
      <c r="BP108" s="27" t="n">
        <f aca="false">IF(AND(ISNUMBER(BP119),ISNUMBER(BP114)),IFERROR(BP119/BP114,""),"")</f>
        <v>0.0438644058749528</v>
      </c>
      <c r="BQ108" s="27" t="n">
        <f aca="false">IF(AND(ISNUMBER(BQ119),ISNUMBER(BQ114)),IFERROR(BQ119/BQ114,""),"")</f>
        <v>0.0465719954799277</v>
      </c>
      <c r="BR108" s="27" t="n">
        <f aca="false">IF(AND(ISNUMBER(BR119),ISNUMBER(BR114)),IFERROR(BR119/BR114,""),"")</f>
        <v>0.0495565664777911</v>
      </c>
      <c r="BS108" s="27" t="n">
        <f aca="false">IF(AND(ISNUMBER(BS119),ISNUMBER(BS114)),IFERROR(BS119/BS114,""),"")</f>
        <v>0.047644471215274</v>
      </c>
      <c r="BT108" s="27" t="n">
        <f aca="false">IF(AND(ISNUMBER(BT119),ISNUMBER(BT114)),IFERROR(BT119/BT114,""),"")</f>
        <v>0.0466640588147313</v>
      </c>
      <c r="BU108" s="27" t="n">
        <f aca="false">IF(AND(ISNUMBER(BU119),ISNUMBER(BU114)),IFERROR(BU119/BU114,""),"")</f>
        <v>0.0490949660024858</v>
      </c>
      <c r="BV108" s="27" t="n">
        <f aca="false">IF(AND(ISNUMBER(BV119),ISNUMBER(BV114)),IFERROR(BV119/BV114,""),"")</f>
        <v>0.0482338642088377</v>
      </c>
      <c r="BW108" s="27" t="n">
        <f aca="false">IF(AND(ISNUMBER(BW119),ISNUMBER(BW114)),IFERROR(BW119/BW114,""),"")</f>
        <v>0.0487541138267262</v>
      </c>
      <c r="BX108" s="27" t="n">
        <f aca="false">IF(AND(ISNUMBER(BX119),ISNUMBER(BX114)),IFERROR(BX119/BX114,""),"")</f>
        <v>0.0497961056614228</v>
      </c>
      <c r="BY108" s="22" t="n">
        <f aca="false">IFERROR(BT119/BT114,0)</f>
        <v>0.0466640588147313</v>
      </c>
      <c r="BZ108" s="22" t="n">
        <f aca="false">IFERROR(BU119/BU114,0)</f>
        <v>0.0490949660024858</v>
      </c>
      <c r="CA108" s="22" t="n">
        <f aca="false">IFERROR(CA119/CA114,"")</f>
        <v>0.0485844138668744</v>
      </c>
      <c r="CB108" s="38" t="n">
        <v>0.05</v>
      </c>
      <c r="CC108" s="38" t="n">
        <v>0.05</v>
      </c>
      <c r="CD108" s="38" t="n">
        <v>0.05</v>
      </c>
      <c r="CE108" s="38" t="n">
        <v>0.05</v>
      </c>
      <c r="CF108" s="18" t="s">
        <v>269</v>
      </c>
    </row>
    <row r="109" customFormat="false" ht="15" hidden="false" customHeight="false" outlineLevel="0" collapsed="false">
      <c r="B109" s="20" t="s">
        <v>270</v>
      </c>
      <c r="C109" s="27" t="n">
        <f aca="false">IF(AND(ISNUMBER(C120),ISNUMBER(C114)),IFERROR(C120/C114,""),"")</f>
        <v>0.135501557923964</v>
      </c>
      <c r="D109" s="27" t="n">
        <f aca="false">IF(AND(ISNUMBER(D120),ISNUMBER(D114)),IFERROR(D120/D114,""),"")</f>
        <v>0.128370654547008</v>
      </c>
      <c r="E109" s="27" t="n">
        <f aca="false">IF(AND(ISNUMBER(E120),ISNUMBER(E114)),IFERROR(E120/E114,""),"")</f>
        <v>0.143483012228573</v>
      </c>
      <c r="F109" s="27" t="n">
        <f aca="false">IF(AND(ISNUMBER(F120),ISNUMBER(F114)),IFERROR(F120/F114,""),"")</f>
        <v>0.146643900336522</v>
      </c>
      <c r="G109" s="27" t="n">
        <f aca="false">IF(AND(ISNUMBER(G120),ISNUMBER(G114)),IFERROR(G120/G114,""),"")</f>
        <v>0.145803730744892</v>
      </c>
      <c r="H109" s="27" t="n">
        <f aca="false">IF(AND(ISNUMBER(H120),ISNUMBER(H114)),IFERROR(H120/H114,""),"")</f>
        <v>0.140988642393617</v>
      </c>
      <c r="I109" s="27" t="n">
        <f aca="false">IF(AND(ISNUMBER(I120),ISNUMBER(I114)),IFERROR(I120/I114,""),"")</f>
        <v>0.148916249864138</v>
      </c>
      <c r="J109" s="27" t="n">
        <f aca="false">IF(AND(ISNUMBER(J120),ISNUMBER(J114)),IFERROR(J120/J114,""),"")</f>
        <v>0.154005402514312</v>
      </c>
      <c r="K109" s="27" t="n">
        <f aca="false">IF(AND(ISNUMBER(K120),ISNUMBER(K114)),IFERROR(K120/K114,""),"")</f>
        <v>0.143151790469931</v>
      </c>
      <c r="L109" s="27" t="n">
        <f aca="false">IF(AND(ISNUMBER(L120),ISNUMBER(L114)),IFERROR(L120/L114,""),"")</f>
        <v>0.12942612129516</v>
      </c>
      <c r="M109" s="27" t="n">
        <f aca="false">IF(AND(ISNUMBER(M120),ISNUMBER(M114)),IFERROR(M120/M114,""),"")</f>
        <v>0.139799637002844</v>
      </c>
      <c r="N109" s="27" t="n">
        <f aca="false">IF(AND(ISNUMBER(N120),ISNUMBER(N114)),IFERROR(N120/N114,""),"")</f>
        <v>0.14149597872526</v>
      </c>
      <c r="O109" s="27" t="n">
        <f aca="false">IF(AND(ISNUMBER(O120),ISNUMBER(O114)),IFERROR(O120/O114,""),"")</f>
        <v>0.132619907329454</v>
      </c>
      <c r="P109" s="27" t="n">
        <f aca="false">IF(AND(ISNUMBER(P120),ISNUMBER(P114)),IFERROR(P120/P114,""),"")</f>
        <v>0.130101524709864</v>
      </c>
      <c r="Q109" s="27" t="n">
        <f aca="false">IF(AND(ISNUMBER(Q120),ISNUMBER(Q114)),IFERROR(Q120/Q114,""),"")</f>
        <v>0.128187254912474</v>
      </c>
      <c r="R109" s="27" t="n">
        <f aca="false">IF(AND(ISNUMBER(R120),ISNUMBER(R114)),IFERROR(R120/R114,""),"")</f>
        <v>0.132821969101585</v>
      </c>
      <c r="S109" s="27" t="n">
        <f aca="false">IF(AND(ISNUMBER(S120),ISNUMBER(S114)),IFERROR(S120/S114,""),"")</f>
        <v>0.132982275627851</v>
      </c>
      <c r="T109" s="27" t="n">
        <f aca="false">IF(AND(ISNUMBER(T120),ISNUMBER(T114)),IFERROR(T120/T114,""),"")</f>
        <v>0.131657143275619</v>
      </c>
      <c r="U109" s="27" t="n">
        <f aca="false">IF(AND(ISNUMBER(U120),ISNUMBER(U114)),IFERROR(U120/U114,""),"")</f>
        <v>0.132949005308202</v>
      </c>
      <c r="V109" s="27" t="n">
        <f aca="false">IF(AND(ISNUMBER(V120),ISNUMBER(V114)),IFERROR(V120/V114,""),"")</f>
        <v>0.145345219633326</v>
      </c>
      <c r="W109" s="27" t="n">
        <f aca="false">IF(AND(ISNUMBER(W120),ISNUMBER(W114)),IFERROR(W120/W114,""),"")</f>
        <v>0.118115345092611</v>
      </c>
      <c r="X109" s="27" t="n">
        <f aca="false">IF(AND(ISNUMBER(X120),ISNUMBER(X114)),IFERROR(X120/X114,""),"")</f>
        <v>0.131623175225089</v>
      </c>
      <c r="Y109" s="27" t="n">
        <f aca="false">IF(AND(ISNUMBER(Y120),ISNUMBER(Y114)),IFERROR(Y120/Y114,""),"")</f>
        <v>0.138734913317988</v>
      </c>
      <c r="Z109" s="27" t="n">
        <f aca="false">IF(AND(ISNUMBER(Z120),ISNUMBER(Z114)),IFERROR(Z120/Z114,""),"")</f>
        <v>0.136885612069839</v>
      </c>
      <c r="AA109" s="27" t="n">
        <f aca="false">IF(AND(ISNUMBER(AA120),ISNUMBER(AA114)),IFERROR(AA120/AA114,""),"")</f>
        <v>0.133228289935554</v>
      </c>
      <c r="AB109" s="27" t="n">
        <f aca="false">IF(AND(ISNUMBER(AB120),ISNUMBER(AB114)),IFERROR(AB120/AB114,""),"")</f>
        <v>0.110020757966356</v>
      </c>
      <c r="AC109" s="27" t="n">
        <f aca="false">IF(AND(ISNUMBER(AC120),ISNUMBER(AC114)),IFERROR(AC120/AC114,""),"")</f>
        <v>0.129243204258461</v>
      </c>
      <c r="AD109" s="27" t="n">
        <f aca="false">IF(AND(ISNUMBER(AD120),ISNUMBER(AD114)),IFERROR(AD120/AD114,""),"")</f>
        <v>0.143808812603731</v>
      </c>
      <c r="AE109" s="27" t="n">
        <f aca="false">IF(AND(ISNUMBER(AE120),ISNUMBER(AE114)),IFERROR(AE120/AE114,""),"")</f>
        <v>0.125848009259178</v>
      </c>
      <c r="AF109" s="27" t="n">
        <f aca="false">IF(AND(ISNUMBER(AF120),ISNUMBER(AF114)),IFERROR(AF120/AF114,""),"")</f>
        <v>0.124740051523065</v>
      </c>
      <c r="AG109" s="27" t="n">
        <f aca="false">IF(AND(ISNUMBER(AG120),ISNUMBER(AG114)),IFERROR(AG120/AG114,""),"")</f>
        <v>0.13232474942023</v>
      </c>
      <c r="AH109" s="27" t="n">
        <f aca="false">IF(AND(ISNUMBER(AH120),ISNUMBER(AH114)),IFERROR(AH120/AH114,""),"")</f>
        <v>0.131456883364611</v>
      </c>
      <c r="AI109" s="27" t="n">
        <f aca="false">IF(AND(ISNUMBER(AI120),ISNUMBER(AI114)),IFERROR(AI120/AI114,""),"")</f>
        <v>0.126446060614916</v>
      </c>
      <c r="AJ109" s="27" t="n">
        <f aca="false">IF(AND(ISNUMBER(AJ120),ISNUMBER(AJ114)),IFERROR(AJ120/AJ114,""),"")</f>
        <v>0.12365830616897</v>
      </c>
      <c r="AK109" s="27" t="n">
        <f aca="false">IF(AND(ISNUMBER(AK120),ISNUMBER(AK114)),IFERROR(AK120/AK114,""),"")</f>
        <v>0.13582793213894</v>
      </c>
      <c r="AL109" s="27" t="n">
        <f aca="false">IF(AND(ISNUMBER(AL120),ISNUMBER(AL114)),IFERROR(AL120/AL114,""),"")</f>
        <v>0.122815754013894</v>
      </c>
      <c r="AM109" s="27" t="n">
        <f aca="false">IF(AND(ISNUMBER(AM120),ISNUMBER(AM114)),IFERROR(AM120/AM114,""),"")</f>
        <v>0.127068808604237</v>
      </c>
      <c r="AN109" s="27" t="n">
        <f aca="false">IF(AND(ISNUMBER(AN120),ISNUMBER(AN114)),IFERROR(AN120/AN114,""),"")</f>
        <v>0.131606705008006</v>
      </c>
      <c r="AO109" s="27" t="n">
        <f aca="false">IF(AND(ISNUMBER(AO120),ISNUMBER(AO114)),IFERROR(AO120/AO114,""),"")</f>
        <v>0.11700542726402</v>
      </c>
      <c r="AP109" s="27" t="n">
        <f aca="false">IF(AND(ISNUMBER(AP120),ISNUMBER(AP114)),IFERROR(AP120/AP114,""),"")</f>
        <v>0.120368201925579</v>
      </c>
      <c r="AQ109" s="27" t="n">
        <f aca="false">IF(AND(ISNUMBER(AQ120),ISNUMBER(AQ114)),IFERROR(AQ120/AQ114,""),"")</f>
        <v>0.116691649981472</v>
      </c>
      <c r="AR109" s="27" t="n">
        <f aca="false">IF(AND(ISNUMBER(AR120),ISNUMBER(AR114)),IFERROR(AR120/AR114,""),"")</f>
        <v>0.121147799342514</v>
      </c>
      <c r="AS109" s="27" t="n">
        <f aca="false">IF(AND(ISNUMBER(AS120),ISNUMBER(AS114)),IFERROR(AS120/AS114,""),"")</f>
        <v>0.127501742258799</v>
      </c>
      <c r="AT109" s="27" t="n">
        <f aca="false">IF(AND(ISNUMBER(AT120),ISNUMBER(AT114)),IFERROR(AT120/AT114,""),"")</f>
        <v>0.139271734960831</v>
      </c>
      <c r="AU109" s="27" t="n">
        <f aca="false">IF(AND(ISNUMBER(AU120),ISNUMBER(AU114)),IFERROR(AU120/AU114,""),"")</f>
        <v>0.135145395319219</v>
      </c>
      <c r="AV109" s="27" t="n">
        <f aca="false">IF(AND(ISNUMBER(AV120),ISNUMBER(AV114)),IFERROR(AV120/AV114,""),"")</f>
        <v>0.108869254567324</v>
      </c>
      <c r="AW109" s="27" t="n">
        <f aca="false">IF(AND(ISNUMBER(AW120),ISNUMBER(AW114)),IFERROR(AW120/AW114,""),"")</f>
        <v>0.126827848533205</v>
      </c>
      <c r="AX109" s="27" t="n">
        <f aca="false">IF(AND(ISNUMBER(AX120),ISNUMBER(AX114)),IFERROR(AX120/AX114,""),"")</f>
        <v>0.122654545028213</v>
      </c>
      <c r="AY109" s="27" t="n">
        <f aca="false">IF(AND(ISNUMBER(AY120),ISNUMBER(AY114)),IFERROR(AY120/AY114,""),"")</f>
        <v>0.124503012896323</v>
      </c>
      <c r="AZ109" s="27" t="n">
        <f aca="false">IF(AND(ISNUMBER(AZ120),ISNUMBER(AZ114)),IFERROR(AZ120/AZ114,""),"")</f>
        <v>0.127289045291878</v>
      </c>
      <c r="BA109" s="27" t="n">
        <f aca="false">IF(AND(ISNUMBER(BA120),ISNUMBER(BA114)),IFERROR(BA120/BA114,""),"")</f>
        <v>0.144778165391341</v>
      </c>
      <c r="BB109" s="27" t="n">
        <f aca="false">IF(AND(ISNUMBER(BB120),ISNUMBER(BB114)),IFERROR(BB120/BB114,""),"")</f>
        <v>0.13014723869093</v>
      </c>
      <c r="BC109" s="27" t="n">
        <f aca="false">IF(AND(ISNUMBER(BC120),ISNUMBER(BC114)),IFERROR(BC120/BC114,""),"")</f>
        <v>0.156579278984594</v>
      </c>
      <c r="BD109" s="27" t="n">
        <f aca="false">IF(AND(ISNUMBER(BD120),ISNUMBER(BD114)),IFERROR(BD120/BD114,""),"")</f>
        <v>0.124941536734624</v>
      </c>
      <c r="BE109" s="27" t="n">
        <f aca="false">IF(AND(ISNUMBER(BE120),ISNUMBER(BE114)),IFERROR(BE120/BE114,""),"")</f>
        <v>0.119501952288666</v>
      </c>
      <c r="BF109" s="27" t="n">
        <f aca="false">IF(AND(ISNUMBER(BF120),ISNUMBER(BF114)),IFERROR(BF120/BF114,""),"")</f>
        <v>0.112197343152977</v>
      </c>
      <c r="BG109" s="27" t="n">
        <f aca="false">IF(AND(ISNUMBER(BG120),ISNUMBER(BG114)),IFERROR(BG120/BG114,""),"")</f>
        <v>0.126746120980436</v>
      </c>
      <c r="BH109" s="27" t="n">
        <f aca="false">IF(AND(ISNUMBER(BH120),ISNUMBER(BH114)),IFERROR(BH120/BH114,""),"")</f>
        <v>0.140037409250864</v>
      </c>
      <c r="BI109" s="27" t="n">
        <f aca="false">IF(AND(ISNUMBER(BI120),ISNUMBER(BI114)),IFERROR(BI120/BI114,""),"")</f>
        <v>0.131055542620912</v>
      </c>
      <c r="BJ109" s="27" t="n">
        <f aca="false">IF(AND(ISNUMBER(BJ120),ISNUMBER(BJ114)),IFERROR(BJ120/BJ114,""),"")</f>
        <v>0.126187655834528</v>
      </c>
      <c r="BK109" s="27" t="n">
        <f aca="false">IF(AND(ISNUMBER(BK120),ISNUMBER(BK114)),IFERROR(BK120/BK114,""),"")</f>
        <v>0.111561471179996</v>
      </c>
      <c r="BL109" s="27" t="n">
        <f aca="false">IF(AND(ISNUMBER(BL120),ISNUMBER(BL114)),IFERROR(BL120/BL114,""),"")</f>
        <v>0.126424198163123</v>
      </c>
      <c r="BM109" s="27" t="n">
        <f aca="false">IF(AND(ISNUMBER(BM120),ISNUMBER(BM114)),IFERROR(BM120/BM114,""),"")</f>
        <v>0.13187514284873</v>
      </c>
      <c r="BN109" s="27" t="n">
        <f aca="false">IF(AND(ISNUMBER(BN120),ISNUMBER(BN114)),IFERROR(BN120/BN114,""),"")</f>
        <v>0.121061531031829</v>
      </c>
      <c r="BO109" s="27" t="n">
        <f aca="false">IF(AND(ISNUMBER(BO120),ISNUMBER(BO114)),IFERROR(BO120/BO114,""),"")</f>
        <v>0.115199557401385</v>
      </c>
      <c r="BP109" s="27" t="n">
        <f aca="false">IF(AND(ISNUMBER(BP120),ISNUMBER(BP114)),IFERROR(BP120/BP114,""),"")</f>
        <v>0.112099408841059</v>
      </c>
      <c r="BQ109" s="27" t="n">
        <f aca="false">IF(AND(ISNUMBER(BQ120),ISNUMBER(BQ114)),IFERROR(BQ120/BQ114,""),"")</f>
        <v>0.119664973828884</v>
      </c>
      <c r="BR109" s="27" t="n">
        <f aca="false">IF(AND(ISNUMBER(BR120),ISNUMBER(BR114)),IFERROR(BR120/BR114,""),"")</f>
        <v>0.122918903487268</v>
      </c>
      <c r="BS109" s="27" t="n">
        <f aca="false">IF(AND(ISNUMBER(BS120),ISNUMBER(BS114)),IFERROR(BS120/BS114,""),"")</f>
        <v>0.118724446026357</v>
      </c>
      <c r="BT109" s="27" t="n">
        <f aca="false">IF(AND(ISNUMBER(BT120),ISNUMBER(BT114)),IFERROR(BT120/BT114,""),"")</f>
        <v>0.110966784403511</v>
      </c>
      <c r="BU109" s="27" t="n">
        <f aca="false">IF(AND(ISNUMBER(BU120),ISNUMBER(BU114)),IFERROR(BU120/BU114,""),"")</f>
        <v>0.105661042829793</v>
      </c>
      <c r="BV109" s="27" t="n">
        <f aca="false">IF(AND(ISNUMBER(BV120),ISNUMBER(BV114)),IFERROR(BV120/BV114,""),"")</f>
        <v>0.114226846087266</v>
      </c>
      <c r="BW109" s="27" t="n">
        <f aca="false">IF(AND(ISNUMBER(BW120),ISNUMBER(BW114)),IFERROR(BW120/BW114,""),"")</f>
        <v>0.11200334469025</v>
      </c>
      <c r="BX109" s="27" t="n">
        <f aca="false">IF(AND(ISNUMBER(BX120),ISNUMBER(BX114)),IFERROR(BX120/BX114,""),"")</f>
        <v>0.123083349927706</v>
      </c>
      <c r="BY109" s="22" t="n">
        <f aca="false">IFERROR(BT120/BT114,0)</f>
        <v>0.110966784403511</v>
      </c>
      <c r="BZ109" s="22" t="n">
        <f aca="false">IFERROR(BU120/BU114,0)</f>
        <v>0.105661042829793</v>
      </c>
      <c r="CA109" s="22" t="n">
        <f aca="false">IFERROR(CA120/CA114,"")</f>
        <v>0.112744917507445</v>
      </c>
      <c r="CB109" s="38" t="n">
        <v>0.115</v>
      </c>
      <c r="CC109" s="38" t="n">
        <v>0.115</v>
      </c>
      <c r="CD109" s="38" t="n">
        <v>0.115</v>
      </c>
      <c r="CE109" s="38" t="n">
        <v>0.115</v>
      </c>
      <c r="CF109" s="18" t="s">
        <v>271</v>
      </c>
    </row>
    <row r="111" customFormat="false" ht="15" hidden="false" customHeight="false" outlineLevel="0" collapsed="false">
      <c r="B111" s="8" t="s">
        <v>272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8" t="s">
        <v>273</v>
      </c>
    </row>
    <row r="112" customFormat="false" ht="15" hidden="false" customHeight="false" outlineLevel="0" collapsed="false">
      <c r="B112" s="20" t="s">
        <v>274</v>
      </c>
      <c r="L112" s="24" t="n">
        <v>502.818</v>
      </c>
      <c r="M112" s="24" t="n">
        <v>574.517</v>
      </c>
      <c r="N112" s="24" t="n">
        <v>2074.967</v>
      </c>
      <c r="O112" s="24" t="n">
        <v>526.354</v>
      </c>
      <c r="P112" s="24" t="n">
        <v>521.815</v>
      </c>
      <c r="Q112" s="24" t="n">
        <v>457.026</v>
      </c>
      <c r="R112" s="24" t="n">
        <v>463.902</v>
      </c>
      <c r="S112" s="24" t="n">
        <v>1815.028</v>
      </c>
      <c r="T112" s="24" t="n">
        <v>445.687</v>
      </c>
      <c r="U112" s="24" t="n">
        <v>439.871</v>
      </c>
      <c r="V112" s="24" t="n">
        <v>427.732</v>
      </c>
      <c r="W112" s="24" t="n">
        <v>483.512</v>
      </c>
      <c r="X112" s="24" t="n">
        <v>1796.802</v>
      </c>
      <c r="Y112" s="24" t="n">
        <v>402.918</v>
      </c>
      <c r="Z112" s="24" t="n">
        <v>427.324</v>
      </c>
      <c r="AA112" s="24" t="n">
        <v>413.905</v>
      </c>
      <c r="AB112" s="24" t="n">
        <v>470.211</v>
      </c>
      <c r="AC112" s="24" t="n">
        <v>1714.358</v>
      </c>
      <c r="AD112" s="24" t="n">
        <v>423.229</v>
      </c>
      <c r="AE112" s="24" t="n">
        <v>459.774</v>
      </c>
      <c r="AF112" s="24" t="n">
        <v>468.073</v>
      </c>
      <c r="AG112" s="24" t="n">
        <v>503.14</v>
      </c>
      <c r="AH112" s="24" t="n">
        <v>1854.216</v>
      </c>
      <c r="AI112" s="24" t="n">
        <v>444.687</v>
      </c>
      <c r="AJ112" s="24" t="n">
        <v>511.676</v>
      </c>
      <c r="AK112" s="24" t="n">
        <v>495.197</v>
      </c>
      <c r="AL112" s="24" t="n">
        <v>541.689</v>
      </c>
      <c r="AM112" s="24" t="n">
        <v>1993.249</v>
      </c>
      <c r="AN112" s="24" t="n">
        <v>471.599</v>
      </c>
      <c r="AO112" s="24" t="n">
        <v>532.253</v>
      </c>
      <c r="AP112" s="24" t="n">
        <v>516.76</v>
      </c>
      <c r="AQ112" s="24" t="n">
        <v>552.918</v>
      </c>
      <c r="AR112" s="24" t="n">
        <v>2073.53</v>
      </c>
      <c r="AS112" s="24" t="n">
        <v>497.929</v>
      </c>
      <c r="AT112" s="24" t="n">
        <v>466.445</v>
      </c>
      <c r="AU112" s="24" t="n">
        <v>493.398</v>
      </c>
      <c r="AV112" s="24" t="n">
        <v>583.314</v>
      </c>
      <c r="AW112" s="24" t="n">
        <v>2041.086</v>
      </c>
      <c r="AX112" s="24" t="n">
        <v>508.975</v>
      </c>
      <c r="AY112" s="24" t="n">
        <v>515.392</v>
      </c>
      <c r="AZ112" s="24" t="n">
        <v>528.339</v>
      </c>
      <c r="BA112" s="24" t="n">
        <v>556.911</v>
      </c>
      <c r="BB112" s="24" t="n">
        <v>2109.617</v>
      </c>
      <c r="BC112" s="24" t="n">
        <v>453.421</v>
      </c>
      <c r="BD112" s="24" t="n">
        <v>505.416</v>
      </c>
      <c r="BE112" s="24" t="n">
        <v>530.782</v>
      </c>
      <c r="BF112" s="24" t="n">
        <v>646.263</v>
      </c>
      <c r="BG112" s="24" t="n">
        <v>2135.882</v>
      </c>
      <c r="BH112" s="24" t="n">
        <v>524.881</v>
      </c>
      <c r="BI112" s="24" t="n">
        <v>583.036</v>
      </c>
      <c r="BJ112" s="24" t="n">
        <v>613.915</v>
      </c>
      <c r="BK112" s="24" t="n">
        <v>667.879</v>
      </c>
      <c r="BL112" s="24" t="n">
        <v>2389.711</v>
      </c>
      <c r="BM112" s="24" t="n">
        <v>595.704</v>
      </c>
      <c r="BN112" s="24" t="n">
        <v>661.407</v>
      </c>
      <c r="BO112" s="24" t="n">
        <v>684.216</v>
      </c>
      <c r="BP112" s="24" t="n">
        <v>698.626</v>
      </c>
      <c r="BQ112" s="24" t="n">
        <v>2639.953</v>
      </c>
      <c r="BR112" s="24" t="n">
        <v>678.977</v>
      </c>
      <c r="BS112" s="24" t="n">
        <v>746.679</v>
      </c>
      <c r="BT112" s="24" t="n">
        <v>739.094</v>
      </c>
      <c r="BU112" s="24" t="n">
        <v>812.483</v>
      </c>
      <c r="BV112" s="24" t="n">
        <v>2977.233</v>
      </c>
      <c r="BW112" s="24" t="n">
        <v>771.019</v>
      </c>
      <c r="BX112" s="24" t="n">
        <v>777.167</v>
      </c>
      <c r="BY112" s="25" t="n">
        <f aca="false">BY114*IFERROR(BT112/BT114,0)</f>
        <v>794.644057458845</v>
      </c>
      <c r="BZ112" s="25" t="n">
        <f aca="false">BZ114*IFERROR(BU112/BU114,0)</f>
        <v>873.679961734713</v>
      </c>
      <c r="CA112" s="25" t="n">
        <f aca="false">SUM(BW112,BX112,BY112,BZ112)</f>
        <v>3216.51001919356</v>
      </c>
      <c r="CB112" s="25" t="n">
        <f aca="false">CB114*IFERROR(CA112/CA114,0)</f>
        <v>3489.15602082049</v>
      </c>
      <c r="CC112" s="25" t="n">
        <f aca="false">CC114*IFERROR(CB112/CB114,0)</f>
        <v>3812.73047960847</v>
      </c>
      <c r="CD112" s="25" t="n">
        <f aca="false">CD114*IFERROR(CC112/CC114,0)</f>
        <v>4138.44940314924</v>
      </c>
      <c r="CE112" s="25" t="n">
        <f aca="false">CE114*IFERROR(CD112/CD114,0)</f>
        <v>4483.64249590176</v>
      </c>
    </row>
    <row r="113" customFormat="false" ht="15" hidden="false" customHeight="false" outlineLevel="0" collapsed="false">
      <c r="B113" s="20" t="s">
        <v>275</v>
      </c>
      <c r="L113" s="24" t="n">
        <v>97.849</v>
      </c>
      <c r="M113" s="24" t="n">
        <v>125.213</v>
      </c>
      <c r="N113" s="24" t="n">
        <v>435.804</v>
      </c>
      <c r="O113" s="24" t="n">
        <v>115.058</v>
      </c>
      <c r="P113" s="24" t="n">
        <v>130.637</v>
      </c>
      <c r="Q113" s="24" t="n">
        <v>102.468</v>
      </c>
      <c r="R113" s="24" t="n">
        <v>108.684</v>
      </c>
      <c r="S113" s="24" t="n">
        <v>428.098</v>
      </c>
      <c r="T113" s="24" t="n">
        <v>100.512</v>
      </c>
      <c r="U113" s="24" t="n">
        <v>105.323</v>
      </c>
      <c r="V113" s="24" t="n">
        <v>97.803</v>
      </c>
      <c r="W113" s="24" t="n">
        <v>105.243</v>
      </c>
      <c r="X113" s="24" t="n">
        <v>408.881</v>
      </c>
      <c r="Y113" s="24" t="n">
        <v>100.589</v>
      </c>
      <c r="Z113" s="24" t="n">
        <v>105.442</v>
      </c>
      <c r="AA113" s="24" t="n">
        <v>93.187</v>
      </c>
      <c r="AB113" s="24" t="n">
        <v>95.355</v>
      </c>
      <c r="AC113" s="24" t="n">
        <v>394.573</v>
      </c>
      <c r="AD113" s="24" t="n">
        <v>100.362</v>
      </c>
      <c r="AE113" s="24" t="n">
        <v>107.879</v>
      </c>
      <c r="AF113" s="24" t="n">
        <v>99.828</v>
      </c>
      <c r="AG113" s="24" t="n">
        <v>108.741</v>
      </c>
      <c r="AH113" s="24" t="n">
        <v>416.81</v>
      </c>
      <c r="AI113" s="24" t="n">
        <v>102.835</v>
      </c>
      <c r="AJ113" s="24" t="n">
        <v>108.622</v>
      </c>
      <c r="AK113" s="24" t="n">
        <v>100.196</v>
      </c>
      <c r="AL113" s="24" t="n">
        <v>106.933</v>
      </c>
      <c r="AM113" s="24" t="n">
        <v>418.586</v>
      </c>
      <c r="AN113" s="24" t="n">
        <v>106.715</v>
      </c>
      <c r="AO113" s="24" t="n">
        <v>106.743</v>
      </c>
      <c r="AP113" s="24" t="n">
        <v>98.12</v>
      </c>
      <c r="AQ113" s="24" t="n">
        <v>102.853</v>
      </c>
      <c r="AR113" s="24" t="n">
        <v>414.431</v>
      </c>
      <c r="AS113" s="24" t="n">
        <v>103.302</v>
      </c>
      <c r="AT113" s="24" t="n">
        <v>83.602</v>
      </c>
      <c r="AU113" s="24" t="n">
        <v>78.216</v>
      </c>
      <c r="AV113" s="24" t="n">
        <v>85.13</v>
      </c>
      <c r="AW113" s="24" t="n">
        <v>350.25</v>
      </c>
      <c r="AX113" s="24" t="n">
        <v>88.084</v>
      </c>
      <c r="AY113" s="24" t="n">
        <v>106.103</v>
      </c>
      <c r="AZ113" s="24" t="n">
        <v>92.28</v>
      </c>
      <c r="BA113" s="24" t="n">
        <v>109.847</v>
      </c>
      <c r="BB113" s="24" t="n">
        <v>396.314</v>
      </c>
      <c r="BC113" s="24" t="n">
        <v>106.04</v>
      </c>
      <c r="BD113" s="24" t="n">
        <v>103.941</v>
      </c>
      <c r="BE113" s="24" t="n">
        <v>99.76</v>
      </c>
      <c r="BF113" s="24" t="n">
        <v>111.402</v>
      </c>
      <c r="BG113" s="24" t="n">
        <v>421.143</v>
      </c>
      <c r="BH113" s="24" t="n">
        <v>105.979</v>
      </c>
      <c r="BI113" s="24" t="n">
        <v>121.36</v>
      </c>
      <c r="BJ113" s="24" t="n">
        <v>110.411</v>
      </c>
      <c r="BK113" s="24" t="n">
        <v>117.912</v>
      </c>
      <c r="BL113" s="24" t="n">
        <v>455.662</v>
      </c>
      <c r="BM113" s="24" t="n">
        <v>117.463</v>
      </c>
      <c r="BN113" s="24" t="n">
        <v>123.384</v>
      </c>
      <c r="BO113" s="24" t="n">
        <v>114.702</v>
      </c>
      <c r="BP113" s="24" t="n">
        <v>125.687</v>
      </c>
      <c r="BQ113" s="24" t="n">
        <v>481.236</v>
      </c>
      <c r="BR113" s="24" t="n">
        <v>126.668</v>
      </c>
      <c r="BS113" s="24" t="n">
        <v>129.897</v>
      </c>
      <c r="BT113" s="24" t="n">
        <v>130.076</v>
      </c>
      <c r="BU113" s="24" t="n">
        <v>134.498</v>
      </c>
      <c r="BV113" s="24" t="n">
        <v>521.139</v>
      </c>
      <c r="BW113" s="24" t="n">
        <v>142.668</v>
      </c>
      <c r="BX113" s="24" t="n">
        <v>146.841</v>
      </c>
      <c r="BY113" s="25" t="n">
        <f aca="false">BY114-BY112</f>
        <v>139.852468587239</v>
      </c>
      <c r="BZ113" s="25" t="n">
        <f aca="false">BZ114-BZ112</f>
        <v>144.628512219204</v>
      </c>
      <c r="CA113" s="25" t="n">
        <f aca="false">SUM(BW113,BX113,BY113,BZ113)</f>
        <v>573.989980806443</v>
      </c>
      <c r="CB113" s="25" t="n">
        <f aca="false">CB114-CB112</f>
        <v>622.643979179509</v>
      </c>
      <c r="CC113" s="25" t="n">
        <f aca="false">CC114-CC112</f>
        <v>680.386220391533</v>
      </c>
      <c r="CD113" s="25" t="n">
        <f aca="false">CD114-CD112</f>
        <v>738.51114385076</v>
      </c>
      <c r="CE113" s="25" t="n">
        <f aca="false">CE114-CE112</f>
        <v>800.111255618238</v>
      </c>
    </row>
    <row r="114" customFormat="false" ht="15" hidden="false" customHeight="false" outlineLevel="0" collapsed="false">
      <c r="B114" s="43" t="s">
        <v>276</v>
      </c>
      <c r="C114" s="48" t="n">
        <v>1282.155</v>
      </c>
      <c r="D114" s="48" t="n">
        <v>1592.124</v>
      </c>
      <c r="E114" s="48" t="n">
        <v>1830.14</v>
      </c>
      <c r="F114" s="48" t="n">
        <v>1809.69</v>
      </c>
      <c r="G114" s="48" t="n">
        <v>1893.134</v>
      </c>
      <c r="H114" s="48" t="n">
        <v>2054.13</v>
      </c>
      <c r="I114" s="48" t="n">
        <v>2097.716</v>
      </c>
      <c r="J114" s="48" t="n">
        <v>592.687</v>
      </c>
      <c r="K114" s="48" t="n">
        <v>617.687</v>
      </c>
      <c r="L114" s="48" t="n">
        <v>600.667</v>
      </c>
      <c r="M114" s="48" t="n">
        <v>699.73</v>
      </c>
      <c r="N114" s="48" t="n">
        <v>2510.771</v>
      </c>
      <c r="O114" s="48" t="n">
        <v>641.412</v>
      </c>
      <c r="P114" s="48" t="n">
        <v>652.452</v>
      </c>
      <c r="Q114" s="48" t="n">
        <v>559.494</v>
      </c>
      <c r="R114" s="48" t="n">
        <v>572.586</v>
      </c>
      <c r="S114" s="48" t="n">
        <v>2243.126</v>
      </c>
      <c r="T114" s="48" t="n">
        <v>546.199</v>
      </c>
      <c r="U114" s="48" t="n">
        <v>545.194</v>
      </c>
      <c r="V114" s="48" t="n">
        <v>525.535</v>
      </c>
      <c r="W114" s="48" t="n">
        <v>588.755</v>
      </c>
      <c r="X114" s="48" t="n">
        <v>2205.683</v>
      </c>
      <c r="Y114" s="48" t="n">
        <v>503.507</v>
      </c>
      <c r="Z114" s="48" t="n">
        <v>532.766</v>
      </c>
      <c r="AA114" s="48" t="n">
        <v>507.092</v>
      </c>
      <c r="AB114" s="48" t="n">
        <v>565.566</v>
      </c>
      <c r="AC114" s="48" t="n">
        <v>2108.931</v>
      </c>
      <c r="AD114" s="48" t="n">
        <v>523.591</v>
      </c>
      <c r="AE114" s="48" t="n">
        <v>567.653</v>
      </c>
      <c r="AF114" s="48" t="n">
        <v>567.901</v>
      </c>
      <c r="AG114" s="48" t="n">
        <v>611.881</v>
      </c>
      <c r="AH114" s="48" t="n">
        <v>2271.026</v>
      </c>
      <c r="AI114" s="48" t="n">
        <v>547.522</v>
      </c>
      <c r="AJ114" s="48" t="n">
        <v>620.298</v>
      </c>
      <c r="AK114" s="48" t="n">
        <v>595.393</v>
      </c>
      <c r="AL114" s="48" t="n">
        <v>648.622</v>
      </c>
      <c r="AM114" s="48" t="n">
        <v>2411.835</v>
      </c>
      <c r="AN114" s="48" t="n">
        <v>578.314</v>
      </c>
      <c r="AO114" s="48" t="n">
        <v>638.996</v>
      </c>
      <c r="AP114" s="48" t="n">
        <v>614.88</v>
      </c>
      <c r="AQ114" s="48" t="n">
        <v>655.771</v>
      </c>
      <c r="AR114" s="48" t="n">
        <v>2487.961</v>
      </c>
      <c r="AS114" s="48" t="n">
        <v>601.231</v>
      </c>
      <c r="AT114" s="48" t="n">
        <v>550.047</v>
      </c>
      <c r="AU114" s="48" t="n">
        <v>571.614</v>
      </c>
      <c r="AV114" s="48" t="n">
        <v>668.444</v>
      </c>
      <c r="AW114" s="48" t="n">
        <v>2391.336</v>
      </c>
      <c r="AX114" s="48" t="n">
        <v>597.059</v>
      </c>
      <c r="AY114" s="48" t="n">
        <v>621.495</v>
      </c>
      <c r="AZ114" s="48" t="n">
        <v>620.619</v>
      </c>
      <c r="BA114" s="48" t="n">
        <v>666.758</v>
      </c>
      <c r="BB114" s="48" t="n">
        <v>2505.931</v>
      </c>
      <c r="BC114" s="48" t="n">
        <v>559.461</v>
      </c>
      <c r="BD114" s="48" t="n">
        <v>609.357</v>
      </c>
      <c r="BE114" s="48" t="n">
        <v>630.542</v>
      </c>
      <c r="BF114" s="48" t="n">
        <v>757.665</v>
      </c>
      <c r="BG114" s="48" t="n">
        <v>2557.025</v>
      </c>
      <c r="BH114" s="48" t="n">
        <v>630.86</v>
      </c>
      <c r="BI114" s="48" t="n">
        <v>704.396</v>
      </c>
      <c r="BJ114" s="48" t="n">
        <v>724.326</v>
      </c>
      <c r="BK114" s="48" t="n">
        <v>785.791</v>
      </c>
      <c r="BL114" s="48" t="n">
        <v>2845.373</v>
      </c>
      <c r="BM114" s="48" t="n">
        <v>713.167</v>
      </c>
      <c r="BN114" s="48" t="n">
        <v>784.791</v>
      </c>
      <c r="BO114" s="48" t="n">
        <v>798.918</v>
      </c>
      <c r="BP114" s="48" t="n">
        <v>824.313</v>
      </c>
      <c r="BQ114" s="48" t="n">
        <v>3121.189</v>
      </c>
      <c r="BR114" s="48" t="n">
        <v>805.645</v>
      </c>
      <c r="BS114" s="48" t="n">
        <v>876.576</v>
      </c>
      <c r="BT114" s="48" t="n">
        <v>869.17</v>
      </c>
      <c r="BU114" s="48" t="n">
        <v>946.981</v>
      </c>
      <c r="BV114" s="48" t="n">
        <v>3498.372</v>
      </c>
      <c r="BW114" s="48" t="n">
        <v>913.687</v>
      </c>
      <c r="BX114" s="48" t="n">
        <v>924.008</v>
      </c>
      <c r="BY114" s="44" t="n">
        <f aca="false">BY79</f>
        <v>934.496526046084</v>
      </c>
      <c r="BZ114" s="44" t="n">
        <f aca="false">BZ79</f>
        <v>1018.30847395392</v>
      </c>
      <c r="CA114" s="44" t="n">
        <f aca="false">SUM(BW114,BX114,BY114,BZ114)</f>
        <v>3790.5</v>
      </c>
      <c r="CB114" s="44" t="n">
        <f aca="false">CB79</f>
        <v>4111.8</v>
      </c>
      <c r="CC114" s="44" t="n">
        <f aca="false">CC79</f>
        <v>4493.1167</v>
      </c>
      <c r="CD114" s="44" t="n">
        <f aca="false">CD79</f>
        <v>4876.960547</v>
      </c>
      <c r="CE114" s="44" t="n">
        <f aca="false">CE79</f>
        <v>5283.75375152</v>
      </c>
      <c r="CF114" s="18" t="s">
        <v>277</v>
      </c>
      <c r="CH114" s="19" t="n">
        <f aca="false">IFERROR((CE114/BV114)^(1/5)-1,"n/m")</f>
        <v>0.0859637190673677</v>
      </c>
      <c r="CI114" s="19" t="n">
        <f aca="false">IFERROR((BV114/AW114)^(1/5)-1,"n/m")</f>
        <v>0.0790587165621939</v>
      </c>
      <c r="CJ114" s="19" t="n">
        <f aca="false">IFERROR((BV114/X114)^(1/10)-1,"n/m")</f>
        <v>0.0472064036253048</v>
      </c>
      <c r="CK114" s="19" t="n">
        <f aca="false">IFERROR((BV114/C114)^(1/19)-1,"n/m")</f>
        <v>0.054249600614295</v>
      </c>
    </row>
    <row r="115" customFormat="false" ht="15" hidden="false" customHeight="false" outlineLevel="0" collapsed="false">
      <c r="B115" s="20" t="s">
        <v>278</v>
      </c>
      <c r="C115" s="24" t="n">
        <v>851.076</v>
      </c>
      <c r="D115" s="24" t="n">
        <v>1068.5</v>
      </c>
      <c r="E115" s="24" t="n">
        <v>1211.441</v>
      </c>
      <c r="F115" s="24" t="n">
        <v>1214.159</v>
      </c>
      <c r="G115" s="24" t="n">
        <v>1271.381</v>
      </c>
      <c r="H115" s="24" t="n">
        <v>1378.012</v>
      </c>
      <c r="I115" s="24" t="n">
        <v>1438.973</v>
      </c>
      <c r="J115" s="24" t="n">
        <v>408.98</v>
      </c>
      <c r="K115" s="24" t="n">
        <v>416.673</v>
      </c>
      <c r="L115" s="24" t="n">
        <v>405.965</v>
      </c>
      <c r="M115" s="24" t="n">
        <v>468.06</v>
      </c>
      <c r="N115" s="24" t="n">
        <v>1699.678</v>
      </c>
      <c r="O115" s="24" t="n">
        <v>439.26</v>
      </c>
      <c r="P115" s="24" t="n">
        <v>436.249</v>
      </c>
      <c r="Q115" s="24" t="n">
        <v>366.066</v>
      </c>
      <c r="R115" s="24" t="n">
        <v>372.246</v>
      </c>
      <c r="S115" s="24" t="n">
        <v>1466.61</v>
      </c>
      <c r="T115" s="24" t="n">
        <v>355.103</v>
      </c>
      <c r="U115" s="24" t="n">
        <v>362.843</v>
      </c>
      <c r="V115" s="24" t="n">
        <v>340.041</v>
      </c>
      <c r="W115" s="24" t="n">
        <v>364.441</v>
      </c>
      <c r="X115" s="24" t="n">
        <v>1422.428</v>
      </c>
      <c r="Y115" s="24" t="n">
        <v>331.604</v>
      </c>
      <c r="Z115" s="24" t="n">
        <v>347.387</v>
      </c>
      <c r="AA115" s="24" t="n">
        <v>322.616</v>
      </c>
      <c r="AB115" s="24" t="n">
        <v>356.841</v>
      </c>
      <c r="AC115" s="24" t="n">
        <v>1358.448</v>
      </c>
      <c r="AD115" s="24" t="n">
        <v>352.816</v>
      </c>
      <c r="AE115" s="24" t="n">
        <v>368.883</v>
      </c>
      <c r="AF115" s="24" t="n">
        <v>357.118</v>
      </c>
      <c r="AG115" s="24" t="n">
        <v>373.614</v>
      </c>
      <c r="AH115" s="24" t="n">
        <v>1452.431</v>
      </c>
      <c r="AI115" s="24" t="n">
        <v>366.331</v>
      </c>
      <c r="AJ115" s="24" t="n">
        <v>393.798</v>
      </c>
      <c r="AK115" s="24" t="n">
        <v>372.875</v>
      </c>
      <c r="AL115" s="24" t="n">
        <v>407.57</v>
      </c>
      <c r="AM115" s="24" t="n">
        <v>1540.574</v>
      </c>
      <c r="AN115" s="24" t="n">
        <v>381.441</v>
      </c>
      <c r="AO115" s="24" t="n">
        <v>408.952</v>
      </c>
      <c r="AP115" s="24" t="n">
        <v>388.804</v>
      </c>
      <c r="AQ115" s="24" t="n">
        <v>410.019</v>
      </c>
      <c r="AR115" s="24" t="n">
        <v>1589.216</v>
      </c>
      <c r="AS115" s="24" t="n">
        <v>400.652</v>
      </c>
      <c r="AT115" s="24" t="n">
        <v>364.021</v>
      </c>
      <c r="AU115" s="24" t="n">
        <v>358.793</v>
      </c>
      <c r="AV115" s="24" t="n">
        <v>426.643</v>
      </c>
      <c r="AW115" s="24" t="n">
        <v>1550.109</v>
      </c>
      <c r="AX115" s="24" t="n">
        <v>387.302</v>
      </c>
      <c r="AY115" s="24" t="n">
        <v>396.776</v>
      </c>
      <c r="AZ115" s="24" t="n">
        <v>383.611</v>
      </c>
      <c r="BA115" s="24" t="n">
        <v>404.886</v>
      </c>
      <c r="BB115" s="24" t="n">
        <v>1572.575</v>
      </c>
      <c r="BC115" s="24" t="n">
        <v>358.059</v>
      </c>
      <c r="BD115" s="24" t="n">
        <v>380.843</v>
      </c>
      <c r="BE115" s="24" t="n">
        <v>398.333</v>
      </c>
      <c r="BF115" s="24" t="n">
        <v>465.181</v>
      </c>
      <c r="BG115" s="24" t="n">
        <v>1602.416</v>
      </c>
      <c r="BH115" s="24" t="n">
        <v>409.452</v>
      </c>
      <c r="BI115" s="24" t="n">
        <v>444.823</v>
      </c>
      <c r="BJ115" s="24" t="n">
        <v>442.858</v>
      </c>
      <c r="BK115" s="24" t="n">
        <v>481.061</v>
      </c>
      <c r="BL115" s="24" t="n">
        <v>1778.195</v>
      </c>
      <c r="BM115" s="24" t="n">
        <v>459.412</v>
      </c>
      <c r="BN115" s="24" t="n">
        <v>500.69</v>
      </c>
      <c r="BO115" s="24" t="n">
        <v>500.655</v>
      </c>
      <c r="BP115" s="24" t="n">
        <v>506.883</v>
      </c>
      <c r="BQ115" s="24" t="n">
        <v>1967.64</v>
      </c>
      <c r="BR115" s="24" t="n">
        <v>513.181</v>
      </c>
      <c r="BS115" s="24" t="n">
        <v>550.419</v>
      </c>
      <c r="BT115" s="24" t="n">
        <v>541.7</v>
      </c>
      <c r="BU115" s="24" t="n">
        <v>591.538</v>
      </c>
      <c r="BV115" s="24" t="n">
        <v>2196.838</v>
      </c>
      <c r="BW115" s="24" t="n">
        <v>582.204</v>
      </c>
      <c r="BX115" s="24" t="n">
        <v>559.918</v>
      </c>
      <c r="BY115" s="25" t="n">
        <f aca="false">BY114-BY116</f>
        <v>576.213597822619</v>
      </c>
      <c r="BZ115" s="25" t="n">
        <f aca="false">BZ114-BZ116</f>
        <v>630.815124457209</v>
      </c>
      <c r="CA115" s="25" t="n">
        <f aca="false">SUM(BW115,BX115,BY115,BZ115)</f>
        <v>2349.15072227983</v>
      </c>
      <c r="CB115" s="25" t="n">
        <f aca="false">CB114-CB116</f>
        <v>2512.5422</v>
      </c>
      <c r="CC115" s="25" t="n">
        <f aca="false">CC114-CC116</f>
        <v>2731.5699623</v>
      </c>
      <c r="CD115" s="25" t="n">
        <f aca="false">CD114-CD116</f>
        <v>2954.073924143</v>
      </c>
      <c r="CE115" s="25" t="n">
        <f aca="false">CE114-CE116</f>
        <v>3189.78808290638</v>
      </c>
      <c r="CF115" s="18" t="s">
        <v>279</v>
      </c>
    </row>
    <row r="116" customFormat="false" ht="15" hidden="false" customHeight="false" outlineLevel="0" collapsed="false">
      <c r="B116" s="15" t="s">
        <v>280</v>
      </c>
      <c r="C116" s="31" t="n">
        <f aca="false">C114-C115</f>
        <v>431.079</v>
      </c>
      <c r="D116" s="31" t="n">
        <f aca="false">D114-D115</f>
        <v>523.624</v>
      </c>
      <c r="E116" s="31" t="n">
        <f aca="false">E114-E115</f>
        <v>618.699</v>
      </c>
      <c r="F116" s="31" t="n">
        <f aca="false">F114-F115</f>
        <v>595.531</v>
      </c>
      <c r="G116" s="31" t="n">
        <f aca="false">G114-G115</f>
        <v>621.753</v>
      </c>
      <c r="H116" s="31" t="n">
        <f aca="false">H114-H115</f>
        <v>676.118</v>
      </c>
      <c r="I116" s="31" t="n">
        <f aca="false">I114-I115</f>
        <v>658.743</v>
      </c>
      <c r="J116" s="31" t="n">
        <f aca="false">J114-J115</f>
        <v>183.707</v>
      </c>
      <c r="K116" s="31" t="n">
        <f aca="false">K114-K115</f>
        <v>201.014</v>
      </c>
      <c r="L116" s="31" t="n">
        <f aca="false">L114-L115</f>
        <v>194.702</v>
      </c>
      <c r="M116" s="31" t="n">
        <f aca="false">M114-M115</f>
        <v>231.67</v>
      </c>
      <c r="N116" s="31" t="n">
        <f aca="false">N114-N115</f>
        <v>811.093</v>
      </c>
      <c r="O116" s="31" t="n">
        <f aca="false">O114-O115</f>
        <v>202.152</v>
      </c>
      <c r="P116" s="31" t="n">
        <f aca="false">P114-P115</f>
        <v>216.203</v>
      </c>
      <c r="Q116" s="31" t="n">
        <f aca="false">Q114-Q115</f>
        <v>193.428</v>
      </c>
      <c r="R116" s="31" t="n">
        <f aca="false">R114-R115</f>
        <v>200.34</v>
      </c>
      <c r="S116" s="31" t="n">
        <f aca="false">S114-S115</f>
        <v>776.516</v>
      </c>
      <c r="T116" s="31" t="n">
        <f aca="false">T114-T115</f>
        <v>191.096</v>
      </c>
      <c r="U116" s="31" t="n">
        <f aca="false">U114-U115</f>
        <v>182.351</v>
      </c>
      <c r="V116" s="31" t="n">
        <f aca="false">V114-V115</f>
        <v>185.494</v>
      </c>
      <c r="W116" s="31" t="n">
        <f aca="false">W114-W115</f>
        <v>224.314</v>
      </c>
      <c r="X116" s="31" t="n">
        <f aca="false">X114-X115</f>
        <v>783.255</v>
      </c>
      <c r="Y116" s="31" t="n">
        <f aca="false">Y114-Y115</f>
        <v>171.903</v>
      </c>
      <c r="Z116" s="31" t="n">
        <f aca="false">Z114-Z115</f>
        <v>185.379</v>
      </c>
      <c r="AA116" s="31" t="n">
        <f aca="false">AA114-AA115</f>
        <v>184.476</v>
      </c>
      <c r="AB116" s="31" t="n">
        <f aca="false">AB114-AB115</f>
        <v>208.725</v>
      </c>
      <c r="AC116" s="31" t="n">
        <f aca="false">AC114-AC115</f>
        <v>750.483</v>
      </c>
      <c r="AD116" s="31" t="n">
        <f aca="false">AD114-AD115</f>
        <v>170.775</v>
      </c>
      <c r="AE116" s="31" t="n">
        <f aca="false">AE114-AE115</f>
        <v>198.77</v>
      </c>
      <c r="AF116" s="31" t="n">
        <f aca="false">AF114-AF115</f>
        <v>210.783</v>
      </c>
      <c r="AG116" s="31" t="n">
        <f aca="false">AG114-AG115</f>
        <v>238.267</v>
      </c>
      <c r="AH116" s="31" t="n">
        <f aca="false">AH114-AH115</f>
        <v>818.595</v>
      </c>
      <c r="AI116" s="31" t="n">
        <f aca="false">AI114-AI115</f>
        <v>181.191</v>
      </c>
      <c r="AJ116" s="31" t="n">
        <f aca="false">AJ114-AJ115</f>
        <v>226.5</v>
      </c>
      <c r="AK116" s="31" t="n">
        <f aca="false">AK114-AK115</f>
        <v>222.518</v>
      </c>
      <c r="AL116" s="31" t="n">
        <f aca="false">AL114-AL115</f>
        <v>241.052</v>
      </c>
      <c r="AM116" s="31" t="n">
        <f aca="false">AM114-AM115</f>
        <v>871.261</v>
      </c>
      <c r="AN116" s="31" t="n">
        <f aca="false">AN114-AN115</f>
        <v>196.873</v>
      </c>
      <c r="AO116" s="31" t="n">
        <f aca="false">AO114-AO115</f>
        <v>230.044</v>
      </c>
      <c r="AP116" s="31" t="n">
        <f aca="false">AP114-AP115</f>
        <v>226.076</v>
      </c>
      <c r="AQ116" s="31" t="n">
        <f aca="false">AQ114-AQ115</f>
        <v>245.752</v>
      </c>
      <c r="AR116" s="31" t="n">
        <f aca="false">AR114-AR115</f>
        <v>898.745</v>
      </c>
      <c r="AS116" s="31" t="n">
        <f aca="false">AS114-AS115</f>
        <v>200.579</v>
      </c>
      <c r="AT116" s="31" t="n">
        <f aca="false">AT114-AT115</f>
        <v>186.026</v>
      </c>
      <c r="AU116" s="31" t="n">
        <f aca="false">AU114-AU115</f>
        <v>212.821</v>
      </c>
      <c r="AV116" s="31" t="n">
        <f aca="false">AV114-AV115</f>
        <v>241.801</v>
      </c>
      <c r="AW116" s="31" t="n">
        <f aca="false">AW114-AW115</f>
        <v>841.227</v>
      </c>
      <c r="AX116" s="31" t="n">
        <f aca="false">AX114-AX115</f>
        <v>209.757</v>
      </c>
      <c r="AY116" s="31" t="n">
        <f aca="false">AY114-AY115</f>
        <v>224.719</v>
      </c>
      <c r="AZ116" s="31" t="n">
        <f aca="false">AZ114-AZ115</f>
        <v>237.008</v>
      </c>
      <c r="BA116" s="31" t="n">
        <f aca="false">BA114-BA115</f>
        <v>261.872</v>
      </c>
      <c r="BB116" s="31" t="n">
        <f aca="false">BB114-BB115</f>
        <v>933.356</v>
      </c>
      <c r="BC116" s="31" t="n">
        <f aca="false">BC114-BC115</f>
        <v>201.402</v>
      </c>
      <c r="BD116" s="31" t="n">
        <f aca="false">BD114-BD115</f>
        <v>228.514</v>
      </c>
      <c r="BE116" s="31" t="n">
        <f aca="false">BE114-BE115</f>
        <v>232.209</v>
      </c>
      <c r="BF116" s="31" t="n">
        <f aca="false">BF114-BF115</f>
        <v>292.484</v>
      </c>
      <c r="BG116" s="31" t="n">
        <f aca="false">BG114-BG115</f>
        <v>954.609</v>
      </c>
      <c r="BH116" s="31" t="n">
        <f aca="false">BH114-BH115</f>
        <v>221.408</v>
      </c>
      <c r="BI116" s="31" t="n">
        <f aca="false">BI114-BI115</f>
        <v>259.573</v>
      </c>
      <c r="BJ116" s="31" t="n">
        <f aca="false">BJ114-BJ115</f>
        <v>281.468</v>
      </c>
      <c r="BK116" s="31" t="n">
        <f aca="false">BK114-BK115</f>
        <v>304.73</v>
      </c>
      <c r="BL116" s="31" t="n">
        <f aca="false">BL114-BL115</f>
        <v>1067.178</v>
      </c>
      <c r="BM116" s="31" t="n">
        <f aca="false">BM114-BM115</f>
        <v>253.755</v>
      </c>
      <c r="BN116" s="31" t="n">
        <f aca="false">BN114-BN115</f>
        <v>284.101</v>
      </c>
      <c r="BO116" s="31" t="n">
        <f aca="false">BO114-BO115</f>
        <v>298.263</v>
      </c>
      <c r="BP116" s="31" t="n">
        <f aca="false">BP114-BP115</f>
        <v>317.43</v>
      </c>
      <c r="BQ116" s="31" t="n">
        <f aca="false">BQ114-BQ115</f>
        <v>1153.549</v>
      </c>
      <c r="BR116" s="31" t="n">
        <f aca="false">BR114-BR115</f>
        <v>292.464</v>
      </c>
      <c r="BS116" s="31" t="n">
        <f aca="false">BS114-BS115</f>
        <v>326.157</v>
      </c>
      <c r="BT116" s="31" t="n">
        <f aca="false">BT114-BT115</f>
        <v>327.47</v>
      </c>
      <c r="BU116" s="31" t="n">
        <f aca="false">BU114-BU115</f>
        <v>355.443</v>
      </c>
      <c r="BV116" s="31" t="n">
        <f aca="false">BV114-BV115</f>
        <v>1301.534</v>
      </c>
      <c r="BW116" s="31" t="n">
        <f aca="false">BW114-BW115</f>
        <v>331.483</v>
      </c>
      <c r="BX116" s="31" t="n">
        <f aca="false">BX114-BX115</f>
        <v>364.09</v>
      </c>
      <c r="BY116" s="17" t="n">
        <f aca="false">BY123+BY118+BY119+BY120+BY121+BY122</f>
        <v>358.282928223464</v>
      </c>
      <c r="BZ116" s="17" t="n">
        <f aca="false">BZ123+BZ118+BZ119+BZ120+BZ121+BZ122</f>
        <v>387.493349496708</v>
      </c>
      <c r="CA116" s="17" t="n">
        <f aca="false">SUM(BW116,BX116,BY116,BZ116)</f>
        <v>1441.34927772017</v>
      </c>
      <c r="CB116" s="17" t="n">
        <f aca="false">CB123+CB118+CB119+CB120+CB121+CB122</f>
        <v>1599.2578</v>
      </c>
      <c r="CC116" s="17" t="n">
        <f aca="false">CC123+CC118+CC119+CC120+CC121+CC122</f>
        <v>1761.5467377</v>
      </c>
      <c r="CD116" s="17" t="n">
        <f aca="false">CD123+CD118+CD119+CD120+CD121+CD122</f>
        <v>1922.886622857</v>
      </c>
      <c r="CE116" s="17" t="n">
        <f aca="false">CE123+CE118+CE119+CE120+CE121+CE122</f>
        <v>2093.96566861362</v>
      </c>
      <c r="CF116" s="18" t="s">
        <v>281</v>
      </c>
    </row>
    <row r="117" customFormat="false" ht="15" hidden="false" customHeight="false" outlineLevel="0" collapsed="false">
      <c r="B117" s="20" t="s">
        <v>282</v>
      </c>
      <c r="C117" s="27" t="n">
        <f aca="false">IF(AND(ISNUMBER(C116),ISNUMBER(C114)),IFERROR(C116/C114,""),"")</f>
        <v>0.336214420253402</v>
      </c>
      <c r="D117" s="27" t="n">
        <f aca="false">IF(AND(ISNUMBER(D116),ISNUMBER(D114)),IFERROR(D116/D114,""),"")</f>
        <v>0.328883931151091</v>
      </c>
      <c r="E117" s="27" t="n">
        <f aca="false">IF(AND(ISNUMBER(E116),ISNUMBER(E114)),IFERROR(E116/E114,""),"")</f>
        <v>0.338061022654005</v>
      </c>
      <c r="F117" s="27" t="n">
        <f aca="false">IF(AND(ISNUMBER(F116),ISNUMBER(F114)),IFERROR(F116/F114,""),"")</f>
        <v>0.329079013532704</v>
      </c>
      <c r="G117" s="27" t="n">
        <f aca="false">IF(AND(ISNUMBER(G116),ISNUMBER(G114)),IFERROR(G116/G114,""),"")</f>
        <v>0.328425246179087</v>
      </c>
      <c r="H117" s="27" t="n">
        <f aca="false">IF(AND(ISNUMBER(H116),ISNUMBER(H114)),IFERROR(H116/H114,""),"")</f>
        <v>0.329150540618169</v>
      </c>
      <c r="I117" s="27" t="n">
        <f aca="false">IF(AND(ISNUMBER(I116),ISNUMBER(I114)),IFERROR(I116/I114,""),"")</f>
        <v>0.314028686438012</v>
      </c>
      <c r="J117" s="27" t="n">
        <f aca="false">IF(AND(ISNUMBER(J116),ISNUMBER(J114)),IFERROR(J116/J114,""),"")</f>
        <v>0.309956182605659</v>
      </c>
      <c r="K117" s="27" t="n">
        <f aca="false">IF(AND(ISNUMBER(K116),ISNUMBER(K114)),IFERROR(K116/K114,""),"")</f>
        <v>0.325430193609385</v>
      </c>
      <c r="L117" s="27" t="n">
        <f aca="false">IF(AND(ISNUMBER(L116),ISNUMBER(L114)),IFERROR(L116/L114,""),"")</f>
        <v>0.324142994371257</v>
      </c>
      <c r="M117" s="27" t="n">
        <f aca="false">IF(AND(ISNUMBER(M116),ISNUMBER(M114)),IFERROR(M116/M114,""),"")</f>
        <v>0.331084847012419</v>
      </c>
      <c r="N117" s="27" t="n">
        <f aca="false">IF(AND(ISNUMBER(N116),ISNUMBER(N114)),IFERROR(N116/N114,""),"")</f>
        <v>0.323045391236397</v>
      </c>
      <c r="O117" s="27" t="n">
        <f aca="false">IF(AND(ISNUMBER(O116),ISNUMBER(O114)),IFERROR(O116/O114,""),"")</f>
        <v>0.31516716244785</v>
      </c>
      <c r="P117" s="27" t="n">
        <f aca="false">IF(AND(ISNUMBER(P116),ISNUMBER(P114)),IFERROR(P116/P114,""),"")</f>
        <v>0.331369970511241</v>
      </c>
      <c r="Q117" s="27" t="n">
        <f aca="false">IF(AND(ISNUMBER(Q116),ISNUMBER(Q114)),IFERROR(Q116/Q114,""),"")</f>
        <v>0.345719525142361</v>
      </c>
      <c r="R117" s="27" t="n">
        <f aca="false">IF(AND(ISNUMBER(R116),ISNUMBER(R114)),IFERROR(R116/R114,""),"")</f>
        <v>0.349886305288638</v>
      </c>
      <c r="S117" s="27" t="n">
        <f aca="false">IF(AND(ISNUMBER(S116),ISNUMBER(S114)),IFERROR(S116/S114,""),"")</f>
        <v>0.346175827840255</v>
      </c>
      <c r="T117" s="27" t="n">
        <f aca="false">IF(AND(ISNUMBER(T116),ISNUMBER(T114)),IFERROR(T116/T114,""),"")</f>
        <v>0.349865159035443</v>
      </c>
      <c r="U117" s="27" t="n">
        <f aca="false">IF(AND(ISNUMBER(U116),ISNUMBER(U114)),IFERROR(U116/U114,""),"")</f>
        <v>0.334469931804092</v>
      </c>
      <c r="V117" s="27" t="n">
        <f aca="false">IF(AND(ISNUMBER(V116),ISNUMBER(V114)),IFERROR(V116/V114,""),"")</f>
        <v>0.352962219452558</v>
      </c>
      <c r="W117" s="27" t="n">
        <f aca="false">IF(AND(ISNUMBER(W116),ISNUMBER(W114)),IFERROR(W116/W114,""),"")</f>
        <v>0.380997188983533</v>
      </c>
      <c r="X117" s="27" t="n">
        <f aca="false">IF(AND(ISNUMBER(X116),ISNUMBER(X114)),IFERROR(X116/X114,""),"")</f>
        <v>0.355107692265842</v>
      </c>
      <c r="Y117" s="27" t="n">
        <f aca="false">IF(AND(ISNUMBER(Y116),ISNUMBER(Y114)),IFERROR(Y116/Y114,""),"")</f>
        <v>0.341411340855241</v>
      </c>
      <c r="Z117" s="27" t="n">
        <f aca="false">IF(AND(ISNUMBER(Z116),ISNUMBER(Z114)),IFERROR(Z116/Z114,""),"")</f>
        <v>0.34795576294283</v>
      </c>
      <c r="AA117" s="27" t="n">
        <f aca="false">IF(AND(ISNUMBER(AA116),ISNUMBER(AA114)),IFERROR(AA116/AA114,""),"")</f>
        <v>0.363791974631822</v>
      </c>
      <c r="AB117" s="27" t="n">
        <f aca="false">IF(AND(ISNUMBER(AB116),ISNUMBER(AB114)),IFERROR(AB116/AB114,""),"")</f>
        <v>0.369055070495751</v>
      </c>
      <c r="AC117" s="27" t="n">
        <f aca="false">IF(AND(ISNUMBER(AC116),ISNUMBER(AC114)),IFERROR(AC116/AC114,""),"")</f>
        <v>0.355859437790995</v>
      </c>
      <c r="AD117" s="27" t="n">
        <f aca="false">IF(AND(ISNUMBER(AD116),ISNUMBER(AD114)),IFERROR(AD116/AD114,""),"")</f>
        <v>0.326161068467564</v>
      </c>
      <c r="AE117" s="27" t="n">
        <f aca="false">IF(AND(ISNUMBER(AE116),ISNUMBER(AE114)),IFERROR(AE116/AE114,""),"")</f>
        <v>0.350161101940798</v>
      </c>
      <c r="AF117" s="27" t="n">
        <f aca="false">IF(AND(ISNUMBER(AF116),ISNUMBER(AF114)),IFERROR(AF116/AF114,""),"")</f>
        <v>0.371161522871064</v>
      </c>
      <c r="AG117" s="27" t="n">
        <f aca="false">IF(AND(ISNUMBER(AG116),ISNUMBER(AG114)),IFERROR(AG116/AG114,""),"")</f>
        <v>0.389400880236517</v>
      </c>
      <c r="AH117" s="27" t="n">
        <f aca="false">IF(AND(ISNUMBER(AH116),ISNUMBER(AH114)),IFERROR(AH116/AH114,""),"")</f>
        <v>0.360451619664416</v>
      </c>
      <c r="AI117" s="27" t="n">
        <f aca="false">IF(AND(ISNUMBER(AI116),ISNUMBER(AI114)),IFERROR(AI116/AI114,""),"")</f>
        <v>0.330929168143015</v>
      </c>
      <c r="AJ117" s="27" t="n">
        <f aca="false">IF(AND(ISNUMBER(AJ116),ISNUMBER(AJ114)),IFERROR(AJ116/AJ114,""),"")</f>
        <v>0.365147074470658</v>
      </c>
      <c r="AK117" s="27" t="n">
        <f aca="false">IF(AND(ISNUMBER(AK116),ISNUMBER(AK114)),IFERROR(AK116/AK114,""),"")</f>
        <v>0.373732979729355</v>
      </c>
      <c r="AL117" s="27" t="n">
        <f aca="false">IF(AND(ISNUMBER(AL116),ISNUMBER(AL114)),IFERROR(AL116/AL114,""),"")</f>
        <v>0.37163710142425</v>
      </c>
      <c r="AM117" s="27" t="n">
        <f aca="false">IF(AND(ISNUMBER(AM116),ISNUMBER(AM114)),IFERROR(AM116/AM114,""),"")</f>
        <v>0.361244032033701</v>
      </c>
      <c r="AN117" s="27" t="n">
        <f aca="false">IF(AND(ISNUMBER(AN116),ISNUMBER(AN114)),IFERROR(AN116/AN114,""),"")</f>
        <v>0.340425789450022</v>
      </c>
      <c r="AO117" s="27" t="n">
        <f aca="false">IF(AND(ISNUMBER(AO116),ISNUMBER(AO114)),IFERROR(AO116/AO114,""),"")</f>
        <v>0.360008513355326</v>
      </c>
      <c r="AP117" s="27" t="n">
        <f aca="false">IF(AND(ISNUMBER(AP116),ISNUMBER(AP114)),IFERROR(AP116/AP114,""),"")</f>
        <v>0.367674993494666</v>
      </c>
      <c r="AQ117" s="27" t="n">
        <f aca="false">IF(AND(ISNUMBER(AQ116),ISNUMBER(AQ114)),IFERROR(AQ116/AQ114,""),"")</f>
        <v>0.374752771928005</v>
      </c>
      <c r="AR117" s="27" t="n">
        <f aca="false">IF(AND(ISNUMBER(AR116),ISNUMBER(AR114)),IFERROR(AR116/AR114,""),"")</f>
        <v>0.361237575669394</v>
      </c>
      <c r="AS117" s="27" t="n">
        <f aca="false">IF(AND(ISNUMBER(AS116),ISNUMBER(AS114)),IFERROR(AS116/AS114,""),"")</f>
        <v>0.333613868879017</v>
      </c>
      <c r="AT117" s="27" t="n">
        <f aca="false">IF(AND(ISNUMBER(AT116),ISNUMBER(AT114)),IFERROR(AT116/AT114,""),"")</f>
        <v>0.338200190165568</v>
      </c>
      <c r="AU117" s="27" t="n">
        <f aca="false">IF(AND(ISNUMBER(AU116),ISNUMBER(AU114)),IFERROR(AU116/AU114,""),"")</f>
        <v>0.372315933479586</v>
      </c>
      <c r="AV117" s="27" t="n">
        <f aca="false">IF(AND(ISNUMBER(AV116),ISNUMBER(AV114)),IFERROR(AV116/AV114,""),"")</f>
        <v>0.361737108867759</v>
      </c>
      <c r="AW117" s="27" t="n">
        <f aca="false">IF(AND(ISNUMBER(AW116),ISNUMBER(AW114)),IFERROR(AW116/AW114,""),"")</f>
        <v>0.351781180060017</v>
      </c>
      <c r="AX117" s="27" t="n">
        <f aca="false">IF(AND(ISNUMBER(AX116),ISNUMBER(AX114)),IFERROR(AX116/AX114,""),"")</f>
        <v>0.351317039019594</v>
      </c>
      <c r="AY117" s="27" t="n">
        <f aca="false">IF(AND(ISNUMBER(AY116),ISNUMBER(AY114)),IFERROR(AY116/AY114,""),"")</f>
        <v>0.361578130153903</v>
      </c>
      <c r="AZ117" s="27" t="n">
        <f aca="false">IF(AND(ISNUMBER(AZ116),ISNUMBER(AZ114)),IFERROR(AZ116/AZ114,""),"")</f>
        <v>0.381889693999056</v>
      </c>
      <c r="BA117" s="27" t="n">
        <f aca="false">IF(AND(ISNUMBER(BA116),ISNUMBER(BA114)),IFERROR(BA116/BA114,""),"")</f>
        <v>0.392754192675603</v>
      </c>
      <c r="BB117" s="27" t="n">
        <f aca="false">IF(AND(ISNUMBER(BB116),ISNUMBER(BB114)),IFERROR(BB116/BB114,""),"")</f>
        <v>0.372458778793191</v>
      </c>
      <c r="BC117" s="27" t="n">
        <f aca="false">IF(AND(ISNUMBER(BC116),ISNUMBER(BC114)),IFERROR(BC116/BC114,""),"")</f>
        <v>0.359992921758621</v>
      </c>
      <c r="BD117" s="27" t="n">
        <f aca="false">IF(AND(ISNUMBER(BD116),ISNUMBER(BD114)),IFERROR(BD116/BD114,""),"")</f>
        <v>0.375008410504844</v>
      </c>
      <c r="BE117" s="27" t="n">
        <f aca="false">IF(AND(ISNUMBER(BE116),ISNUMBER(BE114)),IFERROR(BE116/BE114,""),"")</f>
        <v>0.368268886132883</v>
      </c>
      <c r="BF117" s="27" t="n">
        <f aca="false">IF(AND(ISNUMBER(BF116),ISNUMBER(BF114)),IFERROR(BF116/BF114,""),"")</f>
        <v>0.38603340526486</v>
      </c>
      <c r="BG117" s="27" t="n">
        <f aca="false">IF(AND(ISNUMBER(BG116),ISNUMBER(BG114)),IFERROR(BG116/BG114,""),"")</f>
        <v>0.373327988580479</v>
      </c>
      <c r="BH117" s="27" t="n">
        <f aca="false">IF(AND(ISNUMBER(BH116),ISNUMBER(BH114)),IFERROR(BH116/BH114,""),"")</f>
        <v>0.350962178613322</v>
      </c>
      <c r="BI117" s="27" t="n">
        <f aca="false">IF(AND(ISNUMBER(BI116),ISNUMBER(BI114)),IFERROR(BI116/BI114,""),"")</f>
        <v>0.36850436402251</v>
      </c>
      <c r="BJ117" s="27" t="n">
        <f aca="false">IF(AND(ISNUMBER(BJ116),ISNUMBER(BJ114)),IFERROR(BJ116/BJ114,""),"")</f>
        <v>0.388592981613252</v>
      </c>
      <c r="BK117" s="27" t="n">
        <f aca="false">IF(AND(ISNUMBER(BK116),ISNUMBER(BK114)),IFERROR(BK116/BK114,""),"")</f>
        <v>0.387800318405276</v>
      </c>
      <c r="BL117" s="27" t="n">
        <f aca="false">IF(AND(ISNUMBER(BL116),ISNUMBER(BL114)),IFERROR(BL116/BL114,""),"")</f>
        <v>0.37505732991773</v>
      </c>
      <c r="BM117" s="27" t="n">
        <f aca="false">IF(AND(ISNUMBER(BM116),ISNUMBER(BM114)),IFERROR(BM116/BM114,""),"")</f>
        <v>0.355814276319572</v>
      </c>
      <c r="BN117" s="27" t="n">
        <f aca="false">IF(AND(ISNUMBER(BN116),ISNUMBER(BN114)),IFERROR(BN116/BN114,""),"")</f>
        <v>0.362008483787403</v>
      </c>
      <c r="BO117" s="27" t="n">
        <f aca="false">IF(AND(ISNUMBER(BO116),ISNUMBER(BO114)),IFERROR(BO116/BO114,""),"")</f>
        <v>0.37333368380735</v>
      </c>
      <c r="BP117" s="27" t="n">
        <f aca="false">IF(AND(ISNUMBER(BP116),ISNUMBER(BP114)),IFERROR(BP116/BP114,""),"")</f>
        <v>0.385084306568015</v>
      </c>
      <c r="BQ117" s="27" t="n">
        <f aca="false">IF(AND(ISNUMBER(BQ116),ISNUMBER(BQ114)),IFERROR(BQ116/BQ114,""),"")</f>
        <v>0.369586398004094</v>
      </c>
      <c r="BR117" s="27" t="n">
        <f aca="false">IF(AND(ISNUMBER(BR116),ISNUMBER(BR114)),IFERROR(BR116/BR114,""),"")</f>
        <v>0.363018451054745</v>
      </c>
      <c r="BS117" s="27" t="n">
        <f aca="false">IF(AND(ISNUMBER(BS116),ISNUMBER(BS114)),IFERROR(BS116/BS114,""),"")</f>
        <v>0.372080686671778</v>
      </c>
      <c r="BT117" s="27" t="n">
        <f aca="false">IF(AND(ISNUMBER(BT116),ISNUMBER(BT114)),IFERROR(BT116/BT114,""),"")</f>
        <v>0.376761738210016</v>
      </c>
      <c r="BU117" s="27" t="n">
        <f aca="false">IF(AND(ISNUMBER(BU116),ISNUMBER(BU114)),IFERROR(BU116/BU114,""),"")</f>
        <v>0.375343327902038</v>
      </c>
      <c r="BV117" s="27" t="n">
        <f aca="false">IF(AND(ISNUMBER(BV116),ISNUMBER(BV114)),IFERROR(BV116/BV114,""),"")</f>
        <v>0.37203990884903</v>
      </c>
      <c r="BW117" s="27" t="n">
        <f aca="false">IF(AND(ISNUMBER(BW116),ISNUMBER(BW114)),IFERROR(BW116/BW114,""),"")</f>
        <v>0.36279710666782</v>
      </c>
      <c r="BX117" s="27" t="n">
        <f aca="false">IF(AND(ISNUMBER(BX116),ISNUMBER(BX114)),IFERROR(BX116/BX114,""),"")</f>
        <v>0.394033384992338</v>
      </c>
      <c r="BY117" s="22" t="n">
        <f aca="false">IFERROR(BY116/BY114,"")</f>
        <v>0.383396747058422</v>
      </c>
      <c r="BZ117" s="22" t="n">
        <f aca="false">IFERROR(BZ116/BZ114,"")</f>
        <v>0.380526490162787</v>
      </c>
      <c r="CA117" s="22" t="n">
        <f aca="false">IFERROR(CA116/CA114,"")</f>
        <v>0.380253074190785</v>
      </c>
      <c r="CB117" s="22" t="n">
        <f aca="false">IFERROR(CB116/CB114,"")</f>
        <v>0.388943479741233</v>
      </c>
      <c r="CC117" s="22" t="n">
        <f aca="false">IFERROR(CC116/CC114,"")</f>
        <v>0.392054525915163</v>
      </c>
      <c r="CD117" s="22" t="n">
        <f aca="false">IFERROR(CD116/CD114,"")</f>
        <v>0.394279716705898</v>
      </c>
      <c r="CE117" s="22" t="n">
        <f aca="false">IFERROR(CE116/CE114,"")</f>
        <v>0.396302660397684</v>
      </c>
      <c r="CH117" s="32" t="n">
        <f aca="false">IFERROR(AVERAGE(CA117,CB117,CC117,CD117,CE117),"n/m")</f>
        <v>0.390366691390153</v>
      </c>
      <c r="CI117" s="32" t="n">
        <f aca="false">IFERROR(AVERAGE(BB117,BG117,BL117,BQ117,BV117),"n/m")</f>
        <v>0.372494080828905</v>
      </c>
      <c r="CJ117" s="32" t="n">
        <f aca="false">IFERROR(AVERAGE(AC117,AH117,AM117,AR117,AW117,BB117,BG117,BL117,BQ117,BV117),"n/m")</f>
        <v>0.365304424936305</v>
      </c>
      <c r="CK117" s="32" t="n">
        <f aca="false">IFERROR(AVERAGE(C117,D117,E117,F117,G117,H117,I117,N117,S117,X117,AC117,AH117,AM117,AR117,AW117,BB117,BG117,BL117,BQ117,BV117),"n/m")</f>
        <v>0.349060801076601</v>
      </c>
    </row>
    <row r="118" customFormat="false" ht="15" hidden="false" customHeight="false" outlineLevel="0" collapsed="false">
      <c r="B118" s="20" t="s">
        <v>283</v>
      </c>
      <c r="C118" s="24" t="n">
        <v>38.841</v>
      </c>
      <c r="D118" s="24" t="n">
        <v>47.929</v>
      </c>
      <c r="E118" s="24" t="n">
        <v>49.615</v>
      </c>
      <c r="F118" s="24" t="n">
        <v>54.645</v>
      </c>
      <c r="G118" s="24" t="n">
        <v>54.131</v>
      </c>
      <c r="H118" s="24" t="n">
        <v>62.115</v>
      </c>
      <c r="I118" s="24" t="n">
        <v>59.712</v>
      </c>
      <c r="J118" s="24" t="n">
        <v>17.608</v>
      </c>
      <c r="K118" s="24" t="n">
        <v>15.903</v>
      </c>
      <c r="L118" s="24" t="n">
        <v>16.054</v>
      </c>
      <c r="M118" s="24" t="n">
        <v>19.309</v>
      </c>
      <c r="N118" s="24" t="n">
        <v>68.874</v>
      </c>
      <c r="O118" s="24" t="n">
        <v>18.349</v>
      </c>
      <c r="P118" s="24" t="n">
        <v>17.621</v>
      </c>
      <c r="Q118" s="24" t="n">
        <v>16.909</v>
      </c>
      <c r="R118" s="24" t="n">
        <v>16.692</v>
      </c>
      <c r="S118" s="24" t="n">
        <v>67.842</v>
      </c>
      <c r="T118" s="24" t="n">
        <v>15.262</v>
      </c>
      <c r="U118" s="24" t="n">
        <v>15.321</v>
      </c>
      <c r="V118" s="24" t="n">
        <v>15.05</v>
      </c>
      <c r="W118" s="24" t="n">
        <v>15.204</v>
      </c>
      <c r="X118" s="24" t="n">
        <v>60.837</v>
      </c>
      <c r="Y118" s="24" t="n">
        <v>15.16</v>
      </c>
      <c r="Z118" s="24" t="n">
        <v>15.236</v>
      </c>
      <c r="AA118" s="24" t="n">
        <v>14.071</v>
      </c>
      <c r="AB118" s="24" t="n">
        <v>14.125</v>
      </c>
      <c r="AC118" s="24" t="n">
        <v>58.592</v>
      </c>
      <c r="AD118" s="24" t="n">
        <v>15.298</v>
      </c>
      <c r="AE118" s="24" t="n">
        <v>15.501</v>
      </c>
      <c r="AF118" s="24" t="n">
        <v>14.575</v>
      </c>
      <c r="AG118" s="24" t="n">
        <v>14.934</v>
      </c>
      <c r="AH118" s="24" t="n">
        <v>60.308</v>
      </c>
      <c r="AI118" s="24" t="n">
        <v>15.941</v>
      </c>
      <c r="AJ118" s="24" t="n">
        <v>15.054</v>
      </c>
      <c r="AK118" s="24" t="n">
        <v>14.239</v>
      </c>
      <c r="AL118" s="24" t="n">
        <v>19.291</v>
      </c>
      <c r="AM118" s="24" t="n">
        <v>64.525</v>
      </c>
      <c r="AN118" s="24" t="n">
        <v>17.241</v>
      </c>
      <c r="AO118" s="24" t="n">
        <v>18.9</v>
      </c>
      <c r="AP118" s="24" t="n">
        <v>18.362</v>
      </c>
      <c r="AQ118" s="24" t="n">
        <v>18.017</v>
      </c>
      <c r="AR118" s="24" t="n">
        <v>72.52</v>
      </c>
      <c r="AS118" s="24" t="n">
        <v>18.307</v>
      </c>
      <c r="AT118" s="24" t="n">
        <v>18.269</v>
      </c>
      <c r="AU118" s="24" t="n">
        <v>17.587</v>
      </c>
      <c r="AV118" s="24" t="n">
        <v>20.653</v>
      </c>
      <c r="AW118" s="24" t="n">
        <v>74.816</v>
      </c>
      <c r="AX118" s="24" t="n">
        <v>21.863</v>
      </c>
      <c r="AY118" s="24" t="n">
        <v>23.194</v>
      </c>
      <c r="AZ118" s="24" t="n">
        <v>21.618</v>
      </c>
      <c r="BA118" s="24" t="n">
        <v>21.814</v>
      </c>
      <c r="BB118" s="24" t="n">
        <v>88.489</v>
      </c>
      <c r="BC118" s="24" t="n">
        <v>20.549</v>
      </c>
      <c r="BD118" s="24" t="n">
        <v>23.868</v>
      </c>
      <c r="BE118" s="24" t="n">
        <v>17.387</v>
      </c>
      <c r="BF118" s="24" t="n">
        <v>19.032</v>
      </c>
      <c r="BG118" s="24" t="n">
        <v>80.836</v>
      </c>
      <c r="BH118" s="24" t="n">
        <v>22.024</v>
      </c>
      <c r="BI118" s="24" t="n">
        <v>20.21</v>
      </c>
      <c r="BJ118" s="24" t="n">
        <v>23.464</v>
      </c>
      <c r="BK118" s="24" t="n">
        <v>20.066</v>
      </c>
      <c r="BL118" s="24" t="n">
        <v>85.764</v>
      </c>
      <c r="BM118" s="24" t="n">
        <v>22.98</v>
      </c>
      <c r="BN118" s="24" t="n">
        <v>22.152</v>
      </c>
      <c r="BO118" s="24" t="n">
        <v>20.734</v>
      </c>
      <c r="BP118" s="24" t="n">
        <v>25.781</v>
      </c>
      <c r="BQ118" s="24" t="n">
        <v>91.647</v>
      </c>
      <c r="BR118" s="24" t="n">
        <v>23.019</v>
      </c>
      <c r="BS118" s="24" t="n">
        <v>23.308</v>
      </c>
      <c r="BT118" s="24" t="n">
        <v>23.407</v>
      </c>
      <c r="BU118" s="24" t="n">
        <v>25.427</v>
      </c>
      <c r="BV118" s="24" t="n">
        <v>95.161</v>
      </c>
      <c r="BW118" s="24" t="n">
        <v>24.182</v>
      </c>
      <c r="BX118" s="24" t="n">
        <v>25.14</v>
      </c>
      <c r="BY118" s="25" t="n">
        <f aca="false">BY114*BY107</f>
        <v>25.1662622791407</v>
      </c>
      <c r="BZ118" s="25" t="n">
        <f aca="false">BZ114*BZ107</f>
        <v>27.3421848666723</v>
      </c>
      <c r="CA118" s="25" t="n">
        <f aca="false">SUM(BW118,BX118,BY118,BZ118)</f>
        <v>101.830447145813</v>
      </c>
      <c r="CB118" s="25" t="n">
        <f aca="false">CB114*CB107</f>
        <v>111.0186</v>
      </c>
      <c r="CC118" s="25" t="n">
        <f aca="false">CC114*CC107</f>
        <v>121.3141509</v>
      </c>
      <c r="CD118" s="25" t="n">
        <f aca="false">CD114*CD107</f>
        <v>131.677934769</v>
      </c>
      <c r="CE118" s="25" t="n">
        <f aca="false">CE114*CE107</f>
        <v>142.66135129104</v>
      </c>
    </row>
    <row r="119" customFormat="false" ht="15" hidden="false" customHeight="false" outlineLevel="0" collapsed="false">
      <c r="B119" s="20" t="s">
        <v>284</v>
      </c>
      <c r="C119" s="24" t="n">
        <v>76.547</v>
      </c>
      <c r="D119" s="24" t="n">
        <v>92.129</v>
      </c>
      <c r="E119" s="24" t="n">
        <v>107.308</v>
      </c>
      <c r="F119" s="24" t="n">
        <v>106.187</v>
      </c>
      <c r="G119" s="24" t="n">
        <v>111.773</v>
      </c>
      <c r="H119" s="24" t="n">
        <v>119.438</v>
      </c>
      <c r="I119" s="24" t="n">
        <v>125.201</v>
      </c>
      <c r="J119" s="24" t="n">
        <v>36.796</v>
      </c>
      <c r="K119" s="24" t="n">
        <v>38.9</v>
      </c>
      <c r="L119" s="24" t="n">
        <v>38.019</v>
      </c>
      <c r="M119" s="24" t="n">
        <v>39.621</v>
      </c>
      <c r="N119" s="24" t="n">
        <v>153.336</v>
      </c>
      <c r="O119" s="24" t="n">
        <v>39.638</v>
      </c>
      <c r="P119" s="24" t="n">
        <v>37.047</v>
      </c>
      <c r="Q119" s="24" t="n">
        <v>30.659</v>
      </c>
      <c r="R119" s="24" t="n">
        <v>32.665</v>
      </c>
      <c r="S119" s="24" t="n">
        <v>128.005</v>
      </c>
      <c r="T119" s="24" t="n">
        <v>31.088</v>
      </c>
      <c r="U119" s="24" t="n">
        <v>29.105</v>
      </c>
      <c r="V119" s="24" t="n">
        <v>30.247</v>
      </c>
      <c r="W119" s="24" t="n">
        <v>31.042</v>
      </c>
      <c r="X119" s="24" t="n">
        <v>121.482</v>
      </c>
      <c r="Y119" s="24" t="n">
        <v>29.626</v>
      </c>
      <c r="Z119" s="24" t="n">
        <v>29.126</v>
      </c>
      <c r="AA119" s="24" t="n">
        <v>26.273</v>
      </c>
      <c r="AB119" s="24" t="n">
        <v>26.203</v>
      </c>
      <c r="AC119" s="24" t="n">
        <v>111.228</v>
      </c>
      <c r="AD119" s="24" t="n">
        <v>28.953</v>
      </c>
      <c r="AE119" s="24" t="n">
        <v>28.56</v>
      </c>
      <c r="AF119" s="24" t="n">
        <v>28.818</v>
      </c>
      <c r="AG119" s="24" t="n">
        <v>33.671</v>
      </c>
      <c r="AH119" s="24" t="n">
        <v>120.002</v>
      </c>
      <c r="AI119" s="24" t="n">
        <v>31.52</v>
      </c>
      <c r="AJ119" s="24" t="n">
        <v>32.665</v>
      </c>
      <c r="AK119" s="24" t="n">
        <v>30.361</v>
      </c>
      <c r="AL119" s="24" t="n">
        <v>32.095</v>
      </c>
      <c r="AM119" s="24" t="n">
        <v>126.641</v>
      </c>
      <c r="AN119" s="24" t="n">
        <v>31.477</v>
      </c>
      <c r="AO119" s="24" t="n">
        <v>30.693</v>
      </c>
      <c r="AP119" s="24" t="n">
        <v>28.133</v>
      </c>
      <c r="AQ119" s="24" t="n">
        <v>30.558</v>
      </c>
      <c r="AR119" s="24" t="n">
        <v>120.861</v>
      </c>
      <c r="AS119" s="24" t="n">
        <v>31.588</v>
      </c>
      <c r="AT119" s="24" t="n">
        <v>25.193</v>
      </c>
      <c r="AU119" s="24" t="n">
        <v>24.869</v>
      </c>
      <c r="AV119" s="24" t="n">
        <v>27.887</v>
      </c>
      <c r="AW119" s="24" t="n">
        <v>109.537</v>
      </c>
      <c r="AX119" s="24" t="n">
        <v>29.596</v>
      </c>
      <c r="AY119" s="24" t="n">
        <v>29.564</v>
      </c>
      <c r="AZ119" s="24" t="n">
        <v>30.067</v>
      </c>
      <c r="BA119" s="24" t="n">
        <v>27.729</v>
      </c>
      <c r="BB119" s="24" t="n">
        <v>116.956</v>
      </c>
      <c r="BC119" s="24" t="n">
        <v>28.092</v>
      </c>
      <c r="BD119" s="24" t="n">
        <v>30.407</v>
      </c>
      <c r="BE119" s="24" t="n">
        <v>31.888</v>
      </c>
      <c r="BF119" s="24" t="n">
        <v>31.199</v>
      </c>
      <c r="BG119" s="24" t="n">
        <v>121.586</v>
      </c>
      <c r="BH119" s="24" t="n">
        <v>32.425</v>
      </c>
      <c r="BI119" s="24" t="n">
        <v>34.273</v>
      </c>
      <c r="BJ119" s="24" t="n">
        <v>34.084</v>
      </c>
      <c r="BK119" s="24" t="n">
        <v>36.306</v>
      </c>
      <c r="BL119" s="24" t="n">
        <v>137.088</v>
      </c>
      <c r="BM119" s="24" t="n">
        <v>36.765</v>
      </c>
      <c r="BN119" s="24" t="n">
        <v>35.126</v>
      </c>
      <c r="BO119" s="24" t="n">
        <v>37.311</v>
      </c>
      <c r="BP119" s="24" t="n">
        <v>36.158</v>
      </c>
      <c r="BQ119" s="24" t="n">
        <v>145.36</v>
      </c>
      <c r="BR119" s="24" t="n">
        <v>39.925</v>
      </c>
      <c r="BS119" s="24" t="n">
        <v>41.764</v>
      </c>
      <c r="BT119" s="24" t="n">
        <v>40.559</v>
      </c>
      <c r="BU119" s="24" t="n">
        <v>46.492</v>
      </c>
      <c r="BV119" s="24" t="n">
        <v>168.74</v>
      </c>
      <c r="BW119" s="24" t="n">
        <v>44.546</v>
      </c>
      <c r="BX119" s="24" t="n">
        <v>46.012</v>
      </c>
      <c r="BY119" s="25" t="n">
        <f aca="false">BY114*BY108</f>
        <v>43.6074008535765</v>
      </c>
      <c r="BZ119" s="25" t="n">
        <f aca="false">BZ114*BZ108</f>
        <v>49.9938199088107</v>
      </c>
      <c r="CA119" s="25" t="n">
        <f aca="false">SUM(BW119,BX119,BY119,BZ119)</f>
        <v>184.159220762387</v>
      </c>
      <c r="CB119" s="25" t="n">
        <f aca="false">CB114*CB108</f>
        <v>205.59</v>
      </c>
      <c r="CC119" s="25" t="n">
        <f aca="false">CC114*CC108</f>
        <v>224.655835</v>
      </c>
      <c r="CD119" s="25" t="n">
        <f aca="false">CD114*CD108</f>
        <v>243.84802735</v>
      </c>
      <c r="CE119" s="25" t="n">
        <f aca="false">CE114*CE108</f>
        <v>264.187687576</v>
      </c>
    </row>
    <row r="120" customFormat="false" ht="15" hidden="false" customHeight="false" outlineLevel="0" collapsed="false">
      <c r="B120" s="20" t="s">
        <v>285</v>
      </c>
      <c r="C120" s="24" t="n">
        <v>173.734</v>
      </c>
      <c r="D120" s="24" t="n">
        <v>204.382</v>
      </c>
      <c r="E120" s="24" t="n">
        <v>262.594</v>
      </c>
      <c r="F120" s="24" t="n">
        <v>265.38</v>
      </c>
      <c r="G120" s="24" t="n">
        <v>276.026</v>
      </c>
      <c r="H120" s="24" t="n">
        <v>289.609</v>
      </c>
      <c r="I120" s="24" t="n">
        <v>312.384</v>
      </c>
      <c r="J120" s="24" t="n">
        <v>91.277</v>
      </c>
      <c r="K120" s="24" t="n">
        <v>88.423</v>
      </c>
      <c r="L120" s="24" t="n">
        <v>77.742</v>
      </c>
      <c r="M120" s="24" t="n">
        <v>97.822</v>
      </c>
      <c r="N120" s="24" t="n">
        <v>355.264</v>
      </c>
      <c r="O120" s="24" t="n">
        <v>85.064</v>
      </c>
      <c r="P120" s="24" t="n">
        <v>84.885</v>
      </c>
      <c r="Q120" s="24" t="n">
        <v>71.72</v>
      </c>
      <c r="R120" s="24" t="n">
        <v>76.052</v>
      </c>
      <c r="S120" s="24" t="n">
        <v>298.296</v>
      </c>
      <c r="T120" s="24" t="n">
        <v>71.911</v>
      </c>
      <c r="U120" s="24" t="n">
        <v>72.483</v>
      </c>
      <c r="V120" s="24" t="n">
        <v>76.384</v>
      </c>
      <c r="W120" s="24" t="n">
        <v>69.541</v>
      </c>
      <c r="X120" s="24" t="n">
        <v>290.319</v>
      </c>
      <c r="Y120" s="24" t="n">
        <v>69.854</v>
      </c>
      <c r="Z120" s="24" t="n">
        <v>72.928</v>
      </c>
      <c r="AA120" s="24" t="n">
        <v>67.559</v>
      </c>
      <c r="AB120" s="24" t="n">
        <v>62.224</v>
      </c>
      <c r="AC120" s="24" t="n">
        <v>272.565</v>
      </c>
      <c r="AD120" s="24" t="n">
        <v>75.297</v>
      </c>
      <c r="AE120" s="24" t="n">
        <v>71.438</v>
      </c>
      <c r="AF120" s="24" t="n">
        <v>70.84</v>
      </c>
      <c r="AG120" s="24" t="n">
        <v>80.967</v>
      </c>
      <c r="AH120" s="24" t="n">
        <v>298.542</v>
      </c>
      <c r="AI120" s="24" t="n">
        <v>69.232</v>
      </c>
      <c r="AJ120" s="24" t="n">
        <v>76.705</v>
      </c>
      <c r="AK120" s="24" t="n">
        <v>80.871</v>
      </c>
      <c r="AL120" s="24" t="n">
        <v>79.661</v>
      </c>
      <c r="AM120" s="24" t="n">
        <v>306.469</v>
      </c>
      <c r="AN120" s="24" t="n">
        <v>76.11</v>
      </c>
      <c r="AO120" s="24" t="n">
        <v>74.766</v>
      </c>
      <c r="AP120" s="24" t="n">
        <v>74.012</v>
      </c>
      <c r="AQ120" s="24" t="n">
        <v>76.523</v>
      </c>
      <c r="AR120" s="24" t="n">
        <v>301.411</v>
      </c>
      <c r="AS120" s="24" t="n">
        <v>76.658</v>
      </c>
      <c r="AT120" s="24" t="n">
        <v>76.606</v>
      </c>
      <c r="AU120" s="24" t="n">
        <v>77.251</v>
      </c>
      <c r="AV120" s="24" t="n">
        <v>72.773</v>
      </c>
      <c r="AW120" s="24" t="n">
        <v>303.288</v>
      </c>
      <c r="AX120" s="24" t="n">
        <v>73.232</v>
      </c>
      <c r="AY120" s="24" t="n">
        <v>77.378</v>
      </c>
      <c r="AZ120" s="24" t="n">
        <v>78.998</v>
      </c>
      <c r="BA120" s="24" t="n">
        <v>96.532</v>
      </c>
      <c r="BB120" s="24" t="n">
        <v>326.14</v>
      </c>
      <c r="BC120" s="24" t="n">
        <v>87.6</v>
      </c>
      <c r="BD120" s="24" t="n">
        <v>76.134</v>
      </c>
      <c r="BE120" s="24" t="n">
        <v>75.351</v>
      </c>
      <c r="BF120" s="24" t="n">
        <v>85.008</v>
      </c>
      <c r="BG120" s="24" t="n">
        <v>324.093</v>
      </c>
      <c r="BH120" s="24" t="n">
        <v>88.344</v>
      </c>
      <c r="BI120" s="24" t="n">
        <v>92.315</v>
      </c>
      <c r="BJ120" s="24" t="n">
        <v>91.401</v>
      </c>
      <c r="BK120" s="24" t="n">
        <v>87.664</v>
      </c>
      <c r="BL120" s="24" t="n">
        <v>359.724</v>
      </c>
      <c r="BM120" s="24" t="n">
        <v>94.049</v>
      </c>
      <c r="BN120" s="24" t="n">
        <v>95.008</v>
      </c>
      <c r="BO120" s="24" t="n">
        <v>92.035</v>
      </c>
      <c r="BP120" s="24" t="n">
        <v>92.405</v>
      </c>
      <c r="BQ120" s="24" t="n">
        <v>373.497</v>
      </c>
      <c r="BR120" s="24" t="n">
        <v>99.029</v>
      </c>
      <c r="BS120" s="24" t="n">
        <v>104.071</v>
      </c>
      <c r="BT120" s="24" t="n">
        <v>96.449</v>
      </c>
      <c r="BU120" s="24" t="n">
        <v>100.059</v>
      </c>
      <c r="BV120" s="24" t="n">
        <v>399.608</v>
      </c>
      <c r="BW120" s="24" t="n">
        <v>102.336</v>
      </c>
      <c r="BX120" s="24" t="n">
        <v>113.73</v>
      </c>
      <c r="BY120" s="25" t="n">
        <f aca="false">BY114*BY109</f>
        <v>103.698074531586</v>
      </c>
      <c r="BZ120" s="25" t="n">
        <f aca="false">BZ114*BZ109</f>
        <v>107.595535280386</v>
      </c>
      <c r="CA120" s="25" t="n">
        <f aca="false">SUM(BW120,BX120,BY120,BZ120)</f>
        <v>427.359609811972</v>
      </c>
      <c r="CB120" s="25" t="n">
        <f aca="false">CB114*CB109</f>
        <v>472.857</v>
      </c>
      <c r="CC120" s="25" t="n">
        <f aca="false">CC114*CC109</f>
        <v>516.7084205</v>
      </c>
      <c r="CD120" s="25" t="n">
        <f aca="false">CD114*CD109</f>
        <v>560.850462905</v>
      </c>
      <c r="CE120" s="25" t="n">
        <f aca="false">CE114*CE109</f>
        <v>607.6316814248</v>
      </c>
    </row>
    <row r="121" customFormat="false" ht="15" hidden="false" customHeight="false" outlineLevel="0" collapsed="false">
      <c r="B121" s="20" t="s">
        <v>286</v>
      </c>
      <c r="AS121" s="24" t="n">
        <v>1.58</v>
      </c>
      <c r="AT121" s="24" t="n">
        <v>10.609</v>
      </c>
      <c r="AU121" s="24" t="n">
        <v>8.541</v>
      </c>
      <c r="AV121" s="24" t="n">
        <v>10.965</v>
      </c>
      <c r="AW121" s="24" t="n">
        <v>31.695</v>
      </c>
      <c r="BN121" s="24" t="n">
        <v>2.918</v>
      </c>
      <c r="BO121" s="24" t="n">
        <v>3.28</v>
      </c>
      <c r="BP121" s="24" t="n">
        <v>8.25</v>
      </c>
      <c r="BQ121" s="24" t="n">
        <v>14.448</v>
      </c>
      <c r="BR121" s="24" t="n">
        <v>1.286</v>
      </c>
      <c r="BS121" s="24" t="n">
        <v>0.707</v>
      </c>
      <c r="BT121" s="24" t="n">
        <v>0.804</v>
      </c>
      <c r="BU121" s="24" t="n">
        <v>1.707</v>
      </c>
      <c r="BV121" s="24" t="n">
        <v>4.504</v>
      </c>
      <c r="BW121" s="24" t="n">
        <v>0.91</v>
      </c>
      <c r="BX121" s="24" t="n">
        <v>0.517</v>
      </c>
      <c r="BY121" s="25" t="n">
        <f aca="false">BY155</f>
        <v>2.8495</v>
      </c>
      <c r="BZ121" s="25" t="n">
        <f aca="false">BZ155</f>
        <v>2.8495</v>
      </c>
      <c r="CA121" s="25" t="n">
        <f aca="false">SUM(BW121,BX121,BY121,BZ121)</f>
        <v>7.126</v>
      </c>
      <c r="CB121" s="25" t="n">
        <f aca="false">CB155</f>
        <v>0</v>
      </c>
      <c r="CC121" s="25" t="n">
        <f aca="false">CC155</f>
        <v>0</v>
      </c>
      <c r="CD121" s="25" t="n">
        <f aca="false">CD155</f>
        <v>0</v>
      </c>
      <c r="CE121" s="25" t="n">
        <f aca="false">CE155</f>
        <v>0</v>
      </c>
    </row>
    <row r="122" customFormat="false" ht="15" hidden="false" customHeight="false" outlineLevel="0" collapsed="false">
      <c r="B122" s="20" t="s">
        <v>287</v>
      </c>
      <c r="C122" s="24" t="n">
        <v>1.329</v>
      </c>
      <c r="AV122" s="24" t="n">
        <v>33.043</v>
      </c>
      <c r="AW122" s="24" t="n">
        <v>33.043</v>
      </c>
      <c r="AZ122" s="24" t="n">
        <v>8.656</v>
      </c>
      <c r="BA122" s="24" t="n">
        <v>10.432</v>
      </c>
      <c r="BB122" s="24" t="n">
        <v>19.088</v>
      </c>
      <c r="BC122" s="24" t="n">
        <v>4.651</v>
      </c>
      <c r="BG122" s="24" t="n">
        <v>4.651</v>
      </c>
      <c r="BY122" s="41" t="n">
        <v>0</v>
      </c>
      <c r="BZ122" s="41" t="n">
        <v>0</v>
      </c>
      <c r="CA122" s="25" t="n">
        <f aca="false">SUM(BW122,BX122,BY122,BZ122)</f>
        <v>0</v>
      </c>
      <c r="CB122" s="41" t="n">
        <v>0</v>
      </c>
      <c r="CC122" s="41" t="n">
        <v>0</v>
      </c>
      <c r="CD122" s="41" t="n">
        <v>0</v>
      </c>
      <c r="CE122" s="41" t="n">
        <v>0</v>
      </c>
    </row>
    <row r="123" customFormat="false" ht="15" hidden="false" customHeight="false" outlineLevel="0" collapsed="false">
      <c r="B123" s="43" t="s">
        <v>288</v>
      </c>
      <c r="C123" s="44" t="n">
        <f aca="false">C116-C118-C119-C120-N(C121)-N(C122)</f>
        <v>140.628</v>
      </c>
      <c r="D123" s="44" t="n">
        <f aca="false">D116-D118-D119-D120-N(D121)-N(D122)</f>
        <v>179.184</v>
      </c>
      <c r="E123" s="44" t="n">
        <f aca="false">E116-E118-E119-E120-N(E121)-N(E122)</f>
        <v>199.182</v>
      </c>
      <c r="F123" s="44" t="n">
        <f aca="false">F116-F118-F119-F120-N(F121)-N(F122)</f>
        <v>169.319</v>
      </c>
      <c r="G123" s="44" t="n">
        <f aca="false">G116-G118-G119-G120-N(G121)-N(G122)</f>
        <v>179.823</v>
      </c>
      <c r="H123" s="44" t="n">
        <f aca="false">H116-H118-H119-H120-N(H121)-N(H122)</f>
        <v>204.956</v>
      </c>
      <c r="I123" s="44" t="n">
        <f aca="false">I116-I118-I119-I120-N(I121)-N(I122)</f>
        <v>161.446</v>
      </c>
      <c r="J123" s="44" t="n">
        <f aca="false">J116-J118-J119-J120-N(J121)-N(J122)</f>
        <v>38.026</v>
      </c>
      <c r="K123" s="44" t="n">
        <f aca="false">K116-K118-K119-K120-N(K121)-N(K122)</f>
        <v>57.788</v>
      </c>
      <c r="L123" s="44" t="n">
        <f aca="false">L116-L118-L119-L120-N(L121)-N(L122)</f>
        <v>62.887</v>
      </c>
      <c r="M123" s="44" t="n">
        <f aca="false">M116-M118-M119-M120-N(M121)-N(M122)</f>
        <v>74.918</v>
      </c>
      <c r="N123" s="44" t="n">
        <f aca="false">N116-N118-N119-N120-N(N121)-N(N122)</f>
        <v>233.619</v>
      </c>
      <c r="O123" s="44" t="n">
        <f aca="false">O116-O118-O119-O120-N(O121)-N(O122)</f>
        <v>59.1010000000001</v>
      </c>
      <c r="P123" s="44" t="n">
        <f aca="false">P116-P118-P119-P120-N(P121)-N(P122)</f>
        <v>76.65</v>
      </c>
      <c r="Q123" s="44" t="n">
        <f aca="false">Q116-Q118-Q119-Q120-N(Q121)-N(Q122)</f>
        <v>74.1400000000001</v>
      </c>
      <c r="R123" s="44" t="n">
        <f aca="false">R116-R118-R119-R120-N(R121)-N(R122)</f>
        <v>74.931</v>
      </c>
      <c r="S123" s="44" t="n">
        <f aca="false">S116-S118-S119-S120-N(S121)-N(S122)</f>
        <v>282.373</v>
      </c>
      <c r="T123" s="44" t="n">
        <f aca="false">T116-T118-T119-T120-N(T121)-N(T122)</f>
        <v>72.835</v>
      </c>
      <c r="U123" s="44" t="n">
        <f aca="false">U116-U118-U119-U120-N(U121)-N(U122)</f>
        <v>65.442</v>
      </c>
      <c r="V123" s="44" t="n">
        <f aca="false">V116-V118-V119-V120-N(V121)-N(V122)</f>
        <v>63.8129999999999</v>
      </c>
      <c r="W123" s="44" t="n">
        <f aca="false">W116-W118-W119-W120-N(W121)-N(W122)</f>
        <v>108.527</v>
      </c>
      <c r="X123" s="44" t="n">
        <f aca="false">X116-X118-X119-X120-N(X121)-N(X122)</f>
        <v>310.617</v>
      </c>
      <c r="Y123" s="44" t="n">
        <f aca="false">Y116-Y118-Y119-Y120-N(Y121)-N(Y122)</f>
        <v>57.263</v>
      </c>
      <c r="Z123" s="44" t="n">
        <f aca="false">Z116-Z118-Z119-Z120-N(Z121)-N(Z122)</f>
        <v>68.089</v>
      </c>
      <c r="AA123" s="44" t="n">
        <f aca="false">AA116-AA118-AA119-AA120-N(AA121)-N(AA122)</f>
        <v>76.573</v>
      </c>
      <c r="AB123" s="44" t="n">
        <f aca="false">AB116-AB118-AB119-AB120-N(AB121)-N(AB122)</f>
        <v>106.173</v>
      </c>
      <c r="AC123" s="44" t="n">
        <f aca="false">AC116-AC118-AC119-AC120-N(AC121)-N(AC122)</f>
        <v>308.098</v>
      </c>
      <c r="AD123" s="44" t="n">
        <f aca="false">AD116-AD118-AD119-AD120-N(AD121)-N(AD122)</f>
        <v>51.227</v>
      </c>
      <c r="AE123" s="44" t="n">
        <f aca="false">AE116-AE118-AE119-AE120-N(AE121)-N(AE122)</f>
        <v>83.271</v>
      </c>
      <c r="AF123" s="44" t="n">
        <f aca="false">AF116-AF118-AF119-AF120-N(AF121)-N(AF122)</f>
        <v>96.55</v>
      </c>
      <c r="AG123" s="44" t="n">
        <f aca="false">AG116-AG118-AG119-AG120-N(AG121)-N(AG122)</f>
        <v>108.695</v>
      </c>
      <c r="AH123" s="44" t="n">
        <f aca="false">AH116-AH118-AH119-AH120-N(AH121)-N(AH122)</f>
        <v>339.743</v>
      </c>
      <c r="AI123" s="44" t="n">
        <f aca="false">AI116-AI118-AI119-AI120-N(AI121)-N(AI122)</f>
        <v>64.498</v>
      </c>
      <c r="AJ123" s="44" t="n">
        <f aca="false">AJ116-AJ118-AJ119-AJ120-N(AJ121)-N(AJ122)</f>
        <v>102.076</v>
      </c>
      <c r="AK123" s="44" t="n">
        <f aca="false">AK116-AK118-AK119-AK120-N(AK121)-N(AK122)</f>
        <v>97.047</v>
      </c>
      <c r="AL123" s="44" t="n">
        <f aca="false">AL116-AL118-AL119-AL120-N(AL121)-N(AL122)</f>
        <v>110.005</v>
      </c>
      <c r="AM123" s="44" t="n">
        <f aca="false">AM116-AM118-AM119-AM120-N(AM121)-N(AM122)</f>
        <v>373.626</v>
      </c>
      <c r="AN123" s="44" t="n">
        <f aca="false">AN116-AN118-AN119-AN120-N(AN121)-N(AN122)</f>
        <v>72.045</v>
      </c>
      <c r="AO123" s="44" t="n">
        <f aca="false">AO116-AO118-AO119-AO120-N(AO121)-N(AO122)</f>
        <v>105.685</v>
      </c>
      <c r="AP123" s="44" t="n">
        <f aca="false">AP116-AP118-AP119-AP120-N(AP121)-N(AP122)</f>
        <v>105.569</v>
      </c>
      <c r="AQ123" s="44" t="n">
        <f aca="false">AQ116-AQ118-AQ119-AQ120-N(AQ121)-N(AQ122)</f>
        <v>120.654</v>
      </c>
      <c r="AR123" s="44" t="n">
        <f aca="false">AR116-AR118-AR119-AR120-N(AR121)-N(AR122)</f>
        <v>403.953</v>
      </c>
      <c r="AS123" s="44" t="n">
        <f aca="false">AS116-AS118-AS119-AS120-N(AS121)-N(AS122)</f>
        <v>72.446</v>
      </c>
      <c r="AT123" s="44" t="n">
        <f aca="false">AT116-AT118-AT119-AT120-N(AT121)-N(AT122)</f>
        <v>55.349</v>
      </c>
      <c r="AU123" s="44" t="n">
        <f aca="false">AU116-AU118-AU119-AU120-N(AU121)-N(AU122)</f>
        <v>84.573</v>
      </c>
      <c r="AV123" s="44" t="n">
        <f aca="false">AV116-AV118-AV119-AV120-N(AV121)-N(AV122)</f>
        <v>76.48</v>
      </c>
      <c r="AW123" s="44" t="n">
        <f aca="false">AW116-AW118-AW119-AW120-N(AW121)-N(AW122)</f>
        <v>288.848</v>
      </c>
      <c r="AX123" s="44" t="n">
        <f aca="false">AX116-AX118-AX119-AX120-N(AX121)-N(AX122)</f>
        <v>85.066</v>
      </c>
      <c r="AY123" s="44" t="n">
        <f aca="false">AY116-AY118-AY119-AY120-N(AY121)-N(AY122)</f>
        <v>94.583</v>
      </c>
      <c r="AZ123" s="44" t="n">
        <f aca="false">AZ116-AZ118-AZ119-AZ120-N(AZ121)-N(AZ122)</f>
        <v>97.669</v>
      </c>
      <c r="BA123" s="44" t="n">
        <f aca="false">BA116-BA118-BA119-BA120-N(BA121)-N(BA122)</f>
        <v>105.365</v>
      </c>
      <c r="BB123" s="44" t="n">
        <f aca="false">BB116-BB118-BB119-BB120-N(BB121)-N(BB122)</f>
        <v>382.683</v>
      </c>
      <c r="BC123" s="44" t="n">
        <f aca="false">BC116-BC118-BC119-BC120-N(BC121)-N(BC122)</f>
        <v>60.51</v>
      </c>
      <c r="BD123" s="44" t="n">
        <f aca="false">BD116-BD118-BD119-BD120-N(BD121)-N(BD122)</f>
        <v>98.105</v>
      </c>
      <c r="BE123" s="44" t="n">
        <f aca="false">BE116-BE118-BE119-BE120-N(BE121)-N(BE122)</f>
        <v>107.583</v>
      </c>
      <c r="BF123" s="44" t="n">
        <f aca="false">BF116-BF118-BF119-BF120-N(BF121)-N(BF122)</f>
        <v>157.245</v>
      </c>
      <c r="BG123" s="44" t="n">
        <f aca="false">BG116-BG118-BG119-BG120-N(BG121)-N(BG122)</f>
        <v>423.443</v>
      </c>
      <c r="BH123" s="44" t="n">
        <f aca="false">BH116-BH118-BH119-BH120-N(BH121)-N(BH122)</f>
        <v>78.615</v>
      </c>
      <c r="BI123" s="44" t="n">
        <f aca="false">BI116-BI118-BI119-BI120-N(BI121)-N(BI122)</f>
        <v>112.775</v>
      </c>
      <c r="BJ123" s="44" t="n">
        <f aca="false">BJ116-BJ118-BJ119-BJ120-N(BJ121)-N(BJ122)</f>
        <v>132.519</v>
      </c>
      <c r="BK123" s="44" t="n">
        <f aca="false">BK116-BK118-BK119-BK120-N(BK121)-N(BK122)</f>
        <v>160.694</v>
      </c>
      <c r="BL123" s="44" t="n">
        <f aca="false">BL116-BL118-BL119-BL120-N(BL121)-N(BL122)</f>
        <v>484.602</v>
      </c>
      <c r="BM123" s="44" t="n">
        <f aca="false">BM116-BM118-BM119-BM120-N(BM121)-N(BM122)</f>
        <v>99.961</v>
      </c>
      <c r="BN123" s="44" t="n">
        <f aca="false">BN116-BN118-BN119-BN120-N(BN121)-N(BN122)</f>
        <v>128.897</v>
      </c>
      <c r="BO123" s="44" t="n">
        <f aca="false">BO116-BO118-BO119-BO120-N(BO121)-N(BO122)</f>
        <v>144.903</v>
      </c>
      <c r="BP123" s="44" t="n">
        <f aca="false">BP116-BP118-BP119-BP120-N(BP121)-N(BP122)</f>
        <v>154.836</v>
      </c>
      <c r="BQ123" s="44" t="n">
        <f aca="false">BQ116-BQ118-BQ119-BQ120-N(BQ121)-N(BQ122)</f>
        <v>528.597</v>
      </c>
      <c r="BR123" s="44" t="n">
        <f aca="false">BR116-BR118-BR119-BR120-N(BR121)-N(BR122)</f>
        <v>129.205</v>
      </c>
      <c r="BS123" s="44" t="n">
        <f aca="false">BS116-BS118-BS119-BS120-N(BS121)-N(BS122)</f>
        <v>156.307</v>
      </c>
      <c r="BT123" s="44" t="n">
        <f aca="false">BT116-BT118-BT119-BT120-N(BT121)-N(BT122)</f>
        <v>166.251</v>
      </c>
      <c r="BU123" s="44" t="n">
        <f aca="false">BU116-BU118-BU119-BU120-N(BU121)-N(BU122)</f>
        <v>181.758</v>
      </c>
      <c r="BV123" s="44" t="n">
        <f aca="false">BV116-BV118-BV119-BV120-N(BV121)-N(BV122)</f>
        <v>633.521</v>
      </c>
      <c r="BW123" s="44" t="n">
        <f aca="false">BW116-BW118-BW119-BW120-N(BW121)-N(BW122)</f>
        <v>159.509</v>
      </c>
      <c r="BX123" s="44" t="n">
        <f aca="false">BX116-BX118-BX119-BX120-N(BX121)-N(BX122)</f>
        <v>178.691</v>
      </c>
      <c r="BY123" s="44" t="n">
        <f aca="false">BY82-BY158</f>
        <v>182.961690559161</v>
      </c>
      <c r="BZ123" s="44" t="n">
        <f aca="false">BZ82-BZ158</f>
        <v>199.712309440839</v>
      </c>
      <c r="CA123" s="44" t="n">
        <f aca="false">SUM(BW123,BX123,BY123,BZ123)</f>
        <v>720.874</v>
      </c>
      <c r="CB123" s="44" t="n">
        <f aca="false">CB82-CB158</f>
        <v>809.7922</v>
      </c>
      <c r="CC123" s="44" t="n">
        <f aca="false">CC82-CC158</f>
        <v>898.8683313</v>
      </c>
      <c r="CD123" s="44" t="n">
        <f aca="false">CD82-CD158</f>
        <v>986.510197833</v>
      </c>
      <c r="CE123" s="44" t="n">
        <f aca="false">CE82-CE158</f>
        <v>1079.48494832178</v>
      </c>
      <c r="CF123" s="18" t="s">
        <v>289</v>
      </c>
      <c r="CH123" s="19" t="n">
        <f aca="false">IFERROR((CE123/BV123)^(1/5)-1,"n/m")</f>
        <v>0.112477190198903</v>
      </c>
      <c r="CI123" s="19" t="n">
        <f aca="false">IFERROR((BV123/AW123)^(1/5)-1,"n/m")</f>
        <v>0.170087473906645</v>
      </c>
      <c r="CJ123" s="19" t="n">
        <f aca="false">IFERROR((BV123/X123)^(1/10)-1,"n/m")</f>
        <v>0.0738746227080593</v>
      </c>
      <c r="CK123" s="19" t="n">
        <f aca="false">IFERROR((BV123/C123)^(1/19)-1,"n/m")</f>
        <v>0.0824421507701174</v>
      </c>
    </row>
    <row r="124" customFormat="false" ht="15" hidden="false" customHeight="false" outlineLevel="0" collapsed="false">
      <c r="B124" s="20" t="s">
        <v>290</v>
      </c>
      <c r="C124" s="27" t="n">
        <f aca="false">IF(AND(ISNUMBER(C123),ISNUMBER(C114)),IFERROR(C123/C114,""),"")</f>
        <v>0.109680966809785</v>
      </c>
      <c r="D124" s="27" t="n">
        <f aca="false">IF(AND(ISNUMBER(D123),ISNUMBER(D114)),IFERROR(D123/D114,""),"")</f>
        <v>0.112543997829315</v>
      </c>
      <c r="E124" s="27" t="n">
        <f aca="false">IF(AND(ISNUMBER(E123),ISNUMBER(E114)),IFERROR(E123/E114,""),"")</f>
        <v>0.108834296829751</v>
      </c>
      <c r="F124" s="27" t="n">
        <f aca="false">IF(AND(ISNUMBER(F123),ISNUMBER(F114)),IFERROR(F123/F114,""),"")</f>
        <v>0.0935624333449375</v>
      </c>
      <c r="G124" s="27" t="n">
        <f aca="false">IF(AND(ISNUMBER(G123),ISNUMBER(G114)),IFERROR(G123/G114,""),"")</f>
        <v>0.0949869370049875</v>
      </c>
      <c r="H124" s="27" t="n">
        <f aca="false">IF(AND(ISNUMBER(H123),ISNUMBER(H114)),IFERROR(H123/H114,""),"")</f>
        <v>0.0997775213837489</v>
      </c>
      <c r="I124" s="27" t="n">
        <f aca="false">IF(AND(ISNUMBER(I123),ISNUMBER(I114)),IFERROR(I123/I114,""),"")</f>
        <v>0.0769627537760116</v>
      </c>
      <c r="J124" s="27" t="n">
        <f aca="false">IF(AND(ISNUMBER(J123),ISNUMBER(J114)),IFERROR(J123/J114,""),"")</f>
        <v>0.0641586537244785</v>
      </c>
      <c r="K124" s="27" t="n">
        <f aca="false">IF(AND(ISNUMBER(K123),ISNUMBER(K114)),IFERROR(K123/K114,""),"")</f>
        <v>0.093555473888879</v>
      </c>
      <c r="L124" s="27" t="n">
        <f aca="false">IF(AND(ISNUMBER(L123),ISNUMBER(L114)),IFERROR(L123/L114,""),"")</f>
        <v>0.104695280413274</v>
      </c>
      <c r="M124" s="27" t="n">
        <f aca="false">IF(AND(ISNUMBER(M123),ISNUMBER(M114)),IFERROR(M123/M114,""),"")</f>
        <v>0.107067011561602</v>
      </c>
      <c r="N124" s="27" t="n">
        <f aca="false">IF(AND(ISNUMBER(N123),ISNUMBER(N114)),IFERROR(N123/N114,""),"")</f>
        <v>0.0930467175222272</v>
      </c>
      <c r="O124" s="27" t="n">
        <f aca="false">IF(AND(ISNUMBER(O123),ISNUMBER(O114)),IFERROR(O123/O114,""),"")</f>
        <v>0.0921420241591989</v>
      </c>
      <c r="P124" s="27" t="n">
        <f aca="false">IF(AND(ISNUMBER(P123),ISNUMBER(P114)),IFERROR(P123/P114,""),"")</f>
        <v>0.117479906567839</v>
      </c>
      <c r="Q124" s="27" t="n">
        <f aca="false">IF(AND(ISNUMBER(Q123),ISNUMBER(Q114)),IFERROR(Q123/Q114,""),"")</f>
        <v>0.132512591734675</v>
      </c>
      <c r="R124" s="27" t="n">
        <f aca="false">IF(AND(ISNUMBER(R123),ISNUMBER(R114)),IFERROR(R123/R114,""),"")</f>
        <v>0.130864184594105</v>
      </c>
      <c r="S124" s="27" t="n">
        <f aca="false">IF(AND(ISNUMBER(S123),ISNUMBER(S114)),IFERROR(S123/S114,""),"")</f>
        <v>0.125883699801081</v>
      </c>
      <c r="T124" s="27" t="n">
        <f aca="false">IF(AND(ISNUMBER(T123),ISNUMBER(T114)),IFERROR(T123/T114,""),"")</f>
        <v>0.133348834399184</v>
      </c>
      <c r="U124" s="27" t="n">
        <f aca="false">IF(AND(ISNUMBER(U123),ISNUMBER(U114)),IFERROR(U123/U114,""),"")</f>
        <v>0.120034336401354</v>
      </c>
      <c r="V124" s="27" t="n">
        <f aca="false">IF(AND(ISNUMBER(V123),ISNUMBER(V114)),IFERROR(V123/V114,""),"")</f>
        <v>0.121424833740854</v>
      </c>
      <c r="W124" s="27" t="n">
        <f aca="false">IF(AND(ISNUMBER(W123),ISNUMBER(W114)),IFERROR(W123/W114,""),"")</f>
        <v>0.184333041757607</v>
      </c>
      <c r="X124" s="27" t="n">
        <f aca="false">IF(AND(ISNUMBER(X123),ISNUMBER(X114)),IFERROR(X123/X114,""),"")</f>
        <v>0.140825766893973</v>
      </c>
      <c r="Y124" s="27" t="n">
        <f aca="false">IF(AND(ISNUMBER(Y123),ISNUMBER(Y114)),IFERROR(Y123/Y114,""),"")</f>
        <v>0.113728309636212</v>
      </c>
      <c r="Z124" s="27" t="n">
        <f aca="false">IF(AND(ISNUMBER(Z123),ISNUMBER(Z114)),IFERROR(Z123/Z114,""),"")</f>
        <v>0.127802825255365</v>
      </c>
      <c r="AA124" s="27" t="n">
        <f aca="false">IF(AND(ISNUMBER(AA123),ISNUMBER(AA114)),IFERROR(AA123/AA114,""),"")</f>
        <v>0.151004157036593</v>
      </c>
      <c r="AB124" s="27" t="n">
        <f aca="false">IF(AND(ISNUMBER(AB123),ISNUMBER(AB114)),IFERROR(AB123/AB114,""),"")</f>
        <v>0.187728753142869</v>
      </c>
      <c r="AC124" s="27" t="n">
        <f aca="false">IF(AND(ISNUMBER(AC123),ISNUMBER(AC114)),IFERROR(AC123/AC114,""),"")</f>
        <v>0.146092024822054</v>
      </c>
      <c r="AD124" s="27" t="n">
        <f aca="false">IF(AND(ISNUMBER(AD123),ISNUMBER(AD114)),IFERROR(AD123/AD114,""),"")</f>
        <v>0.0978378161580318</v>
      </c>
      <c r="AE124" s="27" t="n">
        <f aca="false">IF(AND(ISNUMBER(AE123),ISNUMBER(AE114)),IFERROR(AE123/AE114,""),"")</f>
        <v>0.146693490565539</v>
      </c>
      <c r="AF124" s="27" t="n">
        <f aca="false">IF(AND(ISNUMBER(AF123),ISNUMBER(AF114)),IFERROR(AF123/AF114,""),"")</f>
        <v>0.170012026744098</v>
      </c>
      <c r="AG124" s="27" t="n">
        <f aca="false">IF(AND(ISNUMBER(AG123),ISNUMBER(AG114)),IFERROR(AG123/AG114,""),"")</f>
        <v>0.17764075040735</v>
      </c>
      <c r="AH124" s="27" t="n">
        <f aca="false">IF(AND(ISNUMBER(AH123),ISNUMBER(AH114)),IFERROR(AH123/AH114,""),"")</f>
        <v>0.149598903755395</v>
      </c>
      <c r="AI124" s="27" t="n">
        <f aca="false">IF(AND(ISNUMBER(AI123),ISNUMBER(AI114)),IFERROR(AI123/AI114,""),"")</f>
        <v>0.117799832700786</v>
      </c>
      <c r="AJ124" s="27" t="n">
        <f aca="false">IF(AND(ISNUMBER(AJ123),ISNUMBER(AJ114)),IFERROR(AJ123/AJ114,""),"")</f>
        <v>0.164559614894776</v>
      </c>
      <c r="AK124" s="27" t="n">
        <f aca="false">IF(AND(ISNUMBER(AK123),ISNUMBER(AK114)),IFERROR(AK123/AK114,""),"")</f>
        <v>0.162996541779967</v>
      </c>
      <c r="AL124" s="27" t="n">
        <f aca="false">IF(AND(ISNUMBER(AL123),ISNUMBER(AL114)),IFERROR(AL123/AL114,""),"")</f>
        <v>0.169598009318216</v>
      </c>
      <c r="AM124" s="27" t="n">
        <f aca="false">IF(AND(ISNUMBER(AM123),ISNUMBER(AM114)),IFERROR(AM123/AM114,""),"")</f>
        <v>0.154913582396806</v>
      </c>
      <c r="AN124" s="27" t="n">
        <f aca="false">IF(AND(ISNUMBER(AN123),ISNUMBER(AN114)),IFERROR(AN123/AN114,""),"")</f>
        <v>0.1245776515872</v>
      </c>
      <c r="AO124" s="27" t="n">
        <f aca="false">IF(AND(ISNUMBER(AO123),ISNUMBER(AO114)),IFERROR(AO123/AO114,""),"")</f>
        <v>0.165392271626113</v>
      </c>
      <c r="AP124" s="27" t="n">
        <f aca="false">IF(AND(ISNUMBER(AP123),ISNUMBER(AP114)),IFERROR(AP123/AP114,""),"")</f>
        <v>0.171690411137133</v>
      </c>
      <c r="AQ124" s="27" t="n">
        <f aca="false">IF(AND(ISNUMBER(AQ123),ISNUMBER(AQ114)),IFERROR(AQ123/AQ114,""),"")</f>
        <v>0.183988008008893</v>
      </c>
      <c r="AR124" s="27" t="n">
        <f aca="false">IF(AND(ISNUMBER(AR123),ISNUMBER(AR114)),IFERROR(AR123/AR114,""),"")</f>
        <v>0.162363075626989</v>
      </c>
      <c r="AS124" s="27" t="n">
        <f aca="false">IF(AND(ISNUMBER(AS123),ISNUMBER(AS114)),IFERROR(AS123/AS114,""),"")</f>
        <v>0.120496115469761</v>
      </c>
      <c r="AT124" s="27" t="n">
        <f aca="false">IF(AND(ISNUMBER(AT123),ISNUMBER(AT114)),IFERROR(AT123/AT114,""),"")</f>
        <v>0.100625946510026</v>
      </c>
      <c r="AU124" s="27" t="n">
        <f aca="false">IF(AND(ISNUMBER(AU123),ISNUMBER(AU114)),IFERROR(AU123/AU114,""),"")</f>
        <v>0.147954738687296</v>
      </c>
      <c r="AV124" s="27" t="n">
        <f aca="false">IF(AND(ISNUMBER(AV123),ISNUMBER(AV114)),IFERROR(AV123/AV114,""),"")</f>
        <v>0.114414969690804</v>
      </c>
      <c r="AW124" s="27" t="n">
        <f aca="false">IF(AND(ISNUMBER(AW123),ISNUMBER(AW114)),IFERROR(AW123/AW114,""),"")</f>
        <v>0.120789383005985</v>
      </c>
      <c r="AX124" s="27" t="n">
        <f aca="false">IF(AND(ISNUMBER(AX123),ISNUMBER(AX114)),IFERROR(AX123/AX114,""),"")</f>
        <v>0.142475031780779</v>
      </c>
      <c r="AY124" s="27" t="n">
        <f aca="false">IF(AND(ISNUMBER(AY123),ISNUMBER(AY114)),IFERROR(AY123/AY114,""),"")</f>
        <v>0.15218626054916</v>
      </c>
      <c r="AZ124" s="27" t="n">
        <f aca="false">IF(AND(ISNUMBER(AZ123),ISNUMBER(AZ114)),IFERROR(AZ123/AZ114,""),"")</f>
        <v>0.157373525464093</v>
      </c>
      <c r="BA124" s="27" t="n">
        <f aca="false">IF(AND(ISNUMBER(BA123),ISNUMBER(BA114)),IFERROR(BA123/BA114,""),"")</f>
        <v>0.158025850458487</v>
      </c>
      <c r="BB124" s="27" t="n">
        <f aca="false">IF(AND(ISNUMBER(BB123),ISNUMBER(BB114)),IFERROR(BB123/BB114,""),"")</f>
        <v>0.152710908640342</v>
      </c>
      <c r="BC124" s="27" t="n">
        <f aca="false">IF(AND(ISNUMBER(BC123),ISNUMBER(BC114)),IFERROR(BC123/BC114,""),"")</f>
        <v>0.108157673189016</v>
      </c>
      <c r="BD124" s="27" t="n">
        <f aca="false">IF(AND(ISNUMBER(BD123),ISNUMBER(BD114)),IFERROR(BD123/BD114,""),"")</f>
        <v>0.160997576133531</v>
      </c>
      <c r="BE124" s="27" t="n">
        <f aca="false">IF(AND(ISNUMBER(BE123),ISNUMBER(BE114)),IFERROR(BE123/BE114,""),"")</f>
        <v>0.170619879405337</v>
      </c>
      <c r="BF124" s="27" t="n">
        <f aca="false">IF(AND(ISNUMBER(BF123),ISNUMBER(BF114)),IFERROR(BF123/BF114,""),"")</f>
        <v>0.207538951911465</v>
      </c>
      <c r="BG124" s="27" t="n">
        <f aca="false">IF(AND(ISNUMBER(BG123),ISNUMBER(BG114)),IFERROR(BG123/BG114,""),"")</f>
        <v>0.165599867032978</v>
      </c>
      <c r="BH124" s="27" t="n">
        <f aca="false">IF(AND(ISNUMBER(BH123),ISNUMBER(BH114)),IFERROR(BH123/BH114,""),"")</f>
        <v>0.124615604095996</v>
      </c>
      <c r="BI124" s="27" t="n">
        <f aca="false">IF(AND(ISNUMBER(BI123),ISNUMBER(BI114)),IFERROR(BI123/BI114,""),"")</f>
        <v>0.160101704155049</v>
      </c>
      <c r="BJ124" s="27" t="n">
        <f aca="false">IF(AND(ISNUMBER(BJ123),ISNUMBER(BJ114)),IFERROR(BJ123/BJ114,""),"")</f>
        <v>0.182954912566993</v>
      </c>
      <c r="BK124" s="27" t="n">
        <f aca="false">IF(AND(ISNUMBER(BK123),ISNUMBER(BK114)),IFERROR(BK123/BK114,""),"")</f>
        <v>0.204499669759516</v>
      </c>
      <c r="BL124" s="27" t="n">
        <f aca="false">IF(AND(ISNUMBER(BL123),ISNUMBER(BL114)),IFERROR(BL123/BL114,""),"")</f>
        <v>0.170312292975297</v>
      </c>
      <c r="BM124" s="27" t="n">
        <f aca="false">IF(AND(ISNUMBER(BM123),ISNUMBER(BM114)),IFERROR(BM123/BM114,""),"")</f>
        <v>0.140164926307583</v>
      </c>
      <c r="BN124" s="27" t="n">
        <f aca="false">IF(AND(ISNUMBER(BN123),ISNUMBER(BN114)),IFERROR(BN123/BN114,""),"")</f>
        <v>0.164243728585063</v>
      </c>
      <c r="BO124" s="27" t="n">
        <f aca="false">IF(AND(ISNUMBER(BO123),ISNUMBER(BO114)),IFERROR(BO123/BO114,""),"")</f>
        <v>0.181374058414005</v>
      </c>
      <c r="BP124" s="27" t="n">
        <f aca="false">IF(AND(ISNUMBER(BP123),ISNUMBER(BP114)),IFERROR(BP123/BP114,""),"")</f>
        <v>0.187836416506837</v>
      </c>
      <c r="BQ124" s="27" t="n">
        <f aca="false">IF(AND(ISNUMBER(BQ123),ISNUMBER(BQ114)),IFERROR(BQ123/BQ114,""),"")</f>
        <v>0.169357574949803</v>
      </c>
      <c r="BR124" s="27" t="n">
        <f aca="false">IF(AND(ISNUMBER(BR123),ISNUMBER(BR114)),IFERROR(BR123/BR114,""),"")</f>
        <v>0.160374606681603</v>
      </c>
      <c r="BS124" s="27" t="n">
        <f aca="false">IF(AND(ISNUMBER(BS123),ISNUMBER(BS114)),IFERROR(BS123/BS114,""),"")</f>
        <v>0.178315399919688</v>
      </c>
      <c r="BT124" s="27" t="n">
        <f aca="false">IF(AND(ISNUMBER(BT123),ISNUMBER(BT114)),IFERROR(BT123/BT114,""),"")</f>
        <v>0.19127558475327</v>
      </c>
      <c r="BU124" s="27" t="n">
        <f aca="false">IF(AND(ISNUMBER(BU123),ISNUMBER(BU114)),IFERROR(BU123/BU114,""),"")</f>
        <v>0.191934157073901</v>
      </c>
      <c r="BV124" s="27" t="n">
        <f aca="false">IF(AND(ISNUMBER(BV123),ISNUMBER(BV114)),IFERROR(BV123/BV114,""),"")</f>
        <v>0.181090232828298</v>
      </c>
      <c r="BW124" s="27" t="n">
        <f aca="false">IF(AND(ISNUMBER(BW123),ISNUMBER(BW114)),IFERROR(BW123/BW114,""),"")</f>
        <v>0.174577289596985</v>
      </c>
      <c r="BX124" s="27" t="n">
        <f aca="false">IF(AND(ISNUMBER(BX123),ISNUMBER(BX114)),IFERROR(BX123/BX114,""),"")</f>
        <v>0.193386853793474</v>
      </c>
      <c r="BY124" s="22" t="n">
        <f aca="false">IFERROR(BY123/BY114,"")</f>
        <v>0.195786378504032</v>
      </c>
      <c r="BZ124" s="22" t="n">
        <f aca="false">IFERROR(BZ123/BZ114,"")</f>
        <v>0.196121621835661</v>
      </c>
      <c r="CA124" s="22" t="n">
        <f aca="false">IFERROR(CA123/CA114,"")</f>
        <v>0.190179132040628</v>
      </c>
      <c r="CB124" s="22" t="n">
        <f aca="false">IFERROR(CB123/CB114,"")</f>
        <v>0.196943479741233</v>
      </c>
      <c r="CC124" s="22" t="n">
        <f aca="false">IFERROR(CC123/CC114,"")</f>
        <v>0.200054525915163</v>
      </c>
      <c r="CD124" s="22" t="n">
        <f aca="false">IFERROR(CD123/CD114,"")</f>
        <v>0.202279716705898</v>
      </c>
      <c r="CE124" s="22" t="n">
        <f aca="false">IFERROR(CE123/CE114,"")</f>
        <v>0.204302660397684</v>
      </c>
      <c r="CH124" s="32" t="n">
        <f aca="false">IFERROR(AVERAGE(CA124,CB124,CC124,CD124,CE124),"n/m")</f>
        <v>0.198751902960121</v>
      </c>
      <c r="CI124" s="32" t="n">
        <f aca="false">IFERROR(AVERAGE(BB124,BG124,BL124,BQ124,BV124),"n/m")</f>
        <v>0.167814175285344</v>
      </c>
      <c r="CJ124" s="32" t="n">
        <f aca="false">IFERROR(AVERAGE(AC124,AH124,AM124,AR124,AW124,BB124,BG124,BL124,BQ124,BV124),"n/m")</f>
        <v>0.157282784603395</v>
      </c>
      <c r="CK124" s="32" t="n">
        <f aca="false">IFERROR(AVERAGE(C124,D124,E124,F124,G124,H124,I124,N124,S124,X124,AC124,AH124,AM124,AR124,AW124,BB124,BG124,BL124,BQ124,BV124),"n/m")</f>
        <v>0.131446646861488</v>
      </c>
    </row>
    <row r="125" customFormat="false" ht="15" hidden="false" customHeight="false" outlineLevel="0" collapsed="false">
      <c r="B125" s="33" t="s">
        <v>291</v>
      </c>
      <c r="C125" s="24" t="n">
        <v>140.628</v>
      </c>
      <c r="D125" s="24" t="n">
        <v>179.184</v>
      </c>
      <c r="E125" s="24" t="n">
        <v>199.182</v>
      </c>
      <c r="F125" s="24" t="n">
        <v>169.319</v>
      </c>
      <c r="G125" s="24" t="n">
        <v>179.823</v>
      </c>
      <c r="H125" s="24" t="n">
        <v>204.956</v>
      </c>
      <c r="I125" s="24" t="n">
        <v>161.446</v>
      </c>
      <c r="J125" s="24" t="n">
        <v>38.026</v>
      </c>
      <c r="K125" s="24" t="n">
        <v>57.788</v>
      </c>
      <c r="L125" s="24" t="n">
        <v>62.887</v>
      </c>
      <c r="M125" s="24" t="n">
        <v>74.918</v>
      </c>
      <c r="N125" s="24" t="n">
        <v>233.619</v>
      </c>
      <c r="O125" s="24" t="n">
        <v>59.101</v>
      </c>
      <c r="P125" s="24" t="n">
        <v>76.65</v>
      </c>
      <c r="Q125" s="24" t="n">
        <v>74.14</v>
      </c>
      <c r="R125" s="24" t="n">
        <v>74.931</v>
      </c>
      <c r="S125" s="24" t="n">
        <v>282.373</v>
      </c>
      <c r="T125" s="24" t="n">
        <v>72.835</v>
      </c>
      <c r="U125" s="24" t="n">
        <v>65.442</v>
      </c>
      <c r="V125" s="24" t="n">
        <v>63.813</v>
      </c>
      <c r="W125" s="24" t="n">
        <v>108.527</v>
      </c>
      <c r="X125" s="24" t="n">
        <v>310.617</v>
      </c>
      <c r="Y125" s="24" t="n">
        <v>57.263</v>
      </c>
      <c r="Z125" s="24" t="n">
        <v>68.089</v>
      </c>
      <c r="AA125" s="24" t="n">
        <v>76.573</v>
      </c>
      <c r="AB125" s="24" t="n">
        <v>106.173</v>
      </c>
      <c r="AC125" s="24" t="n">
        <v>308.098</v>
      </c>
      <c r="AD125" s="24" t="n">
        <v>51.227</v>
      </c>
      <c r="AE125" s="24" t="n">
        <v>83.271</v>
      </c>
      <c r="AF125" s="24" t="n">
        <v>96.55</v>
      </c>
      <c r="AG125" s="24" t="n">
        <v>108.695</v>
      </c>
      <c r="AH125" s="24" t="n">
        <v>339.743</v>
      </c>
      <c r="AI125" s="24" t="n">
        <v>64.498</v>
      </c>
      <c r="AJ125" s="24" t="n">
        <v>102.076</v>
      </c>
      <c r="AK125" s="24" t="n">
        <v>97.047</v>
      </c>
      <c r="AL125" s="24" t="n">
        <v>110.005</v>
      </c>
      <c r="AM125" s="24" t="n">
        <v>373.626</v>
      </c>
      <c r="AN125" s="24" t="n">
        <v>72.045</v>
      </c>
      <c r="AO125" s="24" t="n">
        <v>105.685</v>
      </c>
      <c r="AP125" s="24" t="n">
        <v>105.569</v>
      </c>
      <c r="AQ125" s="24" t="n">
        <v>120.654</v>
      </c>
      <c r="AR125" s="24" t="n">
        <v>403.953</v>
      </c>
      <c r="AS125" s="24" t="n">
        <v>72.446</v>
      </c>
      <c r="AT125" s="24" t="n">
        <v>55.349</v>
      </c>
      <c r="AU125" s="24" t="n">
        <v>84.573</v>
      </c>
      <c r="AV125" s="24" t="n">
        <v>76.48</v>
      </c>
      <c r="AW125" s="24" t="n">
        <v>288.848</v>
      </c>
      <c r="AX125" s="24" t="n">
        <v>85.066</v>
      </c>
      <c r="AY125" s="24" t="n">
        <v>94.583</v>
      </c>
      <c r="AZ125" s="24" t="n">
        <v>97.669</v>
      </c>
      <c r="BA125" s="24" t="n">
        <v>105.365</v>
      </c>
      <c r="BB125" s="24" t="n">
        <v>382.683</v>
      </c>
      <c r="BC125" s="24" t="n">
        <v>60.51</v>
      </c>
      <c r="BD125" s="24" t="n">
        <v>98.105</v>
      </c>
      <c r="BE125" s="24" t="n">
        <v>107.583</v>
      </c>
      <c r="BF125" s="24" t="n">
        <v>157.245</v>
      </c>
      <c r="BG125" s="24" t="n">
        <v>423.443</v>
      </c>
      <c r="BH125" s="24" t="n">
        <v>78.615</v>
      </c>
      <c r="BI125" s="24" t="n">
        <v>112.775</v>
      </c>
      <c r="BJ125" s="24" t="n">
        <v>132.519</v>
      </c>
      <c r="BK125" s="24" t="n">
        <v>160.694</v>
      </c>
      <c r="BL125" s="24" t="n">
        <v>484.602</v>
      </c>
      <c r="BM125" s="24" t="n">
        <v>99.961</v>
      </c>
      <c r="BN125" s="24" t="n">
        <v>128.897</v>
      </c>
      <c r="BO125" s="24" t="n">
        <v>144.903</v>
      </c>
      <c r="BP125" s="24" t="n">
        <v>154.836</v>
      </c>
      <c r="BQ125" s="24" t="n">
        <v>528.597</v>
      </c>
      <c r="BR125" s="24" t="n">
        <v>129.205</v>
      </c>
      <c r="BS125" s="24" t="n">
        <v>156.307</v>
      </c>
      <c r="BT125" s="24" t="n">
        <v>166.251</v>
      </c>
      <c r="BU125" s="24" t="n">
        <v>181.758</v>
      </c>
      <c r="BV125" s="24" t="n">
        <v>633.521</v>
      </c>
      <c r="BW125" s="24" t="n">
        <v>159.509</v>
      </c>
      <c r="BX125" s="24" t="n">
        <v>178.691</v>
      </c>
    </row>
    <row r="126" customFormat="false" ht="15" hidden="false" customHeight="false" outlineLevel="0" collapsed="false">
      <c r="B126" s="20" t="s">
        <v>292</v>
      </c>
      <c r="C126" s="46" t="n">
        <f aca="false">IF(ISNUMBER(C125),ROUND(C123-C125,1),"")</f>
        <v>0</v>
      </c>
      <c r="D126" s="46" t="n">
        <f aca="false">IF(ISNUMBER(D125),ROUND(D123-D125,1),"")</f>
        <v>0</v>
      </c>
      <c r="E126" s="46" t="n">
        <f aca="false">IF(ISNUMBER(E125),ROUND(E123-E125,1),"")</f>
        <v>0</v>
      </c>
      <c r="F126" s="46" t="n">
        <f aca="false">IF(ISNUMBER(F125),ROUND(F123-F125,1),"")</f>
        <v>0</v>
      </c>
      <c r="G126" s="46" t="n">
        <f aca="false">IF(ISNUMBER(G125),ROUND(G123-G125,1),"")</f>
        <v>0</v>
      </c>
      <c r="H126" s="46" t="n">
        <f aca="false">IF(ISNUMBER(H125),ROUND(H123-H125,1),"")</f>
        <v>0</v>
      </c>
      <c r="I126" s="46" t="n">
        <f aca="false">IF(ISNUMBER(I125),ROUND(I123-I125,1),"")</f>
        <v>0</v>
      </c>
      <c r="J126" s="46" t="n">
        <f aca="false">IF(ISNUMBER(J125),ROUND(J123-J125,1),"")</f>
        <v>0</v>
      </c>
      <c r="K126" s="46" t="n">
        <f aca="false">IF(ISNUMBER(K125),ROUND(K123-K125,1),"")</f>
        <v>0</v>
      </c>
      <c r="L126" s="46" t="n">
        <f aca="false">IF(ISNUMBER(L125),ROUND(L123-L125,1),"")</f>
        <v>0</v>
      </c>
      <c r="M126" s="46" t="n">
        <f aca="false">IF(ISNUMBER(M125),ROUND(M123-M125,1),"")</f>
        <v>0</v>
      </c>
      <c r="N126" s="46" t="n">
        <f aca="false">IF(ISNUMBER(N125),ROUND(N123-N125,1),"")</f>
        <v>0</v>
      </c>
      <c r="O126" s="46" t="n">
        <f aca="false">IF(ISNUMBER(O125),ROUND(O123-O125,1),"")</f>
        <v>0</v>
      </c>
      <c r="P126" s="46" t="n">
        <f aca="false">IF(ISNUMBER(P125),ROUND(P123-P125,1),"")</f>
        <v>0</v>
      </c>
      <c r="Q126" s="46" t="n">
        <f aca="false">IF(ISNUMBER(Q125),ROUND(Q123-Q125,1),"")</f>
        <v>0</v>
      </c>
      <c r="R126" s="46" t="n">
        <f aca="false">IF(ISNUMBER(R125),ROUND(R123-R125,1),"")</f>
        <v>0</v>
      </c>
      <c r="S126" s="46" t="n">
        <f aca="false">IF(ISNUMBER(S125),ROUND(S123-S125,1),"")</f>
        <v>0</v>
      </c>
      <c r="T126" s="46" t="n">
        <f aca="false">IF(ISNUMBER(T125),ROUND(T123-T125,1),"")</f>
        <v>0</v>
      </c>
      <c r="U126" s="46" t="n">
        <f aca="false">IF(ISNUMBER(U125),ROUND(U123-U125,1),"")</f>
        <v>0</v>
      </c>
      <c r="V126" s="46" t="n">
        <f aca="false">IF(ISNUMBER(V125),ROUND(V123-V125,1),"")</f>
        <v>0</v>
      </c>
      <c r="W126" s="46" t="n">
        <f aca="false">IF(ISNUMBER(W125),ROUND(W123-W125,1),"")</f>
        <v>0</v>
      </c>
      <c r="X126" s="46" t="n">
        <f aca="false">IF(ISNUMBER(X125),ROUND(X123-X125,1),"")</f>
        <v>0</v>
      </c>
      <c r="Y126" s="46" t="n">
        <f aca="false">IF(ISNUMBER(Y125),ROUND(Y123-Y125,1),"")</f>
        <v>0</v>
      </c>
      <c r="Z126" s="46" t="n">
        <f aca="false">IF(ISNUMBER(Z125),ROUND(Z123-Z125,1),"")</f>
        <v>0</v>
      </c>
      <c r="AA126" s="46" t="n">
        <f aca="false">IF(ISNUMBER(AA125),ROUND(AA123-AA125,1),"")</f>
        <v>0</v>
      </c>
      <c r="AB126" s="46" t="n">
        <f aca="false">IF(ISNUMBER(AB125),ROUND(AB123-AB125,1),"")</f>
        <v>0</v>
      </c>
      <c r="AC126" s="46" t="n">
        <f aca="false">IF(ISNUMBER(AC125),ROUND(AC123-AC125,1),"")</f>
        <v>0</v>
      </c>
      <c r="AD126" s="46" t="n">
        <f aca="false">IF(ISNUMBER(AD125),ROUND(AD123-AD125,1),"")</f>
        <v>0</v>
      </c>
      <c r="AE126" s="46" t="n">
        <f aca="false">IF(ISNUMBER(AE125),ROUND(AE123-AE125,1),"")</f>
        <v>0</v>
      </c>
      <c r="AF126" s="46" t="n">
        <f aca="false">IF(ISNUMBER(AF125),ROUND(AF123-AF125,1),"")</f>
        <v>0</v>
      </c>
      <c r="AG126" s="46" t="n">
        <f aca="false">IF(ISNUMBER(AG125),ROUND(AG123-AG125,1),"")</f>
        <v>0</v>
      </c>
      <c r="AH126" s="46" t="n">
        <f aca="false">IF(ISNUMBER(AH125),ROUND(AH123-AH125,1),"")</f>
        <v>0</v>
      </c>
      <c r="AI126" s="46" t="n">
        <f aca="false">IF(ISNUMBER(AI125),ROUND(AI123-AI125,1),"")</f>
        <v>0</v>
      </c>
      <c r="AJ126" s="46" t="n">
        <f aca="false">IF(ISNUMBER(AJ125),ROUND(AJ123-AJ125,1),"")</f>
        <v>0</v>
      </c>
      <c r="AK126" s="46" t="n">
        <f aca="false">IF(ISNUMBER(AK125),ROUND(AK123-AK125,1),"")</f>
        <v>0</v>
      </c>
      <c r="AL126" s="46" t="n">
        <f aca="false">IF(ISNUMBER(AL125),ROUND(AL123-AL125,1),"")</f>
        <v>0</v>
      </c>
      <c r="AM126" s="46" t="n">
        <f aca="false">IF(ISNUMBER(AM125),ROUND(AM123-AM125,1),"")</f>
        <v>0</v>
      </c>
      <c r="AN126" s="46" t="n">
        <f aca="false">IF(ISNUMBER(AN125),ROUND(AN123-AN125,1),"")</f>
        <v>0</v>
      </c>
      <c r="AO126" s="46" t="n">
        <f aca="false">IF(ISNUMBER(AO125),ROUND(AO123-AO125,1),"")</f>
        <v>0</v>
      </c>
      <c r="AP126" s="46" t="n">
        <f aca="false">IF(ISNUMBER(AP125),ROUND(AP123-AP125,1),"")</f>
        <v>0</v>
      </c>
      <c r="AQ126" s="46" t="n">
        <f aca="false">IF(ISNUMBER(AQ125),ROUND(AQ123-AQ125,1),"")</f>
        <v>0</v>
      </c>
      <c r="AR126" s="46" t="n">
        <f aca="false">IF(ISNUMBER(AR125),ROUND(AR123-AR125,1),"")</f>
        <v>0</v>
      </c>
      <c r="AS126" s="46" t="n">
        <f aca="false">IF(ISNUMBER(AS125),ROUND(AS123-AS125,1),"")</f>
        <v>0</v>
      </c>
      <c r="AT126" s="46" t="n">
        <f aca="false">IF(ISNUMBER(AT125),ROUND(AT123-AT125,1),"")</f>
        <v>0</v>
      </c>
      <c r="AU126" s="46" t="n">
        <f aca="false">IF(ISNUMBER(AU125),ROUND(AU123-AU125,1),"")</f>
        <v>0</v>
      </c>
      <c r="AV126" s="46" t="n">
        <f aca="false">IF(ISNUMBER(AV125),ROUND(AV123-AV125,1),"")</f>
        <v>0</v>
      </c>
      <c r="AW126" s="46" t="n">
        <f aca="false">IF(ISNUMBER(AW125),ROUND(AW123-AW125,1),"")</f>
        <v>0</v>
      </c>
      <c r="AX126" s="46" t="n">
        <f aca="false">IF(ISNUMBER(AX125),ROUND(AX123-AX125,1),"")</f>
        <v>0</v>
      </c>
      <c r="AY126" s="46" t="n">
        <f aca="false">IF(ISNUMBER(AY125),ROUND(AY123-AY125,1),"")</f>
        <v>0</v>
      </c>
      <c r="AZ126" s="46" t="n">
        <f aca="false">IF(ISNUMBER(AZ125),ROUND(AZ123-AZ125,1),"")</f>
        <v>0</v>
      </c>
      <c r="BA126" s="46" t="n">
        <f aca="false">IF(ISNUMBER(BA125),ROUND(BA123-BA125,1),"")</f>
        <v>0</v>
      </c>
      <c r="BB126" s="46" t="n">
        <f aca="false">IF(ISNUMBER(BB125),ROUND(BB123-BB125,1),"")</f>
        <v>0</v>
      </c>
      <c r="BC126" s="46" t="n">
        <f aca="false">IF(ISNUMBER(BC125),ROUND(BC123-BC125,1),"")</f>
        <v>0</v>
      </c>
      <c r="BD126" s="46" t="n">
        <f aca="false">IF(ISNUMBER(BD125),ROUND(BD123-BD125,1),"")</f>
        <v>0</v>
      </c>
      <c r="BE126" s="46" t="n">
        <f aca="false">IF(ISNUMBER(BE125),ROUND(BE123-BE125,1),"")</f>
        <v>0</v>
      </c>
      <c r="BF126" s="46" t="n">
        <f aca="false">IF(ISNUMBER(BF125),ROUND(BF123-BF125,1),"")</f>
        <v>0</v>
      </c>
      <c r="BG126" s="46" t="n">
        <f aca="false">IF(ISNUMBER(BG125),ROUND(BG123-BG125,1),"")</f>
        <v>0</v>
      </c>
      <c r="BH126" s="46" t="n">
        <f aca="false">IF(ISNUMBER(BH125),ROUND(BH123-BH125,1),"")</f>
        <v>0</v>
      </c>
      <c r="BI126" s="46" t="n">
        <f aca="false">IF(ISNUMBER(BI125),ROUND(BI123-BI125,1),"")</f>
        <v>0</v>
      </c>
      <c r="BJ126" s="46" t="n">
        <f aca="false">IF(ISNUMBER(BJ125),ROUND(BJ123-BJ125,1),"")</f>
        <v>0</v>
      </c>
      <c r="BK126" s="46" t="n">
        <f aca="false">IF(ISNUMBER(BK125),ROUND(BK123-BK125,1),"")</f>
        <v>0</v>
      </c>
      <c r="BL126" s="46" t="n">
        <f aca="false">IF(ISNUMBER(BL125),ROUND(BL123-BL125,1),"")</f>
        <v>0</v>
      </c>
      <c r="BM126" s="46" t="n">
        <f aca="false">IF(ISNUMBER(BM125),ROUND(BM123-BM125,1),"")</f>
        <v>0</v>
      </c>
      <c r="BN126" s="46" t="n">
        <f aca="false">IF(ISNUMBER(BN125),ROUND(BN123-BN125,1),"")</f>
        <v>0</v>
      </c>
      <c r="BO126" s="46" t="n">
        <f aca="false">IF(ISNUMBER(BO125),ROUND(BO123-BO125,1),"")</f>
        <v>0</v>
      </c>
      <c r="BP126" s="46" t="n">
        <f aca="false">IF(ISNUMBER(BP125),ROUND(BP123-BP125,1),"")</f>
        <v>0</v>
      </c>
      <c r="BQ126" s="46" t="n">
        <f aca="false">IF(ISNUMBER(BQ125),ROUND(BQ123-BQ125,1),"")</f>
        <v>0</v>
      </c>
      <c r="BR126" s="46" t="n">
        <f aca="false">IF(ISNUMBER(BR125),ROUND(BR123-BR125,1),"")</f>
        <v>0</v>
      </c>
      <c r="BS126" s="46" t="n">
        <f aca="false">IF(ISNUMBER(BS125),ROUND(BS123-BS125,1),"")</f>
        <v>0</v>
      </c>
      <c r="BT126" s="46" t="n">
        <f aca="false">IF(ISNUMBER(BT125),ROUND(BT123-BT125,1),"")</f>
        <v>0</v>
      </c>
      <c r="BU126" s="46" t="n">
        <f aca="false">IF(ISNUMBER(BU125),ROUND(BU123-BU125,1),"")</f>
        <v>0</v>
      </c>
      <c r="BV126" s="46" t="n">
        <f aca="false">IF(ISNUMBER(BV125),ROUND(BV123-BV125,1),"")</f>
        <v>0</v>
      </c>
      <c r="BW126" s="46" t="n">
        <f aca="false">IF(ISNUMBER(BW125),ROUND(BW123-BW125,1),"")</f>
        <v>0</v>
      </c>
      <c r="BX126" s="46" t="n">
        <f aca="false">IF(ISNUMBER(BX125),ROUND(BX123-BX125,1),"")</f>
        <v>0</v>
      </c>
    </row>
    <row r="127" customFormat="false" ht="15" hidden="false" customHeight="false" outlineLevel="0" collapsed="false">
      <c r="B127" s="20" t="s">
        <v>293</v>
      </c>
      <c r="C127" s="24" t="n">
        <v>22.894</v>
      </c>
      <c r="D127" s="24" t="n">
        <v>27.382</v>
      </c>
      <c r="E127" s="24" t="n">
        <v>29.045</v>
      </c>
      <c r="F127" s="24" t="n">
        <v>25.066</v>
      </c>
      <c r="G127" s="24" t="n">
        <v>22.107</v>
      </c>
      <c r="H127" s="24" t="n">
        <v>20.834</v>
      </c>
      <c r="I127" s="24" t="n">
        <v>26.329</v>
      </c>
      <c r="J127" s="24" t="n">
        <v>8.659</v>
      </c>
      <c r="K127" s="24" t="n">
        <v>9.332</v>
      </c>
      <c r="L127" s="24" t="n">
        <v>9.69</v>
      </c>
      <c r="M127" s="24" t="n">
        <v>9.339</v>
      </c>
      <c r="N127" s="24" t="n">
        <v>37.02</v>
      </c>
      <c r="O127" s="24" t="n">
        <v>9.054</v>
      </c>
      <c r="P127" s="24" t="n">
        <v>8.988</v>
      </c>
      <c r="Q127" s="24" t="n">
        <v>9.013</v>
      </c>
      <c r="R127" s="24" t="n">
        <v>8.74</v>
      </c>
      <c r="S127" s="24" t="n">
        <v>35.794</v>
      </c>
      <c r="T127" s="24" t="n">
        <v>8.996</v>
      </c>
      <c r="U127" s="24" t="n">
        <v>8.985</v>
      </c>
      <c r="V127" s="24" t="n">
        <v>8.972</v>
      </c>
      <c r="W127" s="24" t="n">
        <v>9.085</v>
      </c>
      <c r="X127" s="24" t="n">
        <v>36.038</v>
      </c>
      <c r="Y127" s="24" t="n">
        <v>9.933</v>
      </c>
      <c r="Z127" s="24" t="n">
        <v>10.273</v>
      </c>
      <c r="AA127" s="24" t="n">
        <v>10.488</v>
      </c>
      <c r="AB127" s="24" t="n">
        <v>10.554</v>
      </c>
      <c r="AC127" s="24" t="n">
        <v>41.248</v>
      </c>
      <c r="AD127" s="24" t="n">
        <v>10.377</v>
      </c>
      <c r="AE127" s="24" t="n">
        <v>10.75</v>
      </c>
      <c r="AF127" s="24" t="n">
        <v>10.457</v>
      </c>
      <c r="AG127" s="24" t="n">
        <v>9.887</v>
      </c>
      <c r="AH127" s="24" t="n">
        <v>41.471</v>
      </c>
      <c r="AI127" s="24" t="n">
        <v>8.204</v>
      </c>
      <c r="AJ127" s="24" t="n">
        <v>9.566</v>
      </c>
      <c r="AK127" s="24" t="n">
        <v>7.949</v>
      </c>
      <c r="AL127" s="24" t="n">
        <v>8.264</v>
      </c>
      <c r="AM127" s="24" t="n">
        <v>33.983</v>
      </c>
      <c r="AN127" s="24" t="n">
        <v>7.272</v>
      </c>
      <c r="AO127" s="24" t="n">
        <v>7.96</v>
      </c>
      <c r="AP127" s="24" t="n">
        <v>7.951</v>
      </c>
      <c r="AQ127" s="24" t="n">
        <v>8.164</v>
      </c>
      <c r="AR127" s="24" t="n">
        <v>31.347</v>
      </c>
      <c r="AS127" s="24" t="n">
        <v>7.489</v>
      </c>
      <c r="AT127" s="24" t="n">
        <v>8.515</v>
      </c>
      <c r="AU127" s="24" t="n">
        <v>9.055</v>
      </c>
      <c r="AV127" s="24" t="n">
        <v>10.486</v>
      </c>
      <c r="AW127" s="24" t="n">
        <v>35.545</v>
      </c>
      <c r="AX127" s="24" t="n">
        <v>9.959</v>
      </c>
      <c r="AY127" s="24" t="n">
        <v>10.18</v>
      </c>
      <c r="AZ127" s="24" t="n">
        <v>9.955</v>
      </c>
      <c r="BA127" s="24" t="n">
        <v>10.146</v>
      </c>
      <c r="BB127" s="24" t="n">
        <v>40.24</v>
      </c>
      <c r="BC127" s="24" t="n">
        <v>9.53</v>
      </c>
      <c r="BD127" s="24" t="n">
        <v>9.788</v>
      </c>
      <c r="BE127" s="24" t="n">
        <v>13.997</v>
      </c>
      <c r="BF127" s="24" t="n">
        <v>13.665</v>
      </c>
      <c r="BG127" s="24" t="n">
        <v>46.98</v>
      </c>
      <c r="BH127" s="24" t="n">
        <v>12.944</v>
      </c>
      <c r="BI127" s="24" t="n">
        <v>14.992</v>
      </c>
      <c r="BJ127" s="24" t="n">
        <v>12.496</v>
      </c>
      <c r="BK127" s="24" t="n">
        <v>10.961</v>
      </c>
      <c r="BL127" s="24" t="n">
        <v>51.393</v>
      </c>
      <c r="BM127" s="24" t="n">
        <v>10.57</v>
      </c>
      <c r="BN127" s="24" t="n">
        <v>11.216</v>
      </c>
      <c r="BO127" s="24" t="n">
        <v>11.408</v>
      </c>
      <c r="BP127" s="24" t="n">
        <v>11.675</v>
      </c>
      <c r="BQ127" s="24" t="n">
        <v>44.869</v>
      </c>
      <c r="BR127" s="24" t="n">
        <v>10.143</v>
      </c>
      <c r="BS127" s="24" t="n">
        <v>10.524</v>
      </c>
      <c r="BT127" s="24" t="n">
        <v>10.484</v>
      </c>
      <c r="BU127" s="24" t="n">
        <v>11.997</v>
      </c>
      <c r="BV127" s="24" t="n">
        <v>43.148</v>
      </c>
      <c r="BW127" s="24" t="n">
        <v>9.941</v>
      </c>
      <c r="BX127" s="24" t="n">
        <v>9.926</v>
      </c>
      <c r="BY127" s="25" t="n">
        <f aca="false">($CO$25-$BW$127-$BX$127)/2</f>
        <v>10.5665</v>
      </c>
      <c r="BZ127" s="25" t="n">
        <f aca="false">($CO$25-$BW$127-$BX$127)/2</f>
        <v>10.5665</v>
      </c>
      <c r="CA127" s="25" t="n">
        <f aca="false">SUM(BW127,BX127,BY127,BZ127)</f>
        <v>41</v>
      </c>
      <c r="CB127" s="25" t="n">
        <f aca="false">CA332*CB337+CA335*CB338</f>
        <v>29.538093</v>
      </c>
      <c r="CC127" s="25" t="n">
        <f aca="false">CB332*CC337+CB335*CC338</f>
        <v>30.29548</v>
      </c>
      <c r="CD127" s="25" t="n">
        <f aca="false">CC332*CD337+CC335*CD338</f>
        <v>33.17495645875</v>
      </c>
      <c r="CE127" s="25" t="n">
        <f aca="false">CD332*CE337+CD335*CE338</f>
        <v>37.5494105810875</v>
      </c>
      <c r="CF127" s="18" t="s">
        <v>294</v>
      </c>
    </row>
    <row r="128" customFormat="false" ht="15" hidden="false" customHeight="false" outlineLevel="0" collapsed="false">
      <c r="B128" s="20" t="s">
        <v>295</v>
      </c>
      <c r="C128" s="24" t="n">
        <v>-0.112</v>
      </c>
      <c r="D128" s="24" t="n">
        <v>2.369</v>
      </c>
      <c r="E128" s="24" t="n">
        <v>1.585</v>
      </c>
      <c r="F128" s="24" t="n">
        <v>1.006</v>
      </c>
      <c r="G128" s="24" t="n">
        <v>0.579</v>
      </c>
      <c r="H128" s="24" t="n">
        <v>0.867</v>
      </c>
      <c r="I128" s="24" t="n">
        <v>0.245</v>
      </c>
      <c r="J128" s="24" t="n">
        <v>0.474</v>
      </c>
      <c r="K128" s="24" t="n">
        <v>0.224</v>
      </c>
      <c r="L128" s="24" t="n">
        <v>0.378</v>
      </c>
      <c r="M128" s="24" t="n">
        <v>0.278</v>
      </c>
      <c r="N128" s="24" t="n">
        <v>1.354</v>
      </c>
      <c r="O128" s="24" t="n">
        <v>0.065</v>
      </c>
      <c r="P128" s="24" t="n">
        <v>0.064</v>
      </c>
      <c r="Q128" s="24" t="n">
        <v>-0.158</v>
      </c>
      <c r="R128" s="24" t="n">
        <v>0.435</v>
      </c>
      <c r="S128" s="24" t="n">
        <v>0.365</v>
      </c>
      <c r="T128" s="24" t="n">
        <v>0.481</v>
      </c>
      <c r="U128" s="24" t="n">
        <v>-0.037</v>
      </c>
      <c r="V128" s="24" t="n">
        <v>0.161</v>
      </c>
      <c r="W128" s="24" t="n">
        <v>0.01</v>
      </c>
      <c r="X128" s="24" t="n">
        <v>0.615</v>
      </c>
      <c r="Y128" s="24" t="n">
        <v>0.234</v>
      </c>
      <c r="Z128" s="24" t="n">
        <v>0.101</v>
      </c>
      <c r="AA128" s="24" t="n">
        <v>0.483</v>
      </c>
      <c r="AB128" s="24" t="n">
        <v>0.293</v>
      </c>
      <c r="AC128" s="24" t="n">
        <v>1.111</v>
      </c>
      <c r="AD128" s="24" t="n">
        <v>0.312</v>
      </c>
      <c r="AE128" s="24" t="n">
        <v>0.19</v>
      </c>
      <c r="AF128" s="24" t="n">
        <v>0.321</v>
      </c>
      <c r="AG128" s="24" t="n">
        <v>0.524</v>
      </c>
      <c r="AH128" s="24" t="n">
        <v>1.347</v>
      </c>
      <c r="AI128" s="24" t="n">
        <v>4.683</v>
      </c>
      <c r="AJ128" s="24" t="n">
        <v>3.971</v>
      </c>
      <c r="AK128" s="24" t="n">
        <v>3.843</v>
      </c>
      <c r="AL128" s="24" t="n">
        <v>4.099</v>
      </c>
      <c r="AM128" s="24" t="n">
        <v>16.596</v>
      </c>
      <c r="AN128" s="24" t="n">
        <v>5.478</v>
      </c>
      <c r="AO128" s="24" t="n">
        <v>5.871</v>
      </c>
      <c r="AP128" s="24" t="n">
        <v>6.355</v>
      </c>
      <c r="AQ128" s="24" t="n">
        <v>6.152</v>
      </c>
      <c r="AR128" s="24" t="n">
        <v>23.856</v>
      </c>
      <c r="AS128" s="24" t="n">
        <v>5.532</v>
      </c>
      <c r="AT128" s="24" t="n">
        <v>-4.105</v>
      </c>
      <c r="AU128" s="24" t="n">
        <v>5.417</v>
      </c>
      <c r="AV128" s="24" t="n">
        <v>2.904</v>
      </c>
      <c r="AW128" s="24" t="n">
        <v>9.748</v>
      </c>
      <c r="AX128" s="24" t="n">
        <v>4.843</v>
      </c>
      <c r="AY128" s="24" t="n">
        <v>0.44</v>
      </c>
      <c r="AZ128" s="24" t="n">
        <v>3.627</v>
      </c>
      <c r="BA128" s="24" t="n">
        <v>3.157</v>
      </c>
      <c r="BB128" s="24" t="n">
        <v>12.067</v>
      </c>
      <c r="BC128" s="24" t="n">
        <v>2.997</v>
      </c>
      <c r="BD128" s="24" t="n">
        <v>4.555</v>
      </c>
      <c r="BE128" s="24" t="n">
        <v>3.746</v>
      </c>
      <c r="BF128" s="24" t="n">
        <v>1.434</v>
      </c>
      <c r="BG128" s="24" t="n">
        <v>12.732</v>
      </c>
      <c r="BH128" s="24" t="n">
        <v>7.767</v>
      </c>
      <c r="BI128" s="24" t="n">
        <v>7.954</v>
      </c>
      <c r="BJ128" s="24" t="n">
        <v>7.023</v>
      </c>
      <c r="BK128" s="24" t="n">
        <v>7.117</v>
      </c>
      <c r="BL128" s="24" t="n">
        <v>29.861</v>
      </c>
      <c r="BM128" s="24" t="n">
        <v>9.608</v>
      </c>
      <c r="BN128" s="24" t="n">
        <v>8.56</v>
      </c>
      <c r="BO128" s="24" t="n">
        <v>10.126</v>
      </c>
      <c r="BP128" s="24" t="n">
        <v>10.034</v>
      </c>
      <c r="BQ128" s="24" t="n">
        <v>38.328</v>
      </c>
      <c r="BR128" s="24" t="n">
        <v>6.03</v>
      </c>
      <c r="BS128" s="24" t="n">
        <v>10.982</v>
      </c>
      <c r="BT128" s="24" t="n">
        <v>5.386</v>
      </c>
      <c r="BU128" s="24" t="n">
        <v>7.239</v>
      </c>
      <c r="BV128" s="24" t="n">
        <v>29.637</v>
      </c>
      <c r="BW128" s="24" t="n">
        <v>8.197</v>
      </c>
      <c r="BX128" s="24" t="n">
        <v>25.53</v>
      </c>
      <c r="BY128" s="25" t="n">
        <f aca="false">($CO$26-$BW$128-$BX$128)/2</f>
        <v>8.6365</v>
      </c>
      <c r="BZ128" s="25" t="n">
        <f aca="false">($CO$26-$BW$128-$BX$128)/2</f>
        <v>8.6365</v>
      </c>
      <c r="CA128" s="25" t="n">
        <f aca="false">SUM(BW128,BX128,BY128,BZ128)</f>
        <v>51</v>
      </c>
      <c r="CB128" s="25" t="n">
        <f aca="false">CB129+CB130</f>
        <v>37.3106213539553</v>
      </c>
      <c r="CC128" s="25" t="n">
        <f aca="false">CC129+CC130</f>
        <v>33.657895</v>
      </c>
      <c r="CD128" s="25" t="n">
        <f aca="false">CD129+CD130</f>
        <v>32.5</v>
      </c>
      <c r="CE128" s="25" t="n">
        <f aca="false">CE129+CE130</f>
        <v>32.5</v>
      </c>
      <c r="CF128" s="18" t="s">
        <v>296</v>
      </c>
    </row>
    <row r="129" customFormat="false" ht="15" hidden="false" customHeight="false" outlineLevel="0" collapsed="false">
      <c r="B129" s="20" t="s">
        <v>297</v>
      </c>
      <c r="CB129" s="41" t="n">
        <v>25</v>
      </c>
      <c r="CC129" s="41" t="n">
        <v>25</v>
      </c>
      <c r="CD129" s="41" t="n">
        <v>25</v>
      </c>
      <c r="CE129" s="41" t="n">
        <v>25</v>
      </c>
      <c r="CF129" s="18" t="s">
        <v>298</v>
      </c>
    </row>
    <row r="130" customFormat="false" ht="15" hidden="false" customHeight="false" outlineLevel="0" collapsed="false">
      <c r="B130" s="20" t="s">
        <v>299</v>
      </c>
      <c r="CB130" s="25" t="n">
        <f aca="false">CA276*CB339</f>
        <v>12.3106213539553</v>
      </c>
      <c r="CC130" s="25" t="n">
        <f aca="false">CB276*CC339</f>
        <v>8.657895</v>
      </c>
      <c r="CD130" s="25" t="n">
        <f aca="false">CC276*CD339</f>
        <v>7.5</v>
      </c>
      <c r="CE130" s="25" t="n">
        <f aca="false">CD276*CE339</f>
        <v>7.5</v>
      </c>
    </row>
    <row r="131" customFormat="false" ht="15" hidden="false" customHeight="false" outlineLevel="0" collapsed="false">
      <c r="B131" s="20" t="s">
        <v>300</v>
      </c>
      <c r="BX131" s="28" t="n">
        <v>17</v>
      </c>
      <c r="BY131" s="30" t="n">
        <v>0</v>
      </c>
      <c r="BZ131" s="30" t="n">
        <v>0</v>
      </c>
      <c r="CA131" s="29" t="n">
        <f aca="false">SUM(BW131,BX131,BY131,BZ131)</f>
        <v>17</v>
      </c>
      <c r="CB131" s="30" t="n">
        <v>0</v>
      </c>
      <c r="CC131" s="30" t="n">
        <v>0</v>
      </c>
      <c r="CD131" s="30" t="n">
        <v>0</v>
      </c>
      <c r="CE131" s="30" t="n">
        <v>0</v>
      </c>
    </row>
    <row r="132" customFormat="false" ht="15" hidden="false" customHeight="false" outlineLevel="0" collapsed="false">
      <c r="B132" s="20" t="s">
        <v>301</v>
      </c>
    </row>
    <row r="133" customFormat="false" ht="15" hidden="false" customHeight="false" outlineLevel="0" collapsed="false">
      <c r="B133" s="15" t="s">
        <v>302</v>
      </c>
      <c r="C133" s="31" t="n">
        <f aca="false">C123-C127+C128+N(C132)</f>
        <v>117.622</v>
      </c>
      <c r="D133" s="31" t="n">
        <f aca="false">D123-D127+D128+N(D132)</f>
        <v>154.171</v>
      </c>
      <c r="E133" s="31" t="n">
        <f aca="false">E123-E127+E128+N(E132)</f>
        <v>171.722</v>
      </c>
      <c r="F133" s="31" t="n">
        <f aca="false">F123-F127+F128+N(F132)</f>
        <v>145.259</v>
      </c>
      <c r="G133" s="31" t="n">
        <f aca="false">G123-G127+G128+N(G132)</f>
        <v>158.295</v>
      </c>
      <c r="H133" s="31" t="n">
        <f aca="false">H123-H127+H128+N(H132)</f>
        <v>184.989</v>
      </c>
      <c r="I133" s="31" t="n">
        <f aca="false">I123-I127+I128+N(I132)</f>
        <v>135.362</v>
      </c>
      <c r="J133" s="31" t="n">
        <f aca="false">J123-J127+J128+N(J132)</f>
        <v>29.841</v>
      </c>
      <c r="K133" s="31" t="n">
        <f aca="false">K123-K127+K128+N(K132)</f>
        <v>48.68</v>
      </c>
      <c r="L133" s="31" t="n">
        <f aca="false">L123-L127+L128+N(L132)</f>
        <v>53.575</v>
      </c>
      <c r="M133" s="31" t="n">
        <f aca="false">M123-M127+M128+N(M132)</f>
        <v>65.857</v>
      </c>
      <c r="N133" s="31" t="n">
        <f aca="false">N123-N127+N128+N(N132)</f>
        <v>197.953</v>
      </c>
      <c r="O133" s="31" t="n">
        <f aca="false">O123-O127+O128+N(O132)</f>
        <v>50.1120000000001</v>
      </c>
      <c r="P133" s="31" t="n">
        <f aca="false">P123-P127+P128+N(P132)</f>
        <v>67.726</v>
      </c>
      <c r="Q133" s="31" t="n">
        <f aca="false">Q123-Q127+Q128+N(Q132)</f>
        <v>64.9690000000001</v>
      </c>
      <c r="R133" s="31" t="n">
        <f aca="false">R123-R127+R128+N(R132)</f>
        <v>66.626</v>
      </c>
      <c r="S133" s="31" t="n">
        <f aca="false">S123-S127+S128+N(S132)</f>
        <v>246.944</v>
      </c>
      <c r="T133" s="31" t="n">
        <f aca="false">T123-T127+T128+N(T132)</f>
        <v>64.32</v>
      </c>
      <c r="U133" s="31" t="n">
        <f aca="false">U123-U127+U128+N(U132)</f>
        <v>56.42</v>
      </c>
      <c r="V133" s="31" t="n">
        <f aca="false">V123-V127+V128+N(V132)</f>
        <v>55.0019999999999</v>
      </c>
      <c r="W133" s="31" t="n">
        <f aca="false">W123-W127+W128+N(W132)</f>
        <v>99.452</v>
      </c>
      <c r="X133" s="31" t="n">
        <f aca="false">X123-X127+X128+N(X132)</f>
        <v>275.194</v>
      </c>
      <c r="Y133" s="31" t="n">
        <f aca="false">Y123-Y127+Y128+N(Y132)</f>
        <v>47.564</v>
      </c>
      <c r="Z133" s="31" t="n">
        <f aca="false">Z123-Z127+Z128+N(Z132)</f>
        <v>57.917</v>
      </c>
      <c r="AA133" s="31" t="n">
        <f aca="false">AA123-AA127+AA128+N(AA132)</f>
        <v>66.568</v>
      </c>
      <c r="AB133" s="31" t="n">
        <f aca="false">AB123-AB127+AB128+N(AB132)</f>
        <v>95.912</v>
      </c>
      <c r="AC133" s="31" t="n">
        <f aca="false">AC123-AC127+AC128+N(AC132)</f>
        <v>267.961</v>
      </c>
      <c r="AD133" s="31" t="n">
        <f aca="false">AD123-AD127+AD128+N(AD132)</f>
        <v>41.162</v>
      </c>
      <c r="AE133" s="31" t="n">
        <f aca="false">AE123-AE127+AE128+N(AE132)</f>
        <v>72.711</v>
      </c>
      <c r="AF133" s="31" t="n">
        <f aca="false">AF123-AF127+AF128+N(AF132)</f>
        <v>86.414</v>
      </c>
      <c r="AG133" s="31" t="n">
        <f aca="false">AG123-AG127+AG128+N(AG132)</f>
        <v>99.332</v>
      </c>
      <c r="AH133" s="31" t="n">
        <f aca="false">AH123-AH127+AH128+N(AH132)</f>
        <v>299.619</v>
      </c>
      <c r="AI133" s="31" t="n">
        <f aca="false">AI123-AI127+AI128+N(AI132)</f>
        <v>60.977</v>
      </c>
      <c r="AJ133" s="31" t="n">
        <f aca="false">AJ123-AJ127+AJ128+N(AJ132)</f>
        <v>96.481</v>
      </c>
      <c r="AK133" s="31" t="n">
        <f aca="false">AK123-AK127+AK128+N(AK132)</f>
        <v>92.9410000000001</v>
      </c>
      <c r="AL133" s="31" t="n">
        <f aca="false">AL123-AL127+AL128+N(AL132)</f>
        <v>105.84</v>
      </c>
      <c r="AM133" s="31" t="n">
        <f aca="false">AM123-AM127+AM128+N(AM132)</f>
        <v>356.239</v>
      </c>
      <c r="AN133" s="31" t="n">
        <f aca="false">AN123-AN127+AN128+N(AN132)</f>
        <v>70.251</v>
      </c>
      <c r="AO133" s="31" t="n">
        <f aca="false">AO123-AO127+AO128+N(AO132)</f>
        <v>103.596</v>
      </c>
      <c r="AP133" s="31" t="n">
        <f aca="false">AP123-AP127+AP128+N(AP132)</f>
        <v>103.973</v>
      </c>
      <c r="AQ133" s="31" t="n">
        <f aca="false">AQ123-AQ127+AQ128+N(AQ132)</f>
        <v>118.642</v>
      </c>
      <c r="AR133" s="31" t="n">
        <f aca="false">AR123-AR127+AR128+N(AR132)</f>
        <v>396.462</v>
      </c>
      <c r="AS133" s="31" t="n">
        <f aca="false">AS123-AS127+AS128+N(AS132)</f>
        <v>70.489</v>
      </c>
      <c r="AT133" s="31" t="n">
        <f aca="false">AT123-AT127+AT128+N(AT132)</f>
        <v>42.729</v>
      </c>
      <c r="AU133" s="31" t="n">
        <f aca="false">AU123-AU127+AU128+N(AU132)</f>
        <v>80.935</v>
      </c>
      <c r="AV133" s="31" t="n">
        <f aca="false">AV123-AV127+AV128+N(AV132)</f>
        <v>68.898</v>
      </c>
      <c r="AW133" s="31" t="n">
        <f aca="false">AW123-AW127+AW128+N(AW132)</f>
        <v>263.051</v>
      </c>
      <c r="AX133" s="31" t="n">
        <f aca="false">AX123-AX127+AX128+N(AX132)</f>
        <v>79.95</v>
      </c>
      <c r="AY133" s="31" t="n">
        <f aca="false">AY123-AY127+AY128+N(AY132)</f>
        <v>84.843</v>
      </c>
      <c r="AZ133" s="31" t="n">
        <f aca="false">AZ123-AZ127+AZ128+N(AZ132)</f>
        <v>91.341</v>
      </c>
      <c r="BA133" s="31" t="n">
        <f aca="false">BA123-BA127+BA128+N(BA132)</f>
        <v>98.376</v>
      </c>
      <c r="BB133" s="31" t="n">
        <f aca="false">BB123-BB127+BB128+N(BB132)</f>
        <v>354.51</v>
      </c>
      <c r="BC133" s="31" t="n">
        <f aca="false">BC123-BC127+BC128+N(BC132)</f>
        <v>53.977</v>
      </c>
      <c r="BD133" s="31" t="n">
        <f aca="false">BD123-BD127+BD128+N(BD132)</f>
        <v>92.872</v>
      </c>
      <c r="BE133" s="31" t="n">
        <f aca="false">BE123-BE127+BE128+N(BE132)</f>
        <v>97.332</v>
      </c>
      <c r="BF133" s="31" t="n">
        <f aca="false">BF123-BF127+BF128+N(BF132)</f>
        <v>145.014</v>
      </c>
      <c r="BG133" s="31" t="n">
        <f aca="false">BG123-BG127+BG128+N(BG132)</f>
        <v>389.195</v>
      </c>
      <c r="BH133" s="31" t="n">
        <f aca="false">BH123-BH127+BH128+N(BH132)</f>
        <v>73.438</v>
      </c>
      <c r="BI133" s="31" t="n">
        <f aca="false">BI123-BI127+BI128+N(BI132)</f>
        <v>105.737</v>
      </c>
      <c r="BJ133" s="31" t="n">
        <f aca="false">BJ123-BJ127+BJ128+N(BJ132)</f>
        <v>127.046</v>
      </c>
      <c r="BK133" s="31" t="n">
        <f aca="false">BK123-BK127+BK128+N(BK132)</f>
        <v>156.85</v>
      </c>
      <c r="BL133" s="31" t="n">
        <f aca="false">BL123-BL127+BL128+N(BL132)</f>
        <v>463.07</v>
      </c>
      <c r="BM133" s="31" t="n">
        <f aca="false">BM123-BM127+BM128+N(BM132)</f>
        <v>98.9990000000001</v>
      </c>
      <c r="BN133" s="31" t="n">
        <f aca="false">BN123-BN127+BN128+N(BN132)</f>
        <v>126.241</v>
      </c>
      <c r="BO133" s="31" t="n">
        <f aca="false">BO123-BO127+BO128+N(BO132)</f>
        <v>143.621</v>
      </c>
      <c r="BP133" s="31" t="n">
        <f aca="false">BP123-BP127+BP128+N(BP132)</f>
        <v>153.195</v>
      </c>
      <c r="BQ133" s="31" t="n">
        <f aca="false">BQ123-BQ127+BQ128+N(BQ132)</f>
        <v>522.056</v>
      </c>
      <c r="BR133" s="31" t="n">
        <f aca="false">BR123-BR127+BR128+N(BR132)</f>
        <v>125.092</v>
      </c>
      <c r="BS133" s="31" t="n">
        <f aca="false">BS123-BS127+BS128+N(BS132)</f>
        <v>156.765</v>
      </c>
      <c r="BT133" s="31" t="n">
        <f aca="false">BT123-BT127+BT128+N(BT132)</f>
        <v>161.153</v>
      </c>
      <c r="BU133" s="31" t="n">
        <f aca="false">BU123-BU127+BU128+N(BU132)</f>
        <v>177</v>
      </c>
      <c r="BV133" s="31" t="n">
        <f aca="false">BV123-BV127+BV128+N(BV132)</f>
        <v>620.01</v>
      </c>
      <c r="BW133" s="31" t="n">
        <f aca="false">BW123-BW127+BW128+N(BW132)</f>
        <v>157.765</v>
      </c>
      <c r="BX133" s="31" t="n">
        <f aca="false">BX123-BX127+BX128+N(BX132)</f>
        <v>194.295</v>
      </c>
      <c r="BY133" s="17" t="n">
        <f aca="false">BY123-BY127+BY128+N(BY132)</f>
        <v>181.031690559161</v>
      </c>
      <c r="BZ133" s="17" t="n">
        <f aca="false">BZ123-BZ127+BZ128+N(BZ132)</f>
        <v>197.782309440839</v>
      </c>
      <c r="CA133" s="17" t="n">
        <f aca="false">CA123-CA127+CA128+N(CA132)</f>
        <v>730.874</v>
      </c>
      <c r="CB133" s="17" t="n">
        <f aca="false">CB123-CB127+CB128+N(CB132)</f>
        <v>817.564728353956</v>
      </c>
      <c r="CC133" s="17" t="n">
        <f aca="false">CC123-CC127+CC128+N(CC132)</f>
        <v>902.2307463</v>
      </c>
      <c r="CD133" s="17" t="n">
        <f aca="false">CD123-CD127+CD128+N(CD132)</f>
        <v>985.83524137425</v>
      </c>
      <c r="CE133" s="17" t="n">
        <f aca="false">CE123-CE127+CE128+N(CE132)</f>
        <v>1074.43553774069</v>
      </c>
    </row>
    <row r="134" customFormat="false" ht="15" hidden="false" customHeight="false" outlineLevel="0" collapsed="false">
      <c r="B134" s="20" t="s">
        <v>303</v>
      </c>
      <c r="C134" s="24" t="n">
        <v>37.053</v>
      </c>
      <c r="D134" s="24" t="n">
        <v>49.843</v>
      </c>
      <c r="E134" s="24" t="n">
        <v>60.632</v>
      </c>
      <c r="F134" s="24" t="n">
        <v>50.038</v>
      </c>
      <c r="G134" s="24" t="n">
        <v>51.697</v>
      </c>
      <c r="H134" s="24" t="n">
        <v>54.566</v>
      </c>
      <c r="I134" s="24" t="n">
        <v>43.073</v>
      </c>
      <c r="J134" s="24" t="n">
        <v>8.898</v>
      </c>
      <c r="K134" s="24" t="n">
        <v>15.31</v>
      </c>
      <c r="L134" s="24" t="n">
        <v>17.214</v>
      </c>
      <c r="M134" s="24" t="n">
        <v>18.55</v>
      </c>
      <c r="N134" s="24" t="n">
        <v>59.972</v>
      </c>
      <c r="O134" s="24" t="n">
        <v>14.948</v>
      </c>
      <c r="P134" s="24" t="n">
        <v>21.917</v>
      </c>
      <c r="Q134" s="24" t="n">
        <v>20.659</v>
      </c>
      <c r="R134" s="24" t="n">
        <v>20.494</v>
      </c>
      <c r="S134" s="24" t="n">
        <v>76.995</v>
      </c>
      <c r="T134" s="24" t="n">
        <v>21.097</v>
      </c>
      <c r="U134" s="24" t="n">
        <v>16.299</v>
      </c>
      <c r="V134" s="24" t="n">
        <v>16.86</v>
      </c>
      <c r="W134" s="24" t="n">
        <v>28.69</v>
      </c>
      <c r="X134" s="24" t="n">
        <v>82.946</v>
      </c>
      <c r="Y134" s="24" t="n">
        <v>14.745</v>
      </c>
      <c r="Z134" s="24" t="n">
        <v>17.954</v>
      </c>
      <c r="AA134" s="24" t="n">
        <v>20.636</v>
      </c>
      <c r="AB134" s="24" t="n">
        <v>25.244</v>
      </c>
      <c r="AC134" s="24" t="n">
        <v>78.579</v>
      </c>
      <c r="AD134" s="24" t="n">
        <v>8.615</v>
      </c>
      <c r="AE134" s="24" t="n">
        <v>22.061</v>
      </c>
      <c r="AF134" s="24" t="n">
        <v>22.47</v>
      </c>
      <c r="AG134" s="24" t="n">
        <v>31.582</v>
      </c>
      <c r="AH134" s="24" t="n">
        <v>84.728</v>
      </c>
      <c r="AI134" s="24" t="n">
        <v>17.334</v>
      </c>
      <c r="AJ134" s="24" t="n">
        <v>21.693</v>
      </c>
      <c r="AK134" s="24" t="n">
        <v>18.458</v>
      </c>
      <c r="AL134" s="24" t="n">
        <v>23.005</v>
      </c>
      <c r="AM134" s="24" t="n">
        <v>80.49</v>
      </c>
      <c r="AN134" s="24" t="n">
        <v>14.658</v>
      </c>
      <c r="AO134" s="24" t="n">
        <v>23.524</v>
      </c>
      <c r="AP134" s="24" t="n">
        <v>21.463</v>
      </c>
      <c r="AQ134" s="24" t="n">
        <v>29.234</v>
      </c>
      <c r="AR134" s="24" t="n">
        <v>88.879</v>
      </c>
      <c r="AS134" s="24" t="n">
        <v>18.728</v>
      </c>
      <c r="AT134" s="24" t="n">
        <v>11.711</v>
      </c>
      <c r="AU134" s="24" t="n">
        <v>16.315</v>
      </c>
      <c r="AV134" s="24" t="n">
        <v>14.905</v>
      </c>
      <c r="AW134" s="24" t="n">
        <v>61.659</v>
      </c>
      <c r="AX134" s="24" t="n">
        <v>20.481</v>
      </c>
      <c r="AY134" s="24" t="n">
        <v>23.435</v>
      </c>
      <c r="AZ134" s="24" t="n">
        <v>21.638</v>
      </c>
      <c r="BA134" s="24" t="n">
        <v>21.797</v>
      </c>
      <c r="BB134" s="24" t="n">
        <v>87.351</v>
      </c>
      <c r="BC134" s="24" t="n">
        <v>13.292</v>
      </c>
      <c r="BD134" s="24" t="n">
        <v>22</v>
      </c>
      <c r="BE134" s="24" t="n">
        <v>23.564</v>
      </c>
      <c r="BF134" s="24" t="n">
        <v>35.991</v>
      </c>
      <c r="BG134" s="24" t="n">
        <v>94.847</v>
      </c>
      <c r="BH134" s="24" t="n">
        <v>16.592</v>
      </c>
      <c r="BI134" s="24" t="n">
        <v>24.738</v>
      </c>
      <c r="BJ134" s="24" t="n">
        <v>30.268</v>
      </c>
      <c r="BK134" s="24" t="n">
        <v>36.963</v>
      </c>
      <c r="BL134" s="24" t="n">
        <v>108.561</v>
      </c>
      <c r="BM134" s="24" t="n">
        <v>22.504</v>
      </c>
      <c r="BN134" s="24" t="n">
        <v>26.77</v>
      </c>
      <c r="BO134" s="24" t="n">
        <v>32.461</v>
      </c>
      <c r="BP134" s="24" t="n">
        <v>35.343</v>
      </c>
      <c r="BQ134" s="24" t="n">
        <v>117.078</v>
      </c>
      <c r="BR134" s="24" t="n">
        <v>23.755</v>
      </c>
      <c r="BS134" s="24" t="n">
        <v>35.704</v>
      </c>
      <c r="BT134" s="24" t="n">
        <v>36.321</v>
      </c>
      <c r="BU134" s="24" t="n">
        <v>40.002</v>
      </c>
      <c r="BV134" s="24" t="n">
        <v>135.782</v>
      </c>
      <c r="BW134" s="24" t="n">
        <v>29.579</v>
      </c>
      <c r="BX134" s="24" t="n">
        <v>43.127</v>
      </c>
      <c r="BY134" s="25" t="n">
        <f aca="false">BY133*BY135</f>
        <v>38.9218134702196</v>
      </c>
      <c r="BZ134" s="25" t="n">
        <f aca="false">BZ133*BZ135</f>
        <v>42.5231965297804</v>
      </c>
      <c r="CA134" s="25" t="n">
        <f aca="false">SUM(BW134,BX134,BY134,BZ134)</f>
        <v>154.15101</v>
      </c>
      <c r="CB134" s="25" t="n">
        <f aca="false">CB133*CB135</f>
        <v>179.86424023787</v>
      </c>
      <c r="CC134" s="25" t="n">
        <f aca="false">CC133*CC135</f>
        <v>198.490764186</v>
      </c>
      <c r="CD134" s="25" t="n">
        <f aca="false">CD133*CD135</f>
        <v>216.883753102335</v>
      </c>
      <c r="CE134" s="25" t="n">
        <f aca="false">CE133*CE135</f>
        <v>236.375818302952</v>
      </c>
    </row>
    <row r="135" customFormat="false" ht="15" hidden="false" customHeight="false" outlineLevel="0" collapsed="false">
      <c r="B135" s="20" t="s">
        <v>304</v>
      </c>
      <c r="C135" s="27" t="n">
        <f aca="false">IF(AND(ISNUMBER(C134),ISNUMBER(C133)),IFERROR(C134/C133,""),"")</f>
        <v>0.315017598748534</v>
      </c>
      <c r="D135" s="27" t="n">
        <f aca="false">IF(AND(ISNUMBER(D134),ISNUMBER(D133)),IFERROR(D134/D133,""),"")</f>
        <v>0.323296858682891</v>
      </c>
      <c r="E135" s="27" t="n">
        <f aca="false">IF(AND(ISNUMBER(E134),ISNUMBER(E133)),IFERROR(E134/E133,""),"")</f>
        <v>0.353082307450414</v>
      </c>
      <c r="F135" s="27" t="n">
        <f aca="false">IF(AND(ISNUMBER(F134),ISNUMBER(F133)),IFERROR(F134/F133,""),"")</f>
        <v>0.344474352707922</v>
      </c>
      <c r="G135" s="27" t="n">
        <f aca="false">IF(AND(ISNUMBER(G134),ISNUMBER(G133)),IFERROR(G134/G133,""),"")</f>
        <v>0.326586436716258</v>
      </c>
      <c r="H135" s="27" t="n">
        <f aca="false">IF(AND(ISNUMBER(H134),ISNUMBER(H133)),IFERROR(H134/H133,""),"")</f>
        <v>0.29496889004211</v>
      </c>
      <c r="I135" s="27" t="n">
        <f aca="false">IF(AND(ISNUMBER(I134),ISNUMBER(I133)),IFERROR(I134/I133,""),"")</f>
        <v>0.318205995774294</v>
      </c>
      <c r="J135" s="27" t="n">
        <f aca="false">IF(AND(ISNUMBER(J134),ISNUMBER(J133)),IFERROR(J134/J133,""),"")</f>
        <v>0.298180355886197</v>
      </c>
      <c r="K135" s="27" t="n">
        <f aca="false">IF(AND(ISNUMBER(K134),ISNUMBER(K133)),IFERROR(K134/K133,""),"")</f>
        <v>0.314502875924404</v>
      </c>
      <c r="L135" s="27" t="n">
        <f aca="false">IF(AND(ISNUMBER(L134),ISNUMBER(L133)),IFERROR(L134/L133,""),"")</f>
        <v>0.321306579561362</v>
      </c>
      <c r="M135" s="27" t="n">
        <f aca="false">IF(AND(ISNUMBER(M134),ISNUMBER(M133)),IFERROR(M134/M133,""),"")</f>
        <v>0.281670892995429</v>
      </c>
      <c r="N135" s="27" t="n">
        <f aca="false">IF(AND(ISNUMBER(N134),ISNUMBER(N133)),IFERROR(N134/N133,""),"")</f>
        <v>0.302960803827171</v>
      </c>
      <c r="O135" s="27" t="n">
        <f aca="false">IF(AND(ISNUMBER(O134),ISNUMBER(O133)),IFERROR(O134/O133,""),"")</f>
        <v>0.298291826309067</v>
      </c>
      <c r="P135" s="27" t="n">
        <f aca="false">IF(AND(ISNUMBER(P134),ISNUMBER(P133)),IFERROR(P134/P133,""),"")</f>
        <v>0.323612792723622</v>
      </c>
      <c r="Q135" s="27" t="n">
        <f aca="false">IF(AND(ISNUMBER(Q134),ISNUMBER(Q133)),IFERROR(Q134/Q133,""),"")</f>
        <v>0.317982422386061</v>
      </c>
      <c r="R135" s="27" t="n">
        <f aca="false">IF(AND(ISNUMBER(R134),ISNUMBER(R133)),IFERROR(R134/R133,""),"")</f>
        <v>0.30759763455708</v>
      </c>
      <c r="S135" s="27" t="n">
        <f aca="false">IF(AND(ISNUMBER(S134),ISNUMBER(S133)),IFERROR(S134/S133,""),"")</f>
        <v>0.311791337307243</v>
      </c>
      <c r="T135" s="27" t="n">
        <f aca="false">IF(AND(ISNUMBER(T134),ISNUMBER(T133)),IFERROR(T134/T133,""),"")</f>
        <v>0.328000621890548</v>
      </c>
      <c r="U135" s="27" t="n">
        <f aca="false">IF(AND(ISNUMBER(U134),ISNUMBER(U133)),IFERROR(U134/U133,""),"")</f>
        <v>0.288886919532081</v>
      </c>
      <c r="V135" s="27" t="n">
        <f aca="false">IF(AND(ISNUMBER(V134),ISNUMBER(V133)),IFERROR(V134/V133,""),"")</f>
        <v>0.306534307843351</v>
      </c>
      <c r="W135" s="27" t="n">
        <f aca="false">IF(AND(ISNUMBER(W134),ISNUMBER(W133)),IFERROR(W134/W133,""),"")</f>
        <v>0.288480875196074</v>
      </c>
      <c r="X135" s="27" t="n">
        <f aca="false">IF(AND(ISNUMBER(X134),ISNUMBER(X133)),IFERROR(X134/X133,""),"")</f>
        <v>0.301409187700313</v>
      </c>
      <c r="Y135" s="27" t="n">
        <f aca="false">IF(AND(ISNUMBER(Y134),ISNUMBER(Y133)),IFERROR(Y134/Y133,""),"")</f>
        <v>0.310003363888655</v>
      </c>
      <c r="Z135" s="27" t="n">
        <f aca="false">IF(AND(ISNUMBER(Z134),ISNUMBER(Z133)),IFERROR(Z134/Z133,""),"")</f>
        <v>0.309995338156327</v>
      </c>
      <c r="AA135" s="27" t="n">
        <f aca="false">IF(AND(ISNUMBER(AA134),ISNUMBER(AA133)),IFERROR(AA134/AA133,""),"")</f>
        <v>0.309998798221368</v>
      </c>
      <c r="AB135" s="27" t="n">
        <f aca="false">IF(AND(ISNUMBER(AB134),ISNUMBER(AB133)),IFERROR(AB134/AB133,""),"")</f>
        <v>0.263199599632997</v>
      </c>
      <c r="AC135" s="27" t="n">
        <f aca="false">IF(AND(ISNUMBER(AC134),ISNUMBER(AC133)),IFERROR(AC134/AC133,""),"")</f>
        <v>0.29324789801501</v>
      </c>
      <c r="AD135" s="27" t="n">
        <f aca="false">IF(AND(ISNUMBER(AD134),ISNUMBER(AD133)),IFERROR(AD134/AD133,""),"")</f>
        <v>0.209294980807541</v>
      </c>
      <c r="AE135" s="27" t="n">
        <f aca="false">IF(AND(ISNUMBER(AE134),ISNUMBER(AE133)),IFERROR(AE134/AE133,""),"")</f>
        <v>0.303406637235081</v>
      </c>
      <c r="AF135" s="27" t="n">
        <f aca="false">IF(AND(ISNUMBER(AF134),ISNUMBER(AF133)),IFERROR(AF134/AF133,""),"")</f>
        <v>0.26002731038952</v>
      </c>
      <c r="AG135" s="27" t="n">
        <f aca="false">IF(AND(ISNUMBER(AG134),ISNUMBER(AG133)),IFERROR(AG134/AG133,""),"")</f>
        <v>0.317943865018322</v>
      </c>
      <c r="AH135" s="27" t="n">
        <f aca="false">IF(AND(ISNUMBER(AH134),ISNUMBER(AH133)),IFERROR(AH134/AH133,""),"")</f>
        <v>0.282785804638558</v>
      </c>
      <c r="AI135" s="27" t="n">
        <f aca="false">IF(AND(ISNUMBER(AI134),ISNUMBER(AI133)),IFERROR(AI134/AI133,""),"")</f>
        <v>0.284271118618495</v>
      </c>
      <c r="AJ135" s="27" t="n">
        <f aca="false">IF(AND(ISNUMBER(AJ134),ISNUMBER(AJ133)),IFERROR(AJ134/AJ133,""),"")</f>
        <v>0.224842196909236</v>
      </c>
      <c r="AK135" s="27" t="n">
        <f aca="false">IF(AND(ISNUMBER(AK134),ISNUMBER(AK133)),IFERROR(AK134/AK133,""),"")</f>
        <v>0.198599111264135</v>
      </c>
      <c r="AL135" s="27" t="n">
        <f aca="false">IF(AND(ISNUMBER(AL134),ISNUMBER(AL133)),IFERROR(AL134/AL133,""),"")</f>
        <v>0.217356386999244</v>
      </c>
      <c r="AM135" s="27" t="n">
        <f aca="false">IF(AND(ISNUMBER(AM134),ISNUMBER(AM133)),IFERROR(AM134/AM133,""),"")</f>
        <v>0.225943818616154</v>
      </c>
      <c r="AN135" s="27" t="n">
        <f aca="false">IF(AND(ISNUMBER(AN134),ISNUMBER(AN133)),IFERROR(AN134/AN133,""),"")</f>
        <v>0.208651834137592</v>
      </c>
      <c r="AO135" s="27" t="n">
        <f aca="false">IF(AND(ISNUMBER(AO134),ISNUMBER(AO133)),IFERROR(AO134/AO133,""),"")</f>
        <v>0.227074404417159</v>
      </c>
      <c r="AP135" s="27" t="n">
        <f aca="false">IF(AND(ISNUMBER(AP134),ISNUMBER(AP133)),IFERROR(AP134/AP133,""),"")</f>
        <v>0.206428592038318</v>
      </c>
      <c r="AQ135" s="27" t="n">
        <f aca="false">IF(AND(ISNUMBER(AQ134),ISNUMBER(AQ133)),IFERROR(AQ134/AQ133,""),"")</f>
        <v>0.246405151632643</v>
      </c>
      <c r="AR135" s="27" t="n">
        <f aca="false">IF(AND(ISNUMBER(AR134),ISNUMBER(AR133)),IFERROR(AR134/AR133,""),"")</f>
        <v>0.224180375420595</v>
      </c>
      <c r="AS135" s="27" t="n">
        <f aca="false">IF(AND(ISNUMBER(AS134),ISNUMBER(AS133)),IFERROR(AS134/AS133,""),"")</f>
        <v>0.265686844755919</v>
      </c>
      <c r="AT135" s="27" t="n">
        <f aca="false">IF(AND(ISNUMBER(AT134),ISNUMBER(AT133)),IFERROR(AT134/AT133,""),"")</f>
        <v>0.274076154368228</v>
      </c>
      <c r="AU135" s="27" t="n">
        <f aca="false">IF(AND(ISNUMBER(AU134),ISNUMBER(AU133)),IFERROR(AU134/AU133,""),"")</f>
        <v>0.201581516031383</v>
      </c>
      <c r="AV135" s="27" t="n">
        <f aca="false">IF(AND(ISNUMBER(AV134),ISNUMBER(AV133)),IFERROR(AV134/AV133,""),"")</f>
        <v>0.216334291271155</v>
      </c>
      <c r="AW135" s="27" t="n">
        <f aca="false">IF(AND(ISNUMBER(AW134),ISNUMBER(AW133)),IFERROR(AW134/AW133,""),"")</f>
        <v>0.234399413041578</v>
      </c>
      <c r="AX135" s="27" t="n">
        <f aca="false">IF(AND(ISNUMBER(AX134),ISNUMBER(AX133)),IFERROR(AX134/AX133,""),"")</f>
        <v>0.256172607879925</v>
      </c>
      <c r="AY135" s="27" t="n">
        <f aca="false">IF(AND(ISNUMBER(AY134),ISNUMBER(AY133)),IFERROR(AY134/AY133,""),"")</f>
        <v>0.276216069681647</v>
      </c>
      <c r="AZ135" s="27" t="n">
        <f aca="false">IF(AND(ISNUMBER(AZ134),ISNUMBER(AZ133)),IFERROR(AZ134/AZ133,""),"")</f>
        <v>0.23689252362028</v>
      </c>
      <c r="BA135" s="27" t="n">
        <f aca="false">IF(AND(ISNUMBER(BA134),ISNUMBER(BA133)),IFERROR(BA134/BA133,""),"")</f>
        <v>0.221568268683419</v>
      </c>
      <c r="BB135" s="27" t="n">
        <f aca="false">IF(AND(ISNUMBER(BB134),ISNUMBER(BB133)),IFERROR(BB134/BB133,""),"")</f>
        <v>0.246399255310146</v>
      </c>
      <c r="BC135" s="27" t="n">
        <f aca="false">IF(AND(ISNUMBER(BC134),ISNUMBER(BC133)),IFERROR(BC134/BC133,""),"")</f>
        <v>0.246253033699539</v>
      </c>
      <c r="BD135" s="27" t="n">
        <f aca="false">IF(AND(ISNUMBER(BD134),ISNUMBER(BD133)),IFERROR(BD134/BD133,""),"")</f>
        <v>0.23688517529503</v>
      </c>
      <c r="BE135" s="27" t="n">
        <f aca="false">IF(AND(ISNUMBER(BE134),ISNUMBER(BE133)),IFERROR(BE134/BE133,""),"")</f>
        <v>0.24209920683845</v>
      </c>
      <c r="BF135" s="27" t="n">
        <f aca="false">IF(AND(ISNUMBER(BF134),ISNUMBER(BF133)),IFERROR(BF134/BF133,""),"")</f>
        <v>0.248189829947453</v>
      </c>
      <c r="BG135" s="27" t="n">
        <f aca="false">IF(AND(ISNUMBER(BG134),ISNUMBER(BG133)),IFERROR(BG134/BG133,""),"")</f>
        <v>0.243700458638986</v>
      </c>
      <c r="BH135" s="27" t="n">
        <f aca="false">IF(AND(ISNUMBER(BH134),ISNUMBER(BH133)),IFERROR(BH134/BH133,""),"")</f>
        <v>0.225932078760315</v>
      </c>
      <c r="BI135" s="27" t="n">
        <f aca="false">IF(AND(ISNUMBER(BI134),ISNUMBER(BI133)),IFERROR(BI134/BI133,""),"")</f>
        <v>0.233957838788693</v>
      </c>
      <c r="BJ135" s="27" t="n">
        <f aca="false">IF(AND(ISNUMBER(BJ134),ISNUMBER(BJ133)),IFERROR(BJ134/BJ133,""),"")</f>
        <v>0.238244415408592</v>
      </c>
      <c r="BK135" s="27" t="n">
        <f aca="false">IF(AND(ISNUMBER(BK134),ISNUMBER(BK133)),IFERROR(BK134/BK133,""),"")</f>
        <v>0.235658272234619</v>
      </c>
      <c r="BL135" s="27" t="n">
        <f aca="false">IF(AND(ISNUMBER(BL134),ISNUMBER(BL133)),IFERROR(BL134/BL133,""),"")</f>
        <v>0.234437558036582</v>
      </c>
      <c r="BM135" s="27" t="n">
        <f aca="false">IF(AND(ISNUMBER(BM134),ISNUMBER(BM133)),IFERROR(BM134/BM133,""),"")</f>
        <v>0.22731542742856</v>
      </c>
      <c r="BN135" s="27" t="n">
        <f aca="false">IF(AND(ISNUMBER(BN134),ISNUMBER(BN133)),IFERROR(BN134/BN133,""),"")</f>
        <v>0.212054720732567</v>
      </c>
      <c r="BO135" s="27" t="n">
        <f aca="false">IF(AND(ISNUMBER(BO134),ISNUMBER(BO133)),IFERROR(BO134/BO133,""),"")</f>
        <v>0.226018479191762</v>
      </c>
      <c r="BP135" s="27" t="n">
        <f aca="false">IF(AND(ISNUMBER(BP134),ISNUMBER(BP133)),IFERROR(BP134/BP133,""),"")</f>
        <v>0.230705962988348</v>
      </c>
      <c r="BQ135" s="27" t="n">
        <f aca="false">IF(AND(ISNUMBER(BQ134),ISNUMBER(BQ133)),IFERROR(BQ134/BQ133,""),"")</f>
        <v>0.224263297424031</v>
      </c>
      <c r="BR135" s="27" t="n">
        <f aca="false">IF(AND(ISNUMBER(BR134),ISNUMBER(BR133)),IFERROR(BR134/BR133,""),"")</f>
        <v>0.189900233428197</v>
      </c>
      <c r="BS135" s="27" t="n">
        <f aca="false">IF(AND(ISNUMBER(BS134),ISNUMBER(BS133)),IFERROR(BS134/BS133,""),"")</f>
        <v>0.227754919784391</v>
      </c>
      <c r="BT135" s="27" t="n">
        <f aca="false">IF(AND(ISNUMBER(BT134),ISNUMBER(BT133)),IFERROR(BT134/BT133,""),"")</f>
        <v>0.225382090311692</v>
      </c>
      <c r="BU135" s="27" t="n">
        <f aca="false">IF(AND(ISNUMBER(BU134),ISNUMBER(BU133)),IFERROR(BU134/BU133,""),"")</f>
        <v>0.226</v>
      </c>
      <c r="BV135" s="27" t="n">
        <f aca="false">IF(AND(ISNUMBER(BV134),ISNUMBER(BV133)),IFERROR(BV134/BV133,""),"")</f>
        <v>0.21899969355333</v>
      </c>
      <c r="BW135" s="27" t="n">
        <f aca="false">IF(AND(ISNUMBER(BW134),ISNUMBER(BW133)),IFERROR(BW134/BW133,""),"")</f>
        <v>0.187487719075841</v>
      </c>
      <c r="BX135" s="27" t="n">
        <f aca="false">IF(AND(ISNUMBER(BX134),ISNUMBER(BX133)),IFERROR(BX134/BX133,""),"")</f>
        <v>0.221966597184693</v>
      </c>
      <c r="BY135" s="22" t="n">
        <f aca="false">$CO$28</f>
        <v>0.215</v>
      </c>
      <c r="BZ135" s="22" t="n">
        <f aca="false">$CO$28</f>
        <v>0.215</v>
      </c>
      <c r="CA135" s="22" t="n">
        <f aca="false">IFERROR(CA134/CA133,"")</f>
        <v>0.210913249068923</v>
      </c>
      <c r="CB135" s="38" t="n">
        <v>0.22</v>
      </c>
      <c r="CC135" s="38" t="n">
        <v>0.22</v>
      </c>
      <c r="CD135" s="38" t="n">
        <v>0.22</v>
      </c>
      <c r="CE135" s="38" t="n">
        <v>0.22</v>
      </c>
      <c r="CF135" s="18" t="s">
        <v>305</v>
      </c>
    </row>
    <row r="136" customFormat="false" ht="15" hidden="false" customHeight="false" outlineLevel="0" collapsed="false">
      <c r="B136" s="15" t="s">
        <v>306</v>
      </c>
      <c r="C136" s="31" t="n">
        <f aca="false">C133-C134</f>
        <v>80.5689999999999</v>
      </c>
      <c r="D136" s="31" t="n">
        <f aca="false">D133-D134</f>
        <v>104.328</v>
      </c>
      <c r="E136" s="31" t="n">
        <f aca="false">E133-E134</f>
        <v>111.09</v>
      </c>
      <c r="F136" s="31" t="n">
        <f aca="false">F133-F134</f>
        <v>95.221</v>
      </c>
      <c r="G136" s="31" t="n">
        <f aca="false">G133-G134</f>
        <v>106.598</v>
      </c>
      <c r="H136" s="31" t="n">
        <f aca="false">H133-H134</f>
        <v>130.423</v>
      </c>
      <c r="I136" s="31" t="n">
        <f aca="false">I133-I134</f>
        <v>92.2889999999999</v>
      </c>
      <c r="J136" s="31" t="n">
        <f aca="false">J133-J134</f>
        <v>20.943</v>
      </c>
      <c r="K136" s="31" t="n">
        <f aca="false">K133-K134</f>
        <v>33.37</v>
      </c>
      <c r="L136" s="31" t="n">
        <f aca="false">L133-L134</f>
        <v>36.3610000000001</v>
      </c>
      <c r="M136" s="31" t="n">
        <f aca="false">M133-M134</f>
        <v>47.307</v>
      </c>
      <c r="N136" s="31" t="n">
        <f aca="false">N133-N134</f>
        <v>137.981</v>
      </c>
      <c r="O136" s="31" t="n">
        <f aca="false">O133-O134</f>
        <v>35.1640000000001</v>
      </c>
      <c r="P136" s="31" t="n">
        <f aca="false">P133-P134</f>
        <v>45.809</v>
      </c>
      <c r="Q136" s="31" t="n">
        <f aca="false">Q133-Q134</f>
        <v>44.3100000000001</v>
      </c>
      <c r="R136" s="31" t="n">
        <f aca="false">R133-R134</f>
        <v>46.132</v>
      </c>
      <c r="S136" s="31" t="n">
        <f aca="false">S133-S134</f>
        <v>169.949</v>
      </c>
      <c r="T136" s="31" t="n">
        <f aca="false">T133-T134</f>
        <v>43.223</v>
      </c>
      <c r="U136" s="31" t="n">
        <f aca="false">U133-U134</f>
        <v>40.121</v>
      </c>
      <c r="V136" s="31" t="n">
        <f aca="false">V133-V134</f>
        <v>38.1419999999999</v>
      </c>
      <c r="W136" s="31" t="n">
        <f aca="false">W133-W134</f>
        <v>70.762</v>
      </c>
      <c r="X136" s="31" t="n">
        <f aca="false">X133-X134</f>
        <v>192.248</v>
      </c>
      <c r="Y136" s="31" t="n">
        <f aca="false">Y133-Y134</f>
        <v>32.819</v>
      </c>
      <c r="Z136" s="31" t="n">
        <f aca="false">Z133-Z134</f>
        <v>39.963</v>
      </c>
      <c r="AA136" s="31" t="n">
        <f aca="false">AA133-AA134</f>
        <v>45.932</v>
      </c>
      <c r="AB136" s="31" t="n">
        <f aca="false">AB133-AB134</f>
        <v>70.668</v>
      </c>
      <c r="AC136" s="31" t="n">
        <f aca="false">AC133-AC134</f>
        <v>189.382</v>
      </c>
      <c r="AD136" s="31" t="n">
        <f aca="false">AD133-AD134</f>
        <v>32.547</v>
      </c>
      <c r="AE136" s="31" t="n">
        <f aca="false">AE133-AE134</f>
        <v>50.65</v>
      </c>
      <c r="AF136" s="31" t="n">
        <f aca="false">AF133-AF134</f>
        <v>63.944</v>
      </c>
      <c r="AG136" s="31" t="n">
        <f aca="false">AG133-AG134</f>
        <v>67.75</v>
      </c>
      <c r="AH136" s="31" t="n">
        <f aca="false">AH133-AH134</f>
        <v>214.891</v>
      </c>
      <c r="AI136" s="31" t="n">
        <f aca="false">AI133-AI134</f>
        <v>43.643</v>
      </c>
      <c r="AJ136" s="31" t="n">
        <f aca="false">AJ133-AJ134</f>
        <v>74.788</v>
      </c>
      <c r="AK136" s="31" t="n">
        <f aca="false">AK133-AK134</f>
        <v>74.4830000000001</v>
      </c>
      <c r="AL136" s="31" t="n">
        <f aca="false">AL133-AL134</f>
        <v>82.835</v>
      </c>
      <c r="AM136" s="31" t="n">
        <f aca="false">AM133-AM134</f>
        <v>275.749</v>
      </c>
      <c r="AN136" s="31" t="n">
        <f aca="false">AN133-AN134</f>
        <v>55.593</v>
      </c>
      <c r="AO136" s="31" t="n">
        <f aca="false">AO133-AO134</f>
        <v>80.072</v>
      </c>
      <c r="AP136" s="31" t="n">
        <f aca="false">AP133-AP134</f>
        <v>82.51</v>
      </c>
      <c r="AQ136" s="31" t="n">
        <f aca="false">AQ133-AQ134</f>
        <v>89.408</v>
      </c>
      <c r="AR136" s="31" t="n">
        <f aca="false">AR133-AR134</f>
        <v>307.583</v>
      </c>
      <c r="AS136" s="31" t="n">
        <f aca="false">AS133-AS134</f>
        <v>51.761</v>
      </c>
      <c r="AT136" s="31" t="n">
        <f aca="false">AT133-AT134</f>
        <v>31.018</v>
      </c>
      <c r="AU136" s="31" t="n">
        <f aca="false">AU133-AU134</f>
        <v>64.62</v>
      </c>
      <c r="AV136" s="31" t="n">
        <f aca="false">AV133-AV134</f>
        <v>53.993</v>
      </c>
      <c r="AW136" s="31" t="n">
        <f aca="false">AW133-AW134</f>
        <v>201.392</v>
      </c>
      <c r="AX136" s="31" t="n">
        <f aca="false">AX133-AX134</f>
        <v>59.4689999999999</v>
      </c>
      <c r="AY136" s="31" t="n">
        <f aca="false">AY133-AY134</f>
        <v>61.408</v>
      </c>
      <c r="AZ136" s="31" t="n">
        <f aca="false">AZ133-AZ134</f>
        <v>69.703</v>
      </c>
      <c r="BA136" s="31" t="n">
        <f aca="false">BA133-BA134</f>
        <v>76.579</v>
      </c>
      <c r="BB136" s="31" t="n">
        <f aca="false">BB133-BB134</f>
        <v>267.159</v>
      </c>
      <c r="BC136" s="31" t="n">
        <f aca="false">BC133-BC134</f>
        <v>40.685</v>
      </c>
      <c r="BD136" s="31" t="n">
        <f aca="false">BD133-BD134</f>
        <v>70.872</v>
      </c>
      <c r="BE136" s="31" t="n">
        <f aca="false">BE133-BE134</f>
        <v>73.768</v>
      </c>
      <c r="BF136" s="31" t="n">
        <f aca="false">BF133-BF134</f>
        <v>109.023</v>
      </c>
      <c r="BG136" s="31" t="n">
        <f aca="false">BG133-BG134</f>
        <v>294.348</v>
      </c>
      <c r="BH136" s="31" t="n">
        <f aca="false">BH133-BH134</f>
        <v>56.846</v>
      </c>
      <c r="BI136" s="31" t="n">
        <f aca="false">BI133-BI134</f>
        <v>80.999</v>
      </c>
      <c r="BJ136" s="31" t="n">
        <f aca="false">BJ133-BJ134</f>
        <v>96.778</v>
      </c>
      <c r="BK136" s="31" t="n">
        <f aca="false">BK133-BK134</f>
        <v>119.887</v>
      </c>
      <c r="BL136" s="31" t="n">
        <f aca="false">BL133-BL134</f>
        <v>354.509</v>
      </c>
      <c r="BM136" s="31" t="n">
        <f aca="false">BM133-BM134</f>
        <v>76.4950000000001</v>
      </c>
      <c r="BN136" s="31" t="n">
        <f aca="false">BN133-BN134</f>
        <v>99.4710000000001</v>
      </c>
      <c r="BO136" s="31" t="n">
        <f aca="false">BO133-BO134</f>
        <v>111.16</v>
      </c>
      <c r="BP136" s="31" t="n">
        <f aca="false">BP133-BP134</f>
        <v>117.852</v>
      </c>
      <c r="BQ136" s="31" t="n">
        <f aca="false">BQ133-BQ134</f>
        <v>404.978</v>
      </c>
      <c r="BR136" s="31" t="n">
        <f aca="false">BR133-BR134</f>
        <v>101.337</v>
      </c>
      <c r="BS136" s="31" t="n">
        <f aca="false">BS133-BS134</f>
        <v>121.061</v>
      </c>
      <c r="BT136" s="31" t="n">
        <f aca="false">BT133-BT134</f>
        <v>124.832</v>
      </c>
      <c r="BU136" s="31" t="n">
        <f aca="false">BU133-BU134</f>
        <v>136.998</v>
      </c>
      <c r="BV136" s="31" t="n">
        <f aca="false">BV133-BV134</f>
        <v>484.228</v>
      </c>
      <c r="BW136" s="31" t="n">
        <f aca="false">BW133-BW134</f>
        <v>128.186</v>
      </c>
      <c r="BX136" s="31" t="n">
        <f aca="false">BX133-BX134</f>
        <v>151.168</v>
      </c>
      <c r="BY136" s="17" t="n">
        <f aca="false">BY133-BY134</f>
        <v>142.109877088941</v>
      </c>
      <c r="BZ136" s="17" t="n">
        <f aca="false">BZ133-BZ134</f>
        <v>155.259112911059</v>
      </c>
      <c r="CA136" s="17" t="n">
        <f aca="false">CA133-CA134</f>
        <v>576.72299</v>
      </c>
      <c r="CB136" s="17" t="n">
        <f aca="false">CB133-CB134</f>
        <v>637.700488116085</v>
      </c>
      <c r="CC136" s="17" t="n">
        <f aca="false">CC133-CC134</f>
        <v>703.739982114</v>
      </c>
      <c r="CD136" s="17" t="n">
        <f aca="false">CD133-CD134</f>
        <v>768.951488271915</v>
      </c>
      <c r="CE136" s="17" t="n">
        <f aca="false">CE133-CE134</f>
        <v>838.05971943774</v>
      </c>
    </row>
    <row r="137" customFormat="false" ht="15" hidden="false" customHeight="false" outlineLevel="0" collapsed="false">
      <c r="B137" s="20" t="s">
        <v>307</v>
      </c>
      <c r="I137" s="24" t="n">
        <v>21.555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P137" s="24" t="n">
        <v>-9.418</v>
      </c>
      <c r="Q137" s="24" t="n">
        <v>-19.277</v>
      </c>
      <c r="R137" s="24" t="n">
        <v>-29.382</v>
      </c>
      <c r="S137" s="24" t="n">
        <v>-56.611</v>
      </c>
      <c r="T137" s="24" t="n">
        <v>-27.232</v>
      </c>
      <c r="U137" s="24" t="n">
        <v>-14.384</v>
      </c>
      <c r="V137" s="24" t="n">
        <v>-4.258</v>
      </c>
      <c r="W137" s="24" t="n">
        <v>-0.913</v>
      </c>
      <c r="X137" s="24" t="n">
        <v>-46.787</v>
      </c>
      <c r="Y137" s="24" t="n">
        <v>0</v>
      </c>
      <c r="Z137" s="24" t="n">
        <v>0</v>
      </c>
      <c r="AA137" s="24" t="n">
        <v>0</v>
      </c>
      <c r="AB137" s="24" t="n">
        <v>-2.053</v>
      </c>
      <c r="AC137" s="24" t="n">
        <v>-2.053</v>
      </c>
      <c r="AG137" s="24" t="n">
        <v>0</v>
      </c>
      <c r="AH137" s="24" t="n">
        <v>0</v>
      </c>
      <c r="BY137" s="41" t="n">
        <v>0</v>
      </c>
      <c r="BZ137" s="41" t="n">
        <v>0</v>
      </c>
      <c r="CA137" s="25" t="n">
        <f aca="false">SUM(BW137,BX137,BY137,BZ137)</f>
        <v>0</v>
      </c>
      <c r="CB137" s="41" t="n">
        <v>0</v>
      </c>
      <c r="CC137" s="41" t="n">
        <v>0</v>
      </c>
      <c r="CD137" s="41" t="n">
        <v>0</v>
      </c>
      <c r="CE137" s="41" t="n">
        <v>0</v>
      </c>
      <c r="CF137" s="18" t="s">
        <v>308</v>
      </c>
    </row>
    <row r="138" customFormat="false" ht="15" hidden="false" customHeight="false" outlineLevel="0" collapsed="false">
      <c r="B138" s="43" t="s">
        <v>309</v>
      </c>
      <c r="C138" s="44" t="n">
        <f aca="false">C136+N(C137)</f>
        <v>80.5689999999999</v>
      </c>
      <c r="D138" s="44" t="n">
        <f aca="false">D136+N(D137)</f>
        <v>104.328</v>
      </c>
      <c r="E138" s="44" t="n">
        <f aca="false">E136+N(E137)</f>
        <v>111.09</v>
      </c>
      <c r="F138" s="44" t="n">
        <f aca="false">F136+N(F137)</f>
        <v>95.221</v>
      </c>
      <c r="G138" s="44" t="n">
        <f aca="false">G136+N(G137)</f>
        <v>106.598</v>
      </c>
      <c r="H138" s="44" t="n">
        <f aca="false">H136+N(H137)</f>
        <v>130.423</v>
      </c>
      <c r="I138" s="44" t="n">
        <f aca="false">I136+N(I137)</f>
        <v>113.844</v>
      </c>
      <c r="J138" s="44" t="n">
        <f aca="false">J136+N(J137)</f>
        <v>20.943</v>
      </c>
      <c r="K138" s="44" t="n">
        <f aca="false">K136+N(K137)</f>
        <v>33.37</v>
      </c>
      <c r="L138" s="44" t="n">
        <f aca="false">L136+N(L137)</f>
        <v>36.3610000000001</v>
      </c>
      <c r="M138" s="44" t="n">
        <f aca="false">M136+N(M137)</f>
        <v>47.307</v>
      </c>
      <c r="N138" s="44" t="n">
        <f aca="false">N136+N(N137)</f>
        <v>137.981</v>
      </c>
      <c r="O138" s="44" t="n">
        <f aca="false">O136+N(O137)</f>
        <v>35.1640000000001</v>
      </c>
      <c r="P138" s="44" t="n">
        <f aca="false">P136+N(P137)</f>
        <v>36.391</v>
      </c>
      <c r="Q138" s="44" t="n">
        <f aca="false">Q136+N(Q137)</f>
        <v>25.0330000000001</v>
      </c>
      <c r="R138" s="44" t="n">
        <f aca="false">R136+N(R137)</f>
        <v>16.75</v>
      </c>
      <c r="S138" s="44" t="n">
        <f aca="false">S136+N(S137)</f>
        <v>113.338</v>
      </c>
      <c r="T138" s="44" t="n">
        <f aca="false">T136+N(T137)</f>
        <v>15.991</v>
      </c>
      <c r="U138" s="44" t="n">
        <f aca="false">U136+N(U137)</f>
        <v>25.737</v>
      </c>
      <c r="V138" s="44" t="n">
        <f aca="false">V136+N(V137)</f>
        <v>33.8839999999999</v>
      </c>
      <c r="W138" s="44" t="n">
        <f aca="false">W136+N(W137)</f>
        <v>69.849</v>
      </c>
      <c r="X138" s="44" t="n">
        <f aca="false">X136+N(X137)</f>
        <v>145.461</v>
      </c>
      <c r="Y138" s="44" t="n">
        <f aca="false">Y136+N(Y137)</f>
        <v>32.819</v>
      </c>
      <c r="Z138" s="44" t="n">
        <f aca="false">Z136+N(Z137)</f>
        <v>39.963</v>
      </c>
      <c r="AA138" s="44" t="n">
        <f aca="false">AA136+N(AA137)</f>
        <v>45.932</v>
      </c>
      <c r="AB138" s="44" t="n">
        <f aca="false">AB136+N(AB137)</f>
        <v>68.615</v>
      </c>
      <c r="AC138" s="44" t="n">
        <f aca="false">AC136+N(AC137)</f>
        <v>187.329</v>
      </c>
      <c r="AD138" s="44" t="n">
        <f aca="false">AD136+N(AD137)</f>
        <v>32.547</v>
      </c>
      <c r="AE138" s="44" t="n">
        <f aca="false">AE136+N(AE137)</f>
        <v>50.65</v>
      </c>
      <c r="AF138" s="44" t="n">
        <f aca="false">AF136+N(AF137)</f>
        <v>63.944</v>
      </c>
      <c r="AG138" s="44" t="n">
        <f aca="false">AG136+N(AG137)</f>
        <v>67.75</v>
      </c>
      <c r="AH138" s="44" t="n">
        <f aca="false">AH136+N(AH137)</f>
        <v>214.891</v>
      </c>
      <c r="AI138" s="44" t="n">
        <f aca="false">AI136+N(AI137)</f>
        <v>43.643</v>
      </c>
      <c r="AJ138" s="44" t="n">
        <f aca="false">AJ136+N(AJ137)</f>
        <v>74.788</v>
      </c>
      <c r="AK138" s="44" t="n">
        <f aca="false">AK136+N(AK137)</f>
        <v>74.4830000000001</v>
      </c>
      <c r="AL138" s="44" t="n">
        <f aca="false">AL136+N(AL137)</f>
        <v>82.835</v>
      </c>
      <c r="AM138" s="44" t="n">
        <f aca="false">AM136+N(AM137)</f>
        <v>275.749</v>
      </c>
      <c r="AN138" s="44" t="n">
        <f aca="false">AN136+N(AN137)</f>
        <v>55.593</v>
      </c>
      <c r="AO138" s="44" t="n">
        <f aca="false">AO136+N(AO137)</f>
        <v>80.072</v>
      </c>
      <c r="AP138" s="44" t="n">
        <f aca="false">AP136+N(AP137)</f>
        <v>82.51</v>
      </c>
      <c r="AQ138" s="44" t="n">
        <f aca="false">AQ136+N(AQ137)</f>
        <v>89.408</v>
      </c>
      <c r="AR138" s="44" t="n">
        <f aca="false">AR136+N(AR137)</f>
        <v>307.583</v>
      </c>
      <c r="AS138" s="44" t="n">
        <f aca="false">AS136+N(AS137)</f>
        <v>51.761</v>
      </c>
      <c r="AT138" s="44" t="n">
        <f aca="false">AT136+N(AT137)</f>
        <v>31.018</v>
      </c>
      <c r="AU138" s="44" t="n">
        <f aca="false">AU136+N(AU137)</f>
        <v>64.62</v>
      </c>
      <c r="AV138" s="44" t="n">
        <f aca="false">AV136+N(AV137)</f>
        <v>53.993</v>
      </c>
      <c r="AW138" s="44" t="n">
        <f aca="false">AW136+N(AW137)</f>
        <v>201.392</v>
      </c>
      <c r="AX138" s="44" t="n">
        <f aca="false">AX136+N(AX137)</f>
        <v>59.4689999999999</v>
      </c>
      <c r="AY138" s="44" t="n">
        <f aca="false">AY136+N(AY137)</f>
        <v>61.408</v>
      </c>
      <c r="AZ138" s="44" t="n">
        <f aca="false">AZ136+N(AZ137)</f>
        <v>69.703</v>
      </c>
      <c r="BA138" s="44" t="n">
        <f aca="false">BA136+N(BA137)</f>
        <v>76.579</v>
      </c>
      <c r="BB138" s="44" t="n">
        <f aca="false">BB136+N(BB137)</f>
        <v>267.159</v>
      </c>
      <c r="BC138" s="44" t="n">
        <f aca="false">BC136+N(BC137)</f>
        <v>40.685</v>
      </c>
      <c r="BD138" s="44" t="n">
        <f aca="false">BD136+N(BD137)</f>
        <v>70.872</v>
      </c>
      <c r="BE138" s="44" t="n">
        <f aca="false">BE136+N(BE137)</f>
        <v>73.768</v>
      </c>
      <c r="BF138" s="44" t="n">
        <f aca="false">BF136+N(BF137)</f>
        <v>109.023</v>
      </c>
      <c r="BG138" s="44" t="n">
        <f aca="false">BG136+N(BG137)</f>
        <v>294.348</v>
      </c>
      <c r="BH138" s="44" t="n">
        <f aca="false">BH136+N(BH137)</f>
        <v>56.846</v>
      </c>
      <c r="BI138" s="44" t="n">
        <f aca="false">BI136+N(BI137)</f>
        <v>80.999</v>
      </c>
      <c r="BJ138" s="44" t="n">
        <f aca="false">BJ136+N(BJ137)</f>
        <v>96.778</v>
      </c>
      <c r="BK138" s="44" t="n">
        <f aca="false">BK136+N(BK137)</f>
        <v>119.887</v>
      </c>
      <c r="BL138" s="44" t="n">
        <f aca="false">BL136+N(BL137)</f>
        <v>354.509</v>
      </c>
      <c r="BM138" s="44" t="n">
        <f aca="false">BM136+N(BM137)</f>
        <v>76.4950000000001</v>
      </c>
      <c r="BN138" s="44" t="n">
        <f aca="false">BN136+N(BN137)</f>
        <v>99.4710000000001</v>
      </c>
      <c r="BO138" s="44" t="n">
        <f aca="false">BO136+N(BO137)</f>
        <v>111.16</v>
      </c>
      <c r="BP138" s="44" t="n">
        <f aca="false">BP136+N(BP137)</f>
        <v>117.852</v>
      </c>
      <c r="BQ138" s="44" t="n">
        <f aca="false">BQ136+N(BQ137)</f>
        <v>404.978</v>
      </c>
      <c r="BR138" s="44" t="n">
        <f aca="false">BR136+N(BR137)</f>
        <v>101.337</v>
      </c>
      <c r="BS138" s="44" t="n">
        <f aca="false">BS136+N(BS137)</f>
        <v>121.061</v>
      </c>
      <c r="BT138" s="44" t="n">
        <f aca="false">BT136+N(BT137)</f>
        <v>124.832</v>
      </c>
      <c r="BU138" s="44" t="n">
        <f aca="false">BU136+N(BU137)</f>
        <v>136.998</v>
      </c>
      <c r="BV138" s="44" t="n">
        <f aca="false">BV136+N(BV137)</f>
        <v>484.228</v>
      </c>
      <c r="BW138" s="44" t="n">
        <f aca="false">BW136+N(BW137)</f>
        <v>128.186</v>
      </c>
      <c r="BX138" s="44" t="n">
        <f aca="false">BX136+N(BX137)</f>
        <v>151.168</v>
      </c>
      <c r="BY138" s="44" t="n">
        <f aca="false">BY136+N(BY137)</f>
        <v>142.109877088941</v>
      </c>
      <c r="BZ138" s="44" t="n">
        <f aca="false">BZ136+N(BZ137)</f>
        <v>155.259112911059</v>
      </c>
      <c r="CA138" s="44" t="n">
        <f aca="false">CA136+N(CA137)</f>
        <v>576.72299</v>
      </c>
      <c r="CB138" s="44" t="n">
        <f aca="false">CB136+N(CB137)</f>
        <v>637.700488116085</v>
      </c>
      <c r="CC138" s="44" t="n">
        <f aca="false">CC136+N(CC137)</f>
        <v>703.739982114</v>
      </c>
      <c r="CD138" s="44" t="n">
        <f aca="false">CD136+N(CD137)</f>
        <v>768.951488271915</v>
      </c>
      <c r="CE138" s="44" t="n">
        <f aca="false">CE136+N(CE137)</f>
        <v>838.05971943774</v>
      </c>
      <c r="CH138" s="19" t="n">
        <f aca="false">IFERROR((CE138/BV138)^(1/5)-1,"n/m")</f>
        <v>0.115950712327191</v>
      </c>
      <c r="CI138" s="19" t="n">
        <f aca="false">IFERROR((BV138/AW138)^(1/5)-1,"n/m")</f>
        <v>0.191794938668128</v>
      </c>
      <c r="CJ138" s="19" t="n">
        <f aca="false">IFERROR((BV138/X138)^(1/10)-1,"n/m")</f>
        <v>0.127795436571982</v>
      </c>
      <c r="CK138" s="19" t="n">
        <f aca="false">IFERROR((BV138/C138)^(1/19)-1,"n/m")</f>
        <v>0.0989901134996645</v>
      </c>
    </row>
    <row r="139" customFormat="false" ht="15" hidden="false" customHeight="false" outlineLevel="0" collapsed="false">
      <c r="B139" s="33" t="s">
        <v>310</v>
      </c>
      <c r="C139" s="24" t="n">
        <v>80.569</v>
      </c>
      <c r="D139" s="24" t="n">
        <v>104.328</v>
      </c>
      <c r="E139" s="24" t="n">
        <v>111.09</v>
      </c>
      <c r="F139" s="24" t="n">
        <v>95.221</v>
      </c>
      <c r="G139" s="24" t="n">
        <v>106.598</v>
      </c>
      <c r="H139" s="24" t="n">
        <v>130.423</v>
      </c>
      <c r="I139" s="24" t="n">
        <v>113.844</v>
      </c>
      <c r="J139" s="24" t="n">
        <v>20.943</v>
      </c>
      <c r="K139" s="24" t="n">
        <v>33.37</v>
      </c>
      <c r="L139" s="24" t="n">
        <v>36.361</v>
      </c>
      <c r="M139" s="24" t="n">
        <v>47.307</v>
      </c>
      <c r="N139" s="24" t="n">
        <v>137.981</v>
      </c>
      <c r="O139" s="24" t="n">
        <v>35.164</v>
      </c>
      <c r="P139" s="24" t="n">
        <v>36.391</v>
      </c>
      <c r="Q139" s="24" t="n">
        <v>25.033</v>
      </c>
      <c r="R139" s="24" t="n">
        <v>16.75</v>
      </c>
      <c r="S139" s="24" t="n">
        <v>113.338</v>
      </c>
      <c r="T139" s="24" t="n">
        <v>15.991</v>
      </c>
      <c r="U139" s="24" t="n">
        <v>25.737</v>
      </c>
      <c r="V139" s="24" t="n">
        <v>33.884</v>
      </c>
      <c r="W139" s="24" t="n">
        <v>69.849</v>
      </c>
      <c r="X139" s="24" t="n">
        <v>145.461</v>
      </c>
      <c r="Y139" s="24" t="n">
        <v>32.819</v>
      </c>
      <c r="Z139" s="24" t="n">
        <v>39.963</v>
      </c>
      <c r="AA139" s="24" t="n">
        <v>45.932</v>
      </c>
      <c r="AB139" s="24" t="n">
        <v>68.615</v>
      </c>
      <c r="AC139" s="24" t="n">
        <v>187.329</v>
      </c>
      <c r="AD139" s="24" t="n">
        <v>32.547</v>
      </c>
      <c r="AE139" s="24" t="n">
        <v>50.65</v>
      </c>
      <c r="AF139" s="24" t="n">
        <v>63.944</v>
      </c>
      <c r="AG139" s="24" t="n">
        <v>67.75</v>
      </c>
      <c r="AH139" s="24" t="n">
        <v>214.891</v>
      </c>
      <c r="AI139" s="24" t="n">
        <v>43.643</v>
      </c>
      <c r="AJ139" s="24" t="n">
        <v>74.788</v>
      </c>
      <c r="AK139" s="24" t="n">
        <v>74.483</v>
      </c>
      <c r="AL139" s="24" t="n">
        <v>82.835</v>
      </c>
      <c r="AM139" s="24" t="n">
        <v>275.749</v>
      </c>
      <c r="AN139" s="24" t="n">
        <v>55.593</v>
      </c>
      <c r="AO139" s="24" t="n">
        <v>80.072</v>
      </c>
      <c r="AP139" s="24" t="n">
        <v>82.51</v>
      </c>
      <c r="AQ139" s="24" t="n">
        <v>89.408</v>
      </c>
      <c r="AR139" s="24" t="n">
        <v>307.583</v>
      </c>
      <c r="AS139" s="24" t="n">
        <v>51.761</v>
      </c>
      <c r="AT139" s="24" t="n">
        <v>31.018</v>
      </c>
      <c r="AU139" s="24" t="n">
        <v>64.62</v>
      </c>
      <c r="AV139" s="24" t="n">
        <v>53.993</v>
      </c>
      <c r="AW139" s="24" t="n">
        <v>201.392</v>
      </c>
      <c r="AX139" s="24" t="n">
        <v>59.469</v>
      </c>
      <c r="AY139" s="24" t="n">
        <v>61.408</v>
      </c>
      <c r="AZ139" s="24" t="n">
        <v>69.703</v>
      </c>
      <c r="BA139" s="24" t="n">
        <v>76.579</v>
      </c>
      <c r="BB139" s="24" t="n">
        <v>267.159</v>
      </c>
      <c r="BC139" s="24" t="n">
        <v>40.685</v>
      </c>
      <c r="BD139" s="24" t="n">
        <v>70.872</v>
      </c>
      <c r="BE139" s="24" t="n">
        <v>73.768</v>
      </c>
      <c r="BF139" s="24" t="n">
        <v>109.023</v>
      </c>
      <c r="BG139" s="24" t="n">
        <v>294.348</v>
      </c>
      <c r="BH139" s="24" t="n">
        <v>56.846</v>
      </c>
      <c r="BI139" s="24" t="n">
        <v>80.999</v>
      </c>
      <c r="BJ139" s="24" t="n">
        <v>96.778</v>
      </c>
      <c r="BK139" s="24" t="n">
        <v>119.887</v>
      </c>
      <c r="BL139" s="24" t="n">
        <v>354.509</v>
      </c>
      <c r="BM139" s="24" t="n">
        <v>76.495</v>
      </c>
      <c r="BN139" s="24" t="n">
        <v>99.471</v>
      </c>
      <c r="BO139" s="24" t="n">
        <v>111.16</v>
      </c>
      <c r="BP139" s="24" t="n">
        <v>117.852</v>
      </c>
      <c r="BQ139" s="24" t="n">
        <v>404.978</v>
      </c>
      <c r="BR139" s="24" t="n">
        <v>101.337</v>
      </c>
      <c r="BS139" s="24" t="n">
        <v>121.061</v>
      </c>
      <c r="BT139" s="24" t="n">
        <v>124.832</v>
      </c>
      <c r="BU139" s="24" t="n">
        <v>136.998</v>
      </c>
      <c r="BV139" s="24" t="n">
        <v>484.228</v>
      </c>
      <c r="BW139" s="24" t="n">
        <v>128.186</v>
      </c>
      <c r="BX139" s="24" t="n">
        <v>151.168</v>
      </c>
    </row>
    <row r="140" customFormat="false" ht="15" hidden="false" customHeight="false" outlineLevel="0" collapsed="false">
      <c r="B140" s="20" t="s">
        <v>311</v>
      </c>
      <c r="C140" s="46" t="n">
        <f aca="false">IF(ISNUMBER(C139),ROUND(C138-C139,1),"")</f>
        <v>0</v>
      </c>
      <c r="D140" s="46" t="n">
        <f aca="false">IF(ISNUMBER(D139),ROUND(D138-D139,1),"")</f>
        <v>0</v>
      </c>
      <c r="E140" s="46" t="n">
        <f aca="false">IF(ISNUMBER(E139),ROUND(E138-E139,1),"")</f>
        <v>0</v>
      </c>
      <c r="F140" s="46" t="n">
        <f aca="false">IF(ISNUMBER(F139),ROUND(F138-F139,1),"")</f>
        <v>0</v>
      </c>
      <c r="G140" s="46" t="n">
        <f aca="false">IF(ISNUMBER(G139),ROUND(G138-G139,1),"")</f>
        <v>0</v>
      </c>
      <c r="H140" s="46" t="n">
        <f aca="false">IF(ISNUMBER(H139),ROUND(H138-H139,1),"")</f>
        <v>0</v>
      </c>
      <c r="I140" s="46" t="n">
        <f aca="false">IF(ISNUMBER(I139),ROUND(I138-I139,1),"")</f>
        <v>0</v>
      </c>
      <c r="J140" s="46" t="n">
        <f aca="false">IF(ISNUMBER(J139),ROUND(J138-J139,1),"")</f>
        <v>0</v>
      </c>
      <c r="K140" s="46" t="n">
        <f aca="false">IF(ISNUMBER(K139),ROUND(K138-K139,1),"")</f>
        <v>0</v>
      </c>
      <c r="L140" s="46" t="n">
        <f aca="false">IF(ISNUMBER(L139),ROUND(L138-L139,1),"")</f>
        <v>0</v>
      </c>
      <c r="M140" s="46" t="n">
        <f aca="false">IF(ISNUMBER(M139),ROUND(M138-M139,1),"")</f>
        <v>0</v>
      </c>
      <c r="N140" s="46" t="n">
        <f aca="false">IF(ISNUMBER(N139),ROUND(N138-N139,1),"")</f>
        <v>0</v>
      </c>
      <c r="O140" s="46" t="n">
        <f aca="false">IF(ISNUMBER(O139),ROUND(O138-O139,1),"")</f>
        <v>0</v>
      </c>
      <c r="P140" s="46" t="n">
        <f aca="false">IF(ISNUMBER(P139),ROUND(P138-P139,1),"")</f>
        <v>0</v>
      </c>
      <c r="Q140" s="46" t="n">
        <f aca="false">IF(ISNUMBER(Q139),ROUND(Q138-Q139,1),"")</f>
        <v>0</v>
      </c>
      <c r="R140" s="46" t="n">
        <f aca="false">IF(ISNUMBER(R139),ROUND(R138-R139,1),"")</f>
        <v>0</v>
      </c>
      <c r="S140" s="46" t="n">
        <f aca="false">IF(ISNUMBER(S139),ROUND(S138-S139,1),"")</f>
        <v>0</v>
      </c>
      <c r="T140" s="46" t="n">
        <f aca="false">IF(ISNUMBER(T139),ROUND(T138-T139,1),"")</f>
        <v>0</v>
      </c>
      <c r="U140" s="46" t="n">
        <f aca="false">IF(ISNUMBER(U139),ROUND(U138-U139,1),"")</f>
        <v>0</v>
      </c>
      <c r="V140" s="46" t="n">
        <f aca="false">IF(ISNUMBER(V139),ROUND(V138-V139,1),"")</f>
        <v>0</v>
      </c>
      <c r="W140" s="46" t="n">
        <f aca="false">IF(ISNUMBER(W139),ROUND(W138-W139,1),"")</f>
        <v>0</v>
      </c>
      <c r="X140" s="46" t="n">
        <f aca="false">IF(ISNUMBER(X139),ROUND(X138-X139,1),"")</f>
        <v>0</v>
      </c>
      <c r="Y140" s="46" t="n">
        <f aca="false">IF(ISNUMBER(Y139),ROUND(Y138-Y139,1),"")</f>
        <v>0</v>
      </c>
      <c r="Z140" s="46" t="n">
        <f aca="false">IF(ISNUMBER(Z139),ROUND(Z138-Z139,1),"")</f>
        <v>0</v>
      </c>
      <c r="AA140" s="46" t="n">
        <f aca="false">IF(ISNUMBER(AA139),ROUND(AA138-AA139,1),"")</f>
        <v>0</v>
      </c>
      <c r="AB140" s="46" t="n">
        <f aca="false">IF(ISNUMBER(AB139),ROUND(AB138-AB139,1),"")</f>
        <v>0</v>
      </c>
      <c r="AC140" s="46" t="n">
        <f aca="false">IF(ISNUMBER(AC139),ROUND(AC138-AC139,1),"")</f>
        <v>0</v>
      </c>
      <c r="AD140" s="46" t="n">
        <f aca="false">IF(ISNUMBER(AD139),ROUND(AD138-AD139,1),"")</f>
        <v>0</v>
      </c>
      <c r="AE140" s="46" t="n">
        <f aca="false">IF(ISNUMBER(AE139),ROUND(AE138-AE139,1),"")</f>
        <v>0</v>
      </c>
      <c r="AF140" s="46" t="n">
        <f aca="false">IF(ISNUMBER(AF139),ROUND(AF138-AF139,1),"")</f>
        <v>0</v>
      </c>
      <c r="AG140" s="46" t="n">
        <f aca="false">IF(ISNUMBER(AG139),ROUND(AG138-AG139,1),"")</f>
        <v>0</v>
      </c>
      <c r="AH140" s="46" t="n">
        <f aca="false">IF(ISNUMBER(AH139),ROUND(AH138-AH139,1),"")</f>
        <v>0</v>
      </c>
      <c r="AI140" s="46" t="n">
        <f aca="false">IF(ISNUMBER(AI139),ROUND(AI138-AI139,1),"")</f>
        <v>0</v>
      </c>
      <c r="AJ140" s="46" t="n">
        <f aca="false">IF(ISNUMBER(AJ139),ROUND(AJ138-AJ139,1),"")</f>
        <v>0</v>
      </c>
      <c r="AK140" s="46" t="n">
        <f aca="false">IF(ISNUMBER(AK139),ROUND(AK138-AK139,1),"")</f>
        <v>0</v>
      </c>
      <c r="AL140" s="46" t="n">
        <f aca="false">IF(ISNUMBER(AL139),ROUND(AL138-AL139,1),"")</f>
        <v>0</v>
      </c>
      <c r="AM140" s="46" t="n">
        <f aca="false">IF(ISNUMBER(AM139),ROUND(AM138-AM139,1),"")</f>
        <v>0</v>
      </c>
      <c r="AN140" s="46" t="n">
        <f aca="false">IF(ISNUMBER(AN139),ROUND(AN138-AN139,1),"")</f>
        <v>0</v>
      </c>
      <c r="AO140" s="46" t="n">
        <f aca="false">IF(ISNUMBER(AO139),ROUND(AO138-AO139,1),"")</f>
        <v>0</v>
      </c>
      <c r="AP140" s="46" t="n">
        <f aca="false">IF(ISNUMBER(AP139),ROUND(AP138-AP139,1),"")</f>
        <v>0</v>
      </c>
      <c r="AQ140" s="46" t="n">
        <f aca="false">IF(ISNUMBER(AQ139),ROUND(AQ138-AQ139,1),"")</f>
        <v>0</v>
      </c>
      <c r="AR140" s="46" t="n">
        <f aca="false">IF(ISNUMBER(AR139),ROUND(AR138-AR139,1),"")</f>
        <v>0</v>
      </c>
      <c r="AS140" s="46" t="n">
        <f aca="false">IF(ISNUMBER(AS139),ROUND(AS138-AS139,1),"")</f>
        <v>0</v>
      </c>
      <c r="AT140" s="46" t="n">
        <f aca="false">IF(ISNUMBER(AT139),ROUND(AT138-AT139,1),"")</f>
        <v>0</v>
      </c>
      <c r="AU140" s="46" t="n">
        <f aca="false">IF(ISNUMBER(AU139),ROUND(AU138-AU139,1),"")</f>
        <v>0</v>
      </c>
      <c r="AV140" s="46" t="n">
        <f aca="false">IF(ISNUMBER(AV139),ROUND(AV138-AV139,1),"")</f>
        <v>0</v>
      </c>
      <c r="AW140" s="46" t="n">
        <f aca="false">IF(ISNUMBER(AW139),ROUND(AW138-AW139,1),"")</f>
        <v>0</v>
      </c>
      <c r="AX140" s="46" t="n">
        <f aca="false">IF(ISNUMBER(AX139),ROUND(AX138-AX139,1),"")</f>
        <v>0</v>
      </c>
      <c r="AY140" s="46" t="n">
        <f aca="false">IF(ISNUMBER(AY139),ROUND(AY138-AY139,1),"")</f>
        <v>0</v>
      </c>
      <c r="AZ140" s="46" t="n">
        <f aca="false">IF(ISNUMBER(AZ139),ROUND(AZ138-AZ139,1),"")</f>
        <v>0</v>
      </c>
      <c r="BA140" s="46" t="n">
        <f aca="false">IF(ISNUMBER(BA139),ROUND(BA138-BA139,1),"")</f>
        <v>0</v>
      </c>
      <c r="BB140" s="46" t="n">
        <f aca="false">IF(ISNUMBER(BB139),ROUND(BB138-BB139,1),"")</f>
        <v>0</v>
      </c>
      <c r="BC140" s="46" t="n">
        <f aca="false">IF(ISNUMBER(BC139),ROUND(BC138-BC139,1),"")</f>
        <v>0</v>
      </c>
      <c r="BD140" s="46" t="n">
        <f aca="false">IF(ISNUMBER(BD139),ROUND(BD138-BD139,1),"")</f>
        <v>0</v>
      </c>
      <c r="BE140" s="46" t="n">
        <f aca="false">IF(ISNUMBER(BE139),ROUND(BE138-BE139,1),"")</f>
        <v>0</v>
      </c>
      <c r="BF140" s="46" t="n">
        <f aca="false">IF(ISNUMBER(BF139),ROUND(BF138-BF139,1),"")</f>
        <v>0</v>
      </c>
      <c r="BG140" s="46" t="n">
        <f aca="false">IF(ISNUMBER(BG139),ROUND(BG138-BG139,1),"")</f>
        <v>0</v>
      </c>
      <c r="BH140" s="46" t="n">
        <f aca="false">IF(ISNUMBER(BH139),ROUND(BH138-BH139,1),"")</f>
        <v>0</v>
      </c>
      <c r="BI140" s="46" t="n">
        <f aca="false">IF(ISNUMBER(BI139),ROUND(BI138-BI139,1),"")</f>
        <v>0</v>
      </c>
      <c r="BJ140" s="46" t="n">
        <f aca="false">IF(ISNUMBER(BJ139),ROUND(BJ138-BJ139,1),"")</f>
        <v>0</v>
      </c>
      <c r="BK140" s="46" t="n">
        <f aca="false">IF(ISNUMBER(BK139),ROUND(BK138-BK139,1),"")</f>
        <v>0</v>
      </c>
      <c r="BL140" s="46" t="n">
        <f aca="false">IF(ISNUMBER(BL139),ROUND(BL138-BL139,1),"")</f>
        <v>0</v>
      </c>
      <c r="BM140" s="46" t="n">
        <f aca="false">IF(ISNUMBER(BM139),ROUND(BM138-BM139,1),"")</f>
        <v>0</v>
      </c>
      <c r="BN140" s="46" t="n">
        <f aca="false">IF(ISNUMBER(BN139),ROUND(BN138-BN139,1),"")</f>
        <v>0</v>
      </c>
      <c r="BO140" s="46" t="n">
        <f aca="false">IF(ISNUMBER(BO139),ROUND(BO138-BO139,1),"")</f>
        <v>0</v>
      </c>
      <c r="BP140" s="46" t="n">
        <f aca="false">IF(ISNUMBER(BP139),ROUND(BP138-BP139,1),"")</f>
        <v>0</v>
      </c>
      <c r="BQ140" s="46" t="n">
        <f aca="false">IF(ISNUMBER(BQ139),ROUND(BQ138-BQ139,1),"")</f>
        <v>0</v>
      </c>
      <c r="BR140" s="46" t="n">
        <f aca="false">IF(ISNUMBER(BR139),ROUND(BR138-BR139,1),"")</f>
        <v>0</v>
      </c>
      <c r="BS140" s="46" t="n">
        <f aca="false">IF(ISNUMBER(BS139),ROUND(BS138-BS139,1),"")</f>
        <v>0</v>
      </c>
      <c r="BT140" s="46" t="n">
        <f aca="false">IF(ISNUMBER(BT139),ROUND(BT138-BT139,1),"")</f>
        <v>0</v>
      </c>
      <c r="BU140" s="46" t="n">
        <f aca="false">IF(ISNUMBER(BU139),ROUND(BU138-BU139,1),"")</f>
        <v>0</v>
      </c>
      <c r="BV140" s="46" t="n">
        <f aca="false">IF(ISNUMBER(BV139),ROUND(BV138-BV139,1),"")</f>
        <v>0</v>
      </c>
      <c r="BW140" s="46" t="n">
        <f aca="false">IF(ISNUMBER(BW139),ROUND(BW138-BW139,1),"")</f>
        <v>0</v>
      </c>
      <c r="BX140" s="46" t="n">
        <f aca="false">IF(ISNUMBER(BX139),ROUND(BX138-BX139,1),"")</f>
        <v>0</v>
      </c>
    </row>
    <row r="141" customFormat="false" ht="15" hidden="false" customHeight="false" outlineLevel="0" collapsed="false">
      <c r="B141" s="49" t="s">
        <v>312</v>
      </c>
    </row>
    <row r="142" customFormat="false" ht="15" hidden="false" customHeight="false" outlineLevel="0" collapsed="false">
      <c r="B142" s="20" t="s">
        <v>313</v>
      </c>
      <c r="C142" s="28" t="n">
        <v>43.826</v>
      </c>
      <c r="D142" s="28" t="n">
        <v>44.313</v>
      </c>
      <c r="E142" s="28" t="n">
        <v>44.716</v>
      </c>
      <c r="F142" s="28" t="n">
        <v>45.237</v>
      </c>
      <c r="G142" s="28" t="n">
        <v>45.823</v>
      </c>
      <c r="H142" s="28" t="n">
        <v>46.372</v>
      </c>
      <c r="I142" s="28" t="n">
        <v>46.743</v>
      </c>
      <c r="J142" s="28" t="n">
        <v>46.615</v>
      </c>
      <c r="K142" s="28" t="n">
        <v>46.786</v>
      </c>
      <c r="L142" s="28" t="n">
        <v>47.081</v>
      </c>
      <c r="M142" s="28" t="n">
        <v>47.443</v>
      </c>
      <c r="N142" s="28" t="n">
        <v>46.991</v>
      </c>
      <c r="O142" s="28" t="n">
        <v>47.982</v>
      </c>
      <c r="P142" s="28" t="n">
        <v>48.175</v>
      </c>
      <c r="Q142" s="28" t="n">
        <v>48.067</v>
      </c>
      <c r="R142" s="28" t="n">
        <v>47.927</v>
      </c>
      <c r="S142" s="28" t="n">
        <v>48.019</v>
      </c>
      <c r="T142" s="28" t="n">
        <v>47.724</v>
      </c>
      <c r="U142" s="28" t="n">
        <v>47.224</v>
      </c>
      <c r="V142" s="28" t="n">
        <v>46.366</v>
      </c>
      <c r="W142" s="28" t="n">
        <v>45.245</v>
      </c>
      <c r="X142" s="28" t="n">
        <v>46.624</v>
      </c>
      <c r="Y142" s="28" t="n">
        <v>44.578</v>
      </c>
      <c r="Z142" s="28" t="n">
        <v>44.487</v>
      </c>
      <c r="AA142" s="28" t="n">
        <v>44.323</v>
      </c>
      <c r="AB142" s="28" t="n">
        <v>44.173</v>
      </c>
      <c r="AC142" s="28" t="n">
        <v>44.389</v>
      </c>
      <c r="AD142" s="28" t="n">
        <v>44.246</v>
      </c>
      <c r="AE142" s="28" t="n">
        <v>44.213</v>
      </c>
      <c r="AF142" s="28" t="n">
        <v>44.137</v>
      </c>
      <c r="AG142" s="28" t="n">
        <v>44.132</v>
      </c>
      <c r="AH142" s="28" t="n">
        <v>44.182</v>
      </c>
      <c r="AI142" s="28" t="n">
        <v>44.188</v>
      </c>
      <c r="AJ142" s="28" t="n">
        <v>44.124</v>
      </c>
      <c r="AK142" s="28" t="n">
        <v>43.892</v>
      </c>
      <c r="AL142" s="28" t="n">
        <v>43.447</v>
      </c>
      <c r="AM142" s="28" t="n">
        <v>43.892</v>
      </c>
      <c r="AN142" s="28" t="n">
        <v>42.799</v>
      </c>
      <c r="AO142" s="28" t="n">
        <v>42.758</v>
      </c>
      <c r="AP142" s="28" t="n">
        <v>42.709</v>
      </c>
      <c r="AQ142" s="28" t="n">
        <v>42.687</v>
      </c>
      <c r="AR142" s="28" t="n">
        <v>42.739</v>
      </c>
      <c r="AS142" s="28" t="n">
        <v>42.456</v>
      </c>
      <c r="AT142" s="28" t="n">
        <v>41.629</v>
      </c>
      <c r="AU142" s="28" t="n">
        <v>41.545</v>
      </c>
      <c r="AV142" s="28" t="n">
        <v>41.209</v>
      </c>
      <c r="AW142" s="28" t="n">
        <v>41.738</v>
      </c>
      <c r="AX142" s="28" t="n">
        <v>40.933</v>
      </c>
      <c r="AY142" s="28" t="n">
        <v>40.915</v>
      </c>
      <c r="AZ142" s="28" t="n">
        <v>40.769</v>
      </c>
      <c r="BA142" s="28" t="n">
        <v>39.309</v>
      </c>
      <c r="BB142" s="28" t="n">
        <v>40.417</v>
      </c>
      <c r="BC142" s="28" t="n">
        <v>38.456</v>
      </c>
      <c r="BD142" s="28" t="n">
        <v>38.429</v>
      </c>
      <c r="BE142" s="28" t="n">
        <v>38.368</v>
      </c>
      <c r="BF142" s="28" t="n">
        <v>38.296</v>
      </c>
      <c r="BG142" s="28" t="n">
        <v>38.386</v>
      </c>
      <c r="BH142" s="28" t="n">
        <v>38.303</v>
      </c>
      <c r="BI142" s="28" t="n">
        <v>38.329</v>
      </c>
      <c r="BJ142" s="28" t="n">
        <v>38.285</v>
      </c>
      <c r="BK142" s="28" t="n">
        <v>38.232</v>
      </c>
      <c r="BL142" s="28" t="n">
        <v>38.283</v>
      </c>
      <c r="BM142" s="28" t="n">
        <v>38.254</v>
      </c>
      <c r="BN142" s="28" t="n">
        <v>38.302</v>
      </c>
      <c r="BO142" s="28" t="n">
        <v>38.208</v>
      </c>
      <c r="BP142" s="28" t="n">
        <v>37.874</v>
      </c>
      <c r="BQ142" s="28" t="n">
        <v>38.153</v>
      </c>
      <c r="BR142" s="28" t="n">
        <v>37.683</v>
      </c>
      <c r="BS142" s="28" t="n">
        <v>37.692</v>
      </c>
      <c r="BT142" s="28" t="n">
        <v>37.43</v>
      </c>
      <c r="BU142" s="28" t="n">
        <v>36.927</v>
      </c>
      <c r="BV142" s="28" t="n">
        <v>37.417</v>
      </c>
      <c r="BW142" s="28" t="n">
        <v>36.897</v>
      </c>
      <c r="BX142" s="28" t="n">
        <v>36.939</v>
      </c>
      <c r="BY142" s="29" t="n">
        <f aca="false">BY143-($BX$143-$BX$142)</f>
        <v>36.7184968853935</v>
      </c>
      <c r="BZ142" s="29" t="n">
        <f aca="false">BZ143-($BX$143-$BX$142)</f>
        <v>36.4428679921354</v>
      </c>
      <c r="CA142" s="29" t="n">
        <f aca="false">AVERAGE(BW142,BX142,BY142,BZ142)</f>
        <v>36.7493412193822</v>
      </c>
      <c r="CB142" s="29" t="n">
        <f aca="false">AVERAGE(CB269,CB270)</f>
        <v>36.2238106242812</v>
      </c>
      <c r="CC142" s="29" t="n">
        <f aca="false">AVERAGE(CC269,CC270)</f>
        <v>35.747460010072</v>
      </c>
      <c r="CD142" s="29" t="n">
        <f aca="false">AVERAGE(CD269,CD270)</f>
        <v>35.2736475823358</v>
      </c>
      <c r="CE142" s="29" t="n">
        <f aca="false">AVERAGE(CE269,CE270)</f>
        <v>34.7382932387107</v>
      </c>
      <c r="CF142" s="18" t="s">
        <v>314</v>
      </c>
    </row>
    <row r="143" customFormat="false" ht="15" hidden="false" customHeight="false" outlineLevel="0" collapsed="false">
      <c r="B143" s="20" t="s">
        <v>315</v>
      </c>
      <c r="C143" s="28" t="n">
        <v>44.334</v>
      </c>
      <c r="D143" s="28" t="n">
        <v>44.979</v>
      </c>
      <c r="E143" s="28" t="n">
        <v>45.374</v>
      </c>
      <c r="F143" s="28" t="n">
        <v>45.695</v>
      </c>
      <c r="G143" s="28" t="n">
        <v>46.322</v>
      </c>
      <c r="H143" s="28" t="n">
        <v>47.013</v>
      </c>
      <c r="I143" s="28" t="n">
        <v>47.412</v>
      </c>
      <c r="J143" s="28" t="n">
        <v>47.483</v>
      </c>
      <c r="K143" s="28" t="n">
        <v>47.507</v>
      </c>
      <c r="L143" s="28" t="n">
        <v>48.063</v>
      </c>
      <c r="M143" s="28" t="n">
        <v>48.591</v>
      </c>
      <c r="N143" s="28" t="n">
        <v>47.912</v>
      </c>
      <c r="O143" s="28" t="n">
        <v>49.13</v>
      </c>
      <c r="P143" s="28" t="n">
        <v>49.239</v>
      </c>
      <c r="Q143" s="28" t="n">
        <v>49.101</v>
      </c>
      <c r="R143" s="28" t="n">
        <v>48.905</v>
      </c>
      <c r="S143" s="28" t="n">
        <v>49.075</v>
      </c>
      <c r="T143" s="28" t="n">
        <v>48.732</v>
      </c>
      <c r="U143" s="28" t="n">
        <v>48.258</v>
      </c>
      <c r="V143" s="28" t="n">
        <v>47.395</v>
      </c>
      <c r="W143" s="28" t="n">
        <v>46.143</v>
      </c>
      <c r="X143" s="28" t="n">
        <v>47.616</v>
      </c>
      <c r="Y143" s="28" t="n">
        <v>45.24</v>
      </c>
      <c r="Z143" s="28" t="n">
        <v>45.164</v>
      </c>
      <c r="AA143" s="28" t="n">
        <v>44.997</v>
      </c>
      <c r="AB143" s="28" t="n">
        <v>44.783</v>
      </c>
      <c r="AC143" s="28" t="n">
        <v>45.045</v>
      </c>
      <c r="AD143" s="28" t="n">
        <v>44.86</v>
      </c>
      <c r="AE143" s="28" t="n">
        <v>44.807</v>
      </c>
      <c r="AF143" s="28" t="n">
        <v>44.686</v>
      </c>
      <c r="AG143" s="28" t="n">
        <v>44.692</v>
      </c>
      <c r="AH143" s="28" t="n">
        <v>44.761</v>
      </c>
      <c r="AI143" s="28" t="n">
        <v>44.678</v>
      </c>
      <c r="AJ143" s="28" t="n">
        <v>44.553</v>
      </c>
      <c r="AK143" s="28" t="n">
        <v>44.334</v>
      </c>
      <c r="AL143" s="28" t="n">
        <v>43.782</v>
      </c>
      <c r="AM143" s="28" t="n">
        <v>44.316</v>
      </c>
      <c r="AN143" s="28" t="n">
        <v>43.058</v>
      </c>
      <c r="AO143" s="28" t="n">
        <v>43.024</v>
      </c>
      <c r="AP143" s="28" t="n">
        <v>42.995</v>
      </c>
      <c r="AQ143" s="28" t="n">
        <v>42.986</v>
      </c>
      <c r="AR143" s="28" t="n">
        <v>43.016</v>
      </c>
      <c r="AS143" s="28" t="n">
        <v>42.77</v>
      </c>
      <c r="AT143" s="28" t="n">
        <v>41.855</v>
      </c>
      <c r="AU143" s="28" t="n">
        <v>41.797</v>
      </c>
      <c r="AV143" s="28" t="n">
        <v>41.46</v>
      </c>
      <c r="AW143" s="28" t="n">
        <v>41.999</v>
      </c>
      <c r="AX143" s="28" t="n">
        <v>41.103</v>
      </c>
      <c r="AY143" s="28" t="n">
        <v>41.088</v>
      </c>
      <c r="AZ143" s="28" t="n">
        <v>40.95</v>
      </c>
      <c r="BA143" s="28" t="n">
        <v>39.524</v>
      </c>
      <c r="BB143" s="28" t="n">
        <v>40.602</v>
      </c>
      <c r="BC143" s="28" t="n">
        <v>38.668</v>
      </c>
      <c r="BD143" s="28" t="n">
        <v>38.654</v>
      </c>
      <c r="BE143" s="28" t="n">
        <v>38.647</v>
      </c>
      <c r="BF143" s="28" t="n">
        <v>38.633</v>
      </c>
      <c r="BG143" s="28" t="n">
        <v>38.649</v>
      </c>
      <c r="BH143" s="28" t="n">
        <v>38.516</v>
      </c>
      <c r="BI143" s="28" t="n">
        <v>38.555</v>
      </c>
      <c r="BJ143" s="28" t="n">
        <v>38.558</v>
      </c>
      <c r="BK143" s="28" t="n">
        <v>38.505</v>
      </c>
      <c r="BL143" s="28" t="n">
        <v>38.529</v>
      </c>
      <c r="BM143" s="28" t="n">
        <v>38.431</v>
      </c>
      <c r="BN143" s="28" t="n">
        <v>38.501</v>
      </c>
      <c r="BO143" s="28" t="n">
        <v>38.451</v>
      </c>
      <c r="BP143" s="28" t="n">
        <v>38.137</v>
      </c>
      <c r="BQ143" s="28" t="n">
        <v>38.373</v>
      </c>
      <c r="BR143" s="28" t="n">
        <v>37.851</v>
      </c>
      <c r="BS143" s="28" t="n">
        <v>37.903</v>
      </c>
      <c r="BT143" s="28" t="n">
        <v>37.663</v>
      </c>
      <c r="BU143" s="28" t="n">
        <v>37.172</v>
      </c>
      <c r="BV143" s="28" t="n">
        <v>37.631</v>
      </c>
      <c r="BW143" s="28" t="n">
        <v>37.058</v>
      </c>
      <c r="BX143" s="28" t="n">
        <v>37.12</v>
      </c>
      <c r="BY143" s="29" t="n">
        <f aca="false">$BX$143-BY267*0.5</f>
        <v>36.8994968853935</v>
      </c>
      <c r="BZ143" s="29" t="n">
        <f aca="false">$BX$143-$BY$267-BZ267*0.5</f>
        <v>36.6238679921354</v>
      </c>
      <c r="CA143" s="29" t="n">
        <f aca="false">AVERAGE(BW143,BX143,BY143,BZ143)</f>
        <v>36.9253412193822</v>
      </c>
      <c r="CB143" s="29" t="n">
        <f aca="false">CB142+CB340</f>
        <v>36.4238106242812</v>
      </c>
      <c r="CC143" s="29" t="n">
        <f aca="false">CC142+CC340</f>
        <v>35.947460010072</v>
      </c>
      <c r="CD143" s="29" t="n">
        <f aca="false">CD142+CD340</f>
        <v>35.4736475823358</v>
      </c>
      <c r="CE143" s="29" t="n">
        <f aca="false">CE142+CE340</f>
        <v>34.9382932387107</v>
      </c>
      <c r="CF143" s="18" t="s">
        <v>316</v>
      </c>
    </row>
    <row r="144" customFormat="false" ht="15" hidden="false" customHeight="false" outlineLevel="0" collapsed="false">
      <c r="B144" s="20" t="s">
        <v>317</v>
      </c>
      <c r="C144" s="50" t="n">
        <f aca="false">IF(AND(ISNUMBER(C138),ISNUMBER(C142)),IFERROR(C138/C142,""),"")</f>
        <v>1.83838360790398</v>
      </c>
      <c r="D144" s="50" t="n">
        <f aca="false">IF(AND(ISNUMBER(D138),ISNUMBER(D142)),IFERROR(D138/D142,""),"")</f>
        <v>2.3543429693318</v>
      </c>
      <c r="E144" s="50" t="n">
        <f aca="false">IF(AND(ISNUMBER(E138),ISNUMBER(E142)),IFERROR(E138/E142,""),"")</f>
        <v>2.48434564809017</v>
      </c>
      <c r="F144" s="50" t="n">
        <f aca="false">IF(AND(ISNUMBER(F138),ISNUMBER(F142)),IFERROR(F138/F142,""),"")</f>
        <v>2.10493622477176</v>
      </c>
      <c r="G144" s="50" t="n">
        <f aca="false">IF(AND(ISNUMBER(G138),ISNUMBER(G142)),IFERROR(G138/G142,""),"")</f>
        <v>2.32629902014272</v>
      </c>
      <c r="H144" s="50" t="n">
        <f aca="false">IF(AND(ISNUMBER(H138),ISNUMBER(H142)),IFERROR(H138/H142,""),"")</f>
        <v>2.81253773829035</v>
      </c>
      <c r="I144" s="50" t="n">
        <f aca="false">IF(AND(ISNUMBER(I138),ISNUMBER(I142)),IFERROR(I138/I142,""),"")</f>
        <v>2.43553045375778</v>
      </c>
      <c r="J144" s="50" t="n">
        <f aca="false">IF(AND(ISNUMBER(J138),ISNUMBER(J142)),IFERROR(J138/J142,""),"")</f>
        <v>0.449275984125281</v>
      </c>
      <c r="K144" s="50" t="n">
        <f aca="false">IF(AND(ISNUMBER(K138),ISNUMBER(K142)),IFERROR(K138/K142,""),"")</f>
        <v>0.713247552686701</v>
      </c>
      <c r="L144" s="50" t="n">
        <f aca="false">IF(AND(ISNUMBER(L138),ISNUMBER(L142)),IFERROR(L138/L142,""),"")</f>
        <v>0.772307300184789</v>
      </c>
      <c r="M144" s="50" t="n">
        <f aca="false">IF(AND(ISNUMBER(M138),ISNUMBER(M142)),IFERROR(M138/M142,""),"")</f>
        <v>0.997133402187889</v>
      </c>
      <c r="N144" s="50" t="n">
        <f aca="false">IF(AND(ISNUMBER(N138),ISNUMBER(N142)),IFERROR(N138/N142,""),"")</f>
        <v>2.93632823306591</v>
      </c>
      <c r="O144" s="50" t="n">
        <f aca="false">IF(AND(ISNUMBER(O138),ISNUMBER(O142)),IFERROR(O138/O142,""),"")</f>
        <v>0.732858155141512</v>
      </c>
      <c r="P144" s="50" t="n">
        <f aca="false">IF(AND(ISNUMBER(P138),ISNUMBER(P142)),IFERROR(P138/P142,""),"")</f>
        <v>0.755391800726517</v>
      </c>
      <c r="Q144" s="50" t="n">
        <f aca="false">IF(AND(ISNUMBER(Q138),ISNUMBER(Q142)),IFERROR(Q138/Q142,""),"")</f>
        <v>0.520793891859281</v>
      </c>
      <c r="R144" s="50" t="n">
        <f aca="false">IF(AND(ISNUMBER(R138),ISNUMBER(R142)),IFERROR(R138/R142,""),"")</f>
        <v>0.349489849145576</v>
      </c>
      <c r="S144" s="50" t="n">
        <f aca="false">IF(AND(ISNUMBER(S138),ISNUMBER(S142)),IFERROR(S138/S142,""),"")</f>
        <v>2.36027405818531</v>
      </c>
      <c r="T144" s="50" t="n">
        <f aca="false">IF(AND(ISNUMBER(T138),ISNUMBER(T142)),IFERROR(T138/T142,""),"")</f>
        <v>0.335072500209537</v>
      </c>
      <c r="U144" s="50" t="n">
        <f aca="false">IF(AND(ISNUMBER(U138),ISNUMBER(U142)),IFERROR(U138/U142,""),"")</f>
        <v>0.544998305946128</v>
      </c>
      <c r="V144" s="50" t="n">
        <f aca="false">IF(AND(ISNUMBER(V138),ISNUMBER(V142)),IFERROR(V138/V142,""),"")</f>
        <v>0.73079411637838</v>
      </c>
      <c r="W144" s="50" t="n">
        <f aca="false">IF(AND(ISNUMBER(W138),ISNUMBER(W142)),IFERROR(W138/W142,""),"")</f>
        <v>1.54379489446348</v>
      </c>
      <c r="X144" s="50" t="n">
        <f aca="false">IF(AND(ISNUMBER(X138),ISNUMBER(X142)),IFERROR(X138/X142,""),"")</f>
        <v>3.11987388469458</v>
      </c>
      <c r="Y144" s="50" t="n">
        <f aca="false">IF(AND(ISNUMBER(Y138),ISNUMBER(Y142)),IFERROR(Y138/Y142,""),"")</f>
        <v>0.736215173403922</v>
      </c>
      <c r="Z144" s="50" t="n">
        <f aca="false">IF(AND(ISNUMBER(Z138),ISNUMBER(Z142)),IFERROR(Z138/Z142,""),"")</f>
        <v>0.898307370692561</v>
      </c>
      <c r="AA144" s="50" t="n">
        <f aca="false">IF(AND(ISNUMBER(AA138),ISNUMBER(AA142)),IFERROR(AA138/AA142,""),"")</f>
        <v>1.03630169437989</v>
      </c>
      <c r="AB144" s="50" t="n">
        <f aca="false">IF(AND(ISNUMBER(AB138),ISNUMBER(AB142)),IFERROR(AB138/AB142,""),"")</f>
        <v>1.55332442894981</v>
      </c>
      <c r="AC144" s="50" t="n">
        <f aca="false">IF(AND(ISNUMBER(AC138),ISNUMBER(AC142)),IFERROR(AC138/AC142,""),"")</f>
        <v>4.22016715853027</v>
      </c>
      <c r="AD144" s="50" t="n">
        <f aca="false">IF(AND(ISNUMBER(AD138),ISNUMBER(AD142)),IFERROR(AD138/AD142,""),"")</f>
        <v>0.735591917913484</v>
      </c>
      <c r="AE144" s="50" t="n">
        <f aca="false">IF(AND(ISNUMBER(AE138),ISNUMBER(AE142)),IFERROR(AE138/AE142,""),"")</f>
        <v>1.14559066337955</v>
      </c>
      <c r="AF144" s="50" t="n">
        <f aca="false">IF(AND(ISNUMBER(AF138),ISNUMBER(AF142)),IFERROR(AF138/AF142,""),"")</f>
        <v>1.44876180981943</v>
      </c>
      <c r="AG144" s="50" t="n">
        <f aca="false">IF(AND(ISNUMBER(AG138),ISNUMBER(AG142)),IFERROR(AG138/AG142,""),"")</f>
        <v>1.53516722559594</v>
      </c>
      <c r="AH144" s="50" t="n">
        <f aca="false">IF(AND(ISNUMBER(AH138),ISNUMBER(AH142)),IFERROR(AH138/AH142,""),"")</f>
        <v>4.86376805033724</v>
      </c>
      <c r="AI144" s="50" t="n">
        <f aca="false">IF(AND(ISNUMBER(AI138),ISNUMBER(AI142)),IFERROR(AI138/AI142,""),"")</f>
        <v>0.987666334751517</v>
      </c>
      <c r="AJ144" s="50" t="n">
        <f aca="false">IF(AND(ISNUMBER(AJ138),ISNUMBER(AJ142)),IFERROR(AJ138/AJ142,""),"")</f>
        <v>1.69495059378116</v>
      </c>
      <c r="AK144" s="50" t="n">
        <f aca="false">IF(AND(ISNUMBER(AK138),ISNUMBER(AK142)),IFERROR(AK138/AK142,""),"")</f>
        <v>1.69696072177162</v>
      </c>
      <c r="AL144" s="50" t="n">
        <f aca="false">IF(AND(ISNUMBER(AL138),ISNUMBER(AL142)),IFERROR(AL138/AL142,""),"")</f>
        <v>1.90657582802035</v>
      </c>
      <c r="AM144" s="50" t="n">
        <f aca="false">IF(AND(ISNUMBER(AM138),ISNUMBER(AM142)),IFERROR(AM138/AM142,""),"")</f>
        <v>6.28244326984416</v>
      </c>
      <c r="AN144" s="50" t="n">
        <f aca="false">IF(AND(ISNUMBER(AN138),ISNUMBER(AN142)),IFERROR(AN138/AN142,""),"")</f>
        <v>1.29893221804248</v>
      </c>
      <c r="AO144" s="50" t="n">
        <f aca="false">IF(AND(ISNUMBER(AO138),ISNUMBER(AO142)),IFERROR(AO138/AO142,""),"")</f>
        <v>1.87267879695028</v>
      </c>
      <c r="AP144" s="50" t="n">
        <f aca="false">IF(AND(ISNUMBER(AP138),ISNUMBER(AP142)),IFERROR(AP138/AP142,""),"")</f>
        <v>1.93191130675033</v>
      </c>
      <c r="AQ144" s="50" t="n">
        <f aca="false">IF(AND(ISNUMBER(AQ138),ISNUMBER(AQ142)),IFERROR(AQ138/AQ142,""),"")</f>
        <v>2.09450183896737</v>
      </c>
      <c r="AR144" s="50" t="n">
        <f aca="false">IF(AND(ISNUMBER(AR138),ISNUMBER(AR142)),IFERROR(AR138/AR142,""),"")</f>
        <v>7.1967757785629</v>
      </c>
      <c r="AS144" s="50" t="n">
        <f aca="false">IF(AND(ISNUMBER(AS138),ISNUMBER(AS142)),IFERROR(AS138/AS142,""),"")</f>
        <v>1.21916807989448</v>
      </c>
      <c r="AT144" s="50" t="n">
        <f aca="false">IF(AND(ISNUMBER(AT138),ISNUMBER(AT142)),IFERROR(AT138/AT142,""),"")</f>
        <v>0.745105575440198</v>
      </c>
      <c r="AU144" s="50" t="n">
        <f aca="false">IF(AND(ISNUMBER(AU138),ISNUMBER(AU142)),IFERROR(AU138/AU142,""),"")</f>
        <v>1.55542183174871</v>
      </c>
      <c r="AV144" s="50" t="n">
        <f aca="false">IF(AND(ISNUMBER(AV138),ISNUMBER(AV142)),IFERROR(AV138/AV142,""),"")</f>
        <v>1.31022349486763</v>
      </c>
      <c r="AW144" s="50" t="n">
        <f aca="false">IF(AND(ISNUMBER(AW138),ISNUMBER(AW142)),IFERROR(AW138/AW142,""),"")</f>
        <v>4.82514734774066</v>
      </c>
      <c r="AX144" s="50" t="n">
        <f aca="false">IF(AND(ISNUMBER(AX138),ISNUMBER(AX142)),IFERROR(AX138/AX142,""),"")</f>
        <v>1.45283756382381</v>
      </c>
      <c r="AY144" s="50" t="n">
        <f aca="false">IF(AND(ISNUMBER(AY138),ISNUMBER(AY142)),IFERROR(AY138/AY142,""),"")</f>
        <v>1.5008676524502</v>
      </c>
      <c r="AZ144" s="50" t="n">
        <f aca="false">IF(AND(ISNUMBER(AZ138),ISNUMBER(AZ142)),IFERROR(AZ138/AZ142,""),"")</f>
        <v>1.70970590399568</v>
      </c>
      <c r="BA144" s="50" t="n">
        <f aca="false">IF(AND(ISNUMBER(BA138),ISNUMBER(BA142)),IFERROR(BA138/BA142,""),"")</f>
        <v>1.94812892721769</v>
      </c>
      <c r="BB144" s="50" t="n">
        <f aca="false">IF(AND(ISNUMBER(BB138),ISNUMBER(BB142)),IFERROR(BB138/BB142,""),"")</f>
        <v>6.61006507162827</v>
      </c>
      <c r="BC144" s="50" t="n">
        <f aca="false">IF(AND(ISNUMBER(BC138),ISNUMBER(BC142)),IFERROR(BC138/BC142,""),"")</f>
        <v>1.05796234657791</v>
      </c>
      <c r="BD144" s="50" t="n">
        <f aca="false">IF(AND(ISNUMBER(BD138),ISNUMBER(BD142)),IFERROR(BD138/BD142,""),"")</f>
        <v>1.84423222045851</v>
      </c>
      <c r="BE144" s="50" t="n">
        <f aca="false">IF(AND(ISNUMBER(BE138),ISNUMBER(BE142)),IFERROR(BE138/BE142,""),"")</f>
        <v>1.92264386989158</v>
      </c>
      <c r="BF144" s="50" t="n">
        <f aca="false">IF(AND(ISNUMBER(BF138),ISNUMBER(BF142)),IFERROR(BF138/BF142,""),"")</f>
        <v>2.84685084604136</v>
      </c>
      <c r="BG144" s="50" t="n">
        <f aca="false">IF(AND(ISNUMBER(BG138),ISNUMBER(BG142)),IFERROR(BG138/BG142,""),"")</f>
        <v>7.66810816443495</v>
      </c>
      <c r="BH144" s="50" t="n">
        <f aca="false">IF(AND(ISNUMBER(BH138),ISNUMBER(BH142)),IFERROR(BH138/BH142,""),"")</f>
        <v>1.48411351591259</v>
      </c>
      <c r="BI144" s="50" t="n">
        <f aca="false">IF(AND(ISNUMBER(BI138),ISNUMBER(BI142)),IFERROR(BI138/BI142,""),"")</f>
        <v>2.11325628114482</v>
      </c>
      <c r="BJ144" s="50" t="n">
        <f aca="false">IF(AND(ISNUMBER(BJ138),ISNUMBER(BJ142)),IFERROR(BJ138/BJ142,""),"")</f>
        <v>2.52783074311088</v>
      </c>
      <c r="BK144" s="50" t="n">
        <f aca="false">IF(AND(ISNUMBER(BK138),ISNUMBER(BK142)),IFERROR(BK138/BK142,""),"")</f>
        <v>3.1357763130362</v>
      </c>
      <c r="BL144" s="50" t="n">
        <f aca="false">IF(AND(ISNUMBER(BL138),ISNUMBER(BL142)),IFERROR(BL138/BL142,""),"")</f>
        <v>9.26021994096597</v>
      </c>
      <c r="BM144" s="50" t="n">
        <f aca="false">IF(AND(ISNUMBER(BM138),ISNUMBER(BM142)),IFERROR(BM138/BM142,""),"")</f>
        <v>1.99966016625712</v>
      </c>
      <c r="BN144" s="50" t="n">
        <f aca="false">IF(AND(ISNUMBER(BN138),ISNUMBER(BN142)),IFERROR(BN138/BN142,""),"")</f>
        <v>2.59701843245784</v>
      </c>
      <c r="BO144" s="50" t="n">
        <f aca="false">IF(AND(ISNUMBER(BO138),ISNUMBER(BO142)),IFERROR(BO138/BO142,""),"")</f>
        <v>2.90933835845896</v>
      </c>
      <c r="BP144" s="50" t="n">
        <f aca="false">IF(AND(ISNUMBER(BP138),ISNUMBER(BP142)),IFERROR(BP138/BP142,""),"")</f>
        <v>3.1116861171252</v>
      </c>
      <c r="BQ144" s="50" t="n">
        <f aca="false">IF(AND(ISNUMBER(BQ138),ISNUMBER(BQ142)),IFERROR(BQ138/BQ142,""),"")</f>
        <v>10.6145781458863</v>
      </c>
      <c r="BR144" s="50" t="n">
        <f aca="false">IF(AND(ISNUMBER(BR138),ISNUMBER(BR142)),IFERROR(BR138/BR142,""),"")</f>
        <v>2.68919672000637</v>
      </c>
      <c r="BS144" s="50" t="n">
        <f aca="false">IF(AND(ISNUMBER(BS138),ISNUMBER(BS142)),IFERROR(BS138/BS142,""),"")</f>
        <v>3.21184866815239</v>
      </c>
      <c r="BT144" s="50" t="n">
        <f aca="false">IF(AND(ISNUMBER(BT138),ISNUMBER(BT142)),IFERROR(BT138/BT142,""),"")</f>
        <v>3.33507881378573</v>
      </c>
      <c r="BU144" s="50" t="n">
        <f aca="false">IF(AND(ISNUMBER(BU138),ISNUMBER(BU142)),IFERROR(BU138/BU142,""),"")</f>
        <v>3.70996831586644</v>
      </c>
      <c r="BV144" s="50" t="n">
        <f aca="false">IF(AND(ISNUMBER(BV138),ISNUMBER(BV142)),IFERROR(BV138/BV142,""),"")</f>
        <v>12.9413902771467</v>
      </c>
      <c r="BW144" s="50" t="n">
        <f aca="false">IF(AND(ISNUMBER(BW138),ISNUMBER(BW142)),IFERROR(BW138/BW142,""),"")</f>
        <v>3.47415779060628</v>
      </c>
      <c r="BX144" s="50" t="n">
        <f aca="false">IF(AND(ISNUMBER(BX138),ISNUMBER(BX142)),IFERROR(BX138/BX142,""),"")</f>
        <v>4.09236849941796</v>
      </c>
      <c r="BY144" s="47" t="n">
        <f aca="false">IFERROR(BY138/BY142,"")</f>
        <v>3.87025311881632</v>
      </c>
      <c r="BZ144" s="47" t="n">
        <f aca="false">IFERROR(BZ138/BZ142,"")</f>
        <v>4.26034287270048</v>
      </c>
      <c r="CA144" s="47" t="n">
        <f aca="false">IFERROR(CA138/CA142,"")</f>
        <v>15.6934239054012</v>
      </c>
      <c r="CB144" s="47" t="n">
        <f aca="false">IFERROR(CB138/CB142,"")</f>
        <v>17.6044562161174</v>
      </c>
      <c r="CC144" s="47" t="n">
        <f aca="false">IFERROR(CC138/CC142,"")</f>
        <v>19.6864331596068</v>
      </c>
      <c r="CD144" s="47" t="n">
        <f aca="false">IFERROR(CD138/CD142,"")</f>
        <v>21.7996022803433</v>
      </c>
      <c r="CE144" s="47" t="n">
        <f aca="false">IFERROR(CE138/CE142,"")</f>
        <v>24.1249537989347</v>
      </c>
    </row>
    <row r="145" customFormat="false" ht="15" hidden="false" customHeight="false" outlineLevel="0" collapsed="false">
      <c r="B145" s="15" t="s">
        <v>318</v>
      </c>
      <c r="C145" s="51" t="n">
        <f aca="false">IF(AND(ISNUMBER(C138),ISNUMBER(C143)),IFERROR(C138/C143,""),"")</f>
        <v>1.81731853656336</v>
      </c>
      <c r="D145" s="51" t="n">
        <f aca="false">IF(AND(ISNUMBER(D138),ISNUMBER(D143)),IFERROR(D138/D143,""),"")</f>
        <v>2.31948242513173</v>
      </c>
      <c r="E145" s="51" t="n">
        <f aca="false">IF(AND(ISNUMBER(E138),ISNUMBER(E143)),IFERROR(E138/E143,""),"")</f>
        <v>2.44831842024067</v>
      </c>
      <c r="F145" s="51" t="n">
        <f aca="false">IF(AND(ISNUMBER(F138),ISNUMBER(F143)),IFERROR(F138/F143,""),"")</f>
        <v>2.08383849436481</v>
      </c>
      <c r="G145" s="51" t="n">
        <f aca="false">IF(AND(ISNUMBER(G138),ISNUMBER(G143)),IFERROR(G138/G143,""),"")</f>
        <v>2.3012391520228</v>
      </c>
      <c r="H145" s="51" t="n">
        <f aca="false">IF(AND(ISNUMBER(H138),ISNUMBER(H143)),IFERROR(H138/H143,""),"")</f>
        <v>2.77419011762704</v>
      </c>
      <c r="I145" s="51" t="n">
        <f aca="false">IF(AND(ISNUMBER(I138),ISNUMBER(I143)),IFERROR(I138/I143,""),"")</f>
        <v>2.4011642622121</v>
      </c>
      <c r="J145" s="51" t="n">
        <f aca="false">IF(AND(ISNUMBER(J138),ISNUMBER(J143)),IFERROR(J138/J143,""),"")</f>
        <v>0.441063117326201</v>
      </c>
      <c r="K145" s="51" t="n">
        <f aca="false">IF(AND(ISNUMBER(K138),ISNUMBER(K143)),IFERROR(K138/K143,""),"")</f>
        <v>0.702422800850401</v>
      </c>
      <c r="L145" s="51" t="n">
        <f aca="false">IF(AND(ISNUMBER(L138),ISNUMBER(L143)),IFERROR(L138/L143,""),"")</f>
        <v>0.756527890477083</v>
      </c>
      <c r="M145" s="51" t="n">
        <f aca="false">IF(AND(ISNUMBER(M138),ISNUMBER(M143)),IFERROR(M138/M143,""),"")</f>
        <v>0.973575353460518</v>
      </c>
      <c r="N145" s="51" t="n">
        <f aca="false">IF(AND(ISNUMBER(N138),ISNUMBER(N143)),IFERROR(N138/N143,""),"")</f>
        <v>2.87988395391551</v>
      </c>
      <c r="O145" s="51" t="n">
        <f aca="false">IF(AND(ISNUMBER(O138),ISNUMBER(O143)),IFERROR(O138/O143,""),"")</f>
        <v>0.715733767555466</v>
      </c>
      <c r="P145" s="51" t="n">
        <f aca="false">IF(AND(ISNUMBER(P138),ISNUMBER(P143)),IFERROR(P138/P143,""),"")</f>
        <v>0.739068624464347</v>
      </c>
      <c r="Q145" s="51" t="n">
        <f aca="false">IF(AND(ISNUMBER(Q138),ISNUMBER(Q143)),IFERROR(Q138/Q143,""),"")</f>
        <v>0.509826683774263</v>
      </c>
      <c r="R145" s="51" t="n">
        <f aca="false">IF(AND(ISNUMBER(R138),ISNUMBER(R143)),IFERROR(R138/R143,""),"")</f>
        <v>0.342500766792762</v>
      </c>
      <c r="S145" s="51" t="n">
        <f aca="false">IF(AND(ISNUMBER(S138),ISNUMBER(S143)),IFERROR(S138/S143,""),"")</f>
        <v>2.30948548140602</v>
      </c>
      <c r="T145" s="51" t="n">
        <f aca="false">IF(AND(ISNUMBER(T138),ISNUMBER(T143)),IFERROR(T138/T143,""),"")</f>
        <v>0.328141672822785</v>
      </c>
      <c r="U145" s="51" t="n">
        <f aca="false">IF(AND(ISNUMBER(U138),ISNUMBER(U143)),IFERROR(U138/U143,""),"")</f>
        <v>0.53332090016163</v>
      </c>
      <c r="V145" s="51" t="n">
        <f aca="false">IF(AND(ISNUMBER(V138),ISNUMBER(V143)),IFERROR(V138/V143,""),"")</f>
        <v>0.714927734993142</v>
      </c>
      <c r="W145" s="51" t="n">
        <f aca="false">IF(AND(ISNUMBER(W138),ISNUMBER(W143)),IFERROR(W138/W143,""),"")</f>
        <v>1.51375073142188</v>
      </c>
      <c r="X145" s="51" t="n">
        <f aca="false">IF(AND(ISNUMBER(X138),ISNUMBER(X143)),IFERROR(X138/X143,""),"")</f>
        <v>3.05487651209677</v>
      </c>
      <c r="Y145" s="51" t="n">
        <f aca="false">IF(AND(ISNUMBER(Y138),ISNUMBER(Y143)),IFERROR(Y138/Y143,""),"")</f>
        <v>0.725442086648984</v>
      </c>
      <c r="Z145" s="51" t="n">
        <f aca="false">IF(AND(ISNUMBER(Z138),ISNUMBER(Z143)),IFERROR(Z138/Z143,""),"")</f>
        <v>0.88484190948543</v>
      </c>
      <c r="AA145" s="51" t="n">
        <f aca="false">IF(AND(ISNUMBER(AA138),ISNUMBER(AA143)),IFERROR(AA138/AA143,""),"")</f>
        <v>1.02077916305532</v>
      </c>
      <c r="AB145" s="51" t="n">
        <f aca="false">IF(AND(ISNUMBER(AB138),ISNUMBER(AB143)),IFERROR(AB138/AB143,""),"")</f>
        <v>1.53216622379028</v>
      </c>
      <c r="AC145" s="51" t="n">
        <f aca="false">IF(AND(ISNUMBER(AC138),ISNUMBER(AC143)),IFERROR(AC138/AC143,""),"")</f>
        <v>4.15870795870796</v>
      </c>
      <c r="AD145" s="51" t="n">
        <f aca="false">IF(AND(ISNUMBER(AD138),ISNUMBER(AD143)),IFERROR(AD138/AD143,""),"")</f>
        <v>0.725523851983951</v>
      </c>
      <c r="AE145" s="51" t="n">
        <f aca="false">IF(AND(ISNUMBER(AE138),ISNUMBER(AE143)),IFERROR(AE138/AE143,""),"")</f>
        <v>1.1304037315598</v>
      </c>
      <c r="AF145" s="51" t="n">
        <f aca="false">IF(AND(ISNUMBER(AF138),ISNUMBER(AF143)),IFERROR(AF138/AF143,""),"")</f>
        <v>1.43096271762968</v>
      </c>
      <c r="AG145" s="51" t="n">
        <f aca="false">IF(AND(ISNUMBER(AG138),ISNUMBER(AG143)),IFERROR(AG138/AG143,""),"")</f>
        <v>1.51593126286584</v>
      </c>
      <c r="AH145" s="51" t="n">
        <f aca="false">IF(AND(ISNUMBER(AH138),ISNUMBER(AH143)),IFERROR(AH138/AH143,""),"")</f>
        <v>4.80085342150533</v>
      </c>
      <c r="AI145" s="51" t="n">
        <f aca="false">IF(AND(ISNUMBER(AI138),ISNUMBER(AI143)),IFERROR(AI138/AI143,""),"")</f>
        <v>0.976834236089351</v>
      </c>
      <c r="AJ145" s="51" t="n">
        <f aca="false">IF(AND(ISNUMBER(AJ138),ISNUMBER(AJ143)),IFERROR(AJ138/AJ143,""),"")</f>
        <v>1.67862994635603</v>
      </c>
      <c r="AK145" s="51" t="n">
        <f aca="false">IF(AND(ISNUMBER(AK138),ISNUMBER(AK143)),IFERROR(AK138/AK143,""),"")</f>
        <v>1.68004240537736</v>
      </c>
      <c r="AL145" s="51" t="n">
        <f aca="false">IF(AND(ISNUMBER(AL138),ISNUMBER(AL143)),IFERROR(AL138/AL143,""),"")</f>
        <v>1.89198757480243</v>
      </c>
      <c r="AM145" s="51" t="n">
        <f aca="false">IF(AND(ISNUMBER(AM138),ISNUMBER(AM143)),IFERROR(AM138/AM143,""),"")</f>
        <v>6.22233504828956</v>
      </c>
      <c r="AN145" s="51" t="n">
        <f aca="false">IF(AND(ISNUMBER(AN138),ISNUMBER(AN143)),IFERROR(AN138/AN143,""),"")</f>
        <v>1.29111895582702</v>
      </c>
      <c r="AO145" s="51" t="n">
        <f aca="false">IF(AND(ISNUMBER(AO138),ISNUMBER(AO143)),IFERROR(AO138/AO143,""),"")</f>
        <v>1.86110078095946</v>
      </c>
      <c r="AP145" s="51" t="n">
        <f aca="false">IF(AND(ISNUMBER(AP138),ISNUMBER(AP143)),IFERROR(AP138/AP143,""),"")</f>
        <v>1.91906035585533</v>
      </c>
      <c r="AQ145" s="51" t="n">
        <f aca="false">IF(AND(ISNUMBER(AQ138),ISNUMBER(AQ143)),IFERROR(AQ138/AQ143,""),"")</f>
        <v>2.07993300144233</v>
      </c>
      <c r="AR145" s="51" t="n">
        <f aca="false">IF(AND(ISNUMBER(AR138),ISNUMBER(AR143)),IFERROR(AR138/AR143,""),"")</f>
        <v>7.15043239724753</v>
      </c>
      <c r="AS145" s="51" t="n">
        <f aca="false">IF(AND(ISNUMBER(AS138),ISNUMBER(AS143)),IFERROR(AS138/AS143,""),"")</f>
        <v>1.21021744213234</v>
      </c>
      <c r="AT145" s="51" t="n">
        <f aca="false">IF(AND(ISNUMBER(AT138),ISNUMBER(AT143)),IFERROR(AT138/AT143,""),"")</f>
        <v>0.741082307967985</v>
      </c>
      <c r="AU145" s="51" t="n">
        <f aca="false">IF(AND(ISNUMBER(AU138),ISNUMBER(AU143)),IFERROR(AU138/AU143,""),"")</f>
        <v>1.54604397444793</v>
      </c>
      <c r="AV145" s="51" t="n">
        <f aca="false">IF(AND(ISNUMBER(AV138),ISNUMBER(AV143)),IFERROR(AV138/AV143,""),"")</f>
        <v>1.30229136517125</v>
      </c>
      <c r="AW145" s="51" t="n">
        <f aca="false">IF(AND(ISNUMBER(AW138),ISNUMBER(AW143)),IFERROR(AW138/AW143,""),"")</f>
        <v>4.79516178956641</v>
      </c>
      <c r="AX145" s="51" t="n">
        <f aca="false">IF(AND(ISNUMBER(AX138),ISNUMBER(AX143)),IFERROR(AX138/AX143,""),"")</f>
        <v>1.44682869863513</v>
      </c>
      <c r="AY145" s="51" t="n">
        <f aca="false">IF(AND(ISNUMBER(AY138),ISNUMBER(AY143)),IFERROR(AY138/AY143,""),"")</f>
        <v>1.49454828660436</v>
      </c>
      <c r="AZ145" s="51" t="n">
        <f aca="false">IF(AND(ISNUMBER(AZ138),ISNUMBER(AZ143)),IFERROR(AZ138/AZ143,""),"")</f>
        <v>1.70214896214896</v>
      </c>
      <c r="BA145" s="51" t="n">
        <f aca="false">IF(AND(ISNUMBER(BA138),ISNUMBER(BA143)),IFERROR(BA138/BA143,""),"")</f>
        <v>1.93753162635361</v>
      </c>
      <c r="BB145" s="51" t="n">
        <f aca="false">IF(AND(ISNUMBER(BB138),ISNUMBER(BB143)),IFERROR(BB138/BB143,""),"")</f>
        <v>6.57994680065021</v>
      </c>
      <c r="BC145" s="51" t="n">
        <f aca="false">IF(AND(ISNUMBER(BC138),ISNUMBER(BC143)),IFERROR(BC138/BC143,""),"")</f>
        <v>1.05216199441399</v>
      </c>
      <c r="BD145" s="51" t="n">
        <f aca="false">IF(AND(ISNUMBER(BD138),ISNUMBER(BD143)),IFERROR(BD138/BD143,""),"")</f>
        <v>1.83349718011072</v>
      </c>
      <c r="BE145" s="51" t="n">
        <f aca="false">IF(AND(ISNUMBER(BE138),ISNUMBER(BE143)),IFERROR(BE138/BE143,""),"")</f>
        <v>1.90876394027997</v>
      </c>
      <c r="BF145" s="51" t="n">
        <f aca="false">IF(AND(ISNUMBER(BF138),ISNUMBER(BF143)),IFERROR(BF138/BF143,""),"")</f>
        <v>2.82201744622473</v>
      </c>
      <c r="BG145" s="51" t="n">
        <f aca="false">IF(AND(ISNUMBER(BG138),ISNUMBER(BG143)),IFERROR(BG138/BG143,""),"")</f>
        <v>7.61592796708841</v>
      </c>
      <c r="BH145" s="51" t="n">
        <f aca="false">IF(AND(ISNUMBER(BH138),ISNUMBER(BH143)),IFERROR(BH138/BH143,""),"")</f>
        <v>1.47590611693842</v>
      </c>
      <c r="BI145" s="51" t="n">
        <f aca="false">IF(AND(ISNUMBER(BI138),ISNUMBER(BI143)),IFERROR(BI138/BI143,""),"")</f>
        <v>2.1008688886007</v>
      </c>
      <c r="BJ145" s="51" t="n">
        <f aca="false">IF(AND(ISNUMBER(BJ138),ISNUMBER(BJ143)),IFERROR(BJ138/BJ143,""),"")</f>
        <v>2.50993308781576</v>
      </c>
      <c r="BK145" s="51" t="n">
        <f aca="false">IF(AND(ISNUMBER(BK138),ISNUMBER(BK143)),IFERROR(BK138/BK143,""),"")</f>
        <v>3.11354369562395</v>
      </c>
      <c r="BL145" s="51" t="n">
        <f aca="false">IF(AND(ISNUMBER(BL138),ISNUMBER(BL143)),IFERROR(BL138/BL143,""),"")</f>
        <v>9.20109527888085</v>
      </c>
      <c r="BM145" s="51" t="n">
        <f aca="false">IF(AND(ISNUMBER(BM138),ISNUMBER(BM143)),IFERROR(BM138/BM143,""),"")</f>
        <v>1.9904504176316</v>
      </c>
      <c r="BN145" s="51" t="n">
        <f aca="false">IF(AND(ISNUMBER(BN138),ISNUMBER(BN143)),IFERROR(BN138/BN143,""),"")</f>
        <v>2.5835952312927</v>
      </c>
      <c r="BO145" s="51" t="n">
        <f aca="false">IF(AND(ISNUMBER(BO138),ISNUMBER(BO143)),IFERROR(BO138/BO143,""),"")</f>
        <v>2.89095212088112</v>
      </c>
      <c r="BP145" s="51" t="n">
        <f aca="false">IF(AND(ISNUMBER(BP138),ISNUMBER(BP143)),IFERROR(BP138/BP143,""),"")</f>
        <v>3.09022733828041</v>
      </c>
      <c r="BQ145" s="51" t="n">
        <f aca="false">IF(AND(ISNUMBER(BQ138),ISNUMBER(BQ143)),IFERROR(BQ138/BQ143,""),"")</f>
        <v>10.5537226695854</v>
      </c>
      <c r="BR145" s="51" t="n">
        <f aca="false">IF(AND(ISNUMBER(BR138),ISNUMBER(BR143)),IFERROR(BR138/BR143,""),"")</f>
        <v>2.67726083855116</v>
      </c>
      <c r="BS145" s="51" t="n">
        <f aca="false">IF(AND(ISNUMBER(BS138),ISNUMBER(BS143)),IFERROR(BS138/BS143,""),"")</f>
        <v>3.19396881513337</v>
      </c>
      <c r="BT145" s="51" t="n">
        <f aca="false">IF(AND(ISNUMBER(BT138),ISNUMBER(BT143)),IFERROR(BT138/BT143,""),"")</f>
        <v>3.31444653904362</v>
      </c>
      <c r="BU145" s="51" t="n">
        <f aca="false">IF(AND(ISNUMBER(BU138),ISNUMBER(BU143)),IFERROR(BU138/BU143,""),"")</f>
        <v>3.68551597976972</v>
      </c>
      <c r="BV145" s="51" t="n">
        <f aca="false">IF(AND(ISNUMBER(BV138),ISNUMBER(BV143)),IFERROR(BV138/BV143,""),"")</f>
        <v>12.8677951688767</v>
      </c>
      <c r="BW145" s="51" t="n">
        <f aca="false">IF(AND(ISNUMBER(BW138),ISNUMBER(BW143)),IFERROR(BW138/BW143,""),"")</f>
        <v>3.45906416967996</v>
      </c>
      <c r="BX145" s="51" t="n">
        <f aca="false">IF(AND(ISNUMBER(BX138),ISNUMBER(BX143)),IFERROR(BX138/BX143,""),"")</f>
        <v>4.07241379310345</v>
      </c>
      <c r="BY145" s="52" t="n">
        <f aca="false">IFERROR(BY138/BY143,"")</f>
        <v>3.85126869155755</v>
      </c>
      <c r="BZ145" s="52" t="n">
        <f aca="false">IFERROR(BZ138/BZ143,"")</f>
        <v>4.23928769469131</v>
      </c>
      <c r="CA145" s="52" t="n">
        <f aca="false">IFERROR(CA138/CA143,"")</f>
        <v>15.6186231719174</v>
      </c>
      <c r="CB145" s="52" t="n">
        <f aca="false">IFERROR(CB138/CB143,"")</f>
        <v>17.507791666668</v>
      </c>
      <c r="CC145" s="52" t="n">
        <f aca="false">IFERROR(CC138/CC143,"")</f>
        <v>19.5769042351483</v>
      </c>
      <c r="CD145" s="52" t="n">
        <f aca="false">IFERROR(CD138/CD143,"")</f>
        <v>21.6766963839043</v>
      </c>
      <c r="CE145" s="52" t="n">
        <f aca="false">IFERROR(CE138/CE143,"")</f>
        <v>23.9868534422052</v>
      </c>
      <c r="CF145" s="18" t="s">
        <v>319</v>
      </c>
    </row>
    <row r="146" customFormat="false" ht="15" hidden="false" customHeight="false" outlineLevel="0" collapsed="false">
      <c r="B146" s="20" t="s">
        <v>320</v>
      </c>
      <c r="C146" s="50" t="n">
        <f aca="false">IF(AND(ISNUMBER(C136),ISNUMBER(C143)),IFERROR(C136/C143,""),"")</f>
        <v>1.81731853656336</v>
      </c>
      <c r="D146" s="50" t="n">
        <f aca="false">IF(AND(ISNUMBER(D136),ISNUMBER(D143)),IFERROR(D136/D143,""),"")</f>
        <v>2.31948242513173</v>
      </c>
      <c r="E146" s="50" t="n">
        <f aca="false">IF(AND(ISNUMBER(E136),ISNUMBER(E143)),IFERROR(E136/E143,""),"")</f>
        <v>2.44831842024067</v>
      </c>
      <c r="F146" s="50" t="n">
        <f aca="false">IF(AND(ISNUMBER(F136),ISNUMBER(F143)),IFERROR(F136/F143,""),"")</f>
        <v>2.08383849436481</v>
      </c>
      <c r="G146" s="50" t="n">
        <f aca="false">IF(AND(ISNUMBER(G136),ISNUMBER(G143)),IFERROR(G136/G143,""),"")</f>
        <v>2.3012391520228</v>
      </c>
      <c r="H146" s="50" t="n">
        <f aca="false">IF(AND(ISNUMBER(H136),ISNUMBER(H143)),IFERROR(H136/H143,""),"")</f>
        <v>2.77419011762704</v>
      </c>
      <c r="I146" s="50" t="n">
        <f aca="false">IF(AND(ISNUMBER(I136),ISNUMBER(I143)),IFERROR(I136/I143,""),"")</f>
        <v>1.94653252341179</v>
      </c>
      <c r="J146" s="50" t="n">
        <f aca="false">IF(AND(ISNUMBER(J136),ISNUMBER(J143)),IFERROR(J136/J143,""),"")</f>
        <v>0.441063117326201</v>
      </c>
      <c r="K146" s="50" t="n">
        <f aca="false">IF(AND(ISNUMBER(K136),ISNUMBER(K143)),IFERROR(K136/K143,""),"")</f>
        <v>0.702422800850401</v>
      </c>
      <c r="L146" s="50" t="n">
        <f aca="false">IF(AND(ISNUMBER(L136),ISNUMBER(L143)),IFERROR(L136/L143,""),"")</f>
        <v>0.756527890477083</v>
      </c>
      <c r="M146" s="50" t="n">
        <f aca="false">IF(AND(ISNUMBER(M136),ISNUMBER(M143)),IFERROR(M136/M143,""),"")</f>
        <v>0.973575353460518</v>
      </c>
      <c r="N146" s="50" t="n">
        <f aca="false">IF(AND(ISNUMBER(N136),ISNUMBER(N143)),IFERROR(N136/N143,""),"")</f>
        <v>2.87988395391551</v>
      </c>
      <c r="O146" s="50" t="n">
        <f aca="false">IF(AND(ISNUMBER(O136),ISNUMBER(O143)),IFERROR(O136/O143,""),"")</f>
        <v>0.715733767555466</v>
      </c>
      <c r="P146" s="50" t="n">
        <f aca="false">IF(AND(ISNUMBER(P136),ISNUMBER(P143)),IFERROR(P136/P143,""),"")</f>
        <v>0.930339771319482</v>
      </c>
      <c r="Q146" s="50" t="n">
        <f aca="false">IF(AND(ISNUMBER(Q136),ISNUMBER(Q143)),IFERROR(Q136/Q143,""),"")</f>
        <v>0.902425612512985</v>
      </c>
      <c r="R146" s="50" t="n">
        <f aca="false">IF(AND(ISNUMBER(R136),ISNUMBER(R143)),IFERROR(R136/R143,""),"")</f>
        <v>0.943298231264698</v>
      </c>
      <c r="S146" s="50" t="n">
        <f aca="false">IF(AND(ISNUMBER(S136),ISNUMBER(S143)),IFERROR(S136/S143,""),"")</f>
        <v>3.4630463576159</v>
      </c>
      <c r="T146" s="50" t="n">
        <f aca="false">IF(AND(ISNUMBER(T136),ISNUMBER(T143)),IFERROR(T136/T143,""),"")</f>
        <v>0.886953131412623</v>
      </c>
      <c r="U146" s="50" t="n">
        <f aca="false">IF(AND(ISNUMBER(U136),ISNUMBER(U143)),IFERROR(U136/U143,""),"")</f>
        <v>0.83138546976667</v>
      </c>
      <c r="V146" s="50" t="n">
        <f aca="false">IF(AND(ISNUMBER(V136),ISNUMBER(V143)),IFERROR(V136/V143,""),"")</f>
        <v>0.804768435488975</v>
      </c>
      <c r="W146" s="50" t="n">
        <f aca="false">IF(AND(ISNUMBER(W136),ISNUMBER(W143)),IFERROR(W136/W143,""),"")</f>
        <v>1.53353704787292</v>
      </c>
      <c r="X146" s="50" t="n">
        <f aca="false">IF(AND(ISNUMBER(X136),ISNUMBER(X143)),IFERROR(X136/X143,""),"")</f>
        <v>4.03746639784946</v>
      </c>
      <c r="Y146" s="50" t="n">
        <f aca="false">IF(AND(ISNUMBER(Y136),ISNUMBER(Y143)),IFERROR(Y136/Y143,""),"")</f>
        <v>0.725442086648984</v>
      </c>
      <c r="Z146" s="50" t="n">
        <f aca="false">IF(AND(ISNUMBER(Z136),ISNUMBER(Z143)),IFERROR(Z136/Z143,""),"")</f>
        <v>0.88484190948543</v>
      </c>
      <c r="AA146" s="50" t="n">
        <f aca="false">IF(AND(ISNUMBER(AA136),ISNUMBER(AA143)),IFERROR(AA136/AA143,""),"")</f>
        <v>1.02077916305532</v>
      </c>
      <c r="AB146" s="50" t="n">
        <f aca="false">IF(AND(ISNUMBER(AB136),ISNUMBER(AB143)),IFERROR(AB136/AB143,""),"")</f>
        <v>1.57800951253824</v>
      </c>
      <c r="AC146" s="50" t="n">
        <f aca="false">IF(AND(ISNUMBER(AC136),ISNUMBER(AC143)),IFERROR(AC136/AC143,""),"")</f>
        <v>4.2042846042846</v>
      </c>
      <c r="AD146" s="50" t="n">
        <f aca="false">IF(AND(ISNUMBER(AD136),ISNUMBER(AD143)),IFERROR(AD136/AD143,""),"")</f>
        <v>0.725523851983951</v>
      </c>
      <c r="AE146" s="50" t="n">
        <f aca="false">IF(AND(ISNUMBER(AE136),ISNUMBER(AE143)),IFERROR(AE136/AE143,""),"")</f>
        <v>1.1304037315598</v>
      </c>
      <c r="AF146" s="50" t="n">
        <f aca="false">IF(AND(ISNUMBER(AF136),ISNUMBER(AF143)),IFERROR(AF136/AF143,""),"")</f>
        <v>1.43096271762968</v>
      </c>
      <c r="AG146" s="50" t="n">
        <f aca="false">IF(AND(ISNUMBER(AG136),ISNUMBER(AG143)),IFERROR(AG136/AG143,""),"")</f>
        <v>1.51593126286584</v>
      </c>
      <c r="AH146" s="50" t="n">
        <f aca="false">IF(AND(ISNUMBER(AH136),ISNUMBER(AH143)),IFERROR(AH136/AH143,""),"")</f>
        <v>4.80085342150533</v>
      </c>
      <c r="AI146" s="50" t="n">
        <f aca="false">IF(AND(ISNUMBER(AI136),ISNUMBER(AI143)),IFERROR(AI136/AI143,""),"")</f>
        <v>0.976834236089351</v>
      </c>
      <c r="AJ146" s="50" t="n">
        <f aca="false">IF(AND(ISNUMBER(AJ136),ISNUMBER(AJ143)),IFERROR(AJ136/AJ143,""),"")</f>
        <v>1.67862994635603</v>
      </c>
      <c r="AK146" s="50" t="n">
        <f aca="false">IF(AND(ISNUMBER(AK136),ISNUMBER(AK143)),IFERROR(AK136/AK143,""),"")</f>
        <v>1.68004240537736</v>
      </c>
      <c r="AL146" s="50" t="n">
        <f aca="false">IF(AND(ISNUMBER(AL136),ISNUMBER(AL143)),IFERROR(AL136/AL143,""),"")</f>
        <v>1.89198757480243</v>
      </c>
      <c r="AM146" s="50" t="n">
        <f aca="false">IF(AND(ISNUMBER(AM136),ISNUMBER(AM143)),IFERROR(AM136/AM143,""),"")</f>
        <v>6.22233504828956</v>
      </c>
      <c r="AN146" s="50" t="n">
        <f aca="false">IF(AND(ISNUMBER(AN136),ISNUMBER(AN143)),IFERROR(AN136/AN143,""),"")</f>
        <v>1.29111895582702</v>
      </c>
      <c r="AO146" s="50" t="n">
        <f aca="false">IF(AND(ISNUMBER(AO136),ISNUMBER(AO143)),IFERROR(AO136/AO143,""),"")</f>
        <v>1.86110078095946</v>
      </c>
      <c r="AP146" s="50" t="n">
        <f aca="false">IF(AND(ISNUMBER(AP136),ISNUMBER(AP143)),IFERROR(AP136/AP143,""),"")</f>
        <v>1.91906035585533</v>
      </c>
      <c r="AQ146" s="50" t="n">
        <f aca="false">IF(AND(ISNUMBER(AQ136),ISNUMBER(AQ143)),IFERROR(AQ136/AQ143,""),"")</f>
        <v>2.07993300144233</v>
      </c>
      <c r="AR146" s="50" t="n">
        <f aca="false">IF(AND(ISNUMBER(AR136),ISNUMBER(AR143)),IFERROR(AR136/AR143,""),"")</f>
        <v>7.15043239724753</v>
      </c>
      <c r="AS146" s="50" t="n">
        <f aca="false">IF(AND(ISNUMBER(AS136),ISNUMBER(AS143)),IFERROR(AS136/AS143,""),"")</f>
        <v>1.21021744213234</v>
      </c>
      <c r="AT146" s="50" t="n">
        <f aca="false">IF(AND(ISNUMBER(AT136),ISNUMBER(AT143)),IFERROR(AT136/AT143,""),"")</f>
        <v>0.741082307967985</v>
      </c>
      <c r="AU146" s="50" t="n">
        <f aca="false">IF(AND(ISNUMBER(AU136),ISNUMBER(AU143)),IFERROR(AU136/AU143,""),"")</f>
        <v>1.54604397444793</v>
      </c>
      <c r="AV146" s="50" t="n">
        <f aca="false">IF(AND(ISNUMBER(AV136),ISNUMBER(AV143)),IFERROR(AV136/AV143,""),"")</f>
        <v>1.30229136517125</v>
      </c>
      <c r="AW146" s="50" t="n">
        <f aca="false">IF(AND(ISNUMBER(AW136),ISNUMBER(AW143)),IFERROR(AW136/AW143,""),"")</f>
        <v>4.79516178956641</v>
      </c>
      <c r="AX146" s="50" t="n">
        <f aca="false">IF(AND(ISNUMBER(AX136),ISNUMBER(AX143)),IFERROR(AX136/AX143,""),"")</f>
        <v>1.44682869863513</v>
      </c>
      <c r="AY146" s="50" t="n">
        <f aca="false">IF(AND(ISNUMBER(AY136),ISNUMBER(AY143)),IFERROR(AY136/AY143,""),"")</f>
        <v>1.49454828660436</v>
      </c>
      <c r="AZ146" s="50" t="n">
        <f aca="false">IF(AND(ISNUMBER(AZ136),ISNUMBER(AZ143)),IFERROR(AZ136/AZ143,""),"")</f>
        <v>1.70214896214896</v>
      </c>
      <c r="BA146" s="50" t="n">
        <f aca="false">IF(AND(ISNUMBER(BA136),ISNUMBER(BA143)),IFERROR(BA136/BA143,""),"")</f>
        <v>1.93753162635361</v>
      </c>
      <c r="BB146" s="50" t="n">
        <f aca="false">IF(AND(ISNUMBER(BB136),ISNUMBER(BB143)),IFERROR(BB136/BB143,""),"")</f>
        <v>6.57994680065021</v>
      </c>
      <c r="BC146" s="50" t="n">
        <f aca="false">IF(AND(ISNUMBER(BC136),ISNUMBER(BC143)),IFERROR(BC136/BC143,""),"")</f>
        <v>1.05216199441399</v>
      </c>
      <c r="BD146" s="50" t="n">
        <f aca="false">IF(AND(ISNUMBER(BD136),ISNUMBER(BD143)),IFERROR(BD136/BD143,""),"")</f>
        <v>1.83349718011072</v>
      </c>
      <c r="BE146" s="50" t="n">
        <f aca="false">IF(AND(ISNUMBER(BE136),ISNUMBER(BE143)),IFERROR(BE136/BE143,""),"")</f>
        <v>1.90876394027997</v>
      </c>
      <c r="BF146" s="50" t="n">
        <f aca="false">IF(AND(ISNUMBER(BF136),ISNUMBER(BF143)),IFERROR(BF136/BF143,""),"")</f>
        <v>2.82201744622473</v>
      </c>
      <c r="BG146" s="50" t="n">
        <f aca="false">IF(AND(ISNUMBER(BG136),ISNUMBER(BG143)),IFERROR(BG136/BG143,""),"")</f>
        <v>7.61592796708841</v>
      </c>
      <c r="BH146" s="50" t="n">
        <f aca="false">IF(AND(ISNUMBER(BH136),ISNUMBER(BH143)),IFERROR(BH136/BH143,""),"")</f>
        <v>1.47590611693842</v>
      </c>
      <c r="BI146" s="50" t="n">
        <f aca="false">IF(AND(ISNUMBER(BI136),ISNUMBER(BI143)),IFERROR(BI136/BI143,""),"")</f>
        <v>2.1008688886007</v>
      </c>
      <c r="BJ146" s="50" t="n">
        <f aca="false">IF(AND(ISNUMBER(BJ136),ISNUMBER(BJ143)),IFERROR(BJ136/BJ143,""),"")</f>
        <v>2.50993308781576</v>
      </c>
      <c r="BK146" s="50" t="n">
        <f aca="false">IF(AND(ISNUMBER(BK136),ISNUMBER(BK143)),IFERROR(BK136/BK143,""),"")</f>
        <v>3.11354369562395</v>
      </c>
      <c r="BL146" s="50" t="n">
        <f aca="false">IF(AND(ISNUMBER(BL136),ISNUMBER(BL143)),IFERROR(BL136/BL143,""),"")</f>
        <v>9.20109527888085</v>
      </c>
      <c r="BM146" s="50" t="n">
        <f aca="false">IF(AND(ISNUMBER(BM136),ISNUMBER(BM143)),IFERROR(BM136/BM143,""),"")</f>
        <v>1.9904504176316</v>
      </c>
      <c r="BN146" s="50" t="n">
        <f aca="false">IF(AND(ISNUMBER(BN136),ISNUMBER(BN143)),IFERROR(BN136/BN143,""),"")</f>
        <v>2.5835952312927</v>
      </c>
      <c r="BO146" s="50" t="n">
        <f aca="false">IF(AND(ISNUMBER(BO136),ISNUMBER(BO143)),IFERROR(BO136/BO143,""),"")</f>
        <v>2.89095212088112</v>
      </c>
      <c r="BP146" s="50" t="n">
        <f aca="false">IF(AND(ISNUMBER(BP136),ISNUMBER(BP143)),IFERROR(BP136/BP143,""),"")</f>
        <v>3.09022733828041</v>
      </c>
      <c r="BQ146" s="50" t="n">
        <f aca="false">IF(AND(ISNUMBER(BQ136),ISNUMBER(BQ143)),IFERROR(BQ136/BQ143,""),"")</f>
        <v>10.5537226695854</v>
      </c>
      <c r="BR146" s="50" t="n">
        <f aca="false">IF(AND(ISNUMBER(BR136),ISNUMBER(BR143)),IFERROR(BR136/BR143,""),"")</f>
        <v>2.67726083855116</v>
      </c>
      <c r="BS146" s="50" t="n">
        <f aca="false">IF(AND(ISNUMBER(BS136),ISNUMBER(BS143)),IFERROR(BS136/BS143,""),"")</f>
        <v>3.19396881513337</v>
      </c>
      <c r="BT146" s="50" t="n">
        <f aca="false">IF(AND(ISNUMBER(BT136),ISNUMBER(BT143)),IFERROR(BT136/BT143,""),"")</f>
        <v>3.31444653904362</v>
      </c>
      <c r="BU146" s="50" t="n">
        <f aca="false">IF(AND(ISNUMBER(BU136),ISNUMBER(BU143)),IFERROR(BU136/BU143,""),"")</f>
        <v>3.68551597976972</v>
      </c>
      <c r="BV146" s="50" t="n">
        <f aca="false">IF(AND(ISNUMBER(BV136),ISNUMBER(BV143)),IFERROR(BV136/BV143,""),"")</f>
        <v>12.8677951688767</v>
      </c>
      <c r="BW146" s="50" t="n">
        <f aca="false">IF(AND(ISNUMBER(BW136),ISNUMBER(BW143)),IFERROR(BW136/BW143,""),"")</f>
        <v>3.45906416967996</v>
      </c>
      <c r="BX146" s="50" t="n">
        <f aca="false">IF(AND(ISNUMBER(BX136),ISNUMBER(BX143)),IFERROR(BX136/BX143,""),"")</f>
        <v>4.07241379310345</v>
      </c>
      <c r="BY146" s="47" t="n">
        <f aca="false">IFERROR(BY136/BY143,"")</f>
        <v>3.85126869155755</v>
      </c>
      <c r="BZ146" s="47" t="n">
        <f aca="false">IFERROR(BZ136/BZ143,"")</f>
        <v>4.23928769469131</v>
      </c>
      <c r="CA146" s="47" t="n">
        <f aca="false">IFERROR(CA136/CA143,"")</f>
        <v>15.6186231719174</v>
      </c>
      <c r="CB146" s="47" t="n">
        <f aca="false">IFERROR(CB136/CB143,"")</f>
        <v>17.507791666668</v>
      </c>
      <c r="CC146" s="47" t="n">
        <f aca="false">IFERROR(CC136/CC143,"")</f>
        <v>19.5769042351483</v>
      </c>
      <c r="CD146" s="47" t="n">
        <f aca="false">IFERROR(CD136/CD143,"")</f>
        <v>21.6766963839043</v>
      </c>
      <c r="CE146" s="47" t="n">
        <f aca="false">IFERROR(CE136/CE143,"")</f>
        <v>23.9868534422052</v>
      </c>
      <c r="CH146" s="19" t="n">
        <f aca="false">IFERROR((CE146/BV146)^(1/5)-1,"n/m")</f>
        <v>0.132645042620317</v>
      </c>
      <c r="CI146" s="19" t="n">
        <f aca="false">IFERROR((BV146/AW146)^(1/5)-1,"n/m")</f>
        <v>0.218260532694365</v>
      </c>
      <c r="CJ146" s="19" t="n">
        <f aca="false">IFERROR((BV146/X146)^(1/10)-1,"n/m")</f>
        <v>0.122895966485161</v>
      </c>
      <c r="CK146" s="19" t="n">
        <f aca="false">IFERROR((BV146/C146)^(1/19)-1,"n/m")</f>
        <v>0.10851273947223</v>
      </c>
    </row>
    <row r="147" customFormat="false" ht="15" hidden="false" customHeight="false" outlineLevel="0" collapsed="false">
      <c r="B147" s="20" t="s">
        <v>321</v>
      </c>
      <c r="D147" s="21" t="n">
        <f aca="false">IF(AND(ISNUMBER(D146),ISNUMBER(C146)),IFERROR(D146/C146-1,""),"")</f>
        <v>0.276321337434872</v>
      </c>
      <c r="E147" s="21" t="n">
        <f aca="false">IF(AND(ISNUMBER(E146),ISNUMBER(D146)),IFERROR(E146/D146-1,""),"")</f>
        <v>0.055545148224877</v>
      </c>
      <c r="F147" s="21" t="n">
        <f aca="false">IF(AND(ISNUMBER(F146),ISNUMBER(E146)),IFERROR(F146/E146-1,""),"")</f>
        <v>-0.148869494614197</v>
      </c>
      <c r="G147" s="21" t="n">
        <f aca="false">IF(AND(ISNUMBER(G146),ISNUMBER(F146)),IFERROR(G146/F146-1,""),"")</f>
        <v>0.104327018742522</v>
      </c>
      <c r="H147" s="21" t="n">
        <f aca="false">IF(AND(ISNUMBER(H146),ISNUMBER(G146)),IFERROR(H146/G146-1,""),"")</f>
        <v>0.205520128226796</v>
      </c>
      <c r="I147" s="21" t="n">
        <f aca="false">IF(AND(ISNUMBER(I146),ISNUMBER(H146)),IFERROR(I146/H146-1,""),"")</f>
        <v>-0.298342059888528</v>
      </c>
      <c r="N147" s="21" t="n">
        <f aca="false">IF(AND(ISNUMBER(N146),ISNUMBER(I146)),IFERROR(N146/I146-1,""),"")</f>
        <v>0.479494392864181</v>
      </c>
      <c r="O147" s="21" t="n">
        <f aca="false">IF(AND(ISNUMBER(O146),ISNUMBER(J146)),IFERROR(O146/J146-1,""),"")</f>
        <v>0.622746812053488</v>
      </c>
      <c r="P147" s="21" t="n">
        <f aca="false">IF(AND(ISNUMBER(P146),ISNUMBER(K146)),IFERROR(P146/K146-1,""),"")</f>
        <v>0.324472625594085</v>
      </c>
      <c r="Q147" s="21" t="n">
        <f aca="false">IF(AND(ISNUMBER(Q146),ISNUMBER(L146)),IFERROR(Q146/L146-1,""),"")</f>
        <v>0.192851742642159</v>
      </c>
      <c r="R147" s="21" t="n">
        <f aca="false">IF(AND(ISNUMBER(R146),ISNUMBER(M146)),IFERROR(R146/M146-1,""),"")</f>
        <v>-0.0310988996262097</v>
      </c>
      <c r="S147" s="21" t="n">
        <f aca="false">IF(AND(ISNUMBER(S146),ISNUMBER(N146)),IFERROR(S146/N146-1,""),"")</f>
        <v>0.20249510502238</v>
      </c>
      <c r="T147" s="21" t="n">
        <f aca="false">IF(AND(ISNUMBER(T146),ISNUMBER(O146)),IFERROR(T146/O146-1,""),"")</f>
        <v>0.239222140436302</v>
      </c>
      <c r="U147" s="21" t="n">
        <f aca="false">IF(AND(ISNUMBER(U146),ISNUMBER(P146)),IFERROR(U146/P146-1,""),"")</f>
        <v>-0.106363615319237</v>
      </c>
      <c r="V147" s="21" t="n">
        <f aca="false">IF(AND(ISNUMBER(V146),ISNUMBER(Q146)),IFERROR(V146/Q146-1,""),"")</f>
        <v>-0.108216317965604</v>
      </c>
      <c r="W147" s="21" t="n">
        <f aca="false">IF(AND(ISNUMBER(W146),ISNUMBER(R146)),IFERROR(W146/R146-1,""),"")</f>
        <v>0.625718141988749</v>
      </c>
      <c r="X147" s="21" t="n">
        <f aca="false">IF(AND(ISNUMBER(X146),ISNUMBER(S146)),IFERROR(X146/S146-1,""),"")</f>
        <v>0.165871311243148</v>
      </c>
      <c r="Y147" s="21" t="n">
        <f aca="false">IF(AND(ISNUMBER(Y146),ISNUMBER(T146)),IFERROR(Y146/T146-1,""),"")</f>
        <v>-0.182096481813425</v>
      </c>
      <c r="Z147" s="21" t="n">
        <f aca="false">IF(AND(ISNUMBER(Z146),ISNUMBER(U146)),IFERROR(Z146/U146-1,""),"")</f>
        <v>0.0642980201876311</v>
      </c>
      <c r="AA147" s="21" t="n">
        <f aca="false">IF(AND(ISNUMBER(AA146),ISNUMBER(V146)),IFERROR(AA146/V146-1,""),"")</f>
        <v>0.268413518772134</v>
      </c>
      <c r="AB147" s="21" t="n">
        <f aca="false">IF(AND(ISNUMBER(AB146),ISNUMBER(W146)),IFERROR(AB146/W146-1,""),"")</f>
        <v>0.0289999284510334</v>
      </c>
      <c r="AC147" s="21" t="n">
        <f aca="false">IF(AND(ISNUMBER(AC146),ISNUMBER(X146)),IFERROR(AC146/X146-1,""),"")</f>
        <v>0.0413175466980973</v>
      </c>
      <c r="AD147" s="21" t="n">
        <f aca="false">IF(AND(ISNUMBER(AD146),ISNUMBER(Y146)),IFERROR(AD146/Y146-1,""),"")</f>
        <v>0.000112711044026437</v>
      </c>
      <c r="AE147" s="21" t="n">
        <f aca="false">IF(AND(ISNUMBER(AE146),ISNUMBER(Z146)),IFERROR(AE146/Z146-1,""),"")</f>
        <v>0.277520559822008</v>
      </c>
      <c r="AF147" s="21" t="n">
        <f aca="false">IF(AND(ISNUMBER(AF146),ISNUMBER(AA146)),IFERROR(AF146/AA146-1,""),"")</f>
        <v>0.401833784838082</v>
      </c>
      <c r="AG147" s="21" t="n">
        <f aca="false">IF(AND(ISNUMBER(AG146),ISNUMBER(AB146)),IFERROR(AG146/AB146-1,""),"")</f>
        <v>-0.039339591541847</v>
      </c>
      <c r="AH147" s="21" t="n">
        <f aca="false">IF(AND(ISNUMBER(AH146),ISNUMBER(AC146)),IFERROR(AH146/AC146-1,""),"")</f>
        <v>0.141895440811204</v>
      </c>
      <c r="AI147" s="21" t="n">
        <f aca="false">IF(AND(ISNUMBER(AI146),ISNUMBER(AD146)),IFERROR(AI146/AD146-1,""),"")</f>
        <v>0.346384730726895</v>
      </c>
      <c r="AJ147" s="21" t="n">
        <f aca="false">IF(AND(ISNUMBER(AJ146),ISNUMBER(AE146)),IFERROR(AJ146/AE146-1,""),"")</f>
        <v>0.484982665476296</v>
      </c>
      <c r="AK147" s="21" t="n">
        <f aca="false">IF(AND(ISNUMBER(AK146),ISNUMBER(AF146)),IFERROR(AK146/AF146-1,""),"")</f>
        <v>0.174064414592345</v>
      </c>
      <c r="AL147" s="21" t="n">
        <f aca="false">IF(AND(ISNUMBER(AL146),ISNUMBER(AG146)),IFERROR(AL146/AG146-1,""),"")</f>
        <v>0.248069501004726</v>
      </c>
      <c r="AM147" s="21" t="n">
        <f aca="false">IF(AND(ISNUMBER(AM146),ISNUMBER(AH146)),IFERROR(AM146/AH146-1,""),"")</f>
        <v>0.296089362032328</v>
      </c>
      <c r="AN147" s="21" t="n">
        <f aca="false">IF(AND(ISNUMBER(AN146),ISNUMBER(AI146)),IFERROR(AN146/AI146-1,""),"")</f>
        <v>0.321738026910152</v>
      </c>
      <c r="AO147" s="21" t="n">
        <f aca="false">IF(AND(ISNUMBER(AO146),ISNUMBER(AJ146)),IFERROR(AO146/AJ146-1,""),"")</f>
        <v>0.108702239585053</v>
      </c>
      <c r="AP147" s="21" t="n">
        <f aca="false">IF(AND(ISNUMBER(AP146),ISNUMBER(AK146)),IFERROR(AP146/AK146-1,""),"")</f>
        <v>0.142268998516309</v>
      </c>
      <c r="AQ147" s="21" t="n">
        <f aca="false">IF(AND(ISNUMBER(AQ146),ISNUMBER(AL146)),IFERROR(AQ146/AL146-1,""),"")</f>
        <v>0.0993375586303866</v>
      </c>
      <c r="AR147" s="21" t="n">
        <f aca="false">IF(AND(ISNUMBER(AR146),ISNUMBER(AM146)),IFERROR(AR146/AM146-1,""),"")</f>
        <v>0.149155797904695</v>
      </c>
      <c r="AS147" s="21" t="n">
        <f aca="false">IF(AND(ISNUMBER(AS146),ISNUMBER(AN146)),IFERROR(AS146/AN146-1,""),"")</f>
        <v>-0.062659999940026</v>
      </c>
      <c r="AT147" s="21" t="n">
        <f aca="false">IF(AND(ISNUMBER(AT146),ISNUMBER(AO146)),IFERROR(AT146/AO146-1,""),"")</f>
        <v>-0.601804310895012</v>
      </c>
      <c r="AU147" s="21" t="n">
        <f aca="false">IF(AND(ISNUMBER(AU146),ISNUMBER(AP146)),IFERROR(AU146/AP146-1,""),"")</f>
        <v>-0.194374491802344</v>
      </c>
      <c r="AV147" s="21" t="n">
        <f aca="false">IF(AND(ISNUMBER(AV146),ISNUMBER(AQ146)),IFERROR(AV146/AQ146-1,""),"")</f>
        <v>-0.373878214217393</v>
      </c>
      <c r="AW147" s="21" t="n">
        <f aca="false">IF(AND(ISNUMBER(AW146),ISNUMBER(AR146)),IFERROR(AW146/AR146-1,""),"")</f>
        <v>-0.329388556779832</v>
      </c>
      <c r="AX147" s="21" t="n">
        <f aca="false">IF(AND(ISNUMBER(AX146),ISNUMBER(AS146)),IFERROR(AX146/AS146-1,""),"")</f>
        <v>0.19551135875707</v>
      </c>
      <c r="AY147" s="21" t="n">
        <f aca="false">IF(AND(ISNUMBER(AY146),ISNUMBER(AT146)),IFERROR(AY146/AT146-1,""),"")</f>
        <v>1.01671025004274</v>
      </c>
      <c r="AZ147" s="21" t="n">
        <f aca="false">IF(AND(ISNUMBER(AZ146),ISNUMBER(AU146)),IFERROR(AZ146/AU146-1,""),"")</f>
        <v>0.100970599983599</v>
      </c>
      <c r="BA147" s="21" t="n">
        <f aca="false">IF(AND(ISNUMBER(BA146),ISNUMBER(AV146)),IFERROR(BA146/AV146-1,""),"")</f>
        <v>0.487786587680266</v>
      </c>
      <c r="BB147" s="21" t="n">
        <f aca="false">IF(AND(ISNUMBER(BB146),ISNUMBER(AW146)),IFERROR(BB146/AW146-1,""),"")</f>
        <v>0.372205378964947</v>
      </c>
      <c r="BC147" s="21" t="n">
        <f aca="false">IF(AND(ISNUMBER(BC146),ISNUMBER(AX146)),IFERROR(BC146/AX146-1,""),"")</f>
        <v>-0.272780533447711</v>
      </c>
      <c r="BD147" s="21" t="n">
        <f aca="false">IF(AND(ISNUMBER(BD146),ISNUMBER(AY146)),IFERROR(BD146/AY146-1,""),"")</f>
        <v>0.226790192424268</v>
      </c>
      <c r="BE147" s="21" t="n">
        <f aca="false">IF(AND(ISNUMBER(BE146),ISNUMBER(AZ146)),IFERROR(BE146/AZ146-1,""),"")</f>
        <v>0.121384780489574</v>
      </c>
      <c r="BF147" s="21" t="n">
        <f aca="false">IF(AND(ISNUMBER(BF146),ISNUMBER(BA146)),IFERROR(BF146/BA146-1,""),"")</f>
        <v>0.456501358656893</v>
      </c>
      <c r="BG147" s="21" t="n">
        <f aca="false">IF(AND(ISNUMBER(BG146),ISNUMBER(BB146)),IFERROR(BG146/BB146-1,""),"")</f>
        <v>0.157445219212992</v>
      </c>
      <c r="BH147" s="21" t="n">
        <f aca="false">IF(AND(ISNUMBER(BH146),ISNUMBER(BC146)),IFERROR(BH146/BC146-1,""),"")</f>
        <v>0.402736579323453</v>
      </c>
      <c r="BI147" s="21" t="n">
        <f aca="false">IF(AND(ISNUMBER(BI146),ISNUMBER(BD146)),IFERROR(BI146/BD146-1,""),"")</f>
        <v>0.14582608110356</v>
      </c>
      <c r="BJ147" s="21" t="n">
        <f aca="false">IF(AND(ISNUMBER(BJ146),ISNUMBER(BE146)),IFERROR(BJ146/BE146-1,""),"")</f>
        <v>0.31495206654397</v>
      </c>
      <c r="BK147" s="21" t="n">
        <f aca="false">IF(AND(ISNUMBER(BK146),ISNUMBER(BF146)),IFERROR(BK146/BF146-1,""),"")</f>
        <v>0.103304198132871</v>
      </c>
      <c r="BL147" s="21" t="n">
        <f aca="false">IF(AND(ISNUMBER(BL146),ISNUMBER(BG146)),IFERROR(BL146/BG146-1,""),"")</f>
        <v>0.208138432853173</v>
      </c>
      <c r="BM147" s="21" t="n">
        <f aca="false">IF(AND(ISNUMBER(BM146),ISNUMBER(BH146)),IFERROR(BM146/BH146-1,""),"")</f>
        <v>0.348629424858367</v>
      </c>
      <c r="BN147" s="21" t="n">
        <f aca="false">IF(AND(ISNUMBER(BN146),ISNUMBER(BI146)),IFERROR(BN146/BI146-1,""),"")</f>
        <v>0.22977461626057</v>
      </c>
      <c r="BO147" s="21" t="n">
        <f aca="false">IF(AND(ISNUMBER(BO146),ISNUMBER(BJ146)),IFERROR(BO146/BJ146-1,""),"")</f>
        <v>0.151804458419624</v>
      </c>
      <c r="BP147" s="21" t="n">
        <f aca="false">IF(AND(ISNUMBER(BP146),ISNUMBER(BK146)),IFERROR(BP146/BK146-1,""),"")</f>
        <v>-0.00748868801048452</v>
      </c>
      <c r="BQ147" s="21" t="n">
        <f aca="false">IF(AND(ISNUMBER(BQ146),ISNUMBER(BL146)),IFERROR(BQ146/BL146-1,""),"")</f>
        <v>0.1470072148703</v>
      </c>
      <c r="BR147" s="21" t="n">
        <f aca="false">IF(AND(ISNUMBER(BR146),ISNUMBER(BM146)),IFERROR(BR146/BM146-1,""),"")</f>
        <v>0.345052765361913</v>
      </c>
      <c r="BS147" s="21" t="n">
        <f aca="false">IF(AND(ISNUMBER(BS146),ISNUMBER(BN146)),IFERROR(BS146/BN146-1,""),"")</f>
        <v>0.236249694397862</v>
      </c>
      <c r="BT147" s="21" t="n">
        <f aca="false">IF(AND(ISNUMBER(BT146),ISNUMBER(BO146)),IFERROR(BT146/BO146-1,""),"")</f>
        <v>0.146489599431146</v>
      </c>
      <c r="BU147" s="21" t="n">
        <f aca="false">IF(AND(ISNUMBER(BU146),ISNUMBER(BP146)),IFERROR(BU146/BP146-1,""),"")</f>
        <v>0.192635873133064</v>
      </c>
      <c r="BV147" s="21" t="n">
        <f aca="false">IF(AND(ISNUMBER(BV146),ISNUMBER(BQ146)),IFERROR(BV146/BQ146-1,""),"")</f>
        <v>0.219265994733803</v>
      </c>
      <c r="BW147" s="21" t="n">
        <f aca="false">IF(AND(ISNUMBER(BW146),ISNUMBER(BR146)),IFERROR(BW146/BR146-1,""),"")</f>
        <v>0.292016123297081</v>
      </c>
      <c r="BX147" s="21" t="n">
        <f aca="false">IF(AND(ISNUMBER(BX146),ISNUMBER(BS146)),IFERROR(BX146/BS146-1,""),"")</f>
        <v>0.275032421671719</v>
      </c>
      <c r="BY147" s="22" t="n">
        <f aca="false">IFERROR(BY146/BT146-1,"")</f>
        <v>0.161964341916594</v>
      </c>
      <c r="BZ147" s="22" t="n">
        <f aca="false">IFERROR(BZ146/BU146-1,"")</f>
        <v>0.150256224084042</v>
      </c>
      <c r="CA147" s="22" t="n">
        <f aca="false">IFERROR(CA146/BV146-1,"")</f>
        <v>0.213776172758338</v>
      </c>
      <c r="CB147" s="22" t="n">
        <f aca="false">IFERROR(CB146/CA146-1,"")</f>
        <v>0.120956147923935</v>
      </c>
      <c r="CC147" s="22" t="n">
        <f aca="false">IFERROR(CC146/CB146-1,"")</f>
        <v>0.118182384613329</v>
      </c>
      <c r="CD147" s="22" t="n">
        <f aca="false">IFERROR(CD146/CC146-1,"")</f>
        <v>0.107258641281297</v>
      </c>
      <c r="CE147" s="22" t="n">
        <f aca="false">IFERROR(CE146/CD146-1,"")</f>
        <v>0.106573299611107</v>
      </c>
    </row>
    <row r="148" customFormat="false" ht="15" hidden="false" customHeight="false" outlineLevel="0" collapsed="false">
      <c r="B148" s="33" t="s">
        <v>322</v>
      </c>
      <c r="C148" s="53" t="n">
        <v>1.82</v>
      </c>
      <c r="D148" s="53" t="n">
        <v>2.32</v>
      </c>
      <c r="E148" s="53" t="n">
        <v>2.45</v>
      </c>
      <c r="F148" s="53" t="n">
        <v>2.08</v>
      </c>
      <c r="G148" s="53" t="n">
        <v>2.3</v>
      </c>
      <c r="H148" s="53" t="n">
        <v>2.77</v>
      </c>
      <c r="I148" s="53" t="n">
        <v>2.4</v>
      </c>
      <c r="J148" s="53" t="n">
        <v>0.44</v>
      </c>
      <c r="K148" s="53" t="n">
        <v>0.7</v>
      </c>
      <c r="L148" s="53" t="n">
        <v>0.76</v>
      </c>
      <c r="M148" s="53" t="n">
        <v>0.97</v>
      </c>
      <c r="N148" s="53" t="n">
        <v>2.88</v>
      </c>
      <c r="O148" s="53" t="n">
        <v>0.72</v>
      </c>
      <c r="P148" s="53" t="n">
        <v>0.74</v>
      </c>
      <c r="Q148" s="53" t="n">
        <v>0.51</v>
      </c>
      <c r="R148" s="53" t="n">
        <v>0.34</v>
      </c>
      <c r="S148" s="53" t="n">
        <v>2.31</v>
      </c>
      <c r="T148" s="53" t="n">
        <v>0.33</v>
      </c>
      <c r="U148" s="53" t="n">
        <v>0.53</v>
      </c>
      <c r="V148" s="53" t="n">
        <v>0.71</v>
      </c>
      <c r="W148" s="53" t="n">
        <v>1.51</v>
      </c>
      <c r="X148" s="53" t="n">
        <v>3.05</v>
      </c>
      <c r="Y148" s="53" t="n">
        <v>0.73</v>
      </c>
      <c r="Z148" s="53" t="n">
        <v>0.88</v>
      </c>
      <c r="AA148" s="53" t="n">
        <v>1.02</v>
      </c>
      <c r="AB148" s="53" t="n">
        <v>1.53</v>
      </c>
      <c r="AC148" s="53" t="n">
        <v>4.15</v>
      </c>
      <c r="AD148" s="53" t="n">
        <v>0.73</v>
      </c>
      <c r="AE148" s="53" t="n">
        <v>1.13</v>
      </c>
      <c r="AF148" s="53" t="n">
        <v>1.43</v>
      </c>
      <c r="AG148" s="53" t="n">
        <v>1.52</v>
      </c>
      <c r="AH148" s="53" t="n">
        <v>4.8</v>
      </c>
      <c r="AI148" s="53" t="n">
        <v>0.98</v>
      </c>
      <c r="AJ148" s="53" t="n">
        <v>1.68</v>
      </c>
      <c r="AK148" s="53" t="n">
        <v>1.68</v>
      </c>
      <c r="AL148" s="53" t="n">
        <v>1.89</v>
      </c>
      <c r="AM148" s="53" t="n">
        <v>6.22</v>
      </c>
      <c r="AN148" s="53" t="n">
        <v>1.29</v>
      </c>
      <c r="AO148" s="53" t="n">
        <v>1.86</v>
      </c>
      <c r="AP148" s="53" t="n">
        <v>1.92</v>
      </c>
      <c r="AQ148" s="53" t="n">
        <v>2.08</v>
      </c>
      <c r="AR148" s="53" t="n">
        <v>7.15</v>
      </c>
      <c r="AS148" s="53" t="n">
        <v>1.21</v>
      </c>
      <c r="AT148" s="53" t="n">
        <v>0.74</v>
      </c>
      <c r="AU148" s="53" t="n">
        <v>1.55</v>
      </c>
      <c r="AV148" s="53" t="n">
        <v>1.3</v>
      </c>
      <c r="AW148" s="53" t="n">
        <v>4.8</v>
      </c>
      <c r="AX148" s="53" t="n">
        <v>1.45</v>
      </c>
      <c r="AY148" s="53" t="n">
        <v>1.49</v>
      </c>
      <c r="AZ148" s="53" t="n">
        <v>1.7</v>
      </c>
      <c r="BA148" s="53" t="n">
        <v>1.94</v>
      </c>
      <c r="BB148" s="53" t="n">
        <v>6.58</v>
      </c>
      <c r="BC148" s="53" t="n">
        <v>1.05</v>
      </c>
      <c r="BD148" s="53" t="n">
        <v>1.83</v>
      </c>
      <c r="BE148" s="53" t="n">
        <v>1.91</v>
      </c>
      <c r="BF148" s="53" t="n">
        <v>2.82</v>
      </c>
      <c r="BG148" s="53" t="n">
        <v>7.62</v>
      </c>
      <c r="BH148" s="53" t="n">
        <v>1.48</v>
      </c>
      <c r="BI148" s="53" t="n">
        <v>2.1</v>
      </c>
      <c r="BJ148" s="53" t="n">
        <v>2.51</v>
      </c>
      <c r="BK148" s="53" t="n">
        <v>3.11</v>
      </c>
      <c r="BL148" s="53" t="n">
        <v>9.2</v>
      </c>
      <c r="BM148" s="53" t="n">
        <v>1.99</v>
      </c>
      <c r="BN148" s="53" t="n">
        <v>2.58</v>
      </c>
      <c r="BO148" s="53" t="n">
        <v>2.89</v>
      </c>
      <c r="BP148" s="53" t="n">
        <v>3.09</v>
      </c>
      <c r="BQ148" s="53" t="n">
        <v>10.55</v>
      </c>
      <c r="BR148" s="53" t="n">
        <v>2.68</v>
      </c>
      <c r="BS148" s="53" t="n">
        <v>3.19</v>
      </c>
      <c r="BT148" s="53" t="n">
        <v>3.31</v>
      </c>
      <c r="BU148" s="53" t="n">
        <v>3.69</v>
      </c>
      <c r="BV148" s="53" t="n">
        <v>12.87</v>
      </c>
      <c r="BW148" s="53" t="n">
        <v>3.46</v>
      </c>
      <c r="BX148" s="53" t="n">
        <v>4.07</v>
      </c>
    </row>
    <row r="149" customFormat="false" ht="15" hidden="false" customHeight="false" outlineLevel="0" collapsed="false">
      <c r="B149" s="20" t="s">
        <v>323</v>
      </c>
      <c r="C149" s="53" t="n">
        <v>0.24</v>
      </c>
      <c r="D149" s="53" t="n">
        <v>0.28</v>
      </c>
      <c r="E149" s="53" t="n">
        <v>0.32</v>
      </c>
      <c r="F149" s="53" t="n">
        <v>0.32</v>
      </c>
      <c r="G149" s="53" t="n">
        <v>0.32</v>
      </c>
      <c r="H149" s="53" t="n">
        <v>0.32</v>
      </c>
      <c r="I149" s="53" t="n">
        <v>0.35</v>
      </c>
      <c r="J149" s="53" t="n">
        <v>0.09</v>
      </c>
      <c r="K149" s="53" t="n">
        <v>0.1</v>
      </c>
      <c r="L149" s="53" t="n">
        <v>0.1</v>
      </c>
      <c r="M149" s="53" t="n">
        <v>0.1</v>
      </c>
      <c r="N149" s="53" t="n">
        <v>0.39</v>
      </c>
      <c r="O149" s="53" t="n">
        <v>0.13</v>
      </c>
      <c r="P149" s="53" t="n">
        <v>0.13</v>
      </c>
      <c r="Q149" s="53" t="n">
        <v>0.13</v>
      </c>
      <c r="R149" s="53" t="n">
        <v>0.13</v>
      </c>
      <c r="S149" s="53" t="n">
        <v>0.52</v>
      </c>
      <c r="T149" s="53" t="n">
        <v>0.13</v>
      </c>
      <c r="U149" s="53" t="n">
        <v>0.13</v>
      </c>
      <c r="V149" s="53" t="n">
        <v>0.13</v>
      </c>
      <c r="W149" s="53" t="n">
        <v>0.13</v>
      </c>
      <c r="X149" s="53" t="n">
        <v>0.52</v>
      </c>
      <c r="Y149" s="53" t="n">
        <v>0.13</v>
      </c>
      <c r="Z149" s="53" t="n">
        <v>0.13</v>
      </c>
      <c r="AA149" s="53" t="n">
        <v>0.13</v>
      </c>
      <c r="AB149" s="53" t="n">
        <v>0.13</v>
      </c>
      <c r="AC149" s="53" t="n">
        <v>0.52</v>
      </c>
      <c r="AD149" s="53" t="n">
        <v>0.13</v>
      </c>
      <c r="AE149" s="53" t="n">
        <v>0.13</v>
      </c>
      <c r="AF149" s="53" t="n">
        <v>0.15</v>
      </c>
      <c r="AG149" s="53" t="n">
        <v>0.15</v>
      </c>
      <c r="AH149" s="53" t="n">
        <v>0.56</v>
      </c>
      <c r="AI149" s="53" t="n">
        <v>0.15</v>
      </c>
      <c r="AJ149" s="53" t="n">
        <v>0.15</v>
      </c>
      <c r="AK149" s="53" t="n">
        <v>0.15</v>
      </c>
      <c r="AL149" s="53" t="n">
        <v>0.15</v>
      </c>
      <c r="AM149" s="53" t="n">
        <v>0.6</v>
      </c>
      <c r="AN149" s="53" t="n">
        <v>0.15</v>
      </c>
      <c r="AO149" s="53" t="n">
        <v>0.17</v>
      </c>
      <c r="AP149" s="53" t="n">
        <v>0.17</v>
      </c>
      <c r="AQ149" s="53" t="n">
        <v>0.17</v>
      </c>
      <c r="AR149" s="53" t="n">
        <v>0.66</v>
      </c>
      <c r="AS149" s="53" t="n">
        <v>0.17</v>
      </c>
      <c r="AT149" s="53" t="n">
        <v>0.17</v>
      </c>
      <c r="AU149" s="53" t="n">
        <v>0.17</v>
      </c>
      <c r="AV149" s="53" t="n">
        <v>0.17</v>
      </c>
      <c r="AW149" s="53" t="n">
        <v>0.68</v>
      </c>
      <c r="AX149" s="53" t="n">
        <v>0.17</v>
      </c>
      <c r="AY149" s="53" t="n">
        <v>0.18</v>
      </c>
      <c r="AZ149" s="53" t="n">
        <v>0.18</v>
      </c>
      <c r="BA149" s="53" t="n">
        <v>0.18</v>
      </c>
      <c r="BB149" s="53" t="n">
        <v>0.71</v>
      </c>
      <c r="BC149" s="53" t="n">
        <v>0.18</v>
      </c>
      <c r="BD149" s="53" t="n">
        <v>0.19</v>
      </c>
      <c r="BE149" s="53" t="n">
        <v>0.19</v>
      </c>
      <c r="BF149" s="53" t="n">
        <v>0.19</v>
      </c>
      <c r="BG149" s="53" t="n">
        <v>0.75</v>
      </c>
      <c r="BH149" s="53" t="n">
        <v>0.19</v>
      </c>
      <c r="BI149" s="53" t="n">
        <v>0.2</v>
      </c>
      <c r="BJ149" s="53" t="n">
        <v>0.2</v>
      </c>
      <c r="BK149" s="53" t="n">
        <v>0.2</v>
      </c>
      <c r="BL149" s="53" t="n">
        <v>0.79</v>
      </c>
      <c r="BM149" s="53" t="n">
        <v>0.2</v>
      </c>
      <c r="BN149" s="53" t="n">
        <v>0.21</v>
      </c>
      <c r="BO149" s="53" t="n">
        <v>0.21</v>
      </c>
      <c r="BP149" s="53" t="n">
        <v>0.21</v>
      </c>
      <c r="BQ149" s="53" t="n">
        <v>0.83</v>
      </c>
      <c r="BR149" s="53" t="n">
        <v>0.21</v>
      </c>
      <c r="BS149" s="53" t="n">
        <v>0.24</v>
      </c>
      <c r="BT149" s="53" t="n">
        <v>0.24</v>
      </c>
      <c r="BU149" s="53" t="n">
        <v>0.24</v>
      </c>
      <c r="BV149" s="53" t="n">
        <v>0.93</v>
      </c>
      <c r="BW149" s="53" t="n">
        <v>0.24</v>
      </c>
      <c r="BX149" s="53" t="n">
        <v>0.26</v>
      </c>
      <c r="BY149" s="47" t="n">
        <f aca="false">$BX$149</f>
        <v>0.26</v>
      </c>
      <c r="BZ149" s="47" t="n">
        <f aca="false">$BX$149</f>
        <v>0.26</v>
      </c>
      <c r="CA149" s="47" t="n">
        <f aca="false">SUM(BW149,BX149,BY149,BZ149)</f>
        <v>1.02</v>
      </c>
      <c r="CB149" s="47" t="n">
        <f aca="false">CA149*(1+CB150)</f>
        <v>1.1016</v>
      </c>
      <c r="CC149" s="47" t="n">
        <f aca="false">CB149*(1+CC150)</f>
        <v>1.189728</v>
      </c>
      <c r="CD149" s="47" t="n">
        <f aca="false">CC149*(1+CD150)</f>
        <v>1.28490624</v>
      </c>
      <c r="CE149" s="47" t="n">
        <f aca="false">CD149*(1+CE150)</f>
        <v>1.3876987392</v>
      </c>
      <c r="CF149" s="18" t="s">
        <v>324</v>
      </c>
    </row>
    <row r="150" customFormat="false" ht="15" hidden="false" customHeight="false" outlineLevel="0" collapsed="false">
      <c r="B150" s="20" t="s">
        <v>325</v>
      </c>
      <c r="D150" s="27" t="n">
        <f aca="false">IF(AND(ISNUMBER(D149),ISNUMBER(C149)),IFERROR(D149/C149-1,""),"")</f>
        <v>0.166666666666667</v>
      </c>
      <c r="E150" s="27" t="n">
        <f aca="false">IF(AND(ISNUMBER(E149),ISNUMBER(D149)),IFERROR(E149/D149-1,""),"")</f>
        <v>0.142857142857143</v>
      </c>
      <c r="F150" s="27" t="n">
        <f aca="false">IF(AND(ISNUMBER(F149),ISNUMBER(E149)),IFERROR(F149/E149-1,""),"")</f>
        <v>0</v>
      </c>
      <c r="G150" s="27" t="n">
        <f aca="false">IF(AND(ISNUMBER(G149),ISNUMBER(F149)),IFERROR(G149/F149-1,""),"")</f>
        <v>0</v>
      </c>
      <c r="H150" s="27" t="n">
        <f aca="false">IF(AND(ISNUMBER(H149),ISNUMBER(G149)),IFERROR(H149/G149-1,""),"")</f>
        <v>0</v>
      </c>
      <c r="I150" s="27" t="n">
        <f aca="false">IF(AND(ISNUMBER(I149),ISNUMBER(H149)),IFERROR(I149/H149-1,""),"")</f>
        <v>0.09375</v>
      </c>
      <c r="N150" s="27" t="n">
        <f aca="false">IF(AND(ISNUMBER(N149),ISNUMBER(I149)),IFERROR(N149/I149-1,""),"")</f>
        <v>0.114285714285714</v>
      </c>
      <c r="O150" s="27" t="n">
        <f aca="false">IF(AND(ISNUMBER(O149),ISNUMBER(J149)),IFERROR(O149/J149-1,""),"")</f>
        <v>0.444444444444445</v>
      </c>
      <c r="P150" s="27" t="n">
        <f aca="false">IF(AND(ISNUMBER(P149),ISNUMBER(K149)),IFERROR(P149/K149-1,""),"")</f>
        <v>0.3</v>
      </c>
      <c r="Q150" s="27" t="n">
        <f aca="false">IF(AND(ISNUMBER(Q149),ISNUMBER(L149)),IFERROR(Q149/L149-1,""),"")</f>
        <v>0.3</v>
      </c>
      <c r="R150" s="27" t="n">
        <f aca="false">IF(AND(ISNUMBER(R149),ISNUMBER(M149)),IFERROR(R149/M149-1,""),"")</f>
        <v>0.3</v>
      </c>
      <c r="S150" s="27" t="n">
        <f aca="false">IF(AND(ISNUMBER(S149),ISNUMBER(N149)),IFERROR(S149/N149-1,""),"")</f>
        <v>0.333333333333333</v>
      </c>
      <c r="T150" s="27" t="n">
        <f aca="false">IF(AND(ISNUMBER(T149),ISNUMBER(O149)),IFERROR(T149/O149-1,""),"")</f>
        <v>0</v>
      </c>
      <c r="U150" s="27" t="n">
        <f aca="false">IF(AND(ISNUMBER(U149),ISNUMBER(P149)),IFERROR(U149/P149-1,""),"")</f>
        <v>0</v>
      </c>
      <c r="V150" s="27" t="n">
        <f aca="false">IF(AND(ISNUMBER(V149),ISNUMBER(Q149)),IFERROR(V149/Q149-1,""),"")</f>
        <v>0</v>
      </c>
      <c r="W150" s="27" t="n">
        <f aca="false">IF(AND(ISNUMBER(W149),ISNUMBER(R149)),IFERROR(W149/R149-1,""),"")</f>
        <v>0</v>
      </c>
      <c r="X150" s="27" t="n">
        <f aca="false">IF(AND(ISNUMBER(X149),ISNUMBER(S149)),IFERROR(X149/S149-1,""),"")</f>
        <v>0</v>
      </c>
      <c r="Y150" s="27" t="n">
        <f aca="false">IF(AND(ISNUMBER(Y149),ISNUMBER(T149)),IFERROR(Y149/T149-1,""),"")</f>
        <v>0</v>
      </c>
      <c r="Z150" s="27" t="n">
        <f aca="false">IF(AND(ISNUMBER(Z149),ISNUMBER(U149)),IFERROR(Z149/U149-1,""),"")</f>
        <v>0</v>
      </c>
      <c r="AA150" s="27" t="n">
        <f aca="false">IF(AND(ISNUMBER(AA149),ISNUMBER(V149)),IFERROR(AA149/V149-1,""),"")</f>
        <v>0</v>
      </c>
      <c r="AB150" s="27" t="n">
        <f aca="false">IF(AND(ISNUMBER(AB149),ISNUMBER(W149)),IFERROR(AB149/W149-1,""),"")</f>
        <v>0</v>
      </c>
      <c r="AC150" s="27" t="n">
        <f aca="false">IF(AND(ISNUMBER(AC149),ISNUMBER(X149)),IFERROR(AC149/X149-1,""),"")</f>
        <v>0</v>
      </c>
      <c r="AD150" s="27" t="n">
        <f aca="false">IF(AND(ISNUMBER(AD149),ISNUMBER(Y149)),IFERROR(AD149/Y149-1,""),"")</f>
        <v>0</v>
      </c>
      <c r="AE150" s="27" t="n">
        <f aca="false">IF(AND(ISNUMBER(AE149),ISNUMBER(Z149)),IFERROR(AE149/Z149-1,""),"")</f>
        <v>0</v>
      </c>
      <c r="AF150" s="27" t="n">
        <f aca="false">IF(AND(ISNUMBER(AF149),ISNUMBER(AA149)),IFERROR(AF149/AA149-1,""),"")</f>
        <v>0.153846153846154</v>
      </c>
      <c r="AG150" s="27" t="n">
        <f aca="false">IF(AND(ISNUMBER(AG149),ISNUMBER(AB149)),IFERROR(AG149/AB149-1,""),"")</f>
        <v>0.153846153846154</v>
      </c>
      <c r="AH150" s="27" t="n">
        <f aca="false">IF(AND(ISNUMBER(AH149),ISNUMBER(AC149)),IFERROR(AH149/AC149-1,""),"")</f>
        <v>0.0769230769230771</v>
      </c>
      <c r="AI150" s="27" t="n">
        <f aca="false">IF(AND(ISNUMBER(AI149),ISNUMBER(AD149)),IFERROR(AI149/AD149-1,""),"")</f>
        <v>0.153846153846154</v>
      </c>
      <c r="AJ150" s="27" t="n">
        <f aca="false">IF(AND(ISNUMBER(AJ149),ISNUMBER(AE149)),IFERROR(AJ149/AE149-1,""),"")</f>
        <v>0.153846153846154</v>
      </c>
      <c r="AK150" s="27" t="n">
        <f aca="false">IF(AND(ISNUMBER(AK149),ISNUMBER(AF149)),IFERROR(AK149/AF149-1,""),"")</f>
        <v>0</v>
      </c>
      <c r="AL150" s="27" t="n">
        <f aca="false">IF(AND(ISNUMBER(AL149),ISNUMBER(AG149)),IFERROR(AL149/AG149-1,""),"")</f>
        <v>0</v>
      </c>
      <c r="AM150" s="27" t="n">
        <f aca="false">IF(AND(ISNUMBER(AM149),ISNUMBER(AH149)),IFERROR(AM149/AH149-1,""),"")</f>
        <v>0.0714285714285714</v>
      </c>
      <c r="AN150" s="27" t="n">
        <f aca="false">IF(AND(ISNUMBER(AN149),ISNUMBER(AI149)),IFERROR(AN149/AI149-1,""),"")</f>
        <v>0</v>
      </c>
      <c r="AO150" s="27" t="n">
        <f aca="false">IF(AND(ISNUMBER(AO149),ISNUMBER(AJ149)),IFERROR(AO149/AJ149-1,""),"")</f>
        <v>0.133333333333334</v>
      </c>
      <c r="AP150" s="27" t="n">
        <f aca="false">IF(AND(ISNUMBER(AP149),ISNUMBER(AK149)),IFERROR(AP149/AK149-1,""),"")</f>
        <v>0.133333333333334</v>
      </c>
      <c r="AQ150" s="27" t="n">
        <f aca="false">IF(AND(ISNUMBER(AQ149),ISNUMBER(AL149)),IFERROR(AQ149/AL149-1,""),"")</f>
        <v>0.133333333333334</v>
      </c>
      <c r="AR150" s="27" t="n">
        <f aca="false">IF(AND(ISNUMBER(AR149),ISNUMBER(AM149)),IFERROR(AR149/AM149-1,""),"")</f>
        <v>0.1</v>
      </c>
      <c r="AS150" s="27" t="n">
        <f aca="false">IF(AND(ISNUMBER(AS149),ISNUMBER(AN149)),IFERROR(AS149/AN149-1,""),"")</f>
        <v>0.133333333333334</v>
      </c>
      <c r="AT150" s="27" t="n">
        <f aca="false">IF(AND(ISNUMBER(AT149),ISNUMBER(AO149)),IFERROR(AT149/AO149-1,""),"")</f>
        <v>0</v>
      </c>
      <c r="AU150" s="27" t="n">
        <f aca="false">IF(AND(ISNUMBER(AU149),ISNUMBER(AP149)),IFERROR(AU149/AP149-1,""),"")</f>
        <v>0</v>
      </c>
      <c r="AV150" s="27" t="n">
        <f aca="false">IF(AND(ISNUMBER(AV149),ISNUMBER(AQ149)),IFERROR(AV149/AQ149-1,""),"")</f>
        <v>0</v>
      </c>
      <c r="AW150" s="27" t="n">
        <f aca="false">IF(AND(ISNUMBER(AW149),ISNUMBER(AR149)),IFERROR(AW149/AR149-1,""),"")</f>
        <v>0.0303030303030303</v>
      </c>
      <c r="AX150" s="27" t="n">
        <f aca="false">IF(AND(ISNUMBER(AX149),ISNUMBER(AS149)),IFERROR(AX149/AS149-1,""),"")</f>
        <v>0</v>
      </c>
      <c r="AY150" s="27" t="n">
        <f aca="false">IF(AND(ISNUMBER(AY149),ISNUMBER(AT149)),IFERROR(AY149/AT149-1,""),"")</f>
        <v>0.0588235294117645</v>
      </c>
      <c r="AZ150" s="27" t="n">
        <f aca="false">IF(AND(ISNUMBER(AZ149),ISNUMBER(AU149)),IFERROR(AZ149/AU149-1,""),"")</f>
        <v>0.0588235294117645</v>
      </c>
      <c r="BA150" s="27" t="n">
        <f aca="false">IF(AND(ISNUMBER(BA149),ISNUMBER(AV149)),IFERROR(BA149/AV149-1,""),"")</f>
        <v>0.0588235294117645</v>
      </c>
      <c r="BB150" s="27" t="n">
        <f aca="false">IF(AND(ISNUMBER(BB149),ISNUMBER(AW149)),IFERROR(BB149/AW149-1,""),"")</f>
        <v>0.0441176470588234</v>
      </c>
      <c r="BC150" s="27" t="n">
        <f aca="false">IF(AND(ISNUMBER(BC149),ISNUMBER(AX149)),IFERROR(BC149/AX149-1,""),"")</f>
        <v>0.0588235294117645</v>
      </c>
      <c r="BD150" s="27" t="n">
        <f aca="false">IF(AND(ISNUMBER(BD149),ISNUMBER(AY149)),IFERROR(BD149/AY149-1,""),"")</f>
        <v>0.0555555555555556</v>
      </c>
      <c r="BE150" s="27" t="n">
        <f aca="false">IF(AND(ISNUMBER(BE149),ISNUMBER(AZ149)),IFERROR(BE149/AZ149-1,""),"")</f>
        <v>0.0555555555555556</v>
      </c>
      <c r="BF150" s="27" t="n">
        <f aca="false">IF(AND(ISNUMBER(BF149),ISNUMBER(BA149)),IFERROR(BF149/BA149-1,""),"")</f>
        <v>0.0555555555555556</v>
      </c>
      <c r="BG150" s="27" t="n">
        <f aca="false">IF(AND(ISNUMBER(BG149),ISNUMBER(BB149)),IFERROR(BG149/BB149-1,""),"")</f>
        <v>0.0563380281690142</v>
      </c>
      <c r="BH150" s="27" t="n">
        <f aca="false">IF(AND(ISNUMBER(BH149),ISNUMBER(BC149)),IFERROR(BH149/BC149-1,""),"")</f>
        <v>0.0555555555555556</v>
      </c>
      <c r="BI150" s="27" t="n">
        <f aca="false">IF(AND(ISNUMBER(BI149),ISNUMBER(BD149)),IFERROR(BI149/BD149-1,""),"")</f>
        <v>0.0526315789473684</v>
      </c>
      <c r="BJ150" s="27" t="n">
        <f aca="false">IF(AND(ISNUMBER(BJ149),ISNUMBER(BE149)),IFERROR(BJ149/BE149-1,""),"")</f>
        <v>0.0526315789473684</v>
      </c>
      <c r="BK150" s="27" t="n">
        <f aca="false">IF(AND(ISNUMBER(BK149),ISNUMBER(BF149)),IFERROR(BK149/BF149-1,""),"")</f>
        <v>0.0526315789473684</v>
      </c>
      <c r="BL150" s="27" t="n">
        <f aca="false">IF(AND(ISNUMBER(BL149),ISNUMBER(BG149)),IFERROR(BL149/BG149-1,""),"")</f>
        <v>0.0533333333333335</v>
      </c>
      <c r="BM150" s="27" t="n">
        <f aca="false">IF(AND(ISNUMBER(BM149),ISNUMBER(BH149)),IFERROR(BM149/BH149-1,""),"")</f>
        <v>0.0526315789473684</v>
      </c>
      <c r="BN150" s="27" t="n">
        <f aca="false">IF(AND(ISNUMBER(BN149),ISNUMBER(BI149)),IFERROR(BN149/BI149-1,""),"")</f>
        <v>0.0499999999999998</v>
      </c>
      <c r="BO150" s="27" t="n">
        <f aca="false">IF(AND(ISNUMBER(BO149),ISNUMBER(BJ149)),IFERROR(BO149/BJ149-1,""),"")</f>
        <v>0.0499999999999998</v>
      </c>
      <c r="BP150" s="27" t="n">
        <f aca="false">IF(AND(ISNUMBER(BP149),ISNUMBER(BK149)),IFERROR(BP149/BK149-1,""),"")</f>
        <v>0.0499999999999998</v>
      </c>
      <c r="BQ150" s="27" t="n">
        <f aca="false">IF(AND(ISNUMBER(BQ149),ISNUMBER(BL149)),IFERROR(BQ149/BL149-1,""),"")</f>
        <v>0.0506329113924049</v>
      </c>
      <c r="BR150" s="27" t="n">
        <f aca="false">IF(AND(ISNUMBER(BR149),ISNUMBER(BM149)),IFERROR(BR149/BM149-1,""),"")</f>
        <v>0.0499999999999998</v>
      </c>
      <c r="BS150" s="27" t="n">
        <f aca="false">IF(AND(ISNUMBER(BS149),ISNUMBER(BN149)),IFERROR(BS149/BN149-1,""),"")</f>
        <v>0.142857142857143</v>
      </c>
      <c r="BT150" s="27" t="n">
        <f aca="false">IF(AND(ISNUMBER(BT149),ISNUMBER(BO149)),IFERROR(BT149/BO149-1,""),"")</f>
        <v>0.142857142857143</v>
      </c>
      <c r="BU150" s="27" t="n">
        <f aca="false">IF(AND(ISNUMBER(BU149),ISNUMBER(BP149)),IFERROR(BU149/BP149-1,""),"")</f>
        <v>0.142857142857143</v>
      </c>
      <c r="BV150" s="27" t="n">
        <f aca="false">IF(AND(ISNUMBER(BV149),ISNUMBER(BQ149)),IFERROR(BV149/BQ149-1,""),"")</f>
        <v>0.120481927710844</v>
      </c>
      <c r="BW150" s="27" t="n">
        <f aca="false">IF(AND(ISNUMBER(BW149),ISNUMBER(BR149)),IFERROR(BW149/BR149-1,""),"")</f>
        <v>0.142857142857143</v>
      </c>
      <c r="BX150" s="27" t="n">
        <f aca="false">IF(AND(ISNUMBER(BX149),ISNUMBER(BS149)),IFERROR(BX149/BS149-1,""),"")</f>
        <v>0.0833333333333335</v>
      </c>
      <c r="CA150" s="22" t="n">
        <f aca="false">IFERROR(CA149/BV149-1,"")</f>
        <v>0.096774193548387</v>
      </c>
      <c r="CB150" s="38" t="n">
        <v>0.08</v>
      </c>
      <c r="CC150" s="38" t="n">
        <v>0.08</v>
      </c>
      <c r="CD150" s="38" t="n">
        <v>0.08</v>
      </c>
      <c r="CE150" s="38" t="n">
        <v>0.08</v>
      </c>
    </row>
    <row r="152" customFormat="false" ht="15" hidden="false" customHeight="false" outlineLevel="0" collapsed="false">
      <c r="B152" s="8" t="s">
        <v>326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8" t="s">
        <v>327</v>
      </c>
    </row>
    <row r="153" customFormat="false" ht="15" hidden="false" customHeight="false" outlineLevel="0" collapsed="false">
      <c r="B153" s="15" t="s">
        <v>328</v>
      </c>
      <c r="C153" s="31" t="n">
        <f aca="false">C123</f>
        <v>140.628</v>
      </c>
      <c r="D153" s="31" t="n">
        <f aca="false">D123</f>
        <v>179.184</v>
      </c>
      <c r="E153" s="31" t="n">
        <f aca="false">E123</f>
        <v>199.182</v>
      </c>
      <c r="F153" s="31" t="n">
        <f aca="false">F123</f>
        <v>169.319</v>
      </c>
      <c r="G153" s="31" t="n">
        <f aca="false">G123</f>
        <v>179.823</v>
      </c>
      <c r="H153" s="31" t="n">
        <f aca="false">H123</f>
        <v>204.956</v>
      </c>
      <c r="I153" s="31" t="n">
        <f aca="false">I123</f>
        <v>161.446</v>
      </c>
      <c r="J153" s="31" t="n">
        <f aca="false">J123</f>
        <v>38.026</v>
      </c>
      <c r="K153" s="31" t="n">
        <f aca="false">K123</f>
        <v>57.788</v>
      </c>
      <c r="L153" s="31" t="n">
        <f aca="false">L123</f>
        <v>62.887</v>
      </c>
      <c r="M153" s="31" t="n">
        <f aca="false">M123</f>
        <v>74.918</v>
      </c>
      <c r="N153" s="31" t="n">
        <f aca="false">N123</f>
        <v>233.619</v>
      </c>
      <c r="O153" s="31" t="n">
        <f aca="false">O123</f>
        <v>59.1010000000001</v>
      </c>
      <c r="P153" s="31" t="n">
        <f aca="false">P123</f>
        <v>76.65</v>
      </c>
      <c r="Q153" s="31" t="n">
        <f aca="false">Q123</f>
        <v>74.1400000000001</v>
      </c>
      <c r="R153" s="31" t="n">
        <f aca="false">R123</f>
        <v>74.931</v>
      </c>
      <c r="S153" s="31" t="n">
        <f aca="false">S123</f>
        <v>282.373</v>
      </c>
      <c r="T153" s="31" t="n">
        <f aca="false">T123</f>
        <v>72.835</v>
      </c>
      <c r="U153" s="31" t="n">
        <f aca="false">U123</f>
        <v>65.442</v>
      </c>
      <c r="V153" s="31" t="n">
        <f aca="false">V123</f>
        <v>63.8129999999999</v>
      </c>
      <c r="W153" s="31" t="n">
        <f aca="false">W123</f>
        <v>108.527</v>
      </c>
      <c r="X153" s="31" t="n">
        <f aca="false">X123</f>
        <v>310.617</v>
      </c>
      <c r="Y153" s="31" t="n">
        <f aca="false">Y123</f>
        <v>57.263</v>
      </c>
      <c r="Z153" s="31" t="n">
        <f aca="false">Z123</f>
        <v>68.089</v>
      </c>
      <c r="AA153" s="31" t="n">
        <f aca="false">AA123</f>
        <v>76.573</v>
      </c>
      <c r="AB153" s="31" t="n">
        <f aca="false">AB123</f>
        <v>106.173</v>
      </c>
      <c r="AC153" s="31" t="n">
        <f aca="false">AC123</f>
        <v>308.098</v>
      </c>
      <c r="AD153" s="31" t="n">
        <f aca="false">AD123</f>
        <v>51.227</v>
      </c>
      <c r="AE153" s="31" t="n">
        <f aca="false">AE123</f>
        <v>83.271</v>
      </c>
      <c r="AF153" s="31" t="n">
        <f aca="false">AF123</f>
        <v>96.55</v>
      </c>
      <c r="AG153" s="31" t="n">
        <f aca="false">AG123</f>
        <v>108.695</v>
      </c>
      <c r="AH153" s="31" t="n">
        <f aca="false">AH123</f>
        <v>339.743</v>
      </c>
      <c r="AI153" s="31" t="n">
        <f aca="false">AI123</f>
        <v>64.498</v>
      </c>
      <c r="AJ153" s="31" t="n">
        <f aca="false">AJ123</f>
        <v>102.076</v>
      </c>
      <c r="AK153" s="31" t="n">
        <f aca="false">AK123</f>
        <v>97.047</v>
      </c>
      <c r="AL153" s="31" t="n">
        <f aca="false">AL123</f>
        <v>110.005</v>
      </c>
      <c r="AM153" s="31" t="n">
        <f aca="false">AM123</f>
        <v>373.626</v>
      </c>
      <c r="AN153" s="31" t="n">
        <f aca="false">AN123</f>
        <v>72.045</v>
      </c>
      <c r="AO153" s="31" t="n">
        <f aca="false">AO123</f>
        <v>105.685</v>
      </c>
      <c r="AP153" s="31" t="n">
        <f aca="false">AP123</f>
        <v>105.569</v>
      </c>
      <c r="AQ153" s="31" t="n">
        <f aca="false">AQ123</f>
        <v>120.654</v>
      </c>
      <c r="AR153" s="31" t="n">
        <f aca="false">AR123</f>
        <v>403.953</v>
      </c>
      <c r="AS153" s="31" t="n">
        <f aca="false">AS123</f>
        <v>72.446</v>
      </c>
      <c r="AT153" s="31" t="n">
        <f aca="false">AT123</f>
        <v>55.349</v>
      </c>
      <c r="AU153" s="31" t="n">
        <f aca="false">AU123</f>
        <v>84.573</v>
      </c>
      <c r="AV153" s="31" t="n">
        <f aca="false">AV123</f>
        <v>76.48</v>
      </c>
      <c r="AW153" s="31" t="n">
        <f aca="false">AW123</f>
        <v>288.848</v>
      </c>
      <c r="AX153" s="31" t="n">
        <f aca="false">AX123</f>
        <v>85.066</v>
      </c>
      <c r="AY153" s="31" t="n">
        <f aca="false">AY123</f>
        <v>94.583</v>
      </c>
      <c r="AZ153" s="31" t="n">
        <f aca="false">AZ123</f>
        <v>97.669</v>
      </c>
      <c r="BA153" s="31" t="n">
        <f aca="false">BA123</f>
        <v>105.365</v>
      </c>
      <c r="BB153" s="31" t="n">
        <f aca="false">BB123</f>
        <v>382.683</v>
      </c>
      <c r="BC153" s="31" t="n">
        <f aca="false">BC123</f>
        <v>60.51</v>
      </c>
      <c r="BD153" s="31" t="n">
        <f aca="false">BD123</f>
        <v>98.105</v>
      </c>
      <c r="BE153" s="31" t="n">
        <f aca="false">BE123</f>
        <v>107.583</v>
      </c>
      <c r="BF153" s="31" t="n">
        <f aca="false">BF123</f>
        <v>157.245</v>
      </c>
      <c r="BG153" s="31" t="n">
        <f aca="false">BG123</f>
        <v>423.443</v>
      </c>
      <c r="BH153" s="31" t="n">
        <f aca="false">BH123</f>
        <v>78.615</v>
      </c>
      <c r="BI153" s="31" t="n">
        <f aca="false">BI123</f>
        <v>112.775</v>
      </c>
      <c r="BJ153" s="31" t="n">
        <f aca="false">BJ123</f>
        <v>132.519</v>
      </c>
      <c r="BK153" s="31" t="n">
        <f aca="false">BK123</f>
        <v>160.694</v>
      </c>
      <c r="BL153" s="31" t="n">
        <f aca="false">BL123</f>
        <v>484.602</v>
      </c>
      <c r="BM153" s="31" t="n">
        <f aca="false">BM123</f>
        <v>99.961</v>
      </c>
      <c r="BN153" s="31" t="n">
        <f aca="false">BN123</f>
        <v>128.897</v>
      </c>
      <c r="BO153" s="31" t="n">
        <f aca="false">BO123</f>
        <v>144.903</v>
      </c>
      <c r="BP153" s="31" t="n">
        <f aca="false">BP123</f>
        <v>154.836</v>
      </c>
      <c r="BQ153" s="31" t="n">
        <f aca="false">BQ123</f>
        <v>528.597</v>
      </c>
      <c r="BR153" s="31" t="n">
        <f aca="false">BR123</f>
        <v>129.205</v>
      </c>
      <c r="BS153" s="31" t="n">
        <f aca="false">BS123</f>
        <v>156.307</v>
      </c>
      <c r="BT153" s="31" t="n">
        <f aca="false">BT123</f>
        <v>166.251</v>
      </c>
      <c r="BU153" s="31" t="n">
        <f aca="false">BU123</f>
        <v>181.758</v>
      </c>
      <c r="BV153" s="31" t="n">
        <f aca="false">BV123</f>
        <v>633.521</v>
      </c>
      <c r="BW153" s="31" t="n">
        <f aca="false">BW123</f>
        <v>159.509</v>
      </c>
      <c r="BX153" s="31" t="n">
        <f aca="false">BX123</f>
        <v>178.691</v>
      </c>
      <c r="BY153" s="17" t="n">
        <f aca="false">BY123</f>
        <v>182.961690559161</v>
      </c>
      <c r="BZ153" s="17" t="n">
        <f aca="false">BZ123</f>
        <v>199.712309440839</v>
      </c>
      <c r="CA153" s="17" t="n">
        <f aca="false">CA123</f>
        <v>720.874</v>
      </c>
      <c r="CB153" s="17" t="n">
        <f aca="false">CB123</f>
        <v>809.7922</v>
      </c>
      <c r="CC153" s="17" t="n">
        <f aca="false">CC123</f>
        <v>898.8683313</v>
      </c>
      <c r="CD153" s="17" t="n">
        <f aca="false">CD123</f>
        <v>986.510197833</v>
      </c>
      <c r="CE153" s="17" t="n">
        <f aca="false">CE123</f>
        <v>1079.48494832178</v>
      </c>
    </row>
    <row r="154" customFormat="false" ht="15" hidden="false" customHeight="false" outlineLevel="0" collapsed="false">
      <c r="B154" s="20" t="s">
        <v>329</v>
      </c>
      <c r="I154" s="28" t="n">
        <v>0</v>
      </c>
      <c r="X154" s="28" t="n">
        <v>0</v>
      </c>
      <c r="AJ154" s="28" t="n">
        <v>7</v>
      </c>
      <c r="AK154" s="28" t="n">
        <v>1.3</v>
      </c>
      <c r="AL154" s="28" t="n">
        <v>0.4</v>
      </c>
      <c r="AM154" s="28" t="n">
        <v>8.7</v>
      </c>
      <c r="AN154" s="28" t="n">
        <v>0.5</v>
      </c>
      <c r="AO154" s="28" t="n">
        <v>0.9</v>
      </c>
      <c r="AP154" s="28" t="n">
        <v>0.6</v>
      </c>
      <c r="AQ154" s="28" t="n">
        <v>0.5</v>
      </c>
      <c r="AR154" s="28" t="n">
        <v>2.5</v>
      </c>
      <c r="AS154" s="28" t="n">
        <v>0</v>
      </c>
      <c r="AT154" s="28" t="n">
        <v>0</v>
      </c>
      <c r="AU154" s="28" t="n">
        <v>0</v>
      </c>
      <c r="AV154" s="28" t="n">
        <v>11</v>
      </c>
      <c r="AW154" s="28" t="n">
        <v>11</v>
      </c>
      <c r="AX154" s="28" t="n">
        <v>1.6</v>
      </c>
      <c r="AY154" s="28" t="n">
        <v>1.6</v>
      </c>
      <c r="AZ154" s="28" t="n">
        <v>1.6</v>
      </c>
      <c r="BA154" s="28" t="n">
        <v>0.442</v>
      </c>
      <c r="BB154" s="28" t="n">
        <v>5.242</v>
      </c>
      <c r="BC154" s="28" t="n">
        <v>0</v>
      </c>
      <c r="BD154" s="28" t="n">
        <v>0</v>
      </c>
      <c r="BE154" s="28" t="n">
        <v>6.905</v>
      </c>
      <c r="BF154" s="28" t="n">
        <v>2.427</v>
      </c>
      <c r="BG154" s="28" t="n">
        <v>9.332</v>
      </c>
      <c r="BH154" s="28" t="n">
        <v>2.676</v>
      </c>
      <c r="BI154" s="28" t="n">
        <v>2.659</v>
      </c>
      <c r="BJ154" s="28" t="n">
        <v>1.333</v>
      </c>
      <c r="BK154" s="28" t="n">
        <v>2.5286</v>
      </c>
      <c r="BL154" s="28" t="n">
        <v>9.1966</v>
      </c>
      <c r="BM154" s="28" t="n">
        <v>0</v>
      </c>
      <c r="BN154" s="28" t="n">
        <v>0</v>
      </c>
      <c r="BO154" s="28" t="n">
        <v>0.18975</v>
      </c>
      <c r="BP154" s="28" t="n">
        <v>0.053444</v>
      </c>
      <c r="BQ154" s="28" t="n">
        <v>0.243194</v>
      </c>
      <c r="BR154" s="28" t="n">
        <v>2.411357</v>
      </c>
      <c r="BS154" s="28" t="n">
        <v>1.567</v>
      </c>
      <c r="BT154" s="28" t="n">
        <v>2.747111</v>
      </c>
      <c r="BU154" s="28" t="n">
        <v>2.1234</v>
      </c>
      <c r="BV154" s="28" t="n">
        <v>8.848868</v>
      </c>
      <c r="BW154" s="28" t="n">
        <v>0</v>
      </c>
      <c r="BX154" s="28" t="n">
        <v>0</v>
      </c>
      <c r="BY154" s="30" t="n">
        <v>0</v>
      </c>
      <c r="BZ154" s="30" t="n">
        <v>0</v>
      </c>
      <c r="CA154" s="29" t="n">
        <f aca="false">SUM(BW154,BX154,BY154,BZ154)</f>
        <v>0</v>
      </c>
      <c r="CB154" s="30" t="n">
        <v>0</v>
      </c>
      <c r="CC154" s="30" t="n">
        <v>0</v>
      </c>
      <c r="CD154" s="30" t="n">
        <v>0</v>
      </c>
      <c r="CE154" s="30" t="n">
        <v>0</v>
      </c>
    </row>
    <row r="155" customFormat="false" ht="15" hidden="false" customHeight="false" outlineLevel="0" collapsed="false">
      <c r="B155" s="20" t="s">
        <v>330</v>
      </c>
      <c r="I155" s="28" t="n">
        <v>15.511</v>
      </c>
      <c r="X155" s="28" t="n">
        <v>0</v>
      </c>
      <c r="AJ155" s="28" t="n">
        <v>0</v>
      </c>
      <c r="AK155" s="28" t="n">
        <v>0</v>
      </c>
      <c r="AL155" s="28" t="n">
        <v>0</v>
      </c>
      <c r="AM155" s="28" t="n">
        <v>0</v>
      </c>
      <c r="AN155" s="28" t="n">
        <v>0</v>
      </c>
      <c r="AO155" s="28" t="n">
        <v>1.2</v>
      </c>
      <c r="AP155" s="28" t="n">
        <v>1</v>
      </c>
      <c r="AQ155" s="28" t="n">
        <v>2</v>
      </c>
      <c r="AR155" s="28" t="n">
        <v>4.2</v>
      </c>
      <c r="AS155" s="28" t="n">
        <v>1.58</v>
      </c>
      <c r="AT155" s="28" t="n">
        <v>10.609</v>
      </c>
      <c r="AU155" s="28" t="n">
        <v>8.541</v>
      </c>
      <c r="AV155" s="28" t="n">
        <v>10.965</v>
      </c>
      <c r="AW155" s="28" t="n">
        <v>31.695</v>
      </c>
      <c r="AX155" s="28" t="n">
        <v>0</v>
      </c>
      <c r="AY155" s="28" t="n">
        <v>0</v>
      </c>
      <c r="AZ155" s="28" t="n">
        <v>0</v>
      </c>
      <c r="BA155" s="28" t="n">
        <v>0</v>
      </c>
      <c r="BB155" s="28" t="n">
        <v>0</v>
      </c>
      <c r="BC155" s="28" t="n">
        <v>0</v>
      </c>
      <c r="BD155" s="28" t="n">
        <v>0</v>
      </c>
      <c r="BE155" s="28" t="n">
        <v>0</v>
      </c>
      <c r="BF155" s="28" t="n">
        <v>0</v>
      </c>
      <c r="BG155" s="28" t="n">
        <v>0</v>
      </c>
      <c r="BH155" s="28" t="n">
        <v>0</v>
      </c>
      <c r="BI155" s="28" t="n">
        <v>0</v>
      </c>
      <c r="BJ155" s="28" t="n">
        <v>0</v>
      </c>
      <c r="BK155" s="28" t="n">
        <v>0</v>
      </c>
      <c r="BL155" s="28" t="n">
        <v>0</v>
      </c>
      <c r="BM155" s="28" t="n">
        <v>0</v>
      </c>
      <c r="BN155" s="28" t="n">
        <v>4.448</v>
      </c>
      <c r="BO155" s="28" t="n">
        <v>3.97425</v>
      </c>
      <c r="BP155" s="28" t="n">
        <v>8.603556</v>
      </c>
      <c r="BQ155" s="28" t="n">
        <v>17.025806</v>
      </c>
      <c r="BR155" s="28" t="n">
        <v>2.393643</v>
      </c>
      <c r="BS155" s="28" t="n">
        <v>2.168</v>
      </c>
      <c r="BT155" s="28" t="n">
        <v>1.374889</v>
      </c>
      <c r="BU155" s="28" t="n">
        <v>2.6886</v>
      </c>
      <c r="BV155" s="28" t="n">
        <v>8.625132</v>
      </c>
      <c r="BW155" s="28" t="n">
        <v>0.91</v>
      </c>
      <c r="BX155" s="28" t="n">
        <v>0.517</v>
      </c>
      <c r="BY155" s="29" t="n">
        <f aca="false">BY16+BY30+BY44+BY54</f>
        <v>2.8495</v>
      </c>
      <c r="BZ155" s="29" t="n">
        <f aca="false">BZ16+BZ30+BZ44+BZ54</f>
        <v>2.8495</v>
      </c>
      <c r="CA155" s="29" t="n">
        <f aca="false">SUM(BW155,BX155,BY155,BZ155)</f>
        <v>7.126</v>
      </c>
      <c r="CB155" s="29" t="n">
        <f aca="false">CB16+CB30+CB44+CB54</f>
        <v>0</v>
      </c>
      <c r="CC155" s="29" t="n">
        <f aca="false">CC16+CC30+CC44+CC54</f>
        <v>0</v>
      </c>
      <c r="CD155" s="29" t="n">
        <f aca="false">CD16+CD30+CD44+CD54</f>
        <v>0</v>
      </c>
      <c r="CE155" s="29" t="n">
        <f aca="false">CE16+CE30+CE44+CE54</f>
        <v>0</v>
      </c>
    </row>
    <row r="156" customFormat="false" ht="15" hidden="false" customHeight="false" outlineLevel="0" collapsed="false">
      <c r="B156" s="20" t="s">
        <v>331</v>
      </c>
      <c r="I156" s="28" t="n">
        <v>0</v>
      </c>
      <c r="X156" s="28" t="n">
        <v>0</v>
      </c>
      <c r="AJ156" s="28" t="n">
        <v>0</v>
      </c>
      <c r="AK156" s="28" t="n">
        <v>0</v>
      </c>
      <c r="AL156" s="28" t="n">
        <v>0</v>
      </c>
      <c r="AM156" s="28" t="n">
        <v>0</v>
      </c>
      <c r="AN156" s="28" t="n">
        <v>0</v>
      </c>
      <c r="AO156" s="28" t="n">
        <v>0</v>
      </c>
      <c r="AP156" s="28" t="n">
        <v>0</v>
      </c>
      <c r="AQ156" s="28" t="n">
        <v>0</v>
      </c>
      <c r="AR156" s="28" t="n">
        <v>0</v>
      </c>
      <c r="AS156" s="28" t="n">
        <v>0</v>
      </c>
      <c r="AT156" s="28" t="n">
        <v>0</v>
      </c>
      <c r="AU156" s="28" t="n">
        <v>0</v>
      </c>
      <c r="AV156" s="28" t="n">
        <v>33.043</v>
      </c>
      <c r="AW156" s="28" t="n">
        <v>33.043</v>
      </c>
      <c r="AX156" s="28" t="n">
        <v>2.1</v>
      </c>
      <c r="AY156" s="28" t="n">
        <v>-1.1</v>
      </c>
      <c r="AZ156" s="28" t="n">
        <v>8.3</v>
      </c>
      <c r="BA156" s="28" t="n">
        <v>6.773</v>
      </c>
      <c r="BB156" s="28" t="n">
        <v>16.073</v>
      </c>
      <c r="BC156" s="28" t="n">
        <v>5.427</v>
      </c>
      <c r="BD156" s="28" t="n">
        <v>0</v>
      </c>
      <c r="BE156" s="28" t="n">
        <v>0</v>
      </c>
      <c r="BF156" s="28" t="n">
        <v>0</v>
      </c>
      <c r="BG156" s="28" t="n">
        <v>5.427</v>
      </c>
      <c r="BH156" s="28" t="n">
        <v>0</v>
      </c>
      <c r="BI156" s="28" t="n">
        <v>0</v>
      </c>
      <c r="BJ156" s="28" t="n">
        <v>0</v>
      </c>
      <c r="BK156" s="28" t="n">
        <v>-0.0006</v>
      </c>
      <c r="BL156" s="28" t="n">
        <v>-0.0006</v>
      </c>
      <c r="BM156" s="28" t="n">
        <v>0</v>
      </c>
      <c r="BN156" s="28" t="n">
        <v>0</v>
      </c>
      <c r="BO156" s="28" t="n">
        <v>0</v>
      </c>
      <c r="BP156" s="28" t="n">
        <v>0</v>
      </c>
      <c r="BQ156" s="28" t="n">
        <v>0</v>
      </c>
      <c r="BR156" s="28" t="n">
        <v>0</v>
      </c>
      <c r="BS156" s="28" t="n">
        <v>0</v>
      </c>
      <c r="BT156" s="28" t="n">
        <v>0</v>
      </c>
      <c r="BU156" s="28" t="n">
        <v>0</v>
      </c>
      <c r="BV156" s="28" t="n">
        <v>0</v>
      </c>
      <c r="BW156" s="28" t="n">
        <v>0</v>
      </c>
      <c r="BX156" s="28" t="n">
        <v>0</v>
      </c>
      <c r="BY156" s="30" t="n">
        <v>0</v>
      </c>
      <c r="BZ156" s="30" t="n">
        <v>0</v>
      </c>
      <c r="CA156" s="29" t="n">
        <f aca="false">SUM(BW156,BX156,BY156,BZ156)</f>
        <v>0</v>
      </c>
      <c r="CB156" s="30" t="n">
        <v>0</v>
      </c>
      <c r="CC156" s="30" t="n">
        <v>0</v>
      </c>
      <c r="CD156" s="30" t="n">
        <v>0</v>
      </c>
      <c r="CE156" s="30" t="n">
        <v>0</v>
      </c>
    </row>
    <row r="157" customFormat="false" ht="15" hidden="false" customHeight="false" outlineLevel="0" collapsed="false">
      <c r="B157" s="20" t="s">
        <v>332</v>
      </c>
      <c r="I157" s="28" t="n">
        <v>24.491</v>
      </c>
      <c r="X157" s="28" t="n">
        <v>-19.617</v>
      </c>
      <c r="AJ157" s="28" t="n">
        <v>0.024</v>
      </c>
      <c r="AK157" s="28" t="n">
        <v>-0.047</v>
      </c>
      <c r="AL157" s="28" t="n">
        <v>-0.005</v>
      </c>
      <c r="AM157" s="28" t="n">
        <v>-0.325999999999998</v>
      </c>
      <c r="AN157" s="28" t="n">
        <v>-0.045</v>
      </c>
      <c r="AO157" s="28" t="n">
        <v>-0.085</v>
      </c>
      <c r="AP157" s="28" t="n">
        <v>0.031</v>
      </c>
      <c r="AQ157" s="28" t="n">
        <v>0.046</v>
      </c>
      <c r="AR157" s="28" t="n">
        <v>0.347</v>
      </c>
      <c r="AS157" s="28" t="n">
        <v>5.974</v>
      </c>
      <c r="AT157" s="28" t="n">
        <v>12.542</v>
      </c>
      <c r="AU157" s="28" t="n">
        <v>6.786</v>
      </c>
      <c r="AV157" s="28" t="n">
        <v>1.31200000000001</v>
      </c>
      <c r="AW157" s="28" t="n">
        <v>26.414</v>
      </c>
      <c r="AX157" s="28" t="n">
        <v>0.0339999999999998</v>
      </c>
      <c r="AY157" s="28" t="n">
        <v>-0.0830000000000002</v>
      </c>
      <c r="AZ157" s="28" t="n">
        <v>-0.0690000000000008</v>
      </c>
      <c r="BA157" s="28" t="n">
        <v>16.5</v>
      </c>
      <c r="BB157" s="28" t="n">
        <v>16.425</v>
      </c>
      <c r="BC157" s="28" t="n">
        <v>4.876</v>
      </c>
      <c r="BD157" s="28" t="n">
        <v>0</v>
      </c>
      <c r="BE157" s="28" t="n">
        <v>0</v>
      </c>
      <c r="BF157" s="28" t="n">
        <v>0</v>
      </c>
      <c r="BG157" s="28" t="n">
        <v>4.876001</v>
      </c>
      <c r="BH157" s="28" t="n">
        <v>0</v>
      </c>
      <c r="BI157" s="28" t="n">
        <v>0</v>
      </c>
      <c r="BJ157" s="28" t="n">
        <v>0</v>
      </c>
      <c r="BK157" s="28" t="n">
        <v>0</v>
      </c>
      <c r="BL157" s="28" t="n">
        <v>0.00200000000000067</v>
      </c>
      <c r="BM157" s="28" t="n">
        <v>0</v>
      </c>
      <c r="BN157" s="28" t="n">
        <v>0</v>
      </c>
      <c r="BO157" s="28" t="n">
        <v>0</v>
      </c>
      <c r="BP157" s="28" t="n">
        <v>0</v>
      </c>
      <c r="BQ157" s="28" t="n">
        <v>0</v>
      </c>
      <c r="BR157" s="28" t="n">
        <v>0</v>
      </c>
      <c r="BS157" s="28" t="n">
        <v>0</v>
      </c>
      <c r="BT157" s="28" t="n">
        <v>0</v>
      </c>
      <c r="BU157" s="28" t="n">
        <v>0</v>
      </c>
      <c r="BV157" s="28" t="n">
        <v>-0.00100000000000122</v>
      </c>
      <c r="BW157" s="28" t="n">
        <v>0</v>
      </c>
      <c r="BX157" s="28" t="n">
        <v>0</v>
      </c>
      <c r="BY157" s="30" t="n">
        <v>0</v>
      </c>
      <c r="BZ157" s="30" t="n">
        <v>0</v>
      </c>
      <c r="CA157" s="29" t="n">
        <f aca="false">SUM(BW157,BX157,BY157,BZ157)</f>
        <v>0</v>
      </c>
      <c r="CB157" s="30" t="n">
        <v>0</v>
      </c>
      <c r="CC157" s="30" t="n">
        <v>0</v>
      </c>
      <c r="CD157" s="30" t="n">
        <v>0</v>
      </c>
      <c r="CE157" s="30" t="n">
        <v>0</v>
      </c>
    </row>
    <row r="158" customFormat="false" ht="15" hidden="false" customHeight="false" outlineLevel="0" collapsed="false">
      <c r="B158" s="20" t="s">
        <v>333</v>
      </c>
      <c r="C158" s="39" t="n">
        <f aca="false">N(C154)+N(C155)+N(C156)+N(C157)</f>
        <v>0</v>
      </c>
      <c r="D158" s="39" t="n">
        <f aca="false">N(D154)+N(D155)+N(D156)+N(D157)</f>
        <v>0</v>
      </c>
      <c r="E158" s="39" t="n">
        <f aca="false">N(E154)+N(E155)+N(E156)+N(E157)</f>
        <v>0</v>
      </c>
      <c r="F158" s="39" t="n">
        <f aca="false">N(F154)+N(F155)+N(F156)+N(F157)</f>
        <v>0</v>
      </c>
      <c r="G158" s="39" t="n">
        <f aca="false">N(G154)+N(G155)+N(G156)+N(G157)</f>
        <v>0</v>
      </c>
      <c r="H158" s="39" t="n">
        <f aca="false">N(H154)+N(H155)+N(H156)+N(H157)</f>
        <v>0</v>
      </c>
      <c r="I158" s="39" t="n">
        <f aca="false">N(I154)+N(I155)+N(I156)+N(I157)</f>
        <v>40.002</v>
      </c>
      <c r="J158" s="39" t="n">
        <f aca="false">N(J154)+N(J155)+N(J156)+N(J157)</f>
        <v>0</v>
      </c>
      <c r="K158" s="39" t="n">
        <f aca="false">N(K154)+N(K155)+N(K156)+N(K157)</f>
        <v>0</v>
      </c>
      <c r="L158" s="39" t="n">
        <f aca="false">N(L154)+N(L155)+N(L156)+N(L157)</f>
        <v>0</v>
      </c>
      <c r="M158" s="39" t="n">
        <f aca="false">N(M154)+N(M155)+N(M156)+N(M157)</f>
        <v>0</v>
      </c>
      <c r="N158" s="39" t="n">
        <f aca="false">N(N154)+N(N155)+N(N156)+N(N157)</f>
        <v>0</v>
      </c>
      <c r="O158" s="39" t="n">
        <f aca="false">N(O154)+N(O155)+N(O156)+N(O157)</f>
        <v>0</v>
      </c>
      <c r="P158" s="39" t="n">
        <f aca="false">N(P154)+N(P155)+N(P156)+N(P157)</f>
        <v>0</v>
      </c>
      <c r="Q158" s="39" t="n">
        <f aca="false">N(Q154)+N(Q155)+N(Q156)+N(Q157)</f>
        <v>0</v>
      </c>
      <c r="R158" s="39" t="n">
        <f aca="false">N(R154)+N(R155)+N(R156)+N(R157)</f>
        <v>0</v>
      </c>
      <c r="S158" s="39" t="n">
        <f aca="false">N(S154)+N(S155)+N(S156)+N(S157)</f>
        <v>0</v>
      </c>
      <c r="T158" s="39" t="n">
        <f aca="false">N(T154)+N(T155)+N(T156)+N(T157)</f>
        <v>0</v>
      </c>
      <c r="U158" s="39" t="n">
        <f aca="false">N(U154)+N(U155)+N(U156)+N(U157)</f>
        <v>0</v>
      </c>
      <c r="V158" s="39" t="n">
        <f aca="false">N(V154)+N(V155)+N(V156)+N(V157)</f>
        <v>0</v>
      </c>
      <c r="W158" s="39" t="n">
        <f aca="false">N(W154)+N(W155)+N(W156)+N(W157)</f>
        <v>0</v>
      </c>
      <c r="X158" s="39" t="n">
        <f aca="false">N(X154)+N(X155)+N(X156)+N(X157)</f>
        <v>-19.617</v>
      </c>
      <c r="Y158" s="39" t="n">
        <f aca="false">N(Y154)+N(Y155)+N(Y156)+N(Y157)</f>
        <v>0</v>
      </c>
      <c r="Z158" s="39" t="n">
        <f aca="false">N(Z154)+N(Z155)+N(Z156)+N(Z157)</f>
        <v>0</v>
      </c>
      <c r="AA158" s="39" t="n">
        <f aca="false">N(AA154)+N(AA155)+N(AA156)+N(AA157)</f>
        <v>0</v>
      </c>
      <c r="AB158" s="39" t="n">
        <f aca="false">N(AB154)+N(AB155)+N(AB156)+N(AB157)</f>
        <v>0</v>
      </c>
      <c r="AC158" s="39" t="n">
        <f aca="false">N(AC154)+N(AC155)+N(AC156)+N(AC157)</f>
        <v>0</v>
      </c>
      <c r="AD158" s="39" t="n">
        <f aca="false">N(AD154)+N(AD155)+N(AD156)+N(AD157)</f>
        <v>0</v>
      </c>
      <c r="AE158" s="39" t="n">
        <f aca="false">N(AE154)+N(AE155)+N(AE156)+N(AE157)</f>
        <v>0</v>
      </c>
      <c r="AF158" s="39" t="n">
        <f aca="false">N(AF154)+N(AF155)+N(AF156)+N(AF157)</f>
        <v>0</v>
      </c>
      <c r="AG158" s="39" t="n">
        <f aca="false">N(AG154)+N(AG155)+N(AG156)+N(AG157)</f>
        <v>0</v>
      </c>
      <c r="AH158" s="39" t="n">
        <f aca="false">N(AH154)+N(AH155)+N(AH156)+N(AH157)</f>
        <v>0</v>
      </c>
      <c r="AI158" s="39" t="n">
        <f aca="false">N(AI154)+N(AI155)+N(AI156)+N(AI157)</f>
        <v>0</v>
      </c>
      <c r="AJ158" s="39" t="n">
        <f aca="false">N(AJ154)+N(AJ155)+N(AJ156)+N(AJ157)</f>
        <v>7.024</v>
      </c>
      <c r="AK158" s="39" t="n">
        <f aca="false">N(AK154)+N(AK155)+N(AK156)+N(AK157)</f>
        <v>1.253</v>
      </c>
      <c r="AL158" s="39" t="n">
        <f aca="false">N(AL154)+N(AL155)+N(AL156)+N(AL157)</f>
        <v>0.395</v>
      </c>
      <c r="AM158" s="39" t="n">
        <f aca="false">N(AM154)+N(AM155)+N(AM156)+N(AM157)</f>
        <v>8.374</v>
      </c>
      <c r="AN158" s="39" t="n">
        <f aca="false">N(AN154)+N(AN155)+N(AN156)+N(AN157)</f>
        <v>0.455</v>
      </c>
      <c r="AO158" s="39" t="n">
        <f aca="false">N(AO154)+N(AO155)+N(AO156)+N(AO157)</f>
        <v>2.015</v>
      </c>
      <c r="AP158" s="39" t="n">
        <f aca="false">N(AP154)+N(AP155)+N(AP156)+N(AP157)</f>
        <v>1.631</v>
      </c>
      <c r="AQ158" s="39" t="n">
        <f aca="false">N(AQ154)+N(AQ155)+N(AQ156)+N(AQ157)</f>
        <v>2.546</v>
      </c>
      <c r="AR158" s="39" t="n">
        <f aca="false">N(AR154)+N(AR155)+N(AR156)+N(AR157)</f>
        <v>7.047</v>
      </c>
      <c r="AS158" s="39" t="n">
        <f aca="false">N(AS154)+N(AS155)+N(AS156)+N(AS157)</f>
        <v>7.554</v>
      </c>
      <c r="AT158" s="39" t="n">
        <f aca="false">N(AT154)+N(AT155)+N(AT156)+N(AT157)</f>
        <v>23.151</v>
      </c>
      <c r="AU158" s="39" t="n">
        <f aca="false">N(AU154)+N(AU155)+N(AU156)+N(AU157)</f>
        <v>15.327</v>
      </c>
      <c r="AV158" s="39" t="n">
        <f aca="false">N(AV154)+N(AV155)+N(AV156)+N(AV157)</f>
        <v>56.32</v>
      </c>
      <c r="AW158" s="39" t="n">
        <f aca="false">N(AW154)+N(AW155)+N(AW156)+N(AW157)</f>
        <v>102.152</v>
      </c>
      <c r="AX158" s="39" t="n">
        <f aca="false">N(AX154)+N(AX155)+N(AX156)+N(AX157)</f>
        <v>3.734</v>
      </c>
      <c r="AY158" s="39" t="n">
        <f aca="false">N(AY154)+N(AY155)+N(AY156)+N(AY157)</f>
        <v>0.417</v>
      </c>
      <c r="AZ158" s="39" t="n">
        <f aca="false">N(AZ154)+N(AZ155)+N(AZ156)+N(AZ157)</f>
        <v>9.831</v>
      </c>
      <c r="BA158" s="39" t="n">
        <f aca="false">N(BA154)+N(BA155)+N(BA156)+N(BA157)</f>
        <v>23.715</v>
      </c>
      <c r="BB158" s="39" t="n">
        <f aca="false">N(BB154)+N(BB155)+N(BB156)+N(BB157)</f>
        <v>37.74</v>
      </c>
      <c r="BC158" s="39" t="n">
        <f aca="false">N(BC154)+N(BC155)+N(BC156)+N(BC157)</f>
        <v>10.303</v>
      </c>
      <c r="BD158" s="39" t="n">
        <f aca="false">N(BD154)+N(BD155)+N(BD156)+N(BD157)</f>
        <v>0</v>
      </c>
      <c r="BE158" s="39" t="n">
        <f aca="false">N(BE154)+N(BE155)+N(BE156)+N(BE157)</f>
        <v>6.905</v>
      </c>
      <c r="BF158" s="39" t="n">
        <f aca="false">N(BF154)+N(BF155)+N(BF156)+N(BF157)</f>
        <v>2.427</v>
      </c>
      <c r="BG158" s="39" t="n">
        <f aca="false">N(BG154)+N(BG155)+N(BG156)+N(BG157)</f>
        <v>19.635001</v>
      </c>
      <c r="BH158" s="39" t="n">
        <f aca="false">N(BH154)+N(BH155)+N(BH156)+N(BH157)</f>
        <v>2.676</v>
      </c>
      <c r="BI158" s="39" t="n">
        <f aca="false">N(BI154)+N(BI155)+N(BI156)+N(BI157)</f>
        <v>2.659</v>
      </c>
      <c r="BJ158" s="39" t="n">
        <f aca="false">N(BJ154)+N(BJ155)+N(BJ156)+N(BJ157)</f>
        <v>1.333</v>
      </c>
      <c r="BK158" s="39" t="n">
        <f aca="false">N(BK154)+N(BK155)+N(BK156)+N(BK157)</f>
        <v>2.528</v>
      </c>
      <c r="BL158" s="39" t="n">
        <f aca="false">N(BL154)+N(BL155)+N(BL156)+N(BL157)</f>
        <v>9.198</v>
      </c>
      <c r="BM158" s="39" t="n">
        <f aca="false">N(BM154)+N(BM155)+N(BM156)+N(BM157)</f>
        <v>0</v>
      </c>
      <c r="BN158" s="39" t="n">
        <f aca="false">N(BN154)+N(BN155)+N(BN156)+N(BN157)</f>
        <v>4.448</v>
      </c>
      <c r="BO158" s="39" t="n">
        <f aca="false">N(BO154)+N(BO155)+N(BO156)+N(BO157)</f>
        <v>4.164</v>
      </c>
      <c r="BP158" s="39" t="n">
        <f aca="false">N(BP154)+N(BP155)+N(BP156)+N(BP157)</f>
        <v>8.657</v>
      </c>
      <c r="BQ158" s="39" t="n">
        <f aca="false">N(BQ154)+N(BQ155)+N(BQ156)+N(BQ157)</f>
        <v>17.269</v>
      </c>
      <c r="BR158" s="39" t="n">
        <f aca="false">N(BR154)+N(BR155)+N(BR156)+N(BR157)</f>
        <v>4.805</v>
      </c>
      <c r="BS158" s="39" t="n">
        <f aca="false">N(BS154)+N(BS155)+N(BS156)+N(BS157)</f>
        <v>3.735</v>
      </c>
      <c r="BT158" s="39" t="n">
        <f aca="false">N(BT154)+N(BT155)+N(BT156)+N(BT157)</f>
        <v>4.122</v>
      </c>
      <c r="BU158" s="39" t="n">
        <f aca="false">N(BU154)+N(BU155)+N(BU156)+N(BU157)</f>
        <v>4.812</v>
      </c>
      <c r="BV158" s="39" t="n">
        <f aca="false">N(BV154)+N(BV155)+N(BV156)+N(BV157)</f>
        <v>17.473</v>
      </c>
      <c r="BW158" s="39" t="n">
        <f aca="false">N(BW154)+N(BW155)+N(BW156)+N(BW157)</f>
        <v>0.91</v>
      </c>
      <c r="BX158" s="39" t="n">
        <f aca="false">N(BX154)+N(BX155)+N(BX156)+N(BX157)</f>
        <v>0.517</v>
      </c>
      <c r="BY158" s="29" t="n">
        <f aca="false">N(BY154)+N(BY155)+N(BY156)+N(BY157)</f>
        <v>2.8495</v>
      </c>
      <c r="BZ158" s="29" t="n">
        <f aca="false">N(BZ154)+N(BZ155)+N(BZ156)+N(BZ157)</f>
        <v>2.8495</v>
      </c>
      <c r="CA158" s="29" t="n">
        <f aca="false">N(CA154)+N(CA155)+N(CA156)+N(CA157)</f>
        <v>7.126</v>
      </c>
      <c r="CB158" s="29" t="n">
        <f aca="false">N(CB154)+N(CB155)+N(CB156)+N(CB157)</f>
        <v>0</v>
      </c>
      <c r="CC158" s="29" t="n">
        <f aca="false">N(CC154)+N(CC155)+N(CC156)+N(CC157)</f>
        <v>0</v>
      </c>
      <c r="CD158" s="29" t="n">
        <f aca="false">N(CD154)+N(CD155)+N(CD156)+N(CD157)</f>
        <v>0</v>
      </c>
      <c r="CE158" s="29" t="n">
        <f aca="false">N(CE154)+N(CE155)+N(CE156)+N(CE157)</f>
        <v>0</v>
      </c>
    </row>
    <row r="159" customFormat="false" ht="15" hidden="false" customHeight="false" outlineLevel="0" collapsed="false">
      <c r="B159" s="43" t="s">
        <v>334</v>
      </c>
      <c r="C159" s="44" t="n">
        <f aca="false">C153+C158</f>
        <v>140.628</v>
      </c>
      <c r="D159" s="44" t="n">
        <f aca="false">D153+D158</f>
        <v>179.184</v>
      </c>
      <c r="E159" s="44" t="n">
        <f aca="false">E153+E158</f>
        <v>199.182</v>
      </c>
      <c r="F159" s="44" t="n">
        <f aca="false">F153+F158</f>
        <v>169.319</v>
      </c>
      <c r="G159" s="44" t="n">
        <f aca="false">G153+G158</f>
        <v>179.823</v>
      </c>
      <c r="H159" s="44" t="n">
        <f aca="false">H153+H158</f>
        <v>204.956</v>
      </c>
      <c r="I159" s="44" t="n">
        <f aca="false">I153+I158</f>
        <v>201.448</v>
      </c>
      <c r="J159" s="44" t="n">
        <f aca="false">J153+J158</f>
        <v>38.026</v>
      </c>
      <c r="K159" s="44" t="n">
        <f aca="false">K153+K158</f>
        <v>57.788</v>
      </c>
      <c r="L159" s="44" t="n">
        <f aca="false">L153+L158</f>
        <v>62.887</v>
      </c>
      <c r="M159" s="44" t="n">
        <f aca="false">M153+M158</f>
        <v>74.918</v>
      </c>
      <c r="N159" s="44" t="n">
        <f aca="false">N153+N158</f>
        <v>233.619</v>
      </c>
      <c r="O159" s="44" t="n">
        <f aca="false">O153+O158</f>
        <v>59.1010000000001</v>
      </c>
      <c r="P159" s="44" t="n">
        <f aca="false">P153+P158</f>
        <v>76.65</v>
      </c>
      <c r="Q159" s="44" t="n">
        <f aca="false">Q153+Q158</f>
        <v>74.1400000000001</v>
      </c>
      <c r="R159" s="44" t="n">
        <f aca="false">R153+R158</f>
        <v>74.931</v>
      </c>
      <c r="S159" s="44" t="n">
        <f aca="false">S153+S158</f>
        <v>282.373</v>
      </c>
      <c r="T159" s="44" t="n">
        <f aca="false">T153+T158</f>
        <v>72.835</v>
      </c>
      <c r="U159" s="44" t="n">
        <f aca="false">U153+U158</f>
        <v>65.442</v>
      </c>
      <c r="V159" s="44" t="n">
        <f aca="false">V153+V158</f>
        <v>63.8129999999999</v>
      </c>
      <c r="W159" s="44" t="n">
        <f aca="false">W153+W158</f>
        <v>108.527</v>
      </c>
      <c r="X159" s="44" t="n">
        <f aca="false">X153+X158</f>
        <v>291</v>
      </c>
      <c r="Y159" s="44" t="n">
        <f aca="false">Y153+Y158</f>
        <v>57.263</v>
      </c>
      <c r="Z159" s="44" t="n">
        <f aca="false">Z153+Z158</f>
        <v>68.089</v>
      </c>
      <c r="AA159" s="44" t="n">
        <f aca="false">AA153+AA158</f>
        <v>76.573</v>
      </c>
      <c r="AB159" s="44" t="n">
        <f aca="false">AB153+AB158</f>
        <v>106.173</v>
      </c>
      <c r="AC159" s="44" t="n">
        <f aca="false">AC153+AC158</f>
        <v>308.098</v>
      </c>
      <c r="AD159" s="44" t="n">
        <f aca="false">AD153+AD158</f>
        <v>51.227</v>
      </c>
      <c r="AE159" s="44" t="n">
        <f aca="false">AE153+AE158</f>
        <v>83.271</v>
      </c>
      <c r="AF159" s="44" t="n">
        <f aca="false">AF153+AF158</f>
        <v>96.55</v>
      </c>
      <c r="AG159" s="44" t="n">
        <f aca="false">AG153+AG158</f>
        <v>108.695</v>
      </c>
      <c r="AH159" s="44" t="n">
        <f aca="false">AH153+AH158</f>
        <v>339.743</v>
      </c>
      <c r="AI159" s="44" t="n">
        <f aca="false">AI153+AI158</f>
        <v>64.498</v>
      </c>
      <c r="AJ159" s="44" t="n">
        <f aca="false">AJ153+AJ158</f>
        <v>109.1</v>
      </c>
      <c r="AK159" s="44" t="n">
        <f aca="false">AK153+AK158</f>
        <v>98.3</v>
      </c>
      <c r="AL159" s="44" t="n">
        <f aca="false">AL153+AL158</f>
        <v>110.4</v>
      </c>
      <c r="AM159" s="44" t="n">
        <f aca="false">AM153+AM158</f>
        <v>382</v>
      </c>
      <c r="AN159" s="44" t="n">
        <f aca="false">AN153+AN158</f>
        <v>72.5</v>
      </c>
      <c r="AO159" s="44" t="n">
        <f aca="false">AO153+AO158</f>
        <v>107.7</v>
      </c>
      <c r="AP159" s="44" t="n">
        <f aca="false">AP153+AP158</f>
        <v>107.2</v>
      </c>
      <c r="AQ159" s="44" t="n">
        <f aca="false">AQ153+AQ158</f>
        <v>123.2</v>
      </c>
      <c r="AR159" s="44" t="n">
        <f aca="false">AR153+AR158</f>
        <v>411</v>
      </c>
      <c r="AS159" s="44" t="n">
        <f aca="false">AS153+AS158</f>
        <v>80</v>
      </c>
      <c r="AT159" s="44" t="n">
        <f aca="false">AT153+AT158</f>
        <v>78.5</v>
      </c>
      <c r="AU159" s="44" t="n">
        <f aca="false">AU153+AU158</f>
        <v>99.9</v>
      </c>
      <c r="AV159" s="44" t="n">
        <f aca="false">AV153+AV158</f>
        <v>132.8</v>
      </c>
      <c r="AW159" s="44" t="n">
        <f aca="false">AW153+AW158</f>
        <v>391</v>
      </c>
      <c r="AX159" s="44" t="n">
        <f aca="false">AX153+AX158</f>
        <v>88.7999999999999</v>
      </c>
      <c r="AY159" s="44" t="n">
        <f aca="false">AY153+AY158</f>
        <v>95</v>
      </c>
      <c r="AZ159" s="44" t="n">
        <f aca="false">AZ153+AZ158</f>
        <v>107.5</v>
      </c>
      <c r="BA159" s="44" t="n">
        <f aca="false">BA153+BA158</f>
        <v>129.08</v>
      </c>
      <c r="BB159" s="44" t="n">
        <f aca="false">BB153+BB158</f>
        <v>420.423</v>
      </c>
      <c r="BC159" s="44" t="n">
        <f aca="false">BC153+BC158</f>
        <v>70.813</v>
      </c>
      <c r="BD159" s="44" t="n">
        <f aca="false">BD153+BD158</f>
        <v>98.105</v>
      </c>
      <c r="BE159" s="44" t="n">
        <f aca="false">BE153+BE158</f>
        <v>114.488</v>
      </c>
      <c r="BF159" s="44" t="n">
        <f aca="false">BF153+BF158</f>
        <v>159.672</v>
      </c>
      <c r="BG159" s="44" t="n">
        <f aca="false">BG153+BG158</f>
        <v>443.078001</v>
      </c>
      <c r="BH159" s="44" t="n">
        <f aca="false">BH153+BH158</f>
        <v>81.291</v>
      </c>
      <c r="BI159" s="44" t="n">
        <f aca="false">BI153+BI158</f>
        <v>115.434</v>
      </c>
      <c r="BJ159" s="44" t="n">
        <f aca="false">BJ153+BJ158</f>
        <v>133.852</v>
      </c>
      <c r="BK159" s="44" t="n">
        <f aca="false">BK153+BK158</f>
        <v>163.222</v>
      </c>
      <c r="BL159" s="44" t="n">
        <f aca="false">BL153+BL158</f>
        <v>493.8</v>
      </c>
      <c r="BM159" s="44" t="n">
        <f aca="false">BM153+BM158</f>
        <v>99.961</v>
      </c>
      <c r="BN159" s="44" t="n">
        <f aca="false">BN153+BN158</f>
        <v>133.345</v>
      </c>
      <c r="BO159" s="44" t="n">
        <f aca="false">BO153+BO158</f>
        <v>149.067</v>
      </c>
      <c r="BP159" s="44" t="n">
        <f aca="false">BP153+BP158</f>
        <v>163.493</v>
      </c>
      <c r="BQ159" s="44" t="n">
        <f aca="false">BQ153+BQ158</f>
        <v>545.866</v>
      </c>
      <c r="BR159" s="44" t="n">
        <f aca="false">BR153+BR158</f>
        <v>134.01</v>
      </c>
      <c r="BS159" s="44" t="n">
        <f aca="false">BS153+BS158</f>
        <v>160.042</v>
      </c>
      <c r="BT159" s="44" t="n">
        <f aca="false">BT153+BT158</f>
        <v>170.373</v>
      </c>
      <c r="BU159" s="44" t="n">
        <f aca="false">BU153+BU158</f>
        <v>186.57</v>
      </c>
      <c r="BV159" s="44" t="n">
        <f aca="false">BV153+BV158</f>
        <v>650.994</v>
      </c>
      <c r="BW159" s="44" t="n">
        <f aca="false">BW153+BW158</f>
        <v>160.419</v>
      </c>
      <c r="BX159" s="44" t="n">
        <f aca="false">BX153+BX158</f>
        <v>179.208</v>
      </c>
      <c r="BY159" s="44" t="n">
        <f aca="false">BY153+BY158</f>
        <v>185.811190559161</v>
      </c>
      <c r="BZ159" s="44" t="n">
        <f aca="false">BZ153+BZ158</f>
        <v>202.561809440839</v>
      </c>
      <c r="CA159" s="44" t="n">
        <f aca="false">CA153+CA158</f>
        <v>728</v>
      </c>
      <c r="CB159" s="44" t="n">
        <f aca="false">CB153+CB158</f>
        <v>809.7922</v>
      </c>
      <c r="CC159" s="44" t="n">
        <f aca="false">CC153+CC158</f>
        <v>898.8683313</v>
      </c>
      <c r="CD159" s="44" t="n">
        <f aca="false">CD153+CD158</f>
        <v>986.510197833</v>
      </c>
      <c r="CE159" s="44" t="n">
        <f aca="false">CE153+CE158</f>
        <v>1079.48494832178</v>
      </c>
      <c r="CF159" s="18" t="s">
        <v>335</v>
      </c>
      <c r="CH159" s="19" t="n">
        <f aca="false">IFERROR((CE159/BV159)^(1/5)-1,"n/m")</f>
        <v>0.106440135220898</v>
      </c>
      <c r="CI159" s="19" t="n">
        <f aca="false">IFERROR((BV159/AW159)^(1/5)-1,"n/m")</f>
        <v>0.107337597233939</v>
      </c>
      <c r="CJ159" s="19" t="n">
        <f aca="false">IFERROR((BV159/X159)^(1/10)-1,"n/m")</f>
        <v>0.0838480477512806</v>
      </c>
      <c r="CK159" s="19" t="n">
        <f aca="false">IFERROR((BV159/C159)^(1/19)-1,"n/m")</f>
        <v>0.0839932770631249</v>
      </c>
    </row>
    <row r="160" customFormat="false" ht="15" hidden="false" customHeight="false" outlineLevel="0" collapsed="false">
      <c r="B160" s="20" t="s">
        <v>133</v>
      </c>
      <c r="C160" s="27" t="n">
        <f aca="false">IF(AND(ISNUMBER(C159),ISNUMBER(C114)),IFERROR(C159/C114,""),"")</f>
        <v>0.109680966809785</v>
      </c>
      <c r="D160" s="27" t="n">
        <f aca="false">IF(AND(ISNUMBER(D159),ISNUMBER(D114)),IFERROR(D159/D114,""),"")</f>
        <v>0.112543997829315</v>
      </c>
      <c r="E160" s="27" t="n">
        <f aca="false">IF(AND(ISNUMBER(E159),ISNUMBER(E114)),IFERROR(E159/E114,""),"")</f>
        <v>0.108834296829751</v>
      </c>
      <c r="F160" s="27" t="n">
        <f aca="false">IF(AND(ISNUMBER(F159),ISNUMBER(F114)),IFERROR(F159/F114,""),"")</f>
        <v>0.0935624333449375</v>
      </c>
      <c r="G160" s="27" t="n">
        <f aca="false">IF(AND(ISNUMBER(G159),ISNUMBER(G114)),IFERROR(G159/G114,""),"")</f>
        <v>0.0949869370049875</v>
      </c>
      <c r="H160" s="27" t="n">
        <f aca="false">IF(AND(ISNUMBER(H159),ISNUMBER(H114)),IFERROR(H159/H114,""),"")</f>
        <v>0.0997775213837489</v>
      </c>
      <c r="I160" s="27" t="n">
        <f aca="false">IF(AND(ISNUMBER(I159),ISNUMBER(I114)),IFERROR(I159/I114,""),"")</f>
        <v>0.096032065351077</v>
      </c>
      <c r="J160" s="27" t="n">
        <f aca="false">IF(AND(ISNUMBER(J159),ISNUMBER(J114)),IFERROR(J159/J114,""),"")</f>
        <v>0.0641586537244785</v>
      </c>
      <c r="K160" s="27" t="n">
        <f aca="false">IF(AND(ISNUMBER(K159),ISNUMBER(K114)),IFERROR(K159/K114,""),"")</f>
        <v>0.093555473888879</v>
      </c>
      <c r="L160" s="27" t="n">
        <f aca="false">IF(AND(ISNUMBER(L159),ISNUMBER(L114)),IFERROR(L159/L114,""),"")</f>
        <v>0.104695280413274</v>
      </c>
      <c r="M160" s="27" t="n">
        <f aca="false">IF(AND(ISNUMBER(M159),ISNUMBER(M114)),IFERROR(M159/M114,""),"")</f>
        <v>0.107067011561602</v>
      </c>
      <c r="N160" s="27" t="n">
        <f aca="false">IF(AND(ISNUMBER(N159),ISNUMBER(N114)),IFERROR(N159/N114,""),"")</f>
        <v>0.0930467175222272</v>
      </c>
      <c r="O160" s="27" t="n">
        <f aca="false">IF(AND(ISNUMBER(O159),ISNUMBER(O114)),IFERROR(O159/O114,""),"")</f>
        <v>0.0921420241591989</v>
      </c>
      <c r="P160" s="27" t="n">
        <f aca="false">IF(AND(ISNUMBER(P159),ISNUMBER(P114)),IFERROR(P159/P114,""),"")</f>
        <v>0.117479906567839</v>
      </c>
      <c r="Q160" s="27" t="n">
        <f aca="false">IF(AND(ISNUMBER(Q159),ISNUMBER(Q114)),IFERROR(Q159/Q114,""),"")</f>
        <v>0.132512591734675</v>
      </c>
      <c r="R160" s="27" t="n">
        <f aca="false">IF(AND(ISNUMBER(R159),ISNUMBER(R114)),IFERROR(R159/R114,""),"")</f>
        <v>0.130864184594105</v>
      </c>
      <c r="S160" s="27" t="n">
        <f aca="false">IF(AND(ISNUMBER(S159),ISNUMBER(S114)),IFERROR(S159/S114,""),"")</f>
        <v>0.125883699801081</v>
      </c>
      <c r="T160" s="27" t="n">
        <f aca="false">IF(AND(ISNUMBER(T159),ISNUMBER(T114)),IFERROR(T159/T114,""),"")</f>
        <v>0.133348834399184</v>
      </c>
      <c r="U160" s="27" t="n">
        <f aca="false">IF(AND(ISNUMBER(U159),ISNUMBER(U114)),IFERROR(U159/U114,""),"")</f>
        <v>0.120034336401354</v>
      </c>
      <c r="V160" s="27" t="n">
        <f aca="false">IF(AND(ISNUMBER(V159),ISNUMBER(V114)),IFERROR(V159/V114,""),"")</f>
        <v>0.121424833740854</v>
      </c>
      <c r="W160" s="27" t="n">
        <f aca="false">IF(AND(ISNUMBER(W159),ISNUMBER(W114)),IFERROR(W159/W114,""),"")</f>
        <v>0.184333041757607</v>
      </c>
      <c r="X160" s="27" t="n">
        <f aca="false">IF(AND(ISNUMBER(X159),ISNUMBER(X114)),IFERROR(X159/X114,""),"")</f>
        <v>0.131931923127666</v>
      </c>
      <c r="Y160" s="27" t="n">
        <f aca="false">IF(AND(ISNUMBER(Y159),ISNUMBER(Y114)),IFERROR(Y159/Y114,""),"")</f>
        <v>0.113728309636212</v>
      </c>
      <c r="Z160" s="27" t="n">
        <f aca="false">IF(AND(ISNUMBER(Z159),ISNUMBER(Z114)),IFERROR(Z159/Z114,""),"")</f>
        <v>0.127802825255365</v>
      </c>
      <c r="AA160" s="27" t="n">
        <f aca="false">IF(AND(ISNUMBER(AA159),ISNUMBER(AA114)),IFERROR(AA159/AA114,""),"")</f>
        <v>0.151004157036593</v>
      </c>
      <c r="AB160" s="27" t="n">
        <f aca="false">IF(AND(ISNUMBER(AB159),ISNUMBER(AB114)),IFERROR(AB159/AB114,""),"")</f>
        <v>0.187728753142869</v>
      </c>
      <c r="AC160" s="27" t="n">
        <f aca="false">IF(AND(ISNUMBER(AC159),ISNUMBER(AC114)),IFERROR(AC159/AC114,""),"")</f>
        <v>0.146092024822054</v>
      </c>
      <c r="AD160" s="27" t="n">
        <f aca="false">IF(AND(ISNUMBER(AD159),ISNUMBER(AD114)),IFERROR(AD159/AD114,""),"")</f>
        <v>0.0978378161580318</v>
      </c>
      <c r="AE160" s="27" t="n">
        <f aca="false">IF(AND(ISNUMBER(AE159),ISNUMBER(AE114)),IFERROR(AE159/AE114,""),"")</f>
        <v>0.146693490565539</v>
      </c>
      <c r="AF160" s="27" t="n">
        <f aca="false">IF(AND(ISNUMBER(AF159),ISNUMBER(AF114)),IFERROR(AF159/AF114,""),"")</f>
        <v>0.170012026744098</v>
      </c>
      <c r="AG160" s="27" t="n">
        <f aca="false">IF(AND(ISNUMBER(AG159),ISNUMBER(AG114)),IFERROR(AG159/AG114,""),"")</f>
        <v>0.17764075040735</v>
      </c>
      <c r="AH160" s="27" t="n">
        <f aca="false">IF(AND(ISNUMBER(AH159),ISNUMBER(AH114)),IFERROR(AH159/AH114,""),"")</f>
        <v>0.149598903755395</v>
      </c>
      <c r="AI160" s="27" t="n">
        <f aca="false">IF(AND(ISNUMBER(AI159),ISNUMBER(AI114)),IFERROR(AI159/AI114,""),"")</f>
        <v>0.117799832700786</v>
      </c>
      <c r="AJ160" s="27" t="n">
        <f aca="false">IF(AND(ISNUMBER(AJ159),ISNUMBER(AJ114)),IFERROR(AJ159/AJ114,""),"")</f>
        <v>0.175883204524277</v>
      </c>
      <c r="AK160" s="27" t="n">
        <f aca="false">IF(AND(ISNUMBER(AK159),ISNUMBER(AK114)),IFERROR(AK159/AK114,""),"")</f>
        <v>0.165101034106884</v>
      </c>
      <c r="AL160" s="27" t="n">
        <f aca="false">IF(AND(ISNUMBER(AL159),ISNUMBER(AL114)),IFERROR(AL159/AL114,""),"")</f>
        <v>0.170206992670616</v>
      </c>
      <c r="AM160" s="27" t="n">
        <f aca="false">IF(AND(ISNUMBER(AM159),ISNUMBER(AM114)),IFERROR(AM159/AM114,""),"")</f>
        <v>0.158385627540856</v>
      </c>
      <c r="AN160" s="27" t="n">
        <f aca="false">IF(AND(ISNUMBER(AN159),ISNUMBER(AN114)),IFERROR(AN159/AN114,""),"")</f>
        <v>0.125364421404289</v>
      </c>
      <c r="AO160" s="27" t="n">
        <f aca="false">IF(AND(ISNUMBER(AO159),ISNUMBER(AO114)),IFERROR(AO159/AO114,""),"")</f>
        <v>0.168545655997847</v>
      </c>
      <c r="AP160" s="27" t="n">
        <f aca="false">IF(AND(ISNUMBER(AP159),ISNUMBER(AP114)),IFERROR(AP159/AP114,""),"")</f>
        <v>0.174342961228207</v>
      </c>
      <c r="AQ160" s="27" t="n">
        <f aca="false">IF(AND(ISNUMBER(AQ159),ISNUMBER(AQ114)),IFERROR(AQ159/AQ114,""),"")</f>
        <v>0.187870460877349</v>
      </c>
      <c r="AR160" s="27" t="n">
        <f aca="false">IF(AND(ISNUMBER(AR159),ISNUMBER(AR114)),IFERROR(AR159/AR114,""),"")</f>
        <v>0.16519551552456</v>
      </c>
      <c r="AS160" s="27" t="n">
        <f aca="false">IF(AND(ISNUMBER(AS159),ISNUMBER(AS114)),IFERROR(AS159/AS114,""),"")</f>
        <v>0.133060337873463</v>
      </c>
      <c r="AT160" s="27" t="n">
        <f aca="false">IF(AND(ISNUMBER(AT159),ISNUMBER(AT114)),IFERROR(AT159/AT114,""),"")</f>
        <v>0.142715077075232</v>
      </c>
      <c r="AU160" s="27" t="n">
        <f aca="false">IF(AND(ISNUMBER(AU159),ISNUMBER(AU114)),IFERROR(AU159/AU114,""),"")</f>
        <v>0.174768287690644</v>
      </c>
      <c r="AV160" s="27" t="n">
        <f aca="false">IF(AND(ISNUMBER(AV159),ISNUMBER(AV114)),IFERROR(AV159/AV114,""),"")</f>
        <v>0.198670344860602</v>
      </c>
      <c r="AW160" s="27" t="n">
        <f aca="false">IF(AND(ISNUMBER(AW159),ISNUMBER(AW114)),IFERROR(AW159/AW114,""),"")</f>
        <v>0.163506926671952</v>
      </c>
      <c r="AX160" s="27" t="n">
        <f aca="false">IF(AND(ISNUMBER(AX159),ISNUMBER(AX114)),IFERROR(AX159/AX114,""),"")</f>
        <v>0.148729020080093</v>
      </c>
      <c r="AY160" s="27" t="n">
        <f aca="false">IF(AND(ISNUMBER(AY159),ISNUMBER(AY114)),IFERROR(AY159/AY114,""),"")</f>
        <v>0.152857223308313</v>
      </c>
      <c r="AZ160" s="27" t="n">
        <f aca="false">IF(AND(ISNUMBER(AZ159),ISNUMBER(AZ114)),IFERROR(AZ159/AZ114,""),"")</f>
        <v>0.173214161989884</v>
      </c>
      <c r="BA160" s="27" t="n">
        <f aca="false">IF(AND(ISNUMBER(BA159),ISNUMBER(BA114)),IFERROR(BA159/BA114,""),"")</f>
        <v>0.193593477693556</v>
      </c>
      <c r="BB160" s="27" t="n">
        <f aca="false">IF(AND(ISNUMBER(BB159),ISNUMBER(BB114)),IFERROR(BB159/BB114,""),"")</f>
        <v>0.16777117965339</v>
      </c>
      <c r="BC160" s="27" t="n">
        <f aca="false">IF(AND(ISNUMBER(BC159),ISNUMBER(BC114)),IFERROR(BC159/BC114,""),"")</f>
        <v>0.126573612816622</v>
      </c>
      <c r="BD160" s="27" t="n">
        <f aca="false">IF(AND(ISNUMBER(BD159),ISNUMBER(BD114)),IFERROR(BD159/BD114,""),"")</f>
        <v>0.160997576133531</v>
      </c>
      <c r="BE160" s="27" t="n">
        <f aca="false">IF(AND(ISNUMBER(BE159),ISNUMBER(BE114)),IFERROR(BE159/BE114,""),"")</f>
        <v>0.181570775618436</v>
      </c>
      <c r="BF160" s="27" t="n">
        <f aca="false">IF(AND(ISNUMBER(BF159),ISNUMBER(BF114)),IFERROR(BF159/BF114,""),"")</f>
        <v>0.210742214567124</v>
      </c>
      <c r="BG160" s="27" t="n">
        <f aca="false">IF(AND(ISNUMBER(BG159),ISNUMBER(BG114)),IFERROR(BG159/BG114,""),"")</f>
        <v>0.173278712957441</v>
      </c>
      <c r="BH160" s="27" t="n">
        <f aca="false">IF(AND(ISNUMBER(BH159),ISNUMBER(BH114)),IFERROR(BH159/BH114,""),"")</f>
        <v>0.128857432710903</v>
      </c>
      <c r="BI160" s="27" t="n">
        <f aca="false">IF(AND(ISNUMBER(BI159),ISNUMBER(BI114)),IFERROR(BI159/BI114,""),"")</f>
        <v>0.163876569429696</v>
      </c>
      <c r="BJ160" s="27" t="n">
        <f aca="false">IF(AND(ISNUMBER(BJ159),ISNUMBER(BJ114)),IFERROR(BJ159/BJ114,""),"")</f>
        <v>0.184795244130405</v>
      </c>
      <c r="BK160" s="27" t="n">
        <f aca="false">IF(AND(ISNUMBER(BK159),ISNUMBER(BK114)),IFERROR(BK159/BK114,""),"")</f>
        <v>0.207716810195077</v>
      </c>
      <c r="BL160" s="27" t="n">
        <f aca="false">IF(AND(ISNUMBER(BL159),ISNUMBER(BL114)),IFERROR(BL159/BL114,""),"")</f>
        <v>0.17354490957776</v>
      </c>
      <c r="BM160" s="27" t="n">
        <f aca="false">IF(AND(ISNUMBER(BM159),ISNUMBER(BM114)),IFERROR(BM159/BM114,""),"")</f>
        <v>0.140164926307583</v>
      </c>
      <c r="BN160" s="27" t="n">
        <f aca="false">IF(AND(ISNUMBER(BN159),ISNUMBER(BN114)),IFERROR(BN159/BN114,""),"")</f>
        <v>0.169911479616866</v>
      </c>
      <c r="BO160" s="27" t="n">
        <f aca="false">IF(AND(ISNUMBER(BO159),ISNUMBER(BO114)),IFERROR(BO159/BO114,""),"")</f>
        <v>0.186586107710679</v>
      </c>
      <c r="BP160" s="27" t="n">
        <f aca="false">IF(AND(ISNUMBER(BP159),ISNUMBER(BP114)),IFERROR(BP159/BP114,""),"")</f>
        <v>0.198338495207524</v>
      </c>
      <c r="BQ160" s="27" t="n">
        <f aca="false">IF(AND(ISNUMBER(BQ159),ISNUMBER(BQ114)),IFERROR(BQ159/BQ114,""),"")</f>
        <v>0.174890402343466</v>
      </c>
      <c r="BR160" s="27" t="n">
        <f aca="false">IF(AND(ISNUMBER(BR159),ISNUMBER(BR114)),IFERROR(BR159/BR114,""),"")</f>
        <v>0.166338772039794</v>
      </c>
      <c r="BS160" s="27" t="n">
        <f aca="false">IF(AND(ISNUMBER(BS159),ISNUMBER(BS114)),IFERROR(BS159/BS114,""),"")</f>
        <v>0.182576296864162</v>
      </c>
      <c r="BT160" s="27" t="n">
        <f aca="false">IF(AND(ISNUMBER(BT159),ISNUMBER(BT114)),IFERROR(BT159/BT114,""),"")</f>
        <v>0.19601804019927</v>
      </c>
      <c r="BU160" s="27" t="n">
        <f aca="false">IF(AND(ISNUMBER(BU159),ISNUMBER(BU114)),IFERROR(BU159/BU114,""),"")</f>
        <v>0.197015568422175</v>
      </c>
      <c r="BV160" s="27" t="n">
        <f aca="false">IF(AND(ISNUMBER(BV159),ISNUMBER(BV114)),IFERROR(BV159/BV114,""),"")</f>
        <v>0.186084841749248</v>
      </c>
      <c r="BW160" s="27" t="n">
        <f aca="false">IF(AND(ISNUMBER(BW159),ISNUMBER(BW114)),IFERROR(BW159/BW114,""),"")</f>
        <v>0.175573254298244</v>
      </c>
      <c r="BX160" s="27" t="n">
        <f aca="false">IF(AND(ISNUMBER(BX159),ISNUMBER(BX114)),IFERROR(BX159/BX114,""),"")</f>
        <v>0.193946372758677</v>
      </c>
      <c r="BY160" s="22" t="n">
        <f aca="false">IFERROR(BY159/BY114,"")</f>
        <v>0.198835614023458</v>
      </c>
      <c r="BZ160" s="22" t="n">
        <f aca="false">IFERROR(BZ159/BZ114,"")</f>
        <v>0.198919889819169</v>
      </c>
      <c r="CA160" s="22" t="n">
        <f aca="false">IFERROR(CA159/CA114,"")</f>
        <v>0.192059095106187</v>
      </c>
      <c r="CB160" s="22" t="n">
        <f aca="false">IFERROR(CB159/CB114,"")</f>
        <v>0.196943479741233</v>
      </c>
      <c r="CC160" s="22" t="n">
        <f aca="false">IFERROR(CC159/CC114,"")</f>
        <v>0.200054525915163</v>
      </c>
      <c r="CD160" s="22" t="n">
        <f aca="false">IFERROR(CD159/CD114,"")</f>
        <v>0.202279716705898</v>
      </c>
      <c r="CE160" s="22" t="n">
        <f aca="false">IFERROR(CE159/CE114,"")</f>
        <v>0.204302660397684</v>
      </c>
    </row>
    <row r="161" customFormat="false" ht="15" hidden="false" customHeight="false" outlineLevel="0" collapsed="false">
      <c r="B161" s="20" t="s">
        <v>336</v>
      </c>
      <c r="I161" s="24" t="n">
        <v>201.448</v>
      </c>
      <c r="X161" s="24" t="n">
        <v>291</v>
      </c>
      <c r="AJ161" s="24" t="n">
        <v>109.1</v>
      </c>
      <c r="AK161" s="24" t="n">
        <v>98.3</v>
      </c>
      <c r="AL161" s="24" t="n">
        <v>110.4</v>
      </c>
      <c r="AM161" s="24" t="n">
        <v>382</v>
      </c>
      <c r="AN161" s="24" t="n">
        <v>72.5</v>
      </c>
      <c r="AO161" s="24" t="n">
        <v>107.7</v>
      </c>
      <c r="AP161" s="24" t="n">
        <v>107.2</v>
      </c>
      <c r="AQ161" s="24" t="n">
        <v>123.2</v>
      </c>
      <c r="AR161" s="24" t="n">
        <v>411</v>
      </c>
      <c r="AS161" s="24" t="n">
        <v>80</v>
      </c>
      <c r="AT161" s="24" t="n">
        <v>78.5</v>
      </c>
      <c r="AU161" s="24" t="n">
        <v>99.9</v>
      </c>
      <c r="AV161" s="24" t="n">
        <v>132.8</v>
      </c>
      <c r="AW161" s="24" t="n">
        <v>391</v>
      </c>
      <c r="AX161" s="24" t="n">
        <v>88.8</v>
      </c>
      <c r="AY161" s="24" t="n">
        <v>95</v>
      </c>
      <c r="AZ161" s="24" t="n">
        <v>107.5</v>
      </c>
      <c r="BA161" s="24" t="n">
        <v>129.08</v>
      </c>
      <c r="BB161" s="24" t="n">
        <v>420.423</v>
      </c>
      <c r="BC161" s="24" t="n">
        <v>70.813</v>
      </c>
      <c r="BD161" s="24" t="n">
        <v>98.105</v>
      </c>
      <c r="BE161" s="24" t="n">
        <v>114.488</v>
      </c>
      <c r="BF161" s="24" t="n">
        <v>159.672</v>
      </c>
      <c r="BG161" s="24" t="n">
        <v>443.078</v>
      </c>
      <c r="BH161" s="24" t="n">
        <v>81.291</v>
      </c>
      <c r="BI161" s="24" t="n">
        <v>115.434</v>
      </c>
      <c r="BJ161" s="24" t="n">
        <v>133.852</v>
      </c>
      <c r="BK161" s="24" t="n">
        <v>163.222</v>
      </c>
      <c r="BL161" s="24" t="n">
        <v>493.8</v>
      </c>
      <c r="BM161" s="24" t="n">
        <v>99.961</v>
      </c>
      <c r="BN161" s="24" t="n">
        <v>133.345</v>
      </c>
      <c r="BO161" s="24" t="n">
        <v>149.067</v>
      </c>
      <c r="BP161" s="24" t="n">
        <v>163.493</v>
      </c>
      <c r="BQ161" s="24" t="n">
        <v>545.866</v>
      </c>
      <c r="BR161" s="24" t="n">
        <v>134.01</v>
      </c>
      <c r="BS161" s="24" t="n">
        <v>160.042</v>
      </c>
      <c r="BT161" s="24" t="n">
        <v>170.373</v>
      </c>
      <c r="BU161" s="24" t="n">
        <v>186.57</v>
      </c>
      <c r="BV161" s="24" t="n">
        <v>650.994</v>
      </c>
      <c r="BW161" s="24" t="n">
        <v>160.419</v>
      </c>
      <c r="BX161" s="24" t="n">
        <v>179.208</v>
      </c>
    </row>
    <row r="162" customFormat="false" ht="15" hidden="false" customHeight="false" outlineLevel="0" collapsed="false">
      <c r="B162" s="20" t="s">
        <v>337</v>
      </c>
      <c r="C162" s="46" t="str">
        <f aca="false">IF(ISNUMBER(C161),ROUND(C159-C161,1),"n/p")</f>
        <v>n/p</v>
      </c>
      <c r="D162" s="46" t="str">
        <f aca="false">IF(ISNUMBER(D161),ROUND(D159-D161,1),"n/p")</f>
        <v>n/p</v>
      </c>
      <c r="E162" s="46" t="str">
        <f aca="false">IF(ISNUMBER(E161),ROUND(E159-E161,1),"n/p")</f>
        <v>n/p</v>
      </c>
      <c r="F162" s="46" t="str">
        <f aca="false">IF(ISNUMBER(F161),ROUND(F159-F161,1),"n/p")</f>
        <v>n/p</v>
      </c>
      <c r="G162" s="46" t="str">
        <f aca="false">IF(ISNUMBER(G161),ROUND(G159-G161,1),"n/p")</f>
        <v>n/p</v>
      </c>
      <c r="H162" s="46" t="str">
        <f aca="false">IF(ISNUMBER(H161),ROUND(H159-H161,1),"n/p")</f>
        <v>n/p</v>
      </c>
      <c r="I162" s="46" t="n">
        <f aca="false">IF(ISNUMBER(I161),ROUND(I159-I161,1),"n/p")</f>
        <v>0</v>
      </c>
      <c r="J162" s="46" t="str">
        <f aca="false">IF(ISNUMBER(J161),ROUND(J159-J161,1),"n/p")</f>
        <v>n/p</v>
      </c>
      <c r="K162" s="46" t="str">
        <f aca="false">IF(ISNUMBER(K161),ROUND(K159-K161,1),"n/p")</f>
        <v>n/p</v>
      </c>
      <c r="L162" s="46" t="str">
        <f aca="false">IF(ISNUMBER(L161),ROUND(L159-L161,1),"n/p")</f>
        <v>n/p</v>
      </c>
      <c r="M162" s="46" t="str">
        <f aca="false">IF(ISNUMBER(M161),ROUND(M159-M161,1),"n/p")</f>
        <v>n/p</v>
      </c>
      <c r="N162" s="46" t="str">
        <f aca="false">IF(ISNUMBER(N161),ROUND(N159-N161,1),"n/p")</f>
        <v>n/p</v>
      </c>
      <c r="O162" s="46" t="str">
        <f aca="false">IF(ISNUMBER(O161),ROUND(O159-O161,1),"n/p")</f>
        <v>n/p</v>
      </c>
      <c r="P162" s="46" t="str">
        <f aca="false">IF(ISNUMBER(P161),ROUND(P159-P161,1),"n/p")</f>
        <v>n/p</v>
      </c>
      <c r="Q162" s="46" t="str">
        <f aca="false">IF(ISNUMBER(Q161),ROUND(Q159-Q161,1),"n/p")</f>
        <v>n/p</v>
      </c>
      <c r="R162" s="46" t="str">
        <f aca="false">IF(ISNUMBER(R161),ROUND(R159-R161,1),"n/p")</f>
        <v>n/p</v>
      </c>
      <c r="S162" s="46" t="str">
        <f aca="false">IF(ISNUMBER(S161),ROUND(S159-S161,1),"n/p")</f>
        <v>n/p</v>
      </c>
      <c r="T162" s="46" t="str">
        <f aca="false">IF(ISNUMBER(T161),ROUND(T159-T161,1),"n/p")</f>
        <v>n/p</v>
      </c>
      <c r="U162" s="46" t="str">
        <f aca="false">IF(ISNUMBER(U161),ROUND(U159-U161,1),"n/p")</f>
        <v>n/p</v>
      </c>
      <c r="V162" s="46" t="str">
        <f aca="false">IF(ISNUMBER(V161),ROUND(V159-V161,1),"n/p")</f>
        <v>n/p</v>
      </c>
      <c r="W162" s="46" t="str">
        <f aca="false">IF(ISNUMBER(W161),ROUND(W159-W161,1),"n/p")</f>
        <v>n/p</v>
      </c>
      <c r="X162" s="46" t="n">
        <f aca="false">IF(ISNUMBER(X161),ROUND(X159-X161,1),"n/p")</f>
        <v>0</v>
      </c>
      <c r="Y162" s="46" t="str">
        <f aca="false">IF(ISNUMBER(Y161),ROUND(Y159-Y161,1),"n/p")</f>
        <v>n/p</v>
      </c>
      <c r="Z162" s="46" t="str">
        <f aca="false">IF(ISNUMBER(Z161),ROUND(Z159-Z161,1),"n/p")</f>
        <v>n/p</v>
      </c>
      <c r="AA162" s="46" t="str">
        <f aca="false">IF(ISNUMBER(AA161),ROUND(AA159-AA161,1),"n/p")</f>
        <v>n/p</v>
      </c>
      <c r="AB162" s="46" t="str">
        <f aca="false">IF(ISNUMBER(AB161),ROUND(AB159-AB161,1),"n/p")</f>
        <v>n/p</v>
      </c>
      <c r="AC162" s="46" t="str">
        <f aca="false">IF(ISNUMBER(AC161),ROUND(AC159-AC161,1),"n/p")</f>
        <v>n/p</v>
      </c>
      <c r="AD162" s="46" t="str">
        <f aca="false">IF(ISNUMBER(AD161),ROUND(AD159-AD161,1),"n/p")</f>
        <v>n/p</v>
      </c>
      <c r="AE162" s="46" t="str">
        <f aca="false">IF(ISNUMBER(AE161),ROUND(AE159-AE161,1),"n/p")</f>
        <v>n/p</v>
      </c>
      <c r="AF162" s="46" t="str">
        <f aca="false">IF(ISNUMBER(AF161),ROUND(AF159-AF161,1),"n/p")</f>
        <v>n/p</v>
      </c>
      <c r="AG162" s="46" t="str">
        <f aca="false">IF(ISNUMBER(AG161),ROUND(AG159-AG161,1),"n/p")</f>
        <v>n/p</v>
      </c>
      <c r="AH162" s="46" t="str">
        <f aca="false">IF(ISNUMBER(AH161),ROUND(AH159-AH161,1),"n/p")</f>
        <v>n/p</v>
      </c>
      <c r="AI162" s="46" t="str">
        <f aca="false">IF(ISNUMBER(AI161),ROUND(AI159-AI161,1),"n/p")</f>
        <v>n/p</v>
      </c>
      <c r="AJ162" s="46" t="n">
        <f aca="false">IF(ISNUMBER(AJ161),ROUND(AJ159-AJ161,1),"n/p")</f>
        <v>0</v>
      </c>
      <c r="AK162" s="46" t="n">
        <f aca="false">IF(ISNUMBER(AK161),ROUND(AK159-AK161,1),"n/p")</f>
        <v>0</v>
      </c>
      <c r="AL162" s="46" t="n">
        <f aca="false">IF(ISNUMBER(AL161),ROUND(AL159-AL161,1),"n/p")</f>
        <v>0</v>
      </c>
      <c r="AM162" s="46" t="n">
        <f aca="false">IF(ISNUMBER(AM161),ROUND(AM159-AM161,1),"n/p")</f>
        <v>0</v>
      </c>
      <c r="AN162" s="46" t="n">
        <f aca="false">IF(ISNUMBER(AN161),ROUND(AN159-AN161,1),"n/p")</f>
        <v>0</v>
      </c>
      <c r="AO162" s="46" t="n">
        <f aca="false">IF(ISNUMBER(AO161),ROUND(AO159-AO161,1),"n/p")</f>
        <v>0</v>
      </c>
      <c r="AP162" s="46" t="n">
        <f aca="false">IF(ISNUMBER(AP161),ROUND(AP159-AP161,1),"n/p")</f>
        <v>0</v>
      </c>
      <c r="AQ162" s="46" t="n">
        <f aca="false">IF(ISNUMBER(AQ161),ROUND(AQ159-AQ161,1),"n/p")</f>
        <v>0</v>
      </c>
      <c r="AR162" s="46" t="n">
        <f aca="false">IF(ISNUMBER(AR161),ROUND(AR159-AR161,1),"n/p")</f>
        <v>0</v>
      </c>
      <c r="AS162" s="46" t="n">
        <f aca="false">IF(ISNUMBER(AS161),ROUND(AS159-AS161,1),"n/p")</f>
        <v>0</v>
      </c>
      <c r="AT162" s="46" t="n">
        <f aca="false">IF(ISNUMBER(AT161),ROUND(AT159-AT161,1),"n/p")</f>
        <v>0</v>
      </c>
      <c r="AU162" s="46" t="n">
        <f aca="false">IF(ISNUMBER(AU161),ROUND(AU159-AU161,1),"n/p")</f>
        <v>0</v>
      </c>
      <c r="AV162" s="46" t="n">
        <f aca="false">IF(ISNUMBER(AV161),ROUND(AV159-AV161,1),"n/p")</f>
        <v>0</v>
      </c>
      <c r="AW162" s="46" t="n">
        <f aca="false">IF(ISNUMBER(AW161),ROUND(AW159-AW161,1),"n/p")</f>
        <v>0</v>
      </c>
      <c r="AX162" s="46" t="n">
        <f aca="false">IF(ISNUMBER(AX161),ROUND(AX159-AX161,1),"n/p")</f>
        <v>0</v>
      </c>
      <c r="AY162" s="46" t="n">
        <f aca="false">IF(ISNUMBER(AY161),ROUND(AY159-AY161,1),"n/p")</f>
        <v>0</v>
      </c>
      <c r="AZ162" s="46" t="n">
        <f aca="false">IF(ISNUMBER(AZ161),ROUND(AZ159-AZ161,1),"n/p")</f>
        <v>0</v>
      </c>
      <c r="BA162" s="46" t="n">
        <f aca="false">IF(ISNUMBER(BA161),ROUND(BA159-BA161,1),"n/p")</f>
        <v>0</v>
      </c>
      <c r="BB162" s="46" t="n">
        <f aca="false">IF(ISNUMBER(BB161),ROUND(BB159-BB161,1),"n/p")</f>
        <v>0</v>
      </c>
      <c r="BC162" s="46" t="n">
        <f aca="false">IF(ISNUMBER(BC161),ROUND(BC159-BC161,1),"n/p")</f>
        <v>0</v>
      </c>
      <c r="BD162" s="46" t="n">
        <f aca="false">IF(ISNUMBER(BD161),ROUND(BD159-BD161,1),"n/p")</f>
        <v>0</v>
      </c>
      <c r="BE162" s="46" t="n">
        <f aca="false">IF(ISNUMBER(BE161),ROUND(BE159-BE161,1),"n/p")</f>
        <v>0</v>
      </c>
      <c r="BF162" s="46" t="n">
        <f aca="false">IF(ISNUMBER(BF161),ROUND(BF159-BF161,1),"n/p")</f>
        <v>0</v>
      </c>
      <c r="BG162" s="46" t="n">
        <f aca="false">IF(ISNUMBER(BG161),ROUND(BG159-BG161,1),"n/p")</f>
        <v>0</v>
      </c>
      <c r="BH162" s="46" t="n">
        <f aca="false">IF(ISNUMBER(BH161),ROUND(BH159-BH161,1),"n/p")</f>
        <v>0</v>
      </c>
      <c r="BI162" s="46" t="n">
        <f aca="false">IF(ISNUMBER(BI161),ROUND(BI159-BI161,1),"n/p")</f>
        <v>0</v>
      </c>
      <c r="BJ162" s="46" t="n">
        <f aca="false">IF(ISNUMBER(BJ161),ROUND(BJ159-BJ161,1),"n/p")</f>
        <v>0</v>
      </c>
      <c r="BK162" s="46" t="n">
        <f aca="false">IF(ISNUMBER(BK161),ROUND(BK159-BK161,1),"n/p")</f>
        <v>0</v>
      </c>
      <c r="BL162" s="46" t="n">
        <f aca="false">IF(ISNUMBER(BL161),ROUND(BL159-BL161,1),"n/p")</f>
        <v>0</v>
      </c>
      <c r="BM162" s="46" t="n">
        <f aca="false">IF(ISNUMBER(BM161),ROUND(BM159-BM161,1),"n/p")</f>
        <v>0</v>
      </c>
      <c r="BN162" s="46" t="n">
        <f aca="false">IF(ISNUMBER(BN161),ROUND(BN159-BN161,1),"n/p")</f>
        <v>0</v>
      </c>
      <c r="BO162" s="46" t="n">
        <f aca="false">IF(ISNUMBER(BO161),ROUND(BO159-BO161,1),"n/p")</f>
        <v>0</v>
      </c>
      <c r="BP162" s="46" t="n">
        <f aca="false">IF(ISNUMBER(BP161),ROUND(BP159-BP161,1),"n/p")</f>
        <v>0</v>
      </c>
      <c r="BQ162" s="46" t="n">
        <f aca="false">IF(ISNUMBER(BQ161),ROUND(BQ159-BQ161,1),"n/p")</f>
        <v>0</v>
      </c>
      <c r="BR162" s="46" t="n">
        <f aca="false">IF(ISNUMBER(BR161),ROUND(BR159-BR161,1),"n/p")</f>
        <v>0</v>
      </c>
      <c r="BS162" s="46" t="n">
        <f aca="false">IF(ISNUMBER(BS161),ROUND(BS159-BS161,1),"n/p")</f>
        <v>0</v>
      </c>
      <c r="BT162" s="46" t="n">
        <f aca="false">IF(ISNUMBER(BT161),ROUND(BT159-BT161,1),"n/p")</f>
        <v>0</v>
      </c>
      <c r="BU162" s="46" t="n">
        <f aca="false">IF(ISNUMBER(BU161),ROUND(BU159-BU161,1),"n/p")</f>
        <v>0</v>
      </c>
      <c r="BV162" s="46" t="n">
        <f aca="false">IF(ISNUMBER(BV161),ROUND(BV159-BV161,1),"n/p")</f>
        <v>0</v>
      </c>
      <c r="BW162" s="46" t="n">
        <f aca="false">IF(ISNUMBER(BW161),ROUND(BW159-BW161,1),"n/p")</f>
        <v>0</v>
      </c>
      <c r="BX162" s="46" t="n">
        <f aca="false">IF(ISNUMBER(BX161),ROUND(BX159-BX161,1),"n/p")</f>
        <v>0</v>
      </c>
    </row>
    <row r="163" customFormat="false" ht="15" hidden="false" customHeight="false" outlineLevel="0" collapsed="false">
      <c r="B163" s="54" t="s">
        <v>338</v>
      </c>
      <c r="I163" s="55" t="s">
        <v>339</v>
      </c>
      <c r="X163" s="55" t="s">
        <v>340</v>
      </c>
      <c r="AJ163" s="55" t="s">
        <v>341</v>
      </c>
      <c r="AO163" s="55" t="s">
        <v>342</v>
      </c>
      <c r="AS163" s="55" t="s">
        <v>343</v>
      </c>
      <c r="AV163" s="55" t="s">
        <v>344</v>
      </c>
      <c r="AX163" s="55" t="s">
        <v>345</v>
      </c>
      <c r="BA163" s="55" t="s">
        <v>346</v>
      </c>
      <c r="BC163" s="55" t="s">
        <v>347</v>
      </c>
      <c r="BN163" s="55" t="s">
        <v>348</v>
      </c>
      <c r="BW163" s="55" t="s">
        <v>349</v>
      </c>
      <c r="CF163" s="18" t="s">
        <v>350</v>
      </c>
    </row>
    <row r="165" customFormat="false" ht="15" hidden="false" customHeight="false" outlineLevel="0" collapsed="false">
      <c r="B165" s="8" t="s">
        <v>351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8" t="s">
        <v>352</v>
      </c>
    </row>
    <row r="166" customFormat="false" ht="15" hidden="false" customHeight="false" outlineLevel="0" collapsed="false">
      <c r="B166" s="15" t="s">
        <v>353</v>
      </c>
      <c r="C166" s="31" t="n">
        <f aca="false">C136</f>
        <v>80.5689999999999</v>
      </c>
      <c r="D166" s="31" t="n">
        <f aca="false">D136</f>
        <v>104.328</v>
      </c>
      <c r="E166" s="31" t="n">
        <f aca="false">E136</f>
        <v>111.09</v>
      </c>
      <c r="F166" s="31" t="n">
        <f aca="false">F136</f>
        <v>95.221</v>
      </c>
      <c r="G166" s="31" t="n">
        <f aca="false">G136</f>
        <v>106.598</v>
      </c>
      <c r="H166" s="31" t="n">
        <f aca="false">H136</f>
        <v>130.423</v>
      </c>
      <c r="I166" s="31" t="n">
        <f aca="false">I136</f>
        <v>92.2889999999999</v>
      </c>
      <c r="J166" s="31" t="n">
        <f aca="false">J136</f>
        <v>20.943</v>
      </c>
      <c r="K166" s="31" t="n">
        <f aca="false">K136</f>
        <v>33.37</v>
      </c>
      <c r="L166" s="31" t="n">
        <f aca="false">L136</f>
        <v>36.3610000000001</v>
      </c>
      <c r="M166" s="31" t="n">
        <f aca="false">M136</f>
        <v>47.307</v>
      </c>
      <c r="N166" s="31" t="n">
        <f aca="false">N136</f>
        <v>137.981</v>
      </c>
      <c r="O166" s="31" t="n">
        <f aca="false">O136</f>
        <v>35.1640000000001</v>
      </c>
      <c r="P166" s="31" t="n">
        <f aca="false">P136</f>
        <v>45.809</v>
      </c>
      <c r="Q166" s="31" t="n">
        <f aca="false">Q136</f>
        <v>44.3100000000001</v>
      </c>
      <c r="R166" s="31" t="n">
        <f aca="false">R136</f>
        <v>46.132</v>
      </c>
      <c r="S166" s="31" t="n">
        <f aca="false">S136</f>
        <v>169.949</v>
      </c>
      <c r="T166" s="31" t="n">
        <f aca="false">T136</f>
        <v>43.223</v>
      </c>
      <c r="U166" s="31" t="n">
        <f aca="false">U136</f>
        <v>40.121</v>
      </c>
      <c r="V166" s="31" t="n">
        <f aca="false">V136</f>
        <v>38.1419999999999</v>
      </c>
      <c r="W166" s="31" t="n">
        <f aca="false">W136</f>
        <v>70.762</v>
      </c>
      <c r="X166" s="31" t="n">
        <f aca="false">X136</f>
        <v>192.248</v>
      </c>
      <c r="Y166" s="31" t="n">
        <f aca="false">Y136</f>
        <v>32.819</v>
      </c>
      <c r="Z166" s="31" t="n">
        <f aca="false">Z136</f>
        <v>39.963</v>
      </c>
      <c r="AA166" s="31" t="n">
        <f aca="false">AA136</f>
        <v>45.932</v>
      </c>
      <c r="AB166" s="31" t="n">
        <f aca="false">AB136</f>
        <v>70.668</v>
      </c>
      <c r="AC166" s="31" t="n">
        <f aca="false">AC136</f>
        <v>189.382</v>
      </c>
      <c r="AD166" s="31" t="n">
        <f aca="false">AD136</f>
        <v>32.547</v>
      </c>
      <c r="AE166" s="31" t="n">
        <f aca="false">AE136</f>
        <v>50.65</v>
      </c>
      <c r="AF166" s="31" t="n">
        <f aca="false">AF136</f>
        <v>63.944</v>
      </c>
      <c r="AG166" s="31" t="n">
        <f aca="false">AG136</f>
        <v>67.75</v>
      </c>
      <c r="AH166" s="31" t="n">
        <f aca="false">AH136</f>
        <v>214.891</v>
      </c>
      <c r="AI166" s="31" t="n">
        <f aca="false">AI136</f>
        <v>43.643</v>
      </c>
      <c r="AJ166" s="31" t="n">
        <f aca="false">AJ136</f>
        <v>74.788</v>
      </c>
      <c r="AK166" s="31" t="n">
        <f aca="false">AK136</f>
        <v>74.4830000000001</v>
      </c>
      <c r="AL166" s="31" t="n">
        <f aca="false">AL136</f>
        <v>82.835</v>
      </c>
      <c r="AM166" s="31" t="n">
        <f aca="false">AM136</f>
        <v>275.749</v>
      </c>
      <c r="AN166" s="31" t="n">
        <f aca="false">AN136</f>
        <v>55.593</v>
      </c>
      <c r="AO166" s="31" t="n">
        <f aca="false">AO136</f>
        <v>80.072</v>
      </c>
      <c r="AP166" s="31" t="n">
        <f aca="false">AP136</f>
        <v>82.51</v>
      </c>
      <c r="AQ166" s="31" t="n">
        <f aca="false">AQ136</f>
        <v>89.408</v>
      </c>
      <c r="AR166" s="31" t="n">
        <f aca="false">AR136</f>
        <v>307.583</v>
      </c>
      <c r="AS166" s="31" t="n">
        <f aca="false">AS136</f>
        <v>51.761</v>
      </c>
      <c r="AT166" s="31" t="n">
        <f aca="false">AT136</f>
        <v>31.018</v>
      </c>
      <c r="AU166" s="31" t="n">
        <f aca="false">AU136</f>
        <v>64.62</v>
      </c>
      <c r="AV166" s="31" t="n">
        <f aca="false">AV136</f>
        <v>53.993</v>
      </c>
      <c r="AW166" s="31" t="n">
        <f aca="false">AW136</f>
        <v>201.392</v>
      </c>
      <c r="AX166" s="31" t="n">
        <f aca="false">AX136</f>
        <v>59.4689999999999</v>
      </c>
      <c r="AY166" s="31" t="n">
        <f aca="false">AY136</f>
        <v>61.408</v>
      </c>
      <c r="AZ166" s="31" t="n">
        <f aca="false">AZ136</f>
        <v>69.703</v>
      </c>
      <c r="BA166" s="31" t="n">
        <f aca="false">BA136</f>
        <v>76.579</v>
      </c>
      <c r="BB166" s="31" t="n">
        <f aca="false">BB136</f>
        <v>267.159</v>
      </c>
      <c r="BC166" s="31" t="n">
        <f aca="false">BC136</f>
        <v>40.685</v>
      </c>
      <c r="BD166" s="31" t="n">
        <f aca="false">BD136</f>
        <v>70.872</v>
      </c>
      <c r="BE166" s="31" t="n">
        <f aca="false">BE136</f>
        <v>73.768</v>
      </c>
      <c r="BF166" s="31" t="n">
        <f aca="false">BF136</f>
        <v>109.023</v>
      </c>
      <c r="BG166" s="31" t="n">
        <f aca="false">BG136</f>
        <v>294.348</v>
      </c>
      <c r="BH166" s="31" t="n">
        <f aca="false">BH136</f>
        <v>56.846</v>
      </c>
      <c r="BI166" s="31" t="n">
        <f aca="false">BI136</f>
        <v>80.999</v>
      </c>
      <c r="BJ166" s="31" t="n">
        <f aca="false">BJ136</f>
        <v>96.778</v>
      </c>
      <c r="BK166" s="31" t="n">
        <f aca="false">BK136</f>
        <v>119.887</v>
      </c>
      <c r="BL166" s="31" t="n">
        <f aca="false">BL136</f>
        <v>354.509</v>
      </c>
      <c r="BM166" s="31" t="n">
        <f aca="false">BM136</f>
        <v>76.4950000000001</v>
      </c>
      <c r="BN166" s="31" t="n">
        <f aca="false">BN136</f>
        <v>99.4710000000001</v>
      </c>
      <c r="BO166" s="31" t="n">
        <f aca="false">BO136</f>
        <v>111.16</v>
      </c>
      <c r="BP166" s="31" t="n">
        <f aca="false">BP136</f>
        <v>117.852</v>
      </c>
      <c r="BQ166" s="31" t="n">
        <f aca="false">BQ136</f>
        <v>404.978</v>
      </c>
      <c r="BR166" s="31" t="n">
        <f aca="false">BR136</f>
        <v>101.337</v>
      </c>
      <c r="BS166" s="31" t="n">
        <f aca="false">BS136</f>
        <v>121.061</v>
      </c>
      <c r="BT166" s="31" t="n">
        <f aca="false">BT136</f>
        <v>124.832</v>
      </c>
      <c r="BU166" s="31" t="n">
        <f aca="false">BU136</f>
        <v>136.998</v>
      </c>
      <c r="BV166" s="31" t="n">
        <f aca="false">BV136</f>
        <v>484.228</v>
      </c>
      <c r="BW166" s="31" t="n">
        <f aca="false">BW136</f>
        <v>128.186</v>
      </c>
      <c r="BX166" s="31" t="n">
        <f aca="false">BX136</f>
        <v>151.168</v>
      </c>
      <c r="BY166" s="17" t="n">
        <f aca="false">BY136</f>
        <v>142.109877088941</v>
      </c>
      <c r="BZ166" s="17" t="n">
        <f aca="false">BZ136</f>
        <v>155.259112911059</v>
      </c>
      <c r="CA166" s="17" t="n">
        <f aca="false">CA136</f>
        <v>576.72299</v>
      </c>
      <c r="CB166" s="17" t="n">
        <f aca="false">CB136</f>
        <v>637.700488116085</v>
      </c>
      <c r="CC166" s="17" t="n">
        <f aca="false">CC136</f>
        <v>703.739982114</v>
      </c>
      <c r="CD166" s="17" t="n">
        <f aca="false">CD136</f>
        <v>768.951488271915</v>
      </c>
      <c r="CE166" s="17" t="n">
        <f aca="false">CE136</f>
        <v>838.05971943774</v>
      </c>
    </row>
    <row r="167" customFormat="false" ht="15" hidden="false" customHeight="false" outlineLevel="0" collapsed="false">
      <c r="B167" s="20" t="s">
        <v>354</v>
      </c>
      <c r="C167" s="46" t="n">
        <f aca="false">C127</f>
        <v>22.894</v>
      </c>
      <c r="D167" s="46" t="n">
        <f aca="false">D127</f>
        <v>27.382</v>
      </c>
      <c r="E167" s="46" t="n">
        <f aca="false">E127</f>
        <v>29.045</v>
      </c>
      <c r="F167" s="46" t="n">
        <f aca="false">F127</f>
        <v>25.066</v>
      </c>
      <c r="G167" s="46" t="n">
        <f aca="false">G127</f>
        <v>22.107</v>
      </c>
      <c r="H167" s="46" t="n">
        <f aca="false">H127</f>
        <v>20.834</v>
      </c>
      <c r="I167" s="46" t="n">
        <f aca="false">I127</f>
        <v>26.329</v>
      </c>
      <c r="J167" s="46" t="n">
        <f aca="false">J127</f>
        <v>8.659</v>
      </c>
      <c r="K167" s="46" t="n">
        <f aca="false">K127</f>
        <v>9.332</v>
      </c>
      <c r="L167" s="46" t="n">
        <f aca="false">L127</f>
        <v>9.69</v>
      </c>
      <c r="M167" s="46" t="n">
        <f aca="false">M127</f>
        <v>9.339</v>
      </c>
      <c r="N167" s="46" t="n">
        <f aca="false">N127</f>
        <v>37.02</v>
      </c>
      <c r="O167" s="46" t="n">
        <f aca="false">O127</f>
        <v>9.054</v>
      </c>
      <c r="P167" s="46" t="n">
        <f aca="false">P127</f>
        <v>8.988</v>
      </c>
      <c r="Q167" s="46" t="n">
        <f aca="false">Q127</f>
        <v>9.013</v>
      </c>
      <c r="R167" s="46" t="n">
        <f aca="false">R127</f>
        <v>8.74</v>
      </c>
      <c r="S167" s="46" t="n">
        <f aca="false">S127</f>
        <v>35.794</v>
      </c>
      <c r="T167" s="46" t="n">
        <f aca="false">T127</f>
        <v>8.996</v>
      </c>
      <c r="U167" s="46" t="n">
        <f aca="false">U127</f>
        <v>8.985</v>
      </c>
      <c r="V167" s="46" t="n">
        <f aca="false">V127</f>
        <v>8.972</v>
      </c>
      <c r="W167" s="46" t="n">
        <f aca="false">W127</f>
        <v>9.085</v>
      </c>
      <c r="X167" s="46" t="n">
        <f aca="false">X127</f>
        <v>36.038</v>
      </c>
      <c r="Y167" s="46" t="n">
        <f aca="false">Y127</f>
        <v>9.933</v>
      </c>
      <c r="Z167" s="46" t="n">
        <f aca="false">Z127</f>
        <v>10.273</v>
      </c>
      <c r="AA167" s="46" t="n">
        <f aca="false">AA127</f>
        <v>10.488</v>
      </c>
      <c r="AB167" s="46" t="n">
        <f aca="false">AB127</f>
        <v>10.554</v>
      </c>
      <c r="AC167" s="46" t="n">
        <f aca="false">AC127</f>
        <v>41.248</v>
      </c>
      <c r="AD167" s="46" t="n">
        <f aca="false">AD127</f>
        <v>10.377</v>
      </c>
      <c r="AE167" s="46" t="n">
        <f aca="false">AE127</f>
        <v>10.75</v>
      </c>
      <c r="AF167" s="46" t="n">
        <f aca="false">AF127</f>
        <v>10.457</v>
      </c>
      <c r="AG167" s="46" t="n">
        <f aca="false">AG127</f>
        <v>9.887</v>
      </c>
      <c r="AH167" s="46" t="n">
        <f aca="false">AH127</f>
        <v>41.471</v>
      </c>
      <c r="AI167" s="46" t="n">
        <f aca="false">AI127</f>
        <v>8.204</v>
      </c>
      <c r="AJ167" s="46" t="n">
        <f aca="false">AJ127</f>
        <v>9.566</v>
      </c>
      <c r="AK167" s="46" t="n">
        <f aca="false">AK127</f>
        <v>7.949</v>
      </c>
      <c r="AL167" s="46" t="n">
        <f aca="false">AL127</f>
        <v>8.264</v>
      </c>
      <c r="AM167" s="46" t="n">
        <f aca="false">AM127</f>
        <v>33.983</v>
      </c>
      <c r="AN167" s="46" t="n">
        <f aca="false">AN127</f>
        <v>7.272</v>
      </c>
      <c r="AO167" s="46" t="n">
        <f aca="false">AO127</f>
        <v>7.96</v>
      </c>
      <c r="AP167" s="46" t="n">
        <f aca="false">AP127</f>
        <v>7.951</v>
      </c>
      <c r="AQ167" s="46" t="n">
        <f aca="false">AQ127</f>
        <v>8.164</v>
      </c>
      <c r="AR167" s="46" t="n">
        <f aca="false">AR127</f>
        <v>31.347</v>
      </c>
      <c r="AS167" s="46" t="n">
        <f aca="false">AS127</f>
        <v>7.489</v>
      </c>
      <c r="AT167" s="46" t="n">
        <f aca="false">AT127</f>
        <v>8.515</v>
      </c>
      <c r="AU167" s="46" t="n">
        <f aca="false">AU127</f>
        <v>9.055</v>
      </c>
      <c r="AV167" s="46" t="n">
        <f aca="false">AV127</f>
        <v>10.486</v>
      </c>
      <c r="AW167" s="46" t="n">
        <f aca="false">AW127</f>
        <v>35.545</v>
      </c>
      <c r="AX167" s="46" t="n">
        <f aca="false">AX127</f>
        <v>9.959</v>
      </c>
      <c r="AY167" s="46" t="n">
        <f aca="false">AY127</f>
        <v>10.18</v>
      </c>
      <c r="AZ167" s="46" t="n">
        <f aca="false">AZ127</f>
        <v>9.955</v>
      </c>
      <c r="BA167" s="46" t="n">
        <f aca="false">BA127</f>
        <v>10.146</v>
      </c>
      <c r="BB167" s="46" t="n">
        <f aca="false">BB127</f>
        <v>40.24</v>
      </c>
      <c r="BC167" s="46" t="n">
        <f aca="false">BC127</f>
        <v>9.53</v>
      </c>
      <c r="BD167" s="46" t="n">
        <f aca="false">BD127</f>
        <v>9.788</v>
      </c>
      <c r="BE167" s="46" t="n">
        <f aca="false">BE127</f>
        <v>13.997</v>
      </c>
      <c r="BF167" s="46" t="n">
        <f aca="false">BF127</f>
        <v>13.665</v>
      </c>
      <c r="BG167" s="46" t="n">
        <f aca="false">BG127</f>
        <v>46.98</v>
      </c>
      <c r="BH167" s="46" t="n">
        <f aca="false">BH127</f>
        <v>12.944</v>
      </c>
      <c r="BI167" s="46" t="n">
        <f aca="false">BI127</f>
        <v>14.992</v>
      </c>
      <c r="BJ167" s="46" t="n">
        <f aca="false">BJ127</f>
        <v>12.496</v>
      </c>
      <c r="BK167" s="46" t="n">
        <f aca="false">BK127</f>
        <v>10.961</v>
      </c>
      <c r="BL167" s="46" t="n">
        <f aca="false">BL127</f>
        <v>51.393</v>
      </c>
      <c r="BM167" s="46" t="n">
        <f aca="false">BM127</f>
        <v>10.57</v>
      </c>
      <c r="BN167" s="46" t="n">
        <f aca="false">BN127</f>
        <v>11.216</v>
      </c>
      <c r="BO167" s="46" t="n">
        <f aca="false">BO127</f>
        <v>11.408</v>
      </c>
      <c r="BP167" s="46" t="n">
        <f aca="false">BP127</f>
        <v>11.675</v>
      </c>
      <c r="BQ167" s="46" t="n">
        <f aca="false">BQ127</f>
        <v>44.869</v>
      </c>
      <c r="BR167" s="46" t="n">
        <f aca="false">BR127</f>
        <v>10.143</v>
      </c>
      <c r="BS167" s="46" t="n">
        <f aca="false">BS127</f>
        <v>10.524</v>
      </c>
      <c r="BT167" s="46" t="n">
        <f aca="false">BT127</f>
        <v>10.484</v>
      </c>
      <c r="BU167" s="46" t="n">
        <f aca="false">BU127</f>
        <v>11.997</v>
      </c>
      <c r="BV167" s="46" t="n">
        <f aca="false">BV127</f>
        <v>43.148</v>
      </c>
      <c r="BW167" s="46" t="n">
        <f aca="false">BW127</f>
        <v>9.941</v>
      </c>
      <c r="BX167" s="46" t="n">
        <f aca="false">BX127</f>
        <v>9.926</v>
      </c>
      <c r="BY167" s="25" t="n">
        <f aca="false">BY127</f>
        <v>10.5665</v>
      </c>
      <c r="BZ167" s="25" t="n">
        <f aca="false">BZ127</f>
        <v>10.5665</v>
      </c>
      <c r="CA167" s="25" t="n">
        <f aca="false">CA127</f>
        <v>41</v>
      </c>
      <c r="CB167" s="25" t="n">
        <f aca="false">CB127</f>
        <v>29.538093</v>
      </c>
      <c r="CC167" s="25" t="n">
        <f aca="false">CC127</f>
        <v>30.29548</v>
      </c>
      <c r="CD167" s="25" t="n">
        <f aca="false">CD127</f>
        <v>33.17495645875</v>
      </c>
      <c r="CE167" s="25" t="n">
        <f aca="false">CE127</f>
        <v>37.5494105810875</v>
      </c>
    </row>
    <row r="168" customFormat="false" ht="15" hidden="false" customHeight="false" outlineLevel="0" collapsed="false">
      <c r="B168" s="20" t="s">
        <v>355</v>
      </c>
      <c r="C168" s="46" t="n">
        <f aca="false">C134</f>
        <v>37.053</v>
      </c>
      <c r="D168" s="46" t="n">
        <f aca="false">D134</f>
        <v>49.843</v>
      </c>
      <c r="E168" s="46" t="n">
        <f aca="false">E134</f>
        <v>60.632</v>
      </c>
      <c r="F168" s="46" t="n">
        <f aca="false">F134</f>
        <v>50.038</v>
      </c>
      <c r="G168" s="46" t="n">
        <f aca="false">G134</f>
        <v>51.697</v>
      </c>
      <c r="H168" s="46" t="n">
        <f aca="false">H134</f>
        <v>54.566</v>
      </c>
      <c r="I168" s="46" t="n">
        <f aca="false">I134</f>
        <v>43.073</v>
      </c>
      <c r="J168" s="46" t="n">
        <f aca="false">J134</f>
        <v>8.898</v>
      </c>
      <c r="K168" s="46" t="n">
        <f aca="false">K134</f>
        <v>15.31</v>
      </c>
      <c r="L168" s="46" t="n">
        <f aca="false">L134</f>
        <v>17.214</v>
      </c>
      <c r="M168" s="46" t="n">
        <f aca="false">M134</f>
        <v>18.55</v>
      </c>
      <c r="N168" s="46" t="n">
        <f aca="false">N134</f>
        <v>59.972</v>
      </c>
      <c r="O168" s="46" t="n">
        <f aca="false">O134</f>
        <v>14.948</v>
      </c>
      <c r="P168" s="46" t="n">
        <f aca="false">P134</f>
        <v>21.917</v>
      </c>
      <c r="Q168" s="46" t="n">
        <f aca="false">Q134</f>
        <v>20.659</v>
      </c>
      <c r="R168" s="46" t="n">
        <f aca="false">R134</f>
        <v>20.494</v>
      </c>
      <c r="S168" s="46" t="n">
        <f aca="false">S134</f>
        <v>76.995</v>
      </c>
      <c r="T168" s="46" t="n">
        <f aca="false">T134</f>
        <v>21.097</v>
      </c>
      <c r="U168" s="46" t="n">
        <f aca="false">U134</f>
        <v>16.299</v>
      </c>
      <c r="V168" s="46" t="n">
        <f aca="false">V134</f>
        <v>16.86</v>
      </c>
      <c r="W168" s="46" t="n">
        <f aca="false">W134</f>
        <v>28.69</v>
      </c>
      <c r="X168" s="46" t="n">
        <f aca="false">X134</f>
        <v>82.946</v>
      </c>
      <c r="Y168" s="46" t="n">
        <f aca="false">Y134</f>
        <v>14.745</v>
      </c>
      <c r="Z168" s="46" t="n">
        <f aca="false">Z134</f>
        <v>17.954</v>
      </c>
      <c r="AA168" s="46" t="n">
        <f aca="false">AA134</f>
        <v>20.636</v>
      </c>
      <c r="AB168" s="46" t="n">
        <f aca="false">AB134</f>
        <v>25.244</v>
      </c>
      <c r="AC168" s="46" t="n">
        <f aca="false">AC134</f>
        <v>78.579</v>
      </c>
      <c r="AD168" s="46" t="n">
        <f aca="false">AD134</f>
        <v>8.615</v>
      </c>
      <c r="AE168" s="46" t="n">
        <f aca="false">AE134</f>
        <v>22.061</v>
      </c>
      <c r="AF168" s="46" t="n">
        <f aca="false">AF134</f>
        <v>22.47</v>
      </c>
      <c r="AG168" s="46" t="n">
        <f aca="false">AG134</f>
        <v>31.582</v>
      </c>
      <c r="AH168" s="46" t="n">
        <f aca="false">AH134</f>
        <v>84.728</v>
      </c>
      <c r="AI168" s="46" t="n">
        <f aca="false">AI134</f>
        <v>17.334</v>
      </c>
      <c r="AJ168" s="46" t="n">
        <f aca="false">AJ134</f>
        <v>21.693</v>
      </c>
      <c r="AK168" s="46" t="n">
        <f aca="false">AK134</f>
        <v>18.458</v>
      </c>
      <c r="AL168" s="46" t="n">
        <f aca="false">AL134</f>
        <v>23.005</v>
      </c>
      <c r="AM168" s="46" t="n">
        <f aca="false">AM134</f>
        <v>80.49</v>
      </c>
      <c r="AN168" s="46" t="n">
        <f aca="false">AN134</f>
        <v>14.658</v>
      </c>
      <c r="AO168" s="46" t="n">
        <f aca="false">AO134</f>
        <v>23.524</v>
      </c>
      <c r="AP168" s="46" t="n">
        <f aca="false">AP134</f>
        <v>21.463</v>
      </c>
      <c r="AQ168" s="46" t="n">
        <f aca="false">AQ134</f>
        <v>29.234</v>
      </c>
      <c r="AR168" s="46" t="n">
        <f aca="false">AR134</f>
        <v>88.879</v>
      </c>
      <c r="AS168" s="46" t="n">
        <f aca="false">AS134</f>
        <v>18.728</v>
      </c>
      <c r="AT168" s="46" t="n">
        <f aca="false">AT134</f>
        <v>11.711</v>
      </c>
      <c r="AU168" s="46" t="n">
        <f aca="false">AU134</f>
        <v>16.315</v>
      </c>
      <c r="AV168" s="46" t="n">
        <f aca="false">AV134</f>
        <v>14.905</v>
      </c>
      <c r="AW168" s="46" t="n">
        <f aca="false">AW134</f>
        <v>61.659</v>
      </c>
      <c r="AX168" s="46" t="n">
        <f aca="false">AX134</f>
        <v>20.481</v>
      </c>
      <c r="AY168" s="46" t="n">
        <f aca="false">AY134</f>
        <v>23.435</v>
      </c>
      <c r="AZ168" s="46" t="n">
        <f aca="false">AZ134</f>
        <v>21.638</v>
      </c>
      <c r="BA168" s="46" t="n">
        <f aca="false">BA134</f>
        <v>21.797</v>
      </c>
      <c r="BB168" s="46" t="n">
        <f aca="false">BB134</f>
        <v>87.351</v>
      </c>
      <c r="BC168" s="46" t="n">
        <f aca="false">BC134</f>
        <v>13.292</v>
      </c>
      <c r="BD168" s="46" t="n">
        <f aca="false">BD134</f>
        <v>22</v>
      </c>
      <c r="BE168" s="46" t="n">
        <f aca="false">BE134</f>
        <v>23.564</v>
      </c>
      <c r="BF168" s="46" t="n">
        <f aca="false">BF134</f>
        <v>35.991</v>
      </c>
      <c r="BG168" s="46" t="n">
        <f aca="false">BG134</f>
        <v>94.847</v>
      </c>
      <c r="BH168" s="46" t="n">
        <f aca="false">BH134</f>
        <v>16.592</v>
      </c>
      <c r="BI168" s="46" t="n">
        <f aca="false">BI134</f>
        <v>24.738</v>
      </c>
      <c r="BJ168" s="46" t="n">
        <f aca="false">BJ134</f>
        <v>30.268</v>
      </c>
      <c r="BK168" s="46" t="n">
        <f aca="false">BK134</f>
        <v>36.963</v>
      </c>
      <c r="BL168" s="46" t="n">
        <f aca="false">BL134</f>
        <v>108.561</v>
      </c>
      <c r="BM168" s="46" t="n">
        <f aca="false">BM134</f>
        <v>22.504</v>
      </c>
      <c r="BN168" s="46" t="n">
        <f aca="false">BN134</f>
        <v>26.77</v>
      </c>
      <c r="BO168" s="46" t="n">
        <f aca="false">BO134</f>
        <v>32.461</v>
      </c>
      <c r="BP168" s="46" t="n">
        <f aca="false">BP134</f>
        <v>35.343</v>
      </c>
      <c r="BQ168" s="46" t="n">
        <f aca="false">BQ134</f>
        <v>117.078</v>
      </c>
      <c r="BR168" s="46" t="n">
        <f aca="false">BR134</f>
        <v>23.755</v>
      </c>
      <c r="BS168" s="46" t="n">
        <f aca="false">BS134</f>
        <v>35.704</v>
      </c>
      <c r="BT168" s="46" t="n">
        <f aca="false">BT134</f>
        <v>36.321</v>
      </c>
      <c r="BU168" s="46" t="n">
        <f aca="false">BU134</f>
        <v>40.002</v>
      </c>
      <c r="BV168" s="46" t="n">
        <f aca="false">BV134</f>
        <v>135.782</v>
      </c>
      <c r="BW168" s="46" t="n">
        <f aca="false">BW134</f>
        <v>29.579</v>
      </c>
      <c r="BX168" s="46" t="n">
        <f aca="false">BX134</f>
        <v>43.127</v>
      </c>
      <c r="BY168" s="25" t="n">
        <f aca="false">BY134</f>
        <v>38.9218134702196</v>
      </c>
      <c r="BZ168" s="25" t="n">
        <f aca="false">BZ134</f>
        <v>42.5231965297804</v>
      </c>
      <c r="CA168" s="25" t="n">
        <f aca="false">CA134</f>
        <v>154.15101</v>
      </c>
      <c r="CB168" s="25" t="n">
        <f aca="false">CB134</f>
        <v>179.86424023787</v>
      </c>
      <c r="CC168" s="25" t="n">
        <f aca="false">CC134</f>
        <v>198.490764186</v>
      </c>
      <c r="CD168" s="25" t="n">
        <f aca="false">CD134</f>
        <v>216.883753102335</v>
      </c>
      <c r="CE168" s="25" t="n">
        <f aca="false">CE134</f>
        <v>236.375818302952</v>
      </c>
    </row>
    <row r="169" customFormat="false" ht="15" hidden="false" customHeight="false" outlineLevel="0" collapsed="false">
      <c r="B169" s="20" t="s">
        <v>356</v>
      </c>
      <c r="C169" s="46" t="n">
        <f aca="false">C100</f>
        <v>50.791</v>
      </c>
      <c r="D169" s="46" t="n">
        <f aca="false">D100</f>
        <v>62.699</v>
      </c>
      <c r="E169" s="46" t="n">
        <f aca="false">E100</f>
        <v>74.251</v>
      </c>
      <c r="F169" s="46" t="n">
        <f aca="false">F100</f>
        <v>76.48</v>
      </c>
      <c r="G169" s="46" t="n">
        <f aca="false">G100</f>
        <v>79.946</v>
      </c>
      <c r="H169" s="46" t="n">
        <f aca="false">H100</f>
        <v>88.3</v>
      </c>
      <c r="I169" s="46" t="n">
        <f aca="false">I100</f>
        <v>93.896</v>
      </c>
      <c r="J169" s="46" t="n">
        <f aca="false">J100</f>
        <v>30.4</v>
      </c>
      <c r="K169" s="46" t="n">
        <f aca="false">K100</f>
        <v>29.833</v>
      </c>
      <c r="L169" s="46" t="n">
        <f aca="false">L100</f>
        <v>29.427</v>
      </c>
      <c r="M169" s="46" t="n">
        <f aca="false">M100</f>
        <v>31.837</v>
      </c>
      <c r="N169" s="46" t="n">
        <f aca="false">N100</f>
        <v>121.497</v>
      </c>
      <c r="O169" s="46" t="n">
        <f aca="false">O100</f>
        <v>30.952</v>
      </c>
      <c r="P169" s="46" t="n">
        <f aca="false">P100</f>
        <v>30.434</v>
      </c>
      <c r="Q169" s="46" t="n">
        <f aca="false">Q100</f>
        <v>29.548</v>
      </c>
      <c r="R169" s="46" t="n">
        <f aca="false">R100</f>
        <v>27.997</v>
      </c>
      <c r="S169" s="46" t="n">
        <f aca="false">S100</f>
        <v>118.931</v>
      </c>
      <c r="T169" s="46" t="n">
        <f aca="false">T100</f>
        <v>25.708</v>
      </c>
      <c r="U169" s="46" t="n">
        <f aca="false">U100</f>
        <v>25.83</v>
      </c>
      <c r="V169" s="46" t="n">
        <f aca="false">V100</f>
        <v>24.89</v>
      </c>
      <c r="W169" s="46" t="n">
        <f aca="false">W100</f>
        <v>24.382</v>
      </c>
      <c r="X169" s="46" t="n">
        <f aca="false">X100</f>
        <v>100.81</v>
      </c>
      <c r="Y169" s="46" t="n">
        <f aca="false">Y100</f>
        <v>24.487</v>
      </c>
      <c r="Z169" s="46" t="n">
        <f aca="false">Z100</f>
        <v>24.5</v>
      </c>
      <c r="AA169" s="46" t="n">
        <f aca="false">AA100</f>
        <v>23.432</v>
      </c>
      <c r="AB169" s="46" t="n">
        <f aca="false">AB100</f>
        <v>23.589</v>
      </c>
      <c r="AC169" s="46" t="n">
        <f aca="false">AC100</f>
        <v>96.008</v>
      </c>
      <c r="AD169" s="46" t="n">
        <f aca="false">AD100</f>
        <v>24.926</v>
      </c>
      <c r="AE169" s="46" t="n">
        <f aca="false">AE100</f>
        <v>25.035</v>
      </c>
      <c r="AF169" s="46" t="n">
        <f aca="false">AF100</f>
        <v>24.854</v>
      </c>
      <c r="AG169" s="46" t="n">
        <f aca="false">AG100</f>
        <v>25.18</v>
      </c>
      <c r="AH169" s="46" t="n">
        <f aca="false">AH100</f>
        <v>99.995</v>
      </c>
      <c r="AI169" s="46" t="n">
        <f aca="false">AI100</f>
        <v>24.601</v>
      </c>
      <c r="AJ169" s="46" t="n">
        <f aca="false">AJ100</f>
        <v>26.656</v>
      </c>
      <c r="AK169" s="46" t="n">
        <f aca="false">AK100</f>
        <v>25.889</v>
      </c>
      <c r="AL169" s="46" t="n">
        <f aca="false">AL100</f>
        <v>25.803</v>
      </c>
      <c r="AM169" s="46" t="n">
        <f aca="false">AM100</f>
        <v>102.949</v>
      </c>
      <c r="AN169" s="46" t="n">
        <f aca="false">AN100</f>
        <v>25.793</v>
      </c>
      <c r="AO169" s="46" t="n">
        <f aca="false">AO100</f>
        <v>25.807</v>
      </c>
      <c r="AP169" s="46" t="n">
        <f aca="false">AP100</f>
        <v>25.398</v>
      </c>
      <c r="AQ169" s="46" t="n">
        <f aca="false">AQ100</f>
        <v>25.414</v>
      </c>
      <c r="AR169" s="46" t="n">
        <f aca="false">AR100</f>
        <v>102.412</v>
      </c>
      <c r="AS169" s="46" t="n">
        <f aca="false">AS100</f>
        <v>28.142</v>
      </c>
      <c r="AT169" s="46" t="n">
        <f aca="false">AT100</f>
        <v>28.426</v>
      </c>
      <c r="AU169" s="46" t="n">
        <f aca="false">AU100</f>
        <v>28.201</v>
      </c>
      <c r="AV169" s="46" t="n">
        <f aca="false">AV100</f>
        <v>31.134</v>
      </c>
      <c r="AW169" s="46" t="n">
        <f aca="false">AW100</f>
        <v>115.903</v>
      </c>
      <c r="AX169" s="46" t="n">
        <f aca="false">AX100</f>
        <v>28.595</v>
      </c>
      <c r="AY169" s="46" t="n">
        <f aca="false">AY100</f>
        <v>29.021</v>
      </c>
      <c r="AZ169" s="46" t="n">
        <f aca="false">AZ100</f>
        <v>28.624</v>
      </c>
      <c r="BA169" s="46" t="n">
        <f aca="false">BA100</f>
        <v>28.144</v>
      </c>
      <c r="BB169" s="46" t="n">
        <f aca="false">BB100</f>
        <v>114.384</v>
      </c>
      <c r="BC169" s="46" t="n">
        <f aca="false">BC100</f>
        <v>27.363</v>
      </c>
      <c r="BD169" s="46" t="n">
        <f aca="false">BD100</f>
        <v>26.282</v>
      </c>
      <c r="BE169" s="46" t="n">
        <f aca="false">BE100</f>
        <v>29.875</v>
      </c>
      <c r="BF169" s="46" t="n">
        <f aca="false">BF100</f>
        <v>28.507</v>
      </c>
      <c r="BG169" s="46" t="n">
        <f aca="false">BG100</f>
        <v>112.027</v>
      </c>
      <c r="BH169" s="46" t="n">
        <f aca="false">BH100</f>
        <v>28.927</v>
      </c>
      <c r="BI169" s="46" t="n">
        <f aca="false">BI100</f>
        <v>29.048</v>
      </c>
      <c r="BJ169" s="46" t="n">
        <f aca="false">BJ100</f>
        <v>28.861</v>
      </c>
      <c r="BK169" s="46" t="n">
        <f aca="false">BK100</f>
        <v>29.336</v>
      </c>
      <c r="BL169" s="46" t="n">
        <f aca="false">BL100</f>
        <v>116.172</v>
      </c>
      <c r="BM169" s="46" t="n">
        <f aca="false">BM100</f>
        <v>26.983</v>
      </c>
      <c r="BN169" s="46" t="n">
        <f aca="false">BN100</f>
        <v>27.168</v>
      </c>
      <c r="BO169" s="46" t="n">
        <f aca="false">BO100</f>
        <v>26.693</v>
      </c>
      <c r="BP169" s="46" t="n">
        <f aca="false">BP100</f>
        <v>26.823</v>
      </c>
      <c r="BQ169" s="46" t="n">
        <f aca="false">BQ100</f>
        <v>107.667</v>
      </c>
      <c r="BR169" s="46" t="n">
        <f aca="false">BR100</f>
        <v>30.821</v>
      </c>
      <c r="BS169" s="46" t="n">
        <f aca="false">BS100</f>
        <v>31.307</v>
      </c>
      <c r="BT169" s="46" t="n">
        <f aca="false">BT100</f>
        <v>31.191</v>
      </c>
      <c r="BU169" s="46" t="n">
        <f aca="false">BU100</f>
        <v>31.498</v>
      </c>
      <c r="BV169" s="46" t="n">
        <f aca="false">BV100</f>
        <v>124.817</v>
      </c>
      <c r="BW169" s="46" t="n">
        <f aca="false">BW100</f>
        <v>28.365</v>
      </c>
      <c r="BX169" s="46" t="n">
        <f aca="false">BX100</f>
        <v>28.37</v>
      </c>
      <c r="BY169" s="25" t="n">
        <f aca="false">BY100</f>
        <v>29.1824311412887</v>
      </c>
      <c r="BZ169" s="25" t="n">
        <f aca="false">BZ100</f>
        <v>29.5146816899494</v>
      </c>
      <c r="CA169" s="25" t="n">
        <f aca="false">CA100</f>
        <v>115.432112831238</v>
      </c>
      <c r="CB169" s="25" t="n">
        <f aca="false">CB100</f>
        <v>127.7888</v>
      </c>
      <c r="CC169" s="25" t="n">
        <f aca="false">CC100</f>
        <v>137.9898672</v>
      </c>
      <c r="CD169" s="25" t="n">
        <f aca="false">CD100</f>
        <v>154.336368752</v>
      </c>
      <c r="CE169" s="25" t="n">
        <f aca="false">CE100</f>
        <v>170.16031002432</v>
      </c>
    </row>
    <row r="170" customFormat="false" ht="15" hidden="false" customHeight="false" outlineLevel="0" collapsed="false">
      <c r="B170" s="43" t="s">
        <v>357</v>
      </c>
      <c r="C170" s="44" t="n">
        <f aca="false">C166+C167+C168+N(C169)</f>
        <v>191.307</v>
      </c>
      <c r="D170" s="44" t="n">
        <f aca="false">D166+D167+D168+N(D169)</f>
        <v>244.252</v>
      </c>
      <c r="E170" s="44" t="n">
        <f aca="false">E166+E167+E168+N(E169)</f>
        <v>275.018</v>
      </c>
      <c r="F170" s="44" t="n">
        <f aca="false">F166+F167+F168+N(F169)</f>
        <v>246.805</v>
      </c>
      <c r="G170" s="44" t="n">
        <f aca="false">G166+G167+G168+N(G169)</f>
        <v>260.348</v>
      </c>
      <c r="H170" s="44" t="n">
        <f aca="false">H166+H167+H168+N(H169)</f>
        <v>294.123</v>
      </c>
      <c r="I170" s="44" t="n">
        <f aca="false">I166+I167+I168+N(I169)</f>
        <v>255.587</v>
      </c>
      <c r="J170" s="44" t="n">
        <f aca="false">J166+J167+J168+N(J169)</f>
        <v>68.9</v>
      </c>
      <c r="K170" s="44" t="n">
        <f aca="false">K166+K167+K168+N(K169)</f>
        <v>87.845</v>
      </c>
      <c r="L170" s="44" t="n">
        <f aca="false">L166+L167+L168+N(L169)</f>
        <v>92.692</v>
      </c>
      <c r="M170" s="44" t="n">
        <f aca="false">M166+M167+M168+N(M169)</f>
        <v>107.033</v>
      </c>
      <c r="N170" s="44" t="n">
        <f aca="false">N166+N167+N168+N(N169)</f>
        <v>356.47</v>
      </c>
      <c r="O170" s="44" t="n">
        <f aca="false">O166+O167+O168+N(O169)</f>
        <v>90.1180000000001</v>
      </c>
      <c r="P170" s="44" t="n">
        <f aca="false">P166+P167+P168+N(P169)</f>
        <v>107.148</v>
      </c>
      <c r="Q170" s="44" t="n">
        <f aca="false">Q166+Q167+Q168+N(Q169)</f>
        <v>103.53</v>
      </c>
      <c r="R170" s="44" t="n">
        <f aca="false">R166+R167+R168+N(R169)</f>
        <v>103.363</v>
      </c>
      <c r="S170" s="44" t="n">
        <f aca="false">S166+S167+S168+N(S169)</f>
        <v>401.669</v>
      </c>
      <c r="T170" s="44" t="n">
        <f aca="false">T166+T167+T168+N(T169)</f>
        <v>99.0239999999999</v>
      </c>
      <c r="U170" s="44" t="n">
        <f aca="false">U166+U167+U168+N(U169)</f>
        <v>91.2349999999999</v>
      </c>
      <c r="V170" s="44" t="n">
        <f aca="false">V166+V167+V168+N(V169)</f>
        <v>88.864</v>
      </c>
      <c r="W170" s="44" t="n">
        <f aca="false">W166+W167+W168+N(W169)</f>
        <v>132.919</v>
      </c>
      <c r="X170" s="44" t="n">
        <f aca="false">X166+X167+X168+N(X169)</f>
        <v>412.042</v>
      </c>
      <c r="Y170" s="44" t="n">
        <f aca="false">Y166+Y167+Y168+N(Y169)</f>
        <v>81.984</v>
      </c>
      <c r="Z170" s="44" t="n">
        <f aca="false">Z166+Z167+Z168+N(Z169)</f>
        <v>92.69</v>
      </c>
      <c r="AA170" s="44" t="n">
        <f aca="false">AA166+AA167+AA168+N(AA169)</f>
        <v>100.488</v>
      </c>
      <c r="AB170" s="44" t="n">
        <f aca="false">AB166+AB167+AB168+N(AB169)</f>
        <v>130.055</v>
      </c>
      <c r="AC170" s="44" t="n">
        <f aca="false">AC166+AC167+AC168+N(AC169)</f>
        <v>405.217</v>
      </c>
      <c r="AD170" s="44" t="n">
        <f aca="false">AD166+AD167+AD168+N(AD169)</f>
        <v>76.465</v>
      </c>
      <c r="AE170" s="44" t="n">
        <f aca="false">AE166+AE167+AE168+N(AE169)</f>
        <v>108.496</v>
      </c>
      <c r="AF170" s="44" t="n">
        <f aca="false">AF166+AF167+AF168+N(AF169)</f>
        <v>121.725</v>
      </c>
      <c r="AG170" s="44" t="n">
        <f aca="false">AG166+AG167+AG168+N(AG169)</f>
        <v>134.399</v>
      </c>
      <c r="AH170" s="44" t="n">
        <f aca="false">AH166+AH167+AH168+N(AH169)</f>
        <v>441.085</v>
      </c>
      <c r="AI170" s="44" t="n">
        <f aca="false">AI166+AI167+AI168+N(AI169)</f>
        <v>93.782</v>
      </c>
      <c r="AJ170" s="44" t="n">
        <f aca="false">AJ166+AJ167+AJ168+N(AJ169)</f>
        <v>132.703</v>
      </c>
      <c r="AK170" s="44" t="n">
        <f aca="false">AK166+AK167+AK168+N(AK169)</f>
        <v>126.779</v>
      </c>
      <c r="AL170" s="44" t="n">
        <f aca="false">AL166+AL167+AL168+N(AL169)</f>
        <v>139.907</v>
      </c>
      <c r="AM170" s="44" t="n">
        <f aca="false">AM166+AM167+AM168+N(AM169)</f>
        <v>493.171</v>
      </c>
      <c r="AN170" s="44" t="n">
        <f aca="false">AN166+AN167+AN168+N(AN169)</f>
        <v>103.316</v>
      </c>
      <c r="AO170" s="44" t="n">
        <f aca="false">AO166+AO167+AO168+N(AO169)</f>
        <v>137.363</v>
      </c>
      <c r="AP170" s="44" t="n">
        <f aca="false">AP166+AP167+AP168+N(AP169)</f>
        <v>137.322</v>
      </c>
      <c r="AQ170" s="44" t="n">
        <f aca="false">AQ166+AQ167+AQ168+N(AQ169)</f>
        <v>152.22</v>
      </c>
      <c r="AR170" s="44" t="n">
        <f aca="false">AR166+AR167+AR168+N(AR169)</f>
        <v>530.221</v>
      </c>
      <c r="AS170" s="44" t="n">
        <f aca="false">AS166+AS167+AS168+N(AS169)</f>
        <v>106.12</v>
      </c>
      <c r="AT170" s="44" t="n">
        <f aca="false">AT166+AT167+AT168+N(AT169)</f>
        <v>79.67</v>
      </c>
      <c r="AU170" s="44" t="n">
        <f aca="false">AU166+AU167+AU168+N(AU169)</f>
        <v>118.191</v>
      </c>
      <c r="AV170" s="44" t="n">
        <f aca="false">AV166+AV167+AV168+N(AV169)</f>
        <v>110.518</v>
      </c>
      <c r="AW170" s="44" t="n">
        <f aca="false">AW166+AW167+AW168+N(AW169)</f>
        <v>414.499</v>
      </c>
      <c r="AX170" s="44" t="n">
        <f aca="false">AX166+AX167+AX168+N(AX169)</f>
        <v>118.504</v>
      </c>
      <c r="AY170" s="44" t="n">
        <f aca="false">AY166+AY167+AY168+N(AY169)</f>
        <v>124.044</v>
      </c>
      <c r="AZ170" s="44" t="n">
        <f aca="false">AZ166+AZ167+AZ168+N(AZ169)</f>
        <v>129.92</v>
      </c>
      <c r="BA170" s="44" t="n">
        <f aca="false">BA166+BA167+BA168+N(BA169)</f>
        <v>136.666</v>
      </c>
      <c r="BB170" s="44" t="n">
        <f aca="false">BB166+BB167+BB168+N(BB169)</f>
        <v>509.134</v>
      </c>
      <c r="BC170" s="44" t="n">
        <f aca="false">BC166+BC167+BC168+N(BC169)</f>
        <v>90.87</v>
      </c>
      <c r="BD170" s="44" t="n">
        <f aca="false">BD166+BD167+BD168+N(BD169)</f>
        <v>128.942</v>
      </c>
      <c r="BE170" s="44" t="n">
        <f aca="false">BE166+BE167+BE168+N(BE169)</f>
        <v>141.204</v>
      </c>
      <c r="BF170" s="44" t="n">
        <f aca="false">BF166+BF167+BF168+N(BF169)</f>
        <v>187.186</v>
      </c>
      <c r="BG170" s="44" t="n">
        <f aca="false">BG166+BG167+BG168+N(BG169)</f>
        <v>548.202</v>
      </c>
      <c r="BH170" s="44" t="n">
        <f aca="false">BH166+BH167+BH168+N(BH169)</f>
        <v>115.309</v>
      </c>
      <c r="BI170" s="44" t="n">
        <f aca="false">BI166+BI167+BI168+N(BI169)</f>
        <v>149.777</v>
      </c>
      <c r="BJ170" s="44" t="n">
        <f aca="false">BJ166+BJ167+BJ168+N(BJ169)</f>
        <v>168.403</v>
      </c>
      <c r="BK170" s="44" t="n">
        <f aca="false">BK166+BK167+BK168+N(BK169)</f>
        <v>197.147</v>
      </c>
      <c r="BL170" s="44" t="n">
        <f aca="false">BL166+BL167+BL168+N(BL169)</f>
        <v>630.635</v>
      </c>
      <c r="BM170" s="44" t="n">
        <f aca="false">BM166+BM167+BM168+N(BM169)</f>
        <v>136.552</v>
      </c>
      <c r="BN170" s="44" t="n">
        <f aca="false">BN166+BN167+BN168+N(BN169)</f>
        <v>164.625</v>
      </c>
      <c r="BO170" s="44" t="n">
        <f aca="false">BO166+BO167+BO168+N(BO169)</f>
        <v>181.722</v>
      </c>
      <c r="BP170" s="44" t="n">
        <f aca="false">BP166+BP167+BP168+N(BP169)</f>
        <v>191.693</v>
      </c>
      <c r="BQ170" s="44" t="n">
        <f aca="false">BQ166+BQ167+BQ168+N(BQ169)</f>
        <v>674.592</v>
      </c>
      <c r="BR170" s="44" t="n">
        <f aca="false">BR166+BR167+BR168+N(BR169)</f>
        <v>166.056</v>
      </c>
      <c r="BS170" s="44" t="n">
        <f aca="false">BS166+BS167+BS168+N(BS169)</f>
        <v>198.596</v>
      </c>
      <c r="BT170" s="44" t="n">
        <f aca="false">BT166+BT167+BT168+N(BT169)</f>
        <v>202.828</v>
      </c>
      <c r="BU170" s="44" t="n">
        <f aca="false">BU166+BU167+BU168+N(BU169)</f>
        <v>220.495</v>
      </c>
      <c r="BV170" s="44" t="n">
        <f aca="false">BV166+BV167+BV168+N(BV169)</f>
        <v>787.975</v>
      </c>
      <c r="BW170" s="44" t="n">
        <f aca="false">BW166+BW167+BW168+N(BW169)</f>
        <v>196.071</v>
      </c>
      <c r="BX170" s="44" t="n">
        <f aca="false">BX166+BX167+BX168+N(BX169)</f>
        <v>232.591</v>
      </c>
      <c r="BY170" s="44" t="n">
        <f aca="false">BY166+BY167+BY168+N(BY169)</f>
        <v>220.78062170045</v>
      </c>
      <c r="BZ170" s="44" t="n">
        <f aca="false">BZ166+BZ167+BZ168+N(BZ169)</f>
        <v>237.863491130788</v>
      </c>
      <c r="CA170" s="44" t="n">
        <f aca="false">CA166+CA167+CA168+N(CA169)</f>
        <v>887.306112831238</v>
      </c>
      <c r="CB170" s="44" t="n">
        <f aca="false">CB166+CB167+CB168+N(CB169)</f>
        <v>974.891621353956</v>
      </c>
      <c r="CC170" s="44" t="n">
        <f aca="false">CC166+CC167+CC168+N(CC169)</f>
        <v>1070.5160935</v>
      </c>
      <c r="CD170" s="44" t="n">
        <f aca="false">CD166+CD167+CD168+N(CD169)</f>
        <v>1173.346566585</v>
      </c>
      <c r="CE170" s="44" t="n">
        <f aca="false">CE166+CE167+CE168+N(CE169)</f>
        <v>1282.1452583461</v>
      </c>
    </row>
    <row r="171" customFormat="false" ht="15" hidden="false" customHeight="false" outlineLevel="0" collapsed="false">
      <c r="B171" s="20" t="s">
        <v>358</v>
      </c>
      <c r="C171" s="27" t="n">
        <f aca="false">IF(AND(ISNUMBER(C170),ISNUMBER(C114)),IFERROR(C170/C114,""),"")</f>
        <v>0.14920738912222</v>
      </c>
      <c r="D171" s="27" t="n">
        <f aca="false">IF(AND(ISNUMBER(D170),ISNUMBER(D114)),IFERROR(D170/D114,""),"")</f>
        <v>0.15341267388721</v>
      </c>
      <c r="E171" s="27" t="n">
        <f aca="false">IF(AND(ISNUMBER(E170),ISNUMBER(E114)),IFERROR(E170/E114,""),"")</f>
        <v>0.150271563924071</v>
      </c>
      <c r="F171" s="27" t="n">
        <f aca="false">IF(AND(ISNUMBER(F170),ISNUMBER(F114)),IFERROR(F170/F114,""),"")</f>
        <v>0.136379711442291</v>
      </c>
      <c r="G171" s="27" t="n">
        <f aca="false">IF(AND(ISNUMBER(G170),ISNUMBER(G114)),IFERROR(G170/G114,""),"")</f>
        <v>0.137522225051159</v>
      </c>
      <c r="H171" s="27" t="n">
        <f aca="false">IF(AND(ISNUMBER(H170),ISNUMBER(H114)),IFERROR(H170/H114,""),"")</f>
        <v>0.143186166406216</v>
      </c>
      <c r="I171" s="27" t="n">
        <f aca="false">IF(AND(ISNUMBER(I170),ISNUMBER(I114)),IFERROR(I170/I114,""),"")</f>
        <v>0.121840611407836</v>
      </c>
      <c r="J171" s="27" t="n">
        <f aca="false">IF(AND(ISNUMBER(J170),ISNUMBER(J114)),IFERROR(J170/J114,""),"")</f>
        <v>0.116250229885251</v>
      </c>
      <c r="K171" s="27" t="n">
        <f aca="false">IF(AND(ISNUMBER(K170),ISNUMBER(K114)),IFERROR(K170/K114,""),"")</f>
        <v>0.142216041457891</v>
      </c>
      <c r="L171" s="27" t="n">
        <f aca="false">IF(AND(ISNUMBER(L170),ISNUMBER(L114)),IFERROR(L170/L114,""),"")</f>
        <v>0.154315119691943</v>
      </c>
      <c r="M171" s="27" t="n">
        <f aca="false">IF(AND(ISNUMBER(M170),ISNUMBER(M114)),IFERROR(M170/M114,""),"")</f>
        <v>0.152963285838824</v>
      </c>
      <c r="N171" s="27" t="n">
        <f aca="false">IF(AND(ISNUMBER(N170),ISNUMBER(N114)),IFERROR(N170/N114,""),"")</f>
        <v>0.141976309269145</v>
      </c>
      <c r="O171" s="27" t="n">
        <f aca="false">IF(AND(ISNUMBER(O170),ISNUMBER(O114)),IFERROR(O170/O114,""),"")</f>
        <v>0.140499398202715</v>
      </c>
      <c r="P171" s="27" t="n">
        <f aca="false">IF(AND(ISNUMBER(P170),ISNUMBER(P114)),IFERROR(P170/P114,""),"")</f>
        <v>0.164223575067591</v>
      </c>
      <c r="Q171" s="27" t="n">
        <f aca="false">IF(AND(ISNUMBER(Q170),ISNUMBER(Q114)),IFERROR(Q170/Q114,""),"")</f>
        <v>0.185042198843956</v>
      </c>
      <c r="R171" s="27" t="n">
        <f aca="false">IF(AND(ISNUMBER(R170),ISNUMBER(R114)),IFERROR(R170/R114,""),"")</f>
        <v>0.180519607534938</v>
      </c>
      <c r="S171" s="27" t="n">
        <f aca="false">IF(AND(ISNUMBER(S170),ISNUMBER(S114)),IFERROR(S170/S114,""),"")</f>
        <v>0.179066623988131</v>
      </c>
      <c r="T171" s="27" t="n">
        <f aca="false">IF(AND(ISNUMBER(T170),ISNUMBER(T114)),IFERROR(T170/T114,""),"")</f>
        <v>0.181296560411132</v>
      </c>
      <c r="U171" s="27" t="n">
        <f aca="false">IF(AND(ISNUMBER(U170),ISNUMBER(U114)),IFERROR(U170/U114,""),"")</f>
        <v>0.167344101365752</v>
      </c>
      <c r="V171" s="27" t="n">
        <f aca="false">IF(AND(ISNUMBER(V170),ISNUMBER(V114)),IFERROR(V170/V114,""),"")</f>
        <v>0.169092448647569</v>
      </c>
      <c r="W171" s="27" t="n">
        <f aca="false">IF(AND(ISNUMBER(W170),ISNUMBER(W114)),IFERROR(W170/W114,""),"")</f>
        <v>0.225762838532157</v>
      </c>
      <c r="X171" s="27" t="n">
        <f aca="false">IF(AND(ISNUMBER(X170),ISNUMBER(X114)),IFERROR(X170/X114,""),"")</f>
        <v>0.186809255908487</v>
      </c>
      <c r="Y171" s="27" t="n">
        <f aca="false">IF(AND(ISNUMBER(Y170),ISNUMBER(Y114)),IFERROR(Y170/Y114,""),"")</f>
        <v>0.162825938864802</v>
      </c>
      <c r="Z171" s="27" t="n">
        <f aca="false">IF(AND(ISNUMBER(Z170),ISNUMBER(Z114)),IFERROR(Z170/Z114,""),"")</f>
        <v>0.173978819969743</v>
      </c>
      <c r="AA171" s="27" t="n">
        <f aca="false">IF(AND(ISNUMBER(AA170),ISNUMBER(AA114)),IFERROR(AA170/AA114,""),"")</f>
        <v>0.198165224456312</v>
      </c>
      <c r="AB171" s="27" t="n">
        <f aca="false">IF(AND(ISNUMBER(AB170),ISNUMBER(AB114)),IFERROR(AB170/AB114,""),"")</f>
        <v>0.229955478228889</v>
      </c>
      <c r="AC171" s="27" t="n">
        <f aca="false">IF(AND(ISNUMBER(AC170),ISNUMBER(AC114)),IFERROR(AC170/AC114,""),"")</f>
        <v>0.19214331810761</v>
      </c>
      <c r="AD171" s="27" t="n">
        <f aca="false">IF(AND(ISNUMBER(AD170),ISNUMBER(AD114)),IFERROR(AD170/AD114,""),"")</f>
        <v>0.146039561413393</v>
      </c>
      <c r="AE171" s="27" t="n">
        <f aca="false">IF(AND(ISNUMBER(AE170),ISNUMBER(AE114)),IFERROR(AE170/AE114,""),"")</f>
        <v>0.191130849304064</v>
      </c>
      <c r="AF171" s="27" t="n">
        <f aca="false">IF(AND(ISNUMBER(AF170),ISNUMBER(AF114)),IFERROR(AF170/AF114,""),"")</f>
        <v>0.214341936358626</v>
      </c>
      <c r="AG171" s="27" t="n">
        <f aca="false">IF(AND(ISNUMBER(AG170),ISNUMBER(AG114)),IFERROR(AG170/AG114,""),"")</f>
        <v>0.219648918662289</v>
      </c>
      <c r="AH171" s="27" t="n">
        <f aca="false">IF(AND(ISNUMBER(AH170),ISNUMBER(AH114)),IFERROR(AH170/AH114,""),"")</f>
        <v>0.194222787409743</v>
      </c>
      <c r="AI171" s="27" t="n">
        <f aca="false">IF(AND(ISNUMBER(AI170),ISNUMBER(AI114)),IFERROR(AI170/AI114,""),"")</f>
        <v>0.171284441538422</v>
      </c>
      <c r="AJ171" s="27" t="n">
        <f aca="false">IF(AND(ISNUMBER(AJ170),ISNUMBER(AJ114)),IFERROR(AJ170/AJ114,""),"")</f>
        <v>0.213934270302339</v>
      </c>
      <c r="AK171" s="27" t="n">
        <f aca="false">IF(AND(ISNUMBER(AK170),ISNUMBER(AK114)),IFERROR(AK170/AK114,""),"")</f>
        <v>0.212933306236385</v>
      </c>
      <c r="AL171" s="27" t="n">
        <f aca="false">IF(AND(ISNUMBER(AL170),ISNUMBER(AL114)),IFERROR(AL170/AL114,""),"")</f>
        <v>0.215698819959853</v>
      </c>
      <c r="AM171" s="27" t="n">
        <f aca="false">IF(AND(ISNUMBER(AM170),ISNUMBER(AM114)),IFERROR(AM170/AM114,""),"")</f>
        <v>0.2044795767538</v>
      </c>
      <c r="AN171" s="27" t="n">
        <f aca="false">IF(AND(ISNUMBER(AN170),ISNUMBER(AN114)),IFERROR(AN170/AN114,""),"")</f>
        <v>0.178650352576628</v>
      </c>
      <c r="AO171" s="27" t="n">
        <f aca="false">IF(AND(ISNUMBER(AO170),ISNUMBER(AO114)),IFERROR(AO170/AO114,""),"")</f>
        <v>0.21496691685081</v>
      </c>
      <c r="AP171" s="27" t="n">
        <f aca="false">IF(AND(ISNUMBER(AP170),ISNUMBER(AP114)),IFERROR(AP170/AP114,""),"")</f>
        <v>0.223331381733021</v>
      </c>
      <c r="AQ171" s="27" t="n">
        <f aca="false">IF(AND(ISNUMBER(AQ170),ISNUMBER(AQ114)),IFERROR(AQ170/AQ114,""),"")</f>
        <v>0.232123713918426</v>
      </c>
      <c r="AR171" s="27" t="n">
        <f aca="false">IF(AND(ISNUMBER(AR170),ISNUMBER(AR114)),IFERROR(AR170/AR114,""),"")</f>
        <v>0.21311467502907</v>
      </c>
      <c r="AS171" s="27" t="n">
        <f aca="false">IF(AND(ISNUMBER(AS170),ISNUMBER(AS114)),IFERROR(AS170/AS114,""),"")</f>
        <v>0.176504538189149</v>
      </c>
      <c r="AT171" s="27" t="n">
        <f aca="false">IF(AND(ISNUMBER(AT170),ISNUMBER(AT114)),IFERROR(AT170/AT114,""),"")</f>
        <v>0.144842168032914</v>
      </c>
      <c r="AU171" s="27" t="n">
        <f aca="false">IF(AND(ISNUMBER(AU170),ISNUMBER(AU114)),IFERROR(AU170/AU114,""),"")</f>
        <v>0.206767154058508</v>
      </c>
      <c r="AV171" s="27" t="n">
        <f aca="false">IF(AND(ISNUMBER(AV170),ISNUMBER(AV114)),IFERROR(AV170/AV114,""),"")</f>
        <v>0.165336213654397</v>
      </c>
      <c r="AW171" s="27" t="n">
        <f aca="false">IF(AND(ISNUMBER(AW170),ISNUMBER(AW114)),IFERROR(AW170/AW114,""),"")</f>
        <v>0.173333651147308</v>
      </c>
      <c r="AX171" s="27" t="n">
        <f aca="false">IF(AND(ISNUMBER(AX170),ISNUMBER(AX114)),IFERROR(AX170/AX114,""),"")</f>
        <v>0.198479547247424</v>
      </c>
      <c r="AY171" s="27" t="n">
        <f aca="false">IF(AND(ISNUMBER(AY170),ISNUMBER(AY114)),IFERROR(AY170/AY114,""),"")</f>
        <v>0.199589699032172</v>
      </c>
      <c r="AZ171" s="27" t="n">
        <f aca="false">IF(AND(ISNUMBER(AZ170),ISNUMBER(AZ114)),IFERROR(AZ170/AZ114,""),"")</f>
        <v>0.209339385355589</v>
      </c>
      <c r="BA171" s="27" t="n">
        <f aca="false">IF(AND(ISNUMBER(BA170),ISNUMBER(BA114)),IFERROR(BA170/BA114,""),"")</f>
        <v>0.204970918984099</v>
      </c>
      <c r="BB171" s="27" t="n">
        <f aca="false">IF(AND(ISNUMBER(BB170),ISNUMBER(BB114)),IFERROR(BB170/BB114,""),"")</f>
        <v>0.203171595706346</v>
      </c>
      <c r="BC171" s="27" t="n">
        <f aca="false">IF(AND(ISNUMBER(BC170),ISNUMBER(BC114)),IFERROR(BC170/BC114,""),"")</f>
        <v>0.162424190426142</v>
      </c>
      <c r="BD171" s="27" t="n">
        <f aca="false">IF(AND(ISNUMBER(BD170),ISNUMBER(BD114)),IFERROR(BD170/BD114,""),"")</f>
        <v>0.21160337864339</v>
      </c>
      <c r="BE171" s="27" t="n">
        <f aca="false">IF(AND(ISNUMBER(BE170),ISNUMBER(BE114)),IFERROR(BE170/BE114,""),"")</f>
        <v>0.223940673262051</v>
      </c>
      <c r="BF171" s="27" t="n">
        <f aca="false">IF(AND(ISNUMBER(BF170),ISNUMBER(BF114)),IFERROR(BF170/BF114,""),"")</f>
        <v>0.247056416754106</v>
      </c>
      <c r="BG171" s="27" t="n">
        <f aca="false">IF(AND(ISNUMBER(BG170),ISNUMBER(BG114)),IFERROR(BG170/BG114,""),"")</f>
        <v>0.214390551519833</v>
      </c>
      <c r="BH171" s="27" t="n">
        <f aca="false">IF(AND(ISNUMBER(BH170),ISNUMBER(BH114)),IFERROR(BH170/BH114,""),"")</f>
        <v>0.182780648638367</v>
      </c>
      <c r="BI171" s="27" t="n">
        <f aca="false">IF(AND(ISNUMBER(BI170),ISNUMBER(BI114)),IFERROR(BI170/BI114,""),"")</f>
        <v>0.212631815058575</v>
      </c>
      <c r="BJ171" s="27" t="n">
        <f aca="false">IF(AND(ISNUMBER(BJ170),ISNUMBER(BJ114)),IFERROR(BJ170/BJ114,""),"")</f>
        <v>0.23249614124027</v>
      </c>
      <c r="BK171" s="27" t="n">
        <f aca="false">IF(AND(ISNUMBER(BK170),ISNUMBER(BK114)),IFERROR(BK170/BK114,""),"")</f>
        <v>0.250889867662012</v>
      </c>
      <c r="BL171" s="27" t="n">
        <f aca="false">IF(AND(ISNUMBER(BL170),ISNUMBER(BL114)),IFERROR(BL170/BL114,""),"")</f>
        <v>0.221635265394028</v>
      </c>
      <c r="BM171" s="27" t="n">
        <f aca="false">IF(AND(ISNUMBER(BM170),ISNUMBER(BM114)),IFERROR(BM170/BM114,""),"")</f>
        <v>0.191472684518493</v>
      </c>
      <c r="BN171" s="27" t="n">
        <f aca="false">IF(AND(ISNUMBER(BN170),ISNUMBER(BN114)),IFERROR(BN170/BN114,""),"")</f>
        <v>0.209769225182246</v>
      </c>
      <c r="BO171" s="27" t="n">
        <f aca="false">IF(AND(ISNUMBER(BO170),ISNUMBER(BO114)),IFERROR(BO170/BO114,""),"")</f>
        <v>0.227460139839133</v>
      </c>
      <c r="BP171" s="27" t="n">
        <f aca="false">IF(AND(ISNUMBER(BP170),ISNUMBER(BP114)),IFERROR(BP170/BP114,""),"")</f>
        <v>0.232548801244188</v>
      </c>
      <c r="BQ171" s="27" t="n">
        <f aca="false">IF(AND(ISNUMBER(BQ170),ISNUMBER(BQ114)),IFERROR(BQ170/BQ114,""),"")</f>
        <v>0.216133018538768</v>
      </c>
      <c r="BR171" s="27" t="n">
        <f aca="false">IF(AND(ISNUMBER(BR170),ISNUMBER(BR114)),IFERROR(BR170/BR114,""),"")</f>
        <v>0.206115596819939</v>
      </c>
      <c r="BS171" s="27" t="n">
        <f aca="false">IF(AND(ISNUMBER(BS170),ISNUMBER(BS114)),IFERROR(BS170/BS114,""),"")</f>
        <v>0.226558792392217</v>
      </c>
      <c r="BT171" s="27" t="n">
        <f aca="false">IF(AND(ISNUMBER(BT170),ISNUMBER(BT114)),IFERROR(BT170/BT114,""),"")</f>
        <v>0.233358261329774</v>
      </c>
      <c r="BU171" s="27" t="n">
        <f aca="false">IF(AND(ISNUMBER(BU170),ISNUMBER(BU114)),IFERROR(BU170/BU114,""),"")</f>
        <v>0.232839940822466</v>
      </c>
      <c r="BV171" s="27" t="n">
        <f aca="false">IF(AND(ISNUMBER(BV170),ISNUMBER(BV114)),IFERROR(BV170/BV114,""),"")</f>
        <v>0.225240483287655</v>
      </c>
      <c r="BW171" s="27" t="n">
        <f aca="false">IF(AND(ISNUMBER(BW170),ISNUMBER(BW114)),IFERROR(BW170/BW114,""),"")</f>
        <v>0.214593181253537</v>
      </c>
      <c r="BX171" s="27" t="n">
        <f aca="false">IF(AND(ISNUMBER(BX170),ISNUMBER(BX114)),IFERROR(BX170/BX114,""),"")</f>
        <v>0.251719682080675</v>
      </c>
      <c r="BY171" s="22" t="n">
        <f aca="false">IFERROR(BY170/BY114,"")</f>
        <v>0.236256225193888</v>
      </c>
      <c r="BZ171" s="22" t="n">
        <f aca="false">IFERROR(BZ170/BZ114,"")</f>
        <v>0.23358687196936</v>
      </c>
      <c r="CA171" s="22" t="n">
        <f aca="false">IFERROR(CA170/CA114,"")</f>
        <v>0.23408682570406</v>
      </c>
      <c r="CB171" s="22" t="n">
        <f aca="false">IFERROR(CB170/CB114,"")</f>
        <v>0.237096070177041</v>
      </c>
      <c r="CC171" s="22" t="n">
        <f aca="false">IFERROR(CC170/CC114,"")</f>
        <v>0.238256908283731</v>
      </c>
      <c r="CD171" s="22" t="n">
        <f aca="false">IFERROR(CD170/CD114,"")</f>
        <v>0.240589718796632</v>
      </c>
      <c r="CE171" s="22" t="n">
        <f aca="false">IFERROR(CE170/CE114,"")</f>
        <v>0.242658026592791</v>
      </c>
    </row>
    <row r="172" customFormat="false" ht="15" hidden="false" customHeight="false" outlineLevel="0" collapsed="false">
      <c r="B172" s="20" t="s">
        <v>359</v>
      </c>
      <c r="C172" s="46" t="n">
        <f aca="false">-C128-N(C132)</f>
        <v>0.112</v>
      </c>
      <c r="D172" s="46" t="n">
        <f aca="false">-D128-N(D132)</f>
        <v>-2.369</v>
      </c>
      <c r="E172" s="46" t="n">
        <f aca="false">-E128-N(E132)</f>
        <v>-1.585</v>
      </c>
      <c r="F172" s="46" t="n">
        <f aca="false">-F128-N(F132)</f>
        <v>-1.006</v>
      </c>
      <c r="G172" s="46" t="n">
        <f aca="false">-G128-N(G132)</f>
        <v>-0.579</v>
      </c>
      <c r="H172" s="46" t="n">
        <f aca="false">-H128-N(H132)</f>
        <v>-0.867</v>
      </c>
      <c r="I172" s="46" t="n">
        <f aca="false">-I128-N(I132)</f>
        <v>-0.245</v>
      </c>
      <c r="J172" s="46" t="n">
        <f aca="false">-J128-N(J132)</f>
        <v>-0.474</v>
      </c>
      <c r="K172" s="46" t="n">
        <f aca="false">-K128-N(K132)</f>
        <v>-0.224</v>
      </c>
      <c r="L172" s="46" t="n">
        <f aca="false">-L128-N(L132)</f>
        <v>-0.378</v>
      </c>
      <c r="M172" s="46" t="n">
        <f aca="false">-M128-N(M132)</f>
        <v>-0.278</v>
      </c>
      <c r="N172" s="46" t="n">
        <f aca="false">-N128-N(N132)</f>
        <v>-1.354</v>
      </c>
      <c r="O172" s="46" t="n">
        <f aca="false">-O128-N(O132)</f>
        <v>-0.065</v>
      </c>
      <c r="P172" s="46" t="n">
        <f aca="false">-P128-N(P132)</f>
        <v>-0.064</v>
      </c>
      <c r="Q172" s="46" t="n">
        <f aca="false">-Q128-N(Q132)</f>
        <v>0.158</v>
      </c>
      <c r="R172" s="46" t="n">
        <f aca="false">-R128-N(R132)</f>
        <v>-0.435</v>
      </c>
      <c r="S172" s="46" t="n">
        <f aca="false">-S128-N(S132)</f>
        <v>-0.365</v>
      </c>
      <c r="T172" s="46" t="n">
        <f aca="false">-T128-N(T132)</f>
        <v>-0.481</v>
      </c>
      <c r="U172" s="46" t="n">
        <f aca="false">-U128-N(U132)</f>
        <v>0.037</v>
      </c>
      <c r="V172" s="46" t="n">
        <f aca="false">-V128-N(V132)</f>
        <v>-0.161</v>
      </c>
      <c r="W172" s="46" t="n">
        <f aca="false">-W128-N(W132)</f>
        <v>-0.01</v>
      </c>
      <c r="X172" s="46" t="n">
        <f aca="false">-X128-N(X132)</f>
        <v>-0.615</v>
      </c>
      <c r="Y172" s="46" t="n">
        <f aca="false">-Y128-N(Y132)</f>
        <v>-0.234</v>
      </c>
      <c r="Z172" s="46" t="n">
        <f aca="false">-Z128-N(Z132)</f>
        <v>-0.101</v>
      </c>
      <c r="AA172" s="46" t="n">
        <f aca="false">-AA128-N(AA132)</f>
        <v>-0.483</v>
      </c>
      <c r="AB172" s="46" t="n">
        <f aca="false">-AB128-N(AB132)</f>
        <v>-0.293</v>
      </c>
      <c r="AC172" s="46" t="n">
        <f aca="false">-AC128-N(AC132)</f>
        <v>-1.111</v>
      </c>
      <c r="AD172" s="46" t="n">
        <f aca="false">-AD128-N(AD132)</f>
        <v>-0.312</v>
      </c>
      <c r="AE172" s="46" t="n">
        <f aca="false">-AE128-N(AE132)</f>
        <v>-0.19</v>
      </c>
      <c r="AF172" s="46" t="n">
        <f aca="false">-AF128-N(AF132)</f>
        <v>-0.321</v>
      </c>
      <c r="AG172" s="46" t="n">
        <f aca="false">-AG128-N(AG132)</f>
        <v>-0.524</v>
      </c>
      <c r="AH172" s="46" t="n">
        <f aca="false">-AH128-N(AH132)</f>
        <v>-1.347</v>
      </c>
      <c r="AI172" s="46" t="n">
        <f aca="false">-AI128-N(AI132)</f>
        <v>-4.683</v>
      </c>
      <c r="AJ172" s="46" t="n">
        <f aca="false">-AJ128-N(AJ132)</f>
        <v>-3.971</v>
      </c>
      <c r="AK172" s="46" t="n">
        <f aca="false">-AK128-N(AK132)</f>
        <v>-3.843</v>
      </c>
      <c r="AL172" s="46" t="n">
        <f aca="false">-AL128-N(AL132)</f>
        <v>-4.099</v>
      </c>
      <c r="AM172" s="46" t="n">
        <f aca="false">-AM128-N(AM132)</f>
        <v>-16.596</v>
      </c>
      <c r="AN172" s="46" t="n">
        <f aca="false">-AN128-N(AN132)</f>
        <v>-5.478</v>
      </c>
      <c r="AO172" s="46" t="n">
        <f aca="false">-AO128-N(AO132)</f>
        <v>-5.871</v>
      </c>
      <c r="AP172" s="46" t="n">
        <f aca="false">-AP128-N(AP132)</f>
        <v>-6.355</v>
      </c>
      <c r="AQ172" s="46" t="n">
        <f aca="false">-AQ128-N(AQ132)</f>
        <v>-6.152</v>
      </c>
      <c r="AR172" s="46" t="n">
        <f aca="false">-AR128-N(AR132)</f>
        <v>-23.856</v>
      </c>
      <c r="AS172" s="46" t="n">
        <f aca="false">-AS128-N(AS132)</f>
        <v>-5.532</v>
      </c>
      <c r="AT172" s="46" t="n">
        <f aca="false">-AT128-N(AT132)</f>
        <v>4.105</v>
      </c>
      <c r="AU172" s="46" t="n">
        <f aca="false">-AU128-N(AU132)</f>
        <v>-5.417</v>
      </c>
      <c r="AV172" s="46" t="n">
        <f aca="false">-AV128-N(AV132)</f>
        <v>-2.904</v>
      </c>
      <c r="AW172" s="46" t="n">
        <f aca="false">-AW128-N(AW132)</f>
        <v>-9.748</v>
      </c>
      <c r="AX172" s="46" t="n">
        <f aca="false">-AX128-N(AX132)</f>
        <v>-4.843</v>
      </c>
      <c r="AY172" s="46" t="n">
        <f aca="false">-AY128-N(AY132)</f>
        <v>-0.44</v>
      </c>
      <c r="AZ172" s="46" t="n">
        <f aca="false">-AZ128-N(AZ132)</f>
        <v>-3.627</v>
      </c>
      <c r="BA172" s="46" t="n">
        <f aca="false">-BA128-N(BA132)</f>
        <v>-3.157</v>
      </c>
      <c r="BB172" s="46" t="n">
        <f aca="false">-BB128-N(BB132)</f>
        <v>-12.067</v>
      </c>
      <c r="BC172" s="46" t="n">
        <f aca="false">-BC128-N(BC132)</f>
        <v>-2.997</v>
      </c>
      <c r="BD172" s="46" t="n">
        <f aca="false">-BD128-N(BD132)</f>
        <v>-4.555</v>
      </c>
      <c r="BE172" s="46" t="n">
        <f aca="false">-BE128-N(BE132)</f>
        <v>-3.746</v>
      </c>
      <c r="BF172" s="46" t="n">
        <f aca="false">-BF128-N(BF132)</f>
        <v>-1.434</v>
      </c>
      <c r="BG172" s="46" t="n">
        <f aca="false">-BG128-N(BG132)</f>
        <v>-12.732</v>
      </c>
      <c r="BH172" s="46" t="n">
        <f aca="false">-BH128-N(BH132)</f>
        <v>-7.767</v>
      </c>
      <c r="BI172" s="46" t="n">
        <f aca="false">-BI128-N(BI132)</f>
        <v>-7.954</v>
      </c>
      <c r="BJ172" s="46" t="n">
        <f aca="false">-BJ128-N(BJ132)</f>
        <v>-7.023</v>
      </c>
      <c r="BK172" s="46" t="n">
        <f aca="false">-BK128-N(BK132)</f>
        <v>-7.117</v>
      </c>
      <c r="BL172" s="46" t="n">
        <f aca="false">-BL128-N(BL132)</f>
        <v>-29.861</v>
      </c>
      <c r="BM172" s="46" t="n">
        <f aca="false">-BM128-N(BM132)</f>
        <v>-9.608</v>
      </c>
      <c r="BN172" s="46" t="n">
        <f aca="false">-BN128-N(BN132)</f>
        <v>-8.56</v>
      </c>
      <c r="BO172" s="46" t="n">
        <f aca="false">-BO128-N(BO132)</f>
        <v>-10.126</v>
      </c>
      <c r="BP172" s="46" t="n">
        <f aca="false">-BP128-N(BP132)</f>
        <v>-10.034</v>
      </c>
      <c r="BQ172" s="46" t="n">
        <f aca="false">-BQ128-N(BQ132)</f>
        <v>-38.328</v>
      </c>
      <c r="BR172" s="46" t="n">
        <f aca="false">-BR128-N(BR132)</f>
        <v>-6.03</v>
      </c>
      <c r="BS172" s="46" t="n">
        <f aca="false">-BS128-N(BS132)</f>
        <v>-10.982</v>
      </c>
      <c r="BT172" s="46" t="n">
        <f aca="false">-BT128-N(BT132)</f>
        <v>-5.386</v>
      </c>
      <c r="BU172" s="46" t="n">
        <f aca="false">-BU128-N(BU132)</f>
        <v>-7.239</v>
      </c>
      <c r="BV172" s="46" t="n">
        <f aca="false">-BV128-N(BV132)</f>
        <v>-29.637</v>
      </c>
      <c r="BW172" s="46" t="n">
        <f aca="false">-BW128-N(BW132)</f>
        <v>-8.197</v>
      </c>
      <c r="BX172" s="46" t="n">
        <f aca="false">-BX128-N(BX132)</f>
        <v>-25.53</v>
      </c>
      <c r="BY172" s="25" t="n">
        <f aca="false">-BY128-N(BY132)</f>
        <v>-8.6365</v>
      </c>
      <c r="BZ172" s="25" t="n">
        <f aca="false">-BZ128-N(BZ132)</f>
        <v>-8.6365</v>
      </c>
      <c r="CA172" s="25" t="n">
        <f aca="false">-CA128-N(CA132)</f>
        <v>-51</v>
      </c>
      <c r="CB172" s="25" t="n">
        <f aca="false">-CB128-N(CB132)</f>
        <v>-37.3106213539553</v>
      </c>
      <c r="CC172" s="25" t="n">
        <f aca="false">-CC128-N(CC132)</f>
        <v>-33.657895</v>
      </c>
      <c r="CD172" s="25" t="n">
        <f aca="false">-CD128-N(CD132)</f>
        <v>-32.5</v>
      </c>
      <c r="CE172" s="25" t="n">
        <f aca="false">-CE128-N(CE132)</f>
        <v>-32.5</v>
      </c>
    </row>
    <row r="173" customFormat="false" ht="15" hidden="false" customHeight="false" outlineLevel="0" collapsed="false">
      <c r="B173" s="20" t="s">
        <v>360</v>
      </c>
      <c r="C173" s="39" t="n">
        <f aca="false">C158</f>
        <v>0</v>
      </c>
      <c r="D173" s="39" t="n">
        <f aca="false">D158</f>
        <v>0</v>
      </c>
      <c r="E173" s="39" t="n">
        <f aca="false">E158</f>
        <v>0</v>
      </c>
      <c r="F173" s="39" t="n">
        <f aca="false">F158</f>
        <v>0</v>
      </c>
      <c r="G173" s="39" t="n">
        <f aca="false">G158</f>
        <v>0</v>
      </c>
      <c r="H173" s="39" t="n">
        <f aca="false">H158</f>
        <v>0</v>
      </c>
      <c r="I173" s="39" t="n">
        <f aca="false">I158</f>
        <v>40.002</v>
      </c>
      <c r="J173" s="39" t="n">
        <f aca="false">J158</f>
        <v>0</v>
      </c>
      <c r="K173" s="39" t="n">
        <f aca="false">K158</f>
        <v>0</v>
      </c>
      <c r="L173" s="39" t="n">
        <f aca="false">L158</f>
        <v>0</v>
      </c>
      <c r="M173" s="39" t="n">
        <f aca="false">M158</f>
        <v>0</v>
      </c>
      <c r="N173" s="39" t="n">
        <f aca="false">N158</f>
        <v>0</v>
      </c>
      <c r="O173" s="39" t="n">
        <f aca="false">O158</f>
        <v>0</v>
      </c>
      <c r="P173" s="39" t="n">
        <f aca="false">P158</f>
        <v>0</v>
      </c>
      <c r="Q173" s="39" t="n">
        <f aca="false">Q158</f>
        <v>0</v>
      </c>
      <c r="R173" s="39" t="n">
        <f aca="false">R158</f>
        <v>0</v>
      </c>
      <c r="S173" s="39" t="n">
        <f aca="false">S158</f>
        <v>0</v>
      </c>
      <c r="T173" s="39" t="n">
        <f aca="false">T158</f>
        <v>0</v>
      </c>
      <c r="U173" s="39" t="n">
        <f aca="false">U158</f>
        <v>0</v>
      </c>
      <c r="V173" s="39" t="n">
        <f aca="false">V158</f>
        <v>0</v>
      </c>
      <c r="W173" s="39" t="n">
        <f aca="false">W158</f>
        <v>0</v>
      </c>
      <c r="X173" s="39" t="n">
        <f aca="false">X158</f>
        <v>-19.617</v>
      </c>
      <c r="Y173" s="39" t="n">
        <f aca="false">Y158</f>
        <v>0</v>
      </c>
      <c r="Z173" s="39" t="n">
        <f aca="false">Z158</f>
        <v>0</v>
      </c>
      <c r="AA173" s="39" t="n">
        <f aca="false">AA158</f>
        <v>0</v>
      </c>
      <c r="AB173" s="39" t="n">
        <f aca="false">AB158</f>
        <v>0</v>
      </c>
      <c r="AC173" s="39" t="n">
        <f aca="false">AC158</f>
        <v>0</v>
      </c>
      <c r="AD173" s="39" t="n">
        <f aca="false">AD158</f>
        <v>0</v>
      </c>
      <c r="AE173" s="39" t="n">
        <f aca="false">AE158</f>
        <v>0</v>
      </c>
      <c r="AF173" s="39" t="n">
        <f aca="false">AF158</f>
        <v>0</v>
      </c>
      <c r="AG173" s="39" t="n">
        <f aca="false">AG158</f>
        <v>0</v>
      </c>
      <c r="AH173" s="39" t="n">
        <f aca="false">AH158</f>
        <v>0</v>
      </c>
      <c r="AI173" s="39" t="n">
        <f aca="false">AI158</f>
        <v>0</v>
      </c>
      <c r="AJ173" s="39" t="n">
        <f aca="false">AJ158</f>
        <v>7.024</v>
      </c>
      <c r="AK173" s="39" t="n">
        <f aca="false">AK158</f>
        <v>1.253</v>
      </c>
      <c r="AL173" s="39" t="n">
        <f aca="false">AL158</f>
        <v>0.395</v>
      </c>
      <c r="AM173" s="39" t="n">
        <f aca="false">AM158</f>
        <v>8.374</v>
      </c>
      <c r="AN173" s="39" t="n">
        <f aca="false">AN158</f>
        <v>0.455</v>
      </c>
      <c r="AO173" s="39" t="n">
        <f aca="false">AO158</f>
        <v>2.015</v>
      </c>
      <c r="AP173" s="39" t="n">
        <f aca="false">AP158</f>
        <v>1.631</v>
      </c>
      <c r="AQ173" s="39" t="n">
        <f aca="false">AQ158</f>
        <v>2.546</v>
      </c>
      <c r="AR173" s="39" t="n">
        <f aca="false">AR158</f>
        <v>7.047</v>
      </c>
      <c r="AS173" s="39" t="n">
        <f aca="false">AS158</f>
        <v>7.554</v>
      </c>
      <c r="AT173" s="39" t="n">
        <f aca="false">AT158</f>
        <v>23.151</v>
      </c>
      <c r="AU173" s="39" t="n">
        <f aca="false">AU158</f>
        <v>15.327</v>
      </c>
      <c r="AV173" s="39" t="n">
        <f aca="false">AV158</f>
        <v>56.32</v>
      </c>
      <c r="AW173" s="39" t="n">
        <f aca="false">AW158</f>
        <v>102.152</v>
      </c>
      <c r="AX173" s="39" t="n">
        <f aca="false">AX158</f>
        <v>3.734</v>
      </c>
      <c r="AY173" s="39" t="n">
        <f aca="false">AY158</f>
        <v>0.417</v>
      </c>
      <c r="AZ173" s="39" t="n">
        <f aca="false">AZ158</f>
        <v>9.831</v>
      </c>
      <c r="BA173" s="39" t="n">
        <f aca="false">BA158</f>
        <v>23.715</v>
      </c>
      <c r="BB173" s="39" t="n">
        <f aca="false">BB158</f>
        <v>37.74</v>
      </c>
      <c r="BC173" s="39" t="n">
        <f aca="false">BC158</f>
        <v>10.303</v>
      </c>
      <c r="BD173" s="39" t="n">
        <f aca="false">BD158</f>
        <v>0</v>
      </c>
      <c r="BE173" s="39" t="n">
        <f aca="false">BE158</f>
        <v>6.905</v>
      </c>
      <c r="BF173" s="39" t="n">
        <f aca="false">BF158</f>
        <v>2.427</v>
      </c>
      <c r="BG173" s="39" t="n">
        <f aca="false">BG158</f>
        <v>19.635001</v>
      </c>
      <c r="BH173" s="39" t="n">
        <f aca="false">BH158</f>
        <v>2.676</v>
      </c>
      <c r="BI173" s="39" t="n">
        <f aca="false">BI158</f>
        <v>2.659</v>
      </c>
      <c r="BJ173" s="39" t="n">
        <f aca="false">BJ158</f>
        <v>1.333</v>
      </c>
      <c r="BK173" s="39" t="n">
        <f aca="false">BK158</f>
        <v>2.528</v>
      </c>
      <c r="BL173" s="39" t="n">
        <f aca="false">BL158</f>
        <v>9.198</v>
      </c>
      <c r="BM173" s="39" t="n">
        <f aca="false">BM158</f>
        <v>0</v>
      </c>
      <c r="BN173" s="39" t="n">
        <f aca="false">BN158</f>
        <v>4.448</v>
      </c>
      <c r="BO173" s="39" t="n">
        <f aca="false">BO158</f>
        <v>4.164</v>
      </c>
      <c r="BP173" s="39" t="n">
        <f aca="false">BP158</f>
        <v>8.657</v>
      </c>
      <c r="BQ173" s="39" t="n">
        <f aca="false">BQ158</f>
        <v>17.269</v>
      </c>
      <c r="BR173" s="39" t="n">
        <f aca="false">BR158</f>
        <v>4.805</v>
      </c>
      <c r="BS173" s="39" t="n">
        <f aca="false">BS158</f>
        <v>3.735</v>
      </c>
      <c r="BT173" s="39" t="n">
        <f aca="false">BT158</f>
        <v>4.122</v>
      </c>
      <c r="BU173" s="39" t="n">
        <f aca="false">BU158</f>
        <v>4.812</v>
      </c>
      <c r="BV173" s="39" t="n">
        <f aca="false">BV158</f>
        <v>17.473</v>
      </c>
      <c r="BW173" s="39" t="n">
        <f aca="false">BW158</f>
        <v>0.91</v>
      </c>
      <c r="BX173" s="39" t="n">
        <f aca="false">BX158</f>
        <v>0.517</v>
      </c>
      <c r="BY173" s="29" t="n">
        <f aca="false">BY158</f>
        <v>2.8495</v>
      </c>
      <c r="BZ173" s="29" t="n">
        <f aca="false">BZ158</f>
        <v>2.8495</v>
      </c>
      <c r="CA173" s="29" t="n">
        <f aca="false">CA158</f>
        <v>7.126</v>
      </c>
      <c r="CB173" s="29" t="n">
        <f aca="false">CB158</f>
        <v>0</v>
      </c>
      <c r="CC173" s="29" t="n">
        <f aca="false">CC158</f>
        <v>0</v>
      </c>
      <c r="CD173" s="29" t="n">
        <f aca="false">CD158</f>
        <v>0</v>
      </c>
      <c r="CE173" s="29" t="n">
        <f aca="false">CE158</f>
        <v>0</v>
      </c>
    </row>
    <row r="174" customFormat="false" ht="15" hidden="false" customHeight="false" outlineLevel="0" collapsed="false">
      <c r="B174" s="43" t="s">
        <v>361</v>
      </c>
      <c r="C174" s="44" t="n">
        <f aca="false">C170+C172+C173</f>
        <v>191.419</v>
      </c>
      <c r="D174" s="44" t="n">
        <f aca="false">D170+D172+D173</f>
        <v>241.883</v>
      </c>
      <c r="E174" s="44" t="n">
        <f aca="false">E170+E172+E173</f>
        <v>273.433</v>
      </c>
      <c r="F174" s="44" t="n">
        <f aca="false">F170+F172+F173</f>
        <v>245.799</v>
      </c>
      <c r="G174" s="44" t="n">
        <f aca="false">G170+G172+G173</f>
        <v>259.769</v>
      </c>
      <c r="H174" s="44" t="n">
        <f aca="false">H170+H172+H173</f>
        <v>293.256</v>
      </c>
      <c r="I174" s="44" t="n">
        <f aca="false">I170+I172+I173</f>
        <v>295.344</v>
      </c>
      <c r="J174" s="44" t="n">
        <f aca="false">J170+J172+J173</f>
        <v>68.426</v>
      </c>
      <c r="K174" s="44" t="n">
        <f aca="false">K170+K172+K173</f>
        <v>87.621</v>
      </c>
      <c r="L174" s="44" t="n">
        <f aca="false">L170+L172+L173</f>
        <v>92.314</v>
      </c>
      <c r="M174" s="44" t="n">
        <f aca="false">M170+M172+M173</f>
        <v>106.755</v>
      </c>
      <c r="N174" s="44" t="n">
        <f aca="false">N170+N172+N173</f>
        <v>355.116</v>
      </c>
      <c r="O174" s="44" t="n">
        <f aca="false">O170+O172+O173</f>
        <v>90.0530000000001</v>
      </c>
      <c r="P174" s="44" t="n">
        <f aca="false">P170+P172+P173</f>
        <v>107.084</v>
      </c>
      <c r="Q174" s="44" t="n">
        <f aca="false">Q170+Q172+Q173</f>
        <v>103.688</v>
      </c>
      <c r="R174" s="44" t="n">
        <f aca="false">R170+R172+R173</f>
        <v>102.928</v>
      </c>
      <c r="S174" s="44" t="n">
        <f aca="false">S170+S172+S173</f>
        <v>401.304</v>
      </c>
      <c r="T174" s="44" t="n">
        <f aca="false">T170+T172+T173</f>
        <v>98.543</v>
      </c>
      <c r="U174" s="44" t="n">
        <f aca="false">U170+U172+U173</f>
        <v>91.272</v>
      </c>
      <c r="V174" s="44" t="n">
        <f aca="false">V170+V172+V173</f>
        <v>88.703</v>
      </c>
      <c r="W174" s="44" t="n">
        <f aca="false">W170+W172+W173</f>
        <v>132.909</v>
      </c>
      <c r="X174" s="44" t="n">
        <f aca="false">X170+X172+X173</f>
        <v>391.81</v>
      </c>
      <c r="Y174" s="44" t="n">
        <f aca="false">Y170+Y172+Y173</f>
        <v>81.75</v>
      </c>
      <c r="Z174" s="44" t="n">
        <f aca="false">Z170+Z172+Z173</f>
        <v>92.589</v>
      </c>
      <c r="AA174" s="44" t="n">
        <f aca="false">AA170+AA172+AA173</f>
        <v>100.005</v>
      </c>
      <c r="AB174" s="44" t="n">
        <f aca="false">AB170+AB172+AB173</f>
        <v>129.762</v>
      </c>
      <c r="AC174" s="44" t="n">
        <f aca="false">AC170+AC172+AC173</f>
        <v>404.106</v>
      </c>
      <c r="AD174" s="44" t="n">
        <f aca="false">AD170+AD172+AD173</f>
        <v>76.153</v>
      </c>
      <c r="AE174" s="44" t="n">
        <f aca="false">AE170+AE172+AE173</f>
        <v>108.306</v>
      </c>
      <c r="AF174" s="44" t="n">
        <f aca="false">AF170+AF172+AF173</f>
        <v>121.404</v>
      </c>
      <c r="AG174" s="44" t="n">
        <f aca="false">AG170+AG172+AG173</f>
        <v>133.875</v>
      </c>
      <c r="AH174" s="44" t="n">
        <f aca="false">AH170+AH172+AH173</f>
        <v>439.738</v>
      </c>
      <c r="AI174" s="44" t="n">
        <f aca="false">AI170+AI172+AI173</f>
        <v>89.099</v>
      </c>
      <c r="AJ174" s="44" t="n">
        <f aca="false">AJ170+AJ172+AJ173</f>
        <v>135.756</v>
      </c>
      <c r="AK174" s="44" t="n">
        <f aca="false">AK170+AK172+AK173</f>
        <v>124.189</v>
      </c>
      <c r="AL174" s="44" t="n">
        <f aca="false">AL170+AL172+AL173</f>
        <v>136.203</v>
      </c>
      <c r="AM174" s="44" t="n">
        <f aca="false">AM170+AM172+AM173</f>
        <v>484.949</v>
      </c>
      <c r="AN174" s="44" t="n">
        <f aca="false">AN170+AN172+AN173</f>
        <v>98.293</v>
      </c>
      <c r="AO174" s="44" t="n">
        <f aca="false">AO170+AO172+AO173</f>
        <v>133.507</v>
      </c>
      <c r="AP174" s="44" t="n">
        <f aca="false">AP170+AP172+AP173</f>
        <v>132.598</v>
      </c>
      <c r="AQ174" s="44" t="n">
        <f aca="false">AQ170+AQ172+AQ173</f>
        <v>148.614</v>
      </c>
      <c r="AR174" s="44" t="n">
        <f aca="false">AR170+AR172+AR173</f>
        <v>513.412</v>
      </c>
      <c r="AS174" s="44" t="n">
        <f aca="false">AS170+AS172+AS173</f>
        <v>108.142</v>
      </c>
      <c r="AT174" s="44" t="n">
        <f aca="false">AT170+AT172+AT173</f>
        <v>106.926</v>
      </c>
      <c r="AU174" s="44" t="n">
        <f aca="false">AU170+AU172+AU173</f>
        <v>128.101</v>
      </c>
      <c r="AV174" s="44" t="n">
        <f aca="false">AV170+AV172+AV173</f>
        <v>163.934</v>
      </c>
      <c r="AW174" s="44" t="n">
        <f aca="false">AW170+AW172+AW173</f>
        <v>506.903</v>
      </c>
      <c r="AX174" s="44" t="n">
        <f aca="false">AX170+AX172+AX173</f>
        <v>117.395</v>
      </c>
      <c r="AY174" s="44" t="n">
        <f aca="false">AY170+AY172+AY173</f>
        <v>124.021</v>
      </c>
      <c r="AZ174" s="44" t="n">
        <f aca="false">AZ170+AZ172+AZ173</f>
        <v>136.124</v>
      </c>
      <c r="BA174" s="44" t="n">
        <f aca="false">BA170+BA172+BA173</f>
        <v>157.224</v>
      </c>
      <c r="BB174" s="44" t="n">
        <f aca="false">BB170+BB172+BB173</f>
        <v>534.807</v>
      </c>
      <c r="BC174" s="44" t="n">
        <f aca="false">BC170+BC172+BC173</f>
        <v>98.176</v>
      </c>
      <c r="BD174" s="44" t="n">
        <f aca="false">BD170+BD172+BD173</f>
        <v>124.387</v>
      </c>
      <c r="BE174" s="44" t="n">
        <f aca="false">BE170+BE172+BE173</f>
        <v>144.363</v>
      </c>
      <c r="BF174" s="44" t="n">
        <f aca="false">BF170+BF172+BF173</f>
        <v>188.179</v>
      </c>
      <c r="BG174" s="44" t="n">
        <f aca="false">BG170+BG172+BG173</f>
        <v>555.105001</v>
      </c>
      <c r="BH174" s="44" t="n">
        <f aca="false">BH170+BH172+BH173</f>
        <v>110.218</v>
      </c>
      <c r="BI174" s="44" t="n">
        <f aca="false">BI170+BI172+BI173</f>
        <v>144.482</v>
      </c>
      <c r="BJ174" s="44" t="n">
        <f aca="false">BJ170+BJ172+BJ173</f>
        <v>162.713</v>
      </c>
      <c r="BK174" s="44" t="n">
        <f aca="false">BK170+BK172+BK173</f>
        <v>192.558</v>
      </c>
      <c r="BL174" s="44" t="n">
        <f aca="false">BL170+BL172+BL173</f>
        <v>609.972</v>
      </c>
      <c r="BM174" s="44" t="n">
        <f aca="false">BM170+BM172+BM173</f>
        <v>126.944</v>
      </c>
      <c r="BN174" s="44" t="n">
        <f aca="false">BN170+BN172+BN173</f>
        <v>160.513</v>
      </c>
      <c r="BO174" s="44" t="n">
        <f aca="false">BO170+BO172+BO173</f>
        <v>175.76</v>
      </c>
      <c r="BP174" s="44" t="n">
        <f aca="false">BP170+BP172+BP173</f>
        <v>190.316</v>
      </c>
      <c r="BQ174" s="44" t="n">
        <f aca="false">BQ170+BQ172+BQ173</f>
        <v>653.533</v>
      </c>
      <c r="BR174" s="44" t="n">
        <f aca="false">BR170+BR172+BR173</f>
        <v>164.831</v>
      </c>
      <c r="BS174" s="44" t="n">
        <f aca="false">BS170+BS172+BS173</f>
        <v>191.349</v>
      </c>
      <c r="BT174" s="44" t="n">
        <f aca="false">BT170+BT172+BT173</f>
        <v>201.564</v>
      </c>
      <c r="BU174" s="44" t="n">
        <f aca="false">BU170+BU172+BU173</f>
        <v>218.068</v>
      </c>
      <c r="BV174" s="44" t="n">
        <f aca="false">BV170+BV172+BV173</f>
        <v>775.811</v>
      </c>
      <c r="BW174" s="44" t="n">
        <f aca="false">BW170+BW172+BW173</f>
        <v>188.784</v>
      </c>
      <c r="BX174" s="44" t="n">
        <f aca="false">BX170+BX172+BX173</f>
        <v>207.578</v>
      </c>
      <c r="BY174" s="44" t="n">
        <f aca="false">BY170+BY172+BY173</f>
        <v>214.99362170045</v>
      </c>
      <c r="BZ174" s="44" t="n">
        <f aca="false">BZ170+BZ172+BZ173</f>
        <v>232.076491130788</v>
      </c>
      <c r="CA174" s="44" t="n">
        <f aca="false">CA170+CA172+CA173</f>
        <v>843.432112831238</v>
      </c>
      <c r="CB174" s="44" t="n">
        <f aca="false">CB170+CB172+CB173</f>
        <v>937.581</v>
      </c>
      <c r="CC174" s="44" t="n">
        <f aca="false">CC170+CC172+CC173</f>
        <v>1036.8581985</v>
      </c>
      <c r="CD174" s="44" t="n">
        <f aca="false">CD170+CD172+CD173</f>
        <v>1140.846566585</v>
      </c>
      <c r="CE174" s="44" t="n">
        <f aca="false">CE170+CE172+CE173</f>
        <v>1249.6452583461</v>
      </c>
      <c r="CF174" s="18" t="s">
        <v>362</v>
      </c>
      <c r="CH174" s="19" t="n">
        <f aca="false">IFERROR((CE174/BV174)^(1/5)-1,"n/m")</f>
        <v>0.100034136578262</v>
      </c>
      <c r="CI174" s="19" t="n">
        <f aca="false">IFERROR((BV174/AW174)^(1/5)-1,"n/m")</f>
        <v>0.0888453839272152</v>
      </c>
      <c r="CJ174" s="19" t="n">
        <f aca="false">IFERROR((BV174/X174)^(1/10)-1,"n/m")</f>
        <v>0.0707005892690831</v>
      </c>
      <c r="CK174" s="19" t="n">
        <f aca="false">IFERROR((BV174/C174)^(1/19)-1,"n/m")</f>
        <v>0.0764353254010108</v>
      </c>
    </row>
    <row r="175" customFormat="false" ht="15" hidden="false" customHeight="false" outlineLevel="0" collapsed="false">
      <c r="B175" s="20" t="s">
        <v>363</v>
      </c>
      <c r="C175" s="27" t="n">
        <f aca="false">IF(AND(ISNUMBER(C174),ISNUMBER(C114)),IFERROR(C174/C114,""),"")</f>
        <v>0.149294742055368</v>
      </c>
      <c r="D175" s="27" t="n">
        <f aca="false">IF(AND(ISNUMBER(D174),ISNUMBER(D114)),IFERROR(D174/D114,""),"")</f>
        <v>0.151924724456135</v>
      </c>
      <c r="E175" s="27" t="n">
        <f aca="false">IF(AND(ISNUMBER(E174),ISNUMBER(E114)),IFERROR(E174/E114,""),"")</f>
        <v>0.149405509960987</v>
      </c>
      <c r="F175" s="27" t="n">
        <f aca="false">IF(AND(ISNUMBER(F174),ISNUMBER(F114)),IFERROR(F174/F114,""),"")</f>
        <v>0.135823815128558</v>
      </c>
      <c r="G175" s="27" t="n">
        <f aca="false">IF(AND(ISNUMBER(G174),ISNUMBER(G114)),IFERROR(G174/G114,""),"")</f>
        <v>0.137216382992435</v>
      </c>
      <c r="H175" s="27" t="n">
        <f aca="false">IF(AND(ISNUMBER(H174),ISNUMBER(H114)),IFERROR(H174/H114,""),"")</f>
        <v>0.142764089906676</v>
      </c>
      <c r="I175" s="27" t="n">
        <f aca="false">IF(AND(ISNUMBER(I174),ISNUMBER(I114)),IFERROR(I174/I114,""),"")</f>
        <v>0.140793129289189</v>
      </c>
      <c r="J175" s="27" t="n">
        <f aca="false">IF(AND(ISNUMBER(J174),ISNUMBER(J114)),IFERROR(J174/J114,""),"")</f>
        <v>0.115450482295039</v>
      </c>
      <c r="K175" s="27" t="n">
        <f aca="false">IF(AND(ISNUMBER(K174),ISNUMBER(K114)),IFERROR(K174/K114,""),"")</f>
        <v>0.141853398242152</v>
      </c>
      <c r="L175" s="27" t="n">
        <f aca="false">IF(AND(ISNUMBER(L174),ISNUMBER(L114)),IFERROR(L174/L114,""),"")</f>
        <v>0.153685819264251</v>
      </c>
      <c r="M175" s="27" t="n">
        <f aca="false">IF(AND(ISNUMBER(M174),ISNUMBER(M114)),IFERROR(M174/M114,""),"")</f>
        <v>0.152565989738899</v>
      </c>
      <c r="N175" s="27" t="n">
        <f aca="false">IF(AND(ISNUMBER(N174),ISNUMBER(N114)),IFERROR(N174/N114,""),"")</f>
        <v>0.141437032688365</v>
      </c>
      <c r="O175" s="27" t="n">
        <f aca="false">IF(AND(ISNUMBER(O174),ISNUMBER(O114)),IFERROR(O174/O114,""),"")</f>
        <v>0.14039805928171</v>
      </c>
      <c r="P175" s="27" t="n">
        <f aca="false">IF(AND(ISNUMBER(P174),ISNUMBER(P114)),IFERROR(P174/P114,""),"")</f>
        <v>0.164125483560476</v>
      </c>
      <c r="Q175" s="27" t="n">
        <f aca="false">IF(AND(ISNUMBER(Q174),ISNUMBER(Q114)),IFERROR(Q174/Q114,""),"")</f>
        <v>0.185324596867884</v>
      </c>
      <c r="R175" s="27" t="n">
        <f aca="false">IF(AND(ISNUMBER(R174),ISNUMBER(R114)),IFERROR(R174/R114,""),"")</f>
        <v>0.179759896329984</v>
      </c>
      <c r="S175" s="27" t="n">
        <f aca="false">IF(AND(ISNUMBER(S174),ISNUMBER(S114)),IFERROR(S174/S114,""),"")</f>
        <v>0.178903904640221</v>
      </c>
      <c r="T175" s="27" t="n">
        <f aca="false">IF(AND(ISNUMBER(T174),ISNUMBER(T114)),IFERROR(T174/T114,""),"")</f>
        <v>0.180415928992913</v>
      </c>
      <c r="U175" s="27" t="n">
        <f aca="false">IF(AND(ISNUMBER(U174),ISNUMBER(U114)),IFERROR(U174/U114,""),"")</f>
        <v>0.167411967116292</v>
      </c>
      <c r="V175" s="27" t="n">
        <f aca="false">IF(AND(ISNUMBER(V174),ISNUMBER(V114)),IFERROR(V174/V114,""),"")</f>
        <v>0.168786094170702</v>
      </c>
      <c r="W175" s="27" t="n">
        <f aca="false">IF(AND(ISNUMBER(W174),ISNUMBER(W114)),IFERROR(W174/W114,""),"")</f>
        <v>0.225745853538399</v>
      </c>
      <c r="X175" s="27" t="n">
        <f aca="false">IF(AND(ISNUMBER(X174),ISNUMBER(X114)),IFERROR(X174/X114,""),"")</f>
        <v>0.177636586943817</v>
      </c>
      <c r="Y175" s="27" t="n">
        <f aca="false">IF(AND(ISNUMBER(Y174),ISNUMBER(Y114)),IFERROR(Y174/Y114,""),"")</f>
        <v>0.162361198553347</v>
      </c>
      <c r="Z175" s="27" t="n">
        <f aca="false">IF(AND(ISNUMBER(Z174),ISNUMBER(Z114)),IFERROR(Z174/Z114,""),"")</f>
        <v>0.173789243307568</v>
      </c>
      <c r="AA175" s="27" t="n">
        <f aca="false">IF(AND(ISNUMBER(AA174),ISNUMBER(AA114)),IFERROR(AA174/AA114,""),"")</f>
        <v>0.197212734572819</v>
      </c>
      <c r="AB175" s="27" t="n">
        <f aca="false">IF(AND(ISNUMBER(AB174),ISNUMBER(AB114)),IFERROR(AB174/AB114,""),"")</f>
        <v>0.229437413140111</v>
      </c>
      <c r="AC175" s="27" t="n">
        <f aca="false">IF(AND(ISNUMBER(AC174),ISNUMBER(AC114)),IFERROR(AC174/AC114,""),"")</f>
        <v>0.191616510924255</v>
      </c>
      <c r="AD175" s="27" t="n">
        <f aca="false">IF(AND(ISNUMBER(AD174),ISNUMBER(AD114)),IFERROR(AD174/AD114,""),"")</f>
        <v>0.145443676457388</v>
      </c>
      <c r="AE175" s="27" t="n">
        <f aca="false">IF(AND(ISNUMBER(AE174),ISNUMBER(AE114)),IFERROR(AE174/AE114,""),"")</f>
        <v>0.190796137781356</v>
      </c>
      <c r="AF175" s="27" t="n">
        <f aca="false">IF(AND(ISNUMBER(AF174),ISNUMBER(AF114)),IFERROR(AF174/AF114,""),"")</f>
        <v>0.213776696994723</v>
      </c>
      <c r="AG175" s="27" t="n">
        <f aca="false">IF(AND(ISNUMBER(AG174),ISNUMBER(AG114)),IFERROR(AG174/AG114,""),"")</f>
        <v>0.218792542994471</v>
      </c>
      <c r="AH175" s="27" t="n">
        <f aca="false">IF(AND(ISNUMBER(AH174),ISNUMBER(AH114)),IFERROR(AH174/AH114,""),"")</f>
        <v>0.19362966342085</v>
      </c>
      <c r="AI175" s="27" t="n">
        <f aca="false">IF(AND(ISNUMBER(AI174),ISNUMBER(AI114)),IFERROR(AI174/AI114,""),"")</f>
        <v>0.162731360566333</v>
      </c>
      <c r="AJ175" s="27" t="n">
        <f aca="false">IF(AND(ISNUMBER(AJ174),ISNUMBER(AJ114)),IFERROR(AJ174/AJ114,""),"")</f>
        <v>0.218856098197963</v>
      </c>
      <c r="AK175" s="27" t="n">
        <f aca="false">IF(AND(ISNUMBER(AK174),ISNUMBER(AK114)),IFERROR(AK174/AK114,""),"")</f>
        <v>0.208583238298065</v>
      </c>
      <c r="AL175" s="27" t="n">
        <f aca="false">IF(AND(ISNUMBER(AL174),ISNUMBER(AL114)),IFERROR(AL174/AL114,""),"")</f>
        <v>0.209988252017354</v>
      </c>
      <c r="AM175" s="27" t="n">
        <f aca="false">IF(AND(ISNUMBER(AM174),ISNUMBER(AM114)),IFERROR(AM174/AM114,""),"")</f>
        <v>0.201070554163116</v>
      </c>
      <c r="AN175" s="27" t="n">
        <f aca="false">IF(AND(ISNUMBER(AN174),ISNUMBER(AN114)),IFERROR(AN174/AN114,""),"")</f>
        <v>0.169964759628852</v>
      </c>
      <c r="AO175" s="27" t="n">
        <f aca="false">IF(AND(ISNUMBER(AO174),ISNUMBER(AO114)),IFERROR(AO174/AO114,""),"")</f>
        <v>0.208932450281379</v>
      </c>
      <c r="AP175" s="27" t="n">
        <f aca="false">IF(AND(ISNUMBER(AP174),ISNUMBER(AP114)),IFERROR(AP174/AP114,""),"")</f>
        <v>0.215648581837106</v>
      </c>
      <c r="AQ175" s="27" t="n">
        <f aca="false">IF(AND(ISNUMBER(AQ174),ISNUMBER(AQ114)),IFERROR(AQ174/AQ114,""),"")</f>
        <v>0.22662484312359</v>
      </c>
      <c r="AR175" s="27" t="n">
        <f aca="false">IF(AND(ISNUMBER(AR174),ISNUMBER(AR114)),IFERROR(AR174/AR114,""),"")</f>
        <v>0.20635854018612</v>
      </c>
      <c r="AS175" s="27" t="n">
        <f aca="false">IF(AND(ISNUMBER(AS174),ISNUMBER(AS114)),IFERROR(AS174/AS114,""),"")</f>
        <v>0.1798676382289</v>
      </c>
      <c r="AT175" s="27" t="n">
        <f aca="false">IF(AND(ISNUMBER(AT174),ISNUMBER(AT114)),IFERROR(AT174/AT114,""),"")</f>
        <v>0.194394297214602</v>
      </c>
      <c r="AU175" s="27" t="n">
        <f aca="false">IF(AND(ISNUMBER(AU174),ISNUMBER(AU114)),IFERROR(AU174/AU114,""),"")</f>
        <v>0.224104028242835</v>
      </c>
      <c r="AV175" s="27" t="n">
        <f aca="false">IF(AND(ISNUMBER(AV174),ISNUMBER(AV114)),IFERROR(AV174/AV114,""),"")</f>
        <v>0.245247171042002</v>
      </c>
      <c r="AW175" s="27" t="n">
        <f aca="false">IF(AND(ISNUMBER(AW174),ISNUMBER(AW114)),IFERROR(AW174/AW114,""),"")</f>
        <v>0.211974812406119</v>
      </c>
      <c r="AX175" s="27" t="n">
        <f aca="false">IF(AND(ISNUMBER(AX174),ISNUMBER(AX114)),IFERROR(AX174/AX114,""),"")</f>
        <v>0.196622109372775</v>
      </c>
      <c r="AY175" s="27" t="n">
        <f aca="false">IF(AND(ISNUMBER(AY174),ISNUMBER(AY114)),IFERROR(AY174/AY114,""),"")</f>
        <v>0.199552691493898</v>
      </c>
      <c r="AZ175" s="27" t="n">
        <f aca="false">IF(AND(ISNUMBER(AZ174),ISNUMBER(AZ114)),IFERROR(AZ174/AZ114,""),"")</f>
        <v>0.219335856620568</v>
      </c>
      <c r="BA175" s="27" t="n">
        <f aca="false">IF(AND(ISNUMBER(BA174),ISNUMBER(BA114)),IFERROR(BA174/BA114,""),"")</f>
        <v>0.2358036948938</v>
      </c>
      <c r="BB175" s="27" t="n">
        <f aca="false">IF(AND(ISNUMBER(BB174),ISNUMBER(BB114)),IFERROR(BB174/BB114,""),"")</f>
        <v>0.213416490717422</v>
      </c>
      <c r="BC175" s="27" t="n">
        <f aca="false">IF(AND(ISNUMBER(BC174),ISNUMBER(BC114)),IFERROR(BC174/BC114,""),"")</f>
        <v>0.175483188283008</v>
      </c>
      <c r="BD175" s="27" t="n">
        <f aca="false">IF(AND(ISNUMBER(BD174),ISNUMBER(BD114)),IFERROR(BD174/BD114,""),"")</f>
        <v>0.204128286045783</v>
      </c>
      <c r="BE175" s="27" t="n">
        <f aca="false">IF(AND(ISNUMBER(BE174),ISNUMBER(BE114)),IFERROR(BE174/BE114,""),"")</f>
        <v>0.228950648806899</v>
      </c>
      <c r="BF175" s="27" t="n">
        <f aca="false">IF(AND(ISNUMBER(BF174),ISNUMBER(BF114)),IFERROR(BF174/BF114,""),"")</f>
        <v>0.248367022364766</v>
      </c>
      <c r="BG175" s="27" t="n">
        <f aca="false">IF(AND(ISNUMBER(BG174),ISNUMBER(BG114)),IFERROR(BG174/BG114,""),"")</f>
        <v>0.217090173541518</v>
      </c>
      <c r="BH175" s="27" t="n">
        <f aca="false">IF(AND(ISNUMBER(BH174),ISNUMBER(BH114)),IFERROR(BH174/BH114,""),"")</f>
        <v>0.174710712360904</v>
      </c>
      <c r="BI175" s="27" t="n">
        <f aca="false">IF(AND(ISNUMBER(BI174),ISNUMBER(BI114)),IFERROR(BI174/BI114,""),"")</f>
        <v>0.205114736597028</v>
      </c>
      <c r="BJ175" s="27" t="n">
        <f aca="false">IF(AND(ISNUMBER(BJ174),ISNUMBER(BJ114)),IFERROR(BJ174/BJ114,""),"")</f>
        <v>0.224640562398699</v>
      </c>
      <c r="BK175" s="27" t="n">
        <f aca="false">IF(AND(ISNUMBER(BK174),ISNUMBER(BK114)),IFERROR(BK174/BK114,""),"")</f>
        <v>0.245049892401415</v>
      </c>
      <c r="BL175" s="27" t="n">
        <f aca="false">IF(AND(ISNUMBER(BL174),ISNUMBER(BL114)),IFERROR(BL174/BL114,""),"")</f>
        <v>0.21437330009106</v>
      </c>
      <c r="BM175" s="27" t="n">
        <f aca="false">IF(AND(ISNUMBER(BM174),ISNUMBER(BM114)),IFERROR(BM174/BM114,""),"")</f>
        <v>0.178000384201737</v>
      </c>
      <c r="BN175" s="27" t="n">
        <f aca="false">IF(AND(ISNUMBER(BN174),ISNUMBER(BN114)),IFERROR(BN174/BN114,""),"")</f>
        <v>0.204529613616874</v>
      </c>
      <c r="BO175" s="27" t="n">
        <f aca="false">IF(AND(ISNUMBER(BO174),ISNUMBER(BO114)),IFERROR(BO174/BO114,""),"")</f>
        <v>0.219997546681887</v>
      </c>
      <c r="BP175" s="27" t="n">
        <f aca="false">IF(AND(ISNUMBER(BP174),ISNUMBER(BP114)),IFERROR(BP174/BP114,""),"")</f>
        <v>0.230878319279206</v>
      </c>
      <c r="BQ175" s="27" t="n">
        <f aca="false">IF(AND(ISNUMBER(BQ174),ISNUMBER(BQ114)),IFERROR(BQ174/BQ114,""),"")</f>
        <v>0.209385910305336</v>
      </c>
      <c r="BR175" s="27" t="n">
        <f aca="false">IF(AND(ISNUMBER(BR174),ISNUMBER(BR114)),IFERROR(BR174/BR114,""),"")</f>
        <v>0.20459507599501</v>
      </c>
      <c r="BS175" s="27" t="n">
        <f aca="false">IF(AND(ISNUMBER(BS174),ISNUMBER(BS114)),IFERROR(BS174/BS114,""),"")</f>
        <v>0.218291397437302</v>
      </c>
      <c r="BT175" s="27" t="n">
        <f aca="false">IF(AND(ISNUMBER(BT174),ISNUMBER(BT114)),IFERROR(BT174/BT114,""),"")</f>
        <v>0.231904000368167</v>
      </c>
      <c r="BU175" s="27" t="n">
        <f aca="false">IF(AND(ISNUMBER(BU174),ISNUMBER(BU114)),IFERROR(BU174/BU114,""),"")</f>
        <v>0.230277059413019</v>
      </c>
      <c r="BV175" s="27" t="n">
        <f aca="false">IF(AND(ISNUMBER(BV174),ISNUMBER(BV114)),IFERROR(BV174/BV114,""),"")</f>
        <v>0.221763437393164</v>
      </c>
      <c r="BW175" s="27" t="n">
        <f aca="false">IF(AND(ISNUMBER(BW174),ISNUMBER(BW114)),IFERROR(BW174/BW114,""),"")</f>
        <v>0.206617802376525</v>
      </c>
      <c r="BX175" s="27" t="n">
        <f aca="false">IF(AND(ISNUMBER(BX174),ISNUMBER(BX114)),IFERROR(BX174/BX114,""),"")</f>
        <v>0.224649570133592</v>
      </c>
      <c r="BY175" s="22" t="n">
        <f aca="false">IFERROR(BY174/BY114,"")</f>
        <v>0.23006358580069</v>
      </c>
      <c r="BZ175" s="22" t="n">
        <f aca="false">IFERROR(BZ174/BZ114,"")</f>
        <v>0.22790391818078</v>
      </c>
      <c r="CA175" s="22" t="n">
        <f aca="false">IFERROR(CA174/CA114,"")</f>
        <v>0.222512099414652</v>
      </c>
      <c r="CB175" s="22" t="n">
        <f aca="false">IFERROR(CB174/CB114,"")</f>
        <v>0.22802203414563</v>
      </c>
      <c r="CC175" s="22" t="n">
        <f aca="false">IFERROR(CC174/CC114,"")</f>
        <v>0.230765917675808</v>
      </c>
      <c r="CD175" s="22" t="n">
        <f aca="false">IFERROR(CD174/CD114,"")</f>
        <v>0.233925732142077</v>
      </c>
      <c r="CE175" s="22" t="n">
        <f aca="false">IFERROR(CE174/CE114,"")</f>
        <v>0.236507096491128</v>
      </c>
      <c r="CH175" s="32" t="n">
        <f aca="false">IFERROR(AVERAGE(CA175,CB175,CC175,CD175,CE175),"n/m")</f>
        <v>0.230346575973859</v>
      </c>
      <c r="CI175" s="32" t="n">
        <f aca="false">IFERROR(AVERAGE(BB175,BG175,BL175,BQ175,BV175),"n/m")</f>
        <v>0.2152058624097</v>
      </c>
      <c r="CJ175" s="32" t="n">
        <f aca="false">IFERROR(AVERAGE(AC175,AH175,AM175,AR175,AW175,BB175,BG175,BL175,BQ175,BV175),"n/m")</f>
        <v>0.208067939314896</v>
      </c>
      <c r="CK175" s="32" t="n">
        <f aca="false">IFERROR(AVERAGE(C175,D175,E175,F175,G175,H175,I175,N175,S175,X175,AC175,AH175,AM175,AR175,AW175,BB175,BG175,BL175,BQ175,BV175),"n/m")</f>
        <v>0.179293965560536</v>
      </c>
    </row>
    <row r="176" customFormat="false" ht="15" hidden="false" customHeight="false" outlineLevel="0" collapsed="false">
      <c r="B176" s="20" t="s">
        <v>364</v>
      </c>
      <c r="C176" s="46" t="n">
        <f aca="false">IF(ISNUMBER(C100),ROUND(C174-C159-C100,1),"")</f>
        <v>0</v>
      </c>
      <c r="D176" s="46" t="n">
        <f aca="false">IF(ISNUMBER(D100),ROUND(D174-D159-D100,1),"")</f>
        <v>0</v>
      </c>
      <c r="E176" s="46" t="n">
        <f aca="false">IF(ISNUMBER(E100),ROUND(E174-E159-E100,1),"")</f>
        <v>0</v>
      </c>
      <c r="F176" s="46" t="n">
        <f aca="false">IF(ISNUMBER(F100),ROUND(F174-F159-F100,1),"")</f>
        <v>0</v>
      </c>
      <c r="G176" s="46" t="n">
        <f aca="false">IF(ISNUMBER(G100),ROUND(G174-G159-G100,1),"")</f>
        <v>0</v>
      </c>
      <c r="H176" s="46" t="n">
        <f aca="false">IF(ISNUMBER(H100),ROUND(H174-H159-H100,1),"")</f>
        <v>0</v>
      </c>
      <c r="I176" s="46" t="n">
        <f aca="false">IF(ISNUMBER(I100),ROUND(I174-I159-I100,1),"")</f>
        <v>0</v>
      </c>
      <c r="J176" s="46" t="n">
        <f aca="false">IF(ISNUMBER(J100),ROUND(J174-J159-J100,1),"")</f>
        <v>0</v>
      </c>
      <c r="K176" s="46" t="n">
        <f aca="false">IF(ISNUMBER(K100),ROUND(K174-K159-K100,1),"")</f>
        <v>0</v>
      </c>
      <c r="L176" s="46" t="n">
        <f aca="false">IF(ISNUMBER(L100),ROUND(L174-L159-L100,1),"")</f>
        <v>0</v>
      </c>
      <c r="M176" s="46" t="n">
        <f aca="false">IF(ISNUMBER(M100),ROUND(M174-M159-M100,1),"")</f>
        <v>0</v>
      </c>
      <c r="N176" s="46" t="n">
        <f aca="false">IF(ISNUMBER(N100),ROUND(N174-N159-N100,1),"")</f>
        <v>0</v>
      </c>
      <c r="O176" s="46" t="n">
        <f aca="false">IF(ISNUMBER(O100),ROUND(O174-O159-O100,1),"")</f>
        <v>0</v>
      </c>
      <c r="P176" s="46" t="n">
        <f aca="false">IF(ISNUMBER(P100),ROUND(P174-P159-P100,1),"")</f>
        <v>0</v>
      </c>
      <c r="Q176" s="46" t="n">
        <f aca="false">IF(ISNUMBER(Q100),ROUND(Q174-Q159-Q100,1),"")</f>
        <v>0</v>
      </c>
      <c r="R176" s="46" t="n">
        <f aca="false">IF(ISNUMBER(R100),ROUND(R174-R159-R100,1),"")</f>
        <v>0</v>
      </c>
      <c r="S176" s="46" t="n">
        <f aca="false">IF(ISNUMBER(S100),ROUND(S174-S159-S100,1),"")</f>
        <v>0</v>
      </c>
      <c r="T176" s="46" t="n">
        <f aca="false">IF(ISNUMBER(T100),ROUND(T174-T159-T100,1),"")</f>
        <v>0</v>
      </c>
      <c r="U176" s="46" t="n">
        <f aca="false">IF(ISNUMBER(U100),ROUND(U174-U159-U100,1),"")</f>
        <v>0</v>
      </c>
      <c r="V176" s="46" t="n">
        <f aca="false">IF(ISNUMBER(V100),ROUND(V174-V159-V100,1),"")</f>
        <v>0</v>
      </c>
      <c r="W176" s="46" t="n">
        <f aca="false">IF(ISNUMBER(W100),ROUND(W174-W159-W100,1),"")</f>
        <v>0</v>
      </c>
      <c r="X176" s="46" t="n">
        <f aca="false">IF(ISNUMBER(X100),ROUND(X174-X159-X100,1),"")</f>
        <v>0</v>
      </c>
      <c r="Y176" s="46" t="n">
        <f aca="false">IF(ISNUMBER(Y100),ROUND(Y174-Y159-Y100,1),"")</f>
        <v>0</v>
      </c>
      <c r="Z176" s="46" t="n">
        <f aca="false">IF(ISNUMBER(Z100),ROUND(Z174-Z159-Z100,1),"")</f>
        <v>0</v>
      </c>
      <c r="AA176" s="46" t="n">
        <f aca="false">IF(ISNUMBER(AA100),ROUND(AA174-AA159-AA100,1),"")</f>
        <v>0</v>
      </c>
      <c r="AB176" s="46" t="n">
        <f aca="false">IF(ISNUMBER(AB100),ROUND(AB174-AB159-AB100,1),"")</f>
        <v>0</v>
      </c>
      <c r="AC176" s="46" t="n">
        <f aca="false">IF(ISNUMBER(AC100),ROUND(AC174-AC159-AC100,1),"")</f>
        <v>0</v>
      </c>
      <c r="AD176" s="46" t="n">
        <f aca="false">IF(ISNUMBER(AD100),ROUND(AD174-AD159-AD100,1),"")</f>
        <v>0</v>
      </c>
      <c r="AE176" s="46" t="n">
        <f aca="false">IF(ISNUMBER(AE100),ROUND(AE174-AE159-AE100,1),"")</f>
        <v>0</v>
      </c>
      <c r="AF176" s="46" t="n">
        <f aca="false">IF(ISNUMBER(AF100),ROUND(AF174-AF159-AF100,1),"")</f>
        <v>0</v>
      </c>
      <c r="AG176" s="46" t="n">
        <f aca="false">IF(ISNUMBER(AG100),ROUND(AG174-AG159-AG100,1),"")</f>
        <v>0</v>
      </c>
      <c r="AH176" s="46" t="n">
        <f aca="false">IF(ISNUMBER(AH100),ROUND(AH174-AH159-AH100,1),"")</f>
        <v>0</v>
      </c>
      <c r="AI176" s="46" t="n">
        <f aca="false">IF(ISNUMBER(AI100),ROUND(AI174-AI159-AI100,1),"")</f>
        <v>0</v>
      </c>
      <c r="AJ176" s="46" t="n">
        <f aca="false">IF(ISNUMBER(AJ100),ROUND(AJ174-AJ159-AJ100,1),"")</f>
        <v>0</v>
      </c>
      <c r="AK176" s="46" t="n">
        <f aca="false">IF(ISNUMBER(AK100),ROUND(AK174-AK159-AK100,1),"")</f>
        <v>0</v>
      </c>
      <c r="AL176" s="46" t="n">
        <f aca="false">IF(ISNUMBER(AL100),ROUND(AL174-AL159-AL100,1),"")</f>
        <v>0</v>
      </c>
      <c r="AM176" s="46" t="n">
        <f aca="false">IF(ISNUMBER(AM100),ROUND(AM174-AM159-AM100,1),"")</f>
        <v>0</v>
      </c>
      <c r="AN176" s="46" t="n">
        <f aca="false">IF(ISNUMBER(AN100),ROUND(AN174-AN159-AN100,1),"")</f>
        <v>0</v>
      </c>
      <c r="AO176" s="46" t="n">
        <f aca="false">IF(ISNUMBER(AO100),ROUND(AO174-AO159-AO100,1),"")</f>
        <v>0</v>
      </c>
      <c r="AP176" s="46" t="n">
        <f aca="false">IF(ISNUMBER(AP100),ROUND(AP174-AP159-AP100,1),"")</f>
        <v>0</v>
      </c>
      <c r="AQ176" s="46" t="n">
        <f aca="false">IF(ISNUMBER(AQ100),ROUND(AQ174-AQ159-AQ100,1),"")</f>
        <v>0</v>
      </c>
      <c r="AR176" s="46" t="n">
        <f aca="false">IF(ISNUMBER(AR100),ROUND(AR174-AR159-AR100,1),"")</f>
        <v>0</v>
      </c>
      <c r="AS176" s="46" t="n">
        <f aca="false">IF(ISNUMBER(AS100),ROUND(AS174-AS159-AS100,1),"")</f>
        <v>0</v>
      </c>
      <c r="AT176" s="46" t="n">
        <f aca="false">IF(ISNUMBER(AT100),ROUND(AT174-AT159-AT100,1),"")</f>
        <v>0</v>
      </c>
      <c r="AU176" s="46" t="n">
        <f aca="false">IF(ISNUMBER(AU100),ROUND(AU174-AU159-AU100,1),"")</f>
        <v>0</v>
      </c>
      <c r="AV176" s="46" t="n">
        <f aca="false">IF(ISNUMBER(AV100),ROUND(AV174-AV159-AV100,1),"")</f>
        <v>0</v>
      </c>
      <c r="AW176" s="46" t="n">
        <f aca="false">IF(ISNUMBER(AW100),ROUND(AW174-AW159-AW100,1),"")</f>
        <v>0</v>
      </c>
      <c r="AX176" s="46" t="n">
        <f aca="false">IF(ISNUMBER(AX100),ROUND(AX174-AX159-AX100,1),"")</f>
        <v>0</v>
      </c>
      <c r="AY176" s="46" t="n">
        <f aca="false">IF(ISNUMBER(AY100),ROUND(AY174-AY159-AY100,1),"")</f>
        <v>0</v>
      </c>
      <c r="AZ176" s="46" t="n">
        <f aca="false">IF(ISNUMBER(AZ100),ROUND(AZ174-AZ159-AZ100,1),"")</f>
        <v>0</v>
      </c>
      <c r="BA176" s="46" t="n">
        <f aca="false">IF(ISNUMBER(BA100),ROUND(BA174-BA159-BA100,1),"")</f>
        <v>0</v>
      </c>
      <c r="BB176" s="46" t="n">
        <f aca="false">IF(ISNUMBER(BB100),ROUND(BB174-BB159-BB100,1),"")</f>
        <v>0</v>
      </c>
      <c r="BC176" s="46" t="n">
        <f aca="false">IF(ISNUMBER(BC100),ROUND(BC174-BC159-BC100,1),"")</f>
        <v>0</v>
      </c>
      <c r="BD176" s="46" t="n">
        <f aca="false">IF(ISNUMBER(BD100),ROUND(BD174-BD159-BD100,1),"")</f>
        <v>0</v>
      </c>
      <c r="BE176" s="46" t="n">
        <f aca="false">IF(ISNUMBER(BE100),ROUND(BE174-BE159-BE100,1),"")</f>
        <v>0</v>
      </c>
      <c r="BF176" s="46" t="n">
        <f aca="false">IF(ISNUMBER(BF100),ROUND(BF174-BF159-BF100,1),"")</f>
        <v>0</v>
      </c>
      <c r="BG176" s="46" t="n">
        <f aca="false">IF(ISNUMBER(BG100),ROUND(BG174-BG159-BG100,1),"")</f>
        <v>0</v>
      </c>
      <c r="BH176" s="46" t="n">
        <f aca="false">IF(ISNUMBER(BH100),ROUND(BH174-BH159-BH100,1),"")</f>
        <v>0</v>
      </c>
      <c r="BI176" s="46" t="n">
        <f aca="false">IF(ISNUMBER(BI100),ROUND(BI174-BI159-BI100,1),"")</f>
        <v>0</v>
      </c>
      <c r="BJ176" s="46" t="n">
        <f aca="false">IF(ISNUMBER(BJ100),ROUND(BJ174-BJ159-BJ100,1),"")</f>
        <v>0</v>
      </c>
      <c r="BK176" s="46" t="n">
        <f aca="false">IF(ISNUMBER(BK100),ROUND(BK174-BK159-BK100,1),"")</f>
        <v>0</v>
      </c>
      <c r="BL176" s="46" t="n">
        <f aca="false">IF(ISNUMBER(BL100),ROUND(BL174-BL159-BL100,1),"")</f>
        <v>0</v>
      </c>
      <c r="BM176" s="46" t="n">
        <f aca="false">IF(ISNUMBER(BM100),ROUND(BM174-BM159-BM100,1),"")</f>
        <v>0</v>
      </c>
      <c r="BN176" s="46" t="n">
        <f aca="false">IF(ISNUMBER(BN100),ROUND(BN174-BN159-BN100,1),"")</f>
        <v>0</v>
      </c>
      <c r="BO176" s="46" t="n">
        <f aca="false">IF(ISNUMBER(BO100),ROUND(BO174-BO159-BO100,1),"")</f>
        <v>0</v>
      </c>
      <c r="BP176" s="46" t="n">
        <f aca="false">IF(ISNUMBER(BP100),ROUND(BP174-BP159-BP100,1),"")</f>
        <v>0</v>
      </c>
      <c r="BQ176" s="46" t="n">
        <f aca="false">IF(ISNUMBER(BQ100),ROUND(BQ174-BQ159-BQ100,1),"")</f>
        <v>0</v>
      </c>
      <c r="BR176" s="46" t="n">
        <f aca="false">IF(ISNUMBER(BR100),ROUND(BR174-BR159-BR100,1),"")</f>
        <v>0</v>
      </c>
      <c r="BS176" s="46" t="n">
        <f aca="false">IF(ISNUMBER(BS100),ROUND(BS174-BS159-BS100,1),"")</f>
        <v>0</v>
      </c>
      <c r="BT176" s="46" t="n">
        <f aca="false">IF(ISNUMBER(BT100),ROUND(BT174-BT159-BT100,1),"")</f>
        <v>0</v>
      </c>
      <c r="BU176" s="46" t="n">
        <f aca="false">IF(ISNUMBER(BU100),ROUND(BU174-BU159-BU100,1),"")</f>
        <v>0</v>
      </c>
      <c r="BV176" s="46" t="n">
        <f aca="false">IF(ISNUMBER(BV100),ROUND(BV174-BV159-BV100,1),"")</f>
        <v>0</v>
      </c>
      <c r="BW176" s="46" t="n">
        <f aca="false">IF(ISNUMBER(BW100),ROUND(BW174-BW159-BW100,1),"")</f>
        <v>0</v>
      </c>
      <c r="BX176" s="46" t="n">
        <f aca="false">IF(ISNUMBER(BX100),ROUND(BX174-BX159-BX100,1),"")</f>
        <v>0</v>
      </c>
      <c r="BY176" s="25" t="n">
        <f aca="false">IF(ISNUMBER(BY100),ROUND(BY174-BY159-BY100,1),"")</f>
        <v>0</v>
      </c>
      <c r="BZ176" s="25" t="n">
        <f aca="false">IF(ISNUMBER(BZ100),ROUND(BZ174-BZ159-BZ100,1),"")</f>
        <v>0</v>
      </c>
      <c r="CA176" s="25" t="n">
        <f aca="false">IF(ISNUMBER(CA100),ROUND(CA174-CA159-CA100,1),"")</f>
        <v>0</v>
      </c>
      <c r="CB176" s="25" t="n">
        <f aca="false">IF(ISNUMBER(CB100),ROUND(CB174-CB159-CB100,1),"")</f>
        <v>0</v>
      </c>
      <c r="CC176" s="25" t="n">
        <f aca="false">IF(ISNUMBER(CC100),ROUND(CC174-CC159-CC100,1),"")</f>
        <v>0</v>
      </c>
      <c r="CD176" s="25" t="n">
        <f aca="false">IF(ISNUMBER(CD100),ROUND(CD174-CD159-CD100,1),"")</f>
        <v>0</v>
      </c>
      <c r="CE176" s="25" t="n">
        <f aca="false">IF(ISNUMBER(CE100),ROUND(CE174-CE159-CE100,1),"")</f>
        <v>0</v>
      </c>
    </row>
    <row r="177" customFormat="false" ht="15" hidden="false" customHeight="false" outlineLevel="0" collapsed="false">
      <c r="B177" s="49" t="s">
        <v>365</v>
      </c>
    </row>
    <row r="178" customFormat="false" ht="15" hidden="false" customHeight="false" outlineLevel="0" collapsed="false">
      <c r="B178" s="20" t="s">
        <v>366</v>
      </c>
      <c r="C178" s="46" t="n">
        <f aca="false">-N(C100)</f>
        <v>-50.791</v>
      </c>
      <c r="D178" s="46" t="n">
        <f aca="false">-N(D100)</f>
        <v>-62.699</v>
      </c>
      <c r="E178" s="46" t="n">
        <f aca="false">-N(E100)</f>
        <v>-74.251</v>
      </c>
      <c r="F178" s="46" t="n">
        <f aca="false">-N(F100)</f>
        <v>-76.48</v>
      </c>
      <c r="G178" s="46" t="n">
        <f aca="false">-N(G100)</f>
        <v>-79.946</v>
      </c>
      <c r="H178" s="46" t="n">
        <f aca="false">-N(H100)</f>
        <v>-88.3</v>
      </c>
      <c r="I178" s="46" t="n">
        <f aca="false">-N(I100)</f>
        <v>-93.896</v>
      </c>
      <c r="J178" s="46" t="n">
        <f aca="false">-N(J100)</f>
        <v>-30.4</v>
      </c>
      <c r="K178" s="46" t="n">
        <f aca="false">-N(K100)</f>
        <v>-29.833</v>
      </c>
      <c r="L178" s="46" t="n">
        <f aca="false">-N(L100)</f>
        <v>-29.427</v>
      </c>
      <c r="M178" s="46" t="n">
        <f aca="false">-N(M100)</f>
        <v>-31.837</v>
      </c>
      <c r="N178" s="46" t="n">
        <f aca="false">-N(N100)</f>
        <v>-121.497</v>
      </c>
      <c r="O178" s="46" t="n">
        <f aca="false">-N(O100)</f>
        <v>-30.952</v>
      </c>
      <c r="P178" s="46" t="n">
        <f aca="false">-N(P100)</f>
        <v>-30.434</v>
      </c>
      <c r="Q178" s="46" t="n">
        <f aca="false">-N(Q100)</f>
        <v>-29.548</v>
      </c>
      <c r="R178" s="46" t="n">
        <f aca="false">-N(R100)</f>
        <v>-27.997</v>
      </c>
      <c r="S178" s="46" t="n">
        <f aca="false">-N(S100)</f>
        <v>-118.931</v>
      </c>
      <c r="T178" s="46" t="n">
        <f aca="false">-N(T100)</f>
        <v>-25.708</v>
      </c>
      <c r="U178" s="46" t="n">
        <f aca="false">-N(U100)</f>
        <v>-25.83</v>
      </c>
      <c r="V178" s="46" t="n">
        <f aca="false">-N(V100)</f>
        <v>-24.89</v>
      </c>
      <c r="W178" s="46" t="n">
        <f aca="false">-N(W100)</f>
        <v>-24.382</v>
      </c>
      <c r="X178" s="46" t="n">
        <f aca="false">-N(X100)</f>
        <v>-100.81</v>
      </c>
      <c r="Y178" s="46" t="n">
        <f aca="false">-N(Y100)</f>
        <v>-24.487</v>
      </c>
      <c r="Z178" s="46" t="n">
        <f aca="false">-N(Z100)</f>
        <v>-24.5</v>
      </c>
      <c r="AA178" s="46" t="n">
        <f aca="false">-N(AA100)</f>
        <v>-23.432</v>
      </c>
      <c r="AB178" s="46" t="n">
        <f aca="false">-N(AB100)</f>
        <v>-23.589</v>
      </c>
      <c r="AC178" s="46" t="n">
        <f aca="false">-N(AC100)</f>
        <v>-96.008</v>
      </c>
      <c r="AD178" s="46" t="n">
        <f aca="false">-N(AD100)</f>
        <v>-24.926</v>
      </c>
      <c r="AE178" s="46" t="n">
        <f aca="false">-N(AE100)</f>
        <v>-25.035</v>
      </c>
      <c r="AF178" s="46" t="n">
        <f aca="false">-N(AF100)</f>
        <v>-24.854</v>
      </c>
      <c r="AG178" s="46" t="n">
        <f aca="false">-N(AG100)</f>
        <v>-25.18</v>
      </c>
      <c r="AH178" s="46" t="n">
        <f aca="false">-N(AH100)</f>
        <v>-99.995</v>
      </c>
      <c r="AI178" s="46" t="n">
        <f aca="false">-N(AI100)</f>
        <v>-24.601</v>
      </c>
      <c r="AJ178" s="46" t="n">
        <f aca="false">-N(AJ100)</f>
        <v>-26.656</v>
      </c>
      <c r="AK178" s="46" t="n">
        <f aca="false">-N(AK100)</f>
        <v>-25.889</v>
      </c>
      <c r="AL178" s="46" t="n">
        <f aca="false">-N(AL100)</f>
        <v>-25.803</v>
      </c>
      <c r="AM178" s="46" t="n">
        <f aca="false">-N(AM100)</f>
        <v>-102.949</v>
      </c>
      <c r="AN178" s="46" t="n">
        <f aca="false">-N(AN100)</f>
        <v>-25.793</v>
      </c>
      <c r="AO178" s="46" t="n">
        <f aca="false">-N(AO100)</f>
        <v>-25.807</v>
      </c>
      <c r="AP178" s="46" t="n">
        <f aca="false">-N(AP100)</f>
        <v>-25.398</v>
      </c>
      <c r="AQ178" s="46" t="n">
        <f aca="false">-N(AQ100)</f>
        <v>-25.414</v>
      </c>
      <c r="AR178" s="46" t="n">
        <f aca="false">-N(AR100)</f>
        <v>-102.412</v>
      </c>
      <c r="AS178" s="46" t="n">
        <f aca="false">-N(AS100)</f>
        <v>-28.142</v>
      </c>
      <c r="AT178" s="46" t="n">
        <f aca="false">-N(AT100)</f>
        <v>-28.426</v>
      </c>
      <c r="AU178" s="46" t="n">
        <f aca="false">-N(AU100)</f>
        <v>-28.201</v>
      </c>
      <c r="AV178" s="46" t="n">
        <f aca="false">-N(AV100)</f>
        <v>-31.134</v>
      </c>
      <c r="AW178" s="46" t="n">
        <f aca="false">-N(AW100)</f>
        <v>-115.903</v>
      </c>
      <c r="AX178" s="46" t="n">
        <f aca="false">-N(AX100)</f>
        <v>-28.595</v>
      </c>
      <c r="AY178" s="46" t="n">
        <f aca="false">-N(AY100)</f>
        <v>-29.021</v>
      </c>
      <c r="AZ178" s="46" t="n">
        <f aca="false">-N(AZ100)</f>
        <v>-28.624</v>
      </c>
      <c r="BA178" s="46" t="n">
        <f aca="false">-N(BA100)</f>
        <v>-28.144</v>
      </c>
      <c r="BB178" s="46" t="n">
        <f aca="false">-N(BB100)</f>
        <v>-114.384</v>
      </c>
      <c r="BC178" s="46" t="n">
        <f aca="false">-N(BC100)</f>
        <v>-27.363</v>
      </c>
      <c r="BD178" s="46" t="n">
        <f aca="false">-N(BD100)</f>
        <v>-26.282</v>
      </c>
      <c r="BE178" s="46" t="n">
        <f aca="false">-N(BE100)</f>
        <v>-29.875</v>
      </c>
      <c r="BF178" s="46" t="n">
        <f aca="false">-N(BF100)</f>
        <v>-28.507</v>
      </c>
      <c r="BG178" s="46" t="n">
        <f aca="false">-N(BG100)</f>
        <v>-112.027</v>
      </c>
      <c r="BH178" s="46" t="n">
        <f aca="false">-N(BH100)</f>
        <v>-28.927</v>
      </c>
      <c r="BI178" s="46" t="n">
        <f aca="false">-N(BI100)</f>
        <v>-29.048</v>
      </c>
      <c r="BJ178" s="46" t="n">
        <f aca="false">-N(BJ100)</f>
        <v>-28.861</v>
      </c>
      <c r="BK178" s="46" t="n">
        <f aca="false">-N(BK100)</f>
        <v>-29.336</v>
      </c>
      <c r="BL178" s="46" t="n">
        <f aca="false">-N(BL100)</f>
        <v>-116.172</v>
      </c>
      <c r="BM178" s="46" t="n">
        <f aca="false">-N(BM100)</f>
        <v>-26.983</v>
      </c>
      <c r="BN178" s="46" t="n">
        <f aca="false">-N(BN100)</f>
        <v>-27.168</v>
      </c>
      <c r="BO178" s="46" t="n">
        <f aca="false">-N(BO100)</f>
        <v>-26.693</v>
      </c>
      <c r="BP178" s="46" t="n">
        <f aca="false">-N(BP100)</f>
        <v>-26.823</v>
      </c>
      <c r="BQ178" s="46" t="n">
        <f aca="false">-N(BQ100)</f>
        <v>-107.667</v>
      </c>
      <c r="BR178" s="46" t="n">
        <f aca="false">-N(BR100)</f>
        <v>-30.821</v>
      </c>
      <c r="BS178" s="46" t="n">
        <f aca="false">-N(BS100)</f>
        <v>-31.307</v>
      </c>
      <c r="BT178" s="46" t="n">
        <f aca="false">-N(BT100)</f>
        <v>-31.191</v>
      </c>
      <c r="BU178" s="46" t="n">
        <f aca="false">-N(BU100)</f>
        <v>-31.498</v>
      </c>
      <c r="BV178" s="46" t="n">
        <f aca="false">-N(BV100)</f>
        <v>-124.817</v>
      </c>
      <c r="BW178" s="46" t="n">
        <f aca="false">-N(BW100)</f>
        <v>-28.365</v>
      </c>
      <c r="BX178" s="46" t="n">
        <f aca="false">-N(BX100)</f>
        <v>-28.37</v>
      </c>
      <c r="BY178" s="25" t="n">
        <f aca="false">-N(BY100)</f>
        <v>-29.1824311412887</v>
      </c>
      <c r="BZ178" s="25" t="n">
        <f aca="false">-N(BZ100)</f>
        <v>-29.5146816899494</v>
      </c>
      <c r="CA178" s="25" t="n">
        <f aca="false">-N(CA100)</f>
        <v>-115.432112831238</v>
      </c>
      <c r="CB178" s="25" t="n">
        <f aca="false">-N(CB100)</f>
        <v>-127.7888</v>
      </c>
      <c r="CC178" s="25" t="n">
        <f aca="false">-N(CC100)</f>
        <v>-137.9898672</v>
      </c>
      <c r="CD178" s="25" t="n">
        <f aca="false">-N(CD100)</f>
        <v>-154.336368752</v>
      </c>
      <c r="CE178" s="25" t="n">
        <f aca="false">-N(CE100)</f>
        <v>-170.16031002432</v>
      </c>
    </row>
    <row r="179" customFormat="false" ht="15" hidden="false" customHeight="false" outlineLevel="0" collapsed="false">
      <c r="B179" s="15" t="s">
        <v>367</v>
      </c>
      <c r="C179" s="31" t="n">
        <f aca="false">C174+C178</f>
        <v>140.628</v>
      </c>
      <c r="D179" s="31" t="n">
        <f aca="false">D174+D178</f>
        <v>179.184</v>
      </c>
      <c r="E179" s="31" t="n">
        <f aca="false">E174+E178</f>
        <v>199.182</v>
      </c>
      <c r="F179" s="31" t="n">
        <f aca="false">F174+F178</f>
        <v>169.319</v>
      </c>
      <c r="G179" s="31" t="n">
        <f aca="false">G174+G178</f>
        <v>179.823</v>
      </c>
      <c r="H179" s="31" t="n">
        <f aca="false">H174+H178</f>
        <v>204.956</v>
      </c>
      <c r="I179" s="31" t="n">
        <f aca="false">I174+I178</f>
        <v>201.448</v>
      </c>
      <c r="J179" s="31" t="n">
        <f aca="false">J174+J178</f>
        <v>38.026</v>
      </c>
      <c r="K179" s="31" t="n">
        <f aca="false">K174+K178</f>
        <v>57.788</v>
      </c>
      <c r="L179" s="31" t="n">
        <f aca="false">L174+L178</f>
        <v>62.887</v>
      </c>
      <c r="M179" s="31" t="n">
        <f aca="false">M174+M178</f>
        <v>74.918</v>
      </c>
      <c r="N179" s="31" t="n">
        <f aca="false">N174+N178</f>
        <v>233.619</v>
      </c>
      <c r="O179" s="31" t="n">
        <f aca="false">O174+O178</f>
        <v>59.1010000000001</v>
      </c>
      <c r="P179" s="31" t="n">
        <f aca="false">P174+P178</f>
        <v>76.65</v>
      </c>
      <c r="Q179" s="31" t="n">
        <f aca="false">Q174+Q178</f>
        <v>74.1400000000001</v>
      </c>
      <c r="R179" s="31" t="n">
        <f aca="false">R174+R178</f>
        <v>74.931</v>
      </c>
      <c r="S179" s="31" t="n">
        <f aca="false">S174+S178</f>
        <v>282.373</v>
      </c>
      <c r="T179" s="31" t="n">
        <f aca="false">T174+T178</f>
        <v>72.835</v>
      </c>
      <c r="U179" s="31" t="n">
        <f aca="false">U174+U178</f>
        <v>65.442</v>
      </c>
      <c r="V179" s="31" t="n">
        <f aca="false">V174+V178</f>
        <v>63.8129999999999</v>
      </c>
      <c r="W179" s="31" t="n">
        <f aca="false">W174+W178</f>
        <v>108.527</v>
      </c>
      <c r="X179" s="31" t="n">
        <f aca="false">X174+X178</f>
        <v>291</v>
      </c>
      <c r="Y179" s="31" t="n">
        <f aca="false">Y174+Y178</f>
        <v>57.263</v>
      </c>
      <c r="Z179" s="31" t="n">
        <f aca="false">Z174+Z178</f>
        <v>68.089</v>
      </c>
      <c r="AA179" s="31" t="n">
        <f aca="false">AA174+AA178</f>
        <v>76.573</v>
      </c>
      <c r="AB179" s="31" t="n">
        <f aca="false">AB174+AB178</f>
        <v>106.173</v>
      </c>
      <c r="AC179" s="31" t="n">
        <f aca="false">AC174+AC178</f>
        <v>308.098</v>
      </c>
      <c r="AD179" s="31" t="n">
        <f aca="false">AD174+AD178</f>
        <v>51.227</v>
      </c>
      <c r="AE179" s="31" t="n">
        <f aca="false">AE174+AE178</f>
        <v>83.271</v>
      </c>
      <c r="AF179" s="31" t="n">
        <f aca="false">AF174+AF178</f>
        <v>96.55</v>
      </c>
      <c r="AG179" s="31" t="n">
        <f aca="false">AG174+AG178</f>
        <v>108.695</v>
      </c>
      <c r="AH179" s="31" t="n">
        <f aca="false">AH174+AH178</f>
        <v>339.743</v>
      </c>
      <c r="AI179" s="31" t="n">
        <f aca="false">AI174+AI178</f>
        <v>64.498</v>
      </c>
      <c r="AJ179" s="31" t="n">
        <f aca="false">AJ174+AJ178</f>
        <v>109.1</v>
      </c>
      <c r="AK179" s="31" t="n">
        <f aca="false">AK174+AK178</f>
        <v>98.3</v>
      </c>
      <c r="AL179" s="31" t="n">
        <f aca="false">AL174+AL178</f>
        <v>110.4</v>
      </c>
      <c r="AM179" s="31" t="n">
        <f aca="false">AM174+AM178</f>
        <v>382</v>
      </c>
      <c r="AN179" s="31" t="n">
        <f aca="false">AN174+AN178</f>
        <v>72.5</v>
      </c>
      <c r="AO179" s="31" t="n">
        <f aca="false">AO174+AO178</f>
        <v>107.7</v>
      </c>
      <c r="AP179" s="31" t="n">
        <f aca="false">AP174+AP178</f>
        <v>107.2</v>
      </c>
      <c r="AQ179" s="31" t="n">
        <f aca="false">AQ174+AQ178</f>
        <v>123.2</v>
      </c>
      <c r="AR179" s="31" t="n">
        <f aca="false">AR174+AR178</f>
        <v>411</v>
      </c>
      <c r="AS179" s="31" t="n">
        <f aca="false">AS174+AS178</f>
        <v>80</v>
      </c>
      <c r="AT179" s="31" t="n">
        <f aca="false">AT174+AT178</f>
        <v>78.5</v>
      </c>
      <c r="AU179" s="31" t="n">
        <f aca="false">AU174+AU178</f>
        <v>99.9</v>
      </c>
      <c r="AV179" s="31" t="n">
        <f aca="false">AV174+AV178</f>
        <v>132.8</v>
      </c>
      <c r="AW179" s="31" t="n">
        <f aca="false">AW174+AW178</f>
        <v>391</v>
      </c>
      <c r="AX179" s="31" t="n">
        <f aca="false">AX174+AX178</f>
        <v>88.7999999999999</v>
      </c>
      <c r="AY179" s="31" t="n">
        <f aca="false">AY174+AY178</f>
        <v>95</v>
      </c>
      <c r="AZ179" s="31" t="n">
        <f aca="false">AZ174+AZ178</f>
        <v>107.5</v>
      </c>
      <c r="BA179" s="31" t="n">
        <f aca="false">BA174+BA178</f>
        <v>129.08</v>
      </c>
      <c r="BB179" s="31" t="n">
        <f aca="false">BB174+BB178</f>
        <v>420.423</v>
      </c>
      <c r="BC179" s="31" t="n">
        <f aca="false">BC174+BC178</f>
        <v>70.813</v>
      </c>
      <c r="BD179" s="31" t="n">
        <f aca="false">BD174+BD178</f>
        <v>98.105</v>
      </c>
      <c r="BE179" s="31" t="n">
        <f aca="false">BE174+BE178</f>
        <v>114.488</v>
      </c>
      <c r="BF179" s="31" t="n">
        <f aca="false">BF174+BF178</f>
        <v>159.672</v>
      </c>
      <c r="BG179" s="31" t="n">
        <f aca="false">BG174+BG178</f>
        <v>443.078001</v>
      </c>
      <c r="BH179" s="31" t="n">
        <f aca="false">BH174+BH178</f>
        <v>81.291</v>
      </c>
      <c r="BI179" s="31" t="n">
        <f aca="false">BI174+BI178</f>
        <v>115.434</v>
      </c>
      <c r="BJ179" s="31" t="n">
        <f aca="false">BJ174+BJ178</f>
        <v>133.852</v>
      </c>
      <c r="BK179" s="31" t="n">
        <f aca="false">BK174+BK178</f>
        <v>163.222</v>
      </c>
      <c r="BL179" s="31" t="n">
        <f aca="false">BL174+BL178</f>
        <v>493.8</v>
      </c>
      <c r="BM179" s="31" t="n">
        <f aca="false">BM174+BM178</f>
        <v>99.961</v>
      </c>
      <c r="BN179" s="31" t="n">
        <f aca="false">BN174+BN178</f>
        <v>133.345</v>
      </c>
      <c r="BO179" s="31" t="n">
        <f aca="false">BO174+BO178</f>
        <v>149.067</v>
      </c>
      <c r="BP179" s="31" t="n">
        <f aca="false">BP174+BP178</f>
        <v>163.493</v>
      </c>
      <c r="BQ179" s="31" t="n">
        <f aca="false">BQ174+BQ178</f>
        <v>545.866</v>
      </c>
      <c r="BR179" s="31" t="n">
        <f aca="false">BR174+BR178</f>
        <v>134.01</v>
      </c>
      <c r="BS179" s="31" t="n">
        <f aca="false">BS174+BS178</f>
        <v>160.042</v>
      </c>
      <c r="BT179" s="31" t="n">
        <f aca="false">BT174+BT178</f>
        <v>170.373</v>
      </c>
      <c r="BU179" s="31" t="n">
        <f aca="false">BU174+BU178</f>
        <v>186.57</v>
      </c>
      <c r="BV179" s="31" t="n">
        <f aca="false">BV174+BV178</f>
        <v>650.994</v>
      </c>
      <c r="BW179" s="31" t="n">
        <f aca="false">BW174+BW178</f>
        <v>160.419</v>
      </c>
      <c r="BX179" s="31" t="n">
        <f aca="false">BX174+BX178</f>
        <v>179.208</v>
      </c>
      <c r="BY179" s="17" t="n">
        <f aca="false">BY174+BY178</f>
        <v>185.811190559161</v>
      </c>
      <c r="BZ179" s="17" t="n">
        <f aca="false">BZ174+BZ178</f>
        <v>202.561809440839</v>
      </c>
      <c r="CA179" s="17" t="n">
        <f aca="false">CA174+CA178</f>
        <v>728</v>
      </c>
      <c r="CB179" s="17" t="n">
        <f aca="false">CB174+CB178</f>
        <v>809.7922</v>
      </c>
      <c r="CC179" s="17" t="n">
        <f aca="false">CC174+CC178</f>
        <v>898.8683313</v>
      </c>
      <c r="CD179" s="17" t="n">
        <f aca="false">CD174+CD178</f>
        <v>986.510197833</v>
      </c>
      <c r="CE179" s="17" t="n">
        <f aca="false">CE174+CE178</f>
        <v>1079.48494832178</v>
      </c>
    </row>
    <row r="180" customFormat="false" ht="15" hidden="false" customHeight="false" outlineLevel="0" collapsed="false">
      <c r="B180" s="20" t="s">
        <v>368</v>
      </c>
      <c r="C180" s="27" t="n">
        <f aca="false">IF(AND(ISNUMBER(C179),ISNUMBER(C114)),IFERROR(C179/C114,""),"")</f>
        <v>0.109680966809785</v>
      </c>
      <c r="D180" s="27" t="n">
        <f aca="false">IF(AND(ISNUMBER(D179),ISNUMBER(D114)),IFERROR(D179/D114,""),"")</f>
        <v>0.112543997829315</v>
      </c>
      <c r="E180" s="27" t="n">
        <f aca="false">IF(AND(ISNUMBER(E179),ISNUMBER(E114)),IFERROR(E179/E114,""),"")</f>
        <v>0.108834296829751</v>
      </c>
      <c r="F180" s="27" t="n">
        <f aca="false">IF(AND(ISNUMBER(F179),ISNUMBER(F114)),IFERROR(F179/F114,""),"")</f>
        <v>0.0935624333449375</v>
      </c>
      <c r="G180" s="27" t="n">
        <f aca="false">IF(AND(ISNUMBER(G179),ISNUMBER(G114)),IFERROR(G179/G114,""),"")</f>
        <v>0.0949869370049875</v>
      </c>
      <c r="H180" s="27" t="n">
        <f aca="false">IF(AND(ISNUMBER(H179),ISNUMBER(H114)),IFERROR(H179/H114,""),"")</f>
        <v>0.0997775213837489</v>
      </c>
      <c r="I180" s="27" t="n">
        <f aca="false">IF(AND(ISNUMBER(I179),ISNUMBER(I114)),IFERROR(I179/I114,""),"")</f>
        <v>0.096032065351077</v>
      </c>
      <c r="J180" s="27" t="n">
        <f aca="false">IF(AND(ISNUMBER(J179),ISNUMBER(J114)),IFERROR(J179/J114,""),"")</f>
        <v>0.0641586537244785</v>
      </c>
      <c r="K180" s="27" t="n">
        <f aca="false">IF(AND(ISNUMBER(K179),ISNUMBER(K114)),IFERROR(K179/K114,""),"")</f>
        <v>0.093555473888879</v>
      </c>
      <c r="L180" s="27" t="n">
        <f aca="false">IF(AND(ISNUMBER(L179),ISNUMBER(L114)),IFERROR(L179/L114,""),"")</f>
        <v>0.104695280413274</v>
      </c>
      <c r="M180" s="27" t="n">
        <f aca="false">IF(AND(ISNUMBER(M179),ISNUMBER(M114)),IFERROR(M179/M114,""),"")</f>
        <v>0.107067011561602</v>
      </c>
      <c r="N180" s="27" t="n">
        <f aca="false">IF(AND(ISNUMBER(N179),ISNUMBER(N114)),IFERROR(N179/N114,""),"")</f>
        <v>0.0930467175222272</v>
      </c>
      <c r="O180" s="27" t="n">
        <f aca="false">IF(AND(ISNUMBER(O179),ISNUMBER(O114)),IFERROR(O179/O114,""),"")</f>
        <v>0.0921420241591989</v>
      </c>
      <c r="P180" s="27" t="n">
        <f aca="false">IF(AND(ISNUMBER(P179),ISNUMBER(P114)),IFERROR(P179/P114,""),"")</f>
        <v>0.117479906567839</v>
      </c>
      <c r="Q180" s="27" t="n">
        <f aca="false">IF(AND(ISNUMBER(Q179),ISNUMBER(Q114)),IFERROR(Q179/Q114,""),"")</f>
        <v>0.132512591734675</v>
      </c>
      <c r="R180" s="27" t="n">
        <f aca="false">IF(AND(ISNUMBER(R179),ISNUMBER(R114)),IFERROR(R179/R114,""),"")</f>
        <v>0.130864184594105</v>
      </c>
      <c r="S180" s="27" t="n">
        <f aca="false">IF(AND(ISNUMBER(S179),ISNUMBER(S114)),IFERROR(S179/S114,""),"")</f>
        <v>0.125883699801081</v>
      </c>
      <c r="T180" s="27" t="n">
        <f aca="false">IF(AND(ISNUMBER(T179),ISNUMBER(T114)),IFERROR(T179/T114,""),"")</f>
        <v>0.133348834399184</v>
      </c>
      <c r="U180" s="27" t="n">
        <f aca="false">IF(AND(ISNUMBER(U179),ISNUMBER(U114)),IFERROR(U179/U114,""),"")</f>
        <v>0.120034336401354</v>
      </c>
      <c r="V180" s="27" t="n">
        <f aca="false">IF(AND(ISNUMBER(V179),ISNUMBER(V114)),IFERROR(V179/V114,""),"")</f>
        <v>0.121424833740854</v>
      </c>
      <c r="W180" s="27" t="n">
        <f aca="false">IF(AND(ISNUMBER(W179),ISNUMBER(W114)),IFERROR(W179/W114,""),"")</f>
        <v>0.184333041757607</v>
      </c>
      <c r="X180" s="27" t="n">
        <f aca="false">IF(AND(ISNUMBER(X179),ISNUMBER(X114)),IFERROR(X179/X114,""),"")</f>
        <v>0.131931923127666</v>
      </c>
      <c r="Y180" s="27" t="n">
        <f aca="false">IF(AND(ISNUMBER(Y179),ISNUMBER(Y114)),IFERROR(Y179/Y114,""),"")</f>
        <v>0.113728309636212</v>
      </c>
      <c r="Z180" s="27" t="n">
        <f aca="false">IF(AND(ISNUMBER(Z179),ISNUMBER(Z114)),IFERROR(Z179/Z114,""),"")</f>
        <v>0.127802825255365</v>
      </c>
      <c r="AA180" s="27" t="n">
        <f aca="false">IF(AND(ISNUMBER(AA179),ISNUMBER(AA114)),IFERROR(AA179/AA114,""),"")</f>
        <v>0.151004157036593</v>
      </c>
      <c r="AB180" s="27" t="n">
        <f aca="false">IF(AND(ISNUMBER(AB179),ISNUMBER(AB114)),IFERROR(AB179/AB114,""),"")</f>
        <v>0.187728753142869</v>
      </c>
      <c r="AC180" s="27" t="n">
        <f aca="false">IF(AND(ISNUMBER(AC179),ISNUMBER(AC114)),IFERROR(AC179/AC114,""),"")</f>
        <v>0.146092024822054</v>
      </c>
      <c r="AD180" s="27" t="n">
        <f aca="false">IF(AND(ISNUMBER(AD179),ISNUMBER(AD114)),IFERROR(AD179/AD114,""),"")</f>
        <v>0.0978378161580318</v>
      </c>
      <c r="AE180" s="27" t="n">
        <f aca="false">IF(AND(ISNUMBER(AE179),ISNUMBER(AE114)),IFERROR(AE179/AE114,""),"")</f>
        <v>0.146693490565539</v>
      </c>
      <c r="AF180" s="27" t="n">
        <f aca="false">IF(AND(ISNUMBER(AF179),ISNUMBER(AF114)),IFERROR(AF179/AF114,""),"")</f>
        <v>0.170012026744098</v>
      </c>
      <c r="AG180" s="27" t="n">
        <f aca="false">IF(AND(ISNUMBER(AG179),ISNUMBER(AG114)),IFERROR(AG179/AG114,""),"")</f>
        <v>0.17764075040735</v>
      </c>
      <c r="AH180" s="27" t="n">
        <f aca="false">IF(AND(ISNUMBER(AH179),ISNUMBER(AH114)),IFERROR(AH179/AH114,""),"")</f>
        <v>0.149598903755395</v>
      </c>
      <c r="AI180" s="27" t="n">
        <f aca="false">IF(AND(ISNUMBER(AI179),ISNUMBER(AI114)),IFERROR(AI179/AI114,""),"")</f>
        <v>0.117799832700786</v>
      </c>
      <c r="AJ180" s="27" t="n">
        <f aca="false">IF(AND(ISNUMBER(AJ179),ISNUMBER(AJ114)),IFERROR(AJ179/AJ114,""),"")</f>
        <v>0.175883204524277</v>
      </c>
      <c r="AK180" s="27" t="n">
        <f aca="false">IF(AND(ISNUMBER(AK179),ISNUMBER(AK114)),IFERROR(AK179/AK114,""),"")</f>
        <v>0.165101034106884</v>
      </c>
      <c r="AL180" s="27" t="n">
        <f aca="false">IF(AND(ISNUMBER(AL179),ISNUMBER(AL114)),IFERROR(AL179/AL114,""),"")</f>
        <v>0.170206992670616</v>
      </c>
      <c r="AM180" s="27" t="n">
        <f aca="false">IF(AND(ISNUMBER(AM179),ISNUMBER(AM114)),IFERROR(AM179/AM114,""),"")</f>
        <v>0.158385627540856</v>
      </c>
      <c r="AN180" s="27" t="n">
        <f aca="false">IF(AND(ISNUMBER(AN179),ISNUMBER(AN114)),IFERROR(AN179/AN114,""),"")</f>
        <v>0.125364421404289</v>
      </c>
      <c r="AO180" s="27" t="n">
        <f aca="false">IF(AND(ISNUMBER(AO179),ISNUMBER(AO114)),IFERROR(AO179/AO114,""),"")</f>
        <v>0.168545655997847</v>
      </c>
      <c r="AP180" s="27" t="n">
        <f aca="false">IF(AND(ISNUMBER(AP179),ISNUMBER(AP114)),IFERROR(AP179/AP114,""),"")</f>
        <v>0.174342961228207</v>
      </c>
      <c r="AQ180" s="27" t="n">
        <f aca="false">IF(AND(ISNUMBER(AQ179),ISNUMBER(AQ114)),IFERROR(AQ179/AQ114,""),"")</f>
        <v>0.187870460877349</v>
      </c>
      <c r="AR180" s="27" t="n">
        <f aca="false">IF(AND(ISNUMBER(AR179),ISNUMBER(AR114)),IFERROR(AR179/AR114,""),"")</f>
        <v>0.16519551552456</v>
      </c>
      <c r="AS180" s="27" t="n">
        <f aca="false">IF(AND(ISNUMBER(AS179),ISNUMBER(AS114)),IFERROR(AS179/AS114,""),"")</f>
        <v>0.133060337873463</v>
      </c>
      <c r="AT180" s="27" t="n">
        <f aca="false">IF(AND(ISNUMBER(AT179),ISNUMBER(AT114)),IFERROR(AT179/AT114,""),"")</f>
        <v>0.142715077075232</v>
      </c>
      <c r="AU180" s="27" t="n">
        <f aca="false">IF(AND(ISNUMBER(AU179),ISNUMBER(AU114)),IFERROR(AU179/AU114,""),"")</f>
        <v>0.174768287690644</v>
      </c>
      <c r="AV180" s="27" t="n">
        <f aca="false">IF(AND(ISNUMBER(AV179),ISNUMBER(AV114)),IFERROR(AV179/AV114,""),"")</f>
        <v>0.198670344860602</v>
      </c>
      <c r="AW180" s="27" t="n">
        <f aca="false">IF(AND(ISNUMBER(AW179),ISNUMBER(AW114)),IFERROR(AW179/AW114,""),"")</f>
        <v>0.163506926671952</v>
      </c>
      <c r="AX180" s="27" t="n">
        <f aca="false">IF(AND(ISNUMBER(AX179),ISNUMBER(AX114)),IFERROR(AX179/AX114,""),"")</f>
        <v>0.148729020080092</v>
      </c>
      <c r="AY180" s="27" t="n">
        <f aca="false">IF(AND(ISNUMBER(AY179),ISNUMBER(AY114)),IFERROR(AY179/AY114,""),"")</f>
        <v>0.152857223308313</v>
      </c>
      <c r="AZ180" s="27" t="n">
        <f aca="false">IF(AND(ISNUMBER(AZ179),ISNUMBER(AZ114)),IFERROR(AZ179/AZ114,""),"")</f>
        <v>0.173214161989884</v>
      </c>
      <c r="BA180" s="27" t="n">
        <f aca="false">IF(AND(ISNUMBER(BA179),ISNUMBER(BA114)),IFERROR(BA179/BA114,""),"")</f>
        <v>0.193593477693556</v>
      </c>
      <c r="BB180" s="27" t="n">
        <f aca="false">IF(AND(ISNUMBER(BB179),ISNUMBER(BB114)),IFERROR(BB179/BB114,""),"")</f>
        <v>0.16777117965339</v>
      </c>
      <c r="BC180" s="27" t="n">
        <f aca="false">IF(AND(ISNUMBER(BC179),ISNUMBER(BC114)),IFERROR(BC179/BC114,""),"")</f>
        <v>0.126573612816622</v>
      </c>
      <c r="BD180" s="27" t="n">
        <f aca="false">IF(AND(ISNUMBER(BD179),ISNUMBER(BD114)),IFERROR(BD179/BD114,""),"")</f>
        <v>0.160997576133531</v>
      </c>
      <c r="BE180" s="27" t="n">
        <f aca="false">IF(AND(ISNUMBER(BE179),ISNUMBER(BE114)),IFERROR(BE179/BE114,""),"")</f>
        <v>0.181570775618436</v>
      </c>
      <c r="BF180" s="27" t="n">
        <f aca="false">IF(AND(ISNUMBER(BF179),ISNUMBER(BF114)),IFERROR(BF179/BF114,""),"")</f>
        <v>0.210742214567124</v>
      </c>
      <c r="BG180" s="27" t="n">
        <f aca="false">IF(AND(ISNUMBER(BG179),ISNUMBER(BG114)),IFERROR(BG179/BG114,""),"")</f>
        <v>0.173278712957441</v>
      </c>
      <c r="BH180" s="27" t="n">
        <f aca="false">IF(AND(ISNUMBER(BH179),ISNUMBER(BH114)),IFERROR(BH179/BH114,""),"")</f>
        <v>0.128857432710903</v>
      </c>
      <c r="BI180" s="27" t="n">
        <f aca="false">IF(AND(ISNUMBER(BI179),ISNUMBER(BI114)),IFERROR(BI179/BI114,""),"")</f>
        <v>0.163876569429696</v>
      </c>
      <c r="BJ180" s="27" t="n">
        <f aca="false">IF(AND(ISNUMBER(BJ179),ISNUMBER(BJ114)),IFERROR(BJ179/BJ114,""),"")</f>
        <v>0.184795244130405</v>
      </c>
      <c r="BK180" s="27" t="n">
        <f aca="false">IF(AND(ISNUMBER(BK179),ISNUMBER(BK114)),IFERROR(BK179/BK114,""),"")</f>
        <v>0.207716810195077</v>
      </c>
      <c r="BL180" s="27" t="n">
        <f aca="false">IF(AND(ISNUMBER(BL179),ISNUMBER(BL114)),IFERROR(BL179/BL114,""),"")</f>
        <v>0.17354490957776</v>
      </c>
      <c r="BM180" s="27" t="n">
        <f aca="false">IF(AND(ISNUMBER(BM179),ISNUMBER(BM114)),IFERROR(BM179/BM114,""),"")</f>
        <v>0.140164926307583</v>
      </c>
      <c r="BN180" s="27" t="n">
        <f aca="false">IF(AND(ISNUMBER(BN179),ISNUMBER(BN114)),IFERROR(BN179/BN114,""),"")</f>
        <v>0.169911479616866</v>
      </c>
      <c r="BO180" s="27" t="n">
        <f aca="false">IF(AND(ISNUMBER(BO179),ISNUMBER(BO114)),IFERROR(BO179/BO114,""),"")</f>
        <v>0.186586107710679</v>
      </c>
      <c r="BP180" s="27" t="n">
        <f aca="false">IF(AND(ISNUMBER(BP179),ISNUMBER(BP114)),IFERROR(BP179/BP114,""),"")</f>
        <v>0.198338495207524</v>
      </c>
      <c r="BQ180" s="27" t="n">
        <f aca="false">IF(AND(ISNUMBER(BQ179),ISNUMBER(BQ114)),IFERROR(BQ179/BQ114,""),"")</f>
        <v>0.174890402343466</v>
      </c>
      <c r="BR180" s="27" t="n">
        <f aca="false">IF(AND(ISNUMBER(BR179),ISNUMBER(BR114)),IFERROR(BR179/BR114,""),"")</f>
        <v>0.166338772039794</v>
      </c>
      <c r="BS180" s="27" t="n">
        <f aca="false">IF(AND(ISNUMBER(BS179),ISNUMBER(BS114)),IFERROR(BS179/BS114,""),"")</f>
        <v>0.182576296864162</v>
      </c>
      <c r="BT180" s="27" t="n">
        <f aca="false">IF(AND(ISNUMBER(BT179),ISNUMBER(BT114)),IFERROR(BT179/BT114,""),"")</f>
        <v>0.19601804019927</v>
      </c>
      <c r="BU180" s="27" t="n">
        <f aca="false">IF(AND(ISNUMBER(BU179),ISNUMBER(BU114)),IFERROR(BU179/BU114,""),"")</f>
        <v>0.197015568422175</v>
      </c>
      <c r="BV180" s="27" t="n">
        <f aca="false">IF(AND(ISNUMBER(BV179),ISNUMBER(BV114)),IFERROR(BV179/BV114,""),"")</f>
        <v>0.186084841749248</v>
      </c>
      <c r="BW180" s="27" t="n">
        <f aca="false">IF(AND(ISNUMBER(BW179),ISNUMBER(BW114)),IFERROR(BW179/BW114,""),"")</f>
        <v>0.175573254298244</v>
      </c>
      <c r="BX180" s="27" t="n">
        <f aca="false">IF(AND(ISNUMBER(BX179),ISNUMBER(BX114)),IFERROR(BX179/BX114,""),"")</f>
        <v>0.193946372758677</v>
      </c>
      <c r="BY180" s="22" t="n">
        <f aca="false">IFERROR(BY179/BY114,"")</f>
        <v>0.198835614023458</v>
      </c>
      <c r="BZ180" s="22" t="n">
        <f aca="false">IFERROR(BZ179/BZ114,"")</f>
        <v>0.198919889819169</v>
      </c>
      <c r="CA180" s="22" t="n">
        <f aca="false">IFERROR(CA179/CA114,"")</f>
        <v>0.192059095106187</v>
      </c>
      <c r="CB180" s="22" t="n">
        <f aca="false">IFERROR(CB179/CB114,"")</f>
        <v>0.196943479741233</v>
      </c>
      <c r="CC180" s="22" t="n">
        <f aca="false">IFERROR(CC179/CC114,"")</f>
        <v>0.200054525915163</v>
      </c>
      <c r="CD180" s="22" t="n">
        <f aca="false">IFERROR(CD179/CD114,"")</f>
        <v>0.202279716705898</v>
      </c>
      <c r="CE180" s="22" t="n">
        <f aca="false">IFERROR(CE179/CE114,"")</f>
        <v>0.204302660397684</v>
      </c>
    </row>
    <row r="182" customFormat="false" ht="15" hidden="false" customHeight="false" outlineLevel="0" collapsed="false">
      <c r="B182" s="8" t="s">
        <v>369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8" t="s">
        <v>370</v>
      </c>
    </row>
    <row r="183" customFormat="false" ht="15" hidden="false" customHeight="false" outlineLevel="0" collapsed="false">
      <c r="B183" s="15" t="s">
        <v>353</v>
      </c>
      <c r="C183" s="31" t="n">
        <f aca="false">C136</f>
        <v>80.5689999999999</v>
      </c>
      <c r="D183" s="31" t="n">
        <f aca="false">D136</f>
        <v>104.328</v>
      </c>
      <c r="E183" s="31" t="n">
        <f aca="false">E136</f>
        <v>111.09</v>
      </c>
      <c r="F183" s="31" t="n">
        <f aca="false">F136</f>
        <v>95.221</v>
      </c>
      <c r="G183" s="31" t="n">
        <f aca="false">G136</f>
        <v>106.598</v>
      </c>
      <c r="H183" s="31" t="n">
        <f aca="false">H136</f>
        <v>130.423</v>
      </c>
      <c r="I183" s="31" t="n">
        <f aca="false">I136</f>
        <v>92.2889999999999</v>
      </c>
      <c r="J183" s="31" t="n">
        <f aca="false">J136</f>
        <v>20.943</v>
      </c>
      <c r="K183" s="31" t="n">
        <f aca="false">K136</f>
        <v>33.37</v>
      </c>
      <c r="L183" s="31" t="n">
        <f aca="false">L136</f>
        <v>36.3610000000001</v>
      </c>
      <c r="M183" s="31" t="n">
        <f aca="false">M136</f>
        <v>47.307</v>
      </c>
      <c r="N183" s="31" t="n">
        <f aca="false">N136</f>
        <v>137.981</v>
      </c>
      <c r="O183" s="31" t="n">
        <f aca="false">O136</f>
        <v>35.1640000000001</v>
      </c>
      <c r="P183" s="31" t="n">
        <f aca="false">P136</f>
        <v>45.809</v>
      </c>
      <c r="Q183" s="31" t="n">
        <f aca="false">Q136</f>
        <v>44.3100000000001</v>
      </c>
      <c r="R183" s="31" t="n">
        <f aca="false">R136</f>
        <v>46.132</v>
      </c>
      <c r="S183" s="31" t="n">
        <f aca="false">S136</f>
        <v>169.949</v>
      </c>
      <c r="T183" s="31" t="n">
        <f aca="false">T136</f>
        <v>43.223</v>
      </c>
      <c r="U183" s="31" t="n">
        <f aca="false">U136</f>
        <v>40.121</v>
      </c>
      <c r="V183" s="31" t="n">
        <f aca="false">V136</f>
        <v>38.1419999999999</v>
      </c>
      <c r="W183" s="31" t="n">
        <f aca="false">W136</f>
        <v>70.762</v>
      </c>
      <c r="X183" s="31" t="n">
        <f aca="false">X136</f>
        <v>192.248</v>
      </c>
      <c r="Y183" s="31" t="n">
        <f aca="false">Y136</f>
        <v>32.819</v>
      </c>
      <c r="Z183" s="31" t="n">
        <f aca="false">Z136</f>
        <v>39.963</v>
      </c>
      <c r="AA183" s="31" t="n">
        <f aca="false">AA136</f>
        <v>45.932</v>
      </c>
      <c r="AB183" s="31" t="n">
        <f aca="false">AB136</f>
        <v>70.668</v>
      </c>
      <c r="AC183" s="31" t="n">
        <f aca="false">AC136</f>
        <v>189.382</v>
      </c>
      <c r="AD183" s="31" t="n">
        <f aca="false">AD136</f>
        <v>32.547</v>
      </c>
      <c r="AE183" s="31" t="n">
        <f aca="false">AE136</f>
        <v>50.65</v>
      </c>
      <c r="AF183" s="31" t="n">
        <f aca="false">AF136</f>
        <v>63.944</v>
      </c>
      <c r="AG183" s="31" t="n">
        <f aca="false">AG136</f>
        <v>67.75</v>
      </c>
      <c r="AH183" s="31" t="n">
        <f aca="false">AH136</f>
        <v>214.891</v>
      </c>
      <c r="AI183" s="31" t="n">
        <f aca="false">AI136</f>
        <v>43.643</v>
      </c>
      <c r="AJ183" s="31" t="n">
        <f aca="false">AJ136</f>
        <v>74.788</v>
      </c>
      <c r="AK183" s="31" t="n">
        <f aca="false">AK136</f>
        <v>74.4830000000001</v>
      </c>
      <c r="AL183" s="31" t="n">
        <f aca="false">AL136</f>
        <v>82.835</v>
      </c>
      <c r="AM183" s="31" t="n">
        <f aca="false">AM136</f>
        <v>275.749</v>
      </c>
      <c r="AN183" s="31" t="n">
        <f aca="false">AN136</f>
        <v>55.593</v>
      </c>
      <c r="AO183" s="31" t="n">
        <f aca="false">AO136</f>
        <v>80.072</v>
      </c>
      <c r="AP183" s="31" t="n">
        <f aca="false">AP136</f>
        <v>82.51</v>
      </c>
      <c r="AQ183" s="31" t="n">
        <f aca="false">AQ136</f>
        <v>89.408</v>
      </c>
      <c r="AR183" s="31" t="n">
        <f aca="false">AR136</f>
        <v>307.583</v>
      </c>
      <c r="AS183" s="31" t="n">
        <f aca="false">AS136</f>
        <v>51.761</v>
      </c>
      <c r="AT183" s="31" t="n">
        <f aca="false">AT136</f>
        <v>31.018</v>
      </c>
      <c r="AU183" s="31" t="n">
        <f aca="false">AU136</f>
        <v>64.62</v>
      </c>
      <c r="AV183" s="31" t="n">
        <f aca="false">AV136</f>
        <v>53.993</v>
      </c>
      <c r="AW183" s="31" t="n">
        <f aca="false">AW136</f>
        <v>201.392</v>
      </c>
      <c r="AX183" s="31" t="n">
        <f aca="false">AX136</f>
        <v>59.4689999999999</v>
      </c>
      <c r="AY183" s="31" t="n">
        <f aca="false">AY136</f>
        <v>61.408</v>
      </c>
      <c r="AZ183" s="31" t="n">
        <f aca="false">AZ136</f>
        <v>69.703</v>
      </c>
      <c r="BA183" s="31" t="n">
        <f aca="false">BA136</f>
        <v>76.579</v>
      </c>
      <c r="BB183" s="31" t="n">
        <f aca="false">BB136</f>
        <v>267.159</v>
      </c>
      <c r="BC183" s="31" t="n">
        <f aca="false">BC136</f>
        <v>40.685</v>
      </c>
      <c r="BD183" s="31" t="n">
        <f aca="false">BD136</f>
        <v>70.872</v>
      </c>
      <c r="BE183" s="31" t="n">
        <f aca="false">BE136</f>
        <v>73.768</v>
      </c>
      <c r="BF183" s="31" t="n">
        <f aca="false">BF136</f>
        <v>109.023</v>
      </c>
      <c r="BG183" s="31" t="n">
        <f aca="false">BG136</f>
        <v>294.348</v>
      </c>
      <c r="BH183" s="31" t="n">
        <f aca="false">BH136</f>
        <v>56.846</v>
      </c>
      <c r="BI183" s="31" t="n">
        <f aca="false">BI136</f>
        <v>80.999</v>
      </c>
      <c r="BJ183" s="31" t="n">
        <f aca="false">BJ136</f>
        <v>96.778</v>
      </c>
      <c r="BK183" s="31" t="n">
        <f aca="false">BK136</f>
        <v>119.887</v>
      </c>
      <c r="BL183" s="31" t="n">
        <f aca="false">BL136</f>
        <v>354.509</v>
      </c>
      <c r="BM183" s="31" t="n">
        <f aca="false">BM136</f>
        <v>76.4950000000001</v>
      </c>
      <c r="BN183" s="31" t="n">
        <f aca="false">BN136</f>
        <v>99.4710000000001</v>
      </c>
      <c r="BO183" s="31" t="n">
        <f aca="false">BO136</f>
        <v>111.16</v>
      </c>
      <c r="BP183" s="31" t="n">
        <f aca="false">BP136</f>
        <v>117.852</v>
      </c>
      <c r="BQ183" s="31" t="n">
        <f aca="false">BQ136</f>
        <v>404.978</v>
      </c>
      <c r="BR183" s="31" t="n">
        <f aca="false">BR136</f>
        <v>101.337</v>
      </c>
      <c r="BS183" s="31" t="n">
        <f aca="false">BS136</f>
        <v>121.061</v>
      </c>
      <c r="BT183" s="31" t="n">
        <f aca="false">BT136</f>
        <v>124.832</v>
      </c>
      <c r="BU183" s="31" t="n">
        <f aca="false">BU136</f>
        <v>136.998</v>
      </c>
      <c r="BV183" s="31" t="n">
        <f aca="false">BV136</f>
        <v>484.228</v>
      </c>
      <c r="BW183" s="31" t="n">
        <f aca="false">BW136</f>
        <v>128.186</v>
      </c>
      <c r="BX183" s="31" t="n">
        <f aca="false">BX136</f>
        <v>151.168</v>
      </c>
      <c r="BY183" s="17" t="n">
        <f aca="false">BY136</f>
        <v>142.109877088941</v>
      </c>
      <c r="BZ183" s="17" t="n">
        <f aca="false">BZ136</f>
        <v>155.259112911059</v>
      </c>
      <c r="CA183" s="17" t="n">
        <f aca="false">CA136</f>
        <v>576.72299</v>
      </c>
      <c r="CB183" s="17" t="n">
        <f aca="false">CB136</f>
        <v>637.700488116085</v>
      </c>
      <c r="CC183" s="17" t="n">
        <f aca="false">CC136</f>
        <v>703.739982114</v>
      </c>
      <c r="CD183" s="17" t="n">
        <f aca="false">CD136</f>
        <v>768.951488271915</v>
      </c>
      <c r="CE183" s="17" t="n">
        <f aca="false">CE136</f>
        <v>838.05971943774</v>
      </c>
    </row>
    <row r="184" customFormat="false" ht="15" hidden="false" customHeight="false" outlineLevel="0" collapsed="false">
      <c r="B184" s="20" t="s">
        <v>371</v>
      </c>
      <c r="C184" s="39" t="n">
        <f aca="false">C158</f>
        <v>0</v>
      </c>
      <c r="D184" s="39" t="n">
        <f aca="false">D158</f>
        <v>0</v>
      </c>
      <c r="E184" s="39" t="n">
        <f aca="false">E158</f>
        <v>0</v>
      </c>
      <c r="F184" s="39" t="n">
        <f aca="false">F158</f>
        <v>0</v>
      </c>
      <c r="G184" s="39" t="n">
        <f aca="false">G158</f>
        <v>0</v>
      </c>
      <c r="H184" s="39" t="n">
        <f aca="false">H158</f>
        <v>0</v>
      </c>
      <c r="I184" s="39" t="n">
        <f aca="false">I158</f>
        <v>40.002</v>
      </c>
      <c r="J184" s="39" t="n">
        <f aca="false">J158</f>
        <v>0</v>
      </c>
      <c r="K184" s="39" t="n">
        <f aca="false">K158</f>
        <v>0</v>
      </c>
      <c r="L184" s="39" t="n">
        <f aca="false">L158</f>
        <v>0</v>
      </c>
      <c r="M184" s="39" t="n">
        <f aca="false">M158</f>
        <v>0</v>
      </c>
      <c r="N184" s="39" t="n">
        <f aca="false">N158</f>
        <v>0</v>
      </c>
      <c r="O184" s="39" t="n">
        <f aca="false">O158</f>
        <v>0</v>
      </c>
      <c r="P184" s="39" t="n">
        <f aca="false">P158</f>
        <v>0</v>
      </c>
      <c r="Q184" s="39" t="n">
        <f aca="false">Q158</f>
        <v>0</v>
      </c>
      <c r="R184" s="39" t="n">
        <f aca="false">R158</f>
        <v>0</v>
      </c>
      <c r="S184" s="39" t="n">
        <f aca="false">S158</f>
        <v>0</v>
      </c>
      <c r="T184" s="39" t="n">
        <f aca="false">T158</f>
        <v>0</v>
      </c>
      <c r="U184" s="39" t="n">
        <f aca="false">U158</f>
        <v>0</v>
      </c>
      <c r="V184" s="39" t="n">
        <f aca="false">V158</f>
        <v>0</v>
      </c>
      <c r="W184" s="39" t="n">
        <f aca="false">W158</f>
        <v>0</v>
      </c>
      <c r="X184" s="39" t="n">
        <f aca="false">X158</f>
        <v>-19.617</v>
      </c>
      <c r="Y184" s="39" t="n">
        <f aca="false">Y158</f>
        <v>0</v>
      </c>
      <c r="Z184" s="39" t="n">
        <f aca="false">Z158</f>
        <v>0</v>
      </c>
      <c r="AA184" s="39" t="n">
        <f aca="false">AA158</f>
        <v>0</v>
      </c>
      <c r="AB184" s="39" t="n">
        <f aca="false">AB158</f>
        <v>0</v>
      </c>
      <c r="AC184" s="39" t="n">
        <f aca="false">AC158</f>
        <v>0</v>
      </c>
      <c r="AD184" s="39" t="n">
        <f aca="false">AD158</f>
        <v>0</v>
      </c>
      <c r="AE184" s="39" t="n">
        <f aca="false">AE158</f>
        <v>0</v>
      </c>
      <c r="AF184" s="39" t="n">
        <f aca="false">AF158</f>
        <v>0</v>
      </c>
      <c r="AG184" s="39" t="n">
        <f aca="false">AG158</f>
        <v>0</v>
      </c>
      <c r="AH184" s="39" t="n">
        <f aca="false">AH158</f>
        <v>0</v>
      </c>
      <c r="AI184" s="39" t="n">
        <f aca="false">AI158</f>
        <v>0</v>
      </c>
      <c r="AJ184" s="39" t="n">
        <f aca="false">AJ158</f>
        <v>7.024</v>
      </c>
      <c r="AK184" s="39" t="n">
        <f aca="false">AK158</f>
        <v>1.253</v>
      </c>
      <c r="AL184" s="39" t="n">
        <f aca="false">AL158</f>
        <v>0.395</v>
      </c>
      <c r="AM184" s="39" t="n">
        <f aca="false">AM158</f>
        <v>8.374</v>
      </c>
      <c r="AN184" s="39" t="n">
        <f aca="false">AN158</f>
        <v>0.455</v>
      </c>
      <c r="AO184" s="39" t="n">
        <f aca="false">AO158</f>
        <v>2.015</v>
      </c>
      <c r="AP184" s="39" t="n">
        <f aca="false">AP158</f>
        <v>1.631</v>
      </c>
      <c r="AQ184" s="39" t="n">
        <f aca="false">AQ158</f>
        <v>2.546</v>
      </c>
      <c r="AR184" s="39" t="n">
        <f aca="false">AR158</f>
        <v>7.047</v>
      </c>
      <c r="AS184" s="39" t="n">
        <f aca="false">AS158</f>
        <v>7.554</v>
      </c>
      <c r="AT184" s="39" t="n">
        <f aca="false">AT158</f>
        <v>23.151</v>
      </c>
      <c r="AU184" s="39" t="n">
        <f aca="false">AU158</f>
        <v>15.327</v>
      </c>
      <c r="AV184" s="39" t="n">
        <f aca="false">AV158</f>
        <v>56.32</v>
      </c>
      <c r="AW184" s="39" t="n">
        <f aca="false">AW158</f>
        <v>102.152</v>
      </c>
      <c r="AX184" s="39" t="n">
        <f aca="false">AX158</f>
        <v>3.734</v>
      </c>
      <c r="AY184" s="39" t="n">
        <f aca="false">AY158</f>
        <v>0.417</v>
      </c>
      <c r="AZ184" s="39" t="n">
        <f aca="false">AZ158</f>
        <v>9.831</v>
      </c>
      <c r="BA184" s="39" t="n">
        <f aca="false">BA158</f>
        <v>23.715</v>
      </c>
      <c r="BB184" s="39" t="n">
        <f aca="false">BB158</f>
        <v>37.74</v>
      </c>
      <c r="BC184" s="39" t="n">
        <f aca="false">BC158</f>
        <v>10.303</v>
      </c>
      <c r="BD184" s="39" t="n">
        <f aca="false">BD158</f>
        <v>0</v>
      </c>
      <c r="BE184" s="39" t="n">
        <f aca="false">BE158</f>
        <v>6.905</v>
      </c>
      <c r="BF184" s="39" t="n">
        <f aca="false">BF158</f>
        <v>2.427</v>
      </c>
      <c r="BG184" s="39" t="n">
        <f aca="false">BG158</f>
        <v>19.635001</v>
      </c>
      <c r="BH184" s="39" t="n">
        <f aca="false">BH158</f>
        <v>2.676</v>
      </c>
      <c r="BI184" s="39" t="n">
        <f aca="false">BI158</f>
        <v>2.659</v>
      </c>
      <c r="BJ184" s="39" t="n">
        <f aca="false">BJ158</f>
        <v>1.333</v>
      </c>
      <c r="BK184" s="39" t="n">
        <f aca="false">BK158</f>
        <v>2.528</v>
      </c>
      <c r="BL184" s="39" t="n">
        <f aca="false">BL158</f>
        <v>9.198</v>
      </c>
      <c r="BM184" s="39" t="n">
        <f aca="false">BM158</f>
        <v>0</v>
      </c>
      <c r="BN184" s="39" t="n">
        <f aca="false">BN158</f>
        <v>4.448</v>
      </c>
      <c r="BO184" s="39" t="n">
        <f aca="false">BO158</f>
        <v>4.164</v>
      </c>
      <c r="BP184" s="39" t="n">
        <f aca="false">BP158</f>
        <v>8.657</v>
      </c>
      <c r="BQ184" s="39" t="n">
        <f aca="false">BQ158</f>
        <v>17.269</v>
      </c>
      <c r="BR184" s="39" t="n">
        <f aca="false">BR158</f>
        <v>4.805</v>
      </c>
      <c r="BS184" s="39" t="n">
        <f aca="false">BS158</f>
        <v>3.735</v>
      </c>
      <c r="BT184" s="39" t="n">
        <f aca="false">BT158</f>
        <v>4.122</v>
      </c>
      <c r="BU184" s="39" t="n">
        <f aca="false">BU158</f>
        <v>4.812</v>
      </c>
      <c r="BV184" s="39" t="n">
        <f aca="false">BV158</f>
        <v>17.473</v>
      </c>
      <c r="BW184" s="39" t="n">
        <f aca="false">BW158</f>
        <v>0.91</v>
      </c>
      <c r="BX184" s="39" t="n">
        <f aca="false">BX158</f>
        <v>0.517</v>
      </c>
      <c r="BY184" s="29" t="n">
        <f aca="false">BY158</f>
        <v>2.8495</v>
      </c>
      <c r="BZ184" s="29" t="n">
        <f aca="false">BZ158</f>
        <v>2.8495</v>
      </c>
      <c r="CA184" s="29" t="n">
        <f aca="false">CA158</f>
        <v>7.126</v>
      </c>
      <c r="CB184" s="29" t="n">
        <f aca="false">CB158</f>
        <v>0</v>
      </c>
      <c r="CC184" s="29" t="n">
        <f aca="false">CC158</f>
        <v>0</v>
      </c>
      <c r="CD184" s="29" t="n">
        <f aca="false">CD158</f>
        <v>0</v>
      </c>
      <c r="CE184" s="29" t="n">
        <f aca="false">CE158</f>
        <v>0</v>
      </c>
    </row>
    <row r="185" customFormat="false" ht="15" hidden="false" customHeight="false" outlineLevel="0" collapsed="false">
      <c r="B185" s="20" t="s">
        <v>372</v>
      </c>
      <c r="C185" s="39" t="n">
        <f aca="false">-N(C131)</f>
        <v>-0</v>
      </c>
      <c r="D185" s="39" t="n">
        <f aca="false">-N(D131)</f>
        <v>-0</v>
      </c>
      <c r="E185" s="39" t="n">
        <f aca="false">-N(E131)</f>
        <v>-0</v>
      </c>
      <c r="F185" s="39" t="n">
        <f aca="false">-N(F131)</f>
        <v>-0</v>
      </c>
      <c r="G185" s="39" t="n">
        <f aca="false">-N(G131)</f>
        <v>-0</v>
      </c>
      <c r="H185" s="39" t="n">
        <f aca="false">-N(H131)</f>
        <v>-0</v>
      </c>
      <c r="I185" s="39" t="n">
        <f aca="false">-N(I131)</f>
        <v>-0</v>
      </c>
      <c r="J185" s="39" t="n">
        <f aca="false">-N(J131)</f>
        <v>-0</v>
      </c>
      <c r="K185" s="39" t="n">
        <f aca="false">-N(K131)</f>
        <v>-0</v>
      </c>
      <c r="L185" s="39" t="n">
        <f aca="false">-N(L131)</f>
        <v>-0</v>
      </c>
      <c r="M185" s="39" t="n">
        <f aca="false">-N(M131)</f>
        <v>-0</v>
      </c>
      <c r="N185" s="39" t="n">
        <f aca="false">-N(N131)</f>
        <v>-0</v>
      </c>
      <c r="O185" s="39" t="n">
        <f aca="false">-N(O131)</f>
        <v>-0</v>
      </c>
      <c r="P185" s="39" t="n">
        <f aca="false">-N(P131)</f>
        <v>-0</v>
      </c>
      <c r="Q185" s="39" t="n">
        <f aca="false">-N(Q131)</f>
        <v>-0</v>
      </c>
      <c r="R185" s="39" t="n">
        <f aca="false">-N(R131)</f>
        <v>-0</v>
      </c>
      <c r="S185" s="39" t="n">
        <f aca="false">-N(S131)</f>
        <v>-0</v>
      </c>
      <c r="T185" s="39" t="n">
        <f aca="false">-N(T131)</f>
        <v>-0</v>
      </c>
      <c r="U185" s="39" t="n">
        <f aca="false">-N(U131)</f>
        <v>-0</v>
      </c>
      <c r="V185" s="39" t="n">
        <f aca="false">-N(V131)</f>
        <v>-0</v>
      </c>
      <c r="W185" s="39" t="n">
        <f aca="false">-N(W131)</f>
        <v>-0</v>
      </c>
      <c r="X185" s="39" t="n">
        <f aca="false">-N(X131)</f>
        <v>-0</v>
      </c>
      <c r="Y185" s="39" t="n">
        <f aca="false">-N(Y131)</f>
        <v>-0</v>
      </c>
      <c r="Z185" s="39" t="n">
        <f aca="false">-N(Z131)</f>
        <v>-0</v>
      </c>
      <c r="AA185" s="39" t="n">
        <f aca="false">-N(AA131)</f>
        <v>-0</v>
      </c>
      <c r="AB185" s="39" t="n">
        <f aca="false">-N(AB131)</f>
        <v>-0</v>
      </c>
      <c r="AC185" s="39" t="n">
        <f aca="false">-N(AC131)</f>
        <v>-0</v>
      </c>
      <c r="AD185" s="39" t="n">
        <f aca="false">-N(AD131)</f>
        <v>-0</v>
      </c>
      <c r="AE185" s="39" t="n">
        <f aca="false">-N(AE131)</f>
        <v>-0</v>
      </c>
      <c r="AF185" s="39" t="n">
        <f aca="false">-N(AF131)</f>
        <v>-0</v>
      </c>
      <c r="AG185" s="39" t="n">
        <f aca="false">-N(AG131)</f>
        <v>-0</v>
      </c>
      <c r="AH185" s="39" t="n">
        <f aca="false">-N(AH131)</f>
        <v>-0</v>
      </c>
      <c r="AI185" s="39" t="n">
        <f aca="false">-N(AI131)</f>
        <v>-0</v>
      </c>
      <c r="AJ185" s="39" t="n">
        <f aca="false">-N(AJ131)</f>
        <v>-0</v>
      </c>
      <c r="AK185" s="39" t="n">
        <f aca="false">-N(AK131)</f>
        <v>-0</v>
      </c>
      <c r="AL185" s="39" t="n">
        <f aca="false">-N(AL131)</f>
        <v>-0</v>
      </c>
      <c r="AM185" s="39" t="n">
        <f aca="false">-N(AM131)</f>
        <v>-0</v>
      </c>
      <c r="AN185" s="39" t="n">
        <f aca="false">-N(AN131)</f>
        <v>-0</v>
      </c>
      <c r="AO185" s="39" t="n">
        <f aca="false">-N(AO131)</f>
        <v>-0</v>
      </c>
      <c r="AP185" s="39" t="n">
        <f aca="false">-N(AP131)</f>
        <v>-0</v>
      </c>
      <c r="AQ185" s="39" t="n">
        <f aca="false">-N(AQ131)</f>
        <v>-0</v>
      </c>
      <c r="AR185" s="39" t="n">
        <f aca="false">-N(AR131)</f>
        <v>-0</v>
      </c>
      <c r="AS185" s="39" t="n">
        <f aca="false">-N(AS131)</f>
        <v>-0</v>
      </c>
      <c r="AT185" s="39" t="n">
        <f aca="false">-N(AT131)</f>
        <v>-0</v>
      </c>
      <c r="AU185" s="39" t="n">
        <f aca="false">-N(AU131)</f>
        <v>-0</v>
      </c>
      <c r="AV185" s="39" t="n">
        <f aca="false">-N(AV131)</f>
        <v>-0</v>
      </c>
      <c r="AW185" s="39" t="n">
        <f aca="false">-N(AW131)</f>
        <v>-0</v>
      </c>
      <c r="AX185" s="39" t="n">
        <f aca="false">-N(AX131)</f>
        <v>-0</v>
      </c>
      <c r="AY185" s="39" t="n">
        <f aca="false">-N(AY131)</f>
        <v>-0</v>
      </c>
      <c r="AZ185" s="39" t="n">
        <f aca="false">-N(AZ131)</f>
        <v>-0</v>
      </c>
      <c r="BA185" s="39" t="n">
        <f aca="false">-N(BA131)</f>
        <v>-0</v>
      </c>
      <c r="BB185" s="39" t="n">
        <f aca="false">-N(BB131)</f>
        <v>-0</v>
      </c>
      <c r="BC185" s="39" t="n">
        <f aca="false">-N(BC131)</f>
        <v>-0</v>
      </c>
      <c r="BD185" s="39" t="n">
        <f aca="false">-N(BD131)</f>
        <v>-0</v>
      </c>
      <c r="BE185" s="39" t="n">
        <f aca="false">-N(BE131)</f>
        <v>-0</v>
      </c>
      <c r="BF185" s="39" t="n">
        <f aca="false">-N(BF131)</f>
        <v>-0</v>
      </c>
      <c r="BG185" s="39" t="n">
        <f aca="false">-N(BG131)</f>
        <v>-0</v>
      </c>
      <c r="BH185" s="39" t="n">
        <f aca="false">-N(BH131)</f>
        <v>-0</v>
      </c>
      <c r="BI185" s="39" t="n">
        <f aca="false">-N(BI131)</f>
        <v>-0</v>
      </c>
      <c r="BJ185" s="39" t="n">
        <f aca="false">-N(BJ131)</f>
        <v>-0</v>
      </c>
      <c r="BK185" s="39" t="n">
        <f aca="false">-N(BK131)</f>
        <v>-0</v>
      </c>
      <c r="BL185" s="39" t="n">
        <f aca="false">-N(BL131)</f>
        <v>-0</v>
      </c>
      <c r="BM185" s="39" t="n">
        <f aca="false">-N(BM131)</f>
        <v>-0</v>
      </c>
      <c r="BN185" s="39" t="n">
        <f aca="false">-N(BN131)</f>
        <v>-0</v>
      </c>
      <c r="BO185" s="39" t="n">
        <f aca="false">-N(BO131)</f>
        <v>-0</v>
      </c>
      <c r="BP185" s="39" t="n">
        <f aca="false">-N(BP131)</f>
        <v>-0</v>
      </c>
      <c r="BQ185" s="39" t="n">
        <f aca="false">-N(BQ131)</f>
        <v>-0</v>
      </c>
      <c r="BR185" s="39" t="n">
        <f aca="false">-N(BR131)</f>
        <v>-0</v>
      </c>
      <c r="BS185" s="39" t="n">
        <f aca="false">-N(BS131)</f>
        <v>-0</v>
      </c>
      <c r="BT185" s="39" t="n">
        <f aca="false">-N(BT131)</f>
        <v>-0</v>
      </c>
      <c r="BU185" s="39" t="n">
        <f aca="false">-N(BU131)</f>
        <v>-0</v>
      </c>
      <c r="BV185" s="39" t="n">
        <f aca="false">-N(BV131)</f>
        <v>-0</v>
      </c>
      <c r="BW185" s="39" t="n">
        <f aca="false">-N(BW131)</f>
        <v>-0</v>
      </c>
      <c r="BX185" s="39" t="n">
        <f aca="false">-N(BX131)</f>
        <v>-17</v>
      </c>
      <c r="BY185" s="29" t="n">
        <f aca="false">-N(BY131)</f>
        <v>-0</v>
      </c>
      <c r="BZ185" s="29" t="n">
        <f aca="false">-N(BZ131)</f>
        <v>-0</v>
      </c>
      <c r="CA185" s="29" t="n">
        <f aca="false">-N(CA131)</f>
        <v>-17</v>
      </c>
      <c r="CB185" s="29" t="n">
        <f aca="false">-N(CB131)</f>
        <v>-0</v>
      </c>
      <c r="CC185" s="29" t="n">
        <f aca="false">-N(CC131)</f>
        <v>-0</v>
      </c>
      <c r="CD185" s="29" t="n">
        <f aca="false">-N(CD131)</f>
        <v>-0</v>
      </c>
      <c r="CE185" s="29" t="n">
        <f aca="false">-N(CE131)</f>
        <v>-0</v>
      </c>
    </row>
    <row r="186" customFormat="false" ht="15" hidden="false" customHeight="false" outlineLevel="0" collapsed="false">
      <c r="B186" s="20" t="s">
        <v>373</v>
      </c>
      <c r="C186" s="27" t="n">
        <f aca="false">IFERROR(MIN(MAX(C135,0.15),0.4),0.25)</f>
        <v>0.315017598748534</v>
      </c>
      <c r="D186" s="27" t="n">
        <f aca="false">IFERROR(MIN(MAX(D135,0.15),0.4),0.25)</f>
        <v>0.323296858682891</v>
      </c>
      <c r="E186" s="27" t="n">
        <f aca="false">IFERROR(MIN(MAX(E135,0.15),0.4),0.25)</f>
        <v>0.353082307450414</v>
      </c>
      <c r="F186" s="27" t="n">
        <f aca="false">IFERROR(MIN(MAX(F135,0.15),0.4),0.25)</f>
        <v>0.344474352707922</v>
      </c>
      <c r="G186" s="27" t="n">
        <f aca="false">IFERROR(MIN(MAX(G135,0.15),0.4),0.25)</f>
        <v>0.326586436716258</v>
      </c>
      <c r="H186" s="27" t="n">
        <f aca="false">IFERROR(MIN(MAX(H135,0.15),0.4),0.25)</f>
        <v>0.29496889004211</v>
      </c>
      <c r="I186" s="27" t="n">
        <f aca="false">IFERROR(MIN(MAX(I135,0.15),0.4),0.25)</f>
        <v>0.318205995774294</v>
      </c>
      <c r="J186" s="27" t="n">
        <f aca="false">IFERROR(MIN(MAX(J135,0.15),0.4),0.25)</f>
        <v>0.298180355886197</v>
      </c>
      <c r="K186" s="27" t="n">
        <f aca="false">IFERROR(MIN(MAX(K135,0.15),0.4),0.25)</f>
        <v>0.314502875924404</v>
      </c>
      <c r="L186" s="27" t="n">
        <f aca="false">IFERROR(MIN(MAX(L135,0.15),0.4),0.25)</f>
        <v>0.321306579561362</v>
      </c>
      <c r="M186" s="27" t="n">
        <f aca="false">IFERROR(MIN(MAX(M135,0.15),0.4),0.25)</f>
        <v>0.281670892995429</v>
      </c>
      <c r="N186" s="27" t="n">
        <f aca="false">IFERROR(MIN(MAX(N135,0.15),0.4),0.25)</f>
        <v>0.302960803827171</v>
      </c>
      <c r="O186" s="27" t="n">
        <f aca="false">IFERROR(MIN(MAX(O135,0.15),0.4),0.25)</f>
        <v>0.298291826309067</v>
      </c>
      <c r="P186" s="27" t="n">
        <f aca="false">IFERROR(MIN(MAX(P135,0.15),0.4),0.25)</f>
        <v>0.323612792723622</v>
      </c>
      <c r="Q186" s="27" t="n">
        <f aca="false">IFERROR(MIN(MAX(Q135,0.15),0.4),0.25)</f>
        <v>0.317982422386061</v>
      </c>
      <c r="R186" s="27" t="n">
        <f aca="false">IFERROR(MIN(MAX(R135,0.15),0.4),0.25)</f>
        <v>0.30759763455708</v>
      </c>
      <c r="S186" s="27" t="n">
        <f aca="false">IFERROR(MIN(MAX(S135,0.15),0.4),0.25)</f>
        <v>0.311791337307243</v>
      </c>
      <c r="T186" s="27" t="n">
        <f aca="false">IFERROR(MIN(MAX(T135,0.15),0.4),0.25)</f>
        <v>0.328000621890548</v>
      </c>
      <c r="U186" s="27" t="n">
        <f aca="false">IFERROR(MIN(MAX(U135,0.15),0.4),0.25)</f>
        <v>0.288886919532081</v>
      </c>
      <c r="V186" s="27" t="n">
        <f aca="false">IFERROR(MIN(MAX(V135,0.15),0.4),0.25)</f>
        <v>0.306534307843351</v>
      </c>
      <c r="W186" s="27" t="n">
        <f aca="false">IFERROR(MIN(MAX(W135,0.15),0.4),0.25)</f>
        <v>0.288480875196074</v>
      </c>
      <c r="X186" s="27" t="n">
        <f aca="false">IFERROR(MIN(MAX(X135,0.15),0.4),0.25)</f>
        <v>0.301409187700313</v>
      </c>
      <c r="Y186" s="27" t="n">
        <f aca="false">IFERROR(MIN(MAX(Y135,0.15),0.4),0.25)</f>
        <v>0.310003363888655</v>
      </c>
      <c r="Z186" s="27" t="n">
        <f aca="false">IFERROR(MIN(MAX(Z135,0.15),0.4),0.25)</f>
        <v>0.309995338156327</v>
      </c>
      <c r="AA186" s="27" t="n">
        <f aca="false">IFERROR(MIN(MAX(AA135,0.15),0.4),0.25)</f>
        <v>0.309998798221368</v>
      </c>
      <c r="AB186" s="27" t="n">
        <f aca="false">IFERROR(MIN(MAX(AB135,0.15),0.4),0.25)</f>
        <v>0.263199599632997</v>
      </c>
      <c r="AC186" s="27" t="n">
        <f aca="false">IFERROR(MIN(MAX(AC135,0.15),0.4),0.25)</f>
        <v>0.29324789801501</v>
      </c>
      <c r="AD186" s="27" t="n">
        <f aca="false">IFERROR(MIN(MAX(AD135,0.15),0.4),0.25)</f>
        <v>0.209294980807541</v>
      </c>
      <c r="AE186" s="27" t="n">
        <f aca="false">IFERROR(MIN(MAX(AE135,0.15),0.4),0.25)</f>
        <v>0.303406637235081</v>
      </c>
      <c r="AF186" s="27" t="n">
        <f aca="false">IFERROR(MIN(MAX(AF135,0.15),0.4),0.25)</f>
        <v>0.26002731038952</v>
      </c>
      <c r="AG186" s="27" t="n">
        <f aca="false">IFERROR(MIN(MAX(AG135,0.15),0.4),0.25)</f>
        <v>0.317943865018322</v>
      </c>
      <c r="AH186" s="27" t="n">
        <f aca="false">IFERROR(MIN(MAX(AH135,0.15),0.4),0.25)</f>
        <v>0.282785804638558</v>
      </c>
      <c r="AI186" s="27" t="n">
        <f aca="false">IFERROR(MIN(MAX(AI135,0.15),0.4),0.25)</f>
        <v>0.284271118618495</v>
      </c>
      <c r="AJ186" s="27" t="n">
        <f aca="false">IFERROR(MIN(MAX(AJ135,0.15),0.4),0.25)</f>
        <v>0.224842196909236</v>
      </c>
      <c r="AK186" s="27" t="n">
        <f aca="false">IFERROR(MIN(MAX(AK135,0.15),0.4),0.25)</f>
        <v>0.198599111264135</v>
      </c>
      <c r="AL186" s="27" t="n">
        <f aca="false">IFERROR(MIN(MAX(AL135,0.15),0.4),0.25)</f>
        <v>0.217356386999244</v>
      </c>
      <c r="AM186" s="27" t="n">
        <f aca="false">IFERROR(MIN(MAX(AM135,0.15),0.4),0.25)</f>
        <v>0.225943818616154</v>
      </c>
      <c r="AN186" s="27" t="n">
        <f aca="false">IFERROR(MIN(MAX(AN135,0.15),0.4),0.25)</f>
        <v>0.208651834137592</v>
      </c>
      <c r="AO186" s="27" t="n">
        <f aca="false">IFERROR(MIN(MAX(AO135,0.15),0.4),0.25)</f>
        <v>0.227074404417159</v>
      </c>
      <c r="AP186" s="27" t="n">
        <f aca="false">IFERROR(MIN(MAX(AP135,0.15),0.4),0.25)</f>
        <v>0.206428592038318</v>
      </c>
      <c r="AQ186" s="27" t="n">
        <f aca="false">IFERROR(MIN(MAX(AQ135,0.15),0.4),0.25)</f>
        <v>0.246405151632643</v>
      </c>
      <c r="AR186" s="27" t="n">
        <f aca="false">IFERROR(MIN(MAX(AR135,0.15),0.4),0.25)</f>
        <v>0.224180375420595</v>
      </c>
      <c r="AS186" s="27" t="n">
        <f aca="false">IFERROR(MIN(MAX(AS135,0.15),0.4),0.25)</f>
        <v>0.265686844755919</v>
      </c>
      <c r="AT186" s="27" t="n">
        <f aca="false">IFERROR(MIN(MAX(AT135,0.15),0.4),0.25)</f>
        <v>0.274076154368228</v>
      </c>
      <c r="AU186" s="27" t="n">
        <f aca="false">IFERROR(MIN(MAX(AU135,0.15),0.4),0.25)</f>
        <v>0.201581516031383</v>
      </c>
      <c r="AV186" s="27" t="n">
        <f aca="false">IFERROR(MIN(MAX(AV135,0.15),0.4),0.25)</f>
        <v>0.216334291271155</v>
      </c>
      <c r="AW186" s="27" t="n">
        <f aca="false">IFERROR(MIN(MAX(AW135,0.15),0.4),0.25)</f>
        <v>0.234399413041578</v>
      </c>
      <c r="AX186" s="27" t="n">
        <f aca="false">IFERROR(MIN(MAX(AX135,0.15),0.4),0.25)</f>
        <v>0.256172607879925</v>
      </c>
      <c r="AY186" s="27" t="n">
        <f aca="false">IFERROR(MIN(MAX(AY135,0.15),0.4),0.25)</f>
        <v>0.276216069681647</v>
      </c>
      <c r="AZ186" s="27" t="n">
        <f aca="false">IFERROR(MIN(MAX(AZ135,0.15),0.4),0.25)</f>
        <v>0.23689252362028</v>
      </c>
      <c r="BA186" s="27" t="n">
        <f aca="false">IFERROR(MIN(MAX(BA135,0.15),0.4),0.25)</f>
        <v>0.221568268683419</v>
      </c>
      <c r="BB186" s="27" t="n">
        <f aca="false">IFERROR(MIN(MAX(BB135,0.15),0.4),0.25)</f>
        <v>0.246399255310146</v>
      </c>
      <c r="BC186" s="27" t="n">
        <f aca="false">IFERROR(MIN(MAX(BC135,0.15),0.4),0.25)</f>
        <v>0.246253033699539</v>
      </c>
      <c r="BD186" s="27" t="n">
        <f aca="false">IFERROR(MIN(MAX(BD135,0.15),0.4),0.25)</f>
        <v>0.23688517529503</v>
      </c>
      <c r="BE186" s="27" t="n">
        <f aca="false">IFERROR(MIN(MAX(BE135,0.15),0.4),0.25)</f>
        <v>0.24209920683845</v>
      </c>
      <c r="BF186" s="27" t="n">
        <f aca="false">IFERROR(MIN(MAX(BF135,0.15),0.4),0.25)</f>
        <v>0.248189829947453</v>
      </c>
      <c r="BG186" s="27" t="n">
        <f aca="false">IFERROR(MIN(MAX(BG135,0.15),0.4),0.25)</f>
        <v>0.243700458638986</v>
      </c>
      <c r="BH186" s="27" t="n">
        <f aca="false">IFERROR(MIN(MAX(BH135,0.15),0.4),0.25)</f>
        <v>0.225932078760315</v>
      </c>
      <c r="BI186" s="27" t="n">
        <f aca="false">IFERROR(MIN(MAX(BI135,0.15),0.4),0.25)</f>
        <v>0.233957838788693</v>
      </c>
      <c r="BJ186" s="27" t="n">
        <f aca="false">IFERROR(MIN(MAX(BJ135,0.15),0.4),0.25)</f>
        <v>0.238244415408592</v>
      </c>
      <c r="BK186" s="27" t="n">
        <f aca="false">IFERROR(MIN(MAX(BK135,0.15),0.4),0.25)</f>
        <v>0.235658272234619</v>
      </c>
      <c r="BL186" s="27" t="n">
        <f aca="false">IFERROR(MIN(MAX(BL135,0.15),0.4),0.25)</f>
        <v>0.234437558036582</v>
      </c>
      <c r="BM186" s="27" t="n">
        <f aca="false">IFERROR(MIN(MAX(BM135,0.15),0.4),0.25)</f>
        <v>0.22731542742856</v>
      </c>
      <c r="BN186" s="27" t="n">
        <f aca="false">IFERROR(MIN(MAX(BN135,0.15),0.4),0.25)</f>
        <v>0.212054720732567</v>
      </c>
      <c r="BO186" s="27" t="n">
        <f aca="false">IFERROR(MIN(MAX(BO135,0.15),0.4),0.25)</f>
        <v>0.226018479191762</v>
      </c>
      <c r="BP186" s="27" t="n">
        <f aca="false">IFERROR(MIN(MAX(BP135,0.15),0.4),0.25)</f>
        <v>0.230705962988348</v>
      </c>
      <c r="BQ186" s="27" t="n">
        <f aca="false">IFERROR(MIN(MAX(BQ135,0.15),0.4),0.25)</f>
        <v>0.224263297424031</v>
      </c>
      <c r="BR186" s="27" t="n">
        <f aca="false">IFERROR(MIN(MAX(BR135,0.15),0.4),0.25)</f>
        <v>0.189900233428197</v>
      </c>
      <c r="BS186" s="27" t="n">
        <f aca="false">IFERROR(MIN(MAX(BS135,0.15),0.4),0.25)</f>
        <v>0.227754919784391</v>
      </c>
      <c r="BT186" s="27" t="n">
        <f aca="false">IFERROR(MIN(MAX(BT135,0.15),0.4),0.25)</f>
        <v>0.225382090311692</v>
      </c>
      <c r="BU186" s="27" t="n">
        <f aca="false">IFERROR(MIN(MAX(BU135,0.15),0.4),0.25)</f>
        <v>0.226</v>
      </c>
      <c r="BV186" s="27" t="n">
        <f aca="false">IFERROR(MIN(MAX(BV135,0.15),0.4),0.25)</f>
        <v>0.21899969355333</v>
      </c>
      <c r="BW186" s="27" t="n">
        <f aca="false">IFERROR(MIN(MAX(BW135,0.15),0.4),0.25)</f>
        <v>0.187487719075841</v>
      </c>
      <c r="BX186" s="27" t="n">
        <f aca="false">IFERROR(MIN(MAX(BX135,0.15),0.4),0.25)</f>
        <v>0.221966597184693</v>
      </c>
      <c r="BY186" s="22" t="n">
        <f aca="false">$CO$28</f>
        <v>0.215</v>
      </c>
      <c r="BZ186" s="22" t="n">
        <f aca="false">$CO$28</f>
        <v>0.215</v>
      </c>
      <c r="CA186" s="22" t="n">
        <f aca="false">IFERROR(-CA187/(CA184+CA185),"")</f>
        <v>0.229165140473596</v>
      </c>
      <c r="CB186" s="38" t="n">
        <v>0.22</v>
      </c>
      <c r="CC186" s="38" t="n">
        <v>0.22</v>
      </c>
      <c r="CD186" s="38" t="n">
        <v>0.22</v>
      </c>
      <c r="CE186" s="38" t="n">
        <v>0.22</v>
      </c>
      <c r="CF186" s="18" t="s">
        <v>374</v>
      </c>
    </row>
    <row r="187" customFormat="false" ht="15" hidden="false" customHeight="false" outlineLevel="0" collapsed="false">
      <c r="B187" s="20" t="s">
        <v>375</v>
      </c>
      <c r="C187" s="39" t="n">
        <f aca="false">-(C184+C185)*C186</f>
        <v>-0</v>
      </c>
      <c r="D187" s="39" t="n">
        <f aca="false">-(D184+D185)*D186</f>
        <v>-0</v>
      </c>
      <c r="E187" s="39" t="n">
        <f aca="false">-(E184+E185)*E186</f>
        <v>-0</v>
      </c>
      <c r="F187" s="39" t="n">
        <f aca="false">-(F184+F185)*F186</f>
        <v>-0</v>
      </c>
      <c r="G187" s="39" t="n">
        <f aca="false">-(G184+G185)*G186</f>
        <v>-0</v>
      </c>
      <c r="H187" s="39" t="n">
        <f aca="false">-(H184+H185)*H186</f>
        <v>-0</v>
      </c>
      <c r="I187" s="39" t="n">
        <f aca="false">-(I184+I185)*I186</f>
        <v>-12.7288762429633</v>
      </c>
      <c r="J187" s="39" t="n">
        <f aca="false">-(J184+J185)*J186</f>
        <v>-0</v>
      </c>
      <c r="K187" s="39" t="n">
        <f aca="false">-(K184+K185)*K186</f>
        <v>-0</v>
      </c>
      <c r="L187" s="39" t="n">
        <f aca="false">-(L184+L185)*L186</f>
        <v>-0</v>
      </c>
      <c r="M187" s="39" t="n">
        <f aca="false">-(M184+M185)*M186</f>
        <v>-0</v>
      </c>
      <c r="N187" s="39" t="n">
        <f aca="false">-(N184+N185)*N186</f>
        <v>-0</v>
      </c>
      <c r="O187" s="39" t="n">
        <f aca="false">-(O184+O185)*O186</f>
        <v>-0</v>
      </c>
      <c r="P187" s="39" t="n">
        <f aca="false">-(P184+P185)*P186</f>
        <v>-0</v>
      </c>
      <c r="Q187" s="39" t="n">
        <f aca="false">-(Q184+Q185)*Q186</f>
        <v>-0</v>
      </c>
      <c r="R187" s="39" t="n">
        <f aca="false">-(R184+R185)*R186</f>
        <v>-0</v>
      </c>
      <c r="S187" s="39" t="n">
        <f aca="false">-(S184+S185)*S186</f>
        <v>-0</v>
      </c>
      <c r="T187" s="39" t="n">
        <f aca="false">-(T184+T185)*T186</f>
        <v>-0</v>
      </c>
      <c r="U187" s="39" t="n">
        <f aca="false">-(U184+U185)*U186</f>
        <v>-0</v>
      </c>
      <c r="V187" s="39" t="n">
        <f aca="false">-(V184+V185)*V186</f>
        <v>-0</v>
      </c>
      <c r="W187" s="39" t="n">
        <f aca="false">-(W184+W185)*W186</f>
        <v>-0</v>
      </c>
      <c r="X187" s="39" t="n">
        <f aca="false">-(X184+X185)*X186</f>
        <v>5.91274403511705</v>
      </c>
      <c r="Y187" s="39" t="n">
        <f aca="false">-(Y184+Y185)*Y186</f>
        <v>-0</v>
      </c>
      <c r="Z187" s="39" t="n">
        <f aca="false">-(Z184+Z185)*Z186</f>
        <v>-0</v>
      </c>
      <c r="AA187" s="39" t="n">
        <f aca="false">-(AA184+AA185)*AA186</f>
        <v>-0</v>
      </c>
      <c r="AB187" s="39" t="n">
        <f aca="false">-(AB184+AB185)*AB186</f>
        <v>-0</v>
      </c>
      <c r="AC187" s="39" t="n">
        <f aca="false">-(AC184+AC185)*AC186</f>
        <v>-0</v>
      </c>
      <c r="AD187" s="39" t="n">
        <f aca="false">-(AD184+AD185)*AD186</f>
        <v>-0</v>
      </c>
      <c r="AE187" s="39" t="n">
        <f aca="false">-(AE184+AE185)*AE186</f>
        <v>-0</v>
      </c>
      <c r="AF187" s="39" t="n">
        <f aca="false">-(AF184+AF185)*AF186</f>
        <v>-0</v>
      </c>
      <c r="AG187" s="39" t="n">
        <f aca="false">-(AG184+AG185)*AG186</f>
        <v>-0</v>
      </c>
      <c r="AH187" s="39" t="n">
        <f aca="false">-(AH184+AH185)*AH186</f>
        <v>-0</v>
      </c>
      <c r="AI187" s="39" t="n">
        <f aca="false">-(AI184+AI185)*AI186</f>
        <v>-0</v>
      </c>
      <c r="AJ187" s="39" t="n">
        <f aca="false">-(AJ184+AJ185)*AJ186</f>
        <v>-1.57929159109047</v>
      </c>
      <c r="AK187" s="39" t="n">
        <f aca="false">-(AK184+AK185)*AK186</f>
        <v>-0.248844686413961</v>
      </c>
      <c r="AL187" s="39" t="n">
        <f aca="false">-(AL184+AL185)*AL186</f>
        <v>-0.0858557728647015</v>
      </c>
      <c r="AM187" s="39" t="n">
        <f aca="false">-(AM184+AM185)*AM186</f>
        <v>-1.89205353709167</v>
      </c>
      <c r="AN187" s="39" t="n">
        <f aca="false">-(AN184+AN185)*AN186</f>
        <v>-0.0949365845326045</v>
      </c>
      <c r="AO187" s="39" t="n">
        <f aca="false">-(AO184+AO185)*AO186</f>
        <v>-0.457554924900576</v>
      </c>
      <c r="AP187" s="39" t="n">
        <f aca="false">-(AP184+AP185)*AP186</f>
        <v>-0.336685033614496</v>
      </c>
      <c r="AQ187" s="39" t="n">
        <f aca="false">-(AQ184+AQ185)*AQ186</f>
        <v>-0.627347516056709</v>
      </c>
      <c r="AR187" s="39" t="n">
        <f aca="false">-(AR184+AR185)*AR186</f>
        <v>-1.57979910558893</v>
      </c>
      <c r="AS187" s="39" t="n">
        <f aca="false">-(AS184+AS185)*AS186</f>
        <v>-2.00699842528621</v>
      </c>
      <c r="AT187" s="39" t="n">
        <f aca="false">-(AT184+AT185)*AT186</f>
        <v>-6.34513704977884</v>
      </c>
      <c r="AU187" s="39" t="n">
        <f aca="false">-(AU184+AU185)*AU186</f>
        <v>-3.08963989621301</v>
      </c>
      <c r="AV187" s="39" t="n">
        <f aca="false">-(AV184+AV185)*AV186</f>
        <v>-12.1839472843914</v>
      </c>
      <c r="AW187" s="39" t="n">
        <f aca="false">-(AW184+AW185)*AW186</f>
        <v>-23.9443688410232</v>
      </c>
      <c r="AX187" s="39" t="n">
        <f aca="false">-(AX184+AX185)*AX186</f>
        <v>-0.956548517823641</v>
      </c>
      <c r="AY187" s="39" t="n">
        <f aca="false">-(AY184+AY185)*AY186</f>
        <v>-0.115182101057247</v>
      </c>
      <c r="AZ187" s="39" t="n">
        <f aca="false">-(AZ184+AZ185)*AZ186</f>
        <v>-2.32889039971097</v>
      </c>
      <c r="BA187" s="39" t="n">
        <f aca="false">-(BA184+BA185)*BA186</f>
        <v>-5.25449149182728</v>
      </c>
      <c r="BB187" s="39" t="n">
        <f aca="false">-(BB184+BB185)*BB186</f>
        <v>-9.29910789540493</v>
      </c>
      <c r="BC187" s="39" t="n">
        <f aca="false">-(BC184+BC185)*BC186</f>
        <v>-2.53714500620635</v>
      </c>
      <c r="BD187" s="39" t="n">
        <f aca="false">-(BD184+BD185)*BD186</f>
        <v>-0</v>
      </c>
      <c r="BE187" s="39" t="n">
        <f aca="false">-(BE184+BE185)*BE186</f>
        <v>-1.6716950232195</v>
      </c>
      <c r="BF187" s="39" t="n">
        <f aca="false">-(BF184+BF185)*BF186</f>
        <v>-0.602356717282469</v>
      </c>
      <c r="BG187" s="39" t="n">
        <f aca="false">-(BG184+BG185)*BG186</f>
        <v>-4.78505874907694</v>
      </c>
      <c r="BH187" s="39" t="n">
        <f aca="false">-(BH184+BH185)*BH186</f>
        <v>-0.604594242762602</v>
      </c>
      <c r="BI187" s="39" t="n">
        <f aca="false">-(BI184+BI185)*BI186</f>
        <v>-0.622093893339134</v>
      </c>
      <c r="BJ187" s="39" t="n">
        <f aca="false">-(BJ184+BJ185)*BJ186</f>
        <v>-0.317579805739653</v>
      </c>
      <c r="BK187" s="39" t="n">
        <f aca="false">-(BK184+BK185)*BK186</f>
        <v>-0.595744112209117</v>
      </c>
      <c r="BL187" s="39" t="n">
        <f aca="false">-(BL184+BL185)*BL186</f>
        <v>-2.15635665882048</v>
      </c>
      <c r="BM187" s="39" t="n">
        <f aca="false">-(BM184+BM185)*BM186</f>
        <v>-0</v>
      </c>
      <c r="BN187" s="39" t="n">
        <f aca="false">-(BN184+BN185)*BN186</f>
        <v>-0.943219397818458</v>
      </c>
      <c r="BO187" s="39" t="n">
        <f aca="false">-(BO184+BO185)*BO186</f>
        <v>-0.941140947354495</v>
      </c>
      <c r="BP187" s="39" t="n">
        <f aca="false">-(BP184+BP185)*BP186</f>
        <v>-1.99722152159013</v>
      </c>
      <c r="BQ187" s="39" t="n">
        <f aca="false">-(BQ184+BQ185)*BQ186</f>
        <v>-3.8728028832156</v>
      </c>
      <c r="BR187" s="39" t="n">
        <f aca="false">-(BR184+BR185)*BR186</f>
        <v>-0.912470621622486</v>
      </c>
      <c r="BS187" s="39" t="n">
        <f aca="false">-(BS184+BS185)*BS186</f>
        <v>-0.850664625394699</v>
      </c>
      <c r="BT187" s="39" t="n">
        <f aca="false">-(BT184+BT185)*BT186</f>
        <v>-0.929024976264793</v>
      </c>
      <c r="BU187" s="39" t="n">
        <f aca="false">-(BU184+BU185)*BU186</f>
        <v>-1.087512</v>
      </c>
      <c r="BV187" s="39" t="n">
        <f aca="false">-(BV184+BV185)*BV186</f>
        <v>-3.82658164545733</v>
      </c>
      <c r="BW187" s="39" t="n">
        <f aca="false">-(BW184+BW185)*BW186</f>
        <v>-0.170613824359015</v>
      </c>
      <c r="BX187" s="39" t="n">
        <f aca="false">-(BX184+BX185)*BX186</f>
        <v>3.6586754213953</v>
      </c>
      <c r="BY187" s="29" t="n">
        <f aca="false">-(BY184+BY185)*BY186</f>
        <v>-0.6126425</v>
      </c>
      <c r="BZ187" s="29" t="n">
        <f aca="false">-(BZ184+BZ185)*BZ186</f>
        <v>-0.6126425</v>
      </c>
      <c r="CA187" s="29" t="n">
        <f aca="false">SUM(BW187,BX187,BY187,BZ187)</f>
        <v>2.26277659703629</v>
      </c>
      <c r="CB187" s="29" t="n">
        <f aca="false">-(CB184+CB185)*CB186</f>
        <v>-0</v>
      </c>
      <c r="CC187" s="29" t="n">
        <f aca="false">-(CC184+CC185)*CC186</f>
        <v>-0</v>
      </c>
      <c r="CD187" s="29" t="n">
        <f aca="false">-(CD184+CD185)*CD186</f>
        <v>-0</v>
      </c>
      <c r="CE187" s="29" t="n">
        <f aca="false">-(CE184+CE185)*CE186</f>
        <v>-0</v>
      </c>
    </row>
    <row r="188" customFormat="false" ht="15" hidden="false" customHeight="false" outlineLevel="0" collapsed="false">
      <c r="B188" s="20" t="s">
        <v>376</v>
      </c>
      <c r="I188" s="28" t="n">
        <v>-20.945</v>
      </c>
      <c r="X188" s="28" t="n">
        <v>-0.46</v>
      </c>
      <c r="AJ188" s="28" t="n">
        <v>-0.037</v>
      </c>
      <c r="AK188" s="28" t="n">
        <v>-0.119</v>
      </c>
      <c r="AL188" s="28" t="n">
        <v>0.042</v>
      </c>
      <c r="AM188" s="28" t="n">
        <v>0.062</v>
      </c>
      <c r="AN188" s="28" t="n">
        <v>0.022</v>
      </c>
      <c r="AO188" s="28" t="n">
        <v>0.116</v>
      </c>
      <c r="AP188" s="28" t="n">
        <v>0.036</v>
      </c>
      <c r="AQ188" s="28" t="n">
        <v>-0.196</v>
      </c>
      <c r="AR188" s="28" t="n">
        <v>-0.324</v>
      </c>
      <c r="AS188" s="28" t="n">
        <v>0.004</v>
      </c>
      <c r="AT188" s="28" t="n">
        <v>7.006</v>
      </c>
      <c r="AU188" s="28" t="n">
        <v>0.467</v>
      </c>
      <c r="AV188" s="28" t="n">
        <v>0.96</v>
      </c>
      <c r="AW188" s="28" t="n">
        <v>8.933</v>
      </c>
      <c r="AX188" s="28" t="n">
        <v>-0.181</v>
      </c>
      <c r="AY188" s="28" t="n">
        <v>2.387</v>
      </c>
      <c r="AZ188" s="28" t="n">
        <v>-0.219</v>
      </c>
      <c r="BA188" s="28" t="n">
        <v>-0.182</v>
      </c>
      <c r="BB188" s="28" t="n">
        <v>2.419</v>
      </c>
      <c r="BC188" s="28" t="n">
        <v>2.204</v>
      </c>
      <c r="BD188" s="28" t="n">
        <v>-0.135</v>
      </c>
      <c r="BE188" s="28" t="n">
        <v>0.998</v>
      </c>
      <c r="BF188" s="28" t="n">
        <v>1.961</v>
      </c>
      <c r="BG188" s="28" t="n">
        <v>5.018</v>
      </c>
      <c r="BH188" s="28" t="n">
        <v>0.012</v>
      </c>
      <c r="BI188" s="28" t="n">
        <v>-0.143</v>
      </c>
      <c r="BJ188" s="28" t="n">
        <v>0.144</v>
      </c>
      <c r="BK188" s="28" t="n">
        <v>-0.143</v>
      </c>
      <c r="BL188" s="28" t="n">
        <v>-0.149</v>
      </c>
      <c r="BM188" s="28" t="n">
        <v>-0.017</v>
      </c>
      <c r="BN188" s="28" t="n">
        <v>-0.178</v>
      </c>
      <c r="BO188" s="28" t="n">
        <v>-0.183</v>
      </c>
      <c r="BP188" s="28" t="n">
        <v>0.196</v>
      </c>
      <c r="BQ188" s="28" t="n">
        <v>-0.108</v>
      </c>
      <c r="BR188" s="28" t="n">
        <v>1.51</v>
      </c>
      <c r="BS188" s="28" t="n">
        <v>-1.519</v>
      </c>
      <c r="BT188" s="28" t="n">
        <v>0.029</v>
      </c>
      <c r="BU188" s="28" t="n">
        <v>0.159</v>
      </c>
      <c r="BV188" s="28" t="n">
        <v>-0.016</v>
      </c>
      <c r="BW188" s="28" t="n">
        <v>0.036</v>
      </c>
      <c r="BX188" s="28" t="n">
        <v>-0.257</v>
      </c>
      <c r="BY188" s="30" t="n">
        <v>0</v>
      </c>
      <c r="BZ188" s="30" t="n">
        <v>0</v>
      </c>
      <c r="CA188" s="29" t="n">
        <f aca="false">SUM(BW188,BX188,BY188,BZ188)</f>
        <v>-0.221</v>
      </c>
      <c r="CB188" s="30" t="n">
        <v>0</v>
      </c>
      <c r="CC188" s="30" t="n">
        <v>0</v>
      </c>
      <c r="CD188" s="30" t="n">
        <v>0</v>
      </c>
      <c r="CE188" s="30" t="n">
        <v>0</v>
      </c>
    </row>
    <row r="189" customFormat="false" ht="15" hidden="false" customHeight="false" outlineLevel="0" collapsed="false">
      <c r="B189" s="43" t="s">
        <v>377</v>
      </c>
      <c r="C189" s="44" t="n">
        <f aca="false">C183+C184+C185+C187+N(C188)</f>
        <v>80.5689999999999</v>
      </c>
      <c r="D189" s="44" t="n">
        <f aca="false">D183+D184+D185+D187+N(D188)</f>
        <v>104.328</v>
      </c>
      <c r="E189" s="44" t="n">
        <f aca="false">E183+E184+E185+E187+N(E188)</f>
        <v>111.09</v>
      </c>
      <c r="F189" s="44" t="n">
        <f aca="false">F183+F184+F185+F187+N(F188)</f>
        <v>95.221</v>
      </c>
      <c r="G189" s="44" t="n">
        <f aca="false">G183+G184+G185+G187+N(G188)</f>
        <v>106.598</v>
      </c>
      <c r="H189" s="44" t="n">
        <f aca="false">H183+H184+H185+H187+N(H188)</f>
        <v>130.423</v>
      </c>
      <c r="I189" s="44" t="n">
        <f aca="false">I183+I184+I185+I187+N(I188)</f>
        <v>98.6171237570366</v>
      </c>
      <c r="J189" s="44" t="n">
        <f aca="false">J183+J184+J185+J187+N(J188)</f>
        <v>20.943</v>
      </c>
      <c r="K189" s="44" t="n">
        <f aca="false">K183+K184+K185+K187+N(K188)</f>
        <v>33.37</v>
      </c>
      <c r="L189" s="44" t="n">
        <f aca="false">L183+L184+L185+L187+N(L188)</f>
        <v>36.3610000000001</v>
      </c>
      <c r="M189" s="44" t="n">
        <f aca="false">M183+M184+M185+M187+N(M188)</f>
        <v>47.307</v>
      </c>
      <c r="N189" s="44" t="n">
        <f aca="false">N183+N184+N185+N187+N(N188)</f>
        <v>137.981</v>
      </c>
      <c r="O189" s="44" t="n">
        <f aca="false">O183+O184+O185+O187+N(O188)</f>
        <v>35.1640000000001</v>
      </c>
      <c r="P189" s="44" t="n">
        <f aca="false">P183+P184+P185+P187+N(P188)</f>
        <v>45.809</v>
      </c>
      <c r="Q189" s="44" t="n">
        <f aca="false">Q183+Q184+Q185+Q187+N(Q188)</f>
        <v>44.3100000000001</v>
      </c>
      <c r="R189" s="44" t="n">
        <f aca="false">R183+R184+R185+R187+N(R188)</f>
        <v>46.132</v>
      </c>
      <c r="S189" s="44" t="n">
        <f aca="false">S183+S184+S185+S187+N(S188)</f>
        <v>169.949</v>
      </c>
      <c r="T189" s="44" t="n">
        <f aca="false">T183+T184+T185+T187+N(T188)</f>
        <v>43.223</v>
      </c>
      <c r="U189" s="44" t="n">
        <f aca="false">U183+U184+U185+U187+N(U188)</f>
        <v>40.121</v>
      </c>
      <c r="V189" s="44" t="n">
        <f aca="false">V183+V184+V185+V187+N(V188)</f>
        <v>38.1419999999999</v>
      </c>
      <c r="W189" s="44" t="n">
        <f aca="false">W183+W184+W185+W187+N(W188)</f>
        <v>70.762</v>
      </c>
      <c r="X189" s="44" t="n">
        <f aca="false">X183+X184+X185+X187+N(X188)</f>
        <v>178.083744035117</v>
      </c>
      <c r="Y189" s="44" t="n">
        <f aca="false">Y183+Y184+Y185+Y187+N(Y188)</f>
        <v>32.819</v>
      </c>
      <c r="Z189" s="44" t="n">
        <f aca="false">Z183+Z184+Z185+Z187+N(Z188)</f>
        <v>39.963</v>
      </c>
      <c r="AA189" s="44" t="n">
        <f aca="false">AA183+AA184+AA185+AA187+N(AA188)</f>
        <v>45.932</v>
      </c>
      <c r="AB189" s="44" t="n">
        <f aca="false">AB183+AB184+AB185+AB187+N(AB188)</f>
        <v>70.668</v>
      </c>
      <c r="AC189" s="44" t="n">
        <f aca="false">AC183+AC184+AC185+AC187+N(AC188)</f>
        <v>189.382</v>
      </c>
      <c r="AD189" s="44" t="n">
        <f aca="false">AD183+AD184+AD185+AD187+N(AD188)</f>
        <v>32.547</v>
      </c>
      <c r="AE189" s="44" t="n">
        <f aca="false">AE183+AE184+AE185+AE187+N(AE188)</f>
        <v>50.65</v>
      </c>
      <c r="AF189" s="44" t="n">
        <f aca="false">AF183+AF184+AF185+AF187+N(AF188)</f>
        <v>63.944</v>
      </c>
      <c r="AG189" s="44" t="n">
        <f aca="false">AG183+AG184+AG185+AG187+N(AG188)</f>
        <v>67.75</v>
      </c>
      <c r="AH189" s="44" t="n">
        <f aca="false">AH183+AH184+AH185+AH187+N(AH188)</f>
        <v>214.891</v>
      </c>
      <c r="AI189" s="44" t="n">
        <f aca="false">AI183+AI184+AI185+AI187+N(AI188)</f>
        <v>43.643</v>
      </c>
      <c r="AJ189" s="44" t="n">
        <f aca="false">AJ183+AJ184+AJ185+AJ187+N(AJ188)</f>
        <v>80.1957084089095</v>
      </c>
      <c r="AK189" s="44" t="n">
        <f aca="false">AK183+AK184+AK185+AK187+N(AK188)</f>
        <v>75.3681553135861</v>
      </c>
      <c r="AL189" s="44" t="n">
        <f aca="false">AL183+AL184+AL185+AL187+N(AL188)</f>
        <v>83.1861442271353</v>
      </c>
      <c r="AM189" s="44" t="n">
        <f aca="false">AM183+AM184+AM185+AM187+N(AM188)</f>
        <v>282.292946462908</v>
      </c>
      <c r="AN189" s="44" t="n">
        <f aca="false">AN183+AN184+AN185+AN187+N(AN188)</f>
        <v>55.9750634154674</v>
      </c>
      <c r="AO189" s="44" t="n">
        <f aca="false">AO183+AO184+AO185+AO187+N(AO188)</f>
        <v>81.7454450750994</v>
      </c>
      <c r="AP189" s="44" t="n">
        <f aca="false">AP183+AP184+AP185+AP187+N(AP188)</f>
        <v>83.8403149663855</v>
      </c>
      <c r="AQ189" s="44" t="n">
        <f aca="false">AQ183+AQ184+AQ185+AQ187+N(AQ188)</f>
        <v>91.1306524839433</v>
      </c>
      <c r="AR189" s="44" t="n">
        <f aca="false">AR183+AR184+AR185+AR187+N(AR188)</f>
        <v>312.726200894411</v>
      </c>
      <c r="AS189" s="44" t="n">
        <f aca="false">AS183+AS184+AS185+AS187+N(AS188)</f>
        <v>57.3120015747138</v>
      </c>
      <c r="AT189" s="44" t="n">
        <f aca="false">AT183+AT184+AT185+AT187+N(AT188)</f>
        <v>54.8298629502212</v>
      </c>
      <c r="AU189" s="44" t="n">
        <f aca="false">AU183+AU184+AU185+AU187+N(AU188)</f>
        <v>77.324360103787</v>
      </c>
      <c r="AV189" s="44" t="n">
        <f aca="false">AV183+AV184+AV185+AV187+N(AV188)</f>
        <v>99.0890527156086</v>
      </c>
      <c r="AW189" s="44" t="n">
        <f aca="false">AW183+AW184+AW185+AW187+N(AW188)</f>
        <v>288.532631158977</v>
      </c>
      <c r="AX189" s="44" t="n">
        <f aca="false">AX183+AX184+AX185+AX187+N(AX188)</f>
        <v>62.0654514821763</v>
      </c>
      <c r="AY189" s="44" t="n">
        <f aca="false">AY183+AY184+AY185+AY187+N(AY188)</f>
        <v>64.0968178989428</v>
      </c>
      <c r="AZ189" s="44" t="n">
        <f aca="false">AZ183+AZ184+AZ185+AZ187+N(AZ188)</f>
        <v>76.9861096002891</v>
      </c>
      <c r="BA189" s="44" t="n">
        <f aca="false">BA183+BA184+BA185+BA187+N(BA188)</f>
        <v>94.8575085081727</v>
      </c>
      <c r="BB189" s="44" t="n">
        <f aca="false">BB183+BB184+BB185+BB187+N(BB188)</f>
        <v>298.018892104595</v>
      </c>
      <c r="BC189" s="44" t="n">
        <f aca="false">BC183+BC184+BC185+BC187+N(BC188)</f>
        <v>50.6548549937936</v>
      </c>
      <c r="BD189" s="44" t="n">
        <f aca="false">BD183+BD184+BD185+BD187+N(BD188)</f>
        <v>70.737</v>
      </c>
      <c r="BE189" s="44" t="n">
        <f aca="false">BE183+BE184+BE185+BE187+N(BE188)</f>
        <v>79.9993049767805</v>
      </c>
      <c r="BF189" s="44" t="n">
        <f aca="false">BF183+BF184+BF185+BF187+N(BF188)</f>
        <v>112.808643282718</v>
      </c>
      <c r="BG189" s="44" t="n">
        <f aca="false">BG183+BG184+BG185+BG187+N(BG188)</f>
        <v>314.215942250923</v>
      </c>
      <c r="BH189" s="44" t="n">
        <f aca="false">BH183+BH184+BH185+BH187+N(BH188)</f>
        <v>58.9294057572374</v>
      </c>
      <c r="BI189" s="44" t="n">
        <f aca="false">BI183+BI184+BI185+BI187+N(BI188)</f>
        <v>82.8929061066608</v>
      </c>
      <c r="BJ189" s="44" t="n">
        <f aca="false">BJ183+BJ184+BJ185+BJ187+N(BJ188)</f>
        <v>97.9374201942604</v>
      </c>
      <c r="BK189" s="44" t="n">
        <f aca="false">BK183+BK184+BK185+BK187+N(BK188)</f>
        <v>121.676255887791</v>
      </c>
      <c r="BL189" s="44" t="n">
        <f aca="false">BL183+BL184+BL185+BL187+N(BL188)</f>
        <v>361.40164334118</v>
      </c>
      <c r="BM189" s="44" t="n">
        <f aca="false">BM183+BM184+BM185+BM187+N(BM188)</f>
        <v>76.4780000000001</v>
      </c>
      <c r="BN189" s="44" t="n">
        <f aca="false">BN183+BN184+BN185+BN187+N(BN188)</f>
        <v>102.797780602182</v>
      </c>
      <c r="BO189" s="44" t="n">
        <f aca="false">BO183+BO184+BO185+BO187+N(BO188)</f>
        <v>114.199859052646</v>
      </c>
      <c r="BP189" s="44" t="n">
        <f aca="false">BP183+BP184+BP185+BP187+N(BP188)</f>
        <v>124.70777847841</v>
      </c>
      <c r="BQ189" s="44" t="n">
        <f aca="false">BQ183+BQ184+BQ185+BQ187+N(BQ188)</f>
        <v>418.266197116784</v>
      </c>
      <c r="BR189" s="44" t="n">
        <f aca="false">BR183+BR184+BR185+BR187+N(BR188)</f>
        <v>106.739529378377</v>
      </c>
      <c r="BS189" s="44" t="n">
        <f aca="false">BS183+BS184+BS185+BS187+N(BS188)</f>
        <v>122.426335374605</v>
      </c>
      <c r="BT189" s="44" t="n">
        <f aca="false">BT183+BT184+BT185+BT187+N(BT188)</f>
        <v>128.053975023735</v>
      </c>
      <c r="BU189" s="44" t="n">
        <f aca="false">BU183+BU184+BU185+BU187+N(BU188)</f>
        <v>140.881488</v>
      </c>
      <c r="BV189" s="44" t="n">
        <f aca="false">BV183+BV184+BV185+BV187+N(BV188)</f>
        <v>497.858418354542</v>
      </c>
      <c r="BW189" s="44" t="n">
        <f aca="false">BW183+BW184+BW185+BW187+N(BW188)</f>
        <v>128.961386175641</v>
      </c>
      <c r="BX189" s="44" t="n">
        <f aca="false">BX183+BX184+BX185+BX187+N(BX188)</f>
        <v>138.086675421395</v>
      </c>
      <c r="BY189" s="44" t="n">
        <f aca="false">BY183+BY184+BY185+BY187+N(BY188)</f>
        <v>144.346734588941</v>
      </c>
      <c r="BZ189" s="44" t="n">
        <f aca="false">BZ183+BZ184+BZ185+BZ187+N(BZ188)</f>
        <v>157.495970411059</v>
      </c>
      <c r="CA189" s="44" t="n">
        <f aca="false">CA183+CA184+CA185+CA187+N(CA188)</f>
        <v>568.890766597036</v>
      </c>
      <c r="CB189" s="44" t="n">
        <f aca="false">CB183+CB184+CB185+CB187+N(CB188)</f>
        <v>637.700488116085</v>
      </c>
      <c r="CC189" s="44" t="n">
        <f aca="false">CC183+CC184+CC185+CC187+N(CC188)</f>
        <v>703.739982114</v>
      </c>
      <c r="CD189" s="44" t="n">
        <f aca="false">CD183+CD184+CD185+CD187+N(CD188)</f>
        <v>768.951488271915</v>
      </c>
      <c r="CE189" s="44" t="n">
        <f aca="false">CE183+CE184+CE185+CE187+N(CE188)</f>
        <v>838.05971943774</v>
      </c>
    </row>
    <row r="190" customFormat="false" ht="15" hidden="false" customHeight="false" outlineLevel="0" collapsed="false">
      <c r="B190" s="20" t="s">
        <v>315</v>
      </c>
      <c r="C190" s="39" t="n">
        <f aca="false">C143</f>
        <v>44.334</v>
      </c>
      <c r="D190" s="39" t="n">
        <f aca="false">D143</f>
        <v>44.979</v>
      </c>
      <c r="E190" s="39" t="n">
        <f aca="false">E143</f>
        <v>45.374</v>
      </c>
      <c r="F190" s="39" t="n">
        <f aca="false">F143</f>
        <v>45.695</v>
      </c>
      <c r="G190" s="39" t="n">
        <f aca="false">G143</f>
        <v>46.322</v>
      </c>
      <c r="H190" s="39" t="n">
        <f aca="false">H143</f>
        <v>47.013</v>
      </c>
      <c r="I190" s="39" t="n">
        <f aca="false">I143</f>
        <v>47.412</v>
      </c>
      <c r="J190" s="39" t="n">
        <f aca="false">J143</f>
        <v>47.483</v>
      </c>
      <c r="K190" s="39" t="n">
        <f aca="false">K143</f>
        <v>47.507</v>
      </c>
      <c r="L190" s="39" t="n">
        <f aca="false">L143</f>
        <v>48.063</v>
      </c>
      <c r="M190" s="39" t="n">
        <f aca="false">M143</f>
        <v>48.591</v>
      </c>
      <c r="N190" s="39" t="n">
        <f aca="false">N143</f>
        <v>47.912</v>
      </c>
      <c r="O190" s="39" t="n">
        <f aca="false">O143</f>
        <v>49.13</v>
      </c>
      <c r="P190" s="39" t="n">
        <f aca="false">P143</f>
        <v>49.239</v>
      </c>
      <c r="Q190" s="39" t="n">
        <f aca="false">Q143</f>
        <v>49.101</v>
      </c>
      <c r="R190" s="39" t="n">
        <f aca="false">R143</f>
        <v>48.905</v>
      </c>
      <c r="S190" s="39" t="n">
        <f aca="false">S143</f>
        <v>49.075</v>
      </c>
      <c r="T190" s="39" t="n">
        <f aca="false">T143</f>
        <v>48.732</v>
      </c>
      <c r="U190" s="39" t="n">
        <f aca="false">U143</f>
        <v>48.258</v>
      </c>
      <c r="V190" s="39" t="n">
        <f aca="false">V143</f>
        <v>47.395</v>
      </c>
      <c r="W190" s="39" t="n">
        <f aca="false">W143</f>
        <v>46.143</v>
      </c>
      <c r="X190" s="39" t="n">
        <f aca="false">X143</f>
        <v>47.616</v>
      </c>
      <c r="Y190" s="39" t="n">
        <f aca="false">Y143</f>
        <v>45.24</v>
      </c>
      <c r="Z190" s="39" t="n">
        <f aca="false">Z143</f>
        <v>45.164</v>
      </c>
      <c r="AA190" s="39" t="n">
        <f aca="false">AA143</f>
        <v>44.997</v>
      </c>
      <c r="AB190" s="39" t="n">
        <f aca="false">AB143</f>
        <v>44.783</v>
      </c>
      <c r="AC190" s="39" t="n">
        <f aca="false">AC143</f>
        <v>45.045</v>
      </c>
      <c r="AD190" s="39" t="n">
        <f aca="false">AD143</f>
        <v>44.86</v>
      </c>
      <c r="AE190" s="39" t="n">
        <f aca="false">AE143</f>
        <v>44.807</v>
      </c>
      <c r="AF190" s="39" t="n">
        <f aca="false">AF143</f>
        <v>44.686</v>
      </c>
      <c r="AG190" s="39" t="n">
        <f aca="false">AG143</f>
        <v>44.692</v>
      </c>
      <c r="AH190" s="39" t="n">
        <f aca="false">AH143</f>
        <v>44.761</v>
      </c>
      <c r="AI190" s="39" t="n">
        <f aca="false">AI143</f>
        <v>44.678</v>
      </c>
      <c r="AJ190" s="39" t="n">
        <f aca="false">AJ143</f>
        <v>44.553</v>
      </c>
      <c r="AK190" s="39" t="n">
        <f aca="false">AK143</f>
        <v>44.334</v>
      </c>
      <c r="AL190" s="39" t="n">
        <f aca="false">AL143</f>
        <v>43.782</v>
      </c>
      <c r="AM190" s="39" t="n">
        <f aca="false">AM143</f>
        <v>44.316</v>
      </c>
      <c r="AN190" s="39" t="n">
        <f aca="false">AN143</f>
        <v>43.058</v>
      </c>
      <c r="AO190" s="39" t="n">
        <f aca="false">AO143</f>
        <v>43.024</v>
      </c>
      <c r="AP190" s="39" t="n">
        <f aca="false">AP143</f>
        <v>42.995</v>
      </c>
      <c r="AQ190" s="39" t="n">
        <f aca="false">AQ143</f>
        <v>42.986</v>
      </c>
      <c r="AR190" s="39" t="n">
        <f aca="false">AR143</f>
        <v>43.016</v>
      </c>
      <c r="AS190" s="39" t="n">
        <f aca="false">AS143</f>
        <v>42.77</v>
      </c>
      <c r="AT190" s="39" t="n">
        <f aca="false">AT143</f>
        <v>41.855</v>
      </c>
      <c r="AU190" s="39" t="n">
        <f aca="false">AU143</f>
        <v>41.797</v>
      </c>
      <c r="AV190" s="39" t="n">
        <f aca="false">AV143</f>
        <v>41.46</v>
      </c>
      <c r="AW190" s="39" t="n">
        <f aca="false">AW143</f>
        <v>41.999</v>
      </c>
      <c r="AX190" s="39" t="n">
        <f aca="false">AX143</f>
        <v>41.103</v>
      </c>
      <c r="AY190" s="39" t="n">
        <f aca="false">AY143</f>
        <v>41.088</v>
      </c>
      <c r="AZ190" s="39" t="n">
        <f aca="false">AZ143</f>
        <v>40.95</v>
      </c>
      <c r="BA190" s="39" t="n">
        <f aca="false">BA143</f>
        <v>39.524</v>
      </c>
      <c r="BB190" s="39" t="n">
        <f aca="false">BB143</f>
        <v>40.602</v>
      </c>
      <c r="BC190" s="39" t="n">
        <f aca="false">BC143</f>
        <v>38.668</v>
      </c>
      <c r="BD190" s="39" t="n">
        <f aca="false">BD143</f>
        <v>38.654</v>
      </c>
      <c r="BE190" s="39" t="n">
        <f aca="false">BE143</f>
        <v>38.647</v>
      </c>
      <c r="BF190" s="39" t="n">
        <f aca="false">BF143</f>
        <v>38.633</v>
      </c>
      <c r="BG190" s="39" t="n">
        <f aca="false">BG143</f>
        <v>38.649</v>
      </c>
      <c r="BH190" s="39" t="n">
        <f aca="false">BH143</f>
        <v>38.516</v>
      </c>
      <c r="BI190" s="39" t="n">
        <f aca="false">BI143</f>
        <v>38.555</v>
      </c>
      <c r="BJ190" s="39" t="n">
        <f aca="false">BJ143</f>
        <v>38.558</v>
      </c>
      <c r="BK190" s="39" t="n">
        <f aca="false">BK143</f>
        <v>38.505</v>
      </c>
      <c r="BL190" s="39" t="n">
        <f aca="false">BL143</f>
        <v>38.529</v>
      </c>
      <c r="BM190" s="39" t="n">
        <f aca="false">BM143</f>
        <v>38.431</v>
      </c>
      <c r="BN190" s="39" t="n">
        <f aca="false">BN143</f>
        <v>38.501</v>
      </c>
      <c r="BO190" s="39" t="n">
        <f aca="false">BO143</f>
        <v>38.451</v>
      </c>
      <c r="BP190" s="39" t="n">
        <f aca="false">BP143</f>
        <v>38.137</v>
      </c>
      <c r="BQ190" s="39" t="n">
        <f aca="false">BQ143</f>
        <v>38.373</v>
      </c>
      <c r="BR190" s="39" t="n">
        <f aca="false">BR143</f>
        <v>37.851</v>
      </c>
      <c r="BS190" s="39" t="n">
        <f aca="false">BS143</f>
        <v>37.903</v>
      </c>
      <c r="BT190" s="39" t="n">
        <f aca="false">BT143</f>
        <v>37.663</v>
      </c>
      <c r="BU190" s="39" t="n">
        <f aca="false">BU143</f>
        <v>37.172</v>
      </c>
      <c r="BV190" s="39" t="n">
        <f aca="false">BV143</f>
        <v>37.631</v>
      </c>
      <c r="BW190" s="39" t="n">
        <f aca="false">BW143</f>
        <v>37.058</v>
      </c>
      <c r="BX190" s="39" t="n">
        <f aca="false">BX143</f>
        <v>37.12</v>
      </c>
      <c r="BY190" s="29" t="n">
        <f aca="false">BY143</f>
        <v>36.8994968853935</v>
      </c>
      <c r="BZ190" s="29" t="n">
        <f aca="false">BZ143</f>
        <v>36.6238679921354</v>
      </c>
      <c r="CA190" s="29" t="n">
        <f aca="false">CA143</f>
        <v>36.9253412193822</v>
      </c>
      <c r="CB190" s="29" t="n">
        <f aca="false">CB143</f>
        <v>36.4238106242812</v>
      </c>
      <c r="CC190" s="29" t="n">
        <f aca="false">CC143</f>
        <v>35.947460010072</v>
      </c>
      <c r="CD190" s="29" t="n">
        <f aca="false">CD143</f>
        <v>35.4736475823358</v>
      </c>
      <c r="CE190" s="29" t="n">
        <f aca="false">CE143</f>
        <v>34.9382932387107</v>
      </c>
    </row>
    <row r="191" customFormat="false" ht="15" hidden="false" customHeight="false" outlineLevel="0" collapsed="false">
      <c r="B191" s="43" t="s">
        <v>378</v>
      </c>
      <c r="C191" s="56" t="n">
        <f aca="false">IF(AND(ISNUMBER(C189),ISNUMBER(C190)),IFERROR(C189/C190,""),"")</f>
        <v>1.81731853656336</v>
      </c>
      <c r="D191" s="56" t="n">
        <f aca="false">IF(AND(ISNUMBER(D189),ISNUMBER(D190)),IFERROR(D189/D190,""),"")</f>
        <v>2.31948242513173</v>
      </c>
      <c r="E191" s="56" t="n">
        <f aca="false">IF(AND(ISNUMBER(E189),ISNUMBER(E190)),IFERROR(E189/E190,""),"")</f>
        <v>2.44831842024067</v>
      </c>
      <c r="F191" s="56" t="n">
        <f aca="false">IF(AND(ISNUMBER(F189),ISNUMBER(F190)),IFERROR(F189/F190,""),"")</f>
        <v>2.08383849436481</v>
      </c>
      <c r="G191" s="56" t="n">
        <f aca="false">IF(AND(ISNUMBER(G189),ISNUMBER(G190)),IFERROR(G189/G190,""),"")</f>
        <v>2.3012391520228</v>
      </c>
      <c r="H191" s="56" t="n">
        <f aca="false">IF(AND(ISNUMBER(H189),ISNUMBER(H190)),IFERROR(H189/H190,""),"")</f>
        <v>2.77419011762704</v>
      </c>
      <c r="I191" s="56" t="n">
        <f aca="false">IF(AND(ISNUMBER(I189),ISNUMBER(I190)),IFERROR(I189/I190,""),"")</f>
        <v>2.08000345391539</v>
      </c>
      <c r="J191" s="56" t="n">
        <f aca="false">IF(AND(ISNUMBER(J189),ISNUMBER(J190)),IFERROR(J189/J190,""),"")</f>
        <v>0.441063117326201</v>
      </c>
      <c r="K191" s="56" t="n">
        <f aca="false">IF(AND(ISNUMBER(K189),ISNUMBER(K190)),IFERROR(K189/K190,""),"")</f>
        <v>0.702422800850401</v>
      </c>
      <c r="L191" s="56" t="n">
        <f aca="false">IF(AND(ISNUMBER(L189),ISNUMBER(L190)),IFERROR(L189/L190,""),"")</f>
        <v>0.756527890477083</v>
      </c>
      <c r="M191" s="56" t="n">
        <f aca="false">IF(AND(ISNUMBER(M189),ISNUMBER(M190)),IFERROR(M189/M190,""),"")</f>
        <v>0.973575353460518</v>
      </c>
      <c r="N191" s="56" t="n">
        <f aca="false">IF(AND(ISNUMBER(N189),ISNUMBER(N190)),IFERROR(N189/N190,""),"")</f>
        <v>2.87988395391551</v>
      </c>
      <c r="O191" s="56" t="n">
        <f aca="false">IF(AND(ISNUMBER(O189),ISNUMBER(O190)),IFERROR(O189/O190,""),"")</f>
        <v>0.715733767555466</v>
      </c>
      <c r="P191" s="56" t="n">
        <f aca="false">IF(AND(ISNUMBER(P189),ISNUMBER(P190)),IFERROR(P189/P190,""),"")</f>
        <v>0.930339771319482</v>
      </c>
      <c r="Q191" s="56" t="n">
        <f aca="false">IF(AND(ISNUMBER(Q189),ISNUMBER(Q190)),IFERROR(Q189/Q190,""),"")</f>
        <v>0.902425612512985</v>
      </c>
      <c r="R191" s="56" t="n">
        <f aca="false">IF(AND(ISNUMBER(R189),ISNUMBER(R190)),IFERROR(R189/R190,""),"")</f>
        <v>0.943298231264698</v>
      </c>
      <c r="S191" s="56" t="n">
        <f aca="false">IF(AND(ISNUMBER(S189),ISNUMBER(S190)),IFERROR(S189/S190,""),"")</f>
        <v>3.4630463576159</v>
      </c>
      <c r="T191" s="56" t="n">
        <f aca="false">IF(AND(ISNUMBER(T189),ISNUMBER(T190)),IFERROR(T189/T190,""),"")</f>
        <v>0.886953131412623</v>
      </c>
      <c r="U191" s="56" t="n">
        <f aca="false">IF(AND(ISNUMBER(U189),ISNUMBER(U190)),IFERROR(U189/U190,""),"")</f>
        <v>0.83138546976667</v>
      </c>
      <c r="V191" s="56" t="n">
        <f aca="false">IF(AND(ISNUMBER(V189),ISNUMBER(V190)),IFERROR(V189/V190,""),"")</f>
        <v>0.804768435488975</v>
      </c>
      <c r="W191" s="56" t="n">
        <f aca="false">IF(AND(ISNUMBER(W189),ISNUMBER(W190)),IFERROR(W189/W190,""),"")</f>
        <v>1.53353704787292</v>
      </c>
      <c r="X191" s="56" t="n">
        <f aca="false">IF(AND(ISNUMBER(X189),ISNUMBER(X190)),IFERROR(X189/X190,""),"")</f>
        <v>3.73999798460847</v>
      </c>
      <c r="Y191" s="56" t="n">
        <f aca="false">IF(AND(ISNUMBER(Y189),ISNUMBER(Y190)),IFERROR(Y189/Y190,""),"")</f>
        <v>0.725442086648984</v>
      </c>
      <c r="Z191" s="56" t="n">
        <f aca="false">IF(AND(ISNUMBER(Z189),ISNUMBER(Z190)),IFERROR(Z189/Z190,""),"")</f>
        <v>0.88484190948543</v>
      </c>
      <c r="AA191" s="56" t="n">
        <f aca="false">IF(AND(ISNUMBER(AA189),ISNUMBER(AA190)),IFERROR(AA189/AA190,""),"")</f>
        <v>1.02077916305532</v>
      </c>
      <c r="AB191" s="56" t="n">
        <f aca="false">IF(AND(ISNUMBER(AB189),ISNUMBER(AB190)),IFERROR(AB189/AB190,""),"")</f>
        <v>1.57800951253824</v>
      </c>
      <c r="AC191" s="56" t="n">
        <f aca="false">IF(AND(ISNUMBER(AC189),ISNUMBER(AC190)),IFERROR(AC189/AC190,""),"")</f>
        <v>4.2042846042846</v>
      </c>
      <c r="AD191" s="56" t="n">
        <f aca="false">IF(AND(ISNUMBER(AD189),ISNUMBER(AD190)),IFERROR(AD189/AD190,""),"")</f>
        <v>0.725523851983951</v>
      </c>
      <c r="AE191" s="56" t="n">
        <f aca="false">IF(AND(ISNUMBER(AE189),ISNUMBER(AE190)),IFERROR(AE189/AE190,""),"")</f>
        <v>1.1304037315598</v>
      </c>
      <c r="AF191" s="56" t="n">
        <f aca="false">IF(AND(ISNUMBER(AF189),ISNUMBER(AF190)),IFERROR(AF189/AF190,""),"")</f>
        <v>1.43096271762968</v>
      </c>
      <c r="AG191" s="56" t="n">
        <f aca="false">IF(AND(ISNUMBER(AG189),ISNUMBER(AG190)),IFERROR(AG189/AG190,""),"")</f>
        <v>1.51593126286584</v>
      </c>
      <c r="AH191" s="56" t="n">
        <f aca="false">IF(AND(ISNUMBER(AH189),ISNUMBER(AH190)),IFERROR(AH189/AH190,""),"")</f>
        <v>4.80085342150533</v>
      </c>
      <c r="AI191" s="56" t="n">
        <f aca="false">IF(AND(ISNUMBER(AI189),ISNUMBER(AI190)),IFERROR(AI189/AI190,""),"")</f>
        <v>0.976834236089351</v>
      </c>
      <c r="AJ191" s="56" t="n">
        <f aca="false">IF(AND(ISNUMBER(AJ189),ISNUMBER(AJ190)),IFERROR(AJ189/AJ190,""),"")</f>
        <v>1.80000692229276</v>
      </c>
      <c r="AK191" s="56" t="n">
        <f aca="false">IF(AND(ISNUMBER(AK189),ISNUMBER(AK190)),IFERROR(AK189/AK190,""),"")</f>
        <v>1.70000801447165</v>
      </c>
      <c r="AL191" s="56" t="n">
        <f aca="false">IF(AND(ISNUMBER(AL189),ISNUMBER(AL190)),IFERROR(AL189/AL190,""),"")</f>
        <v>1.9000078622981</v>
      </c>
      <c r="AM191" s="56" t="n">
        <f aca="false">IF(AND(ISNUMBER(AM189),ISNUMBER(AM190)),IFERROR(AM189/AM190,""),"")</f>
        <v>6.37000059714118</v>
      </c>
      <c r="AN191" s="56" t="n">
        <f aca="false">IF(AND(ISNUMBER(AN189),ISNUMBER(AN190)),IFERROR(AN189/AN190,""),"")</f>
        <v>1.29999218299659</v>
      </c>
      <c r="AO191" s="56" t="n">
        <f aca="false">IF(AND(ISNUMBER(AO189),ISNUMBER(AO190)),IFERROR(AO189/AO190,""),"")</f>
        <v>1.89999639910514</v>
      </c>
      <c r="AP191" s="56" t="n">
        <f aca="false">IF(AND(ISNUMBER(AP189),ISNUMBER(AP190)),IFERROR(AP189/AP190,""),"")</f>
        <v>1.95000151102188</v>
      </c>
      <c r="AQ191" s="56" t="n">
        <f aca="false">IF(AND(ISNUMBER(AQ189),ISNUMBER(AQ190)),IFERROR(AQ189/AQ190,""),"")</f>
        <v>2.120007734703</v>
      </c>
      <c r="AR191" s="56" t="n">
        <f aca="false">IF(AND(ISNUMBER(AR189),ISNUMBER(AR190)),IFERROR(AR189/AR190,""),"")</f>
        <v>7.26999723113286</v>
      </c>
      <c r="AS191" s="56" t="n">
        <f aca="false">IF(AND(ISNUMBER(AS189),ISNUMBER(AS190)),IFERROR(AS189/AS190,""),"")</f>
        <v>1.34000471299307</v>
      </c>
      <c r="AT191" s="56" t="n">
        <f aca="false">IF(AND(ISNUMBER(AT189),ISNUMBER(AT190)),IFERROR(AT189/AT190,""),"")</f>
        <v>1.30999553100516</v>
      </c>
      <c r="AU191" s="56" t="n">
        <f aca="false">IF(AND(ISNUMBER(AU189),ISNUMBER(AU190)),IFERROR(AU189/AU190,""),"")</f>
        <v>1.84999784921853</v>
      </c>
      <c r="AV191" s="56" t="n">
        <f aca="false">IF(AND(ISNUMBER(AV189),ISNUMBER(AV190)),IFERROR(AV189/AV190,""),"")</f>
        <v>2.3899916236278</v>
      </c>
      <c r="AW191" s="56" t="n">
        <f aca="false">IF(AND(ISNUMBER(AW189),ISNUMBER(AW190)),IFERROR(AW189/AW190,""),"")</f>
        <v>6.86998812254998</v>
      </c>
      <c r="AX191" s="56" t="n">
        <f aca="false">IF(AND(ISNUMBER(AX189),ISNUMBER(AX190)),IFERROR(AX189/AX190,""),"")</f>
        <v>1.5099980897301</v>
      </c>
      <c r="AY191" s="56" t="n">
        <f aca="false">IF(AND(ISNUMBER(AY189),ISNUMBER(AY190)),IFERROR(AY189/AY190,""),"")</f>
        <v>1.55998875338159</v>
      </c>
      <c r="AZ191" s="56" t="n">
        <f aca="false">IF(AND(ISNUMBER(AZ189),ISNUMBER(AZ190)),IFERROR(AZ189/AZ190,""),"")</f>
        <v>1.88000267644174</v>
      </c>
      <c r="BA191" s="56" t="n">
        <f aca="false">IF(AND(ISNUMBER(BA189),ISNUMBER(BA190)),IFERROR(BA189/BA190,""),"")</f>
        <v>2.39999768515769</v>
      </c>
      <c r="BB191" s="56" t="n">
        <f aca="false">IF(AND(ISNUMBER(BB189),ISNUMBER(BB190)),IFERROR(BB189/BB190,""),"")</f>
        <v>7.34000522399377</v>
      </c>
      <c r="BC191" s="56" t="n">
        <f aca="false">IF(AND(ISNUMBER(BC189),ISNUMBER(BC190)),IFERROR(BC189/BC190,""),"")</f>
        <v>1.30999418107463</v>
      </c>
      <c r="BD191" s="56" t="n">
        <f aca="false">IF(AND(ISNUMBER(BD189),ISNUMBER(BD190)),IFERROR(BD189/BD190,""),"")</f>
        <v>1.83000465669788</v>
      </c>
      <c r="BE191" s="56" t="n">
        <f aca="false">IF(AND(ISNUMBER(BE189),ISNUMBER(BE190)),IFERROR(BE189/BE190,""),"")</f>
        <v>2.07000038752764</v>
      </c>
      <c r="BF191" s="56" t="n">
        <f aca="false">IF(AND(ISNUMBER(BF189),ISNUMBER(BF190)),IFERROR(BF189/BF190,""),"")</f>
        <v>2.92000733266165</v>
      </c>
      <c r="BG191" s="56" t="n">
        <f aca="false">IF(AND(ISNUMBER(BG189),ISNUMBER(BG190)),IFERROR(BG189/BG190,""),"")</f>
        <v>8.12998893246716</v>
      </c>
      <c r="BH191" s="56" t="n">
        <f aca="false">IF(AND(ISNUMBER(BH189),ISNUMBER(BH190)),IFERROR(BH189/BH190,""),"")</f>
        <v>1.52999807241763</v>
      </c>
      <c r="BI191" s="56" t="n">
        <f aca="false">IF(AND(ISNUMBER(BI189),ISNUMBER(BI190)),IFERROR(BI189/BI190,""),"")</f>
        <v>2.14999108044769</v>
      </c>
      <c r="BJ191" s="56" t="n">
        <f aca="false">IF(AND(ISNUMBER(BJ189),ISNUMBER(BJ190)),IFERROR(BJ189/BJ190,""),"")</f>
        <v>2.54000259853365</v>
      </c>
      <c r="BK191" s="56" t="n">
        <f aca="false">IF(AND(ISNUMBER(BK189),ISNUMBER(BK190)),IFERROR(BK189/BK190,""),"")</f>
        <v>3.1600118397037</v>
      </c>
      <c r="BL191" s="56" t="n">
        <f aca="false">IF(AND(ISNUMBER(BL189),ISNUMBER(BL190)),IFERROR(BL189/BL190,""),"")</f>
        <v>9.37999022401774</v>
      </c>
      <c r="BM191" s="56" t="n">
        <f aca="false">IF(AND(ISNUMBER(BM189),ISNUMBER(BM190)),IFERROR(BM189/BM190,""),"")</f>
        <v>1.99000806640473</v>
      </c>
      <c r="BN191" s="56" t="n">
        <f aca="false">IF(AND(ISNUMBER(BN189),ISNUMBER(BN190)),IFERROR(BN189/BN190,""),"")</f>
        <v>2.67000287270932</v>
      </c>
      <c r="BO191" s="56" t="n">
        <f aca="false">IF(AND(ISNUMBER(BO189),ISNUMBER(BO190)),IFERROR(BO189/BO190,""),"")</f>
        <v>2.97001011814116</v>
      </c>
      <c r="BP191" s="56" t="n">
        <f aca="false">IF(AND(ISNUMBER(BP189),ISNUMBER(BP190)),IFERROR(BP189/BP190,""),"")</f>
        <v>3.26999445363846</v>
      </c>
      <c r="BQ191" s="56" t="n">
        <f aca="false">IF(AND(ISNUMBER(BQ189),ISNUMBER(BQ190)),IFERROR(BQ189/BQ190,""),"")</f>
        <v>10.9000129548585</v>
      </c>
      <c r="BR191" s="56" t="n">
        <f aca="false">IF(AND(ISNUMBER(BR189),ISNUMBER(BR190)),IFERROR(BR189/BR190,""),"")</f>
        <v>2.81999232195655</v>
      </c>
      <c r="BS191" s="56" t="n">
        <f aca="false">IF(AND(ISNUMBER(BS189),ISNUMBER(BS190)),IFERROR(BS189/BS190,""),"")</f>
        <v>3.22999064387002</v>
      </c>
      <c r="BT191" s="56" t="n">
        <f aca="false">IF(AND(ISNUMBER(BT189),ISNUMBER(BT190)),IFERROR(BT189/BT190,""),"")</f>
        <v>3.39999402659733</v>
      </c>
      <c r="BU191" s="56" t="n">
        <f aca="false">IF(AND(ISNUMBER(BU189),ISNUMBER(BU190)),IFERROR(BU189/BU190,""),"")</f>
        <v>3.78998945442806</v>
      </c>
      <c r="BV191" s="56" t="n">
        <f aca="false">IF(AND(ISNUMBER(BV189),ISNUMBER(BV190)),IFERROR(BV189/BV190,""),"")</f>
        <v>13.2300076626861</v>
      </c>
      <c r="BW191" s="56" t="n">
        <f aca="false">IF(AND(ISNUMBER(BW189),ISNUMBER(BW190)),IFERROR(BW189/BW190,""),"")</f>
        <v>3.47998775367373</v>
      </c>
      <c r="BX191" s="56" t="n">
        <f aca="false">IF(AND(ISNUMBER(BX189),ISNUMBER(BX190)),IFERROR(BX189/BX190,""),"")</f>
        <v>3.72000741975742</v>
      </c>
      <c r="BY191" s="56" t="n">
        <f aca="false">IFERROR(BY189/BY190,"")</f>
        <v>3.91188896253164</v>
      </c>
      <c r="BZ191" s="56" t="n">
        <f aca="false">IFERROR(BZ189/BZ190,"")</f>
        <v>4.30036418995611</v>
      </c>
      <c r="CA191" s="56" t="n">
        <f aca="false">IFERROR(CA189/CA190,"")</f>
        <v>15.4065134623163</v>
      </c>
      <c r="CB191" s="56" t="n">
        <f aca="false">IFERROR(CB189/CB190,"")</f>
        <v>17.507791666668</v>
      </c>
      <c r="CC191" s="56" t="n">
        <f aca="false">IFERROR(CC189/CC190,"")</f>
        <v>19.5769042351483</v>
      </c>
      <c r="CD191" s="56" t="n">
        <f aca="false">IFERROR(CD189/CD190,"")</f>
        <v>21.6766963839043</v>
      </c>
      <c r="CE191" s="56" t="n">
        <f aca="false">IFERROR(CE189/CE190,"")</f>
        <v>23.9868534422052</v>
      </c>
      <c r="CH191" s="19" t="n">
        <f aca="false">IFERROR((CE191/BV191)^(1/5)-1,"n/m")</f>
        <v>0.126374052007542</v>
      </c>
      <c r="CI191" s="19" t="n">
        <f aca="false">IFERROR((BV191/AW191)^(1/5)-1,"n/m")</f>
        <v>0.140041922660811</v>
      </c>
      <c r="CJ191" s="19" t="n">
        <f aca="false">IFERROR((BV191/X191)^(1/10)-1,"n/m")</f>
        <v>0.13466817172756</v>
      </c>
      <c r="CK191" s="19" t="n">
        <f aca="false">IFERROR((BV191/C191)^(1/19)-1,"n/m")</f>
        <v>0.110133510827722</v>
      </c>
    </row>
    <row r="192" customFormat="false" ht="15" hidden="false" customHeight="false" outlineLevel="0" collapsed="false">
      <c r="B192" s="20" t="s">
        <v>379</v>
      </c>
      <c r="I192" s="53" t="n">
        <v>2.08</v>
      </c>
      <c r="X192" s="53" t="n">
        <v>3.74</v>
      </c>
      <c r="AJ192" s="53" t="n">
        <v>1.8</v>
      </c>
      <c r="AK192" s="53" t="n">
        <v>1.7</v>
      </c>
      <c r="AL192" s="53" t="n">
        <v>1.9</v>
      </c>
      <c r="AM192" s="53" t="n">
        <v>6.37</v>
      </c>
      <c r="AN192" s="53" t="n">
        <v>1.3</v>
      </c>
      <c r="AO192" s="53" t="n">
        <v>1.9</v>
      </c>
      <c r="AP192" s="53" t="n">
        <v>1.95</v>
      </c>
      <c r="AQ192" s="53" t="n">
        <v>2.12</v>
      </c>
      <c r="AR192" s="53" t="n">
        <v>7.27</v>
      </c>
      <c r="AS192" s="53" t="n">
        <v>1.34</v>
      </c>
      <c r="AT192" s="53" t="n">
        <v>1.31</v>
      </c>
      <c r="AU192" s="53" t="n">
        <v>1.85</v>
      </c>
      <c r="AV192" s="53" t="n">
        <v>2.39</v>
      </c>
      <c r="AW192" s="53" t="n">
        <v>6.87</v>
      </c>
      <c r="AX192" s="53" t="n">
        <v>1.51</v>
      </c>
      <c r="AY192" s="53" t="n">
        <v>1.56</v>
      </c>
      <c r="AZ192" s="53" t="n">
        <v>1.88</v>
      </c>
      <c r="BA192" s="53" t="n">
        <v>2.4</v>
      </c>
      <c r="BB192" s="53" t="n">
        <v>7.34</v>
      </c>
      <c r="BC192" s="53" t="n">
        <v>1.31</v>
      </c>
      <c r="BD192" s="53" t="n">
        <v>1.83</v>
      </c>
      <c r="BE192" s="53" t="n">
        <v>2.07</v>
      </c>
      <c r="BF192" s="53" t="n">
        <v>2.92</v>
      </c>
      <c r="BG192" s="53" t="n">
        <v>8.13</v>
      </c>
      <c r="BH192" s="53" t="n">
        <v>1.53</v>
      </c>
      <c r="BI192" s="53" t="n">
        <v>2.15</v>
      </c>
      <c r="BJ192" s="53" t="n">
        <v>2.54</v>
      </c>
      <c r="BK192" s="53" t="n">
        <v>3.16</v>
      </c>
      <c r="BL192" s="53" t="n">
        <v>9.38</v>
      </c>
      <c r="BM192" s="53" t="n">
        <v>1.99</v>
      </c>
      <c r="BN192" s="53" t="n">
        <v>2.67</v>
      </c>
      <c r="BO192" s="53" t="n">
        <v>2.97</v>
      </c>
      <c r="BP192" s="53" t="n">
        <v>3.27</v>
      </c>
      <c r="BQ192" s="53" t="n">
        <v>10.9</v>
      </c>
      <c r="BR192" s="53" t="n">
        <v>2.82</v>
      </c>
      <c r="BS192" s="53" t="n">
        <v>3.23</v>
      </c>
      <c r="BT192" s="53" t="n">
        <v>3.4</v>
      </c>
      <c r="BU192" s="53" t="n">
        <v>3.79</v>
      </c>
      <c r="BV192" s="53" t="n">
        <v>13.23</v>
      </c>
      <c r="BW192" s="53" t="n">
        <v>3.48</v>
      </c>
      <c r="BX192" s="53" t="n">
        <v>3.72</v>
      </c>
    </row>
    <row r="193" customFormat="false" ht="15" hidden="false" customHeight="false" outlineLevel="0" collapsed="false">
      <c r="B193" s="20" t="s">
        <v>380</v>
      </c>
      <c r="C193" s="50" t="str">
        <f aca="false">IF(ISNUMBER(C192),ROUND(C191-C192,2),"n/p")</f>
        <v>n/p</v>
      </c>
      <c r="D193" s="50" t="str">
        <f aca="false">IF(ISNUMBER(D192),ROUND(D191-D192,2),"n/p")</f>
        <v>n/p</v>
      </c>
      <c r="E193" s="50" t="str">
        <f aca="false">IF(ISNUMBER(E192),ROUND(E191-E192,2),"n/p")</f>
        <v>n/p</v>
      </c>
      <c r="F193" s="50" t="str">
        <f aca="false">IF(ISNUMBER(F192),ROUND(F191-F192,2),"n/p")</f>
        <v>n/p</v>
      </c>
      <c r="G193" s="50" t="str">
        <f aca="false">IF(ISNUMBER(G192),ROUND(G191-G192,2),"n/p")</f>
        <v>n/p</v>
      </c>
      <c r="H193" s="50" t="str">
        <f aca="false">IF(ISNUMBER(H192),ROUND(H191-H192,2),"n/p")</f>
        <v>n/p</v>
      </c>
      <c r="I193" s="50" t="n">
        <f aca="false">IF(ISNUMBER(I192),ROUND(I191-I192,2),"n/p")</f>
        <v>0</v>
      </c>
      <c r="J193" s="50" t="str">
        <f aca="false">IF(ISNUMBER(J192),ROUND(J191-J192,2),"n/p")</f>
        <v>n/p</v>
      </c>
      <c r="K193" s="50" t="str">
        <f aca="false">IF(ISNUMBER(K192),ROUND(K191-K192,2),"n/p")</f>
        <v>n/p</v>
      </c>
      <c r="L193" s="50" t="str">
        <f aca="false">IF(ISNUMBER(L192),ROUND(L191-L192,2),"n/p")</f>
        <v>n/p</v>
      </c>
      <c r="M193" s="50" t="str">
        <f aca="false">IF(ISNUMBER(M192),ROUND(M191-M192,2),"n/p")</f>
        <v>n/p</v>
      </c>
      <c r="N193" s="50" t="str">
        <f aca="false">IF(ISNUMBER(N192),ROUND(N191-N192,2),"n/p")</f>
        <v>n/p</v>
      </c>
      <c r="O193" s="50" t="str">
        <f aca="false">IF(ISNUMBER(O192),ROUND(O191-O192,2),"n/p")</f>
        <v>n/p</v>
      </c>
      <c r="P193" s="50" t="str">
        <f aca="false">IF(ISNUMBER(P192),ROUND(P191-P192,2),"n/p")</f>
        <v>n/p</v>
      </c>
      <c r="Q193" s="50" t="str">
        <f aca="false">IF(ISNUMBER(Q192),ROUND(Q191-Q192,2),"n/p")</f>
        <v>n/p</v>
      </c>
      <c r="R193" s="50" t="str">
        <f aca="false">IF(ISNUMBER(R192),ROUND(R191-R192,2),"n/p")</f>
        <v>n/p</v>
      </c>
      <c r="S193" s="50" t="str">
        <f aca="false">IF(ISNUMBER(S192),ROUND(S191-S192,2),"n/p")</f>
        <v>n/p</v>
      </c>
      <c r="T193" s="50" t="str">
        <f aca="false">IF(ISNUMBER(T192),ROUND(T191-T192,2),"n/p")</f>
        <v>n/p</v>
      </c>
      <c r="U193" s="50" t="str">
        <f aca="false">IF(ISNUMBER(U192),ROUND(U191-U192,2),"n/p")</f>
        <v>n/p</v>
      </c>
      <c r="V193" s="50" t="str">
        <f aca="false">IF(ISNUMBER(V192),ROUND(V191-V192,2),"n/p")</f>
        <v>n/p</v>
      </c>
      <c r="W193" s="50" t="str">
        <f aca="false">IF(ISNUMBER(W192),ROUND(W191-W192,2),"n/p")</f>
        <v>n/p</v>
      </c>
      <c r="X193" s="50" t="n">
        <f aca="false">IF(ISNUMBER(X192),ROUND(X191-X192,2),"n/p")</f>
        <v>-0</v>
      </c>
      <c r="Y193" s="50" t="str">
        <f aca="false">IF(ISNUMBER(Y192),ROUND(Y191-Y192,2),"n/p")</f>
        <v>n/p</v>
      </c>
      <c r="Z193" s="50" t="str">
        <f aca="false">IF(ISNUMBER(Z192),ROUND(Z191-Z192,2),"n/p")</f>
        <v>n/p</v>
      </c>
      <c r="AA193" s="50" t="str">
        <f aca="false">IF(ISNUMBER(AA192),ROUND(AA191-AA192,2),"n/p")</f>
        <v>n/p</v>
      </c>
      <c r="AB193" s="50" t="str">
        <f aca="false">IF(ISNUMBER(AB192),ROUND(AB191-AB192,2),"n/p")</f>
        <v>n/p</v>
      </c>
      <c r="AC193" s="50" t="str">
        <f aca="false">IF(ISNUMBER(AC192),ROUND(AC191-AC192,2),"n/p")</f>
        <v>n/p</v>
      </c>
      <c r="AD193" s="50" t="str">
        <f aca="false">IF(ISNUMBER(AD192),ROUND(AD191-AD192,2),"n/p")</f>
        <v>n/p</v>
      </c>
      <c r="AE193" s="50" t="str">
        <f aca="false">IF(ISNUMBER(AE192),ROUND(AE191-AE192,2),"n/p")</f>
        <v>n/p</v>
      </c>
      <c r="AF193" s="50" t="str">
        <f aca="false">IF(ISNUMBER(AF192),ROUND(AF191-AF192,2),"n/p")</f>
        <v>n/p</v>
      </c>
      <c r="AG193" s="50" t="str">
        <f aca="false">IF(ISNUMBER(AG192),ROUND(AG191-AG192,2),"n/p")</f>
        <v>n/p</v>
      </c>
      <c r="AH193" s="50" t="str">
        <f aca="false">IF(ISNUMBER(AH192),ROUND(AH191-AH192,2),"n/p")</f>
        <v>n/p</v>
      </c>
      <c r="AI193" s="50" t="str">
        <f aca="false">IF(ISNUMBER(AI192),ROUND(AI191-AI192,2),"n/p")</f>
        <v>n/p</v>
      </c>
      <c r="AJ193" s="50" t="n">
        <f aca="false">IF(ISNUMBER(AJ192),ROUND(AJ191-AJ192,2),"n/p")</f>
        <v>0</v>
      </c>
      <c r="AK193" s="50" t="n">
        <f aca="false">IF(ISNUMBER(AK192),ROUND(AK191-AK192,2),"n/p")</f>
        <v>0</v>
      </c>
      <c r="AL193" s="50" t="n">
        <f aca="false">IF(ISNUMBER(AL192),ROUND(AL191-AL192,2),"n/p")</f>
        <v>0</v>
      </c>
      <c r="AM193" s="50" t="n">
        <f aca="false">IF(ISNUMBER(AM192),ROUND(AM191-AM192,2),"n/p")</f>
        <v>0</v>
      </c>
      <c r="AN193" s="50" t="n">
        <f aca="false">IF(ISNUMBER(AN192),ROUND(AN191-AN192,2),"n/p")</f>
        <v>-0</v>
      </c>
      <c r="AO193" s="50" t="n">
        <f aca="false">IF(ISNUMBER(AO192),ROUND(AO191-AO192,2),"n/p")</f>
        <v>-0</v>
      </c>
      <c r="AP193" s="50" t="n">
        <f aca="false">IF(ISNUMBER(AP192),ROUND(AP191-AP192,2),"n/p")</f>
        <v>0</v>
      </c>
      <c r="AQ193" s="50" t="n">
        <f aca="false">IF(ISNUMBER(AQ192),ROUND(AQ191-AQ192,2),"n/p")</f>
        <v>0</v>
      </c>
      <c r="AR193" s="50" t="n">
        <f aca="false">IF(ISNUMBER(AR192),ROUND(AR191-AR192,2),"n/p")</f>
        <v>-0</v>
      </c>
      <c r="AS193" s="50" t="n">
        <f aca="false">IF(ISNUMBER(AS192),ROUND(AS191-AS192,2),"n/p")</f>
        <v>0</v>
      </c>
      <c r="AT193" s="50" t="n">
        <f aca="false">IF(ISNUMBER(AT192),ROUND(AT191-AT192,2),"n/p")</f>
        <v>-0</v>
      </c>
      <c r="AU193" s="50" t="n">
        <f aca="false">IF(ISNUMBER(AU192),ROUND(AU191-AU192,2),"n/p")</f>
        <v>-0</v>
      </c>
      <c r="AV193" s="50" t="n">
        <f aca="false">IF(ISNUMBER(AV192),ROUND(AV191-AV192,2),"n/p")</f>
        <v>-0</v>
      </c>
      <c r="AW193" s="50" t="n">
        <f aca="false">IF(ISNUMBER(AW192),ROUND(AW191-AW192,2),"n/p")</f>
        <v>-0</v>
      </c>
      <c r="AX193" s="50" t="n">
        <f aca="false">IF(ISNUMBER(AX192),ROUND(AX191-AX192,2),"n/p")</f>
        <v>-0</v>
      </c>
      <c r="AY193" s="50" t="n">
        <f aca="false">IF(ISNUMBER(AY192),ROUND(AY191-AY192,2),"n/p")</f>
        <v>-0</v>
      </c>
      <c r="AZ193" s="50" t="n">
        <f aca="false">IF(ISNUMBER(AZ192),ROUND(AZ191-AZ192,2),"n/p")</f>
        <v>0</v>
      </c>
      <c r="BA193" s="50" t="n">
        <f aca="false">IF(ISNUMBER(BA192),ROUND(BA191-BA192,2),"n/p")</f>
        <v>-0</v>
      </c>
      <c r="BB193" s="50" t="n">
        <f aca="false">IF(ISNUMBER(BB192),ROUND(BB191-BB192,2),"n/p")</f>
        <v>0</v>
      </c>
      <c r="BC193" s="50" t="n">
        <f aca="false">IF(ISNUMBER(BC192),ROUND(BC191-BC192,2),"n/p")</f>
        <v>-0</v>
      </c>
      <c r="BD193" s="50" t="n">
        <f aca="false">IF(ISNUMBER(BD192),ROUND(BD191-BD192,2),"n/p")</f>
        <v>0</v>
      </c>
      <c r="BE193" s="50" t="n">
        <f aca="false">IF(ISNUMBER(BE192),ROUND(BE191-BE192,2),"n/p")</f>
        <v>0</v>
      </c>
      <c r="BF193" s="50" t="n">
        <f aca="false">IF(ISNUMBER(BF192),ROUND(BF191-BF192,2),"n/p")</f>
        <v>0</v>
      </c>
      <c r="BG193" s="50" t="n">
        <f aca="false">IF(ISNUMBER(BG192),ROUND(BG191-BG192,2),"n/p")</f>
        <v>-0</v>
      </c>
      <c r="BH193" s="50" t="n">
        <f aca="false">IF(ISNUMBER(BH192),ROUND(BH191-BH192,2),"n/p")</f>
        <v>-0</v>
      </c>
      <c r="BI193" s="50" t="n">
        <f aca="false">IF(ISNUMBER(BI192),ROUND(BI191-BI192,2),"n/p")</f>
        <v>-0</v>
      </c>
      <c r="BJ193" s="50" t="n">
        <f aca="false">IF(ISNUMBER(BJ192),ROUND(BJ191-BJ192,2),"n/p")</f>
        <v>0</v>
      </c>
      <c r="BK193" s="50" t="n">
        <f aca="false">IF(ISNUMBER(BK192),ROUND(BK191-BK192,2),"n/p")</f>
        <v>0</v>
      </c>
      <c r="BL193" s="50" t="n">
        <f aca="false">IF(ISNUMBER(BL192),ROUND(BL191-BL192,2),"n/p")</f>
        <v>-0</v>
      </c>
      <c r="BM193" s="50" t="n">
        <f aca="false">IF(ISNUMBER(BM192),ROUND(BM191-BM192,2),"n/p")</f>
        <v>0</v>
      </c>
      <c r="BN193" s="50" t="n">
        <f aca="false">IF(ISNUMBER(BN192),ROUND(BN191-BN192,2),"n/p")</f>
        <v>0</v>
      </c>
      <c r="BO193" s="50" t="n">
        <f aca="false">IF(ISNUMBER(BO192),ROUND(BO191-BO192,2),"n/p")</f>
        <v>0</v>
      </c>
      <c r="BP193" s="50" t="n">
        <f aca="false">IF(ISNUMBER(BP192),ROUND(BP191-BP192,2),"n/p")</f>
        <v>-0</v>
      </c>
      <c r="BQ193" s="50" t="n">
        <f aca="false">IF(ISNUMBER(BQ192),ROUND(BQ191-BQ192,2),"n/p")</f>
        <v>0</v>
      </c>
      <c r="BR193" s="50" t="n">
        <f aca="false">IF(ISNUMBER(BR192),ROUND(BR191-BR192,2),"n/p")</f>
        <v>-0</v>
      </c>
      <c r="BS193" s="50" t="n">
        <f aca="false">IF(ISNUMBER(BS192),ROUND(BS191-BS192,2),"n/p")</f>
        <v>-0</v>
      </c>
      <c r="BT193" s="50" t="n">
        <f aca="false">IF(ISNUMBER(BT192),ROUND(BT191-BT192,2),"n/p")</f>
        <v>-0</v>
      </c>
      <c r="BU193" s="50" t="n">
        <f aca="false">IF(ISNUMBER(BU192),ROUND(BU191-BU192,2),"n/p")</f>
        <v>-0</v>
      </c>
      <c r="BV193" s="50" t="n">
        <f aca="false">IF(ISNUMBER(BV192),ROUND(BV191-BV192,2),"n/p")</f>
        <v>0</v>
      </c>
      <c r="BW193" s="50" t="n">
        <f aca="false">IF(ISNUMBER(BW192),ROUND(BW191-BW192,2),"n/p")</f>
        <v>-0</v>
      </c>
      <c r="BX193" s="50" t="n">
        <f aca="false">IF(ISNUMBER(BX192),ROUND(BX191-BX192,2),"n/p")</f>
        <v>0</v>
      </c>
    </row>
    <row r="194" customFormat="false" ht="15" hidden="false" customHeight="false" outlineLevel="0" collapsed="false">
      <c r="B194" s="54" t="s">
        <v>381</v>
      </c>
      <c r="I194" s="55" t="s">
        <v>382</v>
      </c>
      <c r="X194" s="55" t="s">
        <v>383</v>
      </c>
      <c r="AJ194" s="55" t="s">
        <v>384</v>
      </c>
      <c r="BC194" s="55" t="s">
        <v>385</v>
      </c>
      <c r="BX194" s="55" t="s">
        <v>386</v>
      </c>
    </row>
    <row r="196" customFormat="false" ht="15" hidden="false" customHeight="false" outlineLevel="0" collapsed="false">
      <c r="B196" s="8" t="s">
        <v>387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8" t="s">
        <v>388</v>
      </c>
    </row>
    <row r="197" customFormat="false" ht="15" hidden="false" customHeight="false" outlineLevel="0" collapsed="false">
      <c r="B197" s="15" t="s">
        <v>389</v>
      </c>
      <c r="C197" s="16" t="n">
        <v>143.871</v>
      </c>
      <c r="D197" s="16" t="n">
        <v>139.136</v>
      </c>
      <c r="E197" s="16" t="n">
        <v>179.821</v>
      </c>
      <c r="F197" s="16" t="n">
        <v>196.579</v>
      </c>
      <c r="G197" s="16" t="n">
        <v>171.71</v>
      </c>
      <c r="H197" s="16" t="n">
        <v>202.362</v>
      </c>
      <c r="I197" s="16" t="n">
        <v>152.474</v>
      </c>
      <c r="J197" s="16" t="n">
        <v>-1.08</v>
      </c>
      <c r="K197" s="16" t="n">
        <v>61.881</v>
      </c>
      <c r="L197" s="16" t="n">
        <v>73.585</v>
      </c>
      <c r="M197" s="16" t="n">
        <v>103.441</v>
      </c>
      <c r="N197" s="16" t="n">
        <v>237.827</v>
      </c>
      <c r="O197" s="16" t="n">
        <v>-14.593</v>
      </c>
      <c r="P197" s="16" t="n">
        <v>99.01</v>
      </c>
      <c r="Q197" s="16" t="n">
        <v>68.756</v>
      </c>
      <c r="R197" s="16" t="n">
        <v>178.593</v>
      </c>
      <c r="S197" s="16" t="n">
        <v>331.766</v>
      </c>
      <c r="T197" s="16" t="n">
        <v>-171.091</v>
      </c>
      <c r="U197" s="16" t="n">
        <v>59.821</v>
      </c>
      <c r="V197" s="16" t="n">
        <v>106.579</v>
      </c>
      <c r="W197" s="16" t="n">
        <v>167.17</v>
      </c>
      <c r="X197" s="16" t="n">
        <v>162.479</v>
      </c>
      <c r="Y197" s="16" t="n">
        <v>70.26</v>
      </c>
      <c r="Z197" s="16" t="n">
        <v>86.371</v>
      </c>
      <c r="AA197" s="16" t="n">
        <v>110.581</v>
      </c>
      <c r="AB197" s="16" t="n">
        <v>155.985</v>
      </c>
      <c r="AC197" s="16" t="n">
        <v>423.197</v>
      </c>
      <c r="AD197" s="16" t="n">
        <v>-24.941</v>
      </c>
      <c r="AE197" s="16" t="n">
        <v>85.873</v>
      </c>
      <c r="AF197" s="16" t="n">
        <v>101.375</v>
      </c>
      <c r="AG197" s="16" t="n">
        <v>226.405</v>
      </c>
      <c r="AH197" s="16" t="n">
        <v>388.712</v>
      </c>
      <c r="AI197" s="16" t="n">
        <v>-71.262</v>
      </c>
      <c r="AJ197" s="16" t="n">
        <v>97.947</v>
      </c>
      <c r="AK197" s="16" t="n">
        <v>72.29</v>
      </c>
      <c r="AL197" s="16" t="n">
        <v>237.298</v>
      </c>
      <c r="AM197" s="16" t="n">
        <v>336.273</v>
      </c>
      <c r="AN197" s="16" t="n">
        <v>-51.858</v>
      </c>
      <c r="AO197" s="16" t="n">
        <v>92.244</v>
      </c>
      <c r="AP197" s="16" t="n">
        <v>118.629</v>
      </c>
      <c r="AQ197" s="16" t="n">
        <v>262.389</v>
      </c>
      <c r="AR197" s="16" t="n">
        <v>421.404</v>
      </c>
      <c r="AS197" s="16" t="n">
        <v>-192.576</v>
      </c>
      <c r="AT197" s="16" t="n">
        <v>140.367</v>
      </c>
      <c r="AU197" s="16" t="n">
        <v>55.993</v>
      </c>
      <c r="AV197" s="16" t="n">
        <v>257.396</v>
      </c>
      <c r="AW197" s="16" t="n">
        <v>261.18</v>
      </c>
      <c r="AX197" s="16" t="n">
        <v>-26.603</v>
      </c>
      <c r="AY197" s="16" t="n">
        <v>75.079</v>
      </c>
      <c r="AZ197" s="16" t="n">
        <v>107.285</v>
      </c>
      <c r="BA197" s="16" t="n">
        <v>231.907</v>
      </c>
      <c r="BB197" s="16" t="n">
        <v>387.668</v>
      </c>
      <c r="BC197" s="16" t="n">
        <v>-124.315</v>
      </c>
      <c r="BD197" s="16" t="n">
        <v>31.044</v>
      </c>
      <c r="BE197" s="16" t="n">
        <v>95.658</v>
      </c>
      <c r="BF197" s="16" t="n">
        <v>292.389</v>
      </c>
      <c r="BG197" s="16" t="n">
        <v>294.776</v>
      </c>
      <c r="BH197" s="16" t="n">
        <v>-91.599</v>
      </c>
      <c r="BI197" s="16" t="n">
        <v>110.952</v>
      </c>
      <c r="BJ197" s="16" t="n">
        <v>146.364</v>
      </c>
      <c r="BK197" s="16" t="n">
        <v>282.372</v>
      </c>
      <c r="BL197" s="16" t="n">
        <v>448.089</v>
      </c>
      <c r="BM197" s="16" t="n">
        <v>-45.633</v>
      </c>
      <c r="BN197" s="16" t="n">
        <v>111.335</v>
      </c>
      <c r="BO197" s="16" t="n">
        <v>177.274</v>
      </c>
      <c r="BP197" s="16" t="n">
        <v>301.299</v>
      </c>
      <c r="BQ197" s="16" t="n">
        <v>544.275</v>
      </c>
      <c r="BR197" s="16" t="n">
        <v>-38.765</v>
      </c>
      <c r="BS197" s="16" t="n">
        <v>136.585</v>
      </c>
      <c r="BT197" s="16" t="n">
        <v>192.838</v>
      </c>
      <c r="BU197" s="16" t="n">
        <v>352.744</v>
      </c>
      <c r="BV197" s="16" t="n">
        <v>643.402</v>
      </c>
      <c r="BW197" s="16" t="n">
        <v>-5.655</v>
      </c>
      <c r="BX197" s="16" t="n">
        <v>181.183</v>
      </c>
      <c r="CA197" s="17" t="n">
        <f aca="false">CA236</f>
        <v>701.164</v>
      </c>
      <c r="CB197" s="17" t="n">
        <f aca="false">CB236</f>
        <v>742.352881550799</v>
      </c>
      <c r="CC197" s="17" t="n">
        <f aca="false">CC236</f>
        <v>812.566066486061</v>
      </c>
      <c r="CD197" s="17" t="n">
        <f aca="false">CD236</f>
        <v>896.471857250541</v>
      </c>
      <c r="CE197" s="17" t="n">
        <f aca="false">CE236</f>
        <v>982.172372965575</v>
      </c>
    </row>
    <row r="198" customFormat="false" ht="15" hidden="false" customHeight="false" outlineLevel="0" collapsed="false">
      <c r="B198" s="20" t="s">
        <v>390</v>
      </c>
      <c r="C198" s="46" t="n">
        <f aca="false">N(C237)+N(C238)</f>
        <v>-40.202</v>
      </c>
      <c r="D198" s="46" t="n">
        <f aca="false">N(D237)+N(D238)</f>
        <v>-54.433</v>
      </c>
      <c r="E198" s="46" t="n">
        <f aca="false">N(E237)+N(E238)</f>
        <v>-103.657</v>
      </c>
      <c r="F198" s="46" t="n">
        <f aca="false">N(F237)+N(F238)</f>
        <v>-75.643</v>
      </c>
      <c r="G198" s="46" t="n">
        <f aca="false">N(G237)+N(G238)</f>
        <v>-52.98</v>
      </c>
      <c r="H198" s="46" t="n">
        <f aca="false">N(H237)+N(H238)</f>
        <v>-84.831</v>
      </c>
      <c r="I198" s="46" t="n">
        <f aca="false">N(I237)+N(I238)</f>
        <v>-82.954</v>
      </c>
      <c r="J198" s="46" t="n">
        <f aca="false">N(J237)+N(J238)</f>
        <v>-15.01</v>
      </c>
      <c r="K198" s="46" t="n">
        <f aca="false">N(K237)+N(K238)</f>
        <v>-17.116</v>
      </c>
      <c r="L198" s="46" t="n">
        <f aca="false">N(L237)+N(L238)</f>
        <v>-25.75</v>
      </c>
      <c r="M198" s="46" t="n">
        <f aca="false">N(M237)+N(M238)</f>
        <v>-14.366</v>
      </c>
      <c r="N198" s="46" t="n">
        <f aca="false">N(N237)+N(N238)</f>
        <v>-72.242</v>
      </c>
      <c r="O198" s="46" t="n">
        <f aca="false">N(O237)+N(O238)</f>
        <v>-18.365</v>
      </c>
      <c r="P198" s="46" t="n">
        <f aca="false">N(P237)+N(P238)</f>
        <v>-17.631</v>
      </c>
      <c r="Q198" s="46" t="n">
        <f aca="false">N(Q237)+N(Q238)</f>
        <v>-18.484</v>
      </c>
      <c r="R198" s="46" t="n">
        <f aca="false">N(R237)+N(R238)</f>
        <v>-12.635</v>
      </c>
      <c r="S198" s="46" t="n">
        <f aca="false">N(S237)+N(S238)</f>
        <v>-67.115</v>
      </c>
      <c r="T198" s="46" t="n">
        <f aca="false">N(T237)+N(T238)</f>
        <v>-9.096</v>
      </c>
      <c r="U198" s="46" t="n">
        <f aca="false">N(U237)+N(U238)</f>
        <v>-6.593</v>
      </c>
      <c r="V198" s="46" t="n">
        <f aca="false">N(V237)+N(V238)</f>
        <v>-8.159</v>
      </c>
      <c r="W198" s="46" t="n">
        <f aca="false">N(W237)+N(W238)</f>
        <v>-11.664</v>
      </c>
      <c r="X198" s="46" t="n">
        <f aca="false">N(X237)+N(X238)</f>
        <v>-35.512</v>
      </c>
      <c r="Y198" s="46" t="n">
        <f aca="false">N(Y237)+N(Y238)</f>
        <v>-8.825</v>
      </c>
      <c r="Z198" s="46" t="n">
        <f aca="false">N(Z237)+N(Z238)</f>
        <v>-6.908</v>
      </c>
      <c r="AA198" s="46" t="n">
        <f aca="false">N(AA237)+N(AA238)</f>
        <v>-10.394</v>
      </c>
      <c r="AB198" s="46" t="n">
        <f aca="false">N(AB237)+N(AB238)</f>
        <v>-20.649</v>
      </c>
      <c r="AC198" s="46" t="n">
        <f aca="false">N(AC237)+N(AC238)</f>
        <v>-46.776</v>
      </c>
      <c r="AD198" s="46" t="n">
        <f aca="false">N(AD237)+N(AD238)</f>
        <v>-10.374</v>
      </c>
      <c r="AE198" s="46" t="n">
        <f aca="false">N(AE237)+N(AE238)</f>
        <v>-12.914</v>
      </c>
      <c r="AF198" s="46" t="n">
        <f aca="false">N(AF237)+N(AF238)</f>
        <v>-11.586</v>
      </c>
      <c r="AG198" s="46" t="n">
        <f aca="false">N(AG237)+N(AG238)</f>
        <v>-17.831</v>
      </c>
      <c r="AH198" s="46" t="n">
        <f aca="false">N(AH237)+N(AH238)</f>
        <v>-52.705</v>
      </c>
      <c r="AI198" s="46" t="n">
        <f aca="false">N(AI237)+N(AI238)</f>
        <v>-8.971</v>
      </c>
      <c r="AJ198" s="46" t="n">
        <f aca="false">N(AJ237)+N(AJ238)</f>
        <v>-10.881</v>
      </c>
      <c r="AK198" s="46" t="n">
        <f aca="false">N(AK237)+N(AK238)</f>
        <v>-10.435</v>
      </c>
      <c r="AL198" s="46" t="n">
        <f aca="false">N(AL237)+N(AL238)</f>
        <v>-23.13</v>
      </c>
      <c r="AM198" s="46" t="n">
        <f aca="false">N(AM237)+N(AM238)</f>
        <v>-53.417</v>
      </c>
      <c r="AN198" s="46" t="n">
        <f aca="false">N(AN237)+N(AN238)</f>
        <v>-17.034</v>
      </c>
      <c r="AO198" s="46" t="n">
        <f aca="false">N(AO237)+N(AO238)</f>
        <v>-16.437</v>
      </c>
      <c r="AP198" s="46" t="n">
        <f aca="false">N(AP237)+N(AP238)</f>
        <v>-16.448</v>
      </c>
      <c r="AQ198" s="46" t="n">
        <f aca="false">N(AQ237)+N(AQ238)</f>
        <v>-19.833</v>
      </c>
      <c r="AR198" s="46" t="n">
        <f aca="false">N(AR237)+N(AR238)</f>
        <v>-69.752</v>
      </c>
      <c r="AS198" s="46" t="n">
        <f aca="false">N(AS237)+N(AS238)</f>
        <v>-18.637</v>
      </c>
      <c r="AT198" s="46" t="n">
        <f aca="false">N(AT237)+N(AT238)</f>
        <v>-10.687</v>
      </c>
      <c r="AU198" s="46" t="n">
        <f aca="false">N(AU237)+N(AU238)</f>
        <v>-7.017</v>
      </c>
      <c r="AV198" s="46" t="n">
        <f aca="false">N(AV237)+N(AV238)</f>
        <v>-11.158</v>
      </c>
      <c r="AW198" s="46" t="n">
        <f aca="false">N(AW237)+N(AW238)</f>
        <v>-47.499</v>
      </c>
      <c r="AX198" s="46" t="n">
        <f aca="false">N(AX237)+N(AX238)</f>
        <v>-8.537</v>
      </c>
      <c r="AY198" s="46" t="n">
        <f aca="false">N(AY237)+N(AY238)</f>
        <v>-9.234</v>
      </c>
      <c r="AZ198" s="46" t="n">
        <f aca="false">N(AZ237)+N(AZ238)</f>
        <v>-10.087</v>
      </c>
      <c r="BA198" s="46" t="n">
        <f aca="false">N(BA237)+N(BA238)</f>
        <v>-13.25</v>
      </c>
      <c r="BB198" s="46" t="n">
        <f aca="false">N(BB237)+N(BB238)</f>
        <v>-41.108</v>
      </c>
      <c r="BC198" s="46" t="n">
        <f aca="false">N(BC237)+N(BC238)</f>
        <v>-10.896</v>
      </c>
      <c r="BD198" s="46" t="n">
        <f aca="false">N(BD237)+N(BD238)</f>
        <v>-8.596</v>
      </c>
      <c r="BE198" s="46" t="n">
        <f aca="false">N(BE237)+N(BE238)</f>
        <v>-9.297</v>
      </c>
      <c r="BF198" s="46" t="n">
        <f aca="false">N(BF237)+N(BF238)</f>
        <v>-9.428</v>
      </c>
      <c r="BG198" s="46" t="n">
        <f aca="false">N(BG237)+N(BG238)</f>
        <v>-38.217</v>
      </c>
      <c r="BH198" s="46" t="n">
        <f aca="false">N(BH237)+N(BH238)</f>
        <v>-10.661</v>
      </c>
      <c r="BI198" s="46" t="n">
        <f aca="false">N(BI237)+N(BI238)</f>
        <v>-12.003</v>
      </c>
      <c r="BJ198" s="46" t="n">
        <f aca="false">N(BJ237)+N(BJ238)</f>
        <v>-9.373</v>
      </c>
      <c r="BK198" s="46" t="n">
        <f aca="false">N(BK237)+N(BK238)</f>
        <v>-12.629</v>
      </c>
      <c r="BL198" s="46" t="n">
        <f aca="false">N(BL237)+N(BL238)</f>
        <v>-44.666</v>
      </c>
      <c r="BM198" s="46" t="n">
        <f aca="false">N(BM237)+N(BM238)</f>
        <v>-12.055</v>
      </c>
      <c r="BN198" s="46" t="n">
        <f aca="false">N(BN237)+N(BN238)</f>
        <v>-11.064</v>
      </c>
      <c r="BO198" s="46" t="n">
        <f aca="false">N(BO237)+N(BO238)</f>
        <v>-14.584</v>
      </c>
      <c r="BP198" s="46" t="n">
        <f aca="false">N(BP237)+N(BP238)</f>
        <v>-23.271</v>
      </c>
      <c r="BQ198" s="46" t="n">
        <f aca="false">N(BQ237)+N(BQ238)</f>
        <v>-60.974</v>
      </c>
      <c r="BR198" s="46" t="n">
        <f aca="false">N(BR237)+N(BR238)</f>
        <v>-15.773</v>
      </c>
      <c r="BS198" s="46" t="n">
        <f aca="false">N(BS237)+N(BS238)</f>
        <v>-19.381</v>
      </c>
      <c r="BT198" s="46" t="n">
        <f aca="false">N(BT237)+N(BT238)</f>
        <v>-16.9</v>
      </c>
      <c r="BU198" s="46" t="n">
        <f aca="false">N(BU237)+N(BU238)</f>
        <v>-37.638</v>
      </c>
      <c r="BV198" s="46" t="n">
        <f aca="false">N(BV237)+N(BV238)</f>
        <v>-89.692</v>
      </c>
      <c r="BW198" s="46" t="n">
        <f aca="false">N(BW237)+N(BW238)</f>
        <v>-11.832</v>
      </c>
      <c r="BX198" s="46" t="n">
        <f aca="false">N(BX237)+N(BX238)</f>
        <v>-20.923</v>
      </c>
      <c r="CA198" s="25" t="n">
        <f aca="false">N(CA237)+N(CA238)</f>
        <v>-106.164</v>
      </c>
      <c r="CB198" s="25" t="n">
        <f aca="false">N(CB237)+N(CB238)</f>
        <v>-119.2422</v>
      </c>
      <c r="CC198" s="25" t="n">
        <f aca="false">N(CC237)+N(CC238)</f>
        <v>-130.3003843</v>
      </c>
      <c r="CD198" s="25" t="n">
        <f aca="false">N(CD237)+N(CD238)</f>
        <v>-141.431855863</v>
      </c>
      <c r="CE198" s="25" t="n">
        <f aca="false">N(CE237)+N(CE238)</f>
        <v>-153.22885879408</v>
      </c>
    </row>
    <row r="199" customFormat="false" ht="15" hidden="false" customHeight="false" outlineLevel="0" collapsed="false">
      <c r="B199" s="43" t="s">
        <v>391</v>
      </c>
      <c r="C199" s="44" t="n">
        <f aca="false">IF(ISNUMBER(C197),C197+C198,"")</f>
        <v>103.669</v>
      </c>
      <c r="D199" s="44" t="n">
        <f aca="false">IF(ISNUMBER(D197),D197+D198,"")</f>
        <v>84.703</v>
      </c>
      <c r="E199" s="44" t="n">
        <f aca="false">IF(ISNUMBER(E197),E197+E198,"")</f>
        <v>76.164</v>
      </c>
      <c r="F199" s="44" t="n">
        <f aca="false">IF(ISNUMBER(F197),F197+F198,"")</f>
        <v>120.936</v>
      </c>
      <c r="G199" s="44" t="n">
        <f aca="false">IF(ISNUMBER(G197),G197+G198,"")</f>
        <v>118.73</v>
      </c>
      <c r="H199" s="44" t="n">
        <f aca="false">IF(ISNUMBER(H197),H197+H198,"")</f>
        <v>117.531</v>
      </c>
      <c r="I199" s="44" t="n">
        <f aca="false">IF(ISNUMBER(I197),I197+I198,"")</f>
        <v>69.52</v>
      </c>
      <c r="J199" s="44" t="n">
        <f aca="false">IF(ISNUMBER(J197),J197+J198,"")</f>
        <v>-16.09</v>
      </c>
      <c r="K199" s="44" t="n">
        <f aca="false">IF(ISNUMBER(K197),K197+K198,"")</f>
        <v>44.765</v>
      </c>
      <c r="L199" s="44" t="n">
        <f aca="false">IF(ISNUMBER(L197),L197+L198,"")</f>
        <v>47.835</v>
      </c>
      <c r="M199" s="44" t="n">
        <f aca="false">IF(ISNUMBER(M197),M197+M198,"")</f>
        <v>89.075</v>
      </c>
      <c r="N199" s="44" t="n">
        <f aca="false">IF(ISNUMBER(N197),N197+N198,"")</f>
        <v>165.585</v>
      </c>
      <c r="O199" s="44" t="n">
        <f aca="false">IF(ISNUMBER(O197),O197+O198,"")</f>
        <v>-32.958</v>
      </c>
      <c r="P199" s="44" t="n">
        <f aca="false">IF(ISNUMBER(P197),P197+P198,"")</f>
        <v>81.379</v>
      </c>
      <c r="Q199" s="44" t="n">
        <f aca="false">IF(ISNUMBER(Q197),Q197+Q198,"")</f>
        <v>50.272</v>
      </c>
      <c r="R199" s="44" t="n">
        <f aca="false">IF(ISNUMBER(R197),R197+R198,"")</f>
        <v>165.958</v>
      </c>
      <c r="S199" s="44" t="n">
        <f aca="false">IF(ISNUMBER(S197),S197+S198,"")</f>
        <v>264.651</v>
      </c>
      <c r="T199" s="44" t="n">
        <f aca="false">IF(ISNUMBER(T197),T197+T198,"")</f>
        <v>-180.187</v>
      </c>
      <c r="U199" s="44" t="n">
        <f aca="false">IF(ISNUMBER(U197),U197+U198,"")</f>
        <v>53.228</v>
      </c>
      <c r="V199" s="44" t="n">
        <f aca="false">IF(ISNUMBER(V197),V197+V198,"")</f>
        <v>98.42</v>
      </c>
      <c r="W199" s="44" t="n">
        <f aca="false">IF(ISNUMBER(W197),W197+W198,"")</f>
        <v>155.506</v>
      </c>
      <c r="X199" s="44" t="n">
        <f aca="false">IF(ISNUMBER(X197),X197+X198,"")</f>
        <v>126.967</v>
      </c>
      <c r="Y199" s="44" t="n">
        <f aca="false">IF(ISNUMBER(Y197),Y197+Y198,"")</f>
        <v>61.435</v>
      </c>
      <c r="Z199" s="44" t="n">
        <f aca="false">IF(ISNUMBER(Z197),Z197+Z198,"")</f>
        <v>79.463</v>
      </c>
      <c r="AA199" s="44" t="n">
        <f aca="false">IF(ISNUMBER(AA197),AA197+AA198,"")</f>
        <v>100.187</v>
      </c>
      <c r="AB199" s="44" t="n">
        <f aca="false">IF(ISNUMBER(AB197),AB197+AB198,"")</f>
        <v>135.336</v>
      </c>
      <c r="AC199" s="44" t="n">
        <f aca="false">IF(ISNUMBER(AC197),AC197+AC198,"")</f>
        <v>376.421</v>
      </c>
      <c r="AD199" s="44" t="n">
        <f aca="false">IF(ISNUMBER(AD197),AD197+AD198,"")</f>
        <v>-35.315</v>
      </c>
      <c r="AE199" s="44" t="n">
        <f aca="false">IF(ISNUMBER(AE197),AE197+AE198,"")</f>
        <v>72.959</v>
      </c>
      <c r="AF199" s="44" t="n">
        <f aca="false">IF(ISNUMBER(AF197),AF197+AF198,"")</f>
        <v>89.789</v>
      </c>
      <c r="AG199" s="44" t="n">
        <f aca="false">IF(ISNUMBER(AG197),AG197+AG198,"")</f>
        <v>208.574</v>
      </c>
      <c r="AH199" s="44" t="n">
        <f aca="false">IF(ISNUMBER(AH197),AH197+AH198,"")</f>
        <v>336.007</v>
      </c>
      <c r="AI199" s="44" t="n">
        <f aca="false">IF(ISNUMBER(AI197),AI197+AI198,"")</f>
        <v>-80.233</v>
      </c>
      <c r="AJ199" s="44" t="n">
        <f aca="false">IF(ISNUMBER(AJ197),AJ197+AJ198,"")</f>
        <v>87.066</v>
      </c>
      <c r="AK199" s="44" t="n">
        <f aca="false">IF(ISNUMBER(AK197),AK197+AK198,"")</f>
        <v>61.855</v>
      </c>
      <c r="AL199" s="44" t="n">
        <f aca="false">IF(ISNUMBER(AL197),AL197+AL198,"")</f>
        <v>214.168</v>
      </c>
      <c r="AM199" s="44" t="n">
        <f aca="false">IF(ISNUMBER(AM197),AM197+AM198,"")</f>
        <v>282.856</v>
      </c>
      <c r="AN199" s="44" t="n">
        <f aca="false">IF(ISNUMBER(AN197),AN197+AN198,"")</f>
        <v>-68.892</v>
      </c>
      <c r="AO199" s="44" t="n">
        <f aca="false">IF(ISNUMBER(AO197),AO197+AO198,"")</f>
        <v>75.807</v>
      </c>
      <c r="AP199" s="44" t="n">
        <f aca="false">IF(ISNUMBER(AP197),AP197+AP198,"")</f>
        <v>102.181</v>
      </c>
      <c r="AQ199" s="44" t="n">
        <f aca="false">IF(ISNUMBER(AQ197),AQ197+AQ198,"")</f>
        <v>242.556</v>
      </c>
      <c r="AR199" s="44" t="n">
        <f aca="false">IF(ISNUMBER(AR197),AR197+AR198,"")</f>
        <v>351.652</v>
      </c>
      <c r="AS199" s="44" t="n">
        <f aca="false">IF(ISNUMBER(AS197),AS197+AS198,"")</f>
        <v>-211.213</v>
      </c>
      <c r="AT199" s="44" t="n">
        <f aca="false">IF(ISNUMBER(AT197),AT197+AT198,"")</f>
        <v>129.68</v>
      </c>
      <c r="AU199" s="44" t="n">
        <f aca="false">IF(ISNUMBER(AU197),AU197+AU198,"")</f>
        <v>48.976</v>
      </c>
      <c r="AV199" s="44" t="n">
        <f aca="false">IF(ISNUMBER(AV197),AV197+AV198,"")</f>
        <v>246.238</v>
      </c>
      <c r="AW199" s="44" t="n">
        <f aca="false">IF(ISNUMBER(AW197),AW197+AW198,"")</f>
        <v>213.681</v>
      </c>
      <c r="AX199" s="44" t="n">
        <f aca="false">IF(ISNUMBER(AX197),AX197+AX198,"")</f>
        <v>-35.14</v>
      </c>
      <c r="AY199" s="44" t="n">
        <f aca="false">IF(ISNUMBER(AY197),AY197+AY198,"")</f>
        <v>65.845</v>
      </c>
      <c r="AZ199" s="44" t="n">
        <f aca="false">IF(ISNUMBER(AZ197),AZ197+AZ198,"")</f>
        <v>97.198</v>
      </c>
      <c r="BA199" s="44" t="n">
        <f aca="false">IF(ISNUMBER(BA197),BA197+BA198,"")</f>
        <v>218.657</v>
      </c>
      <c r="BB199" s="44" t="n">
        <f aca="false">IF(ISNUMBER(BB197),BB197+BB198,"")</f>
        <v>346.56</v>
      </c>
      <c r="BC199" s="44" t="n">
        <f aca="false">IF(ISNUMBER(BC197),BC197+BC198,"")</f>
        <v>-135.211</v>
      </c>
      <c r="BD199" s="44" t="n">
        <f aca="false">IF(ISNUMBER(BD197),BD197+BD198,"")</f>
        <v>22.448</v>
      </c>
      <c r="BE199" s="44" t="n">
        <f aca="false">IF(ISNUMBER(BE197),BE197+BE198,"")</f>
        <v>86.361</v>
      </c>
      <c r="BF199" s="44" t="n">
        <f aca="false">IF(ISNUMBER(BF197),BF197+BF198,"")</f>
        <v>282.961</v>
      </c>
      <c r="BG199" s="44" t="n">
        <f aca="false">IF(ISNUMBER(BG197),BG197+BG198,"")</f>
        <v>256.559</v>
      </c>
      <c r="BH199" s="44" t="n">
        <f aca="false">IF(ISNUMBER(BH197),BH197+BH198,"")</f>
        <v>-102.26</v>
      </c>
      <c r="BI199" s="44" t="n">
        <f aca="false">IF(ISNUMBER(BI197),BI197+BI198,"")</f>
        <v>98.949</v>
      </c>
      <c r="BJ199" s="44" t="n">
        <f aca="false">IF(ISNUMBER(BJ197),BJ197+BJ198,"")</f>
        <v>136.991</v>
      </c>
      <c r="BK199" s="44" t="n">
        <f aca="false">IF(ISNUMBER(BK197),BK197+BK198,"")</f>
        <v>269.743</v>
      </c>
      <c r="BL199" s="44" t="n">
        <f aca="false">IF(ISNUMBER(BL197),BL197+BL198,"")</f>
        <v>403.423</v>
      </c>
      <c r="BM199" s="44" t="n">
        <f aca="false">IF(ISNUMBER(BM197),BM197+BM198,"")</f>
        <v>-57.688</v>
      </c>
      <c r="BN199" s="44" t="n">
        <f aca="false">IF(ISNUMBER(BN197),BN197+BN198,"")</f>
        <v>100.271</v>
      </c>
      <c r="BO199" s="44" t="n">
        <f aca="false">IF(ISNUMBER(BO197),BO197+BO198,"")</f>
        <v>162.69</v>
      </c>
      <c r="BP199" s="44" t="n">
        <f aca="false">IF(ISNUMBER(BP197),BP197+BP198,"")</f>
        <v>278.028</v>
      </c>
      <c r="BQ199" s="44" t="n">
        <f aca="false">IF(ISNUMBER(BQ197),BQ197+BQ198,"")</f>
        <v>483.301</v>
      </c>
      <c r="BR199" s="44" t="n">
        <f aca="false">IF(ISNUMBER(BR197),BR197+BR198,"")</f>
        <v>-54.538</v>
      </c>
      <c r="BS199" s="44" t="n">
        <f aca="false">IF(ISNUMBER(BS197),BS197+BS198,"")</f>
        <v>117.204</v>
      </c>
      <c r="BT199" s="44" t="n">
        <f aca="false">IF(ISNUMBER(BT197),BT197+BT198,"")</f>
        <v>175.938</v>
      </c>
      <c r="BU199" s="44" t="n">
        <f aca="false">IF(ISNUMBER(BU197),BU197+BU198,"")</f>
        <v>315.106</v>
      </c>
      <c r="BV199" s="44" t="n">
        <f aca="false">IF(ISNUMBER(BV197),BV197+BV198,"")</f>
        <v>553.71</v>
      </c>
      <c r="BW199" s="44" t="n">
        <f aca="false">IF(ISNUMBER(BW197),BW197+BW198,"")</f>
        <v>-17.487</v>
      </c>
      <c r="BX199" s="44" t="n">
        <f aca="false">IF(ISNUMBER(BX197),BX197+BX198,"")</f>
        <v>160.26</v>
      </c>
      <c r="CA199" s="44" t="n">
        <f aca="false">CA197+CA198</f>
        <v>595</v>
      </c>
      <c r="CB199" s="44" t="n">
        <f aca="false">CB197+CB198</f>
        <v>623.110681550799</v>
      </c>
      <c r="CC199" s="44" t="n">
        <f aca="false">CC197+CC198</f>
        <v>682.265682186061</v>
      </c>
      <c r="CD199" s="44" t="n">
        <f aca="false">CD197+CD198</f>
        <v>755.040001387541</v>
      </c>
      <c r="CE199" s="44" t="n">
        <f aca="false">CE197+CE198</f>
        <v>828.943514171495</v>
      </c>
      <c r="CH199" s="19" t="n">
        <f aca="false">IFERROR((CE199/BV199)^(1/5)-1,"n/m")</f>
        <v>0.084048004145135</v>
      </c>
      <c r="CI199" s="19" t="n">
        <f aca="false">IFERROR((BV199/AW199)^(1/5)-1,"n/m")</f>
        <v>0.209771340624608</v>
      </c>
      <c r="CJ199" s="19" t="n">
        <f aca="false">IFERROR((BV199/X199)^(1/10)-1,"n/m")</f>
        <v>0.158668368339425</v>
      </c>
      <c r="CK199" s="19" t="n">
        <f aca="false">IFERROR((BV199/C199)^(1/19)-1,"n/m")</f>
        <v>0.0921857295637236</v>
      </c>
    </row>
    <row r="200" customFormat="false" ht="15" hidden="false" customHeight="false" outlineLevel="0" collapsed="false">
      <c r="B200" s="20" t="s">
        <v>392</v>
      </c>
      <c r="C200" s="24" t="n">
        <v>103.669</v>
      </c>
      <c r="D200" s="24" t="n">
        <v>84.703</v>
      </c>
      <c r="E200" s="24" t="n">
        <v>76.157</v>
      </c>
      <c r="F200" s="24" t="n">
        <v>120.936</v>
      </c>
      <c r="G200" s="24" t="n">
        <v>118.73</v>
      </c>
      <c r="H200" s="24" t="n">
        <v>117.531</v>
      </c>
      <c r="I200" s="24" t="n">
        <v>69.52</v>
      </c>
      <c r="J200" s="24" t="n">
        <v>-16.09</v>
      </c>
      <c r="K200" s="24" t="n">
        <v>44.765</v>
      </c>
      <c r="L200" s="24" t="n">
        <v>48.279</v>
      </c>
      <c r="M200" s="24" t="n">
        <v>89.075</v>
      </c>
      <c r="N200" s="24" t="n">
        <v>165.585</v>
      </c>
      <c r="O200" s="24" t="n">
        <v>-32.958</v>
      </c>
      <c r="P200" s="24" t="n">
        <v>81.379</v>
      </c>
      <c r="Q200" s="24" t="n">
        <v>50.272</v>
      </c>
      <c r="R200" s="24" t="n">
        <v>165.958</v>
      </c>
      <c r="S200" s="24" t="n">
        <v>264.651</v>
      </c>
      <c r="T200" s="24" t="n">
        <v>-180.187</v>
      </c>
      <c r="U200" s="24" t="n">
        <v>53.228</v>
      </c>
      <c r="V200" s="24" t="n">
        <v>98.42</v>
      </c>
      <c r="W200" s="24" t="n">
        <v>155.506</v>
      </c>
      <c r="X200" s="24" t="n">
        <v>126.967</v>
      </c>
      <c r="Y200" s="24" t="n">
        <v>61.435</v>
      </c>
      <c r="Z200" s="24" t="n">
        <v>79.463</v>
      </c>
      <c r="AA200" s="24" t="n">
        <v>100.187</v>
      </c>
      <c r="AB200" s="24" t="n">
        <v>135.336</v>
      </c>
      <c r="AC200" s="24" t="n">
        <v>376.421</v>
      </c>
      <c r="AD200" s="24" t="n">
        <v>-35.315</v>
      </c>
      <c r="AE200" s="24" t="n">
        <v>72.959</v>
      </c>
      <c r="AF200" s="24" t="n">
        <v>89.789</v>
      </c>
      <c r="AG200" s="24" t="n">
        <v>208.574</v>
      </c>
      <c r="AH200" s="24" t="n">
        <v>336.007</v>
      </c>
      <c r="AI200" s="24" t="n">
        <v>-80.233</v>
      </c>
      <c r="AJ200" s="24" t="n">
        <v>87.066</v>
      </c>
      <c r="AK200" s="24" t="n">
        <v>61.855</v>
      </c>
      <c r="AL200" s="24" t="n">
        <v>214.168</v>
      </c>
      <c r="AM200" s="24" t="n">
        <v>282.856</v>
      </c>
      <c r="AN200" s="24" t="n">
        <v>-68.892</v>
      </c>
      <c r="AO200" s="24" t="n">
        <v>75.807</v>
      </c>
      <c r="AP200" s="24" t="n">
        <v>102.181</v>
      </c>
      <c r="AQ200" s="24" t="n">
        <v>242.556</v>
      </c>
      <c r="AR200" s="24" t="n">
        <v>351.652</v>
      </c>
      <c r="AS200" s="24" t="n">
        <v>-211.213</v>
      </c>
      <c r="AT200" s="24" t="n">
        <v>129.68</v>
      </c>
      <c r="AU200" s="24" t="n">
        <v>48.976</v>
      </c>
      <c r="AV200" s="24" t="n">
        <v>246.238</v>
      </c>
      <c r="AW200" s="24" t="n">
        <v>213.681</v>
      </c>
      <c r="AX200" s="24" t="n">
        <v>-35.14</v>
      </c>
      <c r="AY200" s="24" t="n">
        <v>65.845</v>
      </c>
      <c r="AZ200" s="24" t="n">
        <v>97.198</v>
      </c>
      <c r="BA200" s="24" t="n">
        <v>218.657</v>
      </c>
      <c r="BB200" s="24" t="n">
        <v>346.56</v>
      </c>
      <c r="BC200" s="24" t="n">
        <v>-135.211</v>
      </c>
      <c r="BD200" s="24" t="n">
        <v>22.448</v>
      </c>
      <c r="BE200" s="24" t="n">
        <v>86.361</v>
      </c>
      <c r="BF200" s="24" t="n">
        <v>282.961</v>
      </c>
      <c r="BG200" s="24" t="n">
        <v>256.559</v>
      </c>
      <c r="BH200" s="24" t="n">
        <v>-102.26</v>
      </c>
      <c r="BI200" s="24" t="n">
        <v>98.949</v>
      </c>
      <c r="BJ200" s="24" t="n">
        <v>136.991</v>
      </c>
      <c r="BK200" s="24" t="n">
        <v>269.743</v>
      </c>
      <c r="BL200" s="24" t="n">
        <v>403.423</v>
      </c>
      <c r="BM200" s="24" t="n">
        <v>-57.688</v>
      </c>
      <c r="BN200" s="24" t="n">
        <v>100.271</v>
      </c>
      <c r="BO200" s="24" t="n">
        <v>162.69</v>
      </c>
      <c r="BP200" s="24" t="n">
        <v>278.028</v>
      </c>
      <c r="BQ200" s="24" t="n">
        <v>483.301</v>
      </c>
      <c r="BR200" s="24" t="n">
        <v>-54.538</v>
      </c>
      <c r="BS200" s="24" t="n">
        <v>117.204</v>
      </c>
      <c r="BT200" s="24" t="n">
        <v>175.938</v>
      </c>
      <c r="BU200" s="24" t="n">
        <v>315.106</v>
      </c>
      <c r="BV200" s="24" t="n">
        <v>553.71</v>
      </c>
      <c r="BW200" s="24" t="n">
        <v>-17.487</v>
      </c>
      <c r="BX200" s="24" t="n">
        <v>160.26</v>
      </c>
    </row>
    <row r="201" customFormat="false" ht="15" hidden="false" customHeight="false" outlineLevel="0" collapsed="false">
      <c r="B201" s="20" t="s">
        <v>393</v>
      </c>
      <c r="C201" s="46" t="n">
        <f aca="false">IF(AND(ISNUMBER(C200),ISNUMBER(C199)),ROUND(C199-C200,1),"n/p")</f>
        <v>0</v>
      </c>
      <c r="D201" s="46" t="n">
        <f aca="false">IF(AND(ISNUMBER(D200),ISNUMBER(D199)),ROUND(D199-D200,1),"n/p")</f>
        <v>0</v>
      </c>
      <c r="E201" s="46" t="n">
        <f aca="false">IF(AND(ISNUMBER(E200),ISNUMBER(E199)),ROUND(E199-E200,1),"n/p")</f>
        <v>0</v>
      </c>
      <c r="F201" s="46" t="n">
        <f aca="false">IF(AND(ISNUMBER(F200),ISNUMBER(F199)),ROUND(F199-F200,1),"n/p")</f>
        <v>0</v>
      </c>
      <c r="G201" s="46" t="n">
        <f aca="false">IF(AND(ISNUMBER(G200),ISNUMBER(G199)),ROUND(G199-G200,1),"n/p")</f>
        <v>0</v>
      </c>
      <c r="H201" s="46" t="n">
        <f aca="false">IF(AND(ISNUMBER(H200),ISNUMBER(H199)),ROUND(H199-H200,1),"n/p")</f>
        <v>0</v>
      </c>
      <c r="I201" s="46" t="n">
        <f aca="false">IF(AND(ISNUMBER(I200),ISNUMBER(I199)),ROUND(I199-I200,1),"n/p")</f>
        <v>0</v>
      </c>
      <c r="J201" s="46" t="n">
        <f aca="false">IF(AND(ISNUMBER(J200),ISNUMBER(J199)),ROUND(J199-J200,1),"n/p")</f>
        <v>0</v>
      </c>
      <c r="K201" s="46" t="n">
        <f aca="false">IF(AND(ISNUMBER(K200),ISNUMBER(K199)),ROUND(K199-K200,1),"n/p")</f>
        <v>0</v>
      </c>
      <c r="L201" s="46" t="n">
        <f aca="false">IF(AND(ISNUMBER(L200),ISNUMBER(L199)),ROUND(L199-L200,1),"n/p")</f>
        <v>-0.4</v>
      </c>
      <c r="M201" s="46" t="n">
        <f aca="false">IF(AND(ISNUMBER(M200),ISNUMBER(M199)),ROUND(M199-M200,1),"n/p")</f>
        <v>0</v>
      </c>
      <c r="N201" s="46" t="n">
        <f aca="false">IF(AND(ISNUMBER(N200),ISNUMBER(N199)),ROUND(N199-N200,1),"n/p")</f>
        <v>0</v>
      </c>
      <c r="O201" s="46" t="n">
        <f aca="false">IF(AND(ISNUMBER(O200),ISNUMBER(O199)),ROUND(O199-O200,1),"n/p")</f>
        <v>0</v>
      </c>
      <c r="P201" s="46" t="n">
        <f aca="false">IF(AND(ISNUMBER(P200),ISNUMBER(P199)),ROUND(P199-P200,1),"n/p")</f>
        <v>0</v>
      </c>
      <c r="Q201" s="46" t="n">
        <f aca="false">IF(AND(ISNUMBER(Q200),ISNUMBER(Q199)),ROUND(Q199-Q200,1),"n/p")</f>
        <v>0</v>
      </c>
      <c r="R201" s="46" t="n">
        <f aca="false">IF(AND(ISNUMBER(R200),ISNUMBER(R199)),ROUND(R199-R200,1),"n/p")</f>
        <v>0</v>
      </c>
      <c r="S201" s="46" t="n">
        <f aca="false">IF(AND(ISNUMBER(S200),ISNUMBER(S199)),ROUND(S199-S200,1),"n/p")</f>
        <v>0</v>
      </c>
      <c r="T201" s="46" t="n">
        <f aca="false">IF(AND(ISNUMBER(T200),ISNUMBER(T199)),ROUND(T199-T200,1),"n/p")</f>
        <v>0</v>
      </c>
      <c r="U201" s="46" t="n">
        <f aca="false">IF(AND(ISNUMBER(U200),ISNUMBER(U199)),ROUND(U199-U200,1),"n/p")</f>
        <v>0</v>
      </c>
      <c r="V201" s="46" t="n">
        <f aca="false">IF(AND(ISNUMBER(V200),ISNUMBER(V199)),ROUND(V199-V200,1),"n/p")</f>
        <v>0</v>
      </c>
      <c r="W201" s="46" t="n">
        <f aca="false">IF(AND(ISNUMBER(W200),ISNUMBER(W199)),ROUND(W199-W200,1),"n/p")</f>
        <v>0</v>
      </c>
      <c r="X201" s="46" t="n">
        <f aca="false">IF(AND(ISNUMBER(X200),ISNUMBER(X199)),ROUND(X199-X200,1),"n/p")</f>
        <v>0</v>
      </c>
      <c r="Y201" s="46" t="n">
        <f aca="false">IF(AND(ISNUMBER(Y200),ISNUMBER(Y199)),ROUND(Y199-Y200,1),"n/p")</f>
        <v>0</v>
      </c>
      <c r="Z201" s="46" t="n">
        <f aca="false">IF(AND(ISNUMBER(Z200),ISNUMBER(Z199)),ROUND(Z199-Z200,1),"n/p")</f>
        <v>0</v>
      </c>
      <c r="AA201" s="46" t="n">
        <f aca="false">IF(AND(ISNUMBER(AA200),ISNUMBER(AA199)),ROUND(AA199-AA200,1),"n/p")</f>
        <v>0</v>
      </c>
      <c r="AB201" s="46" t="n">
        <f aca="false">IF(AND(ISNUMBER(AB200),ISNUMBER(AB199)),ROUND(AB199-AB200,1),"n/p")</f>
        <v>0</v>
      </c>
      <c r="AC201" s="46" t="n">
        <f aca="false">IF(AND(ISNUMBER(AC200),ISNUMBER(AC199)),ROUND(AC199-AC200,1),"n/p")</f>
        <v>0</v>
      </c>
      <c r="AD201" s="46" t="n">
        <f aca="false">IF(AND(ISNUMBER(AD200),ISNUMBER(AD199)),ROUND(AD199-AD200,1),"n/p")</f>
        <v>0</v>
      </c>
      <c r="AE201" s="46" t="n">
        <f aca="false">IF(AND(ISNUMBER(AE200),ISNUMBER(AE199)),ROUND(AE199-AE200,1),"n/p")</f>
        <v>0</v>
      </c>
      <c r="AF201" s="46" t="n">
        <f aca="false">IF(AND(ISNUMBER(AF200),ISNUMBER(AF199)),ROUND(AF199-AF200,1),"n/p")</f>
        <v>0</v>
      </c>
      <c r="AG201" s="46" t="n">
        <f aca="false">IF(AND(ISNUMBER(AG200),ISNUMBER(AG199)),ROUND(AG199-AG200,1),"n/p")</f>
        <v>0</v>
      </c>
      <c r="AH201" s="46" t="n">
        <f aca="false">IF(AND(ISNUMBER(AH200),ISNUMBER(AH199)),ROUND(AH199-AH200,1),"n/p")</f>
        <v>0</v>
      </c>
      <c r="AI201" s="46" t="n">
        <f aca="false">IF(AND(ISNUMBER(AI200),ISNUMBER(AI199)),ROUND(AI199-AI200,1),"n/p")</f>
        <v>0</v>
      </c>
      <c r="AJ201" s="46" t="n">
        <f aca="false">IF(AND(ISNUMBER(AJ200),ISNUMBER(AJ199)),ROUND(AJ199-AJ200,1),"n/p")</f>
        <v>0</v>
      </c>
      <c r="AK201" s="46" t="n">
        <f aca="false">IF(AND(ISNUMBER(AK200),ISNUMBER(AK199)),ROUND(AK199-AK200,1),"n/p")</f>
        <v>0</v>
      </c>
      <c r="AL201" s="46" t="n">
        <f aca="false">IF(AND(ISNUMBER(AL200),ISNUMBER(AL199)),ROUND(AL199-AL200,1),"n/p")</f>
        <v>0</v>
      </c>
      <c r="AM201" s="46" t="n">
        <f aca="false">IF(AND(ISNUMBER(AM200),ISNUMBER(AM199)),ROUND(AM199-AM200,1),"n/p")</f>
        <v>0</v>
      </c>
      <c r="AN201" s="46" t="n">
        <f aca="false">IF(AND(ISNUMBER(AN200),ISNUMBER(AN199)),ROUND(AN199-AN200,1),"n/p")</f>
        <v>0</v>
      </c>
      <c r="AO201" s="46" t="n">
        <f aca="false">IF(AND(ISNUMBER(AO200),ISNUMBER(AO199)),ROUND(AO199-AO200,1),"n/p")</f>
        <v>0</v>
      </c>
      <c r="AP201" s="46" t="n">
        <f aca="false">IF(AND(ISNUMBER(AP200),ISNUMBER(AP199)),ROUND(AP199-AP200,1),"n/p")</f>
        <v>0</v>
      </c>
      <c r="AQ201" s="46" t="n">
        <f aca="false">IF(AND(ISNUMBER(AQ200),ISNUMBER(AQ199)),ROUND(AQ199-AQ200,1),"n/p")</f>
        <v>0</v>
      </c>
      <c r="AR201" s="46" t="n">
        <f aca="false">IF(AND(ISNUMBER(AR200),ISNUMBER(AR199)),ROUND(AR199-AR200,1),"n/p")</f>
        <v>0</v>
      </c>
      <c r="AS201" s="46" t="n">
        <f aca="false">IF(AND(ISNUMBER(AS200),ISNUMBER(AS199)),ROUND(AS199-AS200,1),"n/p")</f>
        <v>0</v>
      </c>
      <c r="AT201" s="46" t="n">
        <f aca="false">IF(AND(ISNUMBER(AT200),ISNUMBER(AT199)),ROUND(AT199-AT200,1),"n/p")</f>
        <v>0</v>
      </c>
      <c r="AU201" s="46" t="n">
        <f aca="false">IF(AND(ISNUMBER(AU200),ISNUMBER(AU199)),ROUND(AU199-AU200,1),"n/p")</f>
        <v>0</v>
      </c>
      <c r="AV201" s="46" t="n">
        <f aca="false">IF(AND(ISNUMBER(AV200),ISNUMBER(AV199)),ROUND(AV199-AV200,1),"n/p")</f>
        <v>0</v>
      </c>
      <c r="AW201" s="46" t="n">
        <f aca="false">IF(AND(ISNUMBER(AW200),ISNUMBER(AW199)),ROUND(AW199-AW200,1),"n/p")</f>
        <v>0</v>
      </c>
      <c r="AX201" s="46" t="n">
        <f aca="false">IF(AND(ISNUMBER(AX200),ISNUMBER(AX199)),ROUND(AX199-AX200,1),"n/p")</f>
        <v>0</v>
      </c>
      <c r="AY201" s="46" t="n">
        <f aca="false">IF(AND(ISNUMBER(AY200),ISNUMBER(AY199)),ROUND(AY199-AY200,1),"n/p")</f>
        <v>0</v>
      </c>
      <c r="AZ201" s="46" t="n">
        <f aca="false">IF(AND(ISNUMBER(AZ200),ISNUMBER(AZ199)),ROUND(AZ199-AZ200,1),"n/p")</f>
        <v>0</v>
      </c>
      <c r="BA201" s="46" t="n">
        <f aca="false">IF(AND(ISNUMBER(BA200),ISNUMBER(BA199)),ROUND(BA199-BA200,1),"n/p")</f>
        <v>0</v>
      </c>
      <c r="BB201" s="46" t="n">
        <f aca="false">IF(AND(ISNUMBER(BB200),ISNUMBER(BB199)),ROUND(BB199-BB200,1),"n/p")</f>
        <v>0</v>
      </c>
      <c r="BC201" s="46" t="n">
        <f aca="false">IF(AND(ISNUMBER(BC200),ISNUMBER(BC199)),ROUND(BC199-BC200,1),"n/p")</f>
        <v>0</v>
      </c>
      <c r="BD201" s="46" t="n">
        <f aca="false">IF(AND(ISNUMBER(BD200),ISNUMBER(BD199)),ROUND(BD199-BD200,1),"n/p")</f>
        <v>0</v>
      </c>
      <c r="BE201" s="46" t="n">
        <f aca="false">IF(AND(ISNUMBER(BE200),ISNUMBER(BE199)),ROUND(BE199-BE200,1),"n/p")</f>
        <v>0</v>
      </c>
      <c r="BF201" s="46" t="n">
        <f aca="false">IF(AND(ISNUMBER(BF200),ISNUMBER(BF199)),ROUND(BF199-BF200,1),"n/p")</f>
        <v>0</v>
      </c>
      <c r="BG201" s="46" t="n">
        <f aca="false">IF(AND(ISNUMBER(BG200),ISNUMBER(BG199)),ROUND(BG199-BG200,1),"n/p")</f>
        <v>0</v>
      </c>
      <c r="BH201" s="46" t="n">
        <f aca="false">IF(AND(ISNUMBER(BH200),ISNUMBER(BH199)),ROUND(BH199-BH200,1),"n/p")</f>
        <v>0</v>
      </c>
      <c r="BI201" s="46" t="n">
        <f aca="false">IF(AND(ISNUMBER(BI200),ISNUMBER(BI199)),ROUND(BI199-BI200,1),"n/p")</f>
        <v>0</v>
      </c>
      <c r="BJ201" s="46" t="n">
        <f aca="false">IF(AND(ISNUMBER(BJ200),ISNUMBER(BJ199)),ROUND(BJ199-BJ200,1),"n/p")</f>
        <v>0</v>
      </c>
      <c r="BK201" s="46" t="n">
        <f aca="false">IF(AND(ISNUMBER(BK200),ISNUMBER(BK199)),ROUND(BK199-BK200,1),"n/p")</f>
        <v>0</v>
      </c>
      <c r="BL201" s="46" t="n">
        <f aca="false">IF(AND(ISNUMBER(BL200),ISNUMBER(BL199)),ROUND(BL199-BL200,1),"n/p")</f>
        <v>0</v>
      </c>
      <c r="BM201" s="46" t="n">
        <f aca="false">IF(AND(ISNUMBER(BM200),ISNUMBER(BM199)),ROUND(BM199-BM200,1),"n/p")</f>
        <v>0</v>
      </c>
      <c r="BN201" s="46" t="n">
        <f aca="false">IF(AND(ISNUMBER(BN200),ISNUMBER(BN199)),ROUND(BN199-BN200,1),"n/p")</f>
        <v>0</v>
      </c>
      <c r="BO201" s="46" t="n">
        <f aca="false">IF(AND(ISNUMBER(BO200),ISNUMBER(BO199)),ROUND(BO199-BO200,1),"n/p")</f>
        <v>0</v>
      </c>
      <c r="BP201" s="46" t="n">
        <f aca="false">IF(AND(ISNUMBER(BP200),ISNUMBER(BP199)),ROUND(BP199-BP200,1),"n/p")</f>
        <v>0</v>
      </c>
      <c r="BQ201" s="46" t="n">
        <f aca="false">IF(AND(ISNUMBER(BQ200),ISNUMBER(BQ199)),ROUND(BQ199-BQ200,1),"n/p")</f>
        <v>0</v>
      </c>
      <c r="BR201" s="46" t="n">
        <f aca="false">IF(AND(ISNUMBER(BR200),ISNUMBER(BR199)),ROUND(BR199-BR200,1),"n/p")</f>
        <v>0</v>
      </c>
      <c r="BS201" s="46" t="n">
        <f aca="false">IF(AND(ISNUMBER(BS200),ISNUMBER(BS199)),ROUND(BS199-BS200,1),"n/p")</f>
        <v>0</v>
      </c>
      <c r="BT201" s="46" t="n">
        <f aca="false">IF(AND(ISNUMBER(BT200),ISNUMBER(BT199)),ROUND(BT199-BT200,1),"n/p")</f>
        <v>0</v>
      </c>
      <c r="BU201" s="46" t="n">
        <f aca="false">IF(AND(ISNUMBER(BU200),ISNUMBER(BU199)),ROUND(BU199-BU200,1),"n/p")</f>
        <v>0</v>
      </c>
      <c r="BV201" s="46" t="n">
        <f aca="false">IF(AND(ISNUMBER(BV200),ISNUMBER(BV199)),ROUND(BV199-BV200,1),"n/p")</f>
        <v>0</v>
      </c>
      <c r="BW201" s="46" t="n">
        <f aca="false">IF(AND(ISNUMBER(BW200),ISNUMBER(BW199)),ROUND(BW199-BW200,1),"n/p")</f>
        <v>0</v>
      </c>
      <c r="BX201" s="46" t="n">
        <f aca="false">IF(AND(ISNUMBER(BX200),ISNUMBER(BX199)),ROUND(BX199-BX200,1),"n/p")</f>
        <v>0</v>
      </c>
    </row>
    <row r="202" customFormat="false" ht="15" hidden="false" customHeight="false" outlineLevel="0" collapsed="false">
      <c r="B202" s="20" t="s">
        <v>394</v>
      </c>
      <c r="T202" s="28" t="n">
        <v>145</v>
      </c>
      <c r="U202" s="28" t="n">
        <v>0</v>
      </c>
      <c r="V202" s="28" t="n">
        <v>0</v>
      </c>
      <c r="W202" s="28" t="n">
        <v>0</v>
      </c>
      <c r="X202" s="28" t="n">
        <v>145</v>
      </c>
      <c r="Y202" s="28" t="n">
        <v>0</v>
      </c>
      <c r="Z202" s="28" t="n">
        <v>0</v>
      </c>
      <c r="AA202" s="28" t="n">
        <v>0</v>
      </c>
      <c r="AB202" s="28" t="n">
        <v>0</v>
      </c>
      <c r="AC202" s="28" t="n">
        <v>0</v>
      </c>
      <c r="AI202" s="28" t="n">
        <v>50</v>
      </c>
      <c r="AJ202" s="28" t="n">
        <v>0</v>
      </c>
      <c r="AK202" s="28" t="n">
        <v>0</v>
      </c>
      <c r="AL202" s="28" t="n">
        <v>0</v>
      </c>
      <c r="AM202" s="28" t="n">
        <v>50</v>
      </c>
      <c r="AN202" s="28" t="n">
        <v>5.123</v>
      </c>
      <c r="AO202" s="28" t="n">
        <v>4.039</v>
      </c>
      <c r="AP202" s="28" t="n">
        <v>4.824</v>
      </c>
      <c r="AQ202" s="28" t="n">
        <v>5.298</v>
      </c>
      <c r="AR202" s="28" t="n">
        <v>19.284</v>
      </c>
      <c r="AS202" s="28" t="n">
        <v>158.342</v>
      </c>
      <c r="AT202" s="28" t="n">
        <v>6.074</v>
      </c>
      <c r="AU202" s="28" t="n">
        <v>6.372</v>
      </c>
      <c r="AV202" s="28" t="n">
        <v>9.721</v>
      </c>
      <c r="AW202" s="28" t="n">
        <v>180.509</v>
      </c>
      <c r="BC202" s="28" t="n">
        <v>23.214</v>
      </c>
      <c r="BF202" s="28" t="n">
        <v>15.753</v>
      </c>
      <c r="BG202" s="28" t="n">
        <v>38.967</v>
      </c>
      <c r="BH202" s="28" t="n">
        <v>10</v>
      </c>
      <c r="BL202" s="28" t="n">
        <v>10</v>
      </c>
    </row>
    <row r="203" customFormat="false" ht="15" hidden="false" customHeight="false" outlineLevel="0" collapsed="false">
      <c r="B203" s="15" t="s">
        <v>395</v>
      </c>
      <c r="T203" s="31" t="n">
        <f aca="false">T199+T202</f>
        <v>-35.187</v>
      </c>
      <c r="U203" s="31" t="n">
        <f aca="false">U199+U202</f>
        <v>53.228</v>
      </c>
      <c r="V203" s="31" t="n">
        <f aca="false">V199+V202</f>
        <v>98.42</v>
      </c>
      <c r="W203" s="31" t="n">
        <f aca="false">W199+W202</f>
        <v>155.506</v>
      </c>
      <c r="X203" s="31" t="n">
        <f aca="false">X199+X202</f>
        <v>271.967</v>
      </c>
      <c r="Y203" s="31" t="n">
        <f aca="false">Y199+Y202</f>
        <v>61.435</v>
      </c>
      <c r="Z203" s="31" t="n">
        <f aca="false">Z199+Z202</f>
        <v>79.463</v>
      </c>
      <c r="AA203" s="31" t="n">
        <f aca="false">AA199+AA202</f>
        <v>100.187</v>
      </c>
      <c r="AB203" s="31" t="n">
        <f aca="false">AB199+AB202</f>
        <v>135.336</v>
      </c>
      <c r="AC203" s="31" t="n">
        <f aca="false">AC199+AC202</f>
        <v>376.421</v>
      </c>
      <c r="AI203" s="31" t="n">
        <f aca="false">AI199+AI202</f>
        <v>-30.233</v>
      </c>
      <c r="AJ203" s="31" t="n">
        <f aca="false">AJ199+AJ202</f>
        <v>87.066</v>
      </c>
      <c r="AK203" s="31" t="n">
        <f aca="false">AK199+AK202</f>
        <v>61.855</v>
      </c>
      <c r="AL203" s="31" t="n">
        <f aca="false">AL199+AL202</f>
        <v>214.168</v>
      </c>
      <c r="AM203" s="31" t="n">
        <f aca="false">AM199+AM202</f>
        <v>332.856</v>
      </c>
      <c r="AN203" s="31" t="n">
        <f aca="false">AN199+AN202</f>
        <v>-63.769</v>
      </c>
      <c r="AO203" s="31" t="n">
        <f aca="false">AO199+AO202</f>
        <v>79.846</v>
      </c>
      <c r="AP203" s="31" t="n">
        <f aca="false">AP199+AP202</f>
        <v>107.005</v>
      </c>
      <c r="AQ203" s="31" t="n">
        <f aca="false">AQ199+AQ202</f>
        <v>247.854</v>
      </c>
      <c r="AR203" s="31" t="n">
        <f aca="false">AR199+AR202</f>
        <v>370.936</v>
      </c>
      <c r="AS203" s="31" t="n">
        <f aca="false">AS199+AS202</f>
        <v>-52.871</v>
      </c>
      <c r="AT203" s="31" t="n">
        <f aca="false">AT199+AT202</f>
        <v>135.754</v>
      </c>
      <c r="AU203" s="31" t="n">
        <f aca="false">AU199+AU202</f>
        <v>55.348</v>
      </c>
      <c r="AV203" s="31" t="n">
        <f aca="false">AV199+AV202</f>
        <v>255.959</v>
      </c>
      <c r="AW203" s="31" t="n">
        <f aca="false">AW199+AW202</f>
        <v>394.19</v>
      </c>
      <c r="AX203" s="31" t="n">
        <f aca="false">AX199+AX202</f>
        <v>-35.14</v>
      </c>
      <c r="AY203" s="31" t="n">
        <f aca="false">AY199+AY202</f>
        <v>65.845</v>
      </c>
      <c r="AZ203" s="31" t="n">
        <f aca="false">AZ199+AZ202</f>
        <v>97.198</v>
      </c>
      <c r="BA203" s="31" t="n">
        <f aca="false">BA199+BA202</f>
        <v>218.657</v>
      </c>
      <c r="BB203" s="31" t="n">
        <f aca="false">BB199+BB202</f>
        <v>346.56</v>
      </c>
      <c r="BC203" s="31" t="n">
        <f aca="false">BC199+BC202</f>
        <v>-111.997</v>
      </c>
      <c r="BD203" s="31" t="n">
        <f aca="false">BD199+BD202</f>
        <v>22.448</v>
      </c>
      <c r="BE203" s="31" t="n">
        <f aca="false">BE199+BE202</f>
        <v>86.361</v>
      </c>
      <c r="BF203" s="31" t="n">
        <f aca="false">BF199+BF202</f>
        <v>298.714</v>
      </c>
      <c r="BG203" s="31" t="n">
        <f aca="false">BG199+BG202</f>
        <v>295.526</v>
      </c>
      <c r="BH203" s="31" t="n">
        <f aca="false">BH199+BH202</f>
        <v>-92.26</v>
      </c>
      <c r="BI203" s="31" t="n">
        <f aca="false">BI199+BI202</f>
        <v>98.949</v>
      </c>
      <c r="BJ203" s="31" t="n">
        <f aca="false">BJ199+BJ202</f>
        <v>136.991</v>
      </c>
      <c r="BK203" s="31" t="n">
        <f aca="false">BK199+BK202</f>
        <v>269.743</v>
      </c>
      <c r="BL203" s="31" t="n">
        <f aca="false">BL199+BL202</f>
        <v>413.423</v>
      </c>
      <c r="BM203" s="31" t="n">
        <f aca="false">BM199+BM202</f>
        <v>-57.688</v>
      </c>
      <c r="BN203" s="31" t="n">
        <f aca="false">BN199+BN202</f>
        <v>100.271</v>
      </c>
      <c r="BO203" s="31" t="n">
        <f aca="false">BO199+BO202</f>
        <v>162.69</v>
      </c>
      <c r="BP203" s="31" t="n">
        <f aca="false">BP199+BP202</f>
        <v>278.028</v>
      </c>
      <c r="BQ203" s="31" t="n">
        <f aca="false">BQ199+BQ202</f>
        <v>483.301</v>
      </c>
    </row>
    <row r="204" customFormat="false" ht="15" hidden="false" customHeight="false" outlineLevel="0" collapsed="false">
      <c r="B204" s="20" t="s">
        <v>396</v>
      </c>
      <c r="T204" s="24" t="n">
        <v>-35.187</v>
      </c>
      <c r="U204" s="24" t="n">
        <v>53.228</v>
      </c>
      <c r="V204" s="24" t="n">
        <v>98.42</v>
      </c>
      <c r="W204" s="24" t="n">
        <v>155.506</v>
      </c>
      <c r="X204" s="24" t="n">
        <v>271.967</v>
      </c>
      <c r="Y204" s="24" t="n">
        <v>61.435</v>
      </c>
      <c r="Z204" s="24" t="n">
        <v>79.463</v>
      </c>
      <c r="AA204" s="24" t="n">
        <v>100.187</v>
      </c>
      <c r="AB204" s="24" t="n">
        <v>135.336</v>
      </c>
      <c r="AC204" s="24" t="n">
        <v>376.421</v>
      </c>
      <c r="AI204" s="24" t="n">
        <v>-30.233</v>
      </c>
      <c r="AJ204" s="24" t="n">
        <v>87.066</v>
      </c>
      <c r="AK204" s="24" t="n">
        <v>61.855</v>
      </c>
      <c r="AL204" s="24" t="n">
        <v>214.168</v>
      </c>
      <c r="AM204" s="24" t="n">
        <v>332.856</v>
      </c>
      <c r="AN204" s="24" t="n">
        <v>-63.769</v>
      </c>
      <c r="AO204" s="24" t="n">
        <v>79.846</v>
      </c>
      <c r="AP204" s="24" t="n">
        <v>107.005</v>
      </c>
      <c r="AQ204" s="24" t="n">
        <v>247.854</v>
      </c>
      <c r="AR204" s="24" t="n">
        <v>370.936</v>
      </c>
      <c r="AS204" s="24" t="n">
        <v>-52.871</v>
      </c>
      <c r="AT204" s="24" t="n">
        <v>135.754</v>
      </c>
      <c r="AU204" s="24" t="n">
        <v>55.348</v>
      </c>
      <c r="AV204" s="24" t="n">
        <v>255.959</v>
      </c>
      <c r="AW204" s="24" t="n">
        <v>394.19</v>
      </c>
      <c r="AX204" s="24" t="n">
        <v>-35.14</v>
      </c>
      <c r="AY204" s="24" t="n">
        <v>65.845</v>
      </c>
      <c r="AZ204" s="24" t="n">
        <v>97.198</v>
      </c>
      <c r="BA204" s="24" t="n">
        <v>218.657</v>
      </c>
      <c r="BB204" s="24" t="n">
        <v>346.56</v>
      </c>
      <c r="BC204" s="24" t="n">
        <v>-111.997</v>
      </c>
      <c r="BD204" s="24" t="n">
        <v>22.448</v>
      </c>
      <c r="BE204" s="24" t="n">
        <v>86.361</v>
      </c>
      <c r="BF204" s="24" t="n">
        <v>298.714</v>
      </c>
      <c r="BG204" s="24" t="n">
        <v>295.526</v>
      </c>
      <c r="BH204" s="24" t="n">
        <v>-92.26</v>
      </c>
      <c r="BI204" s="24" t="n">
        <v>98.949</v>
      </c>
      <c r="BJ204" s="24" t="n">
        <v>136.991</v>
      </c>
      <c r="BK204" s="24" t="n">
        <v>269.743</v>
      </c>
      <c r="BL204" s="24" t="n">
        <v>413.423</v>
      </c>
      <c r="BM204" s="24" t="n">
        <v>-57.688</v>
      </c>
      <c r="BN204" s="24" t="n">
        <v>100.271</v>
      </c>
      <c r="BO204" s="24" t="n">
        <v>162.69</v>
      </c>
      <c r="BP204" s="24" t="n">
        <v>278.028</v>
      </c>
      <c r="BQ204" s="24" t="n">
        <v>483.301</v>
      </c>
    </row>
    <row r="205" customFormat="false" ht="15" hidden="false" customHeight="false" outlineLevel="0" collapsed="false">
      <c r="B205" s="20" t="s">
        <v>397</v>
      </c>
      <c r="C205" s="46" t="str">
        <f aca="false">IF(ISNUMBER(C204),ROUND(C203-C204,1),"n/p")</f>
        <v>n/p</v>
      </c>
      <c r="D205" s="46" t="str">
        <f aca="false">IF(ISNUMBER(D204),ROUND(D203-D204,1),"n/p")</f>
        <v>n/p</v>
      </c>
      <c r="E205" s="46" t="str">
        <f aca="false">IF(ISNUMBER(E204),ROUND(E203-E204,1),"n/p")</f>
        <v>n/p</v>
      </c>
      <c r="F205" s="46" t="str">
        <f aca="false">IF(ISNUMBER(F204),ROUND(F203-F204,1),"n/p")</f>
        <v>n/p</v>
      </c>
      <c r="G205" s="46" t="str">
        <f aca="false">IF(ISNUMBER(G204),ROUND(G203-G204,1),"n/p")</f>
        <v>n/p</v>
      </c>
      <c r="H205" s="46" t="str">
        <f aca="false">IF(ISNUMBER(H204),ROUND(H203-H204,1),"n/p")</f>
        <v>n/p</v>
      </c>
      <c r="I205" s="46" t="str">
        <f aca="false">IF(ISNUMBER(I204),ROUND(I203-I204,1),"n/p")</f>
        <v>n/p</v>
      </c>
      <c r="J205" s="46" t="str">
        <f aca="false">IF(ISNUMBER(J204),ROUND(J203-J204,1),"n/p")</f>
        <v>n/p</v>
      </c>
      <c r="K205" s="46" t="str">
        <f aca="false">IF(ISNUMBER(K204),ROUND(K203-K204,1),"n/p")</f>
        <v>n/p</v>
      </c>
      <c r="L205" s="46" t="str">
        <f aca="false">IF(ISNUMBER(L204),ROUND(L203-L204,1),"n/p")</f>
        <v>n/p</v>
      </c>
      <c r="M205" s="46" t="str">
        <f aca="false">IF(ISNUMBER(M204),ROUND(M203-M204,1),"n/p")</f>
        <v>n/p</v>
      </c>
      <c r="N205" s="46" t="str">
        <f aca="false">IF(ISNUMBER(N204),ROUND(N203-N204,1),"n/p")</f>
        <v>n/p</v>
      </c>
      <c r="O205" s="46" t="str">
        <f aca="false">IF(ISNUMBER(O204),ROUND(O203-O204,1),"n/p")</f>
        <v>n/p</v>
      </c>
      <c r="P205" s="46" t="str">
        <f aca="false">IF(ISNUMBER(P204),ROUND(P203-P204,1),"n/p")</f>
        <v>n/p</v>
      </c>
      <c r="Q205" s="46" t="str">
        <f aca="false">IF(ISNUMBER(Q204),ROUND(Q203-Q204,1),"n/p")</f>
        <v>n/p</v>
      </c>
      <c r="R205" s="46" t="str">
        <f aca="false">IF(ISNUMBER(R204),ROUND(R203-R204,1),"n/p")</f>
        <v>n/p</v>
      </c>
      <c r="S205" s="46" t="str">
        <f aca="false">IF(ISNUMBER(S204),ROUND(S203-S204,1),"n/p")</f>
        <v>n/p</v>
      </c>
      <c r="T205" s="46" t="n">
        <f aca="false">IF(ISNUMBER(T204),ROUND(T203-T204,1),"n/p")</f>
        <v>0</v>
      </c>
      <c r="U205" s="46" t="n">
        <f aca="false">IF(ISNUMBER(U204),ROUND(U203-U204,1),"n/p")</f>
        <v>0</v>
      </c>
      <c r="V205" s="46" t="n">
        <f aca="false">IF(ISNUMBER(V204),ROUND(V203-V204,1),"n/p")</f>
        <v>0</v>
      </c>
      <c r="W205" s="46" t="n">
        <f aca="false">IF(ISNUMBER(W204),ROUND(W203-W204,1),"n/p")</f>
        <v>0</v>
      </c>
      <c r="X205" s="46" t="n">
        <f aca="false">IF(ISNUMBER(X204),ROUND(X203-X204,1),"n/p")</f>
        <v>0</v>
      </c>
      <c r="Y205" s="46" t="n">
        <f aca="false">IF(ISNUMBER(Y204),ROUND(Y203-Y204,1),"n/p")</f>
        <v>0</v>
      </c>
      <c r="Z205" s="46" t="n">
        <f aca="false">IF(ISNUMBER(Z204),ROUND(Z203-Z204,1),"n/p")</f>
        <v>0</v>
      </c>
      <c r="AA205" s="46" t="n">
        <f aca="false">IF(ISNUMBER(AA204),ROUND(AA203-AA204,1),"n/p")</f>
        <v>0</v>
      </c>
      <c r="AB205" s="46" t="n">
        <f aca="false">IF(ISNUMBER(AB204),ROUND(AB203-AB204,1),"n/p")</f>
        <v>0</v>
      </c>
      <c r="AC205" s="46" t="n">
        <f aca="false">IF(ISNUMBER(AC204),ROUND(AC203-AC204,1),"n/p")</f>
        <v>0</v>
      </c>
      <c r="AD205" s="46" t="str">
        <f aca="false">IF(ISNUMBER(AD204),ROUND(AD203-AD204,1),"n/p")</f>
        <v>n/p</v>
      </c>
      <c r="AE205" s="46" t="str">
        <f aca="false">IF(ISNUMBER(AE204),ROUND(AE203-AE204,1),"n/p")</f>
        <v>n/p</v>
      </c>
      <c r="AF205" s="46" t="str">
        <f aca="false">IF(ISNUMBER(AF204),ROUND(AF203-AF204,1),"n/p")</f>
        <v>n/p</v>
      </c>
      <c r="AG205" s="46" t="str">
        <f aca="false">IF(ISNUMBER(AG204),ROUND(AG203-AG204,1),"n/p")</f>
        <v>n/p</v>
      </c>
      <c r="AH205" s="46" t="str">
        <f aca="false">IF(ISNUMBER(AH204),ROUND(AH203-AH204,1),"n/p")</f>
        <v>n/p</v>
      </c>
      <c r="AI205" s="46" t="n">
        <f aca="false">IF(ISNUMBER(AI204),ROUND(AI203-AI204,1),"n/p")</f>
        <v>0</v>
      </c>
      <c r="AJ205" s="46" t="n">
        <f aca="false">IF(ISNUMBER(AJ204),ROUND(AJ203-AJ204,1),"n/p")</f>
        <v>0</v>
      </c>
      <c r="AK205" s="46" t="n">
        <f aca="false">IF(ISNUMBER(AK204),ROUND(AK203-AK204,1),"n/p")</f>
        <v>0</v>
      </c>
      <c r="AL205" s="46" t="n">
        <f aca="false">IF(ISNUMBER(AL204),ROUND(AL203-AL204,1),"n/p")</f>
        <v>0</v>
      </c>
      <c r="AM205" s="46" t="n">
        <f aca="false">IF(ISNUMBER(AM204),ROUND(AM203-AM204,1),"n/p")</f>
        <v>0</v>
      </c>
      <c r="AN205" s="46" t="n">
        <f aca="false">IF(ISNUMBER(AN204),ROUND(AN203-AN204,1),"n/p")</f>
        <v>0</v>
      </c>
      <c r="AO205" s="46" t="n">
        <f aca="false">IF(ISNUMBER(AO204),ROUND(AO203-AO204,1),"n/p")</f>
        <v>0</v>
      </c>
      <c r="AP205" s="46" t="n">
        <f aca="false">IF(ISNUMBER(AP204),ROUND(AP203-AP204,1),"n/p")</f>
        <v>0</v>
      </c>
      <c r="AQ205" s="46" t="n">
        <f aca="false">IF(ISNUMBER(AQ204),ROUND(AQ203-AQ204,1),"n/p")</f>
        <v>0</v>
      </c>
      <c r="AR205" s="46" t="n">
        <f aca="false">IF(ISNUMBER(AR204),ROUND(AR203-AR204,1),"n/p")</f>
        <v>0</v>
      </c>
      <c r="AS205" s="46" t="n">
        <f aca="false">IF(ISNUMBER(AS204),ROUND(AS203-AS204,1),"n/p")</f>
        <v>0</v>
      </c>
      <c r="AT205" s="46" t="n">
        <f aca="false">IF(ISNUMBER(AT204),ROUND(AT203-AT204,1),"n/p")</f>
        <v>0</v>
      </c>
      <c r="AU205" s="46" t="n">
        <f aca="false">IF(ISNUMBER(AU204),ROUND(AU203-AU204,1),"n/p")</f>
        <v>0</v>
      </c>
      <c r="AV205" s="46" t="n">
        <f aca="false">IF(ISNUMBER(AV204),ROUND(AV203-AV204,1),"n/p")</f>
        <v>0</v>
      </c>
      <c r="AW205" s="46" t="n">
        <f aca="false">IF(ISNUMBER(AW204),ROUND(AW203-AW204,1),"n/p")</f>
        <v>0</v>
      </c>
      <c r="AX205" s="46" t="n">
        <f aca="false">IF(ISNUMBER(AX204),ROUND(AX203-AX204,1),"n/p")</f>
        <v>0</v>
      </c>
      <c r="AY205" s="46" t="n">
        <f aca="false">IF(ISNUMBER(AY204),ROUND(AY203-AY204,1),"n/p")</f>
        <v>0</v>
      </c>
      <c r="AZ205" s="46" t="n">
        <f aca="false">IF(ISNUMBER(AZ204),ROUND(AZ203-AZ204,1),"n/p")</f>
        <v>0</v>
      </c>
      <c r="BA205" s="46" t="n">
        <f aca="false">IF(ISNUMBER(BA204),ROUND(BA203-BA204,1),"n/p")</f>
        <v>0</v>
      </c>
      <c r="BB205" s="46" t="n">
        <f aca="false">IF(ISNUMBER(BB204),ROUND(BB203-BB204,1),"n/p")</f>
        <v>0</v>
      </c>
      <c r="BC205" s="46" t="n">
        <f aca="false">IF(ISNUMBER(BC204),ROUND(BC203-BC204,1),"n/p")</f>
        <v>0</v>
      </c>
      <c r="BD205" s="46" t="n">
        <f aca="false">IF(ISNUMBER(BD204),ROUND(BD203-BD204,1),"n/p")</f>
        <v>0</v>
      </c>
      <c r="BE205" s="46" t="n">
        <f aca="false">IF(ISNUMBER(BE204),ROUND(BE203-BE204,1),"n/p")</f>
        <v>0</v>
      </c>
      <c r="BF205" s="46" t="n">
        <f aca="false">IF(ISNUMBER(BF204),ROUND(BF203-BF204,1),"n/p")</f>
        <v>0</v>
      </c>
      <c r="BG205" s="46" t="n">
        <f aca="false">IF(ISNUMBER(BG204),ROUND(BG203-BG204,1),"n/p")</f>
        <v>0</v>
      </c>
      <c r="BH205" s="46" t="n">
        <f aca="false">IF(ISNUMBER(BH204),ROUND(BH203-BH204,1),"n/p")</f>
        <v>0</v>
      </c>
      <c r="BI205" s="46" t="n">
        <f aca="false">IF(ISNUMBER(BI204),ROUND(BI203-BI204,1),"n/p")</f>
        <v>0</v>
      </c>
      <c r="BJ205" s="46" t="n">
        <f aca="false">IF(ISNUMBER(BJ204),ROUND(BJ203-BJ204,1),"n/p")</f>
        <v>0</v>
      </c>
      <c r="BK205" s="46" t="n">
        <f aca="false">IF(ISNUMBER(BK204),ROUND(BK203-BK204,1),"n/p")</f>
        <v>0</v>
      </c>
      <c r="BL205" s="46" t="n">
        <f aca="false">IF(ISNUMBER(BL204),ROUND(BL203-BL204,1),"n/p")</f>
        <v>0</v>
      </c>
      <c r="BM205" s="46" t="n">
        <f aca="false">IF(ISNUMBER(BM204),ROUND(BM203-BM204,1),"n/p")</f>
        <v>0</v>
      </c>
      <c r="BN205" s="46" t="n">
        <f aca="false">IF(ISNUMBER(BN204),ROUND(BN203-BN204,1),"n/p")</f>
        <v>0</v>
      </c>
      <c r="BO205" s="46" t="n">
        <f aca="false">IF(ISNUMBER(BO204),ROUND(BO203-BO204,1),"n/p")</f>
        <v>0</v>
      </c>
      <c r="BP205" s="46" t="n">
        <f aca="false">IF(ISNUMBER(BP204),ROUND(BP203-BP204,1),"n/p")</f>
        <v>0</v>
      </c>
      <c r="BQ205" s="46" t="n">
        <f aca="false">IF(ISNUMBER(BQ204),ROUND(BQ203-BQ204,1),"n/p")</f>
        <v>0</v>
      </c>
      <c r="BR205" s="46" t="str">
        <f aca="false">IF(ISNUMBER(BR204),ROUND(BR203-BR204,1),"n/p")</f>
        <v>n/p</v>
      </c>
      <c r="BS205" s="46" t="str">
        <f aca="false">IF(ISNUMBER(BS204),ROUND(BS203-BS204,1),"n/p")</f>
        <v>n/p</v>
      </c>
      <c r="BT205" s="46" t="str">
        <f aca="false">IF(ISNUMBER(BT204),ROUND(BT203-BT204,1),"n/p")</f>
        <v>n/p</v>
      </c>
      <c r="BU205" s="46" t="str">
        <f aca="false">IF(ISNUMBER(BU204),ROUND(BU203-BU204,1),"n/p")</f>
        <v>n/p</v>
      </c>
      <c r="BV205" s="46" t="str">
        <f aca="false">IF(ISNUMBER(BV204),ROUND(BV203-BV204,1),"n/p")</f>
        <v>n/p</v>
      </c>
      <c r="BW205" s="46" t="str">
        <f aca="false">IF(ISNUMBER(BW204),ROUND(BW203-BW204,1),"n/p")</f>
        <v>n/p</v>
      </c>
      <c r="BX205" s="46" t="str">
        <f aca="false">IF(ISNUMBER(BX204),ROUND(BX203-BX204,1),"n/p")</f>
        <v>n/p</v>
      </c>
    </row>
    <row r="206" customFormat="false" ht="15" hidden="false" customHeight="false" outlineLevel="0" collapsed="false">
      <c r="B206" s="20" t="s">
        <v>398</v>
      </c>
      <c r="C206" s="27" t="n">
        <f aca="false">IF(AND(ISNUMBER(C199),ISNUMBER(C189)),IFERROR(C199/C189,""),"")</f>
        <v>1.28671076965086</v>
      </c>
      <c r="D206" s="27" t="n">
        <f aca="false">IF(AND(ISNUMBER(D199),ISNUMBER(D189)),IFERROR(D199/D189,""),"")</f>
        <v>0.811891342688444</v>
      </c>
      <c r="E206" s="27" t="n">
        <f aca="false">IF(AND(ISNUMBER(E199),ISNUMBER(E189)),IFERROR(E199/E189,""),"")</f>
        <v>0.685606265190386</v>
      </c>
      <c r="F206" s="27" t="n">
        <f aca="false">IF(AND(ISNUMBER(F199),ISNUMBER(F189)),IFERROR(F199/F189,""),"")</f>
        <v>1.27005597504752</v>
      </c>
      <c r="G206" s="27" t="n">
        <f aca="false">IF(AND(ISNUMBER(G199),ISNUMBER(G189)),IFERROR(G199/G189,""),"")</f>
        <v>1.11381076568041</v>
      </c>
      <c r="H206" s="27" t="n">
        <f aca="false">IF(AND(ISNUMBER(H199),ISNUMBER(H189)),IFERROR(H199/H189,""),"")</f>
        <v>0.901152404100503</v>
      </c>
      <c r="I206" s="27" t="n">
        <f aca="false">IF(AND(ISNUMBER(I199),ISNUMBER(I189)),IFERROR(I199/I189,""),"")</f>
        <v>0.704948566247752</v>
      </c>
      <c r="J206" s="27" t="n">
        <f aca="false">IF(AND(ISNUMBER(J199),ISNUMBER(J189)),IFERROR(J199/J189,""),"")</f>
        <v>-0.768275796208757</v>
      </c>
      <c r="K206" s="27" t="n">
        <f aca="false">IF(AND(ISNUMBER(K199),ISNUMBER(K189)),IFERROR(K199/K189,""),"")</f>
        <v>1.341474378184</v>
      </c>
      <c r="L206" s="27" t="n">
        <f aca="false">IF(AND(ISNUMBER(L199),ISNUMBER(L189)),IFERROR(L199/L189,""),"")</f>
        <v>1.31555787794615</v>
      </c>
      <c r="M206" s="27" t="n">
        <f aca="false">IF(AND(ISNUMBER(M199),ISNUMBER(M189)),IFERROR(M199/M189,""),"")</f>
        <v>1.88291373369692</v>
      </c>
      <c r="N206" s="27" t="n">
        <f aca="false">IF(AND(ISNUMBER(N199),ISNUMBER(N189)),IFERROR(N199/N189,""),"")</f>
        <v>1.20005652952218</v>
      </c>
      <c r="O206" s="27" t="n">
        <f aca="false">IF(AND(ISNUMBER(O199),ISNUMBER(O189)),IFERROR(O199/O189,""),"")</f>
        <v>-0.937265385052894</v>
      </c>
      <c r="P206" s="27" t="n">
        <f aca="false">IF(AND(ISNUMBER(P199),ISNUMBER(P189)),IFERROR(P199/P189,""),"")</f>
        <v>1.77648497020236</v>
      </c>
      <c r="Q206" s="27" t="n">
        <f aca="false">IF(AND(ISNUMBER(Q199),ISNUMBER(Q189)),IFERROR(Q199/Q189,""),"")</f>
        <v>1.13455201986008</v>
      </c>
      <c r="R206" s="27" t="n">
        <f aca="false">IF(AND(ISNUMBER(R199),ISNUMBER(R189)),IFERROR(R199/R189,""),"")</f>
        <v>3.59745946414636</v>
      </c>
      <c r="S206" s="27" t="n">
        <f aca="false">IF(AND(ISNUMBER(S199),ISNUMBER(S189)),IFERROR(S199/S189,""),"")</f>
        <v>1.55723775956316</v>
      </c>
      <c r="T206" s="27" t="n">
        <f aca="false">IF(AND(ISNUMBER(T199),ISNUMBER(T189)),IFERROR(T199/T189,""),"")</f>
        <v>-4.16877588321033</v>
      </c>
      <c r="U206" s="27" t="n">
        <f aca="false">IF(AND(ISNUMBER(U199),ISNUMBER(U189)),IFERROR(U199/U189,""),"")</f>
        <v>1.32668677251315</v>
      </c>
      <c r="V206" s="27" t="n">
        <f aca="false">IF(AND(ISNUMBER(V199),ISNUMBER(V189)),IFERROR(V199/V189,""),"")</f>
        <v>2.58035761103246</v>
      </c>
      <c r="W206" s="27" t="n">
        <f aca="false">IF(AND(ISNUMBER(W199),ISNUMBER(W189)),IFERROR(W199/W189,""),"")</f>
        <v>2.19759192787089</v>
      </c>
      <c r="X206" s="27" t="n">
        <f aca="false">IF(AND(ISNUMBER(X199),ISNUMBER(X189)),IFERROR(X199/X189,""),"")</f>
        <v>0.712962323921958</v>
      </c>
      <c r="Y206" s="27" t="n">
        <f aca="false">IF(AND(ISNUMBER(Y199),ISNUMBER(Y189)),IFERROR(Y199/Y189,""),"")</f>
        <v>1.87193394070508</v>
      </c>
      <c r="Z206" s="27" t="n">
        <f aca="false">IF(AND(ISNUMBER(Z199),ISNUMBER(Z189)),IFERROR(Z199/Z189,""),"")</f>
        <v>1.98841428321197</v>
      </c>
      <c r="AA206" s="27" t="n">
        <f aca="false">IF(AND(ISNUMBER(AA199),ISNUMBER(AA189)),IFERROR(AA199/AA189,""),"")</f>
        <v>2.1812026473918</v>
      </c>
      <c r="AB206" s="27" t="n">
        <f aca="false">IF(AND(ISNUMBER(AB199),ISNUMBER(AB189)),IFERROR(AB199/AB189,""),"")</f>
        <v>1.91509594158601</v>
      </c>
      <c r="AC206" s="27" t="n">
        <f aca="false">IF(AND(ISNUMBER(AC199),ISNUMBER(AC189)),IFERROR(AC199/AC189,""),"")</f>
        <v>1.98762818008047</v>
      </c>
      <c r="AD206" s="27" t="n">
        <f aca="false">IF(AND(ISNUMBER(AD199),ISNUMBER(AD189)),IFERROR(AD199/AD189,""),"")</f>
        <v>-1.08504624082097</v>
      </c>
      <c r="AE206" s="27" t="n">
        <f aca="false">IF(AND(ISNUMBER(AE199),ISNUMBER(AE189)),IFERROR(AE199/AE189,""),"")</f>
        <v>1.44045409674235</v>
      </c>
      <c r="AF206" s="27" t="n">
        <f aca="false">IF(AND(ISNUMBER(AF199),ISNUMBER(AF189)),IFERROR(AF199/AF189,""),"")</f>
        <v>1.40418178406105</v>
      </c>
      <c r="AG206" s="27" t="n">
        <f aca="false">IF(AND(ISNUMBER(AG199),ISNUMBER(AG189)),IFERROR(AG199/AG189,""),"")</f>
        <v>3.07858302583026</v>
      </c>
      <c r="AH206" s="27" t="n">
        <f aca="false">IF(AND(ISNUMBER(AH199),ISNUMBER(AH189)),IFERROR(AH199/AH189,""),"")</f>
        <v>1.56361597274898</v>
      </c>
      <c r="AI206" s="27" t="n">
        <f aca="false">IF(AND(ISNUMBER(AI199),ISNUMBER(AI189)),IFERROR(AI199/AI189,""),"")</f>
        <v>-1.83839332768141</v>
      </c>
      <c r="AJ206" s="27" t="n">
        <f aca="false">IF(AND(ISNUMBER(AJ199),ISNUMBER(AJ189)),IFERROR(AJ199/AJ189,""),"")</f>
        <v>1.08566906792642</v>
      </c>
      <c r="AK206" s="27" t="n">
        <f aca="false">IF(AND(ISNUMBER(AK199),ISNUMBER(AK189)),IFERROR(AK199/AK189,""),"")</f>
        <v>0.820704709338293</v>
      </c>
      <c r="AL206" s="27" t="n">
        <f aca="false">IF(AND(ISNUMBER(AL199),ISNUMBER(AL189)),IFERROR(AL199/AL189,""),"")</f>
        <v>2.57456337217922</v>
      </c>
      <c r="AM206" s="27" t="n">
        <f aca="false">IF(AND(ISNUMBER(AM199),ISNUMBER(AM189)),IFERROR(AM199/AM189,""),"")</f>
        <v>1.00199457175302</v>
      </c>
      <c r="AN206" s="27" t="n">
        <f aca="false">IF(AND(ISNUMBER(AN199),ISNUMBER(AN189)),IFERROR(AN199/AN189,""),"")</f>
        <v>-1.23076233944852</v>
      </c>
      <c r="AO206" s="27" t="n">
        <f aca="false">IF(AND(ISNUMBER(AO199),ISNUMBER(AO189)),IFERROR(AO199/AO189,""),"")</f>
        <v>0.927354422382266</v>
      </c>
      <c r="AP206" s="27" t="n">
        <f aca="false">IF(AND(ISNUMBER(AP199),ISNUMBER(AP189)),IFERROR(AP199/AP189,""),"")</f>
        <v>1.21875734890748</v>
      </c>
      <c r="AQ206" s="27" t="n">
        <f aca="false">IF(AND(ISNUMBER(AQ199),ISNUMBER(AQ189)),IFERROR(AQ199/AQ189,""),"")</f>
        <v>2.66162913782206</v>
      </c>
      <c r="AR206" s="27" t="n">
        <f aca="false">IF(AND(ISNUMBER(AR199),ISNUMBER(AR189)),IFERROR(AR199/AR189,""),"")</f>
        <v>1.12447245863717</v>
      </c>
      <c r="AS206" s="27" t="n">
        <f aca="false">IF(AND(ISNUMBER(AS199),ISNUMBER(AS189)),IFERROR(AS199/AS189,""),"")</f>
        <v>-3.68531885463215</v>
      </c>
      <c r="AT206" s="27" t="n">
        <f aca="false">IF(AND(ISNUMBER(AT199),ISNUMBER(AT189)),IFERROR(AT199/AT189,""),"")</f>
        <v>2.36513449099323</v>
      </c>
      <c r="AU206" s="27" t="n">
        <f aca="false">IF(AND(ISNUMBER(AU199),ISNUMBER(AU189)),IFERROR(AU199/AU189,""),"")</f>
        <v>0.633383838343609</v>
      </c>
      <c r="AV206" s="27" t="n">
        <f aca="false">IF(AND(ISNUMBER(AV199),ISNUMBER(AV189)),IFERROR(AV199/AV189,""),"")</f>
        <v>2.48501719666972</v>
      </c>
      <c r="AW206" s="27" t="n">
        <f aca="false">IF(AND(ISNUMBER(AW199),ISNUMBER(AW189)),IFERROR(AW199/AW189,""),"")</f>
        <v>0.740578281013441</v>
      </c>
      <c r="AX206" s="27" t="n">
        <f aca="false">IF(AND(ISNUMBER(AX199),ISNUMBER(AX189)),IFERROR(AX199/AX189,""),"")</f>
        <v>-0.566176498532221</v>
      </c>
      <c r="AY206" s="27" t="n">
        <f aca="false">IF(AND(ISNUMBER(AY199),ISNUMBER(AY189)),IFERROR(AY199/AY189,""),"")</f>
        <v>1.02727408564671</v>
      </c>
      <c r="AZ206" s="27" t="n">
        <f aca="false">IF(AND(ISNUMBER(AZ199),ISNUMBER(AZ189)),IFERROR(AZ199/AZ189,""),"")</f>
        <v>1.26253944386398</v>
      </c>
      <c r="BA206" s="27" t="n">
        <f aca="false">IF(AND(ISNUMBER(BA199),ISNUMBER(BA189)),IFERROR(BA199/BA189,""),"")</f>
        <v>2.30511009026935</v>
      </c>
      <c r="BB206" s="27" t="n">
        <f aca="false">IF(AND(ISNUMBER(BB199),ISNUMBER(BB189)),IFERROR(BB199/BB189,""),"")</f>
        <v>1.16287929786132</v>
      </c>
      <c r="BC206" s="27" t="n">
        <f aca="false">IF(AND(ISNUMBER(BC199),ISNUMBER(BC189)),IFERROR(BC199/BC189,""),"")</f>
        <v>-2.66926042955935</v>
      </c>
      <c r="BD206" s="27" t="n">
        <f aca="false">IF(AND(ISNUMBER(BD199),ISNUMBER(BD189)),IFERROR(BD199/BD189,""),"")</f>
        <v>0.317344529736913</v>
      </c>
      <c r="BE206" s="27" t="n">
        <f aca="false">IF(AND(ISNUMBER(BE199),ISNUMBER(BE189)),IFERROR(BE199/BE189,""),"")</f>
        <v>1.07952187865965</v>
      </c>
      <c r="BF206" s="27" t="n">
        <f aca="false">IF(AND(ISNUMBER(BF199),ISNUMBER(BF189)),IFERROR(BF199/BF189,""),"")</f>
        <v>2.50832730335079</v>
      </c>
      <c r="BG206" s="27" t="n">
        <f aca="false">IF(AND(ISNUMBER(BG199),ISNUMBER(BG189)),IFERROR(BG199/BG189,""),"")</f>
        <v>0.816505356673214</v>
      </c>
      <c r="BH206" s="27" t="n">
        <f aca="false">IF(AND(ISNUMBER(BH199),ISNUMBER(BH189)),IFERROR(BH199/BH189,""),"")</f>
        <v>-1.73529664326271</v>
      </c>
      <c r="BI206" s="27" t="n">
        <f aca="false">IF(AND(ISNUMBER(BI199),ISNUMBER(BI189)),IFERROR(BI199/BI189,""),"")</f>
        <v>1.19369683905978</v>
      </c>
      <c r="BJ206" s="27" t="n">
        <f aca="false">IF(AND(ISNUMBER(BJ199),ISNUMBER(BJ189)),IFERROR(BJ199/BJ189,""),"")</f>
        <v>1.39876055269045</v>
      </c>
      <c r="BK206" s="27" t="n">
        <f aca="false">IF(AND(ISNUMBER(BK199),ISNUMBER(BK189)),IFERROR(BK199/BK189,""),"")</f>
        <v>2.21689102801417</v>
      </c>
      <c r="BL206" s="27" t="n">
        <f aca="false">IF(AND(ISNUMBER(BL199),ISNUMBER(BL189)),IFERROR(BL199/BL189,""),"")</f>
        <v>1.11627328606016</v>
      </c>
      <c r="BM206" s="27" t="n">
        <f aca="false">IF(AND(ISNUMBER(BM199),ISNUMBER(BM189)),IFERROR(BM199/BM189,""),"")</f>
        <v>-0.754308428567692</v>
      </c>
      <c r="BN206" s="27" t="n">
        <f aca="false">IF(AND(ISNUMBER(BN199),ISNUMBER(BN189)),IFERROR(BN199/BN189,""),"")</f>
        <v>0.975419891486179</v>
      </c>
      <c r="BO206" s="27" t="n">
        <f aca="false">IF(AND(ISNUMBER(BO199),ISNUMBER(BO189)),IFERROR(BO199/BO189,""),"")</f>
        <v>1.42460771273808</v>
      </c>
      <c r="BP206" s="27" t="n">
        <f aca="false">IF(AND(ISNUMBER(BP199),ISNUMBER(BP189)),IFERROR(BP199/BP189,""),"")</f>
        <v>2.22943591323884</v>
      </c>
      <c r="BQ206" s="27" t="n">
        <f aca="false">IF(AND(ISNUMBER(BQ199),ISNUMBER(BQ189)),IFERROR(BQ199/BQ189,""),"")</f>
        <v>1.15548663346815</v>
      </c>
      <c r="BR206" s="27" t="n">
        <f aca="false">IF(AND(ISNUMBER(BR199),ISNUMBER(BR189)),IFERROR(BR199/BR189,""),"")</f>
        <v>-0.510944729826099</v>
      </c>
      <c r="BS206" s="27" t="n">
        <f aca="false">IF(AND(ISNUMBER(BS199),ISNUMBER(BS189)),IFERROR(BS199/BS189,""),"")</f>
        <v>0.95734303931727</v>
      </c>
      <c r="BT206" s="27" t="n">
        <f aca="false">IF(AND(ISNUMBER(BT199),ISNUMBER(BT189)),IFERROR(BT199/BT189,""),"")</f>
        <v>1.3739362637309</v>
      </c>
      <c r="BU206" s="27" t="n">
        <f aca="false">IF(AND(ISNUMBER(BU199),ISNUMBER(BU189)),IFERROR(BU199/BU189,""),"")</f>
        <v>2.23667427476348</v>
      </c>
      <c r="BV206" s="27" t="n">
        <f aca="false">IF(AND(ISNUMBER(BV199),ISNUMBER(BV189)),IFERROR(BV199/BV189,""),"")</f>
        <v>1.11218366424344</v>
      </c>
      <c r="BW206" s="27" t="n">
        <f aca="false">IF(AND(ISNUMBER(BW199),ISNUMBER(BW189)),IFERROR(BW199/BW189,""),"")</f>
        <v>-0.135598728569677</v>
      </c>
      <c r="BX206" s="27" t="n">
        <f aca="false">IF(AND(ISNUMBER(BX199),ISNUMBER(BX189)),IFERROR(BX199/BX189,""),"")</f>
        <v>1.16057541041479</v>
      </c>
      <c r="CA206" s="22" t="n">
        <f aca="false">IFERROR(CA199/CA189,"")</f>
        <v>1.04589498535746</v>
      </c>
      <c r="CB206" s="22" t="n">
        <f aca="false">IFERROR(CB199/CB189,"")</f>
        <v>0.977121224090029</v>
      </c>
      <c r="CC206" s="22" t="n">
        <f aca="false">IFERROR(CC199/CC189,"")</f>
        <v>0.969485462708213</v>
      </c>
      <c r="CD206" s="22" t="n">
        <f aca="false">IFERROR(CD199/CD189,"")</f>
        <v>0.981908498654918</v>
      </c>
      <c r="CE206" s="22" t="n">
        <f aca="false">IFERROR(CE199/CE189,"")</f>
        <v>0.989122248624046</v>
      </c>
      <c r="CF206" s="18" t="s">
        <v>399</v>
      </c>
      <c r="CH206" s="32" t="n">
        <f aca="false">IFERROR(AVERAGE(CA206,CB206,CC206,CD206,CE206),"n/m")</f>
        <v>0.992706483886933</v>
      </c>
      <c r="CI206" s="32" t="n">
        <f aca="false">IFERROR(AVERAGE(BB206,BG206,BL206,BQ206,BV206),"n/m")</f>
        <v>1.07266564766126</v>
      </c>
      <c r="CJ206" s="32" t="n">
        <f aca="false">IFERROR(AVERAGE(AC206,AH206,AM206,AR206,AW206,BB206,BG206,BL206,BQ206,BV206),"n/m")</f>
        <v>1.17816177025394</v>
      </c>
      <c r="CK206" s="32" t="n">
        <f aca="false">IFERROR(AVERAGE(C206,D206,E206,F206,G206,H206,I206,N206,S206,X206,AC206,AH206,AM206,AR206,AW206,BB206,BG206,BL206,BQ206,BV206),"n/m")</f>
        <v>1.10130252020763</v>
      </c>
    </row>
    <row r="208" customFormat="false" ht="15" hidden="false" customHeight="false" outlineLevel="0" collapsed="false">
      <c r="B208" s="8" t="s">
        <v>400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8" t="s">
        <v>401</v>
      </c>
    </row>
    <row r="209" customFormat="false" ht="15" hidden="false" customHeight="false" outlineLevel="0" collapsed="false">
      <c r="B209" s="20" t="s">
        <v>402</v>
      </c>
      <c r="D209" s="27" t="n">
        <f aca="false">IF(AND(ISNUMBER(D114),ISNUMBER(C114)),IFERROR(D114/C114-1,""),"")</f>
        <v>0.241756261918411</v>
      </c>
      <c r="E209" s="27" t="n">
        <f aca="false">IF(AND(ISNUMBER(E114),ISNUMBER(D114)),IFERROR(E114/D114-1,""),"")</f>
        <v>0.149495893535931</v>
      </c>
      <c r="F209" s="27" t="n">
        <f aca="false">IF(AND(ISNUMBER(F114),ISNUMBER(E114)),IFERROR(F114/E114-1,""),"")</f>
        <v>-0.0111740085457943</v>
      </c>
      <c r="G209" s="27" t="n">
        <f aca="false">IF(AND(ISNUMBER(G114),ISNUMBER(F114)),IFERROR(G114/F114-1,""),"")</f>
        <v>0.04610955467511</v>
      </c>
      <c r="H209" s="27" t="n">
        <f aca="false">IF(AND(ISNUMBER(H114),ISNUMBER(G114)),IFERROR(H114/G114-1,""),"")</f>
        <v>0.085042051962513</v>
      </c>
      <c r="I209" s="27" t="n">
        <f aca="false">IF(AND(ISNUMBER(I114),ISNUMBER(H114)),IFERROR(I114/H114-1,""),"")</f>
        <v>0.0212187154659149</v>
      </c>
      <c r="N209" s="27" t="n">
        <f aca="false">IF(AND(ISNUMBER(N114),ISNUMBER(I114)),IFERROR(N114/I114-1,""),"")</f>
        <v>0.196907016965118</v>
      </c>
      <c r="O209" s="27" t="n">
        <f aca="false">IF(AND(ISNUMBER(O114),ISNUMBER(J114)),IFERROR(O114/J114-1,""),"")</f>
        <v>0.0822103403651506</v>
      </c>
      <c r="P209" s="27" t="n">
        <f aca="false">IF(AND(ISNUMBER(P114),ISNUMBER(K114)),IFERROR(P114/K114-1,""),"")</f>
        <v>0.0562825508712341</v>
      </c>
      <c r="Q209" s="27" t="n">
        <f aca="false">IF(AND(ISNUMBER(Q114),ISNUMBER(L114)),IFERROR(Q114/L114-1,""),"")</f>
        <v>-0.0685454669559007</v>
      </c>
      <c r="R209" s="27" t="n">
        <f aca="false">IF(AND(ISNUMBER(R114),ISNUMBER(M114)),IFERROR(R114/M114-1,""),"")</f>
        <v>-0.181704371686222</v>
      </c>
      <c r="S209" s="27" t="n">
        <f aca="false">IF(AND(ISNUMBER(S114),ISNUMBER(N114)),IFERROR(S114/N114-1,""),"")</f>
        <v>-0.106598730031532</v>
      </c>
      <c r="T209" s="27" t="n">
        <f aca="false">IF(AND(ISNUMBER(T114),ISNUMBER(O114)),IFERROR(T114/O114-1,""),"")</f>
        <v>-0.148442810549226</v>
      </c>
      <c r="U209" s="27" t="n">
        <f aca="false">IF(AND(ISNUMBER(U114),ISNUMBER(P114)),IFERROR(U114/P114-1,""),"")</f>
        <v>-0.164392169845445</v>
      </c>
      <c r="V209" s="27" t="n">
        <f aca="false">IF(AND(ISNUMBER(V114),ISNUMBER(Q114)),IFERROR(V114/Q114-1,""),"")</f>
        <v>-0.0606959145227654</v>
      </c>
      <c r="W209" s="27" t="n">
        <f aca="false">IF(AND(ISNUMBER(W114),ISNUMBER(R114)),IFERROR(W114/R114-1,""),"")</f>
        <v>0.0282385528112807</v>
      </c>
      <c r="X209" s="27" t="n">
        <f aca="false">IF(AND(ISNUMBER(X114),ISNUMBER(S114)),IFERROR(X114/S114-1,""),"")</f>
        <v>-0.0166923302569718</v>
      </c>
      <c r="Y209" s="27" t="n">
        <f aca="false">IF(AND(ISNUMBER(Y114),ISNUMBER(T114)),IFERROR(Y114/T114-1,""),"")</f>
        <v>-0.0781619885792541</v>
      </c>
      <c r="Z209" s="27" t="n">
        <f aca="false">IF(AND(ISNUMBER(Z114),ISNUMBER(U114)),IFERROR(Z114/U114-1,""),"")</f>
        <v>-0.0227955553436024</v>
      </c>
      <c r="AA209" s="27" t="n">
        <f aca="false">IF(AND(ISNUMBER(AA114),ISNUMBER(V114)),IFERROR(AA114/V114-1,""),"")</f>
        <v>-0.0350937615953266</v>
      </c>
      <c r="AB209" s="27" t="n">
        <f aca="false">IF(AND(ISNUMBER(AB114),ISNUMBER(W114)),IFERROR(AB114/W114-1,""),"")</f>
        <v>-0.0393865020254605</v>
      </c>
      <c r="AC209" s="27" t="n">
        <f aca="false">IF(AND(ISNUMBER(AC114),ISNUMBER(X114)),IFERROR(AC114/X114-1,""),"")</f>
        <v>-0.0438648708812645</v>
      </c>
      <c r="AD209" s="27" t="n">
        <f aca="false">IF(AND(ISNUMBER(AD114),ISNUMBER(Y114)),IFERROR(AD114/Y114-1,""),"")</f>
        <v>0.0398882239968859</v>
      </c>
      <c r="AE209" s="27" t="n">
        <f aca="false">IF(AND(ISNUMBER(AE114),ISNUMBER(Z114)),IFERROR(AE114/Z114-1,""),"")</f>
        <v>0.065482782309682</v>
      </c>
      <c r="AF209" s="27" t="n">
        <f aca="false">IF(AND(ISNUMBER(AF114),ISNUMBER(AA114)),IFERROR(AF114/AA114-1,""),"")</f>
        <v>0.11991709591159</v>
      </c>
      <c r="AG209" s="27" t="n">
        <f aca="false">IF(AND(ISNUMBER(AG114),ISNUMBER(AB114)),IFERROR(AG114/AB114-1,""),"")</f>
        <v>0.0818914149719041</v>
      </c>
      <c r="AH209" s="27" t="n">
        <f aca="false">IF(AND(ISNUMBER(AH114),ISNUMBER(AC114)),IFERROR(AH114/AC114-1,""),"")</f>
        <v>0.0768612154688797</v>
      </c>
      <c r="AI209" s="27" t="n">
        <f aca="false">IF(AND(ISNUMBER(AI114),ISNUMBER(AD114)),IFERROR(AI114/AD114-1,""),"")</f>
        <v>0.0457055220582479</v>
      </c>
      <c r="AJ209" s="27" t="n">
        <f aca="false">IF(AND(ISNUMBER(AJ114),ISNUMBER(AE114)),IFERROR(AJ114/AE114-1,""),"")</f>
        <v>0.092741516384129</v>
      </c>
      <c r="AK209" s="27" t="n">
        <f aca="false">IF(AND(ISNUMBER(AK114),ISNUMBER(AF114)),IFERROR(AK114/AF114-1,""),"")</f>
        <v>0.0484098460823279</v>
      </c>
      <c r="AL209" s="27" t="n">
        <f aca="false">IF(AND(ISNUMBER(AL114),ISNUMBER(AG114)),IFERROR(AL114/AG114-1,""),"")</f>
        <v>0.0600459893345275</v>
      </c>
      <c r="AM209" s="27" t="n">
        <f aca="false">IF(AND(ISNUMBER(AM114),ISNUMBER(AH114)),IFERROR(AM114/AH114-1,""),"")</f>
        <v>0.0620023724959558</v>
      </c>
      <c r="AN209" s="27" t="n">
        <f aca="false">IF(AND(ISNUMBER(AN114),ISNUMBER(AI114)),IFERROR(AN114/AI114-1,""),"")</f>
        <v>0.0562388360650348</v>
      </c>
      <c r="AO209" s="27" t="n">
        <f aca="false">IF(AND(ISNUMBER(AO114),ISNUMBER(AJ114)),IFERROR(AO114/AJ114-1,""),"")</f>
        <v>0.0301435761521076</v>
      </c>
      <c r="AP209" s="27" t="n">
        <f aca="false">IF(AND(ISNUMBER(AP114),ISNUMBER(AK114)),IFERROR(AP114/AK114-1,""),"")</f>
        <v>0.0327296424378518</v>
      </c>
      <c r="AQ209" s="27" t="n">
        <f aca="false">IF(AND(ISNUMBER(AQ114),ISNUMBER(AL114)),IFERROR(AQ114/AL114-1,""),"")</f>
        <v>0.011021827813426</v>
      </c>
      <c r="AR209" s="27" t="n">
        <f aca="false">IF(AND(ISNUMBER(AR114),ISNUMBER(AM114)),IFERROR(AR114/AM114-1,""),"")</f>
        <v>0.0315635190632857</v>
      </c>
      <c r="AS209" s="27" t="n">
        <f aca="false">IF(AND(ISNUMBER(AS114),ISNUMBER(AN114)),IFERROR(AS114/AN114-1,""),"")</f>
        <v>0.0396272613147874</v>
      </c>
      <c r="AT209" s="27" t="n">
        <f aca="false">IF(AND(ISNUMBER(AT114),ISNUMBER(AO114)),IFERROR(AT114/AO114-1,""),"")</f>
        <v>-0.139201184357961</v>
      </c>
      <c r="AU209" s="27" t="n">
        <f aca="false">IF(AND(ISNUMBER(AU114),ISNUMBER(AP114)),IFERROR(AU114/AP114-1,""),"")</f>
        <v>-0.0703649492583919</v>
      </c>
      <c r="AV209" s="27" t="n">
        <f aca="false">IF(AND(ISNUMBER(AV114),ISNUMBER(AQ114)),IFERROR(AV114/AQ114-1,""),"")</f>
        <v>0.0193253437556709</v>
      </c>
      <c r="AW209" s="27" t="n">
        <f aca="false">IF(AND(ISNUMBER(AW114),ISNUMBER(AR114)),IFERROR(AW114/AR114-1,""),"")</f>
        <v>-0.0388370235707071</v>
      </c>
      <c r="AX209" s="27" t="n">
        <f aca="false">IF(AND(ISNUMBER(AX114),ISNUMBER(AS114)),IFERROR(AX114/AS114-1,""),"")</f>
        <v>-0.00693909662010117</v>
      </c>
      <c r="AY209" s="27" t="n">
        <f aca="false">IF(AND(ISNUMBER(AY114),ISNUMBER(AT114)),IFERROR(AY114/AT114-1,""),"")</f>
        <v>0.129894354482435</v>
      </c>
      <c r="AZ209" s="27" t="n">
        <f aca="false">IF(AND(ISNUMBER(AZ114),ISNUMBER(AU114)),IFERROR(AZ114/AU114-1,""),"")</f>
        <v>0.0857309303131133</v>
      </c>
      <c r="BA209" s="27" t="n">
        <f aca="false">IF(AND(ISNUMBER(BA114),ISNUMBER(AV114)),IFERROR(BA114/AV114-1,""),"")</f>
        <v>-0.00252227561321505</v>
      </c>
      <c r="BB209" s="27" t="n">
        <f aca="false">IF(AND(ISNUMBER(BB114),ISNUMBER(AW114)),IFERROR(BB114/AW114-1,""),"")</f>
        <v>0.0479209111559398</v>
      </c>
      <c r="BC209" s="27" t="n">
        <f aca="false">IF(AND(ISNUMBER(BC114),ISNUMBER(AX114)),IFERROR(BC114/AX114-1,""),"")</f>
        <v>-0.0629720010920193</v>
      </c>
      <c r="BD209" s="27" t="n">
        <f aca="false">IF(AND(ISNUMBER(BD114),ISNUMBER(AY114)),IFERROR(BD114/AY114-1,""),"")</f>
        <v>-0.0195303260685927</v>
      </c>
      <c r="BE209" s="27" t="n">
        <f aca="false">IF(AND(ISNUMBER(BE114),ISNUMBER(AZ114)),IFERROR(BE114/AZ114-1,""),"")</f>
        <v>0.0159888756225639</v>
      </c>
      <c r="BF209" s="27" t="n">
        <f aca="false">IF(AND(ISNUMBER(BF114),ISNUMBER(BA114)),IFERROR(BF114/BA114-1,""),"")</f>
        <v>0.136341821170499</v>
      </c>
      <c r="BG209" s="27" t="n">
        <f aca="false">IF(AND(ISNUMBER(BG114),ISNUMBER(BB114)),IFERROR(BG114/BB114-1,""),"")</f>
        <v>0.0203892285940834</v>
      </c>
      <c r="BH209" s="27" t="n">
        <f aca="false">IF(AND(ISNUMBER(BH114),ISNUMBER(BC114)),IFERROR(BH114/BC114-1,""),"")</f>
        <v>0.127621049545902</v>
      </c>
      <c r="BI209" s="27" t="n">
        <f aca="false">IF(AND(ISNUMBER(BI114),ISNUMBER(BD114)),IFERROR(BI114/BD114-1,""),"")</f>
        <v>0.155966042894395</v>
      </c>
      <c r="BJ209" s="27" t="n">
        <f aca="false">IF(AND(ISNUMBER(BJ114),ISNUMBER(BE114)),IFERROR(BJ114/BE114-1,""),"")</f>
        <v>0.148735532288095</v>
      </c>
      <c r="BK209" s="27" t="n">
        <f aca="false">IF(AND(ISNUMBER(BK114),ISNUMBER(BF114)),IFERROR(BK114/BF114-1,""),"")</f>
        <v>0.0371219470346393</v>
      </c>
      <c r="BL209" s="27" t="n">
        <f aca="false">IF(AND(ISNUMBER(BL114),ISNUMBER(BG114)),IFERROR(BL114/BG114-1,""),"")</f>
        <v>0.112766985070541</v>
      </c>
      <c r="BM209" s="27" t="n">
        <f aca="false">IF(AND(ISNUMBER(BM114),ISNUMBER(BH114)),IFERROR(BM114/BH114-1,""),"")</f>
        <v>0.130467932663348</v>
      </c>
      <c r="BN209" s="27" t="n">
        <f aca="false">IF(AND(ISNUMBER(BN114),ISNUMBER(BI114)),IFERROR(BN114/BI114-1,""),"")</f>
        <v>0.1141332432325</v>
      </c>
      <c r="BO209" s="27" t="n">
        <f aca="false">IF(AND(ISNUMBER(BO114),ISNUMBER(BJ114)),IFERROR(BO114/BJ114-1,""),"")</f>
        <v>0.102981254297098</v>
      </c>
      <c r="BP209" s="27" t="n">
        <f aca="false">IF(AND(ISNUMBER(BP114),ISNUMBER(BK114)),IFERROR(BP114/BK114-1,""),"")</f>
        <v>0.049023213551695</v>
      </c>
      <c r="BQ209" s="27" t="n">
        <f aca="false">IF(AND(ISNUMBER(BQ114),ISNUMBER(BL114)),IFERROR(BQ114/BL114-1,""),"")</f>
        <v>0.0969349185502217</v>
      </c>
      <c r="BR209" s="27" t="n">
        <f aca="false">IF(AND(ISNUMBER(BR114),ISNUMBER(BM114)),IFERROR(BR114/BM114-1,""),"")</f>
        <v>0.129672292744897</v>
      </c>
      <c r="BS209" s="27" t="n">
        <f aca="false">IF(AND(ISNUMBER(BS114),ISNUMBER(BN114)),IFERROR(BS114/BN114-1,""),"")</f>
        <v>0.116954705138056</v>
      </c>
      <c r="BT209" s="27" t="n">
        <f aca="false">IF(AND(ISNUMBER(BT114),ISNUMBER(BO114)),IFERROR(BT114/BO114-1,""),"")</f>
        <v>0.0879339306411922</v>
      </c>
      <c r="BU209" s="27" t="n">
        <f aca="false">IF(AND(ISNUMBER(BU114),ISNUMBER(BP114)),IFERROR(BU114/BP114-1,""),"")</f>
        <v>0.148812404996646</v>
      </c>
      <c r="BV209" s="27" t="n">
        <f aca="false">IF(AND(ISNUMBER(BV114),ISNUMBER(BQ114)),IFERROR(BV114/BQ114-1,""),"")</f>
        <v>0.120845934033472</v>
      </c>
      <c r="BW209" s="27" t="n">
        <f aca="false">IF(AND(ISNUMBER(BW114),ISNUMBER(BR114)),IFERROR(BW114/BR114-1,""),"")</f>
        <v>0.134106213034277</v>
      </c>
      <c r="BX209" s="27" t="n">
        <f aca="false">IF(AND(ISNUMBER(BX114),ISNUMBER(BS114)),IFERROR(BX114/BS114-1,""),"")</f>
        <v>0.0541105391888439</v>
      </c>
      <c r="BY209" s="22" t="n">
        <f aca="false">IFERROR(BY114/BT114-1,"")</f>
        <v>0.075159665020748</v>
      </c>
      <c r="BZ209" s="22" t="n">
        <f aca="false">IFERROR(BZ114/BU114-1,"")</f>
        <v>0.0753209134649129</v>
      </c>
      <c r="CA209" s="22" t="n">
        <f aca="false">IFERROR(CA114/BV114-1,"")</f>
        <v>0.083503984138908</v>
      </c>
      <c r="CB209" s="22" t="n">
        <f aca="false">IFERROR(CB114/CA114-1,"")</f>
        <v>0.0847645429362882</v>
      </c>
      <c r="CC209" s="22" t="n">
        <f aca="false">IFERROR(CC114/CB114-1,"")</f>
        <v>0.0927371710686318</v>
      </c>
      <c r="CD209" s="22" t="n">
        <f aca="false">IFERROR(CD114/CC114-1,"")</f>
        <v>0.08542930723344</v>
      </c>
      <c r="CE209" s="22" t="n">
        <f aca="false">IFERROR(CE114/CD114-1,"")</f>
        <v>0.0834112149564619</v>
      </c>
    </row>
    <row r="210" customFormat="false" ht="15" hidden="false" customHeight="false" outlineLevel="0" collapsed="false">
      <c r="B210" s="20" t="s">
        <v>403</v>
      </c>
      <c r="D210" s="27" t="str">
        <f aca="false">IF(AND(ISNUMBER(D11),ISNUMBER(C11)),IFERROR(D11/C11-1,""),"")</f>
        <v/>
      </c>
      <c r="E210" s="27" t="str">
        <f aca="false">IF(AND(ISNUMBER(E11),ISNUMBER(D11)),IFERROR(E11/D11-1,""),"")</f>
        <v/>
      </c>
      <c r="F210" s="27" t="str">
        <f aca="false">IF(AND(ISNUMBER(F11),ISNUMBER(E11)),IFERROR(F11/E11-1,""),"")</f>
        <v/>
      </c>
      <c r="G210" s="27" t="str">
        <f aca="false">IF(AND(ISNUMBER(G11),ISNUMBER(F11)),IFERROR(G11/F11-1,""),"")</f>
        <v/>
      </c>
      <c r="H210" s="27" t="str">
        <f aca="false">IF(AND(ISNUMBER(H11),ISNUMBER(G11)),IFERROR(H11/G11-1,""),"")</f>
        <v/>
      </c>
      <c r="I210" s="27" t="str">
        <f aca="false">IF(AND(ISNUMBER(I11),ISNUMBER(H11)),IFERROR(I11/H11-1,""),"")</f>
        <v/>
      </c>
      <c r="N210" s="27" t="str">
        <f aca="false">IF(AND(ISNUMBER(N11),ISNUMBER(I11)),IFERROR(N11/I11-1,""),"")</f>
        <v/>
      </c>
      <c r="O210" s="27" t="str">
        <f aca="false">IF(AND(ISNUMBER(O11),ISNUMBER(J11)),IFERROR(O11/J11-1,""),"")</f>
        <v/>
      </c>
      <c r="P210" s="27" t="str">
        <f aca="false">IF(AND(ISNUMBER(P11),ISNUMBER(K11)),IFERROR(P11/K11-1,""),"")</f>
        <v/>
      </c>
      <c r="Q210" s="27" t="str">
        <f aca="false">IF(AND(ISNUMBER(Q11),ISNUMBER(L11)),IFERROR(Q11/L11-1,""),"")</f>
        <v/>
      </c>
      <c r="R210" s="27" t="str">
        <f aca="false">IF(AND(ISNUMBER(R11),ISNUMBER(M11)),IFERROR(R11/M11-1,""),"")</f>
        <v/>
      </c>
      <c r="S210" s="27" t="str">
        <f aca="false">IF(AND(ISNUMBER(S11),ISNUMBER(N11)),IFERROR(S11/N11-1,""),"")</f>
        <v/>
      </c>
      <c r="T210" s="27" t="str">
        <f aca="false">IF(AND(ISNUMBER(T11),ISNUMBER(O11)),IFERROR(T11/O11-1,""),"")</f>
        <v/>
      </c>
      <c r="U210" s="27" t="str">
        <f aca="false">IF(AND(ISNUMBER(U11),ISNUMBER(P11)),IFERROR(U11/P11-1,""),"")</f>
        <v/>
      </c>
      <c r="V210" s="27" t="str">
        <f aca="false">IF(AND(ISNUMBER(V11),ISNUMBER(Q11)),IFERROR(V11/Q11-1,""),"")</f>
        <v/>
      </c>
      <c r="W210" s="27" t="str">
        <f aca="false">IF(AND(ISNUMBER(W11),ISNUMBER(R11)),IFERROR(W11/R11-1,""),"")</f>
        <v/>
      </c>
      <c r="X210" s="27" t="str">
        <f aca="false">IF(AND(ISNUMBER(X11),ISNUMBER(S11)),IFERROR(X11/S11-1,""),"")</f>
        <v/>
      </c>
      <c r="Y210" s="27" t="str">
        <f aca="false">IF(AND(ISNUMBER(Y11),ISNUMBER(T11)),IFERROR(Y11/T11-1,""),"")</f>
        <v/>
      </c>
      <c r="Z210" s="27" t="str">
        <f aca="false">IF(AND(ISNUMBER(Z11),ISNUMBER(U11)),IFERROR(Z11/U11-1,""),"")</f>
        <v/>
      </c>
      <c r="AA210" s="27" t="str">
        <f aca="false">IF(AND(ISNUMBER(AA11),ISNUMBER(V11)),IFERROR(AA11/V11-1,""),"")</f>
        <v/>
      </c>
      <c r="AB210" s="27" t="str">
        <f aca="false">IF(AND(ISNUMBER(AB11),ISNUMBER(W11)),IFERROR(AB11/W11-1,""),"")</f>
        <v/>
      </c>
      <c r="AC210" s="27" t="str">
        <f aca="false">IF(AND(ISNUMBER(AC11),ISNUMBER(X11)),IFERROR(AC11/X11-1,""),"")</f>
        <v/>
      </c>
      <c r="AD210" s="27" t="str">
        <f aca="false">IF(AND(ISNUMBER(AD11),ISNUMBER(Y11)),IFERROR(AD11/Y11-1,""),"")</f>
        <v/>
      </c>
      <c r="AE210" s="27" t="str">
        <f aca="false">IF(AND(ISNUMBER(AE11),ISNUMBER(Z11)),IFERROR(AE11/Z11-1,""),"")</f>
        <v/>
      </c>
      <c r="AF210" s="27" t="str">
        <f aca="false">IF(AND(ISNUMBER(AF11),ISNUMBER(AA11)),IFERROR(AF11/AA11-1,""),"")</f>
        <v/>
      </c>
      <c r="AG210" s="27" t="str">
        <f aca="false">IF(AND(ISNUMBER(AG11),ISNUMBER(AB11)),IFERROR(AG11/AB11-1,""),"")</f>
        <v/>
      </c>
      <c r="AH210" s="27" t="str">
        <f aca="false">IF(AND(ISNUMBER(AH11),ISNUMBER(AC11)),IFERROR(AH11/AC11-1,""),"")</f>
        <v/>
      </c>
      <c r="AI210" s="27" t="str">
        <f aca="false">IF(AND(ISNUMBER(AI11),ISNUMBER(AD11)),IFERROR(AI11/AD11-1,""),"")</f>
        <v/>
      </c>
      <c r="AJ210" s="27" t="str">
        <f aca="false">IF(AND(ISNUMBER(AJ11),ISNUMBER(AE11)),IFERROR(AJ11/AE11-1,""),"")</f>
        <v/>
      </c>
      <c r="AK210" s="27" t="str">
        <f aca="false">IF(AND(ISNUMBER(AK11),ISNUMBER(AF11)),IFERROR(AK11/AF11-1,""),"")</f>
        <v/>
      </c>
      <c r="AL210" s="27" t="str">
        <f aca="false">IF(AND(ISNUMBER(AL11),ISNUMBER(AG11)),IFERROR(AL11/AG11-1,""),"")</f>
        <v/>
      </c>
      <c r="AM210" s="27" t="str">
        <f aca="false">IF(AND(ISNUMBER(AM11),ISNUMBER(AH11)),IFERROR(AM11/AH11-1,""),"")</f>
        <v/>
      </c>
      <c r="AN210" s="27" t="str">
        <f aca="false">IF(AND(ISNUMBER(AN11),ISNUMBER(AI11)),IFERROR(AN11/AI11-1,""),"")</f>
        <v/>
      </c>
      <c r="AO210" s="27" t="str">
        <f aca="false">IF(AND(ISNUMBER(AO11),ISNUMBER(AJ11)),IFERROR(AO11/AJ11-1,""),"")</f>
        <v/>
      </c>
      <c r="AP210" s="27" t="str">
        <f aca="false">IF(AND(ISNUMBER(AP11),ISNUMBER(AK11)),IFERROR(AP11/AK11-1,""),"")</f>
        <v/>
      </c>
      <c r="AQ210" s="27" t="str">
        <f aca="false">IF(AND(ISNUMBER(AQ11),ISNUMBER(AL11)),IFERROR(AQ11/AL11-1,""),"")</f>
        <v/>
      </c>
      <c r="AR210" s="27" t="str">
        <f aca="false">IF(AND(ISNUMBER(AR11),ISNUMBER(AM11)),IFERROR(AR11/AM11-1,""),"")</f>
        <v/>
      </c>
      <c r="AS210" s="27" t="str">
        <f aca="false">IF(AND(ISNUMBER(AS11),ISNUMBER(AN11)),IFERROR(AS11/AN11-1,""),"")</f>
        <v/>
      </c>
      <c r="AT210" s="27" t="str">
        <f aca="false">IF(AND(ISNUMBER(AT11),ISNUMBER(AO11)),IFERROR(AT11/AO11-1,""),"")</f>
        <v/>
      </c>
      <c r="AU210" s="27" t="str">
        <f aca="false">IF(AND(ISNUMBER(AU11),ISNUMBER(AP11)),IFERROR(AU11/AP11-1,""),"")</f>
        <v/>
      </c>
      <c r="AV210" s="27" t="str">
        <f aca="false">IF(AND(ISNUMBER(AV11),ISNUMBER(AQ11)),IFERROR(AV11/AQ11-1,""),"")</f>
        <v/>
      </c>
      <c r="AW210" s="27" t="str">
        <f aca="false">IF(AND(ISNUMBER(AW11),ISNUMBER(AR11)),IFERROR(AW11/AR11-1,""),"")</f>
        <v/>
      </c>
      <c r="AX210" s="27" t="n">
        <f aca="false">IF(AND(ISNUMBER(AX11),ISNUMBER(AS11)),IFERROR(AX11/AS11-1,""),"")</f>
        <v>-0.204637274619809</v>
      </c>
      <c r="AY210" s="27" t="n">
        <f aca="false">IF(AND(ISNUMBER(AY11),ISNUMBER(AT11)),IFERROR(AY11/AT11-1,""),"")</f>
        <v>0.125708101526963</v>
      </c>
      <c r="AZ210" s="27" t="n">
        <f aca="false">IF(AND(ISNUMBER(AZ11),ISNUMBER(AU11)),IFERROR(AZ11/AU11-1,""),"")</f>
        <v>0.0398796406170536</v>
      </c>
      <c r="BA210" s="27" t="n">
        <f aca="false">IF(AND(ISNUMBER(BA11),ISNUMBER(AV11)),IFERROR(BA11/AV11-1,""),"")</f>
        <v>-0.0130283973943205</v>
      </c>
      <c r="BB210" s="27" t="n">
        <f aca="false">IF(AND(ISNUMBER(BB11),ISNUMBER(AW11)),IFERROR(BB11/AW11-1,""),"")</f>
        <v>-0.0240035349329071</v>
      </c>
      <c r="BC210" s="27" t="n">
        <f aca="false">IF(AND(ISNUMBER(BC11),ISNUMBER(AX11)),IFERROR(BC11/AX11-1,""),"")</f>
        <v>0.0597845073780992</v>
      </c>
      <c r="BD210" s="27" t="n">
        <f aca="false">IF(AND(ISNUMBER(BD11),ISNUMBER(AY11)),IFERROR(BD11/AY11-1,""),"")</f>
        <v>0.0443586546694508</v>
      </c>
      <c r="BE210" s="27" t="n">
        <f aca="false">IF(AND(ISNUMBER(BE11),ISNUMBER(AZ11)),IFERROR(BE11/AZ11-1,""),"")</f>
        <v>0.0855697518033989</v>
      </c>
      <c r="BF210" s="27" t="n">
        <f aca="false">IF(AND(ISNUMBER(BF11),ISNUMBER(BA11)),IFERROR(BF11/BA11-1,""),"")</f>
        <v>0.0631637094393174</v>
      </c>
      <c r="BG210" s="27" t="n">
        <f aca="false">IF(AND(ISNUMBER(BG11),ISNUMBER(BB11)),IFERROR(BG11/BB11-1,""),"")</f>
        <v>0.0632059659127038</v>
      </c>
      <c r="BH210" s="27" t="n">
        <f aca="false">IF(AND(ISNUMBER(BH11),ISNUMBER(BC11)),IFERROR(BH11/BC11-1,""),"")</f>
        <v>0.0593107706475784</v>
      </c>
      <c r="BI210" s="27" t="n">
        <f aca="false">IF(AND(ISNUMBER(BI11),ISNUMBER(BD11)),IFERROR(BI11/BD11-1,""),"")</f>
        <v>0.084805247108912</v>
      </c>
      <c r="BJ210" s="27" t="n">
        <f aca="false">IF(AND(ISNUMBER(BJ11),ISNUMBER(BE11)),IFERROR(BJ11/BE11-1,""),"")</f>
        <v>0.0338068355131329</v>
      </c>
      <c r="BK210" s="27" t="n">
        <f aca="false">IF(AND(ISNUMBER(BK11),ISNUMBER(BF11)),IFERROR(BK11/BF11-1,""),"")</f>
        <v>0.0670345519533453</v>
      </c>
      <c r="BL210" s="27" t="n">
        <f aca="false">IF(AND(ISNUMBER(BL11),ISNUMBER(BG11)),IFERROR(BL11/BG11-1,""),"")</f>
        <v>0.0612330823470308</v>
      </c>
      <c r="BM210" s="27" t="n">
        <f aca="false">IF(AND(ISNUMBER(BM11),ISNUMBER(BH11)),IFERROR(BM11/BH11-1,""),"")</f>
        <v>0.0833699684361833</v>
      </c>
      <c r="BN210" s="27" t="n">
        <f aca="false">IF(AND(ISNUMBER(BN11),ISNUMBER(BI11)),IFERROR(BN11/BI11-1,""),"")</f>
        <v>0.0308141076637498</v>
      </c>
      <c r="BO210" s="27" t="n">
        <f aca="false">IF(AND(ISNUMBER(BO11),ISNUMBER(BJ11)),IFERROR(BO11/BJ11-1,""),"")</f>
        <v>0.0379578478145413</v>
      </c>
      <c r="BP210" s="27" t="n">
        <f aca="false">IF(AND(ISNUMBER(BP11),ISNUMBER(BK11)),IFERROR(BP11/BK11-1,""),"")</f>
        <v>0.0532817852105583</v>
      </c>
      <c r="BQ210" s="27" t="n">
        <f aca="false">IF(AND(ISNUMBER(BQ11),ISNUMBER(BL11)),IFERROR(BQ11/BL11-1,""),"")</f>
        <v>0.0506126948202719</v>
      </c>
      <c r="BR210" s="27" t="n">
        <f aca="false">IF(AND(ISNUMBER(BR11),ISNUMBER(BM11)),IFERROR(BR11/BM11-1,""),"")</f>
        <v>0.0361153539268211</v>
      </c>
      <c r="BS210" s="27" t="n">
        <f aca="false">IF(AND(ISNUMBER(BS11),ISNUMBER(BN11)),IFERROR(BS11/BN11-1,""),"")</f>
        <v>0.0253224257391782</v>
      </c>
      <c r="BT210" s="27" t="n">
        <f aca="false">IF(AND(ISNUMBER(BT11),ISNUMBER(BO11)),IFERROR(BT11/BO11-1,""),"")</f>
        <v>0.0845188687084262</v>
      </c>
      <c r="BU210" s="27" t="n">
        <f aca="false">IF(AND(ISNUMBER(BU11),ISNUMBER(BP11)),IFERROR(BU11/BP11-1,""),"")</f>
        <v>0.0457282687103704</v>
      </c>
      <c r="BV210" s="27" t="n">
        <f aca="false">IF(AND(ISNUMBER(BV11),ISNUMBER(BQ11)),IFERROR(BV11/BQ11-1,""),"")</f>
        <v>0.0478762150894776</v>
      </c>
      <c r="BW210" s="27" t="n">
        <f aca="false">IF(AND(ISNUMBER(BW11),ISNUMBER(BR11)),IFERROR(BW11/BR11-1,""),"")</f>
        <v>0.121775520801246</v>
      </c>
      <c r="BX210" s="27" t="n">
        <f aca="false">IF(AND(ISNUMBER(BX11),ISNUMBER(BS11)),IFERROR(BX11/BS11-1,""),"")</f>
        <v>0.119709121929597</v>
      </c>
      <c r="BY210" s="22" t="n">
        <f aca="false">IFERROR(BY11/BT11-1,"")</f>
        <v>0.0606219728200386</v>
      </c>
      <c r="BZ210" s="22" t="n">
        <f aca="false">IFERROR(BZ11/BU11-1,"")</f>
        <v>0.0606219728200386</v>
      </c>
      <c r="CA210" s="22" t="n">
        <f aca="false">IFERROR(CA11/BV11-1,"")</f>
        <v>0.0893156967934805</v>
      </c>
      <c r="CB210" s="22" t="n">
        <f aca="false">IFERROR(CB11/CA11-1,"")</f>
        <v>0.0700000000000001</v>
      </c>
      <c r="CC210" s="22" t="n">
        <f aca="false">IFERROR(CC11/CB11-1,"")</f>
        <v>0.065</v>
      </c>
      <c r="CD210" s="22" t="n">
        <f aca="false">IFERROR(CD11/CC11-1,"")</f>
        <v>0.0600000000000001</v>
      </c>
      <c r="CE210" s="22" t="n">
        <f aca="false">IFERROR(CE11/CD11-1,"")</f>
        <v>0.0600000000000001</v>
      </c>
    </row>
    <row r="211" customFormat="false" ht="15" hidden="false" customHeight="false" outlineLevel="0" collapsed="false">
      <c r="B211" s="20" t="s">
        <v>404</v>
      </c>
      <c r="D211" s="27" t="str">
        <f aca="false">IF(AND(ISNUMBER(D25),ISNUMBER(C25)),IFERROR(D25/C25-1,""),"")</f>
        <v/>
      </c>
      <c r="E211" s="27" t="str">
        <f aca="false">IF(AND(ISNUMBER(E25),ISNUMBER(D25)),IFERROR(E25/D25-1,""),"")</f>
        <v/>
      </c>
      <c r="F211" s="27" t="str">
        <f aca="false">IF(AND(ISNUMBER(F25),ISNUMBER(E25)),IFERROR(F25/E25-1,""),"")</f>
        <v/>
      </c>
      <c r="G211" s="27" t="str">
        <f aca="false">IF(AND(ISNUMBER(G25),ISNUMBER(F25)),IFERROR(G25/F25-1,""),"")</f>
        <v/>
      </c>
      <c r="H211" s="27" t="str">
        <f aca="false">IF(AND(ISNUMBER(H25),ISNUMBER(G25)),IFERROR(H25/G25-1,""),"")</f>
        <v/>
      </c>
      <c r="I211" s="27" t="str">
        <f aca="false">IF(AND(ISNUMBER(I25),ISNUMBER(H25)),IFERROR(I25/H25-1,""),"")</f>
        <v/>
      </c>
      <c r="N211" s="27" t="str">
        <f aca="false">IF(AND(ISNUMBER(N25),ISNUMBER(I25)),IFERROR(N25/I25-1,""),"")</f>
        <v/>
      </c>
      <c r="O211" s="27" t="str">
        <f aca="false">IF(AND(ISNUMBER(O25),ISNUMBER(J25)),IFERROR(O25/J25-1,""),"")</f>
        <v/>
      </c>
      <c r="P211" s="27" t="str">
        <f aca="false">IF(AND(ISNUMBER(P25),ISNUMBER(K25)),IFERROR(P25/K25-1,""),"")</f>
        <v/>
      </c>
      <c r="Q211" s="27" t="str">
        <f aca="false">IF(AND(ISNUMBER(Q25),ISNUMBER(L25)),IFERROR(Q25/L25-1,""),"")</f>
        <v/>
      </c>
      <c r="R211" s="27" t="str">
        <f aca="false">IF(AND(ISNUMBER(R25),ISNUMBER(M25)),IFERROR(R25/M25-1,""),"")</f>
        <v/>
      </c>
      <c r="S211" s="27" t="str">
        <f aca="false">IF(AND(ISNUMBER(S25),ISNUMBER(N25)),IFERROR(S25/N25-1,""),"")</f>
        <v/>
      </c>
      <c r="T211" s="27" t="str">
        <f aca="false">IF(AND(ISNUMBER(T25),ISNUMBER(O25)),IFERROR(T25/O25-1,""),"")</f>
        <v/>
      </c>
      <c r="U211" s="27" t="str">
        <f aca="false">IF(AND(ISNUMBER(U25),ISNUMBER(P25)),IFERROR(U25/P25-1,""),"")</f>
        <v/>
      </c>
      <c r="V211" s="27" t="str">
        <f aca="false">IF(AND(ISNUMBER(V25),ISNUMBER(Q25)),IFERROR(V25/Q25-1,""),"")</f>
        <v/>
      </c>
      <c r="W211" s="27" t="str">
        <f aca="false">IF(AND(ISNUMBER(W25),ISNUMBER(R25)),IFERROR(W25/R25-1,""),"")</f>
        <v/>
      </c>
      <c r="X211" s="27" t="str">
        <f aca="false">IF(AND(ISNUMBER(X25),ISNUMBER(S25)),IFERROR(X25/S25-1,""),"")</f>
        <v/>
      </c>
      <c r="Y211" s="27" t="str">
        <f aca="false">IF(AND(ISNUMBER(Y25),ISNUMBER(T25)),IFERROR(Y25/T25-1,""),"")</f>
        <v/>
      </c>
      <c r="Z211" s="27" t="str">
        <f aca="false">IF(AND(ISNUMBER(Z25),ISNUMBER(U25)),IFERROR(Z25/U25-1,""),"")</f>
        <v/>
      </c>
      <c r="AA211" s="27" t="str">
        <f aca="false">IF(AND(ISNUMBER(AA25),ISNUMBER(V25)),IFERROR(AA25/V25-1,""),"")</f>
        <v/>
      </c>
      <c r="AB211" s="27" t="str">
        <f aca="false">IF(AND(ISNUMBER(AB25),ISNUMBER(W25)),IFERROR(AB25/W25-1,""),"")</f>
        <v/>
      </c>
      <c r="AC211" s="27" t="str">
        <f aca="false">IF(AND(ISNUMBER(AC25),ISNUMBER(X25)),IFERROR(AC25/X25-1,""),"")</f>
        <v/>
      </c>
      <c r="AD211" s="27" t="str">
        <f aca="false">IF(AND(ISNUMBER(AD25),ISNUMBER(Y25)),IFERROR(AD25/Y25-1,""),"")</f>
        <v/>
      </c>
      <c r="AE211" s="27" t="str">
        <f aca="false">IF(AND(ISNUMBER(AE25),ISNUMBER(Z25)),IFERROR(AE25/Z25-1,""),"")</f>
        <v/>
      </c>
      <c r="AF211" s="27" t="str">
        <f aca="false">IF(AND(ISNUMBER(AF25),ISNUMBER(AA25)),IFERROR(AF25/AA25-1,""),"")</f>
        <v/>
      </c>
      <c r="AG211" s="27" t="str">
        <f aca="false">IF(AND(ISNUMBER(AG25),ISNUMBER(AB25)),IFERROR(AG25/AB25-1,""),"")</f>
        <v/>
      </c>
      <c r="AH211" s="27" t="str">
        <f aca="false">IF(AND(ISNUMBER(AH25),ISNUMBER(AC25)),IFERROR(AH25/AC25-1,""),"")</f>
        <v/>
      </c>
      <c r="AI211" s="27" t="str">
        <f aca="false">IF(AND(ISNUMBER(AI25),ISNUMBER(AD25)),IFERROR(AI25/AD25-1,""),"")</f>
        <v/>
      </c>
      <c r="AJ211" s="27" t="str">
        <f aca="false">IF(AND(ISNUMBER(AJ25),ISNUMBER(AE25)),IFERROR(AJ25/AE25-1,""),"")</f>
        <v/>
      </c>
      <c r="AK211" s="27" t="str">
        <f aca="false">IF(AND(ISNUMBER(AK25),ISNUMBER(AF25)),IFERROR(AK25/AF25-1,""),"")</f>
        <v/>
      </c>
      <c r="AL211" s="27" t="str">
        <f aca="false">IF(AND(ISNUMBER(AL25),ISNUMBER(AG25)),IFERROR(AL25/AG25-1,""),"")</f>
        <v/>
      </c>
      <c r="AM211" s="27" t="str">
        <f aca="false">IF(AND(ISNUMBER(AM25),ISNUMBER(AH25)),IFERROR(AM25/AH25-1,""),"")</f>
        <v/>
      </c>
      <c r="AN211" s="27" t="str">
        <f aca="false">IF(AND(ISNUMBER(AN25),ISNUMBER(AI25)),IFERROR(AN25/AI25-1,""),"")</f>
        <v/>
      </c>
      <c r="AO211" s="27" t="str">
        <f aca="false">IF(AND(ISNUMBER(AO25),ISNUMBER(AJ25)),IFERROR(AO25/AJ25-1,""),"")</f>
        <v/>
      </c>
      <c r="AP211" s="27" t="str">
        <f aca="false">IF(AND(ISNUMBER(AP25),ISNUMBER(AK25)),IFERROR(AP25/AK25-1,""),"")</f>
        <v/>
      </c>
      <c r="AQ211" s="27" t="str">
        <f aca="false">IF(AND(ISNUMBER(AQ25),ISNUMBER(AL25)),IFERROR(AQ25/AL25-1,""),"")</f>
        <v/>
      </c>
      <c r="AR211" s="27" t="str">
        <f aca="false">IF(AND(ISNUMBER(AR25),ISNUMBER(AM25)),IFERROR(AR25/AM25-1,""),"")</f>
        <v/>
      </c>
      <c r="AS211" s="27" t="str">
        <f aca="false">IF(AND(ISNUMBER(AS25),ISNUMBER(AN25)),IFERROR(AS25/AN25-1,""),"")</f>
        <v/>
      </c>
      <c r="AT211" s="27" t="str">
        <f aca="false">IF(AND(ISNUMBER(AT25),ISNUMBER(AO25)),IFERROR(AT25/AO25-1,""),"")</f>
        <v/>
      </c>
      <c r="AU211" s="27" t="str">
        <f aca="false">IF(AND(ISNUMBER(AU25),ISNUMBER(AP25)),IFERROR(AU25/AP25-1,""),"")</f>
        <v/>
      </c>
      <c r="AV211" s="27" t="str">
        <f aca="false">IF(AND(ISNUMBER(AV25),ISNUMBER(AQ25)),IFERROR(AV25/AQ25-1,""),"")</f>
        <v/>
      </c>
      <c r="AW211" s="27" t="str">
        <f aca="false">IF(AND(ISNUMBER(AW25),ISNUMBER(AR25)),IFERROR(AW25/AR25-1,""),"")</f>
        <v/>
      </c>
      <c r="AX211" s="27" t="n">
        <f aca="false">IF(AND(ISNUMBER(AX25),ISNUMBER(AS25)),IFERROR(AX25/AS25-1,""),"")</f>
        <v>0.298256926085929</v>
      </c>
      <c r="AY211" s="27" t="n">
        <f aca="false">IF(AND(ISNUMBER(AY25),ISNUMBER(AT25)),IFERROR(AY25/AT25-1,""),"")</f>
        <v>0.162864489696518</v>
      </c>
      <c r="AZ211" s="27" t="n">
        <f aca="false">IF(AND(ISNUMBER(AZ25),ISNUMBER(AU25)),IFERROR(AZ25/AU25-1,""),"")</f>
        <v>0.223699468730617</v>
      </c>
      <c r="BA211" s="27" t="n">
        <f aca="false">IF(AND(ISNUMBER(BA25),ISNUMBER(AV25)),IFERROR(BA25/AV25-1,""),"")</f>
        <v>0.0994267238287565</v>
      </c>
      <c r="BB211" s="27" t="n">
        <f aca="false">IF(AND(ISNUMBER(BB25),ISNUMBER(AW25)),IFERROR(BB25/AW25-1,""),"")</f>
        <v>0.189844223557183</v>
      </c>
      <c r="BC211" s="27" t="n">
        <f aca="false">IF(AND(ISNUMBER(BC25),ISNUMBER(AX25)),IFERROR(BC25/AX25-1,""),"")</f>
        <v>-0.210488267885129</v>
      </c>
      <c r="BD211" s="27" t="n">
        <f aca="false">IF(AND(ISNUMBER(BD25),ISNUMBER(AY25)),IFERROR(BD25/AY25-1,""),"")</f>
        <v>-0.0788538413683931</v>
      </c>
      <c r="BE211" s="27" t="n">
        <f aca="false">IF(AND(ISNUMBER(BE25),ISNUMBER(AZ25)),IFERROR(BE25/AZ25-1,""),"")</f>
        <v>-0.111931417489422</v>
      </c>
      <c r="BF211" s="27" t="n">
        <f aca="false">IF(AND(ISNUMBER(BF25),ISNUMBER(BA25)),IFERROR(BF25/BA25-1,""),"")</f>
        <v>0.186676636939862</v>
      </c>
      <c r="BG211" s="27" t="n">
        <f aca="false">IF(AND(ISNUMBER(BG25),ISNUMBER(BB25)),IFERROR(BG25/BB25-1,""),"")</f>
        <v>-0.047028547919031</v>
      </c>
      <c r="BH211" s="27" t="n">
        <f aca="false">IF(AND(ISNUMBER(BH25),ISNUMBER(BC25)),IFERROR(BH25/BC25-1,""),"")</f>
        <v>0.133397171993933</v>
      </c>
      <c r="BI211" s="27" t="n">
        <f aca="false">IF(AND(ISNUMBER(BI25),ISNUMBER(BD25)),IFERROR(BI25/BD25-1,""),"")</f>
        <v>0.322121846351363</v>
      </c>
      <c r="BJ211" s="27" t="n">
        <f aca="false">IF(AND(ISNUMBER(BJ25),ISNUMBER(BE25)),IFERROR(BJ25/BE25-1,""),"")</f>
        <v>0.341818249497481</v>
      </c>
      <c r="BK211" s="27" t="n">
        <f aca="false">IF(AND(ISNUMBER(BK25),ISNUMBER(BF25)),IFERROR(BK25/BF25-1,""),"")</f>
        <v>0.0139349392698853</v>
      </c>
      <c r="BL211" s="27" t="n">
        <f aca="false">IF(AND(ISNUMBER(BL25),ISNUMBER(BG25)),IFERROR(BL25/BG25-1,""),"")</f>
        <v>0.18203232975305</v>
      </c>
      <c r="BM211" s="27" t="n">
        <f aca="false">IF(AND(ISNUMBER(BM25),ISNUMBER(BH25)),IFERROR(BM25/BH25-1,""),"")</f>
        <v>0.305801892028565</v>
      </c>
      <c r="BN211" s="27" t="n">
        <f aca="false">IF(AND(ISNUMBER(BN25),ISNUMBER(BI25)),IFERROR(BN25/BI25-1,""),"")</f>
        <v>0.155465754948868</v>
      </c>
      <c r="BO211" s="27" t="n">
        <f aca="false">IF(AND(ISNUMBER(BO25),ISNUMBER(BJ25)),IFERROR(BO25/BJ25-1,""),"")</f>
        <v>0.123651663314608</v>
      </c>
      <c r="BP211" s="27" t="n">
        <f aca="false">IF(AND(ISNUMBER(BP25),ISNUMBER(BK25)),IFERROR(BP25/BK25-1,""),"")</f>
        <v>-0.0512031232403619</v>
      </c>
      <c r="BQ211" s="27" t="n">
        <f aca="false">IF(AND(ISNUMBER(BQ25),ISNUMBER(BL25)),IFERROR(BQ25/BL25-1,""),"")</f>
        <v>0.116181647040367</v>
      </c>
      <c r="BR211" s="27" t="n">
        <f aca="false">IF(AND(ISNUMBER(BR25),ISNUMBER(BM25)),IFERROR(BR25/BM25-1,""),"")</f>
        <v>0.157848503596375</v>
      </c>
      <c r="BS211" s="27" t="n">
        <f aca="false">IF(AND(ISNUMBER(BS25),ISNUMBER(BN25)),IFERROR(BS25/BN25-1,""),"")</f>
        <v>0.107458165726317</v>
      </c>
      <c r="BT211" s="27" t="n">
        <f aca="false">IF(AND(ISNUMBER(BT25),ISNUMBER(BO25)),IFERROR(BT25/BO25-1,""),"")</f>
        <v>0.0416822683712643</v>
      </c>
      <c r="BU211" s="27" t="n">
        <f aca="false">IF(AND(ISNUMBER(BU25),ISNUMBER(BP25)),IFERROR(BU25/BP25-1,""),"")</f>
        <v>0.17496867787669</v>
      </c>
      <c r="BV211" s="27" t="n">
        <f aca="false">IF(AND(ISNUMBER(BV25),ISNUMBER(BQ25)),IFERROR(BV25/BQ25-1,""),"")</f>
        <v>0.118483901500594</v>
      </c>
      <c r="BW211" s="27" t="n">
        <f aca="false">IF(AND(ISNUMBER(BW25),ISNUMBER(BR25)),IFERROR(BW25/BR25-1,""),"")</f>
        <v>0.0453737090274267</v>
      </c>
      <c r="BX211" s="27" t="n">
        <f aca="false">IF(AND(ISNUMBER(BX25),ISNUMBER(BS25)),IFERROR(BX25/BS25-1,""),"")</f>
        <v>-0.0277616388220275</v>
      </c>
      <c r="BY211" s="22" t="n">
        <f aca="false">IFERROR(BY25/BT25-1,"")</f>
        <v>0.0812589468425453</v>
      </c>
      <c r="BZ211" s="22" t="n">
        <f aca="false">IFERROR(BZ25/BU25-1,"")</f>
        <v>0.0812589468425453</v>
      </c>
      <c r="CA211" s="22" t="n">
        <f aca="false">IFERROR(CA25/BV25-1,"")</f>
        <v>0.0455424549140495</v>
      </c>
      <c r="CB211" s="22" t="n">
        <f aca="false">IFERROR(CB25/CA25-1,"")</f>
        <v>0.0600000000000001</v>
      </c>
      <c r="CC211" s="22" t="n">
        <f aca="false">IFERROR(CC25/CB25-1,"")</f>
        <v>0.0600000000000001</v>
      </c>
      <c r="CD211" s="22" t="n">
        <f aca="false">IFERROR(CD25/CC25-1,"")</f>
        <v>0.0549999999999999</v>
      </c>
      <c r="CE211" s="22" t="n">
        <f aca="false">IFERROR(CE25/CD25-1,"")</f>
        <v>0.0549999999999999</v>
      </c>
    </row>
    <row r="212" customFormat="false" ht="15" hidden="false" customHeight="false" outlineLevel="0" collapsed="false">
      <c r="B212" s="20" t="s">
        <v>405</v>
      </c>
      <c r="D212" s="27" t="str">
        <f aca="false">IF(AND(ISNUMBER(D39),ISNUMBER(C39)),IFERROR(D39/C39-1,""),"")</f>
        <v/>
      </c>
      <c r="E212" s="27" t="str">
        <f aca="false">IF(AND(ISNUMBER(E39),ISNUMBER(D39)),IFERROR(E39/D39-1,""),"")</f>
        <v/>
      </c>
      <c r="F212" s="27" t="str">
        <f aca="false">IF(AND(ISNUMBER(F39),ISNUMBER(E39)),IFERROR(F39/E39-1,""),"")</f>
        <v/>
      </c>
      <c r="G212" s="27" t="str">
        <f aca="false">IF(AND(ISNUMBER(G39),ISNUMBER(F39)),IFERROR(G39/F39-1,""),"")</f>
        <v/>
      </c>
      <c r="H212" s="27" t="str">
        <f aca="false">IF(AND(ISNUMBER(H39),ISNUMBER(G39)),IFERROR(H39/G39-1,""),"")</f>
        <v/>
      </c>
      <c r="I212" s="27" t="str">
        <f aca="false">IF(AND(ISNUMBER(I39),ISNUMBER(H39)),IFERROR(I39/H39-1,""),"")</f>
        <v/>
      </c>
      <c r="N212" s="27" t="str">
        <f aca="false">IF(AND(ISNUMBER(N39),ISNUMBER(I39)),IFERROR(N39/I39-1,""),"")</f>
        <v/>
      </c>
      <c r="O212" s="27" t="str">
        <f aca="false">IF(AND(ISNUMBER(O39),ISNUMBER(J39)),IFERROR(O39/J39-1,""),"")</f>
        <v/>
      </c>
      <c r="P212" s="27" t="str">
        <f aca="false">IF(AND(ISNUMBER(P39),ISNUMBER(K39)),IFERROR(P39/K39-1,""),"")</f>
        <v/>
      </c>
      <c r="Q212" s="27" t="str">
        <f aca="false">IF(AND(ISNUMBER(Q39),ISNUMBER(L39)),IFERROR(Q39/L39-1,""),"")</f>
        <v/>
      </c>
      <c r="R212" s="27" t="str">
        <f aca="false">IF(AND(ISNUMBER(R39),ISNUMBER(M39)),IFERROR(R39/M39-1,""),"")</f>
        <v/>
      </c>
      <c r="S212" s="27" t="str">
        <f aca="false">IF(AND(ISNUMBER(S39),ISNUMBER(N39)),IFERROR(S39/N39-1,""),"")</f>
        <v/>
      </c>
      <c r="T212" s="27" t="str">
        <f aca="false">IF(AND(ISNUMBER(T39),ISNUMBER(O39)),IFERROR(T39/O39-1,""),"")</f>
        <v/>
      </c>
      <c r="U212" s="27" t="str">
        <f aca="false">IF(AND(ISNUMBER(U39),ISNUMBER(P39)),IFERROR(U39/P39-1,""),"")</f>
        <v/>
      </c>
      <c r="V212" s="27" t="str">
        <f aca="false">IF(AND(ISNUMBER(V39),ISNUMBER(Q39)),IFERROR(V39/Q39-1,""),"")</f>
        <v/>
      </c>
      <c r="W212" s="27" t="str">
        <f aca="false">IF(AND(ISNUMBER(W39),ISNUMBER(R39)),IFERROR(W39/R39-1,""),"")</f>
        <v/>
      </c>
      <c r="X212" s="27" t="str">
        <f aca="false">IF(AND(ISNUMBER(X39),ISNUMBER(S39)),IFERROR(X39/S39-1,""),"")</f>
        <v/>
      </c>
      <c r="Y212" s="27" t="str">
        <f aca="false">IF(AND(ISNUMBER(Y39),ISNUMBER(T39)),IFERROR(Y39/T39-1,""),"")</f>
        <v/>
      </c>
      <c r="Z212" s="27" t="str">
        <f aca="false">IF(AND(ISNUMBER(Z39),ISNUMBER(U39)),IFERROR(Z39/U39-1,""),"")</f>
        <v/>
      </c>
      <c r="AA212" s="27" t="str">
        <f aca="false">IF(AND(ISNUMBER(AA39),ISNUMBER(V39)),IFERROR(AA39/V39-1,""),"")</f>
        <v/>
      </c>
      <c r="AB212" s="27" t="str">
        <f aca="false">IF(AND(ISNUMBER(AB39),ISNUMBER(W39)),IFERROR(AB39/W39-1,""),"")</f>
        <v/>
      </c>
      <c r="AC212" s="27" t="str">
        <f aca="false">IF(AND(ISNUMBER(AC39),ISNUMBER(X39)),IFERROR(AC39/X39-1,""),"")</f>
        <v/>
      </c>
      <c r="AD212" s="27" t="str">
        <f aca="false">IF(AND(ISNUMBER(AD39),ISNUMBER(Y39)),IFERROR(AD39/Y39-1,""),"")</f>
        <v/>
      </c>
      <c r="AE212" s="27" t="str">
        <f aca="false">IF(AND(ISNUMBER(AE39),ISNUMBER(Z39)),IFERROR(AE39/Z39-1,""),"")</f>
        <v/>
      </c>
      <c r="AF212" s="27" t="str">
        <f aca="false">IF(AND(ISNUMBER(AF39),ISNUMBER(AA39)),IFERROR(AF39/AA39-1,""),"")</f>
        <v/>
      </c>
      <c r="AG212" s="27" t="str">
        <f aca="false">IF(AND(ISNUMBER(AG39),ISNUMBER(AB39)),IFERROR(AG39/AB39-1,""),"")</f>
        <v/>
      </c>
      <c r="AH212" s="27" t="str">
        <f aca="false">IF(AND(ISNUMBER(AH39),ISNUMBER(AC39)),IFERROR(AH39/AC39-1,""),"")</f>
        <v/>
      </c>
      <c r="AI212" s="27" t="str">
        <f aca="false">IF(AND(ISNUMBER(AI39),ISNUMBER(AD39)),IFERROR(AI39/AD39-1,""),"")</f>
        <v/>
      </c>
      <c r="AJ212" s="27" t="str">
        <f aca="false">IF(AND(ISNUMBER(AJ39),ISNUMBER(AE39)),IFERROR(AJ39/AE39-1,""),"")</f>
        <v/>
      </c>
      <c r="AK212" s="27" t="str">
        <f aca="false">IF(AND(ISNUMBER(AK39),ISNUMBER(AF39)),IFERROR(AK39/AF39-1,""),"")</f>
        <v/>
      </c>
      <c r="AL212" s="27" t="str">
        <f aca="false">IF(AND(ISNUMBER(AL39),ISNUMBER(AG39)),IFERROR(AL39/AG39-1,""),"")</f>
        <v/>
      </c>
      <c r="AM212" s="27" t="str">
        <f aca="false">IF(AND(ISNUMBER(AM39),ISNUMBER(AH39)),IFERROR(AM39/AH39-1,""),"")</f>
        <v/>
      </c>
      <c r="AN212" s="27" t="str">
        <f aca="false">IF(AND(ISNUMBER(AN39),ISNUMBER(AI39)),IFERROR(AN39/AI39-1,""),"")</f>
        <v/>
      </c>
      <c r="AO212" s="27" t="str">
        <f aca="false">IF(AND(ISNUMBER(AO39),ISNUMBER(AJ39)),IFERROR(AO39/AJ39-1,""),"")</f>
        <v/>
      </c>
      <c r="AP212" s="27" t="str">
        <f aca="false">IF(AND(ISNUMBER(AP39),ISNUMBER(AK39)),IFERROR(AP39/AK39-1,""),"")</f>
        <v/>
      </c>
      <c r="AQ212" s="27" t="str">
        <f aca="false">IF(AND(ISNUMBER(AQ39),ISNUMBER(AL39)),IFERROR(AQ39/AL39-1,""),"")</f>
        <v/>
      </c>
      <c r="AR212" s="27" t="str">
        <f aca="false">IF(AND(ISNUMBER(AR39),ISNUMBER(AM39)),IFERROR(AR39/AM39-1,""),"")</f>
        <v/>
      </c>
      <c r="AS212" s="27" t="str">
        <f aca="false">IF(AND(ISNUMBER(AS39),ISNUMBER(AN39)),IFERROR(AS39/AN39-1,""),"")</f>
        <v/>
      </c>
      <c r="AT212" s="27" t="str">
        <f aca="false">IF(AND(ISNUMBER(AT39),ISNUMBER(AO39)),IFERROR(AT39/AO39-1,""),"")</f>
        <v/>
      </c>
      <c r="AU212" s="27" t="str">
        <f aca="false">IF(AND(ISNUMBER(AU39),ISNUMBER(AP39)),IFERROR(AU39/AP39-1,""),"")</f>
        <v/>
      </c>
      <c r="AV212" s="27" t="str">
        <f aca="false">IF(AND(ISNUMBER(AV39),ISNUMBER(AQ39)),IFERROR(AV39/AQ39-1,""),"")</f>
        <v/>
      </c>
      <c r="AW212" s="27" t="str">
        <f aca="false">IF(AND(ISNUMBER(AW39),ISNUMBER(AR39)),IFERROR(AW39/AR39-1,""),"")</f>
        <v/>
      </c>
      <c r="AX212" s="27" t="n">
        <f aca="false">IF(AND(ISNUMBER(AX39),ISNUMBER(AS39)),IFERROR(AX39/AS39-1,""),"")</f>
        <v>0.00252849882088513</v>
      </c>
      <c r="AY212" s="27" t="n">
        <f aca="false">IF(AND(ISNUMBER(AY39),ISNUMBER(AT39)),IFERROR(AY39/AT39-1,""),"")</f>
        <v>0.11332786892281</v>
      </c>
      <c r="AZ212" s="27" t="n">
        <f aca="false">IF(AND(ISNUMBER(AZ39),ISNUMBER(AU39)),IFERROR(AZ39/AU39-1,""),"")</f>
        <v>0.0353783440359541</v>
      </c>
      <c r="BA212" s="27" t="n">
        <f aca="false">IF(AND(ISNUMBER(BA39),ISNUMBER(AV39)),IFERROR(BA39/AV39-1,""),"")</f>
        <v>-0.0617040580966992</v>
      </c>
      <c r="BB212" s="27" t="n">
        <f aca="false">IF(AND(ISNUMBER(BB39),ISNUMBER(AW39)),IFERROR(BB39/AW39-1,""),"")</f>
        <v>0.0187991475126572</v>
      </c>
      <c r="BC212" s="27" t="n">
        <f aca="false">IF(AND(ISNUMBER(BC39),ISNUMBER(AX39)),IFERROR(BC39/AX39-1,""),"")</f>
        <v>-0.0434620153195536</v>
      </c>
      <c r="BD212" s="27" t="n">
        <f aca="false">IF(AND(ISNUMBER(BD39),ISNUMBER(AY39)),IFERROR(BD39/AY39-1,""),"")</f>
        <v>-0.0315883606816456</v>
      </c>
      <c r="BE212" s="27" t="n">
        <f aca="false">IF(AND(ISNUMBER(BE39),ISNUMBER(AZ39)),IFERROR(BE39/AZ39-1,""),"")</f>
        <v>0.0553581062437456</v>
      </c>
      <c r="BF212" s="27" t="n">
        <f aca="false">IF(AND(ISNUMBER(BF39),ISNUMBER(BA39)),IFERROR(BF39/BA39-1,""),"")</f>
        <v>0.157068794780684</v>
      </c>
      <c r="BG212" s="27" t="n">
        <f aca="false">IF(AND(ISNUMBER(BG39),ISNUMBER(BB39)),IFERROR(BG39/BB39-1,""),"")</f>
        <v>0.0356254728611605</v>
      </c>
      <c r="BH212" s="27" t="n">
        <f aca="false">IF(AND(ISNUMBER(BH39),ISNUMBER(BC39)),IFERROR(BH39/BC39-1,""),"")</f>
        <v>0.181902521306818</v>
      </c>
      <c r="BI212" s="27" t="n">
        <f aca="false">IF(AND(ISNUMBER(BI39),ISNUMBER(BD39)),IFERROR(BI39/BD39-1,""),"")</f>
        <v>0.116137814644398</v>
      </c>
      <c r="BJ212" s="27" t="n">
        <f aca="false">IF(AND(ISNUMBER(BJ39),ISNUMBER(BE39)),IFERROR(BJ39/BE39-1,""),"")</f>
        <v>0.122855214020081</v>
      </c>
      <c r="BK212" s="27" t="n">
        <f aca="false">IF(AND(ISNUMBER(BK39),ISNUMBER(BF39)),IFERROR(BK39/BF39-1,""),"")</f>
        <v>0.0331094710204025</v>
      </c>
      <c r="BL212" s="27" t="n">
        <f aca="false">IF(AND(ISNUMBER(BL39),ISNUMBER(BG39)),IFERROR(BL39/BG39-1,""),"")</f>
        <v>0.108180819770104</v>
      </c>
      <c r="BM212" s="27" t="n">
        <f aca="false">IF(AND(ISNUMBER(BM39),ISNUMBER(BH39)),IFERROR(BM39/BH39-1,""),"")</f>
        <v>0.0594984582680773</v>
      </c>
      <c r="BN212" s="27" t="n">
        <f aca="false">IF(AND(ISNUMBER(BN39),ISNUMBER(BI39)),IFERROR(BN39/BI39-1,""),"")</f>
        <v>0.152217792264295</v>
      </c>
      <c r="BO212" s="27" t="n">
        <f aca="false">IF(AND(ISNUMBER(BO39),ISNUMBER(BJ39)),IFERROR(BO39/BJ39-1,""),"")</f>
        <v>0.137226145462633</v>
      </c>
      <c r="BP212" s="27" t="n">
        <f aca="false">IF(AND(ISNUMBER(BP39),ISNUMBER(BK39)),IFERROR(BP39/BK39-1,""),"")</f>
        <v>0.123791485822699</v>
      </c>
      <c r="BQ212" s="27" t="n">
        <f aca="false">IF(AND(ISNUMBER(BQ39),ISNUMBER(BL39)),IFERROR(BQ39/BL39-1,""),"")</f>
        <v>0.11916745532654</v>
      </c>
      <c r="BR212" s="27" t="n">
        <f aca="false">IF(AND(ISNUMBER(BR39),ISNUMBER(BM39)),IFERROR(BR39/BM39-1,""),"")</f>
        <v>0.181261321299818</v>
      </c>
      <c r="BS212" s="27" t="n">
        <f aca="false">IF(AND(ISNUMBER(BS39),ISNUMBER(BN39)),IFERROR(BS39/BN39-1,""),"")</f>
        <v>0.18981547394289</v>
      </c>
      <c r="BT212" s="27" t="n">
        <f aca="false">IF(AND(ISNUMBER(BT39),ISNUMBER(BO39)),IFERROR(BT39/BO39-1,""),"")</f>
        <v>0.124670720899673</v>
      </c>
      <c r="BU212" s="27" t="n">
        <f aca="false">IF(AND(ISNUMBER(BU39),ISNUMBER(BP39)),IFERROR(BU39/BP39-1,""),"")</f>
        <v>0.206385272938041</v>
      </c>
      <c r="BV212" s="27" t="n">
        <f aca="false">IF(AND(ISNUMBER(BV39),ISNUMBER(BQ39)),IFERROR(BV39/BQ39-1,""),"")</f>
        <v>0.175735909570931</v>
      </c>
      <c r="BW212" s="27" t="n">
        <f aca="false">IF(AND(ISNUMBER(BW39),ISNUMBER(BR39)),IFERROR(BW39/BR39-1,""),"")</f>
        <v>0.207796299908473</v>
      </c>
      <c r="BX212" s="27" t="n">
        <f aca="false">IF(AND(ISNUMBER(BX39),ISNUMBER(BS39)),IFERROR(BX39/BS39-1,""),"")</f>
        <v>0.0671883088336667</v>
      </c>
      <c r="BY212" s="22" t="n">
        <f aca="false">IFERROR(BY39/BT39-1,"")</f>
        <v>0.0807599256373035</v>
      </c>
      <c r="BZ212" s="22" t="n">
        <f aca="false">IFERROR(BZ39/BU39-1,"")</f>
        <v>0.0807599256373035</v>
      </c>
      <c r="CA212" s="22" t="n">
        <f aca="false">IFERROR(CA39/BV39-1,"")</f>
        <v>0.105454284159302</v>
      </c>
      <c r="CB212" s="22" t="n">
        <f aca="false">IFERROR(CB39/CA39-1,"")</f>
        <v>0.0800000000000001</v>
      </c>
      <c r="CC212" s="22" t="n">
        <f aca="false">IFERROR(CC39/CB39-1,"")</f>
        <v>0.075</v>
      </c>
      <c r="CD212" s="22" t="n">
        <f aca="false">IFERROR(CD39/CC39-1,"")</f>
        <v>0.0700000000000001</v>
      </c>
      <c r="CE212" s="22" t="n">
        <f aca="false">IFERROR(CE39/CD39-1,"")</f>
        <v>0.0700000000000001</v>
      </c>
    </row>
    <row r="213" customFormat="false" ht="15" hidden="false" customHeight="false" outlineLevel="0" collapsed="false">
      <c r="B213" s="20" t="s">
        <v>406</v>
      </c>
      <c r="D213" s="27" t="n">
        <f aca="false">IF(AND(ISNUMBER(D159),ISNUMBER(C159)),IFERROR(D159/C159-1,""),"")</f>
        <v>0.274170151036779</v>
      </c>
      <c r="E213" s="27" t="n">
        <f aca="false">IF(AND(ISNUMBER(E159),ISNUMBER(D159)),IFERROR(E159/D159-1,""),"")</f>
        <v>0.11160594695955</v>
      </c>
      <c r="F213" s="27" t="n">
        <f aca="false">IF(AND(ISNUMBER(F159),ISNUMBER(E159)),IFERROR(F159/E159-1,""),"")</f>
        <v>-0.149928206364029</v>
      </c>
      <c r="G213" s="27" t="n">
        <f aca="false">IF(AND(ISNUMBER(G159),ISNUMBER(F159)),IFERROR(G159/F159-1,""),"")</f>
        <v>0.0620367472049797</v>
      </c>
      <c r="H213" s="27" t="n">
        <f aca="false">IF(AND(ISNUMBER(H159),ISNUMBER(G159)),IFERROR(H159/G159-1,""),"")</f>
        <v>0.139765213571124</v>
      </c>
      <c r="I213" s="27" t="n">
        <f aca="false">IF(AND(ISNUMBER(I159),ISNUMBER(H159)),IFERROR(I159/H159-1,""),"")</f>
        <v>-0.0171158687718352</v>
      </c>
      <c r="N213" s="27" t="n">
        <f aca="false">IF(AND(ISNUMBER(N159),ISNUMBER(I159)),IFERROR(N159/I159-1,""),"")</f>
        <v>0.159698780826814</v>
      </c>
      <c r="O213" s="27" t="n">
        <f aca="false">IF(AND(ISNUMBER(O159),ISNUMBER(J159)),IFERROR(O159/J159-1,""),"")</f>
        <v>0.554226055856521</v>
      </c>
      <c r="P213" s="27" t="n">
        <f aca="false">IF(AND(ISNUMBER(P159),ISNUMBER(K159)),IFERROR(P159/K159-1,""),"")</f>
        <v>0.326399944625181</v>
      </c>
      <c r="Q213" s="27" t="n">
        <f aca="false">IF(AND(ISNUMBER(Q159),ISNUMBER(L159)),IFERROR(Q159/L159-1,""),"")</f>
        <v>0.178940003498339</v>
      </c>
      <c r="R213" s="27" t="n">
        <f aca="false">IF(AND(ISNUMBER(R159),ISNUMBER(M159)),IFERROR(R159/M159-1,""),"")</f>
        <v>0.000173523051870239</v>
      </c>
      <c r="S213" s="27" t="n">
        <f aca="false">IF(AND(ISNUMBER(S159),ISNUMBER(N159)),IFERROR(S159/N159-1,""),"")</f>
        <v>0.208690217833311</v>
      </c>
      <c r="T213" s="27" t="n">
        <f aca="false">IF(AND(ISNUMBER(T159),ISNUMBER(O159)),IFERROR(T159/O159-1,""),"")</f>
        <v>0.232381854790949</v>
      </c>
      <c r="U213" s="27" t="n">
        <f aca="false">IF(AND(ISNUMBER(U159),ISNUMBER(P159)),IFERROR(U159/P159-1,""),"")</f>
        <v>-0.146223091976517</v>
      </c>
      <c r="V213" s="27" t="n">
        <f aca="false">IF(AND(ISNUMBER(V159),ISNUMBER(Q159)),IFERROR(V159/Q159-1,""),"")</f>
        <v>-0.139290531427032</v>
      </c>
      <c r="W213" s="27" t="n">
        <f aca="false">IF(AND(ISNUMBER(W159),ISNUMBER(R159)),IFERROR(W159/R159-1,""),"")</f>
        <v>0.44835915709119</v>
      </c>
      <c r="X213" s="27" t="n">
        <f aca="false">IF(AND(ISNUMBER(X159),ISNUMBER(S159)),IFERROR(X159/S159-1,""),"")</f>
        <v>0.0305517878834007</v>
      </c>
      <c r="Y213" s="27" t="n">
        <f aca="false">IF(AND(ISNUMBER(Y159),ISNUMBER(T159)),IFERROR(Y159/T159-1,""),"")</f>
        <v>-0.213798311251458</v>
      </c>
      <c r="Z213" s="27" t="n">
        <f aca="false">IF(AND(ISNUMBER(Z159),ISNUMBER(U159)),IFERROR(Z159/U159-1,""),"")</f>
        <v>0.0404480303169221</v>
      </c>
      <c r="AA213" s="27" t="n">
        <f aca="false">IF(AND(ISNUMBER(AA159),ISNUMBER(V159)),IFERROR(AA159/V159-1,""),"")</f>
        <v>0.199959255950983</v>
      </c>
      <c r="AB213" s="27" t="n">
        <f aca="false">IF(AND(ISNUMBER(AB159),ISNUMBER(W159)),IFERROR(AB159/W159-1,""),"")</f>
        <v>-0.021690454909838</v>
      </c>
      <c r="AC213" s="27" t="n">
        <f aca="false">IF(AND(ISNUMBER(AC159),ISNUMBER(X159)),IFERROR(AC159/X159-1,""),"")</f>
        <v>0.0587560137457048</v>
      </c>
      <c r="AD213" s="27" t="n">
        <f aca="false">IF(AND(ISNUMBER(AD159),ISNUMBER(Y159)),IFERROR(AD159/Y159-1,""),"")</f>
        <v>-0.105408378883397</v>
      </c>
      <c r="AE213" s="27" t="n">
        <f aca="false">IF(AND(ISNUMBER(AE159),ISNUMBER(Z159)),IFERROR(AE159/Z159-1,""),"")</f>
        <v>0.222972873738784</v>
      </c>
      <c r="AF213" s="27" t="n">
        <f aca="false">IF(AND(ISNUMBER(AF159),ISNUMBER(AA159)),IFERROR(AF159/AA159-1,""),"")</f>
        <v>0.26088830266543</v>
      </c>
      <c r="AG213" s="27" t="n">
        <f aca="false">IF(AND(ISNUMBER(AG159),ISNUMBER(AB159)),IFERROR(AG159/AB159-1,""),"")</f>
        <v>0.0237536850234992</v>
      </c>
      <c r="AH213" s="27" t="n">
        <f aca="false">IF(AND(ISNUMBER(AH159),ISNUMBER(AC159)),IFERROR(AH159/AC159-1,""),"")</f>
        <v>0.102710825776214</v>
      </c>
      <c r="AI213" s="27" t="n">
        <f aca="false">IF(AND(ISNUMBER(AI159),ISNUMBER(AD159)),IFERROR(AI159/AD159-1,""),"")</f>
        <v>0.259062603705077</v>
      </c>
      <c r="AJ213" s="27" t="n">
        <f aca="false">IF(AND(ISNUMBER(AJ159),ISNUMBER(AE159)),IFERROR(AJ159/AE159-1,""),"")</f>
        <v>0.310180014650959</v>
      </c>
      <c r="AK213" s="27" t="n">
        <f aca="false">IF(AND(ISNUMBER(AK159),ISNUMBER(AF159)),IFERROR(AK159/AF159-1,""),"")</f>
        <v>0.0181253236664949</v>
      </c>
      <c r="AL213" s="27" t="n">
        <f aca="false">IF(AND(ISNUMBER(AL159),ISNUMBER(AG159)),IFERROR(AL159/AG159-1,""),"")</f>
        <v>0.0156860941165642</v>
      </c>
      <c r="AM213" s="27" t="n">
        <f aca="false">IF(AND(ISNUMBER(AM159),ISNUMBER(AH159)),IFERROR(AM159/AH159-1,""),"")</f>
        <v>0.124379310243331</v>
      </c>
      <c r="AN213" s="27" t="n">
        <f aca="false">IF(AND(ISNUMBER(AN159),ISNUMBER(AI159)),IFERROR(AN159/AI159-1,""),"")</f>
        <v>0.124065862507364</v>
      </c>
      <c r="AO213" s="27" t="n">
        <f aca="false">IF(AND(ISNUMBER(AO159),ISNUMBER(AJ159)),IFERROR(AO159/AJ159-1,""),"")</f>
        <v>-0.0128322639780023</v>
      </c>
      <c r="AP213" s="27" t="n">
        <f aca="false">IF(AND(ISNUMBER(AP159),ISNUMBER(AK159)),IFERROR(AP159/AK159-1,""),"")</f>
        <v>0.0905391658189214</v>
      </c>
      <c r="AQ213" s="27" t="n">
        <f aca="false">IF(AND(ISNUMBER(AQ159),ISNUMBER(AL159)),IFERROR(AQ159/AL159-1,""),"")</f>
        <v>0.115942028985507</v>
      </c>
      <c r="AR213" s="27" t="n">
        <f aca="false">IF(AND(ISNUMBER(AR159),ISNUMBER(AM159)),IFERROR(AR159/AM159-1,""),"")</f>
        <v>0.0759162303664918</v>
      </c>
      <c r="AS213" s="27" t="n">
        <f aca="false">IF(AND(ISNUMBER(AS159),ISNUMBER(AN159)),IFERROR(AS159/AN159-1,""),"")</f>
        <v>0.103448275862069</v>
      </c>
      <c r="AT213" s="27" t="n">
        <f aca="false">IF(AND(ISNUMBER(AT159),ISNUMBER(AO159)),IFERROR(AT159/AO159-1,""),"")</f>
        <v>-0.271123491179201</v>
      </c>
      <c r="AU213" s="27" t="n">
        <f aca="false">IF(AND(ISNUMBER(AU159),ISNUMBER(AP159)),IFERROR(AU159/AP159-1,""),"")</f>
        <v>-0.068097014925373</v>
      </c>
      <c r="AV213" s="27" t="n">
        <f aca="false">IF(AND(ISNUMBER(AV159),ISNUMBER(AQ159)),IFERROR(AV159/AQ159-1,""),"")</f>
        <v>0.077922077922078</v>
      </c>
      <c r="AW213" s="27" t="n">
        <f aca="false">IF(AND(ISNUMBER(AW159),ISNUMBER(AR159)),IFERROR(AW159/AR159-1,""),"")</f>
        <v>-0.0486618004866184</v>
      </c>
      <c r="AX213" s="27" t="n">
        <f aca="false">IF(AND(ISNUMBER(AX159),ISNUMBER(AS159)),IFERROR(AX159/AS159-1,""),"")</f>
        <v>0.109999999999999</v>
      </c>
      <c r="AY213" s="27" t="n">
        <f aca="false">IF(AND(ISNUMBER(AY159),ISNUMBER(AT159)),IFERROR(AY159/AT159-1,""),"")</f>
        <v>0.210191082802548</v>
      </c>
      <c r="AZ213" s="27" t="n">
        <f aca="false">IF(AND(ISNUMBER(AZ159),ISNUMBER(AU159)),IFERROR(AZ159/AU159-1,""),"")</f>
        <v>0.0760760760760759</v>
      </c>
      <c r="BA213" s="27" t="n">
        <f aca="false">IF(AND(ISNUMBER(BA159),ISNUMBER(AV159)),IFERROR(BA159/AV159-1,""),"")</f>
        <v>-0.0280120481927708</v>
      </c>
      <c r="BB213" s="27" t="n">
        <f aca="false">IF(AND(ISNUMBER(BB159),ISNUMBER(AW159)),IFERROR(BB159/AW159-1,""),"")</f>
        <v>0.0752506393861898</v>
      </c>
      <c r="BC213" s="27" t="n">
        <f aca="false">IF(AND(ISNUMBER(BC159),ISNUMBER(AX159)),IFERROR(BC159/AX159-1,""),"")</f>
        <v>-0.202556306306306</v>
      </c>
      <c r="BD213" s="27" t="n">
        <f aca="false">IF(AND(ISNUMBER(BD159),ISNUMBER(AY159)),IFERROR(BD159/AY159-1,""),"")</f>
        <v>0.032684210526315</v>
      </c>
      <c r="BE213" s="27" t="n">
        <f aca="false">IF(AND(ISNUMBER(BE159),ISNUMBER(AZ159)),IFERROR(BE159/AZ159-1,""),"")</f>
        <v>0.0650046511627904</v>
      </c>
      <c r="BF213" s="27" t="n">
        <f aca="false">IF(AND(ISNUMBER(BF159),ISNUMBER(BA159)),IFERROR(BF159/BA159-1,""),"")</f>
        <v>0.237000309885342</v>
      </c>
      <c r="BG213" s="27" t="n">
        <f aca="false">IF(AND(ISNUMBER(BG159),ISNUMBER(BB159)),IFERROR(BG159/BB159-1,""),"")</f>
        <v>0.0538862074624846</v>
      </c>
      <c r="BH213" s="27" t="n">
        <f aca="false">IF(AND(ISNUMBER(BH159),ISNUMBER(BC159)),IFERROR(BH159/BC159-1,""),"")</f>
        <v>0.1479671811673</v>
      </c>
      <c r="BI213" s="27" t="n">
        <f aca="false">IF(AND(ISNUMBER(BI159),ISNUMBER(BD159)),IFERROR(BI159/BD159-1,""),"")</f>
        <v>0.176637276387544</v>
      </c>
      <c r="BJ213" s="27" t="n">
        <f aca="false">IF(AND(ISNUMBER(BJ159),ISNUMBER(BE159)),IFERROR(BJ159/BE159-1,""),"")</f>
        <v>0.169135629935015</v>
      </c>
      <c r="BK213" s="27" t="n">
        <f aca="false">IF(AND(ISNUMBER(BK159),ISNUMBER(BF159)),IFERROR(BK159/BF159-1,""),"")</f>
        <v>0.0222330778095103</v>
      </c>
      <c r="BL213" s="27" t="n">
        <f aca="false">IF(AND(ISNUMBER(BL159),ISNUMBER(BG159)),IFERROR(BL159/BG159-1,""),"")</f>
        <v>0.114476455354415</v>
      </c>
      <c r="BM213" s="27" t="n">
        <f aca="false">IF(AND(ISNUMBER(BM159),ISNUMBER(BH159)),IFERROR(BM159/BH159-1,""),"")</f>
        <v>0.229668721014627</v>
      </c>
      <c r="BN213" s="27" t="n">
        <f aca="false">IF(AND(ISNUMBER(BN159),ISNUMBER(BI159)),IFERROR(BN159/BI159-1,""),"")</f>
        <v>0.155162257220577</v>
      </c>
      <c r="BO213" s="27" t="n">
        <f aca="false">IF(AND(ISNUMBER(BO159),ISNUMBER(BJ159)),IFERROR(BO159/BJ159-1,""),"")</f>
        <v>0.113670322445687</v>
      </c>
      <c r="BP213" s="27" t="n">
        <f aca="false">IF(AND(ISNUMBER(BP159),ISNUMBER(BK159)),IFERROR(BP159/BK159-1,""),"")</f>
        <v>0.00166031539865874</v>
      </c>
      <c r="BQ213" s="27" t="n">
        <f aca="false">IF(AND(ISNUMBER(BQ159),ISNUMBER(BL159)),IFERROR(BQ159/BL159-1,""),"")</f>
        <v>0.105439449169704</v>
      </c>
      <c r="BR213" s="27" t="n">
        <f aca="false">IF(AND(ISNUMBER(BR159),ISNUMBER(BM159)),IFERROR(BR159/BM159-1,""),"")</f>
        <v>0.340622842908733</v>
      </c>
      <c r="BS213" s="27" t="n">
        <f aca="false">IF(AND(ISNUMBER(BS159),ISNUMBER(BN159)),IFERROR(BS159/BN159-1,""),"")</f>
        <v>0.200209981626608</v>
      </c>
      <c r="BT213" s="27" t="n">
        <f aca="false">IF(AND(ISNUMBER(BT159),ISNUMBER(BO159)),IFERROR(BT159/BO159-1,""),"")</f>
        <v>0.142929018495038</v>
      </c>
      <c r="BU213" s="27" t="n">
        <f aca="false">IF(AND(ISNUMBER(BU159),ISNUMBER(BP159)),IFERROR(BU159/BP159-1,""),"")</f>
        <v>0.14114977399644</v>
      </c>
      <c r="BV213" s="27" t="n">
        <f aca="false">IF(AND(ISNUMBER(BV159),ISNUMBER(BQ159)),IFERROR(BV159/BQ159-1,""),"")</f>
        <v>0.19258939007009</v>
      </c>
      <c r="BW213" s="27" t="n">
        <f aca="false">IF(AND(ISNUMBER(BW159),ISNUMBER(BR159)),IFERROR(BW159/BR159-1,""),"")</f>
        <v>0.197067383031118</v>
      </c>
      <c r="BX213" s="27" t="n">
        <f aca="false">IF(AND(ISNUMBER(BX159),ISNUMBER(BS159)),IFERROR(BX159/BS159-1,""),"")</f>
        <v>0.119756064033191</v>
      </c>
      <c r="BY213" s="22" t="n">
        <f aca="false">IFERROR(BY159/BT159-1,"")</f>
        <v>0.0906140677170748</v>
      </c>
      <c r="BZ213" s="22" t="n">
        <f aca="false">IFERROR(BZ159/BU159-1,"")</f>
        <v>0.0857147957380022</v>
      </c>
      <c r="CA213" s="22" t="n">
        <f aca="false">IFERROR(CA159/BV159-1,"")</f>
        <v>0.118289876711614</v>
      </c>
      <c r="CB213" s="22" t="n">
        <f aca="false">IFERROR(CB159/CA159-1,"")</f>
        <v>0.112351923076923</v>
      </c>
      <c r="CC213" s="22" t="n">
        <f aca="false">IFERROR(CC159/CB159-1,"")</f>
        <v>0.109998751902031</v>
      </c>
      <c r="CD213" s="22" t="n">
        <f aca="false">IFERROR(CD159/CC159-1,"")</f>
        <v>0.0975024522292902</v>
      </c>
      <c r="CE213" s="22" t="n">
        <f aca="false">IFERROR(CE159/CD159-1,"")</f>
        <v>0.0942461118932287</v>
      </c>
    </row>
    <row r="214" customFormat="false" ht="15" hidden="false" customHeight="false" outlineLevel="0" collapsed="false">
      <c r="B214" s="20" t="s">
        <v>407</v>
      </c>
      <c r="D214" s="27" t="n">
        <f aca="false">IF(AND(ISNUMBER(D174),ISNUMBER(C174)),IFERROR(D174/C174-1,""),"")</f>
        <v>0.263631092002362</v>
      </c>
      <c r="E214" s="27" t="n">
        <f aca="false">IF(AND(ISNUMBER(E174),ISNUMBER(D174)),IFERROR(E174/D174-1,""),"")</f>
        <v>0.130434962357834</v>
      </c>
      <c r="F214" s="27" t="n">
        <f aca="false">IF(AND(ISNUMBER(F174),ISNUMBER(E174)),IFERROR(F174/E174-1,""),"")</f>
        <v>-0.101063148924965</v>
      </c>
      <c r="G214" s="27" t="n">
        <f aca="false">IF(AND(ISNUMBER(G174),ISNUMBER(F174)),IFERROR(G174/F174-1,""),"")</f>
        <v>0.0568350562858271</v>
      </c>
      <c r="H214" s="27" t="n">
        <f aca="false">IF(AND(ISNUMBER(H174),ISNUMBER(G174)),IFERROR(H174/G174-1,""),"")</f>
        <v>0.128910686032591</v>
      </c>
      <c r="I214" s="27" t="n">
        <f aca="false">IF(AND(ISNUMBER(I174),ISNUMBER(H174)),IFERROR(I174/H174-1,""),"")</f>
        <v>0.00712005892462497</v>
      </c>
      <c r="N214" s="27" t="n">
        <f aca="false">IF(AND(ISNUMBER(N174),ISNUMBER(I174)),IFERROR(N174/I174-1,""),"")</f>
        <v>0.202380952380953</v>
      </c>
      <c r="O214" s="27" t="n">
        <f aca="false">IF(AND(ISNUMBER(O174),ISNUMBER(J174)),IFERROR(O174/J174-1,""),"")</f>
        <v>0.316064069213458</v>
      </c>
      <c r="P214" s="27" t="n">
        <f aca="false">IF(AND(ISNUMBER(P174),ISNUMBER(K174)),IFERROR(P174/K174-1,""),"")</f>
        <v>0.222127115645792</v>
      </c>
      <c r="Q214" s="27" t="n">
        <f aca="false">IF(AND(ISNUMBER(Q174),ISNUMBER(L174)),IFERROR(Q174/L174-1,""),"")</f>
        <v>0.123209913989211</v>
      </c>
      <c r="R214" s="27" t="n">
        <f aca="false">IF(AND(ISNUMBER(R174),ISNUMBER(M174)),IFERROR(R174/M174-1,""),"")</f>
        <v>-0.0358484380122708</v>
      </c>
      <c r="S214" s="27" t="n">
        <f aca="false">IF(AND(ISNUMBER(S174),ISNUMBER(N174)),IFERROR(S174/N174-1,""),"")</f>
        <v>0.130064542290407</v>
      </c>
      <c r="T214" s="27" t="n">
        <f aca="false">IF(AND(ISNUMBER(T174),ISNUMBER(O174)),IFERROR(T174/O174-1,""),"")</f>
        <v>0.0942778141760952</v>
      </c>
      <c r="U214" s="27" t="n">
        <f aca="false">IF(AND(ISNUMBER(U174),ISNUMBER(P174)),IFERROR(U174/P174-1,""),"")</f>
        <v>-0.147659781106421</v>
      </c>
      <c r="V214" s="27" t="n">
        <f aca="false">IF(AND(ISNUMBER(V174),ISNUMBER(Q174)),IFERROR(V174/Q174-1,""),"")</f>
        <v>-0.144520098757813</v>
      </c>
      <c r="W214" s="27" t="n">
        <f aca="false">IF(AND(ISNUMBER(W174),ISNUMBER(R174)),IFERROR(W174/R174-1,""),"")</f>
        <v>0.291281284004352</v>
      </c>
      <c r="X214" s="27" t="n">
        <f aca="false">IF(AND(ISNUMBER(X174),ISNUMBER(S174)),IFERROR(X174/S174-1,""),"")</f>
        <v>-0.023657875326437</v>
      </c>
      <c r="Y214" s="27" t="n">
        <f aca="false">IF(AND(ISNUMBER(Y174),ISNUMBER(T174)),IFERROR(Y174/T174-1,""),"")</f>
        <v>-0.170412916188871</v>
      </c>
      <c r="Z214" s="27" t="n">
        <f aca="false">IF(AND(ISNUMBER(Z174),ISNUMBER(U174)),IFERROR(Z174/U174-1,""),"")</f>
        <v>0.0144293978438077</v>
      </c>
      <c r="AA214" s="27" t="n">
        <f aca="false">IF(AND(ISNUMBER(AA174),ISNUMBER(V174)),IFERROR(AA174/V174-1,""),"")</f>
        <v>0.127413954432207</v>
      </c>
      <c r="AB214" s="27" t="n">
        <f aca="false">IF(AND(ISNUMBER(AB174),ISNUMBER(W174)),IFERROR(AB174/W174-1,""),"")</f>
        <v>-0.0236778547728144</v>
      </c>
      <c r="AC214" s="27" t="n">
        <f aca="false">IF(AND(ISNUMBER(AC174),ISNUMBER(X174)),IFERROR(AC174/X174-1,""),"")</f>
        <v>0.0313825578724387</v>
      </c>
      <c r="AD214" s="27" t="n">
        <f aca="false">IF(AND(ISNUMBER(AD174),ISNUMBER(Y174)),IFERROR(AD174/Y174-1,""),"")</f>
        <v>-0.0684648318042812</v>
      </c>
      <c r="AE214" s="27" t="n">
        <f aca="false">IF(AND(ISNUMBER(AE174),ISNUMBER(Z174)),IFERROR(AE174/Z174-1,""),"")</f>
        <v>0.169750186307229</v>
      </c>
      <c r="AF214" s="27" t="n">
        <f aca="false">IF(AND(ISNUMBER(AF174),ISNUMBER(AA174)),IFERROR(AF174/AA174-1,""),"")</f>
        <v>0.213979301034948</v>
      </c>
      <c r="AG214" s="27" t="n">
        <f aca="false">IF(AND(ISNUMBER(AG174),ISNUMBER(AB174)),IFERROR(AG174/AB174-1,""),"")</f>
        <v>0.0316964904979884</v>
      </c>
      <c r="AH214" s="27" t="n">
        <f aca="false">IF(AND(ISNUMBER(AH174),ISNUMBER(AC174)),IFERROR(AH174/AC174-1,""),"")</f>
        <v>0.0881748848074513</v>
      </c>
      <c r="AI214" s="27" t="n">
        <f aca="false">IF(AND(ISNUMBER(AI174),ISNUMBER(AD174)),IFERROR(AI174/AD174-1,""),"")</f>
        <v>0.169999868685409</v>
      </c>
      <c r="AJ214" s="27" t="n">
        <f aca="false">IF(AND(ISNUMBER(AJ174),ISNUMBER(AE174)),IFERROR(AJ174/AE174-1,""),"")</f>
        <v>0.253448562406515</v>
      </c>
      <c r="AK214" s="27" t="n">
        <f aca="false">IF(AND(ISNUMBER(AK174),ISNUMBER(AF174)),IFERROR(AK174/AF174-1,""),"")</f>
        <v>0.0229399360811842</v>
      </c>
      <c r="AL214" s="27" t="n">
        <f aca="false">IF(AND(ISNUMBER(AL174),ISNUMBER(AG174)),IFERROR(AL174/AG174-1,""),"")</f>
        <v>0.0173893557422968</v>
      </c>
      <c r="AM214" s="27" t="n">
        <f aca="false">IF(AND(ISNUMBER(AM174),ISNUMBER(AH174)),IFERROR(AM174/AH174-1,""),"")</f>
        <v>0.102813493489305</v>
      </c>
      <c r="AN214" s="27" t="n">
        <f aca="false">IF(AND(ISNUMBER(AN174),ISNUMBER(AI174)),IFERROR(AN174/AI174-1,""),"")</f>
        <v>0.103188587975173</v>
      </c>
      <c r="AO214" s="27" t="n">
        <f aca="false">IF(AND(ISNUMBER(AO174),ISNUMBER(AJ174)),IFERROR(AO174/AJ174-1,""),"")</f>
        <v>-0.0165664869324382</v>
      </c>
      <c r="AP214" s="27" t="n">
        <f aca="false">IF(AND(ISNUMBER(AP174),ISNUMBER(AK174)),IFERROR(AP174/AK174-1,""),"")</f>
        <v>0.0677113109856748</v>
      </c>
      <c r="AQ214" s="27" t="n">
        <f aca="false">IF(AND(ISNUMBER(AQ174),ISNUMBER(AL174)),IFERROR(AQ174/AL174-1,""),"")</f>
        <v>0.0911213409396268</v>
      </c>
      <c r="AR214" s="27" t="n">
        <f aca="false">IF(AND(ISNUMBER(AR174),ISNUMBER(AM174)),IFERROR(AR174/AM174-1,""),"")</f>
        <v>0.0586927697551698</v>
      </c>
      <c r="AS214" s="27" t="n">
        <f aca="false">IF(AND(ISNUMBER(AS174),ISNUMBER(AN174)),IFERROR(AS174/AN174-1,""),"")</f>
        <v>0.100200421189709</v>
      </c>
      <c r="AT214" s="27" t="n">
        <f aca="false">IF(AND(ISNUMBER(AT174),ISNUMBER(AO174)),IFERROR(AT174/AO174-1,""),"")</f>
        <v>-0.199098174627547</v>
      </c>
      <c r="AU214" s="27" t="n">
        <f aca="false">IF(AND(ISNUMBER(AU174),ISNUMBER(AP174)),IFERROR(AU174/AP174-1,""),"")</f>
        <v>-0.0339145386808246</v>
      </c>
      <c r="AV214" s="27" t="n">
        <f aca="false">IF(AND(ISNUMBER(AV174),ISNUMBER(AQ174)),IFERROR(AV174/AQ174-1,""),"")</f>
        <v>0.103085846555506</v>
      </c>
      <c r="AW214" s="27" t="n">
        <f aca="false">IF(AND(ISNUMBER(AW174),ISNUMBER(AR174)),IFERROR(AW174/AR174-1,""),"")</f>
        <v>-0.012677927278677</v>
      </c>
      <c r="AX214" s="27" t="n">
        <f aca="false">IF(AND(ISNUMBER(AX174),ISNUMBER(AS174)),IFERROR(AX174/AS174-1,""),"")</f>
        <v>0.0855634258659903</v>
      </c>
      <c r="AY214" s="27" t="n">
        <f aca="false">IF(AND(ISNUMBER(AY174),ISNUMBER(AT174)),IFERROR(AY174/AT174-1,""),"")</f>
        <v>0.159876924227971</v>
      </c>
      <c r="AZ214" s="27" t="n">
        <f aca="false">IF(AND(ISNUMBER(AZ174),ISNUMBER(AU174)),IFERROR(AZ174/AU174-1,""),"")</f>
        <v>0.0626302683039164</v>
      </c>
      <c r="BA214" s="27" t="n">
        <f aca="false">IF(AND(ISNUMBER(BA174),ISNUMBER(AV174)),IFERROR(BA174/AV174-1,""),"")</f>
        <v>-0.0409311064208767</v>
      </c>
      <c r="BB214" s="27" t="n">
        <f aca="false">IF(AND(ISNUMBER(BB174),ISNUMBER(AW174)),IFERROR(BB174/AW174-1,""),"")</f>
        <v>0.0550480072124255</v>
      </c>
      <c r="BC214" s="27" t="n">
        <f aca="false">IF(AND(ISNUMBER(BC174),ISNUMBER(AX174)),IFERROR(BC174/AX174-1,""),"")</f>
        <v>-0.16371225350313</v>
      </c>
      <c r="BD214" s="27" t="n">
        <f aca="false">IF(AND(ISNUMBER(BD174),ISNUMBER(AY174)),IFERROR(BD174/AY174-1,""),"")</f>
        <v>0.00295111311793894</v>
      </c>
      <c r="BE214" s="27" t="n">
        <f aca="false">IF(AND(ISNUMBER(BE174),ISNUMBER(AZ174)),IFERROR(BE174/AZ174-1,""),"")</f>
        <v>0.0605256971584729</v>
      </c>
      <c r="BF214" s="27" t="n">
        <f aca="false">IF(AND(ISNUMBER(BF174),ISNUMBER(BA174)),IFERROR(BF174/BA174-1,""),"")</f>
        <v>0.196884699536967</v>
      </c>
      <c r="BG214" s="27" t="n">
        <f aca="false">IF(AND(ISNUMBER(BG174),ISNUMBER(BB174)),IFERROR(BG174/BB174-1,""),"")</f>
        <v>0.0379538805587814</v>
      </c>
      <c r="BH214" s="27" t="n">
        <f aca="false">IF(AND(ISNUMBER(BH174),ISNUMBER(BC174)),IFERROR(BH174/BC174-1,""),"")</f>
        <v>0.122657268578879</v>
      </c>
      <c r="BI214" s="27" t="n">
        <f aca="false">IF(AND(ISNUMBER(BI174),ISNUMBER(BD174)),IFERROR(BI174/BD174-1,""),"")</f>
        <v>0.16155225224501</v>
      </c>
      <c r="BJ214" s="27" t="n">
        <f aca="false">IF(AND(ISNUMBER(BJ174),ISNUMBER(BE174)),IFERROR(BJ174/BE174-1,""),"")</f>
        <v>0.12711013209756</v>
      </c>
      <c r="BK214" s="27" t="n">
        <f aca="false">IF(AND(ISNUMBER(BK174),ISNUMBER(BF174)),IFERROR(BK174/BF174-1,""),"")</f>
        <v>0.0232703968030443</v>
      </c>
      <c r="BL214" s="27" t="n">
        <f aca="false">IF(AND(ISNUMBER(BL174),ISNUMBER(BG174)),IFERROR(BL174/BG174-1,""),"")</f>
        <v>0.0988407578767248</v>
      </c>
      <c r="BM214" s="27" t="n">
        <f aca="false">IF(AND(ISNUMBER(BM174),ISNUMBER(BH174)),IFERROR(BM174/BH174-1,""),"")</f>
        <v>0.151753797020451</v>
      </c>
      <c r="BN214" s="27" t="n">
        <f aca="false">IF(AND(ISNUMBER(BN174),ISNUMBER(BI174)),IFERROR(BN174/BI174-1,""),"")</f>
        <v>0.110954997854405</v>
      </c>
      <c r="BO214" s="27" t="n">
        <f aca="false">IF(AND(ISNUMBER(BO174),ISNUMBER(BJ174)),IFERROR(BO174/BJ174-1,""),"")</f>
        <v>0.0801841278816078</v>
      </c>
      <c r="BP214" s="27" t="n">
        <f aca="false">IF(AND(ISNUMBER(BP174),ISNUMBER(BK174)),IFERROR(BP174/BK174-1,""),"")</f>
        <v>-0.0116432451521107</v>
      </c>
      <c r="BQ214" s="27" t="n">
        <f aca="false">IF(AND(ISNUMBER(BQ174),ISNUMBER(BL174)),IFERROR(BQ174/BL174-1,""),"")</f>
        <v>0.071414753464093</v>
      </c>
      <c r="BR214" s="27" t="n">
        <f aca="false">IF(AND(ISNUMBER(BR174),ISNUMBER(BM174)),IFERROR(BR174/BM174-1,""),"")</f>
        <v>0.298454436601965</v>
      </c>
      <c r="BS214" s="27" t="n">
        <f aca="false">IF(AND(ISNUMBER(BS174),ISNUMBER(BN174)),IFERROR(BS174/BN174-1,""),"")</f>
        <v>0.192109050357292</v>
      </c>
      <c r="BT214" s="27" t="n">
        <f aca="false">IF(AND(ISNUMBER(BT174),ISNUMBER(BO174)),IFERROR(BT174/BO174-1,""),"")</f>
        <v>0.146813837050523</v>
      </c>
      <c r="BU214" s="27" t="n">
        <f aca="false">IF(AND(ISNUMBER(BU174),ISNUMBER(BP174)),IFERROR(BU174/BP174-1,""),"")</f>
        <v>0.145820635154165</v>
      </c>
      <c r="BV214" s="27" t="n">
        <f aca="false">IF(AND(ISNUMBER(BV174),ISNUMBER(BQ174)),IFERROR(BV174/BQ174-1,""),"")</f>
        <v>0.187103023106713</v>
      </c>
      <c r="BW214" s="27" t="n">
        <f aca="false">IF(AND(ISNUMBER(BW174),ISNUMBER(BR174)),IFERROR(BW174/BR174-1,""),"")</f>
        <v>0.145318538381737</v>
      </c>
      <c r="BX214" s="27" t="n">
        <f aca="false">IF(AND(ISNUMBER(BX174),ISNUMBER(BS174)),IFERROR(BX174/BS174-1,""),"")</f>
        <v>0.0848136128226433</v>
      </c>
      <c r="BY214" s="22" t="n">
        <f aca="false">IFERROR(BY174/BT174-1,"")</f>
        <v>0.066627084699896</v>
      </c>
      <c r="BZ214" s="22" t="n">
        <f aca="false">IFERROR(BZ174/BU174-1,"")</f>
        <v>0.0642390957443937</v>
      </c>
      <c r="CA214" s="22" t="n">
        <f aca="false">IFERROR(CA174/BV174-1,"")</f>
        <v>0.0871618381683668</v>
      </c>
      <c r="CB214" s="22" t="n">
        <f aca="false">IFERROR(CB174/CA174-1,"")</f>
        <v>0.111625921916492</v>
      </c>
      <c r="CC214" s="22" t="n">
        <f aca="false">IFERROR(CC174/CB174-1,"")</f>
        <v>0.105886529803825</v>
      </c>
      <c r="CD214" s="22" t="n">
        <f aca="false">IFERROR(CD174/CC174-1,"")</f>
        <v>0.100291793261063</v>
      </c>
      <c r="CE214" s="22" t="n">
        <f aca="false">IFERROR(CE174/CD174-1,"")</f>
        <v>0.0953666294379771</v>
      </c>
    </row>
    <row r="215" customFormat="false" ht="15" hidden="false" customHeight="false" outlineLevel="0" collapsed="false">
      <c r="B215" s="20" t="s">
        <v>408</v>
      </c>
      <c r="D215" s="27" t="n">
        <f aca="false">IF(AND(ISNUMBER(D123),ISNUMBER(C123)),IFERROR(D123/C123-1,""),"")</f>
        <v>0.274170151036779</v>
      </c>
      <c r="E215" s="27" t="n">
        <f aca="false">IF(AND(ISNUMBER(E123),ISNUMBER(D123)),IFERROR(E123/D123-1,""),"")</f>
        <v>0.11160594695955</v>
      </c>
      <c r="F215" s="27" t="n">
        <f aca="false">IF(AND(ISNUMBER(F123),ISNUMBER(E123)),IFERROR(F123/E123-1,""),"")</f>
        <v>-0.149928206364029</v>
      </c>
      <c r="G215" s="27" t="n">
        <f aca="false">IF(AND(ISNUMBER(G123),ISNUMBER(F123)),IFERROR(G123/F123-1,""),"")</f>
        <v>0.0620367472049797</v>
      </c>
      <c r="H215" s="27" t="n">
        <f aca="false">IF(AND(ISNUMBER(H123),ISNUMBER(G123)),IFERROR(H123/G123-1,""),"")</f>
        <v>0.139765213571124</v>
      </c>
      <c r="I215" s="27" t="n">
        <f aca="false">IF(AND(ISNUMBER(I123),ISNUMBER(H123)),IFERROR(I123/H123-1,""),"")</f>
        <v>-0.212289467007554</v>
      </c>
      <c r="N215" s="27" t="n">
        <f aca="false">IF(AND(ISNUMBER(N123),ISNUMBER(I123)),IFERROR(N123/I123-1,""),"")</f>
        <v>0.44704111591492</v>
      </c>
      <c r="O215" s="27" t="n">
        <f aca="false">IF(AND(ISNUMBER(O123),ISNUMBER(J123)),IFERROR(O123/J123-1,""),"")</f>
        <v>0.554226055856521</v>
      </c>
      <c r="P215" s="27" t="n">
        <f aca="false">IF(AND(ISNUMBER(P123),ISNUMBER(K123)),IFERROR(P123/K123-1,""),"")</f>
        <v>0.326399944625181</v>
      </c>
      <c r="Q215" s="27" t="n">
        <f aca="false">IF(AND(ISNUMBER(Q123),ISNUMBER(L123)),IFERROR(Q123/L123-1,""),"")</f>
        <v>0.178940003498339</v>
      </c>
      <c r="R215" s="27" t="n">
        <f aca="false">IF(AND(ISNUMBER(R123),ISNUMBER(M123)),IFERROR(R123/M123-1,""),"")</f>
        <v>0.000173523051870239</v>
      </c>
      <c r="S215" s="27" t="n">
        <f aca="false">IF(AND(ISNUMBER(S123),ISNUMBER(N123)),IFERROR(S123/N123-1,""),"")</f>
        <v>0.208690217833311</v>
      </c>
      <c r="T215" s="27" t="n">
        <f aca="false">IF(AND(ISNUMBER(T123),ISNUMBER(O123)),IFERROR(T123/O123-1,""),"")</f>
        <v>0.232381854790949</v>
      </c>
      <c r="U215" s="27" t="n">
        <f aca="false">IF(AND(ISNUMBER(U123),ISNUMBER(P123)),IFERROR(U123/P123-1,""),"")</f>
        <v>-0.146223091976517</v>
      </c>
      <c r="V215" s="27" t="n">
        <f aca="false">IF(AND(ISNUMBER(V123),ISNUMBER(Q123)),IFERROR(V123/Q123-1,""),"")</f>
        <v>-0.139290531427032</v>
      </c>
      <c r="W215" s="27" t="n">
        <f aca="false">IF(AND(ISNUMBER(W123),ISNUMBER(R123)),IFERROR(W123/R123-1,""),"")</f>
        <v>0.44835915709119</v>
      </c>
      <c r="X215" s="27" t="n">
        <f aca="false">IF(AND(ISNUMBER(X123),ISNUMBER(S123)),IFERROR(X123/S123-1,""),"")</f>
        <v>0.100023727481025</v>
      </c>
      <c r="Y215" s="27" t="n">
        <f aca="false">IF(AND(ISNUMBER(Y123),ISNUMBER(T123)),IFERROR(Y123/T123-1,""),"")</f>
        <v>-0.213798311251458</v>
      </c>
      <c r="Z215" s="27" t="n">
        <f aca="false">IF(AND(ISNUMBER(Z123),ISNUMBER(U123)),IFERROR(Z123/U123-1,""),"")</f>
        <v>0.0404480303169221</v>
      </c>
      <c r="AA215" s="27" t="n">
        <f aca="false">IF(AND(ISNUMBER(AA123),ISNUMBER(V123)),IFERROR(AA123/V123-1,""),"")</f>
        <v>0.199959255950983</v>
      </c>
      <c r="AB215" s="27" t="n">
        <f aca="false">IF(AND(ISNUMBER(AB123),ISNUMBER(W123)),IFERROR(AB123/W123-1,""),"")</f>
        <v>-0.021690454909838</v>
      </c>
      <c r="AC215" s="27" t="n">
        <f aca="false">IF(AND(ISNUMBER(AC123),ISNUMBER(X123)),IFERROR(AC123/X123-1,""),"")</f>
        <v>-0.00810966560104531</v>
      </c>
      <c r="AD215" s="27" t="n">
        <f aca="false">IF(AND(ISNUMBER(AD123),ISNUMBER(Y123)),IFERROR(AD123/Y123-1,""),"")</f>
        <v>-0.105408378883397</v>
      </c>
      <c r="AE215" s="27" t="n">
        <f aca="false">IF(AND(ISNUMBER(AE123),ISNUMBER(Z123)),IFERROR(AE123/Z123-1,""),"")</f>
        <v>0.222972873738784</v>
      </c>
      <c r="AF215" s="27" t="n">
        <f aca="false">IF(AND(ISNUMBER(AF123),ISNUMBER(AA123)),IFERROR(AF123/AA123-1,""),"")</f>
        <v>0.26088830266543</v>
      </c>
      <c r="AG215" s="27" t="n">
        <f aca="false">IF(AND(ISNUMBER(AG123),ISNUMBER(AB123)),IFERROR(AG123/AB123-1,""),"")</f>
        <v>0.0237536850234992</v>
      </c>
      <c r="AH215" s="27" t="n">
        <f aca="false">IF(AND(ISNUMBER(AH123),ISNUMBER(AC123)),IFERROR(AH123/AC123-1,""),"")</f>
        <v>0.102710825776214</v>
      </c>
      <c r="AI215" s="27" t="n">
        <f aca="false">IF(AND(ISNUMBER(AI123),ISNUMBER(AD123)),IFERROR(AI123/AD123-1,""),"")</f>
        <v>0.259062603705077</v>
      </c>
      <c r="AJ215" s="27" t="n">
        <f aca="false">IF(AND(ISNUMBER(AJ123),ISNUMBER(AE123)),IFERROR(AJ123/AE123-1,""),"")</f>
        <v>0.225828920032184</v>
      </c>
      <c r="AK215" s="27" t="n">
        <f aca="false">IF(AND(ISNUMBER(AK123),ISNUMBER(AF123)),IFERROR(AK123/AF123-1,""),"")</f>
        <v>0.00514759192128511</v>
      </c>
      <c r="AL215" s="27" t="n">
        <f aca="false">IF(AND(ISNUMBER(AL123),ISNUMBER(AG123)),IFERROR(AL123/AG123-1,""),"")</f>
        <v>0.0120520723124335</v>
      </c>
      <c r="AM215" s="27" t="n">
        <f aca="false">IF(AND(ISNUMBER(AM123),ISNUMBER(AH123)),IFERROR(AM123/AH123-1,""),"")</f>
        <v>0.0997312674580497</v>
      </c>
      <c r="AN215" s="27" t="n">
        <f aca="false">IF(AND(ISNUMBER(AN123),ISNUMBER(AI123)),IFERROR(AN123/AI123-1,""),"")</f>
        <v>0.117011380197835</v>
      </c>
      <c r="AO215" s="27" t="n">
        <f aca="false">IF(AND(ISNUMBER(AO123),ISNUMBER(AJ123)),IFERROR(AO123/AJ123-1,""),"")</f>
        <v>0.0353560092480107</v>
      </c>
      <c r="AP215" s="27" t="n">
        <f aca="false">IF(AND(ISNUMBER(AP123),ISNUMBER(AK123)),IFERROR(AP123/AK123-1,""),"")</f>
        <v>0.0878131214772222</v>
      </c>
      <c r="AQ215" s="27" t="n">
        <f aca="false">IF(AND(ISNUMBER(AQ123),ISNUMBER(AL123)),IFERROR(AQ123/AL123-1,""),"")</f>
        <v>0.0968046906958775</v>
      </c>
      <c r="AR215" s="27" t="n">
        <f aca="false">IF(AND(ISNUMBER(AR123),ISNUMBER(AM123)),IFERROR(AR123/AM123-1,""),"")</f>
        <v>0.0811694046988161</v>
      </c>
      <c r="AS215" s="27" t="n">
        <f aca="false">IF(AND(ISNUMBER(AS123),ISNUMBER(AN123)),IFERROR(AS123/AN123-1,""),"")</f>
        <v>0.00556596571587242</v>
      </c>
      <c r="AT215" s="27" t="n">
        <f aca="false">IF(AND(ISNUMBER(AT123),ISNUMBER(AO123)),IFERROR(AT123/AO123-1,""),"")</f>
        <v>-0.476283294696504</v>
      </c>
      <c r="AU215" s="27" t="n">
        <f aca="false">IF(AND(ISNUMBER(AU123),ISNUMBER(AP123)),IFERROR(AU123/AP123-1,""),"")</f>
        <v>-0.198884142125055</v>
      </c>
      <c r="AV215" s="27" t="n">
        <f aca="false">IF(AND(ISNUMBER(AV123),ISNUMBER(AQ123)),IFERROR(AV123/AQ123-1,""),"")</f>
        <v>-0.366121305551411</v>
      </c>
      <c r="AW215" s="27" t="n">
        <f aca="false">IF(AND(ISNUMBER(AW123),ISNUMBER(AR123)),IFERROR(AW123/AR123-1,""),"")</f>
        <v>-0.284946516055086</v>
      </c>
      <c r="AX215" s="27" t="n">
        <f aca="false">IF(AND(ISNUMBER(AX123),ISNUMBER(AS123)),IFERROR(AX123/AS123-1,""),"")</f>
        <v>0.174198713524555</v>
      </c>
      <c r="AY215" s="27" t="n">
        <f aca="false">IF(AND(ISNUMBER(AY123),ISNUMBER(AT123)),IFERROR(AY123/AT123-1,""),"")</f>
        <v>0.70884749498636</v>
      </c>
      <c r="AZ215" s="27" t="n">
        <f aca="false">IF(AND(ISNUMBER(AZ123),ISNUMBER(AU123)),IFERROR(AZ123/AU123-1,""),"")</f>
        <v>0.154848474099299</v>
      </c>
      <c r="BA215" s="27" t="n">
        <f aca="false">IF(AND(ISNUMBER(BA123),ISNUMBER(AV123)),IFERROR(BA123/AV123-1,""),"")</f>
        <v>0.377680439330544</v>
      </c>
      <c r="BB215" s="27" t="n">
        <f aca="false">IF(AND(ISNUMBER(BB123),ISNUMBER(AW123)),IFERROR(BB123/AW123-1,""),"")</f>
        <v>0.324859441644049</v>
      </c>
      <c r="BC215" s="27" t="n">
        <f aca="false">IF(AND(ISNUMBER(BC123),ISNUMBER(AX123)),IFERROR(BC123/AX123-1,""),"")</f>
        <v>-0.288669973902617</v>
      </c>
      <c r="BD215" s="27" t="n">
        <f aca="false">IF(AND(ISNUMBER(BD123),ISNUMBER(AY123)),IFERROR(BD123/AY123-1,""),"")</f>
        <v>0.0372371356374817</v>
      </c>
      <c r="BE215" s="27" t="n">
        <f aca="false">IF(AND(ISNUMBER(BE123),ISNUMBER(AZ123)),IFERROR(BE123/AZ123-1,""),"")</f>
        <v>0.101506107362622</v>
      </c>
      <c r="BF215" s="27" t="n">
        <f aca="false">IF(AND(ISNUMBER(BF123),ISNUMBER(BA123)),IFERROR(BF123/BA123-1,""),"")</f>
        <v>0.492383618848764</v>
      </c>
      <c r="BG215" s="27" t="n">
        <f aca="false">IF(AND(ISNUMBER(BG123),ISNUMBER(BB123)),IFERROR(BG123/BB123-1,""),"")</f>
        <v>0.106511133235603</v>
      </c>
      <c r="BH215" s="27" t="n">
        <f aca="false">IF(AND(ISNUMBER(BH123),ISNUMBER(BC123)),IFERROR(BH123/BC123-1,""),"")</f>
        <v>0.29920674268716</v>
      </c>
      <c r="BI215" s="27" t="n">
        <f aca="false">IF(AND(ISNUMBER(BI123),ISNUMBER(BD123)),IFERROR(BI123/BD123-1,""),"")</f>
        <v>0.149533662912186</v>
      </c>
      <c r="BJ215" s="27" t="n">
        <f aca="false">IF(AND(ISNUMBER(BJ123),ISNUMBER(BE123)),IFERROR(BJ123/BE123-1,""),"")</f>
        <v>0.23178383201807</v>
      </c>
      <c r="BK215" s="27" t="n">
        <f aca="false">IF(AND(ISNUMBER(BK123),ISNUMBER(BF123)),IFERROR(BK123/BF123-1,""),"")</f>
        <v>0.021933924767084</v>
      </c>
      <c r="BL215" s="27" t="n">
        <f aca="false">IF(AND(ISNUMBER(BL123),ISNUMBER(BG123)),IFERROR(BL123/BG123-1,""),"")</f>
        <v>0.144432662719658</v>
      </c>
      <c r="BM215" s="27" t="n">
        <f aca="false">IF(AND(ISNUMBER(BM123),ISNUMBER(BH123)),IFERROR(BM123/BH123-1,""),"")</f>
        <v>0.271525790243593</v>
      </c>
      <c r="BN215" s="27" t="n">
        <f aca="false">IF(AND(ISNUMBER(BN123),ISNUMBER(BI123)),IFERROR(BN123/BI123-1,""),"")</f>
        <v>0.142957215694969</v>
      </c>
      <c r="BO215" s="27" t="n">
        <f aca="false">IF(AND(ISNUMBER(BO123),ISNUMBER(BJ123)),IFERROR(BO123/BJ123-1,""),"")</f>
        <v>0.0934507504584252</v>
      </c>
      <c r="BP215" s="27" t="n">
        <f aca="false">IF(AND(ISNUMBER(BP123),ISNUMBER(BK123)),IFERROR(BP123/BK123-1,""),"")</f>
        <v>-0.0364543791305223</v>
      </c>
      <c r="BQ215" s="27" t="n">
        <f aca="false">IF(AND(ISNUMBER(BQ123),ISNUMBER(BL123)),IFERROR(BQ123/BL123-1,""),"")</f>
        <v>0.0907858407517916</v>
      </c>
      <c r="BR215" s="27" t="n">
        <f aca="false">IF(AND(ISNUMBER(BR123),ISNUMBER(BM123)),IFERROR(BR123/BM123-1,""),"")</f>
        <v>0.292554096097477</v>
      </c>
      <c r="BS215" s="27" t="n">
        <f aca="false">IF(AND(ISNUMBER(BS123),ISNUMBER(BN123)),IFERROR(BS123/BN123-1,""),"")</f>
        <v>0.212650410793114</v>
      </c>
      <c r="BT215" s="27" t="n">
        <f aca="false">IF(AND(ISNUMBER(BT123),ISNUMBER(BO123)),IFERROR(BT123/BO123-1,""),"")</f>
        <v>0.147326142315893</v>
      </c>
      <c r="BU215" s="27" t="n">
        <f aca="false">IF(AND(ISNUMBER(BU123),ISNUMBER(BP123)),IFERROR(BU123/BP123-1,""),"")</f>
        <v>0.173874292800124</v>
      </c>
      <c r="BV215" s="27" t="n">
        <f aca="false">IF(AND(ISNUMBER(BV123),ISNUMBER(BQ123)),IFERROR(BV123/BQ123-1,""),"")</f>
        <v>0.198495261985974</v>
      </c>
      <c r="BW215" s="27" t="n">
        <f aca="false">IF(AND(ISNUMBER(BW123),ISNUMBER(BR123)),IFERROR(BW123/BR123-1,""),"")</f>
        <v>0.234542006888279</v>
      </c>
      <c r="BX215" s="27" t="n">
        <f aca="false">IF(AND(ISNUMBER(BX123),ISNUMBER(BS123)),IFERROR(BX123/BS123-1,""),"")</f>
        <v>0.143205358685152</v>
      </c>
      <c r="BY215" s="22" t="n">
        <f aca="false">IFERROR(BY123/BT123-1,"")</f>
        <v>0.100514827334339</v>
      </c>
      <c r="BZ215" s="22" t="n">
        <f aca="false">IFERROR(BZ123/BU123-1,"")</f>
        <v>0.0987813985675408</v>
      </c>
      <c r="CA215" s="22" t="n">
        <f aca="false">IFERROR(CA123/BV123-1,"")</f>
        <v>0.137884931991206</v>
      </c>
      <c r="CB215" s="22" t="n">
        <f aca="false">IFERROR(CB123/CA123-1,"")</f>
        <v>0.123347769513119</v>
      </c>
      <c r="CC215" s="22" t="n">
        <f aca="false">IFERROR(CC123/CB123-1,"")</f>
        <v>0.109998751902031</v>
      </c>
      <c r="CD215" s="22" t="n">
        <f aca="false">IFERROR(CD123/CC123-1,"")</f>
        <v>0.0975024522292902</v>
      </c>
      <c r="CE215" s="22" t="n">
        <f aca="false">IFERROR(CE123/CD123-1,"")</f>
        <v>0.0942461118932287</v>
      </c>
    </row>
    <row r="216" customFormat="false" ht="15" hidden="false" customHeight="false" outlineLevel="0" collapsed="false">
      <c r="B216" s="20" t="s">
        <v>409</v>
      </c>
      <c r="D216" s="27" t="n">
        <f aca="false">IF(AND(ISNUMBER(D138),ISNUMBER(C138)),IFERROR(D138/C138-1,""),"")</f>
        <v>0.294890094204969</v>
      </c>
      <c r="E216" s="27" t="n">
        <f aca="false">IF(AND(ISNUMBER(E138),ISNUMBER(D138)),IFERROR(E138/D138-1,""),"")</f>
        <v>0.0648148148148153</v>
      </c>
      <c r="F216" s="27" t="n">
        <f aca="false">IF(AND(ISNUMBER(F138),ISNUMBER(E138)),IFERROR(F138/E138-1,""),"")</f>
        <v>-0.142848141146819</v>
      </c>
      <c r="G216" s="27" t="n">
        <f aca="false">IF(AND(ISNUMBER(G138),ISNUMBER(F138)),IFERROR(G138/F138-1,""),"")</f>
        <v>0.119479946650424</v>
      </c>
      <c r="H216" s="27" t="n">
        <f aca="false">IF(AND(ISNUMBER(H138),ISNUMBER(G138)),IFERROR(H138/G138-1,""),"")</f>
        <v>0.223503255220551</v>
      </c>
      <c r="I216" s="27" t="n">
        <f aca="false">IF(AND(ISNUMBER(I138),ISNUMBER(H138)),IFERROR(I138/H138-1,""),"")</f>
        <v>-0.127117149582514</v>
      </c>
      <c r="N216" s="27" t="n">
        <f aca="false">IF(AND(ISNUMBER(N138),ISNUMBER(I138)),IFERROR(N138/I138-1,""),"")</f>
        <v>0.212018200344332</v>
      </c>
      <c r="O216" s="27" t="n">
        <f aca="false">IF(AND(ISNUMBER(O138),ISNUMBER(J138)),IFERROR(O138/J138-1,""),"")</f>
        <v>0.679033567301726</v>
      </c>
      <c r="P216" s="27" t="n">
        <f aca="false">IF(AND(ISNUMBER(P138),ISNUMBER(K138)),IFERROR(P138/K138-1,""),"")</f>
        <v>0.0905304165418026</v>
      </c>
      <c r="Q216" s="27" t="n">
        <f aca="false">IF(AND(ISNUMBER(Q138),ISNUMBER(L138)),IFERROR(Q138/L138-1,""),"")</f>
        <v>-0.311542586837545</v>
      </c>
      <c r="R216" s="27" t="n">
        <f aca="false">IF(AND(ISNUMBER(R138),ISNUMBER(M138)),IFERROR(R138/M138-1,""),"")</f>
        <v>-0.645929777834147</v>
      </c>
      <c r="S216" s="27" t="n">
        <f aca="false">IF(AND(ISNUMBER(S138),ISNUMBER(N138)),IFERROR(S138/N138-1,""),"")</f>
        <v>-0.178597053217469</v>
      </c>
      <c r="T216" s="27" t="n">
        <f aca="false">IF(AND(ISNUMBER(T138),ISNUMBER(O138)),IFERROR(T138/O138-1,""),"")</f>
        <v>-0.545245137072008</v>
      </c>
      <c r="U216" s="27" t="n">
        <f aca="false">IF(AND(ISNUMBER(U138),ISNUMBER(P138)),IFERROR(U138/P138-1,""),"")</f>
        <v>-0.292764694567339</v>
      </c>
      <c r="V216" s="27" t="n">
        <f aca="false">IF(AND(ISNUMBER(V138),ISNUMBER(Q138)),IFERROR(V138/Q138-1,""),"")</f>
        <v>0.353573283266083</v>
      </c>
      <c r="W216" s="27" t="n">
        <f aca="false">IF(AND(ISNUMBER(W138),ISNUMBER(R138)),IFERROR(W138/R138-1,""),"")</f>
        <v>3.1700895522388</v>
      </c>
      <c r="X216" s="27" t="n">
        <f aca="false">IF(AND(ISNUMBER(X138),ISNUMBER(S138)),IFERROR(X138/S138-1,""),"")</f>
        <v>0.283426564788504</v>
      </c>
      <c r="Y216" s="27" t="n">
        <f aca="false">IF(AND(ISNUMBER(Y138),ISNUMBER(T138)),IFERROR(Y138/T138-1,""),"")</f>
        <v>1.05234194234258</v>
      </c>
      <c r="Z216" s="27" t="n">
        <f aca="false">IF(AND(ISNUMBER(Z138),ISNUMBER(U138)),IFERROR(Z138/U138-1,""),"")</f>
        <v>0.55274507518359</v>
      </c>
      <c r="AA216" s="27" t="n">
        <f aca="false">IF(AND(ISNUMBER(AA138),ISNUMBER(V138)),IFERROR(AA138/V138-1,""),"")</f>
        <v>0.355566048872627</v>
      </c>
      <c r="AB216" s="27" t="n">
        <f aca="false">IF(AND(ISNUMBER(AB138),ISNUMBER(W138)),IFERROR(AB138/W138-1,""),"")</f>
        <v>-0.0176666809832636</v>
      </c>
      <c r="AC216" s="27" t="n">
        <f aca="false">IF(AND(ISNUMBER(AC138),ISNUMBER(X138)),IFERROR(AC138/X138-1,""),"")</f>
        <v>0.287829727555841</v>
      </c>
      <c r="AD216" s="27" t="n">
        <f aca="false">IF(AND(ISNUMBER(AD138),ISNUMBER(Y138)),IFERROR(AD138/Y138-1,""),"")</f>
        <v>-0.00828788201956177</v>
      </c>
      <c r="AE216" s="27" t="n">
        <f aca="false">IF(AND(ISNUMBER(AE138),ISNUMBER(Z138)),IFERROR(AE138/Z138-1,""),"")</f>
        <v>0.267422365688263</v>
      </c>
      <c r="AF216" s="27" t="n">
        <f aca="false">IF(AND(ISNUMBER(AF138),ISNUMBER(AA138)),IFERROR(AF138/AA138-1,""),"")</f>
        <v>0.392144909866758</v>
      </c>
      <c r="AG216" s="27" t="n">
        <f aca="false">IF(AND(ISNUMBER(AG138),ISNUMBER(AB138)),IFERROR(AG138/AB138-1,""),"")</f>
        <v>-0.0126065729067993</v>
      </c>
      <c r="AH216" s="27" t="n">
        <f aca="false">IF(AND(ISNUMBER(AH138),ISNUMBER(AC138)),IFERROR(AH138/AC138-1,""),"")</f>
        <v>0.147131517277089</v>
      </c>
      <c r="AI216" s="27" t="n">
        <f aca="false">IF(AND(ISNUMBER(AI138),ISNUMBER(AD138)),IFERROR(AI138/AD138-1,""),"")</f>
        <v>0.340922358435493</v>
      </c>
      <c r="AJ216" s="27" t="n">
        <f aca="false">IF(AND(ISNUMBER(AJ138),ISNUMBER(AE138)),IFERROR(AJ138/AE138-1,""),"")</f>
        <v>0.476564659427443</v>
      </c>
      <c r="AK216" s="27" t="n">
        <f aca="false">IF(AND(ISNUMBER(AK138),ISNUMBER(AF138)),IFERROR(AK138/AF138-1,""),"")</f>
        <v>0.164816089077945</v>
      </c>
      <c r="AL216" s="27" t="n">
        <f aca="false">IF(AND(ISNUMBER(AL138),ISNUMBER(AG138)),IFERROR(AL138/AG138-1,""),"")</f>
        <v>0.222656826568265</v>
      </c>
      <c r="AM216" s="27" t="n">
        <f aca="false">IF(AND(ISNUMBER(AM138),ISNUMBER(AH138)),IFERROR(AM138/AH138-1,""),"")</f>
        <v>0.28320404297993</v>
      </c>
      <c r="AN216" s="27" t="n">
        <f aca="false">IF(AND(ISNUMBER(AN138),ISNUMBER(AI138)),IFERROR(AN138/AI138-1,""),"")</f>
        <v>0.273812524345255</v>
      </c>
      <c r="AO216" s="27" t="n">
        <f aca="false">IF(AND(ISNUMBER(AO138),ISNUMBER(AJ138)),IFERROR(AO138/AJ138-1,""),"")</f>
        <v>0.0706530459431987</v>
      </c>
      <c r="AP216" s="27" t="n">
        <f aca="false">IF(AND(ISNUMBER(AP138),ISNUMBER(AK138)),IFERROR(AP138/AK138-1,""),"")</f>
        <v>0.107769558154209</v>
      </c>
      <c r="AQ216" s="27" t="n">
        <f aca="false">IF(AND(ISNUMBER(AQ138),ISNUMBER(AL138)),IFERROR(AQ138/AL138-1,""),"")</f>
        <v>0.0793505160861951</v>
      </c>
      <c r="AR216" s="27" t="n">
        <f aca="false">IF(AND(ISNUMBER(AR138),ISNUMBER(AM138)),IFERROR(AR138/AM138-1,""),"")</f>
        <v>0.115445568252287</v>
      </c>
      <c r="AS216" s="27" t="n">
        <f aca="false">IF(AND(ISNUMBER(AS138),ISNUMBER(AN138)),IFERROR(AS138/AN138-1,""),"")</f>
        <v>-0.0689295414890359</v>
      </c>
      <c r="AT216" s="27" t="n">
        <f aca="false">IF(AND(ISNUMBER(AT138),ISNUMBER(AO138)),IFERROR(AT138/AO138-1,""),"")</f>
        <v>-0.612623638725147</v>
      </c>
      <c r="AU216" s="27" t="n">
        <f aca="false">IF(AND(ISNUMBER(AU138),ISNUMBER(AP138)),IFERROR(AU138/AP138-1,""),"")</f>
        <v>-0.216822203369288</v>
      </c>
      <c r="AV216" s="27" t="n">
        <f aca="false">IF(AND(ISNUMBER(AV138),ISNUMBER(AQ138)),IFERROR(AV138/AQ138-1,""),"")</f>
        <v>-0.396105493915533</v>
      </c>
      <c r="AW216" s="27" t="n">
        <f aca="false">IF(AND(ISNUMBER(AW138),ISNUMBER(AR138)),IFERROR(AW138/AR138-1,""),"")</f>
        <v>-0.34524339771704</v>
      </c>
      <c r="AX216" s="27" t="n">
        <f aca="false">IF(AND(ISNUMBER(AX138),ISNUMBER(AS138)),IFERROR(AX138/AS138-1,""),"")</f>
        <v>0.14891520642955</v>
      </c>
      <c r="AY216" s="27" t="n">
        <f aca="false">IF(AND(ISNUMBER(AY138),ISNUMBER(AT138)),IFERROR(AY138/AT138-1,""),"")</f>
        <v>0.979753691404991</v>
      </c>
      <c r="AZ216" s="27" t="n">
        <f aca="false">IF(AND(ISNUMBER(AZ138),ISNUMBER(AU138)),IFERROR(AZ138/AU138-1,""),"")</f>
        <v>0.0786598576292166</v>
      </c>
      <c r="BA216" s="27" t="n">
        <f aca="false">IF(AND(ISNUMBER(BA138),ISNUMBER(AV138)),IFERROR(BA138/AV138-1,""),"")</f>
        <v>0.4183134850814</v>
      </c>
      <c r="BB216" s="27" t="n">
        <f aca="false">IF(AND(ISNUMBER(BB138),ISNUMBER(AW138)),IFERROR(BB138/AW138-1,""),"")</f>
        <v>0.326562127591961</v>
      </c>
      <c r="BC216" s="27" t="n">
        <f aca="false">IF(AND(ISNUMBER(BC138),ISNUMBER(AX138)),IFERROR(BC138/AX138-1,""),"")</f>
        <v>-0.315862045771746</v>
      </c>
      <c r="BD216" s="27" t="n">
        <f aca="false">IF(AND(ISNUMBER(BD138),ISNUMBER(AY138)),IFERROR(BD138/AY138-1,""),"")</f>
        <v>0.154116727462219</v>
      </c>
      <c r="BE216" s="27" t="n">
        <f aca="false">IF(AND(ISNUMBER(BE138),ISNUMBER(AZ138)),IFERROR(BE138/AZ138-1,""),"")</f>
        <v>0.0583188671936643</v>
      </c>
      <c r="BF216" s="27" t="n">
        <f aca="false">IF(AND(ISNUMBER(BF138),ISNUMBER(BA138)),IFERROR(BF138/BA138-1,""),"")</f>
        <v>0.423667062771778</v>
      </c>
      <c r="BG216" s="27" t="n">
        <f aca="false">IF(AND(ISNUMBER(BG138),ISNUMBER(BB138)),IFERROR(BG138/BB138-1,""),"")</f>
        <v>0.101770855557927</v>
      </c>
      <c r="BH216" s="27" t="n">
        <f aca="false">IF(AND(ISNUMBER(BH138),ISNUMBER(BC138)),IFERROR(BH138/BC138-1,""),"")</f>
        <v>0.397222563598379</v>
      </c>
      <c r="BI216" s="27" t="n">
        <f aca="false">IF(AND(ISNUMBER(BI138),ISNUMBER(BD138)),IFERROR(BI138/BD138-1,""),"")</f>
        <v>0.142891409865674</v>
      </c>
      <c r="BJ216" s="27" t="n">
        <f aca="false">IF(AND(ISNUMBER(BJ138),ISNUMBER(BE138)),IFERROR(BJ138/BE138-1,""),"")</f>
        <v>0.311923869428479</v>
      </c>
      <c r="BK216" s="27" t="n">
        <f aca="false">IF(AND(ISNUMBER(BK138),ISNUMBER(BF138)),IFERROR(BK138/BF138-1,""),"")</f>
        <v>0.0996486979811608</v>
      </c>
      <c r="BL216" s="27" t="n">
        <f aca="false">IF(AND(ISNUMBER(BL138),ISNUMBER(BG138)),IFERROR(BL138/BG138-1,""),"")</f>
        <v>0.204387323847962</v>
      </c>
      <c r="BM216" s="27" t="n">
        <f aca="false">IF(AND(ISNUMBER(BM138),ISNUMBER(BH138)),IFERROR(BM138/BH138-1,""),"")</f>
        <v>0.345653168208846</v>
      </c>
      <c r="BN216" s="27" t="n">
        <f aca="false">IF(AND(ISNUMBER(BN138),ISNUMBER(BI138)),IFERROR(BN138/BI138-1,""),"")</f>
        <v>0.228052198175287</v>
      </c>
      <c r="BO216" s="27" t="n">
        <f aca="false">IF(AND(ISNUMBER(BO138),ISNUMBER(BJ138)),IFERROR(BO138/BJ138-1,""),"")</f>
        <v>0.148608154745914</v>
      </c>
      <c r="BP216" s="27" t="n">
        <f aca="false">IF(AND(ISNUMBER(BP138),ISNUMBER(BK138)),IFERROR(BP138/BK138-1,""),"")</f>
        <v>-0.0169743174822971</v>
      </c>
      <c r="BQ216" s="27" t="n">
        <f aca="false">IF(AND(ISNUMBER(BQ138),ISNUMBER(BL138)),IFERROR(BQ138/BL138-1,""),"")</f>
        <v>0.142363099385346</v>
      </c>
      <c r="BR216" s="27" t="n">
        <f aca="false">IF(AND(ISNUMBER(BR138),ISNUMBER(BM138)),IFERROR(BR138/BM138-1,""),"")</f>
        <v>0.324753251846524</v>
      </c>
      <c r="BS216" s="27" t="n">
        <f aca="false">IF(AND(ISNUMBER(BS138),ISNUMBER(BN138)),IFERROR(BS138/BN138-1,""),"")</f>
        <v>0.217048184898111</v>
      </c>
      <c r="BT216" s="27" t="n">
        <f aca="false">IF(AND(ISNUMBER(BT138),ISNUMBER(BO138)),IFERROR(BT138/BO138-1,""),"")</f>
        <v>0.122993882691614</v>
      </c>
      <c r="BU216" s="27" t="n">
        <f aca="false">IF(AND(ISNUMBER(BU138),ISNUMBER(BP138)),IFERROR(BU138/BP138-1,""),"")</f>
        <v>0.162457998167193</v>
      </c>
      <c r="BV216" s="27" t="n">
        <f aca="false">IF(AND(ISNUMBER(BV138),ISNUMBER(BQ138)),IFERROR(BV138/BQ138-1,""),"")</f>
        <v>0.195689642400327</v>
      </c>
      <c r="BW216" s="27" t="n">
        <f aca="false">IF(AND(ISNUMBER(BW138),ISNUMBER(BR138)),IFERROR(BW138/BR138-1,""),"")</f>
        <v>0.264947649920563</v>
      </c>
      <c r="BX216" s="27" t="n">
        <f aca="false">IF(AND(ISNUMBER(BX138),ISNUMBER(BS138)),IFERROR(BX138/BS138-1,""),"")</f>
        <v>0.248692807758072</v>
      </c>
      <c r="BY216" s="22" t="n">
        <f aca="false">IFERROR(BY138/BT138-1,"")</f>
        <v>0.138409038459222</v>
      </c>
      <c r="BZ216" s="22" t="n">
        <f aca="false">IFERROR(BZ138/BU138-1,"")</f>
        <v>0.133294740879857</v>
      </c>
      <c r="CA216" s="22" t="n">
        <f aca="false">IFERROR(CA138/BV138-1,"")</f>
        <v>0.191015368793215</v>
      </c>
      <c r="CB216" s="22" t="n">
        <f aca="false">IFERROR(CB138/CA138-1,"")</f>
        <v>0.105730999411148</v>
      </c>
      <c r="CC216" s="22" t="n">
        <f aca="false">IFERROR(CC138/CB138-1,"")</f>
        <v>0.103558794808219</v>
      </c>
      <c r="CD216" s="22" t="n">
        <f aca="false">IFERROR(CD138/CC138-1,"")</f>
        <v>0.0926642052680065</v>
      </c>
      <c r="CE216" s="22" t="n">
        <f aca="false">IFERROR(CE138/CD138-1,"")</f>
        <v>0.0898733303984287</v>
      </c>
    </row>
    <row r="217" customFormat="false" ht="15" hidden="false" customHeight="false" outlineLevel="0" collapsed="false">
      <c r="B217" s="20" t="s">
        <v>410</v>
      </c>
      <c r="D217" s="27" t="n">
        <f aca="false">IF(AND(ISNUMBER(D191),ISNUMBER(C191)),IFERROR(D191/C191-1,""),"")</f>
        <v>0.276321337434872</v>
      </c>
      <c r="E217" s="27" t="n">
        <f aca="false">IF(AND(ISNUMBER(E191),ISNUMBER(D191)),IFERROR(E191/D191-1,""),"")</f>
        <v>0.055545148224877</v>
      </c>
      <c r="F217" s="27" t="n">
        <f aca="false">IF(AND(ISNUMBER(F191),ISNUMBER(E191)),IFERROR(F191/E191-1,""),"")</f>
        <v>-0.148869494614197</v>
      </c>
      <c r="G217" s="27" t="n">
        <f aca="false">IF(AND(ISNUMBER(G191),ISNUMBER(F191)),IFERROR(G191/F191-1,""),"")</f>
        <v>0.104327018742522</v>
      </c>
      <c r="H217" s="27" t="n">
        <f aca="false">IF(AND(ISNUMBER(H191),ISNUMBER(G191)),IFERROR(H191/G191-1,""),"")</f>
        <v>0.205520128226796</v>
      </c>
      <c r="I217" s="27" t="n">
        <f aca="false">IF(AND(ISNUMBER(I191),ISNUMBER(H191)),IFERROR(I191/H191-1,""),"")</f>
        <v>-0.250230385906442</v>
      </c>
      <c r="N217" s="27" t="n">
        <f aca="false">IF(AND(ISNUMBER(N191),ISNUMBER(I191)),IFERROR(N191/I191-1,""),"")</f>
        <v>0.38455729412104</v>
      </c>
      <c r="O217" s="27" t="n">
        <f aca="false">IF(AND(ISNUMBER(O191),ISNUMBER(J191)),IFERROR(O191/J191-1,""),"")</f>
        <v>0.622746812053488</v>
      </c>
      <c r="P217" s="27" t="n">
        <f aca="false">IF(AND(ISNUMBER(P191),ISNUMBER(K191)),IFERROR(P191/K191-1,""),"")</f>
        <v>0.324472625594085</v>
      </c>
      <c r="Q217" s="27" t="n">
        <f aca="false">IF(AND(ISNUMBER(Q191),ISNUMBER(L191)),IFERROR(Q191/L191-1,""),"")</f>
        <v>0.192851742642159</v>
      </c>
      <c r="R217" s="27" t="n">
        <f aca="false">IF(AND(ISNUMBER(R191),ISNUMBER(M191)),IFERROR(R191/M191-1,""),"")</f>
        <v>-0.0310988996262097</v>
      </c>
      <c r="S217" s="27" t="n">
        <f aca="false">IF(AND(ISNUMBER(S191),ISNUMBER(N191)),IFERROR(S191/N191-1,""),"")</f>
        <v>0.20249510502238</v>
      </c>
      <c r="T217" s="27" t="n">
        <f aca="false">IF(AND(ISNUMBER(T191),ISNUMBER(O191)),IFERROR(T191/O191-1,""),"")</f>
        <v>0.239222140436302</v>
      </c>
      <c r="U217" s="27" t="n">
        <f aca="false">IF(AND(ISNUMBER(U191),ISNUMBER(P191)),IFERROR(U191/P191-1,""),"")</f>
        <v>-0.106363615319237</v>
      </c>
      <c r="V217" s="27" t="n">
        <f aca="false">IF(AND(ISNUMBER(V191),ISNUMBER(Q191)),IFERROR(V191/Q191-1,""),"")</f>
        <v>-0.108216317965604</v>
      </c>
      <c r="W217" s="27" t="n">
        <f aca="false">IF(AND(ISNUMBER(W191),ISNUMBER(R191)),IFERROR(W191/R191-1,""),"")</f>
        <v>0.625718141988749</v>
      </c>
      <c r="X217" s="27" t="n">
        <f aca="false">IF(AND(ISNUMBER(X191),ISNUMBER(S191)),IFERROR(X191/S191-1,""),"")</f>
        <v>0.0799734102269525</v>
      </c>
      <c r="Y217" s="27" t="n">
        <f aca="false">IF(AND(ISNUMBER(Y191),ISNUMBER(T191)),IFERROR(Y191/T191-1,""),"")</f>
        <v>-0.182096481813425</v>
      </c>
      <c r="Z217" s="27" t="n">
        <f aca="false">IF(AND(ISNUMBER(Z191),ISNUMBER(U191)),IFERROR(Z191/U191-1,""),"")</f>
        <v>0.0642980201876311</v>
      </c>
      <c r="AA217" s="27" t="n">
        <f aca="false">IF(AND(ISNUMBER(AA191),ISNUMBER(V191)),IFERROR(AA191/V191-1,""),"")</f>
        <v>0.268413518772134</v>
      </c>
      <c r="AB217" s="27" t="n">
        <f aca="false">IF(AND(ISNUMBER(AB191),ISNUMBER(W191)),IFERROR(AB191/W191-1,""),"")</f>
        <v>0.0289999284510334</v>
      </c>
      <c r="AC217" s="27" t="n">
        <f aca="false">IF(AND(ISNUMBER(AC191),ISNUMBER(X191)),IFERROR(AC191/X191-1,""),"")</f>
        <v>0.124140874296417</v>
      </c>
      <c r="AD217" s="27" t="n">
        <f aca="false">IF(AND(ISNUMBER(AD191),ISNUMBER(Y191)),IFERROR(AD191/Y191-1,""),"")</f>
        <v>0.000112711044026437</v>
      </c>
      <c r="AE217" s="27" t="n">
        <f aca="false">IF(AND(ISNUMBER(AE191),ISNUMBER(Z191)),IFERROR(AE191/Z191-1,""),"")</f>
        <v>0.277520559822008</v>
      </c>
      <c r="AF217" s="27" t="n">
        <f aca="false">IF(AND(ISNUMBER(AF191),ISNUMBER(AA191)),IFERROR(AF191/AA191-1,""),"")</f>
        <v>0.401833784838082</v>
      </c>
      <c r="AG217" s="27" t="n">
        <f aca="false">IF(AND(ISNUMBER(AG191),ISNUMBER(AB191)),IFERROR(AG191/AB191-1,""),"")</f>
        <v>-0.039339591541847</v>
      </c>
      <c r="AH217" s="27" t="n">
        <f aca="false">IF(AND(ISNUMBER(AH191),ISNUMBER(AC191)),IFERROR(AH191/AC191-1,""),"")</f>
        <v>0.141895440811204</v>
      </c>
      <c r="AI217" s="27" t="n">
        <f aca="false">IF(AND(ISNUMBER(AI191),ISNUMBER(AD191)),IFERROR(AI191/AD191-1,""),"")</f>
        <v>0.346384730726895</v>
      </c>
      <c r="AJ217" s="27" t="n">
        <f aca="false">IF(AND(ISNUMBER(AJ191),ISNUMBER(AE191)),IFERROR(AJ191/AE191-1,""),"")</f>
        <v>0.592357555126789</v>
      </c>
      <c r="AK217" s="27" t="n">
        <f aca="false">IF(AND(ISNUMBER(AK191),ISNUMBER(AF191)),IFERROR(AK191/AF191-1,""),"")</f>
        <v>0.18801698571688</v>
      </c>
      <c r="AL217" s="27" t="n">
        <f aca="false">IF(AND(ISNUMBER(AL191),ISNUMBER(AG191)),IFERROR(AL191/AG191-1,""),"")</f>
        <v>0.25336016799744</v>
      </c>
      <c r="AM217" s="27" t="n">
        <f aca="false">IF(AND(ISNUMBER(AM191),ISNUMBER(AH191)),IFERROR(AM191/AH191-1,""),"")</f>
        <v>0.326847549355889</v>
      </c>
      <c r="AN217" s="27" t="n">
        <f aca="false">IF(AND(ISNUMBER(AN191),ISNUMBER(AI191)),IFERROR(AN191/AI191-1,""),"")</f>
        <v>0.330821683933777</v>
      </c>
      <c r="AO217" s="27" t="n">
        <f aca="false">IF(AND(ISNUMBER(AO191),ISNUMBER(AJ191)),IFERROR(AO191/AJ191-1,""),"")</f>
        <v>0.0555494957124998</v>
      </c>
      <c r="AP217" s="27" t="n">
        <f aca="false">IF(AND(ISNUMBER(AP191),ISNUMBER(AK191)),IFERROR(AP191/AK191-1,""),"")</f>
        <v>0.14705430469863</v>
      </c>
      <c r="AQ217" s="27" t="n">
        <f aca="false">IF(AND(ISNUMBER(AQ191),ISNUMBER(AL191)),IFERROR(AQ191/AL191-1,""),"")</f>
        <v>0.115788927388338</v>
      </c>
      <c r="AR217" s="27" t="n">
        <f aca="false">IF(AND(ISNUMBER(AR191),ISNUMBER(AM191)),IFERROR(AR191/AM191-1,""),"")</f>
        <v>0.141286742484074</v>
      </c>
      <c r="AS217" s="27" t="n">
        <f aca="false">IF(AND(ISNUMBER(AS191),ISNUMBER(AN191)),IFERROR(AS191/AN191-1,""),"")</f>
        <v>0.0307790543049631</v>
      </c>
      <c r="AT217" s="27" t="n">
        <f aca="false">IF(AND(ISNUMBER(AT191),ISNUMBER(AO191)),IFERROR(AT191/AO191-1,""),"")</f>
        <v>-0.31052736119808</v>
      </c>
      <c r="AU217" s="27" t="n">
        <f aca="false">IF(AND(ISNUMBER(AU191),ISNUMBER(AP191)),IFERROR(AU191/AP191-1,""),"")</f>
        <v>-0.0512838893909043</v>
      </c>
      <c r="AV217" s="27" t="n">
        <f aca="false">IF(AND(ISNUMBER(AV191),ISNUMBER(AQ191)),IFERROR(AV191/AQ191-1,""),"")</f>
        <v>0.12735042637126</v>
      </c>
      <c r="AW217" s="27" t="n">
        <f aca="false">IF(AND(ISNUMBER(AW191),ISNUMBER(AR191)),IFERROR(AW191/AR191-1,""),"")</f>
        <v>-0.0550219065930163</v>
      </c>
      <c r="AX217" s="27" t="n">
        <f aca="false">IF(AND(ISNUMBER(AX191),ISNUMBER(AS191)),IFERROR(AX191/AS191-1,""),"")</f>
        <v>0.126860282720442</v>
      </c>
      <c r="AY217" s="27" t="n">
        <f aca="false">IF(AND(ISNUMBER(AY191),ISNUMBER(AT191)),IFERROR(AY191/AT191-1,""),"")</f>
        <v>0.190835171922003</v>
      </c>
      <c r="AZ217" s="27" t="n">
        <f aca="false">IF(AND(ISNUMBER(AZ191),ISNUMBER(AU191)),IFERROR(AZ191/AU191-1,""),"")</f>
        <v>0.0162188443818334</v>
      </c>
      <c r="BA217" s="27" t="n">
        <f aca="false">IF(AND(ISNUMBER(BA191),ISNUMBER(AV191)),IFERROR(BA191/AV191-1,""),"")</f>
        <v>0.0041866512965878</v>
      </c>
      <c r="BB217" s="27" t="n">
        <f aca="false">IF(AND(ISNUMBER(BB191),ISNUMBER(AW191)),IFERROR(BB191/AW191-1,""),"")</f>
        <v>0.0684159991341198</v>
      </c>
      <c r="BC217" s="27" t="n">
        <f aca="false">IF(AND(ISNUMBER(BC191),ISNUMBER(AX191)),IFERROR(BC191/AX191-1,""),"")</f>
        <v>-0.13245308720306</v>
      </c>
      <c r="BD217" s="27" t="n">
        <f aca="false">IF(AND(ISNUMBER(BD191),ISNUMBER(AY191)),IFERROR(BD191/AY191-1,""),"")</f>
        <v>0.173088365368647</v>
      </c>
      <c r="BE217" s="27" t="n">
        <f aca="false">IF(AND(ISNUMBER(BE191),ISNUMBER(AZ191)),IFERROR(BE191/AZ191-1,""),"")</f>
        <v>0.10106246840324</v>
      </c>
      <c r="BF217" s="27" t="n">
        <f aca="false">IF(AND(ISNUMBER(BF191),ISNUMBER(BA191)),IFERROR(BF191/BA191-1,""),"")</f>
        <v>0.21667089544288</v>
      </c>
      <c r="BG217" s="27" t="n">
        <f aca="false">IF(AND(ISNUMBER(BG191),ISNUMBER(BB191)),IFERROR(BG191/BB191-1,""),"")</f>
        <v>0.107627131638954</v>
      </c>
      <c r="BH217" s="27" t="n">
        <f aca="false">IF(AND(ISNUMBER(BH191),ISNUMBER(BC191)),IFERROR(BH191/BC191-1,""),"")</f>
        <v>0.167942647777663</v>
      </c>
      <c r="BI217" s="27" t="n">
        <f aca="false">IF(AND(ISNUMBER(BI191),ISNUMBER(BD191)),IFERROR(BI191/BD191-1,""),"")</f>
        <v>0.174855524317192</v>
      </c>
      <c r="BJ217" s="27" t="n">
        <f aca="false">IF(AND(ISNUMBER(BJ191),ISNUMBER(BE191)),IFERROR(BJ191/BE191-1,""),"")</f>
        <v>0.227054165708332</v>
      </c>
      <c r="BK217" s="27" t="n">
        <f aca="false">IF(AND(ISNUMBER(BK191),ISNUMBER(BF191)),IFERROR(BK191/BF191-1,""),"")</f>
        <v>0.0821931179273037</v>
      </c>
      <c r="BL217" s="27" t="n">
        <f aca="false">IF(AND(ISNUMBER(BL191),ISNUMBER(BG191)),IFERROR(BL191/BG191-1,""),"")</f>
        <v>0.153751905683254</v>
      </c>
      <c r="BM217" s="27" t="n">
        <f aca="false">IF(AND(ISNUMBER(BM191),ISNUMBER(BH191)),IFERROR(BM191/BH191-1,""),"")</f>
        <v>0.300660505578423</v>
      </c>
      <c r="BN217" s="27" t="n">
        <f aca="false">IF(AND(ISNUMBER(BN191),ISNUMBER(BI191)),IFERROR(BN191/BI191-1,""),"")</f>
        <v>0.241866953305381</v>
      </c>
      <c r="BO217" s="27" t="n">
        <f aca="false">IF(AND(ISNUMBER(BO191),ISNUMBER(BJ191)),IFERROR(BO191/BJ191-1,""),"")</f>
        <v>0.169294125862609</v>
      </c>
      <c r="BP217" s="27" t="n">
        <f aca="false">IF(AND(ISNUMBER(BP191),ISNUMBER(BK191)),IFERROR(BP191/BK191-1,""),"")</f>
        <v>0.0348044942594483</v>
      </c>
      <c r="BQ217" s="27" t="n">
        <f aca="false">IF(AND(ISNUMBER(BQ191),ISNUMBER(BL191)),IFERROR(BQ191/BL191-1,""),"")</f>
        <v>0.16204950053665</v>
      </c>
      <c r="BR217" s="27" t="n">
        <f aca="false">IF(AND(ISNUMBER(BR191),ISNUMBER(BM191)),IFERROR(BR191/BM191-1,""),"")</f>
        <v>0.417075824748453</v>
      </c>
      <c r="BS217" s="27" t="n">
        <f aca="false">IF(AND(ISNUMBER(BS191),ISNUMBER(BN191)),IFERROR(BS191/BN191-1,""),"")</f>
        <v>0.209733021969547</v>
      </c>
      <c r="BT217" s="27" t="n">
        <f aca="false">IF(AND(ISNUMBER(BT191),ISNUMBER(BO191)),IFERROR(BT191/BO191-1,""),"")</f>
        <v>0.144775233535327</v>
      </c>
      <c r="BU217" s="27" t="n">
        <f aca="false">IF(AND(ISNUMBER(BU191),ISNUMBER(BP191)),IFERROR(BU191/BP191-1,""),"")</f>
        <v>0.159020147636954</v>
      </c>
      <c r="BV217" s="27" t="n">
        <f aca="false">IF(AND(ISNUMBER(BV191),ISNUMBER(BQ191)),IFERROR(BV191/BQ191-1,""),"")</f>
        <v>0.213760728310797</v>
      </c>
      <c r="BW217" s="27" t="n">
        <f aca="false">IF(AND(ISNUMBER(BW191),ISNUMBER(BR191)),IFERROR(BW191/BR191-1,""),"")</f>
        <v>0.234041570460469</v>
      </c>
      <c r="BX217" s="27" t="n">
        <f aca="false">IF(AND(ISNUMBER(BX191),ISNUMBER(BS191)),IFERROR(BX191/BS191-1,""),"")</f>
        <v>0.151708419594765</v>
      </c>
      <c r="BY217" s="22" t="n">
        <f aca="false">IFERROR(BY191/BT191-1,"")</f>
        <v>0.150557598610434</v>
      </c>
      <c r="BZ217" s="22" t="n">
        <f aca="false">IFERROR(BZ191/BU191-1,"")</f>
        <v>0.134663893307603</v>
      </c>
      <c r="CA217" s="22" t="n">
        <f aca="false">IFERROR(CA191/BV191-1,"")</f>
        <v>0.16451281474075</v>
      </c>
      <c r="CB217" s="22" t="n">
        <f aca="false">IFERROR(CB191/CA191-1,"")</f>
        <v>0.136388950653329</v>
      </c>
      <c r="CC217" s="22" t="n">
        <f aca="false">IFERROR(CC191/CB191-1,"")</f>
        <v>0.118182384613329</v>
      </c>
      <c r="CD217" s="22" t="n">
        <f aca="false">IFERROR(CD191/CC191-1,"")</f>
        <v>0.107258641281297</v>
      </c>
      <c r="CE217" s="22" t="n">
        <f aca="false">IFERROR(CE191/CD191-1,"")</f>
        <v>0.106573299611107</v>
      </c>
    </row>
    <row r="218" customFormat="false" ht="15" hidden="false" customHeight="false" outlineLevel="0" collapsed="false">
      <c r="B218" s="20" t="s">
        <v>282</v>
      </c>
      <c r="C218" s="27" t="n">
        <f aca="false">IF(AND(ISNUMBER(C116),ISNUMBER(C114)),IFERROR(C116/C114,""),"")</f>
        <v>0.336214420253402</v>
      </c>
      <c r="D218" s="27" t="n">
        <f aca="false">IF(AND(ISNUMBER(D116),ISNUMBER(D114)),IFERROR(D116/D114,""),"")</f>
        <v>0.328883931151091</v>
      </c>
      <c r="E218" s="27" t="n">
        <f aca="false">IF(AND(ISNUMBER(E116),ISNUMBER(E114)),IFERROR(E116/E114,""),"")</f>
        <v>0.338061022654005</v>
      </c>
      <c r="F218" s="27" t="n">
        <f aca="false">IF(AND(ISNUMBER(F116),ISNUMBER(F114)),IFERROR(F116/F114,""),"")</f>
        <v>0.329079013532704</v>
      </c>
      <c r="G218" s="27" t="n">
        <f aca="false">IF(AND(ISNUMBER(G116),ISNUMBER(G114)),IFERROR(G116/G114,""),"")</f>
        <v>0.328425246179087</v>
      </c>
      <c r="H218" s="27" t="n">
        <f aca="false">IF(AND(ISNUMBER(H116),ISNUMBER(H114)),IFERROR(H116/H114,""),"")</f>
        <v>0.329150540618169</v>
      </c>
      <c r="I218" s="27" t="n">
        <f aca="false">IF(AND(ISNUMBER(I116),ISNUMBER(I114)),IFERROR(I116/I114,""),"")</f>
        <v>0.314028686438012</v>
      </c>
      <c r="J218" s="27" t="n">
        <f aca="false">IF(AND(ISNUMBER(J116),ISNUMBER(J114)),IFERROR(J116/J114,""),"")</f>
        <v>0.309956182605659</v>
      </c>
      <c r="K218" s="27" t="n">
        <f aca="false">IF(AND(ISNUMBER(K116),ISNUMBER(K114)),IFERROR(K116/K114,""),"")</f>
        <v>0.325430193609385</v>
      </c>
      <c r="L218" s="27" t="n">
        <f aca="false">IF(AND(ISNUMBER(L116),ISNUMBER(L114)),IFERROR(L116/L114,""),"")</f>
        <v>0.324142994371257</v>
      </c>
      <c r="M218" s="27" t="n">
        <f aca="false">IF(AND(ISNUMBER(M116),ISNUMBER(M114)),IFERROR(M116/M114,""),"")</f>
        <v>0.331084847012419</v>
      </c>
      <c r="N218" s="27" t="n">
        <f aca="false">IF(AND(ISNUMBER(N116),ISNUMBER(N114)),IFERROR(N116/N114,""),"")</f>
        <v>0.323045391236397</v>
      </c>
      <c r="O218" s="27" t="n">
        <f aca="false">IF(AND(ISNUMBER(O116),ISNUMBER(O114)),IFERROR(O116/O114,""),"")</f>
        <v>0.31516716244785</v>
      </c>
      <c r="P218" s="27" t="n">
        <f aca="false">IF(AND(ISNUMBER(P116),ISNUMBER(P114)),IFERROR(P116/P114,""),"")</f>
        <v>0.331369970511241</v>
      </c>
      <c r="Q218" s="27" t="n">
        <f aca="false">IF(AND(ISNUMBER(Q116),ISNUMBER(Q114)),IFERROR(Q116/Q114,""),"")</f>
        <v>0.345719525142361</v>
      </c>
      <c r="R218" s="27" t="n">
        <f aca="false">IF(AND(ISNUMBER(R116),ISNUMBER(R114)),IFERROR(R116/R114,""),"")</f>
        <v>0.349886305288638</v>
      </c>
      <c r="S218" s="27" t="n">
        <f aca="false">IF(AND(ISNUMBER(S116),ISNUMBER(S114)),IFERROR(S116/S114,""),"")</f>
        <v>0.346175827840255</v>
      </c>
      <c r="T218" s="27" t="n">
        <f aca="false">IF(AND(ISNUMBER(T116),ISNUMBER(T114)),IFERROR(T116/T114,""),"")</f>
        <v>0.349865159035443</v>
      </c>
      <c r="U218" s="27" t="n">
        <f aca="false">IF(AND(ISNUMBER(U116),ISNUMBER(U114)),IFERROR(U116/U114,""),"")</f>
        <v>0.334469931804092</v>
      </c>
      <c r="V218" s="27" t="n">
        <f aca="false">IF(AND(ISNUMBER(V116),ISNUMBER(V114)),IFERROR(V116/V114,""),"")</f>
        <v>0.352962219452558</v>
      </c>
      <c r="W218" s="27" t="n">
        <f aca="false">IF(AND(ISNUMBER(W116),ISNUMBER(W114)),IFERROR(W116/W114,""),"")</f>
        <v>0.380997188983533</v>
      </c>
      <c r="X218" s="27" t="n">
        <f aca="false">IF(AND(ISNUMBER(X116),ISNUMBER(X114)),IFERROR(X116/X114,""),"")</f>
        <v>0.355107692265842</v>
      </c>
      <c r="Y218" s="27" t="n">
        <f aca="false">IF(AND(ISNUMBER(Y116),ISNUMBER(Y114)),IFERROR(Y116/Y114,""),"")</f>
        <v>0.341411340855241</v>
      </c>
      <c r="Z218" s="27" t="n">
        <f aca="false">IF(AND(ISNUMBER(Z116),ISNUMBER(Z114)),IFERROR(Z116/Z114,""),"")</f>
        <v>0.34795576294283</v>
      </c>
      <c r="AA218" s="27" t="n">
        <f aca="false">IF(AND(ISNUMBER(AA116),ISNUMBER(AA114)),IFERROR(AA116/AA114,""),"")</f>
        <v>0.363791974631822</v>
      </c>
      <c r="AB218" s="27" t="n">
        <f aca="false">IF(AND(ISNUMBER(AB116),ISNUMBER(AB114)),IFERROR(AB116/AB114,""),"")</f>
        <v>0.369055070495751</v>
      </c>
      <c r="AC218" s="27" t="n">
        <f aca="false">IF(AND(ISNUMBER(AC116),ISNUMBER(AC114)),IFERROR(AC116/AC114,""),"")</f>
        <v>0.355859437790995</v>
      </c>
      <c r="AD218" s="27" t="n">
        <f aca="false">IF(AND(ISNUMBER(AD116),ISNUMBER(AD114)),IFERROR(AD116/AD114,""),"")</f>
        <v>0.326161068467564</v>
      </c>
      <c r="AE218" s="27" t="n">
        <f aca="false">IF(AND(ISNUMBER(AE116),ISNUMBER(AE114)),IFERROR(AE116/AE114,""),"")</f>
        <v>0.350161101940798</v>
      </c>
      <c r="AF218" s="27" t="n">
        <f aca="false">IF(AND(ISNUMBER(AF116),ISNUMBER(AF114)),IFERROR(AF116/AF114,""),"")</f>
        <v>0.371161522871064</v>
      </c>
      <c r="AG218" s="27" t="n">
        <f aca="false">IF(AND(ISNUMBER(AG116),ISNUMBER(AG114)),IFERROR(AG116/AG114,""),"")</f>
        <v>0.389400880236517</v>
      </c>
      <c r="AH218" s="27" t="n">
        <f aca="false">IF(AND(ISNUMBER(AH116),ISNUMBER(AH114)),IFERROR(AH116/AH114,""),"")</f>
        <v>0.360451619664416</v>
      </c>
      <c r="AI218" s="27" t="n">
        <f aca="false">IF(AND(ISNUMBER(AI116),ISNUMBER(AI114)),IFERROR(AI116/AI114,""),"")</f>
        <v>0.330929168143015</v>
      </c>
      <c r="AJ218" s="27" t="n">
        <f aca="false">IF(AND(ISNUMBER(AJ116),ISNUMBER(AJ114)),IFERROR(AJ116/AJ114,""),"")</f>
        <v>0.365147074470658</v>
      </c>
      <c r="AK218" s="27" t="n">
        <f aca="false">IF(AND(ISNUMBER(AK116),ISNUMBER(AK114)),IFERROR(AK116/AK114,""),"")</f>
        <v>0.373732979729355</v>
      </c>
      <c r="AL218" s="27" t="n">
        <f aca="false">IF(AND(ISNUMBER(AL116),ISNUMBER(AL114)),IFERROR(AL116/AL114,""),"")</f>
        <v>0.37163710142425</v>
      </c>
      <c r="AM218" s="27" t="n">
        <f aca="false">IF(AND(ISNUMBER(AM116),ISNUMBER(AM114)),IFERROR(AM116/AM114,""),"")</f>
        <v>0.361244032033701</v>
      </c>
      <c r="AN218" s="27" t="n">
        <f aca="false">IF(AND(ISNUMBER(AN116),ISNUMBER(AN114)),IFERROR(AN116/AN114,""),"")</f>
        <v>0.340425789450022</v>
      </c>
      <c r="AO218" s="27" t="n">
        <f aca="false">IF(AND(ISNUMBER(AO116),ISNUMBER(AO114)),IFERROR(AO116/AO114,""),"")</f>
        <v>0.360008513355326</v>
      </c>
      <c r="AP218" s="27" t="n">
        <f aca="false">IF(AND(ISNUMBER(AP116),ISNUMBER(AP114)),IFERROR(AP116/AP114,""),"")</f>
        <v>0.367674993494666</v>
      </c>
      <c r="AQ218" s="27" t="n">
        <f aca="false">IF(AND(ISNUMBER(AQ116),ISNUMBER(AQ114)),IFERROR(AQ116/AQ114,""),"")</f>
        <v>0.374752771928005</v>
      </c>
      <c r="AR218" s="27" t="n">
        <f aca="false">IF(AND(ISNUMBER(AR116),ISNUMBER(AR114)),IFERROR(AR116/AR114,""),"")</f>
        <v>0.361237575669394</v>
      </c>
      <c r="AS218" s="27" t="n">
        <f aca="false">IF(AND(ISNUMBER(AS116),ISNUMBER(AS114)),IFERROR(AS116/AS114,""),"")</f>
        <v>0.333613868879017</v>
      </c>
      <c r="AT218" s="27" t="n">
        <f aca="false">IF(AND(ISNUMBER(AT116),ISNUMBER(AT114)),IFERROR(AT116/AT114,""),"")</f>
        <v>0.338200190165568</v>
      </c>
      <c r="AU218" s="27" t="n">
        <f aca="false">IF(AND(ISNUMBER(AU116),ISNUMBER(AU114)),IFERROR(AU116/AU114,""),"")</f>
        <v>0.372315933479586</v>
      </c>
      <c r="AV218" s="27" t="n">
        <f aca="false">IF(AND(ISNUMBER(AV116),ISNUMBER(AV114)),IFERROR(AV116/AV114,""),"")</f>
        <v>0.361737108867759</v>
      </c>
      <c r="AW218" s="27" t="n">
        <f aca="false">IF(AND(ISNUMBER(AW116),ISNUMBER(AW114)),IFERROR(AW116/AW114,""),"")</f>
        <v>0.351781180060017</v>
      </c>
      <c r="AX218" s="27" t="n">
        <f aca="false">IF(AND(ISNUMBER(AX116),ISNUMBER(AX114)),IFERROR(AX116/AX114,""),"")</f>
        <v>0.351317039019594</v>
      </c>
      <c r="AY218" s="27" t="n">
        <f aca="false">IF(AND(ISNUMBER(AY116),ISNUMBER(AY114)),IFERROR(AY116/AY114,""),"")</f>
        <v>0.361578130153903</v>
      </c>
      <c r="AZ218" s="27" t="n">
        <f aca="false">IF(AND(ISNUMBER(AZ116),ISNUMBER(AZ114)),IFERROR(AZ116/AZ114,""),"")</f>
        <v>0.381889693999056</v>
      </c>
      <c r="BA218" s="27" t="n">
        <f aca="false">IF(AND(ISNUMBER(BA116),ISNUMBER(BA114)),IFERROR(BA116/BA114,""),"")</f>
        <v>0.392754192675603</v>
      </c>
      <c r="BB218" s="27" t="n">
        <f aca="false">IF(AND(ISNUMBER(BB116),ISNUMBER(BB114)),IFERROR(BB116/BB114,""),"")</f>
        <v>0.372458778793191</v>
      </c>
      <c r="BC218" s="27" t="n">
        <f aca="false">IF(AND(ISNUMBER(BC116),ISNUMBER(BC114)),IFERROR(BC116/BC114,""),"")</f>
        <v>0.359992921758621</v>
      </c>
      <c r="BD218" s="27" t="n">
        <f aca="false">IF(AND(ISNUMBER(BD116),ISNUMBER(BD114)),IFERROR(BD116/BD114,""),"")</f>
        <v>0.375008410504844</v>
      </c>
      <c r="BE218" s="27" t="n">
        <f aca="false">IF(AND(ISNUMBER(BE116),ISNUMBER(BE114)),IFERROR(BE116/BE114,""),"")</f>
        <v>0.368268886132883</v>
      </c>
      <c r="BF218" s="27" t="n">
        <f aca="false">IF(AND(ISNUMBER(BF116),ISNUMBER(BF114)),IFERROR(BF116/BF114,""),"")</f>
        <v>0.38603340526486</v>
      </c>
      <c r="BG218" s="27" t="n">
        <f aca="false">IF(AND(ISNUMBER(BG116),ISNUMBER(BG114)),IFERROR(BG116/BG114,""),"")</f>
        <v>0.373327988580479</v>
      </c>
      <c r="BH218" s="27" t="n">
        <f aca="false">IF(AND(ISNUMBER(BH116),ISNUMBER(BH114)),IFERROR(BH116/BH114,""),"")</f>
        <v>0.350962178613322</v>
      </c>
      <c r="BI218" s="27" t="n">
        <f aca="false">IF(AND(ISNUMBER(BI116),ISNUMBER(BI114)),IFERROR(BI116/BI114,""),"")</f>
        <v>0.36850436402251</v>
      </c>
      <c r="BJ218" s="27" t="n">
        <f aca="false">IF(AND(ISNUMBER(BJ116),ISNUMBER(BJ114)),IFERROR(BJ116/BJ114,""),"")</f>
        <v>0.388592981613252</v>
      </c>
      <c r="BK218" s="27" t="n">
        <f aca="false">IF(AND(ISNUMBER(BK116),ISNUMBER(BK114)),IFERROR(BK116/BK114,""),"")</f>
        <v>0.387800318405276</v>
      </c>
      <c r="BL218" s="27" t="n">
        <f aca="false">IF(AND(ISNUMBER(BL116),ISNUMBER(BL114)),IFERROR(BL116/BL114,""),"")</f>
        <v>0.37505732991773</v>
      </c>
      <c r="BM218" s="27" t="n">
        <f aca="false">IF(AND(ISNUMBER(BM116),ISNUMBER(BM114)),IFERROR(BM116/BM114,""),"")</f>
        <v>0.355814276319572</v>
      </c>
      <c r="BN218" s="27" t="n">
        <f aca="false">IF(AND(ISNUMBER(BN116),ISNUMBER(BN114)),IFERROR(BN116/BN114,""),"")</f>
        <v>0.362008483787403</v>
      </c>
      <c r="BO218" s="27" t="n">
        <f aca="false">IF(AND(ISNUMBER(BO116),ISNUMBER(BO114)),IFERROR(BO116/BO114,""),"")</f>
        <v>0.37333368380735</v>
      </c>
      <c r="BP218" s="27" t="n">
        <f aca="false">IF(AND(ISNUMBER(BP116),ISNUMBER(BP114)),IFERROR(BP116/BP114,""),"")</f>
        <v>0.385084306568015</v>
      </c>
      <c r="BQ218" s="27" t="n">
        <f aca="false">IF(AND(ISNUMBER(BQ116),ISNUMBER(BQ114)),IFERROR(BQ116/BQ114,""),"")</f>
        <v>0.369586398004094</v>
      </c>
      <c r="BR218" s="27" t="n">
        <f aca="false">IF(AND(ISNUMBER(BR116),ISNUMBER(BR114)),IFERROR(BR116/BR114,""),"")</f>
        <v>0.363018451054745</v>
      </c>
      <c r="BS218" s="27" t="n">
        <f aca="false">IF(AND(ISNUMBER(BS116),ISNUMBER(BS114)),IFERROR(BS116/BS114,""),"")</f>
        <v>0.372080686671778</v>
      </c>
      <c r="BT218" s="27" t="n">
        <f aca="false">IF(AND(ISNUMBER(BT116),ISNUMBER(BT114)),IFERROR(BT116/BT114,""),"")</f>
        <v>0.376761738210016</v>
      </c>
      <c r="BU218" s="27" t="n">
        <f aca="false">IF(AND(ISNUMBER(BU116),ISNUMBER(BU114)),IFERROR(BU116/BU114,""),"")</f>
        <v>0.375343327902038</v>
      </c>
      <c r="BV218" s="27" t="n">
        <f aca="false">IF(AND(ISNUMBER(BV116),ISNUMBER(BV114)),IFERROR(BV116/BV114,""),"")</f>
        <v>0.37203990884903</v>
      </c>
      <c r="BW218" s="27" t="n">
        <f aca="false">IF(AND(ISNUMBER(BW116),ISNUMBER(BW114)),IFERROR(BW116/BW114,""),"")</f>
        <v>0.36279710666782</v>
      </c>
      <c r="BX218" s="27" t="n">
        <f aca="false">IF(AND(ISNUMBER(BX116),ISNUMBER(BX114)),IFERROR(BX116/BX114,""),"")</f>
        <v>0.394033384992338</v>
      </c>
      <c r="BY218" s="22" t="n">
        <f aca="false">IFERROR(BY116/BY114,"")</f>
        <v>0.383396747058422</v>
      </c>
      <c r="BZ218" s="22" t="n">
        <f aca="false">IFERROR(BZ116/BZ114,"")</f>
        <v>0.380526490162787</v>
      </c>
      <c r="CA218" s="22" t="n">
        <f aca="false">IFERROR(CA116/CA114,"")</f>
        <v>0.380253074190785</v>
      </c>
      <c r="CB218" s="22" t="n">
        <f aca="false">IFERROR(CB116/CB114,"")</f>
        <v>0.388943479741233</v>
      </c>
      <c r="CC218" s="22" t="n">
        <f aca="false">IFERROR(CC116/CC114,"")</f>
        <v>0.392054525915163</v>
      </c>
      <c r="CD218" s="22" t="n">
        <f aca="false">IFERROR(CD116/CD114,"")</f>
        <v>0.394279716705898</v>
      </c>
      <c r="CE218" s="22" t="n">
        <f aca="false">IFERROR(CE116/CE114,"")</f>
        <v>0.396302660397684</v>
      </c>
    </row>
    <row r="219" customFormat="false" ht="15" hidden="false" customHeight="false" outlineLevel="0" collapsed="false">
      <c r="B219" s="20" t="s">
        <v>133</v>
      </c>
      <c r="C219" s="27" t="n">
        <f aca="false">IF(AND(ISNUMBER(C159),ISNUMBER(C114)),IFERROR(C159/C114,""),"")</f>
        <v>0.109680966809785</v>
      </c>
      <c r="D219" s="27" t="n">
        <f aca="false">IF(AND(ISNUMBER(D159),ISNUMBER(D114)),IFERROR(D159/D114,""),"")</f>
        <v>0.112543997829315</v>
      </c>
      <c r="E219" s="27" t="n">
        <f aca="false">IF(AND(ISNUMBER(E159),ISNUMBER(E114)),IFERROR(E159/E114,""),"")</f>
        <v>0.108834296829751</v>
      </c>
      <c r="F219" s="27" t="n">
        <f aca="false">IF(AND(ISNUMBER(F159),ISNUMBER(F114)),IFERROR(F159/F114,""),"")</f>
        <v>0.0935624333449375</v>
      </c>
      <c r="G219" s="27" t="n">
        <f aca="false">IF(AND(ISNUMBER(G159),ISNUMBER(G114)),IFERROR(G159/G114,""),"")</f>
        <v>0.0949869370049875</v>
      </c>
      <c r="H219" s="27" t="n">
        <f aca="false">IF(AND(ISNUMBER(H159),ISNUMBER(H114)),IFERROR(H159/H114,""),"")</f>
        <v>0.0997775213837489</v>
      </c>
      <c r="I219" s="27" t="n">
        <f aca="false">IF(AND(ISNUMBER(I159),ISNUMBER(I114)),IFERROR(I159/I114,""),"")</f>
        <v>0.096032065351077</v>
      </c>
      <c r="J219" s="27" t="n">
        <f aca="false">IF(AND(ISNUMBER(J159),ISNUMBER(J114)),IFERROR(J159/J114,""),"")</f>
        <v>0.0641586537244785</v>
      </c>
      <c r="K219" s="27" t="n">
        <f aca="false">IF(AND(ISNUMBER(K159),ISNUMBER(K114)),IFERROR(K159/K114,""),"")</f>
        <v>0.093555473888879</v>
      </c>
      <c r="L219" s="27" t="n">
        <f aca="false">IF(AND(ISNUMBER(L159),ISNUMBER(L114)),IFERROR(L159/L114,""),"")</f>
        <v>0.104695280413274</v>
      </c>
      <c r="M219" s="27" t="n">
        <f aca="false">IF(AND(ISNUMBER(M159),ISNUMBER(M114)),IFERROR(M159/M114,""),"")</f>
        <v>0.107067011561602</v>
      </c>
      <c r="N219" s="27" t="n">
        <f aca="false">IF(AND(ISNUMBER(N159),ISNUMBER(N114)),IFERROR(N159/N114,""),"")</f>
        <v>0.0930467175222272</v>
      </c>
      <c r="O219" s="27" t="n">
        <f aca="false">IF(AND(ISNUMBER(O159),ISNUMBER(O114)),IFERROR(O159/O114,""),"")</f>
        <v>0.0921420241591989</v>
      </c>
      <c r="P219" s="27" t="n">
        <f aca="false">IF(AND(ISNUMBER(P159),ISNUMBER(P114)),IFERROR(P159/P114,""),"")</f>
        <v>0.117479906567839</v>
      </c>
      <c r="Q219" s="27" t="n">
        <f aca="false">IF(AND(ISNUMBER(Q159),ISNUMBER(Q114)),IFERROR(Q159/Q114,""),"")</f>
        <v>0.132512591734675</v>
      </c>
      <c r="R219" s="27" t="n">
        <f aca="false">IF(AND(ISNUMBER(R159),ISNUMBER(R114)),IFERROR(R159/R114,""),"")</f>
        <v>0.130864184594105</v>
      </c>
      <c r="S219" s="27" t="n">
        <f aca="false">IF(AND(ISNUMBER(S159),ISNUMBER(S114)),IFERROR(S159/S114,""),"")</f>
        <v>0.125883699801081</v>
      </c>
      <c r="T219" s="27" t="n">
        <f aca="false">IF(AND(ISNUMBER(T159),ISNUMBER(T114)),IFERROR(T159/T114,""),"")</f>
        <v>0.133348834399184</v>
      </c>
      <c r="U219" s="27" t="n">
        <f aca="false">IF(AND(ISNUMBER(U159),ISNUMBER(U114)),IFERROR(U159/U114,""),"")</f>
        <v>0.120034336401354</v>
      </c>
      <c r="V219" s="27" t="n">
        <f aca="false">IF(AND(ISNUMBER(V159),ISNUMBER(V114)),IFERROR(V159/V114,""),"")</f>
        <v>0.121424833740854</v>
      </c>
      <c r="W219" s="27" t="n">
        <f aca="false">IF(AND(ISNUMBER(W159),ISNUMBER(W114)),IFERROR(W159/W114,""),"")</f>
        <v>0.184333041757607</v>
      </c>
      <c r="X219" s="27" t="n">
        <f aca="false">IF(AND(ISNUMBER(X159),ISNUMBER(X114)),IFERROR(X159/X114,""),"")</f>
        <v>0.131931923127666</v>
      </c>
      <c r="Y219" s="27" t="n">
        <f aca="false">IF(AND(ISNUMBER(Y159),ISNUMBER(Y114)),IFERROR(Y159/Y114,""),"")</f>
        <v>0.113728309636212</v>
      </c>
      <c r="Z219" s="27" t="n">
        <f aca="false">IF(AND(ISNUMBER(Z159),ISNUMBER(Z114)),IFERROR(Z159/Z114,""),"")</f>
        <v>0.127802825255365</v>
      </c>
      <c r="AA219" s="27" t="n">
        <f aca="false">IF(AND(ISNUMBER(AA159),ISNUMBER(AA114)),IFERROR(AA159/AA114,""),"")</f>
        <v>0.151004157036593</v>
      </c>
      <c r="AB219" s="27" t="n">
        <f aca="false">IF(AND(ISNUMBER(AB159),ISNUMBER(AB114)),IFERROR(AB159/AB114,""),"")</f>
        <v>0.187728753142869</v>
      </c>
      <c r="AC219" s="27" t="n">
        <f aca="false">IF(AND(ISNUMBER(AC159),ISNUMBER(AC114)),IFERROR(AC159/AC114,""),"")</f>
        <v>0.146092024822054</v>
      </c>
      <c r="AD219" s="27" t="n">
        <f aca="false">IF(AND(ISNUMBER(AD159),ISNUMBER(AD114)),IFERROR(AD159/AD114,""),"")</f>
        <v>0.0978378161580318</v>
      </c>
      <c r="AE219" s="27" t="n">
        <f aca="false">IF(AND(ISNUMBER(AE159),ISNUMBER(AE114)),IFERROR(AE159/AE114,""),"")</f>
        <v>0.146693490565539</v>
      </c>
      <c r="AF219" s="27" t="n">
        <f aca="false">IF(AND(ISNUMBER(AF159),ISNUMBER(AF114)),IFERROR(AF159/AF114,""),"")</f>
        <v>0.170012026744098</v>
      </c>
      <c r="AG219" s="27" t="n">
        <f aca="false">IF(AND(ISNUMBER(AG159),ISNUMBER(AG114)),IFERROR(AG159/AG114,""),"")</f>
        <v>0.17764075040735</v>
      </c>
      <c r="AH219" s="27" t="n">
        <f aca="false">IF(AND(ISNUMBER(AH159),ISNUMBER(AH114)),IFERROR(AH159/AH114,""),"")</f>
        <v>0.149598903755395</v>
      </c>
      <c r="AI219" s="27" t="n">
        <f aca="false">IF(AND(ISNUMBER(AI159),ISNUMBER(AI114)),IFERROR(AI159/AI114,""),"")</f>
        <v>0.117799832700786</v>
      </c>
      <c r="AJ219" s="27" t="n">
        <f aca="false">IF(AND(ISNUMBER(AJ159),ISNUMBER(AJ114)),IFERROR(AJ159/AJ114,""),"")</f>
        <v>0.175883204524277</v>
      </c>
      <c r="AK219" s="27" t="n">
        <f aca="false">IF(AND(ISNUMBER(AK159),ISNUMBER(AK114)),IFERROR(AK159/AK114,""),"")</f>
        <v>0.165101034106884</v>
      </c>
      <c r="AL219" s="27" t="n">
        <f aca="false">IF(AND(ISNUMBER(AL159),ISNUMBER(AL114)),IFERROR(AL159/AL114,""),"")</f>
        <v>0.170206992670616</v>
      </c>
      <c r="AM219" s="27" t="n">
        <f aca="false">IF(AND(ISNUMBER(AM159),ISNUMBER(AM114)),IFERROR(AM159/AM114,""),"")</f>
        <v>0.158385627540856</v>
      </c>
      <c r="AN219" s="27" t="n">
        <f aca="false">IF(AND(ISNUMBER(AN159),ISNUMBER(AN114)),IFERROR(AN159/AN114,""),"")</f>
        <v>0.125364421404289</v>
      </c>
      <c r="AO219" s="27" t="n">
        <f aca="false">IF(AND(ISNUMBER(AO159),ISNUMBER(AO114)),IFERROR(AO159/AO114,""),"")</f>
        <v>0.168545655997847</v>
      </c>
      <c r="AP219" s="27" t="n">
        <f aca="false">IF(AND(ISNUMBER(AP159),ISNUMBER(AP114)),IFERROR(AP159/AP114,""),"")</f>
        <v>0.174342961228207</v>
      </c>
      <c r="AQ219" s="27" t="n">
        <f aca="false">IF(AND(ISNUMBER(AQ159),ISNUMBER(AQ114)),IFERROR(AQ159/AQ114,""),"")</f>
        <v>0.187870460877349</v>
      </c>
      <c r="AR219" s="27" t="n">
        <f aca="false">IF(AND(ISNUMBER(AR159),ISNUMBER(AR114)),IFERROR(AR159/AR114,""),"")</f>
        <v>0.16519551552456</v>
      </c>
      <c r="AS219" s="27" t="n">
        <f aca="false">IF(AND(ISNUMBER(AS159),ISNUMBER(AS114)),IFERROR(AS159/AS114,""),"")</f>
        <v>0.133060337873463</v>
      </c>
      <c r="AT219" s="27" t="n">
        <f aca="false">IF(AND(ISNUMBER(AT159),ISNUMBER(AT114)),IFERROR(AT159/AT114,""),"")</f>
        <v>0.142715077075232</v>
      </c>
      <c r="AU219" s="27" t="n">
        <f aca="false">IF(AND(ISNUMBER(AU159),ISNUMBER(AU114)),IFERROR(AU159/AU114,""),"")</f>
        <v>0.174768287690644</v>
      </c>
      <c r="AV219" s="27" t="n">
        <f aca="false">IF(AND(ISNUMBER(AV159),ISNUMBER(AV114)),IFERROR(AV159/AV114,""),"")</f>
        <v>0.198670344860602</v>
      </c>
      <c r="AW219" s="27" t="n">
        <f aca="false">IF(AND(ISNUMBER(AW159),ISNUMBER(AW114)),IFERROR(AW159/AW114,""),"")</f>
        <v>0.163506926671952</v>
      </c>
      <c r="AX219" s="27" t="n">
        <f aca="false">IF(AND(ISNUMBER(AX159),ISNUMBER(AX114)),IFERROR(AX159/AX114,""),"")</f>
        <v>0.148729020080093</v>
      </c>
      <c r="AY219" s="27" t="n">
        <f aca="false">IF(AND(ISNUMBER(AY159),ISNUMBER(AY114)),IFERROR(AY159/AY114,""),"")</f>
        <v>0.152857223308313</v>
      </c>
      <c r="AZ219" s="27" t="n">
        <f aca="false">IF(AND(ISNUMBER(AZ159),ISNUMBER(AZ114)),IFERROR(AZ159/AZ114,""),"")</f>
        <v>0.173214161989884</v>
      </c>
      <c r="BA219" s="27" t="n">
        <f aca="false">IF(AND(ISNUMBER(BA159),ISNUMBER(BA114)),IFERROR(BA159/BA114,""),"")</f>
        <v>0.193593477693556</v>
      </c>
      <c r="BB219" s="27" t="n">
        <f aca="false">IF(AND(ISNUMBER(BB159),ISNUMBER(BB114)),IFERROR(BB159/BB114,""),"")</f>
        <v>0.16777117965339</v>
      </c>
      <c r="BC219" s="27" t="n">
        <f aca="false">IF(AND(ISNUMBER(BC159),ISNUMBER(BC114)),IFERROR(BC159/BC114,""),"")</f>
        <v>0.126573612816622</v>
      </c>
      <c r="BD219" s="27" t="n">
        <f aca="false">IF(AND(ISNUMBER(BD159),ISNUMBER(BD114)),IFERROR(BD159/BD114,""),"")</f>
        <v>0.160997576133531</v>
      </c>
      <c r="BE219" s="27" t="n">
        <f aca="false">IF(AND(ISNUMBER(BE159),ISNUMBER(BE114)),IFERROR(BE159/BE114,""),"")</f>
        <v>0.181570775618436</v>
      </c>
      <c r="BF219" s="27" t="n">
        <f aca="false">IF(AND(ISNUMBER(BF159),ISNUMBER(BF114)),IFERROR(BF159/BF114,""),"")</f>
        <v>0.210742214567124</v>
      </c>
      <c r="BG219" s="27" t="n">
        <f aca="false">IF(AND(ISNUMBER(BG159),ISNUMBER(BG114)),IFERROR(BG159/BG114,""),"")</f>
        <v>0.173278712957441</v>
      </c>
      <c r="BH219" s="27" t="n">
        <f aca="false">IF(AND(ISNUMBER(BH159),ISNUMBER(BH114)),IFERROR(BH159/BH114,""),"")</f>
        <v>0.128857432710903</v>
      </c>
      <c r="BI219" s="27" t="n">
        <f aca="false">IF(AND(ISNUMBER(BI159),ISNUMBER(BI114)),IFERROR(BI159/BI114,""),"")</f>
        <v>0.163876569429696</v>
      </c>
      <c r="BJ219" s="27" t="n">
        <f aca="false">IF(AND(ISNUMBER(BJ159),ISNUMBER(BJ114)),IFERROR(BJ159/BJ114,""),"")</f>
        <v>0.184795244130405</v>
      </c>
      <c r="BK219" s="27" t="n">
        <f aca="false">IF(AND(ISNUMBER(BK159),ISNUMBER(BK114)),IFERROR(BK159/BK114,""),"")</f>
        <v>0.207716810195077</v>
      </c>
      <c r="BL219" s="27" t="n">
        <f aca="false">IF(AND(ISNUMBER(BL159),ISNUMBER(BL114)),IFERROR(BL159/BL114,""),"")</f>
        <v>0.17354490957776</v>
      </c>
      <c r="BM219" s="27" t="n">
        <f aca="false">IF(AND(ISNUMBER(BM159),ISNUMBER(BM114)),IFERROR(BM159/BM114,""),"")</f>
        <v>0.140164926307583</v>
      </c>
      <c r="BN219" s="27" t="n">
        <f aca="false">IF(AND(ISNUMBER(BN159),ISNUMBER(BN114)),IFERROR(BN159/BN114,""),"")</f>
        <v>0.169911479616866</v>
      </c>
      <c r="BO219" s="27" t="n">
        <f aca="false">IF(AND(ISNUMBER(BO159),ISNUMBER(BO114)),IFERROR(BO159/BO114,""),"")</f>
        <v>0.186586107710679</v>
      </c>
      <c r="BP219" s="27" t="n">
        <f aca="false">IF(AND(ISNUMBER(BP159),ISNUMBER(BP114)),IFERROR(BP159/BP114,""),"")</f>
        <v>0.198338495207524</v>
      </c>
      <c r="BQ219" s="27" t="n">
        <f aca="false">IF(AND(ISNUMBER(BQ159),ISNUMBER(BQ114)),IFERROR(BQ159/BQ114,""),"")</f>
        <v>0.174890402343466</v>
      </c>
      <c r="BR219" s="27" t="n">
        <f aca="false">IF(AND(ISNUMBER(BR159),ISNUMBER(BR114)),IFERROR(BR159/BR114,""),"")</f>
        <v>0.166338772039794</v>
      </c>
      <c r="BS219" s="27" t="n">
        <f aca="false">IF(AND(ISNUMBER(BS159),ISNUMBER(BS114)),IFERROR(BS159/BS114,""),"")</f>
        <v>0.182576296864162</v>
      </c>
      <c r="BT219" s="27" t="n">
        <f aca="false">IF(AND(ISNUMBER(BT159),ISNUMBER(BT114)),IFERROR(BT159/BT114,""),"")</f>
        <v>0.19601804019927</v>
      </c>
      <c r="BU219" s="27" t="n">
        <f aca="false">IF(AND(ISNUMBER(BU159),ISNUMBER(BU114)),IFERROR(BU159/BU114,""),"")</f>
        <v>0.197015568422175</v>
      </c>
      <c r="BV219" s="27" t="n">
        <f aca="false">IF(AND(ISNUMBER(BV159),ISNUMBER(BV114)),IFERROR(BV159/BV114,""),"")</f>
        <v>0.186084841749248</v>
      </c>
      <c r="BW219" s="27" t="n">
        <f aca="false">IF(AND(ISNUMBER(BW159),ISNUMBER(BW114)),IFERROR(BW159/BW114,""),"")</f>
        <v>0.175573254298244</v>
      </c>
      <c r="BX219" s="27" t="n">
        <f aca="false">IF(AND(ISNUMBER(BX159),ISNUMBER(BX114)),IFERROR(BX159/BX114,""),"")</f>
        <v>0.193946372758677</v>
      </c>
      <c r="BY219" s="22" t="n">
        <f aca="false">IFERROR(BY159/BY114,"")</f>
        <v>0.198835614023458</v>
      </c>
      <c r="BZ219" s="22" t="n">
        <f aca="false">IFERROR(BZ159/BZ114,"")</f>
        <v>0.198919889819169</v>
      </c>
      <c r="CA219" s="22" t="n">
        <f aca="false">IFERROR(CA159/CA114,"")</f>
        <v>0.192059095106187</v>
      </c>
      <c r="CB219" s="22" t="n">
        <f aca="false">IFERROR(CB159/CB114,"")</f>
        <v>0.196943479741233</v>
      </c>
      <c r="CC219" s="22" t="n">
        <f aca="false">IFERROR(CC159/CC114,"")</f>
        <v>0.200054525915163</v>
      </c>
      <c r="CD219" s="22" t="n">
        <f aca="false">IFERROR(CD159/CD114,"")</f>
        <v>0.202279716705898</v>
      </c>
      <c r="CE219" s="22" t="n">
        <f aca="false">IFERROR(CE159/CE114,"")</f>
        <v>0.204302660397684</v>
      </c>
    </row>
    <row r="220" customFormat="false" ht="15" hidden="false" customHeight="false" outlineLevel="0" collapsed="false">
      <c r="B220" s="20" t="s">
        <v>363</v>
      </c>
      <c r="C220" s="27" t="n">
        <f aca="false">IF(AND(ISNUMBER(C174),ISNUMBER(C114)),IFERROR(C174/C114,""),"")</f>
        <v>0.149294742055368</v>
      </c>
      <c r="D220" s="27" t="n">
        <f aca="false">IF(AND(ISNUMBER(D174),ISNUMBER(D114)),IFERROR(D174/D114,""),"")</f>
        <v>0.151924724456135</v>
      </c>
      <c r="E220" s="27" t="n">
        <f aca="false">IF(AND(ISNUMBER(E174),ISNUMBER(E114)),IFERROR(E174/E114,""),"")</f>
        <v>0.149405509960987</v>
      </c>
      <c r="F220" s="27" t="n">
        <f aca="false">IF(AND(ISNUMBER(F174),ISNUMBER(F114)),IFERROR(F174/F114,""),"")</f>
        <v>0.135823815128558</v>
      </c>
      <c r="G220" s="27" t="n">
        <f aca="false">IF(AND(ISNUMBER(G174),ISNUMBER(G114)),IFERROR(G174/G114,""),"")</f>
        <v>0.137216382992435</v>
      </c>
      <c r="H220" s="27" t="n">
        <f aca="false">IF(AND(ISNUMBER(H174),ISNUMBER(H114)),IFERROR(H174/H114,""),"")</f>
        <v>0.142764089906676</v>
      </c>
      <c r="I220" s="27" t="n">
        <f aca="false">IF(AND(ISNUMBER(I174),ISNUMBER(I114)),IFERROR(I174/I114,""),"")</f>
        <v>0.140793129289189</v>
      </c>
      <c r="J220" s="27" t="n">
        <f aca="false">IF(AND(ISNUMBER(J174),ISNUMBER(J114)),IFERROR(J174/J114,""),"")</f>
        <v>0.115450482295039</v>
      </c>
      <c r="K220" s="27" t="n">
        <f aca="false">IF(AND(ISNUMBER(K174),ISNUMBER(K114)),IFERROR(K174/K114,""),"")</f>
        <v>0.141853398242152</v>
      </c>
      <c r="L220" s="27" t="n">
        <f aca="false">IF(AND(ISNUMBER(L174),ISNUMBER(L114)),IFERROR(L174/L114,""),"")</f>
        <v>0.153685819264251</v>
      </c>
      <c r="M220" s="27" t="n">
        <f aca="false">IF(AND(ISNUMBER(M174),ISNUMBER(M114)),IFERROR(M174/M114,""),"")</f>
        <v>0.152565989738899</v>
      </c>
      <c r="N220" s="27" t="n">
        <f aca="false">IF(AND(ISNUMBER(N174),ISNUMBER(N114)),IFERROR(N174/N114,""),"")</f>
        <v>0.141437032688365</v>
      </c>
      <c r="O220" s="27" t="n">
        <f aca="false">IF(AND(ISNUMBER(O174),ISNUMBER(O114)),IFERROR(O174/O114,""),"")</f>
        <v>0.14039805928171</v>
      </c>
      <c r="P220" s="27" t="n">
        <f aca="false">IF(AND(ISNUMBER(P174),ISNUMBER(P114)),IFERROR(P174/P114,""),"")</f>
        <v>0.164125483560476</v>
      </c>
      <c r="Q220" s="27" t="n">
        <f aca="false">IF(AND(ISNUMBER(Q174),ISNUMBER(Q114)),IFERROR(Q174/Q114,""),"")</f>
        <v>0.185324596867884</v>
      </c>
      <c r="R220" s="27" t="n">
        <f aca="false">IF(AND(ISNUMBER(R174),ISNUMBER(R114)),IFERROR(R174/R114,""),"")</f>
        <v>0.179759896329984</v>
      </c>
      <c r="S220" s="27" t="n">
        <f aca="false">IF(AND(ISNUMBER(S174),ISNUMBER(S114)),IFERROR(S174/S114,""),"")</f>
        <v>0.178903904640221</v>
      </c>
      <c r="T220" s="27" t="n">
        <f aca="false">IF(AND(ISNUMBER(T174),ISNUMBER(T114)),IFERROR(T174/T114,""),"")</f>
        <v>0.180415928992913</v>
      </c>
      <c r="U220" s="27" t="n">
        <f aca="false">IF(AND(ISNUMBER(U174),ISNUMBER(U114)),IFERROR(U174/U114,""),"")</f>
        <v>0.167411967116292</v>
      </c>
      <c r="V220" s="27" t="n">
        <f aca="false">IF(AND(ISNUMBER(V174),ISNUMBER(V114)),IFERROR(V174/V114,""),"")</f>
        <v>0.168786094170702</v>
      </c>
      <c r="W220" s="27" t="n">
        <f aca="false">IF(AND(ISNUMBER(W174),ISNUMBER(W114)),IFERROR(W174/W114,""),"")</f>
        <v>0.225745853538399</v>
      </c>
      <c r="X220" s="27" t="n">
        <f aca="false">IF(AND(ISNUMBER(X174),ISNUMBER(X114)),IFERROR(X174/X114,""),"")</f>
        <v>0.177636586943817</v>
      </c>
      <c r="Y220" s="27" t="n">
        <f aca="false">IF(AND(ISNUMBER(Y174),ISNUMBER(Y114)),IFERROR(Y174/Y114,""),"")</f>
        <v>0.162361198553347</v>
      </c>
      <c r="Z220" s="27" t="n">
        <f aca="false">IF(AND(ISNUMBER(Z174),ISNUMBER(Z114)),IFERROR(Z174/Z114,""),"")</f>
        <v>0.173789243307568</v>
      </c>
      <c r="AA220" s="27" t="n">
        <f aca="false">IF(AND(ISNUMBER(AA174),ISNUMBER(AA114)),IFERROR(AA174/AA114,""),"")</f>
        <v>0.197212734572819</v>
      </c>
      <c r="AB220" s="27" t="n">
        <f aca="false">IF(AND(ISNUMBER(AB174),ISNUMBER(AB114)),IFERROR(AB174/AB114,""),"")</f>
        <v>0.229437413140111</v>
      </c>
      <c r="AC220" s="27" t="n">
        <f aca="false">IF(AND(ISNUMBER(AC174),ISNUMBER(AC114)),IFERROR(AC174/AC114,""),"")</f>
        <v>0.191616510924255</v>
      </c>
      <c r="AD220" s="27" t="n">
        <f aca="false">IF(AND(ISNUMBER(AD174),ISNUMBER(AD114)),IFERROR(AD174/AD114,""),"")</f>
        <v>0.145443676457388</v>
      </c>
      <c r="AE220" s="27" t="n">
        <f aca="false">IF(AND(ISNUMBER(AE174),ISNUMBER(AE114)),IFERROR(AE174/AE114,""),"")</f>
        <v>0.190796137781356</v>
      </c>
      <c r="AF220" s="27" t="n">
        <f aca="false">IF(AND(ISNUMBER(AF174),ISNUMBER(AF114)),IFERROR(AF174/AF114,""),"")</f>
        <v>0.213776696994723</v>
      </c>
      <c r="AG220" s="27" t="n">
        <f aca="false">IF(AND(ISNUMBER(AG174),ISNUMBER(AG114)),IFERROR(AG174/AG114,""),"")</f>
        <v>0.218792542994471</v>
      </c>
      <c r="AH220" s="27" t="n">
        <f aca="false">IF(AND(ISNUMBER(AH174),ISNUMBER(AH114)),IFERROR(AH174/AH114,""),"")</f>
        <v>0.19362966342085</v>
      </c>
      <c r="AI220" s="27" t="n">
        <f aca="false">IF(AND(ISNUMBER(AI174),ISNUMBER(AI114)),IFERROR(AI174/AI114,""),"")</f>
        <v>0.162731360566333</v>
      </c>
      <c r="AJ220" s="27" t="n">
        <f aca="false">IF(AND(ISNUMBER(AJ174),ISNUMBER(AJ114)),IFERROR(AJ174/AJ114,""),"")</f>
        <v>0.218856098197963</v>
      </c>
      <c r="AK220" s="27" t="n">
        <f aca="false">IF(AND(ISNUMBER(AK174),ISNUMBER(AK114)),IFERROR(AK174/AK114,""),"")</f>
        <v>0.208583238298065</v>
      </c>
      <c r="AL220" s="27" t="n">
        <f aca="false">IF(AND(ISNUMBER(AL174),ISNUMBER(AL114)),IFERROR(AL174/AL114,""),"")</f>
        <v>0.209988252017354</v>
      </c>
      <c r="AM220" s="27" t="n">
        <f aca="false">IF(AND(ISNUMBER(AM174),ISNUMBER(AM114)),IFERROR(AM174/AM114,""),"")</f>
        <v>0.201070554163116</v>
      </c>
      <c r="AN220" s="27" t="n">
        <f aca="false">IF(AND(ISNUMBER(AN174),ISNUMBER(AN114)),IFERROR(AN174/AN114,""),"")</f>
        <v>0.169964759628852</v>
      </c>
      <c r="AO220" s="27" t="n">
        <f aca="false">IF(AND(ISNUMBER(AO174),ISNUMBER(AO114)),IFERROR(AO174/AO114,""),"")</f>
        <v>0.208932450281379</v>
      </c>
      <c r="AP220" s="27" t="n">
        <f aca="false">IF(AND(ISNUMBER(AP174),ISNUMBER(AP114)),IFERROR(AP174/AP114,""),"")</f>
        <v>0.215648581837106</v>
      </c>
      <c r="AQ220" s="27" t="n">
        <f aca="false">IF(AND(ISNUMBER(AQ174),ISNUMBER(AQ114)),IFERROR(AQ174/AQ114,""),"")</f>
        <v>0.22662484312359</v>
      </c>
      <c r="AR220" s="27" t="n">
        <f aca="false">IF(AND(ISNUMBER(AR174),ISNUMBER(AR114)),IFERROR(AR174/AR114,""),"")</f>
        <v>0.20635854018612</v>
      </c>
      <c r="AS220" s="27" t="n">
        <f aca="false">IF(AND(ISNUMBER(AS174),ISNUMBER(AS114)),IFERROR(AS174/AS114,""),"")</f>
        <v>0.1798676382289</v>
      </c>
      <c r="AT220" s="27" t="n">
        <f aca="false">IF(AND(ISNUMBER(AT174),ISNUMBER(AT114)),IFERROR(AT174/AT114,""),"")</f>
        <v>0.194394297214602</v>
      </c>
      <c r="AU220" s="27" t="n">
        <f aca="false">IF(AND(ISNUMBER(AU174),ISNUMBER(AU114)),IFERROR(AU174/AU114,""),"")</f>
        <v>0.224104028242835</v>
      </c>
      <c r="AV220" s="27" t="n">
        <f aca="false">IF(AND(ISNUMBER(AV174),ISNUMBER(AV114)),IFERROR(AV174/AV114,""),"")</f>
        <v>0.245247171042002</v>
      </c>
      <c r="AW220" s="27" t="n">
        <f aca="false">IF(AND(ISNUMBER(AW174),ISNUMBER(AW114)),IFERROR(AW174/AW114,""),"")</f>
        <v>0.211974812406119</v>
      </c>
      <c r="AX220" s="27" t="n">
        <f aca="false">IF(AND(ISNUMBER(AX174),ISNUMBER(AX114)),IFERROR(AX174/AX114,""),"")</f>
        <v>0.196622109372775</v>
      </c>
      <c r="AY220" s="27" t="n">
        <f aca="false">IF(AND(ISNUMBER(AY174),ISNUMBER(AY114)),IFERROR(AY174/AY114,""),"")</f>
        <v>0.199552691493898</v>
      </c>
      <c r="AZ220" s="27" t="n">
        <f aca="false">IF(AND(ISNUMBER(AZ174),ISNUMBER(AZ114)),IFERROR(AZ174/AZ114,""),"")</f>
        <v>0.219335856620568</v>
      </c>
      <c r="BA220" s="27" t="n">
        <f aca="false">IF(AND(ISNUMBER(BA174),ISNUMBER(BA114)),IFERROR(BA174/BA114,""),"")</f>
        <v>0.2358036948938</v>
      </c>
      <c r="BB220" s="27" t="n">
        <f aca="false">IF(AND(ISNUMBER(BB174),ISNUMBER(BB114)),IFERROR(BB174/BB114,""),"")</f>
        <v>0.213416490717422</v>
      </c>
      <c r="BC220" s="27" t="n">
        <f aca="false">IF(AND(ISNUMBER(BC174),ISNUMBER(BC114)),IFERROR(BC174/BC114,""),"")</f>
        <v>0.175483188283008</v>
      </c>
      <c r="BD220" s="27" t="n">
        <f aca="false">IF(AND(ISNUMBER(BD174),ISNUMBER(BD114)),IFERROR(BD174/BD114,""),"")</f>
        <v>0.204128286045783</v>
      </c>
      <c r="BE220" s="27" t="n">
        <f aca="false">IF(AND(ISNUMBER(BE174),ISNUMBER(BE114)),IFERROR(BE174/BE114,""),"")</f>
        <v>0.228950648806899</v>
      </c>
      <c r="BF220" s="27" t="n">
        <f aca="false">IF(AND(ISNUMBER(BF174),ISNUMBER(BF114)),IFERROR(BF174/BF114,""),"")</f>
        <v>0.248367022364766</v>
      </c>
      <c r="BG220" s="27" t="n">
        <f aca="false">IF(AND(ISNUMBER(BG174),ISNUMBER(BG114)),IFERROR(BG174/BG114,""),"")</f>
        <v>0.217090173541518</v>
      </c>
      <c r="BH220" s="27" t="n">
        <f aca="false">IF(AND(ISNUMBER(BH174),ISNUMBER(BH114)),IFERROR(BH174/BH114,""),"")</f>
        <v>0.174710712360904</v>
      </c>
      <c r="BI220" s="27" t="n">
        <f aca="false">IF(AND(ISNUMBER(BI174),ISNUMBER(BI114)),IFERROR(BI174/BI114,""),"")</f>
        <v>0.205114736597028</v>
      </c>
      <c r="BJ220" s="27" t="n">
        <f aca="false">IF(AND(ISNUMBER(BJ174),ISNUMBER(BJ114)),IFERROR(BJ174/BJ114,""),"")</f>
        <v>0.224640562398699</v>
      </c>
      <c r="BK220" s="27" t="n">
        <f aca="false">IF(AND(ISNUMBER(BK174),ISNUMBER(BK114)),IFERROR(BK174/BK114,""),"")</f>
        <v>0.245049892401415</v>
      </c>
      <c r="BL220" s="27" t="n">
        <f aca="false">IF(AND(ISNUMBER(BL174),ISNUMBER(BL114)),IFERROR(BL174/BL114,""),"")</f>
        <v>0.21437330009106</v>
      </c>
      <c r="BM220" s="27" t="n">
        <f aca="false">IF(AND(ISNUMBER(BM174),ISNUMBER(BM114)),IFERROR(BM174/BM114,""),"")</f>
        <v>0.178000384201737</v>
      </c>
      <c r="BN220" s="27" t="n">
        <f aca="false">IF(AND(ISNUMBER(BN174),ISNUMBER(BN114)),IFERROR(BN174/BN114,""),"")</f>
        <v>0.204529613616874</v>
      </c>
      <c r="BO220" s="27" t="n">
        <f aca="false">IF(AND(ISNUMBER(BO174),ISNUMBER(BO114)),IFERROR(BO174/BO114,""),"")</f>
        <v>0.219997546681887</v>
      </c>
      <c r="BP220" s="27" t="n">
        <f aca="false">IF(AND(ISNUMBER(BP174),ISNUMBER(BP114)),IFERROR(BP174/BP114,""),"")</f>
        <v>0.230878319279206</v>
      </c>
      <c r="BQ220" s="27" t="n">
        <f aca="false">IF(AND(ISNUMBER(BQ174),ISNUMBER(BQ114)),IFERROR(BQ174/BQ114,""),"")</f>
        <v>0.209385910305336</v>
      </c>
      <c r="BR220" s="27" t="n">
        <f aca="false">IF(AND(ISNUMBER(BR174),ISNUMBER(BR114)),IFERROR(BR174/BR114,""),"")</f>
        <v>0.20459507599501</v>
      </c>
      <c r="BS220" s="27" t="n">
        <f aca="false">IF(AND(ISNUMBER(BS174),ISNUMBER(BS114)),IFERROR(BS174/BS114,""),"")</f>
        <v>0.218291397437302</v>
      </c>
      <c r="BT220" s="27" t="n">
        <f aca="false">IF(AND(ISNUMBER(BT174),ISNUMBER(BT114)),IFERROR(BT174/BT114,""),"")</f>
        <v>0.231904000368167</v>
      </c>
      <c r="BU220" s="27" t="n">
        <f aca="false">IF(AND(ISNUMBER(BU174),ISNUMBER(BU114)),IFERROR(BU174/BU114,""),"")</f>
        <v>0.230277059413019</v>
      </c>
      <c r="BV220" s="27" t="n">
        <f aca="false">IF(AND(ISNUMBER(BV174),ISNUMBER(BV114)),IFERROR(BV174/BV114,""),"")</f>
        <v>0.221763437393164</v>
      </c>
      <c r="BW220" s="27" t="n">
        <f aca="false">IF(AND(ISNUMBER(BW174),ISNUMBER(BW114)),IFERROR(BW174/BW114,""),"")</f>
        <v>0.206617802376525</v>
      </c>
      <c r="BX220" s="27" t="n">
        <f aca="false">IF(AND(ISNUMBER(BX174),ISNUMBER(BX114)),IFERROR(BX174/BX114,""),"")</f>
        <v>0.224649570133592</v>
      </c>
      <c r="BY220" s="22" t="n">
        <f aca="false">IFERROR(BY174/BY114,"")</f>
        <v>0.23006358580069</v>
      </c>
      <c r="BZ220" s="22" t="n">
        <f aca="false">IFERROR(BZ174/BZ114,"")</f>
        <v>0.22790391818078</v>
      </c>
      <c r="CA220" s="22" t="n">
        <f aca="false">IFERROR(CA174/CA114,"")</f>
        <v>0.222512099414652</v>
      </c>
      <c r="CB220" s="22" t="n">
        <f aca="false">IFERROR(CB174/CB114,"")</f>
        <v>0.22802203414563</v>
      </c>
      <c r="CC220" s="22" t="n">
        <f aca="false">IFERROR(CC174/CC114,"")</f>
        <v>0.230765917675808</v>
      </c>
      <c r="CD220" s="22" t="n">
        <f aca="false">IFERROR(CD174/CD114,"")</f>
        <v>0.233925732142077</v>
      </c>
      <c r="CE220" s="22" t="n">
        <f aca="false">IFERROR(CE174/CE114,"")</f>
        <v>0.236507096491128</v>
      </c>
    </row>
    <row r="221" customFormat="false" ht="15" hidden="false" customHeight="false" outlineLevel="0" collapsed="false">
      <c r="B221" s="20" t="s">
        <v>411</v>
      </c>
      <c r="D221" s="27" t="n">
        <f aca="false">IFERROR((D159-C159)/(D114-C114),"")</f>
        <v>0.124386632211609</v>
      </c>
      <c r="E221" s="27" t="n">
        <f aca="false">IFERROR((E159-D159)/(E114-D114),"")</f>
        <v>0.0840195617101373</v>
      </c>
      <c r="F221" s="27" t="n">
        <f aca="false">IFERROR((F159-E159)/(F114-E114),"")</f>
        <v>1.46029339853301</v>
      </c>
      <c r="G221" s="27" t="n">
        <f aca="false">IFERROR((G159-F159)/(G114-F114),"")</f>
        <v>0.125880830257418</v>
      </c>
      <c r="H221" s="27" t="n">
        <f aca="false">IFERROR((H159-G159)/(H114-G114),"")</f>
        <v>0.156109468558227</v>
      </c>
      <c r="I221" s="27" t="n">
        <f aca="false">IFERROR((I159-H159)/(I114-H114),"")</f>
        <v>-0.0804845592621549</v>
      </c>
      <c r="N221" s="27" t="n">
        <f aca="false">IFERROR((N159-I159)/(N114-I114),"")</f>
        <v>0.0778855116146762</v>
      </c>
      <c r="O221" s="27" t="n">
        <f aca="false">IFERROR((O159-J159)/(O114-J114),"")</f>
        <v>0.432529502308877</v>
      </c>
      <c r="P221" s="27" t="n">
        <f aca="false">IFERROR((P159-K159)/(P114-K114),"")</f>
        <v>0.542557169567092</v>
      </c>
      <c r="Q221" s="27" t="n">
        <f aca="false">IFERROR((Q159-L159)/(Q114-L114),"")</f>
        <v>-0.273310179000802</v>
      </c>
      <c r="R221" s="27" t="n">
        <f aca="false">IFERROR((R159-M159)/(R114-M114),"")</f>
        <v>-0.000102246271943776</v>
      </c>
      <c r="S221" s="27" t="n">
        <f aca="false">IFERROR((S159-N159)/(S114-N114),"")</f>
        <v>-0.182159203422445</v>
      </c>
      <c r="T221" s="27" t="n">
        <f aca="false">IFERROR((T159-O159)/(T114-O114),"")</f>
        <v>-0.144245008559754</v>
      </c>
      <c r="U221" s="27" t="n">
        <f aca="false">IFERROR((U159-P159)/(U114-P114),"")</f>
        <v>0.104495701952302</v>
      </c>
      <c r="V221" s="27" t="n">
        <f aca="false">IFERROR((V159-Q159)/(V114-Q114),"")</f>
        <v>0.304102005359407</v>
      </c>
      <c r="W221" s="27" t="n">
        <f aca="false">IFERROR((W159-R159)/(W114-R114),"")</f>
        <v>2.07780320366133</v>
      </c>
      <c r="X221" s="27" t="n">
        <f aca="false">IFERROR((X159-S159)/(X114-S114),"")</f>
        <v>-0.230403546724341</v>
      </c>
      <c r="Y221" s="27" t="n">
        <f aca="false">IFERROR((Y159-T159)/(Y114-T114),"")</f>
        <v>0.364752178394077</v>
      </c>
      <c r="Z221" s="27" t="n">
        <f aca="false">IFERROR((Z159-U159)/(Z114-U114),"")</f>
        <v>-0.21298680399099</v>
      </c>
      <c r="AA221" s="27" t="n">
        <f aca="false">IFERROR((AA159-V159)/(AA114-V114),"")</f>
        <v>-0.691861410833383</v>
      </c>
      <c r="AB221" s="27" t="n">
        <f aca="false">IFERROR((AB159-W159)/(AB114-W114),"")</f>
        <v>0.101513648712751</v>
      </c>
      <c r="AC221" s="27" t="n">
        <f aca="false">IFERROR((AC159-X159)/(AC114-X114),"")</f>
        <v>-0.176719861088144</v>
      </c>
      <c r="AD221" s="27" t="n">
        <f aca="false">IFERROR((AD159-Y159)/(AD114-Y114),"")</f>
        <v>-0.300537741485759</v>
      </c>
      <c r="AE221" s="27" t="n">
        <f aca="false">IFERROR((AE159-Z159)/(AE114-Z114),"")</f>
        <v>0.43517642674922</v>
      </c>
      <c r="AF221" s="27" t="n">
        <f aca="false">IFERROR((AF159-AA159)/(AF114-AA114),"")</f>
        <v>0.3285204492756</v>
      </c>
      <c r="AG221" s="27" t="n">
        <f aca="false">IFERROR((AG159-AB159)/(AG114-AB114),"")</f>
        <v>0.0544532009068332</v>
      </c>
      <c r="AH221" s="27" t="n">
        <f aca="false">IFERROR((AH159-AC159)/(AH114-AC114),"")</f>
        <v>0.195225022363428</v>
      </c>
      <c r="AI221" s="27" t="n">
        <f aca="false">IFERROR((AI159-AD159)/(AI114-AD114),"")</f>
        <v>0.554552672266097</v>
      </c>
      <c r="AJ221" s="27" t="n">
        <f aca="false">IFERROR((AJ159-AE159)/(AJ114-AE114),"")</f>
        <v>0.490625890397948</v>
      </c>
      <c r="AK221" s="27" t="n">
        <f aca="false">IFERROR((AK159-AF159)/(AK114-AF114),"")</f>
        <v>0.0636548814200524</v>
      </c>
      <c r="AL221" s="27" t="n">
        <f aca="false">IFERROR((AL159-AG159)/(AL114-AG114),"")</f>
        <v>0.0464059225388519</v>
      </c>
      <c r="AM221" s="27" t="n">
        <f aca="false">IFERROR((AM159-AH159)/(AM114-AH114),"")</f>
        <v>0.300101556008495</v>
      </c>
      <c r="AN221" s="27" t="n">
        <f aca="false">IFERROR((AN159-AI159)/(AN114-AI114),"")</f>
        <v>0.259872694206287</v>
      </c>
      <c r="AO221" s="27" t="n">
        <f aca="false">IFERROR((AO159-AJ159)/(AO114-AJ114),"")</f>
        <v>-0.0748743181088913</v>
      </c>
      <c r="AP221" s="27" t="n">
        <f aca="false">IFERROR((AP159-AK159)/(AP114-AK114),"")</f>
        <v>0.456714732898855</v>
      </c>
      <c r="AQ221" s="27" t="n">
        <f aca="false">IFERROR((AQ159-AL159)/(AQ114-AL114),"")</f>
        <v>1.79046020422437</v>
      </c>
      <c r="AR221" s="27" t="n">
        <f aca="false">IFERROR((AR159-AM159)/(AR114-AM114),"")</f>
        <v>0.380947376717547</v>
      </c>
      <c r="AS221" s="27" t="n">
        <f aca="false">IFERROR((AS159-AN159)/(AS114-AN114),"")</f>
        <v>0.32726796701139</v>
      </c>
      <c r="AT221" s="27" t="n">
        <f aca="false">IFERROR((AT159-AO159)/(AT114-AO114),"")</f>
        <v>0.328278002001146</v>
      </c>
      <c r="AU221" s="27" t="n">
        <f aca="false">IFERROR((AU159-AP159)/(AU114-AP114),"")</f>
        <v>0.168723709148061</v>
      </c>
      <c r="AV221" s="27" t="n">
        <f aca="false">IFERROR((AV159-AQ159)/(AV114-AQ114),"")</f>
        <v>0.75751597885268</v>
      </c>
      <c r="AW221" s="27" t="n">
        <f aca="false">IFERROR((AW159-AR159)/(AW114-AR114),"")</f>
        <v>0.206985769728333</v>
      </c>
      <c r="AX221" s="27" t="n">
        <f aca="false">IFERROR((AX159-AS159)/(AX114-AS114),"")</f>
        <v>-2.10930009587724</v>
      </c>
      <c r="AY221" s="27" t="n">
        <f aca="false">IFERROR((AY159-AT159)/(AY114-AT114),"")</f>
        <v>0.230937185085657</v>
      </c>
      <c r="AZ221" s="27" t="n">
        <f aca="false">IFERROR((AZ159-AU159)/(AZ114-AU114),"")</f>
        <v>0.155086215692276</v>
      </c>
      <c r="BA221" s="27" t="n">
        <f aca="false">IFERROR((BA159-AV159)/(BA114-AV114),"")</f>
        <v>2.20640569395026</v>
      </c>
      <c r="BB221" s="27" t="n">
        <f aca="false">IFERROR((BB159-AW159)/(BB114-AW114),"")</f>
        <v>0.256756402984424</v>
      </c>
      <c r="BC221" s="27" t="n">
        <f aca="false">IFERROR((BC159-AX159)/(BC114-AX114),"")</f>
        <v>0.47840310654822</v>
      </c>
      <c r="BD221" s="27" t="n">
        <f aca="false">IFERROR((BD159-AY159)/(BD114-AY114),"")</f>
        <v>-0.255808205635189</v>
      </c>
      <c r="BE221" s="27" t="n">
        <f aca="false">IFERROR((BE159-AZ159)/(BE114-AZ114),"")</f>
        <v>0.704222513352814</v>
      </c>
      <c r="BF221" s="27" t="n">
        <f aca="false">IFERROR((BF159-BA159)/(BF114-BA114),"")</f>
        <v>0.336519739954019</v>
      </c>
      <c r="BG221" s="27" t="n">
        <f aca="false">IFERROR((BG159-BB159)/(BG114-BB114),"")</f>
        <v>0.443398461658906</v>
      </c>
      <c r="BH221" s="27" t="n">
        <f aca="false">IFERROR((BH159-BC159)/(BH114-BC114),"")</f>
        <v>0.146752755640836</v>
      </c>
      <c r="BI221" s="27" t="n">
        <f aca="false">IFERROR((BI159-BD159)/(BI114-BD114),"")</f>
        <v>0.18233567272383</v>
      </c>
      <c r="BJ221" s="27" t="n">
        <f aca="false">IFERROR((BJ159-BE159)/(BJ114-BE114),"")</f>
        <v>0.206474451932099</v>
      </c>
      <c r="BK221" s="27" t="n">
        <f aca="false">IFERROR((BK159-BF159)/(BK114-BF114),"")</f>
        <v>0.126217734480556</v>
      </c>
      <c r="BL221" s="27" t="n">
        <f aca="false">IFERROR((BL159-BG159)/(BL114-BG114),"")</f>
        <v>0.175905499604645</v>
      </c>
      <c r="BM221" s="27" t="n">
        <f aca="false">IFERROR((BM159-BH159)/(BM114-BH114),"")</f>
        <v>0.226833683647807</v>
      </c>
      <c r="BN221" s="27" t="n">
        <f aca="false">IFERROR((BN159-BI159)/(BN114-BI114),"")</f>
        <v>0.222787486784005</v>
      </c>
      <c r="BO221" s="27" t="n">
        <f aca="false">IFERROR((BO159-BJ159)/(BO114-BJ114),"")</f>
        <v>0.203976297726298</v>
      </c>
      <c r="BP221" s="27" t="n">
        <f aca="false">IFERROR((BP159-BK159)/(BP114-BK114),"")</f>
        <v>0.00703494107263053</v>
      </c>
      <c r="BQ221" s="27" t="n">
        <f aca="false">IFERROR((BQ159-BL159)/(BQ114-BL114),"")</f>
        <v>0.188770774719377</v>
      </c>
      <c r="BR221" s="27" t="n">
        <f aca="false">IFERROR((BR159-BM159)/(BR114-BM114),"")</f>
        <v>0.368184865589653</v>
      </c>
      <c r="BS221" s="27" t="n">
        <f aca="false">IFERROR((BS159-BN159)/(BS114-BN114),"")</f>
        <v>0.290864520346462</v>
      </c>
      <c r="BT221" s="27" t="n">
        <f aca="false">IFERROR((BT159-BO159)/(BT114-BO114),"")</f>
        <v>0.30327962193247</v>
      </c>
      <c r="BU221" s="27" t="n">
        <f aca="false">IFERROR((BU159-BP159)/(BU114-BP114),"")</f>
        <v>0.188125672547037</v>
      </c>
      <c r="BV221" s="27" t="n">
        <f aca="false">IFERROR((BV159-BQ159)/(BV114-BQ114),"")</f>
        <v>0.278718818186397</v>
      </c>
      <c r="BW221" s="27" t="n">
        <f aca="false">IFERROR((BW159-BR159)/(BW114-BR114),"")</f>
        <v>0.244432720608653</v>
      </c>
      <c r="BX221" s="27" t="n">
        <f aca="false">IFERROR((BX159-BS159)/(BX114-BS114),"")</f>
        <v>0.404073199527744</v>
      </c>
      <c r="BY221" s="22" t="n">
        <f aca="false">IFERROR((BY159-BT159)/(BY114-BT114),"")</f>
        <v>0.236323458379993</v>
      </c>
      <c r="BZ221" s="22" t="n">
        <f aca="false">IFERROR((BZ159-BU159)/(BZ114-BU114),"")</f>
        <v>0.224202660691041</v>
      </c>
      <c r="CA221" s="22" t="n">
        <f aca="false">IFERROR((CA159-BV159)/(CA114-BV114),"")</f>
        <v>0.263603625807867</v>
      </c>
      <c r="CB221" s="22" t="n">
        <f aca="false">IFERROR((CB159-CA159)/(CB114-CA114),"")</f>
        <v>0.254566448801743</v>
      </c>
      <c r="CC221" s="22" t="n">
        <f aca="false">IFERROR((CC159-CB159)/(CC114-CB114),"")</f>
        <v>0.233601442842655</v>
      </c>
      <c r="CD221" s="22" t="n">
        <f aca="false">IFERROR((CD159-CC159)/(CD114-CC114),"")</f>
        <v>0.228326876197132</v>
      </c>
      <c r="CE221" s="22" t="n">
        <f aca="false">IFERROR((CE159-CD159)/(CE114-CD114),"")</f>
        <v>0.228555318662431</v>
      </c>
    </row>
    <row r="222" customFormat="false" ht="15" hidden="false" customHeight="false" outlineLevel="0" collapsed="false">
      <c r="B222" s="20" t="s">
        <v>122</v>
      </c>
      <c r="C222" s="27" t="n">
        <f aca="false">IF(AND(ISNUMBER(C123),ISNUMBER(C114)),IFERROR(C123/C114,""),"")</f>
        <v>0.109680966809785</v>
      </c>
      <c r="D222" s="27" t="n">
        <f aca="false">IF(AND(ISNUMBER(D123),ISNUMBER(D114)),IFERROR(D123/D114,""),"")</f>
        <v>0.112543997829315</v>
      </c>
      <c r="E222" s="27" t="n">
        <f aca="false">IF(AND(ISNUMBER(E123),ISNUMBER(E114)),IFERROR(E123/E114,""),"")</f>
        <v>0.108834296829751</v>
      </c>
      <c r="F222" s="27" t="n">
        <f aca="false">IF(AND(ISNUMBER(F123),ISNUMBER(F114)),IFERROR(F123/F114,""),"")</f>
        <v>0.0935624333449375</v>
      </c>
      <c r="G222" s="27" t="n">
        <f aca="false">IF(AND(ISNUMBER(G123),ISNUMBER(G114)),IFERROR(G123/G114,""),"")</f>
        <v>0.0949869370049875</v>
      </c>
      <c r="H222" s="27" t="n">
        <f aca="false">IF(AND(ISNUMBER(H123),ISNUMBER(H114)),IFERROR(H123/H114,""),"")</f>
        <v>0.0997775213837489</v>
      </c>
      <c r="I222" s="27" t="n">
        <f aca="false">IF(AND(ISNUMBER(I123),ISNUMBER(I114)),IFERROR(I123/I114,""),"")</f>
        <v>0.0769627537760116</v>
      </c>
      <c r="J222" s="27" t="n">
        <f aca="false">IF(AND(ISNUMBER(J123),ISNUMBER(J114)),IFERROR(J123/J114,""),"")</f>
        <v>0.0641586537244785</v>
      </c>
      <c r="K222" s="27" t="n">
        <f aca="false">IF(AND(ISNUMBER(K123),ISNUMBER(K114)),IFERROR(K123/K114,""),"")</f>
        <v>0.093555473888879</v>
      </c>
      <c r="L222" s="27" t="n">
        <f aca="false">IF(AND(ISNUMBER(L123),ISNUMBER(L114)),IFERROR(L123/L114,""),"")</f>
        <v>0.104695280413274</v>
      </c>
      <c r="M222" s="27" t="n">
        <f aca="false">IF(AND(ISNUMBER(M123),ISNUMBER(M114)),IFERROR(M123/M114,""),"")</f>
        <v>0.107067011561602</v>
      </c>
      <c r="N222" s="27" t="n">
        <f aca="false">IF(AND(ISNUMBER(N123),ISNUMBER(N114)),IFERROR(N123/N114,""),"")</f>
        <v>0.0930467175222272</v>
      </c>
      <c r="O222" s="27" t="n">
        <f aca="false">IF(AND(ISNUMBER(O123),ISNUMBER(O114)),IFERROR(O123/O114,""),"")</f>
        <v>0.0921420241591989</v>
      </c>
      <c r="P222" s="27" t="n">
        <f aca="false">IF(AND(ISNUMBER(P123),ISNUMBER(P114)),IFERROR(P123/P114,""),"")</f>
        <v>0.117479906567839</v>
      </c>
      <c r="Q222" s="27" t="n">
        <f aca="false">IF(AND(ISNUMBER(Q123),ISNUMBER(Q114)),IFERROR(Q123/Q114,""),"")</f>
        <v>0.132512591734675</v>
      </c>
      <c r="R222" s="27" t="n">
        <f aca="false">IF(AND(ISNUMBER(R123),ISNUMBER(R114)),IFERROR(R123/R114,""),"")</f>
        <v>0.130864184594105</v>
      </c>
      <c r="S222" s="27" t="n">
        <f aca="false">IF(AND(ISNUMBER(S123),ISNUMBER(S114)),IFERROR(S123/S114,""),"")</f>
        <v>0.125883699801081</v>
      </c>
      <c r="T222" s="27" t="n">
        <f aca="false">IF(AND(ISNUMBER(T123),ISNUMBER(T114)),IFERROR(T123/T114,""),"")</f>
        <v>0.133348834399184</v>
      </c>
      <c r="U222" s="27" t="n">
        <f aca="false">IF(AND(ISNUMBER(U123),ISNUMBER(U114)),IFERROR(U123/U114,""),"")</f>
        <v>0.120034336401354</v>
      </c>
      <c r="V222" s="27" t="n">
        <f aca="false">IF(AND(ISNUMBER(V123),ISNUMBER(V114)),IFERROR(V123/V114,""),"")</f>
        <v>0.121424833740854</v>
      </c>
      <c r="W222" s="27" t="n">
        <f aca="false">IF(AND(ISNUMBER(W123),ISNUMBER(W114)),IFERROR(W123/W114,""),"")</f>
        <v>0.184333041757607</v>
      </c>
      <c r="X222" s="27" t="n">
        <f aca="false">IF(AND(ISNUMBER(X123),ISNUMBER(X114)),IFERROR(X123/X114,""),"")</f>
        <v>0.140825766893973</v>
      </c>
      <c r="Y222" s="27" t="n">
        <f aca="false">IF(AND(ISNUMBER(Y123),ISNUMBER(Y114)),IFERROR(Y123/Y114,""),"")</f>
        <v>0.113728309636212</v>
      </c>
      <c r="Z222" s="27" t="n">
        <f aca="false">IF(AND(ISNUMBER(Z123),ISNUMBER(Z114)),IFERROR(Z123/Z114,""),"")</f>
        <v>0.127802825255365</v>
      </c>
      <c r="AA222" s="27" t="n">
        <f aca="false">IF(AND(ISNUMBER(AA123),ISNUMBER(AA114)),IFERROR(AA123/AA114,""),"")</f>
        <v>0.151004157036593</v>
      </c>
      <c r="AB222" s="27" t="n">
        <f aca="false">IF(AND(ISNUMBER(AB123),ISNUMBER(AB114)),IFERROR(AB123/AB114,""),"")</f>
        <v>0.187728753142869</v>
      </c>
      <c r="AC222" s="27" t="n">
        <f aca="false">IF(AND(ISNUMBER(AC123),ISNUMBER(AC114)),IFERROR(AC123/AC114,""),"")</f>
        <v>0.146092024822054</v>
      </c>
      <c r="AD222" s="27" t="n">
        <f aca="false">IF(AND(ISNUMBER(AD123),ISNUMBER(AD114)),IFERROR(AD123/AD114,""),"")</f>
        <v>0.0978378161580318</v>
      </c>
      <c r="AE222" s="27" t="n">
        <f aca="false">IF(AND(ISNUMBER(AE123),ISNUMBER(AE114)),IFERROR(AE123/AE114,""),"")</f>
        <v>0.146693490565539</v>
      </c>
      <c r="AF222" s="27" t="n">
        <f aca="false">IF(AND(ISNUMBER(AF123),ISNUMBER(AF114)),IFERROR(AF123/AF114,""),"")</f>
        <v>0.170012026744098</v>
      </c>
      <c r="AG222" s="27" t="n">
        <f aca="false">IF(AND(ISNUMBER(AG123),ISNUMBER(AG114)),IFERROR(AG123/AG114,""),"")</f>
        <v>0.17764075040735</v>
      </c>
      <c r="AH222" s="27" t="n">
        <f aca="false">IF(AND(ISNUMBER(AH123),ISNUMBER(AH114)),IFERROR(AH123/AH114,""),"")</f>
        <v>0.149598903755395</v>
      </c>
      <c r="AI222" s="27" t="n">
        <f aca="false">IF(AND(ISNUMBER(AI123),ISNUMBER(AI114)),IFERROR(AI123/AI114,""),"")</f>
        <v>0.117799832700786</v>
      </c>
      <c r="AJ222" s="27" t="n">
        <f aca="false">IF(AND(ISNUMBER(AJ123),ISNUMBER(AJ114)),IFERROR(AJ123/AJ114,""),"")</f>
        <v>0.164559614894776</v>
      </c>
      <c r="AK222" s="27" t="n">
        <f aca="false">IF(AND(ISNUMBER(AK123),ISNUMBER(AK114)),IFERROR(AK123/AK114,""),"")</f>
        <v>0.162996541779967</v>
      </c>
      <c r="AL222" s="27" t="n">
        <f aca="false">IF(AND(ISNUMBER(AL123),ISNUMBER(AL114)),IFERROR(AL123/AL114,""),"")</f>
        <v>0.169598009318216</v>
      </c>
      <c r="AM222" s="27" t="n">
        <f aca="false">IF(AND(ISNUMBER(AM123),ISNUMBER(AM114)),IFERROR(AM123/AM114,""),"")</f>
        <v>0.154913582396806</v>
      </c>
      <c r="AN222" s="27" t="n">
        <f aca="false">IF(AND(ISNUMBER(AN123),ISNUMBER(AN114)),IFERROR(AN123/AN114,""),"")</f>
        <v>0.1245776515872</v>
      </c>
      <c r="AO222" s="27" t="n">
        <f aca="false">IF(AND(ISNUMBER(AO123),ISNUMBER(AO114)),IFERROR(AO123/AO114,""),"")</f>
        <v>0.165392271626113</v>
      </c>
      <c r="AP222" s="27" t="n">
        <f aca="false">IF(AND(ISNUMBER(AP123),ISNUMBER(AP114)),IFERROR(AP123/AP114,""),"")</f>
        <v>0.171690411137133</v>
      </c>
      <c r="AQ222" s="27" t="n">
        <f aca="false">IF(AND(ISNUMBER(AQ123),ISNUMBER(AQ114)),IFERROR(AQ123/AQ114,""),"")</f>
        <v>0.183988008008893</v>
      </c>
      <c r="AR222" s="27" t="n">
        <f aca="false">IF(AND(ISNUMBER(AR123),ISNUMBER(AR114)),IFERROR(AR123/AR114,""),"")</f>
        <v>0.162363075626989</v>
      </c>
      <c r="AS222" s="27" t="n">
        <f aca="false">IF(AND(ISNUMBER(AS123),ISNUMBER(AS114)),IFERROR(AS123/AS114,""),"")</f>
        <v>0.120496115469761</v>
      </c>
      <c r="AT222" s="27" t="n">
        <f aca="false">IF(AND(ISNUMBER(AT123),ISNUMBER(AT114)),IFERROR(AT123/AT114,""),"")</f>
        <v>0.100625946510026</v>
      </c>
      <c r="AU222" s="27" t="n">
        <f aca="false">IF(AND(ISNUMBER(AU123),ISNUMBER(AU114)),IFERROR(AU123/AU114,""),"")</f>
        <v>0.147954738687296</v>
      </c>
      <c r="AV222" s="27" t="n">
        <f aca="false">IF(AND(ISNUMBER(AV123),ISNUMBER(AV114)),IFERROR(AV123/AV114,""),"")</f>
        <v>0.114414969690804</v>
      </c>
      <c r="AW222" s="27" t="n">
        <f aca="false">IF(AND(ISNUMBER(AW123),ISNUMBER(AW114)),IFERROR(AW123/AW114,""),"")</f>
        <v>0.120789383005985</v>
      </c>
      <c r="AX222" s="27" t="n">
        <f aca="false">IF(AND(ISNUMBER(AX123),ISNUMBER(AX114)),IFERROR(AX123/AX114,""),"")</f>
        <v>0.142475031780779</v>
      </c>
      <c r="AY222" s="27" t="n">
        <f aca="false">IF(AND(ISNUMBER(AY123),ISNUMBER(AY114)),IFERROR(AY123/AY114,""),"")</f>
        <v>0.15218626054916</v>
      </c>
      <c r="AZ222" s="27" t="n">
        <f aca="false">IF(AND(ISNUMBER(AZ123),ISNUMBER(AZ114)),IFERROR(AZ123/AZ114,""),"")</f>
        <v>0.157373525464093</v>
      </c>
      <c r="BA222" s="27" t="n">
        <f aca="false">IF(AND(ISNUMBER(BA123),ISNUMBER(BA114)),IFERROR(BA123/BA114,""),"")</f>
        <v>0.158025850458487</v>
      </c>
      <c r="BB222" s="27" t="n">
        <f aca="false">IF(AND(ISNUMBER(BB123),ISNUMBER(BB114)),IFERROR(BB123/BB114,""),"")</f>
        <v>0.152710908640342</v>
      </c>
      <c r="BC222" s="27" t="n">
        <f aca="false">IF(AND(ISNUMBER(BC123),ISNUMBER(BC114)),IFERROR(BC123/BC114,""),"")</f>
        <v>0.108157673189016</v>
      </c>
      <c r="BD222" s="27" t="n">
        <f aca="false">IF(AND(ISNUMBER(BD123),ISNUMBER(BD114)),IFERROR(BD123/BD114,""),"")</f>
        <v>0.160997576133531</v>
      </c>
      <c r="BE222" s="27" t="n">
        <f aca="false">IF(AND(ISNUMBER(BE123),ISNUMBER(BE114)),IFERROR(BE123/BE114,""),"")</f>
        <v>0.170619879405337</v>
      </c>
      <c r="BF222" s="27" t="n">
        <f aca="false">IF(AND(ISNUMBER(BF123),ISNUMBER(BF114)),IFERROR(BF123/BF114,""),"")</f>
        <v>0.207538951911465</v>
      </c>
      <c r="BG222" s="27" t="n">
        <f aca="false">IF(AND(ISNUMBER(BG123),ISNUMBER(BG114)),IFERROR(BG123/BG114,""),"")</f>
        <v>0.165599867032978</v>
      </c>
      <c r="BH222" s="27" t="n">
        <f aca="false">IF(AND(ISNUMBER(BH123),ISNUMBER(BH114)),IFERROR(BH123/BH114,""),"")</f>
        <v>0.124615604095996</v>
      </c>
      <c r="BI222" s="27" t="n">
        <f aca="false">IF(AND(ISNUMBER(BI123),ISNUMBER(BI114)),IFERROR(BI123/BI114,""),"")</f>
        <v>0.160101704155049</v>
      </c>
      <c r="BJ222" s="27" t="n">
        <f aca="false">IF(AND(ISNUMBER(BJ123),ISNUMBER(BJ114)),IFERROR(BJ123/BJ114,""),"")</f>
        <v>0.182954912566993</v>
      </c>
      <c r="BK222" s="27" t="n">
        <f aca="false">IF(AND(ISNUMBER(BK123),ISNUMBER(BK114)),IFERROR(BK123/BK114,""),"")</f>
        <v>0.204499669759516</v>
      </c>
      <c r="BL222" s="27" t="n">
        <f aca="false">IF(AND(ISNUMBER(BL123),ISNUMBER(BL114)),IFERROR(BL123/BL114,""),"")</f>
        <v>0.170312292975297</v>
      </c>
      <c r="BM222" s="27" t="n">
        <f aca="false">IF(AND(ISNUMBER(BM123),ISNUMBER(BM114)),IFERROR(BM123/BM114,""),"")</f>
        <v>0.140164926307583</v>
      </c>
      <c r="BN222" s="27" t="n">
        <f aca="false">IF(AND(ISNUMBER(BN123),ISNUMBER(BN114)),IFERROR(BN123/BN114,""),"")</f>
        <v>0.164243728585063</v>
      </c>
      <c r="BO222" s="27" t="n">
        <f aca="false">IF(AND(ISNUMBER(BO123),ISNUMBER(BO114)),IFERROR(BO123/BO114,""),"")</f>
        <v>0.181374058414005</v>
      </c>
      <c r="BP222" s="27" t="n">
        <f aca="false">IF(AND(ISNUMBER(BP123),ISNUMBER(BP114)),IFERROR(BP123/BP114,""),"")</f>
        <v>0.187836416506837</v>
      </c>
      <c r="BQ222" s="27" t="n">
        <f aca="false">IF(AND(ISNUMBER(BQ123),ISNUMBER(BQ114)),IFERROR(BQ123/BQ114,""),"")</f>
        <v>0.169357574949803</v>
      </c>
      <c r="BR222" s="27" t="n">
        <f aca="false">IF(AND(ISNUMBER(BR123),ISNUMBER(BR114)),IFERROR(BR123/BR114,""),"")</f>
        <v>0.160374606681603</v>
      </c>
      <c r="BS222" s="27" t="n">
        <f aca="false">IF(AND(ISNUMBER(BS123),ISNUMBER(BS114)),IFERROR(BS123/BS114,""),"")</f>
        <v>0.178315399919688</v>
      </c>
      <c r="BT222" s="27" t="n">
        <f aca="false">IF(AND(ISNUMBER(BT123),ISNUMBER(BT114)),IFERROR(BT123/BT114,""),"")</f>
        <v>0.19127558475327</v>
      </c>
      <c r="BU222" s="27" t="n">
        <f aca="false">IF(AND(ISNUMBER(BU123),ISNUMBER(BU114)),IFERROR(BU123/BU114,""),"")</f>
        <v>0.191934157073901</v>
      </c>
      <c r="BV222" s="27" t="n">
        <f aca="false">IF(AND(ISNUMBER(BV123),ISNUMBER(BV114)),IFERROR(BV123/BV114,""),"")</f>
        <v>0.181090232828298</v>
      </c>
      <c r="BW222" s="27" t="n">
        <f aca="false">IF(AND(ISNUMBER(BW123),ISNUMBER(BW114)),IFERROR(BW123/BW114,""),"")</f>
        <v>0.174577289596985</v>
      </c>
      <c r="BX222" s="27" t="n">
        <f aca="false">IF(AND(ISNUMBER(BX123),ISNUMBER(BX114)),IFERROR(BX123/BX114,""),"")</f>
        <v>0.193386853793474</v>
      </c>
      <c r="BY222" s="22" t="n">
        <f aca="false">IFERROR(BY123/BY114,"")</f>
        <v>0.195786378504032</v>
      </c>
      <c r="BZ222" s="22" t="n">
        <f aca="false">IFERROR(BZ123/BZ114,"")</f>
        <v>0.196121621835661</v>
      </c>
      <c r="CA222" s="22" t="n">
        <f aca="false">IFERROR(CA123/CA114,"")</f>
        <v>0.190179132040628</v>
      </c>
      <c r="CB222" s="22" t="n">
        <f aca="false">IFERROR(CB123/CB114,"")</f>
        <v>0.196943479741233</v>
      </c>
      <c r="CC222" s="22" t="n">
        <f aca="false">IFERROR(CC123/CC114,"")</f>
        <v>0.200054525915163</v>
      </c>
      <c r="CD222" s="22" t="n">
        <f aca="false">IFERROR(CD123/CD114,"")</f>
        <v>0.202279716705898</v>
      </c>
      <c r="CE222" s="22" t="n">
        <f aca="false">IFERROR(CE123/CE114,"")</f>
        <v>0.204302660397684</v>
      </c>
    </row>
    <row r="223" customFormat="false" ht="15" hidden="false" customHeight="false" outlineLevel="0" collapsed="false">
      <c r="B223" s="20" t="s">
        <v>412</v>
      </c>
      <c r="C223" s="27" t="n">
        <f aca="false">IF(AND(ISNUMBER(C138),ISNUMBER(C114)),IFERROR(C138/C114,""),"")</f>
        <v>0.0628387363462295</v>
      </c>
      <c r="D223" s="27" t="n">
        <f aca="false">IF(AND(ISNUMBER(D138),ISNUMBER(D114)),IFERROR(D138/D114,""),"")</f>
        <v>0.0655275594112017</v>
      </c>
      <c r="E223" s="27" t="n">
        <f aca="false">IF(AND(ISNUMBER(E138),ISNUMBER(E114)),IFERROR(E138/E114,""),"")</f>
        <v>0.0607002742959555</v>
      </c>
      <c r="F223" s="27" t="n">
        <f aca="false">IF(AND(ISNUMBER(F138),ISNUMBER(F114)),IFERROR(F138/F114,""),"")</f>
        <v>0.0526172990954252</v>
      </c>
      <c r="G223" s="27" t="n">
        <f aca="false">IF(AND(ISNUMBER(G138),ISNUMBER(G114)),IFERROR(G138/G114,""),"")</f>
        <v>0.0563076887320179</v>
      </c>
      <c r="H223" s="27" t="n">
        <f aca="false">IF(AND(ISNUMBER(H138),ISNUMBER(H114)),IFERROR(H138/H114,""),"")</f>
        <v>0.063493060322375</v>
      </c>
      <c r="I223" s="27" t="n">
        <f aca="false">IF(AND(ISNUMBER(I138),ISNUMBER(I114)),IFERROR(I138/I114,""),"")</f>
        <v>0.0542704541510862</v>
      </c>
      <c r="J223" s="27" t="n">
        <f aca="false">IF(AND(ISNUMBER(J138),ISNUMBER(J114)),IFERROR(J138/J114,""),"")</f>
        <v>0.0353356830839887</v>
      </c>
      <c r="K223" s="27" t="n">
        <f aca="false">IF(AND(ISNUMBER(K138),ISNUMBER(K114)),IFERROR(K138/K114,""),"")</f>
        <v>0.0540241254875042</v>
      </c>
      <c r="L223" s="27" t="n">
        <f aca="false">IF(AND(ISNUMBER(L138),ISNUMBER(L114)),IFERROR(L138/L114,""),"")</f>
        <v>0.0605343726224348</v>
      </c>
      <c r="M223" s="27" t="n">
        <f aca="false">IF(AND(ISNUMBER(M138),ISNUMBER(M114)),IFERROR(M138/M114,""),"")</f>
        <v>0.0676075057522187</v>
      </c>
      <c r="N223" s="27" t="n">
        <f aca="false">IF(AND(ISNUMBER(N138),ISNUMBER(N114)),IFERROR(N138/N114,""),"")</f>
        <v>0.0549556291672956</v>
      </c>
      <c r="O223" s="27" t="n">
        <f aca="false">IF(AND(ISNUMBER(O138),ISNUMBER(O114)),IFERROR(O138/O114,""),"")</f>
        <v>0.0548227972036695</v>
      </c>
      <c r="P223" s="27" t="n">
        <f aca="false">IF(AND(ISNUMBER(P138),ISNUMBER(P114)),IFERROR(P138/P114,""),"")</f>
        <v>0.0557757505532973</v>
      </c>
      <c r="Q223" s="27" t="n">
        <f aca="false">IF(AND(ISNUMBER(Q138),ISNUMBER(Q114)),IFERROR(Q138/Q114,""),"")</f>
        <v>0.0447422135000555</v>
      </c>
      <c r="R223" s="27" t="n">
        <f aca="false">IF(AND(ISNUMBER(R138),ISNUMBER(R114)),IFERROR(R138/R114,""),"")</f>
        <v>0.0292532475470934</v>
      </c>
      <c r="S223" s="27" t="n">
        <f aca="false">IF(AND(ISNUMBER(S138),ISNUMBER(S114)),IFERROR(S138/S114,""),"")</f>
        <v>0.0505268094614392</v>
      </c>
      <c r="T223" s="27" t="n">
        <f aca="false">IF(AND(ISNUMBER(T138),ISNUMBER(T114)),IFERROR(T138/T114,""),"")</f>
        <v>0.0292768752780579</v>
      </c>
      <c r="U223" s="27" t="n">
        <f aca="false">IF(AND(ISNUMBER(U138),ISNUMBER(U114)),IFERROR(U138/U114,""),"")</f>
        <v>0.0472070492338506</v>
      </c>
      <c r="V223" s="27" t="n">
        <f aca="false">IF(AND(ISNUMBER(V138),ISNUMBER(V114)),IFERROR(V138/V114,""),"")</f>
        <v>0.0644752490319388</v>
      </c>
      <c r="W223" s="27" t="n">
        <f aca="false">IF(AND(ISNUMBER(W138),ISNUMBER(W114)),IFERROR(W138/W114,""),"")</f>
        <v>0.118638482900358</v>
      </c>
      <c r="X223" s="27" t="n">
        <f aca="false">IF(AND(ISNUMBER(X138),ISNUMBER(X114)),IFERROR(X138/X114,""),"")</f>
        <v>0.0659482799658881</v>
      </c>
      <c r="Y223" s="27" t="n">
        <f aca="false">IF(AND(ISNUMBER(Y138),ISNUMBER(Y114)),IFERROR(Y138/Y114,""),"")</f>
        <v>0.0651808217164807</v>
      </c>
      <c r="Z223" s="27" t="n">
        <f aca="false">IF(AND(ISNUMBER(Z138),ISNUMBER(Z114)),IFERROR(Z138/Z114,""),"")</f>
        <v>0.0750104173314363</v>
      </c>
      <c r="AA223" s="27" t="n">
        <f aca="false">IF(AND(ISNUMBER(AA138),ISNUMBER(AA114)),IFERROR(AA138/AA114,""),"")</f>
        <v>0.0905792242827732</v>
      </c>
      <c r="AB223" s="27" t="n">
        <f aca="false">IF(AND(ISNUMBER(AB138),ISNUMBER(AB114)),IFERROR(AB138/AB114,""),"")</f>
        <v>0.121320942206568</v>
      </c>
      <c r="AC223" s="27" t="n">
        <f aca="false">IF(AND(ISNUMBER(AC138),ISNUMBER(AC114)),IFERROR(AC138/AC114,""),"")</f>
        <v>0.0888265192175562</v>
      </c>
      <c r="AD223" s="27" t="n">
        <f aca="false">IF(AND(ISNUMBER(AD138),ISNUMBER(AD114)),IFERROR(AD138/AD114,""),"")</f>
        <v>0.0621611143048678</v>
      </c>
      <c r="AE223" s="27" t="n">
        <f aca="false">IF(AND(ISNUMBER(AE138),ISNUMBER(AE114)),IFERROR(AE138/AE114,""),"")</f>
        <v>0.0892270453956907</v>
      </c>
      <c r="AF223" s="27" t="n">
        <f aca="false">IF(AND(ISNUMBER(AF138),ISNUMBER(AF114)),IFERROR(AF138/AF114,""),"")</f>
        <v>0.112597089985755</v>
      </c>
      <c r="AG223" s="27" t="n">
        <f aca="false">IF(AND(ISNUMBER(AG138),ISNUMBER(AG114)),IFERROR(AG138/AG114,""),"")</f>
        <v>0.110724144073766</v>
      </c>
      <c r="AH223" s="27" t="n">
        <f aca="false">IF(AND(ISNUMBER(AH138),ISNUMBER(AH114)),IFERROR(AH138/AH114,""),"")</f>
        <v>0.094622870896238</v>
      </c>
      <c r="AI223" s="27" t="n">
        <f aca="false">IF(AND(ISNUMBER(AI138),ISNUMBER(AI114)),IFERROR(AI138/AI114,""),"")</f>
        <v>0.0797100390486593</v>
      </c>
      <c r="AJ223" s="27" t="n">
        <f aca="false">IF(AND(ISNUMBER(AJ138),ISNUMBER(AJ114)),IFERROR(AJ138/AJ114,""),"")</f>
        <v>0.120567856094974</v>
      </c>
      <c r="AK223" s="27" t="n">
        <f aca="false">IF(AND(ISNUMBER(AK138),ISNUMBER(AK114)),IFERROR(AK138/AK114,""),"")</f>
        <v>0.125098884266359</v>
      </c>
      <c r="AL223" s="27" t="n">
        <f aca="false">IF(AND(ISNUMBER(AL138),ISNUMBER(AL114)),IFERROR(AL138/AL114,""),"")</f>
        <v>0.127709205053174</v>
      </c>
      <c r="AM223" s="27" t="n">
        <f aca="false">IF(AND(ISNUMBER(AM138),ISNUMBER(AM114)),IFERROR(AM138/AM114,""),"")</f>
        <v>0.114331618871109</v>
      </c>
      <c r="AN223" s="27" t="n">
        <f aca="false">IF(AND(ISNUMBER(AN138),ISNUMBER(AN114)),IFERROR(AN138/AN114,""),"")</f>
        <v>0.0961294383328088</v>
      </c>
      <c r="AO223" s="27" t="n">
        <f aca="false">IF(AND(ISNUMBER(AO138),ISNUMBER(AO114)),IFERROR(AO138/AO114,""),"")</f>
        <v>0.125309078617081</v>
      </c>
      <c r="AP223" s="27" t="n">
        <f aca="false">IF(AND(ISNUMBER(AP138),ISNUMBER(AP114)),IFERROR(AP138/AP114,""),"")</f>
        <v>0.134188784803539</v>
      </c>
      <c r="AQ223" s="27" t="n">
        <f aca="false">IF(AND(ISNUMBER(AQ138),ISNUMBER(AQ114)),IFERROR(AQ138/AQ114,""),"")</f>
        <v>0.136340277322419</v>
      </c>
      <c r="AR223" s="27" t="n">
        <f aca="false">IF(AND(ISNUMBER(AR138),ISNUMBER(AR114)),IFERROR(AR138/AR114,""),"")</f>
        <v>0.123628545624308</v>
      </c>
      <c r="AS223" s="27" t="n">
        <f aca="false">IF(AND(ISNUMBER(AS138),ISNUMBER(AS114)),IFERROR(AS138/AS114,""),"")</f>
        <v>0.086091701858354</v>
      </c>
      <c r="AT223" s="27" t="n">
        <f aca="false">IF(AND(ISNUMBER(AT138),ISNUMBER(AT114)),IFERROR(AT138/AT114,""),"")</f>
        <v>0.0563915447225419</v>
      </c>
      <c r="AU223" s="27" t="n">
        <f aca="false">IF(AND(ISNUMBER(AU138),ISNUMBER(AU114)),IFERROR(AU138/AU114,""),"")</f>
        <v>0.113048315821516</v>
      </c>
      <c r="AV223" s="27" t="n">
        <f aca="false">IF(AND(ISNUMBER(AV138),ISNUMBER(AV114)),IFERROR(AV138/AV114,""),"")</f>
        <v>0.0807741560998378</v>
      </c>
      <c r="AW223" s="27" t="n">
        <f aca="false">IF(AND(ISNUMBER(AW138),ISNUMBER(AW114)),IFERROR(AW138/AW114,""),"")</f>
        <v>0.0842173579956977</v>
      </c>
      <c r="AX223" s="27" t="n">
        <f aca="false">IF(AND(ISNUMBER(AX138),ISNUMBER(AX114)),IFERROR(AX138/AX114,""),"")</f>
        <v>0.0996032217921511</v>
      </c>
      <c r="AY223" s="27" t="n">
        <f aca="false">IF(AND(ISNUMBER(AY138),ISNUMBER(AY114)),IFERROR(AY138/AY114,""),"")</f>
        <v>0.0988069091464936</v>
      </c>
      <c r="AZ223" s="27" t="n">
        <f aca="false">IF(AND(ISNUMBER(AZ138),ISNUMBER(AZ114)),IFERROR(AZ138/AZ114,""),"")</f>
        <v>0.112312062634241</v>
      </c>
      <c r="BA223" s="27" t="n">
        <f aca="false">IF(AND(ISNUMBER(BA138),ISNUMBER(BA114)),IFERROR(BA138/BA114,""),"")</f>
        <v>0.114852765171172</v>
      </c>
      <c r="BB223" s="27" t="n">
        <f aca="false">IF(AND(ISNUMBER(BB138),ISNUMBER(BB114)),IFERROR(BB138/BB114,""),"")</f>
        <v>0.106610676830288</v>
      </c>
      <c r="BC223" s="27" t="n">
        <f aca="false">IF(AND(ISNUMBER(BC138),ISNUMBER(BC114)),IFERROR(BC138/BC114,""),"")</f>
        <v>0.0727217804279476</v>
      </c>
      <c r="BD223" s="27" t="n">
        <f aca="false">IF(AND(ISNUMBER(BD138),ISNUMBER(BD114)),IFERROR(BD138/BD114,""),"")</f>
        <v>0.116306204737124</v>
      </c>
      <c r="BE223" s="27" t="n">
        <f aca="false">IF(AND(ISNUMBER(BE138),ISNUMBER(BE114)),IFERROR(BE138/BE114,""),"")</f>
        <v>0.116991413736119</v>
      </c>
      <c r="BF223" s="27" t="n">
        <f aca="false">IF(AND(ISNUMBER(BF138),ISNUMBER(BF114)),IFERROR(BF138/BF114,""),"")</f>
        <v>0.143893409356378</v>
      </c>
      <c r="BG223" s="27" t="n">
        <f aca="false">IF(AND(ISNUMBER(BG138),ISNUMBER(BG114)),IFERROR(BG138/BG114,""),"")</f>
        <v>0.115113461933301</v>
      </c>
      <c r="BH223" s="27" t="n">
        <f aca="false">IF(AND(ISNUMBER(BH138),ISNUMBER(BH114)),IFERROR(BH138/BH114,""),"")</f>
        <v>0.0901087404495451</v>
      </c>
      <c r="BI223" s="27" t="n">
        <f aca="false">IF(AND(ISNUMBER(BI138),ISNUMBER(BI114)),IFERROR(BI138/BI114,""),"")</f>
        <v>0.114990715449832</v>
      </c>
      <c r="BJ223" s="27" t="n">
        <f aca="false">IF(AND(ISNUMBER(BJ138),ISNUMBER(BJ114)),IFERROR(BJ138/BJ114,""),"")</f>
        <v>0.133611108810121</v>
      </c>
      <c r="BK223" s="27" t="n">
        <f aca="false">IF(AND(ISNUMBER(BK138),ISNUMBER(BK114)),IFERROR(BK138/BK114,""),"")</f>
        <v>0.152568558306216</v>
      </c>
      <c r="BL223" s="27" t="n">
        <f aca="false">IF(AND(ISNUMBER(BL138),ISNUMBER(BL114)),IFERROR(BL138/BL114,""),"")</f>
        <v>0.124591398034634</v>
      </c>
      <c r="BM223" s="27" t="n">
        <f aca="false">IF(AND(ISNUMBER(BM138),ISNUMBER(BM114)),IFERROR(BM138/BM114,""),"")</f>
        <v>0.10726099216593</v>
      </c>
      <c r="BN223" s="27" t="n">
        <f aca="false">IF(AND(ISNUMBER(BN138),ISNUMBER(BN114)),IFERROR(BN138/BN114,""),"")</f>
        <v>0.126748395432669</v>
      </c>
      <c r="BO223" s="27" t="n">
        <f aca="false">IF(AND(ISNUMBER(BO138),ISNUMBER(BO114)),IFERROR(BO138/BO114,""),"")</f>
        <v>0.139138184394394</v>
      </c>
      <c r="BP223" s="27" t="n">
        <f aca="false">IF(AND(ISNUMBER(BP138),ISNUMBER(BP114)),IFERROR(BP138/BP114,""),"")</f>
        <v>0.142969964079179</v>
      </c>
      <c r="BQ223" s="27" t="n">
        <f aca="false">IF(AND(ISNUMBER(BQ138),ISNUMBER(BQ114)),IFERROR(BQ138/BQ114,""),"")</f>
        <v>0.129751194176322</v>
      </c>
      <c r="BR223" s="27" t="n">
        <f aca="false">IF(AND(ISNUMBER(BR138),ISNUMBER(BR114)),IFERROR(BR138/BR114,""),"")</f>
        <v>0.125783688845583</v>
      </c>
      <c r="BS223" s="27" t="n">
        <f aca="false">IF(AND(ISNUMBER(BS138),ISNUMBER(BS114)),IFERROR(BS138/BS114,""),"")</f>
        <v>0.13810667871354</v>
      </c>
      <c r="BT223" s="27" t="n">
        <f aca="false">IF(AND(ISNUMBER(BT138),ISNUMBER(BT114)),IFERROR(BT138/BT114,""),"")</f>
        <v>0.143622076233648</v>
      </c>
      <c r="BU223" s="27" t="n">
        <f aca="false">IF(AND(ISNUMBER(BU138),ISNUMBER(BU114)),IFERROR(BU138/BU114,""),"")</f>
        <v>0.144668161240827</v>
      </c>
      <c r="BV223" s="27" t="n">
        <f aca="false">IF(AND(ISNUMBER(BV138),ISNUMBER(BV114)),IFERROR(BV138/BV114,""),"")</f>
        <v>0.138415240003064</v>
      </c>
      <c r="BW223" s="27" t="n">
        <f aca="false">IF(AND(ISNUMBER(BW138),ISNUMBER(BW114)),IFERROR(BW138/BW114,""),"")</f>
        <v>0.140295309006257</v>
      </c>
      <c r="BX223" s="27" t="n">
        <f aca="false">IF(AND(ISNUMBER(BX138),ISNUMBER(BX114)),IFERROR(BX138/BX114,""),"")</f>
        <v>0.163600315148787</v>
      </c>
      <c r="BY223" s="22" t="n">
        <f aca="false">IFERROR(BY138/BY114,"")</f>
        <v>0.152071059793253</v>
      </c>
      <c r="BZ223" s="22" t="n">
        <f aca="false">IFERROR(BZ138/BZ114,"")</f>
        <v>0.152467662680066</v>
      </c>
      <c r="CA223" s="22" t="n">
        <f aca="false">IFERROR(CA138/CA114,"")</f>
        <v>0.15214958184936</v>
      </c>
      <c r="CB223" s="22" t="n">
        <f aca="false">IFERROR(CB138/CB114,"")</f>
        <v>0.155090346834984</v>
      </c>
      <c r="CC223" s="22" t="n">
        <f aca="false">IFERROR(CC138/CC114,"")</f>
        <v>0.156626241671844</v>
      </c>
      <c r="CD223" s="22" t="n">
        <f aca="false">IFERROR(CD138/CD114,"")</f>
        <v>0.157670229410596</v>
      </c>
      <c r="CE223" s="22" t="n">
        <f aca="false">IFERROR(CE138/CE114,"")</f>
        <v>0.158610669393261</v>
      </c>
    </row>
    <row r="224" customFormat="false" ht="15" hidden="false" customHeight="false" outlineLevel="0" collapsed="false">
      <c r="B224" s="20" t="s">
        <v>413</v>
      </c>
      <c r="C224" s="27" t="n">
        <f aca="false">IF(AND(ISNUMBER(C118),ISNUMBER(C114)),IFERROR(C118/C114,""),"")</f>
        <v>0.0302935292534834</v>
      </c>
      <c r="D224" s="27" t="n">
        <f aca="false">IF(AND(ISNUMBER(D118),ISNUMBER(D114)),IFERROR(D118/D114,""),"")</f>
        <v>0.0301038110096952</v>
      </c>
      <c r="E224" s="27" t="n">
        <f aca="false">IF(AND(ISNUMBER(E118),ISNUMBER(E114)),IFERROR(E118/E114,""),"")</f>
        <v>0.0271099478728403</v>
      </c>
      <c r="F224" s="27" t="n">
        <f aca="false">IF(AND(ISNUMBER(F118),ISNUMBER(F114)),IFERROR(F118/F114,""),"")</f>
        <v>0.0301957793876299</v>
      </c>
      <c r="G224" s="27" t="n">
        <f aca="false">IF(AND(ISNUMBER(G118),ISNUMBER(G114)),IFERROR(G118/G114,""),"")</f>
        <v>0.0285933272552286</v>
      </c>
      <c r="H224" s="27" t="n">
        <f aca="false">IF(AND(ISNUMBER(H118),ISNUMBER(H114)),IFERROR(H118/H114,""),"")</f>
        <v>0.0302390793182515</v>
      </c>
      <c r="I224" s="27" t="n">
        <f aca="false">IF(AND(ISNUMBER(I118),ISNUMBER(I114)),IFERROR(I118/I114,""),"")</f>
        <v>0.0284652450570049</v>
      </c>
      <c r="J224" s="27" t="n">
        <f aca="false">IF(AND(ISNUMBER(J118),ISNUMBER(J114)),IFERROR(J118/J114,""),"")</f>
        <v>0.0297087670220538</v>
      </c>
      <c r="K224" s="27" t="n">
        <f aca="false">IF(AND(ISNUMBER(K118),ISNUMBER(K114)),IFERROR(K118/K114,""),"")</f>
        <v>0.0257460493745214</v>
      </c>
      <c r="L224" s="27" t="n">
        <f aca="false">IF(AND(ISNUMBER(L118),ISNUMBER(L114)),IFERROR(L118/L114,""),"")</f>
        <v>0.0267269552014677</v>
      </c>
      <c r="M224" s="27" t="n">
        <f aca="false">IF(AND(ISNUMBER(M118),ISNUMBER(M114)),IFERROR(M118/M114,""),"")</f>
        <v>0.0275949294727967</v>
      </c>
      <c r="N224" s="27" t="n">
        <f aca="false">IF(AND(ISNUMBER(N118),ISNUMBER(N114)),IFERROR(N118/N114,""),"")</f>
        <v>0.0274314144937949</v>
      </c>
      <c r="O224" s="27" t="n">
        <f aca="false">IF(AND(ISNUMBER(O118),ISNUMBER(O114)),IFERROR(O118/O114,""),"")</f>
        <v>0.0286071978697</v>
      </c>
      <c r="P224" s="27" t="n">
        <f aca="false">IF(AND(ISNUMBER(P118),ISNUMBER(P114)),IFERROR(P118/P114,""),"")</f>
        <v>0.0270073507323144</v>
      </c>
      <c r="Q224" s="27" t="n">
        <f aca="false">IF(AND(ISNUMBER(Q118),ISNUMBER(Q114)),IFERROR(Q118/Q114,""),"")</f>
        <v>0.0302219505481739</v>
      </c>
      <c r="R224" s="27" t="n">
        <f aca="false">IF(AND(ISNUMBER(R118),ISNUMBER(R114)),IFERROR(R118/R114,""),"")</f>
        <v>0.0291519527197661</v>
      </c>
      <c r="S224" s="27" t="n">
        <f aca="false">IF(AND(ISNUMBER(S118),ISNUMBER(S114)),IFERROR(S118/S114,""),"")</f>
        <v>0.0302444000024965</v>
      </c>
      <c r="T224" s="27" t="n">
        <f aca="false">IF(AND(ISNUMBER(T118),ISNUMBER(T114)),IFERROR(T118/T114,""),"")</f>
        <v>0.0279421968916091</v>
      </c>
      <c r="U224" s="27" t="n">
        <f aca="false">IF(AND(ISNUMBER(U118),ISNUMBER(U114)),IFERROR(U118/U114,""),"")</f>
        <v>0.0281019233520545</v>
      </c>
      <c r="V224" s="27" t="n">
        <f aca="false">IF(AND(ISNUMBER(V118),ISNUMBER(V114)),IFERROR(V118/V114,""),"")</f>
        <v>0.0286374837070795</v>
      </c>
      <c r="W224" s="27" t="n">
        <f aca="false">IF(AND(ISNUMBER(W118),ISNUMBER(W114)),IFERROR(W118/W114,""),"")</f>
        <v>0.0258239845096857</v>
      </c>
      <c r="X224" s="27" t="n">
        <f aca="false">IF(AND(ISNUMBER(X118),ISNUMBER(X114)),IFERROR(X118/X114,""),"")</f>
        <v>0.0275819326711953</v>
      </c>
      <c r="Y224" s="27" t="n">
        <f aca="false">IF(AND(ISNUMBER(Y118),ISNUMBER(Y114)),IFERROR(Y118/Y114,""),"")</f>
        <v>0.0301088167592506</v>
      </c>
      <c r="Z224" s="27" t="n">
        <f aca="false">IF(AND(ISNUMBER(Z118),ISNUMBER(Z114)),IFERROR(Z118/Z114,""),"")</f>
        <v>0.0285979210385047</v>
      </c>
      <c r="AA224" s="27" t="n">
        <f aca="false">IF(AND(ISNUMBER(AA118),ISNUMBER(AA114)),IFERROR(AA118/AA114,""),"")</f>
        <v>0.0277484164609183</v>
      </c>
      <c r="AB224" s="27" t="n">
        <f aca="false">IF(AND(ISNUMBER(AB118),ISNUMBER(AB114)),IFERROR(AB118/AB114,""),"")</f>
        <v>0.0249749808156785</v>
      </c>
      <c r="AC224" s="27" t="n">
        <f aca="false">IF(AND(ISNUMBER(AC118),ISNUMBER(AC114)),IFERROR(AC118/AC114,""),"")</f>
        <v>0.0277827961180333</v>
      </c>
      <c r="AD224" s="27" t="n">
        <f aca="false">IF(AND(ISNUMBER(AD118),ISNUMBER(AD114)),IFERROR(AD118/AD114,""),"")</f>
        <v>0.0292174617210762</v>
      </c>
      <c r="AE224" s="27" t="n">
        <f aca="false">IF(AND(ISNUMBER(AE118),ISNUMBER(AE114)),IFERROR(AE118/AE114,""),"")</f>
        <v>0.0273071753342271</v>
      </c>
      <c r="AF224" s="27" t="n">
        <f aca="false">IF(AND(ISNUMBER(AF118),ISNUMBER(AF114)),IFERROR(AF118/AF114,""),"")</f>
        <v>0.025664684513674</v>
      </c>
      <c r="AG224" s="27" t="n">
        <f aca="false">IF(AND(ISNUMBER(AG118),ISNUMBER(AG114)),IFERROR(AG118/AG114,""),"")</f>
        <v>0.0244067065328062</v>
      </c>
      <c r="AH224" s="27" t="n">
        <f aca="false">IF(AND(ISNUMBER(AH118),ISNUMBER(AH114)),IFERROR(AH118/AH114,""),"")</f>
        <v>0.0265553983089582</v>
      </c>
      <c r="AI224" s="27" t="n">
        <f aca="false">IF(AND(ISNUMBER(AI118),ISNUMBER(AI114)),IFERROR(AI118/AI114,""),"")</f>
        <v>0.029114811824913</v>
      </c>
      <c r="AJ224" s="27" t="n">
        <f aca="false">IF(AND(ISNUMBER(AJ118),ISNUMBER(AJ114)),IFERROR(AJ118/AJ114,""),"")</f>
        <v>0.0242689803932948</v>
      </c>
      <c r="AK224" s="27" t="n">
        <f aca="false">IF(AND(ISNUMBER(AK118),ISNUMBER(AK114)),IFERROR(AK118/AK114,""),"")</f>
        <v>0.0239152962832952</v>
      </c>
      <c r="AL224" s="27" t="n">
        <f aca="false">IF(AND(ISNUMBER(AL118),ISNUMBER(AL114)),IFERROR(AL118/AL114,""),"")</f>
        <v>0.0297415135471816</v>
      </c>
      <c r="AM224" s="27" t="n">
        <f aca="false">IF(AND(ISNUMBER(AM118),ISNUMBER(AM114)),IFERROR(AM118/AM114,""),"")</f>
        <v>0.026753488526371</v>
      </c>
      <c r="AN224" s="27" t="n">
        <f aca="false">IF(AND(ISNUMBER(AN118),ISNUMBER(AN114)),IFERROR(AN118/AN114,""),"")</f>
        <v>0.0298125239921565</v>
      </c>
      <c r="AO224" s="27" t="n">
        <f aca="false">IF(AND(ISNUMBER(AO118),ISNUMBER(AO114)),IFERROR(AO118/AO114,""),"")</f>
        <v>0.0295776499383408</v>
      </c>
      <c r="AP224" s="27" t="n">
        <f aca="false">IF(AND(ISNUMBER(AP118),ISNUMBER(AP114)),IFERROR(AP118/AP114,""),"")</f>
        <v>0.0298627374447047</v>
      </c>
      <c r="AQ224" s="27" t="n">
        <f aca="false">IF(AND(ISNUMBER(AQ118),ISNUMBER(AQ114)),IFERROR(AQ118/AQ114,""),"")</f>
        <v>0.0274745299807402</v>
      </c>
      <c r="AR224" s="27" t="n">
        <f aca="false">IF(AND(ISNUMBER(AR118),ISNUMBER(AR114)),IFERROR(AR118/AR114,""),"")</f>
        <v>0.0291483668755258</v>
      </c>
      <c r="AS224" s="27" t="n">
        <f aca="false">IF(AND(ISNUMBER(AS118),ISNUMBER(AS114)),IFERROR(AS118/AS114,""),"")</f>
        <v>0.0304491950681186</v>
      </c>
      <c r="AT224" s="27" t="n">
        <f aca="false">IF(AND(ISNUMBER(AT118),ISNUMBER(AT114)),IFERROR(AT118/AT114,""),"")</f>
        <v>0.0332135253896485</v>
      </c>
      <c r="AU224" s="27" t="n">
        <f aca="false">IF(AND(ISNUMBER(AU118),ISNUMBER(AU114)),IFERROR(AU118/AU114,""),"")</f>
        <v>0.0307672660221758</v>
      </c>
      <c r="AV224" s="27" t="n">
        <f aca="false">IF(AND(ISNUMBER(AV118),ISNUMBER(AV114)),IFERROR(AV118/AV114,""),"")</f>
        <v>0.0308971282560693</v>
      </c>
      <c r="AW224" s="27" t="n">
        <f aca="false">IF(AND(ISNUMBER(AW118),ISNUMBER(AW114)),IFERROR(AW118/AW114,""),"")</f>
        <v>0.0312862767925545</v>
      </c>
      <c r="AX224" s="27" t="n">
        <f aca="false">IF(AND(ISNUMBER(AX118),ISNUMBER(AX114)),IFERROR(AX118/AX114,""),"")</f>
        <v>0.0366178216893138</v>
      </c>
      <c r="AY224" s="27" t="n">
        <f aca="false">IF(AND(ISNUMBER(AY118),ISNUMBER(AY114)),IFERROR(AY118/AY114,""),"")</f>
        <v>0.0373196888148738</v>
      </c>
      <c r="AZ224" s="27" t="n">
        <f aca="false">IF(AND(ISNUMBER(AZ118),ISNUMBER(AZ114)),IFERROR(AZ118/AZ114,""),"")</f>
        <v>0.0348329651525332</v>
      </c>
      <c r="BA224" s="27" t="n">
        <f aca="false">IF(AND(ISNUMBER(BA118),ISNUMBER(BA114)),IFERROR(BA118/BA114,""),"")</f>
        <v>0.0327165178370563</v>
      </c>
      <c r="BB224" s="27" t="n">
        <f aca="false">IF(AND(ISNUMBER(BB118),ISNUMBER(BB114)),IFERROR(BB118/BB114,""),"")</f>
        <v>0.0353118262234675</v>
      </c>
      <c r="BC224" s="27" t="n">
        <f aca="false">IF(AND(ISNUMBER(BC118),ISNUMBER(BC114)),IFERROR(BC118/BC114,""),"")</f>
        <v>0.0367299954777902</v>
      </c>
      <c r="BD224" s="27" t="n">
        <f aca="false">IF(AND(ISNUMBER(BD118),ISNUMBER(BD114)),IFERROR(BD118/BD114,""),"")</f>
        <v>0.0391691569966374</v>
      </c>
      <c r="BE224" s="27" t="n">
        <f aca="false">IF(AND(ISNUMBER(BE118),ISNUMBER(BE114)),IFERROR(BE118/BE114,""),"")</f>
        <v>0.0275746897113912</v>
      </c>
      <c r="BF224" s="27" t="n">
        <f aca="false">IF(AND(ISNUMBER(BF118),ISNUMBER(BF114)),IFERROR(BF118/BF114,""),"")</f>
        <v>0.0251192809487042</v>
      </c>
      <c r="BG224" s="27" t="n">
        <f aca="false">IF(AND(ISNUMBER(BG118),ISNUMBER(BG114)),IFERROR(BG118/BG114,""),"")</f>
        <v>0.0316133006130171</v>
      </c>
      <c r="BH224" s="27" t="n">
        <f aca="false">IF(AND(ISNUMBER(BH118),ISNUMBER(BH114)),IFERROR(BH118/BH114,""),"")</f>
        <v>0.0349110737723108</v>
      </c>
      <c r="BI224" s="27" t="n">
        <f aca="false">IF(AND(ISNUMBER(BI118),ISNUMBER(BI114)),IFERROR(BI118/BI114,""),"")</f>
        <v>0.0286912475368969</v>
      </c>
      <c r="BJ224" s="27" t="n">
        <f aca="false">IF(AND(ISNUMBER(BJ118),ISNUMBER(BJ114)),IFERROR(BJ118/BJ114,""),"")</f>
        <v>0.0323942534162794</v>
      </c>
      <c r="BK224" s="27" t="n">
        <f aca="false">IF(AND(ISNUMBER(BK118),ISNUMBER(BK114)),IFERROR(BK118/BK114,""),"")</f>
        <v>0.0255360522072663</v>
      </c>
      <c r="BL224" s="27" t="n">
        <f aca="false">IF(AND(ISNUMBER(BL118),ISNUMBER(BL114)),IFERROR(BL118/BL114,""),"")</f>
        <v>0.0301415666768469</v>
      </c>
      <c r="BM224" s="27" t="n">
        <f aca="false">IF(AND(ISNUMBER(BM118),ISNUMBER(BM114)),IFERROR(BM118/BM114,""),"")</f>
        <v>0.0322224668275453</v>
      </c>
      <c r="BN224" s="27" t="n">
        <f aca="false">IF(AND(ISNUMBER(BN118),ISNUMBER(BN114)),IFERROR(BN118/BN114,""),"")</f>
        <v>0.0282266233939992</v>
      </c>
      <c r="BO224" s="27" t="n">
        <f aca="false">IF(AND(ISNUMBER(BO118),ISNUMBER(BO114)),IFERROR(BO118/BO114,""),"")</f>
        <v>0.0259526008927074</v>
      </c>
      <c r="BP224" s="27" t="n">
        <f aca="false">IF(AND(ISNUMBER(BP118),ISNUMBER(BP114)),IFERROR(BP118/BP114,""),"")</f>
        <v>0.0312757411323126</v>
      </c>
      <c r="BQ224" s="27" t="n">
        <f aca="false">IF(AND(ISNUMBER(BQ118),ISNUMBER(BQ114)),IFERROR(BQ118/BQ114,""),"")</f>
        <v>0.0293628485811016</v>
      </c>
      <c r="BR224" s="27" t="n">
        <f aca="false">IF(AND(ISNUMBER(BR118),ISNUMBER(BR114)),IFERROR(BR118/BR114,""),"")</f>
        <v>0.0285721378522799</v>
      </c>
      <c r="BS224" s="27" t="n">
        <f aca="false">IF(AND(ISNUMBER(BS118),ISNUMBER(BS114)),IFERROR(BS118/BS114,""),"")</f>
        <v>0.0265898222173548</v>
      </c>
      <c r="BT224" s="27" t="n">
        <f aca="false">IF(AND(ISNUMBER(BT118),ISNUMBER(BT114)),IFERROR(BT118/BT114,""),"")</f>
        <v>0.0269302898167217</v>
      </c>
      <c r="BU224" s="27" t="n">
        <f aca="false">IF(AND(ISNUMBER(BU118),ISNUMBER(BU114)),IFERROR(BU118/BU114,""),"")</f>
        <v>0.0268505915113397</v>
      </c>
      <c r="BV224" s="27" t="n">
        <f aca="false">IF(AND(ISNUMBER(BV118),ISNUMBER(BV114)),IFERROR(BV118/BV114,""),"")</f>
        <v>0.0272015097308119</v>
      </c>
      <c r="BW224" s="27" t="n">
        <f aca="false">IF(AND(ISNUMBER(BW118),ISNUMBER(BW114)),IFERROR(BW118/BW114,""),"")</f>
        <v>0.0264663938525994</v>
      </c>
      <c r="BX224" s="27" t="n">
        <f aca="false">IF(AND(ISNUMBER(BX118),ISNUMBER(BX114)),IFERROR(BX118/BX114,""),"")</f>
        <v>0.0272075566445312</v>
      </c>
      <c r="BY224" s="22" t="n">
        <f aca="false">IFERROR(BY118/BY114,"")</f>
        <v>0.0269302898167217</v>
      </c>
      <c r="BZ224" s="22" t="n">
        <f aca="false">IFERROR(BZ118/BZ114,"")</f>
        <v>0.0268505915113397</v>
      </c>
      <c r="CA224" s="22" t="n">
        <f aca="false">IFERROR(CA118/CA114,"")</f>
        <v>0.0268646477102791</v>
      </c>
      <c r="CB224" s="22" t="n">
        <f aca="false">IFERROR(CB118/CB114,"")</f>
        <v>0.027</v>
      </c>
      <c r="CC224" s="22" t="n">
        <f aca="false">IFERROR(CC118/CC114,"")</f>
        <v>0.027</v>
      </c>
      <c r="CD224" s="22" t="n">
        <f aca="false">IFERROR(CD118/CD114,"")</f>
        <v>0.027</v>
      </c>
      <c r="CE224" s="22" t="n">
        <f aca="false">IFERROR(CE118/CE114,"")</f>
        <v>0.027</v>
      </c>
    </row>
    <row r="226" customFormat="false" ht="15" hidden="false" customHeight="false" outlineLevel="0" collapsed="false">
      <c r="B226" s="8" t="s">
        <v>414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8" t="s">
        <v>415</v>
      </c>
    </row>
    <row r="227" customFormat="false" ht="15" hidden="false" customHeight="false" outlineLevel="0" collapsed="false">
      <c r="B227" s="20" t="s">
        <v>309</v>
      </c>
      <c r="C227" s="24" t="n">
        <v>80.569</v>
      </c>
      <c r="D227" s="24" t="n">
        <v>104.328</v>
      </c>
      <c r="E227" s="24" t="n">
        <v>109.39</v>
      </c>
      <c r="F227" s="24" t="n">
        <v>95.221</v>
      </c>
      <c r="G227" s="24" t="n">
        <v>106.598</v>
      </c>
      <c r="H227" s="24" t="n">
        <v>130.423</v>
      </c>
      <c r="I227" s="24" t="n">
        <v>113.844</v>
      </c>
      <c r="J227" s="24" t="n">
        <v>20.943</v>
      </c>
      <c r="K227" s="24" t="n">
        <v>33.37</v>
      </c>
      <c r="L227" s="24" t="n">
        <v>36.361</v>
      </c>
      <c r="M227" s="24" t="n">
        <v>47.307</v>
      </c>
      <c r="N227" s="24" t="n">
        <v>137.981</v>
      </c>
      <c r="O227" s="24" t="n">
        <v>35.164</v>
      </c>
      <c r="P227" s="24" t="n">
        <v>36.391</v>
      </c>
      <c r="Q227" s="24" t="n">
        <v>25.033</v>
      </c>
      <c r="R227" s="24" t="n">
        <v>16.75</v>
      </c>
      <c r="S227" s="24" t="n">
        <v>113.338</v>
      </c>
      <c r="T227" s="24" t="n">
        <v>15.991</v>
      </c>
      <c r="U227" s="24" t="n">
        <v>25.737</v>
      </c>
      <c r="V227" s="24" t="n">
        <v>33.884</v>
      </c>
      <c r="W227" s="24" t="n">
        <v>69.849</v>
      </c>
      <c r="X227" s="24" t="n">
        <v>145.461</v>
      </c>
      <c r="Y227" s="24" t="n">
        <v>32.819</v>
      </c>
      <c r="Z227" s="24" t="n">
        <v>39.963</v>
      </c>
      <c r="AA227" s="24" t="n">
        <v>45.932</v>
      </c>
      <c r="AB227" s="24" t="n">
        <v>68.615</v>
      </c>
      <c r="AC227" s="24" t="n">
        <v>187.329</v>
      </c>
      <c r="AD227" s="24" t="n">
        <v>32.547</v>
      </c>
      <c r="AE227" s="24" t="n">
        <v>50.65</v>
      </c>
      <c r="AF227" s="24" t="n">
        <v>63.944</v>
      </c>
      <c r="AG227" s="24" t="n">
        <v>67.75</v>
      </c>
      <c r="AH227" s="24" t="n">
        <v>214.891</v>
      </c>
      <c r="AI227" s="24" t="n">
        <v>43.643</v>
      </c>
      <c r="AJ227" s="24" t="n">
        <v>74.788</v>
      </c>
      <c r="AK227" s="24" t="n">
        <v>74.483</v>
      </c>
      <c r="AL227" s="24" t="n">
        <v>82.835</v>
      </c>
      <c r="AM227" s="24" t="n">
        <v>275.749</v>
      </c>
      <c r="AN227" s="24" t="n">
        <v>55.593</v>
      </c>
      <c r="AO227" s="24" t="n">
        <v>80.072</v>
      </c>
      <c r="AP227" s="24" t="n">
        <v>82.51</v>
      </c>
      <c r="AQ227" s="24" t="n">
        <v>89.408</v>
      </c>
      <c r="AR227" s="24" t="n">
        <v>307.583</v>
      </c>
      <c r="AS227" s="24" t="n">
        <v>51.761</v>
      </c>
      <c r="AT227" s="24" t="n">
        <v>31.018</v>
      </c>
      <c r="AU227" s="24" t="n">
        <v>64.62</v>
      </c>
      <c r="AV227" s="24" t="n">
        <v>53.993</v>
      </c>
      <c r="AW227" s="24" t="n">
        <v>201.392</v>
      </c>
      <c r="AX227" s="24" t="n">
        <v>59.469</v>
      </c>
      <c r="AY227" s="24" t="n">
        <v>61.408</v>
      </c>
      <c r="AZ227" s="24" t="n">
        <v>69.703</v>
      </c>
      <c r="BA227" s="24" t="n">
        <v>76.579</v>
      </c>
      <c r="BB227" s="24" t="n">
        <v>267.159</v>
      </c>
      <c r="BC227" s="24" t="n">
        <v>40.685</v>
      </c>
      <c r="BD227" s="24" t="n">
        <v>70.872</v>
      </c>
      <c r="BE227" s="24" t="n">
        <v>73.768</v>
      </c>
      <c r="BF227" s="24" t="n">
        <v>109.023</v>
      </c>
      <c r="BG227" s="24" t="n">
        <v>294.348</v>
      </c>
      <c r="BH227" s="24" t="n">
        <v>56.846</v>
      </c>
      <c r="BI227" s="24" t="n">
        <v>80.999</v>
      </c>
      <c r="BJ227" s="24" t="n">
        <v>96.778</v>
      </c>
      <c r="BK227" s="24" t="n">
        <v>119.886</v>
      </c>
      <c r="BL227" s="24" t="n">
        <v>354.509</v>
      </c>
      <c r="BM227" s="24" t="n">
        <v>76.495</v>
      </c>
      <c r="BN227" s="24" t="n">
        <v>99.471</v>
      </c>
      <c r="BO227" s="24" t="n">
        <v>111.16</v>
      </c>
      <c r="BP227" s="24" t="n">
        <v>117.852</v>
      </c>
      <c r="BQ227" s="24" t="n">
        <v>404.978</v>
      </c>
      <c r="BR227" s="24" t="n">
        <v>101.337</v>
      </c>
      <c r="BS227" s="24" t="n">
        <v>121.061</v>
      </c>
      <c r="BT227" s="24" t="n">
        <v>124.832</v>
      </c>
      <c r="BU227" s="24" t="n">
        <v>136.998</v>
      </c>
      <c r="BV227" s="24" t="n">
        <v>484.228</v>
      </c>
      <c r="BW227" s="24" t="n">
        <v>128.186</v>
      </c>
      <c r="BX227" s="24" t="n">
        <v>151.168</v>
      </c>
      <c r="CA227" s="25" t="n">
        <f aca="false">CA138</f>
        <v>576.72299</v>
      </c>
      <c r="CB227" s="25" t="n">
        <f aca="false">CB138</f>
        <v>637.700488116085</v>
      </c>
      <c r="CC227" s="25" t="n">
        <f aca="false">CC138</f>
        <v>703.739982114</v>
      </c>
      <c r="CD227" s="25" t="n">
        <f aca="false">CD138</f>
        <v>768.951488271915</v>
      </c>
      <c r="CE227" s="25" t="n">
        <f aca="false">CE138</f>
        <v>838.05971943774</v>
      </c>
    </row>
    <row r="228" customFormat="false" ht="15" hidden="false" customHeight="false" outlineLevel="0" collapsed="false">
      <c r="B228" s="49" t="s">
        <v>416</v>
      </c>
    </row>
    <row r="229" customFormat="false" ht="15" hidden="false" customHeight="false" outlineLevel="0" collapsed="false">
      <c r="B229" s="20" t="s">
        <v>417</v>
      </c>
      <c r="C229" s="24" t="n">
        <v>50.791</v>
      </c>
      <c r="D229" s="24" t="n">
        <v>62.699</v>
      </c>
      <c r="E229" s="24" t="n">
        <v>74.251</v>
      </c>
      <c r="F229" s="24" t="n">
        <v>76.48</v>
      </c>
      <c r="G229" s="24" t="n">
        <v>79.946</v>
      </c>
      <c r="H229" s="24" t="n">
        <v>88.3</v>
      </c>
      <c r="I229" s="24" t="n">
        <v>93.896</v>
      </c>
      <c r="J229" s="24" t="n">
        <v>30.4</v>
      </c>
      <c r="K229" s="24" t="n">
        <v>29.833</v>
      </c>
      <c r="L229" s="24" t="n">
        <v>29.427</v>
      </c>
      <c r="M229" s="24" t="n">
        <v>31.837</v>
      </c>
      <c r="N229" s="24" t="n">
        <v>121.497</v>
      </c>
      <c r="O229" s="24" t="n">
        <v>30.952</v>
      </c>
      <c r="P229" s="24" t="n">
        <v>30.434</v>
      </c>
      <c r="Q229" s="24" t="n">
        <v>29.548</v>
      </c>
      <c r="R229" s="24" t="n">
        <v>27.997</v>
      </c>
      <c r="S229" s="24" t="n">
        <v>118.931</v>
      </c>
      <c r="T229" s="24" t="n">
        <v>25.708</v>
      </c>
      <c r="U229" s="24" t="n">
        <v>25.83</v>
      </c>
      <c r="V229" s="24" t="n">
        <v>24.89</v>
      </c>
      <c r="W229" s="24" t="n">
        <v>24.382</v>
      </c>
      <c r="X229" s="24" t="n">
        <v>100.81</v>
      </c>
      <c r="Y229" s="24" t="n">
        <v>24.487</v>
      </c>
      <c r="Z229" s="24" t="n">
        <v>24.5</v>
      </c>
      <c r="AA229" s="24" t="n">
        <v>23.432</v>
      </c>
      <c r="AB229" s="24" t="n">
        <v>23.589</v>
      </c>
      <c r="AC229" s="24" t="n">
        <v>96.008</v>
      </c>
      <c r="AD229" s="24" t="n">
        <v>24.926</v>
      </c>
      <c r="AE229" s="24" t="n">
        <v>25.035</v>
      </c>
      <c r="AF229" s="24" t="n">
        <v>24.854</v>
      </c>
      <c r="AG229" s="24" t="n">
        <v>25.18</v>
      </c>
      <c r="AH229" s="24" t="n">
        <v>99.995</v>
      </c>
      <c r="AI229" s="24" t="n">
        <v>24.601</v>
      </c>
      <c r="AJ229" s="24" t="n">
        <v>26.656</v>
      </c>
      <c r="AK229" s="24" t="n">
        <v>25.889</v>
      </c>
      <c r="AL229" s="24" t="n">
        <v>25.803</v>
      </c>
      <c r="AM229" s="24" t="n">
        <v>102.949</v>
      </c>
      <c r="AN229" s="24" t="n">
        <v>25.793</v>
      </c>
      <c r="AO229" s="24" t="n">
        <v>25.807</v>
      </c>
      <c r="AP229" s="24" t="n">
        <v>25.398</v>
      </c>
      <c r="AQ229" s="24" t="n">
        <v>25.414</v>
      </c>
      <c r="AR229" s="24" t="n">
        <v>102.412</v>
      </c>
      <c r="AS229" s="24" t="n">
        <v>28.142</v>
      </c>
      <c r="AT229" s="24" t="n">
        <v>28.426</v>
      </c>
      <c r="AU229" s="24" t="n">
        <v>28.201</v>
      </c>
      <c r="AV229" s="24" t="n">
        <v>31.134</v>
      </c>
      <c r="AW229" s="24" t="n">
        <v>115.903</v>
      </c>
      <c r="AX229" s="24" t="n">
        <v>28.595</v>
      </c>
      <c r="AY229" s="24" t="n">
        <v>29.021</v>
      </c>
      <c r="AZ229" s="24" t="n">
        <v>28.624</v>
      </c>
      <c r="BA229" s="24" t="n">
        <v>28.144</v>
      </c>
      <c r="BB229" s="24" t="n">
        <v>114.384</v>
      </c>
      <c r="BC229" s="24" t="n">
        <v>27.363</v>
      </c>
      <c r="BD229" s="24" t="n">
        <v>26.282</v>
      </c>
      <c r="BE229" s="24" t="n">
        <v>29.875</v>
      </c>
      <c r="BF229" s="24" t="n">
        <v>28.507</v>
      </c>
      <c r="BG229" s="24" t="n">
        <v>112.027</v>
      </c>
      <c r="BH229" s="24" t="n">
        <v>28.927</v>
      </c>
      <c r="BI229" s="24" t="n">
        <v>29.048</v>
      </c>
      <c r="BJ229" s="24" t="n">
        <v>28.861</v>
      </c>
      <c r="BK229" s="24" t="n">
        <v>29.336</v>
      </c>
      <c r="BL229" s="24" t="n">
        <v>116.172</v>
      </c>
      <c r="BM229" s="24" t="n">
        <v>26.983</v>
      </c>
      <c r="BN229" s="24" t="n">
        <v>27.168</v>
      </c>
      <c r="BO229" s="24" t="n">
        <v>26.693</v>
      </c>
      <c r="BP229" s="24" t="n">
        <v>26.823</v>
      </c>
      <c r="BQ229" s="24" t="n">
        <v>107.667</v>
      </c>
      <c r="BR229" s="24" t="n">
        <v>30.821</v>
      </c>
      <c r="BS229" s="24" t="n">
        <v>31.307</v>
      </c>
      <c r="BT229" s="24" t="n">
        <v>31.191</v>
      </c>
      <c r="BU229" s="24" t="n">
        <v>31.498</v>
      </c>
      <c r="BV229" s="24" t="n">
        <v>124.817</v>
      </c>
      <c r="BW229" s="24" t="n">
        <v>28.365</v>
      </c>
      <c r="BX229" s="24" t="n">
        <v>28.37</v>
      </c>
      <c r="CA229" s="25" t="n">
        <f aca="false">CA100</f>
        <v>115.432112831238</v>
      </c>
      <c r="CB229" s="25" t="n">
        <f aca="false">CB100</f>
        <v>127.7888</v>
      </c>
      <c r="CC229" s="25" t="n">
        <f aca="false">CC100</f>
        <v>137.9898672</v>
      </c>
      <c r="CD229" s="25" t="n">
        <f aca="false">CD100</f>
        <v>154.336368752</v>
      </c>
      <c r="CE229" s="25" t="n">
        <f aca="false">CE100</f>
        <v>170.16031002432</v>
      </c>
    </row>
    <row r="230" customFormat="false" ht="15" hidden="false" customHeight="false" outlineLevel="0" collapsed="false">
      <c r="B230" s="20" t="s">
        <v>263</v>
      </c>
      <c r="C230" s="24" t="n">
        <v>6.621</v>
      </c>
      <c r="D230" s="24" t="n">
        <v>10.912</v>
      </c>
      <c r="E230" s="24" t="n">
        <v>13.663</v>
      </c>
      <c r="F230" s="24" t="n">
        <v>15.264</v>
      </c>
      <c r="G230" s="24" t="n">
        <v>13.378</v>
      </c>
      <c r="H230" s="24" t="n">
        <v>9.621</v>
      </c>
      <c r="I230" s="24" t="n">
        <v>9.428</v>
      </c>
      <c r="J230" s="24" t="n">
        <v>2.67</v>
      </c>
      <c r="K230" s="24" t="n">
        <v>0.512</v>
      </c>
      <c r="L230" s="24" t="n">
        <v>2.293</v>
      </c>
      <c r="M230" s="24" t="n">
        <v>1.874</v>
      </c>
      <c r="N230" s="24" t="n">
        <v>7.349</v>
      </c>
      <c r="O230" s="24" t="n">
        <v>2.402</v>
      </c>
      <c r="P230" s="24" t="n">
        <v>1.884</v>
      </c>
      <c r="Q230" s="24" t="n">
        <v>2.256</v>
      </c>
      <c r="R230" s="24" t="n">
        <v>1.958</v>
      </c>
      <c r="S230" s="24" t="n">
        <v>8.5</v>
      </c>
      <c r="T230" s="24" t="n">
        <v>2.62</v>
      </c>
      <c r="U230" s="24" t="n">
        <v>2.006</v>
      </c>
      <c r="V230" s="24" t="n">
        <v>2.599</v>
      </c>
      <c r="W230" s="24" t="n">
        <v>2.248</v>
      </c>
      <c r="X230" s="24" t="n">
        <v>9.473</v>
      </c>
      <c r="Y230" s="24" t="n">
        <v>2.723</v>
      </c>
      <c r="Z230" s="24" t="n">
        <v>2.262</v>
      </c>
      <c r="AA230" s="24" t="n">
        <v>2.828</v>
      </c>
      <c r="AB230" s="24" t="n">
        <v>1.665</v>
      </c>
      <c r="AC230" s="24" t="n">
        <v>9.478</v>
      </c>
      <c r="AD230" s="24" t="n">
        <v>3.364</v>
      </c>
      <c r="AE230" s="24" t="n">
        <v>2.652</v>
      </c>
      <c r="AF230" s="24" t="n">
        <v>3.157</v>
      </c>
      <c r="AG230" s="24" t="n">
        <v>2.399</v>
      </c>
      <c r="AH230" s="24" t="n">
        <v>11.572</v>
      </c>
      <c r="AI230" s="24" t="n">
        <v>4.591</v>
      </c>
      <c r="AJ230" s="24" t="n">
        <v>3.21</v>
      </c>
      <c r="AK230" s="24" t="n">
        <v>4.045</v>
      </c>
      <c r="AL230" s="24" t="n">
        <v>2.248</v>
      </c>
      <c r="AM230" s="24" t="n">
        <v>14.094</v>
      </c>
      <c r="AN230" s="24" t="n">
        <v>3.495</v>
      </c>
      <c r="AO230" s="24" t="n">
        <v>3.485</v>
      </c>
      <c r="AP230" s="24" t="n">
        <v>4.282</v>
      </c>
      <c r="AQ230" s="24" t="n">
        <v>2.407</v>
      </c>
      <c r="AR230" s="24" t="n">
        <v>13.669</v>
      </c>
      <c r="AS230" s="24" t="n">
        <v>3.34</v>
      </c>
      <c r="AT230" s="24" t="n">
        <v>3.8</v>
      </c>
      <c r="AU230" s="24" t="n">
        <v>4.637</v>
      </c>
      <c r="AV230" s="24" t="n">
        <v>2.66</v>
      </c>
      <c r="AW230" s="24" t="n">
        <v>14.437</v>
      </c>
      <c r="AX230" s="24" t="n">
        <v>3.327</v>
      </c>
      <c r="AY230" s="24" t="n">
        <v>3.398</v>
      </c>
      <c r="AZ230" s="24" t="n">
        <v>4.136</v>
      </c>
      <c r="BA230" s="24" t="n">
        <v>2.589</v>
      </c>
      <c r="BB230" s="24" t="n">
        <v>13.45</v>
      </c>
      <c r="BC230" s="24" t="n">
        <v>3.809</v>
      </c>
      <c r="BD230" s="24" t="n">
        <v>3.771</v>
      </c>
      <c r="BE230" s="24" t="n">
        <v>4.447</v>
      </c>
      <c r="BF230" s="24" t="n">
        <v>3.357</v>
      </c>
      <c r="BG230" s="24" t="n">
        <v>15.384</v>
      </c>
      <c r="BH230" s="24" t="n">
        <v>5.179</v>
      </c>
      <c r="BI230" s="24" t="n">
        <v>3.68</v>
      </c>
      <c r="BJ230" s="24" t="n">
        <v>4.354</v>
      </c>
      <c r="BK230" s="24" t="n">
        <v>3.59</v>
      </c>
      <c r="BL230" s="24" t="n">
        <v>16.803</v>
      </c>
      <c r="BM230" s="24" t="n">
        <v>4.695</v>
      </c>
      <c r="BN230" s="24" t="n">
        <v>4.771</v>
      </c>
      <c r="BO230" s="24" t="n">
        <v>5.698</v>
      </c>
      <c r="BP230" s="24" t="n">
        <v>3.724</v>
      </c>
      <c r="BQ230" s="24" t="n">
        <v>18.888</v>
      </c>
      <c r="BR230" s="24" t="n">
        <v>5.271</v>
      </c>
      <c r="BS230" s="24" t="n">
        <v>5.213</v>
      </c>
      <c r="BT230" s="24" t="n">
        <v>6.126</v>
      </c>
      <c r="BU230" s="24" t="n">
        <v>4.91</v>
      </c>
      <c r="BV230" s="24" t="n">
        <v>21.52</v>
      </c>
      <c r="BW230" s="24" t="n">
        <v>7.185</v>
      </c>
      <c r="BX230" s="24" t="n">
        <v>7.12</v>
      </c>
      <c r="CA230" s="25" t="n">
        <f aca="false">CA105</f>
        <v>26.1712537930298</v>
      </c>
      <c r="CB230" s="25" t="n">
        <f aca="false">CB105</f>
        <v>30.8385</v>
      </c>
      <c r="CC230" s="25" t="n">
        <f aca="false">CC105</f>
        <v>33.69837525</v>
      </c>
      <c r="CD230" s="25" t="n">
        <f aca="false">CD105</f>
        <v>36.5772041025</v>
      </c>
      <c r="CE230" s="25" t="n">
        <f aca="false">CE105</f>
        <v>39.6281531364</v>
      </c>
    </row>
    <row r="231" customFormat="false" ht="15" hidden="false" customHeight="false" outlineLevel="0" collapsed="false">
      <c r="B231" s="20" t="s">
        <v>418</v>
      </c>
      <c r="C231" s="24" t="n">
        <v>0.486</v>
      </c>
      <c r="D231" s="24" t="n">
        <v>0.388</v>
      </c>
      <c r="E231" s="24" t="n">
        <v>0.804</v>
      </c>
      <c r="F231" s="24" t="n">
        <v>-0.02</v>
      </c>
      <c r="G231" s="24" t="n">
        <v>1.446</v>
      </c>
      <c r="H231" s="24" t="n">
        <v>-1.968</v>
      </c>
      <c r="I231" s="24" t="n">
        <v>-31.236</v>
      </c>
      <c r="J231" s="24" t="n">
        <v>-0.087</v>
      </c>
      <c r="K231" s="24" t="n">
        <v>-0.005</v>
      </c>
      <c r="L231" s="24" t="n">
        <v>0.132</v>
      </c>
      <c r="M231" s="24" t="n">
        <v>0.037</v>
      </c>
      <c r="N231" s="24" t="n">
        <v>0.077</v>
      </c>
      <c r="O231" s="24" t="n">
        <v>-0.017</v>
      </c>
      <c r="P231" s="24" t="n">
        <v>7.512</v>
      </c>
      <c r="Q231" s="24" t="n">
        <v>8.085</v>
      </c>
      <c r="R231" s="24" t="n">
        <v>14.236</v>
      </c>
      <c r="S231" s="24" t="n">
        <v>29.816</v>
      </c>
      <c r="T231" s="24" t="n">
        <v>-1.755</v>
      </c>
      <c r="U231" s="24" t="n">
        <v>14.584</v>
      </c>
      <c r="V231" s="24" t="n">
        <v>1.872</v>
      </c>
      <c r="W231" s="24" t="n">
        <v>1.345</v>
      </c>
      <c r="X231" s="24" t="n">
        <v>16.046</v>
      </c>
      <c r="Y231" s="24" t="n">
        <v>-0.007</v>
      </c>
      <c r="Z231" s="24" t="n">
        <v>-0.021</v>
      </c>
      <c r="AA231" s="24" t="n">
        <v>-1.011</v>
      </c>
      <c r="AB231" s="24" t="n">
        <v>-1.875</v>
      </c>
      <c r="AC231" s="24" t="n">
        <v>-2.914</v>
      </c>
      <c r="AD231" s="24" t="n">
        <v>-0.038</v>
      </c>
      <c r="AE231" s="24" t="n">
        <v>-0.159</v>
      </c>
      <c r="AF231" s="24" t="n">
        <v>-1.039</v>
      </c>
      <c r="AG231" s="24" t="n">
        <v>0.39</v>
      </c>
      <c r="AH231" s="24" t="n">
        <v>-0.846</v>
      </c>
      <c r="AI231" s="24" t="n">
        <v>-2.805</v>
      </c>
      <c r="AJ231" s="24" t="n">
        <v>-0.241</v>
      </c>
      <c r="AK231" s="24" t="n">
        <v>0.366</v>
      </c>
      <c r="AL231" s="24" t="n">
        <v>-0.175</v>
      </c>
      <c r="AM231" s="24" t="n">
        <v>-2.855</v>
      </c>
      <c r="AN231" s="24" t="n">
        <v>-0.504</v>
      </c>
      <c r="AO231" s="24" t="n">
        <v>-5.576</v>
      </c>
      <c r="AP231" s="24" t="n">
        <v>-0.215</v>
      </c>
      <c r="AQ231" s="24" t="n">
        <v>-4.759</v>
      </c>
      <c r="AR231" s="24" t="n">
        <v>-11.054</v>
      </c>
      <c r="AS231" s="24" t="n">
        <v>-0.387</v>
      </c>
      <c r="AT231" s="24" t="n">
        <v>0.014</v>
      </c>
      <c r="AU231" s="24" t="n">
        <v>0.003</v>
      </c>
      <c r="AV231" s="24" t="n">
        <v>0.37</v>
      </c>
      <c r="AW231" s="24" t="n">
        <v>0</v>
      </c>
      <c r="AX231" s="24" t="n">
        <v>-0.349</v>
      </c>
      <c r="AY231" s="24" t="n">
        <v>-0.241</v>
      </c>
      <c r="AZ231" s="24" t="n">
        <v>-0.014</v>
      </c>
      <c r="BA231" s="24" t="n">
        <v>0.036</v>
      </c>
      <c r="BB231" s="24" t="n">
        <v>-0.568</v>
      </c>
      <c r="BC231" s="24" t="n">
        <v>1.581</v>
      </c>
      <c r="BD231" s="24" t="n">
        <v>0.066</v>
      </c>
      <c r="BE231" s="24" t="n">
        <v>-1.237</v>
      </c>
      <c r="BF231" s="24" t="n">
        <v>-0.43</v>
      </c>
      <c r="BG231" s="24" t="n">
        <v>-0.02</v>
      </c>
      <c r="BH231" s="24" t="n">
        <v>0.093</v>
      </c>
      <c r="BI231" s="24" t="n">
        <v>-0.077</v>
      </c>
      <c r="BJ231" s="24" t="n">
        <v>0.141</v>
      </c>
      <c r="BK231" s="24" t="n">
        <v>-3.04</v>
      </c>
      <c r="BL231" s="24" t="n">
        <v>-2.883</v>
      </c>
      <c r="BM231" s="24" t="n">
        <v>0.021</v>
      </c>
      <c r="BN231" s="24" t="n">
        <v>0.064</v>
      </c>
      <c r="BO231" s="24" t="n">
        <v>-0.034</v>
      </c>
      <c r="BP231" s="24" t="n">
        <v>-0.061</v>
      </c>
      <c r="BQ231" s="24" t="n">
        <v>-0.01</v>
      </c>
      <c r="BR231" s="24" t="n">
        <v>0.229</v>
      </c>
      <c r="BS231" s="24" t="n">
        <v>0.107</v>
      </c>
      <c r="BT231" s="24" t="n">
        <v>0.02</v>
      </c>
      <c r="BU231" s="24" t="n">
        <v>0.006</v>
      </c>
      <c r="BV231" s="24" t="n">
        <v>0.362</v>
      </c>
      <c r="BW231" s="24" t="n">
        <v>0.011</v>
      </c>
      <c r="BX231" s="24" t="n">
        <v>0.053</v>
      </c>
      <c r="CA231" s="25" t="n">
        <f aca="false">($BW$231+$BX$231)</f>
        <v>0.064</v>
      </c>
      <c r="CB231" s="41" t="n">
        <v>0</v>
      </c>
      <c r="CC231" s="41" t="n">
        <v>0</v>
      </c>
      <c r="CD231" s="41" t="n">
        <v>0</v>
      </c>
      <c r="CE231" s="41" t="n">
        <v>0</v>
      </c>
    </row>
    <row r="232" customFormat="false" ht="15" hidden="false" customHeight="false" outlineLevel="0" collapsed="false">
      <c r="B232" s="20" t="s">
        <v>419</v>
      </c>
      <c r="C232" s="24" t="n">
        <v>-11.419</v>
      </c>
      <c r="D232" s="24" t="n">
        <v>-8.144</v>
      </c>
      <c r="E232" s="24" t="n">
        <v>-6.37</v>
      </c>
      <c r="F232" s="24" t="n">
        <v>-6.47</v>
      </c>
      <c r="G232" s="24" t="n">
        <v>2.828</v>
      </c>
      <c r="H232" s="24" t="n">
        <v>3.345</v>
      </c>
      <c r="I232" s="24" t="n">
        <v>-3.871</v>
      </c>
      <c r="J232" s="24" t="n">
        <v>0.512</v>
      </c>
      <c r="K232" s="24" t="n">
        <v>1.14</v>
      </c>
      <c r="L232" s="24" t="n">
        <v>4.228</v>
      </c>
      <c r="M232" s="24" t="n">
        <v>0.048</v>
      </c>
      <c r="N232" s="24" t="n">
        <v>5.928</v>
      </c>
      <c r="O232" s="24" t="n">
        <v>-2.94</v>
      </c>
      <c r="P232" s="24" t="n">
        <v>13.635</v>
      </c>
      <c r="Q232" s="24" t="n">
        <v>1.435</v>
      </c>
      <c r="R232" s="24" t="n">
        <v>-39.371</v>
      </c>
      <c r="S232" s="24" t="n">
        <v>-27.241</v>
      </c>
      <c r="T232" s="24" t="n">
        <v>0.491</v>
      </c>
      <c r="U232" s="24" t="n">
        <v>16.547</v>
      </c>
      <c r="V232" s="24" t="n">
        <v>-2.355</v>
      </c>
      <c r="W232" s="24" t="n">
        <v>48.852</v>
      </c>
      <c r="X232" s="24" t="n">
        <v>63.535</v>
      </c>
      <c r="Y232" s="24" t="n">
        <v>11.939</v>
      </c>
      <c r="Z232" s="24" t="n">
        <v>2.188</v>
      </c>
      <c r="AA232" s="24" t="n">
        <v>-20.515</v>
      </c>
      <c r="AB232" s="24" t="n">
        <v>7.612</v>
      </c>
      <c r="AC232" s="24" t="n">
        <v>1.224</v>
      </c>
      <c r="AD232" s="24" t="n">
        <v>-0.877</v>
      </c>
      <c r="AE232" s="24" t="n">
        <v>-0.873</v>
      </c>
      <c r="AF232" s="24" t="n">
        <v>0.429</v>
      </c>
      <c r="AG232" s="24" t="n">
        <v>-4.461</v>
      </c>
      <c r="AH232" s="24" t="n">
        <v>-5.782</v>
      </c>
      <c r="AI232" s="24" t="n">
        <v>7.806</v>
      </c>
      <c r="AJ232" s="24" t="n">
        <v>-2.252</v>
      </c>
      <c r="AK232" s="24" t="n">
        <v>-0.612</v>
      </c>
      <c r="AL232" s="24" t="n">
        <v>3.62</v>
      </c>
      <c r="AM232" s="24" t="n">
        <v>8.562</v>
      </c>
      <c r="AN232" s="24" t="n">
        <v>1.626</v>
      </c>
      <c r="AO232" s="24" t="n">
        <v>-0.176</v>
      </c>
      <c r="AP232" s="24" t="n">
        <v>-0.798</v>
      </c>
      <c r="AQ232" s="24" t="n">
        <v>40.135</v>
      </c>
      <c r="AR232" s="24" t="n">
        <v>40.787</v>
      </c>
      <c r="AS232" s="24" t="n">
        <v>2.809</v>
      </c>
      <c r="AT232" s="24" t="n">
        <v>1.399</v>
      </c>
      <c r="AU232" s="24" t="n">
        <v>0.05</v>
      </c>
      <c r="AV232" s="24" t="n">
        <v>-11.306</v>
      </c>
      <c r="AW232" s="24" t="n">
        <v>-7.048</v>
      </c>
      <c r="AX232" s="24" t="n">
        <v>3.629</v>
      </c>
      <c r="AY232" s="24" t="n">
        <v>2.664</v>
      </c>
      <c r="AZ232" s="24" t="n">
        <v>-1.813</v>
      </c>
      <c r="BA232" s="24" t="n">
        <v>-14.68</v>
      </c>
      <c r="BB232" s="24" t="n">
        <v>-10.2</v>
      </c>
      <c r="BC232" s="24" t="n">
        <v>0.803</v>
      </c>
      <c r="BD232" s="24" t="n">
        <v>-5.319</v>
      </c>
      <c r="BE232" s="24" t="n">
        <v>10.275</v>
      </c>
      <c r="BF232" s="24" t="n">
        <v>-29.394</v>
      </c>
      <c r="BG232" s="24" t="n">
        <v>-23.635</v>
      </c>
      <c r="BH232" s="24" t="n">
        <v>-2.619</v>
      </c>
      <c r="BI232" s="24" t="n">
        <v>-3.934</v>
      </c>
      <c r="BJ232" s="24" t="n">
        <v>0.161</v>
      </c>
      <c r="BK232" s="24" t="n">
        <v>9.3</v>
      </c>
      <c r="BL232" s="24" t="n">
        <v>2.908</v>
      </c>
      <c r="BM232" s="24" t="n">
        <v>-2.742</v>
      </c>
      <c r="BN232" s="24" t="n">
        <v>-5.081</v>
      </c>
      <c r="BO232" s="24" t="n">
        <v>-5.146</v>
      </c>
      <c r="BP232" s="24" t="n">
        <v>1.147</v>
      </c>
      <c r="BQ232" s="24" t="n">
        <v>-11.822</v>
      </c>
      <c r="BR232" s="24" t="n">
        <v>-2.303</v>
      </c>
      <c r="BS232" s="24" t="n">
        <v>1.063</v>
      </c>
      <c r="BT232" s="24" t="n">
        <v>6.778</v>
      </c>
      <c r="BU232" s="24" t="n">
        <v>9.457</v>
      </c>
      <c r="BV232" s="24" t="n">
        <v>14.995</v>
      </c>
      <c r="BW232" s="24" t="n">
        <v>2.515</v>
      </c>
      <c r="BX232" s="24" t="n">
        <v>3.847</v>
      </c>
      <c r="CA232" s="25" t="n">
        <f aca="false">($BW$232+$BX$232)</f>
        <v>6.362</v>
      </c>
      <c r="CB232" s="41" t="n">
        <v>0</v>
      </c>
      <c r="CC232" s="41" t="n">
        <v>0</v>
      </c>
      <c r="CD232" s="41" t="n">
        <v>0</v>
      </c>
      <c r="CE232" s="41" t="n">
        <v>0</v>
      </c>
    </row>
    <row r="233" customFormat="false" ht="15" hidden="false" customHeight="false" outlineLevel="0" collapsed="false">
      <c r="B233" s="20" t="s">
        <v>420</v>
      </c>
      <c r="I233" s="24" t="n">
        <v>4.988</v>
      </c>
      <c r="K233" s="24" t="n">
        <v>0</v>
      </c>
      <c r="L233" s="24" t="n">
        <v>0</v>
      </c>
      <c r="M233" s="24" t="n">
        <v>0.887</v>
      </c>
      <c r="N233" s="24" t="n">
        <v>0.887</v>
      </c>
      <c r="Q233" s="24" t="n">
        <v>19.93</v>
      </c>
      <c r="R233" s="24" t="n">
        <v>24.641</v>
      </c>
      <c r="S233" s="24" t="n">
        <v>44.571</v>
      </c>
      <c r="T233" s="24" t="n">
        <v>40.813</v>
      </c>
      <c r="U233" s="24" t="n">
        <v>0</v>
      </c>
      <c r="V233" s="24" t="n">
        <v>0</v>
      </c>
      <c r="W233" s="24" t="n">
        <v>0</v>
      </c>
      <c r="X233" s="24" t="n">
        <v>40.813</v>
      </c>
      <c r="Z233" s="24" t="n">
        <v>0</v>
      </c>
      <c r="AA233" s="24" t="n">
        <v>0</v>
      </c>
      <c r="AB233" s="24" t="n">
        <v>0</v>
      </c>
      <c r="AC233" s="24" t="n">
        <v>0</v>
      </c>
      <c r="AS233" s="24" t="n">
        <v>1.205</v>
      </c>
      <c r="AT233" s="24" t="n">
        <v>17.36</v>
      </c>
      <c r="AU233" s="24" t="n">
        <v>1.187</v>
      </c>
      <c r="AV233" s="24" t="n">
        <v>38.27</v>
      </c>
      <c r="AW233" s="24" t="n">
        <v>58.022</v>
      </c>
      <c r="AX233" s="24" t="n">
        <v>0</v>
      </c>
      <c r="AY233" s="24" t="n">
        <v>0</v>
      </c>
      <c r="AZ233" s="24" t="n">
        <v>8.656</v>
      </c>
      <c r="BA233" s="24" t="n">
        <v>10.432</v>
      </c>
      <c r="BB233" s="24" t="n">
        <v>19.088</v>
      </c>
      <c r="BE233" s="24" t="n">
        <v>0</v>
      </c>
      <c r="BF233" s="24" t="n">
        <v>0</v>
      </c>
      <c r="BG233" s="24" t="n">
        <v>0</v>
      </c>
      <c r="BK233" s="24" t="n">
        <v>0</v>
      </c>
      <c r="BL233" s="24" t="n">
        <v>0</v>
      </c>
      <c r="BN233" s="24" t="n">
        <v>1.394</v>
      </c>
      <c r="BO233" s="24" t="n">
        <v>1.655</v>
      </c>
      <c r="BP233" s="24" t="n">
        <v>1.225</v>
      </c>
      <c r="BQ233" s="24" t="n">
        <v>4.274</v>
      </c>
      <c r="BR233" s="24" t="n">
        <v>0.281</v>
      </c>
      <c r="BS233" s="24" t="n">
        <v>0.187</v>
      </c>
      <c r="BT233" s="24" t="n">
        <v>0</v>
      </c>
      <c r="BU233" s="24" t="n">
        <v>0</v>
      </c>
      <c r="BV233" s="24" t="n">
        <v>0.468</v>
      </c>
      <c r="BW233" s="24" t="n">
        <v>0</v>
      </c>
      <c r="BX233" s="24" t="n">
        <v>0</v>
      </c>
      <c r="CA233" s="25" t="n">
        <f aca="false">($BW$233+$BX$233)</f>
        <v>0</v>
      </c>
      <c r="CB233" s="41" t="n">
        <v>0</v>
      </c>
      <c r="CC233" s="41" t="n">
        <v>0</v>
      </c>
      <c r="CD233" s="41" t="n">
        <v>0</v>
      </c>
      <c r="CE233" s="41" t="n">
        <v>0</v>
      </c>
    </row>
    <row r="234" customFormat="false" ht="15" hidden="false" customHeight="false" outlineLevel="0" collapsed="false">
      <c r="B234" s="20" t="s">
        <v>421</v>
      </c>
      <c r="C234" s="24" t="n">
        <v>16.823</v>
      </c>
      <c r="D234" s="24" t="n">
        <v>-31.047</v>
      </c>
      <c r="E234" s="24" t="n">
        <v>-11.917</v>
      </c>
      <c r="F234" s="24" t="n">
        <v>16.104</v>
      </c>
      <c r="G234" s="24" t="n">
        <v>-32.486</v>
      </c>
      <c r="H234" s="24" t="n">
        <v>-27.359</v>
      </c>
      <c r="I234" s="24" t="n">
        <v>-34.575</v>
      </c>
      <c r="J234" s="24" t="n">
        <v>-55.518</v>
      </c>
      <c r="K234" s="24" t="n">
        <v>-2.969</v>
      </c>
      <c r="L234" s="24" t="n">
        <v>1.144</v>
      </c>
      <c r="M234" s="24" t="n">
        <v>21.451</v>
      </c>
      <c r="N234" s="24" t="n">
        <v>-35.892</v>
      </c>
      <c r="O234" s="24" t="n">
        <v>-80.154</v>
      </c>
      <c r="P234" s="24" t="n">
        <v>9.154</v>
      </c>
      <c r="Q234" s="24" t="n">
        <v>-17.531</v>
      </c>
      <c r="R234" s="24" t="n">
        <v>132.382</v>
      </c>
      <c r="S234" s="24" t="n">
        <v>43.851</v>
      </c>
      <c r="T234" s="24" t="n">
        <v>-254.959</v>
      </c>
      <c r="U234" s="24" t="n">
        <v>-24.883</v>
      </c>
      <c r="V234" s="24" t="n">
        <v>45.689</v>
      </c>
      <c r="W234" s="24" t="n">
        <v>20.494</v>
      </c>
      <c r="X234" s="24" t="n">
        <v>-213.659</v>
      </c>
      <c r="Y234" s="24" t="n">
        <v>-1.701</v>
      </c>
      <c r="Z234" s="24" t="n">
        <v>17.479</v>
      </c>
      <c r="AA234" s="24" t="n">
        <v>59.915</v>
      </c>
      <c r="AB234" s="24" t="n">
        <v>56.379</v>
      </c>
      <c r="AC234" s="24" t="n">
        <v>132.072</v>
      </c>
      <c r="AD234" s="24" t="n">
        <v>-84.863</v>
      </c>
      <c r="AE234" s="24" t="n">
        <v>8.568</v>
      </c>
      <c r="AF234" s="24" t="n">
        <v>10.03</v>
      </c>
      <c r="AG234" s="24" t="n">
        <v>135.147</v>
      </c>
      <c r="AH234" s="24" t="n">
        <v>68.882</v>
      </c>
      <c r="AI234" s="24" t="n">
        <v>-149.098</v>
      </c>
      <c r="AJ234" s="24" t="n">
        <v>-4.214</v>
      </c>
      <c r="AK234" s="24" t="n">
        <v>-31.881</v>
      </c>
      <c r="AL234" s="24" t="n">
        <v>122.967</v>
      </c>
      <c r="AM234" s="24" t="n">
        <v>-62.226</v>
      </c>
      <c r="AN234" s="24" t="n">
        <v>-137.861</v>
      </c>
      <c r="AO234" s="24" t="n">
        <v>-11.368</v>
      </c>
      <c r="AP234" s="24" t="n">
        <v>7.452</v>
      </c>
      <c r="AQ234" s="24" t="n">
        <v>109.784</v>
      </c>
      <c r="AR234" s="24" t="n">
        <v>-31.993</v>
      </c>
      <c r="AS234" s="24" t="n">
        <v>-279.446</v>
      </c>
      <c r="AT234" s="24" t="n">
        <v>58.35</v>
      </c>
      <c r="AU234" s="24" t="n">
        <v>-42.705</v>
      </c>
      <c r="AV234" s="24" t="n">
        <v>142.275</v>
      </c>
      <c r="AW234" s="24" t="n">
        <v>-121.526</v>
      </c>
      <c r="AX234" s="24" t="n">
        <v>-121.274</v>
      </c>
      <c r="AY234" s="24" t="n">
        <v>-21.171</v>
      </c>
      <c r="AZ234" s="24" t="n">
        <v>-2.007</v>
      </c>
      <c r="BA234" s="24" t="n">
        <v>128.807</v>
      </c>
      <c r="BB234" s="24" t="n">
        <v>-15.645</v>
      </c>
      <c r="BC234" s="24" t="n">
        <v>-198.556</v>
      </c>
      <c r="BD234" s="24" t="n">
        <v>-64.628</v>
      </c>
      <c r="BE234" s="24" t="n">
        <v>-21.47</v>
      </c>
      <c r="BF234" s="24" t="n">
        <v>181.326</v>
      </c>
      <c r="BG234" s="24" t="n">
        <v>-103.328</v>
      </c>
      <c r="BH234" s="24" t="n">
        <v>-180.025</v>
      </c>
      <c r="BI234" s="24" t="n">
        <v>1.236</v>
      </c>
      <c r="BJ234" s="24" t="n">
        <v>16.069</v>
      </c>
      <c r="BK234" s="24" t="n">
        <v>123.3</v>
      </c>
      <c r="BL234" s="24" t="n">
        <v>-39.42</v>
      </c>
      <c r="BM234" s="24" t="n">
        <v>-151.085</v>
      </c>
      <c r="BN234" s="24" t="n">
        <v>-16.452</v>
      </c>
      <c r="BO234" s="24" t="n">
        <v>37.248</v>
      </c>
      <c r="BP234" s="24" t="n">
        <v>150.589</v>
      </c>
      <c r="BQ234" s="24" t="n">
        <v>20.3</v>
      </c>
      <c r="BR234" s="24" t="n">
        <v>-174.401</v>
      </c>
      <c r="BS234" s="24" t="n">
        <v>-22.353</v>
      </c>
      <c r="BT234" s="24" t="n">
        <v>23.891</v>
      </c>
      <c r="BU234" s="24" t="n">
        <v>169.875</v>
      </c>
      <c r="BV234" s="24" t="n">
        <v>-2.988</v>
      </c>
      <c r="BW234" s="24" t="n">
        <v>-171.917</v>
      </c>
      <c r="BX234" s="24" t="n">
        <v>-9.375</v>
      </c>
      <c r="CA234" s="25" t="n">
        <f aca="false">($BW$234+$BX$234)-(CA277-BX277)-(CA278-BX278)+(CA289-BX289)+(CA290-BX290)+(CA291-BX291)-(CA285-BX285)</f>
        <v>-23.5883566242679</v>
      </c>
      <c r="CB234" s="25" t="n">
        <f aca="false">0-(CB277-CA277)-(CB278-CA278)+(CB289-CA289)+(CB290-CA290)+(CB291-CA291)-(CB285-CA285)</f>
        <v>-53.9749065652868</v>
      </c>
      <c r="CC234" s="25" t="n">
        <f aca="false">0-(CC277-CB277)-(CC278-CB278)+(CC289-CB289)+(CC290-CB290)+(CC291-CB291)-(CC285-CB285)</f>
        <v>-62.8621580779393</v>
      </c>
      <c r="CD234" s="25" t="n">
        <f aca="false">0-(CD277-CC277)-(CD278-CC278)+(CD289-CC289)+(CD290-CC290)+(CD291-CC291)-(CD285-CC285)</f>
        <v>-63.3932038758738</v>
      </c>
      <c r="CE234" s="25" t="n">
        <f aca="false">0-(CE277-CD277)-(CE278-CD278)+(CE289-CD289)+(CE290-CD290)+(CE291-CD291)-(CE285-CD285)</f>
        <v>-65.6758096328853</v>
      </c>
      <c r="CF234" s="18" t="s">
        <v>422</v>
      </c>
    </row>
    <row r="235" customFormat="false" ht="15" hidden="false" customHeight="false" outlineLevel="0" collapsed="false">
      <c r="B235" s="33" t="s">
        <v>423</v>
      </c>
      <c r="C235" s="24" t="n">
        <v>2.982</v>
      </c>
      <c r="D235" s="24" t="n">
        <v>5.54</v>
      </c>
      <c r="E235" s="24" t="n">
        <v>11.416</v>
      </c>
      <c r="F235" s="24" t="n">
        <v>19.654</v>
      </c>
      <c r="G235" s="24" t="n">
        <v>24.528</v>
      </c>
      <c r="H235" s="24" t="n">
        <v>-4.234</v>
      </c>
      <c r="I235" s="24" t="n">
        <v>-1.132</v>
      </c>
      <c r="J235" s="24" t="n">
        <v>4.934</v>
      </c>
      <c r="K235" s="24" t="n">
        <v>5.818</v>
      </c>
      <c r="L235" s="24" t="n">
        <v>-22.904</v>
      </c>
      <c r="M235" s="24" t="n">
        <v>10.522</v>
      </c>
      <c r="N235" s="24" t="n">
        <v>-1.63</v>
      </c>
      <c r="O235" s="24" t="n">
        <v>-4.154</v>
      </c>
      <c r="P235" s="24" t="n">
        <v>-11.391</v>
      </c>
      <c r="Q235" s="24" t="n">
        <v>-15.28</v>
      </c>
      <c r="R235" s="24" t="n">
        <v>4.394</v>
      </c>
      <c r="S235" s="24" t="n">
        <v>-26.431</v>
      </c>
      <c r="T235" s="24" t="n">
        <v>-141.585</v>
      </c>
      <c r="U235" s="24" t="n">
        <v>2.889</v>
      </c>
      <c r="V235" s="24" t="n">
        <v>-4.291</v>
      </c>
      <c r="W235" s="24" t="n">
        <v>3.377</v>
      </c>
      <c r="X235" s="24" t="n">
        <v>-139.61</v>
      </c>
      <c r="Y235" s="24" t="n">
        <v>2.444</v>
      </c>
      <c r="Z235" s="24" t="n">
        <v>-2.032</v>
      </c>
      <c r="AA235" s="24" t="n">
        <v>2.311</v>
      </c>
      <c r="AB235" s="24" t="n">
        <v>0.682</v>
      </c>
      <c r="AC235" s="24" t="n">
        <v>3.405</v>
      </c>
      <c r="AD235" s="24" t="n">
        <v>-2.019</v>
      </c>
      <c r="AE235" s="24" t="n">
        <v>3.06</v>
      </c>
      <c r="AF235" s="24" t="n">
        <v>3.074</v>
      </c>
      <c r="AG235" s="24" t="n">
        <v>-0.634</v>
      </c>
      <c r="AH235" s="24" t="n">
        <v>3.481</v>
      </c>
      <c r="AI235" s="24" t="n">
        <v>-48.704</v>
      </c>
      <c r="AJ235" s="24" t="n">
        <v>0.439</v>
      </c>
      <c r="AK235" s="24" t="n">
        <v>1.945</v>
      </c>
      <c r="AL235" s="24" t="n">
        <v>2.561</v>
      </c>
      <c r="AM235" s="24" t="n">
        <v>-43.759</v>
      </c>
      <c r="AN235" s="24" t="n">
        <v>0.255</v>
      </c>
      <c r="AO235" s="24" t="n">
        <v>0.056</v>
      </c>
      <c r="AP235" s="24" t="n">
        <v>-1.239</v>
      </c>
      <c r="AQ235" s="24" t="n">
        <v>-0.382</v>
      </c>
      <c r="AR235" s="24" t="n">
        <v>-1.31</v>
      </c>
      <c r="AS235" s="24" t="n">
        <v>-149.468</v>
      </c>
      <c r="AT235" s="24" t="n">
        <v>-0.046</v>
      </c>
      <c r="AU235" s="24" t="n">
        <v>-1.16</v>
      </c>
      <c r="AV235" s="24" t="n">
        <v>-2.701</v>
      </c>
      <c r="AW235" s="24" t="n">
        <v>-153.375</v>
      </c>
      <c r="AX235" s="24" t="n">
        <v>1.182</v>
      </c>
      <c r="AY235" s="24" t="n">
        <v>-5.199</v>
      </c>
      <c r="AZ235" s="24" t="n">
        <v>6.423</v>
      </c>
      <c r="BA235" s="24" t="n">
        <v>-3.642</v>
      </c>
      <c r="BB235" s="24" t="n">
        <v>-1.236</v>
      </c>
      <c r="BC235" s="24" t="n">
        <v>-6.034</v>
      </c>
      <c r="BD235" s="24" t="n">
        <v>1.658</v>
      </c>
      <c r="BE235" s="24" t="n">
        <v>0.463</v>
      </c>
      <c r="BF235" s="24" t="n">
        <v>-11.136</v>
      </c>
      <c r="BG235" s="24" t="n">
        <v>-15.049</v>
      </c>
      <c r="BH235" s="24" t="n">
        <v>-4.946</v>
      </c>
      <c r="BI235" s="24" t="n">
        <v>-4.446</v>
      </c>
      <c r="BJ235" s="24" t="n">
        <v>-4.736</v>
      </c>
      <c r="BK235" s="24" t="n">
        <v>-4.179</v>
      </c>
      <c r="BL235" s="24" t="n">
        <v>-18.307</v>
      </c>
      <c r="BM235" s="24" t="n">
        <v>-4.733</v>
      </c>
      <c r="BN235" s="24" t="n">
        <v>-4.795</v>
      </c>
      <c r="BO235" s="24" t="n">
        <v>-3.69</v>
      </c>
      <c r="BP235" s="24" t="n">
        <v>-5.662</v>
      </c>
      <c r="BQ235" s="24" t="n">
        <v>-18.88</v>
      </c>
      <c r="BR235" s="24" t="n">
        <v>-6.03</v>
      </c>
      <c r="BS235" s="24" t="n">
        <v>-4.661</v>
      </c>
      <c r="BT235" s="24" t="n">
        <v>-3.742</v>
      </c>
      <c r="BU235" s="24" t="n">
        <v>-13.093</v>
      </c>
      <c r="BV235" s="24" t="n">
        <v>-27.526</v>
      </c>
      <c r="BW235" s="24" t="n">
        <v>-8.933</v>
      </c>
      <c r="BX235" s="24" t="n">
        <v>-6.602</v>
      </c>
      <c r="CA235" s="25" t="n">
        <f aca="false">($BW$235+$BX$235)-(CA285-BX285)</f>
        <v>-28.035</v>
      </c>
      <c r="CB235" s="25" t="n">
        <f aca="false">0-(CB285-CA285)</f>
        <v>-25</v>
      </c>
      <c r="CC235" s="25" t="n">
        <f aca="false">0-(CC285-CB285)</f>
        <v>-25</v>
      </c>
      <c r="CD235" s="25" t="n">
        <f aca="false">0-(CD285-CC285)</f>
        <v>-25</v>
      </c>
      <c r="CE235" s="25" t="n">
        <f aca="false">0-(CE285-CD285)</f>
        <v>-25</v>
      </c>
    </row>
    <row r="236" customFormat="false" ht="15" hidden="false" customHeight="false" outlineLevel="0" collapsed="false">
      <c r="B236" s="43" t="s">
        <v>389</v>
      </c>
      <c r="C236" s="48" t="n">
        <v>143.871</v>
      </c>
      <c r="D236" s="48" t="n">
        <v>139.136</v>
      </c>
      <c r="E236" s="48" t="n">
        <v>179.821</v>
      </c>
      <c r="F236" s="48" t="n">
        <v>196.579</v>
      </c>
      <c r="G236" s="48" t="n">
        <v>171.71</v>
      </c>
      <c r="H236" s="48" t="n">
        <v>202.362</v>
      </c>
      <c r="I236" s="48" t="n">
        <v>152.474</v>
      </c>
      <c r="J236" s="48" t="n">
        <v>-1.08</v>
      </c>
      <c r="K236" s="48" t="n">
        <v>61.881</v>
      </c>
      <c r="L236" s="48" t="n">
        <v>73.585</v>
      </c>
      <c r="M236" s="48" t="n">
        <v>103.441</v>
      </c>
      <c r="N236" s="48" t="n">
        <v>237.827</v>
      </c>
      <c r="O236" s="48" t="n">
        <v>-14.593</v>
      </c>
      <c r="P236" s="48" t="n">
        <v>99.01</v>
      </c>
      <c r="Q236" s="48" t="n">
        <v>68.756</v>
      </c>
      <c r="R236" s="48" t="n">
        <v>178.593</v>
      </c>
      <c r="S236" s="48" t="n">
        <v>331.766</v>
      </c>
      <c r="T236" s="48" t="n">
        <v>-171.091</v>
      </c>
      <c r="U236" s="48" t="n">
        <v>59.821</v>
      </c>
      <c r="V236" s="48" t="n">
        <v>106.579</v>
      </c>
      <c r="W236" s="48" t="n">
        <v>167.17</v>
      </c>
      <c r="X236" s="48" t="n">
        <v>162.479</v>
      </c>
      <c r="Y236" s="48" t="n">
        <v>70.26</v>
      </c>
      <c r="Z236" s="48" t="n">
        <v>86.371</v>
      </c>
      <c r="AA236" s="48" t="n">
        <v>110.581</v>
      </c>
      <c r="AB236" s="48" t="n">
        <v>155.985</v>
      </c>
      <c r="AC236" s="48" t="n">
        <v>423.197</v>
      </c>
      <c r="AD236" s="48" t="n">
        <v>-24.941</v>
      </c>
      <c r="AE236" s="48" t="n">
        <v>85.873</v>
      </c>
      <c r="AF236" s="48" t="n">
        <v>101.375</v>
      </c>
      <c r="AG236" s="48" t="n">
        <v>226.405</v>
      </c>
      <c r="AH236" s="48" t="n">
        <v>388.712</v>
      </c>
      <c r="AI236" s="48" t="n">
        <v>-71.262</v>
      </c>
      <c r="AJ236" s="48" t="n">
        <v>97.947</v>
      </c>
      <c r="AK236" s="48" t="n">
        <v>72.29</v>
      </c>
      <c r="AL236" s="48" t="n">
        <v>237.298</v>
      </c>
      <c r="AM236" s="48" t="n">
        <v>336.273</v>
      </c>
      <c r="AN236" s="48" t="n">
        <v>-51.858</v>
      </c>
      <c r="AO236" s="48" t="n">
        <v>92.244</v>
      </c>
      <c r="AP236" s="48" t="n">
        <v>118.629</v>
      </c>
      <c r="AQ236" s="48" t="n">
        <v>262.389</v>
      </c>
      <c r="AR236" s="48" t="n">
        <v>421.404</v>
      </c>
      <c r="AS236" s="48" t="n">
        <v>-192.576</v>
      </c>
      <c r="AT236" s="48" t="n">
        <v>140.367</v>
      </c>
      <c r="AU236" s="48" t="n">
        <v>55.993</v>
      </c>
      <c r="AV236" s="48" t="n">
        <v>257.396</v>
      </c>
      <c r="AW236" s="48" t="n">
        <v>261.18</v>
      </c>
      <c r="AX236" s="48" t="n">
        <v>-26.603</v>
      </c>
      <c r="AY236" s="48" t="n">
        <v>75.079</v>
      </c>
      <c r="AZ236" s="48" t="n">
        <v>107.285</v>
      </c>
      <c r="BA236" s="48" t="n">
        <v>231.907</v>
      </c>
      <c r="BB236" s="48" t="n">
        <v>387.668</v>
      </c>
      <c r="BC236" s="48" t="n">
        <v>-124.315</v>
      </c>
      <c r="BD236" s="48" t="n">
        <v>31.044</v>
      </c>
      <c r="BE236" s="48" t="n">
        <v>95.658</v>
      </c>
      <c r="BF236" s="48" t="n">
        <v>292.389</v>
      </c>
      <c r="BG236" s="48" t="n">
        <v>294.776</v>
      </c>
      <c r="BH236" s="48" t="n">
        <v>-91.599</v>
      </c>
      <c r="BI236" s="48" t="n">
        <v>110.952</v>
      </c>
      <c r="BJ236" s="48" t="n">
        <v>146.364</v>
      </c>
      <c r="BK236" s="48" t="n">
        <v>282.372</v>
      </c>
      <c r="BL236" s="48" t="n">
        <v>448.089</v>
      </c>
      <c r="BM236" s="48" t="n">
        <v>-45.633</v>
      </c>
      <c r="BN236" s="48" t="n">
        <v>111.335</v>
      </c>
      <c r="BO236" s="48" t="n">
        <v>177.274</v>
      </c>
      <c r="BP236" s="48" t="n">
        <v>301.299</v>
      </c>
      <c r="BQ236" s="48" t="n">
        <v>544.275</v>
      </c>
      <c r="BR236" s="48" t="n">
        <v>-38.765</v>
      </c>
      <c r="BS236" s="48" t="n">
        <v>136.585</v>
      </c>
      <c r="BT236" s="48" t="n">
        <v>192.838</v>
      </c>
      <c r="BU236" s="48" t="n">
        <v>352.744</v>
      </c>
      <c r="BV236" s="48" t="n">
        <v>643.402</v>
      </c>
      <c r="BW236" s="48" t="n">
        <v>-5.655</v>
      </c>
      <c r="BX236" s="48" t="n">
        <v>181.183</v>
      </c>
      <c r="CA236" s="44" t="n">
        <f aca="false">N(CA227)+N(CA229)+N(CA230)+N(CA231)+N(CA232)+N(CA233)+N(CA234)</f>
        <v>701.164</v>
      </c>
      <c r="CB236" s="44" t="n">
        <f aca="false">N(CB227)+N(CB229)+N(CB230)+N(CB231)+N(CB232)+N(CB233)+N(CB234)</f>
        <v>742.352881550799</v>
      </c>
      <c r="CC236" s="44" t="n">
        <f aca="false">N(CC227)+N(CC229)+N(CC230)+N(CC231)+N(CC232)+N(CC233)+N(CC234)</f>
        <v>812.566066486061</v>
      </c>
      <c r="CD236" s="44" t="n">
        <f aca="false">N(CD227)+N(CD229)+N(CD230)+N(CD231)+N(CD232)+N(CD233)+N(CD234)</f>
        <v>896.471857250541</v>
      </c>
      <c r="CE236" s="44" t="n">
        <f aca="false">N(CE227)+N(CE229)+N(CE230)+N(CE231)+N(CE232)+N(CE233)+N(CE234)</f>
        <v>982.172372965575</v>
      </c>
      <c r="CH236" s="19" t="n">
        <f aca="false">IFERROR((CE236/BV236)^(1/5)-1,"n/m")</f>
        <v>0.0882810362365434</v>
      </c>
      <c r="CI236" s="19" t="n">
        <f aca="false">IFERROR((BV236/AW236)^(1/5)-1,"n/m")</f>
        <v>0.197590928903595</v>
      </c>
      <c r="CJ236" s="19" t="n">
        <f aca="false">IFERROR((BV236/X236)^(1/10)-1,"n/m")</f>
        <v>0.147541807756586</v>
      </c>
      <c r="CK236" s="19" t="n">
        <f aca="false">IFERROR((BV236/C236)^(1/19)-1,"n/m")</f>
        <v>0.0820250702578054</v>
      </c>
    </row>
    <row r="237" customFormat="false" ht="15" hidden="false" customHeight="false" outlineLevel="0" collapsed="false">
      <c r="B237" s="20" t="s">
        <v>424</v>
      </c>
      <c r="C237" s="24" t="n">
        <v>-40.202</v>
      </c>
      <c r="D237" s="24" t="n">
        <v>-54.433</v>
      </c>
      <c r="E237" s="24" t="n">
        <v>-103.657</v>
      </c>
      <c r="F237" s="24" t="n">
        <v>-75.643</v>
      </c>
      <c r="G237" s="24" t="n">
        <v>-52.98</v>
      </c>
      <c r="H237" s="24" t="n">
        <v>-84.831</v>
      </c>
      <c r="I237" s="24" t="n">
        <v>-82.954</v>
      </c>
      <c r="J237" s="24" t="n">
        <v>-15.01</v>
      </c>
      <c r="K237" s="24" t="n">
        <v>-17.116</v>
      </c>
      <c r="L237" s="24" t="n">
        <v>-25.75</v>
      </c>
      <c r="M237" s="24" t="n">
        <v>-14.366</v>
      </c>
      <c r="N237" s="24" t="n">
        <v>-72.242</v>
      </c>
      <c r="O237" s="24" t="n">
        <v>-18.365</v>
      </c>
      <c r="P237" s="24" t="n">
        <v>-17.631</v>
      </c>
      <c r="Q237" s="24" t="n">
        <v>-18.484</v>
      </c>
      <c r="R237" s="24" t="n">
        <v>-12.635</v>
      </c>
      <c r="S237" s="24" t="n">
        <v>-67.115</v>
      </c>
      <c r="T237" s="24" t="n">
        <v>-9.096</v>
      </c>
      <c r="U237" s="24" t="n">
        <v>-6.593</v>
      </c>
      <c r="V237" s="24" t="n">
        <v>-8.159</v>
      </c>
      <c r="W237" s="24" t="n">
        <v>-11.664</v>
      </c>
      <c r="X237" s="24" t="n">
        <v>-35.512</v>
      </c>
      <c r="Y237" s="24" t="n">
        <v>-8.825</v>
      </c>
      <c r="Z237" s="24" t="n">
        <v>-6.908</v>
      </c>
      <c r="AA237" s="24" t="n">
        <v>-10.394</v>
      </c>
      <c r="AB237" s="24" t="n">
        <v>-20.649</v>
      </c>
      <c r="AC237" s="24" t="n">
        <v>-46.776</v>
      </c>
      <c r="AD237" s="24" t="n">
        <v>-10.374</v>
      </c>
      <c r="AE237" s="24" t="n">
        <v>-12.914</v>
      </c>
      <c r="AF237" s="24" t="n">
        <v>-11.586</v>
      </c>
      <c r="AG237" s="24" t="n">
        <v>-17.831</v>
      </c>
      <c r="AH237" s="24" t="n">
        <v>-52.705</v>
      </c>
      <c r="AI237" s="24" t="n">
        <v>-8.971</v>
      </c>
      <c r="AJ237" s="24" t="n">
        <v>-10.881</v>
      </c>
      <c r="AK237" s="24" t="n">
        <v>-10.435</v>
      </c>
      <c r="AL237" s="24" t="n">
        <v>-23.13</v>
      </c>
      <c r="AM237" s="24" t="n">
        <v>-53.417</v>
      </c>
      <c r="AN237" s="24" t="n">
        <v>-17.034</v>
      </c>
      <c r="AO237" s="24" t="n">
        <v>-16.437</v>
      </c>
      <c r="AP237" s="24" t="n">
        <v>-16.448</v>
      </c>
      <c r="AQ237" s="24" t="n">
        <v>-19.833</v>
      </c>
      <c r="AR237" s="24" t="n">
        <v>-69.752</v>
      </c>
      <c r="AS237" s="24" t="n">
        <v>-18.637</v>
      </c>
      <c r="AT237" s="24" t="n">
        <v>-10.687</v>
      </c>
      <c r="AU237" s="24" t="n">
        <v>-7.017</v>
      </c>
      <c r="AV237" s="24" t="n">
        <v>-11.158</v>
      </c>
      <c r="AW237" s="24" t="n">
        <v>-47.499</v>
      </c>
      <c r="AX237" s="24" t="n">
        <v>-8.537</v>
      </c>
      <c r="AY237" s="24" t="n">
        <v>-9.234</v>
      </c>
      <c r="AZ237" s="24" t="n">
        <v>-10.087</v>
      </c>
      <c r="BA237" s="24" t="n">
        <v>-13.25</v>
      </c>
      <c r="BB237" s="24" t="n">
        <v>-41.108</v>
      </c>
      <c r="BC237" s="24" t="n">
        <v>-10.896</v>
      </c>
      <c r="BD237" s="24" t="n">
        <v>-8.596</v>
      </c>
      <c r="BE237" s="24" t="n">
        <v>-9.297</v>
      </c>
      <c r="BF237" s="24" t="n">
        <v>-9.428</v>
      </c>
      <c r="BG237" s="24" t="n">
        <v>-38.217</v>
      </c>
      <c r="BH237" s="24" t="n">
        <v>-10.661</v>
      </c>
      <c r="BI237" s="24" t="n">
        <v>-12.003</v>
      </c>
      <c r="BJ237" s="24" t="n">
        <v>-9.373</v>
      </c>
      <c r="BK237" s="24" t="n">
        <v>-12.629</v>
      </c>
      <c r="BL237" s="24" t="n">
        <v>-44.666</v>
      </c>
      <c r="BM237" s="24" t="n">
        <v>-12.055</v>
      </c>
      <c r="BN237" s="24" t="n">
        <v>-11.064</v>
      </c>
      <c r="BO237" s="24" t="n">
        <v>-14.584</v>
      </c>
      <c r="BP237" s="24" t="n">
        <v>-23.271</v>
      </c>
      <c r="BQ237" s="24" t="n">
        <v>-60.974</v>
      </c>
      <c r="BR237" s="24" t="n">
        <v>-15.773</v>
      </c>
      <c r="BS237" s="24" t="n">
        <v>-19.381</v>
      </c>
      <c r="BT237" s="24" t="n">
        <v>-16.9</v>
      </c>
      <c r="BU237" s="24" t="n">
        <v>-37.638</v>
      </c>
      <c r="BV237" s="24" t="n">
        <v>-89.692</v>
      </c>
      <c r="BW237" s="24" t="n">
        <v>-11.832</v>
      </c>
      <c r="BX237" s="24" t="n">
        <v>-29.451</v>
      </c>
      <c r="CA237" s="25" t="n">
        <f aca="false">BV237-$CO$33</f>
        <v>-114.692</v>
      </c>
      <c r="CB237" s="25" t="n">
        <f aca="false">-CB114*CB261</f>
        <v>-119.2422</v>
      </c>
      <c r="CC237" s="25" t="n">
        <f aca="false">-CC114*CC261</f>
        <v>-130.3003843</v>
      </c>
      <c r="CD237" s="25" t="n">
        <f aca="false">-CD114*CD261</f>
        <v>-141.431855863</v>
      </c>
      <c r="CE237" s="25" t="n">
        <f aca="false">-CE114*CE261</f>
        <v>-153.22885879408</v>
      </c>
      <c r="CF237" s="18" t="s">
        <v>425</v>
      </c>
    </row>
    <row r="238" customFormat="false" ht="15" hidden="false" customHeight="false" outlineLevel="0" collapsed="false">
      <c r="B238" s="20" t="s">
        <v>426</v>
      </c>
      <c r="BX238" s="24" t="n">
        <v>8.528</v>
      </c>
      <c r="CA238" s="25" t="n">
        <f aca="false">($BW$238+$BX$238)</f>
        <v>8.528</v>
      </c>
      <c r="CB238" s="41" t="n">
        <v>0</v>
      </c>
      <c r="CC238" s="41" t="n">
        <v>0</v>
      </c>
      <c r="CD238" s="41" t="n">
        <v>0</v>
      </c>
      <c r="CE238" s="41" t="n">
        <v>0</v>
      </c>
    </row>
    <row r="239" customFormat="false" ht="15" hidden="false" customHeight="false" outlineLevel="0" collapsed="false">
      <c r="B239" s="20" t="s">
        <v>427</v>
      </c>
      <c r="C239" s="24" t="n">
        <v>-39.522</v>
      </c>
      <c r="D239" s="24" t="n">
        <v>-289.348</v>
      </c>
      <c r="E239" s="24" t="n">
        <v>-48.557</v>
      </c>
      <c r="F239" s="24" t="n">
        <v>-68.623</v>
      </c>
      <c r="G239" s="24" t="n">
        <v>-42.2</v>
      </c>
      <c r="H239" s="24" t="n">
        <v>-178.08</v>
      </c>
      <c r="I239" s="24" t="n">
        <v>-462.963</v>
      </c>
      <c r="J239" s="24" t="n">
        <v>-100.263</v>
      </c>
      <c r="K239" s="24" t="n">
        <v>-1.73</v>
      </c>
      <c r="L239" s="24" t="n">
        <v>-5.54</v>
      </c>
      <c r="M239" s="24" t="n">
        <v>-135.265</v>
      </c>
      <c r="N239" s="24" t="n">
        <v>-242.798</v>
      </c>
      <c r="O239" s="24" t="n">
        <v>-33.087</v>
      </c>
      <c r="P239" s="24" t="n">
        <v>-1.505</v>
      </c>
      <c r="Q239" s="24" t="n">
        <v>-0.759</v>
      </c>
      <c r="R239" s="24" t="n">
        <v>-0.002</v>
      </c>
      <c r="S239" s="24" t="n">
        <v>-35.353</v>
      </c>
      <c r="T239" s="24" t="n">
        <v>-13.664</v>
      </c>
      <c r="U239" s="24" t="n">
        <v>0</v>
      </c>
      <c r="V239" s="24" t="n">
        <v>-0.035</v>
      </c>
      <c r="W239" s="24" t="n">
        <v>0.014</v>
      </c>
      <c r="X239" s="24" t="n">
        <v>-13.685</v>
      </c>
      <c r="Z239" s="24" t="n">
        <v>-0.295</v>
      </c>
      <c r="AA239" s="24" t="n">
        <v>0</v>
      </c>
      <c r="AB239" s="24" t="n">
        <v>-0.564</v>
      </c>
      <c r="AC239" s="24" t="n">
        <v>-0.859</v>
      </c>
      <c r="AD239" s="24" t="n">
        <v>-239.372</v>
      </c>
      <c r="AE239" s="24" t="n">
        <v>6.742</v>
      </c>
      <c r="AF239" s="24" t="n">
        <v>232.63</v>
      </c>
      <c r="AG239" s="24" t="n">
        <v>-233.365</v>
      </c>
      <c r="AH239" s="24" t="n">
        <v>-233.365</v>
      </c>
      <c r="AI239" s="24" t="n">
        <v>0</v>
      </c>
      <c r="AJ239" s="24" t="n">
        <v>-213.197</v>
      </c>
      <c r="AK239" s="24" t="n">
        <v>2.57</v>
      </c>
      <c r="AL239" s="24" t="n">
        <v>0</v>
      </c>
      <c r="AM239" s="24" t="n">
        <v>-210.627</v>
      </c>
      <c r="AN239" s="24" t="n">
        <v>-49.037</v>
      </c>
      <c r="AO239" s="24" t="n">
        <v>-1.038</v>
      </c>
      <c r="AP239" s="24" t="n">
        <v>0</v>
      </c>
      <c r="AQ239" s="24" t="n">
        <v>-135.134</v>
      </c>
      <c r="AR239" s="24" t="n">
        <v>-185.209</v>
      </c>
      <c r="AT239" s="24" t="n">
        <v>-82.003</v>
      </c>
      <c r="AU239" s="24" t="n">
        <v>-0.05</v>
      </c>
      <c r="AV239" s="24" t="n">
        <v>-405.891</v>
      </c>
      <c r="AW239" s="24" t="n">
        <v>-487.944</v>
      </c>
      <c r="AX239" s="24" t="n">
        <v>-5.34</v>
      </c>
      <c r="AY239" s="24" t="n">
        <v>0</v>
      </c>
      <c r="AZ239" s="24" t="n">
        <v>0</v>
      </c>
      <c r="BA239" s="24" t="n">
        <v>0</v>
      </c>
      <c r="BB239" s="24" t="n">
        <v>-5.34</v>
      </c>
      <c r="BC239" s="24" t="n">
        <v>-5.062</v>
      </c>
      <c r="BD239" s="24" t="n">
        <v>0</v>
      </c>
      <c r="BE239" s="24" t="n">
        <v>-247.215</v>
      </c>
      <c r="BF239" s="24" t="n">
        <v>-35.214</v>
      </c>
      <c r="BG239" s="24" t="n">
        <v>-287.491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N239" s="24" t="n">
        <v>-33.756</v>
      </c>
      <c r="BO239" s="24" t="n">
        <v>0</v>
      </c>
      <c r="BP239" s="24" t="n">
        <v>-191.785</v>
      </c>
      <c r="BQ239" s="24" t="n">
        <v>-225.541</v>
      </c>
      <c r="BR239" s="24" t="n">
        <v>-9.619</v>
      </c>
      <c r="BS239" s="24" t="n">
        <v>0</v>
      </c>
      <c r="BT239" s="24" t="n">
        <v>0</v>
      </c>
      <c r="BU239" s="24" t="n">
        <v>0</v>
      </c>
      <c r="BV239" s="24" t="n">
        <v>-9.619</v>
      </c>
      <c r="BW239" s="24" t="n">
        <v>0</v>
      </c>
      <c r="BX239" s="24" t="n">
        <v>0</v>
      </c>
      <c r="CA239" s="25" t="n">
        <f aca="false">($BW$239+$BX$239)</f>
        <v>0</v>
      </c>
      <c r="CB239" s="25" t="n">
        <f aca="false">-CB63</f>
        <v>-300</v>
      </c>
      <c r="CC239" s="25" t="n">
        <f aca="false">-CC63</f>
        <v>-300</v>
      </c>
      <c r="CD239" s="25" t="n">
        <f aca="false">-CD63</f>
        <v>-300</v>
      </c>
      <c r="CE239" s="25" t="n">
        <f aca="false">-CE63</f>
        <v>-300</v>
      </c>
      <c r="CF239" s="18" t="s">
        <v>428</v>
      </c>
    </row>
    <row r="240" customFormat="false" ht="15" hidden="false" customHeight="false" outlineLevel="0" collapsed="false">
      <c r="B240" s="20" t="s">
        <v>429</v>
      </c>
      <c r="C240" s="24" t="n">
        <v>0.776</v>
      </c>
      <c r="D240" s="24" t="n">
        <v>0.174</v>
      </c>
      <c r="E240" s="24" t="n">
        <v>8.143</v>
      </c>
      <c r="F240" s="24" t="n">
        <v>3.789</v>
      </c>
      <c r="G240" s="24" t="n">
        <v>0.744</v>
      </c>
      <c r="H240" s="24" t="n">
        <v>2.497</v>
      </c>
      <c r="I240" s="24" t="n">
        <v>54.68</v>
      </c>
      <c r="J240" s="24" t="n">
        <v>0.559</v>
      </c>
      <c r="K240" s="24" t="n">
        <v>0.385</v>
      </c>
      <c r="L240" s="24" t="n">
        <v>0.598</v>
      </c>
      <c r="M240" s="24" t="n">
        <v>-0.194</v>
      </c>
      <c r="N240" s="24" t="n">
        <v>1.348</v>
      </c>
      <c r="O240" s="24" t="n">
        <v>0.429</v>
      </c>
      <c r="P240" s="24" t="n">
        <v>51.997</v>
      </c>
      <c r="Q240" s="24" t="n">
        <v>2.371</v>
      </c>
      <c r="R240" s="24" t="n">
        <v>98.762</v>
      </c>
      <c r="S240" s="24" t="n">
        <v>153.559</v>
      </c>
      <c r="T240" s="24" t="n">
        <v>4.847</v>
      </c>
      <c r="U240" s="24" t="n">
        <v>18.72</v>
      </c>
      <c r="V240" s="24" t="n">
        <v>15.288</v>
      </c>
      <c r="W240" s="24" t="n">
        <v>-5.234</v>
      </c>
      <c r="X240" s="24" t="n">
        <v>33.621</v>
      </c>
      <c r="Y240" s="24" t="n">
        <v>0.203</v>
      </c>
      <c r="Z240" s="24" t="n">
        <v>0.041</v>
      </c>
      <c r="AA240" s="24" t="n">
        <v>1.987</v>
      </c>
      <c r="AB240" s="24" t="n">
        <v>2.47</v>
      </c>
      <c r="AC240" s="24" t="n">
        <v>4.701</v>
      </c>
      <c r="AD240" s="24" t="n">
        <v>0.085</v>
      </c>
      <c r="AE240" s="24" t="n">
        <v>0.264</v>
      </c>
      <c r="AF240" s="24" t="n">
        <v>7.603</v>
      </c>
      <c r="AG240" s="24" t="n">
        <v>5.79</v>
      </c>
      <c r="AH240" s="24" t="n">
        <v>13.742</v>
      </c>
      <c r="AI240" s="24" t="n">
        <v>0.819</v>
      </c>
      <c r="AJ240" s="24" t="n">
        <v>3.241</v>
      </c>
      <c r="AK240" s="24" t="n">
        <v>1.167</v>
      </c>
      <c r="AL240" s="24" t="n">
        <v>4.848</v>
      </c>
      <c r="AM240" s="24" t="n">
        <v>10.075</v>
      </c>
      <c r="AN240" s="24" t="n">
        <v>1.268</v>
      </c>
      <c r="AO240" s="24" t="n">
        <v>7.652</v>
      </c>
      <c r="AP240" s="24" t="n">
        <v>1.179</v>
      </c>
      <c r="AQ240" s="24" t="n">
        <v>4.994</v>
      </c>
      <c r="AR240" s="24" t="n">
        <v>15.093</v>
      </c>
      <c r="AS240" s="24" t="n">
        <v>2.006</v>
      </c>
      <c r="AT240" s="24" t="n">
        <v>0.405</v>
      </c>
      <c r="AU240" s="24" t="n">
        <v>0.065</v>
      </c>
      <c r="AV240" s="24" t="n">
        <v>0.454</v>
      </c>
      <c r="AW240" s="24" t="n">
        <v>2.93</v>
      </c>
      <c r="AX240" s="24" t="n">
        <v>1.022</v>
      </c>
      <c r="AY240" s="24" t="n">
        <v>1.96</v>
      </c>
      <c r="AZ240" s="24" t="n">
        <v>0.407</v>
      </c>
      <c r="BA240" s="24" t="n">
        <v>0.656</v>
      </c>
      <c r="BB240" s="24" t="n">
        <v>4.045</v>
      </c>
      <c r="BC240" s="24" t="n">
        <v>5.567</v>
      </c>
      <c r="BD240" s="24" t="n">
        <v>0.752</v>
      </c>
      <c r="BE240" s="24" t="n">
        <v>2.791</v>
      </c>
      <c r="BF240" s="24" t="n">
        <v>0.731</v>
      </c>
      <c r="BG240" s="24" t="n">
        <v>9.841</v>
      </c>
      <c r="BH240" s="24" t="n">
        <v>0.224</v>
      </c>
      <c r="BI240" s="24" t="n">
        <v>0.249</v>
      </c>
      <c r="BJ240" s="24" t="n">
        <v>-0.009</v>
      </c>
      <c r="BK240" s="24" t="n">
        <v>8.683</v>
      </c>
      <c r="BL240" s="24" t="n">
        <v>9.147</v>
      </c>
      <c r="BM240" s="24" t="n">
        <v>0.041</v>
      </c>
      <c r="BN240" s="24" t="n">
        <v>0.094</v>
      </c>
      <c r="BO240" s="24" t="n">
        <v>1.071</v>
      </c>
      <c r="BP240" s="24" t="n">
        <v>2</v>
      </c>
      <c r="BQ240" s="24" t="n">
        <v>3.206</v>
      </c>
      <c r="BR240" s="24" t="n">
        <v>0.499</v>
      </c>
      <c r="BS240" s="24" t="n">
        <v>-0.197</v>
      </c>
      <c r="BT240" s="24" t="n">
        <v>0.122</v>
      </c>
      <c r="BU240" s="24" t="n">
        <v>0.844</v>
      </c>
      <c r="BV240" s="24" t="n">
        <v>1.268</v>
      </c>
      <c r="BW240" s="24" t="n">
        <v>0.314</v>
      </c>
      <c r="BX240" s="24" t="n">
        <v>0.088</v>
      </c>
      <c r="CA240" s="25" t="n">
        <f aca="false">($BW$240+$BX$240)</f>
        <v>0.402</v>
      </c>
      <c r="CB240" s="41" t="n">
        <v>0</v>
      </c>
      <c r="CC240" s="41" t="n">
        <v>0</v>
      </c>
      <c r="CD240" s="41" t="n">
        <v>0</v>
      </c>
      <c r="CE240" s="41" t="n">
        <v>0</v>
      </c>
    </row>
    <row r="241" customFormat="false" ht="15" hidden="false" customHeight="false" outlineLevel="0" collapsed="false">
      <c r="B241" s="20" t="s">
        <v>430</v>
      </c>
      <c r="C241" s="24" t="n">
        <v>-1.664</v>
      </c>
      <c r="D241" s="24" t="n">
        <v>-3.722</v>
      </c>
      <c r="E241" s="24" t="n">
        <v>-0.311</v>
      </c>
      <c r="F241" s="24" t="n">
        <v>-0.673</v>
      </c>
      <c r="G241" s="24" t="n">
        <v>-1.608</v>
      </c>
      <c r="H241" s="24" t="n">
        <v>8.078</v>
      </c>
      <c r="I241" s="24" t="n">
        <v>-1.761</v>
      </c>
      <c r="J241" s="24" t="n">
        <v>0</v>
      </c>
      <c r="K241" s="24" t="n">
        <v>0</v>
      </c>
      <c r="L241" s="24" t="n">
        <v>0</v>
      </c>
      <c r="M241" s="24" t="n">
        <v>0</v>
      </c>
      <c r="N241" s="24" t="n">
        <v>0</v>
      </c>
      <c r="Q241" s="24" t="n">
        <v>2.357</v>
      </c>
      <c r="R241" s="24" t="n">
        <v>0</v>
      </c>
      <c r="S241" s="24" t="n">
        <v>2.357</v>
      </c>
      <c r="V241" s="24" t="n">
        <v>0</v>
      </c>
      <c r="W241" s="24" t="n">
        <v>0</v>
      </c>
      <c r="X241" s="24" t="n">
        <v>0</v>
      </c>
      <c r="AB241" s="24" t="n">
        <v>0</v>
      </c>
      <c r="AC241" s="24" t="n">
        <v>0</v>
      </c>
      <c r="AF241" s="24" t="n">
        <v>-232.63</v>
      </c>
      <c r="AG241" s="24" t="n">
        <v>232.63</v>
      </c>
      <c r="AI241" s="24" t="n">
        <v>-1.5</v>
      </c>
      <c r="AJ241" s="24" t="n">
        <v>0</v>
      </c>
      <c r="AK241" s="24" t="n">
        <v>0</v>
      </c>
      <c r="AL241" s="24" t="n">
        <v>-0.047</v>
      </c>
      <c r="AM241" s="24" t="n">
        <v>-1.547</v>
      </c>
      <c r="AN241" s="24" t="n">
        <v>-0.137</v>
      </c>
      <c r="AO241" s="24" t="n">
        <v>-0.01</v>
      </c>
      <c r="AP241" s="24" t="n">
        <v>-0.01</v>
      </c>
      <c r="AQ241" s="24" t="n">
        <v>-0.015</v>
      </c>
      <c r="AR241" s="24" t="n">
        <v>-0.172</v>
      </c>
      <c r="AS241" s="24" t="n">
        <v>-51.043</v>
      </c>
      <c r="AT241" s="24" t="n">
        <v>51.043</v>
      </c>
      <c r="AU241" s="24" t="n">
        <v>0</v>
      </c>
      <c r="AV241" s="24" t="n">
        <v>-0.017</v>
      </c>
      <c r="AW241" s="24" t="n">
        <v>-0.017</v>
      </c>
      <c r="BA241" s="24" t="n">
        <v>0</v>
      </c>
      <c r="BB241" s="24" t="n">
        <v>0</v>
      </c>
      <c r="BE241" s="24" t="n">
        <v>-10</v>
      </c>
      <c r="BF241" s="24" t="n">
        <v>0</v>
      </c>
      <c r="BG241" s="24" t="n">
        <v>-10</v>
      </c>
      <c r="BJ241" s="24" t="n">
        <v>0</v>
      </c>
      <c r="BK241" s="24" t="n">
        <v>0</v>
      </c>
      <c r="BL241" s="24" t="n">
        <v>0</v>
      </c>
      <c r="BP241" s="24" t="n">
        <v>0</v>
      </c>
      <c r="BQ241" s="24" t="n">
        <v>0</v>
      </c>
      <c r="BS241" s="24" t="n">
        <v>7.919</v>
      </c>
      <c r="BT241" s="24" t="n">
        <v>0</v>
      </c>
      <c r="BU241" s="24" t="n">
        <v>0</v>
      </c>
      <c r="BV241" s="24" t="n">
        <v>7.919</v>
      </c>
      <c r="BX241" s="24" t="n">
        <v>0</v>
      </c>
      <c r="CA241" s="25" t="n">
        <f aca="false">($BW$241+$BX$241)</f>
        <v>0</v>
      </c>
      <c r="CB241" s="41" t="n">
        <v>0</v>
      </c>
      <c r="CC241" s="41" t="n">
        <v>0</v>
      </c>
      <c r="CD241" s="41" t="n">
        <v>0</v>
      </c>
      <c r="CE241" s="41" t="n">
        <v>0</v>
      </c>
    </row>
    <row r="242" customFormat="false" ht="15" hidden="false" customHeight="false" outlineLevel="0" collapsed="false">
      <c r="B242" s="43" t="s">
        <v>431</v>
      </c>
      <c r="C242" s="48" t="n">
        <v>-80.612</v>
      </c>
      <c r="D242" s="48" t="n">
        <v>-347.329</v>
      </c>
      <c r="E242" s="48" t="n">
        <v>-144.382</v>
      </c>
      <c r="F242" s="48" t="n">
        <v>-141.15</v>
      </c>
      <c r="G242" s="48" t="n">
        <v>-96.044</v>
      </c>
      <c r="H242" s="48" t="n">
        <v>-252.336</v>
      </c>
      <c r="I242" s="48" t="n">
        <v>-492.998</v>
      </c>
      <c r="J242" s="48" t="n">
        <v>-114.714</v>
      </c>
      <c r="K242" s="48" t="n">
        <v>-18.461</v>
      </c>
      <c r="L242" s="48" t="n">
        <v>-30.692</v>
      </c>
      <c r="M242" s="48" t="n">
        <v>-149.825</v>
      </c>
      <c r="N242" s="48" t="n">
        <v>-313.692</v>
      </c>
      <c r="O242" s="48" t="n">
        <v>-51.023</v>
      </c>
      <c r="P242" s="48" t="n">
        <v>32.861</v>
      </c>
      <c r="Q242" s="48" t="n">
        <v>-14.515</v>
      </c>
      <c r="R242" s="48" t="n">
        <v>86.125</v>
      </c>
      <c r="S242" s="48" t="n">
        <v>53.448</v>
      </c>
      <c r="T242" s="48" t="n">
        <v>-17.913</v>
      </c>
      <c r="U242" s="48" t="n">
        <v>12.127</v>
      </c>
      <c r="V242" s="48" t="n">
        <v>7.094</v>
      </c>
      <c r="W242" s="48" t="n">
        <v>-16.884</v>
      </c>
      <c r="X242" s="48" t="n">
        <v>-15.576</v>
      </c>
      <c r="Y242" s="48" t="n">
        <v>-8.622</v>
      </c>
      <c r="Z242" s="48" t="n">
        <v>-7.162</v>
      </c>
      <c r="AA242" s="48" t="n">
        <v>-8.407</v>
      </c>
      <c r="AB242" s="48" t="n">
        <v>-18.743</v>
      </c>
      <c r="AC242" s="48" t="n">
        <v>-42.934</v>
      </c>
      <c r="AD242" s="48" t="n">
        <v>-249.661</v>
      </c>
      <c r="AE242" s="48" t="n">
        <v>-5.908</v>
      </c>
      <c r="AF242" s="48" t="n">
        <v>-3.983</v>
      </c>
      <c r="AG242" s="48" t="n">
        <v>-12.776</v>
      </c>
      <c r="AH242" s="48" t="n">
        <v>-272.328</v>
      </c>
      <c r="AI242" s="48" t="n">
        <v>-9.652</v>
      </c>
      <c r="AJ242" s="48" t="n">
        <v>-220.837</v>
      </c>
      <c r="AK242" s="48" t="n">
        <v>-6.698</v>
      </c>
      <c r="AL242" s="48" t="n">
        <v>-18.329</v>
      </c>
      <c r="AM242" s="48" t="n">
        <v>-255.516</v>
      </c>
      <c r="AN242" s="48" t="n">
        <v>-64.94</v>
      </c>
      <c r="AO242" s="48" t="n">
        <v>-9.833</v>
      </c>
      <c r="AP242" s="48" t="n">
        <v>-15.279</v>
      </c>
      <c r="AQ242" s="48" t="n">
        <v>-149.988</v>
      </c>
      <c r="AR242" s="48" t="n">
        <v>-240.04</v>
      </c>
      <c r="AS242" s="48" t="n">
        <v>-67.674</v>
      </c>
      <c r="AT242" s="48" t="n">
        <v>-41.242</v>
      </c>
      <c r="AU242" s="48" t="n">
        <v>-7.002</v>
      </c>
      <c r="AV242" s="48" t="n">
        <v>-416.612</v>
      </c>
      <c r="AW242" s="48" t="n">
        <v>-532.53</v>
      </c>
      <c r="AX242" s="48" t="n">
        <v>-12.855</v>
      </c>
      <c r="AY242" s="48" t="n">
        <v>-7.274</v>
      </c>
      <c r="AZ242" s="48" t="n">
        <v>-9.68</v>
      </c>
      <c r="BA242" s="48" t="n">
        <v>-12.594</v>
      </c>
      <c r="BB242" s="48" t="n">
        <v>-42.403</v>
      </c>
      <c r="BC242" s="48" t="n">
        <v>-10.391</v>
      </c>
      <c r="BD242" s="48" t="n">
        <v>-7.844</v>
      </c>
      <c r="BE242" s="48" t="n">
        <v>-263.721</v>
      </c>
      <c r="BF242" s="48" t="n">
        <v>-43.911</v>
      </c>
      <c r="BG242" s="48" t="n">
        <v>-325.867</v>
      </c>
      <c r="BH242" s="48" t="n">
        <v>-10.437</v>
      </c>
      <c r="BI242" s="48" t="n">
        <v>-11.754</v>
      </c>
      <c r="BJ242" s="48" t="n">
        <v>-9.382</v>
      </c>
      <c r="BK242" s="48" t="n">
        <v>-3.946</v>
      </c>
      <c r="BL242" s="48" t="n">
        <v>-35.519</v>
      </c>
      <c r="BM242" s="48" t="n">
        <v>-12.014</v>
      </c>
      <c r="BN242" s="48" t="n">
        <v>-44.726</v>
      </c>
      <c r="BO242" s="48" t="n">
        <v>-13.513</v>
      </c>
      <c r="BP242" s="48" t="n">
        <v>-213.056</v>
      </c>
      <c r="BQ242" s="48" t="n">
        <v>-283.309</v>
      </c>
      <c r="BR242" s="48" t="n">
        <v>-24.893</v>
      </c>
      <c r="BS242" s="48" t="n">
        <v>-11.659</v>
      </c>
      <c r="BT242" s="48" t="n">
        <v>-16.778</v>
      </c>
      <c r="BU242" s="48" t="n">
        <v>-36.794</v>
      </c>
      <c r="BV242" s="48" t="n">
        <v>-90.124</v>
      </c>
      <c r="BW242" s="48" t="n">
        <v>-11.518</v>
      </c>
      <c r="BX242" s="48" t="n">
        <v>-20.835</v>
      </c>
      <c r="CA242" s="44" t="n">
        <f aca="false">N(CA237)+N(CA238)+N(CA239)+N(CA240)+N(CA241)</f>
        <v>-105.762</v>
      </c>
      <c r="CB242" s="44" t="n">
        <f aca="false">N(CB237)+N(CB238)+N(CB239)+N(CB240)+N(CB241)</f>
        <v>-419.2422</v>
      </c>
      <c r="CC242" s="44" t="n">
        <f aca="false">N(CC237)+N(CC238)+N(CC239)+N(CC240)+N(CC241)</f>
        <v>-430.3003843</v>
      </c>
      <c r="CD242" s="44" t="n">
        <f aca="false">N(CD237)+N(CD238)+N(CD239)+N(CD240)+N(CD241)</f>
        <v>-441.431855863</v>
      </c>
      <c r="CE242" s="44" t="n">
        <f aca="false">N(CE237)+N(CE238)+N(CE239)+N(CE240)+N(CE241)</f>
        <v>-453.22885879408</v>
      </c>
    </row>
    <row r="243" customFormat="false" ht="15" hidden="false" customHeight="false" outlineLevel="0" collapsed="false">
      <c r="B243" s="20" t="s">
        <v>432</v>
      </c>
      <c r="C243" s="24" t="n">
        <v>240</v>
      </c>
      <c r="D243" s="24" t="n">
        <v>751.5</v>
      </c>
      <c r="E243" s="24" t="n">
        <v>598</v>
      </c>
      <c r="F243" s="24" t="n">
        <v>711.059</v>
      </c>
      <c r="G243" s="24" t="n">
        <v>513.1</v>
      </c>
      <c r="H243" s="24" t="n">
        <v>1302.6</v>
      </c>
      <c r="I243" s="24" t="n">
        <v>576.934</v>
      </c>
      <c r="J243" s="24" t="n">
        <v>817.075</v>
      </c>
      <c r="K243" s="24" t="n">
        <v>104.354</v>
      </c>
      <c r="L243" s="24" t="n">
        <v>189.306</v>
      </c>
      <c r="M243" s="24" t="n">
        <v>372.374</v>
      </c>
      <c r="N243" s="24" t="n">
        <v>1483.109</v>
      </c>
      <c r="O243" s="24" t="n">
        <v>163.483</v>
      </c>
      <c r="P243" s="24" t="n">
        <v>199.08</v>
      </c>
      <c r="Q243" s="24" t="n">
        <v>0.895</v>
      </c>
      <c r="R243" s="24" t="n">
        <v>1.099</v>
      </c>
      <c r="S243" s="24" t="n">
        <v>364.557</v>
      </c>
      <c r="T243" s="24" t="n">
        <v>1.296</v>
      </c>
      <c r="U243" s="24" t="n">
        <v>26.098</v>
      </c>
      <c r="V243" s="24" t="n">
        <v>41.447</v>
      </c>
      <c r="W243" s="24" t="n">
        <v>1.483</v>
      </c>
      <c r="X243" s="24" t="n">
        <v>70.324</v>
      </c>
      <c r="Y243" s="24" t="n">
        <v>2.391</v>
      </c>
      <c r="Z243" s="24" t="n">
        <v>1.364</v>
      </c>
      <c r="AA243" s="24" t="n">
        <v>3.749</v>
      </c>
      <c r="AB243" s="24" t="n">
        <v>0.335</v>
      </c>
      <c r="AC243" s="24" t="n">
        <v>7.839</v>
      </c>
      <c r="AD243" s="24" t="n">
        <v>0.12</v>
      </c>
      <c r="AE243" s="24" t="n">
        <v>2.616</v>
      </c>
      <c r="AF243" s="24" t="n">
        <v>2.148</v>
      </c>
      <c r="AG243" s="24" t="n">
        <v>2.774</v>
      </c>
      <c r="AH243" s="24" t="n">
        <v>7.658</v>
      </c>
      <c r="AI243" s="24" t="n">
        <v>3.716</v>
      </c>
      <c r="AJ243" s="24" t="n">
        <v>364.046</v>
      </c>
      <c r="AK243" s="24" t="n">
        <v>2.833</v>
      </c>
      <c r="AL243" s="24" t="n">
        <v>2.385</v>
      </c>
      <c r="AM243" s="24" t="n">
        <v>372.98</v>
      </c>
      <c r="AN243" s="24" t="n">
        <v>3.837</v>
      </c>
      <c r="AO243" s="24" t="n">
        <v>3.481</v>
      </c>
      <c r="AP243" s="24" t="n">
        <v>28.069</v>
      </c>
      <c r="AQ243" s="24" t="n">
        <v>2.305</v>
      </c>
      <c r="AR243" s="24" t="n">
        <v>37.692</v>
      </c>
      <c r="AS243" s="24" t="n">
        <v>188.724</v>
      </c>
      <c r="AT243" s="24" t="n">
        <v>118.073</v>
      </c>
      <c r="AU243" s="24" t="n">
        <v>382.601</v>
      </c>
      <c r="AV243" s="24" t="n">
        <v>181.277</v>
      </c>
      <c r="AW243" s="24" t="n">
        <v>870.675</v>
      </c>
      <c r="AX243" s="24" t="n">
        <v>-65.301</v>
      </c>
      <c r="AY243" s="24" t="n">
        <v>228.808</v>
      </c>
      <c r="AZ243" s="24" t="n">
        <v>3.264</v>
      </c>
      <c r="BA243" s="24" t="n">
        <v>289.179</v>
      </c>
      <c r="BB243" s="24" t="n">
        <v>455.95</v>
      </c>
      <c r="BC243" s="24" t="n">
        <v>241.198</v>
      </c>
      <c r="BD243" s="24" t="n">
        <v>412.349</v>
      </c>
      <c r="BE243" s="24" t="n">
        <v>678.672</v>
      </c>
      <c r="BF243" s="24" t="n">
        <v>665.428</v>
      </c>
      <c r="BG243" s="24" t="n">
        <v>1997.647</v>
      </c>
      <c r="BH243" s="24" t="n">
        <v>465.025</v>
      </c>
      <c r="BI243" s="24" t="n">
        <v>16.074</v>
      </c>
      <c r="BJ243" s="24" t="n">
        <v>105.131</v>
      </c>
      <c r="BK243" s="24" t="n">
        <v>51.886</v>
      </c>
      <c r="BL243" s="24" t="n">
        <v>638.116</v>
      </c>
      <c r="BM243" s="24" t="n">
        <v>4.879</v>
      </c>
      <c r="BN243" s="24" t="n">
        <v>4.014</v>
      </c>
      <c r="BO243" s="24" t="n">
        <v>7.722</v>
      </c>
      <c r="BP243" s="24" t="n">
        <v>4.694</v>
      </c>
      <c r="BQ243" s="24" t="n">
        <v>21.309</v>
      </c>
      <c r="BR243" s="24" t="n">
        <v>78.067</v>
      </c>
      <c r="BS243" s="24" t="n">
        <v>60.958</v>
      </c>
      <c r="BT243" s="24" t="n">
        <v>132.329</v>
      </c>
      <c r="BU243" s="24" t="n">
        <v>203.746</v>
      </c>
      <c r="BV243" s="24" t="n">
        <v>475.1</v>
      </c>
      <c r="BW243" s="24" t="n">
        <v>69.1</v>
      </c>
      <c r="BX243" s="24" t="n">
        <v>0</v>
      </c>
      <c r="CA243" s="25" t="n">
        <f aca="false">($BW$243+$BX$243)+CA331+MAX(0,CA335-BX335)</f>
        <v>69.1</v>
      </c>
      <c r="CB243" s="25" t="n">
        <f aca="false">CB331+MAX(0,CB335-CA335)</f>
        <v>0</v>
      </c>
      <c r="CC243" s="25" t="n">
        <f aca="false">CC331+MAX(0,CC335-CB335)</f>
        <v>168.54209925</v>
      </c>
      <c r="CD243" s="25" t="n">
        <f aca="false">CD331+MAX(0,CD335-CC335)</f>
        <v>51.9941840425</v>
      </c>
      <c r="CE243" s="25" t="n">
        <f aca="false">CE331+MAX(0,CE335-CD335)</f>
        <v>204.39934588055</v>
      </c>
    </row>
    <row r="244" customFormat="false" ht="15" hidden="false" customHeight="false" outlineLevel="0" collapsed="false">
      <c r="B244" s="20" t="s">
        <v>433</v>
      </c>
      <c r="C244" s="24" t="n">
        <v>-240.058</v>
      </c>
      <c r="D244" s="24" t="n">
        <v>-604.56</v>
      </c>
      <c r="E244" s="24" t="n">
        <v>-622.58</v>
      </c>
      <c r="F244" s="24" t="n">
        <v>-762.759</v>
      </c>
      <c r="G244" s="24" t="n">
        <v>-581.771</v>
      </c>
      <c r="H244" s="24" t="n">
        <v>-1112.814</v>
      </c>
      <c r="I244" s="24" t="n">
        <v>-296.145</v>
      </c>
      <c r="J244" s="24" t="n">
        <v>-699.12</v>
      </c>
      <c r="K244" s="24" t="n">
        <v>-118.656</v>
      </c>
      <c r="L244" s="24" t="n">
        <v>-214.155</v>
      </c>
      <c r="M244" s="24" t="n">
        <v>-322.25</v>
      </c>
      <c r="N244" s="24" t="n">
        <v>-1354.181</v>
      </c>
      <c r="O244" s="24" t="n">
        <v>-164.169</v>
      </c>
      <c r="P244" s="24" t="n">
        <v>-249.034</v>
      </c>
      <c r="Q244" s="24" t="n">
        <v>-1.034</v>
      </c>
      <c r="R244" s="24" t="n">
        <v>-0.613</v>
      </c>
      <c r="S244" s="24" t="n">
        <v>-414.85</v>
      </c>
      <c r="T244" s="24" t="n">
        <v>-1.4</v>
      </c>
      <c r="U244" s="24" t="n">
        <v>-26.025</v>
      </c>
      <c r="V244" s="24" t="n">
        <v>-49.496</v>
      </c>
      <c r="W244" s="24" t="n">
        <v>-1.613</v>
      </c>
      <c r="X244" s="24" t="n">
        <v>-78.534</v>
      </c>
      <c r="Y244" s="24" t="n">
        <v>-2.737</v>
      </c>
      <c r="Z244" s="24" t="n">
        <v>-1.164</v>
      </c>
      <c r="AA244" s="24" t="n">
        <v>-4.06</v>
      </c>
      <c r="AB244" s="24" t="n">
        <v>-0.469</v>
      </c>
      <c r="AC244" s="24" t="n">
        <v>-8.43</v>
      </c>
      <c r="AD244" s="24" t="n">
        <v>-0.209</v>
      </c>
      <c r="AE244" s="24" t="n">
        <v>-2.375</v>
      </c>
      <c r="AF244" s="24" t="n">
        <v>-2.56</v>
      </c>
      <c r="AG244" s="24" t="n">
        <v>-153.032</v>
      </c>
      <c r="AH244" s="24" t="n">
        <v>-158.176</v>
      </c>
      <c r="AI244" s="24" t="n">
        <v>-2.884</v>
      </c>
      <c r="AJ244" s="24" t="n">
        <v>-364.069</v>
      </c>
      <c r="AK244" s="24" t="n">
        <v>-2.768</v>
      </c>
      <c r="AL244" s="24" t="n">
        <v>-53.166</v>
      </c>
      <c r="AM244" s="24" t="n">
        <v>-422.887</v>
      </c>
      <c r="AN244" s="24" t="n">
        <v>-3.919</v>
      </c>
      <c r="AO244" s="24" t="n">
        <v>-3.642</v>
      </c>
      <c r="AP244" s="24" t="n">
        <v>-27.989</v>
      </c>
      <c r="AQ244" s="24" t="n">
        <v>-2.384</v>
      </c>
      <c r="AR244" s="24" t="n">
        <v>-37.934</v>
      </c>
      <c r="AS244" s="24" t="n">
        <v>-42.297</v>
      </c>
      <c r="AT244" s="24" t="n">
        <v>-189.5</v>
      </c>
      <c r="AU244" s="24" t="n">
        <v>-157.601</v>
      </c>
      <c r="AV244" s="24" t="n">
        <v>-181.277</v>
      </c>
      <c r="AW244" s="24" t="n">
        <v>-570.675</v>
      </c>
      <c r="AX244" s="24" t="n">
        <v>65.301</v>
      </c>
      <c r="AY244" s="24" t="n">
        <v>-228.808</v>
      </c>
      <c r="AZ244" s="24" t="n">
        <v>-3.264</v>
      </c>
      <c r="BA244" s="24" t="n">
        <v>-295.279</v>
      </c>
      <c r="BB244" s="24" t="n">
        <v>-462.05</v>
      </c>
      <c r="BC244" s="24" t="n">
        <v>-121.198</v>
      </c>
      <c r="BD244" s="24" t="n">
        <v>-373.149</v>
      </c>
      <c r="BE244" s="24" t="n">
        <v>-543.672</v>
      </c>
      <c r="BF244" s="24" t="n">
        <v>-753.528</v>
      </c>
      <c r="BG244" s="24" t="n">
        <v>-1791.547</v>
      </c>
      <c r="BH244" s="24" t="n">
        <v>-489.325</v>
      </c>
      <c r="BI244" s="24" t="n">
        <v>-69.274</v>
      </c>
      <c r="BJ244" s="24" t="n">
        <v>-230.131</v>
      </c>
      <c r="BK244" s="24" t="n">
        <v>-51.886</v>
      </c>
      <c r="BL244" s="24" t="n">
        <v>-840.616</v>
      </c>
      <c r="BM244" s="24" t="n">
        <v>-4.879</v>
      </c>
      <c r="BN244" s="24" t="n">
        <v>-4.014</v>
      </c>
      <c r="BO244" s="24" t="n">
        <v>-7.722</v>
      </c>
      <c r="BP244" s="24" t="n">
        <v>-4.694</v>
      </c>
      <c r="BQ244" s="24" t="n">
        <v>-21.309</v>
      </c>
      <c r="BR244" s="24" t="n">
        <v>-168.067</v>
      </c>
      <c r="BS244" s="24" t="n">
        <v>-60.958</v>
      </c>
      <c r="BT244" s="24" t="n">
        <v>-121.829</v>
      </c>
      <c r="BU244" s="24" t="n">
        <v>-214.246</v>
      </c>
      <c r="BV244" s="24" t="n">
        <v>-565.1</v>
      </c>
      <c r="BW244" s="24" t="n">
        <v>-69.1</v>
      </c>
      <c r="BX244" s="24" t="n">
        <v>0</v>
      </c>
      <c r="CA244" s="25" t="n">
        <f aca="false">($BW$244+$BX$244)+CA329+MIN(0,CA335-BX335)</f>
        <v>-269.1</v>
      </c>
      <c r="CB244" s="25" t="n">
        <f aca="false">CB329+MIN(0,CB335-CA335)</f>
        <v>0</v>
      </c>
      <c r="CC244" s="25" t="n">
        <f aca="false">CC329+MIN(0,CC335-CB335)</f>
        <v>-157.5</v>
      </c>
      <c r="CD244" s="25" t="n">
        <f aca="false">CD329+MIN(0,CD335-CC335)</f>
        <v>0</v>
      </c>
      <c r="CE244" s="25" t="n">
        <f aca="false">CE329+MIN(0,CE335-CD335)</f>
        <v>-150</v>
      </c>
      <c r="CF244" s="18" t="s">
        <v>434</v>
      </c>
    </row>
    <row r="245" customFormat="false" ht="15" hidden="false" customHeight="false" outlineLevel="0" collapsed="false">
      <c r="B245" s="20" t="s">
        <v>435</v>
      </c>
      <c r="C245" s="24" t="n">
        <v>-10.538</v>
      </c>
      <c r="D245" s="24" t="n">
        <v>-12.44</v>
      </c>
      <c r="E245" s="24" t="n">
        <v>-14.381</v>
      </c>
      <c r="F245" s="24" t="n">
        <v>-14.559</v>
      </c>
      <c r="G245" s="24" t="n">
        <v>-14.729</v>
      </c>
      <c r="H245" s="24" t="n">
        <v>-14.893</v>
      </c>
      <c r="I245" s="24" t="n">
        <v>-16.392</v>
      </c>
      <c r="K245" s="24" t="n">
        <v>-4.207</v>
      </c>
      <c r="L245" s="24" t="n">
        <v>-4.685</v>
      </c>
      <c r="M245" s="24" t="n">
        <v>-9.485</v>
      </c>
      <c r="N245" s="24" t="n">
        <v>-18.377</v>
      </c>
      <c r="P245" s="24" t="n">
        <v>-6.277</v>
      </c>
      <c r="Q245" s="24" t="n">
        <v>-6.259</v>
      </c>
      <c r="R245" s="24" t="n">
        <v>-12.477</v>
      </c>
      <c r="S245" s="24" t="n">
        <v>-25.013</v>
      </c>
      <c r="U245" s="24" t="n">
        <v>-6.184</v>
      </c>
      <c r="V245" s="24" t="n">
        <v>-6.105</v>
      </c>
      <c r="W245" s="24" t="n">
        <v>-11.833</v>
      </c>
      <c r="X245" s="24" t="n">
        <v>-24.122</v>
      </c>
      <c r="Z245" s="24" t="n">
        <v>-5.797</v>
      </c>
      <c r="AA245" s="24" t="n">
        <v>-5.779</v>
      </c>
      <c r="AB245" s="24" t="n">
        <v>-11.491</v>
      </c>
      <c r="AC245" s="24" t="n">
        <v>-23.067</v>
      </c>
      <c r="AE245" s="24" t="n">
        <v>-5.757</v>
      </c>
      <c r="AF245" s="24" t="n">
        <v>-5.74</v>
      </c>
      <c r="AG245" s="24" t="n">
        <v>-13.243</v>
      </c>
      <c r="AH245" s="24" t="n">
        <v>-24.74</v>
      </c>
      <c r="AJ245" s="24" t="n">
        <v>-6.623</v>
      </c>
      <c r="AK245" s="24" t="n">
        <v>-6.6</v>
      </c>
      <c r="AL245" s="24" t="n">
        <v>-13.105</v>
      </c>
      <c r="AM245" s="24" t="n">
        <v>-26.328</v>
      </c>
      <c r="AO245" s="24" t="n">
        <v>-6.42</v>
      </c>
      <c r="AP245" s="24" t="n">
        <v>-7.263</v>
      </c>
      <c r="AQ245" s="24" t="n">
        <v>-14.517</v>
      </c>
      <c r="AR245" s="24" t="n">
        <v>-28.2</v>
      </c>
      <c r="AT245" s="24" t="n">
        <v>-7.089</v>
      </c>
      <c r="AU245" s="24" t="n">
        <v>-7.071</v>
      </c>
      <c r="AV245" s="24" t="n">
        <v>-14.015</v>
      </c>
      <c r="AW245" s="24" t="n">
        <v>-28.175</v>
      </c>
      <c r="AY245" s="24" t="n">
        <v>-6.961</v>
      </c>
      <c r="AZ245" s="24" t="n">
        <v>-7.359</v>
      </c>
      <c r="BA245" s="24" t="n">
        <v>-14.34</v>
      </c>
      <c r="BB245" s="24" t="n">
        <v>-28.66</v>
      </c>
      <c r="BD245" s="24" t="n">
        <v>-14.22</v>
      </c>
      <c r="BE245" s="24" t="n">
        <v>0</v>
      </c>
      <c r="BF245" s="24" t="n">
        <v>-14.559</v>
      </c>
      <c r="BG245" s="24" t="n">
        <v>-28.779</v>
      </c>
      <c r="BI245" s="24" t="n">
        <v>-7.29</v>
      </c>
      <c r="BJ245" s="24" t="n">
        <v>-7.66</v>
      </c>
      <c r="BK245" s="24" t="n">
        <v>-15.299</v>
      </c>
      <c r="BL245" s="24" t="n">
        <v>-30.249</v>
      </c>
      <c r="BN245" s="24" t="n">
        <v>-7.665</v>
      </c>
      <c r="BO245" s="24" t="n">
        <v>-8.042</v>
      </c>
      <c r="BP245" s="24" t="n">
        <v>-15.949</v>
      </c>
      <c r="BQ245" s="24" t="n">
        <v>-31.656</v>
      </c>
      <c r="BS245" s="24" t="n">
        <v>-7.923</v>
      </c>
      <c r="BT245" s="24" t="n">
        <v>-9.044</v>
      </c>
      <c r="BU245" s="24" t="n">
        <v>-17.76</v>
      </c>
      <c r="BV245" s="24" t="n">
        <v>-34.727</v>
      </c>
      <c r="BX245" s="24" t="n">
        <v>-8.868</v>
      </c>
      <c r="CA245" s="25" t="n">
        <f aca="false">($BW$245+$BX$245)-(BY149*BY142+BZ149*BZ142)</f>
        <v>-27.8899548681575</v>
      </c>
      <c r="CB245" s="25" t="n">
        <f aca="false">-CB149*CB269</f>
        <v>-40.1862360431737</v>
      </c>
      <c r="CC245" s="25" t="n">
        <f aca="false">-CC149*CC269</f>
        <v>-42.791828606182</v>
      </c>
      <c r="CD245" s="25" t="n">
        <f aca="false">-CD149*CD269</f>
        <v>-45.6490939675073</v>
      </c>
      <c r="CE245" s="25" t="n">
        <f aca="false">-CE149*CE269</f>
        <v>-48.5973710690772</v>
      </c>
      <c r="CF245" s="18" t="s">
        <v>436</v>
      </c>
    </row>
    <row r="246" customFormat="false" ht="15" hidden="false" customHeight="false" outlineLevel="0" collapsed="false">
      <c r="B246" s="20" t="s">
        <v>437</v>
      </c>
      <c r="H246" s="24" t="n">
        <v>-8.178</v>
      </c>
      <c r="I246" s="24" t="n">
        <v>-25.705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-5.013</v>
      </c>
      <c r="P246" s="24" t="n">
        <v>-18.898</v>
      </c>
      <c r="Q246" s="24" t="n">
        <v>-20.644</v>
      </c>
      <c r="R246" s="24" t="n">
        <v>-20.665</v>
      </c>
      <c r="S246" s="24" t="n">
        <v>-65.22</v>
      </c>
      <c r="T246" s="24" t="n">
        <v>-46.985</v>
      </c>
      <c r="U246" s="24" t="n">
        <v>-50.129</v>
      </c>
      <c r="V246" s="24" t="n">
        <v>-88.11</v>
      </c>
      <c r="W246" s="24" t="n">
        <v>-108.906</v>
      </c>
      <c r="X246" s="24" t="n">
        <v>-294.13</v>
      </c>
      <c r="Y246" s="24" t="n">
        <v>-29.608</v>
      </c>
      <c r="Z246" s="24" t="n">
        <v>-25.35</v>
      </c>
      <c r="AA246" s="24" t="n">
        <v>-25.338</v>
      </c>
      <c r="AB246" s="24" t="n">
        <v>-24.953</v>
      </c>
      <c r="AC246" s="24" t="n">
        <v>-105.249</v>
      </c>
      <c r="AD246" s="24" t="n">
        <v>-12.885</v>
      </c>
      <c r="AE246" s="24" t="n">
        <v>-13.569</v>
      </c>
      <c r="AF246" s="24" t="n">
        <v>-12.485</v>
      </c>
      <c r="AG246" s="24" t="n">
        <v>-13.188</v>
      </c>
      <c r="AH246" s="24" t="n">
        <v>-52.127</v>
      </c>
      <c r="AI246" s="24" t="n">
        <v>-12.328</v>
      </c>
      <c r="AJ246" s="24" t="n">
        <v>-33.787</v>
      </c>
      <c r="AK246" s="24" t="n">
        <v>-32.783</v>
      </c>
      <c r="AL246" s="24" t="n">
        <v>-119.694</v>
      </c>
      <c r="AM246" s="24" t="n">
        <v>-198.592</v>
      </c>
      <c r="AN246" s="24" t="n">
        <v>-12.471</v>
      </c>
      <c r="AO246" s="24" t="n">
        <v>-12.594</v>
      </c>
      <c r="AP246" s="24" t="n">
        <v>-12.799</v>
      </c>
      <c r="AQ246" s="24" t="n">
        <v>-12.797</v>
      </c>
      <c r="AR246" s="24" t="n">
        <v>-50.661</v>
      </c>
      <c r="AS246" s="24" t="n">
        <v>-112.013</v>
      </c>
      <c r="AT246" s="24" t="n">
        <v>-12.6</v>
      </c>
      <c r="AU246" s="24" t="n">
        <v>-12.542</v>
      </c>
      <c r="AV246" s="24" t="n">
        <v>-62.863</v>
      </c>
      <c r="AW246" s="24" t="n">
        <v>-200.018</v>
      </c>
      <c r="AX246" s="24" t="n">
        <v>-11.797</v>
      </c>
      <c r="AY246" s="24" t="n">
        <v>-12.598</v>
      </c>
      <c r="AZ246" s="24" t="n">
        <v>-54.697</v>
      </c>
      <c r="BA246" s="24" t="n">
        <v>-264.037</v>
      </c>
      <c r="BB246" s="24" t="n">
        <v>-343.129</v>
      </c>
      <c r="BC246" s="24" t="n">
        <v>-18.857</v>
      </c>
      <c r="BD246" s="24" t="n">
        <v>-12.788</v>
      </c>
      <c r="BE246" s="24" t="n">
        <v>-12.789</v>
      </c>
      <c r="BF246" s="24" t="n">
        <v>-12.436</v>
      </c>
      <c r="BG246" s="24" t="n">
        <v>-56.87</v>
      </c>
      <c r="BH246" s="24" t="n">
        <v>-12.386</v>
      </c>
      <c r="BI246" s="24" t="n">
        <v>-11.979</v>
      </c>
      <c r="BJ246" s="24" t="n">
        <v>-13.001</v>
      </c>
      <c r="BK246" s="24" t="n">
        <v>-12.775</v>
      </c>
      <c r="BL246" s="24" t="n">
        <v>-50.141</v>
      </c>
      <c r="BM246" s="24" t="n">
        <v>-12.19</v>
      </c>
      <c r="BN246" s="24" t="n">
        <v>-12.606</v>
      </c>
      <c r="BO246" s="24" t="n">
        <v>-112.784</v>
      </c>
      <c r="BP246" s="24" t="n">
        <v>-112.42</v>
      </c>
      <c r="BQ246" s="24" t="n">
        <v>-250</v>
      </c>
      <c r="BR246" s="24" t="n">
        <v>-14.25</v>
      </c>
      <c r="BS246" s="24" t="n">
        <v>-20.825</v>
      </c>
      <c r="BT246" s="24" t="n">
        <v>-290.037</v>
      </c>
      <c r="BU246" s="24" t="n">
        <v>-139.838</v>
      </c>
      <c r="BV246" s="24" t="n">
        <v>-464.95</v>
      </c>
      <c r="BW246" s="24" t="n">
        <v>-14.492</v>
      </c>
      <c r="BX246" s="24" t="n">
        <v>-14.733</v>
      </c>
      <c r="CA246" s="25" t="n">
        <f aca="false">($BW$246+$BX$246)-CA266</f>
        <v>-329.225</v>
      </c>
      <c r="CB246" s="25" t="n">
        <f aca="false">-CB346</f>
        <v>-414.681990639467</v>
      </c>
      <c r="CC246" s="25" t="n">
        <f aca="false">-CC346</f>
        <v>-399.112452829879</v>
      </c>
      <c r="CD246" s="25" t="n">
        <f aca="false">-CD346</f>
        <v>-471.385091462534</v>
      </c>
      <c r="CE246" s="25" t="n">
        <f aca="false">-CE346</f>
        <v>-544.745488982968</v>
      </c>
      <c r="CF246" s="18" t="s">
        <v>438</v>
      </c>
    </row>
    <row r="247" customFormat="false" ht="15" hidden="false" customHeight="false" outlineLevel="0" collapsed="false">
      <c r="B247" s="20" t="s">
        <v>439</v>
      </c>
      <c r="C247" s="24" t="n">
        <v>10.501</v>
      </c>
      <c r="D247" s="24" t="n">
        <v>12.251</v>
      </c>
      <c r="E247" s="24" t="n">
        <v>11.449</v>
      </c>
      <c r="F247" s="24" t="n">
        <v>10.935</v>
      </c>
      <c r="G247" s="24" t="n">
        <v>11.545</v>
      </c>
      <c r="H247" s="24" t="n">
        <v>13.089</v>
      </c>
      <c r="I247" s="24" t="n">
        <v>15.549</v>
      </c>
      <c r="J247" s="24" t="n">
        <v>7.333</v>
      </c>
      <c r="K247" s="24" t="n">
        <v>1.83</v>
      </c>
      <c r="L247" s="24" t="n">
        <v>13.166</v>
      </c>
      <c r="M247" s="24" t="n">
        <v>7.258</v>
      </c>
      <c r="N247" s="24" t="n">
        <v>29.587</v>
      </c>
      <c r="O247" s="24" t="n">
        <v>26.544</v>
      </c>
      <c r="P247" s="24" t="n">
        <v>6.589</v>
      </c>
      <c r="Q247" s="24" t="n">
        <v>9.508</v>
      </c>
      <c r="R247" s="24" t="n">
        <v>5.151</v>
      </c>
      <c r="S247" s="24" t="n">
        <v>47.792</v>
      </c>
      <c r="T247" s="24" t="n">
        <v>10.907</v>
      </c>
      <c r="U247" s="24" t="n">
        <v>2.136</v>
      </c>
      <c r="V247" s="24" t="n">
        <v>5.816</v>
      </c>
      <c r="W247" s="24" t="n">
        <v>18.966</v>
      </c>
      <c r="X247" s="24" t="n">
        <v>37.825</v>
      </c>
      <c r="Y247" s="24" t="n">
        <v>12.438</v>
      </c>
      <c r="Z247" s="24" t="n">
        <v>6.88</v>
      </c>
      <c r="AA247" s="24" t="n">
        <v>5.812</v>
      </c>
      <c r="AB247" s="24" t="n">
        <v>8.271</v>
      </c>
      <c r="AC247" s="24" t="n">
        <v>33.401</v>
      </c>
      <c r="AD247" s="24" t="n">
        <v>5.195</v>
      </c>
      <c r="AE247" s="24" t="n">
        <v>0.179</v>
      </c>
      <c r="AF247" s="24" t="n">
        <v>6.48</v>
      </c>
      <c r="AG247" s="24" t="n">
        <v>2.325</v>
      </c>
      <c r="AH247" s="24" t="n">
        <v>14.179</v>
      </c>
      <c r="AI247" s="24" t="n">
        <v>6.151</v>
      </c>
      <c r="AJ247" s="24" t="n">
        <v>0.209</v>
      </c>
      <c r="AK247" s="24" t="n">
        <v>4.775</v>
      </c>
      <c r="AL247" s="24" t="n">
        <v>0.805</v>
      </c>
      <c r="AM247" s="24" t="n">
        <v>11.94</v>
      </c>
      <c r="AN247" s="24" t="n">
        <v>4.677</v>
      </c>
      <c r="AO247" s="24" t="n">
        <v>0.734</v>
      </c>
      <c r="AP247" s="24" t="n">
        <v>5.532</v>
      </c>
      <c r="AQ247" s="24" t="n">
        <v>0.827</v>
      </c>
      <c r="AR247" s="24" t="n">
        <v>11.77</v>
      </c>
      <c r="AS247" s="24" t="n">
        <v>5.066</v>
      </c>
      <c r="AT247" s="24" t="n">
        <v>0.123</v>
      </c>
      <c r="AU247" s="24" t="n">
        <v>4.719</v>
      </c>
      <c r="AV247" s="24" t="n">
        <v>1.24</v>
      </c>
      <c r="AW247" s="24" t="n">
        <v>11.148</v>
      </c>
      <c r="AX247" s="24" t="n">
        <v>4.919</v>
      </c>
      <c r="AY247" s="24" t="n">
        <v>0</v>
      </c>
      <c r="AZ247" s="24" t="n">
        <v>4.786</v>
      </c>
      <c r="BA247" s="24" t="n">
        <v>0</v>
      </c>
      <c r="BB247" s="24" t="n">
        <v>9.705</v>
      </c>
      <c r="BC247" s="24" t="n">
        <v>5.284</v>
      </c>
      <c r="BD247" s="24" t="n">
        <v>0</v>
      </c>
      <c r="BE247" s="24" t="n">
        <v>4.713</v>
      </c>
      <c r="BF247" s="24" t="n">
        <v>0</v>
      </c>
      <c r="BG247" s="24" t="n">
        <v>9.997</v>
      </c>
      <c r="BH247" s="24" t="n">
        <v>5.225</v>
      </c>
      <c r="BI247" s="24" t="n">
        <v>0</v>
      </c>
      <c r="BJ247" s="24" t="n">
        <v>5.358</v>
      </c>
      <c r="BK247" s="24" t="n">
        <v>0.001</v>
      </c>
      <c r="BL247" s="24" t="n">
        <v>10.584</v>
      </c>
      <c r="BM247" s="24" t="n">
        <v>5.472</v>
      </c>
      <c r="BN247" s="24" t="n">
        <v>0</v>
      </c>
      <c r="BO247" s="24" t="n">
        <v>5.873</v>
      </c>
      <c r="BP247" s="24" t="n">
        <v>0</v>
      </c>
      <c r="BQ247" s="24" t="n">
        <v>11.345</v>
      </c>
      <c r="BR247" s="24" t="n">
        <v>5.981</v>
      </c>
      <c r="BS247" s="24" t="n">
        <v>0</v>
      </c>
      <c r="BT247" s="24" t="n">
        <v>6.557</v>
      </c>
      <c r="BU247" s="24" t="n">
        <v>0</v>
      </c>
      <c r="BV247" s="24" t="n">
        <v>12.538</v>
      </c>
      <c r="BW247" s="24" t="n">
        <v>6.481</v>
      </c>
      <c r="BX247" s="24" t="n">
        <v>0</v>
      </c>
      <c r="CA247" s="25" t="n">
        <f aca="false">($BW$247+$BX$247)</f>
        <v>6.481</v>
      </c>
      <c r="CB247" s="41" t="n">
        <v>10</v>
      </c>
      <c r="CC247" s="41" t="n">
        <v>10</v>
      </c>
      <c r="CD247" s="41" t="n">
        <v>10</v>
      </c>
      <c r="CE247" s="41" t="n">
        <v>10</v>
      </c>
    </row>
    <row r="248" customFormat="false" ht="15" hidden="false" customHeight="false" outlineLevel="0" collapsed="false">
      <c r="B248" s="20" t="s">
        <v>440</v>
      </c>
      <c r="Q248" s="24" t="n">
        <v>0.158</v>
      </c>
      <c r="R248" s="24" t="n">
        <v>0.138</v>
      </c>
      <c r="S248" s="24" t="n">
        <v>0.296</v>
      </c>
      <c r="T248" s="24" t="n">
        <v>0.14</v>
      </c>
      <c r="U248" s="24" t="n">
        <v>0.141</v>
      </c>
      <c r="V248" s="24" t="n">
        <v>0.148</v>
      </c>
      <c r="W248" s="24" t="n">
        <v>-1.01</v>
      </c>
      <c r="X248" s="24" t="n">
        <v>-0.581</v>
      </c>
      <c r="Y248" s="24" t="n">
        <v>-0.154</v>
      </c>
      <c r="Z248" s="24" t="n">
        <v>-0.154</v>
      </c>
      <c r="AA248" s="24" t="n">
        <v>-0.161</v>
      </c>
      <c r="AB248" s="24" t="n">
        <v>-0.166</v>
      </c>
      <c r="AC248" s="24" t="n">
        <v>-0.635</v>
      </c>
      <c r="AD248" s="24" t="n">
        <v>-0.224</v>
      </c>
      <c r="AE248" s="24" t="n">
        <v>-0.112</v>
      </c>
      <c r="AF248" s="24" t="n">
        <v>-0.176</v>
      </c>
      <c r="AG248" s="24" t="n">
        <v>-0.18</v>
      </c>
      <c r="AH248" s="24" t="n">
        <v>-0.692</v>
      </c>
      <c r="AI248" s="24" t="n">
        <v>-0.181</v>
      </c>
      <c r="AJ248" s="24" t="n">
        <v>-0.184</v>
      </c>
      <c r="AK248" s="24" t="n">
        <v>-0.192</v>
      </c>
      <c r="AL248" s="24" t="n">
        <v>-0.195</v>
      </c>
      <c r="AM248" s="24" t="n">
        <v>-0.752</v>
      </c>
      <c r="AN248" s="24" t="n">
        <v>-0.197</v>
      </c>
      <c r="AO248" s="24" t="n">
        <v>-0.198</v>
      </c>
      <c r="AP248" s="24" t="n">
        <v>-0.205</v>
      </c>
      <c r="AQ248" s="24" t="n">
        <v>-0.212</v>
      </c>
      <c r="AR248" s="24" t="n">
        <v>-0.812</v>
      </c>
      <c r="AS248" s="24" t="n">
        <v>-0.212</v>
      </c>
      <c r="AT248" s="24" t="n">
        <v>-0.217</v>
      </c>
      <c r="AU248" s="24" t="n">
        <v>-0.219</v>
      </c>
      <c r="AV248" s="24" t="n">
        <v>-0.226</v>
      </c>
      <c r="AW248" s="24" t="n">
        <v>-0.874</v>
      </c>
      <c r="AX248" s="24" t="n">
        <v>-0.229</v>
      </c>
      <c r="AY248" s="24" t="n">
        <v>-0.233</v>
      </c>
      <c r="AZ248" s="24" t="n">
        <v>-0.237</v>
      </c>
      <c r="BA248" s="24" t="n">
        <v>-0.246</v>
      </c>
      <c r="BB248" s="24" t="n">
        <v>-0.945</v>
      </c>
      <c r="BC248" s="24" t="n">
        <v>-0.248</v>
      </c>
      <c r="BD248" s="24" t="n">
        <v>-0.251</v>
      </c>
      <c r="BE248" s="24" t="n">
        <v>-0.256</v>
      </c>
      <c r="BF248" s="24" t="n">
        <v>-0.265</v>
      </c>
      <c r="BG248" s="24" t="n">
        <v>-1.02</v>
      </c>
      <c r="BH248" s="24" t="n">
        <v>-0.268</v>
      </c>
      <c r="BI248" s="24" t="n">
        <v>-0.269</v>
      </c>
      <c r="BJ248" s="24" t="n">
        <v>-0.276</v>
      </c>
      <c r="BK248" s="24" t="n">
        <v>-0.284</v>
      </c>
      <c r="BL248" s="24" t="n">
        <v>-1.097</v>
      </c>
      <c r="BM248" s="24" t="n">
        <v>-0.288</v>
      </c>
      <c r="BN248" s="24" t="n">
        <v>-0.291</v>
      </c>
      <c r="BO248" s="24" t="n">
        <v>-0.297</v>
      </c>
      <c r="BP248" s="24" t="n">
        <v>-0.306</v>
      </c>
      <c r="BQ248" s="24" t="n">
        <v>-1.182</v>
      </c>
      <c r="BR248" s="24" t="n">
        <v>-0.309</v>
      </c>
      <c r="BS248" s="24" t="n">
        <v>-0.313</v>
      </c>
      <c r="BT248" s="24" t="n">
        <v>-0.318</v>
      </c>
      <c r="BU248" s="24" t="n">
        <v>-0.219</v>
      </c>
      <c r="BV248" s="24" t="n">
        <v>-1.159</v>
      </c>
      <c r="BW248" s="24" t="n">
        <v>0</v>
      </c>
      <c r="BX248" s="24" t="n">
        <v>0</v>
      </c>
      <c r="CA248" s="25" t="n">
        <f aca="false">($BW$248+$BX$248)</f>
        <v>0</v>
      </c>
      <c r="CB248" s="41" t="n">
        <v>0</v>
      </c>
      <c r="CC248" s="41" t="n">
        <v>0</v>
      </c>
      <c r="CD248" s="41" t="n">
        <v>0</v>
      </c>
      <c r="CE248" s="41" t="n">
        <v>0</v>
      </c>
    </row>
    <row r="249" customFormat="false" ht="15" hidden="false" customHeight="false" outlineLevel="0" collapsed="false">
      <c r="B249" s="43" t="s">
        <v>441</v>
      </c>
      <c r="C249" s="48" t="n">
        <v>-0.095</v>
      </c>
      <c r="D249" s="48" t="n">
        <v>146.751</v>
      </c>
      <c r="E249" s="48" t="n">
        <v>-27.512</v>
      </c>
      <c r="F249" s="48" t="n">
        <v>-55.324</v>
      </c>
      <c r="G249" s="48" t="n">
        <v>-71.855</v>
      </c>
      <c r="H249" s="48" t="n">
        <v>179.804</v>
      </c>
      <c r="I249" s="48" t="n">
        <v>254.241</v>
      </c>
      <c r="J249" s="48" t="n">
        <v>125.288</v>
      </c>
      <c r="K249" s="48" t="n">
        <v>-16.679</v>
      </c>
      <c r="L249" s="48" t="n">
        <v>-16.368</v>
      </c>
      <c r="M249" s="48" t="n">
        <v>47.897</v>
      </c>
      <c r="N249" s="48" t="n">
        <v>140.138</v>
      </c>
      <c r="O249" s="48" t="n">
        <v>20.845</v>
      </c>
      <c r="P249" s="48" t="n">
        <v>-68.54</v>
      </c>
      <c r="Q249" s="48" t="n">
        <v>-17.376</v>
      </c>
      <c r="R249" s="48" t="n">
        <v>-27.367</v>
      </c>
      <c r="S249" s="48" t="n">
        <v>-92.438</v>
      </c>
      <c r="T249" s="48" t="n">
        <v>-36.042</v>
      </c>
      <c r="U249" s="48" t="n">
        <v>-53.963</v>
      </c>
      <c r="V249" s="48" t="n">
        <v>-96.3</v>
      </c>
      <c r="W249" s="48" t="n">
        <v>-102.913</v>
      </c>
      <c r="X249" s="48" t="n">
        <v>-289.218</v>
      </c>
      <c r="Y249" s="48" t="n">
        <v>-17.67</v>
      </c>
      <c r="Z249" s="48" t="n">
        <v>-24.221</v>
      </c>
      <c r="AA249" s="48" t="n">
        <v>-25.777</v>
      </c>
      <c r="AB249" s="48" t="n">
        <v>-28.473</v>
      </c>
      <c r="AC249" s="48" t="n">
        <v>-96.141</v>
      </c>
      <c r="AD249" s="48" t="n">
        <v>-8.003</v>
      </c>
      <c r="AE249" s="48" t="n">
        <v>-19.018</v>
      </c>
      <c r="AF249" s="48" t="n">
        <v>-12.333</v>
      </c>
      <c r="AG249" s="48" t="n">
        <v>-174.544</v>
      </c>
      <c r="AH249" s="48" t="n">
        <v>-213.898</v>
      </c>
      <c r="AI249" s="48" t="n">
        <v>-5.526</v>
      </c>
      <c r="AJ249" s="48" t="n">
        <v>-40.408</v>
      </c>
      <c r="AK249" s="48" t="n">
        <v>-34.735</v>
      </c>
      <c r="AL249" s="48" t="n">
        <v>-182.97</v>
      </c>
      <c r="AM249" s="48" t="n">
        <v>-263.639</v>
      </c>
      <c r="AN249" s="48" t="n">
        <v>-8.073</v>
      </c>
      <c r="AO249" s="48" t="n">
        <v>-18.639</v>
      </c>
      <c r="AP249" s="48" t="n">
        <v>-14.655</v>
      </c>
      <c r="AQ249" s="48" t="n">
        <v>-26.778</v>
      </c>
      <c r="AR249" s="48" t="n">
        <v>-68.145</v>
      </c>
      <c r="AS249" s="48" t="n">
        <v>39.268</v>
      </c>
      <c r="AT249" s="48" t="n">
        <v>-91.21</v>
      </c>
      <c r="AU249" s="48" t="n">
        <v>209.887</v>
      </c>
      <c r="AV249" s="48" t="n">
        <v>-75.864</v>
      </c>
      <c r="AW249" s="48" t="n">
        <v>82.081</v>
      </c>
      <c r="AX249" s="48" t="n">
        <v>-7.107</v>
      </c>
      <c r="AY249" s="48" t="n">
        <v>-19.792</v>
      </c>
      <c r="AZ249" s="48" t="n">
        <v>-57.507</v>
      </c>
      <c r="BA249" s="48" t="n">
        <v>-284.723</v>
      </c>
      <c r="BB249" s="48" t="n">
        <v>-369.129</v>
      </c>
      <c r="BC249" s="48" t="n">
        <v>106.179</v>
      </c>
      <c r="BD249" s="48" t="n">
        <v>11.941</v>
      </c>
      <c r="BE249" s="48" t="n">
        <v>126.668</v>
      </c>
      <c r="BF249" s="48" t="n">
        <v>-115.36</v>
      </c>
      <c r="BG249" s="48" t="n">
        <v>129.428</v>
      </c>
      <c r="BH249" s="48" t="n">
        <v>-31.729</v>
      </c>
      <c r="BI249" s="48" t="n">
        <v>-72.738</v>
      </c>
      <c r="BJ249" s="48" t="n">
        <v>-140.579</v>
      </c>
      <c r="BK249" s="48" t="n">
        <v>-28.357</v>
      </c>
      <c r="BL249" s="48" t="n">
        <v>-273.403</v>
      </c>
      <c r="BM249" s="48" t="n">
        <v>-7.006</v>
      </c>
      <c r="BN249" s="48" t="n">
        <v>-20.562</v>
      </c>
      <c r="BO249" s="48" t="n">
        <v>-115.25</v>
      </c>
      <c r="BP249" s="48" t="n">
        <v>-128.675</v>
      </c>
      <c r="BQ249" s="48" t="n">
        <v>-271.493</v>
      </c>
      <c r="BR249" s="48" t="n">
        <v>-98.578</v>
      </c>
      <c r="BS249" s="48" t="n">
        <v>-29.061</v>
      </c>
      <c r="BT249" s="48" t="n">
        <v>-282.342</v>
      </c>
      <c r="BU249" s="48" t="n">
        <v>-168.317</v>
      </c>
      <c r="BV249" s="48" t="n">
        <v>-578.298</v>
      </c>
      <c r="BW249" s="48" t="n">
        <v>-8.011</v>
      </c>
      <c r="BX249" s="48" t="n">
        <v>-23.601</v>
      </c>
      <c r="CA249" s="44" t="n">
        <f aca="false">N(CA243)+N(CA244)+N(CA245)+N(CA246)+N(CA247)+N(CA248)</f>
        <v>-550.633954868158</v>
      </c>
      <c r="CB249" s="44" t="n">
        <f aca="false">N(CB243)+N(CB244)+N(CB245)+N(CB246)+N(CB247)+N(CB248)</f>
        <v>-444.868226682641</v>
      </c>
      <c r="CC249" s="44" t="n">
        <f aca="false">N(CC243)+N(CC244)+N(CC245)+N(CC246)+N(CC247)+N(CC248)</f>
        <v>-420.862182186061</v>
      </c>
      <c r="CD249" s="44" t="n">
        <f aca="false">N(CD243)+N(CD244)+N(CD245)+N(CD246)+N(CD247)+N(CD248)</f>
        <v>-455.040001387541</v>
      </c>
      <c r="CE249" s="44" t="n">
        <f aca="false">N(CE243)+N(CE244)+N(CE245)+N(CE246)+N(CE247)+N(CE248)</f>
        <v>-528.943514171495</v>
      </c>
    </row>
    <row r="250" customFormat="false" ht="15" hidden="false" customHeight="false" outlineLevel="0" collapsed="false">
      <c r="B250" s="20" t="s">
        <v>442</v>
      </c>
      <c r="C250" s="24" t="n">
        <v>2.332</v>
      </c>
      <c r="D250" s="24" t="n">
        <v>3.445</v>
      </c>
      <c r="E250" s="24" t="n">
        <v>-13.742</v>
      </c>
      <c r="F250" s="24" t="n">
        <v>4.2</v>
      </c>
      <c r="G250" s="24" t="n">
        <v>-0.702</v>
      </c>
      <c r="H250" s="24" t="n">
        <v>-3.562</v>
      </c>
      <c r="I250" s="24" t="n">
        <v>3.919</v>
      </c>
      <c r="J250" s="24" t="n">
        <v>-2.72</v>
      </c>
      <c r="K250" s="24" t="n">
        <v>-2.495</v>
      </c>
      <c r="L250" s="24" t="n">
        <v>1.794</v>
      </c>
      <c r="M250" s="24" t="n">
        <v>2.419</v>
      </c>
      <c r="N250" s="24" t="n">
        <v>-1.002</v>
      </c>
      <c r="O250" s="24" t="n">
        <v>-2.556</v>
      </c>
      <c r="P250" s="24" t="n">
        <v>2.842</v>
      </c>
      <c r="Q250" s="24" t="n">
        <v>-8.534</v>
      </c>
      <c r="R250" s="24" t="n">
        <v>-9.706</v>
      </c>
      <c r="S250" s="24" t="n">
        <v>-17.954</v>
      </c>
      <c r="T250" s="24" t="n">
        <v>-9.476</v>
      </c>
      <c r="U250" s="24" t="n">
        <v>11.401</v>
      </c>
      <c r="V250" s="24" t="n">
        <v>-14.428</v>
      </c>
      <c r="W250" s="24" t="n">
        <v>-6.601</v>
      </c>
      <c r="X250" s="24" t="n">
        <v>-19.104</v>
      </c>
      <c r="Y250" s="24" t="n">
        <v>4.598</v>
      </c>
      <c r="Z250" s="24" t="n">
        <v>-9.1</v>
      </c>
      <c r="AA250" s="24" t="n">
        <v>-7.495</v>
      </c>
      <c r="AB250" s="24" t="n">
        <v>-6.974</v>
      </c>
      <c r="AC250" s="24" t="n">
        <v>-18.971</v>
      </c>
      <c r="AD250" s="24" t="n">
        <v>1.663</v>
      </c>
      <c r="AE250" s="24" t="n">
        <v>8.858</v>
      </c>
      <c r="AF250" s="24" t="n">
        <v>4.421</v>
      </c>
      <c r="AG250" s="24" t="n">
        <v>3.844</v>
      </c>
      <c r="AH250" s="24" t="n">
        <v>18.786</v>
      </c>
      <c r="AI250" s="24" t="n">
        <v>7.838</v>
      </c>
      <c r="AJ250" s="24" t="n">
        <v>-14.322</v>
      </c>
      <c r="AK250" s="24" t="n">
        <v>-3.838</v>
      </c>
      <c r="AL250" s="24" t="n">
        <v>-5.85</v>
      </c>
      <c r="AM250" s="24" t="n">
        <v>-16.172</v>
      </c>
      <c r="AN250" s="24" t="n">
        <v>3.233</v>
      </c>
      <c r="AO250" s="24" t="n">
        <v>-1.856</v>
      </c>
      <c r="AP250" s="24" t="n">
        <v>-7.327</v>
      </c>
      <c r="AQ250" s="24" t="n">
        <v>7.698</v>
      </c>
      <c r="AR250" s="24" t="n">
        <v>1.748</v>
      </c>
      <c r="AS250" s="24" t="n">
        <v>-12.294</v>
      </c>
      <c r="AT250" s="24" t="n">
        <v>-10.289</v>
      </c>
      <c r="AU250" s="24" t="n">
        <v>12.56</v>
      </c>
      <c r="AV250" s="24" t="n">
        <v>6.507</v>
      </c>
      <c r="AW250" s="24" t="n">
        <v>-3.516</v>
      </c>
      <c r="AX250" s="24" t="n">
        <v>-4.614</v>
      </c>
      <c r="AY250" s="24" t="n">
        <v>2.426</v>
      </c>
      <c r="AZ250" s="24" t="n">
        <v>-3.19</v>
      </c>
      <c r="BA250" s="24" t="n">
        <v>1.998</v>
      </c>
      <c r="BB250" s="24" t="n">
        <v>-3.38</v>
      </c>
      <c r="BC250" s="24" t="n">
        <v>-5.795</v>
      </c>
      <c r="BD250" s="24" t="n">
        <v>-0.409</v>
      </c>
      <c r="BE250" s="24" t="n">
        <v>-16.467</v>
      </c>
      <c r="BF250" s="24" t="n">
        <v>10.304</v>
      </c>
      <c r="BG250" s="24" t="n">
        <v>-12.367</v>
      </c>
      <c r="BH250" s="24" t="n">
        <v>7.45</v>
      </c>
      <c r="BI250" s="24" t="n">
        <v>1.618</v>
      </c>
      <c r="BJ250" s="24" t="n">
        <v>-6.331</v>
      </c>
      <c r="BK250" s="24" t="n">
        <v>7.989</v>
      </c>
      <c r="BL250" s="24" t="n">
        <v>10.726</v>
      </c>
      <c r="BM250" s="24" t="n">
        <v>-4.18</v>
      </c>
      <c r="BN250" s="24" t="n">
        <v>-1.517</v>
      </c>
      <c r="BO250" s="24" t="n">
        <v>12.775</v>
      </c>
      <c r="BP250" s="24" t="n">
        <v>-18.376</v>
      </c>
      <c r="BQ250" s="24" t="n">
        <v>-11.298</v>
      </c>
      <c r="BR250" s="24" t="n">
        <v>3.653</v>
      </c>
      <c r="BS250" s="24" t="n">
        <v>9.34</v>
      </c>
      <c r="BT250" s="24" t="n">
        <v>0.045</v>
      </c>
      <c r="BU250" s="24" t="n">
        <v>-1.715</v>
      </c>
      <c r="BV250" s="24" t="n">
        <v>11.323</v>
      </c>
      <c r="BW250" s="24" t="n">
        <v>-2.714</v>
      </c>
      <c r="BX250" s="24" t="n">
        <v>-3.045</v>
      </c>
      <c r="CA250" s="25" t="n">
        <f aca="false">($BW$250+$BX$250)</f>
        <v>-5.759</v>
      </c>
      <c r="CB250" s="41" t="n">
        <v>0</v>
      </c>
      <c r="CC250" s="41" t="n">
        <v>0</v>
      </c>
      <c r="CD250" s="41" t="n">
        <v>0</v>
      </c>
      <c r="CE250" s="41" t="n">
        <v>0</v>
      </c>
    </row>
    <row r="251" customFormat="false" ht="15" hidden="false" customHeight="false" outlineLevel="0" collapsed="false">
      <c r="B251" s="15" t="s">
        <v>443</v>
      </c>
      <c r="C251" s="16" t="n">
        <v>65.496</v>
      </c>
      <c r="D251" s="16" t="n">
        <v>-57.997</v>
      </c>
      <c r="E251" s="16" t="n">
        <v>-5.815</v>
      </c>
      <c r="F251" s="16" t="n">
        <v>4.305</v>
      </c>
      <c r="G251" s="16" t="n">
        <v>3.109</v>
      </c>
      <c r="H251" s="16" t="n">
        <v>126.268</v>
      </c>
      <c r="I251" s="16" t="n">
        <v>-82.364</v>
      </c>
      <c r="J251" s="16" t="n">
        <v>6.774</v>
      </c>
      <c r="K251" s="16" t="n">
        <v>24.246</v>
      </c>
      <c r="L251" s="16" t="n">
        <v>28.319</v>
      </c>
      <c r="M251" s="16" t="n">
        <v>3.932</v>
      </c>
      <c r="N251" s="16" t="n">
        <v>63.271</v>
      </c>
      <c r="O251" s="16" t="n">
        <v>-47.327</v>
      </c>
      <c r="P251" s="16" t="n">
        <v>66.173</v>
      </c>
      <c r="Q251" s="16" t="n">
        <v>28.331</v>
      </c>
      <c r="R251" s="16" t="n">
        <v>227.645</v>
      </c>
      <c r="S251" s="16" t="n">
        <v>274.822</v>
      </c>
      <c r="T251" s="16" t="n">
        <v>-234.522</v>
      </c>
      <c r="U251" s="16" t="n">
        <v>29.386</v>
      </c>
      <c r="V251" s="16" t="n">
        <v>2.945</v>
      </c>
      <c r="W251" s="16" t="n">
        <v>40.772</v>
      </c>
      <c r="X251" s="16" t="n">
        <v>-161.419</v>
      </c>
      <c r="Y251" s="16" t="n">
        <v>48.566</v>
      </c>
      <c r="Z251" s="16" t="n">
        <v>45.888</v>
      </c>
      <c r="AA251" s="16" t="n">
        <v>68.902</v>
      </c>
      <c r="AB251" s="16" t="n">
        <v>101.795</v>
      </c>
      <c r="AC251" s="16" t="n">
        <v>265.151</v>
      </c>
      <c r="AD251" s="16" t="n">
        <v>-280.942</v>
      </c>
      <c r="AE251" s="16" t="n">
        <v>69.805</v>
      </c>
      <c r="AF251" s="16" t="n">
        <v>89.48</v>
      </c>
      <c r="AG251" s="16" t="n">
        <v>42.929</v>
      </c>
      <c r="AH251" s="16" t="n">
        <v>-78.728</v>
      </c>
      <c r="AI251" s="16" t="n">
        <v>-78.602</v>
      </c>
      <c r="AJ251" s="16" t="n">
        <v>-177.62</v>
      </c>
      <c r="AK251" s="16" t="n">
        <v>27.019</v>
      </c>
      <c r="AL251" s="16" t="n">
        <v>30.149</v>
      </c>
      <c r="AM251" s="16" t="n">
        <v>-199.054</v>
      </c>
      <c r="AN251" s="16" t="n">
        <v>-121.638</v>
      </c>
      <c r="AO251" s="16" t="n">
        <v>61.916</v>
      </c>
      <c r="AP251" s="16" t="n">
        <v>81.368</v>
      </c>
      <c r="AQ251" s="16" t="n">
        <v>93.321</v>
      </c>
      <c r="AR251" s="16" t="n">
        <v>114.967</v>
      </c>
      <c r="AS251" s="16" t="n">
        <v>-233.276</v>
      </c>
      <c r="AT251" s="16" t="n">
        <v>-2.374</v>
      </c>
      <c r="AU251" s="16" t="n">
        <v>271.438</v>
      </c>
      <c r="AV251" s="16" t="n">
        <v>-228.573</v>
      </c>
      <c r="AW251" s="16" t="n">
        <v>-192.785</v>
      </c>
      <c r="AX251" s="16" t="n">
        <v>-51.179</v>
      </c>
      <c r="AY251" s="16" t="n">
        <v>50.439</v>
      </c>
      <c r="AZ251" s="16" t="n">
        <v>36.908</v>
      </c>
      <c r="BA251" s="16" t="n">
        <v>-63.412</v>
      </c>
      <c r="BB251" s="16" t="n">
        <v>-27.244</v>
      </c>
      <c r="BC251" s="16" t="n">
        <v>-34.322</v>
      </c>
      <c r="BD251" s="16" t="n">
        <v>34.732</v>
      </c>
      <c r="BE251" s="16" t="n">
        <v>-57.862</v>
      </c>
      <c r="BF251" s="16" t="n">
        <v>143.422</v>
      </c>
      <c r="BG251" s="16" t="n">
        <v>85.97</v>
      </c>
      <c r="BH251" s="16" t="n">
        <v>-126.315</v>
      </c>
      <c r="BI251" s="16" t="n">
        <v>28.078</v>
      </c>
      <c r="BJ251" s="16" t="n">
        <v>-9.928</v>
      </c>
      <c r="BK251" s="16" t="n">
        <v>258.058</v>
      </c>
      <c r="BL251" s="16" t="n">
        <v>149.893</v>
      </c>
      <c r="BM251" s="16" t="n">
        <v>-68.833</v>
      </c>
      <c r="BN251" s="16" t="n">
        <v>44.53</v>
      </c>
      <c r="BO251" s="16" t="n">
        <v>61.286</v>
      </c>
      <c r="BP251" s="16" t="n">
        <v>-58.808</v>
      </c>
      <c r="BQ251" s="16" t="n">
        <v>-21.825</v>
      </c>
      <c r="BR251" s="16" t="n">
        <v>-158.583</v>
      </c>
      <c r="BS251" s="16" t="n">
        <v>105.205</v>
      </c>
      <c r="BT251" s="16" t="n">
        <v>-106.237</v>
      </c>
      <c r="BU251" s="16" t="n">
        <v>145.918</v>
      </c>
      <c r="BV251" s="16" t="n">
        <v>-13.697</v>
      </c>
      <c r="BW251" s="16" t="n">
        <v>-27.898</v>
      </c>
      <c r="BX251" s="16" t="n">
        <v>133.702</v>
      </c>
      <c r="CA251" s="17" t="n">
        <f aca="false">N(CA236)+N(CA242)+N(CA249)+N(CA250)</f>
        <v>39.0090451318424</v>
      </c>
      <c r="CB251" s="17" t="n">
        <f aca="false">N(CB236)+N(CB242)+N(CB249)+N(CB250)</f>
        <v>-121.757545131843</v>
      </c>
      <c r="CC251" s="17" t="n">
        <f aca="false">N(CC236)+N(CC242)+N(CC249)+N(CC250)</f>
        <v>-38.5964999999999</v>
      </c>
      <c r="CD251" s="17" t="n">
        <f aca="false">N(CD236)+N(CD242)+N(CD249)+N(CD250)</f>
        <v>0</v>
      </c>
      <c r="CE251" s="17" t="n">
        <f aca="false">N(CE236)+N(CE242)+N(CE249)+N(CE250)</f>
        <v>0</v>
      </c>
    </row>
    <row r="252" customFormat="false" ht="15" hidden="false" customHeight="false" outlineLevel="0" collapsed="false">
      <c r="B252" s="20" t="s">
        <v>444</v>
      </c>
      <c r="C252" s="24" t="n">
        <v>59.021</v>
      </c>
      <c r="D252" s="24" t="n">
        <v>124.517</v>
      </c>
      <c r="E252" s="24" t="n">
        <v>66.52</v>
      </c>
      <c r="F252" s="24" t="n">
        <v>60.705</v>
      </c>
      <c r="G252" s="24" t="n">
        <v>65.01</v>
      </c>
      <c r="H252" s="24" t="n">
        <v>68.119</v>
      </c>
      <c r="I252" s="24" t="n">
        <v>194.387</v>
      </c>
      <c r="J252" s="24" t="n">
        <v>112.023</v>
      </c>
      <c r="K252" s="24" t="n">
        <v>118.797</v>
      </c>
      <c r="L252" s="24" t="n">
        <v>143.043</v>
      </c>
      <c r="M252" s="24" t="n">
        <v>171.362</v>
      </c>
      <c r="N252" s="24" t="n">
        <v>112.023</v>
      </c>
      <c r="O252" s="24" t="n">
        <v>175.294</v>
      </c>
      <c r="P252" s="24" t="n">
        <v>127.967</v>
      </c>
      <c r="Q252" s="24" t="n">
        <v>194.14</v>
      </c>
      <c r="R252" s="24" t="n">
        <v>222.471</v>
      </c>
      <c r="S252" s="24" t="n">
        <v>175.294</v>
      </c>
      <c r="T252" s="24" t="n">
        <v>450.116</v>
      </c>
      <c r="U252" s="24" t="n">
        <v>215.594</v>
      </c>
      <c r="V252" s="24" t="n">
        <v>244.98</v>
      </c>
      <c r="W252" s="24" t="n">
        <v>247.925</v>
      </c>
      <c r="X252" s="24" t="n">
        <v>450.116</v>
      </c>
      <c r="Y252" s="24" t="n">
        <v>288.697</v>
      </c>
      <c r="Z252" s="24" t="n">
        <v>337.263</v>
      </c>
      <c r="AA252" s="24" t="n">
        <v>383.151</v>
      </c>
      <c r="AB252" s="24" t="n">
        <v>452.053</v>
      </c>
      <c r="AC252" s="24" t="n">
        <v>288.697</v>
      </c>
      <c r="AD252" s="24" t="n">
        <v>553.848</v>
      </c>
      <c r="AE252" s="24" t="n">
        <v>272.906</v>
      </c>
      <c r="AF252" s="24" t="n">
        <v>342.711</v>
      </c>
      <c r="AG252" s="24" t="n">
        <v>432.191</v>
      </c>
      <c r="AH252" s="24" t="n">
        <v>553.848</v>
      </c>
      <c r="AI252" s="24" t="n">
        <v>475.12</v>
      </c>
      <c r="AJ252" s="24" t="n">
        <v>396.518</v>
      </c>
      <c r="AK252" s="24" t="n">
        <v>218.898</v>
      </c>
      <c r="AL252" s="24" t="n">
        <v>245.917</v>
      </c>
      <c r="AM252" s="24" t="n">
        <v>475.12</v>
      </c>
      <c r="AN252" s="24" t="n">
        <v>276.066</v>
      </c>
      <c r="AO252" s="24" t="n">
        <v>154.428</v>
      </c>
      <c r="AP252" s="24" t="n">
        <v>216.344</v>
      </c>
      <c r="AQ252" s="24" t="n">
        <v>297.712</v>
      </c>
      <c r="AR252" s="24" t="n">
        <v>276.066</v>
      </c>
      <c r="AS252" s="24" t="n">
        <v>391.033</v>
      </c>
      <c r="AT252" s="24" t="n">
        <v>157.757</v>
      </c>
      <c r="AU252" s="24" t="n">
        <v>155.383</v>
      </c>
      <c r="AV252" s="24" t="n">
        <v>426.821</v>
      </c>
      <c r="AW252" s="24" t="n">
        <v>391.033</v>
      </c>
      <c r="AX252" s="24" t="n">
        <v>198.248</v>
      </c>
      <c r="AY252" s="24" t="n">
        <v>147.069</v>
      </c>
      <c r="AZ252" s="24" t="n">
        <v>197.508</v>
      </c>
      <c r="BA252" s="24" t="n">
        <v>234.416</v>
      </c>
      <c r="BB252" s="24" t="n">
        <v>198.248</v>
      </c>
      <c r="BC252" s="24" t="n">
        <v>171.004</v>
      </c>
      <c r="BD252" s="24" t="n">
        <v>136.682</v>
      </c>
      <c r="BE252" s="24" t="n">
        <v>171.414</v>
      </c>
      <c r="BF252" s="24" t="n">
        <v>113.552</v>
      </c>
      <c r="BG252" s="24" t="n">
        <v>171.004</v>
      </c>
      <c r="BH252" s="24" t="n">
        <v>256.974</v>
      </c>
      <c r="BI252" s="24" t="n">
        <v>130.659</v>
      </c>
      <c r="BJ252" s="24" t="n">
        <v>158.737</v>
      </c>
      <c r="BK252" s="24" t="n">
        <v>148.809</v>
      </c>
      <c r="BL252" s="24" t="n">
        <v>256.974</v>
      </c>
      <c r="BM252" s="24" t="n">
        <v>406.867</v>
      </c>
      <c r="BN252" s="24" t="n">
        <v>338.034</v>
      </c>
      <c r="BO252" s="24" t="n">
        <v>382.564</v>
      </c>
      <c r="BP252" s="24" t="n">
        <v>443.85</v>
      </c>
      <c r="BQ252" s="24" t="n">
        <v>406.867</v>
      </c>
      <c r="BR252" s="24" t="n">
        <v>385.042</v>
      </c>
      <c r="BS252" s="24" t="n">
        <v>226.459</v>
      </c>
      <c r="BT252" s="24" t="n">
        <v>331.664</v>
      </c>
      <c r="BU252" s="24" t="n">
        <v>225.427</v>
      </c>
      <c r="BV252" s="24" t="n">
        <v>385.042</v>
      </c>
      <c r="BW252" s="24" t="n">
        <v>371.345</v>
      </c>
      <c r="BX252" s="24" t="n">
        <v>343.447</v>
      </c>
      <c r="CA252" s="25" t="n">
        <f aca="false">BV253</f>
        <v>371.345</v>
      </c>
      <c r="CB252" s="25" t="n">
        <f aca="false">CA253</f>
        <v>410.354045131842</v>
      </c>
      <c r="CC252" s="25" t="n">
        <f aca="false">CB253</f>
        <v>288.5965</v>
      </c>
      <c r="CD252" s="25" t="n">
        <f aca="false">CC253</f>
        <v>250</v>
      </c>
      <c r="CE252" s="25" t="n">
        <f aca="false">CD253</f>
        <v>250</v>
      </c>
    </row>
    <row r="253" customFormat="false" ht="15" hidden="false" customHeight="false" outlineLevel="0" collapsed="false">
      <c r="B253" s="15" t="s">
        <v>445</v>
      </c>
      <c r="C253" s="16" t="n">
        <v>124.517</v>
      </c>
      <c r="D253" s="16" t="n">
        <v>66.52</v>
      </c>
      <c r="E253" s="16" t="n">
        <v>60.705</v>
      </c>
      <c r="F253" s="16" t="n">
        <v>65.01</v>
      </c>
      <c r="G253" s="16" t="n">
        <v>68.119</v>
      </c>
      <c r="H253" s="16" t="n">
        <v>194.387</v>
      </c>
      <c r="I253" s="16" t="n">
        <v>112.023</v>
      </c>
      <c r="J253" s="16" t="n">
        <v>118.797</v>
      </c>
      <c r="K253" s="16" t="n">
        <v>143.043</v>
      </c>
      <c r="L253" s="16" t="n">
        <v>171.362</v>
      </c>
      <c r="M253" s="16" t="n">
        <v>175.294</v>
      </c>
      <c r="N253" s="16" t="n">
        <v>175.294</v>
      </c>
      <c r="O253" s="16" t="n">
        <v>127.967</v>
      </c>
      <c r="P253" s="16" t="n">
        <v>194.14</v>
      </c>
      <c r="Q253" s="16" t="n">
        <v>222.471</v>
      </c>
      <c r="R253" s="16" t="n">
        <v>450.116</v>
      </c>
      <c r="S253" s="16" t="n">
        <v>450.116</v>
      </c>
      <c r="T253" s="16" t="n">
        <v>215.594</v>
      </c>
      <c r="U253" s="16" t="n">
        <v>244.98</v>
      </c>
      <c r="V253" s="16" t="n">
        <v>247.925</v>
      </c>
      <c r="W253" s="16" t="n">
        <v>288.697</v>
      </c>
      <c r="X253" s="16" t="n">
        <v>288.697</v>
      </c>
      <c r="Y253" s="16" t="n">
        <v>337.263</v>
      </c>
      <c r="Z253" s="16" t="n">
        <v>383.151</v>
      </c>
      <c r="AA253" s="16" t="n">
        <v>452.053</v>
      </c>
      <c r="AB253" s="16" t="n">
        <v>553.848</v>
      </c>
      <c r="AC253" s="16" t="n">
        <v>553.848</v>
      </c>
      <c r="AD253" s="16" t="n">
        <v>272.906</v>
      </c>
      <c r="AE253" s="16" t="n">
        <v>342.711</v>
      </c>
      <c r="AF253" s="16" t="n">
        <v>432.191</v>
      </c>
      <c r="AG253" s="16" t="n">
        <v>475.12</v>
      </c>
      <c r="AH253" s="16" t="n">
        <v>475.12</v>
      </c>
      <c r="AI253" s="16" t="n">
        <v>396.518</v>
      </c>
      <c r="AJ253" s="16" t="n">
        <v>218.898</v>
      </c>
      <c r="AK253" s="16" t="n">
        <v>245.917</v>
      </c>
      <c r="AL253" s="16" t="n">
        <v>276.066</v>
      </c>
      <c r="AM253" s="16" t="n">
        <v>276.066</v>
      </c>
      <c r="AN253" s="16" t="n">
        <v>154.428</v>
      </c>
      <c r="AO253" s="16" t="n">
        <v>216.344</v>
      </c>
      <c r="AP253" s="16" t="n">
        <v>297.712</v>
      </c>
      <c r="AQ253" s="16" t="n">
        <v>391.033</v>
      </c>
      <c r="AR253" s="16" t="n">
        <v>391.033</v>
      </c>
      <c r="AS253" s="16" t="n">
        <v>157.757</v>
      </c>
      <c r="AT253" s="16" t="n">
        <v>155.383</v>
      </c>
      <c r="AU253" s="16" t="n">
        <v>426.821</v>
      </c>
      <c r="AV253" s="16" t="n">
        <v>198.248</v>
      </c>
      <c r="AW253" s="16" t="n">
        <v>198.248</v>
      </c>
      <c r="AX253" s="16" t="n">
        <v>147.069</v>
      </c>
      <c r="AY253" s="16" t="n">
        <v>197.508</v>
      </c>
      <c r="AZ253" s="16" t="n">
        <v>234.416</v>
      </c>
      <c r="BA253" s="16" t="n">
        <v>171.004</v>
      </c>
      <c r="BB253" s="16" t="n">
        <v>171.004</v>
      </c>
      <c r="BC253" s="16" t="n">
        <v>136.682</v>
      </c>
      <c r="BD253" s="16" t="n">
        <v>171.414</v>
      </c>
      <c r="BE253" s="16" t="n">
        <v>113.552</v>
      </c>
      <c r="BF253" s="16" t="n">
        <v>256.974</v>
      </c>
      <c r="BG253" s="16" t="n">
        <v>256.974</v>
      </c>
      <c r="BH253" s="16" t="n">
        <v>130.659</v>
      </c>
      <c r="BI253" s="16" t="n">
        <v>158.737</v>
      </c>
      <c r="BJ253" s="16" t="n">
        <v>148.809</v>
      </c>
      <c r="BK253" s="16" t="n">
        <v>406.867</v>
      </c>
      <c r="BL253" s="16" t="n">
        <v>406.867</v>
      </c>
      <c r="BM253" s="16" t="n">
        <v>338.034</v>
      </c>
      <c r="BN253" s="16" t="n">
        <v>382.564</v>
      </c>
      <c r="BO253" s="16" t="n">
        <v>443.85</v>
      </c>
      <c r="BP253" s="16" t="n">
        <v>385.042</v>
      </c>
      <c r="BQ253" s="16" t="n">
        <v>385.042</v>
      </c>
      <c r="BR253" s="16" t="n">
        <v>226.459</v>
      </c>
      <c r="BS253" s="16" t="n">
        <v>331.664</v>
      </c>
      <c r="BT253" s="16" t="n">
        <v>225.427</v>
      </c>
      <c r="BU253" s="16" t="n">
        <v>371.345</v>
      </c>
      <c r="BV253" s="16" t="n">
        <v>371.345</v>
      </c>
      <c r="BW253" s="16" t="n">
        <v>343.447</v>
      </c>
      <c r="BX253" s="16" t="n">
        <v>477.149</v>
      </c>
      <c r="CA253" s="17" t="n">
        <f aca="false">CA252+CA251</f>
        <v>410.354045131842</v>
      </c>
      <c r="CB253" s="17" t="n">
        <f aca="false">CB252+CB251</f>
        <v>288.5965</v>
      </c>
      <c r="CC253" s="17" t="n">
        <f aca="false">CC252+CC251</f>
        <v>250</v>
      </c>
      <c r="CD253" s="17" t="n">
        <f aca="false">CD252+CD251</f>
        <v>250</v>
      </c>
      <c r="CE253" s="17" t="n">
        <f aca="false">CE252+CE251</f>
        <v>250</v>
      </c>
    </row>
    <row r="254" customFormat="false" ht="15" hidden="false" customHeight="false" outlineLevel="0" collapsed="false">
      <c r="B254" s="20" t="s">
        <v>446</v>
      </c>
      <c r="C254" s="46" t="n">
        <f aca="false">IF(ISNUMBER(C236),ROUND(C236+C242+C249+N(C250)-C251,1),"")</f>
        <v>0</v>
      </c>
      <c r="D254" s="46" t="n">
        <f aca="false">IF(ISNUMBER(D236),ROUND(D236+D242+D249+N(D250)-D251,1),"")</f>
        <v>0</v>
      </c>
      <c r="E254" s="46" t="n">
        <f aca="false">IF(ISNUMBER(E236),ROUND(E236+E242+E249+N(E250)-E251,1),"")</f>
        <v>0</v>
      </c>
      <c r="F254" s="46" t="n">
        <f aca="false">IF(ISNUMBER(F236),ROUND(F236+F242+F249+N(F250)-F251,1),"")</f>
        <v>0</v>
      </c>
      <c r="G254" s="46" t="n">
        <f aca="false">IF(ISNUMBER(G236),ROUND(G236+G242+G249+N(G250)-G251,1),"")</f>
        <v>0</v>
      </c>
      <c r="H254" s="46" t="n">
        <f aca="false">IF(ISNUMBER(H236),ROUND(H236+H242+H249+N(H250)-H251,1),"")</f>
        <v>0</v>
      </c>
      <c r="I254" s="46" t="n">
        <f aca="false">IF(ISNUMBER(I236),ROUND(I236+I242+I249+N(I250)-I251,1),"")</f>
        <v>0</v>
      </c>
      <c r="J254" s="46" t="n">
        <f aca="false">IF(ISNUMBER(J236),ROUND(J236+J242+J249+N(J250)-J251,1),"")</f>
        <v>0</v>
      </c>
      <c r="K254" s="46" t="n">
        <f aca="false">IF(ISNUMBER(K236),ROUND(K236+K242+K249+N(K250)-K251,1),"")</f>
        <v>0</v>
      </c>
      <c r="L254" s="46" t="n">
        <f aca="false">IF(ISNUMBER(L236),ROUND(L236+L242+L249+N(L250)-L251,1),"")</f>
        <v>0</v>
      </c>
      <c r="M254" s="46" t="n">
        <f aca="false">IF(ISNUMBER(M236),ROUND(M236+M242+M249+N(M250)-M251,1),"")</f>
        <v>0</v>
      </c>
      <c r="N254" s="46" t="n">
        <f aca="false">IF(ISNUMBER(N236),ROUND(N236+N242+N249+N(N250)-N251,1),"")</f>
        <v>0</v>
      </c>
      <c r="O254" s="46" t="n">
        <f aca="false">IF(ISNUMBER(O236),ROUND(O236+O242+O249+N(O250)-O251,1),"")</f>
        <v>0</v>
      </c>
      <c r="P254" s="46" t="n">
        <f aca="false">IF(ISNUMBER(P236),ROUND(P236+P242+P249+N(P250)-P251,1),"")</f>
        <v>0</v>
      </c>
      <c r="Q254" s="46" t="n">
        <f aca="false">IF(ISNUMBER(Q236),ROUND(Q236+Q242+Q249+N(Q250)-Q251,1),"")</f>
        <v>0</v>
      </c>
      <c r="R254" s="46" t="n">
        <f aca="false">IF(ISNUMBER(R236),ROUND(R236+R242+R249+N(R250)-R251,1),"")</f>
        <v>0</v>
      </c>
      <c r="S254" s="46" t="n">
        <f aca="false">IF(ISNUMBER(S236),ROUND(S236+S242+S249+N(S250)-S251,1),"")</f>
        <v>0</v>
      </c>
      <c r="T254" s="46" t="n">
        <f aca="false">IF(ISNUMBER(T236),ROUND(T236+T242+T249+N(T250)-T251,1),"")</f>
        <v>0</v>
      </c>
      <c r="U254" s="46" t="n">
        <f aca="false">IF(ISNUMBER(U236),ROUND(U236+U242+U249+N(U250)-U251,1),"")</f>
        <v>0</v>
      </c>
      <c r="V254" s="46" t="n">
        <f aca="false">IF(ISNUMBER(V236),ROUND(V236+V242+V249+N(V250)-V251,1),"")</f>
        <v>0</v>
      </c>
      <c r="W254" s="46" t="n">
        <f aca="false">IF(ISNUMBER(W236),ROUND(W236+W242+W249+N(W250)-W251,1),"")</f>
        <v>0</v>
      </c>
      <c r="X254" s="46" t="n">
        <f aca="false">IF(ISNUMBER(X236),ROUND(X236+X242+X249+N(X250)-X251,1),"")</f>
        <v>0</v>
      </c>
      <c r="Y254" s="46" t="n">
        <f aca="false">IF(ISNUMBER(Y236),ROUND(Y236+Y242+Y249+N(Y250)-Y251,1),"")</f>
        <v>0</v>
      </c>
      <c r="Z254" s="46" t="n">
        <f aca="false">IF(ISNUMBER(Z236),ROUND(Z236+Z242+Z249+N(Z250)-Z251,1),"")</f>
        <v>0</v>
      </c>
      <c r="AA254" s="46" t="n">
        <f aca="false">IF(ISNUMBER(AA236),ROUND(AA236+AA242+AA249+N(AA250)-AA251,1),"")</f>
        <v>0</v>
      </c>
      <c r="AB254" s="46" t="n">
        <f aca="false">IF(ISNUMBER(AB236),ROUND(AB236+AB242+AB249+N(AB250)-AB251,1),"")</f>
        <v>0</v>
      </c>
      <c r="AC254" s="46" t="n">
        <f aca="false">IF(ISNUMBER(AC236),ROUND(AC236+AC242+AC249+N(AC250)-AC251,1),"")</f>
        <v>0</v>
      </c>
      <c r="AD254" s="46" t="n">
        <f aca="false">IF(ISNUMBER(AD236),ROUND(AD236+AD242+AD249+N(AD250)-AD251,1),"")</f>
        <v>0</v>
      </c>
      <c r="AE254" s="46" t="n">
        <f aca="false">IF(ISNUMBER(AE236),ROUND(AE236+AE242+AE249+N(AE250)-AE251,1),"")</f>
        <v>0</v>
      </c>
      <c r="AF254" s="46" t="n">
        <f aca="false">IF(ISNUMBER(AF236),ROUND(AF236+AF242+AF249+N(AF250)-AF251,1),"")</f>
        <v>0</v>
      </c>
      <c r="AG254" s="46" t="n">
        <f aca="false">IF(ISNUMBER(AG236),ROUND(AG236+AG242+AG249+N(AG250)-AG251,1),"")</f>
        <v>0</v>
      </c>
      <c r="AH254" s="46" t="n">
        <f aca="false">IF(ISNUMBER(AH236),ROUND(AH236+AH242+AH249+N(AH250)-AH251,1),"")</f>
        <v>0</v>
      </c>
      <c r="AI254" s="46" t="n">
        <f aca="false">IF(ISNUMBER(AI236),ROUND(AI236+AI242+AI249+N(AI250)-AI251,1),"")</f>
        <v>0</v>
      </c>
      <c r="AJ254" s="46" t="n">
        <f aca="false">IF(ISNUMBER(AJ236),ROUND(AJ236+AJ242+AJ249+N(AJ250)-AJ251,1),"")</f>
        <v>0</v>
      </c>
      <c r="AK254" s="46" t="n">
        <f aca="false">IF(ISNUMBER(AK236),ROUND(AK236+AK242+AK249+N(AK250)-AK251,1),"")</f>
        <v>0</v>
      </c>
      <c r="AL254" s="46" t="n">
        <f aca="false">IF(ISNUMBER(AL236),ROUND(AL236+AL242+AL249+N(AL250)-AL251,1),"")</f>
        <v>0</v>
      </c>
      <c r="AM254" s="46" t="n">
        <f aca="false">IF(ISNUMBER(AM236),ROUND(AM236+AM242+AM249+N(AM250)-AM251,1),"")</f>
        <v>0</v>
      </c>
      <c r="AN254" s="46" t="n">
        <f aca="false">IF(ISNUMBER(AN236),ROUND(AN236+AN242+AN249+N(AN250)-AN251,1),"")</f>
        <v>0</v>
      </c>
      <c r="AO254" s="46" t="n">
        <f aca="false">IF(ISNUMBER(AO236),ROUND(AO236+AO242+AO249+N(AO250)-AO251,1),"")</f>
        <v>0</v>
      </c>
      <c r="AP254" s="46" t="n">
        <f aca="false">IF(ISNUMBER(AP236),ROUND(AP236+AP242+AP249+N(AP250)-AP251,1),"")</f>
        <v>0</v>
      </c>
      <c r="AQ254" s="46" t="n">
        <f aca="false">IF(ISNUMBER(AQ236),ROUND(AQ236+AQ242+AQ249+N(AQ250)-AQ251,1),"")</f>
        <v>0</v>
      </c>
      <c r="AR254" s="46" t="n">
        <f aca="false">IF(ISNUMBER(AR236),ROUND(AR236+AR242+AR249+N(AR250)-AR251,1),"")</f>
        <v>0</v>
      </c>
      <c r="AS254" s="46" t="n">
        <f aca="false">IF(ISNUMBER(AS236),ROUND(AS236+AS242+AS249+N(AS250)-AS251,1),"")</f>
        <v>0</v>
      </c>
      <c r="AT254" s="46" t="n">
        <f aca="false">IF(ISNUMBER(AT236),ROUND(AT236+AT242+AT249+N(AT250)-AT251,1),"")</f>
        <v>0</v>
      </c>
      <c r="AU254" s="46" t="n">
        <f aca="false">IF(ISNUMBER(AU236),ROUND(AU236+AU242+AU249+N(AU250)-AU251,1),"")</f>
        <v>0</v>
      </c>
      <c r="AV254" s="46" t="n">
        <f aca="false">IF(ISNUMBER(AV236),ROUND(AV236+AV242+AV249+N(AV250)-AV251,1),"")</f>
        <v>0</v>
      </c>
      <c r="AW254" s="46" t="n">
        <f aca="false">IF(ISNUMBER(AW236),ROUND(AW236+AW242+AW249+N(AW250)-AW251,1),"")</f>
        <v>0</v>
      </c>
      <c r="AX254" s="46" t="n">
        <f aca="false">IF(ISNUMBER(AX236),ROUND(AX236+AX242+AX249+N(AX250)-AX251,1),"")</f>
        <v>0</v>
      </c>
      <c r="AY254" s="46" t="n">
        <f aca="false">IF(ISNUMBER(AY236),ROUND(AY236+AY242+AY249+N(AY250)-AY251,1),"")</f>
        <v>0</v>
      </c>
      <c r="AZ254" s="46" t="n">
        <f aca="false">IF(ISNUMBER(AZ236),ROUND(AZ236+AZ242+AZ249+N(AZ250)-AZ251,1),"")</f>
        <v>0</v>
      </c>
      <c r="BA254" s="46" t="n">
        <f aca="false">IF(ISNUMBER(BA236),ROUND(BA236+BA242+BA249+N(BA250)-BA251,1),"")</f>
        <v>0</v>
      </c>
      <c r="BB254" s="46" t="n">
        <f aca="false">IF(ISNUMBER(BB236),ROUND(BB236+BB242+BB249+N(BB250)-BB251,1),"")</f>
        <v>0</v>
      </c>
      <c r="BC254" s="46" t="n">
        <f aca="false">IF(ISNUMBER(BC236),ROUND(BC236+BC242+BC249+N(BC250)-BC251,1),"")</f>
        <v>0</v>
      </c>
      <c r="BD254" s="46" t="n">
        <f aca="false">IF(ISNUMBER(BD236),ROUND(BD236+BD242+BD249+N(BD250)-BD251,1),"")</f>
        <v>0</v>
      </c>
      <c r="BE254" s="46" t="n">
        <f aca="false">IF(ISNUMBER(BE236),ROUND(BE236+BE242+BE249+N(BE250)-BE251,1),"")</f>
        <v>0</v>
      </c>
      <c r="BF254" s="46" t="n">
        <f aca="false">IF(ISNUMBER(BF236),ROUND(BF236+BF242+BF249+N(BF250)-BF251,1),"")</f>
        <v>0</v>
      </c>
      <c r="BG254" s="46" t="n">
        <f aca="false">IF(ISNUMBER(BG236),ROUND(BG236+BG242+BG249+N(BG250)-BG251,1),"")</f>
        <v>0</v>
      </c>
      <c r="BH254" s="46" t="n">
        <f aca="false">IF(ISNUMBER(BH236),ROUND(BH236+BH242+BH249+N(BH250)-BH251,1),"")</f>
        <v>0</v>
      </c>
      <c r="BI254" s="46" t="n">
        <f aca="false">IF(ISNUMBER(BI236),ROUND(BI236+BI242+BI249+N(BI250)-BI251,1),"")</f>
        <v>0</v>
      </c>
      <c r="BJ254" s="46" t="n">
        <f aca="false">IF(ISNUMBER(BJ236),ROUND(BJ236+BJ242+BJ249+N(BJ250)-BJ251,1),"")</f>
        <v>0</v>
      </c>
      <c r="BK254" s="46" t="n">
        <f aca="false">IF(ISNUMBER(BK236),ROUND(BK236+BK242+BK249+N(BK250)-BK251,1),"")</f>
        <v>0</v>
      </c>
      <c r="BL254" s="46" t="n">
        <f aca="false">IF(ISNUMBER(BL236),ROUND(BL236+BL242+BL249+N(BL250)-BL251,1),"")</f>
        <v>0</v>
      </c>
      <c r="BM254" s="46" t="n">
        <f aca="false">IF(ISNUMBER(BM236),ROUND(BM236+BM242+BM249+N(BM250)-BM251,1),"")</f>
        <v>0</v>
      </c>
      <c r="BN254" s="46" t="n">
        <f aca="false">IF(ISNUMBER(BN236),ROUND(BN236+BN242+BN249+N(BN250)-BN251,1),"")</f>
        <v>0</v>
      </c>
      <c r="BO254" s="46" t="n">
        <f aca="false">IF(ISNUMBER(BO236),ROUND(BO236+BO242+BO249+N(BO250)-BO251,1),"")</f>
        <v>0</v>
      </c>
      <c r="BP254" s="46" t="n">
        <f aca="false">IF(ISNUMBER(BP236),ROUND(BP236+BP242+BP249+N(BP250)-BP251,1),"")</f>
        <v>0</v>
      </c>
      <c r="BQ254" s="46" t="n">
        <f aca="false">IF(ISNUMBER(BQ236),ROUND(BQ236+BQ242+BQ249+N(BQ250)-BQ251,1),"")</f>
        <v>0</v>
      </c>
      <c r="BR254" s="46" t="n">
        <f aca="false">IF(ISNUMBER(BR236),ROUND(BR236+BR242+BR249+N(BR250)-BR251,1),"")</f>
        <v>0</v>
      </c>
      <c r="BS254" s="46" t="n">
        <f aca="false">IF(ISNUMBER(BS236),ROUND(BS236+BS242+BS249+N(BS250)-BS251,1),"")</f>
        <v>0</v>
      </c>
      <c r="BT254" s="46" t="n">
        <f aca="false">IF(ISNUMBER(BT236),ROUND(BT236+BT242+BT249+N(BT250)-BT251,1),"")</f>
        <v>0</v>
      </c>
      <c r="BU254" s="46" t="n">
        <f aca="false">IF(ISNUMBER(BU236),ROUND(BU236+BU242+BU249+N(BU250)-BU251,1),"")</f>
        <v>0</v>
      </c>
      <c r="BV254" s="46" t="n">
        <f aca="false">IF(ISNUMBER(BV236),ROUND(BV236+BV242+BV249+N(BV250)-BV251,1),"")</f>
        <v>0</v>
      </c>
      <c r="BW254" s="46" t="n">
        <f aca="false">IF(ISNUMBER(BW236),ROUND(BW236+BW242+BW249+N(BW250)-BW251,1),"")</f>
        <v>0</v>
      </c>
      <c r="BX254" s="46" t="n">
        <f aca="false">IF(ISNUMBER(BX236),ROUND(BX236+BX242+BX249+N(BX250)-BX251,1),"")</f>
        <v>0</v>
      </c>
      <c r="CA254" s="25" t="n">
        <f aca="false">IF(ISNUMBER(CA236),ROUND(CA236+CA242+CA249+N(CA250)-CA251,1),"")</f>
        <v>0</v>
      </c>
      <c r="CB254" s="25" t="n">
        <f aca="false">IF(ISNUMBER(CB236),ROUND(CB236+CB242+CB249+N(CB250)-CB251,1),"")</f>
        <v>0</v>
      </c>
      <c r="CC254" s="25" t="n">
        <f aca="false">IF(ISNUMBER(CC236),ROUND(CC236+CC242+CC249+N(CC250)-CC251,1),"")</f>
        <v>0</v>
      </c>
      <c r="CD254" s="25" t="n">
        <f aca="false">IF(ISNUMBER(CD236),ROUND(CD236+CD242+CD249+N(CD250)-CD251,1),"")</f>
        <v>0</v>
      </c>
      <c r="CE254" s="25" t="n">
        <f aca="false">IF(ISNUMBER(CE236),ROUND(CE236+CE242+CE249+N(CE250)-CE251,1),"")</f>
        <v>0</v>
      </c>
    </row>
    <row r="255" customFormat="false" ht="15" hidden="false" customHeight="false" outlineLevel="0" collapsed="false">
      <c r="B255" s="20" t="s">
        <v>447</v>
      </c>
      <c r="C255" s="46" t="n">
        <f aca="false">IF(ISNUMBER(C252),ROUND(C252+C251-C253,1),"")</f>
        <v>0</v>
      </c>
      <c r="D255" s="46" t="n">
        <f aca="false">IF(ISNUMBER(D252),ROUND(D252+D251-D253,1),"")</f>
        <v>0</v>
      </c>
      <c r="E255" s="46" t="n">
        <f aca="false">IF(ISNUMBER(E252),ROUND(E252+E251-E253,1),"")</f>
        <v>0</v>
      </c>
      <c r="F255" s="46" t="n">
        <f aca="false">IF(ISNUMBER(F252),ROUND(F252+F251-F253,1),"")</f>
        <v>0</v>
      </c>
      <c r="G255" s="46" t="n">
        <f aca="false">IF(ISNUMBER(G252),ROUND(G252+G251-G253,1),"")</f>
        <v>0</v>
      </c>
      <c r="H255" s="46" t="n">
        <f aca="false">IF(ISNUMBER(H252),ROUND(H252+H251-H253,1),"")</f>
        <v>0</v>
      </c>
      <c r="I255" s="46" t="n">
        <f aca="false">IF(ISNUMBER(I252),ROUND(I252+I251-I253,1),"")</f>
        <v>0</v>
      </c>
      <c r="J255" s="46" t="n">
        <f aca="false">IF(ISNUMBER(J252),ROUND(J252+J251-J253,1),"")</f>
        <v>0</v>
      </c>
      <c r="K255" s="46" t="n">
        <f aca="false">IF(ISNUMBER(K252),ROUND(K252+K251-K253,1),"")</f>
        <v>0</v>
      </c>
      <c r="L255" s="46" t="n">
        <f aca="false">IF(ISNUMBER(L252),ROUND(L252+L251-L253,1),"")</f>
        <v>0</v>
      </c>
      <c r="M255" s="46" t="n">
        <f aca="false">IF(ISNUMBER(M252),ROUND(M252+M251-M253,1),"")</f>
        <v>0</v>
      </c>
      <c r="N255" s="46" t="n">
        <f aca="false">IF(ISNUMBER(N252),ROUND(N252+N251-N253,1),"")</f>
        <v>0</v>
      </c>
      <c r="O255" s="46" t="n">
        <f aca="false">IF(ISNUMBER(O252),ROUND(O252+O251-O253,1),"")</f>
        <v>0</v>
      </c>
      <c r="P255" s="46" t="n">
        <f aca="false">IF(ISNUMBER(P252),ROUND(P252+P251-P253,1),"")</f>
        <v>0</v>
      </c>
      <c r="Q255" s="46" t="n">
        <f aca="false">IF(ISNUMBER(Q252),ROUND(Q252+Q251-Q253,1),"")</f>
        <v>0</v>
      </c>
      <c r="R255" s="46" t="n">
        <f aca="false">IF(ISNUMBER(R252),ROUND(R252+R251-R253,1),"")</f>
        <v>0</v>
      </c>
      <c r="S255" s="46" t="n">
        <f aca="false">IF(ISNUMBER(S252),ROUND(S252+S251-S253,1),"")</f>
        <v>0</v>
      </c>
      <c r="T255" s="46" t="n">
        <f aca="false">IF(ISNUMBER(T252),ROUND(T252+T251-T253,1),"")</f>
        <v>0</v>
      </c>
      <c r="U255" s="46" t="n">
        <f aca="false">IF(ISNUMBER(U252),ROUND(U252+U251-U253,1),"")</f>
        <v>0</v>
      </c>
      <c r="V255" s="46" t="n">
        <f aca="false">IF(ISNUMBER(V252),ROUND(V252+V251-V253,1),"")</f>
        <v>0</v>
      </c>
      <c r="W255" s="46" t="n">
        <f aca="false">IF(ISNUMBER(W252),ROUND(W252+W251-W253,1),"")</f>
        <v>0</v>
      </c>
      <c r="X255" s="46" t="n">
        <f aca="false">IF(ISNUMBER(X252),ROUND(X252+X251-X253,1),"")</f>
        <v>0</v>
      </c>
      <c r="Y255" s="46" t="n">
        <f aca="false">IF(ISNUMBER(Y252),ROUND(Y252+Y251-Y253,1),"")</f>
        <v>0</v>
      </c>
      <c r="Z255" s="46" t="n">
        <f aca="false">IF(ISNUMBER(Z252),ROUND(Z252+Z251-Z253,1),"")</f>
        <v>0</v>
      </c>
      <c r="AA255" s="46" t="n">
        <f aca="false">IF(ISNUMBER(AA252),ROUND(AA252+AA251-AA253,1),"")</f>
        <v>0</v>
      </c>
      <c r="AB255" s="46" t="n">
        <f aca="false">IF(ISNUMBER(AB252),ROUND(AB252+AB251-AB253,1),"")</f>
        <v>0</v>
      </c>
      <c r="AC255" s="46" t="n">
        <f aca="false">IF(ISNUMBER(AC252),ROUND(AC252+AC251-AC253,1),"")</f>
        <v>0</v>
      </c>
      <c r="AD255" s="46" t="n">
        <f aca="false">IF(ISNUMBER(AD252),ROUND(AD252+AD251-AD253,1),"")</f>
        <v>0</v>
      </c>
      <c r="AE255" s="46" t="n">
        <f aca="false">IF(ISNUMBER(AE252),ROUND(AE252+AE251-AE253,1),"")</f>
        <v>0</v>
      </c>
      <c r="AF255" s="46" t="n">
        <f aca="false">IF(ISNUMBER(AF252),ROUND(AF252+AF251-AF253,1),"")</f>
        <v>0</v>
      </c>
      <c r="AG255" s="46" t="n">
        <f aca="false">IF(ISNUMBER(AG252),ROUND(AG252+AG251-AG253,1),"")</f>
        <v>0</v>
      </c>
      <c r="AH255" s="46" t="n">
        <f aca="false">IF(ISNUMBER(AH252),ROUND(AH252+AH251-AH253,1),"")</f>
        <v>0</v>
      </c>
      <c r="AI255" s="46" t="n">
        <f aca="false">IF(ISNUMBER(AI252),ROUND(AI252+AI251-AI253,1),"")</f>
        <v>0</v>
      </c>
      <c r="AJ255" s="46" t="n">
        <f aca="false">IF(ISNUMBER(AJ252),ROUND(AJ252+AJ251-AJ253,1),"")</f>
        <v>0</v>
      </c>
      <c r="AK255" s="46" t="n">
        <f aca="false">IF(ISNUMBER(AK252),ROUND(AK252+AK251-AK253,1),"")</f>
        <v>0</v>
      </c>
      <c r="AL255" s="46" t="n">
        <f aca="false">IF(ISNUMBER(AL252),ROUND(AL252+AL251-AL253,1),"")</f>
        <v>0</v>
      </c>
      <c r="AM255" s="46" t="n">
        <f aca="false">IF(ISNUMBER(AM252),ROUND(AM252+AM251-AM253,1),"")</f>
        <v>0</v>
      </c>
      <c r="AN255" s="46" t="n">
        <f aca="false">IF(ISNUMBER(AN252),ROUND(AN252+AN251-AN253,1),"")</f>
        <v>0</v>
      </c>
      <c r="AO255" s="46" t="n">
        <f aca="false">IF(ISNUMBER(AO252),ROUND(AO252+AO251-AO253,1),"")</f>
        <v>0</v>
      </c>
      <c r="AP255" s="46" t="n">
        <f aca="false">IF(ISNUMBER(AP252),ROUND(AP252+AP251-AP253,1),"")</f>
        <v>0</v>
      </c>
      <c r="AQ255" s="46" t="n">
        <f aca="false">IF(ISNUMBER(AQ252),ROUND(AQ252+AQ251-AQ253,1),"")</f>
        <v>0</v>
      </c>
      <c r="AR255" s="46" t="n">
        <f aca="false">IF(ISNUMBER(AR252),ROUND(AR252+AR251-AR253,1),"")</f>
        <v>0</v>
      </c>
      <c r="AS255" s="46" t="n">
        <f aca="false">IF(ISNUMBER(AS252),ROUND(AS252+AS251-AS253,1),"")</f>
        <v>0</v>
      </c>
      <c r="AT255" s="46" t="n">
        <f aca="false">IF(ISNUMBER(AT252),ROUND(AT252+AT251-AT253,1),"")</f>
        <v>0</v>
      </c>
      <c r="AU255" s="46" t="n">
        <f aca="false">IF(ISNUMBER(AU252),ROUND(AU252+AU251-AU253,1),"")</f>
        <v>0</v>
      </c>
      <c r="AV255" s="46" t="n">
        <f aca="false">IF(ISNUMBER(AV252),ROUND(AV252+AV251-AV253,1),"")</f>
        <v>0</v>
      </c>
      <c r="AW255" s="46" t="n">
        <f aca="false">IF(ISNUMBER(AW252),ROUND(AW252+AW251-AW253,1),"")</f>
        <v>0</v>
      </c>
      <c r="AX255" s="46" t="n">
        <f aca="false">IF(ISNUMBER(AX252),ROUND(AX252+AX251-AX253,1),"")</f>
        <v>0</v>
      </c>
      <c r="AY255" s="46" t="n">
        <f aca="false">IF(ISNUMBER(AY252),ROUND(AY252+AY251-AY253,1),"")</f>
        <v>0</v>
      </c>
      <c r="AZ255" s="46" t="n">
        <f aca="false">IF(ISNUMBER(AZ252),ROUND(AZ252+AZ251-AZ253,1),"")</f>
        <v>0</v>
      </c>
      <c r="BA255" s="46" t="n">
        <f aca="false">IF(ISNUMBER(BA252),ROUND(BA252+BA251-BA253,1),"")</f>
        <v>0</v>
      </c>
      <c r="BB255" s="46" t="n">
        <f aca="false">IF(ISNUMBER(BB252),ROUND(BB252+BB251-BB253,1),"")</f>
        <v>0</v>
      </c>
      <c r="BC255" s="46" t="n">
        <f aca="false">IF(ISNUMBER(BC252),ROUND(BC252+BC251-BC253,1),"")</f>
        <v>0</v>
      </c>
      <c r="BD255" s="46" t="n">
        <f aca="false">IF(ISNUMBER(BD252),ROUND(BD252+BD251-BD253,1),"")</f>
        <v>0</v>
      </c>
      <c r="BE255" s="46" t="n">
        <f aca="false">IF(ISNUMBER(BE252),ROUND(BE252+BE251-BE253,1),"")</f>
        <v>0</v>
      </c>
      <c r="BF255" s="46" t="n">
        <f aca="false">IF(ISNUMBER(BF252),ROUND(BF252+BF251-BF253,1),"")</f>
        <v>0</v>
      </c>
      <c r="BG255" s="46" t="n">
        <f aca="false">IF(ISNUMBER(BG252),ROUND(BG252+BG251-BG253,1),"")</f>
        <v>0</v>
      </c>
      <c r="BH255" s="46" t="n">
        <f aca="false">IF(ISNUMBER(BH252),ROUND(BH252+BH251-BH253,1),"")</f>
        <v>0</v>
      </c>
      <c r="BI255" s="46" t="n">
        <f aca="false">IF(ISNUMBER(BI252),ROUND(BI252+BI251-BI253,1),"")</f>
        <v>0</v>
      </c>
      <c r="BJ255" s="46" t="n">
        <f aca="false">IF(ISNUMBER(BJ252),ROUND(BJ252+BJ251-BJ253,1),"")</f>
        <v>0</v>
      </c>
      <c r="BK255" s="46" t="n">
        <f aca="false">IF(ISNUMBER(BK252),ROUND(BK252+BK251-BK253,1),"")</f>
        <v>0</v>
      </c>
      <c r="BL255" s="46" t="n">
        <f aca="false">IF(ISNUMBER(BL252),ROUND(BL252+BL251-BL253,1),"")</f>
        <v>0</v>
      </c>
      <c r="BM255" s="46" t="n">
        <f aca="false">IF(ISNUMBER(BM252),ROUND(BM252+BM251-BM253,1),"")</f>
        <v>0</v>
      </c>
      <c r="BN255" s="46" t="n">
        <f aca="false">IF(ISNUMBER(BN252),ROUND(BN252+BN251-BN253,1),"")</f>
        <v>0</v>
      </c>
      <c r="BO255" s="46" t="n">
        <f aca="false">IF(ISNUMBER(BO252),ROUND(BO252+BO251-BO253,1),"")</f>
        <v>0</v>
      </c>
      <c r="BP255" s="46" t="n">
        <f aca="false">IF(ISNUMBER(BP252),ROUND(BP252+BP251-BP253,1),"")</f>
        <v>0</v>
      </c>
      <c r="BQ255" s="46" t="n">
        <f aca="false">IF(ISNUMBER(BQ252),ROUND(BQ252+BQ251-BQ253,1),"")</f>
        <v>0</v>
      </c>
      <c r="BR255" s="46" t="n">
        <f aca="false">IF(ISNUMBER(BR252),ROUND(BR252+BR251-BR253,1),"")</f>
        <v>0</v>
      </c>
      <c r="BS255" s="46" t="n">
        <f aca="false">IF(ISNUMBER(BS252),ROUND(BS252+BS251-BS253,1),"")</f>
        <v>0</v>
      </c>
      <c r="BT255" s="46" t="n">
        <f aca="false">IF(ISNUMBER(BT252),ROUND(BT252+BT251-BT253,1),"")</f>
        <v>0</v>
      </c>
      <c r="BU255" s="46" t="n">
        <f aca="false">IF(ISNUMBER(BU252),ROUND(BU252+BU251-BU253,1),"")</f>
        <v>0</v>
      </c>
      <c r="BV255" s="46" t="n">
        <f aca="false">IF(ISNUMBER(BV252),ROUND(BV252+BV251-BV253,1),"")</f>
        <v>0</v>
      </c>
      <c r="BW255" s="46" t="n">
        <f aca="false">IF(ISNUMBER(BW252),ROUND(BW252+BW251-BW253,1),"")</f>
        <v>0</v>
      </c>
      <c r="BX255" s="46" t="n">
        <f aca="false">IF(ISNUMBER(BX252),ROUND(BX252+BX251-BX253,1),"")</f>
        <v>0</v>
      </c>
      <c r="CA255" s="25" t="n">
        <f aca="false">IF(ISNUMBER(CA252),ROUND(CA252+CA251-CA253,1),"")</f>
        <v>0</v>
      </c>
      <c r="CB255" s="25" t="n">
        <f aca="false">IF(ISNUMBER(CB252),ROUND(CB252+CB251-CB253,1),"")</f>
        <v>0</v>
      </c>
      <c r="CC255" s="25" t="n">
        <f aca="false">IF(ISNUMBER(CC252),ROUND(CC252+CC251-CC253,1),"")</f>
        <v>0</v>
      </c>
      <c r="CD255" s="25" t="n">
        <f aca="false">IF(ISNUMBER(CD252),ROUND(CD252+CD251-CD253,1),"")</f>
        <v>0</v>
      </c>
      <c r="CE255" s="25" t="n">
        <f aca="false">IF(ISNUMBER(CE252),ROUND(CE252+CE251-CE253,1),"")</f>
        <v>0</v>
      </c>
    </row>
    <row r="256" customFormat="false" ht="15" hidden="false" customHeight="false" outlineLevel="0" collapsed="false">
      <c r="B256" s="49" t="s">
        <v>448</v>
      </c>
    </row>
    <row r="257" customFormat="false" ht="15" hidden="false" customHeight="false" outlineLevel="0" collapsed="false">
      <c r="B257" s="15" t="s">
        <v>449</v>
      </c>
      <c r="C257" s="31" t="n">
        <f aca="false">C199</f>
        <v>103.669</v>
      </c>
      <c r="D257" s="31" t="n">
        <f aca="false">D199</f>
        <v>84.703</v>
      </c>
      <c r="E257" s="31" t="n">
        <f aca="false">E199</f>
        <v>76.164</v>
      </c>
      <c r="F257" s="31" t="n">
        <f aca="false">F199</f>
        <v>120.936</v>
      </c>
      <c r="G257" s="31" t="n">
        <f aca="false">G199</f>
        <v>118.73</v>
      </c>
      <c r="H257" s="31" t="n">
        <f aca="false">H199</f>
        <v>117.531</v>
      </c>
      <c r="I257" s="31" t="n">
        <f aca="false">I199</f>
        <v>69.52</v>
      </c>
      <c r="J257" s="31" t="n">
        <f aca="false">J199</f>
        <v>-16.09</v>
      </c>
      <c r="K257" s="31" t="n">
        <f aca="false">K199</f>
        <v>44.765</v>
      </c>
      <c r="L257" s="31" t="n">
        <f aca="false">L199</f>
        <v>47.835</v>
      </c>
      <c r="M257" s="31" t="n">
        <f aca="false">M199</f>
        <v>89.075</v>
      </c>
      <c r="N257" s="31" t="n">
        <f aca="false">N199</f>
        <v>165.585</v>
      </c>
      <c r="O257" s="31" t="n">
        <f aca="false">O199</f>
        <v>-32.958</v>
      </c>
      <c r="P257" s="31" t="n">
        <f aca="false">P199</f>
        <v>81.379</v>
      </c>
      <c r="Q257" s="31" t="n">
        <f aca="false">Q199</f>
        <v>50.272</v>
      </c>
      <c r="R257" s="31" t="n">
        <f aca="false">R199</f>
        <v>165.958</v>
      </c>
      <c r="S257" s="31" t="n">
        <f aca="false">S199</f>
        <v>264.651</v>
      </c>
      <c r="T257" s="31" t="n">
        <f aca="false">T199</f>
        <v>-180.187</v>
      </c>
      <c r="U257" s="31" t="n">
        <f aca="false">U199</f>
        <v>53.228</v>
      </c>
      <c r="V257" s="31" t="n">
        <f aca="false">V199</f>
        <v>98.42</v>
      </c>
      <c r="W257" s="31" t="n">
        <f aca="false">W199</f>
        <v>155.506</v>
      </c>
      <c r="X257" s="31" t="n">
        <f aca="false">X199</f>
        <v>126.967</v>
      </c>
      <c r="Y257" s="31" t="n">
        <f aca="false">Y199</f>
        <v>61.435</v>
      </c>
      <c r="Z257" s="31" t="n">
        <f aca="false">Z199</f>
        <v>79.463</v>
      </c>
      <c r="AA257" s="31" t="n">
        <f aca="false">AA199</f>
        <v>100.187</v>
      </c>
      <c r="AB257" s="31" t="n">
        <f aca="false">AB199</f>
        <v>135.336</v>
      </c>
      <c r="AC257" s="31" t="n">
        <f aca="false">AC199</f>
        <v>376.421</v>
      </c>
      <c r="AD257" s="31" t="n">
        <f aca="false">AD199</f>
        <v>-35.315</v>
      </c>
      <c r="AE257" s="31" t="n">
        <f aca="false">AE199</f>
        <v>72.959</v>
      </c>
      <c r="AF257" s="31" t="n">
        <f aca="false">AF199</f>
        <v>89.789</v>
      </c>
      <c r="AG257" s="31" t="n">
        <f aca="false">AG199</f>
        <v>208.574</v>
      </c>
      <c r="AH257" s="31" t="n">
        <f aca="false">AH199</f>
        <v>336.007</v>
      </c>
      <c r="AI257" s="31" t="n">
        <f aca="false">AI199</f>
        <v>-80.233</v>
      </c>
      <c r="AJ257" s="31" t="n">
        <f aca="false">AJ199</f>
        <v>87.066</v>
      </c>
      <c r="AK257" s="31" t="n">
        <f aca="false">AK199</f>
        <v>61.855</v>
      </c>
      <c r="AL257" s="31" t="n">
        <f aca="false">AL199</f>
        <v>214.168</v>
      </c>
      <c r="AM257" s="31" t="n">
        <f aca="false">AM199</f>
        <v>282.856</v>
      </c>
      <c r="AN257" s="31" t="n">
        <f aca="false">AN199</f>
        <v>-68.892</v>
      </c>
      <c r="AO257" s="31" t="n">
        <f aca="false">AO199</f>
        <v>75.807</v>
      </c>
      <c r="AP257" s="31" t="n">
        <f aca="false">AP199</f>
        <v>102.181</v>
      </c>
      <c r="AQ257" s="31" t="n">
        <f aca="false">AQ199</f>
        <v>242.556</v>
      </c>
      <c r="AR257" s="31" t="n">
        <f aca="false">AR199</f>
        <v>351.652</v>
      </c>
      <c r="AS257" s="31" t="n">
        <f aca="false">AS199</f>
        <v>-211.213</v>
      </c>
      <c r="AT257" s="31" t="n">
        <f aca="false">AT199</f>
        <v>129.68</v>
      </c>
      <c r="AU257" s="31" t="n">
        <f aca="false">AU199</f>
        <v>48.976</v>
      </c>
      <c r="AV257" s="31" t="n">
        <f aca="false">AV199</f>
        <v>246.238</v>
      </c>
      <c r="AW257" s="31" t="n">
        <f aca="false">AW199</f>
        <v>213.681</v>
      </c>
      <c r="AX257" s="31" t="n">
        <f aca="false">AX199</f>
        <v>-35.14</v>
      </c>
      <c r="AY257" s="31" t="n">
        <f aca="false">AY199</f>
        <v>65.845</v>
      </c>
      <c r="AZ257" s="31" t="n">
        <f aca="false">AZ199</f>
        <v>97.198</v>
      </c>
      <c r="BA257" s="31" t="n">
        <f aca="false">BA199</f>
        <v>218.657</v>
      </c>
      <c r="BB257" s="31" t="n">
        <f aca="false">BB199</f>
        <v>346.56</v>
      </c>
      <c r="BC257" s="31" t="n">
        <f aca="false">BC199</f>
        <v>-135.211</v>
      </c>
      <c r="BD257" s="31" t="n">
        <f aca="false">BD199</f>
        <v>22.448</v>
      </c>
      <c r="BE257" s="31" t="n">
        <f aca="false">BE199</f>
        <v>86.361</v>
      </c>
      <c r="BF257" s="31" t="n">
        <f aca="false">BF199</f>
        <v>282.961</v>
      </c>
      <c r="BG257" s="31" t="n">
        <f aca="false">BG199</f>
        <v>256.559</v>
      </c>
      <c r="BH257" s="31" t="n">
        <f aca="false">BH199</f>
        <v>-102.26</v>
      </c>
      <c r="BI257" s="31" t="n">
        <f aca="false">BI199</f>
        <v>98.949</v>
      </c>
      <c r="BJ257" s="31" t="n">
        <f aca="false">BJ199</f>
        <v>136.991</v>
      </c>
      <c r="BK257" s="31" t="n">
        <f aca="false">BK199</f>
        <v>269.743</v>
      </c>
      <c r="BL257" s="31" t="n">
        <f aca="false">BL199</f>
        <v>403.423</v>
      </c>
      <c r="BM257" s="31" t="n">
        <f aca="false">BM199</f>
        <v>-57.688</v>
      </c>
      <c r="BN257" s="31" t="n">
        <f aca="false">BN199</f>
        <v>100.271</v>
      </c>
      <c r="BO257" s="31" t="n">
        <f aca="false">BO199</f>
        <v>162.69</v>
      </c>
      <c r="BP257" s="31" t="n">
        <f aca="false">BP199</f>
        <v>278.028</v>
      </c>
      <c r="BQ257" s="31" t="n">
        <f aca="false">BQ199</f>
        <v>483.301</v>
      </c>
      <c r="BR257" s="31" t="n">
        <f aca="false">BR199</f>
        <v>-54.538</v>
      </c>
      <c r="BS257" s="31" t="n">
        <f aca="false">BS199</f>
        <v>117.204</v>
      </c>
      <c r="BT257" s="31" t="n">
        <f aca="false">BT199</f>
        <v>175.938</v>
      </c>
      <c r="BU257" s="31" t="n">
        <f aca="false">BU199</f>
        <v>315.106</v>
      </c>
      <c r="BV257" s="31" t="n">
        <f aca="false">BV199</f>
        <v>553.71</v>
      </c>
      <c r="BW257" s="31" t="n">
        <f aca="false">BW199</f>
        <v>-17.487</v>
      </c>
      <c r="BX257" s="31" t="n">
        <f aca="false">BX199</f>
        <v>160.26</v>
      </c>
      <c r="CA257" s="17" t="n">
        <f aca="false">CA199</f>
        <v>595</v>
      </c>
      <c r="CB257" s="17" t="n">
        <f aca="false">CB199</f>
        <v>623.110681550799</v>
      </c>
      <c r="CC257" s="17" t="n">
        <f aca="false">CC199</f>
        <v>682.265682186061</v>
      </c>
      <c r="CD257" s="17" t="n">
        <f aca="false">CD199</f>
        <v>755.040001387541</v>
      </c>
      <c r="CE257" s="17" t="n">
        <f aca="false">CE199</f>
        <v>828.943514171495</v>
      </c>
    </row>
    <row r="258" customFormat="false" ht="15" hidden="false" customHeight="false" outlineLevel="0" collapsed="false">
      <c r="B258" s="20" t="s">
        <v>450</v>
      </c>
      <c r="D258" s="27" t="n">
        <f aca="false">IF(AND(ISNUMBER(D257),ISNUMBER(C257)),IFERROR(D257/C257-1,""),"")</f>
        <v>-0.182947650695965</v>
      </c>
      <c r="E258" s="27" t="n">
        <f aca="false">IF(AND(ISNUMBER(E257),ISNUMBER(D257)),IFERROR(E257/D257-1,""),"")</f>
        <v>-0.100811069265551</v>
      </c>
      <c r="F258" s="27" t="n">
        <f aca="false">IF(AND(ISNUMBER(F257),ISNUMBER(E257)),IFERROR(F257/E257-1,""),"")</f>
        <v>0.587836773278714</v>
      </c>
      <c r="G258" s="27" t="n">
        <f aca="false">IF(AND(ISNUMBER(G257),ISNUMBER(F257)),IFERROR(G257/F257-1,""),"")</f>
        <v>-0.018241053119005</v>
      </c>
      <c r="H258" s="27" t="n">
        <f aca="false">IF(AND(ISNUMBER(H257),ISNUMBER(G257)),IFERROR(H257/G257-1,""),"")</f>
        <v>-0.0100985429124908</v>
      </c>
      <c r="I258" s="27" t="n">
        <f aca="false">IF(AND(ISNUMBER(I257),ISNUMBER(H257)),IFERROR(I257/H257-1,""),"")</f>
        <v>-0.408496481779275</v>
      </c>
      <c r="N258" s="27" t="n">
        <f aca="false">IF(AND(ISNUMBER(N257),ISNUMBER(I257)),IFERROR(N257/I257-1,""),"")</f>
        <v>1.38183256616801</v>
      </c>
      <c r="O258" s="27" t="n">
        <f aca="false">IF(AND(ISNUMBER(O257),ISNUMBER(J257)),IFERROR(O257/J257-1,""),"")</f>
        <v>1.04835301429459</v>
      </c>
      <c r="P258" s="27" t="n">
        <f aca="false">IF(AND(ISNUMBER(P257),ISNUMBER(K257)),IFERROR(P257/K257-1,""),"")</f>
        <v>0.817915782419301</v>
      </c>
      <c r="Q258" s="27" t="n">
        <f aca="false">IF(AND(ISNUMBER(Q257),ISNUMBER(L257)),IFERROR(Q257/L257-1,""),"")</f>
        <v>0.0509459600710778</v>
      </c>
      <c r="R258" s="27" t="n">
        <f aca="false">IF(AND(ISNUMBER(R257),ISNUMBER(M257)),IFERROR(R257/M257-1,""),"")</f>
        <v>0.863126578725793</v>
      </c>
      <c r="S258" s="27" t="n">
        <f aca="false">IF(AND(ISNUMBER(S257),ISNUMBER(N257)),IFERROR(S257/N257-1,""),"")</f>
        <v>0.598278829604131</v>
      </c>
      <c r="T258" s="27" t="n">
        <f aca="false">IF(AND(ISNUMBER(T257),ISNUMBER(O257)),IFERROR(T257/O257-1,""),"")</f>
        <v>4.46717033800595</v>
      </c>
      <c r="U258" s="27" t="n">
        <f aca="false">IF(AND(ISNUMBER(U257),ISNUMBER(P257)),IFERROR(U257/P257-1,""),"")</f>
        <v>-0.345924624288822</v>
      </c>
      <c r="V258" s="27" t="n">
        <f aca="false">IF(AND(ISNUMBER(V257),ISNUMBER(Q257)),IFERROR(V257/Q257-1,""),"")</f>
        <v>0.95774984086569</v>
      </c>
      <c r="W258" s="27" t="n">
        <f aca="false">IF(AND(ISNUMBER(W257),ISNUMBER(R257)),IFERROR(W257/R257-1,""),"")</f>
        <v>-0.0629797900673664</v>
      </c>
      <c r="X258" s="27" t="n">
        <f aca="false">IF(AND(ISNUMBER(X257),ISNUMBER(S257)),IFERROR(X257/S257-1,""),"")</f>
        <v>-0.520247420187341</v>
      </c>
      <c r="Y258" s="27" t="n">
        <f aca="false">IF(AND(ISNUMBER(Y257),ISNUMBER(T257)),IFERROR(Y257/T257-1,""),"")</f>
        <v>-1.34095134499159</v>
      </c>
      <c r="Z258" s="27" t="n">
        <f aca="false">IF(AND(ISNUMBER(Z257),ISNUMBER(U257)),IFERROR(Z257/U257-1,""),"")</f>
        <v>0.492879687382581</v>
      </c>
      <c r="AA258" s="27" t="n">
        <f aca="false">IF(AND(ISNUMBER(AA257),ISNUMBER(V257)),IFERROR(AA257/V257-1,""),"")</f>
        <v>0.017953667953668</v>
      </c>
      <c r="AB258" s="27" t="n">
        <f aca="false">IF(AND(ISNUMBER(AB257),ISNUMBER(W257)),IFERROR(AB257/W257-1,""),"")</f>
        <v>-0.129705606214551</v>
      </c>
      <c r="AC258" s="27" t="n">
        <f aca="false">IF(AND(ISNUMBER(AC257),ISNUMBER(X257)),IFERROR(AC257/X257-1,""),"")</f>
        <v>1.96471524096813</v>
      </c>
      <c r="AD258" s="27" t="n">
        <f aca="false">IF(AND(ISNUMBER(AD257),ISNUMBER(Y257)),IFERROR(AD257/Y257-1,""),"")</f>
        <v>-1.57483519166599</v>
      </c>
      <c r="AE258" s="27" t="n">
        <f aca="false">IF(AND(ISNUMBER(AE257),ISNUMBER(Z257)),IFERROR(AE257/Z257-1,""),"")</f>
        <v>-0.0818494141927688</v>
      </c>
      <c r="AF258" s="27" t="n">
        <f aca="false">IF(AND(ISNUMBER(AF257),ISNUMBER(AA257)),IFERROR(AF257/AA257-1,""),"")</f>
        <v>-0.103785920328985</v>
      </c>
      <c r="AG258" s="27" t="n">
        <f aca="false">IF(AND(ISNUMBER(AG257),ISNUMBER(AB257)),IFERROR(AG257/AB257-1,""),"")</f>
        <v>0.541156824496069</v>
      </c>
      <c r="AH258" s="27" t="n">
        <f aca="false">IF(AND(ISNUMBER(AH257),ISNUMBER(AC257)),IFERROR(AH257/AC257-1,""),"")</f>
        <v>-0.107363829329394</v>
      </c>
      <c r="AI258" s="27" t="n">
        <f aca="false">IF(AND(ISNUMBER(AI257),ISNUMBER(AD257)),IFERROR(AI257/AD257-1,""),"")</f>
        <v>1.27192411156732</v>
      </c>
      <c r="AJ258" s="27" t="n">
        <f aca="false">IF(AND(ISNUMBER(AJ257),ISNUMBER(AE257)),IFERROR(AJ257/AE257-1,""),"")</f>
        <v>0.193355172082951</v>
      </c>
      <c r="AK258" s="27" t="n">
        <f aca="false">IF(AND(ISNUMBER(AK257),ISNUMBER(AF257)),IFERROR(AK257/AF257-1,""),"")</f>
        <v>-0.311107151210059</v>
      </c>
      <c r="AL258" s="27" t="n">
        <f aca="false">IF(AND(ISNUMBER(AL257),ISNUMBER(AG257)),IFERROR(AL257/AG257-1,""),"")</f>
        <v>0.0268202172849923</v>
      </c>
      <c r="AM258" s="27" t="n">
        <f aca="false">IF(AND(ISNUMBER(AM257),ISNUMBER(AH257)),IFERROR(AM257/AH257-1,""),"")</f>
        <v>-0.15818420449574</v>
      </c>
      <c r="AN258" s="27" t="n">
        <f aca="false">IF(AND(ISNUMBER(AN257),ISNUMBER(AI257)),IFERROR(AN257/AI257-1,""),"")</f>
        <v>-0.141350815749131</v>
      </c>
      <c r="AO258" s="27" t="n">
        <f aca="false">IF(AND(ISNUMBER(AO257),ISNUMBER(AJ257)),IFERROR(AO257/AJ257-1,""),"")</f>
        <v>-0.129315691544346</v>
      </c>
      <c r="AP258" s="27" t="n">
        <f aca="false">IF(AND(ISNUMBER(AP257),ISNUMBER(AK257)),IFERROR(AP257/AK257-1,""),"")</f>
        <v>0.651944062727346</v>
      </c>
      <c r="AQ258" s="27" t="n">
        <f aca="false">IF(AND(ISNUMBER(AQ257),ISNUMBER(AL257)),IFERROR(AQ257/AL257-1,""),"")</f>
        <v>0.13255014754772</v>
      </c>
      <c r="AR258" s="27" t="n">
        <f aca="false">IF(AND(ISNUMBER(AR257),ISNUMBER(AM257)),IFERROR(AR257/AM257-1,""),"")</f>
        <v>0.243219164521877</v>
      </c>
      <c r="AS258" s="27" t="n">
        <f aca="false">IF(AND(ISNUMBER(AS257),ISNUMBER(AN257)),IFERROR(AS257/AN257-1,""),"")</f>
        <v>2.06585670324566</v>
      </c>
      <c r="AT258" s="27" t="n">
        <f aca="false">IF(AND(ISNUMBER(AT257),ISNUMBER(AO257)),IFERROR(AT257/AO257-1,""),"")</f>
        <v>0.710659965438548</v>
      </c>
      <c r="AU258" s="27" t="n">
        <f aca="false">IF(AND(ISNUMBER(AU257),ISNUMBER(AP257)),IFERROR(AU257/AP257-1,""),"")</f>
        <v>-0.520693671034733</v>
      </c>
      <c r="AV258" s="27" t="n">
        <f aca="false">IF(AND(ISNUMBER(AV257),ISNUMBER(AQ257)),IFERROR(AV257/AQ257-1,""),"")</f>
        <v>0.0151799996701794</v>
      </c>
      <c r="AW258" s="27" t="n">
        <f aca="false">IF(AND(ISNUMBER(AW257),ISNUMBER(AR257)),IFERROR(AW257/AR257-1,""),"")</f>
        <v>-0.392350960608784</v>
      </c>
      <c r="AX258" s="27" t="n">
        <f aca="false">IF(AND(ISNUMBER(AX257),ISNUMBER(AS257)),IFERROR(AX257/AS257-1,""),"")</f>
        <v>-0.833627664963804</v>
      </c>
      <c r="AY258" s="27" t="n">
        <f aca="false">IF(AND(ISNUMBER(AY257),ISNUMBER(AT257)),IFERROR(AY257/AT257-1,""),"")</f>
        <v>-0.492250154225786</v>
      </c>
      <c r="AZ258" s="27" t="n">
        <f aca="false">IF(AND(ISNUMBER(AZ257),ISNUMBER(AU257)),IFERROR(AZ257/AU257-1,""),"")</f>
        <v>0.984604704344985</v>
      </c>
      <c r="BA258" s="27" t="n">
        <f aca="false">IF(AND(ISNUMBER(BA257),ISNUMBER(AV257)),IFERROR(BA257/AV257-1,""),"")</f>
        <v>-0.112009519245608</v>
      </c>
      <c r="BB258" s="27" t="n">
        <f aca="false">IF(AND(ISNUMBER(BB257),ISNUMBER(AW257)),IFERROR(BB257/AW257-1,""),"")</f>
        <v>0.621856880115686</v>
      </c>
      <c r="BC258" s="27" t="n">
        <f aca="false">IF(AND(ISNUMBER(BC257),ISNUMBER(AX257)),IFERROR(BC257/AX257-1,""),"")</f>
        <v>2.84778030734206</v>
      </c>
      <c r="BD258" s="27" t="n">
        <f aca="false">IF(AND(ISNUMBER(BD257),ISNUMBER(AY257)),IFERROR(BD257/AY257-1,""),"")</f>
        <v>-0.659078138051485</v>
      </c>
      <c r="BE258" s="27" t="n">
        <f aca="false">IF(AND(ISNUMBER(BE257),ISNUMBER(AZ257)),IFERROR(BE257/AZ257-1,""),"")</f>
        <v>-0.111494063663861</v>
      </c>
      <c r="BF258" s="27" t="n">
        <f aca="false">IF(AND(ISNUMBER(BF257),ISNUMBER(BA257)),IFERROR(BF257/BA257-1,""),"")</f>
        <v>0.294086171492337</v>
      </c>
      <c r="BG258" s="27" t="n">
        <f aca="false">IF(AND(ISNUMBER(BG257),ISNUMBER(BB257)),IFERROR(BG257/BB257-1,""),"")</f>
        <v>-0.259698176361957</v>
      </c>
      <c r="BH258" s="27" t="n">
        <f aca="false">IF(AND(ISNUMBER(BH257),ISNUMBER(BC257)),IFERROR(BH257/BC257-1,""),"")</f>
        <v>-0.243700586490744</v>
      </c>
      <c r="BI258" s="27" t="n">
        <f aca="false">IF(AND(ISNUMBER(BI257),ISNUMBER(BD257)),IFERROR(BI257/BD257-1,""),"")</f>
        <v>3.4079205274412</v>
      </c>
      <c r="BJ258" s="27" t="n">
        <f aca="false">IF(AND(ISNUMBER(BJ257),ISNUMBER(BE257)),IFERROR(BJ257/BE257-1,""),"")</f>
        <v>0.586260001621102</v>
      </c>
      <c r="BK258" s="27" t="n">
        <f aca="false">IF(AND(ISNUMBER(BK257),ISNUMBER(BF257)),IFERROR(BK257/BF257-1,""),"")</f>
        <v>-0.0467131512823322</v>
      </c>
      <c r="BL258" s="27" t="n">
        <f aca="false">IF(AND(ISNUMBER(BL257),ISNUMBER(BG257)),IFERROR(BL257/BG257-1,""),"")</f>
        <v>0.572437528989433</v>
      </c>
      <c r="BM258" s="27" t="n">
        <f aca="false">IF(AND(ISNUMBER(BM257),ISNUMBER(BH257)),IFERROR(BM257/BH257-1,""),"")</f>
        <v>-0.43586935263055</v>
      </c>
      <c r="BN258" s="27" t="n">
        <f aca="false">IF(AND(ISNUMBER(BN257),ISNUMBER(BI257)),IFERROR(BN257/BI257-1,""),"")</f>
        <v>0.0133604179931075</v>
      </c>
      <c r="BO258" s="27" t="n">
        <f aca="false">IF(AND(ISNUMBER(BO257),ISNUMBER(BJ257)),IFERROR(BO257/BJ257-1,""),"")</f>
        <v>0.187596265448095</v>
      </c>
      <c r="BP258" s="27" t="n">
        <f aca="false">IF(AND(ISNUMBER(BP257),ISNUMBER(BK257)),IFERROR(BP257/BK257-1,""),"")</f>
        <v>0.0307144207634673</v>
      </c>
      <c r="BQ258" s="27" t="n">
        <f aca="false">IF(AND(ISNUMBER(BQ257),ISNUMBER(BL257)),IFERROR(BQ257/BL257-1,""),"")</f>
        <v>0.198000609781792</v>
      </c>
      <c r="BR258" s="27" t="n">
        <f aca="false">IF(AND(ISNUMBER(BR257),ISNUMBER(BM257)),IFERROR(BR257/BM257-1,""),"")</f>
        <v>-0.0546040771044239</v>
      </c>
      <c r="BS258" s="27" t="n">
        <f aca="false">IF(AND(ISNUMBER(BS257),ISNUMBER(BN257)),IFERROR(BS257/BN257-1,""),"")</f>
        <v>0.168872355915469</v>
      </c>
      <c r="BT258" s="27" t="n">
        <f aca="false">IF(AND(ISNUMBER(BT257),ISNUMBER(BO257)),IFERROR(BT257/BO257-1,""),"")</f>
        <v>0.0814309422828692</v>
      </c>
      <c r="BU258" s="27" t="n">
        <f aca="false">IF(AND(ISNUMBER(BU257),ISNUMBER(BP257)),IFERROR(BU257/BP257-1,""),"")</f>
        <v>0.133360668709627</v>
      </c>
      <c r="BV258" s="27" t="n">
        <f aca="false">IF(AND(ISNUMBER(BV257),ISNUMBER(BQ257)),IFERROR(BV257/BQ257-1,""),"")</f>
        <v>0.145683538829839</v>
      </c>
      <c r="BW258" s="27" t="n">
        <f aca="false">IF(AND(ISNUMBER(BW257),ISNUMBER(BR257)),IFERROR(BW257/BR257-1,""),"")</f>
        <v>-0.679361179361179</v>
      </c>
      <c r="BX258" s="27" t="n">
        <f aca="false">IF(AND(ISNUMBER(BX257),ISNUMBER(BS257)),IFERROR(BX257/BS257-1,""),"")</f>
        <v>0.367359475785809</v>
      </c>
      <c r="CA258" s="22" t="n">
        <f aca="false">IFERROR(CA257/BV257-1,"")</f>
        <v>0.0745697206118725</v>
      </c>
      <c r="CB258" s="22" t="n">
        <f aca="false">IFERROR(CB257/CA257-1,"")</f>
        <v>0.0472448429425185</v>
      </c>
      <c r="CC258" s="22" t="n">
        <f aca="false">IFERROR(CC257/CB257-1,"")</f>
        <v>0.0949349808737627</v>
      </c>
      <c r="CD258" s="22" t="n">
        <f aca="false">IFERROR(CD257/CC257-1,"")</f>
        <v>0.10666565987652</v>
      </c>
      <c r="CE258" s="22" t="n">
        <f aca="false">IFERROR(CE257/CD257-1,"")</f>
        <v>0.0978802615068617</v>
      </c>
    </row>
    <row r="259" customFormat="false" ht="15" hidden="false" customHeight="false" outlineLevel="0" collapsed="false">
      <c r="B259" s="20" t="s">
        <v>451</v>
      </c>
      <c r="C259" s="27" t="n">
        <f aca="false">IF(AND(ISNUMBER(C257),ISNUMBER(C114)),IFERROR(C257/C114,""),"")</f>
        <v>0.0808552788079445</v>
      </c>
      <c r="D259" s="27" t="n">
        <f aca="false">IF(AND(ISNUMBER(D257),ISNUMBER(D114)),IFERROR(D257/D114,""),"")</f>
        <v>0.0532012581934573</v>
      </c>
      <c r="E259" s="27" t="n">
        <f aca="false">IF(AND(ISNUMBER(E257),ISNUMBER(E114)),IFERROR(E257/E114,""),"")</f>
        <v>0.041616488356082</v>
      </c>
      <c r="F259" s="27" t="n">
        <f aca="false">IF(AND(ISNUMBER(F257),ISNUMBER(F114)),IFERROR(F257/F114,""),"")</f>
        <v>0.0668269151070073</v>
      </c>
      <c r="G259" s="27" t="n">
        <f aca="false">IF(AND(ISNUMBER(G257),ISNUMBER(G114)),IFERROR(G257/G114,""),"")</f>
        <v>0.0627161099003029</v>
      </c>
      <c r="H259" s="27" t="n">
        <f aca="false">IF(AND(ISNUMBER(H257),ISNUMBER(H114)),IFERROR(H257/H114,""),"")</f>
        <v>0.0572169239532065</v>
      </c>
      <c r="I259" s="27" t="n">
        <f aca="false">IF(AND(ISNUMBER(I257),ISNUMBER(I114)),IFERROR(I257/I114,""),"")</f>
        <v>0.0331408064771399</v>
      </c>
      <c r="J259" s="27" t="n">
        <f aca="false">IF(AND(ISNUMBER(J257),ISNUMBER(J114)),IFERROR(J257/J114,""),"")</f>
        <v>-0.0271475500559317</v>
      </c>
      <c r="K259" s="27" t="n">
        <f aca="false">IF(AND(ISNUMBER(K257),ISNUMBER(K114)),IFERROR(K257/K114,""),"")</f>
        <v>0.0724719801452839</v>
      </c>
      <c r="L259" s="27" t="n">
        <f aca="false">IF(AND(ISNUMBER(L257),ISNUMBER(L114)),IFERROR(L257/L114,""),"")</f>
        <v>0.0796364707899718</v>
      </c>
      <c r="M259" s="27" t="n">
        <f aca="false">IF(AND(ISNUMBER(M257),ISNUMBER(M114)),IFERROR(M257/M114,""),"")</f>
        <v>0.127299101081846</v>
      </c>
      <c r="N259" s="27" t="n">
        <f aca="false">IF(AND(ISNUMBER(N257),ISNUMBER(N114)),IFERROR(N257/N114,""),"")</f>
        <v>0.0659498616162127</v>
      </c>
      <c r="O259" s="27" t="n">
        <f aca="false">IF(AND(ISNUMBER(O257),ISNUMBER(O114)),IFERROR(O257/O114,""),"")</f>
        <v>-0.051383510130774</v>
      </c>
      <c r="P259" s="27" t="n">
        <f aca="false">IF(AND(ISNUMBER(P257),ISNUMBER(P114)),IFERROR(P257/P114,""),"")</f>
        <v>0.124727949335737</v>
      </c>
      <c r="Q259" s="27" t="n">
        <f aca="false">IF(AND(ISNUMBER(Q257),ISNUMBER(Q114)),IFERROR(Q257/Q114,""),"")</f>
        <v>0.0898526168287774</v>
      </c>
      <c r="R259" s="27" t="n">
        <f aca="false">IF(AND(ISNUMBER(R257),ISNUMBER(R114)),IFERROR(R257/R114,""),"")</f>
        <v>0.289839430234061</v>
      </c>
      <c r="S259" s="27" t="n">
        <f aca="false">IF(AND(ISNUMBER(S257),ISNUMBER(S114)),IFERROR(S257/S114,""),"")</f>
        <v>0.117983118202009</v>
      </c>
      <c r="T259" s="27" t="n">
        <f aca="false">IF(AND(ISNUMBER(T257),ISNUMBER(T114)),IFERROR(T257/T114,""),"")</f>
        <v>-0.329892584936992</v>
      </c>
      <c r="U259" s="27" t="n">
        <f aca="false">IF(AND(ISNUMBER(U257),ISNUMBER(U114)),IFERROR(U257/U114,""),"")</f>
        <v>0.0976313018852005</v>
      </c>
      <c r="V259" s="27" t="n">
        <f aca="false">IF(AND(ISNUMBER(V257),ISNUMBER(V114)),IFERROR(V257/V114,""),"")</f>
        <v>0.187275823684436</v>
      </c>
      <c r="W259" s="27" t="n">
        <f aca="false">IF(AND(ISNUMBER(W257),ISNUMBER(W114)),IFERROR(W257/W114,""),"")</f>
        <v>0.264126843933385</v>
      </c>
      <c r="X259" s="27" t="n">
        <f aca="false">IF(AND(ISNUMBER(X257),ISNUMBER(X114)),IFERROR(X257/X114,""),"")</f>
        <v>0.057563575545534</v>
      </c>
      <c r="Y259" s="27" t="n">
        <f aca="false">IF(AND(ISNUMBER(Y257),ISNUMBER(Y114)),IFERROR(Y257/Y114,""),"")</f>
        <v>0.122014192454127</v>
      </c>
      <c r="Z259" s="27" t="n">
        <f aca="false">IF(AND(ISNUMBER(Z257),ISNUMBER(Z114)),IFERROR(Z257/Z114,""),"")</f>
        <v>0.149151785211519</v>
      </c>
      <c r="AA259" s="27" t="n">
        <f aca="false">IF(AND(ISNUMBER(AA257),ISNUMBER(AA114)),IFERROR(AA257/AA114,""),"")</f>
        <v>0.19757164380428</v>
      </c>
      <c r="AB259" s="27" t="n">
        <f aca="false">IF(AND(ISNUMBER(AB257),ISNUMBER(AB114)),IFERROR(AB257/AB114,""),"")</f>
        <v>0.239293026808542</v>
      </c>
      <c r="AC259" s="27" t="n">
        <f aca="false">IF(AND(ISNUMBER(AC257),ISNUMBER(AC114)),IFERROR(AC257/AC114,""),"")</f>
        <v>0.178489006989797</v>
      </c>
      <c r="AD259" s="27" t="n">
        <f aca="false">IF(AND(ISNUMBER(AD257),ISNUMBER(AD114)),IFERROR(AD257/AD114,""),"")</f>
        <v>-0.0674476834017391</v>
      </c>
      <c r="AE259" s="27" t="n">
        <f aca="false">IF(AND(ISNUMBER(AE257),ISNUMBER(AE114)),IFERROR(AE257/AE114,""),"")</f>
        <v>0.128527463080438</v>
      </c>
      <c r="AF259" s="27" t="n">
        <f aca="false">IF(AND(ISNUMBER(AF257),ISNUMBER(AF114)),IFERROR(AF257/AF114,""),"")</f>
        <v>0.15810678269628</v>
      </c>
      <c r="AG259" s="27" t="n">
        <f aca="false">IF(AND(ISNUMBER(AG257),ISNUMBER(AG114)),IFERROR(AG257/AG114,""),"")</f>
        <v>0.34087347049508</v>
      </c>
      <c r="AH259" s="27" t="n">
        <f aca="false">IF(AND(ISNUMBER(AH257),ISNUMBER(AH114)),IFERROR(AH257/AH114,""),"")</f>
        <v>0.147953832320722</v>
      </c>
      <c r="AI259" s="27" t="n">
        <f aca="false">IF(AND(ISNUMBER(AI257),ISNUMBER(AI114)),IFERROR(AI257/AI114,""),"")</f>
        <v>-0.14653840393628</v>
      </c>
      <c r="AJ259" s="27" t="n">
        <f aca="false">IF(AND(ISNUMBER(AJ257),ISNUMBER(AJ114)),IFERROR(AJ257/AJ114,""),"")</f>
        <v>0.140361568149502</v>
      </c>
      <c r="AK259" s="27" t="n">
        <f aca="false">IF(AND(ISNUMBER(AK257),ISNUMBER(AK114)),IFERROR(AK257/AK114,""),"")</f>
        <v>0.103889363831956</v>
      </c>
      <c r="AL259" s="27" t="n">
        <f aca="false">IF(AND(ISNUMBER(AL257),ISNUMBER(AL114)),IFERROR(AL257/AL114,""),"")</f>
        <v>0.330189231940946</v>
      </c>
      <c r="AM259" s="27" t="n">
        <f aca="false">IF(AND(ISNUMBER(AM257),ISNUMBER(AM114)),IFERROR(AM257/AM114,""),"")</f>
        <v>0.117278337863079</v>
      </c>
      <c r="AN259" s="27" t="n">
        <f aca="false">IF(AND(ISNUMBER(AN257),ISNUMBER(AN114)),IFERROR(AN257/AN114,""),"")</f>
        <v>-0.119125596129438</v>
      </c>
      <c r="AO259" s="27" t="n">
        <f aca="false">IF(AND(ISNUMBER(AO257),ISNUMBER(AO114)),IFERROR(AO257/AO114,""),"")</f>
        <v>0.118634545443164</v>
      </c>
      <c r="AP259" s="27" t="n">
        <f aca="false">IF(AND(ISNUMBER(AP257),ISNUMBER(AP114)),IFERROR(AP257/AP114,""),"")</f>
        <v>0.166180392922196</v>
      </c>
      <c r="AQ259" s="27" t="n">
        <f aca="false">IF(AND(ISNUMBER(AQ257),ISNUMBER(AQ114)),IFERROR(AQ257/AQ114,""),"")</f>
        <v>0.369879119387713</v>
      </c>
      <c r="AR259" s="27" t="n">
        <f aca="false">IF(AND(ISNUMBER(AR257),ISNUMBER(AR114)),IFERROR(AR257/AR114,""),"")</f>
        <v>0.141341443857038</v>
      </c>
      <c r="AS259" s="27" t="n">
        <f aca="false">IF(AND(ISNUMBER(AS257),ISNUMBER(AS114)),IFERROR(AS257/AS114,""),"")</f>
        <v>-0.351300914290847</v>
      </c>
      <c r="AT259" s="27" t="n">
        <f aca="false">IF(AND(ISNUMBER(AT257),ISNUMBER(AT114)),IFERROR(AT257/AT114,""),"")</f>
        <v>0.235761671275364</v>
      </c>
      <c r="AU259" s="27" t="n">
        <f aca="false">IF(AND(ISNUMBER(AU257),ISNUMBER(AU114)),IFERROR(AU257/AU114,""),"")</f>
        <v>0.0856801967761461</v>
      </c>
      <c r="AV259" s="27" t="n">
        <f aca="false">IF(AND(ISNUMBER(AV257),ISNUMBER(AV114)),IFERROR(AV257/AV114,""),"")</f>
        <v>0.36837491248332</v>
      </c>
      <c r="AW259" s="27" t="n">
        <f aca="false">IF(AND(ISNUMBER(AW257),ISNUMBER(AW114)),IFERROR(AW257/AW114,""),"")</f>
        <v>0.0893563263380805</v>
      </c>
      <c r="AX259" s="27" t="n">
        <f aca="false">IF(AND(ISNUMBER(AX257),ISNUMBER(AX114)),IFERROR(AX257/AX114,""),"")</f>
        <v>-0.0588551550181808</v>
      </c>
      <c r="AY259" s="27" t="n">
        <f aca="false">IF(AND(ISNUMBER(AY257),ISNUMBER(AY114)),IFERROR(AY257/AY114,""),"")</f>
        <v>0.105946145986693</v>
      </c>
      <c r="AZ259" s="27" t="n">
        <f aca="false">IF(AND(ISNUMBER(AZ257),ISNUMBER(AZ114)),IFERROR(AZ257/AZ114,""),"")</f>
        <v>0.156614605740398</v>
      </c>
      <c r="BA259" s="27" t="n">
        <f aca="false">IF(AND(ISNUMBER(BA257),ISNUMBER(BA114)),IFERROR(BA257/BA114,""),"")</f>
        <v>0.327940572141617</v>
      </c>
      <c r="BB259" s="27" t="n">
        <f aca="false">IF(AND(ISNUMBER(BB257),ISNUMBER(BB114)),IFERROR(BB257/BB114,""),"")</f>
        <v>0.13829590679073</v>
      </c>
      <c r="BC259" s="27" t="n">
        <f aca="false">IF(AND(ISNUMBER(BC257),ISNUMBER(BC114)),IFERROR(BC257/BC114,""),"")</f>
        <v>-0.241680832086598</v>
      </c>
      <c r="BD259" s="27" t="n">
        <f aca="false">IF(AND(ISNUMBER(BD257),ISNUMBER(BD114)),IFERROR(BD257/BD114,""),"")</f>
        <v>0.0368388317521584</v>
      </c>
      <c r="BE259" s="27" t="n">
        <f aca="false">IF(AND(ISNUMBER(BE257),ISNUMBER(BE114)),IFERROR(BE257/BE114,""),"")</f>
        <v>0.136963120616866</v>
      </c>
      <c r="BF259" s="27" t="n">
        <f aca="false">IF(AND(ISNUMBER(BF257),ISNUMBER(BF114)),IFERROR(BF257/BF114,""),"")</f>
        <v>0.373464525878852</v>
      </c>
      <c r="BG259" s="27" t="n">
        <f aca="false">IF(AND(ISNUMBER(BG257),ISNUMBER(BG114)),IFERROR(BG257/BG114,""),"")</f>
        <v>0.100334959572159</v>
      </c>
      <c r="BH259" s="27" t="n">
        <f aca="false">IF(AND(ISNUMBER(BH257),ISNUMBER(BH114)),IFERROR(BH257/BH114,""),"")</f>
        <v>-0.162096186158577</v>
      </c>
      <c r="BI259" s="27" t="n">
        <f aca="false">IF(AND(ISNUMBER(BI257),ISNUMBER(BI114)),IFERROR(BI257/BI114,""),"")</f>
        <v>0.140473540451678</v>
      </c>
      <c r="BJ259" s="27" t="n">
        <f aca="false">IF(AND(ISNUMBER(BJ257),ISNUMBER(BJ114)),IFERROR(BJ257/BJ114,""),"")</f>
        <v>0.189128928134569</v>
      </c>
      <c r="BK259" s="27" t="n">
        <f aca="false">IF(AND(ISNUMBER(BK257),ISNUMBER(BK114)),IFERROR(BK257/BK114,""),"")</f>
        <v>0.343275756530681</v>
      </c>
      <c r="BL259" s="27" t="n">
        <f aca="false">IF(AND(ISNUMBER(BL257),ISNUMBER(BL114)),IFERROR(BL257/BL114,""),"")</f>
        <v>0.14178211433088</v>
      </c>
      <c r="BM259" s="27" t="n">
        <f aca="false">IF(AND(ISNUMBER(BM257),ISNUMBER(BM114)),IFERROR(BM257/BM114,""),"")</f>
        <v>-0.0808898897453191</v>
      </c>
      <c r="BN259" s="27" t="n">
        <f aca="false">IF(AND(ISNUMBER(BN257),ISNUMBER(BN114)),IFERROR(BN257/BN114,""),"")</f>
        <v>0.127767775114648</v>
      </c>
      <c r="BO259" s="27" t="n">
        <f aca="false">IF(AND(ISNUMBER(BO257),ISNUMBER(BO114)),IFERROR(BO257/BO114,""),"")</f>
        <v>0.203637920287188</v>
      </c>
      <c r="BP259" s="27" t="n">
        <f aca="false">IF(AND(ISNUMBER(BP257),ISNUMBER(BP114)),IFERROR(BP257/BP114,""),"")</f>
        <v>0.337284502367426</v>
      </c>
      <c r="BQ259" s="27" t="n">
        <f aca="false">IF(AND(ISNUMBER(BQ257),ISNUMBER(BQ114)),IFERROR(BQ257/BQ114,""),"")</f>
        <v>0.154845156765579</v>
      </c>
      <c r="BR259" s="27" t="n">
        <f aca="false">IF(AND(ISNUMBER(BR257),ISNUMBER(BR114)),IFERROR(BR257/BR114,""),"")</f>
        <v>-0.067694828367333</v>
      </c>
      <c r="BS259" s="27" t="n">
        <f aca="false">IF(AND(ISNUMBER(BS257),ISNUMBER(BS114)),IFERROR(BS257/BS114,""),"")</f>
        <v>0.133706603876903</v>
      </c>
      <c r="BT259" s="27" t="n">
        <f aca="false">IF(AND(ISNUMBER(BT257),ISNUMBER(BT114)),IFERROR(BT257/BT114,""),"")</f>
        <v>0.202420700208245</v>
      </c>
      <c r="BU259" s="27" t="n">
        <f aca="false">IF(AND(ISNUMBER(BU257),ISNUMBER(BU114)),IFERROR(BU257/BU114,""),"")</f>
        <v>0.332747964320298</v>
      </c>
      <c r="BV259" s="27" t="n">
        <f aca="false">IF(AND(ISNUMBER(BV257),ISNUMBER(BV114)),IFERROR(BV257/BV114,""),"")</f>
        <v>0.1582764783162</v>
      </c>
      <c r="BW259" s="27" t="n">
        <f aca="false">IF(AND(ISNUMBER(BW257),ISNUMBER(BW114)),IFERROR(BW257/BW114,""),"")</f>
        <v>-0.0191389392647592</v>
      </c>
      <c r="BX259" s="27" t="n">
        <f aca="false">IF(AND(ISNUMBER(BX257),ISNUMBER(BX114)),IFERROR(BX257/BX114,""),"")</f>
        <v>0.173440056796045</v>
      </c>
      <c r="CA259" s="22" t="n">
        <f aca="false">IFERROR(CA257/CA114,"")</f>
        <v>0.156971375807941</v>
      </c>
      <c r="CB259" s="22" t="n">
        <f aca="false">IFERROR(CB257/CB114,"")</f>
        <v>0.151542069543946</v>
      </c>
      <c r="CC259" s="22" t="n">
        <f aca="false">IFERROR(CC257/CC114,"")</f>
        <v>0.151846864379476</v>
      </c>
      <c r="CD259" s="22" t="n">
        <f aca="false">IFERROR(CD257/CD114,"")</f>
        <v>0.154817738243135</v>
      </c>
      <c r="CE259" s="22" t="n">
        <f aca="false">IFERROR(CE257/CE114,"")</f>
        <v>0.156885341966027</v>
      </c>
      <c r="CH259" s="32" t="n">
        <f aca="false">IFERROR(AVERAGE(CA259,CB259,CC259,CD259,CE259),"n/m")</f>
        <v>0.154412677988105</v>
      </c>
      <c r="CI259" s="32" t="n">
        <f aca="false">IFERROR(AVERAGE(BB259,BG259,BL259,BQ259,BV259),"n/m")</f>
        <v>0.13870692315511</v>
      </c>
      <c r="CJ259" s="32" t="n">
        <f aca="false">IFERROR(AVERAGE(AC259,AH259,AM259,AR259,AW259,BB259,BG259,BL259,BQ259,BV259),"n/m")</f>
        <v>0.136795356314426</v>
      </c>
      <c r="CK259" s="32" t="n">
        <f aca="false">IFERROR(AVERAGE(C259,D259,E259,F259,G259,H259,I259,N259,S259,X259,AC259,AH259,AM259,AR259,AW259,BB259,BG259,BL259,BQ259,BV259),"n/m")</f>
        <v>0.100251194965158</v>
      </c>
    </row>
    <row r="260" customFormat="false" ht="15" hidden="false" customHeight="false" outlineLevel="0" collapsed="false">
      <c r="B260" s="20" t="s">
        <v>452</v>
      </c>
      <c r="C260" s="50" t="n">
        <f aca="false">IF(AND(ISNUMBER(C257),ISNUMBER(C143)),IFERROR(C257/C143,""),"")</f>
        <v>2.33836333288221</v>
      </c>
      <c r="D260" s="50" t="n">
        <f aca="false">IF(AND(ISNUMBER(D257),ISNUMBER(D143)),IFERROR(D257/D143,""),"")</f>
        <v>1.88316770048245</v>
      </c>
      <c r="E260" s="50" t="n">
        <f aca="false">IF(AND(ISNUMBER(E257),ISNUMBER(E143)),IFERROR(E257/E143,""),"")</f>
        <v>1.67858244809803</v>
      </c>
      <c r="F260" s="50" t="n">
        <f aca="false">IF(AND(ISNUMBER(F257),ISNUMBER(F143)),IFERROR(F257/F143,""),"")</f>
        <v>2.64659153080206</v>
      </c>
      <c r="G260" s="50" t="n">
        <f aca="false">IF(AND(ISNUMBER(G257),ISNUMBER(G143)),IFERROR(G257/G143,""),"")</f>
        <v>2.56314494192824</v>
      </c>
      <c r="H260" s="50" t="n">
        <f aca="false">IF(AND(ISNUMBER(H257),ISNUMBER(H143)),IFERROR(H257/H143,""),"")</f>
        <v>2.49996809393147</v>
      </c>
      <c r="I260" s="50" t="n">
        <f aca="false">IF(AND(ISNUMBER(I257),ISNUMBER(I143)),IFERROR(I257/I143,""),"")</f>
        <v>1.46629545262803</v>
      </c>
      <c r="J260" s="50" t="n">
        <f aca="false">IF(AND(ISNUMBER(J257),ISNUMBER(J143)),IFERROR(J257/J143,""),"")</f>
        <v>-0.338858117642104</v>
      </c>
      <c r="K260" s="50" t="n">
        <f aca="false">IF(AND(ISNUMBER(K257),ISNUMBER(K143)),IFERROR(K257/K143,""),"")</f>
        <v>0.942282189993054</v>
      </c>
      <c r="L260" s="50" t="n">
        <f aca="false">IF(AND(ISNUMBER(L257),ISNUMBER(L143)),IFERROR(L257/L143,""),"")</f>
        <v>0.995256226203108</v>
      </c>
      <c r="M260" s="50" t="n">
        <f aca="false">IF(AND(ISNUMBER(M257),ISNUMBER(M143)),IFERROR(M257/M143,""),"")</f>
        <v>1.83315840381964</v>
      </c>
      <c r="N260" s="50" t="n">
        <f aca="false">IF(AND(ISNUMBER(N257),ISNUMBER(N143)),IFERROR(N257/N143,""),"")</f>
        <v>3.45602354316246</v>
      </c>
      <c r="O260" s="50" t="n">
        <f aca="false">IF(AND(ISNUMBER(O257),ISNUMBER(O143)),IFERROR(O257/O143,""),"")</f>
        <v>-0.670832485243232</v>
      </c>
      <c r="P260" s="50" t="n">
        <f aca="false">IF(AND(ISNUMBER(P257),ISNUMBER(P143)),IFERROR(P257/P143,""),"")</f>
        <v>1.65273462093056</v>
      </c>
      <c r="Q260" s="50" t="n">
        <f aca="false">IF(AND(ISNUMBER(Q257),ISNUMBER(Q143)),IFERROR(Q257/Q143,""),"")</f>
        <v>1.02384880145007</v>
      </c>
      <c r="R260" s="50" t="n">
        <f aca="false">IF(AND(ISNUMBER(R257),ISNUMBER(R143)),IFERROR(R257/R143,""),"")</f>
        <v>3.39347714957571</v>
      </c>
      <c r="S260" s="50" t="n">
        <f aca="false">IF(AND(ISNUMBER(S257),ISNUMBER(S143)),IFERROR(S257/S143,""),"")</f>
        <v>5.39278655119715</v>
      </c>
      <c r="T260" s="50" t="n">
        <f aca="false">IF(AND(ISNUMBER(T257),ISNUMBER(T143)),IFERROR(T257/T143,""),"")</f>
        <v>-3.69750882377083</v>
      </c>
      <c r="U260" s="50" t="n">
        <f aca="false">IF(AND(ISNUMBER(U257),ISNUMBER(U143)),IFERROR(U257/U143,""),"")</f>
        <v>1.10298810559907</v>
      </c>
      <c r="V260" s="50" t="n">
        <f aca="false">IF(AND(ISNUMBER(V257),ISNUMBER(V143)),IFERROR(V257/V143,""),"")</f>
        <v>2.07659035763266</v>
      </c>
      <c r="W260" s="50" t="n">
        <f aca="false">IF(AND(ISNUMBER(W257),ISNUMBER(W143)),IFERROR(W257/W143,""),"")</f>
        <v>3.37008863749648</v>
      </c>
      <c r="X260" s="50" t="n">
        <f aca="false">IF(AND(ISNUMBER(X257),ISNUMBER(X143)),IFERROR(X257/X143,""),"")</f>
        <v>2.66647765456989</v>
      </c>
      <c r="Y260" s="50" t="n">
        <f aca="false">IF(AND(ISNUMBER(Y257),ISNUMBER(Y143)),IFERROR(Y257/Y143,""),"")</f>
        <v>1.35797966401415</v>
      </c>
      <c r="Z260" s="50" t="n">
        <f aca="false">IF(AND(ISNUMBER(Z257),ISNUMBER(Z143)),IFERROR(Z257/Z143,""),"")</f>
        <v>1.75943229120538</v>
      </c>
      <c r="AA260" s="50" t="n">
        <f aca="false">IF(AND(ISNUMBER(AA257),ISNUMBER(AA143)),IFERROR(AA257/AA143,""),"")</f>
        <v>2.22652621285864</v>
      </c>
      <c r="AB260" s="50" t="n">
        <f aca="false">IF(AND(ISNUMBER(AB257),ISNUMBER(AB143)),IFERROR(AB257/AB143,""),"")</f>
        <v>3.0220396132461</v>
      </c>
      <c r="AC260" s="50" t="n">
        <f aca="false">IF(AND(ISNUMBER(AC257),ISNUMBER(AC143)),IFERROR(AC257/AC143,""),"")</f>
        <v>8.35655455655456</v>
      </c>
      <c r="AD260" s="50" t="n">
        <f aca="false">IF(AND(ISNUMBER(AD257),ISNUMBER(AD143)),IFERROR(AD257/AD143,""),"")</f>
        <v>-0.787226928221132</v>
      </c>
      <c r="AE260" s="50" t="n">
        <f aca="false">IF(AND(ISNUMBER(AE257),ISNUMBER(AE143)),IFERROR(AE257/AE143,""),"")</f>
        <v>1.62829468609815</v>
      </c>
      <c r="AF260" s="50" t="n">
        <f aca="false">IF(AND(ISNUMBER(AF257),ISNUMBER(AF143)),IFERROR(AF257/AF143,""),"")</f>
        <v>2.0093317817661</v>
      </c>
      <c r="AG260" s="50" t="n">
        <f aca="false">IF(AND(ISNUMBER(AG257),ISNUMBER(AG143)),IFERROR(AG257/AG143,""),"")</f>
        <v>4.66692025418419</v>
      </c>
      <c r="AH260" s="50" t="n">
        <f aca="false">IF(AND(ISNUMBER(AH257),ISNUMBER(AH143)),IFERROR(AH257/AH143,""),"")</f>
        <v>7.5066910926923</v>
      </c>
      <c r="AI260" s="50" t="n">
        <f aca="false">IF(AND(ISNUMBER(AI257),ISNUMBER(AI143)),IFERROR(AI257/AI143,""),"")</f>
        <v>-1.79580554187743</v>
      </c>
      <c r="AJ260" s="50" t="n">
        <f aca="false">IF(AND(ISNUMBER(AJ257),ISNUMBER(AJ143)),IFERROR(AJ257/AJ143,""),"")</f>
        <v>1.95421183758669</v>
      </c>
      <c r="AK260" s="50" t="n">
        <f aca="false">IF(AND(ISNUMBER(AK257),ISNUMBER(AK143)),IFERROR(AK257/AK143,""),"")</f>
        <v>1.39520458338972</v>
      </c>
      <c r="AL260" s="50" t="n">
        <f aca="false">IF(AND(ISNUMBER(AL257),ISNUMBER(AL143)),IFERROR(AL257/AL143,""),"")</f>
        <v>4.89169064912521</v>
      </c>
      <c r="AM260" s="50" t="n">
        <f aca="false">IF(AND(ISNUMBER(AM257),ISNUMBER(AM143)),IFERROR(AM257/AM143,""),"")</f>
        <v>6.38270602039895</v>
      </c>
      <c r="AN260" s="50" t="n">
        <f aca="false">IF(AND(ISNUMBER(AN257),ISNUMBER(AN143)),IFERROR(AN257/AN143,""),"")</f>
        <v>-1.59998142040968</v>
      </c>
      <c r="AO260" s="50" t="n">
        <f aca="false">IF(AND(ISNUMBER(AO257),ISNUMBER(AO143)),IFERROR(AO257/AO143,""),"")</f>
        <v>1.76197006322053</v>
      </c>
      <c r="AP260" s="50" t="n">
        <f aca="false">IF(AND(ISNUMBER(AP257),ISNUMBER(AP143)),IFERROR(AP257/AP143,""),"")</f>
        <v>2.3765786719386</v>
      </c>
      <c r="AQ260" s="50" t="n">
        <f aca="false">IF(AND(ISNUMBER(AQ257),ISNUMBER(AQ143)),IFERROR(AQ257/AQ143,""),"")</f>
        <v>5.64267435909366</v>
      </c>
      <c r="AR260" s="50" t="n">
        <f aca="false">IF(AND(ISNUMBER(AR257),ISNUMBER(AR143)),IFERROR(AR257/AR143,""),"")</f>
        <v>8.17491166077739</v>
      </c>
      <c r="AS260" s="50" t="n">
        <f aca="false">IF(AND(ISNUMBER(AS257),ISNUMBER(AS143)),IFERROR(AS257/AS143,""),"")</f>
        <v>-4.93834463408931</v>
      </c>
      <c r="AT260" s="50" t="n">
        <f aca="false">IF(AND(ISNUMBER(AT257),ISNUMBER(AT143)),IFERROR(AT257/AT143,""),"")</f>
        <v>3.09831561342731</v>
      </c>
      <c r="AU260" s="50" t="n">
        <f aca="false">IF(AND(ISNUMBER(AU257),ISNUMBER(AU143)),IFERROR(AU257/AU143,""),"")</f>
        <v>1.17175873866545</v>
      </c>
      <c r="AV260" s="50" t="n">
        <f aca="false">IF(AND(ISNUMBER(AV257),ISNUMBER(AV143)),IFERROR(AV257/AV143,""),"")</f>
        <v>5.93917028461167</v>
      </c>
      <c r="AW260" s="50" t="n">
        <f aca="false">IF(AND(ISNUMBER(AW257),ISNUMBER(AW143)),IFERROR(AW257/AW143,""),"")</f>
        <v>5.08776399438082</v>
      </c>
      <c r="AX260" s="50" t="n">
        <f aca="false">IF(AND(ISNUMBER(AX257),ISNUMBER(AX143)),IFERROR(AX257/AX143,""),"")</f>
        <v>-0.85492543123373</v>
      </c>
      <c r="AY260" s="50" t="n">
        <f aca="false">IF(AND(ISNUMBER(AY257),ISNUMBER(AY143)),IFERROR(AY257/AY143,""),"")</f>
        <v>1.60253602024922</v>
      </c>
      <c r="AZ260" s="50" t="n">
        <f aca="false">IF(AND(ISNUMBER(AZ257),ISNUMBER(AZ143)),IFERROR(AZ257/AZ143,""),"")</f>
        <v>2.37357753357753</v>
      </c>
      <c r="BA260" s="50" t="n">
        <f aca="false">IF(AND(ISNUMBER(BA257),ISNUMBER(BA143)),IFERROR(BA257/BA143,""),"")</f>
        <v>5.53225888068009</v>
      </c>
      <c r="BB260" s="50" t="n">
        <f aca="false">IF(AND(ISNUMBER(BB257),ISNUMBER(BB143)),IFERROR(BB257/BB143,""),"")</f>
        <v>8.5355401211763</v>
      </c>
      <c r="BC260" s="50" t="n">
        <f aca="false">IF(AND(ISNUMBER(BC257),ISNUMBER(BC143)),IFERROR(BC257/BC143,""),"")</f>
        <v>-3.4967156304955</v>
      </c>
      <c r="BD260" s="50" t="n">
        <f aca="false">IF(AND(ISNUMBER(BD257),ISNUMBER(BD143)),IFERROR(BD257/BD143,""),"")</f>
        <v>0.580741967196151</v>
      </c>
      <c r="BE260" s="50" t="n">
        <f aca="false">IF(AND(ISNUMBER(BE257),ISNUMBER(BE143)),IFERROR(BE257/BE143,""),"")</f>
        <v>2.23461070717003</v>
      </c>
      <c r="BF260" s="50" t="n">
        <f aca="false">IF(AND(ISNUMBER(BF257),ISNUMBER(BF143)),IFERROR(BF257/BF143,""),"")</f>
        <v>7.32433411849973</v>
      </c>
      <c r="BG260" s="50" t="n">
        <f aca="false">IF(AND(ISNUMBER(BG257),ISNUMBER(BG143)),IFERROR(BG257/BG143,""),"")</f>
        <v>6.63817951305338</v>
      </c>
      <c r="BH260" s="50" t="n">
        <f aca="false">IF(AND(ISNUMBER(BH257),ISNUMBER(BH143)),IFERROR(BH257/BH143,""),"")</f>
        <v>-2.65500051926472</v>
      </c>
      <c r="BI260" s="50" t="n">
        <f aca="false">IF(AND(ISNUMBER(BI257),ISNUMBER(BI143)),IFERROR(BI257/BI143,""),"")</f>
        <v>2.56643755673713</v>
      </c>
      <c r="BJ260" s="50" t="n">
        <f aca="false">IF(AND(ISNUMBER(BJ257),ISNUMBER(BJ143)),IFERROR(BJ257/BJ143,""),"")</f>
        <v>3.55285543856009</v>
      </c>
      <c r="BK260" s="50" t="n">
        <f aca="false">IF(AND(ISNUMBER(BK257),ISNUMBER(BK143)),IFERROR(BK257/BK143,""),"")</f>
        <v>7.00540189585768</v>
      </c>
      <c r="BL260" s="50" t="n">
        <f aca="false">IF(AND(ISNUMBER(BL257),ISNUMBER(BL143)),IFERROR(BL257/BL143,""),"")</f>
        <v>10.4706325105764</v>
      </c>
      <c r="BM260" s="50" t="n">
        <f aca="false">IF(AND(ISNUMBER(BM257),ISNUMBER(BM143)),IFERROR(BM257/BM143,""),"")</f>
        <v>-1.50107985740678</v>
      </c>
      <c r="BN260" s="50" t="n">
        <f aca="false">IF(AND(ISNUMBER(BN257),ISNUMBER(BN143)),IFERROR(BN257/BN143,""),"")</f>
        <v>2.60437391236591</v>
      </c>
      <c r="BO260" s="50" t="n">
        <f aca="false">IF(AND(ISNUMBER(BO257),ISNUMBER(BO143)),IFERROR(BO257/BO143,""),"")</f>
        <v>4.23109932121401</v>
      </c>
      <c r="BP260" s="50" t="n">
        <f aca="false">IF(AND(ISNUMBER(BP257),ISNUMBER(BP143)),IFERROR(BP257/BP143,""),"")</f>
        <v>7.29024307103338</v>
      </c>
      <c r="BQ260" s="50" t="n">
        <f aca="false">IF(AND(ISNUMBER(BQ257),ISNUMBER(BQ143)),IFERROR(BQ257/BQ143,""),"")</f>
        <v>12.5948192739687</v>
      </c>
      <c r="BR260" s="50" t="n">
        <f aca="false">IF(AND(ISNUMBER(BR257),ISNUMBER(BR143)),IFERROR(BR257/BR143,""),"")</f>
        <v>-1.44086021505376</v>
      </c>
      <c r="BS260" s="50" t="n">
        <f aca="false">IF(AND(ISNUMBER(BS257),ISNUMBER(BS143)),IFERROR(BS257/BS143,""),"")</f>
        <v>3.09220905996887</v>
      </c>
      <c r="BT260" s="50" t="n">
        <f aca="false">IF(AND(ISNUMBER(BT257),ISNUMBER(BT143)),IFERROR(BT257/BT143,""),"")</f>
        <v>4.67137508961049</v>
      </c>
      <c r="BU260" s="50" t="n">
        <f aca="false">IF(AND(ISNUMBER(BU257),ISNUMBER(BU143)),IFERROR(BU257/BU143,""),"")</f>
        <v>8.47697191434413</v>
      </c>
      <c r="BV260" s="50" t="n">
        <f aca="false">IF(AND(ISNUMBER(BV257),ISNUMBER(BV143)),IFERROR(BV257/BV143,""),"")</f>
        <v>14.7141984002551</v>
      </c>
      <c r="BW260" s="50" t="n">
        <f aca="false">IF(AND(ISNUMBER(BW257),ISNUMBER(BW143)),IFERROR(BW257/BW143,""),"")</f>
        <v>-0.471881914836203</v>
      </c>
      <c r="BX260" s="50" t="n">
        <f aca="false">IF(AND(ISNUMBER(BX257),ISNUMBER(BX143)),IFERROR(BX257/BX143,""),"")</f>
        <v>4.31734913793104</v>
      </c>
      <c r="CA260" s="47" t="n">
        <f aca="false">IFERROR(CA257/CA143,"")</f>
        <v>16.1135951720788</v>
      </c>
      <c r="CB260" s="47" t="n">
        <f aca="false">IFERROR(CB257/CB143,"")</f>
        <v>17.1072348244479</v>
      </c>
      <c r="CC260" s="47" t="n">
        <f aca="false">IFERROR(CC257/CC143,"")</f>
        <v>18.9795240608071</v>
      </c>
      <c r="CD260" s="47" t="n">
        <f aca="false">IFERROR(CD257/CD143,"")</f>
        <v>21.284532402118</v>
      </c>
      <c r="CE260" s="47" t="n">
        <f aca="false">IFERROR(CE257/CE143,"")</f>
        <v>23.7259304141694</v>
      </c>
    </row>
    <row r="261" customFormat="false" ht="15" hidden="false" customHeight="false" outlineLevel="0" collapsed="false">
      <c r="B261" s="20" t="s">
        <v>453</v>
      </c>
      <c r="C261" s="27" t="n">
        <f aca="false">IF(AND(ISNUMBER(C237),ISNUMBER(C114)),IFERROR(-C237/C114,""),"")</f>
        <v>0.0313550233786087</v>
      </c>
      <c r="D261" s="27" t="n">
        <f aca="false">IF(AND(ISNUMBER(D237),ISNUMBER(D114)),IFERROR(-D237/D114,""),"")</f>
        <v>0.0341889199584957</v>
      </c>
      <c r="E261" s="27" t="n">
        <f aca="false">IF(AND(ISNUMBER(E237),ISNUMBER(E114)),IFERROR(-E237/E114,""),"")</f>
        <v>0.0566388363731736</v>
      </c>
      <c r="F261" s="27" t="n">
        <f aca="false">IF(AND(ISNUMBER(F237),ISNUMBER(F114)),IFERROR(-F237/F114,""),"")</f>
        <v>0.0417988716299477</v>
      </c>
      <c r="G261" s="27" t="n">
        <f aca="false">IF(AND(ISNUMBER(G237),ISNUMBER(G114)),IFERROR(-G237/G114,""),"")</f>
        <v>0.0279853407101663</v>
      </c>
      <c r="H261" s="27" t="n">
        <f aca="false">IF(AND(ISNUMBER(H237),ISNUMBER(H114)),IFERROR(-H237/H114,""),"")</f>
        <v>0.0412977757006616</v>
      </c>
      <c r="I261" s="27" t="n">
        <f aca="false">IF(AND(ISNUMBER(I237),ISNUMBER(I114)),IFERROR(-I237/I114,""),"")</f>
        <v>0.0395449145642213</v>
      </c>
      <c r="J261" s="27" t="n">
        <f aca="false">IF(AND(ISNUMBER(J237),ISNUMBER(J114)),IFERROR(-J237/J114,""),"")</f>
        <v>0.0253253403567144</v>
      </c>
      <c r="K261" s="27" t="n">
        <f aca="false">IF(AND(ISNUMBER(K237),ISNUMBER(K114)),IFERROR(-K237/K114,""),"")</f>
        <v>0.0277098271454636</v>
      </c>
      <c r="L261" s="27" t="n">
        <f aca="false">IF(AND(ISNUMBER(L237),ISNUMBER(L114)),IFERROR(-L237/L114,""),"")</f>
        <v>0.0428690106165313</v>
      </c>
      <c r="M261" s="27" t="n">
        <f aca="false">IF(AND(ISNUMBER(M237),ISNUMBER(M114)),IFERROR(-M237/M114,""),"")</f>
        <v>0.0205307761565175</v>
      </c>
      <c r="N261" s="27" t="n">
        <f aca="false">IF(AND(ISNUMBER(N237),ISNUMBER(N114)),IFERROR(-N237/N114,""),"")</f>
        <v>0.0287728351171811</v>
      </c>
      <c r="O261" s="27" t="n">
        <f aca="false">IF(AND(ISNUMBER(O237),ISNUMBER(O114)),IFERROR(-O237/O114,""),"")</f>
        <v>0.0286321428348706</v>
      </c>
      <c r="P261" s="27" t="n">
        <f aca="false">IF(AND(ISNUMBER(P237),ISNUMBER(P114)),IFERROR(-P237/P114,""),"")</f>
        <v>0.0270226775303011</v>
      </c>
      <c r="Q261" s="27" t="n">
        <f aca="false">IF(AND(ISNUMBER(Q237),ISNUMBER(Q114)),IFERROR(-Q237/Q114,""),"")</f>
        <v>0.0330369941411347</v>
      </c>
      <c r="R261" s="27" t="n">
        <f aca="false">IF(AND(ISNUMBER(R237),ISNUMBER(R114)),IFERROR(-R237/R114,""),"")</f>
        <v>0.0220665541944791</v>
      </c>
      <c r="S261" s="27" t="n">
        <f aca="false">IF(AND(ISNUMBER(S237),ISNUMBER(S114)),IFERROR(-S237/S114,""),"")</f>
        <v>0.0299202987259744</v>
      </c>
      <c r="T261" s="27" t="n">
        <f aca="false">IF(AND(ISNUMBER(T237),ISNUMBER(T114)),IFERROR(-T237/T114,""),"")</f>
        <v>0.0166532710605475</v>
      </c>
      <c r="U261" s="27" t="n">
        <f aca="false">IF(AND(ISNUMBER(U237),ISNUMBER(U114)),IFERROR(-U237/U114,""),"")</f>
        <v>0.0120929430624695</v>
      </c>
      <c r="V261" s="27" t="n">
        <f aca="false">IF(AND(ISNUMBER(V237),ISNUMBER(V114)),IFERROR(-V237/V114,""),"")</f>
        <v>0.0155251315326287</v>
      </c>
      <c r="W261" s="27" t="n">
        <f aca="false">IF(AND(ISNUMBER(W237),ISNUMBER(W114)),IFERROR(-W237/W114,""),"")</f>
        <v>0.0198112967193485</v>
      </c>
      <c r="X261" s="27" t="n">
        <f aca="false">IF(AND(ISNUMBER(X237),ISNUMBER(X114)),IFERROR(-X237/X114,""),"")</f>
        <v>0.0161002283646381</v>
      </c>
      <c r="Y261" s="27" t="n">
        <f aca="false">IF(AND(ISNUMBER(Y237),ISNUMBER(Y114)),IFERROR(-Y237/Y114,""),"")</f>
        <v>0.0175270651649332</v>
      </c>
      <c r="Z261" s="27" t="n">
        <f aca="false">IF(AND(ISNUMBER(Z237),ISNUMBER(Z114)),IFERROR(-Z237/Z114,""),"")</f>
        <v>0.0129662928940661</v>
      </c>
      <c r="AA261" s="27" t="n">
        <f aca="false">IF(AND(ISNUMBER(AA237),ISNUMBER(AA114)),IFERROR(-AA237/AA114,""),"")</f>
        <v>0.0204972667681604</v>
      </c>
      <c r="AB261" s="27" t="n">
        <f aca="false">IF(AND(ISNUMBER(AB237),ISNUMBER(AB114)),IFERROR(-AB237/AB114,""),"")</f>
        <v>0.0365103277071111</v>
      </c>
      <c r="AC261" s="27" t="n">
        <f aca="false">IF(AND(ISNUMBER(AC237),ISNUMBER(AC114)),IFERROR(-AC237/AC114,""),"")</f>
        <v>0.0221799575235036</v>
      </c>
      <c r="AD261" s="27" t="n">
        <f aca="false">IF(AND(ISNUMBER(AD237),ISNUMBER(AD114)),IFERROR(-AD237/AD114,""),"")</f>
        <v>0.0198131747871908</v>
      </c>
      <c r="AE261" s="27" t="n">
        <f aca="false">IF(AND(ISNUMBER(AE237),ISNUMBER(AE114)),IFERROR(-AE237/AE114,""),"")</f>
        <v>0.022749813706613</v>
      </c>
      <c r="AF261" s="27" t="n">
        <f aca="false">IF(AND(ISNUMBER(AF237),ISNUMBER(AF114)),IFERROR(-AF237/AF114,""),"")</f>
        <v>0.0204014432092918</v>
      </c>
      <c r="AG261" s="27" t="n">
        <f aca="false">IF(AND(ISNUMBER(AG237),ISNUMBER(AG114)),IFERROR(-AG237/AG114,""),"")</f>
        <v>0.0291412872764475</v>
      </c>
      <c r="AH261" s="27" t="n">
        <f aca="false">IF(AND(ISNUMBER(AH237),ISNUMBER(AH114)),IFERROR(-AH237/AH114,""),"")</f>
        <v>0.0232075722602912</v>
      </c>
      <c r="AI261" s="27" t="n">
        <f aca="false">IF(AND(ISNUMBER(AI237),ISNUMBER(AI114)),IFERROR(-AI237/AI114,""),"")</f>
        <v>0.0163847297460193</v>
      </c>
      <c r="AJ261" s="27" t="n">
        <f aca="false">IF(AND(ISNUMBER(AJ237),ISNUMBER(AJ114)),IFERROR(-AJ237/AJ114,""),"")</f>
        <v>0.0175415687298685</v>
      </c>
      <c r="AK261" s="27" t="n">
        <f aca="false">IF(AND(ISNUMBER(AK237),ISNUMBER(AK114)),IFERROR(-AK237/AK114,""),"")</f>
        <v>0.01752623897157</v>
      </c>
      <c r="AL261" s="27" t="n">
        <f aca="false">IF(AND(ISNUMBER(AL237),ISNUMBER(AL114)),IFERROR(-AL237/AL114,""),"")</f>
        <v>0.0356602150405013</v>
      </c>
      <c r="AM261" s="27" t="n">
        <f aca="false">IF(AND(ISNUMBER(AM237),ISNUMBER(AM114)),IFERROR(-AM237/AM114,""),"")</f>
        <v>0.0221478666658374</v>
      </c>
      <c r="AN261" s="27" t="n">
        <f aca="false">IF(AND(ISNUMBER(AN237),ISNUMBER(AN114)),IFERROR(-AN237/AN114,""),"")</f>
        <v>0.0294545869544919</v>
      </c>
      <c r="AO261" s="27" t="n">
        <f aca="false">IF(AND(ISNUMBER(AO237),ISNUMBER(AO114)),IFERROR(-AO237/AO114,""),"")</f>
        <v>0.0257231657162173</v>
      </c>
      <c r="AP261" s="27" t="n">
        <f aca="false">IF(AND(ISNUMBER(AP237),ISNUMBER(AP114)),IFERROR(-AP237/AP114,""),"")</f>
        <v>0.0267499349466563</v>
      </c>
      <c r="AQ261" s="27" t="n">
        <f aca="false">IF(AND(ISNUMBER(AQ237),ISNUMBER(AQ114)),IFERROR(-AQ237/AQ114,""),"")</f>
        <v>0.0302437893715947</v>
      </c>
      <c r="AR261" s="27" t="n">
        <f aca="false">IF(AND(ISNUMBER(AR237),ISNUMBER(AR114)),IFERROR(-AR237/AR114,""),"")</f>
        <v>0.0280358092429905</v>
      </c>
      <c r="AS261" s="27" t="n">
        <f aca="false">IF(AND(ISNUMBER(AS237),ISNUMBER(AS114)),IFERROR(-AS237/AS114,""),"")</f>
        <v>0.0309980689618466</v>
      </c>
      <c r="AT261" s="27" t="n">
        <f aca="false">IF(AND(ISNUMBER(AT237),ISNUMBER(AT114)),IFERROR(-AT237/AT114,""),"")</f>
        <v>0.0194292487732866</v>
      </c>
      <c r="AU261" s="27" t="n">
        <f aca="false">IF(AND(ISNUMBER(AU237),ISNUMBER(AU114)),IFERROR(-AU237/AU114,""),"")</f>
        <v>0.0122757665137663</v>
      </c>
      <c r="AV261" s="27" t="n">
        <f aca="false">IF(AND(ISNUMBER(AV237),ISNUMBER(AV114)),IFERROR(-AV237/AV114,""),"")</f>
        <v>0.0166924978008629</v>
      </c>
      <c r="AW261" s="27" t="n">
        <f aca="false">IF(AND(ISNUMBER(AW237),ISNUMBER(AW114)),IFERROR(-AW237/AW114,""),"")</f>
        <v>0.0198629552685194</v>
      </c>
      <c r="AX261" s="27" t="n">
        <f aca="false">IF(AND(ISNUMBER(AX237),ISNUMBER(AX114)),IFERROR(-AX237/AX114,""),"")</f>
        <v>0.0142984194191864</v>
      </c>
      <c r="AY261" s="27" t="n">
        <f aca="false">IF(AND(ISNUMBER(AY237),ISNUMBER(AY114)),IFERROR(-AY237/AY114,""),"")</f>
        <v>0.014857722105568</v>
      </c>
      <c r="AZ261" s="27" t="n">
        <f aca="false">IF(AND(ISNUMBER(AZ237),ISNUMBER(AZ114)),IFERROR(-AZ237/AZ114,""),"")</f>
        <v>0.0162531279255066</v>
      </c>
      <c r="BA261" s="27" t="n">
        <f aca="false">IF(AND(ISNUMBER(BA237),ISNUMBER(BA114)),IFERROR(-BA237/BA114,""),"")</f>
        <v>0.0198722774979828</v>
      </c>
      <c r="BB261" s="27" t="n">
        <f aca="false">IF(AND(ISNUMBER(BB237),ISNUMBER(BB114)),IFERROR(-BB237/BB114,""),"")</f>
        <v>0.0164042824802439</v>
      </c>
      <c r="BC261" s="27" t="n">
        <f aca="false">IF(AND(ISNUMBER(BC237),ISNUMBER(BC114)),IFERROR(-BC237/BC114,""),"")</f>
        <v>0.0194758883997276</v>
      </c>
      <c r="BD261" s="27" t="n">
        <f aca="false">IF(AND(ISNUMBER(BD237),ISNUMBER(BD114)),IFERROR(-BD237/BD114,""),"")</f>
        <v>0.0141066730996772</v>
      </c>
      <c r="BE261" s="27" t="n">
        <f aca="false">IF(AND(ISNUMBER(BE237),ISNUMBER(BE114)),IFERROR(-BE237/BE114,""),"")</f>
        <v>0.014744457942532</v>
      </c>
      <c r="BF261" s="27" t="n">
        <f aca="false">IF(AND(ISNUMBER(BF237),ISNUMBER(BF114)),IFERROR(-BF237/BF114,""),"")</f>
        <v>0.0124434941563884</v>
      </c>
      <c r="BG261" s="27" t="n">
        <f aca="false">IF(AND(ISNUMBER(BG237),ISNUMBER(BG114)),IFERROR(-BG237/BG114,""),"")</f>
        <v>0.0149458843773526</v>
      </c>
      <c r="BH261" s="27" t="n">
        <f aca="false">IF(AND(ISNUMBER(BH237),ISNUMBER(BH114)),IFERROR(-BH237/BH114,""),"")</f>
        <v>0.0168991535364423</v>
      </c>
      <c r="BI261" s="27" t="n">
        <f aca="false">IF(AND(ISNUMBER(BI237),ISNUMBER(BI114)),IFERROR(-BI237/BI114,""),"")</f>
        <v>0.0170401308354959</v>
      </c>
      <c r="BJ261" s="27" t="n">
        <f aca="false">IF(AND(ISNUMBER(BJ237),ISNUMBER(BJ114)),IFERROR(-BJ237/BJ114,""),"")</f>
        <v>0.012940305884367</v>
      </c>
      <c r="BK261" s="27" t="n">
        <f aca="false">IF(AND(ISNUMBER(BK237),ISNUMBER(BK114)),IFERROR(-BK237/BK114,""),"")</f>
        <v>0.0160717035445812</v>
      </c>
      <c r="BL261" s="27" t="n">
        <f aca="false">IF(AND(ISNUMBER(BL237),ISNUMBER(BL114)),IFERROR(-BL237/BL114,""),"")</f>
        <v>0.0156977661628194</v>
      </c>
      <c r="BM261" s="27" t="n">
        <f aca="false">IF(AND(ISNUMBER(BM237),ISNUMBER(BM114)),IFERROR(-BM237/BM114,""),"")</f>
        <v>0.0169034742213254</v>
      </c>
      <c r="BN261" s="27" t="n">
        <f aca="false">IF(AND(ISNUMBER(BN237),ISNUMBER(BN114)),IFERROR(-BN237/BN114,""),"")</f>
        <v>0.0140980210017699</v>
      </c>
      <c r="BO261" s="27" t="n">
        <f aca="false">IF(AND(ISNUMBER(BO237),ISNUMBER(BO114)),IFERROR(-BO237/BO114,""),"")</f>
        <v>0.0182546894675048</v>
      </c>
      <c r="BP261" s="27" t="n">
        <f aca="false">IF(AND(ISNUMBER(BP237),ISNUMBER(BP114)),IFERROR(-BP237/BP114,""),"")</f>
        <v>0.0282307812687656</v>
      </c>
      <c r="BQ261" s="27" t="n">
        <f aca="false">IF(AND(ISNUMBER(BQ237),ISNUMBER(BQ114)),IFERROR(-BQ237/BQ114,""),"")</f>
        <v>0.0195355039377622</v>
      </c>
      <c r="BR261" s="27" t="n">
        <f aca="false">IF(AND(ISNUMBER(BR237),ISNUMBER(BR114)),IFERROR(-BR237/BR114,""),"")</f>
        <v>0.019578102017638</v>
      </c>
      <c r="BS261" s="27" t="n">
        <f aca="false">IF(AND(ISNUMBER(BS237),ISNUMBER(BS114)),IFERROR(-BS237/BS114,""),"")</f>
        <v>0.0221098912130836</v>
      </c>
      <c r="BT261" s="27" t="n">
        <f aca="false">IF(AND(ISNUMBER(BT237),ISNUMBER(BT114)),IFERROR(-BT237/BT114,""),"")</f>
        <v>0.0194438372240183</v>
      </c>
      <c r="BU261" s="27" t="n">
        <f aca="false">IF(AND(ISNUMBER(BU237),ISNUMBER(BU114)),IFERROR(-BU237/BU114,""),"")</f>
        <v>0.039745253600653</v>
      </c>
      <c r="BV261" s="27" t="n">
        <f aca="false">IF(AND(ISNUMBER(BV237),ISNUMBER(BV114)),IFERROR(-BV237/BV114,""),"")</f>
        <v>0.0256382111450698</v>
      </c>
      <c r="BW261" s="27" t="n">
        <f aca="false">IF(AND(ISNUMBER(BW237),ISNUMBER(BW114)),IFERROR(-BW237/BW114,""),"")</f>
        <v>0.0129497300497873</v>
      </c>
      <c r="BX261" s="27" t="n">
        <f aca="false">IF(AND(ISNUMBER(BX237),ISNUMBER(BX114)),IFERROR(-BX237/BX114,""),"")</f>
        <v>0.0318731006657951</v>
      </c>
      <c r="CA261" s="22" t="n">
        <f aca="false">IFERROR(-CA237/CA114,"")</f>
        <v>0.030257749637251</v>
      </c>
      <c r="CB261" s="38" t="n">
        <v>0.029</v>
      </c>
      <c r="CC261" s="38" t="n">
        <v>0.029</v>
      </c>
      <c r="CD261" s="38" t="n">
        <v>0.029</v>
      </c>
      <c r="CE261" s="38" t="n">
        <v>0.029</v>
      </c>
      <c r="CF261" s="18" t="s">
        <v>454</v>
      </c>
    </row>
    <row r="262" customFormat="false" ht="15" hidden="false" customHeight="false" outlineLevel="0" collapsed="false">
      <c r="B262" s="20" t="s">
        <v>455</v>
      </c>
      <c r="C262" s="57" t="n">
        <f aca="false">IF(AND(ISNUMBER(C237),ISNUMBER(C100)),IFERROR(-C237/C100,""),"")</f>
        <v>0.791518182355142</v>
      </c>
      <c r="D262" s="57" t="n">
        <f aca="false">IF(AND(ISNUMBER(D237),ISNUMBER(D100)),IFERROR(-D237/D100,""),"")</f>
        <v>0.86816376656725</v>
      </c>
      <c r="E262" s="57" t="n">
        <f aca="false">IF(AND(ISNUMBER(E237),ISNUMBER(E100)),IFERROR(-E237/E100,""),"")</f>
        <v>1.39603507023474</v>
      </c>
      <c r="F262" s="57" t="n">
        <f aca="false">IF(AND(ISNUMBER(F237),ISNUMBER(F100)),IFERROR(-F237/F100,""),"")</f>
        <v>0.989055962343096</v>
      </c>
      <c r="G262" s="57" t="n">
        <f aca="false">IF(AND(ISNUMBER(G237),ISNUMBER(G100)),IFERROR(-G237/G100,""),"")</f>
        <v>0.662697320691467</v>
      </c>
      <c r="H262" s="57" t="n">
        <f aca="false">IF(AND(ISNUMBER(H237),ISNUMBER(H100)),IFERROR(-H237/H100,""),"")</f>
        <v>0.960713476783692</v>
      </c>
      <c r="I262" s="57" t="n">
        <f aca="false">IF(AND(ISNUMBER(I237),ISNUMBER(I100)),IFERROR(-I237/I100,""),"")</f>
        <v>0.883466814347789</v>
      </c>
      <c r="J262" s="57" t="n">
        <f aca="false">IF(AND(ISNUMBER(J237),ISNUMBER(J100)),IFERROR(-J237/J100,""),"")</f>
        <v>0.49375</v>
      </c>
      <c r="K262" s="57" t="n">
        <f aca="false">IF(AND(ISNUMBER(K237),ISNUMBER(K100)),IFERROR(-K237/K100,""),"")</f>
        <v>0.573727080749506</v>
      </c>
      <c r="L262" s="57" t="n">
        <f aca="false">IF(AND(ISNUMBER(L237),ISNUMBER(L100)),IFERROR(-L237/L100,""),"")</f>
        <v>0.875046725796038</v>
      </c>
      <c r="M262" s="57" t="n">
        <f aca="false">IF(AND(ISNUMBER(M237),ISNUMBER(M100)),IFERROR(-M237/M100,""),"")</f>
        <v>0.451235983289883</v>
      </c>
      <c r="N262" s="57" t="n">
        <f aca="false">IF(AND(ISNUMBER(N237),ISNUMBER(N100)),IFERROR(-N237/N100,""),"")</f>
        <v>0.594599043597784</v>
      </c>
      <c r="O262" s="57" t="n">
        <f aca="false">IF(AND(ISNUMBER(O237),ISNUMBER(O100)),IFERROR(-O237/O100,""),"")</f>
        <v>0.593338071853192</v>
      </c>
      <c r="P262" s="57" t="n">
        <f aca="false">IF(AND(ISNUMBER(P237),ISNUMBER(P100)),IFERROR(-P237/P100,""),"")</f>
        <v>0.579319182493264</v>
      </c>
      <c r="Q262" s="57" t="n">
        <f aca="false">IF(AND(ISNUMBER(Q237),ISNUMBER(Q100)),IFERROR(-Q237/Q100,""),"")</f>
        <v>0.625558413428997</v>
      </c>
      <c r="R262" s="57" t="n">
        <f aca="false">IF(AND(ISNUMBER(R237),ISNUMBER(R100)),IFERROR(-R237/R100,""),"")</f>
        <v>0.451298353395007</v>
      </c>
      <c r="S262" s="57" t="n">
        <f aca="false">IF(AND(ISNUMBER(S237),ISNUMBER(S100)),IFERROR(-S237/S100,""),"")</f>
        <v>0.564318806703046</v>
      </c>
      <c r="T262" s="57" t="n">
        <f aca="false">IF(AND(ISNUMBER(T237),ISNUMBER(T100)),IFERROR(-T237/T100,""),"")</f>
        <v>0.353819822623308</v>
      </c>
      <c r="U262" s="57" t="n">
        <f aca="false">IF(AND(ISNUMBER(U237),ISNUMBER(U100)),IFERROR(-U237/U100,""),"")</f>
        <v>0.255245838172667</v>
      </c>
      <c r="V262" s="57" t="n">
        <f aca="false">IF(AND(ISNUMBER(V237),ISNUMBER(V100)),IFERROR(-V237/V100,""),"")</f>
        <v>0.327802330253114</v>
      </c>
      <c r="W262" s="57" t="n">
        <f aca="false">IF(AND(ISNUMBER(W237),ISNUMBER(W100)),IFERROR(-W237/W100,""),"")</f>
        <v>0.478385694364695</v>
      </c>
      <c r="X262" s="57" t="n">
        <f aca="false">IF(AND(ISNUMBER(X237),ISNUMBER(X100)),IFERROR(-X237/X100,""),"")</f>
        <v>0.352266640214264</v>
      </c>
      <c r="Y262" s="57" t="n">
        <f aca="false">IF(AND(ISNUMBER(Y237),ISNUMBER(Y100)),IFERROR(-Y237/Y100,""),"")</f>
        <v>0.360395311798097</v>
      </c>
      <c r="Z262" s="57" t="n">
        <f aca="false">IF(AND(ISNUMBER(Z237),ISNUMBER(Z100)),IFERROR(-Z237/Z100,""),"")</f>
        <v>0.281959183673469</v>
      </c>
      <c r="AA262" s="57" t="n">
        <f aca="false">IF(AND(ISNUMBER(AA237),ISNUMBER(AA100)),IFERROR(-AA237/AA100,""),"")</f>
        <v>0.443581427108228</v>
      </c>
      <c r="AB262" s="57" t="n">
        <f aca="false">IF(AND(ISNUMBER(AB237),ISNUMBER(AB100)),IFERROR(-AB237/AB100,""),"")</f>
        <v>0.875365636525499</v>
      </c>
      <c r="AC262" s="57" t="n">
        <f aca="false">IF(AND(ISNUMBER(AC237),ISNUMBER(AC100)),IFERROR(-AC237/AC100,""),"")</f>
        <v>0.487209399216732</v>
      </c>
      <c r="AD262" s="57" t="n">
        <f aca="false">IF(AND(ISNUMBER(AD237),ISNUMBER(AD100)),IFERROR(-AD237/AD100,""),"")</f>
        <v>0.416191928107197</v>
      </c>
      <c r="AE262" s="57" t="n">
        <f aca="false">IF(AND(ISNUMBER(AE237),ISNUMBER(AE100)),IFERROR(-AE237/AE100,""),"")</f>
        <v>0.515837827042141</v>
      </c>
      <c r="AF262" s="57" t="n">
        <f aca="false">IF(AND(ISNUMBER(AF237),ISNUMBER(AF100)),IFERROR(-AF237/AF100,""),"")</f>
        <v>0.466162388347952</v>
      </c>
      <c r="AG262" s="57" t="n">
        <f aca="false">IF(AND(ISNUMBER(AG237),ISNUMBER(AG100)),IFERROR(-AG237/AG100,""),"")</f>
        <v>0.708141382049245</v>
      </c>
      <c r="AH262" s="57" t="n">
        <f aca="false">IF(AND(ISNUMBER(AH237),ISNUMBER(AH100)),IFERROR(-AH237/AH100,""),"")</f>
        <v>0.527076353817691</v>
      </c>
      <c r="AI262" s="57" t="n">
        <f aca="false">IF(AND(ISNUMBER(AI237),ISNUMBER(AI100)),IFERROR(-AI237/AI100,""),"")</f>
        <v>0.364659973171822</v>
      </c>
      <c r="AJ262" s="57" t="n">
        <f aca="false">IF(AND(ISNUMBER(AJ237),ISNUMBER(AJ100)),IFERROR(-AJ237/AJ100,""),"")</f>
        <v>0.408200780312125</v>
      </c>
      <c r="AK262" s="57" t="n">
        <f aca="false">IF(AND(ISNUMBER(AK237),ISNUMBER(AK100)),IFERROR(-AK237/AK100,""),"")</f>
        <v>0.403066939626869</v>
      </c>
      <c r="AL262" s="57" t="n">
        <f aca="false">IF(AND(ISNUMBER(AL237),ISNUMBER(AL100)),IFERROR(-AL237/AL100,""),"")</f>
        <v>0.896407394489013</v>
      </c>
      <c r="AM262" s="57" t="n">
        <f aca="false">IF(AND(ISNUMBER(AM237),ISNUMBER(AM100)),IFERROR(-AM237/AM100,""),"")</f>
        <v>0.518868565988985</v>
      </c>
      <c r="AN262" s="57" t="n">
        <f aca="false">IF(AND(ISNUMBER(AN237),ISNUMBER(AN100)),IFERROR(-AN237/AN100,""),"")</f>
        <v>0.660411739619277</v>
      </c>
      <c r="AO262" s="57" t="n">
        <f aca="false">IF(AND(ISNUMBER(AO237),ISNUMBER(AO100)),IFERROR(-AO237/AO100,""),"")</f>
        <v>0.636920215445422</v>
      </c>
      <c r="AP262" s="57" t="n">
        <f aca="false">IF(AND(ISNUMBER(AP237),ISNUMBER(AP100)),IFERROR(-AP237/AP100,""),"")</f>
        <v>0.647610048035278</v>
      </c>
      <c r="AQ262" s="57" t="n">
        <f aca="false">IF(AND(ISNUMBER(AQ237),ISNUMBER(AQ100)),IFERROR(-AQ237/AQ100,""),"")</f>
        <v>0.78039663177776</v>
      </c>
      <c r="AR262" s="57" t="n">
        <f aca="false">IF(AND(ISNUMBER(AR237),ISNUMBER(AR100)),IFERROR(-AR237/AR100,""),"")</f>
        <v>0.681092059524274</v>
      </c>
      <c r="AS262" s="57" t="n">
        <f aca="false">IF(AND(ISNUMBER(AS237),ISNUMBER(AS100)),IFERROR(-AS237/AS100,""),"")</f>
        <v>0.662248596403951</v>
      </c>
      <c r="AT262" s="57" t="n">
        <f aca="false">IF(AND(ISNUMBER(AT237),ISNUMBER(AT100)),IFERROR(-AT237/AT100,""),"")</f>
        <v>0.375958629423767</v>
      </c>
      <c r="AU262" s="57" t="n">
        <f aca="false">IF(AND(ISNUMBER(AU237),ISNUMBER(AU100)),IFERROR(-AU237/AU100,""),"")</f>
        <v>0.24882096379561</v>
      </c>
      <c r="AV262" s="57" t="n">
        <f aca="false">IF(AND(ISNUMBER(AV237),ISNUMBER(AV100)),IFERROR(-AV237/AV100,""),"")</f>
        <v>0.358386330057172</v>
      </c>
      <c r="AW262" s="57" t="n">
        <f aca="false">IF(AND(ISNUMBER(AW237),ISNUMBER(AW100)),IFERROR(-AW237/AW100,""),"")</f>
        <v>0.409816829590261</v>
      </c>
      <c r="AX262" s="57" t="n">
        <f aca="false">IF(AND(ISNUMBER(AX237),ISNUMBER(AX100)),IFERROR(-AX237/AX100,""),"")</f>
        <v>0.298548697324707</v>
      </c>
      <c r="AY262" s="57" t="n">
        <f aca="false">IF(AND(ISNUMBER(AY237),ISNUMBER(AY100)),IFERROR(-AY237/AY100,""),"")</f>
        <v>0.318183384445746</v>
      </c>
      <c r="AZ262" s="57" t="n">
        <f aca="false">IF(AND(ISNUMBER(AZ237),ISNUMBER(AZ100)),IFERROR(-AZ237/AZ100,""),"")</f>
        <v>0.352396590273896</v>
      </c>
      <c r="BA262" s="57" t="n">
        <f aca="false">IF(AND(ISNUMBER(BA237),ISNUMBER(BA100)),IFERROR(-BA237/BA100,""),"")</f>
        <v>0.470793064241046</v>
      </c>
      <c r="BB262" s="57" t="n">
        <f aca="false">IF(AND(ISNUMBER(BB237),ISNUMBER(BB100)),IFERROR(-BB237/BB100,""),"")</f>
        <v>0.359385928101832</v>
      </c>
      <c r="BC262" s="57" t="n">
        <f aca="false">IF(AND(ISNUMBER(BC237),ISNUMBER(BC100)),IFERROR(-BC237/BC100,""),"")</f>
        <v>0.398201951540401</v>
      </c>
      <c r="BD262" s="57" t="n">
        <f aca="false">IF(AND(ISNUMBER(BD237),ISNUMBER(BD100)),IFERROR(-BD237/BD100,""),"")</f>
        <v>0.327067955254547</v>
      </c>
      <c r="BE262" s="57" t="n">
        <f aca="false">IF(AND(ISNUMBER(BE237),ISNUMBER(BE100)),IFERROR(-BE237/BE100,""),"")</f>
        <v>0.311196652719665</v>
      </c>
      <c r="BF262" s="57" t="n">
        <f aca="false">IF(AND(ISNUMBER(BF237),ISNUMBER(BF100)),IFERROR(-BF237/BF100,""),"")</f>
        <v>0.330725786648893</v>
      </c>
      <c r="BG262" s="57" t="n">
        <f aca="false">IF(AND(ISNUMBER(BG237),ISNUMBER(BG100)),IFERROR(-BG237/BG100,""),"")</f>
        <v>0.34114097494354</v>
      </c>
      <c r="BH262" s="57" t="n">
        <f aca="false">IF(AND(ISNUMBER(BH237),ISNUMBER(BH100)),IFERROR(-BH237/BH100,""),"")</f>
        <v>0.368548414975628</v>
      </c>
      <c r="BI262" s="57" t="n">
        <f aca="false">IF(AND(ISNUMBER(BI237),ISNUMBER(BI100)),IFERROR(-BI237/BI100,""),"")</f>
        <v>0.413212613605068</v>
      </c>
      <c r="BJ262" s="57" t="n">
        <f aca="false">IF(AND(ISNUMBER(BJ237),ISNUMBER(BJ100)),IFERROR(-BJ237/BJ100,""),"")</f>
        <v>0.324763521707495</v>
      </c>
      <c r="BK262" s="57" t="n">
        <f aca="false">IF(AND(ISNUMBER(BK237),ISNUMBER(BK100)),IFERROR(-BK237/BK100,""),"")</f>
        <v>0.430494955004091</v>
      </c>
      <c r="BL262" s="57" t="n">
        <f aca="false">IF(AND(ISNUMBER(BL237),ISNUMBER(BL100)),IFERROR(-BL237/BL100,""),"")</f>
        <v>0.384481630685535</v>
      </c>
      <c r="BM262" s="57" t="n">
        <f aca="false">IF(AND(ISNUMBER(BM237),ISNUMBER(BM100)),IFERROR(-BM237/BM100,""),"")</f>
        <v>0.446762776563021</v>
      </c>
      <c r="BN262" s="57" t="n">
        <f aca="false">IF(AND(ISNUMBER(BN237),ISNUMBER(BN100)),IFERROR(-BN237/BN100,""),"")</f>
        <v>0.407243816254417</v>
      </c>
      <c r="BO262" s="57" t="n">
        <f aca="false">IF(AND(ISNUMBER(BO237),ISNUMBER(BO100)),IFERROR(-BO237/BO100,""),"")</f>
        <v>0.546360469036826</v>
      </c>
      <c r="BP262" s="57" t="n">
        <f aca="false">IF(AND(ISNUMBER(BP237),ISNUMBER(BP100)),IFERROR(-BP237/BP100,""),"")</f>
        <v>0.867576333743429</v>
      </c>
      <c r="BQ262" s="57" t="n">
        <f aca="false">IF(AND(ISNUMBER(BQ237),ISNUMBER(BQ100)),IFERROR(-BQ237/BQ100,""),"")</f>
        <v>0.566320228110749</v>
      </c>
      <c r="BR262" s="57" t="n">
        <f aca="false">IF(AND(ISNUMBER(BR237),ISNUMBER(BR100)),IFERROR(-BR237/BR100,""),"")</f>
        <v>0.511761461341293</v>
      </c>
      <c r="BS262" s="57" t="n">
        <f aca="false">IF(AND(ISNUMBER(BS237),ISNUMBER(BS100)),IFERROR(-BS237/BS100,""),"")</f>
        <v>0.619062829399176</v>
      </c>
      <c r="BT262" s="57" t="n">
        <f aca="false">IF(AND(ISNUMBER(BT237),ISNUMBER(BT100)),IFERROR(-BT237/BT100,""),"")</f>
        <v>0.541822961751787</v>
      </c>
      <c r="BU262" s="57" t="n">
        <f aca="false">IF(AND(ISNUMBER(BU237),ISNUMBER(BU100)),IFERROR(-BU237/BU100,""),"")</f>
        <v>1.19493301161979</v>
      </c>
      <c r="BV262" s="57" t="n">
        <f aca="false">IF(AND(ISNUMBER(BV237),ISNUMBER(BV100)),IFERROR(-BV237/BV100,""),"")</f>
        <v>0.718588012850814</v>
      </c>
      <c r="BW262" s="57" t="n">
        <f aca="false">IF(AND(ISNUMBER(BW237),ISNUMBER(BW100)),IFERROR(-BW237/BW100,""),"")</f>
        <v>0.417133791644633</v>
      </c>
      <c r="BX262" s="57" t="n">
        <f aca="false">IF(AND(ISNUMBER(BX237),ISNUMBER(BX100)),IFERROR(-BX237/BX100,""),"")</f>
        <v>1.0381036305957</v>
      </c>
      <c r="CA262" s="58" t="n">
        <f aca="false">IFERROR(-CA237/CA100,"")</f>
        <v>0.993588328125639</v>
      </c>
      <c r="CB262" s="58" t="n">
        <f aca="false">IFERROR(-CB237/CB100,"")</f>
        <v>0.933119334401763</v>
      </c>
      <c r="CC262" s="58" t="n">
        <f aca="false">IFERROR(-CC237/CC100,"")</f>
        <v>0.944275017752898</v>
      </c>
      <c r="CD262" s="58" t="n">
        <f aca="false">IFERROR(-CD237/CD100,"")</f>
        <v>0.916387090137284</v>
      </c>
      <c r="CE262" s="58" t="n">
        <f aca="false">IFERROR(-CE237/CE100,"")</f>
        <v>0.900497059344685</v>
      </c>
    </row>
    <row r="264" customFormat="false" ht="15" hidden="false" customHeight="false" outlineLevel="0" collapsed="false">
      <c r="B264" s="8" t="s">
        <v>456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8" t="s">
        <v>457</v>
      </c>
    </row>
    <row r="265" customFormat="false" ht="15" hidden="false" customHeight="false" outlineLevel="0" collapsed="false">
      <c r="B265" s="20" t="s">
        <v>458</v>
      </c>
      <c r="BY265" s="59" t="n">
        <f aca="false">$CA$381</f>
        <v>544.21</v>
      </c>
      <c r="BZ265" s="59" t="n">
        <f aca="false">$CA$381</f>
        <v>544.21</v>
      </c>
      <c r="CA265" s="59" t="n">
        <f aca="false">CA381</f>
        <v>544.21</v>
      </c>
      <c r="CB265" s="59" t="n">
        <f aca="false">CA265*(1+CB382)</f>
        <v>582.3047</v>
      </c>
      <c r="CC265" s="59" t="n">
        <f aca="false">CB265*(1+CC382)</f>
        <v>623.066029</v>
      </c>
      <c r="CD265" s="59" t="n">
        <f aca="false">CC265*(1+CD382)</f>
        <v>666.68065103</v>
      </c>
      <c r="CE265" s="59" t="n">
        <f aca="false">CD265*(1+CE382)</f>
        <v>713.3482966021</v>
      </c>
      <c r="CF265" s="18" t="s">
        <v>459</v>
      </c>
    </row>
    <row r="266" customFormat="false" ht="15" hidden="false" customHeight="false" outlineLevel="0" collapsed="false">
      <c r="B266" s="20" t="s">
        <v>460</v>
      </c>
      <c r="BY266" s="25" t="n">
        <f aca="false">MIN(240,CHOOSE(MATCH($CF$2,{"Bull","Base","Bear"},0),$CN$35,$CO$35,$CP$35))</f>
        <v>240</v>
      </c>
      <c r="BZ266" s="25" t="n">
        <f aca="false">CHOOSE(MATCH($CF$2,{"Bull","Base","Bear"},0),$CN$35,$CO$35,$CP$35)-$BY$266</f>
        <v>60</v>
      </c>
      <c r="CA266" s="25" t="n">
        <f aca="false">SUM(BW266,BX266,BY266,BZ266)</f>
        <v>300</v>
      </c>
      <c r="CB266" s="25" t="n">
        <f aca="false">-CB246</f>
        <v>414.681990639467</v>
      </c>
      <c r="CC266" s="25" t="n">
        <f aca="false">-CC246</f>
        <v>399.112452829879</v>
      </c>
      <c r="CD266" s="25" t="n">
        <f aca="false">-CD246</f>
        <v>471.385091462534</v>
      </c>
      <c r="CE266" s="25" t="n">
        <f aca="false">-CE246</f>
        <v>544.745488982968</v>
      </c>
      <c r="CF266" s="18" t="s">
        <v>461</v>
      </c>
    </row>
    <row r="267" customFormat="false" ht="15" hidden="false" customHeight="false" outlineLevel="0" collapsed="false">
      <c r="B267" s="20" t="s">
        <v>462</v>
      </c>
      <c r="BY267" s="59" t="n">
        <f aca="false">IFERROR(BY266/BY265,"")</f>
        <v>0.441006229212988</v>
      </c>
      <c r="BZ267" s="59" t="n">
        <f aca="false">IFERROR(BZ266/BZ265,"")</f>
        <v>0.110251557303247</v>
      </c>
      <c r="CA267" s="59" t="n">
        <f aca="false">SUM(BW267,BX267,BY267,BZ267)</f>
        <v>0.551257786516235</v>
      </c>
      <c r="CB267" s="59" t="n">
        <f aca="false">IFERROR(CB266/CB265,"")</f>
        <v>0.712139178405167</v>
      </c>
      <c r="CC267" s="59" t="n">
        <f aca="false">IFERROR(CC266/CC265,"")</f>
        <v>0.640562050013288</v>
      </c>
      <c r="CD267" s="59" t="n">
        <f aca="false">IFERROR(CD266/CD265,"")</f>
        <v>0.707062805459044</v>
      </c>
      <c r="CE267" s="59" t="n">
        <f aca="false">IFERROR(CE266/CE265,"")</f>
        <v>0.76364588179121</v>
      </c>
    </row>
    <row r="268" customFormat="false" ht="15" hidden="false" customHeight="false" outlineLevel="0" collapsed="false">
      <c r="B268" s="20" t="s">
        <v>463</v>
      </c>
      <c r="BY268" s="60" t="n">
        <v>0.05</v>
      </c>
      <c r="BZ268" s="60" t="n">
        <v>0.05</v>
      </c>
      <c r="CA268" s="59" t="n">
        <f aca="false">SUM(BW268,BX268,BY268,BZ268)</f>
        <v>0.1</v>
      </c>
      <c r="CB268" s="60" t="n">
        <v>0.2</v>
      </c>
      <c r="CC268" s="60" t="n">
        <v>0.2</v>
      </c>
      <c r="CD268" s="60" t="n">
        <v>0.2</v>
      </c>
      <c r="CE268" s="60" t="n">
        <v>0.2</v>
      </c>
    </row>
    <row r="269" customFormat="false" ht="15" hidden="false" customHeight="false" outlineLevel="0" collapsed="false">
      <c r="B269" s="20" t="s">
        <v>464</v>
      </c>
      <c r="CA269" s="59" t="n">
        <f aca="false">BX312</f>
        <v>36.931138</v>
      </c>
      <c r="CB269" s="59" t="n">
        <f aca="false">CA270</f>
        <v>36.4798802134838</v>
      </c>
      <c r="CC269" s="59" t="n">
        <f aca="false">CB270</f>
        <v>35.9677410350786</v>
      </c>
      <c r="CD269" s="59" t="n">
        <f aca="false">CC270</f>
        <v>35.5271789850653</v>
      </c>
      <c r="CE269" s="59" t="n">
        <f aca="false">CD270</f>
        <v>35.0201161796063</v>
      </c>
      <c r="CF269" s="18" t="s">
        <v>465</v>
      </c>
    </row>
    <row r="270" customFormat="false" ht="15" hidden="false" customHeight="false" outlineLevel="0" collapsed="false">
      <c r="B270" s="20" t="s">
        <v>466</v>
      </c>
      <c r="CA270" s="59" t="n">
        <f aca="false">CA269-CA267+CA268</f>
        <v>36.4798802134838</v>
      </c>
      <c r="CB270" s="59" t="n">
        <f aca="false">CB269-CB267+CB268</f>
        <v>35.9677410350786</v>
      </c>
      <c r="CC270" s="59" t="n">
        <f aca="false">CC269-CC267+CC268</f>
        <v>35.5271789850653</v>
      </c>
      <c r="CD270" s="59" t="n">
        <f aca="false">CD269-CD267+CD268</f>
        <v>35.0201161796063</v>
      </c>
      <c r="CE270" s="59" t="n">
        <f aca="false">CE269-CE267+CE268</f>
        <v>34.4564702978151</v>
      </c>
    </row>
    <row r="271" customFormat="false" ht="15" hidden="false" customHeight="false" outlineLevel="0" collapsed="false">
      <c r="B271" s="20" t="s">
        <v>467</v>
      </c>
      <c r="CA271" s="22" t="n">
        <f aca="false">IFERROR(CA267/CA269,"")</f>
        <v>0.0149266395884209</v>
      </c>
      <c r="CB271" s="22" t="n">
        <f aca="false">IFERROR(CB267/CB269,"")</f>
        <v>0.0195214231581261</v>
      </c>
      <c r="CC271" s="22" t="n">
        <f aca="false">IFERROR(CC267/CC269,"")</f>
        <v>0.0178093489215395</v>
      </c>
      <c r="CD271" s="22" t="n">
        <f aca="false">IFERROR(CD267/CD269,"")</f>
        <v>0.0199020250314914</v>
      </c>
      <c r="CE271" s="22" t="n">
        <f aca="false">IFERROR(CE267/CE269,"")</f>
        <v>0.0218059208563081</v>
      </c>
    </row>
    <row r="272" customFormat="false" ht="15" hidden="false" customHeight="false" outlineLevel="0" collapsed="false">
      <c r="B272" s="20" t="s">
        <v>468</v>
      </c>
      <c r="CA272" s="59" t="n">
        <f aca="false">CA267</f>
        <v>0.551257786516235</v>
      </c>
      <c r="CB272" s="59" t="n">
        <f aca="false">CA272+CB267</f>
        <v>1.2633969649214</v>
      </c>
      <c r="CC272" s="59" t="n">
        <f aca="false">CB272+CC267</f>
        <v>1.90395901493469</v>
      </c>
      <c r="CD272" s="59" t="n">
        <f aca="false">CC272+CD267</f>
        <v>2.61102182039373</v>
      </c>
      <c r="CE272" s="59" t="n">
        <f aca="false">CD272+CE267</f>
        <v>3.37466770218494</v>
      </c>
    </row>
    <row r="274" customFormat="false" ht="15" hidden="false" customHeight="false" outlineLevel="0" collapsed="false">
      <c r="B274" s="8" t="s">
        <v>469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8" t="s">
        <v>470</v>
      </c>
    </row>
    <row r="275" customFormat="false" ht="15" hidden="false" customHeight="false" outlineLevel="0" collapsed="false">
      <c r="B275" s="49" t="s">
        <v>471</v>
      </c>
    </row>
    <row r="276" customFormat="false" ht="15" hidden="false" customHeight="false" outlineLevel="0" collapsed="false">
      <c r="B276" s="20" t="s">
        <v>472</v>
      </c>
      <c r="C276" s="24" t="n">
        <v>124.517</v>
      </c>
      <c r="D276" s="24" t="n">
        <v>66.52</v>
      </c>
      <c r="E276" s="24" t="n">
        <v>60.705</v>
      </c>
      <c r="F276" s="24" t="n">
        <v>65.01</v>
      </c>
      <c r="G276" s="24" t="n">
        <v>68.119</v>
      </c>
      <c r="H276" s="24" t="n">
        <v>194.387</v>
      </c>
      <c r="I276" s="24" t="n">
        <v>112.023</v>
      </c>
      <c r="J276" s="24" t="n">
        <v>118.797</v>
      </c>
      <c r="K276" s="24" t="n">
        <v>143.043</v>
      </c>
      <c r="L276" s="24" t="n">
        <v>171.362</v>
      </c>
      <c r="M276" s="24" t="n">
        <v>175.294</v>
      </c>
      <c r="N276" s="24" t="n">
        <v>175.294</v>
      </c>
      <c r="O276" s="24" t="n">
        <v>127.967</v>
      </c>
      <c r="P276" s="24" t="n">
        <v>194.14</v>
      </c>
      <c r="Q276" s="24" t="n">
        <v>222.471</v>
      </c>
      <c r="R276" s="24" t="n">
        <v>450.116</v>
      </c>
      <c r="S276" s="24" t="n">
        <v>450.116</v>
      </c>
      <c r="T276" s="24" t="n">
        <v>215.594</v>
      </c>
      <c r="U276" s="24" t="n">
        <v>244.98</v>
      </c>
      <c r="V276" s="24" t="n">
        <v>247.925</v>
      </c>
      <c r="W276" s="24" t="n">
        <v>288.697</v>
      </c>
      <c r="X276" s="24" t="n">
        <v>288.697</v>
      </c>
      <c r="Y276" s="24" t="n">
        <v>337.263</v>
      </c>
      <c r="Z276" s="24" t="n">
        <v>383.151</v>
      </c>
      <c r="AA276" s="24" t="n">
        <v>452.053</v>
      </c>
      <c r="AB276" s="24" t="n">
        <v>553.848</v>
      </c>
      <c r="AC276" s="24" t="n">
        <v>553.848</v>
      </c>
      <c r="AD276" s="24" t="n">
        <v>272.906</v>
      </c>
      <c r="AE276" s="24" t="n">
        <v>342.711</v>
      </c>
      <c r="AF276" s="24" t="n">
        <v>432.191</v>
      </c>
      <c r="AG276" s="24" t="n">
        <v>475.12</v>
      </c>
      <c r="AH276" s="24" t="n">
        <v>475.12</v>
      </c>
      <c r="AI276" s="24" t="n">
        <v>396.518</v>
      </c>
      <c r="AJ276" s="24" t="n">
        <v>218.898</v>
      </c>
      <c r="AK276" s="24" t="n">
        <v>245.917</v>
      </c>
      <c r="AL276" s="24" t="n">
        <v>276.066</v>
      </c>
      <c r="AM276" s="24" t="n">
        <v>276.066</v>
      </c>
      <c r="AN276" s="24" t="n">
        <v>154.428</v>
      </c>
      <c r="AO276" s="24" t="n">
        <v>216.344</v>
      </c>
      <c r="AP276" s="24" t="n">
        <v>297.712</v>
      </c>
      <c r="AQ276" s="24" t="n">
        <v>391.033</v>
      </c>
      <c r="AR276" s="24" t="n">
        <v>391.033</v>
      </c>
      <c r="AS276" s="24" t="n">
        <v>157.757</v>
      </c>
      <c r="AT276" s="24" t="n">
        <v>155.383</v>
      </c>
      <c r="AU276" s="24" t="n">
        <v>426.821</v>
      </c>
      <c r="AV276" s="24" t="n">
        <v>198.248</v>
      </c>
      <c r="AW276" s="24" t="n">
        <v>198.248</v>
      </c>
      <c r="AX276" s="24" t="n">
        <v>147.069</v>
      </c>
      <c r="AY276" s="24" t="n">
        <v>197.508</v>
      </c>
      <c r="AZ276" s="24" t="n">
        <v>234.416</v>
      </c>
      <c r="BA276" s="24" t="n">
        <v>171.004</v>
      </c>
      <c r="BB276" s="24" t="n">
        <v>171.004</v>
      </c>
      <c r="BC276" s="24" t="n">
        <v>136.682</v>
      </c>
      <c r="BD276" s="24" t="n">
        <v>171.414</v>
      </c>
      <c r="BE276" s="24" t="n">
        <v>113.552</v>
      </c>
      <c r="BF276" s="24" t="n">
        <v>256.974</v>
      </c>
      <c r="BG276" s="24" t="n">
        <v>256.974</v>
      </c>
      <c r="BH276" s="24" t="n">
        <v>130.659</v>
      </c>
      <c r="BI276" s="24" t="n">
        <v>158.737</v>
      </c>
      <c r="BJ276" s="24" t="n">
        <v>148.809</v>
      </c>
      <c r="BK276" s="24" t="n">
        <v>406.867</v>
      </c>
      <c r="BL276" s="24" t="n">
        <v>406.867</v>
      </c>
      <c r="BM276" s="24" t="n">
        <v>338.034</v>
      </c>
      <c r="BN276" s="24" t="n">
        <v>382.564</v>
      </c>
      <c r="BO276" s="24" t="n">
        <v>443.85</v>
      </c>
      <c r="BP276" s="24" t="n">
        <v>385.042</v>
      </c>
      <c r="BQ276" s="24" t="n">
        <v>385.042</v>
      </c>
      <c r="BR276" s="24" t="n">
        <v>226.459</v>
      </c>
      <c r="BS276" s="24" t="n">
        <v>331.664</v>
      </c>
      <c r="BT276" s="24" t="n">
        <v>225.427</v>
      </c>
      <c r="BU276" s="24" t="n">
        <v>371.345</v>
      </c>
      <c r="BV276" s="24" t="n">
        <v>371.345</v>
      </c>
      <c r="BW276" s="24" t="n">
        <v>343.447</v>
      </c>
      <c r="BX276" s="24" t="n">
        <v>477.149</v>
      </c>
      <c r="CA276" s="25" t="n">
        <f aca="false">CA253</f>
        <v>410.354045131842</v>
      </c>
      <c r="CB276" s="25" t="n">
        <f aca="false">CB253</f>
        <v>288.5965</v>
      </c>
      <c r="CC276" s="25" t="n">
        <f aca="false">CC253</f>
        <v>250</v>
      </c>
      <c r="CD276" s="25" t="n">
        <f aca="false">CD253</f>
        <v>250</v>
      </c>
      <c r="CE276" s="25" t="n">
        <f aca="false">CE253</f>
        <v>250</v>
      </c>
    </row>
    <row r="277" customFormat="false" ht="15" hidden="false" customHeight="false" outlineLevel="0" collapsed="false">
      <c r="B277" s="20" t="s">
        <v>473</v>
      </c>
      <c r="C277" s="24" t="n">
        <v>284.774</v>
      </c>
      <c r="D277" s="24" t="n">
        <v>392.918</v>
      </c>
      <c r="E277" s="24" t="n">
        <v>395.659</v>
      </c>
      <c r="F277" s="24" t="n">
        <v>404.539</v>
      </c>
      <c r="G277" s="24" t="n">
        <v>461.632</v>
      </c>
      <c r="H277" s="24" t="n">
        <v>556.026</v>
      </c>
      <c r="I277" s="24" t="n">
        <v>578.313</v>
      </c>
      <c r="J277" s="24" t="n">
        <v>593.232</v>
      </c>
      <c r="K277" s="24" t="n">
        <v>580.26</v>
      </c>
      <c r="L277" s="24" t="n">
        <v>567.259</v>
      </c>
      <c r="M277" s="24" t="n">
        <v>603.592</v>
      </c>
      <c r="N277" s="24" t="n">
        <v>603.592</v>
      </c>
      <c r="O277" s="24" t="n">
        <v>618.418</v>
      </c>
      <c r="P277" s="24" t="n">
        <v>621.415</v>
      </c>
      <c r="Q277" s="24" t="n">
        <v>539.638</v>
      </c>
      <c r="R277" s="24" t="n">
        <v>495.48</v>
      </c>
      <c r="S277" s="24" t="n">
        <v>495.48</v>
      </c>
      <c r="T277" s="24" t="n">
        <v>496.019</v>
      </c>
      <c r="U277" s="24" t="n">
        <v>599.106</v>
      </c>
      <c r="V277" s="24" t="n">
        <v>538.781</v>
      </c>
      <c r="W277" s="24" t="n">
        <v>566.289</v>
      </c>
      <c r="X277" s="24" t="n">
        <v>566.289</v>
      </c>
      <c r="Y277" s="24" t="n">
        <v>481.768</v>
      </c>
      <c r="Z277" s="24" t="n">
        <v>477.018</v>
      </c>
      <c r="AA277" s="24" t="n">
        <v>462.004</v>
      </c>
      <c r="AB277" s="24" t="n">
        <v>463.062</v>
      </c>
      <c r="AC277" s="24" t="n">
        <v>463.062</v>
      </c>
      <c r="AD277" s="24" t="n">
        <v>476.506</v>
      </c>
      <c r="AE277" s="24" t="n">
        <v>502.216</v>
      </c>
      <c r="AF277" s="24" t="n">
        <v>515.966</v>
      </c>
      <c r="AG277" s="24" t="n">
        <v>494.923</v>
      </c>
      <c r="AH277" s="24" t="n">
        <v>494.923</v>
      </c>
      <c r="AI277" s="24" t="n">
        <v>518.784</v>
      </c>
      <c r="AJ277" s="24" t="n">
        <v>575.142</v>
      </c>
      <c r="AK277" s="24" t="n">
        <v>615.398</v>
      </c>
      <c r="AL277" s="24" t="n">
        <v>593.755</v>
      </c>
      <c r="AM277" s="24" t="n">
        <v>593.755</v>
      </c>
      <c r="AN277" s="24" t="n">
        <v>591.562</v>
      </c>
      <c r="AO277" s="24" t="n">
        <v>636.058</v>
      </c>
      <c r="AP277" s="24" t="n">
        <v>644.15</v>
      </c>
      <c r="AQ277" s="24" t="n">
        <v>632.194</v>
      </c>
      <c r="AR277" s="24" t="n">
        <v>632.194</v>
      </c>
      <c r="AS277" s="24" t="n">
        <v>630.626</v>
      </c>
      <c r="AT277" s="24" t="n">
        <v>598.34</v>
      </c>
      <c r="AU277" s="24" t="n">
        <v>634.944</v>
      </c>
      <c r="AV277" s="24" t="n">
        <v>588.718</v>
      </c>
      <c r="AW277" s="24" t="n">
        <v>588.718</v>
      </c>
      <c r="AX277" s="24" t="n">
        <v>617.499</v>
      </c>
      <c r="AY277" s="24" t="n">
        <v>644.089</v>
      </c>
      <c r="AZ277" s="24" t="n">
        <v>670.867</v>
      </c>
      <c r="BA277" s="24" t="n">
        <v>647.148</v>
      </c>
      <c r="BB277" s="24" t="n">
        <v>647.148</v>
      </c>
      <c r="BC277" s="24" t="n">
        <v>661.129</v>
      </c>
      <c r="BD277" s="24" t="n">
        <v>699.632</v>
      </c>
      <c r="BE277" s="24" t="n">
        <v>713.592</v>
      </c>
      <c r="BF277" s="24" t="n">
        <v>724.603</v>
      </c>
      <c r="BG277" s="24" t="n">
        <v>724.603</v>
      </c>
      <c r="BH277" s="24" t="n">
        <v>720.248</v>
      </c>
      <c r="BI277" s="24" t="n">
        <v>751.532</v>
      </c>
      <c r="BJ277" s="24" t="n">
        <v>790.334</v>
      </c>
      <c r="BK277" s="24" t="n">
        <v>732.678</v>
      </c>
      <c r="BL277" s="24" t="n">
        <v>732.678</v>
      </c>
      <c r="BM277" s="24" t="n">
        <v>776.662</v>
      </c>
      <c r="BN277" s="24" t="n">
        <v>817.135</v>
      </c>
      <c r="BO277" s="24" t="n">
        <v>857.614</v>
      </c>
      <c r="BP277" s="24" t="n">
        <v>835.037</v>
      </c>
      <c r="BQ277" s="24" t="n">
        <v>835.037</v>
      </c>
      <c r="BR277" s="24" t="n">
        <v>911.313</v>
      </c>
      <c r="BS277" s="24" t="n">
        <v>961.601</v>
      </c>
      <c r="BT277" s="24" t="n">
        <v>976.885</v>
      </c>
      <c r="BU277" s="24" t="n">
        <v>932.344</v>
      </c>
      <c r="BV277" s="24" t="n">
        <v>932.344</v>
      </c>
      <c r="BW277" s="24" t="n">
        <v>996.331</v>
      </c>
      <c r="BX277" s="24" t="n">
        <v>997.35</v>
      </c>
      <c r="CA277" s="25" t="n">
        <f aca="false">CA114*CA315/365</f>
        <v>943.158373130757</v>
      </c>
      <c r="CB277" s="25" t="n">
        <f aca="false">CB114*CB315/365</f>
        <v>1023.10476154572</v>
      </c>
      <c r="CC277" s="25" t="n">
        <f aca="false">CC114*CC315/365</f>
        <v>1117.98460283832</v>
      </c>
      <c r="CD277" s="25" t="n">
        <f aca="false">CD114*CD315/365</f>
        <v>1213.49325295645</v>
      </c>
      <c r="CE277" s="25" t="n">
        <f aca="false">CE114*CE315/365</f>
        <v>1314.71219952701</v>
      </c>
      <c r="CF277" s="18" t="s">
        <v>474</v>
      </c>
    </row>
    <row r="278" customFormat="false" ht="15" hidden="false" customHeight="false" outlineLevel="0" collapsed="false">
      <c r="B278" s="20" t="s">
        <v>475</v>
      </c>
      <c r="C278" s="24" t="n">
        <v>161.528</v>
      </c>
      <c r="D278" s="24" t="n">
        <v>241.728</v>
      </c>
      <c r="E278" s="24" t="n">
        <v>281.508</v>
      </c>
      <c r="F278" s="24" t="n">
        <v>285.608</v>
      </c>
      <c r="G278" s="24" t="n">
        <v>281.103</v>
      </c>
      <c r="H278" s="24" t="n">
        <v>320.633</v>
      </c>
      <c r="I278" s="24" t="n">
        <v>397.471</v>
      </c>
      <c r="J278" s="24" t="n">
        <v>427.424</v>
      </c>
      <c r="K278" s="24" t="n">
        <v>436.291</v>
      </c>
      <c r="L278" s="24" t="n">
        <v>456.884</v>
      </c>
      <c r="M278" s="24" t="n">
        <v>452.087</v>
      </c>
      <c r="N278" s="24" t="n">
        <v>452.087</v>
      </c>
      <c r="O278" s="24" t="n">
        <v>467.708</v>
      </c>
      <c r="P278" s="24" t="n">
        <v>465.886</v>
      </c>
      <c r="Q278" s="24" t="n">
        <v>403.924</v>
      </c>
      <c r="R278" s="24" t="n">
        <v>388.67</v>
      </c>
      <c r="S278" s="24" t="n">
        <v>388.67</v>
      </c>
      <c r="T278" s="24" t="n">
        <v>390.188</v>
      </c>
      <c r="U278" s="24" t="n">
        <v>400.67</v>
      </c>
      <c r="V278" s="24" t="n">
        <v>406.606</v>
      </c>
      <c r="W278" s="24" t="n">
        <v>379.591</v>
      </c>
      <c r="X278" s="24" t="n">
        <v>379.591</v>
      </c>
      <c r="Y278" s="24" t="n">
        <v>403.027</v>
      </c>
      <c r="Z278" s="24" t="n">
        <v>397.562</v>
      </c>
      <c r="AA278" s="24" t="n">
        <v>399.638</v>
      </c>
      <c r="AB278" s="24" t="n">
        <v>366.974</v>
      </c>
      <c r="AC278" s="24" t="n">
        <v>366.974</v>
      </c>
      <c r="AD278" s="24" t="n">
        <v>395.183</v>
      </c>
      <c r="AE278" s="24" t="n">
        <v>396.245</v>
      </c>
      <c r="AF278" s="24" t="n">
        <v>397.27</v>
      </c>
      <c r="AG278" s="24" t="n">
        <v>378.866</v>
      </c>
      <c r="AH278" s="24" t="n">
        <v>378.866</v>
      </c>
      <c r="AI278" s="24" t="n">
        <v>386.787</v>
      </c>
      <c r="AJ278" s="24" t="n">
        <v>436.25</v>
      </c>
      <c r="AK278" s="24" t="n">
        <v>429.267</v>
      </c>
      <c r="AL278" s="24" t="n">
        <v>423.426</v>
      </c>
      <c r="AM278" s="24" t="n">
        <v>423.426</v>
      </c>
      <c r="AN278" s="24" t="n">
        <v>447.022</v>
      </c>
      <c r="AO278" s="24" t="n">
        <v>436.19</v>
      </c>
      <c r="AP278" s="24" t="n">
        <v>430.086</v>
      </c>
      <c r="AQ278" s="24" t="n">
        <v>424.835</v>
      </c>
      <c r="AR278" s="24" t="n">
        <v>424.835</v>
      </c>
      <c r="AS278" s="24" t="n">
        <v>449.254</v>
      </c>
      <c r="AT278" s="24" t="n">
        <v>461.902</v>
      </c>
      <c r="AU278" s="24" t="n">
        <v>460.585</v>
      </c>
      <c r="AV278" s="24" t="n">
        <v>428.879</v>
      </c>
      <c r="AW278" s="24" t="n">
        <v>428.879</v>
      </c>
      <c r="AX278" s="24" t="n">
        <v>446.632</v>
      </c>
      <c r="AY278" s="24" t="n">
        <v>446.689</v>
      </c>
      <c r="AZ278" s="24" t="n">
        <v>433.14</v>
      </c>
      <c r="BA278" s="24" t="n">
        <v>411.567</v>
      </c>
      <c r="BB278" s="24" t="n">
        <v>411.567</v>
      </c>
      <c r="BC278" s="24" t="n">
        <v>448.122</v>
      </c>
      <c r="BD278" s="24" t="n">
        <v>482.79</v>
      </c>
      <c r="BE278" s="24" t="n">
        <v>503.064</v>
      </c>
      <c r="BF278" s="24" t="n">
        <v>483.113</v>
      </c>
      <c r="BG278" s="24" t="n">
        <v>483.113</v>
      </c>
      <c r="BH278" s="24" t="n">
        <v>527.937</v>
      </c>
      <c r="BI278" s="24" t="n">
        <v>545.596</v>
      </c>
      <c r="BJ278" s="24" t="n">
        <v>540.18</v>
      </c>
      <c r="BK278" s="24" t="n">
        <v>510.033</v>
      </c>
      <c r="BL278" s="24" t="n">
        <v>510.033</v>
      </c>
      <c r="BM278" s="24" t="n">
        <v>553.037</v>
      </c>
      <c r="BN278" s="24" t="n">
        <v>559.142</v>
      </c>
      <c r="BO278" s="24" t="n">
        <v>582.584</v>
      </c>
      <c r="BP278" s="24" t="n">
        <v>541.442</v>
      </c>
      <c r="BQ278" s="24" t="n">
        <v>541.442</v>
      </c>
      <c r="BR278" s="24" t="n">
        <v>578.103</v>
      </c>
      <c r="BS278" s="24" t="n">
        <v>610.884</v>
      </c>
      <c r="BT278" s="24" t="n">
        <v>636.883</v>
      </c>
      <c r="BU278" s="24" t="n">
        <v>615.097</v>
      </c>
      <c r="BV278" s="24" t="n">
        <v>615.097</v>
      </c>
      <c r="BW278" s="24" t="n">
        <v>640.642</v>
      </c>
      <c r="BX278" s="24" t="n">
        <v>668.728</v>
      </c>
      <c r="CA278" s="25" t="n">
        <f aca="false">CA115*CA318/365</f>
        <v>656.47499636313</v>
      </c>
      <c r="CB278" s="25" t="n">
        <f aca="false">CB115*CB318/365</f>
        <v>702.135080547945</v>
      </c>
      <c r="CC278" s="25" t="n">
        <f aca="false">CC115*CC318/365</f>
        <v>763.342838779726</v>
      </c>
      <c r="CD278" s="25" t="n">
        <f aca="false">CD115*CD318/365</f>
        <v>825.522028116674</v>
      </c>
      <c r="CE278" s="25" t="n">
        <f aca="false">CE115*CE318/365</f>
        <v>891.392834127263</v>
      </c>
    </row>
    <row r="279" customFormat="false" ht="15" hidden="false" customHeight="false" outlineLevel="0" collapsed="false">
      <c r="B279" s="20" t="s">
        <v>476</v>
      </c>
      <c r="C279" s="24" t="n">
        <v>51.826</v>
      </c>
      <c r="D279" s="24" t="n">
        <v>57.015</v>
      </c>
      <c r="E279" s="24" t="n">
        <v>64.147</v>
      </c>
      <c r="F279" s="24" t="n">
        <v>82.344</v>
      </c>
      <c r="G279" s="24" t="n">
        <v>89.173</v>
      </c>
      <c r="H279" s="24" t="n">
        <v>96.088</v>
      </c>
      <c r="I279" s="24" t="n">
        <v>87.954</v>
      </c>
      <c r="J279" s="24" t="n">
        <v>93.403</v>
      </c>
      <c r="K279" s="24" t="n">
        <v>96.099</v>
      </c>
      <c r="L279" s="24" t="n">
        <v>99.724</v>
      </c>
      <c r="M279" s="24" t="n">
        <v>106.31</v>
      </c>
      <c r="N279" s="24" t="n">
        <v>106.31</v>
      </c>
      <c r="O279" s="24" t="n">
        <v>106.713</v>
      </c>
      <c r="P279" s="24" t="n">
        <v>128.124</v>
      </c>
      <c r="Q279" s="24" t="n">
        <v>444.649</v>
      </c>
      <c r="R279" s="24" t="n">
        <v>236.809</v>
      </c>
      <c r="S279" s="24" t="n">
        <v>236.809</v>
      </c>
      <c r="T279" s="24" t="n">
        <v>239.047</v>
      </c>
      <c r="U279" s="24" t="n">
        <v>89.891</v>
      </c>
      <c r="V279" s="24" t="n">
        <v>73.277</v>
      </c>
      <c r="W279" s="24" t="n">
        <v>82.043</v>
      </c>
      <c r="X279" s="24" t="n">
        <v>82.043</v>
      </c>
      <c r="Y279" s="24" t="n">
        <v>38.146</v>
      </c>
      <c r="Z279" s="24" t="n">
        <v>52.561</v>
      </c>
      <c r="AA279" s="24" t="n">
        <v>49.438</v>
      </c>
      <c r="AB279" s="24" t="n">
        <v>30.927</v>
      </c>
      <c r="AC279" s="24" t="n">
        <v>30.927</v>
      </c>
      <c r="AD279" s="24" t="n">
        <v>45.514</v>
      </c>
      <c r="AE279" s="24" t="n">
        <v>45.932</v>
      </c>
      <c r="AF279" s="24" t="n">
        <v>43.852</v>
      </c>
      <c r="AG279" s="24" t="n">
        <v>52.951</v>
      </c>
      <c r="AH279" s="24" t="n">
        <v>52.951</v>
      </c>
      <c r="AI279" s="24" t="n">
        <v>50.688</v>
      </c>
      <c r="AJ279" s="24" t="n">
        <v>53.953</v>
      </c>
      <c r="AK279" s="24" t="n">
        <v>55.752</v>
      </c>
      <c r="AL279" s="24" t="n">
        <v>50.719</v>
      </c>
      <c r="AM279" s="24" t="n">
        <v>50.719</v>
      </c>
      <c r="AN279" s="24" t="n">
        <v>45.727</v>
      </c>
      <c r="AO279" s="24" t="n">
        <v>48.06</v>
      </c>
      <c r="AP279" s="24" t="n">
        <v>44.338</v>
      </c>
      <c r="AQ279" s="24" t="n">
        <v>81.729</v>
      </c>
      <c r="AR279" s="24" t="n">
        <v>81.729</v>
      </c>
      <c r="AS279" s="24" t="n">
        <v>45.298</v>
      </c>
      <c r="AT279" s="24" t="n">
        <v>51.584</v>
      </c>
      <c r="AU279" s="24" t="n">
        <v>58.403</v>
      </c>
      <c r="AV279" s="24" t="n">
        <v>84.979</v>
      </c>
      <c r="AW279" s="24" t="n">
        <v>84.979</v>
      </c>
      <c r="AX279" s="24" t="n">
        <v>75.539</v>
      </c>
      <c r="AY279" s="24" t="n">
        <v>113.104</v>
      </c>
      <c r="AZ279" s="24" t="n">
        <v>85.386</v>
      </c>
      <c r="BA279" s="24" t="n">
        <v>78.089</v>
      </c>
      <c r="BB279" s="24" t="n">
        <v>78.089</v>
      </c>
      <c r="BC279" s="24" t="n">
        <v>63.942</v>
      </c>
      <c r="BD279" s="24" t="n">
        <v>84.584</v>
      </c>
      <c r="BE279" s="24" t="n">
        <v>84.468</v>
      </c>
      <c r="BF279" s="24" t="n">
        <v>52.623</v>
      </c>
      <c r="BG279" s="24" t="n">
        <v>52.623</v>
      </c>
      <c r="BH279" s="24" t="n">
        <v>67.415</v>
      </c>
      <c r="BI279" s="24" t="n">
        <v>67.693</v>
      </c>
      <c r="BJ279" s="24" t="n">
        <v>65.794</v>
      </c>
      <c r="BK279" s="24" t="n">
        <v>67.502</v>
      </c>
      <c r="BL279" s="24" t="n">
        <v>67.502</v>
      </c>
      <c r="BM279" s="24" t="n">
        <v>69.483</v>
      </c>
      <c r="BN279" s="24" t="n">
        <v>77.039</v>
      </c>
      <c r="BO279" s="24" t="n">
        <v>68.035</v>
      </c>
      <c r="BP279" s="24" t="n">
        <v>88.073</v>
      </c>
      <c r="BQ279" s="24" t="n">
        <v>88.073</v>
      </c>
      <c r="BR279" s="24" t="n">
        <v>84.137</v>
      </c>
      <c r="BS279" s="24" t="n">
        <v>95.571</v>
      </c>
      <c r="BT279" s="24" t="n">
        <v>87.931</v>
      </c>
      <c r="BU279" s="24" t="n">
        <v>99.688</v>
      </c>
      <c r="BV279" s="24" t="n">
        <v>99.688</v>
      </c>
      <c r="BW279" s="24" t="n">
        <v>91.247</v>
      </c>
      <c r="BX279" s="24" t="n">
        <v>93.788</v>
      </c>
      <c r="CA279" s="25" t="n">
        <f aca="false">BX279</f>
        <v>93.788</v>
      </c>
      <c r="CB279" s="25" t="n">
        <f aca="false">CA279</f>
        <v>93.788</v>
      </c>
      <c r="CC279" s="25" t="n">
        <f aca="false">CB279</f>
        <v>93.788</v>
      </c>
      <c r="CD279" s="25" t="n">
        <f aca="false">CC279</f>
        <v>93.788</v>
      </c>
      <c r="CE279" s="25" t="n">
        <f aca="false">CD279</f>
        <v>93.788</v>
      </c>
    </row>
    <row r="280" customFormat="false" ht="15" hidden="false" customHeight="false" outlineLevel="0" collapsed="false">
      <c r="B280" s="15" t="s">
        <v>477</v>
      </c>
      <c r="C280" s="31" t="n">
        <f aca="false">N(C276)+N(C277)+N(C278)+N(C279)</f>
        <v>622.645</v>
      </c>
      <c r="D280" s="31" t="n">
        <f aca="false">N(D276)+N(D277)+N(D278)+N(D279)</f>
        <v>758.181</v>
      </c>
      <c r="E280" s="31" t="n">
        <f aca="false">N(E276)+N(E277)+N(E278)+N(E279)</f>
        <v>802.019</v>
      </c>
      <c r="F280" s="31" t="n">
        <f aca="false">N(F276)+N(F277)+N(F278)+N(F279)</f>
        <v>837.501</v>
      </c>
      <c r="G280" s="31" t="n">
        <f aca="false">N(G276)+N(G277)+N(G278)+N(G279)</f>
        <v>900.027</v>
      </c>
      <c r="H280" s="31" t="n">
        <f aca="false">N(H276)+N(H277)+N(H278)+N(H279)</f>
        <v>1167.134</v>
      </c>
      <c r="I280" s="31" t="n">
        <f aca="false">N(I276)+N(I277)+N(I278)+N(I279)</f>
        <v>1175.761</v>
      </c>
      <c r="J280" s="31" t="n">
        <f aca="false">N(J276)+N(J277)+N(J278)+N(J279)</f>
        <v>1232.856</v>
      </c>
      <c r="K280" s="31" t="n">
        <f aca="false">N(K276)+N(K277)+N(K278)+N(K279)</f>
        <v>1255.693</v>
      </c>
      <c r="L280" s="31" t="n">
        <f aca="false">N(L276)+N(L277)+N(L278)+N(L279)</f>
        <v>1295.229</v>
      </c>
      <c r="M280" s="31" t="n">
        <f aca="false">N(M276)+N(M277)+N(M278)+N(M279)</f>
        <v>1337.283</v>
      </c>
      <c r="N280" s="31" t="n">
        <f aca="false">N(N276)+N(N277)+N(N278)+N(N279)</f>
        <v>1337.283</v>
      </c>
      <c r="O280" s="31" t="n">
        <f aca="false">N(O276)+N(O277)+N(O278)+N(O279)</f>
        <v>1320.806</v>
      </c>
      <c r="P280" s="31" t="n">
        <f aca="false">N(P276)+N(P277)+N(P278)+N(P279)</f>
        <v>1409.565</v>
      </c>
      <c r="Q280" s="31" t="n">
        <f aca="false">N(Q276)+N(Q277)+N(Q278)+N(Q279)</f>
        <v>1610.682</v>
      </c>
      <c r="R280" s="31" t="n">
        <f aca="false">N(R276)+N(R277)+N(R278)+N(R279)</f>
        <v>1571.075</v>
      </c>
      <c r="S280" s="31" t="n">
        <f aca="false">N(S276)+N(S277)+N(S278)+N(S279)</f>
        <v>1571.075</v>
      </c>
      <c r="T280" s="31" t="n">
        <f aca="false">N(T276)+N(T277)+N(T278)+N(T279)</f>
        <v>1340.848</v>
      </c>
      <c r="U280" s="31" t="n">
        <f aca="false">N(U276)+N(U277)+N(U278)+N(U279)</f>
        <v>1334.647</v>
      </c>
      <c r="V280" s="31" t="n">
        <f aca="false">N(V276)+N(V277)+N(V278)+N(V279)</f>
        <v>1266.589</v>
      </c>
      <c r="W280" s="31" t="n">
        <f aca="false">N(W276)+N(W277)+N(W278)+N(W279)</f>
        <v>1316.62</v>
      </c>
      <c r="X280" s="31" t="n">
        <f aca="false">N(X276)+N(X277)+N(X278)+N(X279)</f>
        <v>1316.62</v>
      </c>
      <c r="Y280" s="31" t="n">
        <f aca="false">N(Y276)+N(Y277)+N(Y278)+N(Y279)</f>
        <v>1260.204</v>
      </c>
      <c r="Z280" s="31" t="n">
        <f aca="false">N(Z276)+N(Z277)+N(Z278)+N(Z279)</f>
        <v>1310.292</v>
      </c>
      <c r="AA280" s="31" t="n">
        <f aca="false">N(AA276)+N(AA277)+N(AA278)+N(AA279)</f>
        <v>1363.133</v>
      </c>
      <c r="AB280" s="31" t="n">
        <f aca="false">N(AB276)+N(AB277)+N(AB278)+N(AB279)</f>
        <v>1414.811</v>
      </c>
      <c r="AC280" s="31" t="n">
        <f aca="false">N(AC276)+N(AC277)+N(AC278)+N(AC279)</f>
        <v>1414.811</v>
      </c>
      <c r="AD280" s="31" t="n">
        <f aca="false">N(AD276)+N(AD277)+N(AD278)+N(AD279)</f>
        <v>1190.109</v>
      </c>
      <c r="AE280" s="31" t="n">
        <f aca="false">N(AE276)+N(AE277)+N(AE278)+N(AE279)</f>
        <v>1287.104</v>
      </c>
      <c r="AF280" s="31" t="n">
        <f aca="false">N(AF276)+N(AF277)+N(AF278)+N(AF279)</f>
        <v>1389.279</v>
      </c>
      <c r="AG280" s="31" t="n">
        <f aca="false">N(AG276)+N(AG277)+N(AG278)+N(AG279)</f>
        <v>1401.86</v>
      </c>
      <c r="AH280" s="31" t="n">
        <f aca="false">N(AH276)+N(AH277)+N(AH278)+N(AH279)</f>
        <v>1401.86</v>
      </c>
      <c r="AI280" s="31" t="n">
        <f aca="false">N(AI276)+N(AI277)+N(AI278)+N(AI279)</f>
        <v>1352.777</v>
      </c>
      <c r="AJ280" s="31" t="n">
        <f aca="false">N(AJ276)+N(AJ277)+N(AJ278)+N(AJ279)</f>
        <v>1284.243</v>
      </c>
      <c r="AK280" s="31" t="n">
        <f aca="false">N(AK276)+N(AK277)+N(AK278)+N(AK279)</f>
        <v>1346.334</v>
      </c>
      <c r="AL280" s="31" t="n">
        <f aca="false">N(AL276)+N(AL277)+N(AL278)+N(AL279)</f>
        <v>1343.966</v>
      </c>
      <c r="AM280" s="31" t="n">
        <f aca="false">N(AM276)+N(AM277)+N(AM278)+N(AM279)</f>
        <v>1343.966</v>
      </c>
      <c r="AN280" s="31" t="n">
        <f aca="false">N(AN276)+N(AN277)+N(AN278)+N(AN279)</f>
        <v>1238.739</v>
      </c>
      <c r="AO280" s="31" t="n">
        <f aca="false">N(AO276)+N(AO277)+N(AO278)+N(AO279)</f>
        <v>1336.652</v>
      </c>
      <c r="AP280" s="31" t="n">
        <f aca="false">N(AP276)+N(AP277)+N(AP278)+N(AP279)</f>
        <v>1416.286</v>
      </c>
      <c r="AQ280" s="31" t="n">
        <f aca="false">N(AQ276)+N(AQ277)+N(AQ278)+N(AQ279)</f>
        <v>1529.791</v>
      </c>
      <c r="AR280" s="31" t="n">
        <f aca="false">N(AR276)+N(AR277)+N(AR278)+N(AR279)</f>
        <v>1529.791</v>
      </c>
      <c r="AS280" s="31" t="n">
        <f aca="false">N(AS276)+N(AS277)+N(AS278)+N(AS279)</f>
        <v>1282.935</v>
      </c>
      <c r="AT280" s="31" t="n">
        <f aca="false">N(AT276)+N(AT277)+N(AT278)+N(AT279)</f>
        <v>1267.209</v>
      </c>
      <c r="AU280" s="31" t="n">
        <f aca="false">N(AU276)+N(AU277)+N(AU278)+N(AU279)</f>
        <v>1580.753</v>
      </c>
      <c r="AV280" s="31" t="n">
        <f aca="false">N(AV276)+N(AV277)+N(AV278)+N(AV279)</f>
        <v>1300.824</v>
      </c>
      <c r="AW280" s="31" t="n">
        <f aca="false">N(AW276)+N(AW277)+N(AW278)+N(AW279)</f>
        <v>1300.824</v>
      </c>
      <c r="AX280" s="31" t="n">
        <f aca="false">N(AX276)+N(AX277)+N(AX278)+N(AX279)</f>
        <v>1286.739</v>
      </c>
      <c r="AY280" s="31" t="n">
        <f aca="false">N(AY276)+N(AY277)+N(AY278)+N(AY279)</f>
        <v>1401.39</v>
      </c>
      <c r="AZ280" s="31" t="n">
        <f aca="false">N(AZ276)+N(AZ277)+N(AZ278)+N(AZ279)</f>
        <v>1423.809</v>
      </c>
      <c r="BA280" s="31" t="n">
        <f aca="false">N(BA276)+N(BA277)+N(BA278)+N(BA279)</f>
        <v>1307.808</v>
      </c>
      <c r="BB280" s="31" t="n">
        <f aca="false">N(BB276)+N(BB277)+N(BB278)+N(BB279)</f>
        <v>1307.808</v>
      </c>
      <c r="BC280" s="31" t="n">
        <f aca="false">N(BC276)+N(BC277)+N(BC278)+N(BC279)</f>
        <v>1309.875</v>
      </c>
      <c r="BD280" s="31" t="n">
        <f aca="false">N(BD276)+N(BD277)+N(BD278)+N(BD279)</f>
        <v>1438.42</v>
      </c>
      <c r="BE280" s="31" t="n">
        <f aca="false">N(BE276)+N(BE277)+N(BE278)+N(BE279)</f>
        <v>1414.676</v>
      </c>
      <c r="BF280" s="31" t="n">
        <f aca="false">N(BF276)+N(BF277)+N(BF278)+N(BF279)</f>
        <v>1517.313</v>
      </c>
      <c r="BG280" s="31" t="n">
        <f aca="false">N(BG276)+N(BG277)+N(BG278)+N(BG279)</f>
        <v>1517.313</v>
      </c>
      <c r="BH280" s="31" t="n">
        <f aca="false">N(BH276)+N(BH277)+N(BH278)+N(BH279)</f>
        <v>1446.259</v>
      </c>
      <c r="BI280" s="31" t="n">
        <f aca="false">N(BI276)+N(BI277)+N(BI278)+N(BI279)</f>
        <v>1523.558</v>
      </c>
      <c r="BJ280" s="31" t="n">
        <f aca="false">N(BJ276)+N(BJ277)+N(BJ278)+N(BJ279)</f>
        <v>1545.117</v>
      </c>
      <c r="BK280" s="31" t="n">
        <f aca="false">N(BK276)+N(BK277)+N(BK278)+N(BK279)</f>
        <v>1717.08</v>
      </c>
      <c r="BL280" s="31" t="n">
        <f aca="false">N(BL276)+N(BL277)+N(BL278)+N(BL279)</f>
        <v>1717.08</v>
      </c>
      <c r="BM280" s="31" t="n">
        <f aca="false">N(BM276)+N(BM277)+N(BM278)+N(BM279)</f>
        <v>1737.216</v>
      </c>
      <c r="BN280" s="31" t="n">
        <f aca="false">N(BN276)+N(BN277)+N(BN278)+N(BN279)</f>
        <v>1835.88</v>
      </c>
      <c r="BO280" s="31" t="n">
        <f aca="false">N(BO276)+N(BO277)+N(BO278)+N(BO279)</f>
        <v>1952.083</v>
      </c>
      <c r="BP280" s="31" t="n">
        <f aca="false">N(BP276)+N(BP277)+N(BP278)+N(BP279)</f>
        <v>1849.594</v>
      </c>
      <c r="BQ280" s="31" t="n">
        <f aca="false">N(BQ276)+N(BQ277)+N(BQ278)+N(BQ279)</f>
        <v>1849.594</v>
      </c>
      <c r="BR280" s="31" t="n">
        <f aca="false">N(BR276)+N(BR277)+N(BR278)+N(BR279)</f>
        <v>1800.012</v>
      </c>
      <c r="BS280" s="31" t="n">
        <f aca="false">N(BS276)+N(BS277)+N(BS278)+N(BS279)</f>
        <v>1999.72</v>
      </c>
      <c r="BT280" s="31" t="n">
        <f aca="false">N(BT276)+N(BT277)+N(BT278)+N(BT279)</f>
        <v>1927.126</v>
      </c>
      <c r="BU280" s="31" t="n">
        <f aca="false">N(BU276)+N(BU277)+N(BU278)+N(BU279)</f>
        <v>2018.474</v>
      </c>
      <c r="BV280" s="31" t="n">
        <f aca="false">N(BV276)+N(BV277)+N(BV278)+N(BV279)</f>
        <v>2018.474</v>
      </c>
      <c r="BW280" s="31" t="n">
        <f aca="false">N(BW276)+N(BW277)+N(BW278)+N(BW279)</f>
        <v>2071.667</v>
      </c>
      <c r="BX280" s="31" t="n">
        <f aca="false">N(BX276)+N(BX277)+N(BX278)+N(BX279)</f>
        <v>2237.015</v>
      </c>
      <c r="CA280" s="17" t="n">
        <f aca="false">N(CA276)+N(CA277)+N(CA278)+N(CA279)</f>
        <v>2103.77541462573</v>
      </c>
      <c r="CB280" s="17" t="n">
        <f aca="false">N(CB276)+N(CB277)+N(CB278)+N(CB279)</f>
        <v>2107.62434209366</v>
      </c>
      <c r="CC280" s="17" t="n">
        <f aca="false">N(CC276)+N(CC277)+N(CC278)+N(CC279)</f>
        <v>2225.11544161804</v>
      </c>
      <c r="CD280" s="17" t="n">
        <f aca="false">N(CD276)+N(CD277)+N(CD278)+N(CD279)</f>
        <v>2382.80328107312</v>
      </c>
      <c r="CE280" s="17" t="n">
        <f aca="false">N(CE276)+N(CE277)+N(CE278)+N(CE279)</f>
        <v>2549.89303365428</v>
      </c>
    </row>
    <row r="281" customFormat="false" ht="15" hidden="false" customHeight="false" outlineLevel="0" collapsed="false">
      <c r="B281" s="20" t="s">
        <v>478</v>
      </c>
      <c r="C281" s="24" t="n">
        <v>296.652</v>
      </c>
      <c r="D281" s="24" t="n">
        <v>329.657</v>
      </c>
      <c r="E281" s="24" t="n">
        <v>364.032</v>
      </c>
      <c r="F281" s="24" t="n">
        <v>401.149</v>
      </c>
      <c r="G281" s="24" t="n">
        <v>397.28</v>
      </c>
      <c r="H281" s="24" t="n">
        <v>443.555</v>
      </c>
      <c r="I281" s="24" t="n">
        <v>489.593</v>
      </c>
      <c r="J281" s="24" t="n">
        <v>495.631</v>
      </c>
      <c r="K281" s="24" t="n">
        <v>493.4</v>
      </c>
      <c r="L281" s="24" t="n">
        <v>504.413</v>
      </c>
      <c r="M281" s="24" t="n">
        <v>515.718</v>
      </c>
      <c r="N281" s="24" t="n">
        <v>515.718</v>
      </c>
      <c r="O281" s="24" t="n">
        <v>515.811</v>
      </c>
      <c r="P281" s="24" t="n">
        <v>506.35</v>
      </c>
      <c r="Q281" s="24" t="n">
        <v>464.683</v>
      </c>
      <c r="R281" s="24" t="n">
        <v>458.919</v>
      </c>
      <c r="S281" s="24" t="n">
        <v>458.919</v>
      </c>
      <c r="T281" s="24" t="n">
        <v>439.305</v>
      </c>
      <c r="U281" s="24" t="n">
        <v>433.747</v>
      </c>
      <c r="V281" s="24" t="n">
        <v>422.251</v>
      </c>
      <c r="W281" s="24" t="n">
        <v>413.644</v>
      </c>
      <c r="X281" s="24" t="n">
        <v>413.644</v>
      </c>
      <c r="Y281" s="24" t="n">
        <v>407.114</v>
      </c>
      <c r="Z281" s="24" t="n">
        <v>393.909</v>
      </c>
      <c r="AA281" s="24" t="n">
        <v>387.458</v>
      </c>
      <c r="AB281" s="24" t="n">
        <v>388.903</v>
      </c>
      <c r="AC281" s="24" t="n">
        <v>388.903</v>
      </c>
      <c r="AD281" s="24" t="n">
        <v>389.25</v>
      </c>
      <c r="AE281" s="24" t="n">
        <v>390.52</v>
      </c>
      <c r="AF281" s="24" t="n">
        <v>387.699</v>
      </c>
      <c r="AG281" s="24" t="n">
        <v>390.235</v>
      </c>
      <c r="AH281" s="24" t="n">
        <v>390.235</v>
      </c>
      <c r="AI281" s="24" t="n">
        <v>385.287</v>
      </c>
      <c r="AJ281" s="24" t="n">
        <v>374.995</v>
      </c>
      <c r="AK281" s="24" t="n">
        <v>369.996</v>
      </c>
      <c r="AL281" s="24" t="n">
        <v>374.66</v>
      </c>
      <c r="AM281" s="24" t="n">
        <v>374.66</v>
      </c>
      <c r="AN281" s="24" t="n">
        <v>375.296</v>
      </c>
      <c r="AO281" s="24" t="n">
        <v>375.582</v>
      </c>
      <c r="AP281" s="24" t="n">
        <v>373.718</v>
      </c>
      <c r="AQ281" s="24" t="n">
        <v>385.593</v>
      </c>
      <c r="AR281" s="24" t="n">
        <v>385.593</v>
      </c>
      <c r="AS281" s="24" t="n">
        <v>384.175</v>
      </c>
      <c r="AT281" s="24" t="n">
        <v>381.226</v>
      </c>
      <c r="AU281" s="24" t="n">
        <v>379.859</v>
      </c>
      <c r="AV281" s="24" t="n">
        <v>378.2</v>
      </c>
      <c r="AW281" s="24" t="n">
        <v>378.2</v>
      </c>
      <c r="AX281" s="24" t="n">
        <v>369.97</v>
      </c>
      <c r="AY281" s="24" t="n">
        <v>366.789</v>
      </c>
      <c r="AZ281" s="24" t="n">
        <v>360.314</v>
      </c>
      <c r="BA281" s="24" t="n">
        <v>360.031</v>
      </c>
      <c r="BB281" s="24" t="n">
        <v>360.031</v>
      </c>
      <c r="BC281" s="24" t="n">
        <v>355.363</v>
      </c>
      <c r="BD281" s="24" t="n">
        <v>348.062</v>
      </c>
      <c r="BE281" s="24" t="n">
        <v>338.549</v>
      </c>
      <c r="BF281" s="24" t="n">
        <v>342.708</v>
      </c>
      <c r="BG281" s="24" t="n">
        <v>342.708</v>
      </c>
      <c r="BH281" s="24" t="n">
        <v>340.313</v>
      </c>
      <c r="BI281" s="24" t="n">
        <v>340.857</v>
      </c>
      <c r="BJ281" s="24" t="n">
        <v>334.864</v>
      </c>
      <c r="BK281" s="24" t="n">
        <v>332.796</v>
      </c>
      <c r="BL281" s="24" t="n">
        <v>332.796</v>
      </c>
      <c r="BM281" s="24" t="n">
        <v>329.347</v>
      </c>
      <c r="BN281" s="24" t="n">
        <v>326.969</v>
      </c>
      <c r="BO281" s="24" t="n">
        <v>330.292</v>
      </c>
      <c r="BP281" s="24" t="n">
        <v>339.118</v>
      </c>
      <c r="BQ281" s="24" t="n">
        <v>339.118</v>
      </c>
      <c r="BR281" s="24" t="n">
        <v>349.837</v>
      </c>
      <c r="BS281" s="24" t="n">
        <v>359.683</v>
      </c>
      <c r="BT281" s="24" t="n">
        <v>364.188</v>
      </c>
      <c r="BU281" s="24" t="n">
        <v>382.2</v>
      </c>
      <c r="BV281" s="24" t="n">
        <v>382.2</v>
      </c>
      <c r="BW281" s="24" t="n">
        <v>379.454</v>
      </c>
      <c r="BX281" s="24" t="n">
        <v>386.462</v>
      </c>
      <c r="CA281" s="25" t="n">
        <f aca="false">BX281-(CA237-($BW$237+$BX$237))-(CA238-($BW$238+$BX$238))-(BY102+BZ102)</f>
        <v>431.173887168762</v>
      </c>
      <c r="CB281" s="25" t="n">
        <f aca="false">CA281-CB237-CB238-CB102+CB63*CB71</f>
        <v>513.627287168762</v>
      </c>
      <c r="CC281" s="25" t="n">
        <f aca="false">CB281-CC237-CC238-CC102+CC63*CC71</f>
        <v>598.937804268762</v>
      </c>
      <c r="CD281" s="25" t="n">
        <f aca="false">CC281-CD237-CD238-CD102+CD63*CD71</f>
        <v>687.033291379762</v>
      </c>
      <c r="CE281" s="25" t="n">
        <f aca="false">CD281-CE237-CE238-CE102+CE63*CE71</f>
        <v>778.101840149522</v>
      </c>
      <c r="CF281" s="18" t="s">
        <v>479</v>
      </c>
    </row>
    <row r="282" customFormat="false" ht="15" hidden="false" customHeight="false" outlineLevel="0" collapsed="false">
      <c r="B282" s="20" t="s">
        <v>480</v>
      </c>
      <c r="C282" s="24" t="n">
        <v>411.101</v>
      </c>
      <c r="D282" s="24" t="n">
        <v>570.419</v>
      </c>
      <c r="E282" s="24" t="n">
        <v>608.898</v>
      </c>
      <c r="F282" s="24" t="n">
        <v>648.452</v>
      </c>
      <c r="G282" s="24" t="n">
        <v>693.572</v>
      </c>
      <c r="H282" s="24" t="n">
        <v>759.442</v>
      </c>
      <c r="I282" s="24" t="n">
        <v>1013.3</v>
      </c>
      <c r="J282" s="24" t="n">
        <v>1038.483</v>
      </c>
      <c r="K282" s="24" t="n">
        <v>1033.887</v>
      </c>
      <c r="L282" s="24" t="n">
        <v>1047.88</v>
      </c>
      <c r="M282" s="24" t="n">
        <v>1110.429</v>
      </c>
      <c r="N282" s="24" t="n">
        <v>1110.429</v>
      </c>
      <c r="O282" s="24" t="n">
        <v>1125.605</v>
      </c>
      <c r="P282" s="24" t="n">
        <v>1117.981</v>
      </c>
      <c r="Q282" s="24" t="n">
        <v>991.487</v>
      </c>
      <c r="R282" s="24" t="n">
        <v>998.506</v>
      </c>
      <c r="S282" s="24" t="n">
        <v>998.506</v>
      </c>
      <c r="T282" s="24" t="n">
        <v>983.996</v>
      </c>
      <c r="U282" s="24" t="n">
        <v>991.283</v>
      </c>
      <c r="V282" s="24" t="n">
        <v>979.087</v>
      </c>
      <c r="W282" s="24" t="n">
        <v>972.606</v>
      </c>
      <c r="X282" s="24" t="n">
        <v>972.606</v>
      </c>
      <c r="Y282" s="24" t="n">
        <v>978.624</v>
      </c>
      <c r="Z282" s="24" t="n">
        <v>967.85</v>
      </c>
      <c r="AA282" s="24" t="n">
        <v>964.446</v>
      </c>
      <c r="AB282" s="24" t="n">
        <v>951.057</v>
      </c>
      <c r="AC282" s="24" t="n">
        <v>951.057</v>
      </c>
      <c r="AD282" s="24" t="n">
        <v>1071.145</v>
      </c>
      <c r="AE282" s="24" t="n">
        <v>1082.944</v>
      </c>
      <c r="AF282" s="24" t="n">
        <v>1089.781</v>
      </c>
      <c r="AG282" s="24" t="n">
        <v>1096.329</v>
      </c>
      <c r="AH282" s="24" t="n">
        <v>1096.329</v>
      </c>
      <c r="AI282" s="24" t="n">
        <v>1099.45</v>
      </c>
      <c r="AJ282" s="24" t="n">
        <v>1103.562</v>
      </c>
      <c r="AK282" s="24" t="n">
        <v>1097.268</v>
      </c>
      <c r="AL282" s="24" t="n">
        <v>1088.032</v>
      </c>
      <c r="AM282" s="24" t="n">
        <v>1088.032</v>
      </c>
      <c r="AN282" s="24" t="n">
        <v>1111.342</v>
      </c>
      <c r="AO282" s="24" t="n">
        <v>1112.781</v>
      </c>
      <c r="AP282" s="24" t="n">
        <v>1104.796</v>
      </c>
      <c r="AQ282" s="24" t="n">
        <v>1166.68</v>
      </c>
      <c r="AR282" s="24" t="n">
        <v>1166.68</v>
      </c>
      <c r="AS282" s="24" t="n">
        <v>1175.685</v>
      </c>
      <c r="AT282" s="24" t="n">
        <v>1197.194</v>
      </c>
      <c r="AU282" s="24" t="n">
        <v>1207.881</v>
      </c>
      <c r="AV282" s="24" t="n">
        <v>1455.137</v>
      </c>
      <c r="AW282" s="24" t="n">
        <v>1455.137</v>
      </c>
      <c r="AX282" s="24" t="n">
        <v>1465.224</v>
      </c>
      <c r="AY282" s="24" t="n">
        <v>1466.735</v>
      </c>
      <c r="AZ282" s="24" t="n">
        <v>1461.313</v>
      </c>
      <c r="BA282" s="24" t="n">
        <v>1463.026</v>
      </c>
      <c r="BB282" s="24" t="n">
        <v>1463.026</v>
      </c>
      <c r="BC282" s="24" t="n">
        <v>1458.899</v>
      </c>
      <c r="BD282" s="24" t="n">
        <v>1531.999</v>
      </c>
      <c r="BE282" s="24" t="n">
        <v>1512.231</v>
      </c>
      <c r="BF282" s="24" t="n">
        <v>1544.635</v>
      </c>
      <c r="BG282" s="24" t="n">
        <v>1544.635</v>
      </c>
      <c r="BH282" s="24" t="n">
        <v>1549.148</v>
      </c>
      <c r="BI282" s="24" t="n">
        <v>1555.908</v>
      </c>
      <c r="BJ282" s="24" t="n">
        <v>1546.669</v>
      </c>
      <c r="BK282" s="24" t="n">
        <v>1558.826</v>
      </c>
      <c r="BL282" s="24" t="n">
        <v>1558.826</v>
      </c>
      <c r="BM282" s="24" t="n">
        <v>1552.343</v>
      </c>
      <c r="BN282" s="24" t="n">
        <v>1571.004</v>
      </c>
      <c r="BO282" s="24" t="n">
        <v>1583.448</v>
      </c>
      <c r="BP282" s="24" t="n">
        <v>1675.718</v>
      </c>
      <c r="BQ282" s="24" t="n">
        <v>1675.718</v>
      </c>
      <c r="BR282" s="24" t="n">
        <v>1673.608</v>
      </c>
      <c r="BS282" s="24" t="n">
        <v>1698.642</v>
      </c>
      <c r="BT282" s="24" t="n">
        <v>1692.772</v>
      </c>
      <c r="BU282" s="24" t="n">
        <v>1692.49</v>
      </c>
      <c r="BV282" s="24" t="n">
        <v>1692.49</v>
      </c>
      <c r="BW282" s="24" t="n">
        <v>1685.367</v>
      </c>
      <c r="BX282" s="24" t="n">
        <v>1686.728</v>
      </c>
      <c r="CA282" s="25" t="n">
        <f aca="false">BX282</f>
        <v>1686.728</v>
      </c>
      <c r="CB282" s="25" t="n">
        <f aca="false">CA282+CB63*(1-CB71-CB72)</f>
        <v>1836.728</v>
      </c>
      <c r="CC282" s="25" t="n">
        <f aca="false">CB282+CC63*(1-CC71-CC72)</f>
        <v>1986.728</v>
      </c>
      <c r="CD282" s="25" t="n">
        <f aca="false">CC282+CD63*(1-CD71-CD72)</f>
        <v>2136.728</v>
      </c>
      <c r="CE282" s="25" t="n">
        <f aca="false">CD282+CE63*(1-CE71-CE72)</f>
        <v>2286.728</v>
      </c>
    </row>
    <row r="283" customFormat="false" ht="15" hidden="false" customHeight="false" outlineLevel="0" collapsed="false">
      <c r="B283" s="20" t="s">
        <v>481</v>
      </c>
      <c r="C283" s="24" t="n">
        <v>158.08</v>
      </c>
      <c r="D283" s="24" t="n">
        <v>240.842</v>
      </c>
      <c r="E283" s="24" t="n">
        <v>234.596</v>
      </c>
      <c r="F283" s="24" t="n">
        <v>242.506</v>
      </c>
      <c r="G283" s="24" t="n">
        <v>240.197</v>
      </c>
      <c r="H283" s="24" t="n">
        <v>261.448</v>
      </c>
      <c r="I283" s="24" t="n">
        <v>419.021</v>
      </c>
      <c r="J283" s="24" t="n">
        <v>442.78</v>
      </c>
      <c r="K283" s="24" t="n">
        <v>430.545</v>
      </c>
      <c r="L283" s="24" t="n">
        <v>425.62</v>
      </c>
      <c r="M283" s="24" t="n">
        <v>471.379</v>
      </c>
      <c r="N283" s="24" t="n">
        <v>471.379</v>
      </c>
      <c r="O283" s="24" t="n">
        <v>470.967</v>
      </c>
      <c r="P283" s="24" t="n">
        <v>446.717</v>
      </c>
      <c r="Q283" s="24" t="n">
        <v>364.144</v>
      </c>
      <c r="R283" s="24" t="n">
        <v>349.227</v>
      </c>
      <c r="S283" s="24" t="n">
        <v>349.227</v>
      </c>
      <c r="T283" s="24" t="n">
        <v>337.007</v>
      </c>
      <c r="U283" s="24" t="n">
        <v>333.992</v>
      </c>
      <c r="V283" s="24" t="n">
        <v>322.177</v>
      </c>
      <c r="W283" s="24" t="n">
        <v>310.763</v>
      </c>
      <c r="X283" s="24" t="n">
        <v>310.763</v>
      </c>
      <c r="Y283" s="24" t="n">
        <v>306.003</v>
      </c>
      <c r="Z283" s="24" t="n">
        <v>292.498</v>
      </c>
      <c r="AA283" s="24" t="n">
        <v>283.67</v>
      </c>
      <c r="AB283" s="24" t="n">
        <v>271.461</v>
      </c>
      <c r="AC283" s="24" t="n">
        <v>271.461</v>
      </c>
      <c r="AD283" s="24" t="n">
        <v>352.876</v>
      </c>
      <c r="AE283" s="24" t="n">
        <v>345.991</v>
      </c>
      <c r="AF283" s="24" t="n">
        <v>338.957</v>
      </c>
      <c r="AG283" s="24" t="n">
        <v>329.668</v>
      </c>
      <c r="AH283" s="24" t="n">
        <v>329.668</v>
      </c>
      <c r="AI283" s="24" t="n">
        <v>322.856</v>
      </c>
      <c r="AJ283" s="24" t="n">
        <v>449.096</v>
      </c>
      <c r="AK283" s="24" t="n">
        <v>442.295</v>
      </c>
      <c r="AL283" s="24" t="n">
        <v>429.567</v>
      </c>
      <c r="AM283" s="24" t="n">
        <v>429.567</v>
      </c>
      <c r="AN283" s="24" t="n">
        <v>444.741</v>
      </c>
      <c r="AO283" s="24" t="n">
        <v>433.517</v>
      </c>
      <c r="AP283" s="24" t="n">
        <v>420.458</v>
      </c>
      <c r="AQ283" s="24" t="n">
        <v>479.907</v>
      </c>
      <c r="AR283" s="24" t="n">
        <v>479.907</v>
      </c>
      <c r="AS283" s="24" t="n">
        <v>487.097</v>
      </c>
      <c r="AT283" s="24" t="n">
        <v>489.208</v>
      </c>
      <c r="AU283" s="24" t="n">
        <v>476.864</v>
      </c>
      <c r="AV283" s="24" t="n">
        <v>609.63</v>
      </c>
      <c r="AW283" s="24" t="n">
        <v>609.63</v>
      </c>
      <c r="AX283" s="24" t="n">
        <v>583.195</v>
      </c>
      <c r="AY283" s="24" t="n">
        <v>568.604</v>
      </c>
      <c r="AZ283" s="24" t="n">
        <v>552.514</v>
      </c>
      <c r="BA283" s="24" t="n">
        <v>538.077</v>
      </c>
      <c r="BB283" s="24" t="n">
        <v>538.077</v>
      </c>
      <c r="BC283" s="24" t="n">
        <v>523.913</v>
      </c>
      <c r="BD283" s="24" t="n">
        <v>638.873</v>
      </c>
      <c r="BE283" s="24" t="n">
        <v>618.563</v>
      </c>
      <c r="BF283" s="24" t="n">
        <v>620.897</v>
      </c>
      <c r="BG283" s="24" t="n">
        <v>620.897</v>
      </c>
      <c r="BH283" s="24" t="n">
        <v>605.217</v>
      </c>
      <c r="BI283" s="24" t="n">
        <v>589.932</v>
      </c>
      <c r="BJ283" s="24" t="n">
        <v>572.348</v>
      </c>
      <c r="BK283" s="24" t="n">
        <v>557.612</v>
      </c>
      <c r="BL283" s="24" t="n">
        <v>557.612</v>
      </c>
      <c r="BM283" s="24" t="n">
        <v>542.335</v>
      </c>
      <c r="BN283" s="24" t="n">
        <v>545.448</v>
      </c>
      <c r="BO283" s="24" t="n">
        <v>532.397</v>
      </c>
      <c r="BP283" s="24" t="n">
        <v>596.831</v>
      </c>
      <c r="BQ283" s="24" t="n">
        <v>596.831</v>
      </c>
      <c r="BR283" s="24" t="n">
        <v>583.115</v>
      </c>
      <c r="BS283" s="24" t="n">
        <v>569.566</v>
      </c>
      <c r="BT283" s="24" t="n">
        <v>550.202</v>
      </c>
      <c r="BU283" s="24" t="n">
        <v>532.381</v>
      </c>
      <c r="BV283" s="24" t="n">
        <v>532.381</v>
      </c>
      <c r="BW283" s="24" t="n">
        <v>516.051</v>
      </c>
      <c r="BX283" s="24" t="n">
        <v>501.027</v>
      </c>
      <c r="CA283" s="25" t="n">
        <f aca="false">BX283-(BY101+BZ101)</f>
        <v>471.027</v>
      </c>
      <c r="CB283" s="25" t="n">
        <f aca="false">CA283-CB101+CB63*CB72</f>
        <v>530.027</v>
      </c>
      <c r="CC283" s="25" t="n">
        <f aca="false">CB283-CC101+CC63*CC72</f>
        <v>587.027</v>
      </c>
      <c r="CD283" s="25" t="n">
        <f aca="false">CC283-CD101+CD63*CD72</f>
        <v>636.027</v>
      </c>
      <c r="CE283" s="25" t="n">
        <f aca="false">CD283-CE101+CE63*CE72</f>
        <v>678.027</v>
      </c>
    </row>
    <row r="284" customFormat="false" ht="15" hidden="false" customHeight="false" outlineLevel="0" collapsed="false">
      <c r="B284" s="20" t="s">
        <v>482</v>
      </c>
      <c r="AN284" s="24" t="n">
        <v>138.525</v>
      </c>
      <c r="AO284" s="24" t="n">
        <v>135.19</v>
      </c>
      <c r="AP284" s="24" t="n">
        <v>134.286</v>
      </c>
      <c r="AQ284" s="24" t="n">
        <v>165.49</v>
      </c>
      <c r="AR284" s="24" t="n">
        <v>165.49</v>
      </c>
      <c r="AS284" s="24" t="n">
        <v>161.429</v>
      </c>
      <c r="AT284" s="24" t="n">
        <v>157.526</v>
      </c>
      <c r="AU284" s="24" t="n">
        <v>152.987</v>
      </c>
      <c r="AV284" s="24" t="n">
        <v>150.898</v>
      </c>
      <c r="AW284" s="24" t="n">
        <v>150.898</v>
      </c>
      <c r="AX284" s="24" t="n">
        <v>143.969</v>
      </c>
      <c r="AY284" s="24" t="n">
        <v>144.274</v>
      </c>
      <c r="AZ284" s="24" t="n">
        <v>140.524</v>
      </c>
      <c r="BA284" s="24" t="n">
        <v>143.613</v>
      </c>
      <c r="BB284" s="24" t="n">
        <v>143.613</v>
      </c>
      <c r="BC284" s="24" t="n">
        <v>147.224</v>
      </c>
      <c r="BD284" s="24" t="n">
        <v>145.325</v>
      </c>
      <c r="BE284" s="24" t="n">
        <v>145.252</v>
      </c>
      <c r="BF284" s="24" t="n">
        <v>153.855</v>
      </c>
      <c r="BG284" s="24" t="n">
        <v>153.855</v>
      </c>
      <c r="BH284" s="24" t="n">
        <v>145.017</v>
      </c>
      <c r="BI284" s="24" t="n">
        <v>143.814</v>
      </c>
      <c r="BJ284" s="24" t="n">
        <v>138.809</v>
      </c>
      <c r="BK284" s="24" t="n">
        <v>141.435</v>
      </c>
      <c r="BL284" s="24" t="n">
        <v>141.435</v>
      </c>
      <c r="BM284" s="24" t="n">
        <v>133.846</v>
      </c>
      <c r="BN284" s="24" t="n">
        <v>146.956</v>
      </c>
      <c r="BO284" s="24" t="n">
        <v>156.613</v>
      </c>
      <c r="BP284" s="24" t="n">
        <v>169.35</v>
      </c>
      <c r="BQ284" s="24" t="n">
        <v>169.35</v>
      </c>
      <c r="BR284" s="24" t="n">
        <v>183.784</v>
      </c>
      <c r="BS284" s="24" t="n">
        <v>192.317</v>
      </c>
      <c r="BT284" s="24" t="n">
        <v>185.443</v>
      </c>
      <c r="BU284" s="24" t="n">
        <v>198.603</v>
      </c>
      <c r="BV284" s="24" t="n">
        <v>198.603</v>
      </c>
      <c r="BW284" s="24" t="n">
        <v>210.95</v>
      </c>
      <c r="BX284" s="24" t="n">
        <v>212.475</v>
      </c>
      <c r="CA284" s="25" t="n">
        <f aca="false">BX284</f>
        <v>212.475</v>
      </c>
      <c r="CB284" s="25" t="n">
        <f aca="false">CA284</f>
        <v>212.475</v>
      </c>
      <c r="CC284" s="25" t="n">
        <f aca="false">CB284</f>
        <v>212.475</v>
      </c>
      <c r="CD284" s="25" t="n">
        <f aca="false">CC284</f>
        <v>212.475</v>
      </c>
      <c r="CE284" s="25" t="n">
        <f aca="false">CD284</f>
        <v>212.475</v>
      </c>
    </row>
    <row r="285" customFormat="false" ht="15" hidden="false" customHeight="false" outlineLevel="0" collapsed="false">
      <c r="B285" s="20" t="s">
        <v>483</v>
      </c>
      <c r="C285" s="24" t="n">
        <v>92.262</v>
      </c>
      <c r="D285" s="24" t="n">
        <v>73.947</v>
      </c>
      <c r="AX285" s="24" t="n">
        <v>99.087</v>
      </c>
      <c r="AY285" s="24" t="n">
        <v>105.963</v>
      </c>
      <c r="AZ285" s="24" t="n">
        <v>111.906</v>
      </c>
      <c r="BC285" s="24" t="n">
        <v>260.238</v>
      </c>
      <c r="BD285" s="24" t="n">
        <v>263.719</v>
      </c>
      <c r="BE285" s="24" t="n">
        <v>267.262</v>
      </c>
      <c r="BH285" s="24" t="n">
        <v>227.547</v>
      </c>
      <c r="BI285" s="24" t="n">
        <v>232.557</v>
      </c>
      <c r="BJ285" s="24" t="n">
        <v>236.089</v>
      </c>
      <c r="BK285" s="24" t="n">
        <v>261.869</v>
      </c>
      <c r="BL285" s="24" t="n">
        <v>261.869</v>
      </c>
      <c r="BM285" s="24" t="n">
        <v>267.334</v>
      </c>
      <c r="BN285" s="24" t="n">
        <v>272.857</v>
      </c>
      <c r="BO285" s="24" t="n">
        <v>279.212</v>
      </c>
      <c r="BP285" s="24" t="n">
        <v>299.13</v>
      </c>
      <c r="BQ285" s="24" t="n">
        <v>299.13</v>
      </c>
      <c r="BR285" s="24" t="n">
        <v>306.343</v>
      </c>
      <c r="BS285" s="24" t="n">
        <v>314.921</v>
      </c>
      <c r="BT285" s="24" t="n">
        <v>321.679</v>
      </c>
      <c r="BU285" s="24" t="n">
        <v>333.547</v>
      </c>
      <c r="BV285" s="24" t="n">
        <v>333.547</v>
      </c>
      <c r="BW285" s="24" t="n">
        <v>340.206</v>
      </c>
      <c r="BX285" s="24" t="n">
        <v>347.356</v>
      </c>
      <c r="CA285" s="25" t="n">
        <f aca="false">BX285+0.5*CB129</f>
        <v>359.856</v>
      </c>
      <c r="CB285" s="25" t="n">
        <f aca="false">CA285+CB129</f>
        <v>384.856</v>
      </c>
      <c r="CC285" s="25" t="n">
        <f aca="false">CB285+CC129</f>
        <v>409.856</v>
      </c>
      <c r="CD285" s="25" t="n">
        <f aca="false">CC285+CD129</f>
        <v>434.856</v>
      </c>
      <c r="CE285" s="25" t="n">
        <f aca="false">CD285+CE129</f>
        <v>459.856</v>
      </c>
      <c r="CF285" s="18" t="s">
        <v>484</v>
      </c>
    </row>
    <row r="286" customFormat="false" ht="15" hidden="false" customHeight="false" outlineLevel="0" collapsed="false">
      <c r="B286" s="20" t="s">
        <v>485</v>
      </c>
      <c r="C286" s="24" t="n">
        <v>11.416</v>
      </c>
      <c r="D286" s="24" t="n">
        <v>12.514</v>
      </c>
      <c r="E286" s="24" t="n">
        <v>32.485</v>
      </c>
      <c r="F286" s="24" t="n">
        <v>12.433</v>
      </c>
      <c r="G286" s="24" t="n">
        <v>10.942</v>
      </c>
      <c r="H286" s="24" t="n">
        <v>21.258</v>
      </c>
      <c r="I286" s="24" t="n">
        <v>16.913</v>
      </c>
      <c r="J286" s="24" t="n">
        <v>16.924</v>
      </c>
      <c r="K286" s="24" t="n">
        <v>15.416</v>
      </c>
      <c r="L286" s="24" t="n">
        <v>16.024</v>
      </c>
      <c r="M286" s="24" t="n">
        <v>23.465</v>
      </c>
      <c r="N286" s="24" t="n">
        <v>23.465</v>
      </c>
      <c r="O286" s="24" t="n">
        <v>25.446</v>
      </c>
      <c r="P286" s="24" t="n">
        <v>26.022</v>
      </c>
      <c r="Q286" s="24" t="n">
        <v>22.827</v>
      </c>
      <c r="R286" s="24" t="n">
        <v>21.784</v>
      </c>
      <c r="S286" s="24" t="n">
        <v>21.784</v>
      </c>
      <c r="T286" s="24" t="n">
        <v>24.243</v>
      </c>
      <c r="U286" s="24" t="n">
        <v>18.942</v>
      </c>
      <c r="V286" s="24" t="n">
        <v>24.597</v>
      </c>
      <c r="W286" s="24" t="n">
        <v>15.745</v>
      </c>
      <c r="X286" s="24" t="n">
        <v>15.745</v>
      </c>
      <c r="Y286" s="24" t="n">
        <v>11.707</v>
      </c>
      <c r="Z286" s="24" t="n">
        <v>14.631</v>
      </c>
      <c r="AA286" s="24" t="n">
        <v>15.277</v>
      </c>
      <c r="AB286" s="24" t="n">
        <v>11.549</v>
      </c>
      <c r="AC286" s="24" t="n">
        <v>11.549</v>
      </c>
      <c r="AD286" s="24" t="n">
        <v>14.493</v>
      </c>
      <c r="AE286" s="24" t="n">
        <v>14.715</v>
      </c>
      <c r="AF286" s="24" t="n">
        <v>15.508</v>
      </c>
      <c r="AG286" s="24" t="n">
        <v>18.229</v>
      </c>
      <c r="AH286" s="24" t="n">
        <v>18.229</v>
      </c>
      <c r="AI286" s="24" t="n">
        <v>18.689</v>
      </c>
      <c r="AJ286" s="24" t="n">
        <v>18.292</v>
      </c>
      <c r="AK286" s="24" t="n">
        <v>20.178</v>
      </c>
      <c r="AL286" s="24" t="n">
        <v>19.16</v>
      </c>
      <c r="AM286" s="24" t="n">
        <v>19.16</v>
      </c>
      <c r="AN286" s="24" t="n">
        <v>20.159</v>
      </c>
      <c r="AO286" s="24" t="n">
        <v>32.918</v>
      </c>
      <c r="AP286" s="24" t="n">
        <v>32.765</v>
      </c>
      <c r="AQ286" s="24" t="n">
        <v>36.8</v>
      </c>
      <c r="AR286" s="24" t="n">
        <v>36.8</v>
      </c>
      <c r="AS286" s="24" t="n">
        <v>140.073</v>
      </c>
      <c r="AT286" s="24" t="n">
        <v>150.308</v>
      </c>
      <c r="AU286" s="24" t="n">
        <v>161.436</v>
      </c>
      <c r="AV286" s="24" t="n">
        <v>126.645</v>
      </c>
      <c r="AW286" s="24" t="n">
        <v>126.645</v>
      </c>
      <c r="AX286" s="24" t="n">
        <v>32.866</v>
      </c>
      <c r="AY286" s="24" t="n">
        <v>31.23</v>
      </c>
      <c r="AZ286" s="24" t="n">
        <v>32.921</v>
      </c>
      <c r="BA286" s="24" t="n">
        <v>290.99</v>
      </c>
      <c r="BB286" s="24" t="n">
        <v>290.99</v>
      </c>
      <c r="BC286" s="24" t="n">
        <v>33.855</v>
      </c>
      <c r="BD286" s="24" t="n">
        <v>36.13</v>
      </c>
      <c r="BE286" s="24" t="n">
        <v>45.629</v>
      </c>
      <c r="BF286" s="24" t="n">
        <v>270.194</v>
      </c>
      <c r="BG286" s="24" t="n">
        <v>270.194</v>
      </c>
      <c r="BH286" s="24" t="n">
        <v>48.624</v>
      </c>
      <c r="BI286" s="24" t="n">
        <v>54.472</v>
      </c>
      <c r="BJ286" s="24" t="n">
        <v>40.059</v>
      </c>
      <c r="BK286" s="24" t="n">
        <v>51.351</v>
      </c>
      <c r="BL286" s="24" t="n">
        <v>51.351</v>
      </c>
      <c r="BM286" s="24" t="n">
        <v>49.661</v>
      </c>
      <c r="BN286" s="24" t="n">
        <v>49.08</v>
      </c>
      <c r="BO286" s="24" t="n">
        <v>51.693</v>
      </c>
      <c r="BP286" s="24" t="n">
        <v>55.963</v>
      </c>
      <c r="BQ286" s="24" t="n">
        <v>55.963</v>
      </c>
      <c r="BR286" s="24" t="n">
        <v>55.092</v>
      </c>
      <c r="BS286" s="24" t="n">
        <v>59.626</v>
      </c>
      <c r="BT286" s="24" t="n">
        <v>60.622</v>
      </c>
      <c r="BU286" s="24" t="n">
        <v>63.597</v>
      </c>
      <c r="BV286" s="24" t="n">
        <v>63.597</v>
      </c>
      <c r="BW286" s="24" t="n">
        <v>66.386</v>
      </c>
      <c r="BX286" s="24" t="n">
        <v>84.603</v>
      </c>
      <c r="CA286" s="25" t="n">
        <f aca="false">BX286</f>
        <v>84.603</v>
      </c>
      <c r="CB286" s="25" t="n">
        <f aca="false">CA286</f>
        <v>84.603</v>
      </c>
      <c r="CC286" s="25" t="n">
        <f aca="false">CB286</f>
        <v>84.603</v>
      </c>
      <c r="CD286" s="25" t="n">
        <f aca="false">CC286</f>
        <v>84.603</v>
      </c>
      <c r="CE286" s="25" t="n">
        <f aca="false">CD286</f>
        <v>84.603</v>
      </c>
    </row>
    <row r="287" customFormat="false" ht="15" hidden="false" customHeight="false" outlineLevel="0" collapsed="false">
      <c r="B287" s="43" t="s">
        <v>486</v>
      </c>
      <c r="C287" s="44" t="n">
        <f aca="false">N(C280)+N(C281)+N(C282)+N(C283)+N(C284)+N(C285)+N(C286)</f>
        <v>1592.156</v>
      </c>
      <c r="D287" s="44" t="n">
        <f aca="false">N(D280)+N(D281)+N(D282)+N(D283)+N(D284)+N(D285)+N(D286)</f>
        <v>1985.56</v>
      </c>
      <c r="E287" s="44" t="n">
        <f aca="false">N(E280)+N(E281)+N(E282)+N(E283)+N(E284)+N(E285)+N(E286)</f>
        <v>2042.03</v>
      </c>
      <c r="F287" s="44" t="n">
        <f aca="false">N(F280)+N(F281)+N(F282)+N(F283)+N(F284)+N(F285)+N(F286)</f>
        <v>2142.041</v>
      </c>
      <c r="G287" s="44" t="n">
        <f aca="false">N(G280)+N(G281)+N(G282)+N(G283)+N(G284)+N(G285)+N(G286)</f>
        <v>2242.018</v>
      </c>
      <c r="H287" s="44" t="n">
        <f aca="false">N(H280)+N(H281)+N(H282)+N(H283)+N(H284)+N(H285)+N(H286)</f>
        <v>2652.837</v>
      </c>
      <c r="I287" s="44" t="n">
        <f aca="false">N(I280)+N(I281)+N(I282)+N(I283)+N(I284)+N(I285)+N(I286)</f>
        <v>3114.588</v>
      </c>
      <c r="J287" s="44" t="n">
        <f aca="false">N(J280)+N(J281)+N(J282)+N(J283)+N(J284)+N(J285)+N(J286)</f>
        <v>3226.674</v>
      </c>
      <c r="K287" s="44" t="n">
        <f aca="false">N(K280)+N(K281)+N(K282)+N(K283)+N(K284)+N(K285)+N(K286)</f>
        <v>3228.941</v>
      </c>
      <c r="L287" s="44" t="n">
        <f aca="false">N(L280)+N(L281)+N(L282)+N(L283)+N(L284)+N(L285)+N(L286)</f>
        <v>3289.166</v>
      </c>
      <c r="M287" s="44" t="n">
        <f aca="false">N(M280)+N(M281)+N(M282)+N(M283)+N(M284)+N(M285)+N(M286)</f>
        <v>3458.274</v>
      </c>
      <c r="N287" s="44" t="n">
        <f aca="false">N(N280)+N(N281)+N(N282)+N(N283)+N(N284)+N(N285)+N(N286)</f>
        <v>3458.274</v>
      </c>
      <c r="O287" s="44" t="n">
        <f aca="false">N(O280)+N(O281)+N(O282)+N(O283)+N(O284)+N(O285)+N(O286)</f>
        <v>3458.635</v>
      </c>
      <c r="P287" s="44" t="n">
        <f aca="false">N(P280)+N(P281)+N(P282)+N(P283)+N(P284)+N(P285)+N(P286)</f>
        <v>3506.635</v>
      </c>
      <c r="Q287" s="44" t="n">
        <f aca="false">N(Q280)+N(Q281)+N(Q282)+N(Q283)+N(Q284)+N(Q285)+N(Q286)</f>
        <v>3453.823</v>
      </c>
      <c r="R287" s="44" t="n">
        <f aca="false">N(R280)+N(R281)+N(R282)+N(R283)+N(R284)+N(R285)+N(R286)</f>
        <v>3399.511</v>
      </c>
      <c r="S287" s="44" t="n">
        <f aca="false">N(S280)+N(S281)+N(S282)+N(S283)+N(S284)+N(S285)+N(S286)</f>
        <v>3399.511</v>
      </c>
      <c r="T287" s="44" t="n">
        <f aca="false">N(T280)+N(T281)+N(T282)+N(T283)+N(T284)+N(T285)+N(T286)</f>
        <v>3125.399</v>
      </c>
      <c r="U287" s="44" t="n">
        <f aca="false">N(U280)+N(U281)+N(U282)+N(U283)+N(U284)+N(U285)+N(U286)</f>
        <v>3112.611</v>
      </c>
      <c r="V287" s="44" t="n">
        <f aca="false">N(V280)+N(V281)+N(V282)+N(V283)+N(V284)+N(V285)+N(V286)</f>
        <v>3014.701</v>
      </c>
      <c r="W287" s="44" t="n">
        <f aca="false">N(W280)+N(W281)+N(W282)+N(W283)+N(W284)+N(W285)+N(W286)</f>
        <v>3029.378</v>
      </c>
      <c r="X287" s="44" t="n">
        <f aca="false">N(X280)+N(X281)+N(X282)+N(X283)+N(X284)+N(X285)+N(X286)</f>
        <v>3029.378</v>
      </c>
      <c r="Y287" s="44" t="n">
        <f aca="false">N(Y280)+N(Y281)+N(Y282)+N(Y283)+N(Y284)+N(Y285)+N(Y286)</f>
        <v>2963.652</v>
      </c>
      <c r="Z287" s="44" t="n">
        <f aca="false">N(Z280)+N(Z281)+N(Z282)+N(Z283)+N(Z284)+N(Z285)+N(Z286)</f>
        <v>2979.18</v>
      </c>
      <c r="AA287" s="44" t="n">
        <f aca="false">N(AA280)+N(AA281)+N(AA282)+N(AA283)+N(AA284)+N(AA285)+N(AA286)</f>
        <v>3013.984</v>
      </c>
      <c r="AB287" s="44" t="n">
        <f aca="false">N(AB280)+N(AB281)+N(AB282)+N(AB283)+N(AB284)+N(AB285)+N(AB286)</f>
        <v>3037.781</v>
      </c>
      <c r="AC287" s="44" t="n">
        <f aca="false">N(AC280)+N(AC281)+N(AC282)+N(AC283)+N(AC284)+N(AC285)+N(AC286)</f>
        <v>3037.781</v>
      </c>
      <c r="AD287" s="44" t="n">
        <f aca="false">N(AD280)+N(AD281)+N(AD282)+N(AD283)+N(AD284)+N(AD285)+N(AD286)</f>
        <v>3017.873</v>
      </c>
      <c r="AE287" s="44" t="n">
        <f aca="false">N(AE280)+N(AE281)+N(AE282)+N(AE283)+N(AE284)+N(AE285)+N(AE286)</f>
        <v>3121.274</v>
      </c>
      <c r="AF287" s="44" t="n">
        <f aca="false">N(AF280)+N(AF281)+N(AF282)+N(AF283)+N(AF284)+N(AF285)+N(AF286)</f>
        <v>3221.224</v>
      </c>
      <c r="AG287" s="44" t="n">
        <f aca="false">N(AG280)+N(AG281)+N(AG282)+N(AG283)+N(AG284)+N(AG285)+N(AG286)</f>
        <v>3236.321</v>
      </c>
      <c r="AH287" s="44" t="n">
        <f aca="false">N(AH280)+N(AH281)+N(AH282)+N(AH283)+N(AH284)+N(AH285)+N(AH286)</f>
        <v>3236.321</v>
      </c>
      <c r="AI287" s="44" t="n">
        <f aca="false">N(AI280)+N(AI281)+N(AI282)+N(AI283)+N(AI284)+N(AI285)+N(AI286)</f>
        <v>3179.059</v>
      </c>
      <c r="AJ287" s="44" t="n">
        <f aca="false">N(AJ280)+N(AJ281)+N(AJ282)+N(AJ283)+N(AJ284)+N(AJ285)+N(AJ286)</f>
        <v>3230.188</v>
      </c>
      <c r="AK287" s="44" t="n">
        <f aca="false">N(AK280)+N(AK281)+N(AK282)+N(AK283)+N(AK284)+N(AK285)+N(AK286)</f>
        <v>3276.071</v>
      </c>
      <c r="AL287" s="44" t="n">
        <f aca="false">N(AL280)+N(AL281)+N(AL282)+N(AL283)+N(AL284)+N(AL285)+N(AL286)</f>
        <v>3255.385</v>
      </c>
      <c r="AM287" s="44" t="n">
        <f aca="false">N(AM280)+N(AM281)+N(AM282)+N(AM283)+N(AM284)+N(AM285)+N(AM286)</f>
        <v>3255.385</v>
      </c>
      <c r="AN287" s="44" t="n">
        <f aca="false">N(AN280)+N(AN281)+N(AN282)+N(AN283)+N(AN284)+N(AN285)+N(AN286)</f>
        <v>3328.802</v>
      </c>
      <c r="AO287" s="44" t="n">
        <f aca="false">N(AO280)+N(AO281)+N(AO282)+N(AO283)+N(AO284)+N(AO285)+N(AO286)</f>
        <v>3426.64</v>
      </c>
      <c r="AP287" s="44" t="n">
        <f aca="false">N(AP280)+N(AP281)+N(AP282)+N(AP283)+N(AP284)+N(AP285)+N(AP286)</f>
        <v>3482.309</v>
      </c>
      <c r="AQ287" s="44" t="n">
        <f aca="false">N(AQ280)+N(AQ281)+N(AQ282)+N(AQ283)+N(AQ284)+N(AQ285)+N(AQ286)</f>
        <v>3764.261</v>
      </c>
      <c r="AR287" s="44" t="n">
        <f aca="false">N(AR280)+N(AR281)+N(AR282)+N(AR283)+N(AR284)+N(AR285)+N(AR286)</f>
        <v>3764.261</v>
      </c>
      <c r="AS287" s="44" t="n">
        <f aca="false">N(AS280)+N(AS281)+N(AS282)+N(AS283)+N(AS284)+N(AS285)+N(AS286)</f>
        <v>3631.394</v>
      </c>
      <c r="AT287" s="44" t="n">
        <f aca="false">N(AT280)+N(AT281)+N(AT282)+N(AT283)+N(AT284)+N(AT285)+N(AT286)</f>
        <v>3642.671</v>
      </c>
      <c r="AU287" s="44" t="n">
        <f aca="false">N(AU280)+N(AU281)+N(AU282)+N(AU283)+N(AU284)+N(AU285)+N(AU286)</f>
        <v>3959.78</v>
      </c>
      <c r="AV287" s="44" t="n">
        <f aca="false">N(AV280)+N(AV281)+N(AV282)+N(AV283)+N(AV284)+N(AV285)+N(AV286)</f>
        <v>4021.334</v>
      </c>
      <c r="AW287" s="44" t="n">
        <f aca="false">N(AW280)+N(AW281)+N(AW282)+N(AW283)+N(AW284)+N(AW285)+N(AW286)</f>
        <v>4021.334</v>
      </c>
      <c r="AX287" s="44" t="n">
        <f aca="false">N(AX280)+N(AX281)+N(AX282)+N(AX283)+N(AX284)+N(AX285)+N(AX286)</f>
        <v>3981.05</v>
      </c>
      <c r="AY287" s="44" t="n">
        <f aca="false">N(AY280)+N(AY281)+N(AY282)+N(AY283)+N(AY284)+N(AY285)+N(AY286)</f>
        <v>4084.985</v>
      </c>
      <c r="AZ287" s="44" t="n">
        <f aca="false">N(AZ280)+N(AZ281)+N(AZ282)+N(AZ283)+N(AZ284)+N(AZ285)+N(AZ286)</f>
        <v>4083.301</v>
      </c>
      <c r="BA287" s="44" t="n">
        <f aca="false">N(BA280)+N(BA281)+N(BA282)+N(BA283)+N(BA284)+N(BA285)+N(BA286)</f>
        <v>4103.545</v>
      </c>
      <c r="BB287" s="44" t="n">
        <f aca="false">N(BB280)+N(BB281)+N(BB282)+N(BB283)+N(BB284)+N(BB285)+N(BB286)</f>
        <v>4103.545</v>
      </c>
      <c r="BC287" s="44" t="n">
        <f aca="false">N(BC280)+N(BC281)+N(BC282)+N(BC283)+N(BC284)+N(BC285)+N(BC286)</f>
        <v>4089.367</v>
      </c>
      <c r="BD287" s="44" t="n">
        <f aca="false">N(BD280)+N(BD281)+N(BD282)+N(BD283)+N(BD284)+N(BD285)+N(BD286)</f>
        <v>4402.528</v>
      </c>
      <c r="BE287" s="44" t="n">
        <f aca="false">N(BE280)+N(BE281)+N(BE282)+N(BE283)+N(BE284)+N(BE285)+N(BE286)</f>
        <v>4342.162</v>
      </c>
      <c r="BF287" s="44" t="n">
        <f aca="false">N(BF280)+N(BF281)+N(BF282)+N(BF283)+N(BF284)+N(BF285)+N(BF286)</f>
        <v>4449.602</v>
      </c>
      <c r="BG287" s="44" t="n">
        <f aca="false">N(BG280)+N(BG281)+N(BG282)+N(BG283)+N(BG284)+N(BG285)+N(BG286)</f>
        <v>4449.602</v>
      </c>
      <c r="BH287" s="44" t="n">
        <f aca="false">N(BH280)+N(BH281)+N(BH282)+N(BH283)+N(BH284)+N(BH285)+N(BH286)</f>
        <v>4362.125</v>
      </c>
      <c r="BI287" s="44" t="n">
        <f aca="false">N(BI280)+N(BI281)+N(BI282)+N(BI283)+N(BI284)+N(BI285)+N(BI286)</f>
        <v>4441.098</v>
      </c>
      <c r="BJ287" s="44" t="n">
        <f aca="false">N(BJ280)+N(BJ281)+N(BJ282)+N(BJ283)+N(BJ284)+N(BJ285)+N(BJ286)</f>
        <v>4413.955</v>
      </c>
      <c r="BK287" s="44" t="n">
        <f aca="false">N(BK280)+N(BK281)+N(BK282)+N(BK283)+N(BK284)+N(BK285)+N(BK286)</f>
        <v>4620.969</v>
      </c>
      <c r="BL287" s="44" t="n">
        <f aca="false">N(BL280)+N(BL281)+N(BL282)+N(BL283)+N(BL284)+N(BL285)+N(BL286)</f>
        <v>4620.969</v>
      </c>
      <c r="BM287" s="44" t="n">
        <f aca="false">N(BM280)+N(BM281)+N(BM282)+N(BM283)+N(BM284)+N(BM285)+N(BM286)</f>
        <v>4612.082</v>
      </c>
      <c r="BN287" s="44" t="n">
        <f aca="false">N(BN280)+N(BN281)+N(BN282)+N(BN283)+N(BN284)+N(BN285)+N(BN286)</f>
        <v>4748.194</v>
      </c>
      <c r="BO287" s="44" t="n">
        <f aca="false">N(BO280)+N(BO281)+N(BO282)+N(BO283)+N(BO284)+N(BO285)+N(BO286)</f>
        <v>4885.738</v>
      </c>
      <c r="BP287" s="44" t="n">
        <f aca="false">N(BP280)+N(BP281)+N(BP282)+N(BP283)+N(BP284)+N(BP285)+N(BP286)</f>
        <v>4985.704</v>
      </c>
      <c r="BQ287" s="44" t="n">
        <f aca="false">N(BQ280)+N(BQ281)+N(BQ282)+N(BQ283)+N(BQ284)+N(BQ285)+N(BQ286)</f>
        <v>4985.704</v>
      </c>
      <c r="BR287" s="44" t="n">
        <f aca="false">N(BR280)+N(BR281)+N(BR282)+N(BR283)+N(BR284)+N(BR285)+N(BR286)</f>
        <v>4951.791</v>
      </c>
      <c r="BS287" s="44" t="n">
        <f aca="false">N(BS280)+N(BS281)+N(BS282)+N(BS283)+N(BS284)+N(BS285)+N(BS286)</f>
        <v>5194.475</v>
      </c>
      <c r="BT287" s="44" t="n">
        <f aca="false">N(BT280)+N(BT281)+N(BT282)+N(BT283)+N(BT284)+N(BT285)+N(BT286)</f>
        <v>5102.032</v>
      </c>
      <c r="BU287" s="44" t="n">
        <f aca="false">N(BU280)+N(BU281)+N(BU282)+N(BU283)+N(BU284)+N(BU285)+N(BU286)</f>
        <v>5221.292</v>
      </c>
      <c r="BV287" s="44" t="n">
        <f aca="false">N(BV280)+N(BV281)+N(BV282)+N(BV283)+N(BV284)+N(BV285)+N(BV286)</f>
        <v>5221.292</v>
      </c>
      <c r="BW287" s="44" t="n">
        <f aca="false">N(BW280)+N(BW281)+N(BW282)+N(BW283)+N(BW284)+N(BW285)+N(BW286)</f>
        <v>5270.081</v>
      </c>
      <c r="BX287" s="44" t="n">
        <f aca="false">N(BX280)+N(BX281)+N(BX282)+N(BX283)+N(BX284)+N(BX285)+N(BX286)</f>
        <v>5455.666</v>
      </c>
      <c r="CA287" s="44" t="n">
        <f aca="false">N(CA280)+N(CA281)+N(CA282)+N(CA283)+N(CA284)+N(CA285)+N(CA286)</f>
        <v>5349.63830179449</v>
      </c>
      <c r="CB287" s="44" t="n">
        <f aca="false">N(CB280)+N(CB281)+N(CB282)+N(CB283)+N(CB284)+N(CB285)+N(CB286)</f>
        <v>5669.94062926243</v>
      </c>
      <c r="CC287" s="44" t="n">
        <f aca="false">N(CC280)+N(CC281)+N(CC282)+N(CC283)+N(CC284)+N(CC285)+N(CC286)</f>
        <v>6104.7422458868</v>
      </c>
      <c r="CD287" s="44" t="n">
        <f aca="false">N(CD280)+N(CD281)+N(CD282)+N(CD283)+N(CD284)+N(CD285)+N(CD286)</f>
        <v>6574.52557245288</v>
      </c>
      <c r="CE287" s="44" t="n">
        <f aca="false">N(CE280)+N(CE281)+N(CE282)+N(CE283)+N(CE284)+N(CE285)+N(CE286)</f>
        <v>7049.6838738038</v>
      </c>
    </row>
    <row r="288" customFormat="false" ht="15" hidden="false" customHeight="false" outlineLevel="0" collapsed="false">
      <c r="B288" s="49" t="s">
        <v>487</v>
      </c>
    </row>
    <row r="289" customFormat="false" ht="15" hidden="false" customHeight="false" outlineLevel="0" collapsed="false">
      <c r="B289" s="20" t="s">
        <v>488</v>
      </c>
      <c r="C289" s="24" t="n">
        <v>96.023</v>
      </c>
      <c r="D289" s="24" t="n">
        <v>137.401</v>
      </c>
      <c r="E289" s="24" t="n">
        <v>140.954</v>
      </c>
      <c r="F289" s="24" t="n">
        <v>129.88</v>
      </c>
      <c r="G289" s="24" t="n">
        <v>133.18</v>
      </c>
      <c r="H289" s="24" t="n">
        <v>150.281</v>
      </c>
      <c r="I289" s="24" t="n">
        <v>157.825</v>
      </c>
      <c r="J289" s="24" t="n">
        <v>146.266</v>
      </c>
      <c r="K289" s="24" t="n">
        <v>145.995</v>
      </c>
      <c r="L289" s="24" t="n">
        <v>163.13</v>
      </c>
      <c r="M289" s="24" t="n">
        <v>186.941</v>
      </c>
      <c r="N289" s="24" t="n">
        <v>186.941</v>
      </c>
      <c r="O289" s="24" t="n">
        <v>173.708</v>
      </c>
      <c r="P289" s="24" t="n">
        <v>183.672</v>
      </c>
      <c r="Q289" s="24" t="n">
        <v>148.617</v>
      </c>
      <c r="R289" s="24" t="n">
        <v>152.266</v>
      </c>
      <c r="S289" s="24" t="n">
        <v>152.266</v>
      </c>
      <c r="T289" s="24" t="n">
        <v>131.887</v>
      </c>
      <c r="U289" s="24" t="n">
        <v>138.134</v>
      </c>
      <c r="V289" s="24" t="n">
        <v>130.673</v>
      </c>
      <c r="W289" s="24" t="n">
        <v>163.286</v>
      </c>
      <c r="X289" s="24" t="n">
        <v>163.286</v>
      </c>
      <c r="Y289" s="24" t="n">
        <v>134.839</v>
      </c>
      <c r="Z289" s="24" t="n">
        <v>133.483</v>
      </c>
      <c r="AA289" s="24" t="n">
        <v>133.101</v>
      </c>
      <c r="AB289" s="24" t="n">
        <v>177.911</v>
      </c>
      <c r="AC289" s="24" t="n">
        <v>177.911</v>
      </c>
      <c r="AD289" s="24" t="n">
        <v>146.232</v>
      </c>
      <c r="AE289" s="24" t="n">
        <v>157.088</v>
      </c>
      <c r="AF289" s="24" t="n">
        <v>150.751</v>
      </c>
      <c r="AG289" s="24" t="n">
        <v>185.176</v>
      </c>
      <c r="AH289" s="24" t="n">
        <v>185.176</v>
      </c>
      <c r="AI289" s="24" t="n">
        <v>165.413</v>
      </c>
      <c r="AJ289" s="24" t="n">
        <v>179.566</v>
      </c>
      <c r="AK289" s="24" t="n">
        <v>176.35</v>
      </c>
      <c r="AL289" s="24" t="n">
        <v>232.983</v>
      </c>
      <c r="AM289" s="24" t="n">
        <v>232.983</v>
      </c>
      <c r="AN289" s="24" t="n">
        <v>176.439</v>
      </c>
      <c r="AO289" s="24" t="n">
        <v>173.791</v>
      </c>
      <c r="AP289" s="24" t="n">
        <v>169.413</v>
      </c>
      <c r="AQ289" s="24" t="n">
        <v>222</v>
      </c>
      <c r="AR289" s="24" t="n">
        <v>222</v>
      </c>
      <c r="AS289" s="24" t="n">
        <v>171.2</v>
      </c>
      <c r="AT289" s="24" t="n">
        <v>171.842</v>
      </c>
      <c r="AU289" s="24" t="n">
        <v>158.02</v>
      </c>
      <c r="AV289" s="24" t="n">
        <v>201.237</v>
      </c>
      <c r="AW289" s="24" t="n">
        <v>201.237</v>
      </c>
      <c r="AX289" s="24" t="n">
        <v>160.765</v>
      </c>
      <c r="AY289" s="24" t="n">
        <v>166.253</v>
      </c>
      <c r="AZ289" s="24" t="n">
        <v>158.196</v>
      </c>
      <c r="BA289" s="24" t="n">
        <v>211.64</v>
      </c>
      <c r="BB289" s="24" t="n">
        <v>211.64</v>
      </c>
      <c r="BC289" s="24" t="n">
        <v>168.772</v>
      </c>
      <c r="BD289" s="24" t="n">
        <v>171.589</v>
      </c>
      <c r="BE289" s="24" t="n">
        <v>182.621</v>
      </c>
      <c r="BF289" s="24" t="n">
        <v>266.525</v>
      </c>
      <c r="BG289" s="24" t="n">
        <v>266.525</v>
      </c>
      <c r="BH289" s="24" t="n">
        <v>207.573</v>
      </c>
      <c r="BI289" s="24" t="n">
        <v>233.602</v>
      </c>
      <c r="BJ289" s="24" t="n">
        <v>213.662</v>
      </c>
      <c r="BK289" s="24" t="n">
        <v>243.833</v>
      </c>
      <c r="BL289" s="24" t="n">
        <v>243.833</v>
      </c>
      <c r="BM289" s="24" t="n">
        <v>233.818</v>
      </c>
      <c r="BN289" s="24" t="n">
        <v>224.778</v>
      </c>
      <c r="BO289" s="24" t="n">
        <v>222.542</v>
      </c>
      <c r="BP289" s="24" t="n">
        <v>247.185</v>
      </c>
      <c r="BQ289" s="24" t="n">
        <v>247.185</v>
      </c>
      <c r="BR289" s="24" t="n">
        <v>237.706</v>
      </c>
      <c r="BS289" s="24" t="n">
        <v>261.07</v>
      </c>
      <c r="BT289" s="24" t="n">
        <v>270.333</v>
      </c>
      <c r="BU289" s="24" t="n">
        <v>310.303</v>
      </c>
      <c r="BV289" s="24" t="n">
        <v>310.303</v>
      </c>
      <c r="BW289" s="24" t="n">
        <v>277.208</v>
      </c>
      <c r="BX289" s="24" t="n">
        <v>285.335</v>
      </c>
      <c r="CA289" s="25" t="n">
        <f aca="false">CA115*CA319/365</f>
        <v>331.45551286962</v>
      </c>
      <c r="CB289" s="25" t="n">
        <f aca="false">CB115*CB319/365</f>
        <v>354.50937890411</v>
      </c>
      <c r="CC289" s="25" t="n">
        <f aca="false">CC115*CC319/365</f>
        <v>385.413296050548</v>
      </c>
      <c r="CD289" s="25" t="n">
        <f aca="false">CD115*CD319/365</f>
        <v>416.807690666752</v>
      </c>
      <c r="CE289" s="25" t="n">
        <f aca="false">CE115*CE319/365</f>
        <v>450.065989779941</v>
      </c>
    </row>
    <row r="290" customFormat="false" ht="15" hidden="false" customHeight="false" outlineLevel="0" collapsed="false">
      <c r="B290" s="20" t="s">
        <v>489</v>
      </c>
      <c r="C290" s="24" t="n">
        <v>81.532</v>
      </c>
      <c r="D290" s="24" t="n">
        <v>103.207</v>
      </c>
      <c r="E290" s="24" t="n">
        <v>103.973</v>
      </c>
      <c r="F290" s="24" t="n">
        <v>90.855</v>
      </c>
      <c r="G290" s="24" t="n">
        <v>99.966</v>
      </c>
      <c r="H290" s="24" t="n">
        <v>105.196</v>
      </c>
      <c r="I290" s="24" t="n">
        <v>131.067</v>
      </c>
      <c r="J290" s="24" t="n">
        <v>119.231</v>
      </c>
      <c r="K290" s="24" t="n">
        <v>120.723</v>
      </c>
      <c r="L290" s="24" t="n">
        <v>136.506</v>
      </c>
      <c r="M290" s="24" t="n">
        <v>142.935</v>
      </c>
      <c r="N290" s="24" t="n">
        <v>142.935</v>
      </c>
      <c r="O290" s="24" t="n">
        <v>125.02</v>
      </c>
      <c r="P290" s="24" t="n">
        <v>128.611</v>
      </c>
      <c r="Q290" s="24" t="n">
        <v>134.048</v>
      </c>
      <c r="R290" s="24" t="n">
        <v>145.938</v>
      </c>
      <c r="S290" s="24" t="n">
        <v>145.938</v>
      </c>
      <c r="T290" s="24" t="n">
        <v>109.893</v>
      </c>
      <c r="U290" s="24" t="n">
        <v>112.304</v>
      </c>
      <c r="V290" s="24" t="n">
        <v>124.67</v>
      </c>
      <c r="W290" s="24" t="n">
        <v>131.863</v>
      </c>
      <c r="X290" s="24" t="n">
        <v>131.863</v>
      </c>
      <c r="Y290" s="24" t="n">
        <v>96.275</v>
      </c>
      <c r="Z290" s="24" t="n">
        <v>108.796</v>
      </c>
      <c r="AA290" s="24" t="n">
        <v>116.778</v>
      </c>
      <c r="AB290" s="24" t="n">
        <v>130.239</v>
      </c>
      <c r="AC290" s="24" t="n">
        <v>130.239</v>
      </c>
      <c r="AD290" s="24" t="n">
        <v>95.397</v>
      </c>
      <c r="AE290" s="24" t="n">
        <v>116.492</v>
      </c>
      <c r="AF290" s="24" t="n">
        <v>131.357</v>
      </c>
      <c r="AG290" s="24" t="n">
        <v>150.406</v>
      </c>
      <c r="AH290" s="24" t="n">
        <v>150.406</v>
      </c>
      <c r="AI290" s="24" t="n">
        <v>102.602</v>
      </c>
      <c r="AJ290" s="24" t="n">
        <v>131.263</v>
      </c>
      <c r="AK290" s="24" t="n">
        <v>141.849</v>
      </c>
      <c r="AL290" s="24" t="n">
        <v>166.954</v>
      </c>
      <c r="AM290" s="24" t="n">
        <v>166.954</v>
      </c>
      <c r="AN290" s="24" t="n">
        <v>114.062</v>
      </c>
      <c r="AO290" s="24" t="n">
        <v>138.278</v>
      </c>
      <c r="AP290" s="24" t="n">
        <v>140.589</v>
      </c>
      <c r="AQ290" s="24" t="n">
        <v>164.744</v>
      </c>
      <c r="AR290" s="24" t="n">
        <v>164.744</v>
      </c>
      <c r="AS290" s="24" t="n">
        <v>112.532</v>
      </c>
      <c r="AT290" s="24" t="n">
        <v>128.8</v>
      </c>
      <c r="AU290" s="24" t="n">
        <v>136.965</v>
      </c>
      <c r="AV290" s="24" t="n">
        <v>140.2</v>
      </c>
      <c r="AW290" s="24" t="n">
        <v>140.2</v>
      </c>
      <c r="AX290" s="24" t="n">
        <v>108.486</v>
      </c>
      <c r="AY290" s="24" t="n">
        <v>133.264</v>
      </c>
      <c r="AZ290" s="24" t="n">
        <v>142.169</v>
      </c>
      <c r="BA290" s="24" t="n">
        <v>144.466</v>
      </c>
      <c r="BB290" s="24" t="n">
        <v>144.466</v>
      </c>
      <c r="BC290" s="24" t="n">
        <v>109.077</v>
      </c>
      <c r="BD290" s="24" t="n">
        <v>133.706</v>
      </c>
      <c r="BE290" s="24" t="n">
        <v>139.982</v>
      </c>
      <c r="BF290" s="24" t="n">
        <v>177.536</v>
      </c>
      <c r="BG290" s="24" t="n">
        <v>177.536</v>
      </c>
      <c r="BH290" s="24" t="n">
        <v>153.678</v>
      </c>
      <c r="BI290" s="24" t="n">
        <v>144.073</v>
      </c>
      <c r="BJ290" s="24" t="n">
        <v>188.504</v>
      </c>
      <c r="BK290" s="24" t="n">
        <v>188.039</v>
      </c>
      <c r="BL290" s="24" t="n">
        <v>188.039</v>
      </c>
      <c r="BM290" s="24" t="n">
        <v>158.089</v>
      </c>
      <c r="BN290" s="24" t="n">
        <v>158.505</v>
      </c>
      <c r="BO290" s="24" t="n">
        <v>194.414</v>
      </c>
      <c r="BP290" s="24" t="n">
        <v>219.054</v>
      </c>
      <c r="BQ290" s="24" t="n">
        <v>219.054</v>
      </c>
      <c r="BR290" s="24" t="n">
        <v>180.795</v>
      </c>
      <c r="BS290" s="24" t="n">
        <v>178.78</v>
      </c>
      <c r="BT290" s="24" t="n">
        <v>227.622</v>
      </c>
      <c r="BU290" s="24" t="n">
        <v>242.942</v>
      </c>
      <c r="BV290" s="24" t="n">
        <v>242.942</v>
      </c>
      <c r="BW290" s="24" t="n">
        <v>203.226</v>
      </c>
      <c r="BX290" s="24" t="n">
        <v>216.537</v>
      </c>
      <c r="CA290" s="25" t="n">
        <f aca="false">CA114*CA320</f>
        <v>261.5445</v>
      </c>
      <c r="CB290" s="25" t="n">
        <f aca="false">CB114*CB320</f>
        <v>283.7142</v>
      </c>
      <c r="CC290" s="25" t="n">
        <f aca="false">CC114*CC320</f>
        <v>310.0250523</v>
      </c>
      <c r="CD290" s="25" t="n">
        <f aca="false">CD114*CD320</f>
        <v>336.510277743</v>
      </c>
      <c r="CE290" s="25" t="n">
        <f aca="false">CE114*CE320</f>
        <v>364.57900885488</v>
      </c>
    </row>
    <row r="291" customFormat="false" ht="15" hidden="false" customHeight="false" outlineLevel="0" collapsed="false">
      <c r="B291" s="20" t="s">
        <v>490</v>
      </c>
      <c r="C291" s="24" t="n">
        <v>57.305</v>
      </c>
      <c r="D291" s="24" t="n">
        <v>105.421</v>
      </c>
      <c r="E291" s="24" t="n">
        <v>138.753</v>
      </c>
      <c r="F291" s="24" t="n">
        <v>167.683</v>
      </c>
      <c r="G291" s="24" t="n">
        <v>146.77</v>
      </c>
      <c r="H291" s="24" t="n">
        <v>200.268</v>
      </c>
      <c r="I291" s="24" t="n">
        <v>171.624</v>
      </c>
      <c r="J291" s="24" t="n">
        <v>171.701</v>
      </c>
      <c r="K291" s="24" t="n">
        <v>167.614</v>
      </c>
      <c r="L291" s="24" t="n">
        <v>158.321</v>
      </c>
      <c r="M291" s="24" t="n">
        <v>164.343</v>
      </c>
      <c r="N291" s="24" t="n">
        <v>164.343</v>
      </c>
      <c r="O291" s="24" t="n">
        <v>155.43</v>
      </c>
      <c r="P291" s="24" t="n">
        <v>184.219</v>
      </c>
      <c r="Q291" s="24" t="n">
        <v>168.384</v>
      </c>
      <c r="R291" s="24" t="n">
        <v>176.693</v>
      </c>
      <c r="S291" s="24" t="n">
        <v>176.693</v>
      </c>
      <c r="T291" s="24" t="n">
        <v>150.655</v>
      </c>
      <c r="U291" s="24" t="n">
        <v>154.578</v>
      </c>
      <c r="V291" s="24" t="n">
        <v>148.932</v>
      </c>
      <c r="W291" s="24" t="n">
        <v>181.671</v>
      </c>
      <c r="X291" s="24" t="n">
        <v>181.671</v>
      </c>
      <c r="Y291" s="24" t="n">
        <v>183.177</v>
      </c>
      <c r="Z291" s="24" t="n">
        <v>190.825</v>
      </c>
      <c r="AA291" s="24" t="n">
        <v>196.609</v>
      </c>
      <c r="AB291" s="24" t="n">
        <v>170.143</v>
      </c>
      <c r="AC291" s="24" t="n">
        <v>170.143</v>
      </c>
      <c r="AD291" s="24" t="n">
        <v>176.274</v>
      </c>
      <c r="AE291" s="24" t="n">
        <v>183.955</v>
      </c>
      <c r="AF291" s="24" t="n">
        <v>189.788</v>
      </c>
      <c r="AG291" s="24" t="n">
        <v>214.891</v>
      </c>
      <c r="AH291" s="24" t="n">
        <v>214.891</v>
      </c>
      <c r="AI291" s="24" t="n">
        <v>217.959</v>
      </c>
      <c r="AJ291" s="24" t="n">
        <v>231.187</v>
      </c>
      <c r="AK291" s="24" t="n">
        <v>223.686</v>
      </c>
      <c r="AL291" s="24" t="n">
        <v>236.508</v>
      </c>
      <c r="AM291" s="24" t="n">
        <v>236.508</v>
      </c>
      <c r="AN291" s="24" t="n">
        <v>225.925</v>
      </c>
      <c r="AO291" s="24" t="n">
        <v>243.053</v>
      </c>
      <c r="AP291" s="24" t="n">
        <v>256.327</v>
      </c>
      <c r="AQ291" s="24" t="n">
        <v>276.115</v>
      </c>
      <c r="AR291" s="24" t="n">
        <v>276.115</v>
      </c>
      <c r="AS291" s="24" t="n">
        <v>251.512</v>
      </c>
      <c r="AT291" s="24" t="n">
        <v>263.11</v>
      </c>
      <c r="AU291" s="24" t="n">
        <v>267.504</v>
      </c>
      <c r="AV291" s="24" t="n">
        <v>253.411</v>
      </c>
      <c r="AW291" s="24" t="n">
        <v>253.411</v>
      </c>
      <c r="AX291" s="24" t="n">
        <v>238.742</v>
      </c>
      <c r="AY291" s="24" t="n">
        <v>260.358</v>
      </c>
      <c r="AZ291" s="24" t="n">
        <v>249.671</v>
      </c>
      <c r="BA291" s="24" t="n">
        <v>260.157</v>
      </c>
      <c r="BB291" s="24" t="n">
        <v>260.157</v>
      </c>
      <c r="BC291" s="24" t="n">
        <v>224.679</v>
      </c>
      <c r="BD291" s="24" t="n">
        <v>215.188</v>
      </c>
      <c r="BE291" s="24" t="n">
        <v>220.259</v>
      </c>
      <c r="BF291" s="24" t="n">
        <v>242.483</v>
      </c>
      <c r="BG291" s="24" t="n">
        <v>242.483</v>
      </c>
      <c r="BH291" s="24" t="n">
        <v>234.487</v>
      </c>
      <c r="BI291" s="24" t="n">
        <v>264.766</v>
      </c>
      <c r="BJ291" s="24" t="n">
        <v>292.514</v>
      </c>
      <c r="BK291" s="24" t="n">
        <v>303.872</v>
      </c>
      <c r="BL291" s="24" t="n">
        <v>303.872</v>
      </c>
      <c r="BM291" s="24" t="n">
        <v>297.545</v>
      </c>
      <c r="BN291" s="24" t="n">
        <v>341.601</v>
      </c>
      <c r="BO291" s="24" t="n">
        <v>392.33</v>
      </c>
      <c r="BP291" s="24" t="n">
        <v>459.421</v>
      </c>
      <c r="BQ291" s="24" t="n">
        <v>459.421</v>
      </c>
      <c r="BR291" s="24" t="n">
        <v>448.012</v>
      </c>
      <c r="BS291" s="24" t="n">
        <v>500.245</v>
      </c>
      <c r="BT291" s="24" t="n">
        <v>503.583</v>
      </c>
      <c r="BU291" s="24" t="n">
        <v>561.452</v>
      </c>
      <c r="BV291" s="24" t="n">
        <v>561.452</v>
      </c>
      <c r="BW291" s="24" t="n">
        <v>568.967</v>
      </c>
      <c r="BX291" s="24" t="n">
        <v>593.849</v>
      </c>
      <c r="CA291" s="25" t="n">
        <f aca="false">CA114*CA321</f>
        <v>606.48</v>
      </c>
      <c r="CB291" s="25" t="n">
        <f aca="false">CB114*CB321</f>
        <v>657.888</v>
      </c>
      <c r="CC291" s="25" t="n">
        <f aca="false">CC114*CC321</f>
        <v>718.898672</v>
      </c>
      <c r="CD291" s="25" t="n">
        <f aca="false">CD114*CD321</f>
        <v>780.31368752</v>
      </c>
      <c r="CE291" s="25" t="n">
        <f aca="false">CE114*CE321</f>
        <v>845.4006002432</v>
      </c>
      <c r="CF291" s="18" t="s">
        <v>491</v>
      </c>
    </row>
    <row r="292" customFormat="false" ht="15" hidden="false" customHeight="false" outlineLevel="0" collapsed="false">
      <c r="B292" s="20" t="s">
        <v>492</v>
      </c>
      <c r="C292" s="24" t="n">
        <v>5.874</v>
      </c>
      <c r="D292" s="24" t="n">
        <v>0.923</v>
      </c>
      <c r="E292" s="24" t="n">
        <v>3.249</v>
      </c>
      <c r="F292" s="24" t="n">
        <v>80.981</v>
      </c>
      <c r="G292" s="24" t="n">
        <v>2.602</v>
      </c>
      <c r="H292" s="24" t="n">
        <v>2.502</v>
      </c>
      <c r="I292" s="24" t="n">
        <v>128.225</v>
      </c>
      <c r="J292" s="24" t="n">
        <v>126.396</v>
      </c>
      <c r="K292" s="24" t="n">
        <v>126.089</v>
      </c>
      <c r="L292" s="24" t="n">
        <v>1.227</v>
      </c>
      <c r="M292" s="24" t="n">
        <v>1.334</v>
      </c>
      <c r="N292" s="24" t="n">
        <v>1.334</v>
      </c>
      <c r="O292" s="24" t="n">
        <v>0.705</v>
      </c>
      <c r="P292" s="24" t="n">
        <v>0.775</v>
      </c>
      <c r="Q292" s="24" t="n">
        <v>0.606</v>
      </c>
      <c r="R292" s="24" t="n">
        <v>1.069</v>
      </c>
      <c r="S292" s="24" t="n">
        <v>1.069</v>
      </c>
      <c r="T292" s="24" t="n">
        <v>0.965</v>
      </c>
      <c r="U292" s="24" t="n">
        <v>1.039</v>
      </c>
      <c r="V292" s="24" t="n">
        <v>1.394</v>
      </c>
      <c r="W292" s="24" t="n">
        <v>1.259</v>
      </c>
      <c r="X292" s="24" t="n">
        <v>1.259</v>
      </c>
      <c r="Y292" s="24" t="n">
        <v>0.919</v>
      </c>
      <c r="Z292" s="24" t="n">
        <v>1.113</v>
      </c>
      <c r="AA292" s="24" t="n">
        <v>0.802</v>
      </c>
      <c r="AB292" s="24" t="n">
        <v>150.668</v>
      </c>
      <c r="AC292" s="24" t="n">
        <v>150.668</v>
      </c>
      <c r="AD292" s="24" t="n">
        <v>150.579</v>
      </c>
      <c r="AE292" s="24" t="n">
        <v>150.82</v>
      </c>
      <c r="AF292" s="24" t="n">
        <v>150.408</v>
      </c>
      <c r="AG292" s="24" t="n">
        <v>0.15</v>
      </c>
      <c r="AH292" s="24" t="n">
        <v>0.15</v>
      </c>
      <c r="AI292" s="24" t="n">
        <v>0.982</v>
      </c>
      <c r="AJ292" s="24" t="n">
        <v>0.959</v>
      </c>
      <c r="AK292" s="24" t="n">
        <v>1.023</v>
      </c>
      <c r="AL292" s="24" t="n">
        <v>0.243</v>
      </c>
      <c r="AM292" s="24" t="n">
        <v>0.243</v>
      </c>
      <c r="AN292" s="24" t="n">
        <v>0.161</v>
      </c>
      <c r="AO292" s="24" t="n">
        <v>0</v>
      </c>
      <c r="AP292" s="24" t="n">
        <v>0.08</v>
      </c>
      <c r="AQ292" s="24" t="n">
        <v>0</v>
      </c>
      <c r="AR292" s="24" t="n">
        <v>0</v>
      </c>
      <c r="AS292" s="24" t="n">
        <v>0.427</v>
      </c>
      <c r="AV292" s="24" t="n">
        <v>100</v>
      </c>
      <c r="AW292" s="24" t="n">
        <v>100</v>
      </c>
      <c r="AX292" s="24" t="n">
        <v>100</v>
      </c>
      <c r="AY292" s="24" t="n">
        <v>100</v>
      </c>
      <c r="AZ292" s="24" t="n">
        <v>100</v>
      </c>
      <c r="BA292" s="24" t="n">
        <v>0</v>
      </c>
      <c r="BB292" s="24" t="n">
        <v>0</v>
      </c>
      <c r="BC292" s="24" t="n">
        <v>202.5</v>
      </c>
      <c r="BD292" s="24" t="n">
        <v>202.5</v>
      </c>
      <c r="BE292" s="24" t="n">
        <v>202.5</v>
      </c>
      <c r="BF292" s="24" t="n">
        <v>202.5</v>
      </c>
      <c r="BG292" s="24" t="n">
        <v>202.5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90</v>
      </c>
      <c r="BN292" s="24" t="n">
        <v>90</v>
      </c>
      <c r="BO292" s="24" t="n">
        <v>90</v>
      </c>
      <c r="BP292" s="24" t="n">
        <v>90</v>
      </c>
      <c r="BQ292" s="24" t="n">
        <v>90</v>
      </c>
      <c r="BR292" s="24" t="n">
        <v>0</v>
      </c>
      <c r="BS292" s="24" t="n">
        <v>0</v>
      </c>
      <c r="BT292" s="24" t="n">
        <v>0</v>
      </c>
      <c r="BU292" s="24" t="n">
        <v>200</v>
      </c>
      <c r="BV292" s="24" t="n">
        <v>200</v>
      </c>
      <c r="BW292" s="24" t="n">
        <v>200</v>
      </c>
      <c r="BX292" s="24" t="n">
        <v>200</v>
      </c>
      <c r="CA292" s="25" t="n">
        <f aca="false">-CB329</f>
        <v>-0</v>
      </c>
      <c r="CB292" s="25" t="n">
        <f aca="false">-CC329</f>
        <v>157.5</v>
      </c>
      <c r="CC292" s="25" t="n">
        <f aca="false">-CD329</f>
        <v>-0</v>
      </c>
      <c r="CD292" s="25" t="n">
        <f aca="false">-CE329</f>
        <v>150</v>
      </c>
      <c r="CE292" s="25" t="n">
        <f aca="false">0</f>
        <v>0</v>
      </c>
      <c r="CF292" s="18" t="s">
        <v>493</v>
      </c>
    </row>
    <row r="293" customFormat="false" ht="15" hidden="false" customHeight="false" outlineLevel="0" collapsed="false">
      <c r="B293" s="20" t="s">
        <v>494</v>
      </c>
      <c r="C293" s="24" t="n">
        <v>51.391</v>
      </c>
      <c r="D293" s="24" t="n">
        <v>51.663</v>
      </c>
      <c r="E293" s="24" t="n">
        <v>64.755</v>
      </c>
      <c r="F293" s="24" t="n">
        <v>54.92</v>
      </c>
      <c r="G293" s="24" t="n">
        <v>45.421</v>
      </c>
      <c r="H293" s="24" t="n">
        <v>47.137</v>
      </c>
      <c r="I293" s="24" t="n">
        <v>51.007</v>
      </c>
      <c r="J293" s="24" t="n">
        <v>56.33</v>
      </c>
      <c r="K293" s="24" t="n">
        <v>48.863</v>
      </c>
      <c r="L293" s="24" t="n">
        <v>42.407</v>
      </c>
      <c r="M293" s="24" t="n">
        <v>39.04</v>
      </c>
      <c r="N293" s="24" t="n">
        <v>39.04</v>
      </c>
      <c r="O293" s="24" t="n">
        <v>44.762</v>
      </c>
      <c r="P293" s="24" t="n">
        <v>49.387</v>
      </c>
      <c r="Q293" s="24" t="n">
        <v>124.425</v>
      </c>
      <c r="R293" s="24" t="n">
        <v>96.027</v>
      </c>
      <c r="S293" s="24" t="n">
        <v>96.027</v>
      </c>
      <c r="T293" s="24" t="n">
        <v>89.941</v>
      </c>
      <c r="U293" s="24" t="n">
        <v>59.086</v>
      </c>
      <c r="V293" s="24" t="n">
        <v>52.887</v>
      </c>
      <c r="W293" s="24" t="n">
        <v>47.108</v>
      </c>
      <c r="X293" s="24" t="n">
        <v>47.108</v>
      </c>
      <c r="Y293" s="24" t="n">
        <v>41.969</v>
      </c>
      <c r="Z293" s="24" t="n">
        <v>48.101</v>
      </c>
      <c r="AA293" s="24" t="n">
        <v>40.725</v>
      </c>
      <c r="AB293" s="24" t="n">
        <v>46.301</v>
      </c>
      <c r="AC293" s="24" t="n">
        <v>46.301</v>
      </c>
      <c r="AD293" s="24" t="n">
        <v>56.335</v>
      </c>
      <c r="AE293" s="24" t="n">
        <v>45.436</v>
      </c>
      <c r="AF293" s="24" t="n">
        <v>46.934</v>
      </c>
      <c r="AG293" s="24" t="n">
        <v>40.374</v>
      </c>
      <c r="AH293" s="24" t="n">
        <v>40.374</v>
      </c>
      <c r="AI293" s="24" t="n">
        <v>54.329</v>
      </c>
      <c r="AJ293" s="24" t="n">
        <v>52.709</v>
      </c>
      <c r="AK293" s="24" t="n">
        <v>54.534</v>
      </c>
      <c r="AL293" s="24" t="n">
        <v>50.64</v>
      </c>
      <c r="AM293" s="24" t="n">
        <v>50.64</v>
      </c>
      <c r="AN293" s="24" t="n">
        <v>86.681</v>
      </c>
      <c r="AO293" s="24" t="n">
        <v>82.747</v>
      </c>
      <c r="AP293" s="24" t="n">
        <v>81.696</v>
      </c>
      <c r="AQ293" s="24" t="n">
        <v>81.872</v>
      </c>
      <c r="AR293" s="24" t="n">
        <v>81.872</v>
      </c>
      <c r="AS293" s="24" t="n">
        <v>93.386</v>
      </c>
      <c r="AT293" s="24" t="n">
        <v>98.226</v>
      </c>
      <c r="AU293" s="24" t="n">
        <v>103.345</v>
      </c>
      <c r="AV293" s="24" t="n">
        <v>115.529</v>
      </c>
      <c r="AW293" s="24" t="n">
        <v>115.529</v>
      </c>
      <c r="AX293" s="24" t="n">
        <v>126.809</v>
      </c>
      <c r="AY293" s="24" t="n">
        <v>114.597</v>
      </c>
      <c r="AZ293" s="24" t="n">
        <v>115.107</v>
      </c>
      <c r="BA293" s="24" t="n">
        <v>118.604</v>
      </c>
      <c r="BB293" s="24" t="n">
        <v>118.604</v>
      </c>
      <c r="BC293" s="24" t="n">
        <v>95.223</v>
      </c>
      <c r="BD293" s="24" t="n">
        <v>336.224</v>
      </c>
      <c r="BE293" s="24" t="n">
        <v>95.002</v>
      </c>
      <c r="BF293" s="24" t="n">
        <v>82.395</v>
      </c>
      <c r="BG293" s="24" t="n">
        <v>82.395</v>
      </c>
      <c r="BH293" s="24" t="n">
        <v>76.452</v>
      </c>
      <c r="BI293" s="24" t="n">
        <v>78.486</v>
      </c>
      <c r="BJ293" s="24" t="n">
        <v>80.699</v>
      </c>
      <c r="BK293" s="24" t="n">
        <v>70.8</v>
      </c>
      <c r="BL293" s="24" t="n">
        <v>70.8</v>
      </c>
      <c r="BM293" s="24" t="n">
        <v>78.823</v>
      </c>
      <c r="BN293" s="24" t="n">
        <v>81.632</v>
      </c>
      <c r="BO293" s="24" t="n">
        <v>87.369</v>
      </c>
      <c r="BP293" s="24" t="n">
        <v>80.288</v>
      </c>
      <c r="BQ293" s="24" t="n">
        <v>80.288</v>
      </c>
      <c r="BR293" s="24" t="n">
        <v>87.403</v>
      </c>
      <c r="BS293" s="24" t="n">
        <v>86.431</v>
      </c>
      <c r="BT293" s="24" t="n">
        <v>99.675</v>
      </c>
      <c r="BU293" s="24" t="n">
        <v>90.87</v>
      </c>
      <c r="BV293" s="24" t="n">
        <v>90.87</v>
      </c>
      <c r="BW293" s="24" t="n">
        <v>110.758</v>
      </c>
      <c r="BX293" s="24" t="n">
        <v>100.89</v>
      </c>
      <c r="CA293" s="25" t="n">
        <f aca="false">BX293</f>
        <v>100.89</v>
      </c>
      <c r="CB293" s="25" t="n">
        <f aca="false">CA293</f>
        <v>100.89</v>
      </c>
      <c r="CC293" s="25" t="n">
        <f aca="false">CB293</f>
        <v>100.89</v>
      </c>
      <c r="CD293" s="25" t="n">
        <f aca="false">CC293</f>
        <v>100.89</v>
      </c>
      <c r="CE293" s="25" t="n">
        <f aca="false">CD293</f>
        <v>100.89</v>
      </c>
    </row>
    <row r="294" customFormat="false" ht="15" hidden="false" customHeight="false" outlineLevel="0" collapsed="false">
      <c r="B294" s="15" t="s">
        <v>495</v>
      </c>
      <c r="C294" s="31" t="n">
        <f aca="false">N(C289)+N(C290)+N(C291)+N(C292)+N(C293)</f>
        <v>292.125</v>
      </c>
      <c r="D294" s="31" t="n">
        <f aca="false">N(D289)+N(D290)+N(D291)+N(D292)+N(D293)</f>
        <v>398.615</v>
      </c>
      <c r="E294" s="31" t="n">
        <f aca="false">N(E289)+N(E290)+N(E291)+N(E292)+N(E293)</f>
        <v>451.684</v>
      </c>
      <c r="F294" s="31" t="n">
        <f aca="false">N(F289)+N(F290)+N(F291)+N(F292)+N(F293)</f>
        <v>524.319</v>
      </c>
      <c r="G294" s="31" t="n">
        <f aca="false">N(G289)+N(G290)+N(G291)+N(G292)+N(G293)</f>
        <v>427.939</v>
      </c>
      <c r="H294" s="31" t="n">
        <f aca="false">N(H289)+N(H290)+N(H291)+N(H292)+N(H293)</f>
        <v>505.384</v>
      </c>
      <c r="I294" s="31" t="n">
        <f aca="false">N(I289)+N(I290)+N(I291)+N(I292)+N(I293)</f>
        <v>639.748</v>
      </c>
      <c r="J294" s="31" t="n">
        <f aca="false">N(J289)+N(J290)+N(J291)+N(J292)+N(J293)</f>
        <v>619.924</v>
      </c>
      <c r="K294" s="31" t="n">
        <f aca="false">N(K289)+N(K290)+N(K291)+N(K292)+N(K293)</f>
        <v>609.284</v>
      </c>
      <c r="L294" s="31" t="n">
        <f aca="false">N(L289)+N(L290)+N(L291)+N(L292)+N(L293)</f>
        <v>501.591</v>
      </c>
      <c r="M294" s="31" t="n">
        <f aca="false">N(M289)+N(M290)+N(M291)+N(M292)+N(M293)</f>
        <v>534.593</v>
      </c>
      <c r="N294" s="31" t="n">
        <f aca="false">N(N289)+N(N290)+N(N291)+N(N292)+N(N293)</f>
        <v>534.593</v>
      </c>
      <c r="O294" s="31" t="n">
        <f aca="false">N(O289)+N(O290)+N(O291)+N(O292)+N(O293)</f>
        <v>499.625</v>
      </c>
      <c r="P294" s="31" t="n">
        <f aca="false">N(P289)+N(P290)+N(P291)+N(P292)+N(P293)</f>
        <v>546.664</v>
      </c>
      <c r="Q294" s="31" t="n">
        <f aca="false">N(Q289)+N(Q290)+N(Q291)+N(Q292)+N(Q293)</f>
        <v>576.08</v>
      </c>
      <c r="R294" s="31" t="n">
        <f aca="false">N(R289)+N(R290)+N(R291)+N(R292)+N(R293)</f>
        <v>571.993</v>
      </c>
      <c r="S294" s="31" t="n">
        <f aca="false">N(S289)+N(S290)+N(S291)+N(S292)+N(S293)</f>
        <v>571.993</v>
      </c>
      <c r="T294" s="31" t="n">
        <f aca="false">N(T289)+N(T290)+N(T291)+N(T292)+N(T293)</f>
        <v>483.341</v>
      </c>
      <c r="U294" s="31" t="n">
        <f aca="false">N(U289)+N(U290)+N(U291)+N(U292)+N(U293)</f>
        <v>465.141</v>
      </c>
      <c r="V294" s="31" t="n">
        <f aca="false">N(V289)+N(V290)+N(V291)+N(V292)+N(V293)</f>
        <v>458.556</v>
      </c>
      <c r="W294" s="31" t="n">
        <f aca="false">N(W289)+N(W290)+N(W291)+N(W292)+N(W293)</f>
        <v>525.187</v>
      </c>
      <c r="X294" s="31" t="n">
        <f aca="false">N(X289)+N(X290)+N(X291)+N(X292)+N(X293)</f>
        <v>525.187</v>
      </c>
      <c r="Y294" s="31" t="n">
        <f aca="false">N(Y289)+N(Y290)+N(Y291)+N(Y292)+N(Y293)</f>
        <v>457.179</v>
      </c>
      <c r="Z294" s="31" t="n">
        <f aca="false">N(Z289)+N(Z290)+N(Z291)+N(Z292)+N(Z293)</f>
        <v>482.318</v>
      </c>
      <c r="AA294" s="31" t="n">
        <f aca="false">N(AA289)+N(AA290)+N(AA291)+N(AA292)+N(AA293)</f>
        <v>488.015</v>
      </c>
      <c r="AB294" s="31" t="n">
        <f aca="false">N(AB289)+N(AB290)+N(AB291)+N(AB292)+N(AB293)</f>
        <v>675.262</v>
      </c>
      <c r="AC294" s="31" t="n">
        <f aca="false">N(AC289)+N(AC290)+N(AC291)+N(AC292)+N(AC293)</f>
        <v>675.262</v>
      </c>
      <c r="AD294" s="31" t="n">
        <f aca="false">N(AD289)+N(AD290)+N(AD291)+N(AD292)+N(AD293)</f>
        <v>624.817</v>
      </c>
      <c r="AE294" s="31" t="n">
        <f aca="false">N(AE289)+N(AE290)+N(AE291)+N(AE292)+N(AE293)</f>
        <v>653.791</v>
      </c>
      <c r="AF294" s="31" t="n">
        <f aca="false">N(AF289)+N(AF290)+N(AF291)+N(AF292)+N(AF293)</f>
        <v>669.238</v>
      </c>
      <c r="AG294" s="31" t="n">
        <f aca="false">N(AG289)+N(AG290)+N(AG291)+N(AG292)+N(AG293)</f>
        <v>590.997</v>
      </c>
      <c r="AH294" s="31" t="n">
        <f aca="false">N(AH289)+N(AH290)+N(AH291)+N(AH292)+N(AH293)</f>
        <v>590.997</v>
      </c>
      <c r="AI294" s="31" t="n">
        <f aca="false">N(AI289)+N(AI290)+N(AI291)+N(AI292)+N(AI293)</f>
        <v>541.285</v>
      </c>
      <c r="AJ294" s="31" t="n">
        <f aca="false">N(AJ289)+N(AJ290)+N(AJ291)+N(AJ292)+N(AJ293)</f>
        <v>595.684</v>
      </c>
      <c r="AK294" s="31" t="n">
        <f aca="false">N(AK289)+N(AK290)+N(AK291)+N(AK292)+N(AK293)</f>
        <v>597.442</v>
      </c>
      <c r="AL294" s="31" t="n">
        <f aca="false">N(AL289)+N(AL290)+N(AL291)+N(AL292)+N(AL293)</f>
        <v>687.328</v>
      </c>
      <c r="AM294" s="31" t="n">
        <f aca="false">N(AM289)+N(AM290)+N(AM291)+N(AM292)+N(AM293)</f>
        <v>687.328</v>
      </c>
      <c r="AN294" s="31" t="n">
        <f aca="false">N(AN289)+N(AN290)+N(AN291)+N(AN292)+N(AN293)</f>
        <v>603.268</v>
      </c>
      <c r="AO294" s="31" t="n">
        <f aca="false">N(AO289)+N(AO290)+N(AO291)+N(AO292)+N(AO293)</f>
        <v>637.869</v>
      </c>
      <c r="AP294" s="31" t="n">
        <f aca="false">N(AP289)+N(AP290)+N(AP291)+N(AP292)+N(AP293)</f>
        <v>648.105</v>
      </c>
      <c r="AQ294" s="31" t="n">
        <f aca="false">N(AQ289)+N(AQ290)+N(AQ291)+N(AQ292)+N(AQ293)</f>
        <v>744.731</v>
      </c>
      <c r="AR294" s="31" t="n">
        <f aca="false">N(AR289)+N(AR290)+N(AR291)+N(AR292)+N(AR293)</f>
        <v>744.731</v>
      </c>
      <c r="AS294" s="31" t="n">
        <f aca="false">N(AS289)+N(AS290)+N(AS291)+N(AS292)+N(AS293)</f>
        <v>629.057</v>
      </c>
      <c r="AT294" s="31" t="n">
        <f aca="false">N(AT289)+N(AT290)+N(AT291)+N(AT292)+N(AT293)</f>
        <v>661.978</v>
      </c>
      <c r="AU294" s="31" t="n">
        <f aca="false">N(AU289)+N(AU290)+N(AU291)+N(AU292)+N(AU293)</f>
        <v>665.834</v>
      </c>
      <c r="AV294" s="31" t="n">
        <f aca="false">N(AV289)+N(AV290)+N(AV291)+N(AV292)+N(AV293)</f>
        <v>810.377</v>
      </c>
      <c r="AW294" s="31" t="n">
        <f aca="false">N(AW289)+N(AW290)+N(AW291)+N(AW292)+N(AW293)</f>
        <v>810.377</v>
      </c>
      <c r="AX294" s="31" t="n">
        <f aca="false">N(AX289)+N(AX290)+N(AX291)+N(AX292)+N(AX293)</f>
        <v>734.802</v>
      </c>
      <c r="AY294" s="31" t="n">
        <f aca="false">N(AY289)+N(AY290)+N(AY291)+N(AY292)+N(AY293)</f>
        <v>774.472</v>
      </c>
      <c r="AZ294" s="31" t="n">
        <f aca="false">N(AZ289)+N(AZ290)+N(AZ291)+N(AZ292)+N(AZ293)</f>
        <v>765.143</v>
      </c>
      <c r="BA294" s="31" t="n">
        <f aca="false">N(BA289)+N(BA290)+N(BA291)+N(BA292)+N(BA293)</f>
        <v>734.867</v>
      </c>
      <c r="BB294" s="31" t="n">
        <f aca="false">N(BB289)+N(BB290)+N(BB291)+N(BB292)+N(BB293)</f>
        <v>734.867</v>
      </c>
      <c r="BC294" s="31" t="n">
        <f aca="false">N(BC289)+N(BC290)+N(BC291)+N(BC292)+N(BC293)</f>
        <v>800.251</v>
      </c>
      <c r="BD294" s="31" t="n">
        <f aca="false">N(BD289)+N(BD290)+N(BD291)+N(BD292)+N(BD293)</f>
        <v>1059.207</v>
      </c>
      <c r="BE294" s="31" t="n">
        <f aca="false">N(BE289)+N(BE290)+N(BE291)+N(BE292)+N(BE293)</f>
        <v>840.364</v>
      </c>
      <c r="BF294" s="31" t="n">
        <f aca="false">N(BF289)+N(BF290)+N(BF291)+N(BF292)+N(BF293)</f>
        <v>971.439</v>
      </c>
      <c r="BG294" s="31" t="n">
        <f aca="false">N(BG289)+N(BG290)+N(BG291)+N(BG292)+N(BG293)</f>
        <v>971.439</v>
      </c>
      <c r="BH294" s="31" t="n">
        <f aca="false">N(BH289)+N(BH290)+N(BH291)+N(BH292)+N(BH293)</f>
        <v>672.19</v>
      </c>
      <c r="BI294" s="31" t="n">
        <f aca="false">N(BI289)+N(BI290)+N(BI291)+N(BI292)+N(BI293)</f>
        <v>720.927</v>
      </c>
      <c r="BJ294" s="31" t="n">
        <f aca="false">N(BJ289)+N(BJ290)+N(BJ291)+N(BJ292)+N(BJ293)</f>
        <v>775.379</v>
      </c>
      <c r="BK294" s="31" t="n">
        <f aca="false">N(BK289)+N(BK290)+N(BK291)+N(BK292)+N(BK293)</f>
        <v>806.544</v>
      </c>
      <c r="BL294" s="31" t="n">
        <f aca="false">N(BL289)+N(BL290)+N(BL291)+N(BL292)+N(BL293)</f>
        <v>806.544</v>
      </c>
      <c r="BM294" s="31" t="n">
        <f aca="false">N(BM289)+N(BM290)+N(BM291)+N(BM292)+N(BM293)</f>
        <v>858.275</v>
      </c>
      <c r="BN294" s="31" t="n">
        <f aca="false">N(BN289)+N(BN290)+N(BN291)+N(BN292)+N(BN293)</f>
        <v>896.516</v>
      </c>
      <c r="BO294" s="31" t="n">
        <f aca="false">N(BO289)+N(BO290)+N(BO291)+N(BO292)+N(BO293)</f>
        <v>986.655</v>
      </c>
      <c r="BP294" s="31" t="n">
        <f aca="false">N(BP289)+N(BP290)+N(BP291)+N(BP292)+N(BP293)</f>
        <v>1095.948</v>
      </c>
      <c r="BQ294" s="31" t="n">
        <f aca="false">N(BQ289)+N(BQ290)+N(BQ291)+N(BQ292)+N(BQ293)</f>
        <v>1095.948</v>
      </c>
      <c r="BR294" s="31" t="n">
        <f aca="false">N(BR289)+N(BR290)+N(BR291)+N(BR292)+N(BR293)</f>
        <v>953.916</v>
      </c>
      <c r="BS294" s="31" t="n">
        <f aca="false">N(BS289)+N(BS290)+N(BS291)+N(BS292)+N(BS293)</f>
        <v>1026.526</v>
      </c>
      <c r="BT294" s="31" t="n">
        <f aca="false">N(BT289)+N(BT290)+N(BT291)+N(BT292)+N(BT293)</f>
        <v>1101.213</v>
      </c>
      <c r="BU294" s="31" t="n">
        <f aca="false">N(BU289)+N(BU290)+N(BU291)+N(BU292)+N(BU293)</f>
        <v>1405.567</v>
      </c>
      <c r="BV294" s="31" t="n">
        <f aca="false">N(BV289)+N(BV290)+N(BV291)+N(BV292)+N(BV293)</f>
        <v>1405.567</v>
      </c>
      <c r="BW294" s="31" t="n">
        <f aca="false">N(BW289)+N(BW290)+N(BW291)+N(BW292)+N(BW293)</f>
        <v>1360.159</v>
      </c>
      <c r="BX294" s="31" t="n">
        <f aca="false">N(BX289)+N(BX290)+N(BX291)+N(BX292)+N(BX293)</f>
        <v>1396.611</v>
      </c>
      <c r="CA294" s="17" t="n">
        <f aca="false">N(CA289)+N(CA290)+N(CA291)+N(CA292)+N(CA293)</f>
        <v>1300.37001286962</v>
      </c>
      <c r="CB294" s="17" t="n">
        <f aca="false">N(CB289)+N(CB290)+N(CB291)+N(CB292)+N(CB293)</f>
        <v>1554.50157890411</v>
      </c>
      <c r="CC294" s="17" t="n">
        <f aca="false">N(CC289)+N(CC290)+N(CC291)+N(CC292)+N(CC293)</f>
        <v>1515.22702035055</v>
      </c>
      <c r="CD294" s="17" t="n">
        <f aca="false">N(CD289)+N(CD290)+N(CD291)+N(CD292)+N(CD293)</f>
        <v>1784.52165592975</v>
      </c>
      <c r="CE294" s="17" t="n">
        <f aca="false">N(CE289)+N(CE290)+N(CE291)+N(CE292)+N(CE293)</f>
        <v>1760.93559887802</v>
      </c>
    </row>
    <row r="295" customFormat="false" ht="15" hidden="false" customHeight="false" outlineLevel="0" collapsed="false">
      <c r="B295" s="20" t="s">
        <v>496</v>
      </c>
      <c r="C295" s="24" t="n">
        <v>359</v>
      </c>
      <c r="D295" s="24" t="n">
        <v>510.981</v>
      </c>
      <c r="E295" s="24" t="n">
        <v>513.46</v>
      </c>
      <c r="F295" s="24" t="n">
        <v>384.112</v>
      </c>
      <c r="G295" s="24" t="n">
        <v>394.042</v>
      </c>
      <c r="H295" s="24" t="n">
        <v>583.928</v>
      </c>
      <c r="I295" s="24" t="n">
        <v>751.99</v>
      </c>
      <c r="J295" s="24" t="n">
        <v>861.524</v>
      </c>
      <c r="K295" s="24" t="n">
        <v>821.893</v>
      </c>
      <c r="L295" s="24" t="n">
        <v>918.778</v>
      </c>
      <c r="M295" s="24" t="n">
        <v>958.604</v>
      </c>
      <c r="N295" s="24" t="n">
        <v>958.604</v>
      </c>
      <c r="O295" s="24" t="n">
        <v>971.33</v>
      </c>
      <c r="P295" s="24" t="n">
        <v>933.489</v>
      </c>
      <c r="Q295" s="24" t="n">
        <v>936.006</v>
      </c>
      <c r="R295" s="24" t="n">
        <v>953.279</v>
      </c>
      <c r="S295" s="24" t="n">
        <v>953.279</v>
      </c>
      <c r="T295" s="24" t="n">
        <v>965.189</v>
      </c>
      <c r="U295" s="24" t="n">
        <v>948.957</v>
      </c>
      <c r="V295" s="24" t="n">
        <v>957.511</v>
      </c>
      <c r="W295" s="24" t="n">
        <v>953.083</v>
      </c>
      <c r="X295" s="24" t="n">
        <v>953.083</v>
      </c>
      <c r="Y295" s="24" t="n">
        <v>966.861</v>
      </c>
      <c r="Z295" s="24" t="n">
        <v>966.451</v>
      </c>
      <c r="AA295" s="24" t="n">
        <v>966.04</v>
      </c>
      <c r="AB295" s="24" t="n">
        <v>815.63</v>
      </c>
      <c r="AC295" s="24" t="n">
        <v>815.63</v>
      </c>
      <c r="AD295" s="24" t="n">
        <v>815.22</v>
      </c>
      <c r="AE295" s="24" t="n">
        <v>814.81</v>
      </c>
      <c r="AF295" s="24" t="n">
        <v>814.4</v>
      </c>
      <c r="AG295" s="24" t="n">
        <v>813.989</v>
      </c>
      <c r="AH295" s="24" t="n">
        <v>813.989</v>
      </c>
      <c r="AI295" s="24" t="n">
        <v>813.576</v>
      </c>
      <c r="AJ295" s="24" t="n">
        <v>813.15</v>
      </c>
      <c r="AK295" s="24" t="n">
        <v>812.731</v>
      </c>
      <c r="AL295" s="24" t="n">
        <v>762.313</v>
      </c>
      <c r="AM295" s="24" t="n">
        <v>762.313</v>
      </c>
      <c r="AN295" s="24" t="n">
        <v>761.894</v>
      </c>
      <c r="AO295" s="24" t="n">
        <v>761.476</v>
      </c>
      <c r="AP295" s="24" t="n">
        <v>761.057</v>
      </c>
      <c r="AQ295" s="24" t="n">
        <v>760.639</v>
      </c>
      <c r="AR295" s="24" t="n">
        <v>760.639</v>
      </c>
      <c r="AS295" s="24" t="n">
        <v>906.22</v>
      </c>
      <c r="AT295" s="24" t="n">
        <v>834.802</v>
      </c>
      <c r="AU295" s="24" t="n">
        <v>1058.707</v>
      </c>
      <c r="AV295" s="24" t="n">
        <v>958.292</v>
      </c>
      <c r="AW295" s="24" t="n">
        <v>958.292</v>
      </c>
      <c r="AX295" s="24" t="n">
        <v>957.907</v>
      </c>
      <c r="AY295" s="24" t="n">
        <v>957.504</v>
      </c>
      <c r="AZ295" s="24" t="n">
        <v>957.101</v>
      </c>
      <c r="BA295" s="24" t="n">
        <v>1050.61</v>
      </c>
      <c r="BB295" s="24" t="n">
        <v>1050.61</v>
      </c>
      <c r="BC295" s="24" t="n">
        <v>967.744</v>
      </c>
      <c r="BD295" s="24" t="n">
        <v>1006.577</v>
      </c>
      <c r="BE295" s="24" t="n">
        <v>1141.211</v>
      </c>
      <c r="BF295" s="24" t="n">
        <v>1051.9</v>
      </c>
      <c r="BG295" s="24" t="n">
        <v>1051.9</v>
      </c>
      <c r="BH295" s="24" t="n">
        <v>1229.619</v>
      </c>
      <c r="BI295" s="24" t="n">
        <v>1176.066</v>
      </c>
      <c r="BJ295" s="24" t="n">
        <v>1050.713</v>
      </c>
      <c r="BK295" s="24" t="n">
        <v>1050.362</v>
      </c>
      <c r="BL295" s="24" t="n">
        <v>1050.362</v>
      </c>
      <c r="BM295" s="24" t="n">
        <v>960.009</v>
      </c>
      <c r="BN295" s="24" t="n">
        <v>959.655</v>
      </c>
      <c r="BO295" s="24" t="n">
        <v>959.302</v>
      </c>
      <c r="BP295" s="24" t="n">
        <v>958.949</v>
      </c>
      <c r="BQ295" s="24" t="n">
        <v>958.949</v>
      </c>
      <c r="BR295" s="24" t="n">
        <v>958.629</v>
      </c>
      <c r="BS295" s="24" t="n">
        <v>958.381</v>
      </c>
      <c r="BT295" s="24" t="n">
        <v>968.632</v>
      </c>
      <c r="BU295" s="24" t="n">
        <v>757.884</v>
      </c>
      <c r="BV295" s="24" t="n">
        <v>757.884</v>
      </c>
      <c r="BW295" s="24" t="n">
        <v>757.635</v>
      </c>
      <c r="BX295" s="24" t="n">
        <v>757.387</v>
      </c>
      <c r="CA295" s="25" t="n">
        <f aca="false">CA328-CA292</f>
        <v>757.387</v>
      </c>
      <c r="CB295" s="25" t="n">
        <f aca="false">CB328-CB292</f>
        <v>599.887</v>
      </c>
      <c r="CC295" s="25" t="n">
        <f aca="false">CC328-CC292</f>
        <v>768.42909925</v>
      </c>
      <c r="CD295" s="25" t="n">
        <f aca="false">CD328-CD292</f>
        <v>670.4232832925</v>
      </c>
      <c r="CE295" s="25" t="n">
        <f aca="false">CE328-CE292</f>
        <v>874.82262917305</v>
      </c>
    </row>
    <row r="296" customFormat="false" ht="15" hidden="false" customHeight="false" outlineLevel="0" collapsed="false">
      <c r="B296" s="20" t="s">
        <v>497</v>
      </c>
      <c r="AN296" s="24" t="n">
        <v>124.014</v>
      </c>
      <c r="AO296" s="24" t="n">
        <v>117.789</v>
      </c>
      <c r="AP296" s="24" t="n">
        <v>116.652</v>
      </c>
      <c r="AQ296" s="24" t="n">
        <v>145.124</v>
      </c>
      <c r="AR296" s="24" t="n">
        <v>145.124</v>
      </c>
      <c r="AS296" s="24" t="n">
        <v>140.519</v>
      </c>
      <c r="AT296" s="24" t="n">
        <v>137.213</v>
      </c>
      <c r="AU296" s="24" t="n">
        <v>133.476</v>
      </c>
      <c r="AV296" s="24" t="n">
        <v>133.069</v>
      </c>
      <c r="AW296" s="24" t="n">
        <v>133.069</v>
      </c>
      <c r="AX296" s="24" t="n">
        <v>126.454</v>
      </c>
      <c r="AY296" s="24" t="n">
        <v>127.136</v>
      </c>
      <c r="AZ296" s="24" t="n">
        <v>124.362</v>
      </c>
      <c r="BA296" s="24" t="n">
        <v>127.152</v>
      </c>
      <c r="BB296" s="24" t="n">
        <v>127.152</v>
      </c>
      <c r="BC296" s="24" t="n">
        <v>128.897</v>
      </c>
      <c r="BD296" s="24" t="n">
        <v>126.006</v>
      </c>
      <c r="BE296" s="24" t="n">
        <v>125.493</v>
      </c>
      <c r="BF296" s="24" t="n">
        <v>132.275</v>
      </c>
      <c r="BG296" s="24" t="n">
        <v>132.275</v>
      </c>
      <c r="BH296" s="24" t="n">
        <v>124.025</v>
      </c>
      <c r="BI296" s="24" t="n">
        <v>122.939</v>
      </c>
      <c r="BJ296" s="24" t="n">
        <v>117.32</v>
      </c>
      <c r="BK296" s="24" t="n">
        <v>118.611</v>
      </c>
      <c r="BL296" s="24" t="n">
        <v>118.611</v>
      </c>
      <c r="BM296" s="24" t="n">
        <v>111.981</v>
      </c>
      <c r="BN296" s="24" t="n">
        <v>123.586</v>
      </c>
      <c r="BO296" s="24" t="n">
        <v>134.866</v>
      </c>
      <c r="BP296" s="24" t="n">
        <v>148.175</v>
      </c>
      <c r="BQ296" s="24" t="n">
        <v>148.175</v>
      </c>
      <c r="BR296" s="24" t="n">
        <v>161.768</v>
      </c>
      <c r="BS296" s="24" t="n">
        <v>171.019</v>
      </c>
      <c r="BT296" s="24" t="n">
        <v>164.764</v>
      </c>
      <c r="BU296" s="24" t="n">
        <v>178.466</v>
      </c>
      <c r="BV296" s="24" t="n">
        <v>178.466</v>
      </c>
      <c r="BW296" s="24" t="n">
        <v>190.748</v>
      </c>
      <c r="BX296" s="24" t="n">
        <v>191.594</v>
      </c>
      <c r="CA296" s="25" t="n">
        <f aca="false">BX296</f>
        <v>191.594</v>
      </c>
      <c r="CB296" s="25" t="n">
        <f aca="false">CA296</f>
        <v>191.594</v>
      </c>
      <c r="CC296" s="25" t="n">
        <f aca="false">CB296</f>
        <v>191.594</v>
      </c>
      <c r="CD296" s="25" t="n">
        <f aca="false">CC296</f>
        <v>191.594</v>
      </c>
      <c r="CE296" s="25" t="n">
        <f aca="false">CD296</f>
        <v>191.594</v>
      </c>
    </row>
    <row r="297" customFormat="false" ht="15" hidden="false" customHeight="false" outlineLevel="0" collapsed="false">
      <c r="B297" s="20" t="s">
        <v>498</v>
      </c>
      <c r="C297" s="24" t="n">
        <v>71.006</v>
      </c>
      <c r="D297" s="24" t="n">
        <v>39.501</v>
      </c>
      <c r="E297" s="24" t="n">
        <v>125.762</v>
      </c>
      <c r="F297" s="24" t="n">
        <v>120.93</v>
      </c>
      <c r="G297" s="24" t="n">
        <v>166.591</v>
      </c>
      <c r="H297" s="24" t="n">
        <v>232.794</v>
      </c>
      <c r="I297" s="24" t="n">
        <v>264.047</v>
      </c>
      <c r="J297" s="24" t="n">
        <v>270.609</v>
      </c>
      <c r="K297" s="24" t="n">
        <v>222.281</v>
      </c>
      <c r="L297" s="24" t="n">
        <v>193.293</v>
      </c>
      <c r="M297" s="24" t="n">
        <v>138.904</v>
      </c>
      <c r="N297" s="24" t="n">
        <v>138.904</v>
      </c>
      <c r="O297" s="24" t="n">
        <v>134.288</v>
      </c>
      <c r="P297" s="24" t="n">
        <v>122.804</v>
      </c>
      <c r="Q297" s="24" t="n">
        <v>105.826</v>
      </c>
      <c r="R297" s="24" t="n">
        <v>226.687</v>
      </c>
      <c r="S297" s="24" t="n">
        <v>226.687</v>
      </c>
      <c r="T297" s="24" t="n">
        <v>68.86</v>
      </c>
      <c r="U297" s="24" t="n">
        <v>71.463</v>
      </c>
      <c r="V297" s="24" t="n">
        <v>75.564</v>
      </c>
      <c r="W297" s="24" t="n">
        <v>103.723</v>
      </c>
      <c r="X297" s="24" t="n">
        <v>103.723</v>
      </c>
      <c r="Y297" s="24" t="n">
        <v>103.392</v>
      </c>
      <c r="Z297" s="24" t="n">
        <v>101.72</v>
      </c>
      <c r="AA297" s="24" t="n">
        <v>100.999</v>
      </c>
      <c r="AB297" s="24" t="n">
        <v>107.151</v>
      </c>
      <c r="AC297" s="24" t="n">
        <v>107.151</v>
      </c>
      <c r="AD297" s="24" t="n">
        <v>103.967</v>
      </c>
      <c r="AE297" s="24" t="n">
        <v>103.181</v>
      </c>
      <c r="AF297" s="24" t="n">
        <v>101.827</v>
      </c>
      <c r="AG297" s="24" t="n">
        <v>121.043</v>
      </c>
      <c r="AH297" s="24" t="n">
        <v>121.043</v>
      </c>
      <c r="AI297" s="24" t="n">
        <v>67.984</v>
      </c>
      <c r="AJ297" s="24" t="n">
        <v>65.698</v>
      </c>
      <c r="AK297" s="24" t="n">
        <v>63.141</v>
      </c>
      <c r="AL297" s="24" t="n">
        <v>101.227</v>
      </c>
      <c r="AM297" s="24" t="n">
        <v>101.227</v>
      </c>
      <c r="AN297" s="24" t="n">
        <v>99.389</v>
      </c>
      <c r="AO297" s="24" t="n">
        <v>97.334</v>
      </c>
      <c r="AP297" s="24" t="n">
        <v>94.629</v>
      </c>
      <c r="AQ297" s="24" t="n">
        <v>138.635</v>
      </c>
      <c r="AR297" s="24" t="n">
        <v>138.635</v>
      </c>
      <c r="AS297" s="24" t="n">
        <v>89.6</v>
      </c>
      <c r="AT297" s="24" t="n">
        <v>90.004</v>
      </c>
      <c r="AU297" s="24" t="n">
        <v>91.745</v>
      </c>
      <c r="AV297" s="24" t="n">
        <v>98.345</v>
      </c>
      <c r="AW297" s="24" t="n">
        <v>98.345</v>
      </c>
      <c r="AX297" s="24" t="n">
        <v>98.645</v>
      </c>
      <c r="AY297" s="24" t="n">
        <v>97.143</v>
      </c>
      <c r="AZ297" s="24" t="n">
        <v>98.122</v>
      </c>
      <c r="BA297" s="24" t="n">
        <v>91.329</v>
      </c>
      <c r="BB297" s="24" t="n">
        <v>91.329</v>
      </c>
      <c r="BC297" s="24" t="n">
        <v>84.61</v>
      </c>
      <c r="BD297" s="24" t="n">
        <v>84.404</v>
      </c>
      <c r="BE297" s="24" t="n">
        <v>85.865</v>
      </c>
      <c r="BF297" s="24" t="n">
        <v>58.348</v>
      </c>
      <c r="BG297" s="24" t="n">
        <v>58.348</v>
      </c>
      <c r="BH297" s="24" t="n">
        <v>58.062</v>
      </c>
      <c r="BI297" s="24" t="n">
        <v>58.267</v>
      </c>
      <c r="BJ297" s="24" t="n">
        <v>57.808</v>
      </c>
      <c r="BK297" s="24" t="n">
        <v>66.875</v>
      </c>
      <c r="BL297" s="24" t="n">
        <v>66.875</v>
      </c>
      <c r="BM297" s="24" t="n">
        <v>67.446</v>
      </c>
      <c r="BN297" s="24" t="n">
        <v>67.65</v>
      </c>
      <c r="BO297" s="24" t="n">
        <v>68.159</v>
      </c>
      <c r="BP297" s="24" t="n">
        <v>67.413</v>
      </c>
      <c r="BQ297" s="24" t="n">
        <v>67.413</v>
      </c>
      <c r="BR297" s="24" t="n">
        <v>68.173</v>
      </c>
      <c r="BS297" s="24" t="n">
        <v>69.712</v>
      </c>
      <c r="BT297" s="24" t="n">
        <v>73.763</v>
      </c>
      <c r="BU297" s="24" t="n">
        <v>71.417</v>
      </c>
      <c r="BV297" s="24" t="n">
        <v>71.417</v>
      </c>
      <c r="BW297" s="24" t="n">
        <v>69.211</v>
      </c>
      <c r="BX297" s="24" t="n">
        <v>69.192</v>
      </c>
      <c r="CA297" s="25" t="n">
        <f aca="false">BX297</f>
        <v>69.192</v>
      </c>
      <c r="CB297" s="25" t="n">
        <f aca="false">CA297</f>
        <v>69.192</v>
      </c>
      <c r="CC297" s="25" t="n">
        <f aca="false">CB297</f>
        <v>69.192</v>
      </c>
      <c r="CD297" s="25" t="n">
        <f aca="false">CC297</f>
        <v>69.192</v>
      </c>
      <c r="CE297" s="25" t="n">
        <f aca="false">CD297</f>
        <v>69.192</v>
      </c>
    </row>
    <row r="298" customFormat="false" ht="15" hidden="false" customHeight="false" outlineLevel="0" collapsed="false">
      <c r="B298" s="20" t="s">
        <v>499</v>
      </c>
      <c r="C298" s="24" t="n">
        <v>57.055</v>
      </c>
      <c r="D298" s="24" t="n">
        <v>62.416</v>
      </c>
      <c r="E298" s="24" t="n">
        <v>26.85</v>
      </c>
      <c r="F298" s="24" t="n">
        <v>25.549</v>
      </c>
      <c r="G298" s="24" t="n">
        <v>26.815</v>
      </c>
      <c r="H298" s="24" t="n">
        <v>24.98</v>
      </c>
      <c r="I298" s="24" t="n">
        <v>50.45</v>
      </c>
      <c r="J298" s="24" t="n">
        <v>64.216</v>
      </c>
      <c r="K298" s="24" t="n">
        <v>67.66</v>
      </c>
      <c r="L298" s="24" t="n">
        <v>88.694</v>
      </c>
      <c r="M298" s="24" t="n">
        <v>123.644</v>
      </c>
      <c r="N298" s="24" t="n">
        <v>123.644</v>
      </c>
      <c r="O298" s="24" t="n">
        <v>128.227</v>
      </c>
      <c r="P298" s="24" t="n">
        <v>142.104</v>
      </c>
      <c r="Q298" s="24" t="n">
        <v>111.325</v>
      </c>
      <c r="R298" s="24" t="n">
        <v>51.554</v>
      </c>
      <c r="S298" s="24" t="n">
        <v>51.554</v>
      </c>
      <c r="T298" s="24" t="n">
        <v>105.328</v>
      </c>
      <c r="U298" s="24" t="n">
        <v>105.844</v>
      </c>
      <c r="V298" s="24" t="n">
        <v>101.418</v>
      </c>
      <c r="W298" s="24" t="n">
        <v>91.115</v>
      </c>
      <c r="X298" s="24" t="n">
        <v>91.115</v>
      </c>
      <c r="Y298" s="24" t="n">
        <v>56.912</v>
      </c>
      <c r="Z298" s="24" t="n">
        <v>58.87</v>
      </c>
      <c r="AA298" s="24" t="n">
        <v>73.65</v>
      </c>
      <c r="AB298" s="24" t="n">
        <v>49.722</v>
      </c>
      <c r="AC298" s="24" t="n">
        <v>49.722</v>
      </c>
      <c r="AD298" s="24" t="n">
        <v>53.092</v>
      </c>
      <c r="AE298" s="24" t="n">
        <v>55.675</v>
      </c>
      <c r="AF298" s="24" t="n">
        <v>57.918</v>
      </c>
      <c r="AG298" s="24" t="n">
        <v>49.36</v>
      </c>
      <c r="AH298" s="24" t="n">
        <v>49.36</v>
      </c>
      <c r="AI298" s="24" t="n">
        <v>58.486</v>
      </c>
      <c r="AJ298" s="24" t="n">
        <v>56.143</v>
      </c>
      <c r="AK298" s="24" t="n">
        <v>56.862</v>
      </c>
      <c r="AL298" s="24" t="n">
        <v>47.121</v>
      </c>
      <c r="AM298" s="24" t="n">
        <v>47.121</v>
      </c>
      <c r="AN298" s="24" t="n">
        <v>49.305</v>
      </c>
      <c r="AO298" s="24" t="n">
        <v>49.929</v>
      </c>
      <c r="AP298" s="24" t="n">
        <v>48.809</v>
      </c>
      <c r="AQ298" s="24" t="n">
        <v>80.159</v>
      </c>
      <c r="AR298" s="24" t="n">
        <v>80.159</v>
      </c>
      <c r="AS298" s="24" t="n">
        <v>88.792</v>
      </c>
      <c r="AV298" s="24" t="n">
        <v>115.007</v>
      </c>
      <c r="AW298" s="24" t="n">
        <v>115.007</v>
      </c>
      <c r="AX298" s="24" t="n">
        <v>114.791</v>
      </c>
      <c r="AY298" s="24" t="n">
        <v>121.895</v>
      </c>
      <c r="AZ298" s="24" t="n">
        <v>121.491</v>
      </c>
      <c r="BA298" s="24" t="n">
        <v>147.349</v>
      </c>
      <c r="BB298" s="24" t="n">
        <v>147.349</v>
      </c>
      <c r="BC298" s="24" t="n">
        <v>150.085</v>
      </c>
      <c r="BD298" s="24" t="n">
        <v>149.213</v>
      </c>
      <c r="BE298" s="24" t="n">
        <v>150.721</v>
      </c>
      <c r="BF298" s="24" t="n">
        <v>123.001</v>
      </c>
      <c r="BG298" s="24" t="n">
        <v>123.001</v>
      </c>
      <c r="BH298" s="24" t="n">
        <v>122.607</v>
      </c>
      <c r="BI298" s="24" t="n">
        <v>117.882</v>
      </c>
      <c r="BJ298" s="24" t="n">
        <v>117.113</v>
      </c>
      <c r="BK298" s="24" t="n">
        <v>132.319</v>
      </c>
      <c r="BL298" s="24" t="n">
        <v>132.319</v>
      </c>
      <c r="BM298" s="24" t="n">
        <v>128</v>
      </c>
      <c r="BN298" s="24" t="n">
        <v>128.277</v>
      </c>
      <c r="BO298" s="24" t="n">
        <v>124.186</v>
      </c>
      <c r="BP298" s="24" t="n">
        <v>140.659</v>
      </c>
      <c r="BQ298" s="24" t="n">
        <v>140.659</v>
      </c>
      <c r="BR298" s="24" t="n">
        <v>139.439</v>
      </c>
      <c r="BS298" s="24" t="n">
        <v>144.815</v>
      </c>
      <c r="BT298" s="24" t="n">
        <v>145.081</v>
      </c>
      <c r="BU298" s="24" t="n">
        <v>154.002</v>
      </c>
      <c r="BV298" s="24" t="n">
        <v>154.002</v>
      </c>
      <c r="BW298" s="24" t="n">
        <v>159.556</v>
      </c>
      <c r="BX298" s="24" t="n">
        <v>161.399</v>
      </c>
      <c r="CA298" s="25" t="n">
        <f aca="false">BX298+(CA232-($BW$232+$BX$232))</f>
        <v>161.399</v>
      </c>
      <c r="CB298" s="25" t="n">
        <f aca="false">CA298+CB232</f>
        <v>161.399</v>
      </c>
      <c r="CC298" s="25" t="n">
        <f aca="false">CB298+CC232</f>
        <v>161.399</v>
      </c>
      <c r="CD298" s="25" t="n">
        <f aca="false">CC298+CD232</f>
        <v>161.399</v>
      </c>
      <c r="CE298" s="25" t="n">
        <f aca="false">CD298+CE232</f>
        <v>161.399</v>
      </c>
    </row>
    <row r="299" customFormat="false" ht="15" hidden="false" customHeight="false" outlineLevel="0" collapsed="false">
      <c r="B299" s="20" t="s">
        <v>500</v>
      </c>
      <c r="C299" s="24" t="n">
        <v>50.896</v>
      </c>
      <c r="D299" s="24" t="n">
        <v>59.262</v>
      </c>
      <c r="E299" s="24" t="n">
        <v>57.512</v>
      </c>
      <c r="F299" s="24" t="n">
        <v>60.374</v>
      </c>
      <c r="G299" s="24" t="n">
        <v>66.528</v>
      </c>
      <c r="H299" s="24" t="n">
        <v>76.712</v>
      </c>
      <c r="I299" s="24" t="n">
        <v>95.761</v>
      </c>
      <c r="J299" s="24" t="n">
        <v>99.923</v>
      </c>
      <c r="K299" s="24" t="n">
        <v>123.935</v>
      </c>
      <c r="L299" s="24" t="n">
        <v>134.653</v>
      </c>
      <c r="M299" s="24" t="n">
        <v>149.824</v>
      </c>
      <c r="N299" s="24" t="n">
        <v>149.824</v>
      </c>
      <c r="O299" s="24" t="n">
        <v>128.821</v>
      </c>
      <c r="P299" s="24" t="n">
        <v>127.001</v>
      </c>
      <c r="Q299" s="24" t="n">
        <v>126.994</v>
      </c>
      <c r="R299" s="24" t="n">
        <v>117.565</v>
      </c>
      <c r="S299" s="24" t="n">
        <v>117.565</v>
      </c>
      <c r="T299" s="24" t="n">
        <v>101.974</v>
      </c>
      <c r="U299" s="24" t="n">
        <v>112.606</v>
      </c>
      <c r="V299" s="24" t="n">
        <v>101.591</v>
      </c>
      <c r="W299" s="24" t="n">
        <v>100.847</v>
      </c>
      <c r="X299" s="24" t="n">
        <v>100.847</v>
      </c>
      <c r="Y299" s="24" t="n">
        <v>92.601</v>
      </c>
      <c r="Z299" s="24" t="n">
        <v>95.55</v>
      </c>
      <c r="AA299" s="24" t="n">
        <v>98.265</v>
      </c>
      <c r="AB299" s="24" t="n">
        <v>98.825</v>
      </c>
      <c r="AC299" s="24" t="n">
        <v>98.825</v>
      </c>
      <c r="AD299" s="24" t="n">
        <v>96.422</v>
      </c>
      <c r="AE299" s="24" t="n">
        <v>100.652</v>
      </c>
      <c r="AF299" s="24" t="n">
        <v>103.365</v>
      </c>
      <c r="AG299" s="24" t="n">
        <v>133.132</v>
      </c>
      <c r="AH299" s="24" t="n">
        <v>133.132</v>
      </c>
      <c r="AI299" s="24" t="n">
        <v>118.753</v>
      </c>
      <c r="AJ299" s="24" t="n">
        <v>123.417</v>
      </c>
      <c r="AK299" s="24" t="n">
        <v>124.618</v>
      </c>
      <c r="AL299" s="24" t="n">
        <v>126.615</v>
      </c>
      <c r="AM299" s="24" t="n">
        <v>126.615</v>
      </c>
      <c r="AN299" s="24" t="n">
        <v>105.352</v>
      </c>
      <c r="AO299" s="24" t="n">
        <v>109.947</v>
      </c>
      <c r="AP299" s="24" t="n">
        <v>111.917</v>
      </c>
      <c r="AQ299" s="24" t="n">
        <v>120.601</v>
      </c>
      <c r="AR299" s="24" t="n">
        <v>120.601</v>
      </c>
      <c r="AS299" s="24" t="n">
        <v>107.369</v>
      </c>
      <c r="AT299" s="24" t="n">
        <v>205.379</v>
      </c>
      <c r="AU299" s="24" t="n">
        <v>210.555</v>
      </c>
      <c r="AV299" s="24" t="n">
        <v>118.67</v>
      </c>
      <c r="AW299" s="24" t="n">
        <v>118.67</v>
      </c>
      <c r="AX299" s="24" t="n">
        <v>110.287</v>
      </c>
      <c r="AY299" s="24" t="n">
        <v>112.131</v>
      </c>
      <c r="AZ299" s="24" t="n">
        <v>117.022</v>
      </c>
      <c r="BA299" s="24" t="n">
        <v>125.748</v>
      </c>
      <c r="BB299" s="24" t="n">
        <v>125.748</v>
      </c>
      <c r="BC299" s="24" t="n">
        <v>108.36</v>
      </c>
      <c r="BD299" s="24" t="n">
        <v>109.482</v>
      </c>
      <c r="BE299" s="24" t="n">
        <v>114.265</v>
      </c>
      <c r="BF299" s="24" t="n">
        <v>120.52</v>
      </c>
      <c r="BG299" s="24" t="n">
        <v>120.52</v>
      </c>
      <c r="BH299" s="24" t="n">
        <v>101.463</v>
      </c>
      <c r="BI299" s="24" t="n">
        <v>106.753</v>
      </c>
      <c r="BJ299" s="24" t="n">
        <v>110.467</v>
      </c>
      <c r="BK299" s="24" t="n">
        <v>117.845</v>
      </c>
      <c r="BL299" s="24" t="n">
        <v>117.845</v>
      </c>
      <c r="BM299" s="24" t="n">
        <v>106.192</v>
      </c>
      <c r="BN299" s="24" t="n">
        <v>114.09</v>
      </c>
      <c r="BO299" s="24" t="n">
        <v>122.151</v>
      </c>
      <c r="BP299" s="24" t="n">
        <v>124.761</v>
      </c>
      <c r="BQ299" s="24" t="n">
        <v>124.761</v>
      </c>
      <c r="BR299" s="24" t="n">
        <v>110.719</v>
      </c>
      <c r="BS299" s="24" t="n">
        <v>112.302</v>
      </c>
      <c r="BT299" s="24" t="n">
        <v>119.098</v>
      </c>
      <c r="BU299" s="24" t="n">
        <v>120.382</v>
      </c>
      <c r="BV299" s="24" t="n">
        <v>120.382</v>
      </c>
      <c r="BW299" s="24" t="n">
        <v>100.927</v>
      </c>
      <c r="BX299" s="24" t="n">
        <v>109.623</v>
      </c>
      <c r="CA299" s="25" t="n">
        <f aca="false">BX299</f>
        <v>109.623</v>
      </c>
      <c r="CB299" s="25" t="n">
        <f aca="false">CA299</f>
        <v>109.623</v>
      </c>
      <c r="CC299" s="25" t="n">
        <f aca="false">CB299</f>
        <v>109.623</v>
      </c>
      <c r="CD299" s="25" t="n">
        <f aca="false">CC299</f>
        <v>109.623</v>
      </c>
      <c r="CE299" s="25" t="n">
        <f aca="false">CD299</f>
        <v>109.623</v>
      </c>
    </row>
    <row r="300" customFormat="false" ht="15" hidden="false" customHeight="false" outlineLevel="0" collapsed="false">
      <c r="B300" s="15" t="s">
        <v>501</v>
      </c>
      <c r="C300" s="31" t="n">
        <f aca="false">N(C294)+N(C295)+N(C296)+N(C297)+N(C298)+N(C299)</f>
        <v>830.082</v>
      </c>
      <c r="D300" s="31" t="n">
        <f aca="false">N(D294)+N(D295)+N(D296)+N(D297)+N(D298)+N(D299)</f>
        <v>1070.775</v>
      </c>
      <c r="E300" s="31" t="n">
        <f aca="false">N(E294)+N(E295)+N(E296)+N(E297)+N(E298)+N(E299)</f>
        <v>1175.268</v>
      </c>
      <c r="F300" s="31" t="n">
        <f aca="false">N(F294)+N(F295)+N(F296)+N(F297)+N(F298)+N(F299)</f>
        <v>1115.284</v>
      </c>
      <c r="G300" s="31" t="n">
        <f aca="false">N(G294)+N(G295)+N(G296)+N(G297)+N(G298)+N(G299)</f>
        <v>1081.915</v>
      </c>
      <c r="H300" s="31" t="n">
        <f aca="false">N(H294)+N(H295)+N(H296)+N(H297)+N(H298)+N(H299)</f>
        <v>1423.798</v>
      </c>
      <c r="I300" s="31" t="n">
        <f aca="false">N(I294)+N(I295)+N(I296)+N(I297)+N(I298)+N(I299)</f>
        <v>1801.996</v>
      </c>
      <c r="J300" s="31" t="n">
        <f aca="false">N(J294)+N(J295)+N(J296)+N(J297)+N(J298)+N(J299)</f>
        <v>1916.196</v>
      </c>
      <c r="K300" s="31" t="n">
        <f aca="false">N(K294)+N(K295)+N(K296)+N(K297)+N(K298)+N(K299)</f>
        <v>1845.053</v>
      </c>
      <c r="L300" s="31" t="n">
        <f aca="false">N(L294)+N(L295)+N(L296)+N(L297)+N(L298)+N(L299)</f>
        <v>1837.009</v>
      </c>
      <c r="M300" s="31" t="n">
        <f aca="false">N(M294)+N(M295)+N(M296)+N(M297)+N(M298)+N(M299)</f>
        <v>1905.569</v>
      </c>
      <c r="N300" s="31" t="n">
        <f aca="false">N(N294)+N(N295)+N(N296)+N(N297)+N(N298)+N(N299)</f>
        <v>1905.569</v>
      </c>
      <c r="O300" s="31" t="n">
        <f aca="false">N(O294)+N(O295)+N(O296)+N(O297)+N(O298)+N(O299)</f>
        <v>1862.291</v>
      </c>
      <c r="P300" s="31" t="n">
        <f aca="false">N(P294)+N(P295)+N(P296)+N(P297)+N(P298)+N(P299)</f>
        <v>1872.062</v>
      </c>
      <c r="Q300" s="31" t="n">
        <f aca="false">N(Q294)+N(Q295)+N(Q296)+N(Q297)+N(Q298)+N(Q299)</f>
        <v>1856.231</v>
      </c>
      <c r="R300" s="31" t="n">
        <f aca="false">N(R294)+N(R295)+N(R296)+N(R297)+N(R298)+N(R299)</f>
        <v>1921.078</v>
      </c>
      <c r="S300" s="31" t="n">
        <f aca="false">N(S294)+N(S295)+N(S296)+N(S297)+N(S298)+N(S299)</f>
        <v>1921.078</v>
      </c>
      <c r="T300" s="31" t="n">
        <f aca="false">N(T294)+N(T295)+N(T296)+N(T297)+N(T298)+N(T299)</f>
        <v>1724.692</v>
      </c>
      <c r="U300" s="31" t="n">
        <f aca="false">N(U294)+N(U295)+N(U296)+N(U297)+N(U298)+N(U299)</f>
        <v>1704.011</v>
      </c>
      <c r="V300" s="31" t="n">
        <f aca="false">N(V294)+N(V295)+N(V296)+N(V297)+N(V298)+N(V299)</f>
        <v>1694.64</v>
      </c>
      <c r="W300" s="31" t="n">
        <f aca="false">N(W294)+N(W295)+N(W296)+N(W297)+N(W298)+N(W299)</f>
        <v>1773.955</v>
      </c>
      <c r="X300" s="31" t="n">
        <f aca="false">N(X294)+N(X295)+N(X296)+N(X297)+N(X298)+N(X299)</f>
        <v>1773.955</v>
      </c>
      <c r="Y300" s="31" t="n">
        <f aca="false">N(Y294)+N(Y295)+N(Y296)+N(Y297)+N(Y298)+N(Y299)</f>
        <v>1676.945</v>
      </c>
      <c r="Z300" s="31" t="n">
        <f aca="false">N(Z294)+N(Z295)+N(Z296)+N(Z297)+N(Z298)+N(Z299)</f>
        <v>1704.909</v>
      </c>
      <c r="AA300" s="31" t="n">
        <f aca="false">N(AA294)+N(AA295)+N(AA296)+N(AA297)+N(AA298)+N(AA299)</f>
        <v>1726.969</v>
      </c>
      <c r="AB300" s="31" t="n">
        <f aca="false">N(AB294)+N(AB295)+N(AB296)+N(AB297)+N(AB298)+N(AB299)</f>
        <v>1746.59</v>
      </c>
      <c r="AC300" s="31" t="n">
        <f aca="false">N(AC294)+N(AC295)+N(AC296)+N(AC297)+N(AC298)+N(AC299)</f>
        <v>1746.59</v>
      </c>
      <c r="AD300" s="31" t="n">
        <f aca="false">N(AD294)+N(AD295)+N(AD296)+N(AD297)+N(AD298)+N(AD299)</f>
        <v>1693.518</v>
      </c>
      <c r="AE300" s="31" t="n">
        <f aca="false">N(AE294)+N(AE295)+N(AE296)+N(AE297)+N(AE298)+N(AE299)</f>
        <v>1728.109</v>
      </c>
      <c r="AF300" s="31" t="n">
        <f aca="false">N(AF294)+N(AF295)+N(AF296)+N(AF297)+N(AF298)+N(AF299)</f>
        <v>1746.748</v>
      </c>
      <c r="AG300" s="31" t="n">
        <f aca="false">N(AG294)+N(AG295)+N(AG296)+N(AG297)+N(AG298)+N(AG299)</f>
        <v>1708.521</v>
      </c>
      <c r="AH300" s="31" t="n">
        <f aca="false">N(AH294)+N(AH295)+N(AH296)+N(AH297)+N(AH298)+N(AH299)</f>
        <v>1708.521</v>
      </c>
      <c r="AI300" s="31" t="n">
        <f aca="false">N(AI294)+N(AI295)+N(AI296)+N(AI297)+N(AI298)+N(AI299)</f>
        <v>1600.084</v>
      </c>
      <c r="AJ300" s="31" t="n">
        <f aca="false">N(AJ294)+N(AJ295)+N(AJ296)+N(AJ297)+N(AJ298)+N(AJ299)</f>
        <v>1654.092</v>
      </c>
      <c r="AK300" s="31" t="n">
        <f aca="false">N(AK294)+N(AK295)+N(AK296)+N(AK297)+N(AK298)+N(AK299)</f>
        <v>1654.794</v>
      </c>
      <c r="AL300" s="31" t="n">
        <f aca="false">N(AL294)+N(AL295)+N(AL296)+N(AL297)+N(AL298)+N(AL299)</f>
        <v>1724.604</v>
      </c>
      <c r="AM300" s="31" t="n">
        <f aca="false">N(AM294)+N(AM295)+N(AM296)+N(AM297)+N(AM298)+N(AM299)</f>
        <v>1724.604</v>
      </c>
      <c r="AN300" s="31" t="n">
        <f aca="false">N(AN294)+N(AN295)+N(AN296)+N(AN297)+N(AN298)+N(AN299)</f>
        <v>1743.222</v>
      </c>
      <c r="AO300" s="31" t="n">
        <f aca="false">N(AO294)+N(AO295)+N(AO296)+N(AO297)+N(AO298)+N(AO299)</f>
        <v>1774.344</v>
      </c>
      <c r="AP300" s="31" t="n">
        <f aca="false">N(AP294)+N(AP295)+N(AP296)+N(AP297)+N(AP298)+N(AP299)</f>
        <v>1781.169</v>
      </c>
      <c r="AQ300" s="31" t="n">
        <f aca="false">N(AQ294)+N(AQ295)+N(AQ296)+N(AQ297)+N(AQ298)+N(AQ299)</f>
        <v>1989.889</v>
      </c>
      <c r="AR300" s="31" t="n">
        <f aca="false">N(AR294)+N(AR295)+N(AR296)+N(AR297)+N(AR298)+N(AR299)</f>
        <v>1989.889</v>
      </c>
      <c r="AS300" s="31" t="n">
        <f aca="false">N(AS294)+N(AS295)+N(AS296)+N(AS297)+N(AS298)+N(AS299)</f>
        <v>1961.557</v>
      </c>
      <c r="AT300" s="31" t="n">
        <f aca="false">N(AT294)+N(AT295)+N(AT296)+N(AT297)+N(AT298)+N(AT299)</f>
        <v>1929.376</v>
      </c>
      <c r="AU300" s="31" t="n">
        <f aca="false">N(AU294)+N(AU295)+N(AU296)+N(AU297)+N(AU298)+N(AU299)</f>
        <v>2160.317</v>
      </c>
      <c r="AV300" s="31" t="n">
        <f aca="false">N(AV294)+N(AV295)+N(AV296)+N(AV297)+N(AV298)+N(AV299)</f>
        <v>2233.76</v>
      </c>
      <c r="AW300" s="31" t="n">
        <f aca="false">N(AW294)+N(AW295)+N(AW296)+N(AW297)+N(AW298)+N(AW299)</f>
        <v>2233.76</v>
      </c>
      <c r="AX300" s="31" t="n">
        <f aca="false">N(AX294)+N(AX295)+N(AX296)+N(AX297)+N(AX298)+N(AX299)</f>
        <v>2142.886</v>
      </c>
      <c r="AY300" s="31" t="n">
        <f aca="false">N(AY294)+N(AY295)+N(AY296)+N(AY297)+N(AY298)+N(AY299)</f>
        <v>2190.281</v>
      </c>
      <c r="AZ300" s="31" t="n">
        <f aca="false">N(AZ294)+N(AZ295)+N(AZ296)+N(AZ297)+N(AZ298)+N(AZ299)</f>
        <v>2183.241</v>
      </c>
      <c r="BA300" s="31" t="n">
        <f aca="false">N(BA294)+N(BA295)+N(BA296)+N(BA297)+N(BA298)+N(BA299)</f>
        <v>2277.055</v>
      </c>
      <c r="BB300" s="31" t="n">
        <f aca="false">N(BB294)+N(BB295)+N(BB296)+N(BB297)+N(BB298)+N(BB299)</f>
        <v>2277.055</v>
      </c>
      <c r="BC300" s="31" t="n">
        <f aca="false">N(BC294)+N(BC295)+N(BC296)+N(BC297)+N(BC298)+N(BC299)</f>
        <v>2239.947</v>
      </c>
      <c r="BD300" s="31" t="n">
        <f aca="false">N(BD294)+N(BD295)+N(BD296)+N(BD297)+N(BD298)+N(BD299)</f>
        <v>2534.889</v>
      </c>
      <c r="BE300" s="31" t="n">
        <f aca="false">N(BE294)+N(BE295)+N(BE296)+N(BE297)+N(BE298)+N(BE299)</f>
        <v>2457.919</v>
      </c>
      <c r="BF300" s="31" t="n">
        <f aca="false">N(BF294)+N(BF295)+N(BF296)+N(BF297)+N(BF298)+N(BF299)</f>
        <v>2457.483</v>
      </c>
      <c r="BG300" s="31" t="n">
        <f aca="false">N(BG294)+N(BG295)+N(BG296)+N(BG297)+N(BG298)+N(BG299)</f>
        <v>2457.483</v>
      </c>
      <c r="BH300" s="31" t="n">
        <f aca="false">N(BH294)+N(BH295)+N(BH296)+N(BH297)+N(BH298)+N(BH299)</f>
        <v>2307.966</v>
      </c>
      <c r="BI300" s="31" t="n">
        <f aca="false">N(BI294)+N(BI295)+N(BI296)+N(BI297)+N(BI298)+N(BI299)</f>
        <v>2302.834</v>
      </c>
      <c r="BJ300" s="31" t="n">
        <f aca="false">N(BJ294)+N(BJ295)+N(BJ296)+N(BJ297)+N(BJ298)+N(BJ299)</f>
        <v>2228.8</v>
      </c>
      <c r="BK300" s="31" t="n">
        <f aca="false">N(BK294)+N(BK295)+N(BK296)+N(BK297)+N(BK298)+N(BK299)</f>
        <v>2292.556</v>
      </c>
      <c r="BL300" s="31" t="n">
        <f aca="false">N(BL294)+N(BL295)+N(BL296)+N(BL297)+N(BL298)+N(BL299)</f>
        <v>2292.556</v>
      </c>
      <c r="BM300" s="31" t="n">
        <f aca="false">N(BM294)+N(BM295)+N(BM296)+N(BM297)+N(BM298)+N(BM299)</f>
        <v>2231.903</v>
      </c>
      <c r="BN300" s="31" t="n">
        <f aca="false">N(BN294)+N(BN295)+N(BN296)+N(BN297)+N(BN298)+N(BN299)</f>
        <v>2289.774</v>
      </c>
      <c r="BO300" s="31" t="n">
        <f aca="false">N(BO294)+N(BO295)+N(BO296)+N(BO297)+N(BO298)+N(BO299)</f>
        <v>2395.319</v>
      </c>
      <c r="BP300" s="31" t="n">
        <f aca="false">N(BP294)+N(BP295)+N(BP296)+N(BP297)+N(BP298)+N(BP299)</f>
        <v>2535.905</v>
      </c>
      <c r="BQ300" s="31" t="n">
        <f aca="false">N(BQ294)+N(BQ295)+N(BQ296)+N(BQ297)+N(BQ298)+N(BQ299)</f>
        <v>2535.905</v>
      </c>
      <c r="BR300" s="31" t="n">
        <f aca="false">N(BR294)+N(BR295)+N(BR296)+N(BR297)+N(BR298)+N(BR299)</f>
        <v>2392.644</v>
      </c>
      <c r="BS300" s="31" t="n">
        <f aca="false">N(BS294)+N(BS295)+N(BS296)+N(BS297)+N(BS298)+N(BS299)</f>
        <v>2482.755</v>
      </c>
      <c r="BT300" s="31" t="n">
        <f aca="false">N(BT294)+N(BT295)+N(BT296)+N(BT297)+N(BT298)+N(BT299)</f>
        <v>2572.551</v>
      </c>
      <c r="BU300" s="31" t="n">
        <f aca="false">N(BU294)+N(BU295)+N(BU296)+N(BU297)+N(BU298)+N(BU299)</f>
        <v>2687.718</v>
      </c>
      <c r="BV300" s="31" t="n">
        <f aca="false">N(BV294)+N(BV295)+N(BV296)+N(BV297)+N(BV298)+N(BV299)</f>
        <v>2687.718</v>
      </c>
      <c r="BW300" s="31" t="n">
        <f aca="false">N(BW294)+N(BW295)+N(BW296)+N(BW297)+N(BW298)+N(BW299)</f>
        <v>2638.236</v>
      </c>
      <c r="BX300" s="31" t="n">
        <f aca="false">N(BX294)+N(BX295)+N(BX296)+N(BX297)+N(BX298)+N(BX299)</f>
        <v>2685.806</v>
      </c>
      <c r="CA300" s="17" t="n">
        <f aca="false">N(CA294)+N(CA295)+N(CA296)+N(CA297)+N(CA298)+N(CA299)</f>
        <v>2589.56501286962</v>
      </c>
      <c r="CB300" s="17" t="n">
        <f aca="false">N(CB294)+N(CB295)+N(CB296)+N(CB297)+N(CB298)+N(CB299)</f>
        <v>2686.19657890411</v>
      </c>
      <c r="CC300" s="17" t="n">
        <f aca="false">N(CC294)+N(CC295)+N(CC296)+N(CC297)+N(CC298)+N(CC299)</f>
        <v>2815.46411960055</v>
      </c>
      <c r="CD300" s="17" t="n">
        <f aca="false">N(CD294)+N(CD295)+N(CD296)+N(CD297)+N(CD298)+N(CD299)</f>
        <v>2986.75293922225</v>
      </c>
      <c r="CE300" s="17" t="n">
        <f aca="false">N(CE294)+N(CE295)+N(CE296)+N(CE297)+N(CE298)+N(CE299)</f>
        <v>3167.56622805107</v>
      </c>
    </row>
    <row r="301" customFormat="false" ht="15" hidden="false" customHeight="false" outlineLevel="0" collapsed="false">
      <c r="B301" s="49" t="s">
        <v>502</v>
      </c>
    </row>
    <row r="302" customFormat="false" ht="15" hidden="false" customHeight="false" outlineLevel="0" collapsed="false">
      <c r="B302" s="20" t="s">
        <v>503</v>
      </c>
      <c r="C302" s="24" t="n">
        <v>69.887</v>
      </c>
      <c r="D302" s="24" t="n">
        <v>127.265</v>
      </c>
      <c r="E302" s="24" t="n">
        <v>142.403</v>
      </c>
      <c r="F302" s="24" t="n">
        <v>159.921</v>
      </c>
      <c r="G302" s="24" t="n">
        <v>178.651</v>
      </c>
      <c r="H302" s="24" t="n">
        <v>192.071</v>
      </c>
      <c r="I302" s="24" t="n">
        <v>201.073</v>
      </c>
      <c r="J302" s="24" t="n">
        <v>206.761</v>
      </c>
      <c r="K302" s="24" t="n">
        <v>203.94</v>
      </c>
      <c r="L302" s="24" t="n">
        <v>199.853</v>
      </c>
      <c r="M302" s="24" t="n">
        <v>199.808</v>
      </c>
      <c r="N302" s="24" t="n">
        <v>199.808</v>
      </c>
      <c r="O302" s="24" t="n">
        <v>204.207</v>
      </c>
      <c r="P302" s="24" t="n">
        <v>206.563</v>
      </c>
      <c r="Q302" s="24" t="n">
        <v>209.227</v>
      </c>
      <c r="R302" s="24" t="n">
        <v>207.233</v>
      </c>
      <c r="S302" s="24" t="n">
        <v>207.233</v>
      </c>
      <c r="T302" s="24" t="n">
        <v>202.622</v>
      </c>
      <c r="U302" s="24" t="n">
        <v>203.731</v>
      </c>
      <c r="V302" s="24" t="n">
        <v>205.163</v>
      </c>
      <c r="W302" s="24" t="n">
        <v>194.113</v>
      </c>
      <c r="X302" s="24" t="n">
        <v>194.113</v>
      </c>
      <c r="Y302" s="24" t="n">
        <v>182.059</v>
      </c>
      <c r="Z302" s="24" t="n">
        <v>181.561</v>
      </c>
      <c r="AA302" s="24" t="n">
        <v>183.784</v>
      </c>
      <c r="AB302" s="24" t="n">
        <v>178.67</v>
      </c>
      <c r="AC302" s="24" t="n">
        <v>178.67</v>
      </c>
      <c r="AD302" s="24" t="n">
        <v>169.286</v>
      </c>
      <c r="AE302" s="24" t="n">
        <v>171.771</v>
      </c>
      <c r="AF302" s="24" t="n">
        <v>172.76</v>
      </c>
      <c r="AG302" s="24" t="n">
        <v>169.796</v>
      </c>
      <c r="AH302" s="24" t="n">
        <v>169.796</v>
      </c>
      <c r="AI302" s="24" t="n">
        <v>165.408</v>
      </c>
      <c r="AJ302" s="24" t="n">
        <v>168.212</v>
      </c>
      <c r="AK302" s="24" t="n">
        <v>172.38</v>
      </c>
      <c r="AL302" s="24" t="n">
        <v>167.421</v>
      </c>
      <c r="AM302" s="24" t="n">
        <v>167.421</v>
      </c>
      <c r="AN302" s="24" t="n">
        <v>163.883</v>
      </c>
      <c r="AO302" s="24" t="n">
        <v>166.022</v>
      </c>
      <c r="AP302" s="24" t="n">
        <v>169.406</v>
      </c>
      <c r="AQ302" s="24" t="n">
        <v>165.257</v>
      </c>
      <c r="AR302" s="24" t="n">
        <v>165.257</v>
      </c>
      <c r="AS302" s="24" t="n">
        <v>164.098</v>
      </c>
      <c r="AT302" s="24" t="n">
        <v>167.654</v>
      </c>
      <c r="AU302" s="24" t="n">
        <v>170.984</v>
      </c>
      <c r="AV302" s="24" t="n">
        <v>171.722</v>
      </c>
      <c r="AW302" s="24" t="n">
        <v>171.722</v>
      </c>
      <c r="AX302" s="24" t="n">
        <v>168.359</v>
      </c>
      <c r="AY302" s="24" t="n">
        <v>169.133</v>
      </c>
      <c r="AZ302" s="24" t="n">
        <v>173.719</v>
      </c>
      <c r="BA302" s="24" t="n">
        <v>176.291</v>
      </c>
      <c r="BB302" s="24" t="n">
        <v>176.291</v>
      </c>
      <c r="BC302" s="24" t="n">
        <v>171.79</v>
      </c>
      <c r="BD302" s="24" t="n">
        <v>175.503</v>
      </c>
      <c r="BE302" s="24" t="n">
        <v>180.417</v>
      </c>
      <c r="BF302" s="24" t="n">
        <v>183.74</v>
      </c>
      <c r="BG302" s="24" t="n">
        <v>183.74</v>
      </c>
      <c r="BH302" s="24" t="n">
        <v>176.096</v>
      </c>
      <c r="BI302" s="24" t="n">
        <v>180.033</v>
      </c>
      <c r="BJ302" s="24" t="n">
        <v>185.797</v>
      </c>
      <c r="BK302" s="24" t="n">
        <v>189.369</v>
      </c>
      <c r="BL302" s="24" t="n">
        <v>189.369</v>
      </c>
      <c r="BM302" s="24" t="n">
        <v>182.353</v>
      </c>
      <c r="BN302" s="24" t="n">
        <v>184.761</v>
      </c>
      <c r="BO302" s="24" t="n">
        <v>193.581</v>
      </c>
      <c r="BP302" s="24" t="n">
        <v>197.127</v>
      </c>
      <c r="BQ302" s="24" t="n">
        <v>197.127</v>
      </c>
      <c r="BR302" s="24" t="n">
        <v>194.404</v>
      </c>
      <c r="BS302" s="24" t="n">
        <v>198.837</v>
      </c>
      <c r="BT302" s="24" t="n">
        <v>209.607</v>
      </c>
      <c r="BU302" s="24" t="n">
        <v>214.201</v>
      </c>
      <c r="BV302" s="24" t="n">
        <v>214.201</v>
      </c>
      <c r="BW302" s="24" t="n">
        <v>211.513</v>
      </c>
      <c r="BX302" s="24" t="n">
        <v>218.168</v>
      </c>
      <c r="CA302" s="25" t="n">
        <f aca="false">BX302+(BY105+BZ105)+(CA247-($BW$247+$BX$247))</f>
        <v>230.03425379303</v>
      </c>
      <c r="CB302" s="25" t="n">
        <f aca="false">CA302+CB105+CB247</f>
        <v>270.87275379303</v>
      </c>
      <c r="CC302" s="25" t="n">
        <f aca="false">CB302+CC105+CC247</f>
        <v>314.57112904303</v>
      </c>
      <c r="CD302" s="25" t="n">
        <f aca="false">CC302+CD105+CD247</f>
        <v>361.14833314553</v>
      </c>
      <c r="CE302" s="25" t="n">
        <f aca="false">CD302+CE105+CE247</f>
        <v>410.77648628193</v>
      </c>
      <c r="CF302" s="18" t="s">
        <v>504</v>
      </c>
    </row>
    <row r="303" customFormat="false" ht="15" hidden="false" customHeight="false" outlineLevel="0" collapsed="false">
      <c r="B303" s="20" t="s">
        <v>505</v>
      </c>
      <c r="C303" s="24" t="n">
        <v>716.03</v>
      </c>
      <c r="D303" s="24" t="n">
        <v>807.413</v>
      </c>
      <c r="E303" s="24" t="n">
        <v>899.928</v>
      </c>
      <c r="F303" s="24" t="n">
        <v>980.59</v>
      </c>
      <c r="G303" s="24" t="n">
        <v>1072.459</v>
      </c>
      <c r="H303" s="24" t="n">
        <v>1187.989</v>
      </c>
      <c r="I303" s="24" t="n">
        <v>1261.377</v>
      </c>
      <c r="J303" s="24" t="n">
        <v>1278.108</v>
      </c>
      <c r="K303" s="24" t="n">
        <v>1306.79</v>
      </c>
      <c r="L303" s="24" t="n">
        <v>1338.421</v>
      </c>
      <c r="M303" s="24" t="n">
        <v>1380.981</v>
      </c>
      <c r="N303" s="24" t="n">
        <v>1380.981</v>
      </c>
      <c r="O303" s="24" t="n">
        <v>1409.859</v>
      </c>
      <c r="P303" s="24" t="n">
        <v>1440</v>
      </c>
      <c r="Q303" s="24" t="n">
        <v>1458.782</v>
      </c>
      <c r="R303" s="24" t="n">
        <v>1469.306</v>
      </c>
      <c r="S303" s="24" t="n">
        <v>1469.306</v>
      </c>
      <c r="T303" s="24" t="n">
        <v>1479.107</v>
      </c>
      <c r="U303" s="24" t="n">
        <v>1498.742</v>
      </c>
      <c r="V303" s="24" t="n">
        <v>1526.678</v>
      </c>
      <c r="W303" s="24" t="n">
        <v>1590.645</v>
      </c>
      <c r="X303" s="24" t="n">
        <v>1590.645</v>
      </c>
      <c r="Y303" s="24" t="n">
        <v>1617.659</v>
      </c>
      <c r="Z303" s="24" t="n">
        <v>1651.851</v>
      </c>
      <c r="AA303" s="24" t="n">
        <v>1692.026</v>
      </c>
      <c r="AB303" s="24" t="n">
        <v>1754.907</v>
      </c>
      <c r="AC303" s="24" t="n">
        <v>1754.907</v>
      </c>
      <c r="AD303" s="24" t="n">
        <v>1780.57</v>
      </c>
      <c r="AE303" s="24" t="n">
        <v>1825.697</v>
      </c>
      <c r="AF303" s="24" t="n">
        <v>1883.185</v>
      </c>
      <c r="AG303" s="24" t="n">
        <v>1944.324</v>
      </c>
      <c r="AH303" s="24" t="n">
        <v>1944.324</v>
      </c>
      <c r="AI303" s="24" t="n">
        <v>1979.051</v>
      </c>
      <c r="AJ303" s="24" t="n">
        <v>2047.25</v>
      </c>
      <c r="AK303" s="24" t="n">
        <v>2115.166</v>
      </c>
      <c r="AL303" s="24" t="n">
        <v>2191.471</v>
      </c>
      <c r="AM303" s="24" t="n">
        <v>2191.471</v>
      </c>
      <c r="AN303" s="24" t="n">
        <v>2266.902</v>
      </c>
      <c r="AO303" s="24" t="n">
        <v>2339.703</v>
      </c>
      <c r="AP303" s="24" t="n">
        <v>2414.956</v>
      </c>
      <c r="AQ303" s="24" t="n">
        <v>2497.111</v>
      </c>
      <c r="AR303" s="24" t="n">
        <v>2497.111</v>
      </c>
      <c r="AS303" s="24" t="n">
        <v>2541.777</v>
      </c>
      <c r="AT303" s="24" t="n">
        <v>2565.727</v>
      </c>
      <c r="AU303" s="24" t="n">
        <v>2623.289</v>
      </c>
      <c r="AV303" s="24" t="n">
        <v>2670.328</v>
      </c>
      <c r="AW303" s="24" t="n">
        <v>2670.328</v>
      </c>
      <c r="AX303" s="24" t="n">
        <v>2722.829</v>
      </c>
      <c r="AY303" s="24" t="n">
        <v>2776.884</v>
      </c>
      <c r="AZ303" s="24" t="n">
        <v>2839.294</v>
      </c>
      <c r="BA303" s="24" t="n">
        <v>2908.827</v>
      </c>
      <c r="BB303" s="24" t="n">
        <v>2908.827</v>
      </c>
      <c r="BC303" s="24" t="n">
        <v>2942.58</v>
      </c>
      <c r="BD303" s="24" t="n">
        <v>3006.164</v>
      </c>
      <c r="BE303" s="24" t="n">
        <v>3072.639</v>
      </c>
      <c r="BF303" s="24" t="n">
        <v>3174.396</v>
      </c>
      <c r="BG303" s="24" t="n">
        <v>3174.396</v>
      </c>
      <c r="BH303" s="24" t="n">
        <v>3223.944</v>
      </c>
      <c r="BI303" s="24" t="n">
        <v>3297.281</v>
      </c>
      <c r="BJ303" s="24" t="n">
        <v>3375.502</v>
      </c>
      <c r="BK303" s="24" t="n">
        <v>3487.751</v>
      </c>
      <c r="BL303" s="24" t="n">
        <v>3487.751</v>
      </c>
      <c r="BM303" s="24" t="n">
        <v>3556.572</v>
      </c>
      <c r="BN303" s="24" t="n">
        <v>3648.005</v>
      </c>
      <c r="BO303" s="24" t="n">
        <v>3751.183</v>
      </c>
      <c r="BP303" s="24" t="n">
        <v>3861.073</v>
      </c>
      <c r="BQ303" s="24" t="n">
        <v>3861.073</v>
      </c>
      <c r="BR303" s="24" t="n">
        <v>3954.481</v>
      </c>
      <c r="BS303" s="24" t="n">
        <v>4066.497</v>
      </c>
      <c r="BT303" s="24" t="n">
        <v>4182.422</v>
      </c>
      <c r="BU303" s="24" t="n">
        <v>4310.68</v>
      </c>
      <c r="BV303" s="24" t="n">
        <v>4310.68</v>
      </c>
      <c r="BW303" s="24" t="n">
        <v>4429.993</v>
      </c>
      <c r="BX303" s="24" t="n">
        <v>4571.562</v>
      </c>
      <c r="CA303" s="25" t="n">
        <f aca="false">BX303+(BY138+BZ138)+(CA245-($BW$245+$BX$245))</f>
        <v>4849.90903513184</v>
      </c>
      <c r="CB303" s="25" t="n">
        <f aca="false">CA303+CB138+CB245</f>
        <v>5447.42328720475</v>
      </c>
      <c r="CC303" s="25" t="n">
        <f aca="false">CB303+CC138+CC245</f>
        <v>6108.37144071257</v>
      </c>
      <c r="CD303" s="25" t="n">
        <f aca="false">CC303+CD138+CD245</f>
        <v>6831.67383501698</v>
      </c>
      <c r="CE303" s="25" t="n">
        <f aca="false">CD303+CE138+CE245</f>
        <v>7621.13618338564</v>
      </c>
    </row>
    <row r="304" customFormat="false" ht="15" hidden="false" customHeight="false" outlineLevel="0" collapsed="false">
      <c r="B304" s="20" t="s">
        <v>506</v>
      </c>
      <c r="C304" s="24" t="n">
        <v>55.806</v>
      </c>
      <c r="D304" s="24" t="n">
        <v>93.327</v>
      </c>
      <c r="E304" s="24" t="n">
        <v>-72.551</v>
      </c>
      <c r="F304" s="24" t="n">
        <v>-19.605</v>
      </c>
      <c r="G304" s="24" t="n">
        <v>-2.813</v>
      </c>
      <c r="H304" s="24" t="n">
        <v>-65.131</v>
      </c>
      <c r="I304" s="24" t="n">
        <v>-55.508</v>
      </c>
      <c r="J304" s="24" t="n">
        <v>-84.527</v>
      </c>
      <c r="K304" s="24" t="n">
        <v>-41.607</v>
      </c>
      <c r="L304" s="24" t="n">
        <v>-21.703</v>
      </c>
      <c r="M304" s="24" t="n">
        <v>25.259</v>
      </c>
      <c r="N304" s="24" t="n">
        <v>25.259</v>
      </c>
      <c r="O304" s="24" t="n">
        <v>16.128</v>
      </c>
      <c r="P304" s="24" t="n">
        <v>34.779</v>
      </c>
      <c r="Q304" s="24" t="n">
        <v>-12.008</v>
      </c>
      <c r="R304" s="24" t="n">
        <v>-128.411</v>
      </c>
      <c r="S304" s="24" t="n">
        <v>-128.411</v>
      </c>
      <c r="T304" s="24" t="n">
        <v>-182.481</v>
      </c>
      <c r="U304" s="24" t="n">
        <v>-148.234</v>
      </c>
      <c r="V304" s="24" t="n">
        <v>-185.015</v>
      </c>
      <c r="W304" s="24" t="n">
        <v>-225.928</v>
      </c>
      <c r="X304" s="24" t="n">
        <v>-225.928</v>
      </c>
      <c r="Y304" s="24" t="n">
        <v>-207.211</v>
      </c>
      <c r="Z304" s="24" t="n">
        <v>-237.337</v>
      </c>
      <c r="AA304" s="24" t="n">
        <v>-248.069</v>
      </c>
      <c r="AB304" s="24" t="n">
        <v>-291.756</v>
      </c>
      <c r="AC304" s="24" t="n">
        <v>-291.756</v>
      </c>
      <c r="AD304" s="24" t="n">
        <v>-278.581</v>
      </c>
      <c r="AE304" s="24" t="n">
        <v>-244.161</v>
      </c>
      <c r="AF304" s="24" t="n">
        <v>-217.488</v>
      </c>
      <c r="AG304" s="24" t="n">
        <v>-216.84</v>
      </c>
      <c r="AH304" s="24" t="n">
        <v>-216.84</v>
      </c>
      <c r="AI304" s="24" t="n">
        <v>-198.807</v>
      </c>
      <c r="AJ304" s="24" t="n">
        <v>-239.516</v>
      </c>
      <c r="AK304" s="24" t="n">
        <v>-238.288</v>
      </c>
      <c r="AL304" s="24" t="n">
        <v>-288.447</v>
      </c>
      <c r="AM304" s="24" t="n">
        <v>-288.447</v>
      </c>
      <c r="AN304" s="24" t="n">
        <v>-304.779</v>
      </c>
      <c r="AO304" s="24" t="n">
        <v>-302.49</v>
      </c>
      <c r="AP304" s="24" t="n">
        <v>-325.913</v>
      </c>
      <c r="AQ304" s="24" t="n">
        <v>-325.274</v>
      </c>
      <c r="AR304" s="24" t="n">
        <v>-325.274</v>
      </c>
      <c r="AS304" s="24" t="n">
        <v>-370.868</v>
      </c>
      <c r="AT304" s="24" t="n">
        <v>-342.681</v>
      </c>
      <c r="AU304" s="24" t="n">
        <v>-310.891</v>
      </c>
      <c r="AV304" s="24" t="n">
        <v>-310.856</v>
      </c>
      <c r="AW304" s="24" t="n">
        <v>-310.856</v>
      </c>
      <c r="AX304" s="24" t="n">
        <v>-309.216</v>
      </c>
      <c r="AY304" s="24" t="n">
        <v>-297.531</v>
      </c>
      <c r="AZ304" s="24" t="n">
        <v>-308.81</v>
      </c>
      <c r="BA304" s="24" t="n">
        <v>-190.465</v>
      </c>
      <c r="BB304" s="24" t="n">
        <v>-190.465</v>
      </c>
      <c r="BC304" s="24" t="n">
        <v>-191.524</v>
      </c>
      <c r="BD304" s="24" t="n">
        <v>-227.872</v>
      </c>
      <c r="BE304" s="24" t="n">
        <v>-274.114</v>
      </c>
      <c r="BF304" s="24" t="n">
        <v>-258.916</v>
      </c>
      <c r="BG304" s="24" t="n">
        <v>-258.916</v>
      </c>
      <c r="BH304" s="24" t="n">
        <v>-244.442</v>
      </c>
      <c r="BI304" s="24" t="n">
        <v>-225.375</v>
      </c>
      <c r="BJ304" s="24" t="n">
        <v>-253.416</v>
      </c>
      <c r="BK304" s="24" t="n">
        <v>-213.223</v>
      </c>
      <c r="BL304" s="24" t="n">
        <v>-213.223</v>
      </c>
      <c r="BM304" s="24" t="n">
        <v>-228.255</v>
      </c>
      <c r="BN304" s="24" t="n">
        <v>-233.488</v>
      </c>
      <c r="BO304" s="24" t="n">
        <v>-203.428</v>
      </c>
      <c r="BP304" s="24" t="n">
        <v>-243.225</v>
      </c>
      <c r="BQ304" s="24" t="n">
        <v>-243.225</v>
      </c>
      <c r="BR304" s="24" t="n">
        <v>-224.287</v>
      </c>
      <c r="BS304" s="24" t="n">
        <v>-168.117</v>
      </c>
      <c r="BT304" s="24" t="n">
        <v>-185.928</v>
      </c>
      <c r="BU304" s="24" t="n">
        <v>-173.812</v>
      </c>
      <c r="BV304" s="24" t="n">
        <v>-173.812</v>
      </c>
      <c r="BW304" s="24" t="n">
        <v>-194.028</v>
      </c>
      <c r="BX304" s="24" t="n">
        <v>-189.969</v>
      </c>
      <c r="CA304" s="25" t="n">
        <f aca="false">BX304</f>
        <v>-189.969</v>
      </c>
      <c r="CB304" s="25" t="n">
        <f aca="false">CA304</f>
        <v>-189.969</v>
      </c>
      <c r="CC304" s="25" t="n">
        <f aca="false">CB304</f>
        <v>-189.969</v>
      </c>
      <c r="CD304" s="25" t="n">
        <f aca="false">CC304</f>
        <v>-189.969</v>
      </c>
      <c r="CE304" s="25" t="n">
        <f aca="false">CD304</f>
        <v>-189.969</v>
      </c>
    </row>
    <row r="305" customFormat="false" ht="15" hidden="false" customHeight="false" outlineLevel="0" collapsed="false">
      <c r="B305" s="20" t="s">
        <v>507</v>
      </c>
      <c r="C305" s="24" t="n">
        <v>-79.649</v>
      </c>
      <c r="D305" s="24" t="n">
        <v>-113.22</v>
      </c>
      <c r="E305" s="24" t="n">
        <v>-103.018</v>
      </c>
      <c r="F305" s="24" t="n">
        <v>-94.149</v>
      </c>
      <c r="G305" s="24" t="n">
        <v>-88.194</v>
      </c>
      <c r="H305" s="24" t="n">
        <v>-85.89</v>
      </c>
      <c r="I305" s="24" t="n">
        <v>-94.35</v>
      </c>
      <c r="J305" s="24" t="n">
        <v>-89.864</v>
      </c>
      <c r="K305" s="24" t="n">
        <v>-85.235</v>
      </c>
      <c r="L305" s="24" t="n">
        <v>-64.414</v>
      </c>
      <c r="M305" s="24" t="n">
        <v>-53.343</v>
      </c>
      <c r="N305" s="24" t="n">
        <v>-53.343</v>
      </c>
      <c r="O305" s="24" t="n">
        <v>-33.85</v>
      </c>
      <c r="P305" s="24" t="n">
        <v>-46.769</v>
      </c>
      <c r="Q305" s="24" t="n">
        <v>-58.409</v>
      </c>
      <c r="R305" s="24" t="n">
        <v>-69.695</v>
      </c>
      <c r="S305" s="24" t="n">
        <v>-69.695</v>
      </c>
      <c r="T305" s="24" t="n">
        <v>-98.541</v>
      </c>
      <c r="U305" s="24" t="n">
        <v>-145.639</v>
      </c>
      <c r="V305" s="24" t="n">
        <v>-226.765</v>
      </c>
      <c r="W305" s="24" t="n">
        <v>-303.407</v>
      </c>
      <c r="X305" s="24" t="n">
        <v>-303.407</v>
      </c>
      <c r="Y305" s="24" t="n">
        <v>-305.8</v>
      </c>
      <c r="Z305" s="24" t="n">
        <v>-321.804</v>
      </c>
      <c r="AA305" s="24" t="n">
        <v>-340.726</v>
      </c>
      <c r="AB305" s="24" t="n">
        <v>-350.63</v>
      </c>
      <c r="AC305" s="24" t="n">
        <v>-350.63</v>
      </c>
      <c r="AD305" s="24" t="n">
        <v>-346.92</v>
      </c>
      <c r="AE305" s="24" t="n">
        <v>-360.142</v>
      </c>
      <c r="AF305" s="24" t="n">
        <v>-363.981</v>
      </c>
      <c r="AG305" s="24" t="n">
        <v>-369.48</v>
      </c>
      <c r="AH305" s="24" t="n">
        <v>-369.48</v>
      </c>
      <c r="AI305" s="24" t="n">
        <v>-366.677</v>
      </c>
      <c r="AJ305" s="24" t="n">
        <v>-399.85</v>
      </c>
      <c r="AK305" s="24" t="n">
        <v>-427.981</v>
      </c>
      <c r="AL305" s="24" t="n">
        <v>-539.664</v>
      </c>
      <c r="AM305" s="24" t="n">
        <v>-539.664</v>
      </c>
      <c r="AN305" s="24" t="n">
        <v>-540.426</v>
      </c>
      <c r="AO305" s="24" t="n">
        <v>-550.939</v>
      </c>
      <c r="AP305" s="24" t="n">
        <v>-557.309</v>
      </c>
      <c r="AQ305" s="24" t="n">
        <v>-562.722</v>
      </c>
      <c r="AR305" s="24" t="n">
        <v>-562.722</v>
      </c>
      <c r="AS305" s="24" t="n">
        <v>-665.17</v>
      </c>
      <c r="AT305" s="24" t="n">
        <v>-677.405</v>
      </c>
      <c r="AU305" s="24" t="n">
        <v>-683.919</v>
      </c>
      <c r="AV305" s="24" t="n">
        <v>-743.62</v>
      </c>
      <c r="AW305" s="24" t="n">
        <v>-743.62</v>
      </c>
      <c r="AX305" s="24" t="n">
        <v>-743.808</v>
      </c>
      <c r="AY305" s="24" t="n">
        <v>-753.782</v>
      </c>
      <c r="AZ305" s="24" t="n">
        <v>-804.143</v>
      </c>
      <c r="BA305" s="24" t="n">
        <v>-1068.163</v>
      </c>
      <c r="BB305" s="24" t="n">
        <v>-1068.163</v>
      </c>
      <c r="BC305" s="24" t="n">
        <v>-1073.426</v>
      </c>
      <c r="BD305" s="24" t="n">
        <v>-1086.156</v>
      </c>
      <c r="BE305" s="24" t="n">
        <v>-1094.699</v>
      </c>
      <c r="BF305" s="24" t="n">
        <v>-1107.101</v>
      </c>
      <c r="BG305" s="24" t="n">
        <v>-1107.101</v>
      </c>
      <c r="BH305" s="24" t="n">
        <v>-1101.439</v>
      </c>
      <c r="BI305" s="24" t="n">
        <v>-1113.675</v>
      </c>
      <c r="BJ305" s="24" t="n">
        <v>-1122.728</v>
      </c>
      <c r="BK305" s="24" t="n">
        <v>-1135.484</v>
      </c>
      <c r="BL305" s="24" t="n">
        <v>-1135.484</v>
      </c>
      <c r="BM305" s="24" t="n">
        <v>-1130.491</v>
      </c>
      <c r="BN305" s="24" t="n">
        <v>-1140.858</v>
      </c>
      <c r="BO305" s="24" t="n">
        <v>-1250.917</v>
      </c>
      <c r="BP305" s="24" t="n">
        <v>-1365.176</v>
      </c>
      <c r="BQ305" s="24" t="n">
        <v>-1365.176</v>
      </c>
      <c r="BR305" s="24" t="n">
        <v>-1365.451</v>
      </c>
      <c r="BS305" s="24" t="n">
        <v>-1385.497</v>
      </c>
      <c r="BT305" s="24" t="n">
        <v>-1676.62</v>
      </c>
      <c r="BU305" s="24" t="n">
        <v>-1817.495</v>
      </c>
      <c r="BV305" s="24" t="n">
        <v>-1817.495</v>
      </c>
      <c r="BW305" s="24" t="n">
        <v>-1815.633</v>
      </c>
      <c r="BX305" s="24" t="n">
        <v>-1829.901</v>
      </c>
      <c r="CA305" s="25" t="n">
        <f aca="false">BX305+(CA246-($BW$246+$BX$246))</f>
        <v>-2129.901</v>
      </c>
      <c r="CB305" s="25" t="n">
        <f aca="false">CA305+CB246</f>
        <v>-2544.58299063947</v>
      </c>
      <c r="CC305" s="25" t="n">
        <f aca="false">CB305+CC246</f>
        <v>-2943.69544346935</v>
      </c>
      <c r="CD305" s="25" t="n">
        <f aca="false">CC305+CD246</f>
        <v>-3415.08053493188</v>
      </c>
      <c r="CE305" s="25" t="n">
        <f aca="false">CD305+CE246</f>
        <v>-3959.82602391485</v>
      </c>
      <c r="CF305" s="18" t="s">
        <v>508</v>
      </c>
    </row>
    <row r="306" customFormat="false" ht="15" hidden="false" customHeight="false" outlineLevel="0" collapsed="false">
      <c r="B306" s="43" t="s">
        <v>509</v>
      </c>
      <c r="C306" s="44" t="n">
        <f aca="false">N(C302)+N(C303)+N(C304)+N(C305)</f>
        <v>762.074</v>
      </c>
      <c r="D306" s="44" t="n">
        <f aca="false">N(D302)+N(D303)+N(D304)+N(D305)</f>
        <v>914.785</v>
      </c>
      <c r="E306" s="44" t="n">
        <f aca="false">N(E302)+N(E303)+N(E304)+N(E305)</f>
        <v>866.762</v>
      </c>
      <c r="F306" s="44" t="n">
        <f aca="false">N(F302)+N(F303)+N(F304)+N(F305)</f>
        <v>1026.757</v>
      </c>
      <c r="G306" s="44" t="n">
        <f aca="false">N(G302)+N(G303)+N(G304)+N(G305)</f>
        <v>1160.103</v>
      </c>
      <c r="H306" s="44" t="n">
        <f aca="false">N(H302)+N(H303)+N(H304)+N(H305)</f>
        <v>1229.039</v>
      </c>
      <c r="I306" s="44" t="n">
        <f aca="false">N(I302)+N(I303)+N(I304)+N(I305)</f>
        <v>1312.592</v>
      </c>
      <c r="J306" s="44" t="n">
        <f aca="false">N(J302)+N(J303)+N(J304)+N(J305)</f>
        <v>1310.478</v>
      </c>
      <c r="K306" s="44" t="n">
        <f aca="false">N(K302)+N(K303)+N(K304)+N(K305)</f>
        <v>1383.888</v>
      </c>
      <c r="L306" s="44" t="n">
        <f aca="false">N(L302)+N(L303)+N(L304)+N(L305)</f>
        <v>1452.157</v>
      </c>
      <c r="M306" s="44" t="n">
        <f aca="false">N(M302)+N(M303)+N(M304)+N(M305)</f>
        <v>1552.705</v>
      </c>
      <c r="N306" s="44" t="n">
        <f aca="false">N(N302)+N(N303)+N(N304)+N(N305)</f>
        <v>1552.705</v>
      </c>
      <c r="O306" s="44" t="n">
        <f aca="false">N(O302)+N(O303)+N(O304)+N(O305)</f>
        <v>1596.344</v>
      </c>
      <c r="P306" s="44" t="n">
        <f aca="false">N(P302)+N(P303)+N(P304)+N(P305)</f>
        <v>1634.573</v>
      </c>
      <c r="Q306" s="44" t="n">
        <f aca="false">N(Q302)+N(Q303)+N(Q304)+N(Q305)</f>
        <v>1597.592</v>
      </c>
      <c r="R306" s="44" t="n">
        <f aca="false">N(R302)+N(R303)+N(R304)+N(R305)</f>
        <v>1478.433</v>
      </c>
      <c r="S306" s="44" t="n">
        <f aca="false">N(S302)+N(S303)+N(S304)+N(S305)</f>
        <v>1478.433</v>
      </c>
      <c r="T306" s="44" t="n">
        <f aca="false">N(T302)+N(T303)+N(T304)+N(T305)</f>
        <v>1400.707</v>
      </c>
      <c r="U306" s="44" t="n">
        <f aca="false">N(U302)+N(U303)+N(U304)+N(U305)</f>
        <v>1408.6</v>
      </c>
      <c r="V306" s="44" t="n">
        <f aca="false">N(V302)+N(V303)+N(V304)+N(V305)</f>
        <v>1320.061</v>
      </c>
      <c r="W306" s="44" t="n">
        <f aca="false">N(W302)+N(W303)+N(W304)+N(W305)</f>
        <v>1255.423</v>
      </c>
      <c r="X306" s="44" t="n">
        <f aca="false">N(X302)+N(X303)+N(X304)+N(X305)</f>
        <v>1255.423</v>
      </c>
      <c r="Y306" s="44" t="n">
        <f aca="false">N(Y302)+N(Y303)+N(Y304)+N(Y305)</f>
        <v>1286.707</v>
      </c>
      <c r="Z306" s="44" t="n">
        <f aca="false">N(Z302)+N(Z303)+N(Z304)+N(Z305)</f>
        <v>1274.271</v>
      </c>
      <c r="AA306" s="44" t="n">
        <f aca="false">N(AA302)+N(AA303)+N(AA304)+N(AA305)</f>
        <v>1287.015</v>
      </c>
      <c r="AB306" s="44" t="n">
        <f aca="false">N(AB302)+N(AB303)+N(AB304)+N(AB305)</f>
        <v>1291.191</v>
      </c>
      <c r="AC306" s="44" t="n">
        <f aca="false">N(AC302)+N(AC303)+N(AC304)+N(AC305)</f>
        <v>1291.191</v>
      </c>
      <c r="AD306" s="44" t="n">
        <f aca="false">N(AD302)+N(AD303)+N(AD304)+N(AD305)</f>
        <v>1324.355</v>
      </c>
      <c r="AE306" s="44" t="n">
        <f aca="false">N(AE302)+N(AE303)+N(AE304)+N(AE305)</f>
        <v>1393.165</v>
      </c>
      <c r="AF306" s="44" t="n">
        <f aca="false">N(AF302)+N(AF303)+N(AF304)+N(AF305)</f>
        <v>1474.476</v>
      </c>
      <c r="AG306" s="44" t="n">
        <f aca="false">N(AG302)+N(AG303)+N(AG304)+N(AG305)</f>
        <v>1527.8</v>
      </c>
      <c r="AH306" s="44" t="n">
        <f aca="false">N(AH302)+N(AH303)+N(AH304)+N(AH305)</f>
        <v>1527.8</v>
      </c>
      <c r="AI306" s="44" t="n">
        <f aca="false">N(AI302)+N(AI303)+N(AI304)+N(AI305)</f>
        <v>1578.975</v>
      </c>
      <c r="AJ306" s="44" t="n">
        <f aca="false">N(AJ302)+N(AJ303)+N(AJ304)+N(AJ305)</f>
        <v>1576.096</v>
      </c>
      <c r="AK306" s="44" t="n">
        <f aca="false">N(AK302)+N(AK303)+N(AK304)+N(AK305)</f>
        <v>1621.277</v>
      </c>
      <c r="AL306" s="44" t="n">
        <f aca="false">N(AL302)+N(AL303)+N(AL304)+N(AL305)</f>
        <v>1530.781</v>
      </c>
      <c r="AM306" s="44" t="n">
        <f aca="false">N(AM302)+N(AM303)+N(AM304)+N(AM305)</f>
        <v>1530.781</v>
      </c>
      <c r="AN306" s="44" t="n">
        <f aca="false">N(AN302)+N(AN303)+N(AN304)+N(AN305)</f>
        <v>1585.58</v>
      </c>
      <c r="AO306" s="44" t="n">
        <f aca="false">N(AO302)+N(AO303)+N(AO304)+N(AO305)</f>
        <v>1652.296</v>
      </c>
      <c r="AP306" s="44" t="n">
        <f aca="false">N(AP302)+N(AP303)+N(AP304)+N(AP305)</f>
        <v>1701.14</v>
      </c>
      <c r="AQ306" s="44" t="n">
        <f aca="false">N(AQ302)+N(AQ303)+N(AQ304)+N(AQ305)</f>
        <v>1774.372</v>
      </c>
      <c r="AR306" s="44" t="n">
        <f aca="false">N(AR302)+N(AR303)+N(AR304)+N(AR305)</f>
        <v>1774.372</v>
      </c>
      <c r="AS306" s="44" t="n">
        <f aca="false">N(AS302)+N(AS303)+N(AS304)+N(AS305)</f>
        <v>1669.837</v>
      </c>
      <c r="AT306" s="44" t="n">
        <f aca="false">N(AT302)+N(AT303)+N(AT304)+N(AT305)</f>
        <v>1713.295</v>
      </c>
      <c r="AU306" s="44" t="n">
        <f aca="false">N(AU302)+N(AU303)+N(AU304)+N(AU305)</f>
        <v>1799.463</v>
      </c>
      <c r="AV306" s="44" t="n">
        <f aca="false">N(AV302)+N(AV303)+N(AV304)+N(AV305)</f>
        <v>1787.574</v>
      </c>
      <c r="AW306" s="44" t="n">
        <f aca="false">N(AW302)+N(AW303)+N(AW304)+N(AW305)</f>
        <v>1787.574</v>
      </c>
      <c r="AX306" s="44" t="n">
        <f aca="false">N(AX302)+N(AX303)+N(AX304)+N(AX305)</f>
        <v>1838.164</v>
      </c>
      <c r="AY306" s="44" t="n">
        <f aca="false">N(AY302)+N(AY303)+N(AY304)+N(AY305)</f>
        <v>1894.704</v>
      </c>
      <c r="AZ306" s="44" t="n">
        <f aca="false">N(AZ302)+N(AZ303)+N(AZ304)+N(AZ305)</f>
        <v>1900.06</v>
      </c>
      <c r="BA306" s="44" t="n">
        <f aca="false">N(BA302)+N(BA303)+N(BA304)+N(BA305)</f>
        <v>1826.49</v>
      </c>
      <c r="BB306" s="44" t="n">
        <f aca="false">N(BB302)+N(BB303)+N(BB304)+N(BB305)</f>
        <v>1826.49</v>
      </c>
      <c r="BC306" s="44" t="n">
        <f aca="false">N(BC302)+N(BC303)+N(BC304)+N(BC305)</f>
        <v>1849.42</v>
      </c>
      <c r="BD306" s="44" t="n">
        <f aca="false">N(BD302)+N(BD303)+N(BD304)+N(BD305)</f>
        <v>1867.639</v>
      </c>
      <c r="BE306" s="44" t="n">
        <f aca="false">N(BE302)+N(BE303)+N(BE304)+N(BE305)</f>
        <v>1884.243</v>
      </c>
      <c r="BF306" s="44" t="n">
        <f aca="false">N(BF302)+N(BF303)+N(BF304)+N(BF305)</f>
        <v>1992.119</v>
      </c>
      <c r="BG306" s="44" t="n">
        <f aca="false">N(BG302)+N(BG303)+N(BG304)+N(BG305)</f>
        <v>1992.119</v>
      </c>
      <c r="BH306" s="44" t="n">
        <f aca="false">N(BH302)+N(BH303)+N(BH304)+N(BH305)</f>
        <v>2054.159</v>
      </c>
      <c r="BI306" s="44" t="n">
        <f aca="false">N(BI302)+N(BI303)+N(BI304)+N(BI305)</f>
        <v>2138.264</v>
      </c>
      <c r="BJ306" s="44" t="n">
        <f aca="false">N(BJ302)+N(BJ303)+N(BJ304)+N(BJ305)</f>
        <v>2185.155</v>
      </c>
      <c r="BK306" s="44" t="n">
        <f aca="false">N(BK302)+N(BK303)+N(BK304)+N(BK305)</f>
        <v>2328.413</v>
      </c>
      <c r="BL306" s="44" t="n">
        <f aca="false">N(BL302)+N(BL303)+N(BL304)+N(BL305)</f>
        <v>2328.413</v>
      </c>
      <c r="BM306" s="44" t="n">
        <f aca="false">N(BM302)+N(BM303)+N(BM304)+N(BM305)</f>
        <v>2380.179</v>
      </c>
      <c r="BN306" s="44" t="n">
        <f aca="false">N(BN302)+N(BN303)+N(BN304)+N(BN305)</f>
        <v>2458.42</v>
      </c>
      <c r="BO306" s="44" t="n">
        <f aca="false">N(BO302)+N(BO303)+N(BO304)+N(BO305)</f>
        <v>2490.419</v>
      </c>
      <c r="BP306" s="44" t="n">
        <f aca="false">N(BP302)+N(BP303)+N(BP304)+N(BP305)</f>
        <v>2449.799</v>
      </c>
      <c r="BQ306" s="44" t="n">
        <f aca="false">N(BQ302)+N(BQ303)+N(BQ304)+N(BQ305)</f>
        <v>2449.799</v>
      </c>
      <c r="BR306" s="44" t="n">
        <f aca="false">N(BR302)+N(BR303)+N(BR304)+N(BR305)</f>
        <v>2559.147</v>
      </c>
      <c r="BS306" s="44" t="n">
        <f aca="false">N(BS302)+N(BS303)+N(BS304)+N(BS305)</f>
        <v>2711.72</v>
      </c>
      <c r="BT306" s="44" t="n">
        <f aca="false">N(BT302)+N(BT303)+N(BT304)+N(BT305)</f>
        <v>2529.481</v>
      </c>
      <c r="BU306" s="44" t="n">
        <f aca="false">N(BU302)+N(BU303)+N(BU304)+N(BU305)</f>
        <v>2533.574</v>
      </c>
      <c r="BV306" s="44" t="n">
        <f aca="false">N(BV302)+N(BV303)+N(BV304)+N(BV305)</f>
        <v>2533.574</v>
      </c>
      <c r="BW306" s="44" t="n">
        <f aca="false">N(BW302)+N(BW303)+N(BW304)+N(BW305)</f>
        <v>2631.845</v>
      </c>
      <c r="BX306" s="44" t="n">
        <f aca="false">N(BX302)+N(BX303)+N(BX304)+N(BX305)</f>
        <v>2769.86</v>
      </c>
      <c r="CA306" s="44" t="n">
        <f aca="false">N(CA302)+N(CA303)+N(CA304)+N(CA305)</f>
        <v>2760.07328892487</v>
      </c>
      <c r="CB306" s="44" t="n">
        <f aca="false">N(CB302)+N(CB303)+N(CB304)+N(CB305)</f>
        <v>2983.74405035832</v>
      </c>
      <c r="CC306" s="44" t="n">
        <f aca="false">N(CC302)+N(CC303)+N(CC304)+N(CC305)</f>
        <v>3289.27812628626</v>
      </c>
      <c r="CD306" s="44" t="n">
        <f aca="false">N(CD302)+N(CD303)+N(CD304)+N(CD305)</f>
        <v>3587.77263323063</v>
      </c>
      <c r="CE306" s="44" t="n">
        <f aca="false">N(CE302)+N(CE303)+N(CE304)+N(CE305)</f>
        <v>3882.11764575272</v>
      </c>
    </row>
    <row r="307" customFormat="false" ht="15" hidden="false" customHeight="false" outlineLevel="0" collapsed="false">
      <c r="B307" s="15" t="s">
        <v>510</v>
      </c>
      <c r="C307" s="31" t="n">
        <f aca="false">C300+C306</f>
        <v>1592.156</v>
      </c>
      <c r="D307" s="31" t="n">
        <f aca="false">D300+D306</f>
        <v>1985.56</v>
      </c>
      <c r="E307" s="31" t="n">
        <f aca="false">E300+E306</f>
        <v>2042.03</v>
      </c>
      <c r="F307" s="31" t="n">
        <f aca="false">F300+F306</f>
        <v>2142.041</v>
      </c>
      <c r="G307" s="31" t="n">
        <f aca="false">G300+G306</f>
        <v>2242.018</v>
      </c>
      <c r="H307" s="31" t="n">
        <f aca="false">H300+H306</f>
        <v>2652.837</v>
      </c>
      <c r="I307" s="31" t="n">
        <f aca="false">I300+I306</f>
        <v>3114.588</v>
      </c>
      <c r="J307" s="31" t="n">
        <f aca="false">J300+J306</f>
        <v>3226.674</v>
      </c>
      <c r="K307" s="31" t="n">
        <f aca="false">K300+K306</f>
        <v>3228.941</v>
      </c>
      <c r="L307" s="31" t="n">
        <f aca="false">L300+L306</f>
        <v>3289.166</v>
      </c>
      <c r="M307" s="31" t="n">
        <f aca="false">M300+M306</f>
        <v>3458.274</v>
      </c>
      <c r="N307" s="31" t="n">
        <f aca="false">N300+N306</f>
        <v>3458.274</v>
      </c>
      <c r="O307" s="31" t="n">
        <f aca="false">O300+O306</f>
        <v>3458.635</v>
      </c>
      <c r="P307" s="31" t="n">
        <f aca="false">P300+P306</f>
        <v>3506.635</v>
      </c>
      <c r="Q307" s="31" t="n">
        <f aca="false">Q300+Q306</f>
        <v>3453.823</v>
      </c>
      <c r="R307" s="31" t="n">
        <f aca="false">R300+R306</f>
        <v>3399.511</v>
      </c>
      <c r="S307" s="31" t="n">
        <f aca="false">S300+S306</f>
        <v>3399.511</v>
      </c>
      <c r="T307" s="31" t="n">
        <f aca="false">T300+T306</f>
        <v>3125.399</v>
      </c>
      <c r="U307" s="31" t="n">
        <f aca="false">U300+U306</f>
        <v>3112.611</v>
      </c>
      <c r="V307" s="31" t="n">
        <f aca="false">V300+V306</f>
        <v>3014.701</v>
      </c>
      <c r="W307" s="31" t="n">
        <f aca="false">W300+W306</f>
        <v>3029.378</v>
      </c>
      <c r="X307" s="31" t="n">
        <f aca="false">X300+X306</f>
        <v>3029.378</v>
      </c>
      <c r="Y307" s="31" t="n">
        <f aca="false">Y300+Y306</f>
        <v>2963.652</v>
      </c>
      <c r="Z307" s="31" t="n">
        <f aca="false">Z300+Z306</f>
        <v>2979.18</v>
      </c>
      <c r="AA307" s="31" t="n">
        <f aca="false">AA300+AA306</f>
        <v>3013.984</v>
      </c>
      <c r="AB307" s="31" t="n">
        <f aca="false">AB300+AB306</f>
        <v>3037.781</v>
      </c>
      <c r="AC307" s="31" t="n">
        <f aca="false">AC300+AC306</f>
        <v>3037.781</v>
      </c>
      <c r="AD307" s="31" t="n">
        <f aca="false">AD300+AD306</f>
        <v>3017.873</v>
      </c>
      <c r="AE307" s="31" t="n">
        <f aca="false">AE300+AE306</f>
        <v>3121.274</v>
      </c>
      <c r="AF307" s="31" t="n">
        <f aca="false">AF300+AF306</f>
        <v>3221.224</v>
      </c>
      <c r="AG307" s="31" t="n">
        <f aca="false">AG300+AG306</f>
        <v>3236.321</v>
      </c>
      <c r="AH307" s="31" t="n">
        <f aca="false">AH300+AH306</f>
        <v>3236.321</v>
      </c>
      <c r="AI307" s="31" t="n">
        <f aca="false">AI300+AI306</f>
        <v>3179.059</v>
      </c>
      <c r="AJ307" s="31" t="n">
        <f aca="false">AJ300+AJ306</f>
        <v>3230.188</v>
      </c>
      <c r="AK307" s="31" t="n">
        <f aca="false">AK300+AK306</f>
        <v>3276.071</v>
      </c>
      <c r="AL307" s="31" t="n">
        <f aca="false">AL300+AL306</f>
        <v>3255.385</v>
      </c>
      <c r="AM307" s="31" t="n">
        <f aca="false">AM300+AM306</f>
        <v>3255.385</v>
      </c>
      <c r="AN307" s="31" t="n">
        <f aca="false">AN300+AN306</f>
        <v>3328.802</v>
      </c>
      <c r="AO307" s="31" t="n">
        <f aca="false">AO300+AO306</f>
        <v>3426.64</v>
      </c>
      <c r="AP307" s="31" t="n">
        <f aca="false">AP300+AP306</f>
        <v>3482.309</v>
      </c>
      <c r="AQ307" s="31" t="n">
        <f aca="false">AQ300+AQ306</f>
        <v>3764.261</v>
      </c>
      <c r="AR307" s="31" t="n">
        <f aca="false">AR300+AR306</f>
        <v>3764.261</v>
      </c>
      <c r="AS307" s="31" t="n">
        <f aca="false">AS300+AS306</f>
        <v>3631.394</v>
      </c>
      <c r="AT307" s="31" t="n">
        <f aca="false">AT300+AT306</f>
        <v>3642.671</v>
      </c>
      <c r="AU307" s="31" t="n">
        <f aca="false">AU300+AU306</f>
        <v>3959.78</v>
      </c>
      <c r="AV307" s="31" t="n">
        <f aca="false">AV300+AV306</f>
        <v>4021.334</v>
      </c>
      <c r="AW307" s="31" t="n">
        <f aca="false">AW300+AW306</f>
        <v>4021.334</v>
      </c>
      <c r="AX307" s="31" t="n">
        <f aca="false">AX300+AX306</f>
        <v>3981.05</v>
      </c>
      <c r="AY307" s="31" t="n">
        <f aca="false">AY300+AY306</f>
        <v>4084.985</v>
      </c>
      <c r="AZ307" s="31" t="n">
        <f aca="false">AZ300+AZ306</f>
        <v>4083.301</v>
      </c>
      <c r="BA307" s="31" t="n">
        <f aca="false">BA300+BA306</f>
        <v>4103.545</v>
      </c>
      <c r="BB307" s="31" t="n">
        <f aca="false">BB300+BB306</f>
        <v>4103.545</v>
      </c>
      <c r="BC307" s="31" t="n">
        <f aca="false">BC300+BC306</f>
        <v>4089.367</v>
      </c>
      <c r="BD307" s="31" t="n">
        <f aca="false">BD300+BD306</f>
        <v>4402.528</v>
      </c>
      <c r="BE307" s="31" t="n">
        <f aca="false">BE300+BE306</f>
        <v>4342.162</v>
      </c>
      <c r="BF307" s="31" t="n">
        <f aca="false">BF300+BF306</f>
        <v>4449.602</v>
      </c>
      <c r="BG307" s="31" t="n">
        <f aca="false">BG300+BG306</f>
        <v>4449.602</v>
      </c>
      <c r="BH307" s="31" t="n">
        <f aca="false">BH300+BH306</f>
        <v>4362.125</v>
      </c>
      <c r="BI307" s="31" t="n">
        <f aca="false">BI300+BI306</f>
        <v>4441.098</v>
      </c>
      <c r="BJ307" s="31" t="n">
        <f aca="false">BJ300+BJ306</f>
        <v>4413.955</v>
      </c>
      <c r="BK307" s="31" t="n">
        <f aca="false">BK300+BK306</f>
        <v>4620.969</v>
      </c>
      <c r="BL307" s="31" t="n">
        <f aca="false">BL300+BL306</f>
        <v>4620.969</v>
      </c>
      <c r="BM307" s="31" t="n">
        <f aca="false">BM300+BM306</f>
        <v>4612.082</v>
      </c>
      <c r="BN307" s="31" t="n">
        <f aca="false">BN300+BN306</f>
        <v>4748.194</v>
      </c>
      <c r="BO307" s="31" t="n">
        <f aca="false">BO300+BO306</f>
        <v>4885.738</v>
      </c>
      <c r="BP307" s="31" t="n">
        <f aca="false">BP300+BP306</f>
        <v>4985.704</v>
      </c>
      <c r="BQ307" s="31" t="n">
        <f aca="false">BQ300+BQ306</f>
        <v>4985.704</v>
      </c>
      <c r="BR307" s="31" t="n">
        <f aca="false">BR300+BR306</f>
        <v>4951.791</v>
      </c>
      <c r="BS307" s="31" t="n">
        <f aca="false">BS300+BS306</f>
        <v>5194.475</v>
      </c>
      <c r="BT307" s="31" t="n">
        <f aca="false">BT300+BT306</f>
        <v>5102.032</v>
      </c>
      <c r="BU307" s="31" t="n">
        <f aca="false">BU300+BU306</f>
        <v>5221.292</v>
      </c>
      <c r="BV307" s="31" t="n">
        <f aca="false">BV300+BV306</f>
        <v>5221.292</v>
      </c>
      <c r="BW307" s="31" t="n">
        <f aca="false">BW300+BW306</f>
        <v>5270.081</v>
      </c>
      <c r="BX307" s="31" t="n">
        <f aca="false">BX300+BX306</f>
        <v>5455.666</v>
      </c>
      <c r="CA307" s="17" t="n">
        <f aca="false">CA300+CA306</f>
        <v>5349.63830179449</v>
      </c>
      <c r="CB307" s="17" t="n">
        <f aca="false">CB300+CB306</f>
        <v>5669.94062926243</v>
      </c>
      <c r="CC307" s="17" t="n">
        <f aca="false">CC300+CC306</f>
        <v>6104.74224588681</v>
      </c>
      <c r="CD307" s="17" t="n">
        <f aca="false">CD300+CD306</f>
        <v>6574.52557245288</v>
      </c>
      <c r="CE307" s="17" t="n">
        <f aca="false">CE300+CE306</f>
        <v>7049.6838738038</v>
      </c>
    </row>
    <row r="308" customFormat="false" ht="15" hidden="false" customHeight="false" outlineLevel="0" collapsed="false">
      <c r="B308" s="33" t="s">
        <v>511</v>
      </c>
      <c r="C308" s="46" t="n">
        <f aca="false">IF(ISNUMBER(C287),ROUND(C287-C307,1),"")</f>
        <v>0</v>
      </c>
      <c r="D308" s="46" t="n">
        <f aca="false">IF(ISNUMBER(D287),ROUND(D287-D307,1),"")</f>
        <v>0</v>
      </c>
      <c r="E308" s="46" t="n">
        <f aca="false">IF(ISNUMBER(E287),ROUND(E287-E307,1),"")</f>
        <v>0</v>
      </c>
      <c r="F308" s="46" t="n">
        <f aca="false">IF(ISNUMBER(F287),ROUND(F287-F307,1),"")</f>
        <v>0</v>
      </c>
      <c r="G308" s="46" t="n">
        <f aca="false">IF(ISNUMBER(G287),ROUND(G287-G307,1),"")</f>
        <v>0</v>
      </c>
      <c r="H308" s="46" t="n">
        <f aca="false">IF(ISNUMBER(H287),ROUND(H287-H307,1),"")</f>
        <v>0</v>
      </c>
      <c r="I308" s="46" t="n">
        <f aca="false">IF(ISNUMBER(I287),ROUND(I287-I307,1),"")</f>
        <v>0</v>
      </c>
      <c r="J308" s="46" t="n">
        <f aca="false">IF(ISNUMBER(J287),ROUND(J287-J307,1),"")</f>
        <v>0</v>
      </c>
      <c r="K308" s="46" t="n">
        <f aca="false">IF(ISNUMBER(K287),ROUND(K287-K307,1),"")</f>
        <v>0</v>
      </c>
      <c r="L308" s="46" t="n">
        <f aca="false">IF(ISNUMBER(L287),ROUND(L287-L307,1),"")</f>
        <v>0</v>
      </c>
      <c r="M308" s="46" t="n">
        <f aca="false">IF(ISNUMBER(M287),ROUND(M287-M307,1),"")</f>
        <v>0</v>
      </c>
      <c r="N308" s="46" t="n">
        <f aca="false">IF(ISNUMBER(N287),ROUND(N287-N307,1),"")</f>
        <v>0</v>
      </c>
      <c r="O308" s="46" t="n">
        <f aca="false">IF(ISNUMBER(O287),ROUND(O287-O307,1),"")</f>
        <v>0</v>
      </c>
      <c r="P308" s="46" t="n">
        <f aca="false">IF(ISNUMBER(P287),ROUND(P287-P307,1),"")</f>
        <v>0</v>
      </c>
      <c r="Q308" s="46" t="n">
        <f aca="false">IF(ISNUMBER(Q287),ROUND(Q287-Q307,1),"")</f>
        <v>0</v>
      </c>
      <c r="R308" s="46" t="n">
        <f aca="false">IF(ISNUMBER(R287),ROUND(R287-R307,1),"")</f>
        <v>0</v>
      </c>
      <c r="S308" s="46" t="n">
        <f aca="false">IF(ISNUMBER(S287),ROUND(S287-S307,1),"")</f>
        <v>0</v>
      </c>
      <c r="T308" s="46" t="n">
        <f aca="false">IF(ISNUMBER(T287),ROUND(T287-T307,1),"")</f>
        <v>0</v>
      </c>
      <c r="U308" s="46" t="n">
        <f aca="false">IF(ISNUMBER(U287),ROUND(U287-U307,1),"")</f>
        <v>0</v>
      </c>
      <c r="V308" s="46" t="n">
        <f aca="false">IF(ISNUMBER(V287),ROUND(V287-V307,1),"")</f>
        <v>0</v>
      </c>
      <c r="W308" s="46" t="n">
        <f aca="false">IF(ISNUMBER(W287),ROUND(W287-W307,1),"")</f>
        <v>0</v>
      </c>
      <c r="X308" s="46" t="n">
        <f aca="false">IF(ISNUMBER(X287),ROUND(X287-X307,1),"")</f>
        <v>0</v>
      </c>
      <c r="Y308" s="46" t="n">
        <f aca="false">IF(ISNUMBER(Y287),ROUND(Y287-Y307,1),"")</f>
        <v>0</v>
      </c>
      <c r="Z308" s="46" t="n">
        <f aca="false">IF(ISNUMBER(Z287),ROUND(Z287-Z307,1),"")</f>
        <v>0</v>
      </c>
      <c r="AA308" s="46" t="n">
        <f aca="false">IF(ISNUMBER(AA287),ROUND(AA287-AA307,1),"")</f>
        <v>0</v>
      </c>
      <c r="AB308" s="46" t="n">
        <f aca="false">IF(ISNUMBER(AB287),ROUND(AB287-AB307,1),"")</f>
        <v>0</v>
      </c>
      <c r="AC308" s="46" t="n">
        <f aca="false">IF(ISNUMBER(AC287),ROUND(AC287-AC307,1),"")</f>
        <v>0</v>
      </c>
      <c r="AD308" s="46" t="n">
        <f aca="false">IF(ISNUMBER(AD287),ROUND(AD287-AD307,1),"")</f>
        <v>0</v>
      </c>
      <c r="AE308" s="46" t="n">
        <f aca="false">IF(ISNUMBER(AE287),ROUND(AE287-AE307,1),"")</f>
        <v>0</v>
      </c>
      <c r="AF308" s="46" t="n">
        <f aca="false">IF(ISNUMBER(AF287),ROUND(AF287-AF307,1),"")</f>
        <v>0</v>
      </c>
      <c r="AG308" s="46" t="n">
        <f aca="false">IF(ISNUMBER(AG287),ROUND(AG287-AG307,1),"")</f>
        <v>0</v>
      </c>
      <c r="AH308" s="46" t="n">
        <f aca="false">IF(ISNUMBER(AH287),ROUND(AH287-AH307,1),"")</f>
        <v>0</v>
      </c>
      <c r="AI308" s="46" t="n">
        <f aca="false">IF(ISNUMBER(AI287),ROUND(AI287-AI307,1),"")</f>
        <v>0</v>
      </c>
      <c r="AJ308" s="46" t="n">
        <f aca="false">IF(ISNUMBER(AJ287),ROUND(AJ287-AJ307,1),"")</f>
        <v>0</v>
      </c>
      <c r="AK308" s="46" t="n">
        <f aca="false">IF(ISNUMBER(AK287),ROUND(AK287-AK307,1),"")</f>
        <v>0</v>
      </c>
      <c r="AL308" s="46" t="n">
        <f aca="false">IF(ISNUMBER(AL287),ROUND(AL287-AL307,1),"")</f>
        <v>0</v>
      </c>
      <c r="AM308" s="46" t="n">
        <f aca="false">IF(ISNUMBER(AM287),ROUND(AM287-AM307,1),"")</f>
        <v>0</v>
      </c>
      <c r="AN308" s="46" t="n">
        <f aca="false">IF(ISNUMBER(AN287),ROUND(AN287-AN307,1),"")</f>
        <v>0</v>
      </c>
      <c r="AO308" s="46" t="n">
        <f aca="false">IF(ISNUMBER(AO287),ROUND(AO287-AO307,1),"")</f>
        <v>0</v>
      </c>
      <c r="AP308" s="46" t="n">
        <f aca="false">IF(ISNUMBER(AP287),ROUND(AP287-AP307,1),"")</f>
        <v>0</v>
      </c>
      <c r="AQ308" s="46" t="n">
        <f aca="false">IF(ISNUMBER(AQ287),ROUND(AQ287-AQ307,1),"")</f>
        <v>0</v>
      </c>
      <c r="AR308" s="46" t="n">
        <f aca="false">IF(ISNUMBER(AR287),ROUND(AR287-AR307,1),"")</f>
        <v>0</v>
      </c>
      <c r="AS308" s="46" t="n">
        <f aca="false">IF(ISNUMBER(AS287),ROUND(AS287-AS307,1),"")</f>
        <v>0</v>
      </c>
      <c r="AT308" s="46" t="n">
        <f aca="false">IF(ISNUMBER(AT287),ROUND(AT287-AT307,1),"")</f>
        <v>0</v>
      </c>
      <c r="AU308" s="46" t="n">
        <f aca="false">IF(ISNUMBER(AU287),ROUND(AU287-AU307,1),"")</f>
        <v>0</v>
      </c>
      <c r="AV308" s="46" t="n">
        <f aca="false">IF(ISNUMBER(AV287),ROUND(AV287-AV307,1),"")</f>
        <v>0</v>
      </c>
      <c r="AW308" s="46" t="n">
        <f aca="false">IF(ISNUMBER(AW287),ROUND(AW287-AW307,1),"")</f>
        <v>0</v>
      </c>
      <c r="AX308" s="46" t="n">
        <f aca="false">IF(ISNUMBER(AX287),ROUND(AX287-AX307,1),"")</f>
        <v>0</v>
      </c>
      <c r="AY308" s="46" t="n">
        <f aca="false">IF(ISNUMBER(AY287),ROUND(AY287-AY307,1),"")</f>
        <v>0</v>
      </c>
      <c r="AZ308" s="46" t="n">
        <f aca="false">IF(ISNUMBER(AZ287),ROUND(AZ287-AZ307,1),"")</f>
        <v>0</v>
      </c>
      <c r="BA308" s="46" t="n">
        <f aca="false">IF(ISNUMBER(BA287),ROUND(BA287-BA307,1),"")</f>
        <v>0</v>
      </c>
      <c r="BB308" s="46" t="n">
        <f aca="false">IF(ISNUMBER(BB287),ROUND(BB287-BB307,1),"")</f>
        <v>0</v>
      </c>
      <c r="BC308" s="46" t="n">
        <f aca="false">IF(ISNUMBER(BC287),ROUND(BC287-BC307,1),"")</f>
        <v>0</v>
      </c>
      <c r="BD308" s="46" t="n">
        <f aca="false">IF(ISNUMBER(BD287),ROUND(BD287-BD307,1),"")</f>
        <v>0</v>
      </c>
      <c r="BE308" s="46" t="n">
        <f aca="false">IF(ISNUMBER(BE287),ROUND(BE287-BE307,1),"")</f>
        <v>0</v>
      </c>
      <c r="BF308" s="46" t="n">
        <f aca="false">IF(ISNUMBER(BF287),ROUND(BF287-BF307,1),"")</f>
        <v>0</v>
      </c>
      <c r="BG308" s="46" t="n">
        <f aca="false">IF(ISNUMBER(BG287),ROUND(BG287-BG307,1),"")</f>
        <v>0</v>
      </c>
      <c r="BH308" s="46" t="n">
        <f aca="false">IF(ISNUMBER(BH287),ROUND(BH287-BH307,1),"")</f>
        <v>0</v>
      </c>
      <c r="BI308" s="46" t="n">
        <f aca="false">IF(ISNUMBER(BI287),ROUND(BI287-BI307,1),"")</f>
        <v>0</v>
      </c>
      <c r="BJ308" s="46" t="n">
        <f aca="false">IF(ISNUMBER(BJ287),ROUND(BJ287-BJ307,1),"")</f>
        <v>0</v>
      </c>
      <c r="BK308" s="46" t="n">
        <f aca="false">IF(ISNUMBER(BK287),ROUND(BK287-BK307,1),"")</f>
        <v>0</v>
      </c>
      <c r="BL308" s="46" t="n">
        <f aca="false">IF(ISNUMBER(BL287),ROUND(BL287-BL307,1),"")</f>
        <v>0</v>
      </c>
      <c r="BM308" s="46" t="n">
        <f aca="false">IF(ISNUMBER(BM287),ROUND(BM287-BM307,1),"")</f>
        <v>0</v>
      </c>
      <c r="BN308" s="46" t="n">
        <f aca="false">IF(ISNUMBER(BN287),ROUND(BN287-BN307,1),"")</f>
        <v>0</v>
      </c>
      <c r="BO308" s="46" t="n">
        <f aca="false">IF(ISNUMBER(BO287),ROUND(BO287-BO307,1),"")</f>
        <v>0</v>
      </c>
      <c r="BP308" s="46" t="n">
        <f aca="false">IF(ISNUMBER(BP287),ROUND(BP287-BP307,1),"")</f>
        <v>0</v>
      </c>
      <c r="BQ308" s="46" t="n">
        <f aca="false">IF(ISNUMBER(BQ287),ROUND(BQ287-BQ307,1),"")</f>
        <v>0</v>
      </c>
      <c r="BR308" s="46" t="n">
        <f aca="false">IF(ISNUMBER(BR287),ROUND(BR287-BR307,1),"")</f>
        <v>0</v>
      </c>
      <c r="BS308" s="46" t="n">
        <f aca="false">IF(ISNUMBER(BS287),ROUND(BS287-BS307,1),"")</f>
        <v>0</v>
      </c>
      <c r="BT308" s="46" t="n">
        <f aca="false">IF(ISNUMBER(BT287),ROUND(BT287-BT307,1),"")</f>
        <v>0</v>
      </c>
      <c r="BU308" s="46" t="n">
        <f aca="false">IF(ISNUMBER(BU287),ROUND(BU287-BU307,1),"")</f>
        <v>0</v>
      </c>
      <c r="BV308" s="46" t="n">
        <f aca="false">IF(ISNUMBER(BV287),ROUND(BV287-BV307,1),"")</f>
        <v>0</v>
      </c>
      <c r="BW308" s="46" t="n">
        <f aca="false">IF(ISNUMBER(BW287),ROUND(BW287-BW307,1),"")</f>
        <v>0</v>
      </c>
      <c r="BX308" s="46" t="n">
        <f aca="false">IF(ISNUMBER(BX287),ROUND(BX287-BX307,1),"")</f>
        <v>0</v>
      </c>
      <c r="CA308" s="25" t="n">
        <f aca="false">IF(ISNUMBER(CA287),ROUND(CA287-CA307,1),"")</f>
        <v>0</v>
      </c>
      <c r="CB308" s="25" t="n">
        <f aca="false">IF(ISNUMBER(CB287),ROUND(CB287-CB307,1),"")</f>
        <v>0</v>
      </c>
      <c r="CC308" s="25" t="n">
        <f aca="false">IF(ISNUMBER(CC287),ROUND(CC287-CC307,1),"")</f>
        <v>0</v>
      </c>
      <c r="CD308" s="25" t="n">
        <f aca="false">IF(ISNUMBER(CD287),ROUND(CD287-CD307,1),"")</f>
        <v>0</v>
      </c>
      <c r="CE308" s="25" t="n">
        <f aca="false">IF(ISNUMBER(CE287),ROUND(CE287-CE307,1),"")</f>
        <v>0</v>
      </c>
    </row>
    <row r="309" customFormat="false" ht="15" hidden="false" customHeight="false" outlineLevel="0" collapsed="false">
      <c r="B309" s="33" t="s">
        <v>512</v>
      </c>
      <c r="C309" s="24" t="n">
        <v>1592.156</v>
      </c>
      <c r="D309" s="24" t="n">
        <v>1985.56</v>
      </c>
      <c r="E309" s="24" t="n">
        <v>2042.03</v>
      </c>
      <c r="F309" s="24" t="n">
        <v>2142.041</v>
      </c>
      <c r="G309" s="24" t="n">
        <v>2242.018</v>
      </c>
      <c r="H309" s="24" t="n">
        <v>2652.837</v>
      </c>
      <c r="I309" s="24" t="n">
        <v>3114.588</v>
      </c>
      <c r="J309" s="24" t="n">
        <v>3226.674</v>
      </c>
      <c r="K309" s="24" t="n">
        <v>3228.941</v>
      </c>
      <c r="L309" s="24" t="n">
        <v>3289.166</v>
      </c>
      <c r="M309" s="24" t="n">
        <v>3458.274</v>
      </c>
      <c r="N309" s="24" t="n">
        <v>3458.274</v>
      </c>
      <c r="O309" s="24" t="n">
        <v>3458.635</v>
      </c>
      <c r="P309" s="24" t="n">
        <v>3506.635</v>
      </c>
      <c r="Q309" s="24" t="n">
        <v>3453.823</v>
      </c>
      <c r="R309" s="24" t="n">
        <v>3399.511</v>
      </c>
      <c r="S309" s="24" t="n">
        <v>3399.511</v>
      </c>
      <c r="T309" s="24" t="n">
        <v>3125.399</v>
      </c>
      <c r="U309" s="24" t="n">
        <v>3112.611</v>
      </c>
      <c r="V309" s="24" t="n">
        <v>3014.701</v>
      </c>
      <c r="W309" s="24" t="n">
        <v>3029.378</v>
      </c>
      <c r="X309" s="24" t="n">
        <v>3029.378</v>
      </c>
      <c r="Y309" s="24" t="n">
        <v>2963.652</v>
      </c>
      <c r="Z309" s="24" t="n">
        <v>2979.18</v>
      </c>
      <c r="AA309" s="24" t="n">
        <v>3013.984</v>
      </c>
      <c r="AB309" s="24" t="n">
        <v>3037.781</v>
      </c>
      <c r="AC309" s="24" t="n">
        <v>3037.781</v>
      </c>
      <c r="AD309" s="24" t="n">
        <v>3017.873</v>
      </c>
      <c r="AE309" s="24" t="n">
        <v>3121.274</v>
      </c>
      <c r="AF309" s="24" t="n">
        <v>3221.224</v>
      </c>
      <c r="AG309" s="24" t="n">
        <v>3236.321</v>
      </c>
      <c r="AH309" s="24" t="n">
        <v>3236.321</v>
      </c>
      <c r="AI309" s="24" t="n">
        <v>3179.059</v>
      </c>
      <c r="AJ309" s="24" t="n">
        <v>3230.188</v>
      </c>
      <c r="AK309" s="24" t="n">
        <v>3276.071</v>
      </c>
      <c r="AL309" s="24" t="n">
        <v>3255.385</v>
      </c>
      <c r="AM309" s="24" t="n">
        <v>3255.385</v>
      </c>
      <c r="AN309" s="24" t="n">
        <v>3328.802</v>
      </c>
      <c r="AO309" s="24" t="n">
        <v>3426.64</v>
      </c>
      <c r="AP309" s="24" t="n">
        <v>3482.309</v>
      </c>
      <c r="AQ309" s="24" t="n">
        <v>3764.261</v>
      </c>
      <c r="AR309" s="24" t="n">
        <v>3764.261</v>
      </c>
      <c r="AS309" s="24" t="n">
        <v>3631.394</v>
      </c>
      <c r="AT309" s="24" t="n">
        <v>3642.671</v>
      </c>
      <c r="AU309" s="24" t="n">
        <v>3959.78</v>
      </c>
      <c r="AV309" s="24" t="n">
        <v>4021.334</v>
      </c>
      <c r="AW309" s="24" t="n">
        <v>4021.334</v>
      </c>
      <c r="AX309" s="24" t="n">
        <v>3981.05</v>
      </c>
      <c r="AY309" s="24" t="n">
        <v>4084.985</v>
      </c>
      <c r="AZ309" s="24" t="n">
        <v>4083.301</v>
      </c>
      <c r="BA309" s="24" t="n">
        <v>4103.545</v>
      </c>
      <c r="BB309" s="24" t="n">
        <v>4103.545</v>
      </c>
      <c r="BC309" s="24" t="n">
        <v>4089.367</v>
      </c>
      <c r="BD309" s="24" t="n">
        <v>4402.528</v>
      </c>
      <c r="BE309" s="24" t="n">
        <v>4342.162</v>
      </c>
      <c r="BF309" s="24" t="n">
        <v>4449.602</v>
      </c>
      <c r="BG309" s="24" t="n">
        <v>4449.602</v>
      </c>
      <c r="BH309" s="24" t="n">
        <v>4362.125</v>
      </c>
      <c r="BI309" s="24" t="n">
        <v>4441.098</v>
      </c>
      <c r="BJ309" s="24" t="n">
        <v>4413.955</v>
      </c>
      <c r="BK309" s="24" t="n">
        <v>4620.969</v>
      </c>
      <c r="BL309" s="24" t="n">
        <v>4620.969</v>
      </c>
      <c r="BM309" s="24" t="n">
        <v>4612.082</v>
      </c>
      <c r="BN309" s="24" t="n">
        <v>4748.194</v>
      </c>
      <c r="BO309" s="24" t="n">
        <v>4885.738</v>
      </c>
      <c r="BP309" s="24" t="n">
        <v>4985.704</v>
      </c>
      <c r="BQ309" s="24" t="n">
        <v>4985.704</v>
      </c>
      <c r="BR309" s="24" t="n">
        <v>4951.791</v>
      </c>
      <c r="BS309" s="24" t="n">
        <v>5194.475</v>
      </c>
      <c r="BT309" s="24" t="n">
        <v>5102.032</v>
      </c>
      <c r="BU309" s="24" t="n">
        <v>5221.292</v>
      </c>
      <c r="BV309" s="24" t="n">
        <v>5221.292</v>
      </c>
      <c r="BW309" s="24" t="n">
        <v>5270.081</v>
      </c>
      <c r="BX309" s="24" t="n">
        <v>5455.666</v>
      </c>
    </row>
    <row r="310" customFormat="false" ht="15" hidden="false" customHeight="false" outlineLevel="0" collapsed="false">
      <c r="B310" s="20" t="s">
        <v>513</v>
      </c>
      <c r="C310" s="46" t="n">
        <f aca="false">IF(ISNUMBER(C309),ROUND(C287-C309,1),"")</f>
        <v>0</v>
      </c>
      <c r="D310" s="46" t="n">
        <f aca="false">IF(ISNUMBER(D309),ROUND(D287-D309,1),"")</f>
        <v>0</v>
      </c>
      <c r="E310" s="46" t="n">
        <f aca="false">IF(ISNUMBER(E309),ROUND(E287-E309,1),"")</f>
        <v>0</v>
      </c>
      <c r="F310" s="46" t="n">
        <f aca="false">IF(ISNUMBER(F309),ROUND(F287-F309,1),"")</f>
        <v>0</v>
      </c>
      <c r="G310" s="46" t="n">
        <f aca="false">IF(ISNUMBER(G309),ROUND(G287-G309,1),"")</f>
        <v>0</v>
      </c>
      <c r="H310" s="46" t="n">
        <f aca="false">IF(ISNUMBER(H309),ROUND(H287-H309,1),"")</f>
        <v>0</v>
      </c>
      <c r="I310" s="46" t="n">
        <f aca="false">IF(ISNUMBER(I309),ROUND(I287-I309,1),"")</f>
        <v>0</v>
      </c>
      <c r="J310" s="46" t="n">
        <f aca="false">IF(ISNUMBER(J309),ROUND(J287-J309,1),"")</f>
        <v>0</v>
      </c>
      <c r="K310" s="46" t="n">
        <f aca="false">IF(ISNUMBER(K309),ROUND(K287-K309,1),"")</f>
        <v>0</v>
      </c>
      <c r="L310" s="46" t="n">
        <f aca="false">IF(ISNUMBER(L309),ROUND(L287-L309,1),"")</f>
        <v>0</v>
      </c>
      <c r="M310" s="46" t="n">
        <f aca="false">IF(ISNUMBER(M309),ROUND(M287-M309,1),"")</f>
        <v>0</v>
      </c>
      <c r="N310" s="46" t="n">
        <f aca="false">IF(ISNUMBER(N309),ROUND(N287-N309,1),"")</f>
        <v>0</v>
      </c>
      <c r="O310" s="46" t="n">
        <f aca="false">IF(ISNUMBER(O309),ROUND(O287-O309,1),"")</f>
        <v>0</v>
      </c>
      <c r="P310" s="46" t="n">
        <f aca="false">IF(ISNUMBER(P309),ROUND(P287-P309,1),"")</f>
        <v>0</v>
      </c>
      <c r="Q310" s="46" t="n">
        <f aca="false">IF(ISNUMBER(Q309),ROUND(Q287-Q309,1),"")</f>
        <v>0</v>
      </c>
      <c r="R310" s="46" t="n">
        <f aca="false">IF(ISNUMBER(R309),ROUND(R287-R309,1),"")</f>
        <v>0</v>
      </c>
      <c r="S310" s="46" t="n">
        <f aca="false">IF(ISNUMBER(S309),ROUND(S287-S309,1),"")</f>
        <v>0</v>
      </c>
      <c r="T310" s="46" t="n">
        <f aca="false">IF(ISNUMBER(T309),ROUND(T287-T309,1),"")</f>
        <v>0</v>
      </c>
      <c r="U310" s="46" t="n">
        <f aca="false">IF(ISNUMBER(U309),ROUND(U287-U309,1),"")</f>
        <v>0</v>
      </c>
      <c r="V310" s="46" t="n">
        <f aca="false">IF(ISNUMBER(V309),ROUND(V287-V309,1),"")</f>
        <v>0</v>
      </c>
      <c r="W310" s="46" t="n">
        <f aca="false">IF(ISNUMBER(W309),ROUND(W287-W309,1),"")</f>
        <v>0</v>
      </c>
      <c r="X310" s="46" t="n">
        <f aca="false">IF(ISNUMBER(X309),ROUND(X287-X309,1),"")</f>
        <v>0</v>
      </c>
      <c r="Y310" s="46" t="n">
        <f aca="false">IF(ISNUMBER(Y309),ROUND(Y287-Y309,1),"")</f>
        <v>0</v>
      </c>
      <c r="Z310" s="46" t="n">
        <f aca="false">IF(ISNUMBER(Z309),ROUND(Z287-Z309,1),"")</f>
        <v>0</v>
      </c>
      <c r="AA310" s="46" t="n">
        <f aca="false">IF(ISNUMBER(AA309),ROUND(AA287-AA309,1),"")</f>
        <v>0</v>
      </c>
      <c r="AB310" s="46" t="n">
        <f aca="false">IF(ISNUMBER(AB309),ROUND(AB287-AB309,1),"")</f>
        <v>0</v>
      </c>
      <c r="AC310" s="46" t="n">
        <f aca="false">IF(ISNUMBER(AC309),ROUND(AC287-AC309,1),"")</f>
        <v>0</v>
      </c>
      <c r="AD310" s="46" t="n">
        <f aca="false">IF(ISNUMBER(AD309),ROUND(AD287-AD309,1),"")</f>
        <v>0</v>
      </c>
      <c r="AE310" s="46" t="n">
        <f aca="false">IF(ISNUMBER(AE309),ROUND(AE287-AE309,1),"")</f>
        <v>0</v>
      </c>
      <c r="AF310" s="46" t="n">
        <f aca="false">IF(ISNUMBER(AF309),ROUND(AF287-AF309,1),"")</f>
        <v>0</v>
      </c>
      <c r="AG310" s="46" t="n">
        <f aca="false">IF(ISNUMBER(AG309),ROUND(AG287-AG309,1),"")</f>
        <v>0</v>
      </c>
      <c r="AH310" s="46" t="n">
        <f aca="false">IF(ISNUMBER(AH309),ROUND(AH287-AH309,1),"")</f>
        <v>0</v>
      </c>
      <c r="AI310" s="46" t="n">
        <f aca="false">IF(ISNUMBER(AI309),ROUND(AI287-AI309,1),"")</f>
        <v>0</v>
      </c>
      <c r="AJ310" s="46" t="n">
        <f aca="false">IF(ISNUMBER(AJ309),ROUND(AJ287-AJ309,1),"")</f>
        <v>0</v>
      </c>
      <c r="AK310" s="46" t="n">
        <f aca="false">IF(ISNUMBER(AK309),ROUND(AK287-AK309,1),"")</f>
        <v>0</v>
      </c>
      <c r="AL310" s="46" t="n">
        <f aca="false">IF(ISNUMBER(AL309),ROUND(AL287-AL309,1),"")</f>
        <v>0</v>
      </c>
      <c r="AM310" s="46" t="n">
        <f aca="false">IF(ISNUMBER(AM309),ROUND(AM287-AM309,1),"")</f>
        <v>0</v>
      </c>
      <c r="AN310" s="46" t="n">
        <f aca="false">IF(ISNUMBER(AN309),ROUND(AN287-AN309,1),"")</f>
        <v>0</v>
      </c>
      <c r="AO310" s="46" t="n">
        <f aca="false">IF(ISNUMBER(AO309),ROUND(AO287-AO309,1),"")</f>
        <v>0</v>
      </c>
      <c r="AP310" s="46" t="n">
        <f aca="false">IF(ISNUMBER(AP309),ROUND(AP287-AP309,1),"")</f>
        <v>0</v>
      </c>
      <c r="AQ310" s="46" t="n">
        <f aca="false">IF(ISNUMBER(AQ309),ROUND(AQ287-AQ309,1),"")</f>
        <v>0</v>
      </c>
      <c r="AR310" s="46" t="n">
        <f aca="false">IF(ISNUMBER(AR309),ROUND(AR287-AR309,1),"")</f>
        <v>0</v>
      </c>
      <c r="AS310" s="46" t="n">
        <f aca="false">IF(ISNUMBER(AS309),ROUND(AS287-AS309,1),"")</f>
        <v>0</v>
      </c>
      <c r="AT310" s="46" t="n">
        <f aca="false">IF(ISNUMBER(AT309),ROUND(AT287-AT309,1),"")</f>
        <v>0</v>
      </c>
      <c r="AU310" s="46" t="n">
        <f aca="false">IF(ISNUMBER(AU309),ROUND(AU287-AU309,1),"")</f>
        <v>0</v>
      </c>
      <c r="AV310" s="46" t="n">
        <f aca="false">IF(ISNUMBER(AV309),ROUND(AV287-AV309,1),"")</f>
        <v>0</v>
      </c>
      <c r="AW310" s="46" t="n">
        <f aca="false">IF(ISNUMBER(AW309),ROUND(AW287-AW309,1),"")</f>
        <v>0</v>
      </c>
      <c r="AX310" s="46" t="n">
        <f aca="false">IF(ISNUMBER(AX309),ROUND(AX287-AX309,1),"")</f>
        <v>0</v>
      </c>
      <c r="AY310" s="46" t="n">
        <f aca="false">IF(ISNUMBER(AY309),ROUND(AY287-AY309,1),"")</f>
        <v>0</v>
      </c>
      <c r="AZ310" s="46" t="n">
        <f aca="false">IF(ISNUMBER(AZ309),ROUND(AZ287-AZ309,1),"")</f>
        <v>0</v>
      </c>
      <c r="BA310" s="46" t="n">
        <f aca="false">IF(ISNUMBER(BA309),ROUND(BA287-BA309,1),"")</f>
        <v>0</v>
      </c>
      <c r="BB310" s="46" t="n">
        <f aca="false">IF(ISNUMBER(BB309),ROUND(BB287-BB309,1),"")</f>
        <v>0</v>
      </c>
      <c r="BC310" s="46" t="n">
        <f aca="false">IF(ISNUMBER(BC309),ROUND(BC287-BC309,1),"")</f>
        <v>0</v>
      </c>
      <c r="BD310" s="46" t="n">
        <f aca="false">IF(ISNUMBER(BD309),ROUND(BD287-BD309,1),"")</f>
        <v>0</v>
      </c>
      <c r="BE310" s="46" t="n">
        <f aca="false">IF(ISNUMBER(BE309),ROUND(BE287-BE309,1),"")</f>
        <v>0</v>
      </c>
      <c r="BF310" s="46" t="n">
        <f aca="false">IF(ISNUMBER(BF309),ROUND(BF287-BF309,1),"")</f>
        <v>0</v>
      </c>
      <c r="BG310" s="46" t="n">
        <f aca="false">IF(ISNUMBER(BG309),ROUND(BG287-BG309,1),"")</f>
        <v>0</v>
      </c>
      <c r="BH310" s="46" t="n">
        <f aca="false">IF(ISNUMBER(BH309),ROUND(BH287-BH309,1),"")</f>
        <v>0</v>
      </c>
      <c r="BI310" s="46" t="n">
        <f aca="false">IF(ISNUMBER(BI309),ROUND(BI287-BI309,1),"")</f>
        <v>0</v>
      </c>
      <c r="BJ310" s="46" t="n">
        <f aca="false">IF(ISNUMBER(BJ309),ROUND(BJ287-BJ309,1),"")</f>
        <v>0</v>
      </c>
      <c r="BK310" s="46" t="n">
        <f aca="false">IF(ISNUMBER(BK309),ROUND(BK287-BK309,1),"")</f>
        <v>0</v>
      </c>
      <c r="BL310" s="46" t="n">
        <f aca="false">IF(ISNUMBER(BL309),ROUND(BL287-BL309,1),"")</f>
        <v>0</v>
      </c>
      <c r="BM310" s="46" t="n">
        <f aca="false">IF(ISNUMBER(BM309),ROUND(BM287-BM309,1),"")</f>
        <v>0</v>
      </c>
      <c r="BN310" s="46" t="n">
        <f aca="false">IF(ISNUMBER(BN309),ROUND(BN287-BN309,1),"")</f>
        <v>0</v>
      </c>
      <c r="BO310" s="46" t="n">
        <f aca="false">IF(ISNUMBER(BO309),ROUND(BO287-BO309,1),"")</f>
        <v>0</v>
      </c>
      <c r="BP310" s="46" t="n">
        <f aca="false">IF(ISNUMBER(BP309),ROUND(BP287-BP309,1),"")</f>
        <v>0</v>
      </c>
      <c r="BQ310" s="46" t="n">
        <f aca="false">IF(ISNUMBER(BQ309),ROUND(BQ287-BQ309,1),"")</f>
        <v>0</v>
      </c>
      <c r="BR310" s="46" t="n">
        <f aca="false">IF(ISNUMBER(BR309),ROUND(BR287-BR309,1),"")</f>
        <v>0</v>
      </c>
      <c r="BS310" s="46" t="n">
        <f aca="false">IF(ISNUMBER(BS309),ROUND(BS287-BS309,1),"")</f>
        <v>0</v>
      </c>
      <c r="BT310" s="46" t="n">
        <f aca="false">IF(ISNUMBER(BT309),ROUND(BT287-BT309,1),"")</f>
        <v>0</v>
      </c>
      <c r="BU310" s="46" t="n">
        <f aca="false">IF(ISNUMBER(BU309),ROUND(BU287-BU309,1),"")</f>
        <v>0</v>
      </c>
      <c r="BV310" s="46" t="n">
        <f aca="false">IF(ISNUMBER(BV309),ROUND(BV287-BV309,1),"")</f>
        <v>0</v>
      </c>
      <c r="BW310" s="46" t="n">
        <f aca="false">IF(ISNUMBER(BW309),ROUND(BW287-BW309,1),"")</f>
        <v>0</v>
      </c>
      <c r="BX310" s="46" t="n">
        <f aca="false">IF(ISNUMBER(BX309),ROUND(BX287-BX309,1),"")</f>
        <v>0</v>
      </c>
    </row>
    <row r="311" customFormat="false" ht="15" hidden="false" customHeight="false" outlineLevel="0" collapsed="false">
      <c r="B311" s="20" t="s">
        <v>514</v>
      </c>
      <c r="C311" s="46" t="n">
        <f aca="false">IF(AND(ISNUMBER(C276),ISNUMBER(C253)),ROUND(C276-C253,1),"")</f>
        <v>0</v>
      </c>
      <c r="D311" s="46" t="n">
        <f aca="false">IF(AND(ISNUMBER(D276),ISNUMBER(D253)),ROUND(D276-D253,1),"")</f>
        <v>0</v>
      </c>
      <c r="E311" s="46" t="n">
        <f aca="false">IF(AND(ISNUMBER(E276),ISNUMBER(E253)),ROUND(E276-E253,1),"")</f>
        <v>0</v>
      </c>
      <c r="F311" s="46" t="n">
        <f aca="false">IF(AND(ISNUMBER(F276),ISNUMBER(F253)),ROUND(F276-F253,1),"")</f>
        <v>0</v>
      </c>
      <c r="G311" s="46" t="n">
        <f aca="false">IF(AND(ISNUMBER(G276),ISNUMBER(G253)),ROUND(G276-G253,1),"")</f>
        <v>0</v>
      </c>
      <c r="H311" s="46" t="n">
        <f aca="false">IF(AND(ISNUMBER(H276),ISNUMBER(H253)),ROUND(H276-H253,1),"")</f>
        <v>0</v>
      </c>
      <c r="I311" s="46" t="n">
        <f aca="false">IF(AND(ISNUMBER(I276),ISNUMBER(I253)),ROUND(I276-I253,1),"")</f>
        <v>0</v>
      </c>
      <c r="J311" s="46" t="n">
        <f aca="false">IF(AND(ISNUMBER(J276),ISNUMBER(J253)),ROUND(J276-J253,1),"")</f>
        <v>0</v>
      </c>
      <c r="K311" s="46" t="n">
        <f aca="false">IF(AND(ISNUMBER(K276),ISNUMBER(K253)),ROUND(K276-K253,1),"")</f>
        <v>0</v>
      </c>
      <c r="L311" s="46" t="n">
        <f aca="false">IF(AND(ISNUMBER(L276),ISNUMBER(L253)),ROUND(L276-L253,1),"")</f>
        <v>0</v>
      </c>
      <c r="M311" s="46" t="n">
        <f aca="false">IF(AND(ISNUMBER(M276),ISNUMBER(M253)),ROUND(M276-M253,1),"")</f>
        <v>0</v>
      </c>
      <c r="N311" s="46" t="n">
        <f aca="false">IF(AND(ISNUMBER(N276),ISNUMBER(N253)),ROUND(N276-N253,1),"")</f>
        <v>0</v>
      </c>
      <c r="O311" s="46" t="n">
        <f aca="false">IF(AND(ISNUMBER(O276),ISNUMBER(O253)),ROUND(O276-O253,1),"")</f>
        <v>0</v>
      </c>
      <c r="P311" s="46" t="n">
        <f aca="false">IF(AND(ISNUMBER(P276),ISNUMBER(P253)),ROUND(P276-P253,1),"")</f>
        <v>0</v>
      </c>
      <c r="Q311" s="46" t="n">
        <f aca="false">IF(AND(ISNUMBER(Q276),ISNUMBER(Q253)),ROUND(Q276-Q253,1),"")</f>
        <v>0</v>
      </c>
      <c r="R311" s="46" t="n">
        <f aca="false">IF(AND(ISNUMBER(R276),ISNUMBER(R253)),ROUND(R276-R253,1),"")</f>
        <v>0</v>
      </c>
      <c r="S311" s="46" t="n">
        <f aca="false">IF(AND(ISNUMBER(S276),ISNUMBER(S253)),ROUND(S276-S253,1),"")</f>
        <v>0</v>
      </c>
      <c r="T311" s="46" t="n">
        <f aca="false">IF(AND(ISNUMBER(T276),ISNUMBER(T253)),ROUND(T276-T253,1),"")</f>
        <v>0</v>
      </c>
      <c r="U311" s="46" t="n">
        <f aca="false">IF(AND(ISNUMBER(U276),ISNUMBER(U253)),ROUND(U276-U253,1),"")</f>
        <v>0</v>
      </c>
      <c r="V311" s="46" t="n">
        <f aca="false">IF(AND(ISNUMBER(V276),ISNUMBER(V253)),ROUND(V276-V253,1),"")</f>
        <v>0</v>
      </c>
      <c r="W311" s="46" t="n">
        <f aca="false">IF(AND(ISNUMBER(W276),ISNUMBER(W253)),ROUND(W276-W253,1),"")</f>
        <v>0</v>
      </c>
      <c r="X311" s="46" t="n">
        <f aca="false">IF(AND(ISNUMBER(X276),ISNUMBER(X253)),ROUND(X276-X253,1),"")</f>
        <v>0</v>
      </c>
      <c r="Y311" s="46" t="n">
        <f aca="false">IF(AND(ISNUMBER(Y276),ISNUMBER(Y253)),ROUND(Y276-Y253,1),"")</f>
        <v>0</v>
      </c>
      <c r="Z311" s="46" t="n">
        <f aca="false">IF(AND(ISNUMBER(Z276),ISNUMBER(Z253)),ROUND(Z276-Z253,1),"")</f>
        <v>0</v>
      </c>
      <c r="AA311" s="46" t="n">
        <f aca="false">IF(AND(ISNUMBER(AA276),ISNUMBER(AA253)),ROUND(AA276-AA253,1),"")</f>
        <v>0</v>
      </c>
      <c r="AB311" s="46" t="n">
        <f aca="false">IF(AND(ISNUMBER(AB276),ISNUMBER(AB253)),ROUND(AB276-AB253,1),"")</f>
        <v>0</v>
      </c>
      <c r="AC311" s="46" t="n">
        <f aca="false">IF(AND(ISNUMBER(AC276),ISNUMBER(AC253)),ROUND(AC276-AC253,1),"")</f>
        <v>0</v>
      </c>
      <c r="AD311" s="46" t="n">
        <f aca="false">IF(AND(ISNUMBER(AD276),ISNUMBER(AD253)),ROUND(AD276-AD253,1),"")</f>
        <v>0</v>
      </c>
      <c r="AE311" s="46" t="n">
        <f aca="false">IF(AND(ISNUMBER(AE276),ISNUMBER(AE253)),ROUND(AE276-AE253,1),"")</f>
        <v>0</v>
      </c>
      <c r="AF311" s="46" t="n">
        <f aca="false">IF(AND(ISNUMBER(AF276),ISNUMBER(AF253)),ROUND(AF276-AF253,1),"")</f>
        <v>0</v>
      </c>
      <c r="AG311" s="46" t="n">
        <f aca="false">IF(AND(ISNUMBER(AG276),ISNUMBER(AG253)),ROUND(AG276-AG253,1),"")</f>
        <v>0</v>
      </c>
      <c r="AH311" s="46" t="n">
        <f aca="false">IF(AND(ISNUMBER(AH276),ISNUMBER(AH253)),ROUND(AH276-AH253,1),"")</f>
        <v>0</v>
      </c>
      <c r="AI311" s="46" t="n">
        <f aca="false">IF(AND(ISNUMBER(AI276),ISNUMBER(AI253)),ROUND(AI276-AI253,1),"")</f>
        <v>0</v>
      </c>
      <c r="AJ311" s="46" t="n">
        <f aca="false">IF(AND(ISNUMBER(AJ276),ISNUMBER(AJ253)),ROUND(AJ276-AJ253,1),"")</f>
        <v>0</v>
      </c>
      <c r="AK311" s="46" t="n">
        <f aca="false">IF(AND(ISNUMBER(AK276),ISNUMBER(AK253)),ROUND(AK276-AK253,1),"")</f>
        <v>0</v>
      </c>
      <c r="AL311" s="46" t="n">
        <f aca="false">IF(AND(ISNUMBER(AL276),ISNUMBER(AL253)),ROUND(AL276-AL253,1),"")</f>
        <v>0</v>
      </c>
      <c r="AM311" s="46" t="n">
        <f aca="false">IF(AND(ISNUMBER(AM276),ISNUMBER(AM253)),ROUND(AM276-AM253,1),"")</f>
        <v>0</v>
      </c>
      <c r="AN311" s="46" t="n">
        <f aca="false">IF(AND(ISNUMBER(AN276),ISNUMBER(AN253)),ROUND(AN276-AN253,1),"")</f>
        <v>0</v>
      </c>
      <c r="AO311" s="46" t="n">
        <f aca="false">IF(AND(ISNUMBER(AO276),ISNUMBER(AO253)),ROUND(AO276-AO253,1),"")</f>
        <v>0</v>
      </c>
      <c r="AP311" s="46" t="n">
        <f aca="false">IF(AND(ISNUMBER(AP276),ISNUMBER(AP253)),ROUND(AP276-AP253,1),"")</f>
        <v>0</v>
      </c>
      <c r="AQ311" s="46" t="n">
        <f aca="false">IF(AND(ISNUMBER(AQ276),ISNUMBER(AQ253)),ROUND(AQ276-AQ253,1),"")</f>
        <v>0</v>
      </c>
      <c r="AR311" s="46" t="n">
        <f aca="false">IF(AND(ISNUMBER(AR276),ISNUMBER(AR253)),ROUND(AR276-AR253,1),"")</f>
        <v>0</v>
      </c>
      <c r="AS311" s="46" t="n">
        <f aca="false">IF(AND(ISNUMBER(AS276),ISNUMBER(AS253)),ROUND(AS276-AS253,1),"")</f>
        <v>0</v>
      </c>
      <c r="AT311" s="46" t="n">
        <f aca="false">IF(AND(ISNUMBER(AT276),ISNUMBER(AT253)),ROUND(AT276-AT253,1),"")</f>
        <v>0</v>
      </c>
      <c r="AU311" s="46" t="n">
        <f aca="false">IF(AND(ISNUMBER(AU276),ISNUMBER(AU253)),ROUND(AU276-AU253,1),"")</f>
        <v>0</v>
      </c>
      <c r="AV311" s="46" t="n">
        <f aca="false">IF(AND(ISNUMBER(AV276),ISNUMBER(AV253)),ROUND(AV276-AV253,1),"")</f>
        <v>0</v>
      </c>
      <c r="AW311" s="46" t="n">
        <f aca="false">IF(AND(ISNUMBER(AW276),ISNUMBER(AW253)),ROUND(AW276-AW253,1),"")</f>
        <v>0</v>
      </c>
      <c r="AX311" s="46" t="n">
        <f aca="false">IF(AND(ISNUMBER(AX276),ISNUMBER(AX253)),ROUND(AX276-AX253,1),"")</f>
        <v>0</v>
      </c>
      <c r="AY311" s="46" t="n">
        <f aca="false">IF(AND(ISNUMBER(AY276),ISNUMBER(AY253)),ROUND(AY276-AY253,1),"")</f>
        <v>0</v>
      </c>
      <c r="AZ311" s="46" t="n">
        <f aca="false">IF(AND(ISNUMBER(AZ276),ISNUMBER(AZ253)),ROUND(AZ276-AZ253,1),"")</f>
        <v>0</v>
      </c>
      <c r="BA311" s="46" t="n">
        <f aca="false">IF(AND(ISNUMBER(BA276),ISNUMBER(BA253)),ROUND(BA276-BA253,1),"")</f>
        <v>0</v>
      </c>
      <c r="BB311" s="46" t="n">
        <f aca="false">IF(AND(ISNUMBER(BB276),ISNUMBER(BB253)),ROUND(BB276-BB253,1),"")</f>
        <v>0</v>
      </c>
      <c r="BC311" s="46" t="n">
        <f aca="false">IF(AND(ISNUMBER(BC276),ISNUMBER(BC253)),ROUND(BC276-BC253,1),"")</f>
        <v>0</v>
      </c>
      <c r="BD311" s="46" t="n">
        <f aca="false">IF(AND(ISNUMBER(BD276),ISNUMBER(BD253)),ROUND(BD276-BD253,1),"")</f>
        <v>0</v>
      </c>
      <c r="BE311" s="46" t="n">
        <f aca="false">IF(AND(ISNUMBER(BE276),ISNUMBER(BE253)),ROUND(BE276-BE253,1),"")</f>
        <v>0</v>
      </c>
      <c r="BF311" s="46" t="n">
        <f aca="false">IF(AND(ISNUMBER(BF276),ISNUMBER(BF253)),ROUND(BF276-BF253,1),"")</f>
        <v>0</v>
      </c>
      <c r="BG311" s="46" t="n">
        <f aca="false">IF(AND(ISNUMBER(BG276),ISNUMBER(BG253)),ROUND(BG276-BG253,1),"")</f>
        <v>0</v>
      </c>
      <c r="BH311" s="46" t="n">
        <f aca="false">IF(AND(ISNUMBER(BH276),ISNUMBER(BH253)),ROUND(BH276-BH253,1),"")</f>
        <v>0</v>
      </c>
      <c r="BI311" s="46" t="n">
        <f aca="false">IF(AND(ISNUMBER(BI276),ISNUMBER(BI253)),ROUND(BI276-BI253,1),"")</f>
        <v>0</v>
      </c>
      <c r="BJ311" s="46" t="n">
        <f aca="false">IF(AND(ISNUMBER(BJ276),ISNUMBER(BJ253)),ROUND(BJ276-BJ253,1),"")</f>
        <v>0</v>
      </c>
      <c r="BK311" s="46" t="n">
        <f aca="false">IF(AND(ISNUMBER(BK276),ISNUMBER(BK253)),ROUND(BK276-BK253,1),"")</f>
        <v>0</v>
      </c>
      <c r="BL311" s="46" t="n">
        <f aca="false">IF(AND(ISNUMBER(BL276),ISNUMBER(BL253)),ROUND(BL276-BL253,1),"")</f>
        <v>0</v>
      </c>
      <c r="BM311" s="46" t="n">
        <f aca="false">IF(AND(ISNUMBER(BM276),ISNUMBER(BM253)),ROUND(BM276-BM253,1),"")</f>
        <v>0</v>
      </c>
      <c r="BN311" s="46" t="n">
        <f aca="false">IF(AND(ISNUMBER(BN276),ISNUMBER(BN253)),ROUND(BN276-BN253,1),"")</f>
        <v>0</v>
      </c>
      <c r="BO311" s="46" t="n">
        <f aca="false">IF(AND(ISNUMBER(BO276),ISNUMBER(BO253)),ROUND(BO276-BO253,1),"")</f>
        <v>0</v>
      </c>
      <c r="BP311" s="46" t="n">
        <f aca="false">IF(AND(ISNUMBER(BP276),ISNUMBER(BP253)),ROUND(BP276-BP253,1),"")</f>
        <v>0</v>
      </c>
      <c r="BQ311" s="46" t="n">
        <f aca="false">IF(AND(ISNUMBER(BQ276),ISNUMBER(BQ253)),ROUND(BQ276-BQ253,1),"")</f>
        <v>0</v>
      </c>
      <c r="BR311" s="46" t="n">
        <f aca="false">IF(AND(ISNUMBER(BR276),ISNUMBER(BR253)),ROUND(BR276-BR253,1),"")</f>
        <v>0</v>
      </c>
      <c r="BS311" s="46" t="n">
        <f aca="false">IF(AND(ISNUMBER(BS276),ISNUMBER(BS253)),ROUND(BS276-BS253,1),"")</f>
        <v>0</v>
      </c>
      <c r="BT311" s="46" t="n">
        <f aca="false">IF(AND(ISNUMBER(BT276),ISNUMBER(BT253)),ROUND(BT276-BT253,1),"")</f>
        <v>0</v>
      </c>
      <c r="BU311" s="46" t="n">
        <f aca="false">IF(AND(ISNUMBER(BU276),ISNUMBER(BU253)),ROUND(BU276-BU253,1),"")</f>
        <v>0</v>
      </c>
      <c r="BV311" s="46" t="n">
        <f aca="false">IF(AND(ISNUMBER(BV276),ISNUMBER(BV253)),ROUND(BV276-BV253,1),"")</f>
        <v>0</v>
      </c>
      <c r="BW311" s="46" t="n">
        <f aca="false">IF(AND(ISNUMBER(BW276),ISNUMBER(BW253)),ROUND(BW276-BW253,1),"")</f>
        <v>0</v>
      </c>
      <c r="BX311" s="46" t="n">
        <f aca="false">IF(AND(ISNUMBER(BX276),ISNUMBER(BX253)),ROUND(BX276-BX253,1),"")</f>
        <v>0</v>
      </c>
      <c r="CA311" s="25" t="n">
        <f aca="false">IF(AND(ISNUMBER(CA276),ISNUMBER(CA253)),ROUND(CA276-CA253,1),"")</f>
        <v>0</v>
      </c>
      <c r="CB311" s="25" t="n">
        <f aca="false">IF(AND(ISNUMBER(CB276),ISNUMBER(CB253)),ROUND(CB276-CB253,1),"")</f>
        <v>0</v>
      </c>
      <c r="CC311" s="25" t="n">
        <f aca="false">IF(AND(ISNUMBER(CC276),ISNUMBER(CC253)),ROUND(CC276-CC253,1),"")</f>
        <v>0</v>
      </c>
      <c r="CD311" s="25" t="n">
        <f aca="false">IF(AND(ISNUMBER(CD276),ISNUMBER(CD253)),ROUND(CD276-CD253,1),"")</f>
        <v>0</v>
      </c>
      <c r="CE311" s="25" t="n">
        <f aca="false">IF(AND(ISNUMBER(CE276),ISNUMBER(CE253)),ROUND(CE276-CE253,1),"")</f>
        <v>0</v>
      </c>
    </row>
    <row r="312" customFormat="false" ht="15" hidden="false" customHeight="false" outlineLevel="0" collapsed="false">
      <c r="B312" s="20" t="s">
        <v>515</v>
      </c>
      <c r="C312" s="61" t="n">
        <v>44.02341</v>
      </c>
      <c r="D312" s="61" t="n">
        <v>44.593011</v>
      </c>
      <c r="E312" s="61" t="n">
        <v>45.064839</v>
      </c>
      <c r="F312" s="61" t="n">
        <v>45.624179</v>
      </c>
      <c r="G312" s="61" t="n">
        <v>46.133766</v>
      </c>
      <c r="H312" s="61" t="n">
        <v>46.484723</v>
      </c>
      <c r="I312" s="61" t="n">
        <v>46.449934</v>
      </c>
      <c r="M312" s="61" t="n">
        <v>47.638835</v>
      </c>
      <c r="N312" s="61" t="n">
        <v>47.638835</v>
      </c>
      <c r="O312" s="61" t="n">
        <v>48.272665</v>
      </c>
      <c r="P312" s="61" t="n">
        <v>48.134633</v>
      </c>
      <c r="Q312" s="61" t="n">
        <v>48.024062</v>
      </c>
      <c r="R312" s="61" t="n">
        <v>47.904518</v>
      </c>
      <c r="S312" s="61" t="n">
        <v>47.904518</v>
      </c>
      <c r="T312" s="61" t="n">
        <v>47.555199</v>
      </c>
      <c r="U312" s="61" t="n">
        <v>46.924807</v>
      </c>
      <c r="V312" s="61" t="n">
        <v>45.720926</v>
      </c>
      <c r="W312" s="61" t="n">
        <v>44.621348</v>
      </c>
      <c r="X312" s="61" t="n">
        <v>44.621348</v>
      </c>
      <c r="Y312" s="61" t="n">
        <v>44.599746</v>
      </c>
      <c r="Z312" s="61" t="n">
        <v>44.422803</v>
      </c>
      <c r="AA312" s="61" t="n">
        <v>44.422803</v>
      </c>
      <c r="AB312" s="61" t="n">
        <v>44.18105</v>
      </c>
      <c r="AC312" s="61" t="n">
        <v>44.18105</v>
      </c>
      <c r="AD312" s="61" t="n">
        <v>44.284573</v>
      </c>
      <c r="AE312" s="61" t="n">
        <v>44.137906</v>
      </c>
      <c r="AF312" s="61" t="n">
        <v>44.129363</v>
      </c>
      <c r="AG312" s="61" t="n">
        <v>44.123519</v>
      </c>
      <c r="AH312" s="61" t="n">
        <v>44.123519</v>
      </c>
      <c r="AI312" s="61" t="n">
        <v>44.23528</v>
      </c>
      <c r="AJ312" s="61" t="n">
        <v>43.981463</v>
      </c>
      <c r="AK312" s="61" t="n">
        <v>43.790207</v>
      </c>
      <c r="AL312" s="61" t="n">
        <v>42.772417</v>
      </c>
      <c r="AM312" s="61" t="n">
        <v>42.772417</v>
      </c>
      <c r="AN312" s="61" t="n">
        <v>42.801008</v>
      </c>
      <c r="AO312" s="61" t="n">
        <v>42.715831</v>
      </c>
      <c r="AP312" s="61" t="n">
        <v>42.689253</v>
      </c>
      <c r="AQ312" s="61" t="n">
        <v>42.680215</v>
      </c>
      <c r="AR312" s="61" t="n">
        <v>42.680215</v>
      </c>
      <c r="AS312" s="61" t="n">
        <v>41.693422</v>
      </c>
      <c r="AU312" s="61" t="n">
        <v>41.502026</v>
      </c>
      <c r="AV312" s="61" t="n">
        <v>40.916429</v>
      </c>
      <c r="AW312" s="61" t="n">
        <v>40.916429</v>
      </c>
      <c r="AX312" s="61" t="n">
        <v>40.943314</v>
      </c>
      <c r="AY312" s="61" t="n">
        <v>40.871691</v>
      </c>
      <c r="AZ312" s="61" t="n">
        <v>40.473516</v>
      </c>
      <c r="BA312" s="61" t="n">
        <v>38.469778</v>
      </c>
      <c r="BB312" s="61" t="n">
        <v>38.469778</v>
      </c>
      <c r="BC312" s="61" t="n">
        <v>38.471738</v>
      </c>
      <c r="BD312" s="61" t="n">
        <v>38.381875</v>
      </c>
      <c r="BE312" s="61" t="n">
        <v>38.334223</v>
      </c>
      <c r="BF312" s="61" t="n">
        <v>38.259722</v>
      </c>
      <c r="BG312" s="61" t="n">
        <v>38.259722</v>
      </c>
      <c r="BH312" s="61" t="n">
        <v>38.364387</v>
      </c>
      <c r="BI312" s="61" t="n">
        <v>38.292332</v>
      </c>
      <c r="BJ312" s="61" t="n">
        <v>38.263012</v>
      </c>
      <c r="BK312" s="61" t="n">
        <v>38.202754</v>
      </c>
      <c r="BL312" s="61" t="n">
        <v>38.202754</v>
      </c>
      <c r="BM312" s="61" t="n">
        <v>38.315999</v>
      </c>
      <c r="BN312" s="61" t="n">
        <v>38.289678</v>
      </c>
      <c r="BO312" s="61" t="n">
        <v>37.960122</v>
      </c>
      <c r="BP312" s="61" t="n">
        <v>37.650645</v>
      </c>
      <c r="BQ312" s="61" t="n">
        <v>37.650645</v>
      </c>
      <c r="BR312" s="61" t="n">
        <v>37.726076</v>
      </c>
      <c r="BS312" s="61" t="n">
        <v>37.673073</v>
      </c>
      <c r="BT312" s="61" t="n">
        <v>37.107195</v>
      </c>
      <c r="BU312" s="61" t="n">
        <v>36.859333</v>
      </c>
      <c r="BV312" s="61" t="n">
        <v>36.859333</v>
      </c>
      <c r="BW312" s="61" t="n">
        <v>36.948116</v>
      </c>
      <c r="BX312" s="61" t="n">
        <v>36.931138</v>
      </c>
      <c r="CA312" s="59" t="n">
        <f aca="false">CA270</f>
        <v>36.4798802134838</v>
      </c>
      <c r="CB312" s="59" t="n">
        <f aca="false">CB270</f>
        <v>35.9677410350786</v>
      </c>
      <c r="CC312" s="59" t="n">
        <f aca="false">CC270</f>
        <v>35.5271789850653</v>
      </c>
      <c r="CD312" s="59" t="n">
        <f aca="false">CD270</f>
        <v>35.0201161796063</v>
      </c>
      <c r="CE312" s="59" t="n">
        <f aca="false">CE270</f>
        <v>34.4564702978151</v>
      </c>
    </row>
    <row r="314" customFormat="false" ht="15" hidden="false" customHeight="false" outlineLevel="0" collapsed="false">
      <c r="B314" s="8" t="s">
        <v>516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8" t="s">
        <v>517</v>
      </c>
    </row>
    <row r="315" customFormat="false" ht="15" hidden="false" customHeight="false" outlineLevel="0" collapsed="false">
      <c r="B315" s="20" t="s">
        <v>518</v>
      </c>
      <c r="C315" s="39" t="n">
        <f aca="false">IF(AND(ISNUMBER(C277),ISNUMBER(C114)),IFERROR(C277/C114*365,""),"")</f>
        <v>81.0685993503126</v>
      </c>
      <c r="D315" s="39" t="n">
        <f aca="false">IF(AND(ISNUMBER(D277),ISNUMBER(D114)),IFERROR(D277/D114*365,""),"")</f>
        <v>90.0778268526823</v>
      </c>
      <c r="E315" s="39" t="n">
        <f aca="false">IF(AND(ISNUMBER(E277),ISNUMBER(E114)),IFERROR(E277/E114*365,""),"")</f>
        <v>78.9095560995334</v>
      </c>
      <c r="F315" s="39" t="n">
        <f aca="false">IF(AND(ISNUMBER(F277),ISNUMBER(F114)),IFERROR(F277/F114*365,""),"")</f>
        <v>81.592280998403</v>
      </c>
      <c r="G315" s="39" t="n">
        <f aca="false">IF(AND(ISNUMBER(G277),ISNUMBER(G114)),IFERROR(G277/G114*365,""),"")</f>
        <v>89.0035676291272</v>
      </c>
      <c r="H315" s="39" t="n">
        <f aca="false">IF(AND(ISNUMBER(H277),ISNUMBER(H114)),IFERROR(H277/H114*365,""),"")</f>
        <v>98.8007039476567</v>
      </c>
      <c r="I315" s="39" t="n">
        <f aca="false">IF(AND(ISNUMBER(I277),ISNUMBER(I114)),IFERROR(I277/I114*365,""),"")</f>
        <v>100.62574962483</v>
      </c>
      <c r="J315" s="39" t="n">
        <f aca="false">IF(AND(ISNUMBER(J277),ISNUMBER(J114)),IFERROR(J277/J114*91.25,""),"")</f>
        <v>91.3339081167631</v>
      </c>
      <c r="K315" s="39" t="n">
        <f aca="false">IF(AND(ISNUMBER(K277),ISNUMBER(K114)),IFERROR(K277/K114*91.25,""),"")</f>
        <v>85.7209638538613</v>
      </c>
      <c r="L315" s="39" t="n">
        <f aca="false">IF(AND(ISNUMBER(L277),ISNUMBER(L114)),IFERROR(L277/L114*91.25,""),"")</f>
        <v>86.1748418841055</v>
      </c>
      <c r="M315" s="39" t="n">
        <f aca="false">IF(AND(ISNUMBER(M277),ISNUMBER(M114)),IFERROR(M277/M114*91.25,""),"")</f>
        <v>78.712889257285</v>
      </c>
      <c r="N315" s="39" t="n">
        <f aca="false">IF(AND(ISNUMBER(N277),ISNUMBER(N114)),IFERROR(N277/N114*365,""),"")</f>
        <v>87.7463854728289</v>
      </c>
      <c r="O315" s="39" t="n">
        <f aca="false">IF(AND(ISNUMBER(O277),ISNUMBER(O114)),IFERROR(O277/O114*91.25,""),"")</f>
        <v>87.9787757322906</v>
      </c>
      <c r="P315" s="39" t="n">
        <f aca="false">IF(AND(ISNUMBER(P277),ISNUMBER(P114)),IFERROR(P277/P114*91.25,""),"")</f>
        <v>86.90925730935</v>
      </c>
      <c r="Q315" s="39" t="n">
        <f aca="false">IF(AND(ISNUMBER(Q277),ISNUMBER(Q114)),IFERROR(Q277/Q114*91.25,""),"")</f>
        <v>88.0116095972432</v>
      </c>
      <c r="R315" s="39" t="n">
        <f aca="false">IF(AND(ISNUMBER(R277),ISNUMBER(R114)),IFERROR(R277/R114*91.25,""),"")</f>
        <v>78.9620249185275</v>
      </c>
      <c r="S315" s="39" t="n">
        <f aca="false">IF(AND(ISNUMBER(S277),ISNUMBER(S114)),IFERROR(S277/S114*365,""),"")</f>
        <v>80.6241825024542</v>
      </c>
      <c r="T315" s="39" t="n">
        <f aca="false">IF(AND(ISNUMBER(T277),ISNUMBER(T114)),IFERROR(T277/T114*91.25,""),"")</f>
        <v>82.8667459112888</v>
      </c>
      <c r="U315" s="39" t="n">
        <f aca="false">IF(AND(ISNUMBER(U277),ISNUMBER(U114)),IFERROR(U277/U114*91.25,""),"")</f>
        <v>100.273338481348</v>
      </c>
      <c r="V315" s="39" t="n">
        <f aca="false">IF(AND(ISNUMBER(V277),ISNUMBER(V114)),IFERROR(V277/V114*91.25,""),"")</f>
        <v>93.5499372068464</v>
      </c>
      <c r="W315" s="39" t="n">
        <f aca="false">IF(AND(ISNUMBER(W277),ISNUMBER(W114)),IFERROR(W277/W114*91.25,""),"")</f>
        <v>87.768038063371</v>
      </c>
      <c r="X315" s="39" t="n">
        <f aca="false">IF(AND(ISNUMBER(X277),ISNUMBER(X114)),IFERROR(X277/X114*365,""),"")</f>
        <v>93.7104221232154</v>
      </c>
      <c r="Y315" s="39" t="n">
        <f aca="false">IF(AND(ISNUMBER(Y277),ISNUMBER(Y114)),IFERROR(Y277/Y114*91.25,""),"")</f>
        <v>87.3102657957089</v>
      </c>
      <c r="Z315" s="39" t="n">
        <f aca="false">IF(AND(ISNUMBER(Z277),ISNUMBER(Z114)),IFERROR(Z277/Z114*91.25,""),"")</f>
        <v>81.7017086300552</v>
      </c>
      <c r="AA315" s="39" t="n">
        <f aca="false">IF(AND(ISNUMBER(AA277),ISNUMBER(AA114)),IFERROR(AA277/AA114*91.25,""),"")</f>
        <v>83.1365215779385</v>
      </c>
      <c r="AB315" s="39" t="n">
        <f aca="false">IF(AND(ISNUMBER(AB277),ISNUMBER(AB114)),IFERROR(AB277/AB114*91.25,""),"")</f>
        <v>74.7117179957777</v>
      </c>
      <c r="AC315" s="39" t="n">
        <f aca="false">IF(AND(ISNUMBER(AC277),ISNUMBER(AC114)),IFERROR(AC277/AC114*365,""),"")</f>
        <v>80.1437458124519</v>
      </c>
      <c r="AD315" s="39" t="n">
        <f aca="false">IF(AND(ISNUMBER(AD277),ISNUMBER(AD114)),IFERROR(AD277/AD114*91.25,""),"")</f>
        <v>83.0441556482063</v>
      </c>
      <c r="AE315" s="39" t="n">
        <f aca="false">IF(AND(ISNUMBER(AE277),ISNUMBER(AE114)),IFERROR(AE277/AE114*91.25,""),"")</f>
        <v>80.7310275819911</v>
      </c>
      <c r="AF315" s="39" t="n">
        <f aca="false">IF(AND(ISNUMBER(AF277),ISNUMBER(AF114)),IFERROR(AF277/AF114*91.25,""),"")</f>
        <v>82.9051146238517</v>
      </c>
      <c r="AG315" s="39" t="n">
        <f aca="false">IF(AND(ISNUMBER(AG277),ISNUMBER(AG114)),IFERROR(AG277/AG114*91.25,""),"")</f>
        <v>73.80801781719</v>
      </c>
      <c r="AH315" s="39" t="n">
        <f aca="false">IF(AND(ISNUMBER(AH277),ISNUMBER(AH114)),IFERROR(AH277/AH114*365,""),"")</f>
        <v>79.5441773894266</v>
      </c>
      <c r="AI315" s="39" t="n">
        <f aca="false">IF(AND(ISNUMBER(AI277),ISNUMBER(AI114)),IFERROR(AI277/AI114*91.25,""),"")</f>
        <v>86.4605257870917</v>
      </c>
      <c r="AJ315" s="39" t="n">
        <f aca="false">IF(AND(ISNUMBER(AJ277),ISNUMBER(AJ114)),IFERROR(AJ277/AJ114*91.25,""),"")</f>
        <v>84.6072492576149</v>
      </c>
      <c r="AK315" s="39" t="n">
        <f aca="false">IF(AND(ISNUMBER(AK277),ISNUMBER(AK114)),IFERROR(AK277/AK114*91.25,""),"")</f>
        <v>94.3159686123283</v>
      </c>
      <c r="AL315" s="39" t="n">
        <f aca="false">IF(AND(ISNUMBER(AL277),ISNUMBER(AL114)),IFERROR(AL277/AL114*91.25,""),"")</f>
        <v>83.5311533528003</v>
      </c>
      <c r="AM315" s="39" t="n">
        <f aca="false">IF(AND(ISNUMBER(AM277),ISNUMBER(AM114)),IFERROR(AM277/AM114*365,""),"")</f>
        <v>89.8571316031155</v>
      </c>
      <c r="AN315" s="39" t="n">
        <f aca="false">IF(AND(ISNUMBER(AN277),ISNUMBER(AN114)),IFERROR(AN277/AN114*91.25,""),"")</f>
        <v>93.3403522999616</v>
      </c>
      <c r="AO315" s="39" t="n">
        <f aca="false">IF(AND(ISNUMBER(AO277),ISNUMBER(AO114)),IFERROR(AO277/AO114*91.25,""),"")</f>
        <v>90.8304472954447</v>
      </c>
      <c r="AP315" s="39" t="n">
        <f aca="false">IF(AND(ISNUMBER(AP277),ISNUMBER(AP114)),IFERROR(AP277/AP114*91.25,""),"")</f>
        <v>95.593754065834</v>
      </c>
      <c r="AQ315" s="39" t="n">
        <f aca="false">IF(AND(ISNUMBER(AQ277),ISNUMBER(AQ114)),IFERROR(AQ277/AQ114*91.25,""),"")</f>
        <v>87.9692796723247</v>
      </c>
      <c r="AR315" s="39" t="n">
        <f aca="false">IF(AND(ISNUMBER(AR277),ISNUMBER(AR114)),IFERROR(AR277/AR114*365,""),"")</f>
        <v>92.7469562424813</v>
      </c>
      <c r="AS315" s="39" t="n">
        <f aca="false">IF(AND(ISNUMBER(AS277),ISNUMBER(AS114)),IFERROR(AS277/AS114*91.25,""),"")</f>
        <v>95.711336408136</v>
      </c>
      <c r="AT315" s="39" t="n">
        <f aca="false">IF(AND(ISNUMBER(AT277),ISNUMBER(AT114)),IFERROR(AT277/AT114*91.25,""),"")</f>
        <v>99.2615631027894</v>
      </c>
      <c r="AU315" s="39" t="n">
        <f aca="false">IF(AND(ISNUMBER(AU277),ISNUMBER(AU114)),IFERROR(AU277/AU114*91.25,""),"")</f>
        <v>101.359728768015</v>
      </c>
      <c r="AV315" s="39" t="n">
        <f aca="false">IF(AND(ISNUMBER(AV277),ISNUMBER(AV114)),IFERROR(AV277/AV114*91.25,""),"")</f>
        <v>80.3665191100526</v>
      </c>
      <c r="AW315" s="39" t="n">
        <f aca="false">IF(AND(ISNUMBER(AW277),ISNUMBER(AW114)),IFERROR(AW277/AW114*365,""),"")</f>
        <v>89.8585853263615</v>
      </c>
      <c r="AX315" s="39" t="n">
        <f aca="false">IF(AND(ISNUMBER(AX277),ISNUMBER(AX114)),IFERROR(AX277/AX114*91.25,""),"")</f>
        <v>94.3738956284052</v>
      </c>
      <c r="AY315" s="39" t="n">
        <f aca="false">IF(AND(ISNUMBER(AY277),ISNUMBER(AY114)),IFERROR(AY277/AY114*91.25,""),"")</f>
        <v>94.5673275730296</v>
      </c>
      <c r="AZ315" s="39" t="n">
        <f aca="false">IF(AND(ISNUMBER(AZ277),ISNUMBER(AZ114)),IFERROR(AZ277/AZ114*91.25,""),"")</f>
        <v>98.6379948889737</v>
      </c>
      <c r="BA315" s="39" t="n">
        <f aca="false">IF(AND(ISNUMBER(BA277),ISNUMBER(BA114)),IFERROR(BA277/BA114*91.25,""),"")</f>
        <v>88.5662489238974</v>
      </c>
      <c r="BB315" s="39" t="n">
        <f aca="false">IF(AND(ISNUMBER(BB277),ISNUMBER(BB114)),IFERROR(BB277/BB114*365,""),"")</f>
        <v>94.2599856101385</v>
      </c>
      <c r="BC315" s="39" t="n">
        <f aca="false">IF(AND(ISNUMBER(BC277),ISNUMBER(BC114)),IFERROR(BC277/BC114*91.25,""),"")</f>
        <v>107.832398058131</v>
      </c>
      <c r="BD315" s="39" t="n">
        <f aca="false">IF(AND(ISNUMBER(BD277),ISNUMBER(BD114)),IFERROR(BD277/BD114*91.25,""),"")</f>
        <v>104.76850187985</v>
      </c>
      <c r="BE315" s="39" t="n">
        <f aca="false">IF(AND(ISNUMBER(BE277),ISNUMBER(BE114)),IFERROR(BE277/BE114*91.25,""),"")</f>
        <v>103.268727539165</v>
      </c>
      <c r="BF315" s="39" t="n">
        <f aca="false">IF(AND(ISNUMBER(BF277),ISNUMBER(BF114)),IFERROR(BF277/BF114*91.25,""),"")</f>
        <v>87.2681511617931</v>
      </c>
      <c r="BG315" s="39" t="n">
        <f aca="false">IF(AND(ISNUMBER(BG277),ISNUMBER(BG114)),IFERROR(BG277/BG114*365,""),"")</f>
        <v>103.43273726303</v>
      </c>
      <c r="BH315" s="39" t="n">
        <f aca="false">IF(AND(ISNUMBER(BH277),ISNUMBER(BH114)),IFERROR(BH277/BH114*91.25,""),"")</f>
        <v>104.179421741749</v>
      </c>
      <c r="BI315" s="39" t="n">
        <f aca="false">IF(AND(ISNUMBER(BI277),ISNUMBER(BI114)),IFERROR(BI277/BI114*91.25,""),"")</f>
        <v>97.3561675534785</v>
      </c>
      <c r="BJ315" s="39" t="n">
        <f aca="false">IF(AND(ISNUMBER(BJ277),ISNUMBER(BJ114)),IFERROR(BJ277/BJ114*91.25,""),"")</f>
        <v>99.5656341205479</v>
      </c>
      <c r="BK315" s="39" t="n">
        <f aca="false">IF(AND(ISNUMBER(BK277),ISNUMBER(BK114)),IFERROR(BK277/BK114*91.25,""),"")</f>
        <v>85.0822515147157</v>
      </c>
      <c r="BL315" s="39" t="n">
        <f aca="false">IF(AND(ISNUMBER(BL277),ISNUMBER(BL114)),IFERROR(BL277/BL114*365,""),"")</f>
        <v>93.9867883753729</v>
      </c>
      <c r="BM315" s="39" t="n">
        <f aca="false">IF(AND(ISNUMBER(BM277),ISNUMBER(BM114)),IFERROR(BM277/BM114*91.25,""),"")</f>
        <v>99.3742103883102</v>
      </c>
      <c r="BN315" s="39" t="n">
        <f aca="false">IF(AND(ISNUMBER(BN277),ISNUMBER(BN114)),IFERROR(BN277/BN114*91.25,""),"")</f>
        <v>95.0107337494951</v>
      </c>
      <c r="BO315" s="39" t="n">
        <f aca="false">IF(AND(ISNUMBER(BO277),ISNUMBER(BO114)),IFERROR(BO277/BO114*91.25,""),"")</f>
        <v>97.9540797678861</v>
      </c>
      <c r="BP315" s="39" t="n">
        <f aca="false">IF(AND(ISNUMBER(BP277),ISNUMBER(BP114)),IFERROR(BP277/BP114*91.25,""),"")</f>
        <v>92.4371279477577</v>
      </c>
      <c r="BQ315" s="39" t="n">
        <f aca="false">IF(AND(ISNUMBER(BQ277),ISNUMBER(BQ114)),IFERROR(BQ277/BQ114*365,""),"")</f>
        <v>97.6514094468486</v>
      </c>
      <c r="BR315" s="39" t="n">
        <f aca="false">IF(AND(ISNUMBER(BR277),ISNUMBER(BR114)),IFERROR(BR277/BR114*91.25,""),"")</f>
        <v>103.21830489856</v>
      </c>
      <c r="BS315" s="39" t="n">
        <f aca="false">IF(AND(ISNUMBER(BS277),ISNUMBER(BS114)),IFERROR(BS277/BS114*91.25,""),"")</f>
        <v>100.100951029916</v>
      </c>
      <c r="BT315" s="39" t="n">
        <f aca="false">IF(AND(ISNUMBER(BT277),ISNUMBER(BT114)),IFERROR(BT277/BT114*91.25,""),"")</f>
        <v>102.558482517804</v>
      </c>
      <c r="BU315" s="39" t="n">
        <f aca="false">IF(AND(ISNUMBER(BU277),ISNUMBER(BU114)),IFERROR(BU277/BU114*91.25,""),"")</f>
        <v>89.8395955145879</v>
      </c>
      <c r="BV315" s="39" t="n">
        <f aca="false">IF(AND(ISNUMBER(BV277),ISNUMBER(BV114)),IFERROR(BV277/BV114*365,""),"")</f>
        <v>97.2754069607235</v>
      </c>
      <c r="BW315" s="39" t="n">
        <f aca="false">IF(AND(ISNUMBER(BW277),ISNUMBER(BW114)),IFERROR(BW277/BW114*91.25,""),"")</f>
        <v>99.5036634536773</v>
      </c>
      <c r="BX315" s="39" t="n">
        <f aca="false">IF(AND(ISNUMBER(BX277),ISNUMBER(BX114)),IFERROR(BX277/BX114*91.25,""),"")</f>
        <v>98.4928566635787</v>
      </c>
      <c r="CA315" s="29" t="n">
        <f aca="false">(BX277+CA316-CA97)*365/CA114</f>
        <v>90.8198934685995</v>
      </c>
      <c r="CB315" s="29" t="n">
        <f aca="false">CA315</f>
        <v>90.8198934685995</v>
      </c>
      <c r="CC315" s="29" t="n">
        <f aca="false">CA315</f>
        <v>90.8198934685995</v>
      </c>
      <c r="CD315" s="29" t="n">
        <f aca="false">CA315</f>
        <v>90.8198934685995</v>
      </c>
      <c r="CE315" s="29" t="n">
        <f aca="false">CA315</f>
        <v>90.8198934685995</v>
      </c>
      <c r="CF315" s="18" t="s">
        <v>519</v>
      </c>
    </row>
    <row r="316" customFormat="false" ht="15" hidden="false" customHeight="false" outlineLevel="0" collapsed="false">
      <c r="B316" s="20" t="s">
        <v>520</v>
      </c>
      <c r="CA316" s="25" t="n">
        <f aca="false">CA227+CA229+CA230+CA231+CA232+CA233+($BW$234+$BX$234)-(CA278-BX278)+(CA289-BX289)+(CA290-BX290)+(CA291-BX291)-(CA285-BX285)+CA237+CA238</f>
        <v>540.808373130757</v>
      </c>
    </row>
    <row r="317" customFormat="false" ht="15" hidden="false" customHeight="false" outlineLevel="0" collapsed="false">
      <c r="B317" s="20" t="s">
        <v>521</v>
      </c>
      <c r="CA317" s="25" t="n">
        <f aca="false">ROUND(CA199-CA97,1)</f>
        <v>0</v>
      </c>
    </row>
    <row r="318" customFormat="false" ht="15" hidden="false" customHeight="false" outlineLevel="0" collapsed="false">
      <c r="B318" s="20" t="s">
        <v>522</v>
      </c>
      <c r="C318" s="39" t="n">
        <f aca="false">IF(AND(ISNUMBER(C278),ISNUMBER(C115)),IFERROR(C278/C115*365,""),"")</f>
        <v>69.2743303770756</v>
      </c>
      <c r="D318" s="39" t="n">
        <f aca="false">IF(AND(ISNUMBER(D278),ISNUMBER(D115)),IFERROR(D278/D115*365,""),"")</f>
        <v>82.5743752924661</v>
      </c>
      <c r="E318" s="39" t="n">
        <f aca="false">IF(AND(ISNUMBER(E278),ISNUMBER(E115)),IFERROR(E278/E115*365,""),"")</f>
        <v>84.8166935079793</v>
      </c>
      <c r="F318" s="39" t="n">
        <f aca="false">IF(AND(ISNUMBER(F278),ISNUMBER(F115)),IFERROR(F278/F115*365,""),"")</f>
        <v>85.8593643830833</v>
      </c>
      <c r="G318" s="39" t="n">
        <f aca="false">IF(AND(ISNUMBER(G278),ISNUMBER(G115)),IFERROR(G278/G115*365,""),"")</f>
        <v>80.7016897373801</v>
      </c>
      <c r="H318" s="39" t="n">
        <f aca="false">IF(AND(ISNUMBER(H278),ISNUMBER(H115)),IFERROR(H278/H115*365,""),"")</f>
        <v>84.9274498335283</v>
      </c>
      <c r="I318" s="39" t="n">
        <f aca="false">IF(AND(ISNUMBER(I278),ISNUMBER(I115)),IFERROR(I278/I115*365,""),"")</f>
        <v>100.819761732847</v>
      </c>
      <c r="J318" s="39" t="n">
        <f aca="false">IF(AND(ISNUMBER(J278),ISNUMBER(J115)),IFERROR(J278/J115*91.25,""),"")</f>
        <v>95.3651523301873</v>
      </c>
      <c r="K318" s="39" t="n">
        <f aca="false">IF(AND(ISNUMBER(K278),ISNUMBER(K115)),IFERROR(K278/K115*91.25,""),"")</f>
        <v>95.5462766965942</v>
      </c>
      <c r="L318" s="39" t="n">
        <f aca="false">IF(AND(ISNUMBER(L278),ISNUMBER(L115)),IFERROR(L278/L115*91.25,""),"")</f>
        <v>102.695220031284</v>
      </c>
      <c r="M318" s="39" t="n">
        <f aca="false">IF(AND(ISNUMBER(M278),ISNUMBER(M115)),IFERROR(M278/M115*91.25,""),"")</f>
        <v>88.1360055334786</v>
      </c>
      <c r="N318" s="39" t="n">
        <f aca="false">IF(AND(ISNUMBER(N278),ISNUMBER(N115)),IFERROR(N278/N115*365,""),"")</f>
        <v>97.0841271111352</v>
      </c>
      <c r="O318" s="39" t="n">
        <f aca="false">IF(AND(ISNUMBER(O278),ISNUMBER(O115)),IFERROR(O278/O115*91.25,""),"")</f>
        <v>97.1596662568866</v>
      </c>
      <c r="P318" s="39" t="n">
        <f aca="false">IF(AND(ISNUMBER(P278),ISNUMBER(P115)),IFERROR(P278/P115*91.25,""),"")</f>
        <v>97.4491574765788</v>
      </c>
      <c r="Q318" s="39" t="n">
        <f aca="false">IF(AND(ISNUMBER(Q278),ISNUMBER(Q115)),IFERROR(Q278/Q115*91.25,""),"")</f>
        <v>100.68693896729</v>
      </c>
      <c r="R318" s="39" t="n">
        <f aca="false">IF(AND(ISNUMBER(R278),ISNUMBER(R115)),IFERROR(R278/R115*91.25,""),"")</f>
        <v>95.2760741552629</v>
      </c>
      <c r="S318" s="39" t="n">
        <f aca="false">IF(AND(ISNUMBER(S278),ISNUMBER(S115)),IFERROR(S278/S115*365,""),"")</f>
        <v>96.7295668241728</v>
      </c>
      <c r="T318" s="39" t="n">
        <f aca="false">IF(AND(ISNUMBER(T278),ISNUMBER(T115)),IFERROR(T278/T115*91.25,""),"")</f>
        <v>100.265711638595</v>
      </c>
      <c r="U318" s="39" t="n">
        <f aca="false">IF(AND(ISNUMBER(U278),ISNUMBER(U115)),IFERROR(U278/U115*91.25,""),"")</f>
        <v>100.762967729845</v>
      </c>
      <c r="V318" s="39" t="n">
        <f aca="false">IF(AND(ISNUMBER(V278),ISNUMBER(V115)),IFERROR(V278/V115*91.25,""),"")</f>
        <v>109.112717289974</v>
      </c>
      <c r="W318" s="39" t="n">
        <f aca="false">IF(AND(ISNUMBER(W278),ISNUMBER(W115)),IFERROR(W278/W115*91.25,""),"")</f>
        <v>95.0433094794494</v>
      </c>
      <c r="X318" s="39" t="n">
        <f aca="false">IF(AND(ISNUMBER(X278),ISNUMBER(X115)),IFERROR(X278/X115*365,""),"")</f>
        <v>97.4043782883914</v>
      </c>
      <c r="Y318" s="39" t="n">
        <f aca="false">IF(AND(ISNUMBER(Y278),ISNUMBER(Y115)),IFERROR(Y278/Y115*91.25,""),"")</f>
        <v>110.904011260419</v>
      </c>
      <c r="Z318" s="39" t="n">
        <f aca="false">IF(AND(ISNUMBER(Z278),ISNUMBER(Z115)),IFERROR(Z278/Z115*91.25,""),"")</f>
        <v>104.429735424757</v>
      </c>
      <c r="AA318" s="39" t="n">
        <f aca="false">IF(AND(ISNUMBER(AA278),ISNUMBER(AA115)),IFERROR(AA278/AA115*91.25,""),"")</f>
        <v>113.035210590919</v>
      </c>
      <c r="AB318" s="39" t="n">
        <f aca="false">IF(AND(ISNUMBER(AB278),ISNUMBER(AB115)),IFERROR(AB278/AB115*91.25,""),"")</f>
        <v>93.841171558201</v>
      </c>
      <c r="AC318" s="39" t="n">
        <f aca="false">IF(AND(ISNUMBER(AC278),ISNUMBER(AC115)),IFERROR(AC278/AC115*365,""),"")</f>
        <v>98.601867719633</v>
      </c>
      <c r="AD318" s="39" t="n">
        <f aca="false">IF(AND(ISNUMBER(AD278),ISNUMBER(AD115)),IFERROR(AD278/AD115*91.25,""),"")</f>
        <v>102.207521059136</v>
      </c>
      <c r="AE318" s="39" t="n">
        <f aca="false">IF(AND(ISNUMBER(AE278),ISNUMBER(AE115)),IFERROR(AE278/AE115*91.25,""),"")</f>
        <v>98.0184943464459</v>
      </c>
      <c r="AF318" s="39" t="n">
        <f aca="false">IF(AND(ISNUMBER(AF278),ISNUMBER(AF115)),IFERROR(AF278/AF115*91.25,""),"")</f>
        <v>101.509550064684</v>
      </c>
      <c r="AG318" s="39" t="n">
        <f aca="false">IF(AND(ISNUMBER(AG278),ISNUMBER(AG115)),IFERROR(AG278/AG115*91.25,""),"")</f>
        <v>92.5327276279797</v>
      </c>
      <c r="AH318" s="39" t="n">
        <f aca="false">IF(AND(ISNUMBER(AH278),ISNUMBER(AH115)),IFERROR(AH278/AH115*365,""),"")</f>
        <v>95.2100925964813</v>
      </c>
      <c r="AI318" s="39" t="n">
        <f aca="false">IF(AND(ISNUMBER(AI278),ISNUMBER(AI115)),IFERROR(AI278/AI115*91.25,""),"")</f>
        <v>96.3454191700948</v>
      </c>
      <c r="AJ318" s="39" t="n">
        <f aca="false">IF(AND(ISNUMBER(AJ278),ISNUMBER(AJ115)),IFERROR(AJ278/AJ115*91.25,""),"")</f>
        <v>101.086883376757</v>
      </c>
      <c r="AK318" s="39" t="n">
        <f aca="false">IF(AND(ISNUMBER(AK278),ISNUMBER(AK115)),IFERROR(AK278/AK115*91.25,""),"")</f>
        <v>105.05025477707</v>
      </c>
      <c r="AL318" s="39" t="n">
        <f aca="false">IF(AND(ISNUMBER(AL278),ISNUMBER(AL115)),IFERROR(AL278/AL115*91.25,""),"")</f>
        <v>94.7999668768555</v>
      </c>
      <c r="AM318" s="39" t="n">
        <f aca="false">IF(AND(ISNUMBER(AM278),ISNUMBER(AM115)),IFERROR(AM278/AM115*365,""),"")</f>
        <v>100.320069013238</v>
      </c>
      <c r="AN318" s="39" t="n">
        <f aca="false">IF(AND(ISNUMBER(AN278),ISNUMBER(AN115)),IFERROR(AN278/AN115*91.25,""),"")</f>
        <v>106.938576346014</v>
      </c>
      <c r="AO318" s="39" t="n">
        <f aca="false">IF(AND(ISNUMBER(AO278),ISNUMBER(AO115)),IFERROR(AO278/AO115*91.25,""),"")</f>
        <v>97.3276509223576</v>
      </c>
      <c r="AP318" s="39" t="n">
        <f aca="false">IF(AND(ISNUMBER(AP278),ISNUMBER(AP115)),IFERROR(AP278/AP115*91.25,""),"")</f>
        <v>100.938641320563</v>
      </c>
      <c r="AQ318" s="39" t="n">
        <f aca="false">IF(AND(ISNUMBER(AQ278),ISNUMBER(AQ115)),IFERROR(AQ278/AQ115*91.25,""),"")</f>
        <v>94.547310612435</v>
      </c>
      <c r="AR318" s="39" t="n">
        <f aca="false">IF(AND(ISNUMBER(AR278),ISNUMBER(AR115)),IFERROR(AR278/AR115*365,""),"")</f>
        <v>97.5731272526831</v>
      </c>
      <c r="AS318" s="39" t="n">
        <f aca="false">IF(AND(ISNUMBER(AS278),ISNUMBER(AS115)),IFERROR(AS278/AS115*91.25,""),"")</f>
        <v>102.319288310055</v>
      </c>
      <c r="AT318" s="39" t="n">
        <f aca="false">IF(AND(ISNUMBER(AT278),ISNUMBER(AT115)),IFERROR(AT278/AT115*91.25,""),"")</f>
        <v>115.786060419591</v>
      </c>
      <c r="AU318" s="39" t="n">
        <f aca="false">IF(AND(ISNUMBER(AU278),ISNUMBER(AU115)),IFERROR(AU278/AU115*91.25,""),"")</f>
        <v>117.138241966817</v>
      </c>
      <c r="AV318" s="39" t="n">
        <f aca="false">IF(AND(ISNUMBER(AV278),ISNUMBER(AV115)),IFERROR(AV278/AV115*91.25,""),"")</f>
        <v>91.7282335582677</v>
      </c>
      <c r="AW318" s="39" t="n">
        <f aca="false">IF(AND(ISNUMBER(AW278),ISNUMBER(AW115)),IFERROR(AW278/AW115*365,""),"")</f>
        <v>100.986985431347</v>
      </c>
      <c r="AX318" s="39" t="n">
        <f aca="false">IF(AND(ISNUMBER(AX278),ISNUMBER(AX115)),IFERROR(AX278/AX115*91.25,""),"")</f>
        <v>105.228400576294</v>
      </c>
      <c r="AY318" s="39" t="n">
        <f aca="false">IF(AND(ISNUMBER(AY278),ISNUMBER(AY115)),IFERROR(AY278/AY115*91.25,""),"")</f>
        <v>102.728923246366</v>
      </c>
      <c r="AZ318" s="39" t="n">
        <f aca="false">IF(AND(ISNUMBER(AZ278),ISNUMBER(AZ115)),IFERROR(AZ278/AZ115*91.25,""),"")</f>
        <v>103.031521515285</v>
      </c>
      <c r="BA318" s="39" t="n">
        <f aca="false">IF(AND(ISNUMBER(BA278),ISNUMBER(BA115)),IFERROR(BA278/BA115*91.25,""),"")</f>
        <v>92.7557108667625</v>
      </c>
      <c r="BB318" s="39" t="n">
        <f aca="false">IF(AND(ISNUMBER(BB278),ISNUMBER(BB115)),IFERROR(BB278/BB115*365,""),"")</f>
        <v>95.5260989142012</v>
      </c>
      <c r="BC318" s="39" t="n">
        <f aca="false">IF(AND(ISNUMBER(BC278),ISNUMBER(BC115)),IFERROR(BC278/BC115*91.25,""),"")</f>
        <v>114.202219466624</v>
      </c>
      <c r="BD318" s="39" t="n">
        <f aca="false">IF(AND(ISNUMBER(BD278),ISNUMBER(BD115)),IFERROR(BD278/BD115*91.25,""),"")</f>
        <v>115.676505804229</v>
      </c>
      <c r="BE318" s="39" t="n">
        <f aca="false">IF(AND(ISNUMBER(BE278),ISNUMBER(BE115)),IFERROR(BE278/BE115*91.25,""),"")</f>
        <v>115.241744972172</v>
      </c>
      <c r="BF318" s="39" t="n">
        <f aca="false">IF(AND(ISNUMBER(BF278),ISNUMBER(BF115)),IFERROR(BF278/BF115*91.25,""),"")</f>
        <v>94.7675447836434</v>
      </c>
      <c r="BG318" s="39" t="n">
        <f aca="false">IF(AND(ISNUMBER(BG278),ISNUMBER(BG115)),IFERROR(BG278/BG115*365,""),"")</f>
        <v>110.043986705075</v>
      </c>
      <c r="BH318" s="39" t="n">
        <f aca="false">IF(AND(ISNUMBER(BH278),ISNUMBER(BH115)),IFERROR(BH278/BH115*91.25,""),"")</f>
        <v>117.655430306849</v>
      </c>
      <c r="BI318" s="39" t="n">
        <f aca="false">IF(AND(ISNUMBER(BI278),ISNUMBER(BI115)),IFERROR(BI278/BI115*91.25,""),"")</f>
        <v>111.922348889334</v>
      </c>
      <c r="BJ318" s="39" t="n">
        <f aca="false">IF(AND(ISNUMBER(BJ278),ISNUMBER(BJ115)),IFERROR(BJ278/BJ115*91.25,""),"")</f>
        <v>111.30300231677</v>
      </c>
      <c r="BK318" s="39" t="n">
        <f aca="false">IF(AND(ISNUMBER(BK278),ISNUMBER(BK115)),IFERROR(BK278/BK115*91.25,""),"")</f>
        <v>96.7455504603366</v>
      </c>
      <c r="BL318" s="39" t="n">
        <f aca="false">IF(AND(ISNUMBER(BL278),ISNUMBER(BL115)),IFERROR(BL278/BL115*365,""),"")</f>
        <v>104.6915805072</v>
      </c>
      <c r="BM318" s="39" t="n">
        <f aca="false">IF(AND(ISNUMBER(BM278),ISNUMBER(BM115)),IFERROR(BM278/BM115*91.25,""),"")</f>
        <v>109.846121237582</v>
      </c>
      <c r="BN318" s="39" t="n">
        <f aca="false">IF(AND(ISNUMBER(BN278),ISNUMBER(BN115)),IFERROR(BN278/BN115*91.25,""),"")</f>
        <v>101.902789150972</v>
      </c>
      <c r="BO318" s="39" t="n">
        <f aca="false">IF(AND(ISNUMBER(BO278),ISNUMBER(BO115)),IFERROR(BO278/BO115*91.25,""),"")</f>
        <v>106.182480949956</v>
      </c>
      <c r="BP318" s="39" t="n">
        <f aca="false">IF(AND(ISNUMBER(BP278),ISNUMBER(BP115)),IFERROR(BP278/BP115*91.25,""),"")</f>
        <v>97.4713740646264</v>
      </c>
      <c r="BQ318" s="39" t="n">
        <f aca="false">IF(AND(ISNUMBER(BQ278),ISNUMBER(BQ115)),IFERROR(BQ278/BQ115*365,""),"")</f>
        <v>100.438255981785</v>
      </c>
      <c r="BR318" s="39" t="n">
        <f aca="false">IF(AND(ISNUMBER(BR278),ISNUMBER(BR115)),IFERROR(BR278/BR115*91.25,""),"")</f>
        <v>102.793943559875</v>
      </c>
      <c r="BS318" s="39" t="n">
        <f aca="false">IF(AND(ISNUMBER(BS278),ISNUMBER(BS115)),IFERROR(BS278/BS115*91.25,""),"")</f>
        <v>101.274056673189</v>
      </c>
      <c r="BT318" s="39" t="n">
        <f aca="false">IF(AND(ISNUMBER(BT278),ISNUMBER(BT115)),IFERROR(BT278/BT115*91.25,""),"")</f>
        <v>107.283687926897</v>
      </c>
      <c r="BU318" s="39" t="n">
        <f aca="false">IF(AND(ISNUMBER(BU278),ISNUMBER(BU115)),IFERROR(BU278/BU115*91.25,""),"")</f>
        <v>94.8841853777779</v>
      </c>
      <c r="BV318" s="39" t="n">
        <f aca="false">IF(AND(ISNUMBER(BV278),ISNUMBER(BV115)),IFERROR(BV278/BV115*365,""),"")</f>
        <v>102.197069151207</v>
      </c>
      <c r="BW318" s="39" t="n">
        <f aca="false">IF(AND(ISNUMBER(BW278),ISNUMBER(BW115)),IFERROR(BW278/BW115*91.25,""),"")</f>
        <v>100.409104884199</v>
      </c>
      <c r="BX318" s="39" t="n">
        <f aca="false">IF(AND(ISNUMBER(BX278),ISNUMBER(BX115)),IFERROR(BX278/BX115*91.25,""),"")</f>
        <v>108.98279748106</v>
      </c>
      <c r="CA318" s="30" t="n">
        <v>102</v>
      </c>
      <c r="CB318" s="30" t="n">
        <v>102</v>
      </c>
      <c r="CC318" s="30" t="n">
        <v>102</v>
      </c>
      <c r="CD318" s="30" t="n">
        <v>102</v>
      </c>
      <c r="CE318" s="30" t="n">
        <v>102</v>
      </c>
      <c r="CF318" s="18" t="s">
        <v>523</v>
      </c>
    </row>
    <row r="319" customFormat="false" ht="15" hidden="false" customHeight="false" outlineLevel="0" collapsed="false">
      <c r="B319" s="20" t="s">
        <v>524</v>
      </c>
      <c r="C319" s="39" t="n">
        <f aca="false">IF(AND(ISNUMBER(C289),ISNUMBER(C115)),IFERROR(C289/C115*365,""),"")</f>
        <v>41.1812752327642</v>
      </c>
      <c r="D319" s="39" t="n">
        <f aca="false">IF(AND(ISNUMBER(D289),ISNUMBER(D115)),IFERROR(D289/D115*365,""),"")</f>
        <v>46.9362330369677</v>
      </c>
      <c r="E319" s="39" t="n">
        <f aca="false">IF(AND(ISNUMBER(E289),ISNUMBER(E115)),IFERROR(E289/E115*365,""),"")</f>
        <v>42.4686055697306</v>
      </c>
      <c r="F319" s="39" t="n">
        <f aca="false">IF(AND(ISNUMBER(F289),ISNUMBER(F115)),IFERROR(F289/F115*365,""),"")</f>
        <v>39.0444744057409</v>
      </c>
      <c r="G319" s="39" t="n">
        <f aca="false">IF(AND(ISNUMBER(G289),ISNUMBER(G115)),IFERROR(G289/G115*365,""),"")</f>
        <v>38.2345654056495</v>
      </c>
      <c r="H319" s="39" t="n">
        <f aca="false">IF(AND(ISNUMBER(H289),ISNUMBER(H115)),IFERROR(H289/H115*365,""),"")</f>
        <v>39.8055786161514</v>
      </c>
      <c r="I319" s="39" t="n">
        <f aca="false">IF(AND(ISNUMBER(I289),ISNUMBER(I115)),IFERROR(I289/I115*365,""),"")</f>
        <v>40.0328046460913</v>
      </c>
      <c r="J319" s="39" t="n">
        <f aca="false">IF(AND(ISNUMBER(J289),ISNUMBER(J115)),IFERROR(J289/J115*91.25,""),"")</f>
        <v>32.6342914078928</v>
      </c>
      <c r="K319" s="39" t="n">
        <f aca="false">IF(AND(ISNUMBER(K289),ISNUMBER(K115)),IFERROR(K289/K115*91.25,""),"")</f>
        <v>31.9724190192309</v>
      </c>
      <c r="L319" s="39" t="n">
        <f aca="false">IF(AND(ISNUMBER(L289),ISNUMBER(L115)),IFERROR(L289/L115*91.25,""),"")</f>
        <v>36.6672311652482</v>
      </c>
      <c r="M319" s="39" t="n">
        <f aca="false">IF(AND(ISNUMBER(M289),ISNUMBER(M115)),IFERROR(M289/M115*91.25,""),"")</f>
        <v>36.4448281203265</v>
      </c>
      <c r="N319" s="39" t="n">
        <f aca="false">IF(AND(ISNUMBER(N289),ISNUMBER(N115)),IFERROR(N289/N115*365,""),"")</f>
        <v>40.1449362761653</v>
      </c>
      <c r="O319" s="39" t="n">
        <f aca="false">IF(AND(ISNUMBER(O289),ISNUMBER(O115)),IFERROR(O289/O115*91.25,""),"")</f>
        <v>36.0853594681965</v>
      </c>
      <c r="P319" s="39" t="n">
        <f aca="false">IF(AND(ISNUMBER(P289),ISNUMBER(P115)),IFERROR(P289/P115*91.25,""),"")</f>
        <v>38.4185866328633</v>
      </c>
      <c r="Q319" s="39" t="n">
        <f aca="false">IF(AND(ISNUMBER(Q289),ISNUMBER(Q115)),IFERROR(Q289/Q115*91.25,""),"")</f>
        <v>37.0460552195506</v>
      </c>
      <c r="R319" s="39" t="n">
        <f aca="false">IF(AND(ISNUMBER(R289),ISNUMBER(R115)),IFERROR(R289/R115*91.25,""),"")</f>
        <v>37.3255118926731</v>
      </c>
      <c r="S319" s="39" t="n">
        <f aca="false">IF(AND(ISNUMBER(S289),ISNUMBER(S115)),IFERROR(S289/S115*365,""),"")</f>
        <v>37.8949345770178</v>
      </c>
      <c r="T319" s="39" t="n">
        <f aca="false">IF(AND(ISNUMBER(T289),ISNUMBER(T115)),IFERROR(T289/T115*91.25,""),"")</f>
        <v>33.8906986142049</v>
      </c>
      <c r="U319" s="39" t="n">
        <f aca="false">IF(AND(ISNUMBER(U289),ISNUMBER(U115)),IFERROR(U289/U115*91.25,""),"")</f>
        <v>34.738791984412</v>
      </c>
      <c r="V319" s="39" t="n">
        <f aca="false">IF(AND(ISNUMBER(V289),ISNUMBER(V115)),IFERROR(V289/V115*91.25,""),"")</f>
        <v>35.0660986469279</v>
      </c>
      <c r="W319" s="39" t="n">
        <f aca="false">IF(AND(ISNUMBER(W289),ISNUMBER(W115)),IFERROR(W289/W115*91.25,""),"")</f>
        <v>40.8841143010803</v>
      </c>
      <c r="X319" s="39" t="n">
        <f aca="false">IF(AND(ISNUMBER(X289),ISNUMBER(X115)),IFERROR(X289/X115*365,""),"")</f>
        <v>41.8997587224099</v>
      </c>
      <c r="Y319" s="39" t="n">
        <f aca="false">IF(AND(ISNUMBER(Y289),ISNUMBER(Y115)),IFERROR(Y289/Y115*91.25,""),"")</f>
        <v>37.1046753054849</v>
      </c>
      <c r="Z319" s="39" t="n">
        <f aca="false">IF(AND(ISNUMBER(Z289),ISNUMBER(Z115)),IFERROR(Z289/Z115*91.25,""),"")</f>
        <v>35.062693048387</v>
      </c>
      <c r="AA319" s="39" t="n">
        <f aca="false">IF(AND(ISNUMBER(AA289),ISNUMBER(AA115)),IFERROR(AA289/AA115*91.25,""),"")</f>
        <v>37.6468192836065</v>
      </c>
      <c r="AB319" s="39" t="n">
        <f aca="false">IF(AND(ISNUMBER(AB289),ISNUMBER(AB115)),IFERROR(AB289/AB115*91.25,""),"")</f>
        <v>45.4947126311158</v>
      </c>
      <c r="AC319" s="39" t="n">
        <f aca="false">IF(AND(ISNUMBER(AC289),ISNUMBER(AC115)),IFERROR(AC289/AC115*365,""),"")</f>
        <v>47.8027241381341</v>
      </c>
      <c r="AD319" s="39" t="n">
        <f aca="false">IF(AND(ISNUMBER(AD289),ISNUMBER(AD115)),IFERROR(AD289/AD115*91.25,""),"")</f>
        <v>37.8204786630992</v>
      </c>
      <c r="AE319" s="39" t="n">
        <f aca="false">IF(AND(ISNUMBER(AE289),ISNUMBER(AE115)),IFERROR(AE289/AE115*91.25,""),"")</f>
        <v>38.8586082850118</v>
      </c>
      <c r="AF319" s="39" t="n">
        <f aca="false">IF(AND(ISNUMBER(AF289),ISNUMBER(AF115)),IFERROR(AF289/AF115*91.25,""),"")</f>
        <v>38.5195614614777</v>
      </c>
      <c r="AG319" s="39" t="n">
        <f aca="false">IF(AND(ISNUMBER(AG289),ISNUMBER(AG115)),IFERROR(AG289/AG115*91.25,""),"")</f>
        <v>45.2266510355608</v>
      </c>
      <c r="AH319" s="39" t="n">
        <f aca="false">IF(AND(ISNUMBER(AH289),ISNUMBER(AH115)),IFERROR(AH289/AH115*365,""),"")</f>
        <v>46.5352502115419</v>
      </c>
      <c r="AI319" s="39" t="n">
        <f aca="false">IF(AND(ISNUMBER(AI289),ISNUMBER(AI115)),IFERROR(AI289/AI115*91.25,""),"")</f>
        <v>41.203000155597</v>
      </c>
      <c r="AJ319" s="39" t="n">
        <f aca="false">IF(AND(ISNUMBER(AJ289),ISNUMBER(AJ115)),IFERROR(AJ289/AJ115*91.25,""),"")</f>
        <v>41.6086356456864</v>
      </c>
      <c r="AK319" s="39" t="n">
        <f aca="false">IF(AND(ISNUMBER(AK289),ISNUMBER(AK115)),IFERROR(AK289/AK115*91.25,""),"")</f>
        <v>43.1563861884009</v>
      </c>
      <c r="AL319" s="39" t="n">
        <f aca="false">IF(AND(ISNUMBER(AL289),ISNUMBER(AL115)),IFERROR(AL289/AL115*91.25,""),"")</f>
        <v>52.1620795200824</v>
      </c>
      <c r="AM319" s="39" t="n">
        <f aca="false">IF(AND(ISNUMBER(AM289),ISNUMBER(AM115)),IFERROR(AM289/AM115*365,""),"")</f>
        <v>55.1994224230709</v>
      </c>
      <c r="AN319" s="39" t="n">
        <f aca="false">IF(AND(ISNUMBER(AN289),ISNUMBER(AN115)),IFERROR(AN289/AN115*91.25,""),"")</f>
        <v>42.2085165202482</v>
      </c>
      <c r="AO319" s="39" t="n">
        <f aca="false">IF(AND(ISNUMBER(AO289),ISNUMBER(AO115)),IFERROR(AO289/AO115*91.25,""),"")</f>
        <v>38.7782154140339</v>
      </c>
      <c r="AP319" s="39" t="n">
        <f aca="false">IF(AND(ISNUMBER(AP289),ISNUMBER(AP115)),IFERROR(AP289/AP115*91.25,""),"")</f>
        <v>39.7602294472279</v>
      </c>
      <c r="AQ319" s="39" t="n">
        <f aca="false">IF(AND(ISNUMBER(AQ289),ISNUMBER(AQ115)),IFERROR(AQ289/AQ115*91.25,""),"")</f>
        <v>49.4062470275768</v>
      </c>
      <c r="AR319" s="39" t="n">
        <f aca="false">IF(AND(ISNUMBER(AR289),ISNUMBER(AR115)),IFERROR(AR289/AR115*365,""),"")</f>
        <v>50.9874051104444</v>
      </c>
      <c r="AS319" s="39" t="n">
        <f aca="false">IF(AND(ISNUMBER(AS289),ISNUMBER(AS115)),IFERROR(AS289/AS115*91.25,""),"")</f>
        <v>38.9914439463674</v>
      </c>
      <c r="AT319" s="39" t="n">
        <f aca="false">IF(AND(ISNUMBER(AT289),ISNUMBER(AT115)),IFERROR(AT289/AT115*91.25,""),"")</f>
        <v>43.0760381955986</v>
      </c>
      <c r="AU319" s="39" t="n">
        <f aca="false">IF(AND(ISNUMBER(AU289),ISNUMBER(AU115)),IFERROR(AU289/AU115*91.25,""),"")</f>
        <v>40.1884234084834</v>
      </c>
      <c r="AV319" s="39" t="n">
        <f aca="false">IF(AND(ISNUMBER(AV289),ISNUMBER(AV115)),IFERROR(AV289/AV115*91.25,""),"")</f>
        <v>43.0403786069384</v>
      </c>
      <c r="AW319" s="39" t="n">
        <f aca="false">IF(AND(ISNUMBER(AW289),ISNUMBER(AW115)),IFERROR(AW289/AW115*365,""),"")</f>
        <v>47.3847355250502</v>
      </c>
      <c r="AX319" s="39" t="n">
        <f aca="false">IF(AND(ISNUMBER(AX289),ISNUMBER(AX115)),IFERROR(AX289/AX115*91.25,""),"")</f>
        <v>37.8769183995951</v>
      </c>
      <c r="AY319" s="39" t="n">
        <f aca="false">IF(AND(ISNUMBER(AY289),ISNUMBER(AY115)),IFERROR(AY289/AY115*91.25,""),"")</f>
        <v>38.2346367975886</v>
      </c>
      <c r="AZ319" s="39" t="n">
        <f aca="false">IF(AND(ISNUMBER(AZ289),ISNUMBER(AZ115)),IFERROR(AZ289/AZ115*91.25,""),"")</f>
        <v>37.6302686836405</v>
      </c>
      <c r="BA319" s="39" t="n">
        <f aca="false">IF(AND(ISNUMBER(BA289),ISNUMBER(BA115)),IFERROR(BA289/BA115*91.25,""),"")</f>
        <v>47.6977470201489</v>
      </c>
      <c r="BB319" s="39" t="n">
        <f aca="false">IF(AND(ISNUMBER(BB289),ISNUMBER(BB115)),IFERROR(BB289/BB115*365,""),"")</f>
        <v>49.1223630033544</v>
      </c>
      <c r="BC319" s="39" t="n">
        <f aca="false">IF(AND(ISNUMBER(BC289),ISNUMBER(BC115)),IFERROR(BC289/BC115*91.25,""),"")</f>
        <v>43.010914402375</v>
      </c>
      <c r="BD319" s="39" t="n">
        <f aca="false">IF(AND(ISNUMBER(BD289),ISNUMBER(BD115)),IFERROR(BD289/BD115*91.25,""),"")</f>
        <v>41.1127321494684</v>
      </c>
      <c r="BE319" s="39" t="n">
        <f aca="false">IF(AND(ISNUMBER(BE289),ISNUMBER(BE115)),IFERROR(BE289/BE115*91.25,""),"")</f>
        <v>41.8347619956167</v>
      </c>
      <c r="BF319" s="39" t="n">
        <f aca="false">IF(AND(ISNUMBER(BF289),ISNUMBER(BF115)),IFERROR(BF289/BF115*91.25,""),"")</f>
        <v>52.2815984530753</v>
      </c>
      <c r="BG319" s="39" t="n">
        <f aca="false">IF(AND(ISNUMBER(BG289),ISNUMBER(BG115)),IFERROR(BG289/BG115*365,""),"")</f>
        <v>60.7093445147827</v>
      </c>
      <c r="BH319" s="39" t="n">
        <f aca="false">IF(AND(ISNUMBER(BH289),ISNUMBER(BH115)),IFERROR(BH289/BH115*91.25,""),"")</f>
        <v>46.2594791330852</v>
      </c>
      <c r="BI319" s="39" t="n">
        <f aca="false">IF(AND(ISNUMBER(BI289),ISNUMBER(BI115)),IFERROR(BI289/BI115*91.25,""),"")</f>
        <v>47.92059425884</v>
      </c>
      <c r="BJ319" s="39" t="n">
        <f aca="false">IF(AND(ISNUMBER(BJ289),ISNUMBER(BJ115)),IFERROR(BJ289/BJ115*91.25,""),"")</f>
        <v>44.0246252749188</v>
      </c>
      <c r="BK319" s="39" t="n">
        <f aca="false">IF(AND(ISNUMBER(BK289),ISNUMBER(BK115)),IFERROR(BK289/BK115*91.25,""),"")</f>
        <v>46.2514343295341</v>
      </c>
      <c r="BL319" s="39" t="n">
        <f aca="false">IF(AND(ISNUMBER(BL289),ISNUMBER(BL115)),IFERROR(BL289/BL115*365,""),"")</f>
        <v>50.0502166522794</v>
      </c>
      <c r="BM319" s="39" t="n">
        <f aca="false">IF(AND(ISNUMBER(BM289),ISNUMBER(BM115)),IFERROR(BM289/BM115*91.25,""),"")</f>
        <v>46.44173965852</v>
      </c>
      <c r="BN319" s="39" t="n">
        <f aca="false">IF(AND(ISNUMBER(BN289),ISNUMBER(BN115)),IFERROR(BN289/BN115*91.25,""),"")</f>
        <v>40.9654526753081</v>
      </c>
      <c r="BO319" s="39" t="n">
        <f aca="false">IF(AND(ISNUMBER(BO289),ISNUMBER(BO115)),IFERROR(BO289/BO115*91.25,""),"")</f>
        <v>40.5607803777052</v>
      </c>
      <c r="BP319" s="39" t="n">
        <f aca="false">IF(AND(ISNUMBER(BP289),ISNUMBER(BP115)),IFERROR(BP289/BP115*91.25,""),"")</f>
        <v>44.4986934854789</v>
      </c>
      <c r="BQ319" s="39" t="n">
        <f aca="false">IF(AND(ISNUMBER(BQ289),ISNUMBER(BQ115)),IFERROR(BQ289/BQ115*365,""),"")</f>
        <v>45.8531667378179</v>
      </c>
      <c r="BR319" s="39" t="n">
        <f aca="false">IF(AND(ISNUMBER(BR289),ISNUMBER(BR115)),IFERROR(BR289/BR115*91.25,""),"")</f>
        <v>42.2670997172538</v>
      </c>
      <c r="BS319" s="39" t="n">
        <f aca="false">IF(AND(ISNUMBER(BS289),ISNUMBER(BS115)),IFERROR(BS289/BS115*91.25,""),"")</f>
        <v>43.2809141762912</v>
      </c>
      <c r="BT319" s="39" t="n">
        <f aca="false">IF(AND(ISNUMBER(BT289),ISNUMBER(BT115)),IFERROR(BT289/BT115*91.25,""),"")</f>
        <v>45.5379107439542</v>
      </c>
      <c r="BU319" s="39" t="n">
        <f aca="false">IF(AND(ISNUMBER(BU289),ISNUMBER(BU115)),IFERROR(BU289/BU115*91.25,""),"")</f>
        <v>47.8669988234061</v>
      </c>
      <c r="BV319" s="39" t="n">
        <f aca="false">IF(AND(ISNUMBER(BV289),ISNUMBER(BV115)),IFERROR(BV289/BV115*365,""),"")</f>
        <v>51.5561889406501</v>
      </c>
      <c r="BW319" s="39" t="n">
        <f aca="false">IF(AND(ISNUMBER(BW289),ISNUMBER(BW115)),IFERROR(BW289/BW115*91.25,""),"")</f>
        <v>43.4473655282341</v>
      </c>
      <c r="BX319" s="39" t="n">
        <f aca="false">IF(AND(ISNUMBER(BX289),ISNUMBER(BX115)),IFERROR(BX289/BX115*91.25,""),"")</f>
        <v>46.5011282902139</v>
      </c>
      <c r="CA319" s="30" t="n">
        <v>51.5</v>
      </c>
      <c r="CB319" s="30" t="n">
        <v>51.5</v>
      </c>
      <c r="CC319" s="30" t="n">
        <v>51.5</v>
      </c>
      <c r="CD319" s="30" t="n">
        <v>51.5</v>
      </c>
      <c r="CE319" s="30" t="n">
        <v>51.5</v>
      </c>
    </row>
    <row r="320" customFormat="false" ht="15" hidden="false" customHeight="false" outlineLevel="0" collapsed="false">
      <c r="B320" s="20" t="s">
        <v>525</v>
      </c>
      <c r="C320" s="27" t="n">
        <f aca="false">IF(AND(ISNUMBER(C290),ISNUMBER(C114)),IFERROR(C290/(C114*1),""),"")</f>
        <v>0.0635898155839193</v>
      </c>
      <c r="D320" s="27" t="n">
        <f aca="false">IF(AND(ISNUMBER(D290),ISNUMBER(D114)),IFERROR(D290/(D114*1),""),"")</f>
        <v>0.0648234685238084</v>
      </c>
      <c r="E320" s="27" t="n">
        <f aca="false">IF(AND(ISNUMBER(E290),ISNUMBER(E114)),IFERROR(E290/(E114*1),""),"")</f>
        <v>0.0568115007595047</v>
      </c>
      <c r="F320" s="27" t="n">
        <f aca="false">IF(AND(ISNUMBER(F290),ISNUMBER(F114)),IFERROR(F290/(F114*1),""),"")</f>
        <v>0.0502047311970559</v>
      </c>
      <c r="G320" s="27" t="n">
        <f aca="false">IF(AND(ISNUMBER(G290),ISNUMBER(G114)),IFERROR(G290/(G114*1),""),"")</f>
        <v>0.0528045030092957</v>
      </c>
      <c r="H320" s="27" t="n">
        <f aca="false">IF(AND(ISNUMBER(H290),ISNUMBER(H114)),IFERROR(H290/(H114*1),""),"")</f>
        <v>0.0512119486108474</v>
      </c>
      <c r="I320" s="27" t="n">
        <f aca="false">IF(AND(ISNUMBER(I290),ISNUMBER(I114)),IFERROR(I290/(I114*1),""),"")</f>
        <v>0.0624808124646044</v>
      </c>
      <c r="J320" s="27" t="n">
        <f aca="false">IF(AND(ISNUMBER(J290),ISNUMBER(J114)),IFERROR(J290/(J114*4),""),"")</f>
        <v>0.0502925658905966</v>
      </c>
      <c r="K320" s="27" t="n">
        <f aca="false">IF(AND(ISNUMBER(K290),ISNUMBER(K114)),IFERROR(K290/(K114*4),""),"")</f>
        <v>0.0488609117562779</v>
      </c>
      <c r="L320" s="27" t="n">
        <f aca="false">IF(AND(ISNUMBER(L290),ISNUMBER(L114)),IFERROR(L290/(L114*4),""),"")</f>
        <v>0.0568143413904876</v>
      </c>
      <c r="M320" s="27" t="n">
        <f aca="false">IF(AND(ISNUMBER(M290),ISNUMBER(M114)),IFERROR(M290/(M114*4),""),"")</f>
        <v>0.0510679119088791</v>
      </c>
      <c r="N320" s="27" t="n">
        <f aca="false">IF(AND(ISNUMBER(N290),ISNUMBER(N114)),IFERROR(N290/(N114*1),""),"")</f>
        <v>0.0569287282671339</v>
      </c>
      <c r="O320" s="27" t="n">
        <f aca="false">IF(AND(ISNUMBER(O290),ISNUMBER(O114)),IFERROR(O290/(O114*4),""),"")</f>
        <v>0.0487284304004291</v>
      </c>
      <c r="P320" s="27" t="n">
        <f aca="false">IF(AND(ISNUMBER(P290),ISNUMBER(P114)),IFERROR(P290/(P114*4),""),"")</f>
        <v>0.0492798703965962</v>
      </c>
      <c r="Q320" s="27" t="n">
        <f aca="false">IF(AND(ISNUMBER(Q290),ISNUMBER(Q114)),IFERROR(Q290/(Q114*4),""),"")</f>
        <v>0.059896978341144</v>
      </c>
      <c r="R320" s="27" t="n">
        <f aca="false">IF(AND(ISNUMBER(R290),ISNUMBER(R114)),IFERROR(R290/(R114*4),""),"")</f>
        <v>0.0637188125451897</v>
      </c>
      <c r="S320" s="27" t="n">
        <f aca="false">IF(AND(ISNUMBER(S290),ISNUMBER(S114)),IFERROR(S290/(S114*1),""),"")</f>
        <v>0.0650600991651829</v>
      </c>
      <c r="T320" s="27" t="n">
        <f aca="false">IF(AND(ISNUMBER(T290),ISNUMBER(T114)),IFERROR(T290/(T114*4),""),"")</f>
        <v>0.0502989752819028</v>
      </c>
      <c r="U320" s="27" t="n">
        <f aca="false">IF(AND(ISNUMBER(U290),ISNUMBER(U114)),IFERROR(U290/(U114*4),""),"")</f>
        <v>0.0514972651936742</v>
      </c>
      <c r="V320" s="27" t="n">
        <f aca="false">IF(AND(ISNUMBER(V290),ISNUMBER(V114)),IFERROR(V290/(V114*4),""),"")</f>
        <v>0.059306230793382</v>
      </c>
      <c r="W320" s="27" t="n">
        <f aca="false">IF(AND(ISNUMBER(W290),ISNUMBER(W114)),IFERROR(W290/(W114*4),""),"")</f>
        <v>0.0559923057978276</v>
      </c>
      <c r="X320" s="27" t="n">
        <f aca="false">IF(AND(ISNUMBER(X290),ISNUMBER(X114)),IFERROR(X290/(X114*1),""),"")</f>
        <v>0.059783296149084</v>
      </c>
      <c r="Y320" s="27" t="n">
        <f aca="false">IF(AND(ISNUMBER(Y290),ISNUMBER(Y114)),IFERROR(Y290/(Y114*4),""),"")</f>
        <v>0.0478022152621513</v>
      </c>
      <c r="Z320" s="27" t="n">
        <f aca="false">IF(AND(ISNUMBER(Z290),ISNUMBER(Z114)),IFERROR(Z290/(Z114*4),""),"")</f>
        <v>0.0510524320245661</v>
      </c>
      <c r="AA320" s="27" t="n">
        <f aca="false">IF(AND(ISNUMBER(AA290),ISNUMBER(AA114)),IFERROR(AA290/(AA114*4),""),"")</f>
        <v>0.0575723931752029</v>
      </c>
      <c r="AB320" s="27" t="n">
        <f aca="false">IF(AND(ISNUMBER(AB290),ISNUMBER(AB114)),IFERROR(AB290/(AB114*4),""),"")</f>
        <v>0.0575702040080203</v>
      </c>
      <c r="AC320" s="27" t="n">
        <f aca="false">IF(AND(ISNUMBER(AC290),ISNUMBER(AC114)),IFERROR(AC290/(AC114*1),""),"")</f>
        <v>0.0617559322708993</v>
      </c>
      <c r="AD320" s="27" t="n">
        <f aca="false">IF(AND(ISNUMBER(AD290),ISNUMBER(AD114)),IFERROR(AD290/(AD114*4),""),"")</f>
        <v>0.0455493887404482</v>
      </c>
      <c r="AE320" s="27" t="n">
        <f aca="false">IF(AND(ISNUMBER(AE290),ISNUMBER(AE114)),IFERROR(AE290/(AE114*4),""),"")</f>
        <v>0.0513042298728272</v>
      </c>
      <c r="AF320" s="27" t="n">
        <f aca="false">IF(AND(ISNUMBER(AF290),ISNUMBER(AF114)),IFERROR(AF290/(AF114*4),""),"")</f>
        <v>0.0578256597540769</v>
      </c>
      <c r="AG320" s="27" t="n">
        <f aca="false">IF(AND(ISNUMBER(AG290),ISNUMBER(AG114)),IFERROR(AG290/(AG114*4),""),"")</f>
        <v>0.0614523085371175</v>
      </c>
      <c r="AH320" s="27" t="n">
        <f aca="false">IF(AND(ISNUMBER(AH290),ISNUMBER(AH114)),IFERROR(AH290/(AH114*1),""),"")</f>
        <v>0.0662282157932142</v>
      </c>
      <c r="AI320" s="27" t="n">
        <f aca="false">IF(AND(ISNUMBER(AI290),ISNUMBER(AI114)),IFERROR(AI290/(AI114*4),""),"")</f>
        <v>0.046848345819894</v>
      </c>
      <c r="AJ320" s="27" t="n">
        <f aca="false">IF(AND(ISNUMBER(AJ290),ISNUMBER(AJ114)),IFERROR(AJ290/(AJ114*4),""),"")</f>
        <v>0.0529032013645055</v>
      </c>
      <c r="AK320" s="27" t="n">
        <f aca="false">IF(AND(ISNUMBER(AK290),ISNUMBER(AK114)),IFERROR(AK290/(AK114*4),""),"")</f>
        <v>0.0595610798245864</v>
      </c>
      <c r="AL320" s="27" t="n">
        <f aca="false">IF(AND(ISNUMBER(AL290),ISNUMBER(AL114)),IFERROR(AL290/(AL114*4),""),"")</f>
        <v>0.064349497858537</v>
      </c>
      <c r="AM320" s="27" t="n">
        <f aca="false">IF(AND(ISNUMBER(AM290),ISNUMBER(AM114)),IFERROR(AM290/(AM114*1),""),"")</f>
        <v>0.0692228116765865</v>
      </c>
      <c r="AN320" s="27" t="n">
        <f aca="false">IF(AND(ISNUMBER(AN290),ISNUMBER(AN114)),IFERROR(AN290/(AN114*4),""),"")</f>
        <v>0.0493079883938483</v>
      </c>
      <c r="AO320" s="27" t="n">
        <f aca="false">IF(AND(ISNUMBER(AO290),ISNUMBER(AO114)),IFERROR(AO290/(AO114*4),""),"")</f>
        <v>0.0540997126742577</v>
      </c>
      <c r="AP320" s="27" t="n">
        <f aca="false">IF(AND(ISNUMBER(AP290),ISNUMBER(AP114)),IFERROR(AP290/(AP114*4),""),"")</f>
        <v>0.0571611533957845</v>
      </c>
      <c r="AQ320" s="27" t="n">
        <f aca="false">IF(AND(ISNUMBER(AQ290),ISNUMBER(AQ114)),IFERROR(AQ290/(AQ114*4),""),"")</f>
        <v>0.0628054610527151</v>
      </c>
      <c r="AR320" s="27" t="n">
        <f aca="false">IF(AND(ISNUMBER(AR290),ISNUMBER(AR114)),IFERROR(AR290/(AR114*1),""),"")</f>
        <v>0.0662164720427692</v>
      </c>
      <c r="AS320" s="27" t="n">
        <f aca="false">IF(AND(ISNUMBER(AS290),ISNUMBER(AS114)),IFERROR(AS290/(AS114*4),""),"")</f>
        <v>0.0467923310674267</v>
      </c>
      <c r="AT320" s="27" t="n">
        <f aca="false">IF(AND(ISNUMBER(AT290),ISNUMBER(AT114)),IFERROR(AT290/(AT114*4),""),"")</f>
        <v>0.0585404519977384</v>
      </c>
      <c r="AU320" s="27" t="n">
        <f aca="false">IF(AND(ISNUMBER(AU290),ISNUMBER(AU114)),IFERROR(AU290/(AU114*4),""),"")</f>
        <v>0.0599027490579307</v>
      </c>
      <c r="AV320" s="27" t="n">
        <f aca="false">IF(AND(ISNUMBER(AV290),ISNUMBER(AV114)),IFERROR(AV290/(AV114*4),""),"")</f>
        <v>0.0524352077361754</v>
      </c>
      <c r="AW320" s="27" t="n">
        <f aca="false">IF(AND(ISNUMBER(AW290),ISNUMBER(AW114)),IFERROR(AW290/(AW114*1),""),"")</f>
        <v>0.0586283148833957</v>
      </c>
      <c r="AX320" s="27" t="n">
        <f aca="false">IF(AND(ISNUMBER(AX290),ISNUMBER(AX114)),IFERROR(AX290/(AX114*4),""),"")</f>
        <v>0.0454251589876377</v>
      </c>
      <c r="AY320" s="27" t="n">
        <f aca="false">IF(AND(ISNUMBER(AY290),ISNUMBER(AY114)),IFERROR(AY290/(AY114*4),""),"")</f>
        <v>0.0536062237025238</v>
      </c>
      <c r="AZ320" s="27" t="n">
        <f aca="false">IF(AND(ISNUMBER(AZ290),ISNUMBER(AZ114)),IFERROR(AZ290/(AZ114*4),""),"")</f>
        <v>0.0572690330138136</v>
      </c>
      <c r="BA320" s="27" t="n">
        <f aca="false">IF(AND(ISNUMBER(BA290),ISNUMBER(BA114)),IFERROR(BA290/(BA114*4),""),"")</f>
        <v>0.0541673290759166</v>
      </c>
      <c r="BB320" s="27" t="n">
        <f aca="false">IF(AND(ISNUMBER(BB290),ISNUMBER(BB114)),IFERROR(BB290/(BB114*1),""),"")</f>
        <v>0.0576496320130123</v>
      </c>
      <c r="BC320" s="27" t="n">
        <f aca="false">IF(AND(ISNUMBER(BC290),ISNUMBER(BC114)),IFERROR(BC290/(BC114*4),""),"")</f>
        <v>0.0487420034640484</v>
      </c>
      <c r="BD320" s="27" t="n">
        <f aca="false">IF(AND(ISNUMBER(BD290),ISNUMBER(BD114)),IFERROR(BD290/(BD114*4),""),"")</f>
        <v>0.0548553639328013</v>
      </c>
      <c r="BE320" s="27" t="n">
        <f aca="false">IF(AND(ISNUMBER(BE290),ISNUMBER(BE114)),IFERROR(BE290/(BE114*4),""),"")</f>
        <v>0.0555006645076775</v>
      </c>
      <c r="BF320" s="27" t="n">
        <f aca="false">IF(AND(ISNUMBER(BF290),ISNUMBER(BF114)),IFERROR(BF290/(BF114*4),""),"")</f>
        <v>0.058579979278441</v>
      </c>
      <c r="BG320" s="27" t="n">
        <f aca="false">IF(AND(ISNUMBER(BG290),ISNUMBER(BG114)),IFERROR(BG290/(BG114*1),""),"")</f>
        <v>0.0694306860511728</v>
      </c>
      <c r="BH320" s="27" t="n">
        <f aca="false">IF(AND(ISNUMBER(BH290),ISNUMBER(BH114)),IFERROR(BH290/(BH114*4),""),"")</f>
        <v>0.0609001997273563</v>
      </c>
      <c r="BI320" s="27" t="n">
        <f aca="false">IF(AND(ISNUMBER(BI290),ISNUMBER(BI114)),IFERROR(BI290/(BI114*4),""),"")</f>
        <v>0.0511335243243857</v>
      </c>
      <c r="BJ320" s="27" t="n">
        <f aca="false">IF(AND(ISNUMBER(BJ290),ISNUMBER(BJ114)),IFERROR(BJ290/(BJ114*4),""),"")</f>
        <v>0.0650618644091197</v>
      </c>
      <c r="BK320" s="27" t="n">
        <f aca="false">IF(AND(ISNUMBER(BK290),ISNUMBER(BK114)),IFERROR(BK290/(BK114*4),""),"")</f>
        <v>0.0598247498380613</v>
      </c>
      <c r="BL320" s="27" t="n">
        <f aca="false">IF(AND(ISNUMBER(BL290),ISNUMBER(BL114)),IFERROR(BL290/(BL114*1),""),"")</f>
        <v>0.0660858875093002</v>
      </c>
      <c r="BM320" s="27" t="n">
        <f aca="false">IF(AND(ISNUMBER(BM290),ISNUMBER(BM114)),IFERROR(BM290/(BM114*4),""),"")</f>
        <v>0.0554179455863774</v>
      </c>
      <c r="BN320" s="27" t="n">
        <f aca="false">IF(AND(ISNUMBER(BN290),ISNUMBER(BN114)),IFERROR(BN290/(BN114*4),""),"")</f>
        <v>0.0504927426537766</v>
      </c>
      <c r="BO320" s="27" t="n">
        <f aca="false">IF(AND(ISNUMBER(BO290),ISNUMBER(BO114)),IFERROR(BO290/(BO114*4),""),"")</f>
        <v>0.0608366565780218</v>
      </c>
      <c r="BP320" s="27" t="n">
        <f aca="false">IF(AND(ISNUMBER(BP290),ISNUMBER(BP114)),IFERROR(BP290/(BP114*4),""),"")</f>
        <v>0.0664353225049223</v>
      </c>
      <c r="BQ320" s="27" t="n">
        <f aca="false">IF(AND(ISNUMBER(BQ290),ISNUMBER(BQ114)),IFERROR(BQ290/(BQ114*1),""),"")</f>
        <v>0.0701828694129064</v>
      </c>
      <c r="BR320" s="27" t="n">
        <f aca="false">IF(AND(ISNUMBER(BR290),ISNUMBER(BR114)),IFERROR(BR290/(BR114*4),""),"")</f>
        <v>0.0561025637842971</v>
      </c>
      <c r="BS320" s="27" t="n">
        <f aca="false">IF(AND(ISNUMBER(BS290),ISNUMBER(BS114)),IFERROR(BS290/(BS114*4),""),"")</f>
        <v>0.0509881630343518</v>
      </c>
      <c r="BT320" s="27" t="n">
        <f aca="false">IF(AND(ISNUMBER(BT290),ISNUMBER(BT114)),IFERROR(BT290/(BT114*4),""),"")</f>
        <v>0.0654710816065902</v>
      </c>
      <c r="BU320" s="27" t="n">
        <f aca="false">IF(AND(ISNUMBER(BU290),ISNUMBER(BU114)),IFERROR(BU290/(BU114*4),""),"")</f>
        <v>0.0641359224736294</v>
      </c>
      <c r="BV320" s="27" t="n">
        <f aca="false">IF(AND(ISNUMBER(BV290),ISNUMBER(BV114)),IFERROR(BV290/(BV114*1),""),"")</f>
        <v>0.0694443015208217</v>
      </c>
      <c r="BW320" s="27" t="n">
        <f aca="false">IF(AND(ISNUMBER(BW290),ISNUMBER(BW114)),IFERROR(BW290/(BW114*4),""),"")</f>
        <v>0.0556060226313825</v>
      </c>
      <c r="BX320" s="27" t="n">
        <f aca="false">IF(AND(ISNUMBER(BX290),ISNUMBER(BX114)),IFERROR(BX290/(BX114*4),""),"")</f>
        <v>0.0585863434082822</v>
      </c>
      <c r="CA320" s="38" t="n">
        <v>0.069</v>
      </c>
      <c r="CB320" s="38" t="n">
        <v>0.069</v>
      </c>
      <c r="CC320" s="38" t="n">
        <v>0.069</v>
      </c>
      <c r="CD320" s="38" t="n">
        <v>0.069</v>
      </c>
      <c r="CE320" s="38" t="n">
        <v>0.069</v>
      </c>
    </row>
    <row r="321" customFormat="false" ht="15" hidden="false" customHeight="false" outlineLevel="0" collapsed="false">
      <c r="B321" s="20" t="s">
        <v>526</v>
      </c>
      <c r="C321" s="27" t="n">
        <f aca="false">IF(AND(ISNUMBER(C291),ISNUMBER(C114)),IFERROR(C291/(C114*1),""),"")</f>
        <v>0.0446942842324056</v>
      </c>
      <c r="D321" s="27" t="n">
        <f aca="false">IF(AND(ISNUMBER(D291),ISNUMBER(D114)),IFERROR(D291/(D114*1),""),"")</f>
        <v>0.0662140637287045</v>
      </c>
      <c r="E321" s="27" t="n">
        <f aca="false">IF(AND(ISNUMBER(E291),ISNUMBER(E114)),IFERROR(E291/(E114*1),""),"")</f>
        <v>0.0758155113816429</v>
      </c>
      <c r="F321" s="27" t="n">
        <f aca="false">IF(AND(ISNUMBER(F291),ISNUMBER(F114)),IFERROR(F291/(F114*1),""),"")</f>
        <v>0.092658411109085</v>
      </c>
      <c r="G321" s="27" t="n">
        <f aca="false">IF(AND(ISNUMBER(G291),ISNUMBER(G114)),IFERROR(G291/(G114*1),""),"")</f>
        <v>0.0775275284264083</v>
      </c>
      <c r="H321" s="27" t="n">
        <f aca="false">IF(AND(ISNUMBER(H291),ISNUMBER(H114)),IFERROR(H291/(H114*1),""),"")</f>
        <v>0.0974952899767785</v>
      </c>
      <c r="I321" s="27" t="n">
        <f aca="false">IF(AND(ISNUMBER(I291),ISNUMBER(I114)),IFERROR(I291/(I114*1),""),"")</f>
        <v>0.0818146975091004</v>
      </c>
      <c r="J321" s="27" t="n">
        <f aca="false">IF(AND(ISNUMBER(J291),ISNUMBER(J114)),IFERROR(J291/(J114*4),""),"")</f>
        <v>0.0724248211956733</v>
      </c>
      <c r="K321" s="27" t="n">
        <f aca="false">IF(AND(ISNUMBER(K291),ISNUMBER(K114)),IFERROR(K291/(K114*4),""),"")</f>
        <v>0.0678393749585146</v>
      </c>
      <c r="L321" s="27" t="n">
        <f aca="false">IF(AND(ISNUMBER(L291),ISNUMBER(L114)),IFERROR(L291/(L114*4),""),"")</f>
        <v>0.0658938313574743</v>
      </c>
      <c r="M321" s="27" t="n">
        <f aca="false">IF(AND(ISNUMBER(M291),ISNUMBER(M114)),IFERROR(M291/(M114*4),""),"")</f>
        <v>0.0587165763937519</v>
      </c>
      <c r="N321" s="27" t="n">
        <f aca="false">IF(AND(ISNUMBER(N291),ISNUMBER(N114)),IFERROR(N291/(N114*1),""),"")</f>
        <v>0.0654551928471374</v>
      </c>
      <c r="O321" s="27" t="n">
        <f aca="false">IF(AND(ISNUMBER(O291),ISNUMBER(O114)),IFERROR(O291/(O114*4),""),"")</f>
        <v>0.0605811865072683</v>
      </c>
      <c r="P321" s="27" t="n">
        <f aca="false">IF(AND(ISNUMBER(P291),ISNUMBER(P114)),IFERROR(P291/(P114*4),""),"")</f>
        <v>0.0705871849576674</v>
      </c>
      <c r="Q321" s="27" t="n">
        <f aca="false">IF(AND(ISNUMBER(Q291),ISNUMBER(Q114)),IFERROR(Q291/(Q114*4),""),"")</f>
        <v>0.0752394127550966</v>
      </c>
      <c r="R321" s="27" t="n">
        <f aca="false">IF(AND(ISNUMBER(R291),ISNUMBER(R114)),IFERROR(R291/(R114*4),""),"")</f>
        <v>0.0771469264005756</v>
      </c>
      <c r="S321" s="27" t="n">
        <f aca="false">IF(AND(ISNUMBER(S291),ISNUMBER(S114)),IFERROR(S291/(S114*1),""),"")</f>
        <v>0.078770876000724</v>
      </c>
      <c r="T321" s="27" t="n">
        <f aca="false">IF(AND(ISNUMBER(T291),ISNUMBER(T114)),IFERROR(T291/(T114*4),""),"")</f>
        <v>0.0689560947566729</v>
      </c>
      <c r="U321" s="27" t="n">
        <f aca="false">IF(AND(ISNUMBER(U291),ISNUMBER(U114)),IFERROR(U291/(U114*4),""),"")</f>
        <v>0.0708821080202644</v>
      </c>
      <c r="V321" s="27" t="n">
        <f aca="false">IF(AND(ISNUMBER(V291),ISNUMBER(V114)),IFERROR(V291/(V114*4),""),"")</f>
        <v>0.0708478027153282</v>
      </c>
      <c r="W321" s="27" t="n">
        <f aca="false">IF(AND(ISNUMBER(W291),ISNUMBER(W114)),IFERROR(W291/(W114*4),""),"")</f>
        <v>0.0771420200253076</v>
      </c>
      <c r="X321" s="27" t="n">
        <f aca="false">IF(AND(ISNUMBER(X291),ISNUMBER(X114)),IFERROR(X291/(X114*1),""),"")</f>
        <v>0.0823649635963101</v>
      </c>
      <c r="Y321" s="27" t="n">
        <f aca="false">IF(AND(ISNUMBER(Y291),ISNUMBER(Y114)),IFERROR(Y291/(Y114*4),""),"")</f>
        <v>0.0909505726832</v>
      </c>
      <c r="Z321" s="27" t="n">
        <f aca="false">IF(AND(ISNUMBER(Z291),ISNUMBER(Z114)),IFERROR(Z291/(Z114*4),""),"")</f>
        <v>0.0895444716817515</v>
      </c>
      <c r="AA321" s="27" t="n">
        <f aca="false">IF(AND(ISNUMBER(AA291),ISNUMBER(AA114)),IFERROR(AA291/(AA114*4),""),"")</f>
        <v>0.0969296498465762</v>
      </c>
      <c r="AB321" s="27" t="n">
        <f aca="false">IF(AND(ISNUMBER(AB291),ISNUMBER(AB114)),IFERROR(AB291/(AB114*4),""),"")</f>
        <v>0.0752091709897695</v>
      </c>
      <c r="AC321" s="27" t="n">
        <f aca="false">IF(AND(ISNUMBER(AC291),ISNUMBER(AC114)),IFERROR(AC291/(AC114*1),""),"")</f>
        <v>0.0806773668744971</v>
      </c>
      <c r="AD321" s="27" t="n">
        <f aca="false">IF(AND(ISNUMBER(AD291),ISNUMBER(AD114)),IFERROR(AD291/(AD114*4),""),"")</f>
        <v>0.0841658852042911</v>
      </c>
      <c r="AE321" s="27" t="n">
        <f aca="false">IF(AND(ISNUMBER(AE291),ISNUMBER(AE114)),IFERROR(AE291/(AE114*4),""),"")</f>
        <v>0.081015602841877</v>
      </c>
      <c r="AF321" s="27" t="n">
        <f aca="false">IF(AND(ISNUMBER(AF291),ISNUMBER(AF114)),IFERROR(AF291/(AF114*4),""),"")</f>
        <v>0.0835480127698314</v>
      </c>
      <c r="AG321" s="27" t="n">
        <f aca="false">IF(AND(ISNUMBER(AG291),ISNUMBER(AG114)),IFERROR(AG291/(AG114*4),""),"")</f>
        <v>0.0877993433363677</v>
      </c>
      <c r="AH321" s="27" t="n">
        <f aca="false">IF(AND(ISNUMBER(AH291),ISNUMBER(AH114)),IFERROR(AH291/(AH114*1),""),"")</f>
        <v>0.0946228708962381</v>
      </c>
      <c r="AI321" s="27" t="n">
        <f aca="false">IF(AND(ISNUMBER(AI291),ISNUMBER(AI114)),IFERROR(AI291/(AI114*4),""),"")</f>
        <v>0.0995206585306161</v>
      </c>
      <c r="AJ321" s="27" t="n">
        <f aca="false">IF(AND(ISNUMBER(AJ291),ISNUMBER(AJ114)),IFERROR(AJ291/(AJ114*4),""),"")</f>
        <v>0.093175780028309</v>
      </c>
      <c r="AK321" s="27" t="n">
        <f aca="false">IF(AND(ISNUMBER(AK291),ISNUMBER(AK114)),IFERROR(AK291/(AK114*4),""),"")</f>
        <v>0.0939236773022189</v>
      </c>
      <c r="AL321" s="27" t="n">
        <f aca="false">IF(AND(ISNUMBER(AL291),ISNUMBER(AL114)),IFERROR(AL291/(AL114*4),""),"")</f>
        <v>0.091157870069162</v>
      </c>
      <c r="AM321" s="27" t="n">
        <f aca="false">IF(AND(ISNUMBER(AM291),ISNUMBER(AM114)),IFERROR(AM291/(AM114*1),""),"")</f>
        <v>0.098061434550871</v>
      </c>
      <c r="AN321" s="27" t="n">
        <f aca="false">IF(AND(ISNUMBER(AN291),ISNUMBER(AN114)),IFERROR(AN291/(AN114*4),""),"")</f>
        <v>0.0976653686405655</v>
      </c>
      <c r="AO321" s="27" t="n">
        <f aca="false">IF(AND(ISNUMBER(AO291),ISNUMBER(AO114)),IFERROR(AO291/(AO114*4),""),"")</f>
        <v>0.0950917533130098</v>
      </c>
      <c r="AP321" s="27" t="n">
        <f aca="false">IF(AND(ISNUMBER(AP291),ISNUMBER(AP114)),IFERROR(AP291/(AP114*4),""),"")</f>
        <v>0.104218302758262</v>
      </c>
      <c r="AQ321" s="27" t="n">
        <f aca="false">IF(AND(ISNUMBER(AQ291),ISNUMBER(AQ114)),IFERROR(AQ291/(AQ114*4),""),"")</f>
        <v>0.105263498995838</v>
      </c>
      <c r="AR321" s="27" t="n">
        <f aca="false">IF(AND(ISNUMBER(AR291),ISNUMBER(AR114)),IFERROR(AR291/(AR114*1),""),"")</f>
        <v>0.110980437394316</v>
      </c>
      <c r="AS321" s="27" t="n">
        <f aca="false">IF(AND(ISNUMBER(AS291),ISNUMBER(AS114)),IFERROR(AS291/(AS114*4),""),"")</f>
        <v>0.104582099060095</v>
      </c>
      <c r="AT321" s="27" t="n">
        <f aca="false">IF(AND(ISNUMBER(AT291),ISNUMBER(AT114)),IFERROR(AT291/(AT114*4),""),"")</f>
        <v>0.119585235443517</v>
      </c>
      <c r="AU321" s="27" t="n">
        <f aca="false">IF(AND(ISNUMBER(AU291),ISNUMBER(AU114)),IFERROR(AU291/(AU114*4),""),"")</f>
        <v>0.116995035111106</v>
      </c>
      <c r="AV321" s="27" t="n">
        <f aca="false">IF(AND(ISNUMBER(AV291),ISNUMBER(AV114)),IFERROR(AV291/(AV114*4),""),"")</f>
        <v>0.0947764509816828</v>
      </c>
      <c r="AW321" s="27" t="n">
        <f aca="false">IF(AND(ISNUMBER(AW291),ISNUMBER(AW114)),IFERROR(AW291/(AW114*1),""),"")</f>
        <v>0.105970470063596</v>
      </c>
      <c r="AX321" s="27" t="n">
        <f aca="false">IF(AND(ISNUMBER(AX291),ISNUMBER(AX114)),IFERROR(AX291/(AX114*4),""),"")</f>
        <v>0.099965832522414</v>
      </c>
      <c r="AY321" s="27" t="n">
        <f aca="false">IF(AND(ISNUMBER(AY291),ISNUMBER(AY114)),IFERROR(AY291/(AY114*4),""),"")</f>
        <v>0.104730528805541</v>
      </c>
      <c r="AZ321" s="27" t="n">
        <f aca="false">IF(AND(ISNUMBER(AZ291),ISNUMBER(AZ114)),IFERROR(AZ291/(AZ114*4),""),"")</f>
        <v>0.10057337915855</v>
      </c>
      <c r="BA321" s="27" t="n">
        <f aca="false">IF(AND(ISNUMBER(BA291),ISNUMBER(BA114)),IFERROR(BA291/(BA114*4),""),"")</f>
        <v>0.0975455112649567</v>
      </c>
      <c r="BB321" s="27" t="n">
        <f aca="false">IF(AND(ISNUMBER(BB291),ISNUMBER(BB114)),IFERROR(BB291/(BB114*1),""),"")</f>
        <v>0.103816505721826</v>
      </c>
      <c r="BC321" s="27" t="n">
        <f aca="false">IF(AND(ISNUMBER(BC291),ISNUMBER(BC114)),IFERROR(BC291/(BC114*4),""),"")</f>
        <v>0.100399759768777</v>
      </c>
      <c r="BD321" s="27" t="n">
        <f aca="false">IF(AND(ISNUMBER(BD291),ISNUMBER(BD114)),IFERROR(BD291/(BD114*4),""),"")</f>
        <v>0.0882848642093223</v>
      </c>
      <c r="BE321" s="27" t="n">
        <f aca="false">IF(AND(ISNUMBER(BE291),ISNUMBER(BE114)),IFERROR(BE291/(BE114*4),""),"")</f>
        <v>0.0873292342143743</v>
      </c>
      <c r="BF321" s="27" t="n">
        <f aca="false">IF(AND(ISNUMBER(BF291),ISNUMBER(BF114)),IFERROR(BF291/(BF114*4),""),"")</f>
        <v>0.0800099648261435</v>
      </c>
      <c r="BG321" s="27" t="n">
        <f aca="false">IF(AND(ISNUMBER(BG291),ISNUMBER(BG114)),IFERROR(BG291/(BG114*1),""),"")</f>
        <v>0.0948301248521231</v>
      </c>
      <c r="BH321" s="27" t="n">
        <f aca="false">IF(AND(ISNUMBER(BH291),ISNUMBER(BH114)),IFERROR(BH291/(BH114*4),""),"")</f>
        <v>0.0929235488063913</v>
      </c>
      <c r="BI321" s="27" t="n">
        <f aca="false">IF(AND(ISNUMBER(BI291),ISNUMBER(BI114)),IFERROR(BI291/(BI114*4),""),"")</f>
        <v>0.0939691593932958</v>
      </c>
      <c r="BJ321" s="27" t="n">
        <f aca="false">IF(AND(ISNUMBER(BJ291),ISNUMBER(BJ114)),IFERROR(BJ291/(BJ114*4),""),"")</f>
        <v>0.100960755240044</v>
      </c>
      <c r="BK321" s="27" t="n">
        <f aca="false">IF(AND(ISNUMBER(BK291),ISNUMBER(BK114)),IFERROR(BK291/(BK114*4),""),"")</f>
        <v>0.096677106253444</v>
      </c>
      <c r="BL321" s="27" t="n">
        <f aca="false">IF(AND(ISNUMBER(BL291),ISNUMBER(BL114)),IFERROR(BL291/(BL114*1),""),"")</f>
        <v>0.106795137228054</v>
      </c>
      <c r="BM321" s="27" t="n">
        <f aca="false">IF(AND(ISNUMBER(BM291),ISNUMBER(BM114)),IFERROR(BM291/(BM114*4),""),"")</f>
        <v>0.104304111098803</v>
      </c>
      <c r="BN321" s="27" t="n">
        <f aca="false">IF(AND(ISNUMBER(BN291),ISNUMBER(BN114)),IFERROR(BN291/(BN114*4),""),"")</f>
        <v>0.108819099607411</v>
      </c>
      <c r="BO321" s="27" t="n">
        <f aca="false">IF(AND(ISNUMBER(BO291),ISNUMBER(BO114)),IFERROR(BO291/(BO114*4),""),"")</f>
        <v>0.122769170302835</v>
      </c>
      <c r="BP321" s="27" t="n">
        <f aca="false">IF(AND(ISNUMBER(BP291),ISNUMBER(BP114)),IFERROR(BP291/(BP114*4),""),"")</f>
        <v>0.139334512497073</v>
      </c>
      <c r="BQ321" s="27" t="n">
        <f aca="false">IF(AND(ISNUMBER(BQ291),ISNUMBER(BQ114)),IFERROR(BQ291/(BQ114*1),""),"")</f>
        <v>0.147194226302861</v>
      </c>
      <c r="BR321" s="27" t="n">
        <f aca="false">IF(AND(ISNUMBER(BR291),ISNUMBER(BR114)),IFERROR(BR291/(BR114*4),""),"")</f>
        <v>0.139022770575129</v>
      </c>
      <c r="BS321" s="27" t="n">
        <f aca="false">IF(AND(ISNUMBER(BS291),ISNUMBER(BS114)),IFERROR(BS291/(BS114*4),""),"")</f>
        <v>0.142670173493228</v>
      </c>
      <c r="BT321" s="27" t="n">
        <f aca="false">IF(AND(ISNUMBER(BT291),ISNUMBER(BT114)),IFERROR(BT291/(BT114*4),""),"")</f>
        <v>0.144845944981994</v>
      </c>
      <c r="BU321" s="27" t="n">
        <f aca="false">IF(AND(ISNUMBER(BU291),ISNUMBER(BU114)),IFERROR(BU291/(BU114*4),""),"")</f>
        <v>0.148221558827474</v>
      </c>
      <c r="BV321" s="27" t="n">
        <f aca="false">IF(AND(ISNUMBER(BV291),ISNUMBER(BV114)),IFERROR(BV291/(BV114*1),""),"")</f>
        <v>0.160489507691006</v>
      </c>
      <c r="BW321" s="27" t="n">
        <f aca="false">IF(AND(ISNUMBER(BW291),ISNUMBER(BW114)),IFERROR(BW291/(BW114*4),""),"")</f>
        <v>0.155678859390579</v>
      </c>
      <c r="BX321" s="27" t="n">
        <f aca="false">IF(AND(ISNUMBER(BX291),ISNUMBER(BX114)),IFERROR(BX291/(BX114*4),""),"")</f>
        <v>0.16067203963602</v>
      </c>
      <c r="CA321" s="38" t="n">
        <v>0.16</v>
      </c>
      <c r="CB321" s="38" t="n">
        <v>0.16</v>
      </c>
      <c r="CC321" s="38" t="n">
        <v>0.16</v>
      </c>
      <c r="CD321" s="38" t="n">
        <v>0.16</v>
      </c>
      <c r="CE321" s="38" t="n">
        <v>0.16</v>
      </c>
      <c r="CF321" s="18" t="s">
        <v>527</v>
      </c>
    </row>
    <row r="322" customFormat="false" ht="15" hidden="false" customHeight="false" outlineLevel="0" collapsed="false">
      <c r="B322" s="20" t="s">
        <v>528</v>
      </c>
      <c r="C322" s="46" t="n">
        <f aca="false">IF(ISNUMBER(C277),C277+C278-C289-C290-C291,"n/a")</f>
        <v>211.442</v>
      </c>
      <c r="D322" s="46" t="n">
        <f aca="false">IF(ISNUMBER(D277),D277+D278-D289-D290-D291,"n/a")</f>
        <v>288.617</v>
      </c>
      <c r="E322" s="46" t="n">
        <f aca="false">IF(ISNUMBER(E277),E277+E278-E289-E290-E291,"n/a")</f>
        <v>293.487</v>
      </c>
      <c r="F322" s="46" t="n">
        <f aca="false">IF(ISNUMBER(F277),F277+F278-F289-F290-F291,"n/a")</f>
        <v>301.729</v>
      </c>
      <c r="G322" s="46" t="n">
        <f aca="false">IF(ISNUMBER(G277),G277+G278-G289-G290-G291,"n/a")</f>
        <v>362.819</v>
      </c>
      <c r="H322" s="46" t="n">
        <f aca="false">IF(ISNUMBER(H277),H277+H278-H289-H290-H291,"n/a")</f>
        <v>420.914</v>
      </c>
      <c r="I322" s="46" t="n">
        <f aca="false">IF(ISNUMBER(I277),I277+I278-I289-I290-I291,"n/a")</f>
        <v>515.268</v>
      </c>
      <c r="J322" s="46" t="n">
        <f aca="false">IF(ISNUMBER(J277),J277+J278-J289-J290-J291,"n/a")</f>
        <v>583.458</v>
      </c>
      <c r="K322" s="46" t="n">
        <f aca="false">IF(ISNUMBER(K277),K277+K278-K289-K290-K291,"n/a")</f>
        <v>582.219</v>
      </c>
      <c r="L322" s="46" t="n">
        <f aca="false">IF(ISNUMBER(L277),L277+L278-L289-L290-L291,"n/a")</f>
        <v>566.186</v>
      </c>
      <c r="M322" s="46" t="n">
        <f aca="false">IF(ISNUMBER(M277),M277+M278-M289-M290-M291,"n/a")</f>
        <v>561.46</v>
      </c>
      <c r="N322" s="46" t="n">
        <f aca="false">IF(ISNUMBER(N277),N277+N278-N289-N290-N291,"n/a")</f>
        <v>561.46</v>
      </c>
      <c r="O322" s="46" t="n">
        <f aca="false">IF(ISNUMBER(O277),O277+O278-O289-O290-O291,"n/a")</f>
        <v>631.968</v>
      </c>
      <c r="P322" s="46" t="n">
        <f aca="false">IF(ISNUMBER(P277),P277+P278-P289-P290-P291,"n/a")</f>
        <v>590.799</v>
      </c>
      <c r="Q322" s="46" t="n">
        <f aca="false">IF(ISNUMBER(Q277),Q277+Q278-Q289-Q290-Q291,"n/a")</f>
        <v>492.513</v>
      </c>
      <c r="R322" s="46" t="n">
        <f aca="false">IF(ISNUMBER(R277),R277+R278-R289-R290-R291,"n/a")</f>
        <v>409.253</v>
      </c>
      <c r="S322" s="46" t="n">
        <f aca="false">IF(ISNUMBER(S277),S277+S278-S289-S290-S291,"n/a")</f>
        <v>409.253</v>
      </c>
      <c r="T322" s="46" t="n">
        <f aca="false">IF(ISNUMBER(T277),T277+T278-T289-T290-T291,"n/a")</f>
        <v>493.772</v>
      </c>
      <c r="U322" s="46" t="n">
        <f aca="false">IF(ISNUMBER(U277),U277+U278-U289-U290-U291,"n/a")</f>
        <v>594.76</v>
      </c>
      <c r="V322" s="46" t="n">
        <f aca="false">IF(ISNUMBER(V277),V277+V278-V289-V290-V291,"n/a")</f>
        <v>541.112</v>
      </c>
      <c r="W322" s="46" t="n">
        <f aca="false">IF(ISNUMBER(W277),W277+W278-W289-W290-W291,"n/a")</f>
        <v>469.06</v>
      </c>
      <c r="X322" s="46" t="n">
        <f aca="false">IF(ISNUMBER(X277),X277+X278-X289-X290-X291,"n/a")</f>
        <v>469.06</v>
      </c>
      <c r="Y322" s="46" t="n">
        <f aca="false">IF(ISNUMBER(Y277),Y277+Y278-Y289-Y290-Y291,"n/a")</f>
        <v>470.504</v>
      </c>
      <c r="Z322" s="46" t="n">
        <f aca="false">IF(ISNUMBER(Z277),Z277+Z278-Z289-Z290-Z291,"n/a")</f>
        <v>441.476</v>
      </c>
      <c r="AA322" s="46" t="n">
        <f aca="false">IF(ISNUMBER(AA277),AA277+AA278-AA289-AA290-AA291,"n/a")</f>
        <v>415.154</v>
      </c>
      <c r="AB322" s="46" t="n">
        <f aca="false">IF(ISNUMBER(AB277),AB277+AB278-AB289-AB290-AB291,"n/a")</f>
        <v>351.743</v>
      </c>
      <c r="AC322" s="46" t="n">
        <f aca="false">IF(ISNUMBER(AC277),AC277+AC278-AC289-AC290-AC291,"n/a")</f>
        <v>351.743</v>
      </c>
      <c r="AD322" s="46" t="n">
        <f aca="false">IF(ISNUMBER(AD277),AD277+AD278-AD289-AD290-AD291,"n/a")</f>
        <v>453.786</v>
      </c>
      <c r="AE322" s="46" t="n">
        <f aca="false">IF(ISNUMBER(AE277),AE277+AE278-AE289-AE290-AE291,"n/a")</f>
        <v>440.926</v>
      </c>
      <c r="AF322" s="46" t="n">
        <f aca="false">IF(ISNUMBER(AF277),AF277+AF278-AF289-AF290-AF291,"n/a")</f>
        <v>441.34</v>
      </c>
      <c r="AG322" s="46" t="n">
        <f aca="false">IF(ISNUMBER(AG277),AG277+AG278-AG289-AG290-AG291,"n/a")</f>
        <v>323.316</v>
      </c>
      <c r="AH322" s="46" t="n">
        <f aca="false">IF(ISNUMBER(AH277),AH277+AH278-AH289-AH290-AH291,"n/a")</f>
        <v>323.316</v>
      </c>
      <c r="AI322" s="46" t="n">
        <f aca="false">IF(ISNUMBER(AI277),AI277+AI278-AI289-AI290-AI291,"n/a")</f>
        <v>419.597</v>
      </c>
      <c r="AJ322" s="46" t="n">
        <f aca="false">IF(ISNUMBER(AJ277),AJ277+AJ278-AJ289-AJ290-AJ291,"n/a")</f>
        <v>469.376</v>
      </c>
      <c r="AK322" s="46" t="n">
        <f aca="false">IF(ISNUMBER(AK277),AK277+AK278-AK289-AK290-AK291,"n/a")</f>
        <v>502.78</v>
      </c>
      <c r="AL322" s="46" t="n">
        <f aca="false">IF(ISNUMBER(AL277),AL277+AL278-AL289-AL290-AL291,"n/a")</f>
        <v>380.736</v>
      </c>
      <c r="AM322" s="46" t="n">
        <f aca="false">IF(ISNUMBER(AM277),AM277+AM278-AM289-AM290-AM291,"n/a")</f>
        <v>380.736</v>
      </c>
      <c r="AN322" s="46" t="n">
        <f aca="false">IF(ISNUMBER(AN277),AN277+AN278-AN289-AN290-AN291,"n/a")</f>
        <v>522.158</v>
      </c>
      <c r="AO322" s="46" t="n">
        <f aca="false">IF(ISNUMBER(AO277),AO277+AO278-AO289-AO290-AO291,"n/a")</f>
        <v>517.126</v>
      </c>
      <c r="AP322" s="46" t="n">
        <f aca="false">IF(ISNUMBER(AP277),AP277+AP278-AP289-AP290-AP291,"n/a")</f>
        <v>507.907</v>
      </c>
      <c r="AQ322" s="46" t="n">
        <f aca="false">IF(ISNUMBER(AQ277),AQ277+AQ278-AQ289-AQ290-AQ291,"n/a")</f>
        <v>394.17</v>
      </c>
      <c r="AR322" s="46" t="n">
        <f aca="false">IF(ISNUMBER(AR277),AR277+AR278-AR289-AR290-AR291,"n/a")</f>
        <v>394.17</v>
      </c>
      <c r="AS322" s="46" t="n">
        <f aca="false">IF(ISNUMBER(AS277),AS277+AS278-AS289-AS290-AS291,"n/a")</f>
        <v>544.636</v>
      </c>
      <c r="AT322" s="46" t="n">
        <f aca="false">IF(ISNUMBER(AT277),AT277+AT278-AT289-AT290-AT291,"n/a")</f>
        <v>496.49</v>
      </c>
      <c r="AU322" s="46" t="n">
        <f aca="false">IF(ISNUMBER(AU277),AU277+AU278-AU289-AU290-AU291,"n/a")</f>
        <v>533.04</v>
      </c>
      <c r="AV322" s="46" t="n">
        <f aca="false">IF(ISNUMBER(AV277),AV277+AV278-AV289-AV290-AV291,"n/a")</f>
        <v>422.749</v>
      </c>
      <c r="AW322" s="46" t="n">
        <f aca="false">IF(ISNUMBER(AW277),AW277+AW278-AW289-AW290-AW291,"n/a")</f>
        <v>422.749</v>
      </c>
      <c r="AX322" s="46" t="n">
        <f aca="false">IF(ISNUMBER(AX277),AX277+AX278-AX289-AX290-AX291,"n/a")</f>
        <v>556.138</v>
      </c>
      <c r="AY322" s="46" t="n">
        <f aca="false">IF(ISNUMBER(AY277),AY277+AY278-AY289-AY290-AY291,"n/a")</f>
        <v>530.903</v>
      </c>
      <c r="AZ322" s="46" t="n">
        <f aca="false">IF(ISNUMBER(AZ277),AZ277+AZ278-AZ289-AZ290-AZ291,"n/a")</f>
        <v>553.971</v>
      </c>
      <c r="BA322" s="46" t="n">
        <f aca="false">IF(ISNUMBER(BA277),BA277+BA278-BA289-BA290-BA291,"n/a")</f>
        <v>442.452</v>
      </c>
      <c r="BB322" s="46" t="n">
        <f aca="false">IF(ISNUMBER(BB277),BB277+BB278-BB289-BB290-BB291,"n/a")</f>
        <v>442.452</v>
      </c>
      <c r="BC322" s="46" t="n">
        <f aca="false">IF(ISNUMBER(BC277),BC277+BC278-BC289-BC290-BC291,"n/a")</f>
        <v>606.723</v>
      </c>
      <c r="BD322" s="46" t="n">
        <f aca="false">IF(ISNUMBER(BD277),BD277+BD278-BD289-BD290-BD291,"n/a")</f>
        <v>661.939</v>
      </c>
      <c r="BE322" s="46" t="n">
        <f aca="false">IF(ISNUMBER(BE277),BE277+BE278-BE289-BE290-BE291,"n/a")</f>
        <v>673.794</v>
      </c>
      <c r="BF322" s="46" t="n">
        <f aca="false">IF(ISNUMBER(BF277),BF277+BF278-BF289-BF290-BF291,"n/a")</f>
        <v>521.172</v>
      </c>
      <c r="BG322" s="46" t="n">
        <f aca="false">IF(ISNUMBER(BG277),BG277+BG278-BG289-BG290-BG291,"n/a")</f>
        <v>521.172</v>
      </c>
      <c r="BH322" s="46" t="n">
        <f aca="false">IF(ISNUMBER(BH277),BH277+BH278-BH289-BH290-BH291,"n/a")</f>
        <v>652.447</v>
      </c>
      <c r="BI322" s="46" t="n">
        <f aca="false">IF(ISNUMBER(BI277),BI277+BI278-BI289-BI290-BI291,"n/a")</f>
        <v>654.687</v>
      </c>
      <c r="BJ322" s="46" t="n">
        <f aca="false">IF(ISNUMBER(BJ277),BJ277+BJ278-BJ289-BJ290-BJ291,"n/a")</f>
        <v>635.834</v>
      </c>
      <c r="BK322" s="46" t="n">
        <f aca="false">IF(ISNUMBER(BK277),BK277+BK278-BK289-BK290-BK291,"n/a")</f>
        <v>506.967</v>
      </c>
      <c r="BL322" s="46" t="n">
        <f aca="false">IF(ISNUMBER(BL277),BL277+BL278-BL289-BL290-BL291,"n/a")</f>
        <v>506.967</v>
      </c>
      <c r="BM322" s="46" t="n">
        <f aca="false">IF(ISNUMBER(BM277),BM277+BM278-BM289-BM290-BM291,"n/a")</f>
        <v>640.247</v>
      </c>
      <c r="BN322" s="46" t="n">
        <f aca="false">IF(ISNUMBER(BN277),BN277+BN278-BN289-BN290-BN291,"n/a")</f>
        <v>651.393</v>
      </c>
      <c r="BO322" s="46" t="n">
        <f aca="false">IF(ISNUMBER(BO277),BO277+BO278-BO289-BO290-BO291,"n/a")</f>
        <v>630.912</v>
      </c>
      <c r="BP322" s="46" t="n">
        <f aca="false">IF(ISNUMBER(BP277),BP277+BP278-BP289-BP290-BP291,"n/a")</f>
        <v>450.819</v>
      </c>
      <c r="BQ322" s="46" t="n">
        <f aca="false">IF(ISNUMBER(BQ277),BQ277+BQ278-BQ289-BQ290-BQ291,"n/a")</f>
        <v>450.819</v>
      </c>
      <c r="BR322" s="46" t="n">
        <f aca="false">IF(ISNUMBER(BR277),BR277+BR278-BR289-BR290-BR291,"n/a")</f>
        <v>622.903</v>
      </c>
      <c r="BS322" s="46" t="n">
        <f aca="false">IF(ISNUMBER(BS277),BS277+BS278-BS289-BS290-BS291,"n/a")</f>
        <v>632.39</v>
      </c>
      <c r="BT322" s="46" t="n">
        <f aca="false">IF(ISNUMBER(BT277),BT277+BT278-BT289-BT290-BT291,"n/a")</f>
        <v>612.23</v>
      </c>
      <c r="BU322" s="46" t="n">
        <f aca="false">IF(ISNUMBER(BU277),BU277+BU278-BU289-BU290-BU291,"n/a")</f>
        <v>432.744</v>
      </c>
      <c r="BV322" s="46" t="n">
        <f aca="false">IF(ISNUMBER(BV277),BV277+BV278-BV289-BV290-BV291,"n/a")</f>
        <v>432.744</v>
      </c>
      <c r="BW322" s="46" t="n">
        <f aca="false">IF(ISNUMBER(BW277),BW277+BW278-BW289-BW290-BW291,"n/a")</f>
        <v>587.572</v>
      </c>
      <c r="BX322" s="46" t="n">
        <f aca="false">IF(ISNUMBER(BX277),BX277+BX278-BX289-BX290-BX291,"n/a")</f>
        <v>570.357</v>
      </c>
      <c r="CA322" s="25" t="n">
        <f aca="false">IF(ISNUMBER(CA277),CA277+CA278-CA289-CA290-CA291,"n/a")</f>
        <v>400.153356624268</v>
      </c>
      <c r="CB322" s="25" t="n">
        <f aca="false">IF(ISNUMBER(CB277),CB277+CB278-CB289-CB290-CB291,"n/a")</f>
        <v>429.128263189555</v>
      </c>
      <c r="CC322" s="25" t="n">
        <f aca="false">IF(ISNUMBER(CC277),CC277+CC278-CC289-CC290-CC291,"n/a")</f>
        <v>466.990421267494</v>
      </c>
      <c r="CD322" s="25" t="n">
        <f aca="false">IF(ISNUMBER(CD277),CD277+CD278-CD289-CD290-CD291,"n/a")</f>
        <v>505.383625143368</v>
      </c>
      <c r="CE322" s="25" t="n">
        <f aca="false">IF(ISNUMBER(CE277),CE277+CE278-CE289-CE290-CE291,"n/a")</f>
        <v>546.059434776253</v>
      </c>
    </row>
    <row r="323" customFormat="false" ht="15" hidden="false" customHeight="false" outlineLevel="0" collapsed="false">
      <c r="B323" s="20" t="s">
        <v>529</v>
      </c>
      <c r="C323" s="27" t="n">
        <f aca="false">IFERROR(C322/(C114*1),"n/a")</f>
        <v>0.16491141866623</v>
      </c>
      <c r="D323" s="27" t="n">
        <f aca="false">IFERROR(D322/(D114*1),"n/a")</f>
        <v>0.181277965786584</v>
      </c>
      <c r="E323" s="27" t="n">
        <f aca="false">IFERROR(E322/(E114*1),"n/a")</f>
        <v>0.160363141617581</v>
      </c>
      <c r="F323" s="27" t="n">
        <f aca="false">IFERROR(F322/(F114*1),"n/a")</f>
        <v>0.166729660881145</v>
      </c>
      <c r="G323" s="27" t="n">
        <f aca="false">IFERROR(G322/(G114*1),"n/a")</f>
        <v>0.191649930749752</v>
      </c>
      <c r="H323" s="27" t="n">
        <f aca="false">IFERROR(H322/(H114*1),"n/a")</f>
        <v>0.204911081577115</v>
      </c>
      <c r="I323" s="27" t="n">
        <f aca="false">IFERROR(I322/(I114*1),"n/a")</f>
        <v>0.245632869273057</v>
      </c>
      <c r="J323" s="27" t="n">
        <f aca="false">IFERROR(J322/(J114*4),"n/a")</f>
        <v>0.246107135806927</v>
      </c>
      <c r="K323" s="27" t="n">
        <f aca="false">IFERROR(K322/(K114*4),"n/a")</f>
        <v>0.2356448330627</v>
      </c>
      <c r="L323" s="27" t="n">
        <f aca="false">IFERROR(L322/(L114*4),"n/a")</f>
        <v>0.23564887033914</v>
      </c>
      <c r="M323" s="27" t="n">
        <f aca="false">IFERROR(M322/(M114*4),"n/a")</f>
        <v>0.20059880239521</v>
      </c>
      <c r="N323" s="27" t="n">
        <f aca="false">IFERROR(N322/(N114*1),"n/a")</f>
        <v>0.223620553208556</v>
      </c>
      <c r="O323" s="27" t="n">
        <f aca="false">IFERROR(O322/(O114*4),"n/a")</f>
        <v>0.246319058577014</v>
      </c>
      <c r="P323" s="27" t="n">
        <f aca="false">IFERROR(P322/(P114*4),"n/a")</f>
        <v>0.226376423093193</v>
      </c>
      <c r="Q323" s="27" t="n">
        <f aca="false">IFERROR(Q322/(Q114*4),"n/a")</f>
        <v>0.220070724619031</v>
      </c>
      <c r="R323" s="27" t="n">
        <f aca="false">IFERROR(R322/(R114*4),"n/a")</f>
        <v>0.178686258483442</v>
      </c>
      <c r="S323" s="27" t="n">
        <f aca="false">IFERROR(S322/(S114*1),"n/a")</f>
        <v>0.182447619973198</v>
      </c>
      <c r="T323" s="27" t="n">
        <f aca="false">IFERROR(T322/(T114*4),"n/a")</f>
        <v>0.226003709270797</v>
      </c>
      <c r="U323" s="27" t="n">
        <f aca="false">IFERROR(U322/(U114*4),"n/a")</f>
        <v>0.272728606697799</v>
      </c>
      <c r="V323" s="27" t="n">
        <f aca="false">IFERROR(V322/(V114*4),"n/a")</f>
        <v>0.257410067835634</v>
      </c>
      <c r="W323" s="27" t="n">
        <f aca="false">IFERROR(W322/(W114*4),"n/a")</f>
        <v>0.199174529303361</v>
      </c>
      <c r="X323" s="27" t="n">
        <f aca="false">IFERROR(X322/(X114*1),"n/a")</f>
        <v>0.212659752103997</v>
      </c>
      <c r="Y323" s="27" t="n">
        <f aca="false">IFERROR(Y322/(Y114*4),"n/a")</f>
        <v>0.233613435364354</v>
      </c>
      <c r="Z323" s="27" t="n">
        <f aca="false">IFERROR(Z322/(Z114*4),"n/a")</f>
        <v>0.207162243836881</v>
      </c>
      <c r="AA323" s="27" t="n">
        <f aca="false">IFERROR(AA322/(AA114*4),"n/a")</f>
        <v>0.204673905326844</v>
      </c>
      <c r="AB323" s="27" t="n">
        <f aca="false">IFERROR(AB322/(AB114*4),"n/a")</f>
        <v>0.155482737646888</v>
      </c>
      <c r="AC323" s="27" t="n">
        <f aca="false">IFERROR(AC322/(AC114*1),"n/a")</f>
        <v>0.166787343919739</v>
      </c>
      <c r="AD323" s="27" t="n">
        <f aca="false">IFERROR(AD322/(AD114*4),"n/a")</f>
        <v>0.216670072633028</v>
      </c>
      <c r="AE323" s="27" t="n">
        <f aca="false">IFERROR(AE322/(AE114*4),"n/a")</f>
        <v>0.194188174818067</v>
      </c>
      <c r="AF323" s="27" t="n">
        <f aca="false">IFERROR(AF322/(AF114*4),"n/a")</f>
        <v>0.194285623726671</v>
      </c>
      <c r="AG323" s="27" t="n">
        <f aca="false">IFERROR(AG322/(AG114*4),"n/a")</f>
        <v>0.132099215370309</v>
      </c>
      <c r="AH323" s="27" t="n">
        <f aca="false">IFERROR(AH322/(AH114*1),"n/a")</f>
        <v>0.142365609200423</v>
      </c>
      <c r="AI323" s="27" t="n">
        <f aca="false">IFERROR(AI322/(AI114*4),"n/a")</f>
        <v>0.19158910509532</v>
      </c>
      <c r="AJ323" s="27" t="n">
        <f aca="false">IFERROR(AJ322/(AJ114*4),"n/a")</f>
        <v>0.189173590757991</v>
      </c>
      <c r="AK323" s="27" t="n">
        <f aca="false">IFERROR(AK322/(AK114*4),"n/a")</f>
        <v>0.211112660041351</v>
      </c>
      <c r="AL323" s="27" t="n">
        <f aca="false">IFERROR(AL322/(AL114*4),"n/a")</f>
        <v>0.146748028898187</v>
      </c>
      <c r="AM323" s="27" t="n">
        <f aca="false">IFERROR(AM322/(AM114*1),"n/a")</f>
        <v>0.157861545254962</v>
      </c>
      <c r="AN323" s="27" t="n">
        <f aca="false">IFERROR(AN322/(AN114*4),"n/a")</f>
        <v>0.22572426052283</v>
      </c>
      <c r="AO323" s="27" t="n">
        <f aca="false">IFERROR(AO322/(AO114*4),"n/a")</f>
        <v>0.202319732830878</v>
      </c>
      <c r="AP323" s="27" t="n">
        <f aca="false">IFERROR(AP322/(AP114*4),"n/a")</f>
        <v>0.206506554124382</v>
      </c>
      <c r="AQ323" s="27" t="n">
        <f aca="false">IFERROR(AQ322/(AQ114*4),"n/a")</f>
        <v>0.150269682556868</v>
      </c>
      <c r="AR323" s="27" t="n">
        <f aca="false">IFERROR(AR322/(AR114*1),"n/a")</f>
        <v>0.158430940034832</v>
      </c>
      <c r="AS323" s="27" t="n">
        <f aca="false">IFERROR(AS322/(AS114*4),"n/a")</f>
        <v>0.226467031806411</v>
      </c>
      <c r="AT323" s="27" t="n">
        <f aca="false">IFERROR(AT322/(AT114*4),"n/a")</f>
        <v>0.225657989226375</v>
      </c>
      <c r="AU323" s="27" t="n">
        <f aca="false">IFERROR(AU322/(AU114*4),"n/a")</f>
        <v>0.233129349526079</v>
      </c>
      <c r="AV323" s="27" t="n">
        <f aca="false">IFERROR(AV322/(AV114*4),"n/a")</f>
        <v>0.158109355458348</v>
      </c>
      <c r="AW323" s="27" t="n">
        <f aca="false">IFERROR(AW322/(AW114*1),"n/a")</f>
        <v>0.176783605482458</v>
      </c>
      <c r="AX323" s="27" t="n">
        <f aca="false">IFERROR(AX322/(AX114*4),"n/a")</f>
        <v>0.232865596197361</v>
      </c>
      <c r="AY323" s="27" t="n">
        <f aca="false">IFERROR(AY322/(AY114*4),"n/a")</f>
        <v>0.213558837963298</v>
      </c>
      <c r="AZ323" s="27" t="n">
        <f aca="false">IFERROR(AZ322/(AZ114*4),"n/a")</f>
        <v>0.223152610538833</v>
      </c>
      <c r="BA323" s="27" t="n">
        <f aca="false">IFERROR(BA322/(BA114*4),"n/a")</f>
        <v>0.165896772142217</v>
      </c>
      <c r="BB323" s="27" t="n">
        <f aca="false">IFERROR(BB322/(BB114*1),"n/a")</f>
        <v>0.176561924490339</v>
      </c>
      <c r="BC323" s="27" t="n">
        <f aca="false">IFERROR(BC322/(BC114*4),"n/a")</f>
        <v>0.271119434598658</v>
      </c>
      <c r="BD323" s="27" t="n">
        <f aca="false">IFERROR(BD322/(BD114*4),"n/a")</f>
        <v>0.271572739789647</v>
      </c>
      <c r="BE323" s="27" t="n">
        <f aca="false">IFERROR(BE322/(BE114*4),"n/a")</f>
        <v>0.267148738704162</v>
      </c>
      <c r="BF323" s="27" t="n">
        <f aca="false">IFERROR(BF322/(BF114*4),"n/a")</f>
        <v>0.171966502346024</v>
      </c>
      <c r="BG323" s="27" t="n">
        <f aca="false">IFERROR(BG322/(BG114*1),"n/a")</f>
        <v>0.203819673253097</v>
      </c>
      <c r="BH323" s="27" t="n">
        <f aca="false">IFERROR(BH322/(BH114*4),"n/a")</f>
        <v>0.258554592144057</v>
      </c>
      <c r="BI323" s="27" t="n">
        <f aca="false">IFERROR(BI322/(BI114*4),"n/a")</f>
        <v>0.232357580111188</v>
      </c>
      <c r="BJ323" s="27" t="n">
        <f aca="false">IFERROR(BJ322/(BJ114*4),"n/a")</f>
        <v>0.219457122897701</v>
      </c>
      <c r="BK323" s="27" t="n">
        <f aca="false">IFERROR(BK322/(BK114*4),"n/a")</f>
        <v>0.161291933860276</v>
      </c>
      <c r="BL323" s="27" t="n">
        <f aca="false">IFERROR(BL322/(BL114*1),"n/a")</f>
        <v>0.178172422385396</v>
      </c>
      <c r="BM323" s="27" t="n">
        <f aca="false">IFERROR(BM322/(BM114*4),"n/a")</f>
        <v>0.224437964740376</v>
      </c>
      <c r="BN323" s="27" t="n">
        <f aca="false">IFERROR(BN322/(BN114*4),"n/a")</f>
        <v>0.207505246619801</v>
      </c>
      <c r="BO323" s="27" t="n">
        <f aca="false">IFERROR(BO322/(BO114*4),"n/a")</f>
        <v>0.19742702004461</v>
      </c>
      <c r="BP323" s="27" t="n">
        <f aca="false">IFERROR(BP322/(BP114*4),"n/a")</f>
        <v>0.136725673378923</v>
      </c>
      <c r="BQ323" s="27" t="n">
        <f aca="false">IFERROR(BQ322/(BQ114*1),"n/a")</f>
        <v>0.144438225304523</v>
      </c>
      <c r="BR323" s="27" t="n">
        <f aca="false">IFERROR(BR322/(BR114*4),"n/a")</f>
        <v>0.193293261920573</v>
      </c>
      <c r="BS323" s="27" t="n">
        <f aca="false">IFERROR(BS322/(BS114*4),"n/a")</f>
        <v>0.180358006607528</v>
      </c>
      <c r="BT323" s="27" t="n">
        <f aca="false">IFERROR(BT322/(BT114*4),"n/a")</f>
        <v>0.17609616070504</v>
      </c>
      <c r="BU323" s="27" t="n">
        <f aca="false">IFERROR(BU322/(BU114*4),"n/a")</f>
        <v>0.114243052394927</v>
      </c>
      <c r="BV323" s="27" t="n">
        <f aca="false">IFERROR(BV322/(BV114*1),"n/a")</f>
        <v>0.123698680414776</v>
      </c>
      <c r="BW323" s="27" t="n">
        <f aca="false">IFERROR(BW322/(BW114*4),"n/a")</f>
        <v>0.160769497650727</v>
      </c>
      <c r="BX323" s="27" t="n">
        <f aca="false">IFERROR(BX322/(BX114*4),"n/a")</f>
        <v>0.154316034060311</v>
      </c>
      <c r="CA323" s="22" t="n">
        <f aca="false">IFERROR(CA322/(CA114*1),"n/a")</f>
        <v>0.105567433484835</v>
      </c>
      <c r="CB323" s="22" t="n">
        <f aca="false">IFERROR(CB322/(CB114*1),"n/a")</f>
        <v>0.104365062305938</v>
      </c>
      <c r="CC323" s="22" t="n">
        <f aca="false">IFERROR(CC322/(CC114*1),"n/a")</f>
        <v>0.103934629890093</v>
      </c>
      <c r="CD323" s="22" t="n">
        <f aca="false">IFERROR(CD322/(CD114*1),"n/a")</f>
        <v>0.103626761027265</v>
      </c>
      <c r="CE323" s="22" t="n">
        <f aca="false">IFERROR(CE322/(CE114*1),"n/a")</f>
        <v>0.103346874297305</v>
      </c>
    </row>
    <row r="324" customFormat="false" ht="15" hidden="false" customHeight="false" outlineLevel="0" collapsed="false">
      <c r="B324" s="20" t="s">
        <v>530</v>
      </c>
      <c r="D324" s="46" t="n">
        <f aca="false">IFERROR(D322-C322,"n/a")</f>
        <v>77.175</v>
      </c>
      <c r="E324" s="46" t="n">
        <f aca="false">IFERROR(E322-D322,"n/a")</f>
        <v>4.87</v>
      </c>
      <c r="F324" s="46" t="n">
        <f aca="false">IFERROR(F322-E322,"n/a")</f>
        <v>8.24199999999996</v>
      </c>
      <c r="G324" s="46" t="n">
        <f aca="false">IFERROR(G322-F322,"n/a")</f>
        <v>61.0900000000001</v>
      </c>
      <c r="H324" s="46" t="n">
        <f aca="false">IFERROR(H322-G322,"n/a")</f>
        <v>58.0949999999998</v>
      </c>
      <c r="I324" s="46" t="n">
        <f aca="false">IFERROR(I322-H322,"n/a")</f>
        <v>94.3540000000002</v>
      </c>
      <c r="N324" s="46" t="n">
        <f aca="false">IFERROR(N322-I322,"n/a")</f>
        <v>46.1920000000001</v>
      </c>
      <c r="O324" s="46" t="n">
        <f aca="false">IFERROR(O322-J322,"n/a")</f>
        <v>48.5100000000001</v>
      </c>
      <c r="P324" s="46" t="n">
        <f aca="false">IFERROR(P322-K322,"n/a")</f>
        <v>8.58000000000004</v>
      </c>
      <c r="Q324" s="46" t="n">
        <f aca="false">IFERROR(Q322-L322,"n/a")</f>
        <v>-73.673</v>
      </c>
      <c r="R324" s="46" t="n">
        <f aca="false">IFERROR(R322-M322,"n/a")</f>
        <v>-152.207</v>
      </c>
      <c r="S324" s="46" t="n">
        <f aca="false">IFERROR(S322-N322,"n/a")</f>
        <v>-152.207</v>
      </c>
      <c r="T324" s="46" t="n">
        <f aca="false">IFERROR(T322-O322,"n/a")</f>
        <v>-138.196</v>
      </c>
      <c r="U324" s="46" t="n">
        <f aca="false">IFERROR(U322-P322,"n/a")</f>
        <v>3.96100000000013</v>
      </c>
      <c r="V324" s="46" t="n">
        <f aca="false">IFERROR(V322-Q322,"n/a")</f>
        <v>48.5989999999999</v>
      </c>
      <c r="W324" s="46" t="n">
        <f aca="false">IFERROR(W322-R322,"n/a")</f>
        <v>59.8069999999998</v>
      </c>
      <c r="X324" s="46" t="n">
        <f aca="false">IFERROR(X322-S322,"n/a")</f>
        <v>59.8069999999998</v>
      </c>
      <c r="Y324" s="46" t="n">
        <f aca="false">IFERROR(Y322-T322,"n/a")</f>
        <v>-23.268</v>
      </c>
      <c r="Z324" s="46" t="n">
        <f aca="false">IFERROR(Z322-U322,"n/a")</f>
        <v>-153.284</v>
      </c>
      <c r="AA324" s="46" t="n">
        <f aca="false">IFERROR(AA322-V322,"n/a")</f>
        <v>-125.958</v>
      </c>
      <c r="AB324" s="46" t="n">
        <f aca="false">IFERROR(AB322-W322,"n/a")</f>
        <v>-117.317</v>
      </c>
      <c r="AC324" s="46" t="n">
        <f aca="false">IFERROR(AC322-X322,"n/a")</f>
        <v>-117.317</v>
      </c>
      <c r="AD324" s="46" t="n">
        <f aca="false">IFERROR(AD322-Y322,"n/a")</f>
        <v>-16.718</v>
      </c>
      <c r="AE324" s="46" t="n">
        <f aca="false">IFERROR(AE322-Z322,"n/a")</f>
        <v>-0.549999999999898</v>
      </c>
      <c r="AF324" s="46" t="n">
        <f aca="false">IFERROR(AF322-AA322,"n/a")</f>
        <v>26.186</v>
      </c>
      <c r="AG324" s="46" t="n">
        <f aca="false">IFERROR(AG322-AB322,"n/a")</f>
        <v>-28.4269999999998</v>
      </c>
      <c r="AH324" s="46" t="n">
        <f aca="false">IFERROR(AH322-AC322,"n/a")</f>
        <v>-28.4269999999998</v>
      </c>
      <c r="AI324" s="46" t="n">
        <f aca="false">IFERROR(AI322-AD322,"n/a")</f>
        <v>-34.189</v>
      </c>
      <c r="AJ324" s="46" t="n">
        <f aca="false">IFERROR(AJ322-AE322,"n/a")</f>
        <v>28.4499999999999</v>
      </c>
      <c r="AK324" s="46" t="n">
        <f aca="false">IFERROR(AK322-AF322,"n/a")</f>
        <v>61.4399999999998</v>
      </c>
      <c r="AL324" s="46" t="n">
        <f aca="false">IFERROR(AL322-AG322,"n/a")</f>
        <v>57.42</v>
      </c>
      <c r="AM324" s="46" t="n">
        <f aca="false">IFERROR(AM322-AH322,"n/a")</f>
        <v>57.42</v>
      </c>
      <c r="AN324" s="46" t="n">
        <f aca="false">IFERROR(AN322-AI322,"n/a")</f>
        <v>102.561</v>
      </c>
      <c r="AO324" s="46" t="n">
        <f aca="false">IFERROR(AO322-AJ322,"n/a")</f>
        <v>47.7500000000001</v>
      </c>
      <c r="AP324" s="46" t="n">
        <f aca="false">IFERROR(AP322-AK322,"n/a")</f>
        <v>5.12700000000007</v>
      </c>
      <c r="AQ324" s="46" t="n">
        <f aca="false">IFERROR(AQ322-AL322,"n/a")</f>
        <v>13.4339999999999</v>
      </c>
      <c r="AR324" s="46" t="n">
        <f aca="false">IFERROR(AR322-AM322,"n/a")</f>
        <v>13.4339999999999</v>
      </c>
      <c r="AS324" s="46" t="n">
        <f aca="false">IFERROR(AS322-AN322,"n/a")</f>
        <v>22.4779999999998</v>
      </c>
      <c r="AT324" s="46" t="n">
        <f aca="false">IFERROR(AT322-AO322,"n/a")</f>
        <v>-20.6360000000002</v>
      </c>
      <c r="AU324" s="46" t="n">
        <f aca="false">IFERROR(AU322-AP322,"n/a")</f>
        <v>25.133</v>
      </c>
      <c r="AV324" s="46" t="n">
        <f aca="false">IFERROR(AV322-AQ322,"n/a")</f>
        <v>28.5790000000001</v>
      </c>
      <c r="AW324" s="46" t="n">
        <f aca="false">IFERROR(AW322-AR322,"n/a")</f>
        <v>28.5790000000001</v>
      </c>
      <c r="AX324" s="46" t="n">
        <f aca="false">IFERROR(AX322-AS322,"n/a")</f>
        <v>11.5020000000002</v>
      </c>
      <c r="AY324" s="46" t="n">
        <f aca="false">IFERROR(AY322-AT322,"n/a")</f>
        <v>34.4130000000001</v>
      </c>
      <c r="AZ324" s="46" t="n">
        <f aca="false">IFERROR(AZ322-AU322,"n/a")</f>
        <v>20.931</v>
      </c>
      <c r="BA324" s="46" t="n">
        <f aca="false">IFERROR(BA322-AV322,"n/a")</f>
        <v>19.7030000000001</v>
      </c>
      <c r="BB324" s="46" t="n">
        <f aca="false">IFERROR(BB322-AW322,"n/a")</f>
        <v>19.7030000000001</v>
      </c>
      <c r="BC324" s="46" t="n">
        <f aca="false">IFERROR(BC322-AX322,"n/a")</f>
        <v>50.5849999999999</v>
      </c>
      <c r="BD324" s="46" t="n">
        <f aca="false">IFERROR(BD322-AY322,"n/a")</f>
        <v>131.036</v>
      </c>
      <c r="BE324" s="46" t="n">
        <f aca="false">IFERROR(BE322-AZ322,"n/a")</f>
        <v>119.823</v>
      </c>
      <c r="BF324" s="46" t="n">
        <f aca="false">IFERROR(BF322-BA322,"n/a")</f>
        <v>78.7199999999999</v>
      </c>
      <c r="BG324" s="46" t="n">
        <f aca="false">IFERROR(BG322-BB322,"n/a")</f>
        <v>78.7199999999999</v>
      </c>
      <c r="BH324" s="46" t="n">
        <f aca="false">IFERROR(BH322-BC322,"n/a")</f>
        <v>45.7239999999998</v>
      </c>
      <c r="BI324" s="46" t="n">
        <f aca="false">IFERROR(BI322-BD322,"n/a")</f>
        <v>-7.25199999999995</v>
      </c>
      <c r="BJ324" s="46" t="n">
        <f aca="false">IFERROR(BJ322-BE322,"n/a")</f>
        <v>-37.96</v>
      </c>
      <c r="BK324" s="46" t="n">
        <f aca="false">IFERROR(BK322-BF322,"n/a")</f>
        <v>-14.205</v>
      </c>
      <c r="BL324" s="46" t="n">
        <f aca="false">IFERROR(BL322-BG322,"n/a")</f>
        <v>-14.205</v>
      </c>
      <c r="BM324" s="46" t="n">
        <f aca="false">IFERROR(BM322-BH322,"n/a")</f>
        <v>-12.1999999999998</v>
      </c>
      <c r="BN324" s="46" t="n">
        <f aca="false">IFERROR(BN322-BI322,"n/a")</f>
        <v>-3.2940000000001</v>
      </c>
      <c r="BO324" s="46" t="n">
        <f aca="false">IFERROR(BO322-BJ322,"n/a")</f>
        <v>-4.9219999999998</v>
      </c>
      <c r="BP324" s="46" t="n">
        <f aca="false">IFERROR(BP322-BK322,"n/a")</f>
        <v>-56.1479999999999</v>
      </c>
      <c r="BQ324" s="46" t="n">
        <f aca="false">IFERROR(BQ322-BL322,"n/a")</f>
        <v>-56.1479999999999</v>
      </c>
      <c r="BR324" s="46" t="n">
        <f aca="false">IFERROR(BR322-BM322,"n/a")</f>
        <v>-17.3440000000001</v>
      </c>
      <c r="BS324" s="46" t="n">
        <f aca="false">IFERROR(BS322-BN322,"n/a")</f>
        <v>-19.0029999999998</v>
      </c>
      <c r="BT324" s="46" t="n">
        <f aca="false">IFERROR(BT322-BO322,"n/a")</f>
        <v>-18.6820000000002</v>
      </c>
      <c r="BU324" s="46" t="n">
        <f aca="false">IFERROR(BU322-BP322,"n/a")</f>
        <v>-18.0750000000002</v>
      </c>
      <c r="BV324" s="46" t="n">
        <f aca="false">IFERROR(BV322-BQ322,"n/a")</f>
        <v>-18.0750000000002</v>
      </c>
      <c r="BW324" s="46" t="n">
        <f aca="false">IFERROR(BW322-BR322,"n/a")</f>
        <v>-35.3310000000002</v>
      </c>
      <c r="BX324" s="46" t="n">
        <f aca="false">IFERROR(BX322-BS322,"n/a")</f>
        <v>-62.0330000000004</v>
      </c>
      <c r="CA324" s="25" t="n">
        <f aca="false">IFERROR(CA322-BV322,"n/a")</f>
        <v>-32.590643375732</v>
      </c>
      <c r="CB324" s="25" t="n">
        <f aca="false">IFERROR(CB322-CA322,"n/a")</f>
        <v>28.9749065652867</v>
      </c>
      <c r="CC324" s="25" t="n">
        <f aca="false">IFERROR(CC322-CB322,"n/a")</f>
        <v>37.8621580779393</v>
      </c>
      <c r="CD324" s="25" t="n">
        <f aca="false">IFERROR(CD322-CC322,"n/a")</f>
        <v>38.393203875874</v>
      </c>
      <c r="CE324" s="25" t="n">
        <f aca="false">IFERROR(CE322-CD322,"n/a")</f>
        <v>40.6758096328853</v>
      </c>
    </row>
    <row r="326" customFormat="false" ht="15" hidden="false" customHeight="false" outlineLevel="0" collapsed="false">
      <c r="B326" s="8" t="s">
        <v>531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8" t="s">
        <v>532</v>
      </c>
    </row>
    <row r="327" customFormat="false" ht="15" hidden="false" customHeight="false" outlineLevel="0" collapsed="false">
      <c r="B327" s="13" t="s">
        <v>533</v>
      </c>
    </row>
    <row r="328" customFormat="false" ht="15" hidden="false" customHeight="false" outlineLevel="0" collapsed="false">
      <c r="B328" s="15" t="s">
        <v>534</v>
      </c>
      <c r="C328" s="31" t="n">
        <f aca="false">N(C292)+N(C295)</f>
        <v>364.874</v>
      </c>
      <c r="D328" s="31" t="n">
        <f aca="false">N(D292)+N(D295)</f>
        <v>511.904</v>
      </c>
      <c r="E328" s="31" t="n">
        <f aca="false">N(E292)+N(E295)</f>
        <v>516.709</v>
      </c>
      <c r="F328" s="31" t="n">
        <f aca="false">N(F292)+N(F295)</f>
        <v>465.093</v>
      </c>
      <c r="G328" s="31" t="n">
        <f aca="false">N(G292)+N(G295)</f>
        <v>396.644</v>
      </c>
      <c r="H328" s="31" t="n">
        <f aca="false">N(H292)+N(H295)</f>
        <v>586.43</v>
      </c>
      <c r="I328" s="31" t="n">
        <f aca="false">N(I292)+N(I295)</f>
        <v>880.215</v>
      </c>
      <c r="J328" s="31" t="n">
        <f aca="false">N(J292)+N(J295)</f>
        <v>987.92</v>
      </c>
      <c r="K328" s="31" t="n">
        <f aca="false">N(K292)+N(K295)</f>
        <v>947.982</v>
      </c>
      <c r="L328" s="31" t="n">
        <f aca="false">N(L292)+N(L295)</f>
        <v>920.005</v>
      </c>
      <c r="M328" s="31" t="n">
        <f aca="false">N(M292)+N(M295)</f>
        <v>959.938</v>
      </c>
      <c r="N328" s="31" t="n">
        <f aca="false">N(N292)+N(N295)</f>
        <v>959.938</v>
      </c>
      <c r="O328" s="31" t="n">
        <f aca="false">N(O292)+N(O295)</f>
        <v>972.035</v>
      </c>
      <c r="P328" s="31" t="n">
        <f aca="false">N(P292)+N(P295)</f>
        <v>934.264</v>
      </c>
      <c r="Q328" s="31" t="n">
        <f aca="false">N(Q292)+N(Q295)</f>
        <v>936.612</v>
      </c>
      <c r="R328" s="31" t="n">
        <f aca="false">N(R292)+N(R295)</f>
        <v>954.348</v>
      </c>
      <c r="S328" s="31" t="n">
        <f aca="false">N(S292)+N(S295)</f>
        <v>954.348</v>
      </c>
      <c r="T328" s="31" t="n">
        <f aca="false">N(T292)+N(T295)</f>
        <v>966.154</v>
      </c>
      <c r="U328" s="31" t="n">
        <f aca="false">N(U292)+N(U295)</f>
        <v>949.996</v>
      </c>
      <c r="V328" s="31" t="n">
        <f aca="false">N(V292)+N(V295)</f>
        <v>958.905</v>
      </c>
      <c r="W328" s="31" t="n">
        <f aca="false">N(W292)+N(W295)</f>
        <v>954.342</v>
      </c>
      <c r="X328" s="31" t="n">
        <f aca="false">N(X292)+N(X295)</f>
        <v>954.342</v>
      </c>
      <c r="Y328" s="31" t="n">
        <f aca="false">N(Y292)+N(Y295)</f>
        <v>967.78</v>
      </c>
      <c r="Z328" s="31" t="n">
        <f aca="false">N(Z292)+N(Z295)</f>
        <v>967.564</v>
      </c>
      <c r="AA328" s="31" t="n">
        <f aca="false">N(AA292)+N(AA295)</f>
        <v>966.842</v>
      </c>
      <c r="AB328" s="31" t="n">
        <f aca="false">N(AB292)+N(AB295)</f>
        <v>966.298</v>
      </c>
      <c r="AC328" s="31" t="n">
        <f aca="false">N(AC292)+N(AC295)</f>
        <v>966.298</v>
      </c>
      <c r="AD328" s="31" t="n">
        <f aca="false">N(AD292)+N(AD295)</f>
        <v>965.799</v>
      </c>
      <c r="AE328" s="31" t="n">
        <f aca="false">N(AE292)+N(AE295)</f>
        <v>965.63</v>
      </c>
      <c r="AF328" s="31" t="n">
        <f aca="false">N(AF292)+N(AF295)</f>
        <v>964.808</v>
      </c>
      <c r="AG328" s="31" t="n">
        <f aca="false">N(AG292)+N(AG295)</f>
        <v>814.139</v>
      </c>
      <c r="AH328" s="31" t="n">
        <f aca="false">N(AH292)+N(AH295)</f>
        <v>814.139</v>
      </c>
      <c r="AI328" s="31" t="n">
        <f aca="false">N(AI292)+N(AI295)</f>
        <v>814.558</v>
      </c>
      <c r="AJ328" s="31" t="n">
        <f aca="false">N(AJ292)+N(AJ295)</f>
        <v>814.109</v>
      </c>
      <c r="AK328" s="31" t="n">
        <f aca="false">N(AK292)+N(AK295)</f>
        <v>813.754</v>
      </c>
      <c r="AL328" s="31" t="n">
        <f aca="false">N(AL292)+N(AL295)</f>
        <v>762.556</v>
      </c>
      <c r="AM328" s="31" t="n">
        <f aca="false">N(AM292)+N(AM295)</f>
        <v>762.556</v>
      </c>
      <c r="AN328" s="31" t="n">
        <f aca="false">N(AN292)+N(AN295)</f>
        <v>762.055</v>
      </c>
      <c r="AO328" s="31" t="n">
        <f aca="false">N(AO292)+N(AO295)</f>
        <v>761.476</v>
      </c>
      <c r="AP328" s="31" t="n">
        <f aca="false">N(AP292)+N(AP295)</f>
        <v>761.137</v>
      </c>
      <c r="AQ328" s="31" t="n">
        <f aca="false">N(AQ292)+N(AQ295)</f>
        <v>760.639</v>
      </c>
      <c r="AR328" s="31" t="n">
        <f aca="false">N(AR292)+N(AR295)</f>
        <v>760.639</v>
      </c>
      <c r="AS328" s="31" t="n">
        <f aca="false">N(AS292)+N(AS295)</f>
        <v>906.647</v>
      </c>
      <c r="AT328" s="31" t="n">
        <f aca="false">N(AT292)+N(AT295)</f>
        <v>834.802</v>
      </c>
      <c r="AU328" s="31" t="n">
        <f aca="false">N(AU292)+N(AU295)</f>
        <v>1058.707</v>
      </c>
      <c r="AV328" s="31" t="n">
        <f aca="false">N(AV292)+N(AV295)</f>
        <v>1058.292</v>
      </c>
      <c r="AW328" s="31" t="n">
        <f aca="false">N(AW292)+N(AW295)</f>
        <v>1058.292</v>
      </c>
      <c r="AX328" s="31" t="n">
        <f aca="false">N(AX292)+N(AX295)</f>
        <v>1057.907</v>
      </c>
      <c r="AY328" s="31" t="n">
        <f aca="false">N(AY292)+N(AY295)</f>
        <v>1057.504</v>
      </c>
      <c r="AZ328" s="31" t="n">
        <f aca="false">N(AZ292)+N(AZ295)</f>
        <v>1057.101</v>
      </c>
      <c r="BA328" s="31" t="n">
        <f aca="false">N(BA292)+N(BA295)</f>
        <v>1050.61</v>
      </c>
      <c r="BB328" s="31" t="n">
        <f aca="false">N(BB292)+N(BB295)</f>
        <v>1050.61</v>
      </c>
      <c r="BC328" s="31" t="n">
        <f aca="false">N(BC292)+N(BC295)</f>
        <v>1170.244</v>
      </c>
      <c r="BD328" s="31" t="n">
        <f aca="false">N(BD292)+N(BD295)</f>
        <v>1209.077</v>
      </c>
      <c r="BE328" s="31" t="n">
        <f aca="false">N(BE292)+N(BE295)</f>
        <v>1343.711</v>
      </c>
      <c r="BF328" s="31" t="n">
        <f aca="false">N(BF292)+N(BF295)</f>
        <v>1254.4</v>
      </c>
      <c r="BG328" s="31" t="n">
        <f aca="false">N(BG292)+N(BG295)</f>
        <v>1254.4</v>
      </c>
      <c r="BH328" s="31" t="n">
        <f aca="false">N(BH292)+N(BH295)</f>
        <v>1229.619</v>
      </c>
      <c r="BI328" s="31" t="n">
        <f aca="false">N(BI292)+N(BI295)</f>
        <v>1176.066</v>
      </c>
      <c r="BJ328" s="31" t="n">
        <f aca="false">N(BJ292)+N(BJ295)</f>
        <v>1050.713</v>
      </c>
      <c r="BK328" s="31" t="n">
        <f aca="false">N(BK292)+N(BK295)</f>
        <v>1050.362</v>
      </c>
      <c r="BL328" s="31" t="n">
        <f aca="false">N(BL292)+N(BL295)</f>
        <v>1050.362</v>
      </c>
      <c r="BM328" s="31" t="n">
        <f aca="false">N(BM292)+N(BM295)</f>
        <v>1050.009</v>
      </c>
      <c r="BN328" s="31" t="n">
        <f aca="false">N(BN292)+N(BN295)</f>
        <v>1049.655</v>
      </c>
      <c r="BO328" s="31" t="n">
        <f aca="false">N(BO292)+N(BO295)</f>
        <v>1049.302</v>
      </c>
      <c r="BP328" s="31" t="n">
        <f aca="false">N(BP292)+N(BP295)</f>
        <v>1048.949</v>
      </c>
      <c r="BQ328" s="31" t="n">
        <f aca="false">N(BQ292)+N(BQ295)</f>
        <v>1048.949</v>
      </c>
      <c r="BR328" s="31" t="n">
        <f aca="false">N(BR292)+N(BR295)</f>
        <v>958.629</v>
      </c>
      <c r="BS328" s="31" t="n">
        <f aca="false">N(BS292)+N(BS295)</f>
        <v>958.381</v>
      </c>
      <c r="BT328" s="31" t="n">
        <f aca="false">N(BT292)+N(BT295)</f>
        <v>968.632</v>
      </c>
      <c r="BU328" s="31" t="n">
        <f aca="false">N(BU292)+N(BU295)</f>
        <v>957.884</v>
      </c>
      <c r="BV328" s="31" t="n">
        <f aca="false">N(BV292)+N(BV295)</f>
        <v>957.884</v>
      </c>
      <c r="BW328" s="31" t="n">
        <f aca="false">N(BW292)+N(BW295)</f>
        <v>957.635</v>
      </c>
      <c r="BX328" s="31" t="n">
        <f aca="false">N(BX292)+N(BX295)</f>
        <v>957.387</v>
      </c>
      <c r="CA328" s="17" t="n">
        <f aca="false">CA332+CA335</f>
        <v>757.387</v>
      </c>
      <c r="CB328" s="17" t="n">
        <f aca="false">CB332+CB335</f>
        <v>757.387</v>
      </c>
      <c r="CC328" s="17" t="n">
        <f aca="false">CC332+CC335</f>
        <v>768.42909925</v>
      </c>
      <c r="CD328" s="17" t="n">
        <f aca="false">CD332+CD335</f>
        <v>820.4232832925</v>
      </c>
      <c r="CE328" s="17" t="n">
        <f aca="false">CE332+CE335</f>
        <v>874.82262917305</v>
      </c>
      <c r="CF328" s="18" t="s">
        <v>535</v>
      </c>
    </row>
    <row r="329" customFormat="false" ht="15" hidden="false" customHeight="false" outlineLevel="0" collapsed="false">
      <c r="B329" s="20" t="s">
        <v>536</v>
      </c>
      <c r="CA329" s="41" t="n">
        <v>-200</v>
      </c>
      <c r="CB329" s="41" t="n">
        <v>0</v>
      </c>
      <c r="CC329" s="41" t="n">
        <v>-157.5</v>
      </c>
      <c r="CD329" s="41" t="n">
        <v>0</v>
      </c>
      <c r="CE329" s="41" t="n">
        <v>-150</v>
      </c>
      <c r="CF329" s="18" t="s">
        <v>537</v>
      </c>
    </row>
    <row r="330" customFormat="false" ht="15" hidden="false" customHeight="false" outlineLevel="0" collapsed="false">
      <c r="B330" s="20" t="s">
        <v>538</v>
      </c>
      <c r="CA330" s="38" t="n">
        <v>0</v>
      </c>
      <c r="CB330" s="38" t="n">
        <v>1</v>
      </c>
      <c r="CC330" s="38" t="n">
        <v>1</v>
      </c>
      <c r="CD330" s="38" t="n">
        <v>1</v>
      </c>
      <c r="CE330" s="38" t="n">
        <v>1</v>
      </c>
      <c r="CF330" s="18" t="s">
        <v>539</v>
      </c>
    </row>
    <row r="331" customFormat="false" ht="15" hidden="false" customHeight="false" outlineLevel="0" collapsed="false">
      <c r="B331" s="20" t="s">
        <v>540</v>
      </c>
      <c r="CA331" s="25" t="n">
        <f aca="false">-CA329*CA330</f>
        <v>0</v>
      </c>
      <c r="CB331" s="25" t="n">
        <f aca="false">-CB329*CB330</f>
        <v>-0</v>
      </c>
      <c r="CC331" s="25" t="n">
        <f aca="false">-CC329*CC330</f>
        <v>157.5</v>
      </c>
      <c r="CD331" s="25" t="n">
        <f aca="false">-CD329*CD330</f>
        <v>-0</v>
      </c>
      <c r="CE331" s="25" t="n">
        <f aca="false">-CE329*CE330</f>
        <v>150</v>
      </c>
    </row>
    <row r="332" customFormat="false" ht="15" hidden="false" customHeight="false" outlineLevel="0" collapsed="false">
      <c r="B332" s="20" t="s">
        <v>541</v>
      </c>
      <c r="BX332" s="46" t="n">
        <f aca="false">BX328</f>
        <v>957.387</v>
      </c>
      <c r="CA332" s="25" t="n">
        <f aca="false">BX332+CA329+CA331</f>
        <v>757.387</v>
      </c>
      <c r="CB332" s="25" t="n">
        <f aca="false">CA332+CB329+CB331</f>
        <v>757.387</v>
      </c>
      <c r="CC332" s="25" t="n">
        <f aca="false">CB332+CC329+CC331</f>
        <v>757.387</v>
      </c>
      <c r="CD332" s="25" t="n">
        <f aca="false">CC332+CD329+CD331</f>
        <v>757.387</v>
      </c>
      <c r="CE332" s="25" t="n">
        <f aca="false">CD332+CE329+CE331</f>
        <v>757.387</v>
      </c>
    </row>
    <row r="333" customFormat="false" ht="15" hidden="false" customHeight="false" outlineLevel="0" collapsed="false">
      <c r="B333" s="20" t="s">
        <v>542</v>
      </c>
      <c r="CA333" s="25" t="n">
        <f aca="false">CA252+CA236+CA242+CA245+CA246+CA247+CA248+CA250+CA329+CA331+($BW$243+$BX$243)+($BW$244+$BX$244)</f>
        <v>410.354045131843</v>
      </c>
      <c r="CB333" s="25" t="n">
        <f aca="false">CB252+CB236+CB242+CB245+CB246+CB247+CB248+CB250+CB329+CB331</f>
        <v>288.5965</v>
      </c>
      <c r="CC333" s="25" t="n">
        <f aca="false">CC252+CC236+CC242+CC245+CC246+CC247+CC248+CC250+CC329+CC331</f>
        <v>238.95790075</v>
      </c>
      <c r="CD333" s="25" t="n">
        <f aca="false">CD252+CD236+CD242+CD245+CD246+CD247+CD248+CD250+CD329+CD331</f>
        <v>198.0058159575</v>
      </c>
      <c r="CE333" s="25" t="n">
        <f aca="false">CE252+CE236+CE242+CE245+CE246+CE247+CE248+CE250+CE329+CE331</f>
        <v>195.60065411945</v>
      </c>
    </row>
    <row r="334" customFormat="false" ht="15" hidden="false" customHeight="false" outlineLevel="0" collapsed="false">
      <c r="B334" s="20" t="s">
        <v>543</v>
      </c>
      <c r="CA334" s="41" t="n">
        <v>250</v>
      </c>
      <c r="CB334" s="41" t="n">
        <v>250</v>
      </c>
      <c r="CC334" s="41" t="n">
        <v>250</v>
      </c>
      <c r="CD334" s="41" t="n">
        <v>250</v>
      </c>
      <c r="CE334" s="41" t="n">
        <v>250</v>
      </c>
      <c r="CF334" s="18" t="s">
        <v>544</v>
      </c>
    </row>
    <row r="335" customFormat="false" ht="15" hidden="false" customHeight="false" outlineLevel="0" collapsed="false">
      <c r="B335" s="20" t="s">
        <v>545</v>
      </c>
      <c r="BX335" s="24" t="n">
        <v>0</v>
      </c>
      <c r="CA335" s="25" t="n">
        <f aca="false">MAX(0,BX335+CA334-CA333)</f>
        <v>0</v>
      </c>
      <c r="CB335" s="25" t="n">
        <f aca="false">MAX(0,CA335+CB334-CB333)</f>
        <v>0</v>
      </c>
      <c r="CC335" s="25" t="n">
        <f aca="false">MAX(0,CB335+CC334-CC333)</f>
        <v>11.04209925</v>
      </c>
      <c r="CD335" s="25" t="n">
        <f aca="false">MAX(0,CC335+CD334-CD333)</f>
        <v>63.0362832925</v>
      </c>
      <c r="CE335" s="25" t="n">
        <f aca="false">MAX(0,CD335+CE334-CE333)</f>
        <v>117.43562917305</v>
      </c>
      <c r="CF335" s="18" t="s">
        <v>546</v>
      </c>
    </row>
    <row r="336" customFormat="false" ht="15" hidden="false" customHeight="false" outlineLevel="0" collapsed="false">
      <c r="B336" s="20" t="s">
        <v>547</v>
      </c>
      <c r="D336" s="46" t="n">
        <f aca="false">IFERROR(D328-C328,"")</f>
        <v>147.03</v>
      </c>
      <c r="E336" s="46" t="n">
        <f aca="false">IFERROR(E328-D328,"")</f>
        <v>4.80500000000006</v>
      </c>
      <c r="F336" s="46" t="n">
        <f aca="false">IFERROR(F328-E328,"")</f>
        <v>-51.616</v>
      </c>
      <c r="G336" s="46" t="n">
        <f aca="false">IFERROR(G328-F328,"")</f>
        <v>-68.4490000000001</v>
      </c>
      <c r="H336" s="46" t="n">
        <f aca="false">IFERROR(H328-G328,"")</f>
        <v>189.786</v>
      </c>
      <c r="I336" s="46" t="n">
        <f aca="false">IFERROR(I328-H328,"")</f>
        <v>293.785</v>
      </c>
      <c r="N336" s="46" t="n">
        <f aca="false">IFERROR(N328-I328,"")</f>
        <v>79.723</v>
      </c>
      <c r="O336" s="46" t="n">
        <f aca="false">IFERROR(O328-J328,"")</f>
        <v>-15.8849999999999</v>
      </c>
      <c r="P336" s="46" t="n">
        <f aca="false">IFERROR(P328-K328,"")</f>
        <v>-13.718</v>
      </c>
      <c r="Q336" s="46" t="n">
        <f aca="false">IFERROR(Q328-L328,"")</f>
        <v>16.607</v>
      </c>
      <c r="R336" s="46" t="n">
        <f aca="false">IFERROR(R328-M328,"")</f>
        <v>-5.59000000000003</v>
      </c>
      <c r="S336" s="46" t="n">
        <f aca="false">IFERROR(S328-N328,"")</f>
        <v>-5.59000000000003</v>
      </c>
      <c r="T336" s="46" t="n">
        <f aca="false">IFERROR(T328-O328,"")</f>
        <v>-5.88100000000009</v>
      </c>
      <c r="U336" s="46" t="n">
        <f aca="false">IFERROR(U328-P328,"")</f>
        <v>15.732</v>
      </c>
      <c r="V336" s="46" t="n">
        <f aca="false">IFERROR(V328-Q328,"")</f>
        <v>22.293</v>
      </c>
      <c r="W336" s="46" t="n">
        <f aca="false">IFERROR(W328-R328,"")</f>
        <v>-0.00599999999997181</v>
      </c>
      <c r="X336" s="46" t="n">
        <f aca="false">IFERROR(X328-S328,"")</f>
        <v>-0.00599999999997181</v>
      </c>
      <c r="Y336" s="46" t="n">
        <f aca="false">IFERROR(Y328-T328,"")</f>
        <v>1.62599999999998</v>
      </c>
      <c r="Z336" s="46" t="n">
        <f aca="false">IFERROR(Z328-U328,"")</f>
        <v>17.5680000000001</v>
      </c>
      <c r="AA336" s="46" t="n">
        <f aca="false">IFERROR(AA328-V328,"")</f>
        <v>7.93700000000001</v>
      </c>
      <c r="AB336" s="46" t="n">
        <f aca="false">IFERROR(AB328-W328,"")</f>
        <v>11.956</v>
      </c>
      <c r="AC336" s="46" t="n">
        <f aca="false">IFERROR(AC328-X328,"")</f>
        <v>11.956</v>
      </c>
      <c r="AD336" s="46" t="n">
        <f aca="false">IFERROR(AD328-Y328,"")</f>
        <v>-1.98099999999999</v>
      </c>
      <c r="AE336" s="46" t="n">
        <f aca="false">IFERROR(AE328-Z328,"")</f>
        <v>-1.9340000000002</v>
      </c>
      <c r="AF336" s="46" t="n">
        <f aca="false">IFERROR(AF328-AA328,"")</f>
        <v>-2.03399999999999</v>
      </c>
      <c r="AG336" s="46" t="n">
        <f aca="false">IFERROR(AG328-AB328,"")</f>
        <v>-152.159</v>
      </c>
      <c r="AH336" s="46" t="n">
        <f aca="false">IFERROR(AH328-AC328,"")</f>
        <v>-152.159</v>
      </c>
      <c r="AI336" s="46" t="n">
        <f aca="false">IFERROR(AI328-AD328,"")</f>
        <v>-151.241</v>
      </c>
      <c r="AJ336" s="46" t="n">
        <f aca="false">IFERROR(AJ328-AE328,"")</f>
        <v>-151.521</v>
      </c>
      <c r="AK336" s="46" t="n">
        <f aca="false">IFERROR(AK328-AF328,"")</f>
        <v>-151.054</v>
      </c>
      <c r="AL336" s="46" t="n">
        <f aca="false">IFERROR(AL328-AG328,"")</f>
        <v>-51.583</v>
      </c>
      <c r="AM336" s="46" t="n">
        <f aca="false">IFERROR(AM328-AH328,"")</f>
        <v>-51.583</v>
      </c>
      <c r="AN336" s="46" t="n">
        <f aca="false">IFERROR(AN328-AI328,"")</f>
        <v>-52.503</v>
      </c>
      <c r="AO336" s="46" t="n">
        <f aca="false">IFERROR(AO328-AJ328,"")</f>
        <v>-52.6329999999999</v>
      </c>
      <c r="AP336" s="46" t="n">
        <f aca="false">IFERROR(AP328-AK328,"")</f>
        <v>-52.617</v>
      </c>
      <c r="AQ336" s="46" t="n">
        <f aca="false">IFERROR(AQ328-AL328,"")</f>
        <v>-1.91700000000003</v>
      </c>
      <c r="AR336" s="46" t="n">
        <f aca="false">IFERROR(AR328-AM328,"")</f>
        <v>-1.91700000000003</v>
      </c>
      <c r="AS336" s="46" t="n">
        <f aca="false">IFERROR(AS328-AN328,"")</f>
        <v>144.592</v>
      </c>
      <c r="AT336" s="46" t="n">
        <f aca="false">IFERROR(AT328-AO328,"")</f>
        <v>73.326</v>
      </c>
      <c r="AU336" s="46" t="n">
        <f aca="false">IFERROR(AU328-AP328,"")</f>
        <v>297.57</v>
      </c>
      <c r="AV336" s="46" t="n">
        <f aca="false">IFERROR(AV328-AQ328,"")</f>
        <v>297.653</v>
      </c>
      <c r="AW336" s="46" t="n">
        <f aca="false">IFERROR(AW328-AR328,"")</f>
        <v>297.653</v>
      </c>
      <c r="AX336" s="46" t="n">
        <f aca="false">IFERROR(AX328-AS328,"")</f>
        <v>151.26</v>
      </c>
      <c r="AY336" s="46" t="n">
        <f aca="false">IFERROR(AY328-AT328,"")</f>
        <v>222.702</v>
      </c>
      <c r="AZ336" s="46" t="n">
        <f aca="false">IFERROR(AZ328-AU328,"")</f>
        <v>-1.60599999999999</v>
      </c>
      <c r="BA336" s="46" t="n">
        <f aca="false">IFERROR(BA328-AV328,"")</f>
        <v>-7.68200000000002</v>
      </c>
      <c r="BB336" s="46" t="n">
        <f aca="false">IFERROR(BB328-AW328,"")</f>
        <v>-7.68200000000002</v>
      </c>
      <c r="BC336" s="46" t="n">
        <f aca="false">IFERROR(BC328-AX328,"")</f>
        <v>112.337</v>
      </c>
      <c r="BD336" s="46" t="n">
        <f aca="false">IFERROR(BD328-AY328,"")</f>
        <v>151.573</v>
      </c>
      <c r="BE336" s="46" t="n">
        <f aca="false">IFERROR(BE328-AZ328,"")</f>
        <v>286.61</v>
      </c>
      <c r="BF336" s="46" t="n">
        <f aca="false">IFERROR(BF328-BA328,"")</f>
        <v>203.79</v>
      </c>
      <c r="BG336" s="46" t="n">
        <f aca="false">IFERROR(BG328-BB328,"")</f>
        <v>203.79</v>
      </c>
      <c r="BH336" s="46" t="n">
        <f aca="false">IFERROR(BH328-BC328,"")</f>
        <v>59.3749999999998</v>
      </c>
      <c r="BI336" s="46" t="n">
        <f aca="false">IFERROR(BI328-BD328,"")</f>
        <v>-33.011</v>
      </c>
      <c r="BJ336" s="46" t="n">
        <f aca="false">IFERROR(BJ328-BE328,"")</f>
        <v>-292.998</v>
      </c>
      <c r="BK336" s="46" t="n">
        <f aca="false">IFERROR(BK328-BF328,"")</f>
        <v>-204.038</v>
      </c>
      <c r="BL336" s="46" t="n">
        <f aca="false">IFERROR(BL328-BG328,"")</f>
        <v>-204.038</v>
      </c>
      <c r="BM336" s="46" t="n">
        <f aca="false">IFERROR(BM328-BH328,"")</f>
        <v>-179.61</v>
      </c>
      <c r="BN336" s="46" t="n">
        <f aca="false">IFERROR(BN328-BI328,"")</f>
        <v>-126.411</v>
      </c>
      <c r="BO336" s="46" t="n">
        <f aca="false">IFERROR(BO328-BJ328,"")</f>
        <v>-1.41099999999983</v>
      </c>
      <c r="BP336" s="46" t="n">
        <f aca="false">IFERROR(BP328-BK328,"")</f>
        <v>-1.41300000000001</v>
      </c>
      <c r="BQ336" s="46" t="n">
        <f aca="false">IFERROR(BQ328-BL328,"")</f>
        <v>-1.41300000000001</v>
      </c>
      <c r="BR336" s="46" t="n">
        <f aca="false">IFERROR(BR328-BM328,"")</f>
        <v>-91.38</v>
      </c>
      <c r="BS336" s="46" t="n">
        <f aca="false">IFERROR(BS328-BN328,"")</f>
        <v>-91.274</v>
      </c>
      <c r="BT336" s="46" t="n">
        <f aca="false">IFERROR(BT328-BO328,"")</f>
        <v>-80.6700000000002</v>
      </c>
      <c r="BU336" s="46" t="n">
        <f aca="false">IFERROR(BU328-BP328,"")</f>
        <v>-91.0650000000001</v>
      </c>
      <c r="BV336" s="46" t="n">
        <f aca="false">IFERROR(BV328-BQ328,"")</f>
        <v>-91.0650000000001</v>
      </c>
      <c r="BW336" s="46" t="n">
        <f aca="false">IFERROR(BW328-BR328,"")</f>
        <v>-0.994000000000028</v>
      </c>
      <c r="BX336" s="46" t="n">
        <f aca="false">IFERROR(BX328-BS328,"")</f>
        <v>-0.994000000000028</v>
      </c>
      <c r="CA336" s="25" t="n">
        <f aca="false">IFERROR(CA328-BV328,"")</f>
        <v>-200.497</v>
      </c>
      <c r="CB336" s="25" t="n">
        <f aca="false">IFERROR(CB328-CA328,"")</f>
        <v>0</v>
      </c>
      <c r="CC336" s="25" t="n">
        <f aca="false">IFERROR(CC328-CB328,"")</f>
        <v>11.0420992500001</v>
      </c>
      <c r="CD336" s="25" t="n">
        <f aca="false">IFERROR(CD328-CC328,"")</f>
        <v>51.9941840424999</v>
      </c>
      <c r="CE336" s="25" t="n">
        <f aca="false">IFERROR(CE328-CD328,"")</f>
        <v>54.3993458805501</v>
      </c>
    </row>
    <row r="337" customFormat="false" ht="15" hidden="false" customHeight="false" outlineLevel="0" collapsed="false">
      <c r="B337" s="20" t="s">
        <v>548</v>
      </c>
      <c r="D337" s="27" t="n">
        <f aca="false">IFERROR(D127/C328,"")</f>
        <v>0.075045084056414</v>
      </c>
      <c r="E337" s="27" t="n">
        <f aca="false">IFERROR(E127/D328,"")</f>
        <v>0.0567391542164156</v>
      </c>
      <c r="F337" s="27" t="n">
        <f aca="false">IFERROR(F127/E328,"")</f>
        <v>0.0485108639485668</v>
      </c>
      <c r="G337" s="27" t="n">
        <f aca="false">IFERROR(G127/F328,"")</f>
        <v>0.0475324289980714</v>
      </c>
      <c r="H337" s="27" t="n">
        <f aca="false">IFERROR(H127/G328,"")</f>
        <v>0.0525256905436613</v>
      </c>
      <c r="I337" s="27" t="n">
        <f aca="false">IFERROR(I127/H328,"")</f>
        <v>0.0448970891666525</v>
      </c>
      <c r="N337" s="27" t="n">
        <f aca="false">IFERROR(N127/I328,"")</f>
        <v>0.0420579063069818</v>
      </c>
      <c r="S337" s="27" t="n">
        <f aca="false">IFERROR(S127/N328,"")</f>
        <v>0.0372878248386875</v>
      </c>
      <c r="X337" s="27" t="n">
        <f aca="false">IFERROR(X127/S328,"")</f>
        <v>0.0377619065581947</v>
      </c>
      <c r="AC337" s="27" t="n">
        <f aca="false">IFERROR(AC127/X328,"")</f>
        <v>0.043221402809475</v>
      </c>
      <c r="AH337" s="27" t="n">
        <f aca="false">IFERROR(AH127/AC328,"")</f>
        <v>0.0429174022920466</v>
      </c>
      <c r="AM337" s="27" t="n">
        <f aca="false">IFERROR(AM127/AH328,"")</f>
        <v>0.0417410294802239</v>
      </c>
      <c r="AR337" s="27" t="n">
        <f aca="false">IFERROR(AR127/AM328,"")</f>
        <v>0.0411078006074308</v>
      </c>
      <c r="AW337" s="27" t="n">
        <f aca="false">IFERROR(AW127/AR328,"")</f>
        <v>0.0467304463746929</v>
      </c>
      <c r="BB337" s="27" t="n">
        <f aca="false">IFERROR(BB127/AW328,"")</f>
        <v>0.0380235322576378</v>
      </c>
      <c r="BG337" s="27" t="n">
        <f aca="false">IFERROR(BG127/BB328,"")</f>
        <v>0.0447168787656695</v>
      </c>
      <c r="BL337" s="27" t="n">
        <f aca="false">IFERROR(BL127/BG328,"")</f>
        <v>0.0409701849489796</v>
      </c>
      <c r="BQ337" s="27" t="n">
        <f aca="false">IFERROR(BQ127/BL328,"")</f>
        <v>0.042717653532782</v>
      </c>
      <c r="BV337" s="27" t="n">
        <f aca="false">IFERROR(BV127/BQ328,"")</f>
        <v>0.0411345070160704</v>
      </c>
      <c r="CB337" s="38" t="n">
        <v>0.039</v>
      </c>
      <c r="CC337" s="38" t="n">
        <v>0.04</v>
      </c>
      <c r="CD337" s="38" t="n">
        <v>0.043</v>
      </c>
      <c r="CE337" s="38" t="n">
        <v>0.045</v>
      </c>
      <c r="CF337" s="18" t="s">
        <v>549</v>
      </c>
    </row>
    <row r="338" customFormat="false" ht="15" hidden="false" customHeight="false" outlineLevel="0" collapsed="false">
      <c r="B338" s="20" t="s">
        <v>550</v>
      </c>
      <c r="CB338" s="38" t="n">
        <v>0.055</v>
      </c>
      <c r="CC338" s="38" t="n">
        <v>0.055</v>
      </c>
      <c r="CD338" s="38" t="n">
        <v>0.055</v>
      </c>
      <c r="CE338" s="38" t="n">
        <v>0.055</v>
      </c>
      <c r="CF338" s="18" t="s">
        <v>551</v>
      </c>
    </row>
    <row r="339" customFormat="false" ht="15" hidden="false" customHeight="false" outlineLevel="0" collapsed="false">
      <c r="B339" s="20" t="s">
        <v>552</v>
      </c>
      <c r="CB339" s="38" t="n">
        <v>0.03</v>
      </c>
      <c r="CC339" s="38" t="n">
        <v>0.03</v>
      </c>
      <c r="CD339" s="38" t="n">
        <v>0.03</v>
      </c>
      <c r="CE339" s="38" t="n">
        <v>0.03</v>
      </c>
    </row>
    <row r="340" customFormat="false" ht="15" hidden="false" customHeight="false" outlineLevel="0" collapsed="false">
      <c r="B340" s="20" t="s">
        <v>553</v>
      </c>
      <c r="CB340" s="60" t="n">
        <v>0.2</v>
      </c>
      <c r="CC340" s="60" t="n">
        <v>0.2</v>
      </c>
      <c r="CD340" s="60" t="n">
        <v>0.2</v>
      </c>
      <c r="CE340" s="60" t="n">
        <v>0.2</v>
      </c>
      <c r="CF340" s="18" t="s">
        <v>554</v>
      </c>
    </row>
    <row r="341" customFormat="false" ht="15" hidden="false" customHeight="false" outlineLevel="0" collapsed="false">
      <c r="B341" s="13" t="s">
        <v>555</v>
      </c>
    </row>
    <row r="342" customFormat="false" ht="15" hidden="false" customHeight="false" outlineLevel="0" collapsed="false">
      <c r="B342" s="20" t="s">
        <v>556</v>
      </c>
      <c r="CB342" s="58" t="n">
        <f aca="false">CHOOSE(MATCH($CF$2,{"Bull","Base","Bear"},0),$CN$36,$CO$36,$CP$36)</f>
        <v>0.5</v>
      </c>
      <c r="CC342" s="58" t="n">
        <f aca="false">CHOOSE(MATCH($CF$2,{"Bull","Base","Bear"},0),$CN$36,$CO$36,$CP$36)</f>
        <v>0.5</v>
      </c>
      <c r="CD342" s="58" t="n">
        <f aca="false">CHOOSE(MATCH($CF$2,{"Bull","Base","Bear"},0),$CN$36,$CO$36,$CP$36)</f>
        <v>0.5</v>
      </c>
      <c r="CE342" s="58" t="n">
        <f aca="false">CHOOSE(MATCH($CF$2,{"Bull","Base","Bear"},0),$CN$36,$CO$36,$CP$36)</f>
        <v>0.5</v>
      </c>
    </row>
    <row r="343" customFormat="false" ht="15" hidden="false" customHeight="false" outlineLevel="0" collapsed="false">
      <c r="B343" s="20" t="s">
        <v>557</v>
      </c>
      <c r="CB343" s="25" t="n">
        <f aca="false">CA328-CA276-(CB236+CB242+CB245+CB247+CB248+CB250)</f>
        <v>54.1085093605327</v>
      </c>
      <c r="CC343" s="25" t="n">
        <f aca="false">CB328-CB276-(CC236+CC242+CC245+CC247+CC248+CC250)</f>
        <v>119.316646420121</v>
      </c>
      <c r="CD343" s="25" t="n">
        <f aca="false">CC328-CC276-(CD236+CD242+CD245+CD247+CD248+CD250)</f>
        <v>99.0381918299661</v>
      </c>
      <c r="CE343" s="25" t="n">
        <f aca="false">CD328-CD276-(CE236+CE242+CE245+CE247+CE248+CE250)</f>
        <v>80.0771401900821</v>
      </c>
    </row>
    <row r="344" customFormat="false" ht="15" hidden="false" customHeight="false" outlineLevel="0" collapsed="false">
      <c r="B344" s="20" t="s">
        <v>558</v>
      </c>
      <c r="CB344" s="25" t="n">
        <f aca="false">CB342*CB174</f>
        <v>468.7905</v>
      </c>
      <c r="CC344" s="25" t="n">
        <f aca="false">CC342*CC174</f>
        <v>518.42909925</v>
      </c>
      <c r="CD344" s="25" t="n">
        <f aca="false">CD342*CD174</f>
        <v>570.4232832925</v>
      </c>
      <c r="CE344" s="25" t="n">
        <f aca="false">CE342*CE174</f>
        <v>624.82262917305</v>
      </c>
    </row>
    <row r="345" customFormat="false" ht="15" hidden="false" customHeight="false" outlineLevel="0" collapsed="false">
      <c r="B345" s="20" t="s">
        <v>559</v>
      </c>
      <c r="CB345" s="25" t="n">
        <f aca="false">MAX(0,CB344-CB343)</f>
        <v>414.681990639467</v>
      </c>
      <c r="CC345" s="25" t="n">
        <f aca="false">MAX(0,CC344-CC343)</f>
        <v>399.112452829879</v>
      </c>
      <c r="CD345" s="25" t="n">
        <f aca="false">MAX(0,CD344-CD343)</f>
        <v>471.385091462534</v>
      </c>
      <c r="CE345" s="25" t="n">
        <f aca="false">MAX(0,CE344-CE343)</f>
        <v>544.745488982968</v>
      </c>
    </row>
    <row r="346" customFormat="false" ht="15" hidden="false" customHeight="false" outlineLevel="0" collapsed="false">
      <c r="B346" s="15" t="s">
        <v>560</v>
      </c>
      <c r="CB346" s="17" t="n">
        <f aca="false">MAX(CHOOSE(MATCH($CF$2,{"Bull","Base","Bear"},0),$CN$37,$CO$37,$CP$37),CB345)</f>
        <v>414.681990639467</v>
      </c>
      <c r="CC346" s="17" t="n">
        <f aca="false">MAX(CHOOSE(MATCH($CF$2,{"Bull","Base","Bear"},0),$CN$37,$CO$37,$CP$37),CC345)</f>
        <v>399.112452829879</v>
      </c>
      <c r="CD346" s="17" t="n">
        <f aca="false">MAX(CHOOSE(MATCH($CF$2,{"Bull","Base","Bear"},0),$CN$37,$CO$37,$CP$37),CD345)</f>
        <v>471.385091462534</v>
      </c>
      <c r="CE346" s="17" t="n">
        <f aca="false">MAX(CHOOSE(MATCH($CF$2,{"Bull","Base","Bear"},0),$CN$37,$CO$37,$CP$37),CE345)</f>
        <v>544.745488982968</v>
      </c>
    </row>
    <row r="347" customFormat="false" ht="15" hidden="false" customHeight="false" outlineLevel="0" collapsed="false">
      <c r="B347" s="13" t="s">
        <v>561</v>
      </c>
    </row>
    <row r="348" customFormat="false" ht="15" hidden="false" customHeight="false" outlineLevel="0" collapsed="false">
      <c r="B348" s="20" t="s">
        <v>262</v>
      </c>
      <c r="C348" s="27" t="n">
        <f aca="false">IF(AND(ISNUMBER(C100),ISNUMBER(C114)),IFERROR(C100/C114,""),"")</f>
        <v>0.0396137752455826</v>
      </c>
      <c r="D348" s="27" t="n">
        <f aca="false">IF(AND(ISNUMBER(D100),ISNUMBER(D114)),IFERROR(D100/D114,""),"")</f>
        <v>0.0393807266268205</v>
      </c>
      <c r="E348" s="27" t="n">
        <f aca="false">IF(AND(ISNUMBER(E100),ISNUMBER(E114)),IFERROR(E100/E114,""),"")</f>
        <v>0.0405712131312359</v>
      </c>
      <c r="F348" s="27" t="n">
        <f aca="false">IF(AND(ISNUMBER(F100),ISNUMBER(F114)),IFERROR(F100/F114,""),"")</f>
        <v>0.0422613817836204</v>
      </c>
      <c r="G348" s="27" t="n">
        <f aca="false">IF(AND(ISNUMBER(G100),ISNUMBER(G114)),IFERROR(G100/G114,""),"")</f>
        <v>0.0422294459874473</v>
      </c>
      <c r="H348" s="27" t="n">
        <f aca="false">IF(AND(ISNUMBER(H100),ISNUMBER(H114)),IFERROR(H100/H114,""),"")</f>
        <v>0.042986568522927</v>
      </c>
      <c r="I348" s="27" t="n">
        <f aca="false">IF(AND(ISNUMBER(I100),ISNUMBER(I114)),IFERROR(I100/I114,""),"")</f>
        <v>0.0447610639381117</v>
      </c>
      <c r="J348" s="27" t="n">
        <f aca="false">IF(AND(ISNUMBER(J100),ISNUMBER(J114)),IFERROR(J100/J114,""),"")</f>
        <v>0.0512918285705608</v>
      </c>
      <c r="K348" s="27" t="n">
        <f aca="false">IF(AND(ISNUMBER(K100),ISNUMBER(K114)),IFERROR(K100/K114,""),"")</f>
        <v>0.0482979243532728</v>
      </c>
      <c r="L348" s="27" t="n">
        <f aca="false">IF(AND(ISNUMBER(L100),ISNUMBER(L114)),IFERROR(L100/L114,""),"")</f>
        <v>0.0489905388509773</v>
      </c>
      <c r="M348" s="27" t="n">
        <f aca="false">IF(AND(ISNUMBER(M100),ISNUMBER(M114)),IFERROR(M100/M114,""),"")</f>
        <v>0.045498978177297</v>
      </c>
      <c r="N348" s="27" t="n">
        <f aca="false">IF(AND(ISNUMBER(N100),ISNUMBER(N114)),IFERROR(N100/N114,""),"")</f>
        <v>0.0483903151661382</v>
      </c>
      <c r="O348" s="27" t="n">
        <f aca="false">IF(AND(ISNUMBER(O100),ISNUMBER(O114)),IFERROR(O100/O114,""),"")</f>
        <v>0.048256035122511</v>
      </c>
      <c r="P348" s="27" t="n">
        <f aca="false">IF(AND(ISNUMBER(P100),ISNUMBER(P114)),IFERROR(P100/P114,""),"")</f>
        <v>0.046645576992637</v>
      </c>
      <c r="Q348" s="27" t="n">
        <f aca="false">IF(AND(ISNUMBER(Q100),ISNUMBER(Q114)),IFERROR(Q100/Q114,""),"")</f>
        <v>0.0528120051332097</v>
      </c>
      <c r="R348" s="27" t="n">
        <f aca="false">IF(AND(ISNUMBER(R100),ISNUMBER(R114)),IFERROR(R100/R114,""),"")</f>
        <v>0.048895711735879</v>
      </c>
      <c r="S348" s="27" t="n">
        <f aca="false">IF(AND(ISNUMBER(S100),ISNUMBER(S114)),IFERROR(S100/S114,""),"")</f>
        <v>0.0530202048391397</v>
      </c>
      <c r="T348" s="27" t="n">
        <f aca="false">IF(AND(ISNUMBER(T100),ISNUMBER(T114)),IFERROR(T100/T114,""),"")</f>
        <v>0.0470670945937287</v>
      </c>
      <c r="U348" s="27" t="n">
        <f aca="false">IF(AND(ISNUMBER(U100),ISNUMBER(U114)),IFERROR(U100/U114,""),"")</f>
        <v>0.0473776307149382</v>
      </c>
      <c r="V348" s="27" t="n">
        <f aca="false">IF(AND(ISNUMBER(V100),ISNUMBER(V114)),IFERROR(V100/V114,""),"")</f>
        <v>0.0473612604298477</v>
      </c>
      <c r="W348" s="27" t="n">
        <f aca="false">IF(AND(ISNUMBER(W100),ISNUMBER(W114)),IFERROR(W100/W114,""),"")</f>
        <v>0.0414128117807917</v>
      </c>
      <c r="X348" s="27" t="n">
        <f aca="false">IF(AND(ISNUMBER(X100),ISNUMBER(X114)),IFERROR(X100/X114,""),"")</f>
        <v>0.0457046638161513</v>
      </c>
      <c r="Y348" s="27" t="n">
        <f aca="false">IF(AND(ISNUMBER(Y100),ISNUMBER(Y114)),IFERROR(Y100/Y114,""),"")</f>
        <v>0.0486328889171352</v>
      </c>
      <c r="Z348" s="27" t="n">
        <f aca="false">IF(AND(ISNUMBER(Z100),ISNUMBER(Z114)),IFERROR(Z100/Z114,""),"")</f>
        <v>0.045986418052203</v>
      </c>
      <c r="AA348" s="27" t="n">
        <f aca="false">IF(AND(ISNUMBER(AA100),ISNUMBER(AA114)),IFERROR(AA100/AA114,""),"")</f>
        <v>0.0462085775362262</v>
      </c>
      <c r="AB348" s="27" t="n">
        <f aca="false">IF(AND(ISNUMBER(AB100),ISNUMBER(AB114)),IFERROR(AB100/AB114,""),"")</f>
        <v>0.0417086599972417</v>
      </c>
      <c r="AC348" s="27" t="n">
        <f aca="false">IF(AND(ISNUMBER(AC100),ISNUMBER(AC114)),IFERROR(AC100/AC114,""),"")</f>
        <v>0.0455244861022006</v>
      </c>
      <c r="AD348" s="27" t="n">
        <f aca="false">IF(AND(ISNUMBER(AD100),ISNUMBER(AD114)),IFERROR(AD100/AD114,""),"")</f>
        <v>0.0476058602993558</v>
      </c>
      <c r="AE348" s="27" t="n">
        <f aca="false">IF(AND(ISNUMBER(AE100),ISNUMBER(AE114)),IFERROR(AE100/AE114,""),"")</f>
        <v>0.0441026472158167</v>
      </c>
      <c r="AF348" s="27" t="n">
        <f aca="false">IF(AND(ISNUMBER(AF100),ISNUMBER(AF114)),IFERROR(AF100/AF114,""),"")</f>
        <v>0.0437646702506247</v>
      </c>
      <c r="AG348" s="27" t="n">
        <f aca="false">IF(AND(ISNUMBER(AG100),ISNUMBER(AG114)),IFERROR(AG100/AG114,""),"")</f>
        <v>0.0411517925871207</v>
      </c>
      <c r="AH348" s="27" t="n">
        <f aca="false">IF(AND(ISNUMBER(AH100),ISNUMBER(AH114)),IFERROR(AH100/AH114,""),"")</f>
        <v>0.0440307596654552</v>
      </c>
      <c r="AI348" s="27" t="n">
        <f aca="false">IF(AND(ISNUMBER(AI100),ISNUMBER(AI114)),IFERROR(AI100/AI114,""),"")</f>
        <v>0.044931527865547</v>
      </c>
      <c r="AJ348" s="27" t="n">
        <f aca="false">IF(AND(ISNUMBER(AJ100),ISNUMBER(AJ114)),IFERROR(AJ100/AJ114,""),"")</f>
        <v>0.0429728936736859</v>
      </c>
      <c r="AK348" s="27" t="n">
        <f aca="false">IF(AND(ISNUMBER(AK100),ISNUMBER(AK114)),IFERROR(AK100/AK114,""),"")</f>
        <v>0.0434822041911813</v>
      </c>
      <c r="AL348" s="27" t="n">
        <f aca="false">IF(AND(ISNUMBER(AL100),ISNUMBER(AL114)),IFERROR(AL100/AL114,""),"")</f>
        <v>0.0397812593467382</v>
      </c>
      <c r="AM348" s="27" t="n">
        <f aca="false">IF(AND(ISNUMBER(AM100),ISNUMBER(AM114)),IFERROR(AM100/AM114,""),"")</f>
        <v>0.0426849266222606</v>
      </c>
      <c r="AN348" s="27" t="n">
        <f aca="false">IF(AND(ISNUMBER(AN100),ISNUMBER(AN114)),IFERROR(AN100/AN114,""),"")</f>
        <v>0.0446003382245631</v>
      </c>
      <c r="AO348" s="27" t="n">
        <f aca="false">IF(AND(ISNUMBER(AO100),ISNUMBER(AO114)),IFERROR(AO100/AO114,""),"")</f>
        <v>0.0403867942835323</v>
      </c>
      <c r="AP348" s="27" t="n">
        <f aca="false">IF(AND(ISNUMBER(AP100),ISNUMBER(AP114)),IFERROR(AP100/AP114,""),"")</f>
        <v>0.0413056206088993</v>
      </c>
      <c r="AQ348" s="27" t="n">
        <f aca="false">IF(AND(ISNUMBER(AQ100),ISNUMBER(AQ114)),IFERROR(AQ100/AQ114,""),"")</f>
        <v>0.0387543822462415</v>
      </c>
      <c r="AR348" s="27" t="n">
        <f aca="false">IF(AND(ISNUMBER(AR100),ISNUMBER(AR114)),IFERROR(AR100/AR114,""),"")</f>
        <v>0.0411630246615602</v>
      </c>
      <c r="AS348" s="27" t="n">
        <f aca="false">IF(AND(ISNUMBER(AS100),ISNUMBER(AS114)),IFERROR(AS100/AS114,""),"")</f>
        <v>0.0468073003554374</v>
      </c>
      <c r="AT348" s="27" t="n">
        <f aca="false">IF(AND(ISNUMBER(AT100),ISNUMBER(AT114)),IFERROR(AT100/AT114,""),"")</f>
        <v>0.0516792201393699</v>
      </c>
      <c r="AU348" s="27" t="n">
        <f aca="false">IF(AND(ISNUMBER(AU100),ISNUMBER(AU114)),IFERROR(AU100/AU114,""),"")</f>
        <v>0.0493357405521908</v>
      </c>
      <c r="AV348" s="27" t="n">
        <f aca="false">IF(AND(ISNUMBER(AV100),ISNUMBER(AV114)),IFERROR(AV100/AV114,""),"")</f>
        <v>0.0465768261814004</v>
      </c>
      <c r="AW348" s="27" t="n">
        <f aca="false">IF(AND(ISNUMBER(AW100),ISNUMBER(AW114)),IFERROR(AW100/AW114,""),"")</f>
        <v>0.048467885734167</v>
      </c>
      <c r="AX348" s="27" t="n">
        <f aca="false">IF(AND(ISNUMBER(AX100),ISNUMBER(AX114)),IFERROR(AX100/AX114,""),"")</f>
        <v>0.047893089292683</v>
      </c>
      <c r="AY348" s="27" t="n">
        <f aca="false">IF(AND(ISNUMBER(AY100),ISNUMBER(AY114)),IFERROR(AY100/AY114,""),"")</f>
        <v>0.0466954681855848</v>
      </c>
      <c r="AZ348" s="27" t="n">
        <f aca="false">IF(AND(ISNUMBER(AZ100),ISNUMBER(AZ114)),IFERROR(AZ100/AZ114,""),"")</f>
        <v>0.0461216946306832</v>
      </c>
      <c r="BA348" s="27" t="n">
        <f aca="false">IF(AND(ISNUMBER(BA100),ISNUMBER(BA114)),IFERROR(BA100/BA114,""),"")</f>
        <v>0.0422102172002436</v>
      </c>
      <c r="BB348" s="27" t="n">
        <f aca="false">IF(AND(ISNUMBER(BB100),ISNUMBER(BB114)),IFERROR(BB100/BB114,""),"")</f>
        <v>0.0456453110640317</v>
      </c>
      <c r="BC348" s="27" t="n">
        <f aca="false">IF(AND(ISNUMBER(BC100),ISNUMBER(BC114)),IFERROR(BC100/BC114,""),"")</f>
        <v>0.0489095754663864</v>
      </c>
      <c r="BD348" s="27" t="n">
        <f aca="false">IF(AND(ISNUMBER(BD100),ISNUMBER(BD114)),IFERROR(BD100/BD114,""),"")</f>
        <v>0.0431307099122518</v>
      </c>
      <c r="BE348" s="27" t="n">
        <f aca="false">IF(AND(ISNUMBER(BE100),ISNUMBER(BE114)),IFERROR(BE100/BE114,""),"")</f>
        <v>0.0473798731884633</v>
      </c>
      <c r="BF348" s="27" t="n">
        <f aca="false">IF(AND(ISNUMBER(BF100),ISNUMBER(BF114)),IFERROR(BF100/BF114,""),"")</f>
        <v>0.0376248077976414</v>
      </c>
      <c r="BG348" s="27" t="n">
        <f aca="false">IF(AND(ISNUMBER(BG100),ISNUMBER(BG114)),IFERROR(BG100/BG114,""),"")</f>
        <v>0.0438114605840772</v>
      </c>
      <c r="BH348" s="27" t="n">
        <f aca="false">IF(AND(ISNUMBER(BH100),ISNUMBER(BH114)),IFERROR(BH100/BH114,""),"")</f>
        <v>0.0458532796500016</v>
      </c>
      <c r="BI348" s="27" t="n">
        <f aca="false">IF(AND(ISNUMBER(BI100),ISNUMBER(BI114)),IFERROR(BI100/BI114,""),"")</f>
        <v>0.041238167167332</v>
      </c>
      <c r="BJ348" s="27" t="n">
        <f aca="false">IF(AND(ISNUMBER(BJ100),ISNUMBER(BJ114)),IFERROR(BJ100/BJ114,""),"")</f>
        <v>0.0398453182682936</v>
      </c>
      <c r="BK348" s="27" t="n">
        <f aca="false">IF(AND(ISNUMBER(BK100),ISNUMBER(BK114)),IFERROR(BK100/BK114,""),"")</f>
        <v>0.0373330822063373</v>
      </c>
      <c r="BL348" s="27" t="n">
        <f aca="false">IF(AND(ISNUMBER(BL100),ISNUMBER(BL114)),IFERROR(BL100/BL114,""),"")</f>
        <v>0.0408283905133</v>
      </c>
      <c r="BM348" s="27" t="n">
        <f aca="false">IF(AND(ISNUMBER(BM100),ISNUMBER(BM114)),IFERROR(BM100/BM114,""),"")</f>
        <v>0.0378354578941538</v>
      </c>
      <c r="BN348" s="27" t="n">
        <f aca="false">IF(AND(ISNUMBER(BN100),ISNUMBER(BN114)),IFERROR(BN100/BN114,""),"")</f>
        <v>0.0346181340000076</v>
      </c>
      <c r="BO348" s="27" t="n">
        <f aca="false">IF(AND(ISNUMBER(BO100),ISNUMBER(BO114)),IFERROR(BO100/BO114,""),"")</f>
        <v>0.0334114389712086</v>
      </c>
      <c r="BP348" s="27" t="n">
        <f aca="false">IF(AND(ISNUMBER(BP100),ISNUMBER(BP114)),IFERROR(BP100/BP114,""),"")</f>
        <v>0.0325398240716815</v>
      </c>
      <c r="BQ348" s="27" t="n">
        <f aca="false">IF(AND(ISNUMBER(BQ100),ISNUMBER(BQ114)),IFERROR(BQ100/BQ114,""),"")</f>
        <v>0.0344955079618697</v>
      </c>
      <c r="BR348" s="27" t="n">
        <f aca="false">IF(AND(ISNUMBER(BR100),ISNUMBER(BR114)),IFERROR(BR100/BR114,""),"")</f>
        <v>0.038256303955216</v>
      </c>
      <c r="BS348" s="27" t="n">
        <f aca="false">IF(AND(ISNUMBER(BS100),ISNUMBER(BS114)),IFERROR(BS100/BS114,""),"")</f>
        <v>0.0357151005731391</v>
      </c>
      <c r="BT348" s="27" t="n">
        <f aca="false">IF(AND(ISNUMBER(BT100),ISNUMBER(BT114)),IFERROR(BT100/BT114,""),"")</f>
        <v>0.0358859601688968</v>
      </c>
      <c r="BU348" s="27" t="n">
        <f aca="false">IF(AND(ISNUMBER(BU100),ISNUMBER(BU114)),IFERROR(BU100/BU114,""),"")</f>
        <v>0.0332614909908435</v>
      </c>
      <c r="BV348" s="27" t="n">
        <f aca="false">IF(AND(ISNUMBER(BV100),ISNUMBER(BV114)),IFERROR(BV100/BV114,""),"")</f>
        <v>0.0356785956439167</v>
      </c>
      <c r="BW348" s="27" t="n">
        <f aca="false">IF(AND(ISNUMBER(BW100),ISNUMBER(BW114)),IFERROR(BW100/BW114,""),"")</f>
        <v>0.0310445480782806</v>
      </c>
      <c r="BX348" s="27" t="n">
        <f aca="false">IF(AND(ISNUMBER(BX100),ISNUMBER(BX114)),IFERROR(BX100/BX114,""),"")</f>
        <v>0.0307031973749145</v>
      </c>
      <c r="CA348" s="22" t="n">
        <f aca="false">IFERROR(CA100/CA114,"")</f>
        <v>0.0304530043084654</v>
      </c>
      <c r="CB348" s="22" t="n">
        <f aca="false">IFERROR(CB100/CB114,"")</f>
        <v>0.0310785544043971</v>
      </c>
      <c r="CC348" s="22" t="n">
        <f aca="false">IFERROR(CC100/CC114,"")</f>
        <v>0.0307113917606458</v>
      </c>
      <c r="CD348" s="22" t="n">
        <f aca="false">IFERROR(CD100/CD114,"")</f>
        <v>0.0316460154361794</v>
      </c>
      <c r="CE348" s="22" t="n">
        <f aca="false">IFERROR(CE100/CE114,"")</f>
        <v>0.0322044360934438</v>
      </c>
    </row>
    <row r="349" customFormat="false" ht="15" hidden="false" customHeight="false" outlineLevel="0" collapsed="false">
      <c r="B349" s="20" t="s">
        <v>562</v>
      </c>
      <c r="C349" s="27" t="n">
        <f aca="false">IF(AND(ISNUMBER(C237),ISNUMBER(C114)),IFERROR(-C237/C114,""),"")</f>
        <v>0.0313550233786087</v>
      </c>
      <c r="D349" s="27" t="n">
        <f aca="false">IF(AND(ISNUMBER(D237),ISNUMBER(D114)),IFERROR(-D237/D114,""),"")</f>
        <v>0.0341889199584957</v>
      </c>
      <c r="E349" s="27" t="n">
        <f aca="false">IF(AND(ISNUMBER(E237),ISNUMBER(E114)),IFERROR(-E237/E114,""),"")</f>
        <v>0.0566388363731736</v>
      </c>
      <c r="F349" s="27" t="n">
        <f aca="false">IF(AND(ISNUMBER(F237),ISNUMBER(F114)),IFERROR(-F237/F114,""),"")</f>
        <v>0.0417988716299477</v>
      </c>
      <c r="G349" s="27" t="n">
        <f aca="false">IF(AND(ISNUMBER(G237),ISNUMBER(G114)),IFERROR(-G237/G114,""),"")</f>
        <v>0.0279853407101663</v>
      </c>
      <c r="H349" s="27" t="n">
        <f aca="false">IF(AND(ISNUMBER(H237),ISNUMBER(H114)),IFERROR(-H237/H114,""),"")</f>
        <v>0.0412977757006616</v>
      </c>
      <c r="I349" s="27" t="n">
        <f aca="false">IF(AND(ISNUMBER(I237),ISNUMBER(I114)),IFERROR(-I237/I114,""),"")</f>
        <v>0.0395449145642213</v>
      </c>
      <c r="J349" s="27" t="n">
        <f aca="false">IF(AND(ISNUMBER(J237),ISNUMBER(J114)),IFERROR(-J237/J114,""),"")</f>
        <v>0.0253253403567144</v>
      </c>
      <c r="K349" s="27" t="n">
        <f aca="false">IF(AND(ISNUMBER(K237),ISNUMBER(K114)),IFERROR(-K237/K114,""),"")</f>
        <v>0.0277098271454636</v>
      </c>
      <c r="L349" s="27" t="n">
        <f aca="false">IF(AND(ISNUMBER(L237),ISNUMBER(L114)),IFERROR(-L237/L114,""),"")</f>
        <v>0.0428690106165313</v>
      </c>
      <c r="M349" s="27" t="n">
        <f aca="false">IF(AND(ISNUMBER(M237),ISNUMBER(M114)),IFERROR(-M237/M114,""),"")</f>
        <v>0.0205307761565175</v>
      </c>
      <c r="N349" s="27" t="n">
        <f aca="false">IF(AND(ISNUMBER(N237),ISNUMBER(N114)),IFERROR(-N237/N114,""),"")</f>
        <v>0.0287728351171811</v>
      </c>
      <c r="O349" s="27" t="n">
        <f aca="false">IF(AND(ISNUMBER(O237),ISNUMBER(O114)),IFERROR(-O237/O114,""),"")</f>
        <v>0.0286321428348706</v>
      </c>
      <c r="P349" s="27" t="n">
        <f aca="false">IF(AND(ISNUMBER(P237),ISNUMBER(P114)),IFERROR(-P237/P114,""),"")</f>
        <v>0.0270226775303011</v>
      </c>
      <c r="Q349" s="27" t="n">
        <f aca="false">IF(AND(ISNUMBER(Q237),ISNUMBER(Q114)),IFERROR(-Q237/Q114,""),"")</f>
        <v>0.0330369941411347</v>
      </c>
      <c r="R349" s="27" t="n">
        <f aca="false">IF(AND(ISNUMBER(R237),ISNUMBER(R114)),IFERROR(-R237/R114,""),"")</f>
        <v>0.0220665541944791</v>
      </c>
      <c r="S349" s="27" t="n">
        <f aca="false">IF(AND(ISNUMBER(S237),ISNUMBER(S114)),IFERROR(-S237/S114,""),"")</f>
        <v>0.0299202987259744</v>
      </c>
      <c r="T349" s="27" t="n">
        <f aca="false">IF(AND(ISNUMBER(T237),ISNUMBER(T114)),IFERROR(-T237/T114,""),"")</f>
        <v>0.0166532710605475</v>
      </c>
      <c r="U349" s="27" t="n">
        <f aca="false">IF(AND(ISNUMBER(U237),ISNUMBER(U114)),IFERROR(-U237/U114,""),"")</f>
        <v>0.0120929430624695</v>
      </c>
      <c r="V349" s="27" t="n">
        <f aca="false">IF(AND(ISNUMBER(V237),ISNUMBER(V114)),IFERROR(-V237/V114,""),"")</f>
        <v>0.0155251315326287</v>
      </c>
      <c r="W349" s="27" t="n">
        <f aca="false">IF(AND(ISNUMBER(W237),ISNUMBER(W114)),IFERROR(-W237/W114,""),"")</f>
        <v>0.0198112967193485</v>
      </c>
      <c r="X349" s="27" t="n">
        <f aca="false">IF(AND(ISNUMBER(X237),ISNUMBER(X114)),IFERROR(-X237/X114,""),"")</f>
        <v>0.0161002283646381</v>
      </c>
      <c r="Y349" s="27" t="n">
        <f aca="false">IF(AND(ISNUMBER(Y237),ISNUMBER(Y114)),IFERROR(-Y237/Y114,""),"")</f>
        <v>0.0175270651649332</v>
      </c>
      <c r="Z349" s="27" t="n">
        <f aca="false">IF(AND(ISNUMBER(Z237),ISNUMBER(Z114)),IFERROR(-Z237/Z114,""),"")</f>
        <v>0.0129662928940661</v>
      </c>
      <c r="AA349" s="27" t="n">
        <f aca="false">IF(AND(ISNUMBER(AA237),ISNUMBER(AA114)),IFERROR(-AA237/AA114,""),"")</f>
        <v>0.0204972667681604</v>
      </c>
      <c r="AB349" s="27" t="n">
        <f aca="false">IF(AND(ISNUMBER(AB237),ISNUMBER(AB114)),IFERROR(-AB237/AB114,""),"")</f>
        <v>0.0365103277071111</v>
      </c>
      <c r="AC349" s="27" t="n">
        <f aca="false">IF(AND(ISNUMBER(AC237),ISNUMBER(AC114)),IFERROR(-AC237/AC114,""),"")</f>
        <v>0.0221799575235036</v>
      </c>
      <c r="AD349" s="27" t="n">
        <f aca="false">IF(AND(ISNUMBER(AD237),ISNUMBER(AD114)),IFERROR(-AD237/AD114,""),"")</f>
        <v>0.0198131747871908</v>
      </c>
      <c r="AE349" s="27" t="n">
        <f aca="false">IF(AND(ISNUMBER(AE237),ISNUMBER(AE114)),IFERROR(-AE237/AE114,""),"")</f>
        <v>0.022749813706613</v>
      </c>
      <c r="AF349" s="27" t="n">
        <f aca="false">IF(AND(ISNUMBER(AF237),ISNUMBER(AF114)),IFERROR(-AF237/AF114,""),"")</f>
        <v>0.0204014432092918</v>
      </c>
      <c r="AG349" s="27" t="n">
        <f aca="false">IF(AND(ISNUMBER(AG237),ISNUMBER(AG114)),IFERROR(-AG237/AG114,""),"")</f>
        <v>0.0291412872764475</v>
      </c>
      <c r="AH349" s="27" t="n">
        <f aca="false">IF(AND(ISNUMBER(AH237),ISNUMBER(AH114)),IFERROR(-AH237/AH114,""),"")</f>
        <v>0.0232075722602912</v>
      </c>
      <c r="AI349" s="27" t="n">
        <f aca="false">IF(AND(ISNUMBER(AI237),ISNUMBER(AI114)),IFERROR(-AI237/AI114,""),"")</f>
        <v>0.0163847297460193</v>
      </c>
      <c r="AJ349" s="27" t="n">
        <f aca="false">IF(AND(ISNUMBER(AJ237),ISNUMBER(AJ114)),IFERROR(-AJ237/AJ114,""),"")</f>
        <v>0.0175415687298685</v>
      </c>
      <c r="AK349" s="27" t="n">
        <f aca="false">IF(AND(ISNUMBER(AK237),ISNUMBER(AK114)),IFERROR(-AK237/AK114,""),"")</f>
        <v>0.01752623897157</v>
      </c>
      <c r="AL349" s="27" t="n">
        <f aca="false">IF(AND(ISNUMBER(AL237),ISNUMBER(AL114)),IFERROR(-AL237/AL114,""),"")</f>
        <v>0.0356602150405013</v>
      </c>
      <c r="AM349" s="27" t="n">
        <f aca="false">IF(AND(ISNUMBER(AM237),ISNUMBER(AM114)),IFERROR(-AM237/AM114,""),"")</f>
        <v>0.0221478666658374</v>
      </c>
      <c r="AN349" s="27" t="n">
        <f aca="false">IF(AND(ISNUMBER(AN237),ISNUMBER(AN114)),IFERROR(-AN237/AN114,""),"")</f>
        <v>0.0294545869544919</v>
      </c>
      <c r="AO349" s="27" t="n">
        <f aca="false">IF(AND(ISNUMBER(AO237),ISNUMBER(AO114)),IFERROR(-AO237/AO114,""),"")</f>
        <v>0.0257231657162173</v>
      </c>
      <c r="AP349" s="27" t="n">
        <f aca="false">IF(AND(ISNUMBER(AP237),ISNUMBER(AP114)),IFERROR(-AP237/AP114,""),"")</f>
        <v>0.0267499349466563</v>
      </c>
      <c r="AQ349" s="27" t="n">
        <f aca="false">IF(AND(ISNUMBER(AQ237),ISNUMBER(AQ114)),IFERROR(-AQ237/AQ114,""),"")</f>
        <v>0.0302437893715947</v>
      </c>
      <c r="AR349" s="27" t="n">
        <f aca="false">IF(AND(ISNUMBER(AR237),ISNUMBER(AR114)),IFERROR(-AR237/AR114,""),"")</f>
        <v>0.0280358092429905</v>
      </c>
      <c r="AS349" s="27" t="n">
        <f aca="false">IF(AND(ISNUMBER(AS237),ISNUMBER(AS114)),IFERROR(-AS237/AS114,""),"")</f>
        <v>0.0309980689618466</v>
      </c>
      <c r="AT349" s="27" t="n">
        <f aca="false">IF(AND(ISNUMBER(AT237),ISNUMBER(AT114)),IFERROR(-AT237/AT114,""),"")</f>
        <v>0.0194292487732866</v>
      </c>
      <c r="AU349" s="27" t="n">
        <f aca="false">IF(AND(ISNUMBER(AU237),ISNUMBER(AU114)),IFERROR(-AU237/AU114,""),"")</f>
        <v>0.0122757665137663</v>
      </c>
      <c r="AV349" s="27" t="n">
        <f aca="false">IF(AND(ISNUMBER(AV237),ISNUMBER(AV114)),IFERROR(-AV237/AV114,""),"")</f>
        <v>0.0166924978008629</v>
      </c>
      <c r="AW349" s="27" t="n">
        <f aca="false">IF(AND(ISNUMBER(AW237),ISNUMBER(AW114)),IFERROR(-AW237/AW114,""),"")</f>
        <v>0.0198629552685194</v>
      </c>
      <c r="AX349" s="27" t="n">
        <f aca="false">IF(AND(ISNUMBER(AX237),ISNUMBER(AX114)),IFERROR(-AX237/AX114,""),"")</f>
        <v>0.0142984194191864</v>
      </c>
      <c r="AY349" s="27" t="n">
        <f aca="false">IF(AND(ISNUMBER(AY237),ISNUMBER(AY114)),IFERROR(-AY237/AY114,""),"")</f>
        <v>0.014857722105568</v>
      </c>
      <c r="AZ349" s="27" t="n">
        <f aca="false">IF(AND(ISNUMBER(AZ237),ISNUMBER(AZ114)),IFERROR(-AZ237/AZ114,""),"")</f>
        <v>0.0162531279255066</v>
      </c>
      <c r="BA349" s="27" t="n">
        <f aca="false">IF(AND(ISNUMBER(BA237),ISNUMBER(BA114)),IFERROR(-BA237/BA114,""),"")</f>
        <v>0.0198722774979828</v>
      </c>
      <c r="BB349" s="27" t="n">
        <f aca="false">IF(AND(ISNUMBER(BB237),ISNUMBER(BB114)),IFERROR(-BB237/BB114,""),"")</f>
        <v>0.0164042824802439</v>
      </c>
      <c r="BC349" s="27" t="n">
        <f aca="false">IF(AND(ISNUMBER(BC237),ISNUMBER(BC114)),IFERROR(-BC237/BC114,""),"")</f>
        <v>0.0194758883997276</v>
      </c>
      <c r="BD349" s="27" t="n">
        <f aca="false">IF(AND(ISNUMBER(BD237),ISNUMBER(BD114)),IFERROR(-BD237/BD114,""),"")</f>
        <v>0.0141066730996772</v>
      </c>
      <c r="BE349" s="27" t="n">
        <f aca="false">IF(AND(ISNUMBER(BE237),ISNUMBER(BE114)),IFERROR(-BE237/BE114,""),"")</f>
        <v>0.014744457942532</v>
      </c>
      <c r="BF349" s="27" t="n">
        <f aca="false">IF(AND(ISNUMBER(BF237),ISNUMBER(BF114)),IFERROR(-BF237/BF114,""),"")</f>
        <v>0.0124434941563884</v>
      </c>
      <c r="BG349" s="27" t="n">
        <f aca="false">IF(AND(ISNUMBER(BG237),ISNUMBER(BG114)),IFERROR(-BG237/BG114,""),"")</f>
        <v>0.0149458843773526</v>
      </c>
      <c r="BH349" s="27" t="n">
        <f aca="false">IF(AND(ISNUMBER(BH237),ISNUMBER(BH114)),IFERROR(-BH237/BH114,""),"")</f>
        <v>0.0168991535364423</v>
      </c>
      <c r="BI349" s="27" t="n">
        <f aca="false">IF(AND(ISNUMBER(BI237),ISNUMBER(BI114)),IFERROR(-BI237/BI114,""),"")</f>
        <v>0.0170401308354959</v>
      </c>
      <c r="BJ349" s="27" t="n">
        <f aca="false">IF(AND(ISNUMBER(BJ237),ISNUMBER(BJ114)),IFERROR(-BJ237/BJ114,""),"")</f>
        <v>0.012940305884367</v>
      </c>
      <c r="BK349" s="27" t="n">
        <f aca="false">IF(AND(ISNUMBER(BK237),ISNUMBER(BK114)),IFERROR(-BK237/BK114,""),"")</f>
        <v>0.0160717035445812</v>
      </c>
      <c r="BL349" s="27" t="n">
        <f aca="false">IF(AND(ISNUMBER(BL237),ISNUMBER(BL114)),IFERROR(-BL237/BL114,""),"")</f>
        <v>0.0156977661628194</v>
      </c>
      <c r="BM349" s="27" t="n">
        <f aca="false">IF(AND(ISNUMBER(BM237),ISNUMBER(BM114)),IFERROR(-BM237/BM114,""),"")</f>
        <v>0.0169034742213254</v>
      </c>
      <c r="BN349" s="27" t="n">
        <f aca="false">IF(AND(ISNUMBER(BN237),ISNUMBER(BN114)),IFERROR(-BN237/BN114,""),"")</f>
        <v>0.0140980210017699</v>
      </c>
      <c r="BO349" s="27" t="n">
        <f aca="false">IF(AND(ISNUMBER(BO237),ISNUMBER(BO114)),IFERROR(-BO237/BO114,""),"")</f>
        <v>0.0182546894675048</v>
      </c>
      <c r="BP349" s="27" t="n">
        <f aca="false">IF(AND(ISNUMBER(BP237),ISNUMBER(BP114)),IFERROR(-BP237/BP114,""),"")</f>
        <v>0.0282307812687656</v>
      </c>
      <c r="BQ349" s="27" t="n">
        <f aca="false">IF(AND(ISNUMBER(BQ237),ISNUMBER(BQ114)),IFERROR(-BQ237/BQ114,""),"")</f>
        <v>0.0195355039377622</v>
      </c>
      <c r="BR349" s="27" t="n">
        <f aca="false">IF(AND(ISNUMBER(BR237),ISNUMBER(BR114)),IFERROR(-BR237/BR114,""),"")</f>
        <v>0.019578102017638</v>
      </c>
      <c r="BS349" s="27" t="n">
        <f aca="false">IF(AND(ISNUMBER(BS237),ISNUMBER(BS114)),IFERROR(-BS237/BS114,""),"")</f>
        <v>0.0221098912130836</v>
      </c>
      <c r="BT349" s="27" t="n">
        <f aca="false">IF(AND(ISNUMBER(BT237),ISNUMBER(BT114)),IFERROR(-BT237/BT114,""),"")</f>
        <v>0.0194438372240183</v>
      </c>
      <c r="BU349" s="27" t="n">
        <f aca="false">IF(AND(ISNUMBER(BU237),ISNUMBER(BU114)),IFERROR(-BU237/BU114,""),"")</f>
        <v>0.039745253600653</v>
      </c>
      <c r="BV349" s="27" t="n">
        <f aca="false">IF(AND(ISNUMBER(BV237),ISNUMBER(BV114)),IFERROR(-BV237/BV114,""),"")</f>
        <v>0.0256382111450698</v>
      </c>
      <c r="BW349" s="27" t="n">
        <f aca="false">IF(AND(ISNUMBER(BW237),ISNUMBER(BW114)),IFERROR(-BW237/BW114,""),"")</f>
        <v>0.0129497300497873</v>
      </c>
      <c r="BX349" s="27" t="n">
        <f aca="false">IF(AND(ISNUMBER(BX237),ISNUMBER(BX114)),IFERROR(-BX237/BX114,""),"")</f>
        <v>0.0318731006657951</v>
      </c>
      <c r="CA349" s="22" t="n">
        <f aca="false">IFERROR(-CA237/CA114,"")</f>
        <v>0.030257749637251</v>
      </c>
      <c r="CB349" s="22" t="n">
        <f aca="false">IFERROR(-CB237/CB114,"")</f>
        <v>0.029</v>
      </c>
      <c r="CC349" s="22" t="n">
        <f aca="false">IFERROR(-CC237/CC114,"")</f>
        <v>0.029</v>
      </c>
      <c r="CD349" s="22" t="n">
        <f aca="false">IFERROR(-CD237/CD114,"")</f>
        <v>0.029</v>
      </c>
      <c r="CE349" s="22" t="n">
        <f aca="false">IFERROR(-CE237/CE114,"")</f>
        <v>0.029</v>
      </c>
    </row>
    <row r="351" customFormat="false" ht="15" hidden="false" customHeight="false" outlineLevel="0" collapsed="false">
      <c r="B351" s="8" t="s">
        <v>563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8" t="s">
        <v>564</v>
      </c>
    </row>
    <row r="352" customFormat="false" ht="15" hidden="false" customHeight="false" outlineLevel="0" collapsed="false">
      <c r="B352" s="49" t="s">
        <v>565</v>
      </c>
    </row>
    <row r="353" customFormat="false" ht="15" hidden="false" customHeight="false" outlineLevel="0" collapsed="false">
      <c r="B353" s="20" t="s">
        <v>566</v>
      </c>
      <c r="C353" s="46" t="n">
        <f aca="false">C159</f>
        <v>140.628</v>
      </c>
      <c r="D353" s="46" t="n">
        <f aca="false">D159</f>
        <v>179.184</v>
      </c>
      <c r="E353" s="46" t="n">
        <f aca="false">E159</f>
        <v>199.182</v>
      </c>
      <c r="F353" s="46" t="n">
        <f aca="false">F159</f>
        <v>169.319</v>
      </c>
      <c r="G353" s="46" t="n">
        <f aca="false">G159</f>
        <v>179.823</v>
      </c>
      <c r="H353" s="46" t="n">
        <f aca="false">H159</f>
        <v>204.956</v>
      </c>
      <c r="I353" s="46" t="n">
        <f aca="false">I159</f>
        <v>201.448</v>
      </c>
      <c r="N353" s="46" t="n">
        <f aca="false">N159</f>
        <v>233.619</v>
      </c>
      <c r="S353" s="46" t="n">
        <f aca="false">S159</f>
        <v>282.373</v>
      </c>
      <c r="X353" s="46" t="n">
        <f aca="false">X159</f>
        <v>291</v>
      </c>
      <c r="AC353" s="46" t="n">
        <f aca="false">AC159</f>
        <v>308.098</v>
      </c>
      <c r="AH353" s="46" t="n">
        <f aca="false">AH159</f>
        <v>339.743</v>
      </c>
      <c r="AM353" s="46" t="n">
        <f aca="false">AM159</f>
        <v>382</v>
      </c>
      <c r="AR353" s="46" t="n">
        <f aca="false">AR159</f>
        <v>411</v>
      </c>
      <c r="AW353" s="46" t="n">
        <f aca="false">AW159</f>
        <v>391</v>
      </c>
      <c r="BB353" s="46" t="n">
        <f aca="false">BB159</f>
        <v>420.423</v>
      </c>
      <c r="BG353" s="46" t="n">
        <f aca="false">BG159</f>
        <v>443.078001</v>
      </c>
      <c r="BL353" s="46" t="n">
        <f aca="false">BL159</f>
        <v>493.8</v>
      </c>
      <c r="BQ353" s="46" t="n">
        <f aca="false">BQ159</f>
        <v>545.866</v>
      </c>
      <c r="BV353" s="46" t="n">
        <f aca="false">BV159</f>
        <v>650.994</v>
      </c>
      <c r="CA353" s="25" t="n">
        <f aca="false">CA159</f>
        <v>728</v>
      </c>
      <c r="CB353" s="25" t="n">
        <f aca="false">CB159</f>
        <v>809.7922</v>
      </c>
      <c r="CC353" s="25" t="n">
        <f aca="false">CC159</f>
        <v>898.8683313</v>
      </c>
      <c r="CD353" s="25" t="n">
        <f aca="false">CD159</f>
        <v>986.510197833</v>
      </c>
      <c r="CE353" s="25" t="n">
        <f aca="false">CE159</f>
        <v>1079.48494832178</v>
      </c>
    </row>
    <row r="354" customFormat="false" ht="15" hidden="false" customHeight="false" outlineLevel="0" collapsed="false">
      <c r="B354" s="20" t="s">
        <v>567</v>
      </c>
      <c r="C354" s="27" t="n">
        <f aca="false">C135</f>
        <v>0.315017598748534</v>
      </c>
      <c r="D354" s="27" t="n">
        <f aca="false">D135</f>
        <v>0.323296858682891</v>
      </c>
      <c r="E354" s="27" t="n">
        <f aca="false">E135</f>
        <v>0.353082307450414</v>
      </c>
      <c r="F354" s="27" t="n">
        <f aca="false">F135</f>
        <v>0.344474352707922</v>
      </c>
      <c r="G354" s="27" t="n">
        <f aca="false">G135</f>
        <v>0.326586436716258</v>
      </c>
      <c r="H354" s="27" t="n">
        <f aca="false">H135</f>
        <v>0.29496889004211</v>
      </c>
      <c r="I354" s="27" t="n">
        <f aca="false">I135</f>
        <v>0.318205995774294</v>
      </c>
      <c r="N354" s="27" t="n">
        <f aca="false">N135</f>
        <v>0.302960803827171</v>
      </c>
      <c r="S354" s="27" t="n">
        <f aca="false">S135</f>
        <v>0.311791337307243</v>
      </c>
      <c r="X354" s="27" t="n">
        <f aca="false">X135</f>
        <v>0.301409187700313</v>
      </c>
      <c r="AC354" s="27" t="n">
        <f aca="false">AC135</f>
        <v>0.29324789801501</v>
      </c>
      <c r="AH354" s="27" t="n">
        <f aca="false">AH135</f>
        <v>0.282785804638558</v>
      </c>
      <c r="AM354" s="27" t="n">
        <f aca="false">AM135</f>
        <v>0.225943818616154</v>
      </c>
      <c r="AR354" s="27" t="n">
        <f aca="false">AR135</f>
        <v>0.224180375420595</v>
      </c>
      <c r="AW354" s="27" t="n">
        <f aca="false">AW135</f>
        <v>0.234399413041578</v>
      </c>
      <c r="BB354" s="27" t="n">
        <f aca="false">BB135</f>
        <v>0.246399255310146</v>
      </c>
      <c r="BG354" s="27" t="n">
        <f aca="false">BG135</f>
        <v>0.243700458638986</v>
      </c>
      <c r="BL354" s="27" t="n">
        <f aca="false">BL135</f>
        <v>0.234437558036582</v>
      </c>
      <c r="BQ354" s="27" t="n">
        <f aca="false">BQ135</f>
        <v>0.224263297424031</v>
      </c>
      <c r="BV354" s="27" t="n">
        <f aca="false">BV135</f>
        <v>0.21899969355333</v>
      </c>
      <c r="CA354" s="22" t="n">
        <f aca="false">CA135</f>
        <v>0.210913249068923</v>
      </c>
      <c r="CB354" s="22" t="n">
        <f aca="false">CB135</f>
        <v>0.22</v>
      </c>
      <c r="CC354" s="22" t="n">
        <f aca="false">CC135</f>
        <v>0.22</v>
      </c>
      <c r="CD354" s="22" t="n">
        <f aca="false">CD135</f>
        <v>0.22</v>
      </c>
      <c r="CE354" s="22" t="n">
        <f aca="false">CE135</f>
        <v>0.22</v>
      </c>
    </row>
    <row r="355" customFormat="false" ht="15" hidden="false" customHeight="false" outlineLevel="0" collapsed="false">
      <c r="B355" s="20" t="s">
        <v>568</v>
      </c>
      <c r="C355" s="46" t="n">
        <f aca="false">IFERROR(C353*(1-C354),"n/a")</f>
        <v>96.3277051231911</v>
      </c>
      <c r="D355" s="46" t="n">
        <f aca="false">IFERROR(D353*(1-D354),"n/a")</f>
        <v>121.254375673765</v>
      </c>
      <c r="E355" s="46" t="n">
        <f aca="false">IFERROR(E353*(1-E354),"n/a")</f>
        <v>128.854359837412</v>
      </c>
      <c r="F355" s="46" t="n">
        <f aca="false">IFERROR(F353*(1-F354),"n/a")</f>
        <v>110.992947073847</v>
      </c>
      <c r="G355" s="46" t="n">
        <f aca="false">IFERROR(G353*(1-G354),"n/a")</f>
        <v>121.095247190372</v>
      </c>
      <c r="H355" s="46" t="n">
        <f aca="false">IFERROR(H353*(1-H354),"n/a")</f>
        <v>144.500356172529</v>
      </c>
      <c r="I355" s="46" t="n">
        <f aca="false">IFERROR(I353*(1-I354),"n/a")</f>
        <v>137.34603856326</v>
      </c>
      <c r="N355" s="46" t="n">
        <f aca="false">IFERROR(N353*(1-N354),"n/a")</f>
        <v>162.8415999707</v>
      </c>
      <c r="S355" s="46" t="n">
        <f aca="false">IFERROR(S353*(1-S354),"n/a")</f>
        <v>194.331544710542</v>
      </c>
      <c r="X355" s="46" t="n">
        <f aca="false">IFERROR(X353*(1-X354),"n/a")</f>
        <v>203.289926379209</v>
      </c>
      <c r="AC355" s="46" t="n">
        <f aca="false">IFERROR(AC353*(1-AC354),"n/a")</f>
        <v>217.748909117372</v>
      </c>
      <c r="AH355" s="46" t="n">
        <f aca="false">IFERROR(AH353*(1-AH354),"n/a")</f>
        <v>243.668502374682</v>
      </c>
      <c r="AM355" s="46" t="n">
        <f aca="false">IFERROR(AM353*(1-AM354),"n/a")</f>
        <v>295.689461288629</v>
      </c>
      <c r="AR355" s="46" t="n">
        <f aca="false">IFERROR(AR353*(1-AR354),"n/a")</f>
        <v>318.861865702135</v>
      </c>
      <c r="AW355" s="46" t="n">
        <f aca="false">IFERROR(AW353*(1-AW354),"n/a")</f>
        <v>299.349829500743</v>
      </c>
      <c r="BB355" s="46" t="n">
        <f aca="false">IFERROR(BB353*(1-BB354),"n/a")</f>
        <v>316.831085884742</v>
      </c>
      <c r="BG355" s="46" t="n">
        <f aca="false">IFERROR(BG353*(1-BG354),"n/a")</f>
        <v>335.099688943455</v>
      </c>
      <c r="BL355" s="46" t="n">
        <f aca="false">IFERROR(BL353*(1-BL354),"n/a")</f>
        <v>378.034733841536</v>
      </c>
      <c r="BQ355" s="46" t="n">
        <f aca="false">IFERROR(BQ353*(1-BQ354),"n/a")</f>
        <v>423.448290888334</v>
      </c>
      <c r="BV355" s="46" t="n">
        <f aca="false">IFERROR(BV353*(1-BV354),"n/a")</f>
        <v>508.426513494943</v>
      </c>
      <c r="CA355" s="25" t="n">
        <f aca="false">IFERROR(CA353*(1-CA354),"n/a")</f>
        <v>574.455154677824</v>
      </c>
      <c r="CB355" s="25" t="n">
        <f aca="false">IFERROR(CB353*(1-CB354),"n/a")</f>
        <v>631.637916</v>
      </c>
      <c r="CC355" s="25" t="n">
        <f aca="false">IFERROR(CC353*(1-CC354),"n/a")</f>
        <v>701.117298414</v>
      </c>
      <c r="CD355" s="25" t="n">
        <f aca="false">IFERROR(CD353*(1-CD354),"n/a")</f>
        <v>769.47795430974</v>
      </c>
      <c r="CE355" s="25" t="n">
        <f aca="false">IFERROR(CE353*(1-CE354),"n/a")</f>
        <v>841.998259690989</v>
      </c>
    </row>
    <row r="356" customFormat="false" ht="15" hidden="false" customHeight="false" outlineLevel="0" collapsed="false">
      <c r="B356" s="20" t="s">
        <v>569</v>
      </c>
      <c r="C356" s="46" t="n">
        <f aca="false">IFERROR(C357+C358,"n/a")</f>
        <v>1002.431</v>
      </c>
      <c r="D356" s="46" t="n">
        <f aca="false">IFERROR(D357+D358,"n/a")</f>
        <v>1360.169</v>
      </c>
      <c r="E356" s="46" t="n">
        <f aca="false">IFERROR(E357+E358,"n/a")</f>
        <v>1322.766</v>
      </c>
      <c r="F356" s="46" t="n">
        <f aca="false">IFERROR(F357+F358,"n/a")</f>
        <v>1426.84</v>
      </c>
      <c r="G356" s="46" t="n">
        <f aca="false">IFERROR(G357+G358,"n/a")</f>
        <v>1488.628</v>
      </c>
      <c r="H356" s="46" t="n">
        <f aca="false">IFERROR(H357+H358,"n/a")</f>
        <v>1621.082</v>
      </c>
      <c r="I356" s="46" t="n">
        <f aca="false">IFERROR(I357+I358,"n/a")</f>
        <v>2080.784</v>
      </c>
      <c r="N356" s="46" t="n">
        <f aca="false">IFERROR(N357+N358,"n/a")</f>
        <v>2337.349</v>
      </c>
      <c r="S356" s="46" t="n">
        <f aca="false">IFERROR(S357+S358,"n/a")</f>
        <v>1982.665</v>
      </c>
      <c r="X356" s="46" t="n">
        <f aca="false">IFERROR(X357+X358,"n/a")</f>
        <v>1921.068</v>
      </c>
      <c r="AC356" s="46" t="n">
        <f aca="false">IFERROR(AC357+AC358,"n/a")</f>
        <v>1703.641</v>
      </c>
      <c r="AH356" s="46" t="n">
        <f aca="false">IFERROR(AH357+AH358,"n/a")</f>
        <v>1866.819</v>
      </c>
      <c r="AM356" s="46" t="n">
        <f aca="false">IFERROR(AM357+AM358,"n/a")</f>
        <v>2017.271</v>
      </c>
      <c r="AR356" s="46" t="n">
        <f aca="false">IFERROR(AR357+AR358,"n/a")</f>
        <v>2143.978</v>
      </c>
      <c r="AW356" s="46" t="n">
        <f aca="false">IFERROR(AW357+AW358,"n/a")</f>
        <v>2647.618</v>
      </c>
      <c r="BB356" s="46" t="n">
        <f aca="false">IFERROR(BB357+BB358,"n/a")</f>
        <v>2706.096</v>
      </c>
      <c r="BG356" s="46" t="n">
        <f aca="false">IFERROR(BG357+BG358,"n/a")</f>
        <v>2989.545</v>
      </c>
      <c r="BL356" s="46" t="n">
        <f aca="false">IFERROR(BL357+BL358,"n/a")</f>
        <v>2971.908</v>
      </c>
      <c r="BQ356" s="46" t="n">
        <f aca="false">IFERROR(BQ357+BQ358,"n/a")</f>
        <v>3113.706</v>
      </c>
      <c r="BV356" s="46" t="n">
        <f aca="false">IFERROR(BV357+BV358,"n/a")</f>
        <v>3120.113</v>
      </c>
      <c r="CA356" s="25" t="n">
        <f aca="false">IFERROR(CA357+CA358,"n/a")</f>
        <v>3107.10624379303</v>
      </c>
      <c r="CB356" s="25" t="n">
        <f aca="false">IFERROR(CB357+CB358,"n/a")</f>
        <v>3452.53455035832</v>
      </c>
      <c r="CC356" s="25" t="n">
        <f aca="false">IFERROR(CC357+CC358,"n/a")</f>
        <v>3807.70722553626</v>
      </c>
      <c r="CD356" s="25" t="n">
        <f aca="false">IFERROR(CD357+CD358,"n/a")</f>
        <v>4158.19591652313</v>
      </c>
      <c r="CE356" s="25" t="n">
        <f aca="false">IFERROR(CE357+CE358,"n/a")</f>
        <v>4506.94027492577</v>
      </c>
    </row>
    <row r="357" customFormat="false" ht="15" hidden="false" customHeight="false" outlineLevel="0" collapsed="false">
      <c r="B357" s="20" t="s">
        <v>570</v>
      </c>
      <c r="C357" s="46" t="n">
        <f aca="false">C306</f>
        <v>762.074</v>
      </c>
      <c r="D357" s="46" t="n">
        <f aca="false">D306</f>
        <v>914.785</v>
      </c>
      <c r="E357" s="46" t="n">
        <f aca="false">E306</f>
        <v>866.762</v>
      </c>
      <c r="F357" s="46" t="n">
        <f aca="false">F306</f>
        <v>1026.757</v>
      </c>
      <c r="G357" s="46" t="n">
        <f aca="false">G306</f>
        <v>1160.103</v>
      </c>
      <c r="H357" s="46" t="n">
        <f aca="false">H306</f>
        <v>1229.039</v>
      </c>
      <c r="I357" s="46" t="n">
        <f aca="false">I306</f>
        <v>1312.592</v>
      </c>
      <c r="N357" s="46" t="n">
        <f aca="false">N306</f>
        <v>1552.705</v>
      </c>
      <c r="S357" s="46" t="n">
        <f aca="false">S306</f>
        <v>1478.433</v>
      </c>
      <c r="X357" s="46" t="n">
        <f aca="false">X306</f>
        <v>1255.423</v>
      </c>
      <c r="AC357" s="46" t="n">
        <f aca="false">AC306</f>
        <v>1291.191</v>
      </c>
      <c r="AH357" s="46" t="n">
        <f aca="false">AH306</f>
        <v>1527.8</v>
      </c>
      <c r="AM357" s="46" t="n">
        <f aca="false">AM306</f>
        <v>1530.781</v>
      </c>
      <c r="AR357" s="46" t="n">
        <f aca="false">AR306</f>
        <v>1774.372</v>
      </c>
      <c r="AW357" s="46" t="n">
        <f aca="false">AW306</f>
        <v>1787.574</v>
      </c>
      <c r="BB357" s="46" t="n">
        <f aca="false">BB306</f>
        <v>1826.49</v>
      </c>
      <c r="BG357" s="46" t="n">
        <f aca="false">BG306</f>
        <v>1992.119</v>
      </c>
      <c r="BL357" s="46" t="n">
        <f aca="false">BL306</f>
        <v>2328.413</v>
      </c>
      <c r="BQ357" s="46" t="n">
        <f aca="false">BQ306</f>
        <v>2449.799</v>
      </c>
      <c r="BV357" s="46" t="n">
        <f aca="false">BV306</f>
        <v>2533.574</v>
      </c>
      <c r="CA357" s="25" t="n">
        <f aca="false">CA306</f>
        <v>2760.07328892487</v>
      </c>
      <c r="CB357" s="25" t="n">
        <f aca="false">CB306</f>
        <v>2983.74405035832</v>
      </c>
      <c r="CC357" s="25" t="n">
        <f aca="false">CC306</f>
        <v>3289.27812628626</v>
      </c>
      <c r="CD357" s="25" t="n">
        <f aca="false">CD306</f>
        <v>3587.77263323063</v>
      </c>
      <c r="CE357" s="25" t="n">
        <f aca="false">CE306</f>
        <v>3882.11764575272</v>
      </c>
    </row>
    <row r="358" customFormat="false" ht="15" hidden="false" customHeight="false" outlineLevel="0" collapsed="false">
      <c r="B358" s="20" t="s">
        <v>571</v>
      </c>
      <c r="C358" s="46" t="n">
        <f aca="false">IFERROR(C328-C276,"n/a")</f>
        <v>240.357</v>
      </c>
      <c r="D358" s="46" t="n">
        <f aca="false">IFERROR(D328-D276,"n/a")</f>
        <v>445.384</v>
      </c>
      <c r="E358" s="46" t="n">
        <f aca="false">IFERROR(E328-E276,"n/a")</f>
        <v>456.004</v>
      </c>
      <c r="F358" s="46" t="n">
        <f aca="false">IFERROR(F328-F276,"n/a")</f>
        <v>400.083</v>
      </c>
      <c r="G358" s="46" t="n">
        <f aca="false">IFERROR(G328-G276,"n/a")</f>
        <v>328.525</v>
      </c>
      <c r="H358" s="46" t="n">
        <f aca="false">IFERROR(H328-H276,"n/a")</f>
        <v>392.043</v>
      </c>
      <c r="I358" s="46" t="n">
        <f aca="false">IFERROR(I328-I276,"n/a")</f>
        <v>768.192</v>
      </c>
      <c r="N358" s="46" t="n">
        <f aca="false">IFERROR(N328-N276,"n/a")</f>
        <v>784.644</v>
      </c>
      <c r="S358" s="46" t="n">
        <f aca="false">IFERROR(S328-S276,"n/a")</f>
        <v>504.232</v>
      </c>
      <c r="X358" s="46" t="n">
        <f aca="false">IFERROR(X328-X276,"n/a")</f>
        <v>665.645</v>
      </c>
      <c r="AC358" s="46" t="n">
        <f aca="false">IFERROR(AC328-AC276,"n/a")</f>
        <v>412.45</v>
      </c>
      <c r="AH358" s="46" t="n">
        <f aca="false">IFERROR(AH328-AH276,"n/a")</f>
        <v>339.019</v>
      </c>
      <c r="AM358" s="46" t="n">
        <f aca="false">IFERROR(AM328-AM276,"n/a")</f>
        <v>486.49</v>
      </c>
      <c r="AR358" s="46" t="n">
        <f aca="false">IFERROR(AR328-AR276,"n/a")</f>
        <v>369.606</v>
      </c>
      <c r="AW358" s="46" t="n">
        <f aca="false">IFERROR(AW328-AW276,"n/a")</f>
        <v>860.044</v>
      </c>
      <c r="BB358" s="46" t="n">
        <f aca="false">IFERROR(BB328-BB276,"n/a")</f>
        <v>879.606</v>
      </c>
      <c r="BG358" s="46" t="n">
        <f aca="false">IFERROR(BG328-BG276,"n/a")</f>
        <v>997.426</v>
      </c>
      <c r="BL358" s="46" t="n">
        <f aca="false">IFERROR(BL328-BL276,"n/a")</f>
        <v>643.495</v>
      </c>
      <c r="BQ358" s="46" t="n">
        <f aca="false">IFERROR(BQ328-BQ276,"n/a")</f>
        <v>663.907</v>
      </c>
      <c r="BV358" s="46" t="n">
        <f aca="false">IFERROR(BV328-BV276,"n/a")</f>
        <v>586.539</v>
      </c>
      <c r="CA358" s="25" t="n">
        <f aca="false">IFERROR(CA328-CA276,"n/a")</f>
        <v>347.032954868158</v>
      </c>
      <c r="CB358" s="25" t="n">
        <f aca="false">IFERROR(CB328-CB276,"n/a")</f>
        <v>468.7905</v>
      </c>
      <c r="CC358" s="25" t="n">
        <f aca="false">IFERROR(CC328-CC276,"n/a")</f>
        <v>518.42909925</v>
      </c>
      <c r="CD358" s="25" t="n">
        <f aca="false">IFERROR(CD328-CD276,"n/a")</f>
        <v>570.4232832925</v>
      </c>
      <c r="CE358" s="25" t="n">
        <f aca="false">IFERROR(CE328-CE276,"n/a")</f>
        <v>624.82262917305</v>
      </c>
    </row>
    <row r="359" customFormat="false" ht="15" hidden="false" customHeight="false" outlineLevel="0" collapsed="false">
      <c r="B359" s="20" t="s">
        <v>572</v>
      </c>
      <c r="C359" s="62" t="n">
        <f aca="false">IFERROR(C355/C356,"n/a")</f>
        <v>0.0960941003652033</v>
      </c>
      <c r="D359" s="62" t="n">
        <f aca="false">IFERROR(D355/D356,"n/a")</f>
        <v>0.0891465514018956</v>
      </c>
      <c r="E359" s="62" t="n">
        <f aca="false">IFERROR(E355/E356,"n/a")</f>
        <v>0.0974128151444864</v>
      </c>
      <c r="F359" s="62" t="n">
        <f aca="false">IFERROR(F355/F356,"n/a")</f>
        <v>0.0777893436361802</v>
      </c>
      <c r="G359" s="62" t="n">
        <f aca="false">IFERROR(G355/G356,"n/a")</f>
        <v>0.0813468826263998</v>
      </c>
      <c r="H359" s="62" t="n">
        <f aca="false">IFERROR(H355/H356,"n/a")</f>
        <v>0.0891382151998044</v>
      </c>
      <c r="I359" s="62" t="n">
        <f aca="false">IFERROR(I355/I356,"n/a")</f>
        <v>0.0660068697967977</v>
      </c>
      <c r="N359" s="62" t="n">
        <f aca="false">IFERROR(N355/N356,"n/a")</f>
        <v>0.0696693561683344</v>
      </c>
      <c r="S359" s="62" t="n">
        <f aca="false">IFERROR(S355/S356,"n/a")</f>
        <v>0.0980153201426071</v>
      </c>
      <c r="X359" s="62" t="n">
        <f aca="false">IFERROR(X355/X356,"n/a")</f>
        <v>0.105821306887215</v>
      </c>
      <c r="AC359" s="62" t="n">
        <f aca="false">IFERROR(AC355/AC356,"n/a")</f>
        <v>0.127813846413283</v>
      </c>
      <c r="AH359" s="62" t="n">
        <f aca="false">IFERROR(AH355/AH356,"n/a")</f>
        <v>0.130526045843053</v>
      </c>
      <c r="AM359" s="62" t="n">
        <f aca="false">IFERROR(AM355/AM356,"n/a")</f>
        <v>0.146578948137672</v>
      </c>
      <c r="AR359" s="62" t="n">
        <f aca="false">IFERROR(AR355/AR356,"n/a")</f>
        <v>0.148724411212305</v>
      </c>
      <c r="AW359" s="62" t="n">
        <f aca="false">IFERROR(AW355/AW356,"n/a")</f>
        <v>0.113063829261148</v>
      </c>
      <c r="BB359" s="62" t="n">
        <f aca="false">IFERROR(BB355/BB356,"n/a")</f>
        <v>0.11708050486189</v>
      </c>
      <c r="BG359" s="62" t="n">
        <f aca="false">IFERROR(BG355/BG356,"n/a")</f>
        <v>0.11209053181787</v>
      </c>
      <c r="BL359" s="62" t="n">
        <f aca="false">IFERROR(BL355/BL356,"n/a")</f>
        <v>0.127202704068072</v>
      </c>
      <c r="BQ359" s="62" t="n">
        <f aca="false">IFERROR(BQ355/BQ356,"n/a")</f>
        <v>0.135994949712122</v>
      </c>
      <c r="BV359" s="62" t="n">
        <f aca="false">IFERROR(BV355/BV356,"n/a")</f>
        <v>0.162951314101426</v>
      </c>
      <c r="CA359" s="62" t="n">
        <f aca="false">IFERROR(CA355/CA356,"n/a")</f>
        <v>0.184884297350757</v>
      </c>
      <c r="CB359" s="62" t="n">
        <f aca="false">IFERROR(CB355/CB356,"n/a")</f>
        <v>0.182949049976762</v>
      </c>
      <c r="CC359" s="62" t="n">
        <f aca="false">IFERROR(CC355/CC356,"n/a")</f>
        <v>0.184131094353048</v>
      </c>
      <c r="CD359" s="62" t="n">
        <f aca="false">IFERROR(CD355/CD356,"n/a")</f>
        <v>0.185050913847546</v>
      </c>
      <c r="CE359" s="62" t="n">
        <f aca="false">IFERROR(CE355/CE356,"n/a")</f>
        <v>0.186822591010451</v>
      </c>
      <c r="CH359" s="32" t="n">
        <f aca="false">IFERROR(AVERAGE(CA359,CB359,CC359,CD359,CE359),"n/m")</f>
        <v>0.184767589307713</v>
      </c>
      <c r="CI359" s="32" t="n">
        <f aca="false">IFERROR(AVERAGE(BB359,BG359,BL359,BQ359,BV359),"n/m")</f>
        <v>0.131064000912276</v>
      </c>
      <c r="CJ359" s="32" t="n">
        <f aca="false">IFERROR(AVERAGE(AC359,AH359,AM359,AR359,AW359,BB359,BG359,BL359,BQ359,BV359),"n/m")</f>
        <v>0.132202708542884</v>
      </c>
      <c r="CK359" s="32" t="n">
        <f aca="false">IFERROR(AVERAGE(C359,D359,E359,F359,G359,H359,I359,N359,S359,X359,AC359,AH359,AM359,AR359,AW359,BB359,BG359,BL359,BQ359,BV359),"n/m")</f>
        <v>0.109623392339888</v>
      </c>
    </row>
    <row r="360" customFormat="false" ht="15" hidden="false" customHeight="false" outlineLevel="0" collapsed="false">
      <c r="B360" s="20" t="s">
        <v>573</v>
      </c>
      <c r="C360" s="27" t="n">
        <f aca="false">IFERROR(C353/C114,"n/a")</f>
        <v>0.109680966809785</v>
      </c>
      <c r="D360" s="27" t="n">
        <f aca="false">IFERROR(D353/D114,"n/a")</f>
        <v>0.112543997829315</v>
      </c>
      <c r="E360" s="27" t="n">
        <f aca="false">IFERROR(E353/E114,"n/a")</f>
        <v>0.108834296829751</v>
      </c>
      <c r="F360" s="27" t="n">
        <f aca="false">IFERROR(F353/F114,"n/a")</f>
        <v>0.0935624333449375</v>
      </c>
      <c r="G360" s="27" t="n">
        <f aca="false">IFERROR(G353/G114,"n/a")</f>
        <v>0.0949869370049875</v>
      </c>
      <c r="H360" s="27" t="n">
        <f aca="false">IFERROR(H353/H114,"n/a")</f>
        <v>0.0997775213837489</v>
      </c>
      <c r="I360" s="27" t="n">
        <f aca="false">IFERROR(I353/I114,"n/a")</f>
        <v>0.096032065351077</v>
      </c>
      <c r="N360" s="27" t="n">
        <f aca="false">IFERROR(N353/N114,"n/a")</f>
        <v>0.0930467175222272</v>
      </c>
      <c r="S360" s="27" t="n">
        <f aca="false">IFERROR(S353/S114,"n/a")</f>
        <v>0.125883699801081</v>
      </c>
      <c r="X360" s="27" t="n">
        <f aca="false">IFERROR(X353/X114,"n/a")</f>
        <v>0.131931923127666</v>
      </c>
      <c r="AC360" s="27" t="n">
        <f aca="false">IFERROR(AC353/AC114,"n/a")</f>
        <v>0.146092024822054</v>
      </c>
      <c r="AH360" s="27" t="n">
        <f aca="false">IFERROR(AH353/AH114,"n/a")</f>
        <v>0.149598903755395</v>
      </c>
      <c r="AM360" s="27" t="n">
        <f aca="false">IFERROR(AM353/AM114,"n/a")</f>
        <v>0.158385627540856</v>
      </c>
      <c r="AR360" s="27" t="n">
        <f aca="false">IFERROR(AR353/AR114,"n/a")</f>
        <v>0.16519551552456</v>
      </c>
      <c r="AW360" s="27" t="n">
        <f aca="false">IFERROR(AW353/AW114,"n/a")</f>
        <v>0.163506926671952</v>
      </c>
      <c r="BB360" s="27" t="n">
        <f aca="false">IFERROR(BB353/BB114,"n/a")</f>
        <v>0.16777117965339</v>
      </c>
      <c r="BG360" s="27" t="n">
        <f aca="false">IFERROR(BG353/BG114,"n/a")</f>
        <v>0.173278712957441</v>
      </c>
      <c r="BL360" s="27" t="n">
        <f aca="false">IFERROR(BL353/BL114,"n/a")</f>
        <v>0.17354490957776</v>
      </c>
      <c r="BQ360" s="27" t="n">
        <f aca="false">IFERROR(BQ353/BQ114,"n/a")</f>
        <v>0.174890402343466</v>
      </c>
      <c r="BV360" s="27" t="n">
        <f aca="false">IFERROR(BV353/BV114,"n/a")</f>
        <v>0.186084841749248</v>
      </c>
      <c r="CA360" s="22" t="n">
        <f aca="false">IFERROR(CA353/CA114,"n/a")</f>
        <v>0.192059095106187</v>
      </c>
      <c r="CB360" s="22" t="n">
        <f aca="false">IFERROR(CB353/CB114,"n/a")</f>
        <v>0.196943479741233</v>
      </c>
      <c r="CC360" s="22" t="n">
        <f aca="false">IFERROR(CC353/CC114,"n/a")</f>
        <v>0.200054525915163</v>
      </c>
      <c r="CD360" s="22" t="n">
        <f aca="false">IFERROR(CD353/CD114,"n/a")</f>
        <v>0.202279716705898</v>
      </c>
      <c r="CE360" s="22" t="n">
        <f aca="false">IFERROR(CE353/CE114,"n/a")</f>
        <v>0.204302660397684</v>
      </c>
    </row>
    <row r="361" customFormat="false" ht="15" hidden="false" customHeight="false" outlineLevel="0" collapsed="false">
      <c r="B361" s="20" t="s">
        <v>574</v>
      </c>
      <c r="C361" s="63" t="n">
        <f aca="false">IFERROR(C114/C356,"n/a")</f>
        <v>1.27904564004904</v>
      </c>
      <c r="D361" s="63" t="n">
        <f aca="false">IFERROR(D114/D356,"n/a")</f>
        <v>1.17053395570697</v>
      </c>
      <c r="E361" s="63" t="n">
        <f aca="false">IFERROR(E114/E356,"n/a")</f>
        <v>1.38357048790187</v>
      </c>
      <c r="F361" s="63" t="n">
        <f aca="false">IFERROR(F114/F356,"n/a")</f>
        <v>1.26832020408735</v>
      </c>
      <c r="G361" s="63" t="n">
        <f aca="false">IFERROR(G114/G356,"n/a")</f>
        <v>1.27173074804451</v>
      </c>
      <c r="H361" s="63" t="n">
        <f aca="false">IFERROR(H114/H356,"n/a")</f>
        <v>1.26713516034352</v>
      </c>
      <c r="I361" s="63" t="n">
        <f aca="false">IFERROR(I114/I356,"n/a")</f>
        <v>1.00813731747265</v>
      </c>
      <c r="N361" s="63" t="n">
        <f aca="false">IFERROR(N114/N356,"n/a")</f>
        <v>1.07419602293025</v>
      </c>
      <c r="S361" s="63" t="n">
        <f aca="false">IFERROR(S114/S356,"n/a")</f>
        <v>1.13136914203862</v>
      </c>
      <c r="X361" s="63" t="n">
        <f aca="false">IFERROR(X114/X356,"n/a")</f>
        <v>1.14815456818811</v>
      </c>
      <c r="AC361" s="63" t="n">
        <f aca="false">IFERROR(AC114/AC356,"n/a")</f>
        <v>1.23789636431619</v>
      </c>
      <c r="AH361" s="63" t="n">
        <f aca="false">IFERROR(AH114/AH356,"n/a")</f>
        <v>1.21652179456069</v>
      </c>
      <c r="AM361" s="63" t="n">
        <f aca="false">IFERROR(AM114/AM356,"n/a")</f>
        <v>1.19559295701966</v>
      </c>
      <c r="AR361" s="63" t="n">
        <f aca="false">IFERROR(AR114/AR356,"n/a")</f>
        <v>1.16044147841069</v>
      </c>
      <c r="AW361" s="63" t="n">
        <f aca="false">IFERROR(AW114/AW356,"n/a")</f>
        <v>0.90320280342557</v>
      </c>
      <c r="BB361" s="63" t="n">
        <f aca="false">IFERROR(BB114/BB356,"n/a")</f>
        <v>0.926031818531198</v>
      </c>
      <c r="BG361" s="63" t="n">
        <f aca="false">IFERROR(BG114/BG356,"n/a")</f>
        <v>0.855322465458791</v>
      </c>
      <c r="BL361" s="63" t="n">
        <f aca="false">IFERROR(BL114/BL356,"n/a")</f>
        <v>0.957422975408391</v>
      </c>
      <c r="BQ361" s="63" t="n">
        <f aca="false">IFERROR(BQ114/BQ356,"n/a")</f>
        <v>1.00240324552157</v>
      </c>
      <c r="BV361" s="63" t="n">
        <f aca="false">IFERROR(BV114/BV356,"n/a")</f>
        <v>1.12123246818304</v>
      </c>
      <c r="CA361" s="59" t="n">
        <f aca="false">IFERROR(CA114/CA356,"n/a")</f>
        <v>1.21994540983984</v>
      </c>
      <c r="CB361" s="59" t="n">
        <f aca="false">IFERROR(CB114/CB356,"n/a")</f>
        <v>1.19095115198</v>
      </c>
      <c r="CC361" s="59" t="n">
        <f aca="false">IFERROR(CC114/CC356,"n/a")</f>
        <v>1.18000582341706</v>
      </c>
      <c r="CD361" s="59" t="n">
        <f aca="false">IFERROR(CD114/CD356,"n/a")</f>
        <v>1.17285492191957</v>
      </c>
      <c r="CE361" s="59" t="n">
        <f aca="false">IFERROR(CE114/CE356,"n/a")</f>
        <v>1.17235939000923</v>
      </c>
    </row>
    <row r="362" customFormat="false" ht="15" hidden="false" customHeight="false" outlineLevel="0" collapsed="false">
      <c r="B362" s="20" t="s">
        <v>575</v>
      </c>
      <c r="C362" s="27" t="n">
        <f aca="false">IFERROR(1-C354,"n/a")</f>
        <v>0.684982401251466</v>
      </c>
      <c r="D362" s="27" t="n">
        <f aca="false">IFERROR(1-D354,"n/a")</f>
        <v>0.676703141317109</v>
      </c>
      <c r="E362" s="27" t="n">
        <f aca="false">IFERROR(1-E354,"n/a")</f>
        <v>0.646917692549586</v>
      </c>
      <c r="F362" s="27" t="n">
        <f aca="false">IFERROR(1-F354,"n/a")</f>
        <v>0.655525647292078</v>
      </c>
      <c r="G362" s="27" t="n">
        <f aca="false">IFERROR(1-G354,"n/a")</f>
        <v>0.673413563283742</v>
      </c>
      <c r="H362" s="27" t="n">
        <f aca="false">IFERROR(1-H354,"n/a")</f>
        <v>0.70503110995789</v>
      </c>
      <c r="I362" s="27" t="n">
        <f aca="false">IFERROR(1-I354,"n/a")</f>
        <v>0.681794004225706</v>
      </c>
      <c r="N362" s="27" t="n">
        <f aca="false">IFERROR(1-N354,"n/a")</f>
        <v>0.697039196172829</v>
      </c>
      <c r="S362" s="27" t="n">
        <f aca="false">IFERROR(1-S354,"n/a")</f>
        <v>0.688208662692757</v>
      </c>
      <c r="X362" s="27" t="n">
        <f aca="false">IFERROR(1-X354,"n/a")</f>
        <v>0.698590812299687</v>
      </c>
      <c r="AC362" s="27" t="n">
        <f aca="false">IFERROR(1-AC354,"n/a")</f>
        <v>0.70675210198499</v>
      </c>
      <c r="AH362" s="27" t="n">
        <f aca="false">IFERROR(1-AH354,"n/a")</f>
        <v>0.717214195361442</v>
      </c>
      <c r="AM362" s="27" t="n">
        <f aca="false">IFERROR(1-AM354,"n/a")</f>
        <v>0.774056181383846</v>
      </c>
      <c r="AR362" s="27" t="n">
        <f aca="false">IFERROR(1-AR354,"n/a")</f>
        <v>0.775819624579405</v>
      </c>
      <c r="AW362" s="27" t="n">
        <f aca="false">IFERROR(1-AW354,"n/a")</f>
        <v>0.765600586958422</v>
      </c>
      <c r="BB362" s="27" t="n">
        <f aca="false">IFERROR(1-BB354,"n/a")</f>
        <v>0.753600744689854</v>
      </c>
      <c r="BG362" s="27" t="n">
        <f aca="false">IFERROR(1-BG354,"n/a")</f>
        <v>0.756299541361015</v>
      </c>
      <c r="BL362" s="27" t="n">
        <f aca="false">IFERROR(1-BL354,"n/a")</f>
        <v>0.765562441963418</v>
      </c>
      <c r="BQ362" s="27" t="n">
        <f aca="false">IFERROR(1-BQ354,"n/a")</f>
        <v>0.775736702575969</v>
      </c>
      <c r="BV362" s="27" t="n">
        <f aca="false">IFERROR(1-BV354,"n/a")</f>
        <v>0.78100030644667</v>
      </c>
      <c r="CA362" s="22" t="n">
        <f aca="false">IFERROR(1-CA354,"n/a")</f>
        <v>0.789086750931077</v>
      </c>
      <c r="CB362" s="22" t="n">
        <f aca="false">IFERROR(1-CB354,"n/a")</f>
        <v>0.78</v>
      </c>
      <c r="CC362" s="22" t="n">
        <f aca="false">IFERROR(1-CC354,"n/a")</f>
        <v>0.78</v>
      </c>
      <c r="CD362" s="22" t="n">
        <f aca="false">IFERROR(1-CD354,"n/a")</f>
        <v>0.78</v>
      </c>
      <c r="CE362" s="22" t="n">
        <f aca="false">IFERROR(1-CE354,"n/a")</f>
        <v>0.78</v>
      </c>
    </row>
    <row r="363" customFormat="false" ht="15" hidden="false" customHeight="false" outlineLevel="0" collapsed="false">
      <c r="B363" s="20" t="s">
        <v>576</v>
      </c>
      <c r="C363" s="27" t="n">
        <f aca="false">IFERROR(C360*C361*C362,"n/a")</f>
        <v>0.0960941003652033</v>
      </c>
      <c r="D363" s="27" t="n">
        <f aca="false">IFERROR(D360*D361*D362,"n/a")</f>
        <v>0.0891465514018956</v>
      </c>
      <c r="E363" s="27" t="n">
        <f aca="false">IFERROR(E360*E361*E362,"n/a")</f>
        <v>0.0974128151444864</v>
      </c>
      <c r="F363" s="27" t="n">
        <f aca="false">IFERROR(F360*F361*F362,"n/a")</f>
        <v>0.0777893436361802</v>
      </c>
      <c r="G363" s="27" t="n">
        <f aca="false">IFERROR(G360*G361*G362,"n/a")</f>
        <v>0.0813468826263998</v>
      </c>
      <c r="H363" s="27" t="n">
        <f aca="false">IFERROR(H360*H361*H362,"n/a")</f>
        <v>0.0891382151998044</v>
      </c>
      <c r="I363" s="27" t="n">
        <f aca="false">IFERROR(I360*I361*I362,"n/a")</f>
        <v>0.0660068697967977</v>
      </c>
      <c r="N363" s="27" t="n">
        <f aca="false">IFERROR(N360*N361*N362,"n/a")</f>
        <v>0.0696693561683344</v>
      </c>
      <c r="S363" s="27" t="n">
        <f aca="false">IFERROR(S360*S361*S362,"n/a")</f>
        <v>0.0980153201426071</v>
      </c>
      <c r="X363" s="27" t="n">
        <f aca="false">IFERROR(X360*X361*X362,"n/a")</f>
        <v>0.105821306887215</v>
      </c>
      <c r="AC363" s="27" t="n">
        <f aca="false">IFERROR(AC360*AC361*AC362,"n/a")</f>
        <v>0.127813846413283</v>
      </c>
      <c r="AH363" s="27" t="n">
        <f aca="false">IFERROR(AH360*AH361*AH362,"n/a")</f>
        <v>0.130526045843053</v>
      </c>
      <c r="AM363" s="27" t="n">
        <f aca="false">IFERROR(AM360*AM361*AM362,"n/a")</f>
        <v>0.146578948137672</v>
      </c>
      <c r="AR363" s="27" t="n">
        <f aca="false">IFERROR(AR360*AR361*AR362,"n/a")</f>
        <v>0.148724411212305</v>
      </c>
      <c r="AW363" s="27" t="n">
        <f aca="false">IFERROR(AW360*AW361*AW362,"n/a")</f>
        <v>0.113063829261148</v>
      </c>
      <c r="BB363" s="27" t="n">
        <f aca="false">IFERROR(BB360*BB361*BB362,"n/a")</f>
        <v>0.11708050486189</v>
      </c>
      <c r="BG363" s="27" t="n">
        <f aca="false">IFERROR(BG360*BG361*BG362,"n/a")</f>
        <v>0.11209053181787</v>
      </c>
      <c r="BL363" s="27" t="n">
        <f aca="false">IFERROR(BL360*BL361*BL362,"n/a")</f>
        <v>0.127202704068072</v>
      </c>
      <c r="BQ363" s="27" t="n">
        <f aca="false">IFERROR(BQ360*BQ361*BQ362,"n/a")</f>
        <v>0.135994949712122</v>
      </c>
      <c r="BV363" s="27" t="n">
        <f aca="false">IFERROR(BV360*BV361*BV362,"n/a")</f>
        <v>0.162951314101426</v>
      </c>
      <c r="CA363" s="22" t="n">
        <f aca="false">IFERROR(CA360*CA361*CA362,"n/a")</f>
        <v>0.184884297350757</v>
      </c>
      <c r="CB363" s="22" t="n">
        <f aca="false">IFERROR(CB360*CB361*CB362,"n/a")</f>
        <v>0.182949049976762</v>
      </c>
      <c r="CC363" s="22" t="n">
        <f aca="false">IFERROR(CC360*CC361*CC362,"n/a")</f>
        <v>0.184131094353048</v>
      </c>
      <c r="CD363" s="22" t="n">
        <f aca="false">IFERROR(CD360*CD361*CD362,"n/a")</f>
        <v>0.185050913847546</v>
      </c>
      <c r="CE363" s="22" t="n">
        <f aca="false">IFERROR(CE360*CE361*CE362,"n/a")</f>
        <v>0.186822591010451</v>
      </c>
    </row>
    <row r="364" customFormat="false" ht="15" hidden="false" customHeight="false" outlineLevel="0" collapsed="false">
      <c r="B364" s="49" t="s">
        <v>577</v>
      </c>
    </row>
    <row r="365" customFormat="false" ht="15" hidden="false" customHeight="false" outlineLevel="0" collapsed="false">
      <c r="B365" s="20" t="s">
        <v>568</v>
      </c>
      <c r="C365" s="46" t="n">
        <f aca="false">C355</f>
        <v>96.3277051231911</v>
      </c>
      <c r="D365" s="46" t="n">
        <f aca="false">D355</f>
        <v>121.254375673765</v>
      </c>
      <c r="E365" s="46" t="n">
        <f aca="false">E355</f>
        <v>128.854359837412</v>
      </c>
      <c r="F365" s="46" t="n">
        <f aca="false">F355</f>
        <v>110.992947073847</v>
      </c>
      <c r="G365" s="46" t="n">
        <f aca="false">G355</f>
        <v>121.095247190372</v>
      </c>
      <c r="H365" s="46" t="n">
        <f aca="false">H355</f>
        <v>144.500356172529</v>
      </c>
      <c r="I365" s="46" t="n">
        <f aca="false">I355</f>
        <v>137.34603856326</v>
      </c>
      <c r="N365" s="46" t="n">
        <f aca="false">N355</f>
        <v>162.8415999707</v>
      </c>
      <c r="S365" s="46" t="n">
        <f aca="false">S355</f>
        <v>194.331544710542</v>
      </c>
      <c r="X365" s="46" t="n">
        <f aca="false">X355</f>
        <v>203.289926379209</v>
      </c>
      <c r="AC365" s="46" t="n">
        <f aca="false">AC355</f>
        <v>217.748909117372</v>
      </c>
      <c r="AH365" s="46" t="n">
        <f aca="false">AH355</f>
        <v>243.668502374682</v>
      </c>
      <c r="AM365" s="46" t="n">
        <f aca="false">AM355</f>
        <v>295.689461288629</v>
      </c>
      <c r="AR365" s="46" t="n">
        <f aca="false">AR355</f>
        <v>318.861865702135</v>
      </c>
      <c r="AW365" s="46" t="n">
        <f aca="false">AW355</f>
        <v>299.349829500743</v>
      </c>
      <c r="BB365" s="46" t="n">
        <f aca="false">BB355</f>
        <v>316.831085884742</v>
      </c>
      <c r="BG365" s="46" t="n">
        <f aca="false">BG355</f>
        <v>335.099688943455</v>
      </c>
      <c r="BL365" s="46" t="n">
        <f aca="false">BL355</f>
        <v>378.034733841536</v>
      </c>
      <c r="BQ365" s="46" t="n">
        <f aca="false">BQ355</f>
        <v>423.448290888334</v>
      </c>
      <c r="BV365" s="46" t="n">
        <f aca="false">BV355</f>
        <v>508.426513494943</v>
      </c>
      <c r="CA365" s="25" t="n">
        <f aca="false">CA355</f>
        <v>574.455154677824</v>
      </c>
      <c r="CB365" s="25" t="n">
        <f aca="false">CB355</f>
        <v>631.637916</v>
      </c>
      <c r="CC365" s="25" t="n">
        <f aca="false">CC355</f>
        <v>701.117298414</v>
      </c>
      <c r="CD365" s="25" t="n">
        <f aca="false">CD355</f>
        <v>769.47795430974</v>
      </c>
      <c r="CE365" s="25" t="n">
        <f aca="false">CE355</f>
        <v>841.998259690989</v>
      </c>
    </row>
    <row r="366" customFormat="false" ht="15" hidden="false" customHeight="false" outlineLevel="0" collapsed="false">
      <c r="B366" s="20" t="s">
        <v>578</v>
      </c>
      <c r="C366" s="46" t="n">
        <f aca="false">C287</f>
        <v>1592.156</v>
      </c>
      <c r="D366" s="46" t="n">
        <f aca="false">D287</f>
        <v>1985.56</v>
      </c>
      <c r="E366" s="46" t="n">
        <f aca="false">E287</f>
        <v>2042.03</v>
      </c>
      <c r="F366" s="46" t="n">
        <f aca="false">F287</f>
        <v>2142.041</v>
      </c>
      <c r="G366" s="46" t="n">
        <f aca="false">G287</f>
        <v>2242.018</v>
      </c>
      <c r="H366" s="46" t="n">
        <f aca="false">H287</f>
        <v>2652.837</v>
      </c>
      <c r="I366" s="46" t="n">
        <f aca="false">I287</f>
        <v>3114.588</v>
      </c>
      <c r="N366" s="46" t="n">
        <f aca="false">N287</f>
        <v>3458.274</v>
      </c>
      <c r="S366" s="46" t="n">
        <f aca="false">S287</f>
        <v>3399.511</v>
      </c>
      <c r="X366" s="46" t="n">
        <f aca="false">X287</f>
        <v>3029.378</v>
      </c>
      <c r="AC366" s="46" t="n">
        <f aca="false">AC287</f>
        <v>3037.781</v>
      </c>
      <c r="AH366" s="46" t="n">
        <f aca="false">AH287</f>
        <v>3236.321</v>
      </c>
      <c r="AM366" s="46" t="n">
        <f aca="false">AM287</f>
        <v>3255.385</v>
      </c>
      <c r="AR366" s="46" t="n">
        <f aca="false">AR287</f>
        <v>3764.261</v>
      </c>
      <c r="AW366" s="46" t="n">
        <f aca="false">AW287</f>
        <v>4021.334</v>
      </c>
      <c r="BB366" s="46" t="n">
        <f aca="false">BB287</f>
        <v>4103.545</v>
      </c>
      <c r="BG366" s="46" t="n">
        <f aca="false">BG287</f>
        <v>4449.602</v>
      </c>
      <c r="BL366" s="46" t="n">
        <f aca="false">BL287</f>
        <v>4620.969</v>
      </c>
      <c r="BQ366" s="46" t="n">
        <f aca="false">BQ287</f>
        <v>4985.704</v>
      </c>
      <c r="BV366" s="46" t="n">
        <f aca="false">BV287</f>
        <v>5221.292</v>
      </c>
      <c r="CA366" s="25" t="n">
        <f aca="false">CA287</f>
        <v>5349.63830179449</v>
      </c>
      <c r="CB366" s="25" t="n">
        <f aca="false">CB287</f>
        <v>5669.94062926243</v>
      </c>
      <c r="CC366" s="25" t="n">
        <f aca="false">CC287</f>
        <v>6104.7422458868</v>
      </c>
      <c r="CD366" s="25" t="n">
        <f aca="false">CD287</f>
        <v>6574.52557245288</v>
      </c>
      <c r="CE366" s="25" t="n">
        <f aca="false">CE287</f>
        <v>7049.6838738038</v>
      </c>
    </row>
    <row r="367" customFormat="false" ht="15" hidden="false" customHeight="false" outlineLevel="0" collapsed="false">
      <c r="B367" s="20" t="s">
        <v>579</v>
      </c>
      <c r="C367" s="46" t="n">
        <f aca="false">IFERROR(-(C282+C283),"n/a")</f>
        <v>-569.181</v>
      </c>
      <c r="D367" s="46" t="n">
        <f aca="false">IFERROR(-(D282+D283),"n/a")</f>
        <v>-811.261</v>
      </c>
      <c r="E367" s="46" t="n">
        <f aca="false">IFERROR(-(E282+E283),"n/a")</f>
        <v>-843.494</v>
      </c>
      <c r="F367" s="46" t="n">
        <f aca="false">IFERROR(-(F282+F283),"n/a")</f>
        <v>-890.958</v>
      </c>
      <c r="G367" s="46" t="n">
        <f aca="false">IFERROR(-(G282+G283),"n/a")</f>
        <v>-933.769</v>
      </c>
      <c r="H367" s="46" t="n">
        <f aca="false">IFERROR(-(H282+H283),"n/a")</f>
        <v>-1020.89</v>
      </c>
      <c r="I367" s="46" t="n">
        <f aca="false">IFERROR(-(I282+I283),"n/a")</f>
        <v>-1432.321</v>
      </c>
      <c r="N367" s="46" t="n">
        <f aca="false">IFERROR(-(N282+N283),"n/a")</f>
        <v>-1581.808</v>
      </c>
      <c r="S367" s="46" t="n">
        <f aca="false">IFERROR(-(S282+S283),"n/a")</f>
        <v>-1347.733</v>
      </c>
      <c r="X367" s="46" t="n">
        <f aca="false">IFERROR(-(X282+X283),"n/a")</f>
        <v>-1283.369</v>
      </c>
      <c r="AC367" s="46" t="n">
        <f aca="false">IFERROR(-(AC282+AC283),"n/a")</f>
        <v>-1222.518</v>
      </c>
      <c r="AH367" s="46" t="n">
        <f aca="false">IFERROR(-(AH282+AH283),"n/a")</f>
        <v>-1425.997</v>
      </c>
      <c r="AM367" s="46" t="n">
        <f aca="false">IFERROR(-(AM282+AM283),"n/a")</f>
        <v>-1517.599</v>
      </c>
      <c r="AR367" s="46" t="n">
        <f aca="false">IFERROR(-(AR282+AR283),"n/a")</f>
        <v>-1646.587</v>
      </c>
      <c r="AW367" s="46" t="n">
        <f aca="false">IFERROR(-(AW282+AW283),"n/a")</f>
        <v>-2064.767</v>
      </c>
      <c r="BB367" s="46" t="n">
        <f aca="false">IFERROR(-(BB282+BB283),"n/a")</f>
        <v>-2001.103</v>
      </c>
      <c r="BG367" s="46" t="n">
        <f aca="false">IFERROR(-(BG282+BG283),"n/a")</f>
        <v>-2165.532</v>
      </c>
      <c r="BL367" s="46" t="n">
        <f aca="false">IFERROR(-(BL282+BL283),"n/a")</f>
        <v>-2116.438</v>
      </c>
      <c r="BQ367" s="46" t="n">
        <f aca="false">IFERROR(-(BQ282+BQ283),"n/a")</f>
        <v>-2272.549</v>
      </c>
      <c r="BV367" s="46" t="n">
        <f aca="false">IFERROR(-(BV282+BV283),"n/a")</f>
        <v>-2224.871</v>
      </c>
      <c r="CA367" s="25" t="n">
        <f aca="false">IFERROR(-(CA282+CA283),"n/a")</f>
        <v>-2157.755</v>
      </c>
      <c r="CB367" s="25" t="n">
        <f aca="false">IFERROR(-(CB282+CB283),"n/a")</f>
        <v>-2366.755</v>
      </c>
      <c r="CC367" s="25" t="n">
        <f aca="false">IFERROR(-(CC282+CC283),"n/a")</f>
        <v>-2573.755</v>
      </c>
      <c r="CD367" s="25" t="n">
        <f aca="false">IFERROR(-(CD282+CD283),"n/a")</f>
        <v>-2772.755</v>
      </c>
      <c r="CE367" s="25" t="n">
        <f aca="false">IFERROR(-(CE282+CE283),"n/a")</f>
        <v>-2964.755</v>
      </c>
    </row>
    <row r="368" customFormat="false" ht="15" hidden="false" customHeight="false" outlineLevel="0" collapsed="false">
      <c r="B368" s="20" t="s">
        <v>580</v>
      </c>
      <c r="C368" s="46" t="n">
        <f aca="false">IFERROR(-(C294-N(C292)),"n/a")</f>
        <v>-286.251</v>
      </c>
      <c r="D368" s="46" t="n">
        <f aca="false">IFERROR(-(D294-N(D292)),"n/a")</f>
        <v>-397.692</v>
      </c>
      <c r="E368" s="46" t="n">
        <f aca="false">IFERROR(-(E294-N(E292)),"n/a")</f>
        <v>-448.435</v>
      </c>
      <c r="F368" s="46" t="n">
        <f aca="false">IFERROR(-(F294-N(F292)),"n/a")</f>
        <v>-443.338</v>
      </c>
      <c r="G368" s="46" t="n">
        <f aca="false">IFERROR(-(G294-N(G292)),"n/a")</f>
        <v>-425.337</v>
      </c>
      <c r="H368" s="46" t="n">
        <f aca="false">IFERROR(-(H294-N(H292)),"n/a")</f>
        <v>-502.882</v>
      </c>
      <c r="I368" s="46" t="n">
        <f aca="false">IFERROR(-(I294-N(I292)),"n/a")</f>
        <v>-511.523</v>
      </c>
      <c r="N368" s="46" t="n">
        <f aca="false">IFERROR(-(N294-N(N292)),"n/a")</f>
        <v>-533.259</v>
      </c>
      <c r="S368" s="46" t="n">
        <f aca="false">IFERROR(-(S294-N(S292)),"n/a")</f>
        <v>-570.924</v>
      </c>
      <c r="X368" s="46" t="n">
        <f aca="false">IFERROR(-(X294-N(X292)),"n/a")</f>
        <v>-523.928</v>
      </c>
      <c r="AC368" s="46" t="n">
        <f aca="false">IFERROR(-(AC294-N(AC292)),"n/a")</f>
        <v>-524.594</v>
      </c>
      <c r="AH368" s="46" t="n">
        <f aca="false">IFERROR(-(AH294-N(AH292)),"n/a")</f>
        <v>-590.847</v>
      </c>
      <c r="AM368" s="46" t="n">
        <f aca="false">IFERROR(-(AM294-N(AM292)),"n/a")</f>
        <v>-687.085</v>
      </c>
      <c r="AR368" s="46" t="n">
        <f aca="false">IFERROR(-(AR294-N(AR292)),"n/a")</f>
        <v>-744.731</v>
      </c>
      <c r="AW368" s="46" t="n">
        <f aca="false">IFERROR(-(AW294-N(AW292)),"n/a")</f>
        <v>-710.377</v>
      </c>
      <c r="BB368" s="46" t="n">
        <f aca="false">IFERROR(-(BB294-N(BB292)),"n/a")</f>
        <v>-734.867</v>
      </c>
      <c r="BG368" s="46" t="n">
        <f aca="false">IFERROR(-(BG294-N(BG292)),"n/a")</f>
        <v>-768.939</v>
      </c>
      <c r="BL368" s="46" t="n">
        <f aca="false">IFERROR(-(BL294-N(BL292)),"n/a")</f>
        <v>-806.544</v>
      </c>
      <c r="BQ368" s="46" t="n">
        <f aca="false">IFERROR(-(BQ294-N(BQ292)),"n/a")</f>
        <v>-1005.948</v>
      </c>
      <c r="BV368" s="46" t="n">
        <f aca="false">IFERROR(-(BV294-N(BV292)),"n/a")</f>
        <v>-1205.567</v>
      </c>
      <c r="CA368" s="25" t="n">
        <f aca="false">IFERROR(-(CA294-N(CA292)),"n/a")</f>
        <v>-1300.37001286962</v>
      </c>
      <c r="CB368" s="25" t="n">
        <f aca="false">IFERROR(-(CB294-N(CB292)),"n/a")</f>
        <v>-1397.00157890411</v>
      </c>
      <c r="CC368" s="25" t="n">
        <f aca="false">IFERROR(-(CC294-N(CC292)),"n/a")</f>
        <v>-1515.22702035055</v>
      </c>
      <c r="CD368" s="25" t="n">
        <f aca="false">IFERROR(-(CD294-N(CD292)),"n/a")</f>
        <v>-1634.52165592975</v>
      </c>
      <c r="CE368" s="25" t="n">
        <f aca="false">IFERROR(-(CE294-N(CE292)),"n/a")</f>
        <v>-1760.93559887802</v>
      </c>
    </row>
    <row r="369" customFormat="false" ht="15" hidden="false" customHeight="false" outlineLevel="0" collapsed="false">
      <c r="B369" s="20" t="s">
        <v>581</v>
      </c>
      <c r="C369" s="46" t="n">
        <f aca="false">IFERROR(C366+C367+C368,"n/a")</f>
        <v>736.724</v>
      </c>
      <c r="D369" s="46" t="n">
        <f aca="false">IFERROR(D366+D367+D368,"n/a")</f>
        <v>776.607</v>
      </c>
      <c r="E369" s="46" t="n">
        <f aca="false">IFERROR(E366+E367+E368,"n/a")</f>
        <v>750.101</v>
      </c>
      <c r="F369" s="46" t="n">
        <f aca="false">IFERROR(F366+F367+F368,"n/a")</f>
        <v>807.745</v>
      </c>
      <c r="G369" s="46" t="n">
        <f aca="false">IFERROR(G366+G367+G368,"n/a")</f>
        <v>882.912</v>
      </c>
      <c r="H369" s="46" t="n">
        <f aca="false">IFERROR(H366+H367+H368,"n/a")</f>
        <v>1129.065</v>
      </c>
      <c r="I369" s="46" t="n">
        <f aca="false">IFERROR(I366+I367+I368,"n/a")</f>
        <v>1170.744</v>
      </c>
      <c r="N369" s="46" t="n">
        <f aca="false">IFERROR(N366+N367+N368,"n/a")</f>
        <v>1343.207</v>
      </c>
      <c r="S369" s="46" t="n">
        <f aca="false">IFERROR(S366+S367+S368,"n/a")</f>
        <v>1480.854</v>
      </c>
      <c r="X369" s="46" t="n">
        <f aca="false">IFERROR(X366+X367+X368,"n/a")</f>
        <v>1222.081</v>
      </c>
      <c r="AC369" s="46" t="n">
        <f aca="false">IFERROR(AC366+AC367+AC368,"n/a")</f>
        <v>1290.669</v>
      </c>
      <c r="AH369" s="46" t="n">
        <f aca="false">IFERROR(AH366+AH367+AH368,"n/a")</f>
        <v>1219.477</v>
      </c>
      <c r="AM369" s="46" t="n">
        <f aca="false">IFERROR(AM366+AM367+AM368,"n/a")</f>
        <v>1050.701</v>
      </c>
      <c r="AR369" s="46" t="n">
        <f aca="false">IFERROR(AR366+AR367+AR368,"n/a")</f>
        <v>1372.943</v>
      </c>
      <c r="AW369" s="46" t="n">
        <f aca="false">IFERROR(AW366+AW367+AW368,"n/a")</f>
        <v>1246.19</v>
      </c>
      <c r="BB369" s="46" t="n">
        <f aca="false">IFERROR(BB366+BB367+BB368,"n/a")</f>
        <v>1367.575</v>
      </c>
      <c r="BG369" s="46" t="n">
        <f aca="false">IFERROR(BG366+BG367+BG368,"n/a")</f>
        <v>1515.131</v>
      </c>
      <c r="BL369" s="46" t="n">
        <f aca="false">IFERROR(BL366+BL367+BL368,"n/a")</f>
        <v>1697.987</v>
      </c>
      <c r="BQ369" s="46" t="n">
        <f aca="false">IFERROR(BQ366+BQ367+BQ368,"n/a")</f>
        <v>1707.207</v>
      </c>
      <c r="BV369" s="46" t="n">
        <f aca="false">IFERROR(BV366+BV367+BV368,"n/a")</f>
        <v>1790.854</v>
      </c>
      <c r="CA369" s="25" t="n">
        <f aca="false">IFERROR(CA366+CA367+CA368,"n/a")</f>
        <v>1891.51328892487</v>
      </c>
      <c r="CB369" s="25" t="n">
        <f aca="false">IFERROR(CB366+CB367+CB368,"n/a")</f>
        <v>1906.18405035832</v>
      </c>
      <c r="CC369" s="25" t="n">
        <f aca="false">IFERROR(CC366+CC367+CC368,"n/a")</f>
        <v>2015.76022553626</v>
      </c>
      <c r="CD369" s="25" t="n">
        <f aca="false">IFERROR(CD366+CD367+CD368,"n/a")</f>
        <v>2167.24891652313</v>
      </c>
      <c r="CE369" s="25" t="n">
        <f aca="false">IFERROR(CE366+CE367+CE368,"n/a")</f>
        <v>2323.99327492578</v>
      </c>
    </row>
    <row r="370" customFormat="false" ht="15" hidden="false" customHeight="false" outlineLevel="0" collapsed="false">
      <c r="B370" s="20" t="s">
        <v>582</v>
      </c>
      <c r="C370" s="62" t="n">
        <f aca="false">IFERROR(C365/C369,"n/a")</f>
        <v>0.130751414536775</v>
      </c>
      <c r="D370" s="62" t="n">
        <f aca="false">IFERROR(D365/D369,"n/a")</f>
        <v>0.156133508549066</v>
      </c>
      <c r="E370" s="62" t="n">
        <f aca="false">IFERROR(E365/E369,"n/a")</f>
        <v>0.171782679715681</v>
      </c>
      <c r="F370" s="62" t="n">
        <f aca="false">IFERROR(F365/F369,"n/a")</f>
        <v>0.13741087481055</v>
      </c>
      <c r="G370" s="62" t="n">
        <f aca="false">IFERROR(G365/G369,"n/a")</f>
        <v>0.137154379134469</v>
      </c>
      <c r="H370" s="62" t="n">
        <f aca="false">IFERROR(H365/H369,"n/a")</f>
        <v>0.127982318265582</v>
      </c>
      <c r="I370" s="62" t="n">
        <f aca="false">IFERROR(I365/I369,"n/a")</f>
        <v>0.117315176130102</v>
      </c>
      <c r="N370" s="62" t="n">
        <f aca="false">IFERROR(N365/N369,"n/a")</f>
        <v>0.121233436075527</v>
      </c>
      <c r="S370" s="62" t="n">
        <f aca="false">IFERROR(S365/S369,"n/a")</f>
        <v>0.131229374881347</v>
      </c>
      <c r="X370" s="62" t="n">
        <f aca="false">IFERROR(X365/X369,"n/a")</f>
        <v>0.166347342262263</v>
      </c>
      <c r="AC370" s="62" t="n">
        <f aca="false">IFERROR(AC365/AC369,"n/a")</f>
        <v>0.168710110119149</v>
      </c>
      <c r="AH370" s="62" t="n">
        <f aca="false">IFERROR(AH365/AH369,"n/a")</f>
        <v>0.199813938577507</v>
      </c>
      <c r="AM370" s="62" t="n">
        <f aca="false">IFERROR(AM365/AM369,"n/a")</f>
        <v>0.28142112864519</v>
      </c>
      <c r="AR370" s="62" t="n">
        <f aca="false">IFERROR(AR365/AR369,"n/a")</f>
        <v>0.232246980174804</v>
      </c>
      <c r="AW370" s="62" t="n">
        <f aca="false">IFERROR(AW365/AW369,"n/a")</f>
        <v>0.240212029867631</v>
      </c>
      <c r="BB370" s="62" t="n">
        <f aca="false">IFERROR(BB365/BB369,"n/a")</f>
        <v>0.231673645602429</v>
      </c>
      <c r="BG370" s="62" t="n">
        <f aca="false">IFERROR(BG365/BG369,"n/a")</f>
        <v>0.221168789328088</v>
      </c>
      <c r="BL370" s="62" t="n">
        <f aca="false">IFERROR(BL365/BL369,"n/a")</f>
        <v>0.222637001250031</v>
      </c>
      <c r="BQ370" s="62" t="n">
        <f aca="false">IFERROR(BQ365/BQ369,"n/a")</f>
        <v>0.248035704450798</v>
      </c>
      <c r="BV370" s="62" t="n">
        <f aca="false">IFERROR(BV365/BV369,"n/a")</f>
        <v>0.283901710298519</v>
      </c>
      <c r="CA370" s="62" t="n">
        <f aca="false">IFERROR(CA365/CA369,"n/a")</f>
        <v>0.303701358082629</v>
      </c>
      <c r="CB370" s="62" t="n">
        <f aca="false">IFERROR(CB365/CB369,"n/a")</f>
        <v>0.331362501895485</v>
      </c>
      <c r="CC370" s="62" t="n">
        <f aca="false">IFERROR(CC365/CC369,"n/a")</f>
        <v>0.347817805675514</v>
      </c>
      <c r="CD370" s="62" t="n">
        <f aca="false">IFERROR(CD365/CD369,"n/a")</f>
        <v>0.355048258851686</v>
      </c>
      <c r="CE370" s="62" t="n">
        <f aca="false">IFERROR(CE365/CE369,"n/a")</f>
        <v>0.362306667913177</v>
      </c>
      <c r="CH370" s="32" t="n">
        <f aca="false">IFERROR(AVERAGE(CA370,CB370,CC370,CD370,CE370),"n/m")</f>
        <v>0.340047318483698</v>
      </c>
      <c r="CI370" s="32" t="n">
        <f aca="false">IFERROR(AVERAGE(BB370,BG370,BL370,BQ370,BV370),"n/m")</f>
        <v>0.241483370185973</v>
      </c>
      <c r="CJ370" s="32" t="n">
        <f aca="false">IFERROR(AVERAGE(AC370,AH370,AM370,AR370,AW370,BB370,BG370,BL370,BQ370,BV370),"n/m")</f>
        <v>0.232982103831414</v>
      </c>
      <c r="CK370" s="32" t="n">
        <f aca="false">IFERROR(AVERAGE(C370,D370,E370,F370,G370,H370,I370,N370,S370,X370,AC370,AH370,AM370,AR370,AW370,BB370,BG370,BL370,BQ370,BV370),"n/m")</f>
        <v>0.186358077133775</v>
      </c>
    </row>
    <row r="371" customFormat="false" ht="15" hidden="false" customHeight="false" outlineLevel="0" collapsed="false">
      <c r="B371" s="49" t="s">
        <v>583</v>
      </c>
    </row>
    <row r="372" customFormat="false" ht="15" hidden="false" customHeight="false" outlineLevel="0" collapsed="false">
      <c r="B372" s="20" t="s">
        <v>309</v>
      </c>
      <c r="C372" s="46" t="n">
        <f aca="false">C138</f>
        <v>80.5689999999999</v>
      </c>
      <c r="D372" s="46" t="n">
        <f aca="false">D138</f>
        <v>104.328</v>
      </c>
      <c r="E372" s="46" t="n">
        <f aca="false">E138</f>
        <v>111.09</v>
      </c>
      <c r="F372" s="46" t="n">
        <f aca="false">F138</f>
        <v>95.221</v>
      </c>
      <c r="G372" s="46" t="n">
        <f aca="false">G138</f>
        <v>106.598</v>
      </c>
      <c r="H372" s="46" t="n">
        <f aca="false">H138</f>
        <v>130.423</v>
      </c>
      <c r="I372" s="46" t="n">
        <f aca="false">I138</f>
        <v>113.844</v>
      </c>
      <c r="N372" s="46" t="n">
        <f aca="false">N138</f>
        <v>137.981</v>
      </c>
      <c r="S372" s="46" t="n">
        <f aca="false">S138</f>
        <v>113.338</v>
      </c>
      <c r="X372" s="46" t="n">
        <f aca="false">X138</f>
        <v>145.461</v>
      </c>
      <c r="AC372" s="46" t="n">
        <f aca="false">AC138</f>
        <v>187.329</v>
      </c>
      <c r="AH372" s="46" t="n">
        <f aca="false">AH138</f>
        <v>214.891</v>
      </c>
      <c r="AM372" s="46" t="n">
        <f aca="false">AM138</f>
        <v>275.749</v>
      </c>
      <c r="AR372" s="46" t="n">
        <f aca="false">AR138</f>
        <v>307.583</v>
      </c>
      <c r="AW372" s="46" t="n">
        <f aca="false">AW138</f>
        <v>201.392</v>
      </c>
      <c r="BB372" s="46" t="n">
        <f aca="false">BB138</f>
        <v>267.159</v>
      </c>
      <c r="BG372" s="46" t="n">
        <f aca="false">BG138</f>
        <v>294.348</v>
      </c>
      <c r="BL372" s="46" t="n">
        <f aca="false">BL138</f>
        <v>354.509</v>
      </c>
      <c r="BQ372" s="46" t="n">
        <f aca="false">BQ138</f>
        <v>404.978</v>
      </c>
      <c r="BV372" s="46" t="n">
        <f aca="false">BV138</f>
        <v>484.228</v>
      </c>
      <c r="CA372" s="25" t="n">
        <f aca="false">CA138</f>
        <v>576.72299</v>
      </c>
      <c r="CB372" s="25" t="n">
        <f aca="false">CB138</f>
        <v>637.700488116085</v>
      </c>
      <c r="CC372" s="25" t="n">
        <f aca="false">CC138</f>
        <v>703.739982114</v>
      </c>
      <c r="CD372" s="25" t="n">
        <f aca="false">CD138</f>
        <v>768.951488271915</v>
      </c>
      <c r="CE372" s="25" t="n">
        <f aca="false">CE138</f>
        <v>838.05971943774</v>
      </c>
    </row>
    <row r="373" customFormat="false" ht="15" hidden="false" customHeight="false" outlineLevel="0" collapsed="false">
      <c r="B373" s="20" t="s">
        <v>584</v>
      </c>
      <c r="C373" s="46" t="n">
        <f aca="false">C306</f>
        <v>762.074</v>
      </c>
      <c r="D373" s="46" t="n">
        <f aca="false">D306</f>
        <v>914.785</v>
      </c>
      <c r="E373" s="46" t="n">
        <f aca="false">E306</f>
        <v>866.762</v>
      </c>
      <c r="F373" s="46" t="n">
        <f aca="false">F306</f>
        <v>1026.757</v>
      </c>
      <c r="G373" s="46" t="n">
        <f aca="false">G306</f>
        <v>1160.103</v>
      </c>
      <c r="H373" s="46" t="n">
        <f aca="false">H306</f>
        <v>1229.039</v>
      </c>
      <c r="I373" s="46" t="n">
        <f aca="false">I306</f>
        <v>1312.592</v>
      </c>
      <c r="N373" s="46" t="n">
        <f aca="false">N306</f>
        <v>1552.705</v>
      </c>
      <c r="S373" s="46" t="n">
        <f aca="false">S306</f>
        <v>1478.433</v>
      </c>
      <c r="X373" s="46" t="n">
        <f aca="false">X306</f>
        <v>1255.423</v>
      </c>
      <c r="AC373" s="46" t="n">
        <f aca="false">AC306</f>
        <v>1291.191</v>
      </c>
      <c r="AH373" s="46" t="n">
        <f aca="false">AH306</f>
        <v>1527.8</v>
      </c>
      <c r="AM373" s="46" t="n">
        <f aca="false">AM306</f>
        <v>1530.781</v>
      </c>
      <c r="AR373" s="46" t="n">
        <f aca="false">AR306</f>
        <v>1774.372</v>
      </c>
      <c r="AW373" s="46" t="n">
        <f aca="false">AW306</f>
        <v>1787.574</v>
      </c>
      <c r="BB373" s="46" t="n">
        <f aca="false">BB306</f>
        <v>1826.49</v>
      </c>
      <c r="BG373" s="46" t="n">
        <f aca="false">BG306</f>
        <v>1992.119</v>
      </c>
      <c r="BL373" s="46" t="n">
        <f aca="false">BL306</f>
        <v>2328.413</v>
      </c>
      <c r="BQ373" s="46" t="n">
        <f aca="false">BQ306</f>
        <v>2449.799</v>
      </c>
      <c r="BV373" s="46" t="n">
        <f aca="false">BV306</f>
        <v>2533.574</v>
      </c>
      <c r="CA373" s="25" t="n">
        <f aca="false">CA306</f>
        <v>2760.07328892487</v>
      </c>
      <c r="CB373" s="25" t="n">
        <f aca="false">CB306</f>
        <v>2983.74405035832</v>
      </c>
      <c r="CC373" s="25" t="n">
        <f aca="false">CC306</f>
        <v>3289.27812628626</v>
      </c>
      <c r="CD373" s="25" t="n">
        <f aca="false">CD306</f>
        <v>3587.77263323063</v>
      </c>
      <c r="CE373" s="25" t="n">
        <f aca="false">CE306</f>
        <v>3882.11764575272</v>
      </c>
    </row>
    <row r="374" customFormat="false" ht="15" hidden="false" customHeight="false" outlineLevel="0" collapsed="false">
      <c r="B374" s="20" t="s">
        <v>585</v>
      </c>
      <c r="C374" s="62" t="n">
        <f aca="false">IFERROR(C372/C373,"n/a")</f>
        <v>0.105723328705611</v>
      </c>
      <c r="D374" s="62" t="n">
        <f aca="false">IFERROR(D372/D373,"n/a")</f>
        <v>0.114046469935559</v>
      </c>
      <c r="E374" s="62" t="n">
        <f aca="false">IFERROR(E372/E373,"n/a")</f>
        <v>0.128166670896971</v>
      </c>
      <c r="F374" s="62" t="n">
        <f aca="false">IFERROR(F372/F373,"n/a")</f>
        <v>0.0927395673952064</v>
      </c>
      <c r="G374" s="62" t="n">
        <f aca="false">IFERROR(G372/G373,"n/a")</f>
        <v>0.0918866686837289</v>
      </c>
      <c r="H374" s="62" t="n">
        <f aca="false">IFERROR(H372/H373,"n/a")</f>
        <v>0.106117869327174</v>
      </c>
      <c r="I374" s="62" t="n">
        <f aca="false">IFERROR(I372/I373,"n/a")</f>
        <v>0.0867322061996416</v>
      </c>
      <c r="N374" s="62" t="n">
        <f aca="false">IFERROR(N372/N373,"n/a")</f>
        <v>0.0888649163878522</v>
      </c>
      <c r="S374" s="62" t="n">
        <f aca="false">IFERROR(S372/S373,"n/a")</f>
        <v>0.0766608970443709</v>
      </c>
      <c r="X374" s="62" t="n">
        <f aca="false">IFERROR(X372/X373,"n/a")</f>
        <v>0.115866126397238</v>
      </c>
      <c r="AC374" s="62" t="n">
        <f aca="false">IFERROR(AC372/AC373,"n/a")</f>
        <v>0.145082330964203</v>
      </c>
      <c r="AH374" s="62" t="n">
        <f aca="false">IFERROR(AH372/AH373,"n/a")</f>
        <v>0.140653881398089</v>
      </c>
      <c r="AM374" s="62" t="n">
        <f aca="false">IFERROR(AM372/AM373,"n/a")</f>
        <v>0.180136152722042</v>
      </c>
      <c r="AR374" s="62" t="n">
        <f aca="false">IFERROR(AR372/AR373,"n/a")</f>
        <v>0.173347528026817</v>
      </c>
      <c r="AW374" s="62" t="n">
        <f aca="false">IFERROR(AW372/AW373,"n/a")</f>
        <v>0.112662189089794</v>
      </c>
      <c r="BB374" s="62" t="n">
        <f aca="false">IFERROR(BB372/BB373,"n/a")</f>
        <v>0.146269073468784</v>
      </c>
      <c r="BG374" s="62" t="n">
        <f aca="false">IFERROR(BG372/BG373,"n/a")</f>
        <v>0.147756233437862</v>
      </c>
      <c r="BL374" s="62" t="n">
        <f aca="false">IFERROR(BL372/BL373,"n/a")</f>
        <v>0.152253487675941</v>
      </c>
      <c r="BQ374" s="62" t="n">
        <f aca="false">IFERROR(BQ372/BQ373,"n/a")</f>
        <v>0.165310705082335</v>
      </c>
      <c r="BV374" s="62" t="n">
        <f aca="false">IFERROR(BV372/BV373,"n/a")</f>
        <v>0.191124474753846</v>
      </c>
      <c r="CA374" s="62" t="n">
        <f aca="false">IFERROR(CA372/CA373,"n/a")</f>
        <v>0.20895205656827</v>
      </c>
      <c r="CB374" s="62" t="n">
        <f aca="false">IFERROR(CB372/CB373,"n/a")</f>
        <v>0.213724929938111</v>
      </c>
      <c r="CC374" s="62" t="n">
        <f aca="false">IFERROR(CC372/CC373,"n/a")</f>
        <v>0.213949673787104</v>
      </c>
      <c r="CD374" s="62" t="n">
        <f aca="false">IFERROR(CD372/CD373,"n/a")</f>
        <v>0.21432559052091</v>
      </c>
      <c r="CE374" s="62" t="n">
        <f aca="false">IFERROR(CE372/CE373,"n/a")</f>
        <v>0.215876950652083</v>
      </c>
      <c r="CH374" s="32" t="n">
        <f aca="false">IFERROR(AVERAGE(CA374,CB374,CC374,CD374,CE374),"n/m")</f>
        <v>0.213365840293295</v>
      </c>
      <c r="CI374" s="32" t="n">
        <f aca="false">IFERROR(AVERAGE(BB374,BG374,BL374,BQ374,BV374),"n/m")</f>
        <v>0.160542794883754</v>
      </c>
      <c r="CJ374" s="32" t="n">
        <f aca="false">IFERROR(AVERAGE(AC374,AH374,AM374,AR374,AW374,BB374,BG374,BL374,BQ374,BV374),"n/m")</f>
        <v>0.155459605661971</v>
      </c>
      <c r="CK374" s="32" t="n">
        <f aca="false">IFERROR(AVERAGE(C374,D374,E374,F374,G374,H374,I374,N374,S374,X374,AC374,AH374,AM374,AR374,AW374,BB374,BG374,BL374,BQ374,BV374),"n/m")</f>
        <v>0.128070038879653</v>
      </c>
    </row>
    <row r="375" customFormat="false" ht="15" hidden="false" customHeight="false" outlineLevel="0" collapsed="false">
      <c r="B375" s="49" t="s">
        <v>586</v>
      </c>
    </row>
    <row r="376" customFormat="false" ht="15" hidden="false" customHeight="false" outlineLevel="0" collapsed="false">
      <c r="B376" s="20" t="s">
        <v>587</v>
      </c>
      <c r="C376" s="46" t="n">
        <f aca="false">C358</f>
        <v>240.357</v>
      </c>
      <c r="D376" s="46" t="n">
        <f aca="false">D358</f>
        <v>445.384</v>
      </c>
      <c r="E376" s="46" t="n">
        <f aca="false">E358</f>
        <v>456.004</v>
      </c>
      <c r="F376" s="46" t="n">
        <f aca="false">F358</f>
        <v>400.083</v>
      </c>
      <c r="G376" s="46" t="n">
        <f aca="false">G358</f>
        <v>328.525</v>
      </c>
      <c r="H376" s="46" t="n">
        <f aca="false">H358</f>
        <v>392.043</v>
      </c>
      <c r="I376" s="46" t="n">
        <f aca="false">I358</f>
        <v>768.192</v>
      </c>
      <c r="N376" s="46" t="n">
        <f aca="false">N358</f>
        <v>784.644</v>
      </c>
      <c r="S376" s="46" t="n">
        <f aca="false">S358</f>
        <v>504.232</v>
      </c>
      <c r="X376" s="46" t="n">
        <f aca="false">X358</f>
        <v>665.645</v>
      </c>
      <c r="AC376" s="46" t="n">
        <f aca="false">AC358</f>
        <v>412.45</v>
      </c>
      <c r="AH376" s="46" t="n">
        <f aca="false">AH358</f>
        <v>339.019</v>
      </c>
      <c r="AM376" s="46" t="n">
        <f aca="false">AM358</f>
        <v>486.49</v>
      </c>
      <c r="AR376" s="46" t="n">
        <f aca="false">AR358</f>
        <v>369.606</v>
      </c>
      <c r="AW376" s="46" t="n">
        <f aca="false">AW358</f>
        <v>860.044</v>
      </c>
      <c r="BB376" s="46" t="n">
        <f aca="false">BB358</f>
        <v>879.606</v>
      </c>
      <c r="BG376" s="46" t="n">
        <f aca="false">BG358</f>
        <v>997.426</v>
      </c>
      <c r="BL376" s="46" t="n">
        <f aca="false">BL358</f>
        <v>643.495</v>
      </c>
      <c r="BQ376" s="46" t="n">
        <f aca="false">BQ358</f>
        <v>663.907</v>
      </c>
      <c r="BV376" s="46" t="n">
        <f aca="false">BV358</f>
        <v>586.539</v>
      </c>
      <c r="CA376" s="25" t="n">
        <f aca="false">CA358</f>
        <v>347.032954868158</v>
      </c>
      <c r="CB376" s="25" t="n">
        <f aca="false">CB358</f>
        <v>468.7905</v>
      </c>
      <c r="CC376" s="25" t="n">
        <f aca="false">CC358</f>
        <v>518.42909925</v>
      </c>
      <c r="CD376" s="25" t="n">
        <f aca="false">CD358</f>
        <v>570.4232832925</v>
      </c>
      <c r="CE376" s="25" t="n">
        <f aca="false">CE358</f>
        <v>624.82262917305</v>
      </c>
    </row>
    <row r="377" customFormat="false" ht="15" hidden="false" customHeight="false" outlineLevel="0" collapsed="false">
      <c r="B377" s="20" t="s">
        <v>588</v>
      </c>
      <c r="C377" s="46" t="n">
        <f aca="false">C174</f>
        <v>191.419</v>
      </c>
      <c r="D377" s="46" t="n">
        <f aca="false">D174</f>
        <v>241.883</v>
      </c>
      <c r="E377" s="46" t="n">
        <f aca="false">E174</f>
        <v>273.433</v>
      </c>
      <c r="F377" s="46" t="n">
        <f aca="false">F174</f>
        <v>245.799</v>
      </c>
      <c r="G377" s="46" t="n">
        <f aca="false">G174</f>
        <v>259.769</v>
      </c>
      <c r="H377" s="46" t="n">
        <f aca="false">H174</f>
        <v>293.256</v>
      </c>
      <c r="I377" s="46" t="n">
        <f aca="false">I174</f>
        <v>295.344</v>
      </c>
      <c r="N377" s="46" t="n">
        <f aca="false">N174</f>
        <v>355.116</v>
      </c>
      <c r="S377" s="46" t="n">
        <f aca="false">S174</f>
        <v>401.304</v>
      </c>
      <c r="X377" s="46" t="n">
        <f aca="false">X174</f>
        <v>391.81</v>
      </c>
      <c r="AC377" s="46" t="n">
        <f aca="false">AC174</f>
        <v>404.106</v>
      </c>
      <c r="AH377" s="46" t="n">
        <f aca="false">AH174</f>
        <v>439.738</v>
      </c>
      <c r="AM377" s="46" t="n">
        <f aca="false">AM174</f>
        <v>484.949</v>
      </c>
      <c r="AR377" s="46" t="n">
        <f aca="false">AR174</f>
        <v>513.412</v>
      </c>
      <c r="AW377" s="46" t="n">
        <f aca="false">AW174</f>
        <v>506.903</v>
      </c>
      <c r="BB377" s="46" t="n">
        <f aca="false">BB174</f>
        <v>534.807</v>
      </c>
      <c r="BG377" s="46" t="n">
        <f aca="false">BG174</f>
        <v>555.105001</v>
      </c>
      <c r="BL377" s="46" t="n">
        <f aca="false">BL174</f>
        <v>609.972</v>
      </c>
      <c r="BQ377" s="46" t="n">
        <f aca="false">BQ174</f>
        <v>653.533</v>
      </c>
      <c r="BV377" s="46" t="n">
        <f aca="false">BV174</f>
        <v>775.811</v>
      </c>
      <c r="CA377" s="25" t="n">
        <f aca="false">CA174</f>
        <v>843.432112831238</v>
      </c>
      <c r="CB377" s="25" t="n">
        <f aca="false">CB174</f>
        <v>937.581</v>
      </c>
      <c r="CC377" s="25" t="n">
        <f aca="false">CC174</f>
        <v>1036.8581985</v>
      </c>
      <c r="CD377" s="25" t="n">
        <f aca="false">CD174</f>
        <v>1140.846566585</v>
      </c>
      <c r="CE377" s="25" t="n">
        <f aca="false">CE174</f>
        <v>1249.6452583461</v>
      </c>
    </row>
    <row r="378" customFormat="false" ht="15" hidden="false" customHeight="false" outlineLevel="0" collapsed="false">
      <c r="B378" s="20" t="s">
        <v>589</v>
      </c>
      <c r="C378" s="64" t="n">
        <f aca="false">IFERROR(C376/C377,"n/a")</f>
        <v>1.2556590516093</v>
      </c>
      <c r="D378" s="64" t="n">
        <f aca="false">IFERROR(D376/D377,"n/a")</f>
        <v>1.84131997701368</v>
      </c>
      <c r="E378" s="64" t="n">
        <f aca="false">IFERROR(E376/E377,"n/a")</f>
        <v>1.66769921699283</v>
      </c>
      <c r="F378" s="64" t="n">
        <f aca="false">IFERROR(F376/F377,"n/a")</f>
        <v>1.62768359513261</v>
      </c>
      <c r="G378" s="64" t="n">
        <f aca="false">IFERROR(G376/G377,"n/a")</f>
        <v>1.26468131301272</v>
      </c>
      <c r="H378" s="64" t="n">
        <f aca="false">IFERROR(H376/H377,"n/a")</f>
        <v>1.33686267288649</v>
      </c>
      <c r="I378" s="64" t="n">
        <f aca="false">IFERROR(I376/I377,"n/a")</f>
        <v>2.6010076385503</v>
      </c>
      <c r="N378" s="64" t="n">
        <f aca="false">IFERROR(N376/N377,"n/a")</f>
        <v>2.20954279728314</v>
      </c>
      <c r="S378" s="64" t="n">
        <f aca="false">IFERROR(S376/S377,"n/a")</f>
        <v>1.2564838626079</v>
      </c>
      <c r="X378" s="64" t="n">
        <f aca="false">IFERROR(X376/X377,"n/a")</f>
        <v>1.69889742477221</v>
      </c>
      <c r="AC378" s="64" t="n">
        <f aca="false">IFERROR(AC376/AC377,"n/a")</f>
        <v>1.02064804778944</v>
      </c>
      <c r="AH378" s="64" t="n">
        <f aca="false">IFERROR(AH376/AH377,"n/a")</f>
        <v>0.770956797001851</v>
      </c>
      <c r="AM378" s="64" t="n">
        <f aca="false">IFERROR(AM376/AM377,"n/a")</f>
        <v>1.00317765373266</v>
      </c>
      <c r="AR378" s="64" t="n">
        <f aca="false">IFERROR(AR376/AR377,"n/a")</f>
        <v>0.719901365764727</v>
      </c>
      <c r="AW378" s="64" t="n">
        <f aca="false">IFERROR(AW376/AW377,"n/a")</f>
        <v>1.69666385876588</v>
      </c>
      <c r="BB378" s="64" t="n">
        <f aca="false">IFERROR(BB376/BB377,"n/a")</f>
        <v>1.64471669218989</v>
      </c>
      <c r="BG378" s="64" t="n">
        <f aca="false">IFERROR(BG376/BG377,"n/a")</f>
        <v>1.79682402104679</v>
      </c>
      <c r="BL378" s="64" t="n">
        <f aca="false">IFERROR(BL376/BL377,"n/a")</f>
        <v>1.05495826037916</v>
      </c>
      <c r="BQ378" s="64" t="n">
        <f aca="false">IFERROR(BQ376/BQ377,"n/a")</f>
        <v>1.0158737202253</v>
      </c>
      <c r="BV378" s="64" t="n">
        <f aca="false">IFERROR(BV376/BV377,"n/a")</f>
        <v>0.75603336379608</v>
      </c>
      <c r="CA378" s="64" t="n">
        <f aca="false">IFERROR(CA376/CA377,"n/a")</f>
        <v>0.411453334048706</v>
      </c>
      <c r="CB378" s="64" t="n">
        <f aca="false">IFERROR(CB376/CB377,"n/a")</f>
        <v>0.5</v>
      </c>
      <c r="CC378" s="64" t="n">
        <f aca="false">IFERROR(CC376/CC377,"n/a")</f>
        <v>0.5</v>
      </c>
      <c r="CD378" s="64" t="n">
        <f aca="false">IFERROR(CD376/CD377,"n/a")</f>
        <v>0.5</v>
      </c>
      <c r="CE378" s="64" t="n">
        <f aca="false">IFERROR(CE376/CE377,"n/a")</f>
        <v>0.5</v>
      </c>
    </row>
    <row r="380" customFormat="false" ht="15" hidden="false" customHeight="false" outlineLevel="0" collapsed="false">
      <c r="B380" s="8" t="s">
        <v>590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8" t="s">
        <v>591</v>
      </c>
    </row>
    <row r="381" customFormat="false" ht="15" hidden="false" customHeight="false" outlineLevel="0" collapsed="false">
      <c r="B381" s="20" t="s">
        <v>592</v>
      </c>
      <c r="CA381" s="60" t="n">
        <v>544.21</v>
      </c>
      <c r="CB381" s="59" t="n">
        <f aca="false">CA381</f>
        <v>544.21</v>
      </c>
      <c r="CC381" s="59" t="n">
        <f aca="false">CA381</f>
        <v>544.21</v>
      </c>
      <c r="CD381" s="59" t="n">
        <f aca="false">CA381</f>
        <v>544.21</v>
      </c>
      <c r="CE381" s="59" t="n">
        <f aca="false">CA381</f>
        <v>544.21</v>
      </c>
    </row>
    <row r="382" customFormat="false" ht="15" hidden="false" customHeight="false" outlineLevel="0" collapsed="false">
      <c r="B382" s="20" t="s">
        <v>593</v>
      </c>
      <c r="CB382" s="38" t="n">
        <v>0.07</v>
      </c>
      <c r="CC382" s="38" t="n">
        <v>0.07</v>
      </c>
      <c r="CD382" s="38" t="n">
        <v>0.07</v>
      </c>
      <c r="CE382" s="38" t="n">
        <v>0.07</v>
      </c>
    </row>
    <row r="383" customFormat="false" ht="15" hidden="false" customHeight="false" outlineLevel="0" collapsed="false">
      <c r="B383" s="20" t="s">
        <v>594</v>
      </c>
      <c r="CA383" s="59" t="n">
        <f aca="false">CA270+(BX143-BX142)</f>
        <v>36.6608802134838</v>
      </c>
      <c r="CB383" s="59" t="n">
        <f aca="false">CB270+CB340</f>
        <v>36.1677410350786</v>
      </c>
      <c r="CC383" s="59" t="n">
        <f aca="false">CC270+CC340</f>
        <v>35.7271789850653</v>
      </c>
      <c r="CD383" s="59" t="n">
        <f aca="false">CD270+CD340</f>
        <v>35.2201161796063</v>
      </c>
      <c r="CE383" s="59" t="n">
        <f aca="false">CE270+CE340</f>
        <v>34.6564702978151</v>
      </c>
    </row>
    <row r="384" customFormat="false" ht="15" hidden="false" customHeight="false" outlineLevel="0" collapsed="false">
      <c r="B384" s="20" t="s">
        <v>595</v>
      </c>
      <c r="CA384" s="25" t="n">
        <f aca="false">IFERROR(CA381*CA383,"n/a")</f>
        <v>19951.21762098</v>
      </c>
      <c r="CB384" s="25" t="n">
        <f aca="false">IFERROR(CB381*CB383,"n/a")</f>
        <v>19682.8463487001</v>
      </c>
      <c r="CC384" s="25" t="n">
        <f aca="false">IFERROR(CC381*CC383,"n/a")</f>
        <v>19443.0880754624</v>
      </c>
      <c r="CD384" s="25" t="n">
        <f aca="false">IFERROR(CD381*CD383,"n/a")</f>
        <v>19167.1394261035</v>
      </c>
      <c r="CE384" s="25" t="n">
        <f aca="false">IFERROR(CE381*CE383,"n/a")</f>
        <v>18860.3977007739</v>
      </c>
    </row>
    <row r="385" customFormat="false" ht="15" hidden="false" customHeight="false" outlineLevel="0" collapsed="false">
      <c r="B385" s="20" t="s">
        <v>596</v>
      </c>
      <c r="CA385" s="25" t="n">
        <f aca="false">CA376</f>
        <v>347.032954868158</v>
      </c>
      <c r="CB385" s="25" t="n">
        <f aca="false">CB376</f>
        <v>468.7905</v>
      </c>
      <c r="CC385" s="25" t="n">
        <f aca="false">CC376</f>
        <v>518.42909925</v>
      </c>
      <c r="CD385" s="25" t="n">
        <f aca="false">CD376</f>
        <v>570.4232832925</v>
      </c>
      <c r="CE385" s="25" t="n">
        <f aca="false">CE376</f>
        <v>624.82262917305</v>
      </c>
    </row>
    <row r="386" customFormat="false" ht="15" hidden="false" customHeight="false" outlineLevel="0" collapsed="false">
      <c r="B386" s="15" t="s">
        <v>597</v>
      </c>
      <c r="CA386" s="17" t="n">
        <f aca="false">IFERROR(CA384+CA385,"n/a")</f>
        <v>20298.2505758482</v>
      </c>
      <c r="CB386" s="17" t="n">
        <f aca="false">IFERROR(CB384+CB385,"n/a")</f>
        <v>20151.6368487001</v>
      </c>
      <c r="CC386" s="17" t="n">
        <f aca="false">IFERROR(CC384+CC385,"n/a")</f>
        <v>19961.5171747124</v>
      </c>
      <c r="CD386" s="17" t="n">
        <f aca="false">IFERROR(CD384+CD385,"n/a")</f>
        <v>19737.562709396</v>
      </c>
      <c r="CE386" s="17" t="n">
        <f aca="false">IFERROR(CE384+CE385,"n/a")</f>
        <v>19485.220329947</v>
      </c>
    </row>
    <row r="387" customFormat="false" ht="15" hidden="false" customHeight="false" outlineLevel="0" collapsed="false">
      <c r="B387" s="49" t="s">
        <v>598</v>
      </c>
    </row>
    <row r="388" customFormat="false" ht="15" hidden="false" customHeight="false" outlineLevel="0" collapsed="false">
      <c r="B388" s="20" t="s">
        <v>599</v>
      </c>
      <c r="CA388" s="58" t="n">
        <f aca="false">IFERROR(CA386/CA114,"n/a")</f>
        <v>5.35503246955498</v>
      </c>
      <c r="CB388" s="58" t="n">
        <f aca="false">IFERROR(CB386/CB114,"n/a")</f>
        <v>4.90092826710933</v>
      </c>
      <c r="CC388" s="58" t="n">
        <f aca="false">IFERROR(CC386/CC114,"n/a")</f>
        <v>4.44268834030338</v>
      </c>
      <c r="CD388" s="58" t="n">
        <f aca="false">IFERROR(CD386/CD114,"n/a")</f>
        <v>4.04710321504187</v>
      </c>
      <c r="CE388" s="58" t="n">
        <f aca="false">IFERROR(CE386/CE114,"n/a")</f>
        <v>3.68776086969261</v>
      </c>
    </row>
    <row r="389" customFormat="false" ht="15" hidden="false" customHeight="false" outlineLevel="0" collapsed="false">
      <c r="B389" s="20" t="s">
        <v>600</v>
      </c>
      <c r="CA389" s="58" t="n">
        <f aca="false">IFERROR(CA386/CA174,"n/a")</f>
        <v>24.0662529527253</v>
      </c>
      <c r="CB389" s="58" t="n">
        <f aca="false">IFERROR(CB386/CB174,"n/a")</f>
        <v>21.4932222908742</v>
      </c>
      <c r="CC389" s="58" t="n">
        <f aca="false">IFERROR(CC386/CC174,"n/a")</f>
        <v>19.2519258695068</v>
      </c>
      <c r="CD389" s="58" t="n">
        <f aca="false">IFERROR(CD386/CD174,"n/a")</f>
        <v>17.3008038832762</v>
      </c>
      <c r="CE389" s="58" t="n">
        <f aca="false">IFERROR(CE386/CE174,"n/a")</f>
        <v>15.592601340108</v>
      </c>
    </row>
    <row r="390" customFormat="false" ht="15" hidden="false" customHeight="false" outlineLevel="0" collapsed="false">
      <c r="B390" s="20" t="s">
        <v>601</v>
      </c>
      <c r="CA390" s="58" t="n">
        <f aca="false">IFERROR(CA386/CA159,"n/a")</f>
        <v>27.8822123294618</v>
      </c>
      <c r="CB390" s="58" t="n">
        <f aca="false">IFERROR(CB386/CB159,"n/a")</f>
        <v>24.8849480751977</v>
      </c>
      <c r="CC390" s="58" t="n">
        <f aca="false">IFERROR(CC386/CC159,"n/a")</f>
        <v>22.2073873109344</v>
      </c>
      <c r="CD390" s="58" t="n">
        <f aca="false">IFERROR(CD386/CD159,"n/a")</f>
        <v>20.0074593782732</v>
      </c>
      <c r="CE390" s="58" t="n">
        <f aca="false">IFERROR(CE386/CE159,"n/a")</f>
        <v>18.0504789439072</v>
      </c>
    </row>
    <row r="391" customFormat="false" ht="15" hidden="false" customHeight="false" outlineLevel="0" collapsed="false">
      <c r="B391" s="20" t="s">
        <v>602</v>
      </c>
      <c r="CA391" s="58" t="n">
        <f aca="false">IFERROR(CA386/CA356,"n/a")</f>
        <v>6.53284728077688</v>
      </c>
      <c r="CB391" s="58" t="n">
        <f aca="false">IFERROR(CB386/CB356,"n/a")</f>
        <v>5.83676616548521</v>
      </c>
      <c r="CC391" s="58" t="n">
        <f aca="false">IFERROR(CC386/CC356,"n/a")</f>
        <v>5.24239811318506</v>
      </c>
      <c r="CD391" s="58" t="n">
        <f aca="false">IFERROR(CD386/CD356,"n/a")</f>
        <v>4.74666492527836</v>
      </c>
      <c r="CE391" s="58" t="n">
        <f aca="false">IFERROR(CE386/CE356,"n/a")</f>
        <v>4.32338108369273</v>
      </c>
    </row>
    <row r="392" customFormat="false" ht="15" hidden="false" customHeight="false" outlineLevel="0" collapsed="false">
      <c r="B392" s="20" t="s">
        <v>603</v>
      </c>
      <c r="CA392" s="58" t="n">
        <f aca="false">IFERROR(CA381/CA145,"n/a")</f>
        <v>34.843660290012</v>
      </c>
      <c r="CB392" s="58" t="n">
        <f aca="false">IFERROR(CB381/CB145,"n/a")</f>
        <v>31.0838745606099</v>
      </c>
      <c r="CC392" s="58" t="n">
        <f aca="false">IFERROR(CC381/CC145,"n/a")</f>
        <v>27.7985729236459</v>
      </c>
      <c r="CD392" s="58" t="n">
        <f aca="false">IFERROR(CD381/CD145,"n/a")</f>
        <v>25.1057629060162</v>
      </c>
      <c r="CE392" s="58" t="n">
        <f aca="false">IFERROR(CE381/CE145,"n/a")</f>
        <v>22.6878444607685</v>
      </c>
    </row>
    <row r="393" customFormat="false" ht="15" hidden="false" customHeight="false" outlineLevel="0" collapsed="false">
      <c r="B393" s="20" t="s">
        <v>604</v>
      </c>
      <c r="CA393" s="58" t="n">
        <f aca="false">IFERROR(CA381/CA191,"n/a")</f>
        <v>35.3233715941711</v>
      </c>
      <c r="CB393" s="58" t="n">
        <f aca="false">IFERROR(CB381/CB191,"n/a")</f>
        <v>31.0838745606099</v>
      </c>
      <c r="CC393" s="58" t="n">
        <f aca="false">IFERROR(CC381/CC191,"n/a")</f>
        <v>27.7985729236459</v>
      </c>
      <c r="CD393" s="58" t="n">
        <f aca="false">IFERROR(CD381/CD191,"n/a")</f>
        <v>25.1057629060162</v>
      </c>
      <c r="CE393" s="58" t="n">
        <f aca="false">IFERROR(CE381/CE191,"n/a")</f>
        <v>22.6878444607685</v>
      </c>
    </row>
    <row r="394" customFormat="false" ht="15" hidden="false" customHeight="false" outlineLevel="0" collapsed="false">
      <c r="B394" s="20" t="s">
        <v>605</v>
      </c>
      <c r="CA394" s="22" t="n">
        <f aca="false">IFERROR(CA257/CA384,"n/a")</f>
        <v>0.029822741213264</v>
      </c>
      <c r="CB394" s="22" t="n">
        <f aca="false">IFERROR(CB257/CB384,"n/a")</f>
        <v>0.0316575494474634</v>
      </c>
      <c r="CC394" s="22" t="n">
        <f aca="false">IFERROR(CC257/CC384,"n/a")</f>
        <v>0.0350903971394902</v>
      </c>
      <c r="CD394" s="22" t="n">
        <f aca="false">IFERROR(CD257/CD384,"n/a")</f>
        <v>0.0393924197347498</v>
      </c>
      <c r="CE394" s="22" t="n">
        <f aca="false">IFERROR(CE257/CE384,"n/a")</f>
        <v>0.0439515394809241</v>
      </c>
    </row>
    <row r="395" customFormat="false" ht="15" hidden="false" customHeight="false" outlineLevel="0" collapsed="false">
      <c r="B395" s="20" t="s">
        <v>606</v>
      </c>
      <c r="CA395" s="22" t="n">
        <f aca="false">IFERROR(CA149/CA381,"n/a")</f>
        <v>0.0018742764741552</v>
      </c>
      <c r="CB395" s="22" t="n">
        <f aca="false">IFERROR(CB149/CB381,"n/a")</f>
        <v>0.00202421859208761</v>
      </c>
      <c r="CC395" s="22" t="n">
        <f aca="false">IFERROR(CC149/CC381,"n/a")</f>
        <v>0.00218615607945462</v>
      </c>
      <c r="CD395" s="22" t="n">
        <f aca="false">IFERROR(CD149/CD381,"n/a")</f>
        <v>0.00236104856581099</v>
      </c>
      <c r="CE395" s="22" t="n">
        <f aca="false">IFERROR(CE149/CE381,"n/a")</f>
        <v>0.00254993245107587</v>
      </c>
    </row>
    <row r="397" customFormat="false" ht="15" hidden="false" customHeight="false" outlineLevel="0" collapsed="false">
      <c r="B397" s="8" t="s">
        <v>607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8" t="s">
        <v>608</v>
      </c>
    </row>
    <row r="398" customFormat="false" ht="15" hidden="false" customHeight="false" outlineLevel="0" collapsed="false">
      <c r="B398" s="20" t="s">
        <v>609</v>
      </c>
      <c r="C398" s="24" t="n">
        <v>1333</v>
      </c>
      <c r="D398" s="24" t="n">
        <v>1870.4</v>
      </c>
      <c r="E398" s="24" t="n">
        <v>2200</v>
      </c>
      <c r="F398" s="24" t="n">
        <v>1700</v>
      </c>
      <c r="G398" s="24" t="n">
        <v>1920</v>
      </c>
      <c r="H398" s="24" t="n">
        <v>2070</v>
      </c>
      <c r="I398" s="24" t="n">
        <v>1980</v>
      </c>
      <c r="J398" s="24" t="n">
        <v>617</v>
      </c>
      <c r="K398" s="24" t="n">
        <v>603</v>
      </c>
      <c r="L398" s="24" t="n">
        <v>596</v>
      </c>
      <c r="M398" s="24" t="n">
        <v>692</v>
      </c>
      <c r="N398" s="24" t="n">
        <v>2510</v>
      </c>
      <c r="O398" s="24" t="n">
        <v>678</v>
      </c>
      <c r="P398" s="24" t="n">
        <v>750</v>
      </c>
      <c r="Q398" s="24" t="n">
        <v>590</v>
      </c>
      <c r="R398" s="24" t="n">
        <v>534</v>
      </c>
      <c r="S398" s="24" t="n">
        <v>2400</v>
      </c>
      <c r="T398" s="24" t="n">
        <v>629</v>
      </c>
      <c r="U398" s="24" t="n">
        <v>525</v>
      </c>
      <c r="V398" s="24" t="n">
        <v>494</v>
      </c>
      <c r="W398" s="24" t="n">
        <v>937</v>
      </c>
      <c r="Y398" s="24" t="n">
        <v>629</v>
      </c>
      <c r="Z398" s="24" t="n">
        <v>524</v>
      </c>
      <c r="AA398" s="24" t="n">
        <v>500</v>
      </c>
      <c r="AB398" s="24" t="n">
        <v>497</v>
      </c>
      <c r="AD398" s="24" t="n">
        <v>644</v>
      </c>
      <c r="AE398" s="24" t="n">
        <v>548</v>
      </c>
      <c r="AF398" s="24" t="n">
        <v>517</v>
      </c>
      <c r="AG398" s="24" t="n">
        <v>580</v>
      </c>
      <c r="AI398" s="24" t="n">
        <v>605</v>
      </c>
      <c r="AJ398" s="24" t="n">
        <v>700</v>
      </c>
      <c r="AK398" s="24" t="n">
        <v>514</v>
      </c>
      <c r="AL398" s="24" t="n">
        <v>608</v>
      </c>
      <c r="AM398" s="24" t="n">
        <v>2400</v>
      </c>
      <c r="AN398" s="24" t="n">
        <v>747</v>
      </c>
      <c r="AP398" s="24" t="n">
        <v>647</v>
      </c>
      <c r="AR398" s="24" t="n">
        <v>2600</v>
      </c>
      <c r="AS398" s="24" t="n">
        <v>570</v>
      </c>
      <c r="AT398" s="24" t="n">
        <v>620</v>
      </c>
      <c r="AU398" s="24" t="n">
        <v>559</v>
      </c>
      <c r="AV398" s="24" t="n">
        <v>573</v>
      </c>
      <c r="AX398" s="24" t="n">
        <v>571</v>
      </c>
      <c r="AY398" s="24" t="n">
        <v>679</v>
      </c>
      <c r="AZ398" s="24" t="n">
        <v>617</v>
      </c>
      <c r="BA398" s="24" t="n">
        <v>676</v>
      </c>
      <c r="BB398" s="24" t="n">
        <v>2500</v>
      </c>
      <c r="BC398" s="24" t="n">
        <v>634</v>
      </c>
      <c r="BD398" s="24" t="n">
        <v>776</v>
      </c>
      <c r="BE398" s="24" t="n">
        <v>818</v>
      </c>
      <c r="BF398" s="24" t="n">
        <v>714</v>
      </c>
      <c r="BG398" s="24" t="n">
        <v>2900</v>
      </c>
      <c r="BH398" s="24" t="n">
        <v>718</v>
      </c>
      <c r="BI398" s="24" t="n">
        <v>842</v>
      </c>
      <c r="BJ398" s="24" t="n">
        <v>846</v>
      </c>
      <c r="BK398" s="24" t="n">
        <v>685</v>
      </c>
      <c r="BL398" s="24" t="n">
        <v>3100</v>
      </c>
      <c r="BM398" s="24" t="n">
        <v>901</v>
      </c>
      <c r="BN398" s="24" t="n">
        <v>995</v>
      </c>
      <c r="BO398" s="24" t="n">
        <v>860</v>
      </c>
      <c r="BP398" s="24" t="n">
        <v>939</v>
      </c>
      <c r="BQ398" s="24" t="n">
        <v>3700</v>
      </c>
      <c r="BR398" s="24" t="n">
        <v>1000</v>
      </c>
      <c r="BS398" s="24" t="n">
        <v>1000</v>
      </c>
      <c r="BT398" s="24" t="n">
        <v>927</v>
      </c>
      <c r="BU398" s="24" t="n">
        <v>1100</v>
      </c>
      <c r="BV398" s="24" t="n">
        <v>4100</v>
      </c>
      <c r="BW398" s="24" t="n">
        <v>1200</v>
      </c>
      <c r="BX398" s="24" t="n">
        <v>1100</v>
      </c>
    </row>
    <row r="399" customFormat="false" ht="15" hidden="false" customHeight="false" outlineLevel="0" collapsed="false">
      <c r="B399" s="20" t="s">
        <v>610</v>
      </c>
      <c r="C399" s="63" t="n">
        <f aca="false">IF(AND(ISNUMBER(C398),ISNUMBER(C79)),IFERROR(C398/C79,""),"")</f>
        <v>1.03965589183835</v>
      </c>
      <c r="D399" s="63" t="n">
        <f aca="false">IF(AND(ISNUMBER(D398),ISNUMBER(D79)),IFERROR(D398/D79,""),"")</f>
        <v>1.17478286867103</v>
      </c>
      <c r="E399" s="63" t="n">
        <f aca="false">IF(AND(ISNUMBER(E398),ISNUMBER(E79)),IFERROR(E398/E79,""),"")</f>
        <v>1.20209382888741</v>
      </c>
      <c r="F399" s="63" t="n">
        <f aca="false">IF(AND(ISNUMBER(F398),ISNUMBER(F79)),IFERROR(F398/F79,""),"")</f>
        <v>0.939387408893236</v>
      </c>
      <c r="G399" s="63" t="n">
        <f aca="false">IF(AND(ISNUMBER(G398),ISNUMBER(G79)),IFERROR(G398/G79,""),"")</f>
        <v>1.01419128281463</v>
      </c>
      <c r="H399" s="63" t="n">
        <f aca="false">IF(AND(ISNUMBER(H398),ISNUMBER(H79)),IFERROR(H398/H79,""),"")</f>
        <v>1.00772589855559</v>
      </c>
      <c r="I399" s="63" t="n">
        <f aca="false">IF(AND(ISNUMBER(I398),ISNUMBER(I79)),IFERROR(I398/I79,""),"")</f>
        <v>0.943883728779301</v>
      </c>
      <c r="J399" s="63" t="n">
        <f aca="false">IF(AND(ISNUMBER(J398),ISNUMBER(J79)),IFERROR(J398/J79,""),"")</f>
        <v>1.04102165223803</v>
      </c>
      <c r="K399" s="63" t="n">
        <f aca="false">IF(AND(ISNUMBER(K398),ISNUMBER(K79)),IFERROR(K398/K79,""),"")</f>
        <v>0.976222585225203</v>
      </c>
      <c r="L399" s="63" t="n">
        <f aca="false">IF(AND(ISNUMBER(L398),ISNUMBER(L79)),IFERROR(L398/L79,""),"")</f>
        <v>0.992230303978744</v>
      </c>
      <c r="M399" s="63" t="n">
        <f aca="false">IF(AND(ISNUMBER(M398),ISNUMBER(M79)),IFERROR(M398/M79,""),"")</f>
        <v>0.988952881825847</v>
      </c>
      <c r="N399" s="63" t="n">
        <f aca="false">IF(AND(ISNUMBER(N398),ISNUMBER(N79)),IFERROR(N398/N79,""),"")</f>
        <v>0.999692923010502</v>
      </c>
      <c r="O399" s="63" t="n">
        <f aca="false">IF(AND(ISNUMBER(O398),ISNUMBER(O79)),IFERROR(O398/O79,""),"")</f>
        <v>1.05704289910385</v>
      </c>
      <c r="P399" s="63" t="n">
        <f aca="false">IF(AND(ISNUMBER(P398),ISNUMBER(P79)),IFERROR(P398/P79,""),"")</f>
        <v>1.14950984900039</v>
      </c>
      <c r="Q399" s="63" t="n">
        <f aca="false">IF(AND(ISNUMBER(Q398),ISNUMBER(Q79)),IFERROR(Q398/Q79,""),"")</f>
        <v>1.05452426656944</v>
      </c>
      <c r="R399" s="63" t="n">
        <f aca="false">IF(AND(ISNUMBER(R398),ISNUMBER(R79)),IFERROR(R398/R79,""),"")</f>
        <v>0.932610996426738</v>
      </c>
      <c r="S399" s="63" t="n">
        <f aca="false">IF(AND(ISNUMBER(S398),ISNUMBER(S79)),IFERROR(S398/S79,""),"")</f>
        <v>1.06993543831243</v>
      </c>
      <c r="T399" s="63" t="n">
        <f aca="false">IF(AND(ISNUMBER(T398),ISNUMBER(T79)),IFERROR(T398/T79,""),"")</f>
        <v>1.15159493151763</v>
      </c>
      <c r="U399" s="63" t="n">
        <f aca="false">IF(AND(ISNUMBER(U398),ISNUMBER(U79)),IFERROR(U398/U79,""),"")</f>
        <v>0.962959973880857</v>
      </c>
      <c r="V399" s="63" t="n">
        <f aca="false">IF(AND(ISNUMBER(V398),ISNUMBER(V79)),IFERROR(V398/V79,""),"")</f>
        <v>0.939994481813771</v>
      </c>
      <c r="W399" s="63" t="n">
        <f aca="false">IF(AND(ISNUMBER(W398),ISNUMBER(W79)),IFERROR(W398/W79,""),"")</f>
        <v>1.59149391512599</v>
      </c>
      <c r="X399" s="63" t="str">
        <f aca="false">IF(AND(ISNUMBER(X398),ISNUMBER(X79)),IFERROR(X398/X79,""),"")</f>
        <v/>
      </c>
      <c r="Y399" s="63" t="n">
        <f aca="false">IF(AND(ISNUMBER(Y398),ISNUMBER(Y79)),IFERROR(Y398/Y79,""),"")</f>
        <v>1.24923784574991</v>
      </c>
      <c r="Z399" s="63" t="n">
        <f aca="false">IF(AND(ISNUMBER(Z398),ISNUMBER(Z79)),IFERROR(Z398/Z79,""),"")</f>
        <v>0.983546247320587</v>
      </c>
      <c r="AA399" s="63" t="n">
        <f aca="false">IF(AND(ISNUMBER(AA398),ISNUMBER(AA79)),IFERROR(AA398/AA79,""),"")</f>
        <v>0.986014372145488</v>
      </c>
      <c r="AB399" s="63" t="n">
        <f aca="false">IF(AND(ISNUMBER(AB398),ISNUMBER(AB79)),IFERROR(AB398/AB79,""),"")</f>
        <v>0.878765696664934</v>
      </c>
      <c r="AC399" s="63" t="str">
        <f aca="false">IF(AND(ISNUMBER(AC398),ISNUMBER(AC79)),IFERROR(AC398/AC79,""),"")</f>
        <v/>
      </c>
      <c r="AD399" s="63" t="n">
        <f aca="false">IF(AND(ISNUMBER(AD398),ISNUMBER(AD79)),IFERROR(AD398/AD79,""),"")</f>
        <v>1.22996766560159</v>
      </c>
      <c r="AE399" s="63" t="n">
        <f aca="false">IF(AND(ISNUMBER(AE398),ISNUMBER(AE79)),IFERROR(AE398/AE79,""),"")</f>
        <v>0.965378497074797</v>
      </c>
      <c r="AF399" s="63" t="n">
        <f aca="false">IF(AND(ISNUMBER(AF398),ISNUMBER(AF79)),IFERROR(AF398/AF79,""),"")</f>
        <v>0.910369941239759</v>
      </c>
      <c r="AG399" s="63" t="n">
        <f aca="false">IF(AND(ISNUMBER(AG398),ISNUMBER(AG79)),IFERROR(AG398/AG79,""),"")</f>
        <v>0.947896731554011</v>
      </c>
      <c r="AH399" s="63" t="str">
        <f aca="false">IF(AND(ISNUMBER(AH398),ISNUMBER(AH79)),IFERROR(AH398/AH79,""),"")</f>
        <v/>
      </c>
      <c r="AI399" s="63" t="n">
        <f aca="false">IF(AND(ISNUMBER(AI398),ISNUMBER(AI79)),IFERROR(AI398/AI79,""),"")</f>
        <v>1.10497843009048</v>
      </c>
      <c r="AJ399" s="63" t="n">
        <f aca="false">IF(AND(ISNUMBER(AJ398),ISNUMBER(AJ79)),IFERROR(AJ398/AJ79,""),"")</f>
        <v>1.1284898548762</v>
      </c>
      <c r="AK399" s="63" t="n">
        <f aca="false">IF(AND(ISNUMBER(AK398),ISNUMBER(AK79)),IFERROR(AK398/AK79,""),"")</f>
        <v>0.863295336021754</v>
      </c>
      <c r="AL399" s="63" t="n">
        <f aca="false">IF(AND(ISNUMBER(AL398),ISNUMBER(AL79)),IFERROR(AL398/AL79,""),"")</f>
        <v>0.937371843693245</v>
      </c>
      <c r="AM399" s="63" t="n">
        <f aca="false">IF(AND(ISNUMBER(AM398),ISNUMBER(AM79)),IFERROR(AM398/AM79,""),"")</f>
        <v>0.995092947900665</v>
      </c>
      <c r="AN399" s="63" t="n">
        <f aca="false">IF(AND(ISNUMBER(AN398),ISNUMBER(AN79)),IFERROR(AN398/AN79,""),"")</f>
        <v>1.29168583157247</v>
      </c>
      <c r="AO399" s="63" t="str">
        <f aca="false">IF(AND(ISNUMBER(AO398),ISNUMBER(AO79)),IFERROR(AO398/AO79,""),"")</f>
        <v/>
      </c>
      <c r="AP399" s="63" t="n">
        <f aca="false">IF(AND(ISNUMBER(AP398),ISNUMBER(AP79)),IFERROR(AP398/AP79,""),"")</f>
        <v>1.05223783502472</v>
      </c>
      <c r="AQ399" s="63" t="str">
        <f aca="false">IF(AND(ISNUMBER(AQ398),ISNUMBER(AQ79)),IFERROR(AQ398/AQ79,""),"")</f>
        <v/>
      </c>
      <c r="AR399" s="63" t="n">
        <f aca="false">IF(AND(ISNUMBER(AR398),ISNUMBER(AR79)),IFERROR(AR398/AR79,""),"")</f>
        <v>1.04503245830622</v>
      </c>
      <c r="AS399" s="63" t="n">
        <f aca="false">IF(AND(ISNUMBER(AS398),ISNUMBER(AS79)),IFERROR(AS398/AS79,""),"")</f>
        <v>0.948054907348424</v>
      </c>
      <c r="AT399" s="63" t="n">
        <f aca="false">IF(AND(ISNUMBER(AT398),ISNUMBER(AT79)),IFERROR(AT398/AT79,""),"")</f>
        <v>1.1271764049254</v>
      </c>
      <c r="AU399" s="63" t="n">
        <f aca="false">IF(AND(ISNUMBER(AU398),ISNUMBER(AU79)),IFERROR(AU398/AU79,""),"")</f>
        <v>0.977932660851554</v>
      </c>
      <c r="AV399" s="63" t="n">
        <f aca="false">IF(AND(ISNUMBER(AV398),ISNUMBER(AV79)),IFERROR(AV398/AV79,""),"")</f>
        <v>0.857214665701241</v>
      </c>
      <c r="AW399" s="63" t="str">
        <f aca="false">IF(AND(ISNUMBER(AW398),ISNUMBER(AW79)),IFERROR(AW398/AW79,""),"")</f>
        <v/>
      </c>
      <c r="AX399" s="63" t="n">
        <f aca="false">IF(AND(ISNUMBER(AX398),ISNUMBER(AX79)),IFERROR(AX398/AX79,""),"")</f>
        <v>0.956354397136631</v>
      </c>
      <c r="AY399" s="63" t="n">
        <f aca="false">IF(AND(ISNUMBER(AY398),ISNUMBER(AY79)),IFERROR(AY398/AY79,""),"")</f>
        <v>1.09252689080363</v>
      </c>
      <c r="AZ399" s="63" t="n">
        <f aca="false">IF(AND(ISNUMBER(AZ398),ISNUMBER(AZ79)),IFERROR(AZ398/AZ79,""),"")</f>
        <v>0.994168725095429</v>
      </c>
      <c r="BA399" s="63" t="n">
        <f aca="false">IF(AND(ISNUMBER(BA398),ISNUMBER(BA79)),IFERROR(BA398/BA79,""),"")</f>
        <v>1.01386110102916</v>
      </c>
      <c r="BB399" s="63" t="n">
        <f aca="false">IF(AND(ISNUMBER(BB398),ISNUMBER(BB79)),IFERROR(BB398/BB79,""),"")</f>
        <v>0.997633214960827</v>
      </c>
      <c r="BC399" s="63" t="n">
        <f aca="false">IF(AND(ISNUMBER(BC398),ISNUMBER(BC79)),IFERROR(BC398/BC79,""),"")</f>
        <v>1.13323359447754</v>
      </c>
      <c r="BD399" s="63" t="n">
        <f aca="false">IF(AND(ISNUMBER(BD398),ISNUMBER(BD79)),IFERROR(BD398/BD79,""),"")</f>
        <v>1.27347351388431</v>
      </c>
      <c r="BE399" s="63" t="n">
        <f aca="false">IF(AND(ISNUMBER(BE398),ISNUMBER(BE79)),IFERROR(BE398/BE79,""),"")</f>
        <v>1.29729661148663</v>
      </c>
      <c r="BF399" s="63" t="n">
        <f aca="false">IF(AND(ISNUMBER(BF398),ISNUMBER(BF79)),IFERROR(BF398/BF79,""),"")</f>
        <v>0.942368988933104</v>
      </c>
      <c r="BG399" s="63" t="n">
        <f aca="false">IF(AND(ISNUMBER(BG398),ISNUMBER(BG79)),IFERROR(BG398/BG79,""),"")</f>
        <v>1.13413048366754</v>
      </c>
      <c r="BH399" s="63" t="n">
        <f aca="false">IF(AND(ISNUMBER(BH398),ISNUMBER(BH79)),IFERROR(BH398/BH79,""),"")</f>
        <v>1.13812890340171</v>
      </c>
      <c r="BI399" s="63" t="n">
        <f aca="false">IF(AND(ISNUMBER(BI398),ISNUMBER(BI79)),IFERROR(BI398/BI79,""),"")</f>
        <v>1.19535034270496</v>
      </c>
      <c r="BJ399" s="63" t="n">
        <f aca="false">IF(AND(ISNUMBER(BJ398),ISNUMBER(BJ79)),IFERROR(BJ398/BJ79,""),"")</f>
        <v>1.16798237257809</v>
      </c>
      <c r="BK399" s="63" t="n">
        <f aca="false">IF(AND(ISNUMBER(BK398),ISNUMBER(BK79)),IFERROR(BK398/BK79,""),"")</f>
        <v>0.871733068971266</v>
      </c>
      <c r="BL399" s="63" t="n">
        <f aca="false">IF(AND(ISNUMBER(BL398),ISNUMBER(BL79)),IFERROR(BL398/BL79,""),"")</f>
        <v>1.08948809171943</v>
      </c>
      <c r="BM399" s="63" t="n">
        <f aca="false">IF(AND(ISNUMBER(BM398),ISNUMBER(BM79)),IFERROR(BM398/BM79,""),"")</f>
        <v>1.26337870372578</v>
      </c>
      <c r="BN399" s="63" t="n">
        <f aca="false">IF(AND(ISNUMBER(BN398),ISNUMBER(BN79)),IFERROR(BN398/BN79,""),"")</f>
        <v>1.26785347946141</v>
      </c>
      <c r="BO399" s="63" t="n">
        <f aca="false">IF(AND(ISNUMBER(BO398),ISNUMBER(BO79)),IFERROR(BO398/BO79,""),"")</f>
        <v>1.0764559066137</v>
      </c>
      <c r="BP399" s="63" t="n">
        <f aca="false">IF(AND(ISNUMBER(BP398),ISNUMBER(BP79)),IFERROR(BP398/BP79,""),"")</f>
        <v>1.1391304031357</v>
      </c>
      <c r="BQ399" s="63" t="n">
        <f aca="false">IF(AND(ISNUMBER(BQ398),ISNUMBER(BQ79)),IFERROR(BQ398/BQ79,""),"")</f>
        <v>1.18544567470922</v>
      </c>
      <c r="BR399" s="63" t="n">
        <f aca="false">IF(AND(ISNUMBER(BR398),ISNUMBER(BR79)),IFERROR(BR398/BR79,""),"")</f>
        <v>1.24124148973804</v>
      </c>
      <c r="BS399" s="63" t="n">
        <f aca="false">IF(AND(ISNUMBER(BS398),ISNUMBER(BS79)),IFERROR(BS398/BS79,""),"")</f>
        <v>1.14080239477239</v>
      </c>
      <c r="BT399" s="63" t="n">
        <f aca="false">IF(AND(ISNUMBER(BT398),ISNUMBER(BT79)),IFERROR(BT398/BT79,""),"")</f>
        <v>1.06653474003935</v>
      </c>
      <c r="BU399" s="63" t="n">
        <f aca="false">IF(AND(ISNUMBER(BU398),ISNUMBER(BU79)),IFERROR(BU398/BU79,""),"")</f>
        <v>1.16158613530789</v>
      </c>
      <c r="BV399" s="63" t="n">
        <f aca="false">IF(AND(ISNUMBER(BV398),ISNUMBER(BV79)),IFERROR(BV398/BV79,""),"")</f>
        <v>1.17197370662697</v>
      </c>
      <c r="BW399" s="63" t="n">
        <f aca="false">IF(AND(ISNUMBER(BW398),ISNUMBER(BW79)),IFERROR(BW398/BW79,""),"")</f>
        <v>1.31336004561737</v>
      </c>
      <c r="BX399" s="63" t="n">
        <f aca="false">IF(AND(ISNUMBER(BX398),ISNUMBER(BX79)),IFERROR(BX398/BX79,""),"")</f>
        <v>1.19046588341227</v>
      </c>
    </row>
    <row r="400" customFormat="false" ht="15" hidden="false" customHeight="false" outlineLevel="0" collapsed="false">
      <c r="B400" s="20" t="s">
        <v>611</v>
      </c>
      <c r="C400" s="24" t="n">
        <v>875.5</v>
      </c>
      <c r="D400" s="24" t="n">
        <v>1303.8</v>
      </c>
      <c r="E400" s="24" t="n">
        <v>1700</v>
      </c>
      <c r="F400" s="24" t="n">
        <v>1600</v>
      </c>
      <c r="G400" s="24" t="n">
        <v>1670</v>
      </c>
      <c r="H400" s="24" t="n">
        <v>1700</v>
      </c>
      <c r="I400" s="24" t="n">
        <v>1650</v>
      </c>
      <c r="J400" s="24" t="n">
        <v>1700</v>
      </c>
      <c r="K400" s="24" t="n">
        <v>1700</v>
      </c>
      <c r="M400" s="24" t="n">
        <v>1720</v>
      </c>
      <c r="N400" s="24" t="n">
        <v>1720</v>
      </c>
      <c r="O400" s="24" t="n">
        <v>1750</v>
      </c>
      <c r="P400" s="24" t="n">
        <v>1800</v>
      </c>
      <c r="Q400" s="24" t="n">
        <v>1740</v>
      </c>
      <c r="R400" s="24" t="n">
        <v>1670</v>
      </c>
      <c r="S400" s="24" t="n">
        <v>1670</v>
      </c>
      <c r="T400" s="24" t="n">
        <v>1650</v>
      </c>
      <c r="U400" s="24" t="n">
        <v>1640</v>
      </c>
      <c r="V400" s="24" t="n">
        <v>1590</v>
      </c>
      <c r="W400" s="24" t="n">
        <v>1930</v>
      </c>
      <c r="X400" s="24" t="n">
        <v>1930</v>
      </c>
      <c r="Y400" s="24" t="n">
        <v>2100</v>
      </c>
      <c r="Z400" s="24" t="n">
        <v>2000</v>
      </c>
      <c r="AA400" s="24" t="n">
        <v>2000</v>
      </c>
      <c r="AB400" s="24" t="n">
        <v>2000</v>
      </c>
      <c r="AC400" s="24" t="n">
        <v>2000</v>
      </c>
      <c r="AD400" s="24" t="n">
        <v>2100</v>
      </c>
      <c r="AE400" s="24" t="n">
        <v>2100</v>
      </c>
      <c r="AF400" s="24" t="n">
        <v>2000</v>
      </c>
      <c r="AG400" s="24" t="n">
        <v>2000</v>
      </c>
      <c r="AH400" s="24" t="n">
        <v>2000</v>
      </c>
      <c r="AI400" s="24" t="n">
        <v>2100</v>
      </c>
      <c r="AJ400" s="24" t="n">
        <v>2200</v>
      </c>
      <c r="AK400" s="24" t="n">
        <v>2000</v>
      </c>
      <c r="AL400" s="24" t="n">
        <v>2000</v>
      </c>
      <c r="AM400" s="24" t="n">
        <v>2000</v>
      </c>
      <c r="AN400" s="24" t="n">
        <v>2200</v>
      </c>
      <c r="AO400" s="24" t="n">
        <v>2200</v>
      </c>
      <c r="AP400" s="24" t="n">
        <v>2200</v>
      </c>
      <c r="AQ400" s="24" t="n">
        <v>2200</v>
      </c>
      <c r="AR400" s="24" t="n">
        <v>2200</v>
      </c>
      <c r="AS400" s="24" t="n">
        <v>2100</v>
      </c>
      <c r="AT400" s="24" t="n">
        <v>2200</v>
      </c>
      <c r="AU400" s="24" t="n">
        <v>2200</v>
      </c>
      <c r="AV400" s="24" t="n">
        <v>2200</v>
      </c>
      <c r="AW400" s="24" t="n">
        <v>2200</v>
      </c>
      <c r="AX400" s="24" t="n">
        <v>2200</v>
      </c>
      <c r="AY400" s="24" t="n">
        <v>2200</v>
      </c>
      <c r="AZ400" s="24" t="n">
        <v>2200</v>
      </c>
      <c r="BA400" s="24" t="n">
        <v>2200</v>
      </c>
      <c r="BB400" s="24" t="n">
        <v>2200</v>
      </c>
      <c r="BC400" s="24" t="n">
        <v>2300</v>
      </c>
      <c r="BD400" s="24" t="n">
        <v>2400</v>
      </c>
      <c r="BE400" s="24" t="n">
        <v>2600</v>
      </c>
      <c r="BF400" s="24" t="n">
        <v>2600</v>
      </c>
      <c r="BG400" s="24" t="n">
        <v>2600</v>
      </c>
      <c r="BH400" s="24" t="n">
        <v>2700</v>
      </c>
      <c r="BI400" s="24" t="n">
        <v>2800</v>
      </c>
      <c r="BJ400" s="24" t="n">
        <v>2900</v>
      </c>
      <c r="BK400" s="24" t="n">
        <v>2900</v>
      </c>
      <c r="BL400" s="24" t="n">
        <v>2900</v>
      </c>
      <c r="BM400" s="24" t="n">
        <v>3100</v>
      </c>
      <c r="BN400" s="24" t="n">
        <v>3200</v>
      </c>
      <c r="BO400" s="24" t="n">
        <v>3300</v>
      </c>
      <c r="BP400" s="24" t="n">
        <v>3400</v>
      </c>
      <c r="BQ400" s="24" t="n">
        <v>3400</v>
      </c>
      <c r="BR400" s="24" t="n">
        <v>3700</v>
      </c>
      <c r="BS400" s="24" t="n">
        <v>3900</v>
      </c>
      <c r="BT400" s="24" t="n">
        <v>3900</v>
      </c>
      <c r="BU400" s="24" t="n">
        <v>4100</v>
      </c>
      <c r="BV400" s="24" t="n">
        <v>4100</v>
      </c>
      <c r="BW400" s="24" t="n">
        <v>4300</v>
      </c>
      <c r="BX400" s="24" t="n">
        <v>4500</v>
      </c>
    </row>
    <row r="401" customFormat="false" ht="15" hidden="false" customHeight="false" outlineLevel="0" collapsed="false">
      <c r="B401" s="13" t="s">
        <v>612</v>
      </c>
    </row>
    <row r="402" customFormat="false" ht="15" hidden="false" customHeight="false" outlineLevel="0" collapsed="false">
      <c r="B402" s="20" t="s">
        <v>613</v>
      </c>
      <c r="H402" s="24" t="n">
        <v>305</v>
      </c>
      <c r="L402" s="24" t="n">
        <v>61.7</v>
      </c>
      <c r="M402" s="24" t="n">
        <v>85.7</v>
      </c>
      <c r="O402" s="24" t="n">
        <v>73.562</v>
      </c>
      <c r="P402" s="24" t="n">
        <v>67.023</v>
      </c>
      <c r="Q402" s="24" t="n">
        <v>70.67</v>
      </c>
      <c r="R402" s="24" t="n">
        <v>83.811</v>
      </c>
      <c r="S402" s="24" t="n">
        <v>285.576</v>
      </c>
      <c r="T402" s="24" t="n">
        <v>71.346</v>
      </c>
      <c r="U402" s="24" t="n">
        <v>75.761</v>
      </c>
      <c r="V402" s="24" t="n">
        <v>81.758</v>
      </c>
      <c r="W402" s="24" t="n">
        <v>75.656</v>
      </c>
      <c r="X402" s="24" t="n">
        <v>304.521</v>
      </c>
      <c r="Y402" s="24" t="n">
        <v>61.39</v>
      </c>
      <c r="Z402" s="24" t="n">
        <v>76.167</v>
      </c>
      <c r="AA402" s="24" t="n">
        <v>77.99</v>
      </c>
      <c r="AB402" s="24" t="n">
        <v>79.857</v>
      </c>
      <c r="AC402" s="24" t="n">
        <v>296.287</v>
      </c>
      <c r="AD402" s="24" t="n">
        <v>65.783</v>
      </c>
      <c r="AE402" s="24" t="n">
        <v>88.097</v>
      </c>
      <c r="AF402" s="24" t="n">
        <v>92.728</v>
      </c>
      <c r="AG402" s="24" t="n">
        <v>109.294</v>
      </c>
      <c r="AH402" s="24" t="n">
        <v>355.483</v>
      </c>
      <c r="AI402" s="24" t="n">
        <v>75.941</v>
      </c>
      <c r="AJ402" s="24" t="n">
        <v>98.268</v>
      </c>
      <c r="AK402" s="24" t="n">
        <v>91.919</v>
      </c>
      <c r="AL402" s="24" t="n">
        <v>104.142</v>
      </c>
      <c r="AM402" s="24" t="n">
        <v>376.951</v>
      </c>
      <c r="AN402" s="24" t="n">
        <v>78.787</v>
      </c>
      <c r="AO402" s="24" t="n">
        <v>104.426</v>
      </c>
      <c r="AP402" s="24" t="n">
        <v>110.742</v>
      </c>
      <c r="AQ402" s="24" t="n">
        <v>122.886</v>
      </c>
      <c r="AR402" s="24" t="n">
        <v>416.841</v>
      </c>
      <c r="AS402" s="24" t="n">
        <v>101.828</v>
      </c>
      <c r="AT402" s="24" t="n">
        <v>109.305</v>
      </c>
      <c r="AU402" s="24" t="n">
        <v>121.987</v>
      </c>
      <c r="AV402" s="24" t="n">
        <v>130.715</v>
      </c>
      <c r="AW402" s="24" t="n">
        <v>463.835</v>
      </c>
      <c r="AY402" s="24" t="n">
        <v>99.977</v>
      </c>
      <c r="AZ402" s="24" t="n">
        <v>116.853</v>
      </c>
      <c r="BA402" s="24" t="n">
        <v>124.815</v>
      </c>
      <c r="BB402" s="24" t="n">
        <v>452.661</v>
      </c>
      <c r="BC402" s="24" t="n">
        <v>98.004</v>
      </c>
      <c r="BD402" s="24" t="n">
        <v>94.545</v>
      </c>
      <c r="BE402" s="24" t="n">
        <v>114.431</v>
      </c>
      <c r="BF402" s="24" t="n">
        <v>172.763</v>
      </c>
      <c r="BG402" s="24" t="n">
        <v>479.743</v>
      </c>
      <c r="BH402" s="24" t="n">
        <v>99.879</v>
      </c>
      <c r="BI402" s="24" t="n">
        <v>132.192</v>
      </c>
      <c r="BJ402" s="24" t="n">
        <v>148.023</v>
      </c>
      <c r="BK402" s="24" t="n">
        <v>171.527</v>
      </c>
      <c r="BL402" s="24" t="n">
        <v>551.622</v>
      </c>
      <c r="BM402" s="24" t="n">
        <v>132.074</v>
      </c>
      <c r="BN402" s="24" t="n">
        <v>154.104</v>
      </c>
      <c r="BO402" s="24" t="n">
        <v>158.98</v>
      </c>
      <c r="BP402" s="24" t="n">
        <v>171.432</v>
      </c>
      <c r="BQ402" s="24" t="n">
        <v>616.59</v>
      </c>
      <c r="BR402" s="24" t="n">
        <v>151.722</v>
      </c>
      <c r="BS402" s="24" t="n">
        <v>167.587</v>
      </c>
      <c r="BT402" s="24" t="n">
        <v>161.162</v>
      </c>
      <c r="BU402" s="24" t="n">
        <v>192.055</v>
      </c>
      <c r="BV402" s="24" t="n">
        <v>672.526</v>
      </c>
      <c r="BW402" s="24" t="n">
        <v>179.439</v>
      </c>
      <c r="BX402" s="24" t="n">
        <v>176.007</v>
      </c>
    </row>
    <row r="403" customFormat="false" ht="15" hidden="false" customHeight="false" outlineLevel="0" collapsed="false">
      <c r="B403" s="20" t="s">
        <v>614</v>
      </c>
      <c r="H403" s="24" t="n">
        <v>120</v>
      </c>
      <c r="L403" s="24" t="n">
        <v>23</v>
      </c>
      <c r="M403" s="24" t="n">
        <v>23.9</v>
      </c>
      <c r="O403" s="24" t="n">
        <v>16.501</v>
      </c>
      <c r="P403" s="24" t="n">
        <v>19.895</v>
      </c>
      <c r="Q403" s="24" t="n">
        <v>23.79</v>
      </c>
      <c r="R403" s="24" t="n">
        <v>18.739</v>
      </c>
      <c r="S403" s="24" t="n">
        <v>74.066</v>
      </c>
      <c r="T403" s="24" t="n">
        <v>18.655</v>
      </c>
      <c r="U403" s="24" t="n">
        <v>24.238</v>
      </c>
      <c r="V403" s="24" t="n">
        <v>18.522</v>
      </c>
      <c r="W403" s="24" t="n">
        <v>24.307</v>
      </c>
      <c r="X403" s="24" t="n">
        <v>85.722</v>
      </c>
      <c r="Y403" s="24" t="n">
        <v>19.174</v>
      </c>
      <c r="Z403" s="24" t="n">
        <v>19.886</v>
      </c>
      <c r="AA403" s="24" t="n">
        <v>19.599</v>
      </c>
      <c r="AB403" s="24" t="n">
        <v>25.626</v>
      </c>
      <c r="AC403" s="24" t="n">
        <v>84.28</v>
      </c>
      <c r="AD403" s="24" t="n">
        <v>19.737</v>
      </c>
      <c r="AE403" s="24" t="n">
        <v>17.515</v>
      </c>
      <c r="AF403" s="24" t="n">
        <v>27.804</v>
      </c>
      <c r="AG403" s="24" t="n">
        <v>29.16</v>
      </c>
      <c r="AH403" s="24" t="n">
        <v>94.216</v>
      </c>
      <c r="AI403" s="24" t="n">
        <v>22.011</v>
      </c>
      <c r="AJ403" s="24" t="n">
        <v>20.272</v>
      </c>
      <c r="AK403" s="24" t="n">
        <v>24.798</v>
      </c>
      <c r="AL403" s="24" t="n">
        <v>28.667</v>
      </c>
      <c r="AM403" s="24" t="n">
        <v>97.131</v>
      </c>
      <c r="AN403" s="24" t="n">
        <v>20.758</v>
      </c>
      <c r="AO403" s="24" t="n">
        <v>26.394</v>
      </c>
      <c r="AP403" s="24" t="n">
        <v>22.231</v>
      </c>
      <c r="AQ403" s="24" t="n">
        <v>24.049</v>
      </c>
      <c r="AR403" s="24" t="n">
        <v>93.432</v>
      </c>
      <c r="AS403" s="24" t="n">
        <v>22.657</v>
      </c>
      <c r="AT403" s="24" t="n">
        <v>20.029</v>
      </c>
      <c r="AU403" s="24" t="n">
        <v>20.519</v>
      </c>
      <c r="AV403" s="24" t="n">
        <v>44.082</v>
      </c>
      <c r="AW403" s="24" t="n">
        <v>107.287</v>
      </c>
      <c r="AY403" s="24" t="n">
        <v>48.221</v>
      </c>
      <c r="AZ403" s="24" t="n">
        <v>55.124</v>
      </c>
      <c r="BA403" s="24" t="n">
        <v>61.199</v>
      </c>
      <c r="BB403" s="24" t="n">
        <v>220.29</v>
      </c>
      <c r="BC403" s="24" t="n">
        <v>39.108</v>
      </c>
      <c r="BD403" s="24" t="n">
        <v>44.393</v>
      </c>
      <c r="BE403" s="24" t="n">
        <v>54.89</v>
      </c>
      <c r="BF403" s="24" t="n">
        <v>81.348</v>
      </c>
      <c r="BG403" s="24" t="n">
        <v>219.739</v>
      </c>
      <c r="BH403" s="24" t="n">
        <v>66.256</v>
      </c>
      <c r="BI403" s="24" t="n">
        <v>70.875</v>
      </c>
      <c r="BJ403" s="24" t="n">
        <v>83.185</v>
      </c>
      <c r="BK403" s="24" t="n">
        <v>87.691</v>
      </c>
      <c r="BL403" s="24" t="n">
        <v>308.008</v>
      </c>
      <c r="BM403" s="24" t="n">
        <v>90.76</v>
      </c>
      <c r="BN403" s="24" t="n">
        <v>84.939</v>
      </c>
      <c r="BO403" s="24" t="n">
        <v>92.973</v>
      </c>
      <c r="BP403" s="24" t="n">
        <v>84.654</v>
      </c>
      <c r="BQ403" s="24" t="n">
        <v>353.326</v>
      </c>
      <c r="BR403" s="24" t="n">
        <v>97.237</v>
      </c>
      <c r="BS403" s="24" t="n">
        <v>97.542</v>
      </c>
      <c r="BT403" s="24" t="n">
        <v>96.789</v>
      </c>
      <c r="BU403" s="24" t="n">
        <v>115.235</v>
      </c>
      <c r="BV403" s="24" t="n">
        <v>406.803</v>
      </c>
      <c r="BW403" s="24" t="n">
        <v>101.407</v>
      </c>
      <c r="BX403" s="24" t="n">
        <v>90.135</v>
      </c>
    </row>
    <row r="404" customFormat="false" ht="15" hidden="false" customHeight="false" outlineLevel="0" collapsed="false">
      <c r="B404" s="20" t="s">
        <v>615</v>
      </c>
      <c r="H404" s="24" t="n">
        <v>363</v>
      </c>
      <c r="L404" s="24" t="n">
        <v>91</v>
      </c>
      <c r="M404" s="24" t="n">
        <v>108.6</v>
      </c>
      <c r="O404" s="24" t="n">
        <v>88.801</v>
      </c>
      <c r="P404" s="24" t="n">
        <v>100.022</v>
      </c>
      <c r="Q404" s="24" t="n">
        <v>93.581</v>
      </c>
      <c r="R404" s="24" t="n">
        <v>100.054</v>
      </c>
      <c r="S404" s="24" t="n">
        <v>381.336</v>
      </c>
      <c r="T404" s="24" t="n">
        <v>89.062</v>
      </c>
      <c r="U404" s="24" t="n">
        <v>99.704</v>
      </c>
      <c r="V404" s="24" t="n">
        <v>95.741</v>
      </c>
      <c r="W404" s="24" t="n">
        <v>103.797</v>
      </c>
      <c r="X404" s="24" t="n">
        <v>388.304</v>
      </c>
      <c r="Y404" s="24" t="n">
        <v>91.937</v>
      </c>
      <c r="Z404" s="24" t="n">
        <v>104.509</v>
      </c>
      <c r="AA404" s="24" t="n">
        <v>100.054</v>
      </c>
      <c r="AB404" s="24" t="n">
        <v>104.61</v>
      </c>
      <c r="AC404" s="24" t="n">
        <v>401.279</v>
      </c>
      <c r="AD404" s="24" t="n">
        <v>90.97</v>
      </c>
      <c r="AE404" s="24" t="n">
        <v>100.048</v>
      </c>
      <c r="AF404" s="24" t="n">
        <v>102.616</v>
      </c>
      <c r="AG404" s="24" t="n">
        <v>112.201</v>
      </c>
      <c r="AH404" s="24" t="n">
        <v>405.836</v>
      </c>
      <c r="AI404" s="24" t="n">
        <v>102.782</v>
      </c>
      <c r="AJ404" s="24" t="n">
        <v>132.005</v>
      </c>
      <c r="AK404" s="24" t="n">
        <v>115.142</v>
      </c>
      <c r="AL404" s="24" t="n">
        <v>134.02</v>
      </c>
      <c r="AM404" s="24" t="n">
        <v>486.476</v>
      </c>
      <c r="AN404" s="24" t="n">
        <v>131.088</v>
      </c>
      <c r="AO404" s="24" t="n">
        <v>149.853</v>
      </c>
      <c r="AP404" s="24" t="n">
        <v>143.43</v>
      </c>
      <c r="AQ404" s="24" t="n">
        <v>144.405</v>
      </c>
      <c r="AR404" s="24" t="n">
        <v>568.776</v>
      </c>
      <c r="AS404" s="24" t="n">
        <v>165.693</v>
      </c>
      <c r="AT404" s="24" t="n">
        <v>164.941</v>
      </c>
      <c r="AU404" s="24" t="n">
        <v>165.524</v>
      </c>
      <c r="AV404" s="24" t="n">
        <v>196.011</v>
      </c>
      <c r="AW404" s="24" t="n">
        <v>692.168</v>
      </c>
      <c r="AY404" s="24" t="n">
        <v>177.724</v>
      </c>
      <c r="AZ404" s="24" t="n">
        <v>175.8</v>
      </c>
      <c r="BA404" s="24" t="n">
        <v>179.259</v>
      </c>
      <c r="BB404" s="24" t="n">
        <v>710.688</v>
      </c>
      <c r="BC404" s="24" t="n">
        <v>162.967</v>
      </c>
      <c r="BD404" s="24" t="n">
        <v>172.786</v>
      </c>
      <c r="BE404" s="24" t="n">
        <v>174.844</v>
      </c>
      <c r="BF404" s="24" t="n">
        <v>183.418</v>
      </c>
      <c r="BG404" s="24" t="n">
        <v>694.015</v>
      </c>
      <c r="BH404" s="24" t="n">
        <v>171.956</v>
      </c>
      <c r="BI404" s="24" t="n">
        <v>180.956</v>
      </c>
      <c r="BJ404" s="24" t="n">
        <v>179.862</v>
      </c>
      <c r="BK404" s="24" t="n">
        <v>187.24</v>
      </c>
      <c r="BL404" s="24" t="n">
        <v>720.013</v>
      </c>
      <c r="BM404" s="24" t="n">
        <v>177.647</v>
      </c>
      <c r="BN404" s="24" t="n">
        <v>209.847</v>
      </c>
      <c r="BO404" s="24" t="n">
        <v>217.51</v>
      </c>
      <c r="BP404" s="24" t="n">
        <v>216.894</v>
      </c>
      <c r="BQ404" s="24" t="n">
        <v>821.898</v>
      </c>
      <c r="BR404" s="24" t="n">
        <v>221.086</v>
      </c>
      <c r="BS404" s="24" t="n">
        <v>240.086</v>
      </c>
      <c r="BT404" s="24" t="n">
        <v>245.906</v>
      </c>
      <c r="BU404" s="24" t="n">
        <v>234.576</v>
      </c>
      <c r="BV404" s="24" t="n">
        <v>941.654</v>
      </c>
      <c r="BW404" s="24" t="n">
        <v>250.081</v>
      </c>
      <c r="BX404" s="24" t="n">
        <v>263.058</v>
      </c>
    </row>
    <row r="405" customFormat="false" ht="15" hidden="false" customHeight="false" outlineLevel="0" collapsed="false">
      <c r="B405" s="20" t="s">
        <v>616</v>
      </c>
      <c r="G405" s="24" t="n">
        <v>27</v>
      </c>
      <c r="H405" s="24" t="n">
        <v>32</v>
      </c>
      <c r="L405" s="24" t="n">
        <v>2.5</v>
      </c>
      <c r="M405" s="24" t="n">
        <v>4.1</v>
      </c>
      <c r="O405" s="24" t="n">
        <v>1.267</v>
      </c>
      <c r="P405" s="24" t="n">
        <v>1.544</v>
      </c>
      <c r="Q405" s="24" t="n">
        <v>3.845</v>
      </c>
      <c r="R405" s="24" t="n">
        <v>2.406</v>
      </c>
      <c r="S405" s="24" t="n">
        <v>8.612</v>
      </c>
      <c r="T405" s="24" t="n">
        <v>2.726</v>
      </c>
      <c r="U405" s="24" t="n">
        <v>1.942</v>
      </c>
      <c r="V405" s="24" t="n">
        <v>1.899</v>
      </c>
      <c r="W405" s="24" t="n">
        <v>2.155</v>
      </c>
      <c r="X405" s="24" t="n">
        <v>8.723</v>
      </c>
      <c r="Y405" s="24" t="n">
        <v>2.428</v>
      </c>
      <c r="Z405" s="24" t="n">
        <v>2.415</v>
      </c>
      <c r="AA405" s="24" t="n">
        <v>4.391</v>
      </c>
      <c r="AB405" s="24" t="n">
        <v>3.699</v>
      </c>
      <c r="AC405" s="24" t="n">
        <v>11.884</v>
      </c>
      <c r="AD405" s="24" t="n">
        <v>7.041</v>
      </c>
      <c r="AE405" s="24" t="n">
        <v>5.964</v>
      </c>
      <c r="AF405" s="24" t="n">
        <v>5.072</v>
      </c>
      <c r="AG405" s="24" t="n">
        <v>3.244</v>
      </c>
      <c r="AH405" s="24" t="n">
        <v>21.321</v>
      </c>
      <c r="AI405" s="24" t="n">
        <v>4.581</v>
      </c>
      <c r="AJ405" s="24" t="n">
        <v>3.422</v>
      </c>
      <c r="AK405" s="24" t="n">
        <v>5.807</v>
      </c>
    </row>
    <row r="406" customFormat="false" ht="15" hidden="false" customHeight="false" outlineLevel="0" collapsed="false">
      <c r="B406" s="15" t="s">
        <v>617</v>
      </c>
      <c r="G406" s="16" t="n">
        <v>784</v>
      </c>
      <c r="H406" s="16" t="n">
        <v>820</v>
      </c>
      <c r="L406" s="16" t="n">
        <v>178.2</v>
      </c>
      <c r="M406" s="16" t="n">
        <v>222.2</v>
      </c>
      <c r="O406" s="16" t="n">
        <v>180.131</v>
      </c>
      <c r="P406" s="16" t="n">
        <v>188.484</v>
      </c>
      <c r="Q406" s="16" t="n">
        <v>191.886</v>
      </c>
      <c r="R406" s="16" t="n">
        <v>205.01</v>
      </c>
      <c r="S406" s="16" t="n">
        <v>749.59</v>
      </c>
      <c r="T406" s="16" t="n">
        <v>181.789</v>
      </c>
      <c r="U406" s="16" t="n">
        <v>201.645</v>
      </c>
      <c r="V406" s="16" t="n">
        <v>197.92</v>
      </c>
      <c r="W406" s="16" t="n">
        <v>205.915</v>
      </c>
      <c r="X406" s="16" t="n">
        <v>787.27</v>
      </c>
      <c r="Y406" s="16" t="n">
        <v>174.929</v>
      </c>
      <c r="Z406" s="16" t="n">
        <v>202.977</v>
      </c>
      <c r="AA406" s="16" t="n">
        <v>202.034</v>
      </c>
      <c r="AB406" s="16" t="n">
        <v>213.792</v>
      </c>
      <c r="AC406" s="16" t="n">
        <v>793.73</v>
      </c>
      <c r="AD406" s="16" t="n">
        <v>183.531</v>
      </c>
      <c r="AE406" s="16" t="n">
        <v>211.624</v>
      </c>
      <c r="AF406" s="16" t="n">
        <v>228.22</v>
      </c>
      <c r="AG406" s="16" t="n">
        <v>253.899</v>
      </c>
      <c r="AH406" s="16" t="n">
        <v>876.856</v>
      </c>
      <c r="AI406" s="16" t="n">
        <v>205.315</v>
      </c>
      <c r="AJ406" s="16" t="n">
        <v>253.967</v>
      </c>
      <c r="AK406" s="16" t="n">
        <v>237.666</v>
      </c>
      <c r="AL406" s="16" t="n">
        <v>266.829</v>
      </c>
      <c r="AM406" s="16" t="n">
        <v>960.558</v>
      </c>
      <c r="AN406" s="16" t="n">
        <v>230.633</v>
      </c>
      <c r="AO406" s="16" t="n">
        <v>280.673</v>
      </c>
      <c r="AP406" s="16" t="n">
        <v>276.403</v>
      </c>
      <c r="AQ406" s="16" t="n">
        <v>291.34</v>
      </c>
      <c r="AR406" s="16" t="n">
        <v>1079.049</v>
      </c>
      <c r="AS406" s="16" t="n">
        <v>290.178</v>
      </c>
      <c r="AT406" s="16" t="n">
        <v>294.275</v>
      </c>
      <c r="AU406" s="16" t="n">
        <v>308.03</v>
      </c>
      <c r="AV406" s="16" t="n">
        <v>370.808</v>
      </c>
      <c r="AW406" s="16" t="n">
        <v>1263.29</v>
      </c>
    </row>
    <row r="407" customFormat="false" ht="15" hidden="false" customHeight="false" outlineLevel="0" collapsed="false">
      <c r="B407" s="20" t="s">
        <v>618</v>
      </c>
      <c r="G407" s="24" t="n">
        <v>248</v>
      </c>
      <c r="H407" s="24" t="n">
        <v>315</v>
      </c>
      <c r="L407" s="24" t="n">
        <v>102.4</v>
      </c>
      <c r="M407" s="24" t="n">
        <v>117</v>
      </c>
      <c r="O407" s="24" t="n">
        <v>110.222</v>
      </c>
      <c r="P407" s="24" t="n">
        <v>113.251</v>
      </c>
      <c r="Q407" s="24" t="n">
        <v>106.208</v>
      </c>
      <c r="R407" s="24" t="n">
        <v>105.874</v>
      </c>
      <c r="S407" s="24" t="n">
        <v>428.083</v>
      </c>
      <c r="T407" s="24" t="n">
        <v>101.02</v>
      </c>
      <c r="U407" s="24" t="n">
        <v>98.191</v>
      </c>
      <c r="V407" s="24" t="n">
        <v>93.618</v>
      </c>
      <c r="W407" s="24" t="n">
        <v>105.71</v>
      </c>
      <c r="X407" s="24" t="n">
        <v>398.538</v>
      </c>
      <c r="Y407" s="24" t="n">
        <v>100.841</v>
      </c>
      <c r="Z407" s="24" t="n">
        <v>104.062</v>
      </c>
      <c r="AA407" s="24" t="n">
        <v>94.241</v>
      </c>
      <c r="AB407" s="24" t="n">
        <v>98.206</v>
      </c>
      <c r="AC407" s="24" t="n">
        <v>397.258</v>
      </c>
      <c r="AD407" s="24" t="n">
        <v>98.824</v>
      </c>
      <c r="AE407" s="24" t="n">
        <v>101.631</v>
      </c>
      <c r="AF407" s="24" t="n">
        <v>105.284</v>
      </c>
      <c r="AG407" s="24" t="n">
        <v>106.23</v>
      </c>
      <c r="AH407" s="24" t="n">
        <v>412.369</v>
      </c>
      <c r="AI407" s="24" t="n">
        <v>99.404</v>
      </c>
      <c r="AJ407" s="24" t="n">
        <v>104.617</v>
      </c>
      <c r="AK407" s="24" t="n">
        <v>101.872</v>
      </c>
      <c r="AL407" s="24" t="n">
        <v>108.529</v>
      </c>
      <c r="AM407" s="24" t="n">
        <v>414.422</v>
      </c>
      <c r="AN407" s="24" t="n">
        <v>103.221</v>
      </c>
      <c r="AO407" s="24" t="n">
        <v>108</v>
      </c>
      <c r="AP407" s="24" t="n">
        <v>109.015</v>
      </c>
      <c r="AQ407" s="24" t="n">
        <v>112.801</v>
      </c>
      <c r="AR407" s="24" t="n">
        <v>433.038</v>
      </c>
      <c r="AS407" s="24" t="n">
        <v>100.68</v>
      </c>
      <c r="AT407" s="24" t="n">
        <v>71.084</v>
      </c>
      <c r="AU407" s="24" t="n">
        <v>70.943</v>
      </c>
      <c r="AV407" s="24" t="n">
        <v>82.81</v>
      </c>
      <c r="AW407" s="24" t="n">
        <v>325.518</v>
      </c>
      <c r="AX407" s="24" t="n">
        <v>57.269</v>
      </c>
      <c r="AY407" s="24" t="n">
        <v>71.555</v>
      </c>
      <c r="AZ407" s="24" t="n">
        <v>67.461</v>
      </c>
      <c r="BA407" s="24" t="n">
        <v>71.437</v>
      </c>
      <c r="BB407" s="24" t="n">
        <v>267.722</v>
      </c>
      <c r="BC407" s="24" t="n">
        <v>60.892</v>
      </c>
      <c r="BD407" s="24" t="n">
        <v>68.192</v>
      </c>
      <c r="BE407" s="24" t="n">
        <v>70.257</v>
      </c>
      <c r="BF407" s="24" t="n">
        <v>77.178</v>
      </c>
      <c r="BG407" s="24" t="n">
        <v>276.519</v>
      </c>
      <c r="BH407" s="24" t="n">
        <v>70.49</v>
      </c>
      <c r="BI407" s="24" t="n">
        <v>82.033</v>
      </c>
      <c r="BJ407" s="24" t="n">
        <v>79.703</v>
      </c>
      <c r="BK407" s="24" t="n">
        <v>92.723</v>
      </c>
      <c r="BL407" s="24" t="n">
        <v>324.949</v>
      </c>
      <c r="BM407" s="24" t="n">
        <v>89.775</v>
      </c>
      <c r="BN407" s="24" t="n">
        <v>93.316</v>
      </c>
      <c r="BO407" s="24" t="n">
        <v>96.677</v>
      </c>
      <c r="BP407" s="24" t="n">
        <v>98.318</v>
      </c>
      <c r="BQ407" s="24" t="n">
        <v>378.086</v>
      </c>
      <c r="BR407" s="24" t="n">
        <v>92.877</v>
      </c>
      <c r="BS407" s="24" t="n">
        <v>103.318</v>
      </c>
      <c r="BT407" s="24" t="n">
        <v>113.856</v>
      </c>
      <c r="BU407" s="24" t="n">
        <v>120.058</v>
      </c>
      <c r="BV407" s="24" t="n">
        <v>430.109</v>
      </c>
      <c r="BW407" s="24" t="n">
        <v>110.505</v>
      </c>
      <c r="BX407" s="24" t="n">
        <v>114.298</v>
      </c>
    </row>
    <row r="408" customFormat="false" ht="15" hidden="false" customHeight="false" outlineLevel="0" collapsed="false">
      <c r="B408" s="15" t="s">
        <v>619</v>
      </c>
      <c r="AX408" s="16" t="n">
        <v>401.936</v>
      </c>
      <c r="AY408" s="16" t="n">
        <v>397.477</v>
      </c>
      <c r="AZ408" s="16" t="n">
        <v>415.238</v>
      </c>
      <c r="BA408" s="16" t="n">
        <v>436.71</v>
      </c>
      <c r="BB408" s="16" t="n">
        <v>1651.361</v>
      </c>
      <c r="BC408" s="16" t="n">
        <v>360.971</v>
      </c>
      <c r="BD408" s="16" t="n">
        <v>379.916</v>
      </c>
      <c r="BE408" s="16" t="n">
        <v>414.422</v>
      </c>
      <c r="BF408" s="16" t="n">
        <v>514.707</v>
      </c>
      <c r="BG408" s="16" t="n">
        <v>1670.016</v>
      </c>
      <c r="BH408" s="16" t="n">
        <v>408.581</v>
      </c>
      <c r="BI408" s="16" t="n">
        <v>466.056</v>
      </c>
      <c r="BJ408" s="16" t="n">
        <v>490.773</v>
      </c>
      <c r="BK408" s="16" t="n">
        <v>539.181</v>
      </c>
      <c r="BL408" s="16" t="n">
        <v>1904.592</v>
      </c>
      <c r="BM408" s="16" t="n">
        <v>490.256</v>
      </c>
      <c r="BN408" s="16" t="n">
        <v>542.206</v>
      </c>
      <c r="BO408" s="16" t="n">
        <v>566.14</v>
      </c>
      <c r="BP408" s="16" t="n">
        <v>571.298</v>
      </c>
      <c r="BQ408" s="16" t="n">
        <v>2169.9</v>
      </c>
      <c r="BR408" s="16" t="n">
        <v>562.922</v>
      </c>
      <c r="BS408" s="16" t="n">
        <v>608.533</v>
      </c>
      <c r="BT408" s="16" t="n">
        <v>617.713</v>
      </c>
      <c r="BU408" s="16" t="n">
        <v>661.924</v>
      </c>
      <c r="BV408" s="16" t="n">
        <v>2451.092</v>
      </c>
      <c r="BW408" s="16" t="n">
        <v>641.432</v>
      </c>
      <c r="BX408" s="16" t="n">
        <v>643.498</v>
      </c>
    </row>
    <row r="409" customFormat="false" ht="15" hidden="false" customHeight="false" outlineLevel="0" collapsed="false">
      <c r="B409" s="20" t="s">
        <v>620</v>
      </c>
      <c r="AX409" s="24" t="n">
        <v>105.504</v>
      </c>
      <c r="AY409" s="24" t="n">
        <v>125.333</v>
      </c>
      <c r="AZ409" s="24" t="n">
        <v>112.736</v>
      </c>
      <c r="BA409" s="24" t="n">
        <v>129.916</v>
      </c>
      <c r="BB409" s="24" t="n">
        <v>473.489</v>
      </c>
      <c r="BC409" s="24" t="n">
        <v>104.788</v>
      </c>
      <c r="BD409" s="24" t="n">
        <v>125.355</v>
      </c>
      <c r="BE409" s="24" t="n">
        <v>110.559</v>
      </c>
      <c r="BF409" s="24" t="n">
        <v>131.598</v>
      </c>
      <c r="BG409" s="24" t="n">
        <v>472.3</v>
      </c>
      <c r="BH409" s="24" t="n">
        <v>120.339</v>
      </c>
      <c r="BI409" s="24" t="n">
        <v>131</v>
      </c>
      <c r="BJ409" s="24" t="n">
        <v>122.118</v>
      </c>
      <c r="BK409" s="24" t="n">
        <v>136.541</v>
      </c>
      <c r="BL409" s="24" t="n">
        <v>509.998</v>
      </c>
      <c r="BM409" s="24" t="n">
        <v>124.039</v>
      </c>
      <c r="BN409" s="24" t="n">
        <v>138.601</v>
      </c>
      <c r="BO409" s="24" t="n">
        <v>131.376</v>
      </c>
      <c r="BP409" s="24" t="n">
        <v>146.772</v>
      </c>
      <c r="BQ409" s="24" t="n">
        <v>540.788</v>
      </c>
      <c r="BR409" s="24" t="n">
        <v>142.934</v>
      </c>
      <c r="BS409" s="24" t="n">
        <v>163.473</v>
      </c>
      <c r="BT409" s="24" t="n">
        <v>149.9</v>
      </c>
      <c r="BU409" s="24" t="n">
        <v>178.833</v>
      </c>
      <c r="BV409" s="24" t="n">
        <v>635.14</v>
      </c>
      <c r="BW409" s="24" t="n">
        <v>167.057</v>
      </c>
      <c r="BX409" s="24" t="n">
        <v>173.688</v>
      </c>
    </row>
    <row r="410" customFormat="false" ht="15" hidden="false" customHeight="false" outlineLevel="0" collapsed="false">
      <c r="B410" s="20" t="s">
        <v>621</v>
      </c>
      <c r="L410" s="24" t="n">
        <v>99</v>
      </c>
      <c r="M410" s="24" t="n">
        <v>116.9</v>
      </c>
      <c r="O410" s="24" t="n">
        <v>112.979</v>
      </c>
      <c r="P410" s="24" t="n">
        <v>108.606</v>
      </c>
      <c r="Q410" s="24" t="n">
        <v>106.099</v>
      </c>
      <c r="R410" s="24" t="n">
        <v>98.185</v>
      </c>
      <c r="S410" s="24" t="n">
        <v>405.633</v>
      </c>
      <c r="T410" s="24" t="n">
        <v>150.155</v>
      </c>
      <c r="U410" s="24" t="n">
        <v>151.116</v>
      </c>
      <c r="V410" s="24" t="n">
        <v>146.626</v>
      </c>
      <c r="W410" s="24" t="n">
        <v>135.583</v>
      </c>
      <c r="X410" s="24" t="n">
        <v>583.479</v>
      </c>
      <c r="Y410" s="24" t="n">
        <v>128.081</v>
      </c>
      <c r="Z410" s="24" t="n">
        <v>129.959</v>
      </c>
      <c r="AA410" s="24" t="n">
        <v>121.217</v>
      </c>
      <c r="AB410" s="24" t="n">
        <v>130.223</v>
      </c>
      <c r="AC410" s="24" t="n">
        <v>509.567</v>
      </c>
      <c r="AD410" s="24" t="n">
        <v>135.685</v>
      </c>
      <c r="AE410" s="24" t="n">
        <v>139.625</v>
      </c>
      <c r="AF410" s="24" t="n">
        <v>140.524</v>
      </c>
      <c r="AG410" s="24" t="n">
        <v>141.969</v>
      </c>
      <c r="AH410" s="24" t="n">
        <v>557.82</v>
      </c>
      <c r="AI410" s="24" t="n">
        <v>143.791</v>
      </c>
      <c r="AJ410" s="24" t="n">
        <v>159.639</v>
      </c>
      <c r="AK410" s="24" t="n">
        <v>150.098</v>
      </c>
      <c r="AL410" s="24" t="n">
        <v>148.947</v>
      </c>
      <c r="AM410" s="24" t="n">
        <v>605.062</v>
      </c>
      <c r="AN410" s="24" t="n">
        <v>147.98</v>
      </c>
      <c r="AO410" s="24" t="n">
        <v>157.152</v>
      </c>
      <c r="AP410" s="24" t="n">
        <v>140.919</v>
      </c>
      <c r="AQ410" s="24" t="n">
        <v>137.651</v>
      </c>
      <c r="AR410" s="24" t="n">
        <v>583.701</v>
      </c>
      <c r="AS410" s="24" t="n">
        <v>126.025</v>
      </c>
      <c r="AT410" s="24" t="n">
        <v>108.486</v>
      </c>
      <c r="AU410" s="24" t="n">
        <v>112.132</v>
      </c>
      <c r="AV410" s="24" t="n">
        <v>123.902</v>
      </c>
      <c r="AW410" s="24" t="n">
        <v>470.545</v>
      </c>
      <c r="AX410" s="24" t="n">
        <v>89.619</v>
      </c>
      <c r="AY410" s="24" t="n">
        <v>98.685</v>
      </c>
      <c r="AZ410" s="24" t="n">
        <v>92.645</v>
      </c>
      <c r="BA410" s="24" t="n">
        <v>100.132</v>
      </c>
      <c r="BB410" s="24" t="n">
        <v>381.081</v>
      </c>
      <c r="BC410" s="24" t="n">
        <v>93.702</v>
      </c>
      <c r="BD410" s="24" t="n">
        <v>104.086</v>
      </c>
      <c r="BE410" s="24" t="n">
        <v>105.561</v>
      </c>
      <c r="BF410" s="24" t="n">
        <v>111.36</v>
      </c>
      <c r="BG410" s="24" t="n">
        <v>414.709</v>
      </c>
      <c r="BH410" s="24" t="n">
        <v>101.94</v>
      </c>
      <c r="BI410" s="24" t="n">
        <v>107.34</v>
      </c>
      <c r="BJ410" s="24" t="n">
        <v>111.435</v>
      </c>
      <c r="BK410" s="24" t="n">
        <v>110.069</v>
      </c>
      <c r="BL410" s="24" t="n">
        <v>430.783</v>
      </c>
      <c r="BM410" s="24" t="n">
        <v>98.872</v>
      </c>
      <c r="BN410" s="24" t="n">
        <v>103.984</v>
      </c>
      <c r="BO410" s="24" t="n">
        <v>101.402</v>
      </c>
      <c r="BP410" s="24" t="n">
        <v>106.243</v>
      </c>
      <c r="BQ410" s="24" t="n">
        <v>410.501</v>
      </c>
      <c r="BR410" s="24" t="n">
        <v>99.789</v>
      </c>
      <c r="BS410" s="24" t="n">
        <v>104.57</v>
      </c>
      <c r="BT410" s="24" t="n">
        <v>101.557</v>
      </c>
      <c r="BU410" s="24" t="n">
        <v>106.224</v>
      </c>
      <c r="BV410" s="24" t="n">
        <v>412.14</v>
      </c>
      <c r="BW410" s="24" t="n">
        <v>105.198</v>
      </c>
      <c r="BX410" s="24" t="n">
        <v>106.822</v>
      </c>
    </row>
    <row r="411" customFormat="false" ht="15" hidden="false" customHeight="false" outlineLevel="0" collapsed="false">
      <c r="B411" s="15" t="s">
        <v>622</v>
      </c>
      <c r="G411" s="16" t="n">
        <v>1109</v>
      </c>
      <c r="H411" s="16" t="n">
        <v>1234</v>
      </c>
      <c r="L411" s="16" t="n">
        <v>422.5</v>
      </c>
      <c r="M411" s="16" t="n">
        <v>477.5</v>
      </c>
      <c r="O411" s="16" t="n">
        <v>461.281</v>
      </c>
      <c r="P411" s="16" t="n">
        <v>463.968</v>
      </c>
      <c r="Q411" s="16" t="n">
        <v>367.608</v>
      </c>
      <c r="R411" s="16" t="n">
        <v>367.576</v>
      </c>
      <c r="S411" s="16" t="n">
        <v>1493.536</v>
      </c>
      <c r="T411" s="16" t="n">
        <v>364.41</v>
      </c>
      <c r="U411" s="16" t="n">
        <v>343.549</v>
      </c>
      <c r="V411" s="16" t="n">
        <v>327.615</v>
      </c>
      <c r="W411" s="16" t="n">
        <v>382.84</v>
      </c>
      <c r="X411" s="16" t="n">
        <v>1418.413</v>
      </c>
      <c r="Y411" s="16" t="n">
        <v>328.578</v>
      </c>
      <c r="Z411" s="16" t="n">
        <v>329.789</v>
      </c>
      <c r="AA411" s="16" t="n">
        <v>305.058</v>
      </c>
      <c r="AB411" s="16" t="n">
        <v>351.774</v>
      </c>
      <c r="AC411" s="16" t="n">
        <v>1315.201</v>
      </c>
      <c r="AD411" s="16" t="n">
        <v>340.06</v>
      </c>
      <c r="AE411" s="16" t="n">
        <v>356.029</v>
      </c>
      <c r="AF411" s="16" t="n">
        <v>339.681</v>
      </c>
      <c r="AG411" s="16" t="n">
        <v>357.982</v>
      </c>
      <c r="AH411" s="16" t="n">
        <v>1394.17</v>
      </c>
      <c r="AI411" s="16" t="n">
        <v>342.207</v>
      </c>
      <c r="AJ411" s="16" t="n">
        <v>366.331</v>
      </c>
      <c r="AK411" s="16" t="n">
        <v>357.727</v>
      </c>
      <c r="AL411" s="16" t="n">
        <v>381.793</v>
      </c>
      <c r="AM411" s="16" t="n">
        <v>1451.277</v>
      </c>
      <c r="AN411" s="16" t="n">
        <v>347.681</v>
      </c>
      <c r="AO411" s="16" t="n">
        <v>358.323</v>
      </c>
      <c r="AP411" s="16" t="n">
        <v>338.477</v>
      </c>
      <c r="AQ411" s="16" t="n">
        <v>364.431</v>
      </c>
      <c r="AR411" s="16" t="n">
        <v>1408.912</v>
      </c>
      <c r="AS411" s="16" t="n">
        <v>311.053</v>
      </c>
      <c r="AT411" s="16" t="n">
        <v>255.772</v>
      </c>
      <c r="AU411" s="16" t="n">
        <v>263.584</v>
      </c>
      <c r="AV411" s="16" t="n">
        <v>297.636</v>
      </c>
      <c r="AW411" s="16" t="n">
        <v>1128.046</v>
      </c>
      <c r="AX411" s="16" t="n">
        <v>195.123</v>
      </c>
      <c r="AY411" s="16" t="n">
        <v>224.018</v>
      </c>
      <c r="AZ411" s="16" t="n">
        <v>205.381</v>
      </c>
      <c r="BA411" s="16" t="n">
        <v>230.048</v>
      </c>
      <c r="BB411" s="16" t="n">
        <v>854.57</v>
      </c>
      <c r="BC411" s="16" t="n">
        <v>198.49</v>
      </c>
      <c r="BD411" s="16" t="n">
        <v>229.441</v>
      </c>
      <c r="BE411" s="16" t="n">
        <v>216.12</v>
      </c>
      <c r="BF411" s="16" t="n">
        <v>242.958</v>
      </c>
      <c r="BG411" s="16" t="n">
        <v>887.009</v>
      </c>
      <c r="BH411" s="16" t="n">
        <v>222.279</v>
      </c>
      <c r="BI411" s="16" t="n">
        <v>238.34</v>
      </c>
      <c r="BJ411" s="16" t="n">
        <v>233.553</v>
      </c>
      <c r="BK411" s="16" t="n">
        <v>246.61</v>
      </c>
      <c r="BL411" s="16" t="n">
        <v>940.781</v>
      </c>
      <c r="BM411" s="16" t="n">
        <v>222.911</v>
      </c>
      <c r="BN411" s="16" t="n">
        <v>242.585</v>
      </c>
      <c r="BO411" s="16" t="n">
        <v>232.778</v>
      </c>
      <c r="BP411" s="16" t="n">
        <v>253.015</v>
      </c>
      <c r="BQ411" s="16" t="n">
        <v>951.289</v>
      </c>
      <c r="BR411" s="16" t="n">
        <v>242.723</v>
      </c>
      <c r="BS411" s="16" t="n">
        <v>268.043</v>
      </c>
      <c r="BT411" s="16" t="n">
        <v>251.457</v>
      </c>
      <c r="BU411" s="16" t="n">
        <v>285.057</v>
      </c>
      <c r="BV411" s="16" t="n">
        <v>1047.28</v>
      </c>
      <c r="BW411" s="16" t="n">
        <v>272.255</v>
      </c>
      <c r="BX411" s="16" t="n">
        <v>280.51</v>
      </c>
    </row>
    <row r="412" customFormat="false" ht="15" hidden="false" customHeight="false" outlineLevel="0" collapsed="false">
      <c r="B412" s="15" t="s">
        <v>623</v>
      </c>
      <c r="G412" s="16" t="n">
        <v>1893</v>
      </c>
      <c r="P412" s="16" t="n">
        <v>652.452</v>
      </c>
      <c r="Q412" s="16" t="n">
        <v>559.494</v>
      </c>
      <c r="R412" s="16" t="n">
        <v>572.586</v>
      </c>
      <c r="S412" s="16" t="n">
        <v>2243.126</v>
      </c>
      <c r="T412" s="16" t="n">
        <v>546.199</v>
      </c>
      <c r="U412" s="16" t="n">
        <v>545.194</v>
      </c>
      <c r="V412" s="16" t="n">
        <v>525.535</v>
      </c>
      <c r="W412" s="16" t="n">
        <v>588.755</v>
      </c>
      <c r="X412" s="16" t="n">
        <v>2205.683</v>
      </c>
      <c r="Y412" s="16" t="n">
        <v>503.507</v>
      </c>
      <c r="Z412" s="16" t="n">
        <v>532.766</v>
      </c>
      <c r="AA412" s="16" t="n">
        <v>507.092</v>
      </c>
      <c r="AB412" s="16" t="n">
        <v>565.566</v>
      </c>
      <c r="AC412" s="16" t="n">
        <v>2108.931</v>
      </c>
      <c r="AD412" s="16" t="n">
        <v>523.591</v>
      </c>
      <c r="AE412" s="16" t="n">
        <v>567.653</v>
      </c>
      <c r="AF412" s="16" t="n">
        <v>567.901</v>
      </c>
      <c r="AG412" s="16" t="n">
        <v>611.881</v>
      </c>
      <c r="AH412" s="16" t="n">
        <v>2271.026</v>
      </c>
      <c r="AI412" s="16" t="n">
        <v>547.522</v>
      </c>
      <c r="AJ412" s="16" t="n">
        <v>620.298</v>
      </c>
      <c r="AK412" s="16" t="n">
        <v>595.393</v>
      </c>
      <c r="AL412" s="16" t="n">
        <v>648.622</v>
      </c>
      <c r="AM412" s="16" t="n">
        <v>2411.835</v>
      </c>
      <c r="AN412" s="16" t="n">
        <v>578.314</v>
      </c>
      <c r="AO412" s="16" t="n">
        <v>638.996</v>
      </c>
      <c r="AP412" s="16" t="n">
        <v>614.88</v>
      </c>
      <c r="AQ412" s="16" t="n">
        <v>655.771</v>
      </c>
      <c r="AR412" s="16" t="n">
        <v>2487.961</v>
      </c>
      <c r="AS412" s="16" t="n">
        <v>601.231</v>
      </c>
      <c r="AT412" s="16" t="n">
        <v>550.047</v>
      </c>
      <c r="AU412" s="16" t="n">
        <v>571.614</v>
      </c>
      <c r="AV412" s="16" t="n">
        <v>668.444</v>
      </c>
      <c r="AW412" s="16" t="n">
        <v>2391.336</v>
      </c>
      <c r="AX412" s="16" t="n">
        <v>597.059</v>
      </c>
      <c r="AY412" s="16" t="n">
        <v>621.495</v>
      </c>
      <c r="AZ412" s="16" t="n">
        <v>620.619</v>
      </c>
      <c r="BA412" s="16" t="n">
        <v>666.758</v>
      </c>
      <c r="BB412" s="16" t="n">
        <v>2505.931</v>
      </c>
      <c r="BC412" s="16" t="n">
        <v>559.461</v>
      </c>
      <c r="BD412" s="16" t="n">
        <v>609.357</v>
      </c>
      <c r="BE412" s="16" t="n">
        <v>630.542</v>
      </c>
      <c r="BF412" s="16" t="n">
        <v>757.665</v>
      </c>
      <c r="BG412" s="16" t="n">
        <v>2557.025</v>
      </c>
      <c r="BH412" s="16" t="n">
        <v>630.86</v>
      </c>
      <c r="BI412" s="16" t="n">
        <v>704.396</v>
      </c>
      <c r="BJ412" s="16" t="n">
        <v>724.326</v>
      </c>
      <c r="BK412" s="16" t="n">
        <v>785.791</v>
      </c>
      <c r="BL412" s="16" t="n">
        <v>2845.373</v>
      </c>
      <c r="BM412" s="16" t="n">
        <v>713.167</v>
      </c>
      <c r="BN412" s="16" t="n">
        <v>784.791</v>
      </c>
      <c r="BO412" s="16" t="n">
        <v>798.918</v>
      </c>
      <c r="BP412" s="16" t="n">
        <v>824.313</v>
      </c>
      <c r="BQ412" s="16" t="n">
        <v>3121.189</v>
      </c>
      <c r="BR412" s="16" t="n">
        <v>805.645</v>
      </c>
      <c r="BS412" s="16" t="n">
        <v>876.576</v>
      </c>
      <c r="BT412" s="16" t="n">
        <v>869.17</v>
      </c>
      <c r="BU412" s="16" t="n">
        <v>946.981</v>
      </c>
      <c r="BV412" s="16" t="n">
        <v>3498.372</v>
      </c>
      <c r="BW412" s="16" t="n">
        <v>913.687</v>
      </c>
      <c r="BX412" s="16" t="n">
        <v>924.008</v>
      </c>
    </row>
    <row r="413" customFormat="false" ht="15" hidden="false" customHeight="false" outlineLevel="0" collapsed="false">
      <c r="B413" s="33" t="s">
        <v>624</v>
      </c>
      <c r="G413" s="24" t="n">
        <v>357</v>
      </c>
      <c r="H413" s="24" t="n">
        <v>383</v>
      </c>
      <c r="L413" s="24" t="n">
        <v>109</v>
      </c>
      <c r="M413" s="24" t="n">
        <v>119.6</v>
      </c>
      <c r="O413" s="24" t="n">
        <v>108.47</v>
      </c>
      <c r="P413" s="24" t="n">
        <v>109.061</v>
      </c>
      <c r="Q413" s="24" t="n">
        <v>99.022</v>
      </c>
      <c r="R413" s="24" t="n">
        <v>111.094</v>
      </c>
      <c r="S413" s="24" t="n">
        <v>427.46</v>
      </c>
      <c r="T413" s="24" t="n">
        <v>113.235</v>
      </c>
      <c r="U413" s="24" t="n">
        <v>94.242</v>
      </c>
      <c r="V413" s="24" t="n">
        <v>87.371</v>
      </c>
      <c r="W413" s="24" t="n">
        <v>141.547</v>
      </c>
      <c r="X413" s="24" t="n">
        <v>436.396</v>
      </c>
      <c r="Y413" s="24" t="n">
        <v>99.656</v>
      </c>
      <c r="Z413" s="24" t="n">
        <v>95.768</v>
      </c>
      <c r="AA413" s="24" t="n">
        <v>89.6</v>
      </c>
      <c r="AB413" s="24" t="n">
        <v>123.345</v>
      </c>
      <c r="AC413" s="24" t="n">
        <v>408.376</v>
      </c>
      <c r="AD413" s="24" t="n">
        <v>105.551</v>
      </c>
      <c r="AE413" s="24" t="n">
        <v>114.773</v>
      </c>
      <c r="AF413" s="24" t="n">
        <v>93.873</v>
      </c>
      <c r="AG413" s="24" t="n">
        <v>109.783</v>
      </c>
      <c r="AH413" s="24" t="n">
        <v>423.981</v>
      </c>
      <c r="AI413" s="24" t="n">
        <v>99.012</v>
      </c>
      <c r="AJ413" s="24" t="n">
        <v>102.075</v>
      </c>
      <c r="AK413" s="24" t="n">
        <v>105.757</v>
      </c>
      <c r="AL413" s="24" t="n">
        <v>124.317</v>
      </c>
      <c r="AM413" s="24" t="n">
        <v>431.793</v>
      </c>
      <c r="AN413" s="24" t="n">
        <v>96.48</v>
      </c>
      <c r="AO413" s="24" t="n">
        <v>93.171</v>
      </c>
      <c r="AP413" s="24" t="n">
        <v>88.543</v>
      </c>
      <c r="AQ413" s="24" t="n">
        <v>113.979</v>
      </c>
      <c r="AR413" s="24" t="n">
        <v>392.173</v>
      </c>
      <c r="AS413" s="24" t="n">
        <v>84.348</v>
      </c>
      <c r="AT413" s="24" t="n">
        <v>76.202</v>
      </c>
      <c r="AU413" s="24" t="n">
        <v>80.509</v>
      </c>
      <c r="AV413" s="24" t="n">
        <v>90.924</v>
      </c>
      <c r="AW413" s="24" t="n">
        <v>331.983</v>
      </c>
    </row>
    <row r="414" customFormat="false" ht="15" hidden="false" customHeight="false" outlineLevel="0" collapsed="false">
      <c r="B414" s="33" t="s">
        <v>625</v>
      </c>
      <c r="G414" s="24" t="n">
        <v>259</v>
      </c>
      <c r="H414" s="24" t="n">
        <v>249</v>
      </c>
      <c r="L414" s="24" t="n">
        <v>112.1</v>
      </c>
      <c r="M414" s="24" t="n">
        <v>123.9</v>
      </c>
      <c r="O414" s="24" t="n">
        <v>129.61</v>
      </c>
      <c r="P414" s="24" t="n">
        <v>133.05</v>
      </c>
      <c r="Q414" s="24" t="n">
        <v>56.279</v>
      </c>
      <c r="R414" s="24" t="n">
        <v>52.423</v>
      </c>
      <c r="S414" s="24" t="n">
        <v>232.36</v>
      </c>
    </row>
    <row r="415" customFormat="false" ht="15" hidden="false" customHeight="false" outlineLevel="0" collapsed="false">
      <c r="B415" s="33" t="s">
        <v>626</v>
      </c>
      <c r="G415" s="24" t="n">
        <v>244</v>
      </c>
      <c r="H415" s="24" t="n">
        <v>286</v>
      </c>
    </row>
    <row r="416" customFormat="false" ht="15" hidden="false" customHeight="false" outlineLevel="0" collapsed="false">
      <c r="B416" s="33" t="s">
        <v>627</v>
      </c>
      <c r="G416" s="24" t="n">
        <v>269</v>
      </c>
      <c r="AX416" s="24" t="n">
        <v>111.016</v>
      </c>
    </row>
    <row r="417" customFormat="false" ht="15" hidden="false" customHeight="false" outlineLevel="0" collapsed="false">
      <c r="B417" s="33" t="s">
        <v>628</v>
      </c>
      <c r="G417" s="24" t="n">
        <v>124</v>
      </c>
      <c r="AX417" s="24" t="n">
        <v>55.746</v>
      </c>
    </row>
    <row r="418" customFormat="false" ht="15" hidden="false" customHeight="false" outlineLevel="0" collapsed="false">
      <c r="B418" s="33" t="s">
        <v>629</v>
      </c>
      <c r="G418" s="24" t="n">
        <v>365</v>
      </c>
      <c r="AX418" s="24" t="n">
        <v>177.905</v>
      </c>
    </row>
    <row r="419" customFormat="false" ht="15" hidden="false" customHeight="false" outlineLevel="0" collapsed="false">
      <c r="B419" s="13" t="s">
        <v>630</v>
      </c>
    </row>
    <row r="420" customFormat="false" ht="15" hidden="false" customHeight="false" outlineLevel="0" collapsed="false">
      <c r="B420" s="65" t="s">
        <v>631</v>
      </c>
      <c r="C420" s="24" t="n">
        <v>548.121</v>
      </c>
      <c r="D420" s="24" t="n">
        <v>746.253</v>
      </c>
      <c r="E420" s="24" t="n">
        <v>928.052</v>
      </c>
      <c r="F420" s="24" t="n">
        <v>985.172</v>
      </c>
      <c r="G420" s="24" t="n">
        <v>1024.828</v>
      </c>
      <c r="H420" s="24" t="n">
        <v>1060.774</v>
      </c>
      <c r="I420" s="24" t="n">
        <v>1095.349</v>
      </c>
      <c r="J420" s="24" t="n">
        <v>310.615</v>
      </c>
      <c r="K420" s="24" t="n">
        <v>321.045</v>
      </c>
      <c r="L420" s="24" t="n">
        <v>311.487</v>
      </c>
      <c r="M420" s="24" t="n">
        <v>356.532</v>
      </c>
      <c r="N420" s="24" t="n">
        <v>1299.679</v>
      </c>
    </row>
    <row r="421" customFormat="false" ht="15" hidden="false" customHeight="false" outlineLevel="0" collapsed="false">
      <c r="B421" s="65" t="s">
        <v>632</v>
      </c>
      <c r="C421" s="24" t="n">
        <v>509.462</v>
      </c>
      <c r="D421" s="24" t="n">
        <v>591.032</v>
      </c>
      <c r="E421" s="24" t="n">
        <v>638.068</v>
      </c>
      <c r="F421" s="24" t="n">
        <v>621.038</v>
      </c>
      <c r="G421" s="24" t="n">
        <v>647.031</v>
      </c>
      <c r="H421" s="24" t="n">
        <v>710.037</v>
      </c>
    </row>
    <row r="422" customFormat="false" ht="15" hidden="false" customHeight="false" outlineLevel="0" collapsed="false">
      <c r="B422" s="65" t="s">
        <v>633</v>
      </c>
      <c r="C422" s="24" t="n">
        <v>224.572</v>
      </c>
      <c r="D422" s="24" t="n">
        <v>254.839</v>
      </c>
      <c r="E422" s="24" t="n">
        <v>264.02</v>
      </c>
      <c r="F422" s="24" t="n">
        <v>203.48</v>
      </c>
      <c r="G422" s="24" t="n">
        <v>221.275</v>
      </c>
      <c r="H422" s="24" t="n">
        <v>283.319</v>
      </c>
    </row>
    <row r="423" customFormat="false" ht="15" hidden="false" customHeight="false" outlineLevel="0" collapsed="false">
      <c r="B423" s="65" t="s">
        <v>634</v>
      </c>
      <c r="I423" s="24" t="n">
        <v>726.678</v>
      </c>
      <c r="J423" s="24" t="n">
        <v>204.572</v>
      </c>
      <c r="K423" s="24" t="n">
        <v>216.865</v>
      </c>
      <c r="L423" s="24" t="n">
        <v>212.544</v>
      </c>
      <c r="M423" s="24" t="n">
        <v>264.187</v>
      </c>
      <c r="N423" s="24" t="n">
        <v>898.168</v>
      </c>
    </row>
    <row r="424" customFormat="false" ht="15" hidden="false" customHeight="false" outlineLevel="0" collapsed="false">
      <c r="B424" s="65" t="s">
        <v>635</v>
      </c>
      <c r="I424" s="24" t="n">
        <v>275.689</v>
      </c>
      <c r="J424" s="24" t="n">
        <v>77.5</v>
      </c>
      <c r="K424" s="24" t="n">
        <v>79.777</v>
      </c>
      <c r="L424" s="24" t="n">
        <v>76.636</v>
      </c>
      <c r="M424" s="24" t="n">
        <v>79.011</v>
      </c>
      <c r="N424" s="24" t="n">
        <v>312.924</v>
      </c>
    </row>
    <row r="425" customFormat="false" ht="15" hidden="false" customHeight="false" outlineLevel="0" collapsed="false">
      <c r="B425" s="65" t="s">
        <v>636</v>
      </c>
      <c r="O425" s="24" t="n">
        <v>266.428</v>
      </c>
      <c r="P425" s="24" t="n">
        <v>275.674</v>
      </c>
      <c r="Q425" s="24" t="n">
        <v>273.107</v>
      </c>
      <c r="R425" s="24" t="n">
        <v>265.462</v>
      </c>
      <c r="S425" s="24" t="n">
        <v>1074.772</v>
      </c>
      <c r="T425" s="24" t="n">
        <v>297.887</v>
      </c>
      <c r="U425" s="24" t="n">
        <v>304.465</v>
      </c>
      <c r="V425" s="24" t="n">
        <v>292.557</v>
      </c>
      <c r="W425" s="24" t="n">
        <v>289.882</v>
      </c>
      <c r="X425" s="24" t="n">
        <v>1184.791</v>
      </c>
      <c r="Y425" s="24" t="n">
        <v>274.727</v>
      </c>
      <c r="Z425" s="24" t="n">
        <v>290.046</v>
      </c>
      <c r="AA425" s="24" t="n">
        <v>275.649</v>
      </c>
      <c r="AB425" s="24" t="n">
        <v>278.346</v>
      </c>
      <c r="AC425" s="24" t="n">
        <v>1118.768</v>
      </c>
      <c r="AD425" s="24" t="n">
        <v>278.822</v>
      </c>
      <c r="AE425" s="24" t="n">
        <v>291.599</v>
      </c>
      <c r="AF425" s="24" t="n">
        <v>293.939</v>
      </c>
      <c r="AG425" s="24" t="n">
        <v>298.329</v>
      </c>
      <c r="AH425" s="24" t="n">
        <v>1162.689</v>
      </c>
      <c r="AI425" s="24" t="n">
        <v>296.641</v>
      </c>
      <c r="AJ425" s="24" t="n">
        <v>312.463</v>
      </c>
      <c r="AK425" s="24" t="n">
        <v>295.239</v>
      </c>
      <c r="AL425" s="24" t="n">
        <v>304.835</v>
      </c>
      <c r="AM425" s="24" t="n">
        <v>1209.178</v>
      </c>
      <c r="AN425" s="24" t="n">
        <v>293.507</v>
      </c>
      <c r="AO425" s="24" t="n">
        <v>318.267</v>
      </c>
      <c r="AP425" s="24" t="n">
        <v>304.888</v>
      </c>
      <c r="AQ425" s="24" t="n">
        <v>323.219</v>
      </c>
      <c r="AR425" s="24" t="n">
        <v>1239.881</v>
      </c>
      <c r="AS425" s="24" t="n">
        <v>264.368</v>
      </c>
      <c r="AT425" s="24" t="n">
        <v>213.648</v>
      </c>
      <c r="AU425" s="24" t="n">
        <v>222.527</v>
      </c>
      <c r="AV425" s="24" t="n">
        <v>249.219</v>
      </c>
      <c r="AW425" s="24" t="n">
        <v>949.762</v>
      </c>
    </row>
    <row r="426" customFormat="false" ht="15" hidden="false" customHeight="false" outlineLevel="0" collapsed="false">
      <c r="B426" s="65" t="s">
        <v>637</v>
      </c>
      <c r="O426" s="24" t="n">
        <v>201.738</v>
      </c>
      <c r="P426" s="24" t="n">
        <v>192.309</v>
      </c>
      <c r="Q426" s="24" t="n">
        <v>182.79</v>
      </c>
      <c r="R426" s="24" t="n">
        <v>199.658</v>
      </c>
      <c r="S426" s="24" t="n">
        <v>737.566</v>
      </c>
      <c r="T426" s="24" t="n">
        <v>113.5</v>
      </c>
      <c r="U426" s="24" t="n">
        <v>119.651</v>
      </c>
      <c r="V426" s="24" t="n">
        <v>117.444</v>
      </c>
      <c r="W426" s="24" t="n">
        <v>126.818</v>
      </c>
      <c r="X426" s="24" t="n">
        <v>477.413</v>
      </c>
      <c r="Y426" s="24" t="n">
        <v>105.391</v>
      </c>
      <c r="Z426" s="24" t="n">
        <v>113.961</v>
      </c>
      <c r="AA426" s="24" t="n">
        <v>113.949</v>
      </c>
      <c r="AB426" s="24" t="n">
        <v>133.353</v>
      </c>
      <c r="AC426" s="24" t="n">
        <v>466.654</v>
      </c>
      <c r="AD426" s="24" t="n">
        <v>114.662</v>
      </c>
      <c r="AE426" s="24" t="n">
        <v>126.361</v>
      </c>
      <c r="AF426" s="24" t="n">
        <v>141.945</v>
      </c>
      <c r="AG426" s="24" t="n">
        <v>172.511</v>
      </c>
      <c r="AH426" s="24" t="n">
        <v>555.479</v>
      </c>
      <c r="AI426" s="24" t="n">
        <v>118.901</v>
      </c>
      <c r="AJ426" s="24" t="n">
        <v>146.177</v>
      </c>
      <c r="AK426" s="24" t="n">
        <v>138.372</v>
      </c>
      <c r="AL426" s="24" t="n">
        <v>150.924</v>
      </c>
      <c r="AM426" s="24" t="n">
        <v>554.374</v>
      </c>
      <c r="AN426" s="24" t="n">
        <v>121.022</v>
      </c>
      <c r="AO426" s="24" t="n">
        <v>144.962</v>
      </c>
      <c r="AP426" s="24" t="n">
        <v>149.854</v>
      </c>
      <c r="AQ426" s="24" t="n">
        <v>163.491</v>
      </c>
      <c r="AR426" s="24" t="n">
        <v>579.329</v>
      </c>
      <c r="AS426" s="24" t="n">
        <v>166.111</v>
      </c>
      <c r="AT426" s="24" t="n">
        <v>169.955</v>
      </c>
      <c r="AU426" s="24" t="n">
        <v>180.321</v>
      </c>
      <c r="AV426" s="24" t="n">
        <v>217.469</v>
      </c>
      <c r="AW426" s="24" t="n">
        <v>733.856</v>
      </c>
    </row>
    <row r="427" customFormat="false" ht="15" hidden="false" customHeight="false" outlineLevel="0" collapsed="false">
      <c r="B427" s="65" t="s">
        <v>638</v>
      </c>
      <c r="O427" s="24" t="n">
        <v>173.246</v>
      </c>
      <c r="P427" s="24" t="n">
        <v>184.469</v>
      </c>
      <c r="Q427" s="24" t="n">
        <v>103.597</v>
      </c>
      <c r="R427" s="24" t="n">
        <v>107.466</v>
      </c>
      <c r="S427" s="24" t="n">
        <v>430.788</v>
      </c>
    </row>
    <row r="428" customFormat="false" ht="15" hidden="false" customHeight="false" outlineLevel="0" collapsed="false">
      <c r="B428" s="65" t="s">
        <v>639</v>
      </c>
      <c r="T428" s="24" t="n">
        <v>134.812</v>
      </c>
      <c r="U428" s="24" t="n">
        <v>121.078</v>
      </c>
      <c r="V428" s="24" t="n">
        <v>115.534</v>
      </c>
      <c r="W428" s="24" t="n">
        <v>172.055</v>
      </c>
      <c r="X428" s="24" t="n">
        <v>543.479</v>
      </c>
      <c r="Y428" s="24" t="n">
        <v>123.389</v>
      </c>
      <c r="Z428" s="24" t="n">
        <v>128.759</v>
      </c>
      <c r="AA428" s="24" t="n">
        <v>117.494</v>
      </c>
      <c r="AB428" s="24" t="n">
        <v>153.867</v>
      </c>
      <c r="AC428" s="24" t="n">
        <v>523.509</v>
      </c>
      <c r="AD428" s="24" t="n">
        <v>130.107</v>
      </c>
      <c r="AE428" s="24" t="n">
        <v>149.693</v>
      </c>
      <c r="AF428" s="24" t="n">
        <v>132.017</v>
      </c>
      <c r="AG428" s="24" t="n">
        <v>141.041</v>
      </c>
      <c r="AH428" s="24" t="n">
        <v>552.858</v>
      </c>
      <c r="AI428" s="24" t="n">
        <v>131.98</v>
      </c>
      <c r="AJ428" s="24" t="n">
        <v>161.658</v>
      </c>
      <c r="AK428" s="24" t="n">
        <v>161.782</v>
      </c>
      <c r="AL428" s="24" t="n">
        <v>192.863</v>
      </c>
      <c r="AM428" s="24" t="n">
        <v>648.283</v>
      </c>
      <c r="AN428" s="24" t="n">
        <v>163.785</v>
      </c>
      <c r="AO428" s="24" t="n">
        <v>175.767</v>
      </c>
      <c r="AP428" s="24" t="n">
        <v>160.138</v>
      </c>
      <c r="AQ428" s="24" t="n">
        <v>169.061</v>
      </c>
      <c r="AR428" s="24" t="n">
        <v>668.751</v>
      </c>
      <c r="AS428" s="24" t="n">
        <v>170.752</v>
      </c>
      <c r="AT428" s="24" t="n">
        <v>166.444</v>
      </c>
      <c r="AU428" s="24" t="n">
        <v>168.766</v>
      </c>
      <c r="AV428" s="24" t="n">
        <v>201.756</v>
      </c>
      <c r="AW428" s="24" t="n">
        <v>707.718</v>
      </c>
    </row>
    <row r="429" customFormat="false" ht="15" hidden="false" customHeight="false" outlineLevel="0" collapsed="false">
      <c r="B429" s="65" t="s">
        <v>640</v>
      </c>
      <c r="C429" s="24" t="n">
        <v>60.542</v>
      </c>
      <c r="D429" s="24" t="n">
        <v>73.476</v>
      </c>
      <c r="E429" s="24" t="n">
        <v>97.214</v>
      </c>
      <c r="F429" s="24" t="n">
        <v>92.721</v>
      </c>
      <c r="G429" s="24" t="n">
        <v>104.391</v>
      </c>
      <c r="H429" s="24" t="n">
        <v>103.421</v>
      </c>
      <c r="I429" s="24" t="n">
        <v>78.779</v>
      </c>
      <c r="J429" s="24" t="n">
        <v>24.134</v>
      </c>
      <c r="K429" s="24" t="n">
        <v>27.704</v>
      </c>
      <c r="L429" s="24" t="n">
        <v>24.858</v>
      </c>
      <c r="M429" s="24" t="n">
        <v>39.814</v>
      </c>
      <c r="N429" s="24" t="n">
        <v>116.51</v>
      </c>
    </row>
    <row r="430" customFormat="false" ht="15" hidden="false" customHeight="false" outlineLevel="0" collapsed="false">
      <c r="B430" s="65" t="s">
        <v>641</v>
      </c>
      <c r="C430" s="24" t="n">
        <v>55.242</v>
      </c>
      <c r="D430" s="24" t="n">
        <v>64.837</v>
      </c>
      <c r="E430" s="24" t="n">
        <v>68.159</v>
      </c>
      <c r="F430" s="24" t="n">
        <v>80.949</v>
      </c>
      <c r="G430" s="24" t="n">
        <v>80.41</v>
      </c>
      <c r="H430" s="24" t="n">
        <v>81.009</v>
      </c>
    </row>
    <row r="431" customFormat="false" ht="15" hidden="false" customHeight="false" outlineLevel="0" collapsed="false">
      <c r="B431" s="65" t="s">
        <v>642</v>
      </c>
      <c r="C431" s="24" t="n">
        <v>42.385</v>
      </c>
      <c r="D431" s="24" t="n">
        <v>50.88</v>
      </c>
      <c r="E431" s="24" t="n">
        <v>52.142</v>
      </c>
      <c r="F431" s="24" t="n">
        <v>19.891</v>
      </c>
      <c r="G431" s="24" t="n">
        <v>25.842</v>
      </c>
      <c r="H431" s="24" t="n">
        <v>43.992</v>
      </c>
    </row>
    <row r="432" customFormat="false" ht="15" hidden="false" customHeight="false" outlineLevel="0" collapsed="false">
      <c r="B432" s="65" t="s">
        <v>643</v>
      </c>
      <c r="I432" s="24" t="n">
        <v>86.515</v>
      </c>
      <c r="J432" s="24" t="n">
        <v>12.097</v>
      </c>
      <c r="K432" s="24" t="n">
        <v>27.425</v>
      </c>
      <c r="L432" s="24" t="n">
        <v>32.62</v>
      </c>
      <c r="M432" s="24" t="n">
        <v>36.416</v>
      </c>
      <c r="N432" s="24" t="n">
        <v>108.558</v>
      </c>
    </row>
    <row r="433" customFormat="false" ht="15" hidden="false" customHeight="false" outlineLevel="0" collapsed="false">
      <c r="B433" s="65" t="s">
        <v>644</v>
      </c>
      <c r="I433" s="24" t="n">
        <v>27.494</v>
      </c>
      <c r="J433" s="24" t="n">
        <v>12.093</v>
      </c>
      <c r="K433" s="24" t="n">
        <v>14.735</v>
      </c>
      <c r="L433" s="24" t="n">
        <v>11.728</v>
      </c>
      <c r="M433" s="24" t="n">
        <v>12.436</v>
      </c>
      <c r="N433" s="24" t="n">
        <v>50.992</v>
      </c>
    </row>
    <row r="434" customFormat="false" ht="15" hidden="false" customHeight="false" outlineLevel="0" collapsed="false">
      <c r="B434" s="65" t="s">
        <v>645</v>
      </c>
      <c r="O434" s="24" t="n">
        <v>32.96</v>
      </c>
      <c r="P434" s="24" t="n">
        <v>37.741</v>
      </c>
      <c r="Q434" s="24" t="n">
        <v>40.096</v>
      </c>
      <c r="R434" s="24" t="n">
        <v>35.743</v>
      </c>
      <c r="S434" s="24" t="n">
        <v>142.831</v>
      </c>
      <c r="T434" s="24" t="n">
        <v>43.289</v>
      </c>
      <c r="U434" s="24" t="n">
        <v>45.253</v>
      </c>
      <c r="V434" s="24" t="n">
        <v>40.259</v>
      </c>
      <c r="W434" s="24" t="n">
        <v>42.724</v>
      </c>
      <c r="X434" s="24" t="n">
        <v>171.525</v>
      </c>
      <c r="Y434" s="24" t="n">
        <v>30.052</v>
      </c>
      <c r="Z434" s="24" t="n">
        <v>38.957</v>
      </c>
      <c r="AA434" s="24" t="n">
        <v>39.067</v>
      </c>
      <c r="AB434" s="24" t="n">
        <v>48.474</v>
      </c>
      <c r="AC434" s="24" t="n">
        <v>156.55</v>
      </c>
      <c r="AD434" s="24" t="n">
        <v>30.621</v>
      </c>
      <c r="AE434" s="24" t="n">
        <v>43.693</v>
      </c>
      <c r="AF434" s="24" t="n">
        <v>46.774</v>
      </c>
      <c r="AG434" s="24" t="n">
        <v>47.24</v>
      </c>
      <c r="AH434" s="24" t="n">
        <v>168.328</v>
      </c>
      <c r="AI434" s="24" t="n">
        <v>39.225</v>
      </c>
      <c r="AJ434" s="24" t="n">
        <v>51.736</v>
      </c>
      <c r="AK434" s="24" t="n">
        <v>44.786</v>
      </c>
      <c r="AL434" s="24" t="n">
        <v>46.922</v>
      </c>
      <c r="AM434" s="24" t="n">
        <v>182.669</v>
      </c>
      <c r="AN434" s="24" t="n">
        <v>39.446</v>
      </c>
      <c r="AO434" s="24" t="n">
        <v>56.236</v>
      </c>
      <c r="AP434" s="24" t="n">
        <v>48.086</v>
      </c>
      <c r="AQ434" s="24" t="n">
        <v>52.687</v>
      </c>
      <c r="AR434" s="24" t="n">
        <v>196.455</v>
      </c>
      <c r="AS434" s="24" t="n">
        <v>34.987</v>
      </c>
      <c r="AT434" s="24" t="n">
        <v>14.366</v>
      </c>
      <c r="AU434" s="24" t="n">
        <v>24.838</v>
      </c>
      <c r="AV434" s="24" t="n">
        <v>7.39</v>
      </c>
      <c r="AW434" s="24" t="n">
        <v>81.581</v>
      </c>
    </row>
    <row r="435" customFormat="false" ht="15" hidden="false" customHeight="false" outlineLevel="0" collapsed="false">
      <c r="B435" s="65" t="s">
        <v>646</v>
      </c>
      <c r="O435" s="24" t="n">
        <v>21.174</v>
      </c>
      <c r="P435" s="24" t="n">
        <v>24.454</v>
      </c>
      <c r="Q435" s="24" t="n">
        <v>26.974</v>
      </c>
      <c r="R435" s="24" t="n">
        <v>28.757</v>
      </c>
      <c r="S435" s="24" t="n">
        <v>102.252</v>
      </c>
      <c r="T435" s="24" t="n">
        <v>18.027</v>
      </c>
      <c r="U435" s="24" t="n">
        <v>24.391</v>
      </c>
      <c r="V435" s="24" t="n">
        <v>25.477</v>
      </c>
      <c r="W435" s="24" t="n">
        <v>31</v>
      </c>
      <c r="X435" s="24" t="n">
        <v>98.895</v>
      </c>
      <c r="Y435" s="24" t="n">
        <v>16.845</v>
      </c>
      <c r="Z435" s="24" t="n">
        <v>18.609</v>
      </c>
      <c r="AA435" s="24" t="n">
        <v>28.822</v>
      </c>
      <c r="AB435" s="24" t="n">
        <v>34.015</v>
      </c>
      <c r="AC435" s="24" t="n">
        <v>98.291</v>
      </c>
      <c r="AD435" s="24" t="n">
        <v>11.155</v>
      </c>
      <c r="AE435" s="24" t="n">
        <v>21.187</v>
      </c>
      <c r="AF435" s="24" t="n">
        <v>33.636</v>
      </c>
      <c r="AG435" s="24" t="n">
        <v>43.377</v>
      </c>
      <c r="AH435" s="24" t="n">
        <v>109.355</v>
      </c>
      <c r="AI435" s="24" t="n">
        <v>19.728</v>
      </c>
      <c r="AJ435" s="24" t="n">
        <v>38.641</v>
      </c>
      <c r="AK435" s="24" t="n">
        <v>33.615</v>
      </c>
      <c r="AL435" s="24" t="n">
        <v>36.462</v>
      </c>
      <c r="AM435" s="24" t="n">
        <v>128.446</v>
      </c>
      <c r="AN435" s="24" t="n">
        <v>17.653</v>
      </c>
      <c r="AO435" s="24" t="n">
        <v>29.661</v>
      </c>
      <c r="AP435" s="24" t="n">
        <v>38.21</v>
      </c>
      <c r="AQ435" s="24" t="n">
        <v>44.129</v>
      </c>
      <c r="AR435" s="24" t="n">
        <v>129.653</v>
      </c>
      <c r="AS435" s="24" t="n">
        <v>28.704</v>
      </c>
      <c r="AT435" s="24" t="n">
        <v>27.872</v>
      </c>
      <c r="AU435" s="24" t="n">
        <v>41.55</v>
      </c>
      <c r="AV435" s="24" t="n">
        <v>42.28</v>
      </c>
      <c r="AW435" s="24" t="n">
        <v>140.406</v>
      </c>
    </row>
    <row r="436" customFormat="false" ht="15" hidden="false" customHeight="false" outlineLevel="0" collapsed="false">
      <c r="B436" s="65" t="s">
        <v>647</v>
      </c>
      <c r="O436" s="24" t="n">
        <v>12.552</v>
      </c>
      <c r="P436" s="24" t="n">
        <v>20.72</v>
      </c>
      <c r="Q436" s="24" t="n">
        <v>17.491</v>
      </c>
      <c r="R436" s="24" t="n">
        <v>16.343</v>
      </c>
      <c r="S436" s="24" t="n">
        <v>67.602</v>
      </c>
    </row>
    <row r="437" customFormat="false" ht="15" hidden="false" customHeight="false" outlineLevel="0" collapsed="false">
      <c r="B437" s="65" t="s">
        <v>648</v>
      </c>
      <c r="T437" s="24" t="n">
        <v>19.512</v>
      </c>
      <c r="U437" s="24" t="n">
        <v>1.454</v>
      </c>
      <c r="V437" s="24" t="n">
        <v>13.545</v>
      </c>
      <c r="W437" s="24" t="n">
        <v>40.476</v>
      </c>
      <c r="X437" s="24" t="n">
        <v>74.987</v>
      </c>
      <c r="Y437" s="24" t="n">
        <v>14.628</v>
      </c>
      <c r="Z437" s="24" t="n">
        <v>16.114</v>
      </c>
      <c r="AA437" s="24" t="n">
        <v>14.13</v>
      </c>
      <c r="AB437" s="24" t="n">
        <v>31.6</v>
      </c>
      <c r="AC437" s="24" t="n">
        <v>76.472</v>
      </c>
      <c r="AD437" s="24" t="n">
        <v>16.54</v>
      </c>
      <c r="AE437" s="24" t="n">
        <v>24.87</v>
      </c>
      <c r="AF437" s="24" t="n">
        <v>19.486</v>
      </c>
      <c r="AG437" s="24" t="n">
        <v>24.364</v>
      </c>
      <c r="AH437" s="24" t="n">
        <v>85.26</v>
      </c>
      <c r="AI437" s="24" t="n">
        <v>15.342</v>
      </c>
      <c r="AJ437" s="24" t="n">
        <v>19.201</v>
      </c>
      <c r="AK437" s="24" t="n">
        <v>28.249</v>
      </c>
      <c r="AL437" s="24" t="n">
        <v>36.066</v>
      </c>
      <c r="AM437" s="24" t="n">
        <v>98.858</v>
      </c>
      <c r="AN437" s="24" t="n">
        <v>24.219</v>
      </c>
      <c r="AO437" s="24" t="n">
        <v>30.069</v>
      </c>
      <c r="AP437" s="24" t="n">
        <v>26.362</v>
      </c>
      <c r="AQ437" s="24" t="n">
        <v>32.304</v>
      </c>
      <c r="AR437" s="24" t="n">
        <v>112.954</v>
      </c>
      <c r="AS437" s="24" t="n">
        <v>20.622</v>
      </c>
      <c r="AT437" s="24" t="n">
        <v>21.259</v>
      </c>
      <c r="AU437" s="24" t="n">
        <v>25.962</v>
      </c>
      <c r="AV437" s="24" t="n">
        <v>36.783</v>
      </c>
      <c r="AW437" s="24" t="n">
        <v>104.626</v>
      </c>
    </row>
    <row r="438" customFormat="false" ht="15" hidden="false" customHeight="false" outlineLevel="0" collapsed="false">
      <c r="B438" s="20" t="s">
        <v>649</v>
      </c>
      <c r="C438" s="24" t="n">
        <v>-17.541</v>
      </c>
      <c r="D438" s="24" t="n">
        <v>-10.009</v>
      </c>
      <c r="E438" s="24" t="n">
        <v>-18.333</v>
      </c>
      <c r="F438" s="24" t="n">
        <v>-24.242</v>
      </c>
      <c r="G438" s="24" t="n">
        <v>-30.82</v>
      </c>
      <c r="H438" s="24" t="n">
        <v>-23.466</v>
      </c>
      <c r="I438" s="24" t="n">
        <v>-31.342</v>
      </c>
      <c r="J438" s="24" t="n">
        <v>-10.298</v>
      </c>
      <c r="K438" s="24" t="n">
        <v>-12.076</v>
      </c>
      <c r="L438" s="24" t="n">
        <v>-6.319</v>
      </c>
      <c r="M438" s="24" t="n">
        <v>-13.748</v>
      </c>
      <c r="N438" s="24" t="n">
        <v>-42.441</v>
      </c>
      <c r="O438" s="24" t="n">
        <v>-7.585</v>
      </c>
      <c r="P438" s="24" t="n">
        <v>-6.265</v>
      </c>
      <c r="Q438" s="24" t="n">
        <v>-10.421</v>
      </c>
      <c r="R438" s="24" t="n">
        <v>-5.912</v>
      </c>
      <c r="S438" s="24" t="n">
        <v>-30.312</v>
      </c>
      <c r="T438" s="24" t="n">
        <v>-7.993</v>
      </c>
      <c r="U438" s="24" t="n">
        <v>-5.656</v>
      </c>
      <c r="V438" s="24" t="n">
        <v>-15.468</v>
      </c>
      <c r="W438" s="24" t="n">
        <v>-5.673</v>
      </c>
      <c r="X438" s="24" t="n">
        <v>-34.79</v>
      </c>
      <c r="Y438" s="24" t="n">
        <v>-4.262</v>
      </c>
      <c r="Z438" s="24" t="n">
        <v>-5.591</v>
      </c>
      <c r="AA438" s="24" t="n">
        <v>-5.446</v>
      </c>
      <c r="AB438" s="24" t="n">
        <v>-7.916</v>
      </c>
      <c r="AC438" s="24" t="n">
        <v>-23.215</v>
      </c>
      <c r="AD438" s="24" t="n">
        <v>-7.089</v>
      </c>
      <c r="AE438" s="24" t="n">
        <v>-6.479</v>
      </c>
      <c r="AF438" s="24" t="n">
        <v>-3.346</v>
      </c>
      <c r="AG438" s="24" t="n">
        <v>-6.286</v>
      </c>
      <c r="AH438" s="24" t="n">
        <v>-23.2</v>
      </c>
      <c r="AI438" s="24" t="n">
        <v>-9.797</v>
      </c>
      <c r="AJ438" s="24" t="n">
        <v>-7.502</v>
      </c>
      <c r="AK438" s="24" t="n">
        <v>-9.603</v>
      </c>
      <c r="AL438" s="24" t="n">
        <v>-9.445</v>
      </c>
      <c r="AM438" s="24" t="n">
        <v>-36.347</v>
      </c>
      <c r="AN438" s="24" t="n">
        <v>-9.273</v>
      </c>
      <c r="AO438" s="24" t="n">
        <v>-10.281</v>
      </c>
      <c r="AP438" s="24" t="n">
        <v>-7.089</v>
      </c>
      <c r="AQ438" s="24" t="n">
        <v>-8.466</v>
      </c>
      <c r="AR438" s="24" t="n">
        <v>-35.109</v>
      </c>
      <c r="AS438" s="24" t="n">
        <v>-11.867</v>
      </c>
      <c r="AT438" s="24" t="n">
        <v>-8.148</v>
      </c>
      <c r="AU438" s="24" t="n">
        <v>-7.777</v>
      </c>
      <c r="AV438" s="24" t="n">
        <v>-9.973</v>
      </c>
      <c r="AW438" s="24" t="n">
        <v>-37.765</v>
      </c>
    </row>
    <row r="439" customFormat="false" ht="15" hidden="false" customHeight="false" outlineLevel="0" collapsed="false">
      <c r="B439" s="20" t="s">
        <v>650</v>
      </c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63.85"/>
    <col collapsed="false" customWidth="true" hidden="false" outlineLevel="0" max="8" min="3" style="0" width="11.85"/>
    <col collapsed="false" customWidth="true" hidden="false" outlineLevel="0" max="9" min="9" style="0" width="13.29"/>
    <col collapsed="false" customWidth="true" hidden="false" outlineLevel="0" max="12" min="10" style="0" width="12.57"/>
    <col collapsed="false" customWidth="true" hidden="false" outlineLevel="0" max="13" min="13" style="0" width="3.86"/>
    <col collapsed="false" customWidth="true" hidden="false" outlineLevel="0" max="14" min="14" style="0" width="63.85"/>
    <col collapsed="false" customWidth="true" hidden="false" outlineLevel="0" max="20" min="15" style="0" width="11.85"/>
    <col collapsed="false" customWidth="true" hidden="false" outlineLevel="0" max="21" min="21" style="0" width="13.29"/>
    <col collapsed="false" customWidth="true" hidden="false" outlineLevel="0" max="24" min="22" style="0" width="12.57"/>
    <col collapsed="false" customWidth="true" hidden="false" outlineLevel="0" max="25" min="25" style="0" width="3.86"/>
    <col collapsed="false" customWidth="true" hidden="false" outlineLevel="0" max="26" min="26" style="0" width="63.85"/>
    <col collapsed="false" customWidth="true" hidden="false" outlineLevel="0" max="32" min="27" style="0" width="11.85"/>
    <col collapsed="false" customWidth="true" hidden="false" outlineLevel="0" max="33" min="33" style="0" width="13.29"/>
    <col collapsed="false" customWidth="true" hidden="false" outlineLevel="0" max="36" min="34" style="0" width="12.57"/>
  </cols>
  <sheetData>
    <row r="2" customFormat="false" ht="19.7" hidden="false" customHeight="false" outlineLevel="0" collapsed="false">
      <c r="B2" s="66" t="s">
        <v>651</v>
      </c>
      <c r="J2" s="15" t="s">
        <v>652</v>
      </c>
      <c r="K2" s="67" t="n">
        <f aca="false">Model!CA381</f>
        <v>544.21</v>
      </c>
    </row>
    <row r="3" customFormat="false" ht="15" hidden="false" customHeight="false" outlineLevel="0" collapsed="false">
      <c r="B3" s="4" t="s">
        <v>653</v>
      </c>
      <c r="J3" s="15" t="s">
        <v>654</v>
      </c>
      <c r="K3" s="68" t="n">
        <f aca="true">TODAY()</f>
        <v>46302</v>
      </c>
    </row>
    <row r="5" customFormat="false" ht="15" hidden="false" customHeight="false" outlineLevel="0" collapsed="false">
      <c r="B5" s="8" t="s">
        <v>655</v>
      </c>
      <c r="C5" s="69" t="str">
        <f aca="false">Model!$CF$2</f>
        <v>Base</v>
      </c>
      <c r="N5" s="15" t="s">
        <v>655</v>
      </c>
      <c r="O5" s="70" t="s">
        <v>100</v>
      </c>
      <c r="P5" s="4" t="s">
        <v>656</v>
      </c>
      <c r="Z5" s="15" t="s">
        <v>655</v>
      </c>
      <c r="AA5" s="70" t="s">
        <v>101</v>
      </c>
      <c r="AB5" s="4" t="s">
        <v>657</v>
      </c>
    </row>
    <row r="7" customFormat="false" ht="15" hidden="false" customHeight="false" outlineLevel="0" collapsed="false">
      <c r="B7" s="71" t="s">
        <v>658</v>
      </c>
      <c r="C7" s="72" t="s">
        <v>659</v>
      </c>
      <c r="D7" s="72" t="s">
        <v>84</v>
      </c>
      <c r="E7" s="72" t="s">
        <v>85</v>
      </c>
      <c r="F7" s="72" t="s">
        <v>86</v>
      </c>
      <c r="G7" s="72" t="s">
        <v>87</v>
      </c>
      <c r="H7" s="72" t="s">
        <v>88</v>
      </c>
      <c r="I7" s="72" t="s">
        <v>660</v>
      </c>
      <c r="J7" s="72" t="s">
        <v>661</v>
      </c>
      <c r="K7" s="72" t="s">
        <v>662</v>
      </c>
      <c r="L7" s="72" t="s">
        <v>663</v>
      </c>
      <c r="N7" s="71" t="s">
        <v>658</v>
      </c>
      <c r="O7" s="72" t="s">
        <v>659</v>
      </c>
      <c r="P7" s="72" t="s">
        <v>84</v>
      </c>
      <c r="Q7" s="72" t="s">
        <v>85</v>
      </c>
      <c r="R7" s="72" t="s">
        <v>86</v>
      </c>
      <c r="S7" s="72" t="s">
        <v>87</v>
      </c>
      <c r="T7" s="72" t="s">
        <v>88</v>
      </c>
      <c r="U7" s="72" t="s">
        <v>660</v>
      </c>
      <c r="V7" s="72" t="s">
        <v>661</v>
      </c>
      <c r="W7" s="72" t="s">
        <v>662</v>
      </c>
      <c r="X7" s="72" t="s">
        <v>663</v>
      </c>
      <c r="Z7" s="71" t="s">
        <v>658</v>
      </c>
      <c r="AA7" s="72" t="s">
        <v>659</v>
      </c>
      <c r="AB7" s="72" t="s">
        <v>84</v>
      </c>
      <c r="AC7" s="72" t="s">
        <v>85</v>
      </c>
      <c r="AD7" s="72" t="s">
        <v>86</v>
      </c>
      <c r="AE7" s="72" t="s">
        <v>87</v>
      </c>
      <c r="AF7" s="72" t="s">
        <v>88</v>
      </c>
      <c r="AG7" s="72" t="s">
        <v>660</v>
      </c>
      <c r="AH7" s="72" t="s">
        <v>661</v>
      </c>
      <c r="AI7" s="72" t="s">
        <v>662</v>
      </c>
      <c r="AJ7" s="72" t="s">
        <v>663</v>
      </c>
    </row>
    <row r="9" customFormat="false" ht="15" hidden="false" customHeight="false" outlineLevel="0" collapsed="false">
      <c r="B9" s="73" t="s">
        <v>664</v>
      </c>
      <c r="C9" s="74" t="n">
        <f aca="false">Model!BV114</f>
        <v>3498.372</v>
      </c>
      <c r="D9" s="75" t="n">
        <f aca="false">Model!CA114</f>
        <v>3790.5</v>
      </c>
      <c r="E9" s="75" t="n">
        <f aca="false">Model!CB114</f>
        <v>4111.8</v>
      </c>
      <c r="F9" s="75" t="n">
        <f aca="false">Model!CC114</f>
        <v>4493.1167</v>
      </c>
      <c r="G9" s="75" t="n">
        <f aca="false">Model!CD114</f>
        <v>4876.960547</v>
      </c>
      <c r="H9" s="75" t="n">
        <f aca="false">Model!CE114</f>
        <v>5283.75375152</v>
      </c>
      <c r="I9" s="76" t="n">
        <f aca="false">IFERROR((H9/C9)^(1/5)-1,"n/m")</f>
        <v>0.0859637190673677</v>
      </c>
      <c r="N9" s="73" t="s">
        <v>664</v>
      </c>
      <c r="O9" s="74" t="n">
        <v>3498.372</v>
      </c>
      <c r="P9" s="75" t="n">
        <v>3813</v>
      </c>
      <c r="Q9" s="75" t="n">
        <v>4300.23</v>
      </c>
      <c r="R9" s="75" t="n">
        <v>4921.9079</v>
      </c>
      <c r="S9" s="75" t="n">
        <v>5571.5524275</v>
      </c>
      <c r="T9" s="75" t="n">
        <v>6272.3480346875</v>
      </c>
      <c r="U9" s="76" t="n">
        <f aca="false">IFERROR((T9/O9)^(1/5)-1,"n/m")</f>
        <v>0.123861598475906</v>
      </c>
      <c r="Z9" s="73" t="s">
        <v>664</v>
      </c>
      <c r="AA9" s="74" t="n">
        <v>3498.372</v>
      </c>
      <c r="AB9" s="75" t="n">
        <v>3768</v>
      </c>
      <c r="AC9" s="75" t="n">
        <v>3924.72</v>
      </c>
      <c r="AD9" s="75" t="n">
        <v>4074.02945</v>
      </c>
      <c r="AE9" s="75" t="n">
        <v>4208.8135735</v>
      </c>
      <c r="AF9" s="75" t="n">
        <v>4348.2276940175</v>
      </c>
      <c r="AG9" s="76" t="n">
        <f aca="false">IFERROR((AF9/AA9)^(1/5)-1,"n/m")</f>
        <v>0.0444538566635584</v>
      </c>
    </row>
    <row r="10" customFormat="false" ht="15" hidden="false" customHeight="false" outlineLevel="0" collapsed="false">
      <c r="B10" s="33" t="s">
        <v>665</v>
      </c>
      <c r="D10" s="77" t="n">
        <f aca="false">IFERROR(D9/C9-1,"")</f>
        <v>0.083503984138908</v>
      </c>
      <c r="E10" s="77" t="n">
        <f aca="false">IFERROR(E9/D9-1,"")</f>
        <v>0.0847645429362882</v>
      </c>
      <c r="F10" s="77" t="n">
        <f aca="false">IFERROR(F9/E9-1,"")</f>
        <v>0.0927371710686318</v>
      </c>
      <c r="G10" s="77" t="n">
        <f aca="false">IFERROR(G9/F9-1,"")</f>
        <v>0.08542930723344</v>
      </c>
      <c r="H10" s="77" t="n">
        <f aca="false">IFERROR(H9/G9-1,"")</f>
        <v>0.0834112149564619</v>
      </c>
      <c r="N10" s="33" t="s">
        <v>665</v>
      </c>
      <c r="P10" s="77" t="n">
        <v>0.0899355471630805</v>
      </c>
      <c r="Q10" s="77" t="n">
        <v>0.127781274586939</v>
      </c>
      <c r="R10" s="77" t="n">
        <v>0.144568523078998</v>
      </c>
      <c r="S10" s="77" t="n">
        <v>0.131990386796957</v>
      </c>
      <c r="T10" s="77" t="n">
        <v>0.12578103074621</v>
      </c>
      <c r="Z10" s="33" t="s">
        <v>665</v>
      </c>
      <c r="AB10" s="77" t="n">
        <v>0.0770724211147358</v>
      </c>
      <c r="AC10" s="77" t="n">
        <v>0.0415923566878982</v>
      </c>
      <c r="AD10" s="77" t="n">
        <v>0.0380433381234839</v>
      </c>
      <c r="AE10" s="77" t="n">
        <v>0.0330837381403808</v>
      </c>
      <c r="AF10" s="77" t="n">
        <v>0.0331243278142075</v>
      </c>
    </row>
    <row r="11" customFormat="false" ht="15" hidden="false" customHeight="false" outlineLevel="0" collapsed="false">
      <c r="B11" s="33" t="s">
        <v>666</v>
      </c>
      <c r="C11" s="78" t="n">
        <f aca="false">Model!BV212</f>
        <v>0.175735909570931</v>
      </c>
      <c r="D11" s="79" t="n">
        <f aca="false">Model!CA212</f>
        <v>0.105454284159302</v>
      </c>
      <c r="E11" s="79" t="n">
        <f aca="false">Model!CB212</f>
        <v>0.0800000000000001</v>
      </c>
      <c r="F11" s="79" t="n">
        <f aca="false">Model!CC212</f>
        <v>0.075</v>
      </c>
      <c r="G11" s="79" t="n">
        <f aca="false">Model!CD212</f>
        <v>0.0700000000000001</v>
      </c>
      <c r="H11" s="79" t="n">
        <f aca="false">Model!CE212</f>
        <v>0.0700000000000001</v>
      </c>
      <c r="N11" s="33" t="s">
        <v>666</v>
      </c>
      <c r="O11" s="80" t="n">
        <v>0.175735909570931</v>
      </c>
      <c r="P11" s="77" t="n">
        <v>0.109778962369977</v>
      </c>
      <c r="Q11" s="77" t="n">
        <v>0.11</v>
      </c>
      <c r="R11" s="77" t="n">
        <v>0.105</v>
      </c>
      <c r="S11" s="77" t="n">
        <v>0.1</v>
      </c>
      <c r="T11" s="77" t="n">
        <v>0.1</v>
      </c>
      <c r="Z11" s="33" t="s">
        <v>666</v>
      </c>
      <c r="AA11" s="80" t="n">
        <v>0.175735909570931</v>
      </c>
      <c r="AB11" s="77" t="n">
        <v>0.101129605948628</v>
      </c>
      <c r="AC11" s="77" t="n">
        <v>0.05</v>
      </c>
      <c r="AD11" s="77" t="n">
        <v>0.0449999999999999</v>
      </c>
      <c r="AE11" s="77" t="n">
        <v>0.04</v>
      </c>
      <c r="AF11" s="77" t="n">
        <v>0.04</v>
      </c>
    </row>
    <row r="12" customFormat="false" ht="15" hidden="false" customHeight="false" outlineLevel="0" collapsed="false">
      <c r="B12" s="73" t="s">
        <v>667</v>
      </c>
      <c r="C12" s="74" t="n">
        <f aca="false">Model!BV159</f>
        <v>650.994</v>
      </c>
      <c r="D12" s="75" t="n">
        <f aca="false">Model!CA159</f>
        <v>728</v>
      </c>
      <c r="E12" s="75" t="n">
        <f aca="false">Model!CB159</f>
        <v>809.7922</v>
      </c>
      <c r="F12" s="75" t="n">
        <f aca="false">Model!CC159</f>
        <v>898.8683313</v>
      </c>
      <c r="G12" s="75" t="n">
        <f aca="false">Model!CD159</f>
        <v>986.510197833</v>
      </c>
      <c r="H12" s="75" t="n">
        <f aca="false">Model!CE159</f>
        <v>1079.48494832178</v>
      </c>
      <c r="I12" s="76" t="n">
        <f aca="false">IFERROR((H12/C12)^(1/5)-1,"n/m")</f>
        <v>0.106440135220898</v>
      </c>
      <c r="N12" s="73" t="s">
        <v>667</v>
      </c>
      <c r="O12" s="74" t="n">
        <v>650.994</v>
      </c>
      <c r="P12" s="75" t="n">
        <v>736</v>
      </c>
      <c r="Q12" s="75" t="n">
        <v>885.66972</v>
      </c>
      <c r="R12" s="75" t="n">
        <v>1057.0993556</v>
      </c>
      <c r="S12" s="75" t="n">
        <v>1233.72803661</v>
      </c>
      <c r="T12" s="75" t="n">
        <v>1425.47214292625</v>
      </c>
      <c r="U12" s="76" t="n">
        <f aca="false">IFERROR((T12/O12)^(1/5)-1,"n/m")</f>
        <v>0.169705009191572</v>
      </c>
      <c r="Z12" s="73" t="s">
        <v>667</v>
      </c>
      <c r="AA12" s="74" t="n">
        <v>650.994</v>
      </c>
      <c r="AB12" s="75" t="n">
        <v>720</v>
      </c>
      <c r="AC12" s="75" t="n">
        <v>751.58558</v>
      </c>
      <c r="AD12" s="75" t="n">
        <v>780.2798548</v>
      </c>
      <c r="AE12" s="75" t="n">
        <v>805.491759729</v>
      </c>
      <c r="AF12" s="75" t="n">
        <v>831.549208119745</v>
      </c>
      <c r="AG12" s="76" t="n">
        <f aca="false">IFERROR((AF12/AA12)^(1/5)-1,"n/m")</f>
        <v>0.0501762531748864</v>
      </c>
    </row>
    <row r="13" customFormat="false" ht="15" hidden="false" customHeight="false" outlineLevel="0" collapsed="false">
      <c r="B13" s="33" t="s">
        <v>668</v>
      </c>
      <c r="C13" s="81" t="n">
        <f aca="false">IFERROR(C12/C9,"")</f>
        <v>0.186084841749248</v>
      </c>
      <c r="D13" s="82" t="n">
        <f aca="false">IFERROR(D12/D9,"")</f>
        <v>0.192059095106187</v>
      </c>
      <c r="E13" s="82" t="n">
        <f aca="false">IFERROR(E12/E9,"")</f>
        <v>0.196943479741233</v>
      </c>
      <c r="F13" s="82" t="n">
        <f aca="false">IFERROR(F12/F9,"")</f>
        <v>0.200054525915163</v>
      </c>
      <c r="G13" s="82" t="n">
        <f aca="false">IFERROR(G12/G9,"")</f>
        <v>0.202279716705898</v>
      </c>
      <c r="H13" s="82" t="n">
        <f aca="false">IFERROR(H12/H9,"")</f>
        <v>0.204302660397684</v>
      </c>
      <c r="J13" s="83" t="n">
        <f aca="false">IFERROR(AVERAGE(Model!C160,Model!D160,Model!E160,Model!F160,Model!G160,Model!H160,Model!I160,Model!N160,Model!S160,Model!X160,Model!AC160,Model!AH160,Model!AM160,Model!AR160,Model!AW160,Model!BB160,Model!BG160,Model!BL160,Model!BQ160,Model!BV160),"")</f>
        <v>0.136231480180035</v>
      </c>
      <c r="K13" s="83" t="n">
        <f aca="false">IFERROR(MIN(Model!C160,Model!D160,Model!E160,Model!F160,Model!G160,Model!H160,Model!I160,Model!N160,Model!S160,Model!X160,Model!AC160,Model!AH160,Model!AM160,Model!AR160,Model!AW160,Model!BB160,Model!BG160,Model!BL160,Model!BQ160,Model!BV160),"")</f>
        <v>0.0930467175222272</v>
      </c>
      <c r="L13" s="83" t="n">
        <f aca="false">IFERROR(MAX(Model!C160,Model!D160,Model!E160,Model!F160,Model!G160,Model!H160,Model!I160,Model!N160,Model!S160,Model!X160,Model!AC160,Model!AH160,Model!AM160,Model!AR160,Model!AW160,Model!BB160,Model!BG160,Model!BL160,Model!BQ160,Model!BV160),"")</f>
        <v>0.186084841749248</v>
      </c>
      <c r="N13" s="33" t="s">
        <v>668</v>
      </c>
      <c r="O13" s="81" t="n">
        <v>0.186084841749248</v>
      </c>
      <c r="P13" s="82" t="n">
        <v>0.193023865722528</v>
      </c>
      <c r="Q13" s="82" t="n">
        <v>0.205958685930753</v>
      </c>
      <c r="R13" s="82" t="n">
        <v>0.214774306443239</v>
      </c>
      <c r="S13" s="82" t="n">
        <v>0.221433442952198</v>
      </c>
      <c r="T13" s="82" t="n">
        <v>0.227262922121519</v>
      </c>
      <c r="V13" s="83" t="n">
        <v>0.136231480180035</v>
      </c>
      <c r="W13" s="83" t="n">
        <v>0.0930467175222272</v>
      </c>
      <c r="X13" s="83" t="n">
        <v>0.186084841749248</v>
      </c>
      <c r="Z13" s="33" t="s">
        <v>668</v>
      </c>
      <c r="AA13" s="81" t="n">
        <v>0.186084841749248</v>
      </c>
      <c r="AB13" s="82" t="n">
        <v>0.191082802547771</v>
      </c>
      <c r="AC13" s="82" t="n">
        <v>0.191500433151919</v>
      </c>
      <c r="AD13" s="82" t="n">
        <v>0.191525334899089</v>
      </c>
      <c r="AE13" s="82" t="n">
        <v>0.191382142654316</v>
      </c>
      <c r="AF13" s="82" t="n">
        <v>0.191238653225044</v>
      </c>
      <c r="AH13" s="83" t="n">
        <v>0.136231480180035</v>
      </c>
      <c r="AI13" s="83" t="n">
        <v>0.0930467175222272</v>
      </c>
      <c r="AJ13" s="83" t="n">
        <v>0.186084841749248</v>
      </c>
    </row>
    <row r="15" customFormat="false" ht="15" hidden="false" customHeight="false" outlineLevel="0" collapsed="false">
      <c r="B15" s="73" t="s">
        <v>328</v>
      </c>
      <c r="C15" s="74" t="n">
        <f aca="false">Model!BV123</f>
        <v>633.521</v>
      </c>
      <c r="D15" s="75" t="n">
        <f aca="false">Model!CA123</f>
        <v>720.874</v>
      </c>
      <c r="E15" s="75" t="n">
        <f aca="false">Model!CB123</f>
        <v>809.7922</v>
      </c>
      <c r="F15" s="75" t="n">
        <f aca="false">Model!CC123</f>
        <v>898.8683313</v>
      </c>
      <c r="G15" s="75" t="n">
        <f aca="false">Model!CD123</f>
        <v>986.510197833</v>
      </c>
      <c r="H15" s="75" t="n">
        <f aca="false">Model!CE123</f>
        <v>1079.48494832178</v>
      </c>
      <c r="I15" s="76" t="n">
        <f aca="false">IFERROR((H15/C15)^(1/5)-1,"n/m")</f>
        <v>0.112477190198903</v>
      </c>
      <c r="N15" s="73" t="s">
        <v>328</v>
      </c>
      <c r="O15" s="74" t="n">
        <v>633.521</v>
      </c>
      <c r="P15" s="75" t="n">
        <v>728.874</v>
      </c>
      <c r="Q15" s="75" t="n">
        <v>885.66972</v>
      </c>
      <c r="R15" s="75" t="n">
        <v>1057.0993556</v>
      </c>
      <c r="S15" s="75" t="n">
        <v>1233.72803661</v>
      </c>
      <c r="T15" s="75" t="n">
        <v>1425.47214292625</v>
      </c>
      <c r="U15" s="76" t="n">
        <f aca="false">IFERROR((T15/O15)^(1/5)-1,"n/m")</f>
        <v>0.176087255481947</v>
      </c>
      <c r="Z15" s="73" t="s">
        <v>328</v>
      </c>
      <c r="AA15" s="74" t="n">
        <v>633.521</v>
      </c>
      <c r="AB15" s="75" t="n">
        <v>712.874</v>
      </c>
      <c r="AC15" s="75" t="n">
        <v>751.58558</v>
      </c>
      <c r="AD15" s="75" t="n">
        <v>780.2798548</v>
      </c>
      <c r="AE15" s="75" t="n">
        <v>805.491759729</v>
      </c>
      <c r="AF15" s="75" t="n">
        <v>831.549208119745</v>
      </c>
      <c r="AG15" s="76" t="n">
        <f aca="false">IFERROR((AF15/AA15)^(1/5)-1,"n/m")</f>
        <v>0.0559063162620734</v>
      </c>
    </row>
    <row r="16" customFormat="false" ht="15" hidden="false" customHeight="false" outlineLevel="0" collapsed="false">
      <c r="B16" s="33" t="s">
        <v>669</v>
      </c>
      <c r="D16" s="77" t="n">
        <f aca="false">IFERROR(D15/C15-1,"")</f>
        <v>0.137884931991206</v>
      </c>
      <c r="E16" s="77" t="n">
        <f aca="false">IFERROR(E15/D15-1,"")</f>
        <v>0.123347769513119</v>
      </c>
      <c r="F16" s="77" t="n">
        <f aca="false">IFERROR(F15/E15-1,"")</f>
        <v>0.109998751902031</v>
      </c>
      <c r="G16" s="77" t="n">
        <f aca="false">IFERROR(G15/F15-1,"")</f>
        <v>0.0975024522292902</v>
      </c>
      <c r="H16" s="77" t="n">
        <f aca="false">IFERROR(H15/G15-1,"")</f>
        <v>0.0942461118932287</v>
      </c>
      <c r="N16" s="33" t="s">
        <v>669</v>
      </c>
      <c r="P16" s="77" t="n">
        <v>0.150512769111049</v>
      </c>
      <c r="Q16" s="77" t="n">
        <v>0.215120473497477</v>
      </c>
      <c r="R16" s="77" t="n">
        <v>0.193559327736755</v>
      </c>
      <c r="S16" s="77" t="n">
        <v>0.16708806043094</v>
      </c>
      <c r="T16" s="77" t="n">
        <v>0.155418455791212</v>
      </c>
      <c r="Z16" s="33" t="s">
        <v>669</v>
      </c>
      <c r="AB16" s="77" t="n">
        <v>0.125257094871363</v>
      </c>
      <c r="AC16" s="77" t="n">
        <v>0.0543035375115377</v>
      </c>
      <c r="AD16" s="77" t="n">
        <v>0.0381783200257779</v>
      </c>
      <c r="AE16" s="77" t="n">
        <v>0.0323113621015658</v>
      </c>
      <c r="AF16" s="77" t="n">
        <v>0.0323497392443985</v>
      </c>
    </row>
    <row r="17" customFormat="false" ht="15" hidden="false" customHeight="false" outlineLevel="0" collapsed="false">
      <c r="B17" s="33" t="s">
        <v>670</v>
      </c>
      <c r="C17" s="81" t="n">
        <f aca="false">IFERROR(C15/C9,"")</f>
        <v>0.181090232828298</v>
      </c>
      <c r="D17" s="82" t="n">
        <f aca="false">IFERROR(D15/D9,"")</f>
        <v>0.190179132040628</v>
      </c>
      <c r="E17" s="82" t="n">
        <f aca="false">IFERROR(E15/E9,"")</f>
        <v>0.196943479741233</v>
      </c>
      <c r="F17" s="82" t="n">
        <f aca="false">IFERROR(F15/F9,"")</f>
        <v>0.200054525915163</v>
      </c>
      <c r="G17" s="82" t="n">
        <f aca="false">IFERROR(G15/G9,"")</f>
        <v>0.202279716705898</v>
      </c>
      <c r="H17" s="82" t="n">
        <f aca="false">IFERROR(H15/H9,"")</f>
        <v>0.204302660397684</v>
      </c>
      <c r="J17" s="83" t="n">
        <f aca="false">IFERROR(AVERAGE(Model!C124,Model!D124,Model!E124,Model!F124,Model!G124,Model!H124,Model!I124,Model!N124,Model!S124,Model!X124,Model!AC124,Model!AH124,Model!AM124,Model!AR124,Model!AW124,Model!BB124,Model!BG124,Model!BL124,Model!BQ124,Model!BV124),"")</f>
        <v>0.131446646861488</v>
      </c>
      <c r="K17" s="83" t="n">
        <f aca="false">IFERROR(MIN(Model!C124,Model!D124,Model!E124,Model!F124,Model!G124,Model!H124,Model!I124,Model!N124,Model!S124,Model!X124,Model!AC124,Model!AH124,Model!AM124,Model!AR124,Model!AW124,Model!BB124,Model!BG124,Model!BL124,Model!BQ124,Model!BV124),"")</f>
        <v>0.0769627537760116</v>
      </c>
      <c r="L17" s="83" t="n">
        <f aca="false">IFERROR(MAX(Model!C124,Model!D124,Model!E124,Model!F124,Model!G124,Model!H124,Model!I124,Model!N124,Model!S124,Model!X124,Model!AC124,Model!AH124,Model!AM124,Model!AR124,Model!AW124,Model!BB124,Model!BG124,Model!BL124,Model!BQ124,Model!BV124),"")</f>
        <v>0.181090232828298</v>
      </c>
      <c r="N17" s="33" t="s">
        <v>670</v>
      </c>
      <c r="O17" s="81" t="n">
        <v>0.181090232828298</v>
      </c>
      <c r="P17" s="82" t="n">
        <v>0.19115499606609</v>
      </c>
      <c r="Q17" s="82" t="n">
        <v>0.205958685930753</v>
      </c>
      <c r="R17" s="82" t="n">
        <v>0.214774306443239</v>
      </c>
      <c r="S17" s="82" t="n">
        <v>0.221433442952198</v>
      </c>
      <c r="T17" s="82" t="n">
        <v>0.227262922121519</v>
      </c>
      <c r="V17" s="83" t="n">
        <v>0.131446646861488</v>
      </c>
      <c r="W17" s="83" t="n">
        <v>0.0769627537760116</v>
      </c>
      <c r="X17" s="83" t="n">
        <v>0.181090232828298</v>
      </c>
      <c r="Z17" s="33" t="s">
        <v>670</v>
      </c>
      <c r="AA17" s="81" t="n">
        <v>0.181090232828298</v>
      </c>
      <c r="AB17" s="82" t="n">
        <v>0.18919161358811</v>
      </c>
      <c r="AC17" s="82" t="n">
        <v>0.191500433151919</v>
      </c>
      <c r="AD17" s="82" t="n">
        <v>0.191525334899089</v>
      </c>
      <c r="AE17" s="82" t="n">
        <v>0.191382142654316</v>
      </c>
      <c r="AF17" s="82" t="n">
        <v>0.191238653225044</v>
      </c>
      <c r="AH17" s="83" t="n">
        <v>0.131446646861488</v>
      </c>
      <c r="AI17" s="83" t="n">
        <v>0.0769627537760116</v>
      </c>
      <c r="AJ17" s="83" t="n">
        <v>0.181090232828298</v>
      </c>
    </row>
    <row r="19" customFormat="false" ht="15" hidden="false" customHeight="false" outlineLevel="0" collapsed="false">
      <c r="B19" s="73" t="s">
        <v>671</v>
      </c>
      <c r="C19" s="74" t="n">
        <f aca="false">Model!BV189</f>
        <v>497.858418354542</v>
      </c>
      <c r="D19" s="75" t="n">
        <f aca="false">Model!CA189</f>
        <v>568.890766597036</v>
      </c>
      <c r="E19" s="75" t="n">
        <f aca="false">Model!CB189</f>
        <v>637.700488116085</v>
      </c>
      <c r="F19" s="75" t="n">
        <f aca="false">Model!CC189</f>
        <v>703.739982114</v>
      </c>
      <c r="G19" s="75" t="n">
        <f aca="false">Model!CD189</f>
        <v>768.951488271915</v>
      </c>
      <c r="H19" s="75" t="n">
        <f aca="false">Model!CE189</f>
        <v>838.05971943774</v>
      </c>
      <c r="I19" s="76" t="n">
        <f aca="false">IFERROR((H19/C19)^(1/5)-1,"n/m")</f>
        <v>0.109772151367676</v>
      </c>
      <c r="N19" s="73" t="s">
        <v>671</v>
      </c>
      <c r="O19" s="74" t="n">
        <v>497.858418354542</v>
      </c>
      <c r="P19" s="75" t="n">
        <v>575.170766597036</v>
      </c>
      <c r="Q19" s="75" t="n">
        <v>694.779512691481</v>
      </c>
      <c r="R19" s="75" t="n">
        <v>804.202716408</v>
      </c>
      <c r="S19" s="75" t="n">
        <v>931.810570938001</v>
      </c>
      <c r="T19" s="75" t="n">
        <v>1071.29057472567</v>
      </c>
      <c r="U19" s="76" t="n">
        <f aca="false">IFERROR((T19/O19)^(1/5)-1,"n/m")</f>
        <v>0.165628844212041</v>
      </c>
      <c r="Z19" s="73" t="s">
        <v>671</v>
      </c>
      <c r="AA19" s="74" t="n">
        <v>497.858418354542</v>
      </c>
      <c r="AB19" s="75" t="n">
        <v>562.610766597036</v>
      </c>
      <c r="AC19" s="75" t="n">
        <v>592.065324516085</v>
      </c>
      <c r="AD19" s="75" t="n">
        <v>617.113088709</v>
      </c>
      <c r="AE19" s="75" t="n">
        <v>634.85935210152</v>
      </c>
      <c r="AF19" s="75" t="n">
        <v>653.842532688507</v>
      </c>
      <c r="AG19" s="76" t="n">
        <f aca="false">IFERROR((AF19/AA19)^(1/5)-1,"n/m")</f>
        <v>0.0560232078042573</v>
      </c>
    </row>
    <row r="21" customFormat="false" ht="15" hidden="false" customHeight="false" outlineLevel="0" collapsed="false">
      <c r="B21" s="73" t="s">
        <v>672</v>
      </c>
      <c r="C21" s="84" t="n">
        <f aca="false">Model!BV143</f>
        <v>37.631</v>
      </c>
      <c r="D21" s="85" t="n">
        <f aca="false">Model!CA143</f>
        <v>36.9253412193822</v>
      </c>
      <c r="E21" s="85" t="n">
        <f aca="false">Model!CB143</f>
        <v>36.4238106242812</v>
      </c>
      <c r="F21" s="85" t="n">
        <f aca="false">Model!CC143</f>
        <v>35.947460010072</v>
      </c>
      <c r="G21" s="85" t="n">
        <f aca="false">Model!CD143</f>
        <v>35.4736475823358</v>
      </c>
      <c r="H21" s="85" t="n">
        <f aca="false">Model!CE143</f>
        <v>34.9382932387107</v>
      </c>
      <c r="I21" s="76" t="n">
        <f aca="false">IFERROR((H21/C21)^(1/5)-1,"n/m")</f>
        <v>-0.0147392428032915</v>
      </c>
      <c r="N21" s="73" t="s">
        <v>672</v>
      </c>
      <c r="O21" s="84" t="n">
        <v>37.631</v>
      </c>
      <c r="P21" s="85" t="n">
        <v>36.902372144944</v>
      </c>
      <c r="Q21" s="85" t="n">
        <v>36.0578608067458</v>
      </c>
      <c r="R21" s="85" t="n">
        <v>35.4471482178383</v>
      </c>
      <c r="S21" s="85" t="n">
        <v>35.0072454610857</v>
      </c>
      <c r="T21" s="85" t="n">
        <v>34.3821380601566</v>
      </c>
      <c r="U21" s="76" t="n">
        <f aca="false">IFERROR((T21/O21)^(1/5)-1,"n/m")</f>
        <v>-0.0178961261210637</v>
      </c>
      <c r="Z21" s="73" t="s">
        <v>672</v>
      </c>
      <c r="AA21" s="84" t="n">
        <v>37.631</v>
      </c>
      <c r="AB21" s="85" t="n">
        <v>36.9253412193822</v>
      </c>
      <c r="AC21" s="85" t="n">
        <v>36.4204433232487</v>
      </c>
      <c r="AD21" s="85" t="n">
        <v>35.796923717357</v>
      </c>
      <c r="AE21" s="85" t="n">
        <v>35.0867149296717</v>
      </c>
      <c r="AF21" s="85" t="n">
        <v>34.4138100845414</v>
      </c>
      <c r="AG21" s="76" t="n">
        <f aca="false">IFERROR((AF21/AA21)^(1/5)-1,"n/m")</f>
        <v>-0.0177152545140831</v>
      </c>
    </row>
    <row r="23" customFormat="false" ht="15" hidden="false" customHeight="false" outlineLevel="0" collapsed="false">
      <c r="B23" s="73" t="s">
        <v>673</v>
      </c>
      <c r="C23" s="86" t="n">
        <f aca="false">Model!BV191</f>
        <v>13.2300076626861</v>
      </c>
      <c r="D23" s="87" t="n">
        <f aca="false">Model!CA191</f>
        <v>15.4065134623163</v>
      </c>
      <c r="E23" s="87" t="n">
        <f aca="false">Model!CB191</f>
        <v>17.507791666668</v>
      </c>
      <c r="F23" s="87" t="n">
        <f aca="false">Model!CC191</f>
        <v>19.5769042351483</v>
      </c>
      <c r="G23" s="87" t="n">
        <f aca="false">Model!CD191</f>
        <v>21.6766963839043</v>
      </c>
      <c r="H23" s="87" t="n">
        <f aca="false">Model!CE191</f>
        <v>23.9868534422052</v>
      </c>
      <c r="I23" s="76" t="n">
        <f aca="false">IFERROR((H23/C23)^(1/5)-1,"n/m")</f>
        <v>0.126374052007542</v>
      </c>
      <c r="N23" s="73" t="s">
        <v>673</v>
      </c>
      <c r="O23" s="86" t="n">
        <v>13.2300076626861</v>
      </c>
      <c r="P23" s="87" t="n">
        <v>15.5862816714844</v>
      </c>
      <c r="Q23" s="87" t="n">
        <v>19.2684617763431</v>
      </c>
      <c r="R23" s="87" t="n">
        <v>22.6873742131756</v>
      </c>
      <c r="S23" s="87" t="n">
        <v>26.6176489656636</v>
      </c>
      <c r="T23" s="87" t="n">
        <v>31.1583466057663</v>
      </c>
      <c r="U23" s="76" t="n">
        <f aca="false">IFERROR((T23/O23)^(1/5)-1,"n/m")</f>
        <v>0.186869205197461</v>
      </c>
      <c r="Z23" s="73" t="s">
        <v>673</v>
      </c>
      <c r="AA23" s="86" t="n">
        <v>13.2300076626861</v>
      </c>
      <c r="AB23" s="87" t="n">
        <v>15.2364405586514</v>
      </c>
      <c r="AC23" s="87" t="n">
        <v>16.2564008148178</v>
      </c>
      <c r="AD23" s="87" t="n">
        <v>17.2392771396101</v>
      </c>
      <c r="AE23" s="87" t="n">
        <v>18.0940094669461</v>
      </c>
      <c r="AF23" s="87" t="n">
        <v>18.9994229375436</v>
      </c>
      <c r="AG23" s="76" t="n">
        <f aca="false">IFERROR((AF23/AA23)^(1/5)-1,"n/m")</f>
        <v>0.0750683166538062</v>
      </c>
    </row>
    <row r="24" customFormat="false" ht="15" hidden="false" customHeight="false" outlineLevel="0" collapsed="false">
      <c r="B24" s="33" t="s">
        <v>674</v>
      </c>
      <c r="D24" s="77" t="n">
        <f aca="false">IFERROR(D23/C23-1,"")</f>
        <v>0.16451281474075</v>
      </c>
      <c r="E24" s="77" t="n">
        <f aca="false">IFERROR(E23/D23-1,"")</f>
        <v>0.136388950653329</v>
      </c>
      <c r="F24" s="77" t="n">
        <f aca="false">IFERROR(F23/E23-1,"")</f>
        <v>0.118182384613329</v>
      </c>
      <c r="G24" s="77" t="n">
        <f aca="false">IFERROR(G23/F23-1,"")</f>
        <v>0.107258641281297</v>
      </c>
      <c r="H24" s="77" t="n">
        <f aca="false">IFERROR(H23/G23-1,"")</f>
        <v>0.106573299611107</v>
      </c>
      <c r="N24" s="33" t="s">
        <v>674</v>
      </c>
      <c r="P24" s="77" t="n">
        <v>0.178100728954515</v>
      </c>
      <c r="Q24" s="77" t="n">
        <v>0.236244935287894</v>
      </c>
      <c r="R24" s="77" t="n">
        <v>0.177435670606054</v>
      </c>
      <c r="S24" s="77" t="n">
        <v>0.173236211275851</v>
      </c>
      <c r="T24" s="77" t="n">
        <v>0.170589733374279</v>
      </c>
      <c r="Z24" s="33" t="s">
        <v>674</v>
      </c>
      <c r="AB24" s="77" t="n">
        <v>0.151657727427034</v>
      </c>
      <c r="AC24" s="77" t="n">
        <v>0.0669421609489538</v>
      </c>
      <c r="AD24" s="77" t="n">
        <v>0.0604608815929575</v>
      </c>
      <c r="AE24" s="77" t="n">
        <v>0.0495805201351569</v>
      </c>
      <c r="AF24" s="77" t="n">
        <v>0.0500394051551438</v>
      </c>
    </row>
    <row r="26" customFormat="false" ht="15" hidden="false" customHeight="false" outlineLevel="0" collapsed="false">
      <c r="B26" s="33" t="s">
        <v>675</v>
      </c>
      <c r="G26" s="88" t="n">
        <v>28</v>
      </c>
      <c r="H26" s="88" t="n">
        <v>28</v>
      </c>
      <c r="N26" s="33" t="s">
        <v>675</v>
      </c>
      <c r="S26" s="88" t="n">
        <v>32</v>
      </c>
      <c r="T26" s="88" t="n">
        <v>32</v>
      </c>
      <c r="Z26" s="33" t="s">
        <v>675</v>
      </c>
      <c r="AE26" s="88" t="n">
        <v>24</v>
      </c>
      <c r="AF26" s="88" t="n">
        <v>24</v>
      </c>
    </row>
    <row r="27" customFormat="false" ht="15" hidden="false" customHeight="false" outlineLevel="0" collapsed="false">
      <c r="B27" s="73" t="s">
        <v>676</v>
      </c>
      <c r="G27" s="89" t="n">
        <f aca="false">G26*G23</f>
        <v>606.947498749321</v>
      </c>
      <c r="H27" s="89" t="n">
        <f aca="false">H26*H23</f>
        <v>671.631896381745</v>
      </c>
      <c r="N27" s="73" t="s">
        <v>676</v>
      </c>
      <c r="S27" s="89" t="n">
        <f aca="false">S26*S23</f>
        <v>851.764766901235</v>
      </c>
      <c r="T27" s="89" t="n">
        <f aca="false">T26*T23</f>
        <v>997.067091384522</v>
      </c>
      <c r="Z27" s="73" t="s">
        <v>676</v>
      </c>
      <c r="AE27" s="89" t="n">
        <f aca="false">AE26*AE23</f>
        <v>434.256227206706</v>
      </c>
      <c r="AF27" s="89" t="n">
        <f aca="false">AF26*AF23</f>
        <v>455.986150501046</v>
      </c>
    </row>
    <row r="28" customFormat="false" ht="15" hidden="false" customHeight="false" outlineLevel="0" collapsed="false">
      <c r="B28" s="33" t="s">
        <v>677</v>
      </c>
      <c r="G28" s="90" t="n">
        <f aca="false">IFERROR(G27/$K$2-1,"")</f>
        <v>0.115281782307053</v>
      </c>
      <c r="H28" s="90" t="n">
        <f aca="false">IFERROR(H27/$K$2-1,"")</f>
        <v>0.234141041843671</v>
      </c>
      <c r="N28" s="33" t="s">
        <v>677</v>
      </c>
      <c r="S28" s="90" t="n">
        <f aca="false">IFERROR(S27/$K$2-1,"")</f>
        <v>0.565139866781638</v>
      </c>
      <c r="T28" s="90" t="n">
        <f aca="false">IFERROR(T27/$K$2-1,"")</f>
        <v>0.832136659349372</v>
      </c>
      <c r="Z28" s="33" t="s">
        <v>677</v>
      </c>
      <c r="AE28" s="90" t="n">
        <f aca="false">IFERROR(AE27/$K$2-1,"")</f>
        <v>-0.2020429113638</v>
      </c>
      <c r="AF28" s="90" t="n">
        <f aca="false">IFERROR(AF27/$K$2-1,"")</f>
        <v>-0.162113613309115</v>
      </c>
    </row>
    <row r="29" customFormat="false" ht="15" hidden="false" customHeight="false" outlineLevel="0" collapsed="false">
      <c r="B29" s="33" t="s">
        <v>678</v>
      </c>
      <c r="G29" s="90" t="n">
        <f aca="false">IFERROR((G27/$K$2)^(1/((DATE(2029-1,12,31)-$K$3)/365.25))-1,"")</f>
        <v>0.0500496594684645</v>
      </c>
      <c r="H29" s="90" t="n">
        <f aca="false">IFERROR((H27/$K$2)^(1/((DATE(2030-1,12,31)-$K$3)/365.25))-1,"")</f>
        <v>0.0672263880391129</v>
      </c>
      <c r="N29" s="33" t="s">
        <v>678</v>
      </c>
      <c r="S29" s="90" t="n">
        <f aca="false">IFERROR((S27/$K$2)^(1/((DATE(2029-1,12,31)-$K$3)/365.25))-1,"")</f>
        <v>0.222035984256194</v>
      </c>
      <c r="T29" s="90" t="n">
        <f aca="false">IFERROR((T27/$K$2)^(1/((DATE(2030-1,12,31)-$K$3)/365.25))-1,"")</f>
        <v>0.205939312685371</v>
      </c>
      <c r="Z29" s="33" t="s">
        <v>678</v>
      </c>
      <c r="AE29" s="90" t="n">
        <f aca="false">IFERROR((AE27/$K$2)^(1/((DATE(2029-1,12,31)-$K$3)/365.25))-1,"")</f>
        <v>-0.0960903314642535</v>
      </c>
      <c r="AF29" s="90" t="n">
        <f aca="false">IFERROR((AF27/$K$2)^(1/((DATE(2030-1,12,31)-$K$3)/365.25))-1,"")</f>
        <v>-0.0532325291352068</v>
      </c>
    </row>
    <row r="31" customFormat="false" ht="15" hidden="false" customHeight="false" outlineLevel="0" collapsed="false">
      <c r="B31" s="73" t="s">
        <v>679</v>
      </c>
      <c r="C31" s="74" t="n">
        <f aca="false">Model!BV257</f>
        <v>553.71</v>
      </c>
      <c r="D31" s="75" t="n">
        <f aca="false">Model!CA257</f>
        <v>595</v>
      </c>
      <c r="E31" s="75" t="n">
        <f aca="false">Model!CB257</f>
        <v>623.110681550799</v>
      </c>
      <c r="F31" s="75" t="n">
        <f aca="false">Model!CC257</f>
        <v>682.265682186061</v>
      </c>
      <c r="G31" s="75" t="n">
        <f aca="false">Model!CD257</f>
        <v>755.040001387541</v>
      </c>
      <c r="H31" s="75" t="n">
        <f aca="false">Model!CE257</f>
        <v>828.943514171495</v>
      </c>
      <c r="I31" s="76" t="n">
        <f aca="false">IFERROR((H31/C31)^(1/5)-1,"n/m")</f>
        <v>0.084048004145135</v>
      </c>
      <c r="N31" s="73" t="s">
        <v>679</v>
      </c>
      <c r="O31" s="74" t="n">
        <v>553.71</v>
      </c>
      <c r="P31" s="75" t="n">
        <v>605</v>
      </c>
      <c r="Q31" s="75" t="n">
        <v>672.390069284152</v>
      </c>
      <c r="R31" s="75" t="n">
        <v>776.066618352572</v>
      </c>
      <c r="S31" s="75" t="n">
        <v>917.587626655604</v>
      </c>
      <c r="T31" s="75" t="n">
        <v>1068.27178263128</v>
      </c>
      <c r="U31" s="76" t="n">
        <f aca="false">IFERROR((T31/O31)^(1/5)-1,"n/m")</f>
        <v>0.140459528380001</v>
      </c>
      <c r="Z31" s="73" t="s">
        <v>679</v>
      </c>
      <c r="AA31" s="74" t="n">
        <v>553.71</v>
      </c>
      <c r="AB31" s="75" t="n">
        <v>585</v>
      </c>
      <c r="AC31" s="75" t="n">
        <v>587.977496985828</v>
      </c>
      <c r="AD31" s="75" t="n">
        <v>604.82135930505</v>
      </c>
      <c r="AE31" s="75" t="n">
        <v>623.276024812678</v>
      </c>
      <c r="AF31" s="75" t="n">
        <v>639.993734665369</v>
      </c>
      <c r="AG31" s="76" t="n">
        <f aca="false">IFERROR((AF31/AA31)^(1/5)-1,"n/m")</f>
        <v>0.029386980550359</v>
      </c>
    </row>
    <row r="32" customFormat="false" ht="15" hidden="false" customHeight="false" outlineLevel="0" collapsed="false">
      <c r="B32" s="33" t="s">
        <v>680</v>
      </c>
      <c r="C32" s="81" t="n">
        <f aca="false">IFERROR(C31/C9,"")</f>
        <v>0.1582764783162</v>
      </c>
      <c r="D32" s="82" t="n">
        <f aca="false">IFERROR(D31/D9,"")</f>
        <v>0.156971375807941</v>
      </c>
      <c r="E32" s="82" t="n">
        <f aca="false">IFERROR(E31/E9,"")</f>
        <v>0.151542069543946</v>
      </c>
      <c r="F32" s="82" t="n">
        <f aca="false">IFERROR(F31/F9,"")</f>
        <v>0.151846864379476</v>
      </c>
      <c r="G32" s="82" t="n">
        <f aca="false">IFERROR(G31/G9,"")</f>
        <v>0.154817738243135</v>
      </c>
      <c r="H32" s="82" t="n">
        <f aca="false">IFERROR(H31/H9,"")</f>
        <v>0.156885341966027</v>
      </c>
      <c r="J32" s="83" t="n">
        <f aca="false">IFERROR(AVERAGE(Model!C259,Model!D259,Model!E259,Model!F259,Model!G259,Model!H259,Model!I259,Model!N259,Model!S259,Model!X259,Model!AC259,Model!AH259,Model!AM259,Model!AR259,Model!AW259,Model!BB259,Model!BG259,Model!BL259,Model!BQ259,Model!BV259),"")</f>
        <v>0.100251194965158</v>
      </c>
      <c r="K32" s="83" t="n">
        <f aca="false">IFERROR(MIN(Model!C259,Model!D259,Model!E259,Model!F259,Model!G259,Model!H259,Model!I259,Model!N259,Model!S259,Model!X259,Model!AC259,Model!AH259,Model!AM259,Model!AR259,Model!AW259,Model!BB259,Model!BG259,Model!BL259,Model!BQ259,Model!BV259),"")</f>
        <v>0.0331408064771399</v>
      </c>
      <c r="L32" s="83" t="n">
        <f aca="false">IFERROR(MAX(Model!C259,Model!D259,Model!E259,Model!F259,Model!G259,Model!H259,Model!I259,Model!N259,Model!S259,Model!X259,Model!AC259,Model!AH259,Model!AM259,Model!AR259,Model!AW259,Model!BB259,Model!BG259,Model!BL259,Model!BQ259,Model!BV259),"")</f>
        <v>0.178489006989797</v>
      </c>
      <c r="N32" s="33" t="s">
        <v>680</v>
      </c>
      <c r="O32" s="81" t="n">
        <v>0.1582764783162</v>
      </c>
      <c r="P32" s="82" t="n">
        <v>0.158667715709415</v>
      </c>
      <c r="Q32" s="82" t="n">
        <v>0.156361420036638</v>
      </c>
      <c r="R32" s="82" t="n">
        <v>0.157675973244557</v>
      </c>
      <c r="S32" s="82" t="n">
        <v>0.164691553852493</v>
      </c>
      <c r="T32" s="82" t="n">
        <v>0.170314494145334</v>
      </c>
      <c r="V32" s="83" t="n">
        <v>0.100251194965158</v>
      </c>
      <c r="W32" s="83" t="n">
        <v>0.0331408064771399</v>
      </c>
      <c r="X32" s="83" t="n">
        <v>0.178489006989797</v>
      </c>
      <c r="Z32" s="33" t="s">
        <v>680</v>
      </c>
      <c r="AA32" s="81" t="n">
        <v>0.1582764783162</v>
      </c>
      <c r="AB32" s="82" t="n">
        <v>0.155254777070064</v>
      </c>
      <c r="AC32" s="82" t="n">
        <v>0.149813871304406</v>
      </c>
      <c r="AD32" s="82" t="n">
        <v>0.148457777914455</v>
      </c>
      <c r="AE32" s="82" t="n">
        <v>0.148088294700677</v>
      </c>
      <c r="AF32" s="82" t="n">
        <v>0.147184963553289</v>
      </c>
      <c r="AH32" s="83" t="n">
        <v>0.100251194965158</v>
      </c>
      <c r="AI32" s="83" t="n">
        <v>0.0331408064771399</v>
      </c>
      <c r="AJ32" s="83" t="n">
        <v>0.178489006989797</v>
      </c>
    </row>
    <row r="33" customFormat="false" ht="15" hidden="false" customHeight="false" outlineLevel="0" collapsed="false">
      <c r="B33" s="33" t="s">
        <v>681</v>
      </c>
      <c r="C33" s="91" t="n">
        <f aca="false">IFERROR(C31/C21,"")</f>
        <v>14.7141984002551</v>
      </c>
      <c r="D33" s="92" t="n">
        <f aca="false">IFERROR(D31/D21,"")</f>
        <v>16.1135951720788</v>
      </c>
      <c r="E33" s="92" t="n">
        <f aca="false">IFERROR(E31/E21,"")</f>
        <v>17.1072348244479</v>
      </c>
      <c r="F33" s="92" t="n">
        <f aca="false">IFERROR(F31/F21,"")</f>
        <v>18.9795240608071</v>
      </c>
      <c r="G33" s="92" t="n">
        <f aca="false">IFERROR(G31/G21,"")</f>
        <v>21.284532402118</v>
      </c>
      <c r="H33" s="92" t="n">
        <f aca="false">IFERROR(H31/H21,"")</f>
        <v>23.7259304141694</v>
      </c>
      <c r="N33" s="33" t="s">
        <v>681</v>
      </c>
      <c r="O33" s="91" t="n">
        <v>14.7141984002551</v>
      </c>
      <c r="P33" s="92" t="n">
        <v>16.394610016497</v>
      </c>
      <c r="Q33" s="92" t="n">
        <v>18.6475307808155</v>
      </c>
      <c r="R33" s="92" t="n">
        <v>21.8936263527689</v>
      </c>
      <c r="S33" s="92" t="n">
        <v>26.2113632355222</v>
      </c>
      <c r="T33" s="92" t="n">
        <v>31.0705454315314</v>
      </c>
      <c r="Z33" s="33" t="s">
        <v>681</v>
      </c>
      <c r="AA33" s="91" t="n">
        <v>14.7141984002551</v>
      </c>
      <c r="AB33" s="92" t="n">
        <v>15.8427784464977</v>
      </c>
      <c r="AC33" s="92" t="n">
        <v>16.1441608979673</v>
      </c>
      <c r="AD33" s="92" t="n">
        <v>16.8959032368412</v>
      </c>
      <c r="AE33" s="92" t="n">
        <v>17.7638751892841</v>
      </c>
      <c r="AF33" s="92" t="n">
        <v>18.5970031534768</v>
      </c>
    </row>
    <row r="34" customFormat="false" ht="15" hidden="false" customHeight="false" outlineLevel="0" collapsed="false">
      <c r="B34" s="33" t="s">
        <v>682</v>
      </c>
      <c r="G34" s="93" t="n">
        <f aca="false">IFERROR(G33/G27,"")</f>
        <v>0.0350681606662471</v>
      </c>
      <c r="H34" s="93" t="n">
        <f aca="false">IFERROR(H33/H27,"")</f>
        <v>0.0353257945937159</v>
      </c>
      <c r="N34" s="33" t="s">
        <v>682</v>
      </c>
      <c r="S34" s="93" t="n">
        <f aca="false">IFERROR(S33/S27,"")</f>
        <v>0.0307730071189496</v>
      </c>
      <c r="T34" s="93" t="n">
        <f aca="false">IFERROR(T33/T27,"")</f>
        <v>0.0311619405554615</v>
      </c>
      <c r="Z34" s="33" t="s">
        <v>682</v>
      </c>
      <c r="AE34" s="93" t="n">
        <f aca="false">IFERROR(AE33/AE27,"")</f>
        <v>0.0409064374356766</v>
      </c>
      <c r="AF34" s="93" t="n">
        <f aca="false">IFERROR(AF33/AF27,"")</f>
        <v>0.0407841403363722</v>
      </c>
    </row>
    <row r="35" customFormat="false" ht="15" hidden="false" customHeight="false" outlineLevel="0" collapsed="false">
      <c r="B35" s="73" t="s">
        <v>683</v>
      </c>
      <c r="C35" s="74" t="n">
        <f aca="false">Model!BV174</f>
        <v>775.811</v>
      </c>
      <c r="D35" s="75" t="n">
        <f aca="false">Model!CA174</f>
        <v>843.432112831238</v>
      </c>
      <c r="E35" s="75" t="n">
        <f aca="false">Model!CB174</f>
        <v>937.581</v>
      </c>
      <c r="F35" s="75" t="n">
        <f aca="false">Model!CC174</f>
        <v>1036.8581985</v>
      </c>
      <c r="G35" s="75" t="n">
        <f aca="false">Model!CD174</f>
        <v>1140.846566585</v>
      </c>
      <c r="H35" s="75" t="n">
        <f aca="false">Model!CE174</f>
        <v>1249.6452583461</v>
      </c>
      <c r="I35" s="76" t="n">
        <f aca="false">IFERROR((H35/C35)^(1/5)-1,"n/m")</f>
        <v>0.100034136578262</v>
      </c>
      <c r="N35" s="73" t="s">
        <v>683</v>
      </c>
      <c r="O35" s="74" t="n">
        <v>775.811</v>
      </c>
      <c r="P35" s="75" t="n">
        <v>851.762811784833</v>
      </c>
      <c r="Q35" s="75" t="n">
        <v>1021.4734</v>
      </c>
      <c r="R35" s="75" t="n">
        <v>1217.049882</v>
      </c>
      <c r="S35" s="75" t="n">
        <v>1424.48287545</v>
      </c>
      <c r="T35" s="75" t="n">
        <v>1647.07021148125</v>
      </c>
      <c r="U35" s="76" t="n">
        <f aca="false">IFERROR((T35/O35)^(1/5)-1,"n/m")</f>
        <v>0.16249538092622</v>
      </c>
      <c r="Z35" s="73" t="s">
        <v>683</v>
      </c>
      <c r="AA35" s="74" t="n">
        <v>775.811</v>
      </c>
      <c r="AB35" s="75" t="n">
        <v>835.101413877644</v>
      </c>
      <c r="AC35" s="75" t="n">
        <v>871.3811</v>
      </c>
      <c r="AD35" s="75" t="n">
        <v>896.464326</v>
      </c>
      <c r="AE35" s="75" t="n">
        <v>923.832776905</v>
      </c>
      <c r="AF35" s="75" t="n">
        <v>951.120851224025</v>
      </c>
      <c r="AG35" s="76" t="n">
        <f aca="false">IFERROR((AF35/AA35)^(1/5)-1,"n/m")</f>
        <v>0.041587966744228</v>
      </c>
    </row>
    <row r="36" customFormat="false" ht="15" hidden="false" customHeight="false" outlineLevel="0" collapsed="false">
      <c r="B36" s="33" t="s">
        <v>684</v>
      </c>
      <c r="C36" s="81" t="n">
        <f aca="false">IFERROR(C35/C9,"")</f>
        <v>0.221763437393164</v>
      </c>
      <c r="D36" s="82" t="n">
        <f aca="false">IFERROR(D35/D9,"")</f>
        <v>0.222512099414652</v>
      </c>
      <c r="E36" s="82" t="n">
        <f aca="false">IFERROR(E35/E9,"")</f>
        <v>0.22802203414563</v>
      </c>
      <c r="F36" s="82" t="n">
        <f aca="false">IFERROR(F35/F9,"")</f>
        <v>0.230765917675808</v>
      </c>
      <c r="G36" s="82" t="n">
        <f aca="false">IFERROR(G35/G9,"")</f>
        <v>0.233925732142077</v>
      </c>
      <c r="H36" s="82" t="n">
        <f aca="false">IFERROR(H35/H9,"")</f>
        <v>0.236507096491128</v>
      </c>
      <c r="J36" s="83" t="n">
        <f aca="false">IFERROR(AVERAGE(Model!C175,Model!D175,Model!E175,Model!F175,Model!G175,Model!H175,Model!I175,Model!N175,Model!S175,Model!X175,Model!AC175,Model!AH175,Model!AM175,Model!AR175,Model!AW175,Model!BB175,Model!BG175,Model!BL175,Model!BQ175,Model!BV175),"")</f>
        <v>0.179293965560536</v>
      </c>
      <c r="K36" s="83" t="n">
        <f aca="false">IFERROR(MIN(Model!C175,Model!D175,Model!E175,Model!F175,Model!G175,Model!H175,Model!I175,Model!N175,Model!S175,Model!X175,Model!AC175,Model!AH175,Model!AM175,Model!AR175,Model!AW175,Model!BB175,Model!BG175,Model!BL175,Model!BQ175,Model!BV175),"")</f>
        <v>0.135823815128558</v>
      </c>
      <c r="L36" s="83" t="n">
        <f aca="false">IFERROR(MAX(Model!C175,Model!D175,Model!E175,Model!F175,Model!G175,Model!H175,Model!I175,Model!N175,Model!S175,Model!X175,Model!AC175,Model!AH175,Model!AM175,Model!AR175,Model!AW175,Model!BB175,Model!BG175,Model!BL175,Model!BQ175,Model!BV175),"")</f>
        <v>0.221763437393164</v>
      </c>
      <c r="N36" s="33" t="s">
        <v>684</v>
      </c>
      <c r="O36" s="81" t="n">
        <v>0.221763437393164</v>
      </c>
      <c r="P36" s="82" t="n">
        <v>0.223383900284509</v>
      </c>
      <c r="Q36" s="82" t="n">
        <v>0.237539247900694</v>
      </c>
      <c r="R36" s="82" t="n">
        <v>0.247271973943275</v>
      </c>
      <c r="S36" s="82" t="n">
        <v>0.255670729834481</v>
      </c>
      <c r="T36" s="82" t="n">
        <v>0.262592286393003</v>
      </c>
      <c r="V36" s="83" t="n">
        <v>0.179293965560536</v>
      </c>
      <c r="W36" s="83" t="n">
        <v>0.135823815128558</v>
      </c>
      <c r="X36" s="83" t="n">
        <v>0.221763437393164</v>
      </c>
      <c r="Z36" s="33" t="s">
        <v>684</v>
      </c>
      <c r="AA36" s="81" t="n">
        <v>0.221763437393164</v>
      </c>
      <c r="AB36" s="82" t="n">
        <v>0.221629886910203</v>
      </c>
      <c r="AC36" s="82" t="n">
        <v>0.222023762204692</v>
      </c>
      <c r="AD36" s="82" t="n">
        <v>0.220043653832694</v>
      </c>
      <c r="AE36" s="82" t="n">
        <v>0.219499571737209</v>
      </c>
      <c r="AF36" s="82" t="n">
        <v>0.218737591072478</v>
      </c>
      <c r="AH36" s="83" t="n">
        <v>0.179293965560536</v>
      </c>
      <c r="AI36" s="83" t="n">
        <v>0.135823815128558</v>
      </c>
      <c r="AJ36" s="83" t="n">
        <v>0.221763437393164</v>
      </c>
    </row>
    <row r="38" customFormat="false" ht="15" hidden="false" customHeight="false" outlineLevel="0" collapsed="false">
      <c r="B38" s="73" t="s">
        <v>685</v>
      </c>
      <c r="C38" s="74" t="n">
        <f aca="false">Model!BV376</f>
        <v>586.539</v>
      </c>
      <c r="D38" s="75" t="n">
        <f aca="false">Model!CA376</f>
        <v>347.032954868158</v>
      </c>
      <c r="E38" s="75" t="n">
        <f aca="false">Model!CB376</f>
        <v>468.7905</v>
      </c>
      <c r="F38" s="75" t="n">
        <f aca="false">Model!CC376</f>
        <v>518.42909925</v>
      </c>
      <c r="G38" s="75" t="n">
        <f aca="false">Model!CD376</f>
        <v>570.4232832925</v>
      </c>
      <c r="H38" s="75" t="n">
        <f aca="false">Model!CE376</f>
        <v>624.82262917305</v>
      </c>
      <c r="N38" s="73" t="s">
        <v>685</v>
      </c>
      <c r="O38" s="74" t="n">
        <v>586.539</v>
      </c>
      <c r="P38" s="75" t="n">
        <v>437.009067030742</v>
      </c>
      <c r="Q38" s="75" t="n">
        <v>1021.4734</v>
      </c>
      <c r="R38" s="75" t="n">
        <v>1217.049882</v>
      </c>
      <c r="S38" s="75" t="n">
        <v>1424.48287545</v>
      </c>
      <c r="T38" s="75" t="n">
        <v>1647.07021148125</v>
      </c>
      <c r="Z38" s="73" t="s">
        <v>685</v>
      </c>
      <c r="AA38" s="74" t="n">
        <v>586.539</v>
      </c>
      <c r="AB38" s="75" t="n">
        <v>357.032954868158</v>
      </c>
      <c r="AC38" s="75" t="n">
        <v>217.845275</v>
      </c>
      <c r="AD38" s="75" t="n">
        <v>224.1160815</v>
      </c>
      <c r="AE38" s="75" t="n">
        <v>230.95819422625</v>
      </c>
      <c r="AF38" s="75" t="n">
        <v>237.780212806006</v>
      </c>
    </row>
    <row r="39" customFormat="false" ht="15" hidden="false" customHeight="false" outlineLevel="0" collapsed="false">
      <c r="B39" s="33" t="s">
        <v>686</v>
      </c>
      <c r="C39" s="94" t="n">
        <f aca="false">IFERROR(C38/C35,"")</f>
        <v>0.75603336379608</v>
      </c>
      <c r="D39" s="95" t="n">
        <f aca="false">IFERROR(D38/D35,"")</f>
        <v>0.411453334048706</v>
      </c>
      <c r="E39" s="95" t="n">
        <f aca="false">IFERROR(E38/E35,"")</f>
        <v>0.5</v>
      </c>
      <c r="F39" s="95" t="n">
        <f aca="false">IFERROR(F38/F35,"")</f>
        <v>0.5</v>
      </c>
      <c r="G39" s="95" t="n">
        <f aca="false">IFERROR(G38/G35,"")</f>
        <v>0.5</v>
      </c>
      <c r="H39" s="95" t="n">
        <f aca="false">IFERROR(H38/H35,"")</f>
        <v>0.5</v>
      </c>
      <c r="N39" s="33" t="s">
        <v>686</v>
      </c>
      <c r="O39" s="94" t="n">
        <v>0.75603336379608</v>
      </c>
      <c r="P39" s="95" t="n">
        <v>0.513064272100596</v>
      </c>
      <c r="Q39" s="95" t="n">
        <v>1</v>
      </c>
      <c r="R39" s="95" t="n">
        <v>1</v>
      </c>
      <c r="S39" s="95" t="n">
        <v>1</v>
      </c>
      <c r="T39" s="95" t="n">
        <v>1</v>
      </c>
      <c r="Z39" s="33" t="s">
        <v>686</v>
      </c>
      <c r="AA39" s="94" t="n">
        <v>0.75603336379608</v>
      </c>
      <c r="AB39" s="95" t="n">
        <v>0.427532451669958</v>
      </c>
      <c r="AC39" s="95" t="n">
        <v>0.25</v>
      </c>
      <c r="AD39" s="95" t="n">
        <v>0.25</v>
      </c>
      <c r="AE39" s="95" t="n">
        <v>0.25</v>
      </c>
      <c r="AF39" s="95" t="n">
        <v>0.25</v>
      </c>
    </row>
    <row r="40" customFormat="false" ht="15" hidden="false" customHeight="false" outlineLevel="0" collapsed="false">
      <c r="B40" s="33" t="s">
        <v>687</v>
      </c>
      <c r="D40" s="96" t="n">
        <f aca="false">Model!CA266</f>
        <v>300</v>
      </c>
      <c r="E40" s="96" t="n">
        <f aca="false">Model!CB266</f>
        <v>414.681990639467</v>
      </c>
      <c r="F40" s="96" t="n">
        <f aca="false">Model!CC266</f>
        <v>399.112452829879</v>
      </c>
      <c r="G40" s="96" t="n">
        <f aca="false">Model!CD266</f>
        <v>471.385091462534</v>
      </c>
      <c r="H40" s="96" t="n">
        <f aca="false">Model!CE266</f>
        <v>544.745488982968</v>
      </c>
      <c r="N40" s="33" t="s">
        <v>687</v>
      </c>
      <c r="P40" s="97" t="n">
        <v>400</v>
      </c>
      <c r="Q40" s="97" t="n">
        <v>626.870588069445</v>
      </c>
      <c r="R40" s="97" t="n">
        <v>339.503417627478</v>
      </c>
      <c r="S40" s="97" t="n">
        <v>489.952916074095</v>
      </c>
      <c r="T40" s="97" t="n">
        <v>652.928297733813</v>
      </c>
      <c r="Z40" s="33" t="s">
        <v>687</v>
      </c>
      <c r="AB40" s="97" t="n">
        <v>300</v>
      </c>
      <c r="AC40" s="97" t="n">
        <v>418.603581074497</v>
      </c>
      <c r="AD40" s="97" t="n">
        <v>578.308349543513</v>
      </c>
      <c r="AE40" s="97" t="n">
        <v>594.847240282916</v>
      </c>
      <c r="AF40" s="97" t="n">
        <v>608.883821636149</v>
      </c>
    </row>
    <row r="41" customFormat="false" ht="15" hidden="false" customHeight="false" outlineLevel="0" collapsed="false">
      <c r="B41" s="33" t="s">
        <v>688</v>
      </c>
      <c r="D41" s="98" t="n">
        <f aca="false">Model!CA265</f>
        <v>544.21</v>
      </c>
      <c r="E41" s="98" t="n">
        <f aca="false">Model!CB265</f>
        <v>582.3047</v>
      </c>
      <c r="F41" s="98" t="n">
        <f aca="false">Model!CC265</f>
        <v>623.066029</v>
      </c>
      <c r="G41" s="98" t="n">
        <f aca="false">Model!CD265</f>
        <v>666.68065103</v>
      </c>
      <c r="H41" s="98" t="n">
        <f aca="false">Model!CE265</f>
        <v>713.3482966021</v>
      </c>
      <c r="N41" s="33" t="s">
        <v>688</v>
      </c>
      <c r="P41" s="99" t="n">
        <v>544.21</v>
      </c>
      <c r="Q41" s="99" t="n">
        <v>582.3047</v>
      </c>
      <c r="R41" s="99" t="n">
        <v>623.066029</v>
      </c>
      <c r="S41" s="99" t="n">
        <v>666.68065103</v>
      </c>
      <c r="T41" s="99" t="n">
        <v>713.3482966021</v>
      </c>
      <c r="Z41" s="33" t="s">
        <v>688</v>
      </c>
      <c r="AB41" s="99" t="n">
        <v>544.21</v>
      </c>
      <c r="AC41" s="99" t="n">
        <v>582.3047</v>
      </c>
      <c r="AD41" s="99" t="n">
        <v>623.066029</v>
      </c>
      <c r="AE41" s="99" t="n">
        <v>666.68065103</v>
      </c>
      <c r="AF41" s="99" t="n">
        <v>713.3482966021</v>
      </c>
    </row>
    <row r="42" customFormat="false" ht="15" hidden="false" customHeight="false" outlineLevel="0" collapsed="false">
      <c r="B42" s="33" t="s">
        <v>689</v>
      </c>
      <c r="D42" s="98" t="n">
        <f aca="false">Model!CA267</f>
        <v>0.551257786516235</v>
      </c>
      <c r="E42" s="98" t="n">
        <f aca="false">Model!CB267</f>
        <v>0.712139178405167</v>
      </c>
      <c r="F42" s="98" t="n">
        <f aca="false">Model!CC267</f>
        <v>0.640562050013288</v>
      </c>
      <c r="G42" s="98" t="n">
        <f aca="false">Model!CD267</f>
        <v>0.707062805459044</v>
      </c>
      <c r="H42" s="98" t="n">
        <f aca="false">Model!CE267</f>
        <v>0.76364588179121</v>
      </c>
      <c r="N42" s="33" t="s">
        <v>689</v>
      </c>
      <c r="P42" s="99" t="n">
        <v>0.735010382021646</v>
      </c>
      <c r="Q42" s="99" t="n">
        <v>1.07653362246509</v>
      </c>
      <c r="R42" s="99" t="n">
        <v>0.544891555349871</v>
      </c>
      <c r="S42" s="99" t="n">
        <v>0.734913958155429</v>
      </c>
      <c r="T42" s="99" t="n">
        <v>0.915300843702738</v>
      </c>
      <c r="Z42" s="33" t="s">
        <v>689</v>
      </c>
      <c r="AB42" s="99" t="n">
        <v>0.551257786516235</v>
      </c>
      <c r="AC42" s="99" t="n">
        <v>0.718873780470081</v>
      </c>
      <c r="AD42" s="99" t="n">
        <v>0.928165431313401</v>
      </c>
      <c r="AE42" s="99" t="n">
        <v>0.892252144057122</v>
      </c>
      <c r="AF42" s="99" t="n">
        <v>0.853557546203519</v>
      </c>
    </row>
    <row r="44" customFormat="false" ht="15" hidden="false" customHeight="false" outlineLevel="0" collapsed="false">
      <c r="B44" s="73" t="s">
        <v>690</v>
      </c>
      <c r="C44" s="100" t="n">
        <f aca="false">Model!BV359</f>
        <v>0.162951314101426</v>
      </c>
      <c r="D44" s="101" t="n">
        <f aca="false">Model!CA359</f>
        <v>0.184884297350757</v>
      </c>
      <c r="E44" s="101" t="n">
        <f aca="false">Model!CB359</f>
        <v>0.182949049976762</v>
      </c>
      <c r="F44" s="101" t="n">
        <f aca="false">Model!CC359</f>
        <v>0.184131094353048</v>
      </c>
      <c r="G44" s="101" t="n">
        <f aca="false">Model!CD359</f>
        <v>0.185050913847546</v>
      </c>
      <c r="H44" s="101" t="n">
        <f aca="false">Model!CE359</f>
        <v>0.186822591010451</v>
      </c>
      <c r="J44" s="83" t="n">
        <f aca="false">IFERROR(AVERAGE(Model!C359,Model!D359,Model!E359,Model!F359,Model!G359,Model!H359,Model!I359,Model!N359,Model!S359,Model!X359,Model!AC359,Model!AH359,Model!AM359,Model!AR359,Model!AW359,Model!BB359,Model!BG359,Model!BL359,Model!BQ359,Model!BV359),"")</f>
        <v>0.109623392339888</v>
      </c>
      <c r="K44" s="83" t="n">
        <f aca="false">IFERROR(MIN(Model!C359,Model!D359,Model!E359,Model!F359,Model!G359,Model!H359,Model!I359,Model!N359,Model!S359,Model!X359,Model!AC359,Model!AH359,Model!AM359,Model!AR359,Model!AW359,Model!BB359,Model!BG359,Model!BL359,Model!BQ359,Model!BV359),"")</f>
        <v>0.0660068697967977</v>
      </c>
      <c r="L44" s="83" t="n">
        <f aca="false">IFERROR(MAX(Model!C359,Model!D359,Model!E359,Model!F359,Model!G359,Model!H359,Model!I359,Model!N359,Model!S359,Model!X359,Model!AC359,Model!AH359,Model!AM359,Model!AR359,Model!AW359,Model!BB359,Model!BG359,Model!BL359,Model!BQ359,Model!BV359),"")</f>
        <v>0.162951314101426</v>
      </c>
      <c r="N44" s="73" t="s">
        <v>690</v>
      </c>
      <c r="O44" s="100" t="n">
        <v>0.162951314101426</v>
      </c>
      <c r="P44" s="101" t="n">
        <v>0.187121303079934</v>
      </c>
      <c r="Q44" s="101" t="n">
        <v>0.183819103408059</v>
      </c>
      <c r="R44" s="101" t="n">
        <v>0.186411368781226</v>
      </c>
      <c r="S44" s="101" t="n">
        <v>0.189459614994766</v>
      </c>
      <c r="T44" s="101" t="n">
        <v>0.19406752278153</v>
      </c>
      <c r="V44" s="83" t="n">
        <v>0.109623392339888</v>
      </c>
      <c r="W44" s="83" t="n">
        <v>0.0660068697967977</v>
      </c>
      <c r="X44" s="83" t="n">
        <v>0.162951314101426</v>
      </c>
      <c r="Z44" s="73" t="s">
        <v>690</v>
      </c>
      <c r="AA44" s="100" t="n">
        <v>0.162951314101426</v>
      </c>
      <c r="AB44" s="101" t="n">
        <v>0.18265244428177</v>
      </c>
      <c r="AC44" s="101" t="n">
        <v>0.186449461094259</v>
      </c>
      <c r="AD44" s="101" t="n">
        <v>0.19096545558532</v>
      </c>
      <c r="AE44" s="101" t="n">
        <v>0.194502451299734</v>
      </c>
      <c r="AF44" s="101" t="n">
        <v>0.197947451597623</v>
      </c>
      <c r="AH44" s="83" t="n">
        <v>0.109623392339888</v>
      </c>
      <c r="AI44" s="83" t="n">
        <v>0.0660068697967977</v>
      </c>
      <c r="AJ44" s="83" t="n">
        <v>0.162951314101426</v>
      </c>
    </row>
    <row r="45" customFormat="false" ht="15" hidden="false" customHeight="false" outlineLevel="0" collapsed="false">
      <c r="B45" s="73" t="s">
        <v>691</v>
      </c>
      <c r="C45" s="100" t="n">
        <f aca="false">Model!BV370</f>
        <v>0.283901710298519</v>
      </c>
      <c r="D45" s="101" t="n">
        <f aca="false">Model!CA370</f>
        <v>0.303701358082629</v>
      </c>
      <c r="E45" s="101" t="n">
        <f aca="false">Model!CB370</f>
        <v>0.331362501895485</v>
      </c>
      <c r="F45" s="101" t="n">
        <f aca="false">Model!CC370</f>
        <v>0.347817805675514</v>
      </c>
      <c r="G45" s="101" t="n">
        <f aca="false">Model!CD370</f>
        <v>0.355048258851686</v>
      </c>
      <c r="H45" s="101" t="n">
        <f aca="false">Model!CE370</f>
        <v>0.362306667913177</v>
      </c>
      <c r="J45" s="83" t="n">
        <f aca="false">IFERROR(AVERAGE(Model!C370,Model!D370,Model!E370,Model!F370,Model!G370,Model!H370,Model!I370,Model!N370,Model!S370,Model!X370,Model!AC370,Model!AH370,Model!AM370,Model!AR370,Model!AW370,Model!BB370,Model!BG370,Model!BL370,Model!BQ370,Model!BV370),"")</f>
        <v>0.186358077133775</v>
      </c>
      <c r="K45" s="83" t="n">
        <f aca="false">IFERROR(MIN(Model!C370,Model!D370,Model!E370,Model!F370,Model!G370,Model!H370,Model!I370,Model!N370,Model!S370,Model!X370,Model!AC370,Model!AH370,Model!AM370,Model!AR370,Model!AW370,Model!BB370,Model!BG370,Model!BL370,Model!BQ370,Model!BV370),"")</f>
        <v>0.117315176130102</v>
      </c>
      <c r="L45" s="83" t="n">
        <f aca="false">IFERROR(MAX(Model!C370,Model!D370,Model!E370,Model!F370,Model!G370,Model!H370,Model!I370,Model!N370,Model!S370,Model!X370,Model!AC370,Model!AH370,Model!AM370,Model!AR370,Model!AW370,Model!BB370,Model!BG370,Model!BL370,Model!BQ370,Model!BV370),"")</f>
        <v>0.283901710298519</v>
      </c>
      <c r="N45" s="73" t="s">
        <v>691</v>
      </c>
      <c r="O45" s="100" t="n">
        <v>0.283901710298519</v>
      </c>
      <c r="P45" s="101" t="n">
        <v>0.322997851680417</v>
      </c>
      <c r="Q45" s="101" t="n">
        <v>0.36221483638124</v>
      </c>
      <c r="R45" s="101" t="n">
        <v>0.391282757682233</v>
      </c>
      <c r="S45" s="101" t="n">
        <v>0.415813564969534</v>
      </c>
      <c r="T45" s="101" t="n">
        <v>0.439414809488685</v>
      </c>
      <c r="V45" s="83" t="n">
        <v>0.186358077133775</v>
      </c>
      <c r="W45" s="83" t="n">
        <v>0.117315176130102</v>
      </c>
      <c r="X45" s="83" t="n">
        <v>0.283901710298519</v>
      </c>
      <c r="Z45" s="73" t="s">
        <v>691</v>
      </c>
      <c r="AA45" s="100" t="n">
        <v>0.283901710298519</v>
      </c>
      <c r="AB45" s="101" t="n">
        <v>0.301403687981169</v>
      </c>
      <c r="AC45" s="101" t="n">
        <v>0.277205745518123</v>
      </c>
      <c r="AD45" s="101" t="n">
        <v>0.276345279630233</v>
      </c>
      <c r="AE45" s="101" t="n">
        <v>0.274396685147691</v>
      </c>
      <c r="AF45" s="101" t="n">
        <v>0.272601349812084</v>
      </c>
      <c r="AH45" s="83" t="n">
        <v>0.186358077133775</v>
      </c>
      <c r="AI45" s="83" t="n">
        <v>0.117315176130102</v>
      </c>
      <c r="AJ45" s="83" t="n">
        <v>0.283901710298519</v>
      </c>
    </row>
    <row r="47" customFormat="false" ht="15" hidden="false" customHeight="false" outlineLevel="0" collapsed="false">
      <c r="B47" s="33" t="s">
        <v>692</v>
      </c>
      <c r="G47" s="102" t="n">
        <f aca="false">G27*G21</f>
        <v>21530.6416716136</v>
      </c>
      <c r="H47" s="102" t="n">
        <f aca="false">H27*H21</f>
        <v>23465.6721442567</v>
      </c>
      <c r="N47" s="33" t="s">
        <v>692</v>
      </c>
      <c r="S47" s="102" t="n">
        <f aca="false">S27*S21</f>
        <v>29817.938270016</v>
      </c>
      <c r="T47" s="102" t="n">
        <f aca="false">T27*T21</f>
        <v>34281.2983912214</v>
      </c>
      <c r="Z47" s="33" t="s">
        <v>692</v>
      </c>
      <c r="AE47" s="102" t="n">
        <f aca="false">AE27*AE21</f>
        <v>15236.6244504365</v>
      </c>
      <c r="AF47" s="102" t="n">
        <f aca="false">AF27*AF21</f>
        <v>15692.2207845241</v>
      </c>
    </row>
    <row r="48" customFormat="false" ht="15" hidden="false" customHeight="false" outlineLevel="0" collapsed="false">
      <c r="B48" s="33" t="s">
        <v>693</v>
      </c>
      <c r="G48" s="102" t="n">
        <f aca="false">G38</f>
        <v>570.4232832925</v>
      </c>
      <c r="H48" s="102" t="n">
        <f aca="false">H38</f>
        <v>624.82262917305</v>
      </c>
      <c r="N48" s="33" t="s">
        <v>693</v>
      </c>
      <c r="S48" s="102" t="n">
        <f aca="false">S38</f>
        <v>1424.48287545</v>
      </c>
      <c r="T48" s="102" t="n">
        <f aca="false">T38</f>
        <v>1647.07021148125</v>
      </c>
      <c r="Z48" s="33" t="s">
        <v>693</v>
      </c>
      <c r="AE48" s="102" t="n">
        <f aca="false">AE38</f>
        <v>230.95819422625</v>
      </c>
      <c r="AF48" s="102" t="n">
        <f aca="false">AF38</f>
        <v>237.780212806006</v>
      </c>
    </row>
    <row r="49" customFormat="false" ht="15" hidden="false" customHeight="false" outlineLevel="0" collapsed="false">
      <c r="B49" s="73" t="s">
        <v>694</v>
      </c>
      <c r="G49" s="103" t="n">
        <f aca="false">G47+G48</f>
        <v>22101.0649549061</v>
      </c>
      <c r="H49" s="103" t="n">
        <f aca="false">H47+H48</f>
        <v>24090.4947734298</v>
      </c>
      <c r="N49" s="73" t="s">
        <v>694</v>
      </c>
      <c r="S49" s="103" t="n">
        <f aca="false">S47+S48</f>
        <v>31242.421145466</v>
      </c>
      <c r="T49" s="103" t="n">
        <f aca="false">T47+T48</f>
        <v>35928.3686027027</v>
      </c>
      <c r="Z49" s="73" t="s">
        <v>694</v>
      </c>
      <c r="AE49" s="103" t="n">
        <f aca="false">AE47+AE48</f>
        <v>15467.5826446627</v>
      </c>
      <c r="AF49" s="103" t="n">
        <f aca="false">AF47+AF48</f>
        <v>15930.0009973301</v>
      </c>
    </row>
    <row r="50" customFormat="false" ht="15" hidden="false" customHeight="false" outlineLevel="0" collapsed="false">
      <c r="B50" s="33" t="s">
        <v>695</v>
      </c>
      <c r="G50" s="104" t="n">
        <f aca="false">IFERROR(G49/G35,"")</f>
        <v>19.3725130111609</v>
      </c>
      <c r="H50" s="104" t="n">
        <f aca="false">IFERROR(H49/H35,"")</f>
        <v>19.2778667486111</v>
      </c>
      <c r="N50" s="33" t="s">
        <v>695</v>
      </c>
      <c r="S50" s="104" t="n">
        <f aca="false">IFERROR(S49/S35,"")</f>
        <v>21.9324652362679</v>
      </c>
      <c r="T50" s="104" t="n">
        <f aca="false">IFERROR(T49/T35,"")</f>
        <v>21.8135015448986</v>
      </c>
      <c r="Z50" s="33" t="s">
        <v>695</v>
      </c>
      <c r="AE50" s="104" t="n">
        <f aca="false">IFERROR(AE49/AE35,"")</f>
        <v>16.7428381318985</v>
      </c>
      <c r="AF50" s="104" t="n">
        <f aca="false">IFERROR(AF49/AF35,"")</f>
        <v>16.7486613050585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5.29"/>
    <col collapsed="false" customWidth="true" hidden="false" outlineLevel="0" max="14" min="3" style="0" width="12.57"/>
    <col collapsed="false" customWidth="true" hidden="false" outlineLevel="0" max="15" min="15" style="0" width="2.29"/>
    <col collapsed="false" customWidth="true" hidden="false" outlineLevel="0" max="17" min="16" style="0" width="14.86"/>
  </cols>
  <sheetData>
    <row r="2" customFormat="false" ht="17.35" hidden="false" customHeight="false" outlineLevel="0" collapsed="false">
      <c r="B2" s="105" t="s">
        <v>696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customFormat="false" ht="15" hidden="false" customHeight="false" outlineLevel="0" collapsed="false">
      <c r="B4" s="106" t="s">
        <v>697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customFormat="false" ht="15" hidden="false" customHeight="false" outlineLevel="0" collapsed="false">
      <c r="B5" s="20" t="s">
        <v>698</v>
      </c>
      <c r="C5" s="108" t="n">
        <v>0.055</v>
      </c>
      <c r="D5" s="109" t="s">
        <v>699</v>
      </c>
    </row>
    <row r="6" customFormat="false" ht="15" hidden="false" customHeight="false" outlineLevel="0" collapsed="false">
      <c r="B6" s="20" t="s">
        <v>700</v>
      </c>
      <c r="C6" s="108" t="n">
        <v>0.05</v>
      </c>
      <c r="D6" s="109" t="s">
        <v>701</v>
      </c>
    </row>
    <row r="7" customFormat="false" ht="15" hidden="false" customHeight="false" outlineLevel="0" collapsed="false">
      <c r="B7" s="20" t="s">
        <v>702</v>
      </c>
      <c r="C7" s="110" t="n">
        <v>0.95</v>
      </c>
      <c r="D7" s="109" t="s">
        <v>703</v>
      </c>
    </row>
    <row r="8" customFormat="false" ht="15" hidden="false" customHeight="false" outlineLevel="0" collapsed="false">
      <c r="B8" s="20" t="s">
        <v>704</v>
      </c>
      <c r="C8" s="111" t="n">
        <f aca="false">C5+C7*C6</f>
        <v>0.1025</v>
      </c>
    </row>
    <row r="9" customFormat="false" ht="15" hidden="false" customHeight="false" outlineLevel="0" collapsed="false">
      <c r="B9" s="20" t="s">
        <v>705</v>
      </c>
      <c r="C9" s="108" t="n">
        <v>0.055</v>
      </c>
      <c r="D9" s="109" t="s">
        <v>706</v>
      </c>
    </row>
    <row r="10" customFormat="false" ht="15" hidden="false" customHeight="false" outlineLevel="0" collapsed="false">
      <c r="B10" s="20" t="s">
        <v>707</v>
      </c>
      <c r="C10" s="108" t="n">
        <v>0.22</v>
      </c>
      <c r="D10" s="109" t="s">
        <v>708</v>
      </c>
    </row>
    <row r="11" customFormat="false" ht="15" hidden="false" customHeight="false" outlineLevel="0" collapsed="false">
      <c r="B11" s="20" t="s">
        <v>709</v>
      </c>
      <c r="C11" s="111" t="n">
        <f aca="false">C9*(1-C10)</f>
        <v>0.0429</v>
      </c>
    </row>
    <row r="12" customFormat="false" ht="15" hidden="false" customHeight="false" outlineLevel="0" collapsed="false">
      <c r="B12" s="20" t="s">
        <v>710</v>
      </c>
      <c r="C12" s="108" t="n">
        <v>0.05</v>
      </c>
      <c r="D12" s="109" t="s">
        <v>711</v>
      </c>
    </row>
    <row r="13" customFormat="false" ht="15" hidden="false" customHeight="false" outlineLevel="0" collapsed="false">
      <c r="B13" s="15" t="s">
        <v>712</v>
      </c>
      <c r="C13" s="112" t="n">
        <f aca="false">C8*(1-C12)+C11*C12</f>
        <v>0.09952</v>
      </c>
    </row>
    <row r="15" customFormat="false" ht="15" hidden="false" customHeight="false" outlineLevel="0" collapsed="false">
      <c r="B15" s="20" t="s">
        <v>713</v>
      </c>
      <c r="C15" s="113" t="n">
        <f aca="true">TODAY()</f>
        <v>46302</v>
      </c>
      <c r="D15" s="109" t="s">
        <v>714</v>
      </c>
    </row>
    <row r="16" customFormat="false" ht="15" hidden="false" customHeight="false" outlineLevel="0" collapsed="false">
      <c r="B16" s="106" t="s">
        <v>715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</row>
    <row r="17" customFormat="false" ht="15" hidden="false" customHeight="false" outlineLevel="0" collapsed="false">
      <c r="D17" s="7" t="s">
        <v>84</v>
      </c>
      <c r="E17" s="7" t="s">
        <v>85</v>
      </c>
      <c r="F17" s="7" t="s">
        <v>86</v>
      </c>
      <c r="G17" s="7" t="s">
        <v>87</v>
      </c>
      <c r="H17" s="7" t="s">
        <v>88</v>
      </c>
      <c r="I17" s="7" t="s">
        <v>716</v>
      </c>
      <c r="J17" s="7" t="s">
        <v>717</v>
      </c>
      <c r="K17" s="7" t="s">
        <v>718</v>
      </c>
      <c r="L17" s="7" t="s">
        <v>719</v>
      </c>
      <c r="M17" s="7" t="s">
        <v>720</v>
      </c>
      <c r="N17" s="7" t="s">
        <v>721</v>
      </c>
      <c r="P17" s="7" t="s">
        <v>722</v>
      </c>
      <c r="Q17" s="7" t="s">
        <v>723</v>
      </c>
    </row>
    <row r="18" customFormat="false" ht="15" hidden="false" customHeight="false" outlineLevel="0" collapsed="false">
      <c r="B18" s="20" t="s">
        <v>724</v>
      </c>
      <c r="D18" s="114" t="n">
        <f aca="false">Model!CA123</f>
        <v>720.874</v>
      </c>
      <c r="E18" s="114" t="n">
        <f aca="false">Model!CB123</f>
        <v>809.7922</v>
      </c>
      <c r="F18" s="114" t="n">
        <f aca="false">Model!CC123</f>
        <v>898.8683313</v>
      </c>
      <c r="G18" s="114" t="n">
        <f aca="false">Model!CD123</f>
        <v>986.510197833</v>
      </c>
      <c r="H18" s="114" t="n">
        <f aca="false">Model!CE123</f>
        <v>1079.48494832178</v>
      </c>
      <c r="I18" s="42" t="n">
        <f aca="false">H18*(1+I$26)</f>
        <v>1155.0488947043</v>
      </c>
      <c r="J18" s="42" t="n">
        <f aca="false">I18*(1+J$26)</f>
        <v>1230.12707286008</v>
      </c>
      <c r="K18" s="42" t="n">
        <f aca="false">J18*(1+K$26)</f>
        <v>1303.93469723169</v>
      </c>
      <c r="L18" s="42" t="n">
        <f aca="false">K18*(1+L$26)</f>
        <v>1375.65110557943</v>
      </c>
      <c r="M18" s="42" t="n">
        <f aca="false">L18*(1+M$26)</f>
        <v>1444.4336608584</v>
      </c>
    </row>
    <row r="19" customFormat="false" ht="15" hidden="false" customHeight="false" outlineLevel="0" collapsed="false">
      <c r="B19" s="20" t="s">
        <v>725</v>
      </c>
      <c r="D19" s="37" t="n">
        <f aca="false">1-$C$10</f>
        <v>0.78</v>
      </c>
      <c r="E19" s="37" t="n">
        <f aca="false">1-$C$10</f>
        <v>0.78</v>
      </c>
      <c r="F19" s="37" t="n">
        <f aca="false">1-$C$10</f>
        <v>0.78</v>
      </c>
      <c r="G19" s="37" t="n">
        <f aca="false">1-$C$10</f>
        <v>0.78</v>
      </c>
      <c r="H19" s="37" t="n">
        <f aca="false">1-$C$10</f>
        <v>0.78</v>
      </c>
      <c r="I19" s="37" t="n">
        <f aca="false">1-$C$10</f>
        <v>0.78</v>
      </c>
      <c r="J19" s="37" t="n">
        <f aca="false">1-$C$10</f>
        <v>0.78</v>
      </c>
      <c r="K19" s="37" t="n">
        <f aca="false">1-$C$10</f>
        <v>0.78</v>
      </c>
      <c r="L19" s="37" t="n">
        <f aca="false">1-$C$10</f>
        <v>0.78</v>
      </c>
      <c r="M19" s="37" t="n">
        <f aca="false">1-$C$10</f>
        <v>0.78</v>
      </c>
    </row>
    <row r="20" customFormat="false" ht="15" hidden="false" customHeight="false" outlineLevel="0" collapsed="false">
      <c r="B20" s="15" t="s">
        <v>726</v>
      </c>
      <c r="D20" s="115" t="n">
        <f aca="false">D18*D19</f>
        <v>562.28172</v>
      </c>
      <c r="E20" s="115" t="n">
        <f aca="false">E18*E19</f>
        <v>631.637916</v>
      </c>
      <c r="F20" s="115" t="n">
        <f aca="false">F18*F19</f>
        <v>701.117298414</v>
      </c>
      <c r="G20" s="115" t="n">
        <f aca="false">G18*G19</f>
        <v>769.47795430974</v>
      </c>
      <c r="H20" s="115" t="n">
        <f aca="false">H18*H19</f>
        <v>841.998259690989</v>
      </c>
      <c r="I20" s="115" t="n">
        <f aca="false">I18*I19</f>
        <v>900.938137869358</v>
      </c>
      <c r="J20" s="115" t="n">
        <f aca="false">J18*J19</f>
        <v>959.499116830866</v>
      </c>
      <c r="K20" s="115" t="n">
        <f aca="false">K18*K19</f>
        <v>1017.06906384072</v>
      </c>
      <c r="L20" s="115" t="n">
        <f aca="false">L18*L19</f>
        <v>1073.00786235196</v>
      </c>
      <c r="M20" s="115" t="n">
        <f aca="false">M18*M19</f>
        <v>1126.65825546956</v>
      </c>
    </row>
    <row r="21" customFormat="false" ht="15" hidden="false" customHeight="false" outlineLevel="0" collapsed="false">
      <c r="B21" s="20" t="s">
        <v>727</v>
      </c>
      <c r="D21" s="114" t="n">
        <f aca="false">Model!CA100</f>
        <v>115.432112831238</v>
      </c>
      <c r="E21" s="114" t="n">
        <f aca="false">Model!CB100</f>
        <v>127.7888</v>
      </c>
      <c r="F21" s="114" t="n">
        <f aca="false">Model!CC100</f>
        <v>137.9898672</v>
      </c>
      <c r="G21" s="114" t="n">
        <f aca="false">Model!CD100</f>
        <v>154.336368752</v>
      </c>
      <c r="H21" s="114" t="n">
        <f aca="false">Model!CE100</f>
        <v>170.16031002432</v>
      </c>
      <c r="I21" s="42" t="n">
        <f aca="false">H21*(1+I$26)</f>
        <v>182.071531726022</v>
      </c>
      <c r="J21" s="42" t="n">
        <f aca="false">I21*(1+J$26)</f>
        <v>193.906181288214</v>
      </c>
      <c r="K21" s="42" t="n">
        <f aca="false">J21*(1+K$26)</f>
        <v>205.540552165507</v>
      </c>
      <c r="L21" s="42" t="n">
        <f aca="false">K21*(1+L$26)</f>
        <v>216.84528253461</v>
      </c>
      <c r="M21" s="42" t="n">
        <f aca="false">L21*(1+M$26)</f>
        <v>227.68754666134</v>
      </c>
    </row>
    <row r="22" customFormat="false" ht="15" hidden="false" customHeight="false" outlineLevel="0" collapsed="false">
      <c r="B22" s="20" t="s">
        <v>728</v>
      </c>
      <c r="D22" s="114" t="n">
        <f aca="false">Model!CA237+Model!CA238+Model!CA239</f>
        <v>-106.164</v>
      </c>
      <c r="E22" s="114" t="n">
        <f aca="false">Model!CB237+Model!CB238+Model!CB239</f>
        <v>-419.2422</v>
      </c>
      <c r="F22" s="114" t="n">
        <f aca="false">Model!CC237+Model!CC238+Model!CC239</f>
        <v>-430.3003843</v>
      </c>
      <c r="G22" s="114" t="n">
        <f aca="false">Model!CD237+Model!CD238+Model!CD239</f>
        <v>-441.431855863</v>
      </c>
      <c r="H22" s="114" t="n">
        <f aca="false">Model!CE237+Model!CE238+Model!CE239</f>
        <v>-453.22885879408</v>
      </c>
      <c r="I22" s="42" t="n">
        <f aca="false">Model!CE237*(1+I$26)</f>
        <v>-163.954878909666</v>
      </c>
      <c r="J22" s="42" t="n">
        <f aca="false">I22*(1+J$26)</f>
        <v>-174.611946038794</v>
      </c>
      <c r="K22" s="42" t="n">
        <f aca="false">J22*(1+K$26)</f>
        <v>-185.088662801122</v>
      </c>
      <c r="L22" s="42" t="n">
        <f aca="false">K22*(1+L$26)</f>
        <v>-195.268539255183</v>
      </c>
      <c r="M22" s="42" t="n">
        <f aca="false">L22*(1+M$26)</f>
        <v>-205.031966217942</v>
      </c>
    </row>
    <row r="23" customFormat="false" ht="15" hidden="false" customHeight="false" outlineLevel="0" collapsed="false">
      <c r="B23" s="20" t="s">
        <v>729</v>
      </c>
      <c r="D23" s="114" t="n">
        <f aca="false">Model!CA234-Model!CA235</f>
        <v>4.44664337573213</v>
      </c>
      <c r="E23" s="114" t="n">
        <f aca="false">Model!CB234-Model!CB235</f>
        <v>-28.9749065652868</v>
      </c>
      <c r="F23" s="114" t="n">
        <f aca="false">Model!CC234-Model!CC235</f>
        <v>-37.8621580779393</v>
      </c>
      <c r="G23" s="114" t="n">
        <f aca="false">Model!CD234-Model!CD235</f>
        <v>-38.3932038758738</v>
      </c>
      <c r="H23" s="114" t="n">
        <f aca="false">Model!CE234-Model!CE235</f>
        <v>-40.6758096328853</v>
      </c>
      <c r="I23" s="42" t="n">
        <f aca="false">H23*(1+I$26)</f>
        <v>-43.5231163071873</v>
      </c>
      <c r="J23" s="42" t="n">
        <f aca="false">I23*(1+J$26)</f>
        <v>-46.3521188671545</v>
      </c>
      <c r="K23" s="42" t="n">
        <f aca="false">J23*(1+K$26)</f>
        <v>-49.1332459991837</v>
      </c>
      <c r="L23" s="42" t="n">
        <f aca="false">K23*(1+L$26)</f>
        <v>-51.8355745291388</v>
      </c>
      <c r="M23" s="42" t="n">
        <f aca="false">L23*(1+M$26)</f>
        <v>-54.4273532555958</v>
      </c>
    </row>
    <row r="24" customFormat="false" ht="15" hidden="false" customHeight="false" outlineLevel="0" collapsed="false">
      <c r="B24" s="15" t="s">
        <v>730</v>
      </c>
      <c r="D24" s="116" t="n">
        <f aca="false">D20+D21+D22+D23</f>
        <v>575.99647620697</v>
      </c>
      <c r="E24" s="116" t="n">
        <f aca="false">E20+E21+E22+E23</f>
        <v>311.209609434713</v>
      </c>
      <c r="F24" s="116" t="n">
        <f aca="false">F20+F21+F22+F23</f>
        <v>370.944623236061</v>
      </c>
      <c r="G24" s="116" t="n">
        <f aca="false">G20+G21+G22+G23</f>
        <v>443.989263322866</v>
      </c>
      <c r="H24" s="116" t="n">
        <f aca="false">H20+H21+H22+H23</f>
        <v>518.253901288343</v>
      </c>
      <c r="I24" s="116" t="n">
        <f aca="false">I20+I21+I22+I23</f>
        <v>875.531674378527</v>
      </c>
      <c r="J24" s="116" t="n">
        <f aca="false">J20+J21+J22+J23</f>
        <v>932.441233213132</v>
      </c>
      <c r="K24" s="116" t="n">
        <f aca="false">K20+K21+K22+K23</f>
        <v>988.38770720592</v>
      </c>
      <c r="L24" s="116" t="n">
        <f aca="false">L20+L21+L22+L23</f>
        <v>1042.74903110225</v>
      </c>
      <c r="M24" s="116" t="n">
        <f aca="false">M20+M21+M22+M23</f>
        <v>1094.88648265736</v>
      </c>
      <c r="N24" s="115" t="n">
        <f aca="false">M24*(1+$C$27)</f>
        <v>1138.68194196365</v>
      </c>
      <c r="P24" s="117" t="n">
        <f aca="false">IFERROR((H24/E24)^(1/3)-1,"n/m")</f>
        <v>0.185304301586126</v>
      </c>
      <c r="Q24" s="117" t="n">
        <f aca="false">IFERROR((M24/E24)^(1/8)-1,"n/m")</f>
        <v>0.1702792694906</v>
      </c>
    </row>
    <row r="25" customFormat="false" ht="15" hidden="false" customHeight="false" outlineLevel="0" collapsed="false">
      <c r="B25" s="20" t="s">
        <v>731</v>
      </c>
      <c r="N25" s="116" t="n">
        <f aca="false">N24/($C$13-$C$27)</f>
        <v>19131.0810141743</v>
      </c>
    </row>
    <row r="26" customFormat="false" ht="15" hidden="false" customHeight="false" outlineLevel="0" collapsed="false">
      <c r="B26" s="20" t="s">
        <v>732</v>
      </c>
      <c r="I26" s="118" t="n">
        <v>0.07</v>
      </c>
      <c r="J26" s="117" t="n">
        <f aca="false">I26+($M$26-$I$26)/4</f>
        <v>0.065</v>
      </c>
      <c r="K26" s="117" t="n">
        <f aca="false">J26+($M$26-$I$26)/4</f>
        <v>0.06</v>
      </c>
      <c r="L26" s="117" t="n">
        <f aca="false">K26+($M$26-$I$26)/4</f>
        <v>0.055</v>
      </c>
      <c r="M26" s="118" t="n">
        <v>0.05</v>
      </c>
    </row>
    <row r="27" customFormat="false" ht="15" hidden="false" customHeight="false" outlineLevel="0" collapsed="false">
      <c r="B27" s="20" t="s">
        <v>733</v>
      </c>
      <c r="C27" s="118" t="n">
        <v>0.04</v>
      </c>
    </row>
    <row r="29" customFormat="false" ht="15" hidden="false" customHeight="false" outlineLevel="0" collapsed="false">
      <c r="B29" s="20" t="s">
        <v>734</v>
      </c>
      <c r="D29" s="119" t="n">
        <f aca="false">(DATE(2026,12,31)-$C$15)/365.25</f>
        <v>0.232717316906229</v>
      </c>
      <c r="E29" s="119" t="n">
        <f aca="false">(DATE(2027,12,31)-$C$15)/365.25</f>
        <v>1.23203285420945</v>
      </c>
      <c r="F29" s="119" t="n">
        <f aca="false">(DATE(2028,12,31)-$C$15)/365.25</f>
        <v>2.23408624229979</v>
      </c>
      <c r="G29" s="119" t="n">
        <f aca="false">(DATE(2029,12,31)-$C$15)/365.25</f>
        <v>3.23340177960301</v>
      </c>
      <c r="H29" s="119" t="n">
        <f aca="false">(DATE(2030,12,31)-$C$15)/365.25</f>
        <v>4.23271731690623</v>
      </c>
      <c r="I29" s="119" t="n">
        <f aca="false">(DATE(2031,12,31)-$C$15)/365.25</f>
        <v>5.23203285420945</v>
      </c>
      <c r="J29" s="119" t="n">
        <f aca="false">(DATE(2032,12,31)-$C$15)/365.25</f>
        <v>6.2340862422998</v>
      </c>
      <c r="K29" s="119" t="n">
        <f aca="false">(DATE(2033,12,31)-$C$15)/365.25</f>
        <v>7.23340177960301</v>
      </c>
      <c r="L29" s="119" t="n">
        <f aca="false">(DATE(2034,12,31)-$C$15)/365.25</f>
        <v>8.23271731690623</v>
      </c>
      <c r="M29" s="119" t="n">
        <f aca="false">(DATE(2035,12,31)-$C$15)/365.25</f>
        <v>9.23203285420945</v>
      </c>
      <c r="N29" s="119" t="n">
        <f aca="false">M29</f>
        <v>9.23203285420945</v>
      </c>
    </row>
    <row r="30" customFormat="false" ht="15" hidden="false" customHeight="false" outlineLevel="0" collapsed="false">
      <c r="B30" s="20" t="s">
        <v>735</v>
      </c>
      <c r="D30" s="120" t="n">
        <f aca="false">1/(1+$C$13)^D29</f>
        <v>0.978163194055244</v>
      </c>
      <c r="E30" s="120" t="n">
        <f aca="false">1/(1+$C$13)^E29</f>
        <v>0.889685240479925</v>
      </c>
      <c r="F30" s="120" t="n">
        <f aca="false">1/(1+$C$13)^F29</f>
        <v>0.809000232369104</v>
      </c>
      <c r="G30" s="120" t="n">
        <f aca="false">1/(1+$C$13)^G29</f>
        <v>0.735823603523331</v>
      </c>
      <c r="H30" s="120" t="n">
        <f aca="false">1/(1+$C$13)^H29</f>
        <v>0.669266032120287</v>
      </c>
      <c r="I30" s="120" t="n">
        <f aca="false">1/(1+$C$13)^I29</f>
        <v>0.608728803486705</v>
      </c>
      <c r="J30" s="120" t="n">
        <f aca="false">1/(1+$C$13)^J29</f>
        <v>0.553523562113789</v>
      </c>
      <c r="K30" s="120" t="n">
        <f aca="false">1/(1+$C$13)^K29</f>
        <v>0.503455605836972</v>
      </c>
      <c r="L30" s="120" t="n">
        <f aca="false">1/(1+$C$13)^L29</f>
        <v>0.45791645450599</v>
      </c>
      <c r="M30" s="120" t="n">
        <f aca="false">1/(1+$C$13)^M29</f>
        <v>0.416496463394704</v>
      </c>
      <c r="N30" s="120" t="n">
        <f aca="false">1/(1+$C$13)^N29</f>
        <v>0.416496463394704</v>
      </c>
    </row>
    <row r="31" customFormat="false" ht="15" hidden="false" customHeight="false" outlineLevel="0" collapsed="false">
      <c r="B31" s="20" t="s">
        <v>736</v>
      </c>
      <c r="D31" s="42" t="n">
        <f aca="false">D24*D30*0</f>
        <v>0</v>
      </c>
      <c r="E31" s="42" t="n">
        <f aca="false">E24*E30</f>
        <v>276.878596209586</v>
      </c>
      <c r="F31" s="42" t="n">
        <f aca="false">F24*F30</f>
        <v>300.094286394043</v>
      </c>
      <c r="G31" s="42" t="n">
        <f aca="false">G24*G30</f>
        <v>326.697779663901</v>
      </c>
      <c r="H31" s="42" t="n">
        <f aca="false">H24*H30</f>
        <v>346.849732146108</v>
      </c>
      <c r="I31" s="42" t="n">
        <f aca="false">I24*I30</f>
        <v>532.961348559152</v>
      </c>
      <c r="J31" s="42" t="n">
        <f aca="false">J24*J30</f>
        <v>516.128192869907</v>
      </c>
      <c r="K31" s="42" t="n">
        <f aca="false">K24*K30</f>
        <v>497.609331933172</v>
      </c>
      <c r="L31" s="42" t="n">
        <f aca="false">L24*L30</f>
        <v>477.491939261897</v>
      </c>
      <c r="M31" s="42" t="n">
        <f aca="false">M24*M30</f>
        <v>456.016347845456</v>
      </c>
      <c r="N31" s="42" t="n">
        <f aca="false">N25*N30</f>
        <v>7968.02758332114</v>
      </c>
    </row>
    <row r="32" customFormat="false" ht="15" hidden="false" customHeight="false" outlineLevel="0" collapsed="false">
      <c r="D32" s="109" t="s">
        <v>737</v>
      </c>
    </row>
    <row r="33" customFormat="false" ht="15" hidden="false" customHeight="false" outlineLevel="0" collapsed="false">
      <c r="B33" s="106" t="s">
        <v>738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customFormat="false" ht="15" hidden="false" customHeight="false" outlineLevel="0" collapsed="false">
      <c r="B34" s="20" t="s">
        <v>739</v>
      </c>
      <c r="E34" s="42" t="n">
        <f aca="false">Model!CA356</f>
        <v>3107.10624379303</v>
      </c>
      <c r="F34" s="42" t="n">
        <f aca="false">E38</f>
        <v>3427.53455035832</v>
      </c>
      <c r="G34" s="42" t="n">
        <f aca="false">F38</f>
        <v>3757.70722553626</v>
      </c>
      <c r="H34" s="42" t="n">
        <f aca="false">G38</f>
        <v>4083.19591652313</v>
      </c>
      <c r="I34" s="42" t="n">
        <f aca="false">H38</f>
        <v>4406.94027492578</v>
      </c>
      <c r="J34" s="42" t="n">
        <f aca="false">I38</f>
        <v>4432.34673841661</v>
      </c>
      <c r="K34" s="42" t="n">
        <f aca="false">J38</f>
        <v>4459.40462203434</v>
      </c>
      <c r="L34" s="42" t="n">
        <f aca="false">K38</f>
        <v>4488.08597866914</v>
      </c>
      <c r="M34" s="42" t="n">
        <f aca="false">L38</f>
        <v>4518.34480991885</v>
      </c>
    </row>
    <row r="35" customFormat="false" ht="15" hidden="false" customHeight="false" outlineLevel="0" collapsed="false">
      <c r="B35" s="20" t="s">
        <v>740</v>
      </c>
      <c r="E35" s="42" t="n">
        <f aca="false">-E22</f>
        <v>419.2422</v>
      </c>
      <c r="F35" s="42" t="n">
        <f aca="false">-F22</f>
        <v>430.3003843</v>
      </c>
      <c r="G35" s="42" t="n">
        <f aca="false">-G22</f>
        <v>441.431855863</v>
      </c>
      <c r="H35" s="42" t="n">
        <f aca="false">-H22</f>
        <v>453.22885879408</v>
      </c>
      <c r="I35" s="42" t="n">
        <f aca="false">-I22</f>
        <v>163.954878909666</v>
      </c>
      <c r="J35" s="42" t="n">
        <f aca="false">-J22</f>
        <v>174.611946038794</v>
      </c>
      <c r="K35" s="42" t="n">
        <f aca="false">-K22</f>
        <v>185.088662801122</v>
      </c>
      <c r="L35" s="42" t="n">
        <f aca="false">-L22</f>
        <v>195.268539255183</v>
      </c>
      <c r="M35" s="42" t="n">
        <f aca="false">-M22</f>
        <v>205.031966217942</v>
      </c>
    </row>
    <row r="36" customFormat="false" ht="15" hidden="false" customHeight="false" outlineLevel="0" collapsed="false">
      <c r="B36" s="20" t="s">
        <v>741</v>
      </c>
      <c r="E36" s="42" t="n">
        <f aca="false">-E21</f>
        <v>-127.7888</v>
      </c>
      <c r="F36" s="42" t="n">
        <f aca="false">-F21</f>
        <v>-137.9898672</v>
      </c>
      <c r="G36" s="42" t="n">
        <f aca="false">-G21</f>
        <v>-154.336368752</v>
      </c>
      <c r="H36" s="42" t="n">
        <f aca="false">-H21</f>
        <v>-170.16031002432</v>
      </c>
      <c r="I36" s="42" t="n">
        <f aca="false">-I21</f>
        <v>-182.071531726022</v>
      </c>
      <c r="J36" s="42" t="n">
        <f aca="false">-J21</f>
        <v>-193.906181288214</v>
      </c>
      <c r="K36" s="42" t="n">
        <f aca="false">-K21</f>
        <v>-205.540552165507</v>
      </c>
      <c r="L36" s="42" t="n">
        <f aca="false">-L21</f>
        <v>-216.84528253461</v>
      </c>
      <c r="M36" s="42" t="n">
        <f aca="false">-M21</f>
        <v>-227.68754666134</v>
      </c>
    </row>
    <row r="37" customFormat="false" ht="15" hidden="false" customHeight="false" outlineLevel="0" collapsed="false">
      <c r="B37" s="20" t="s">
        <v>742</v>
      </c>
      <c r="E37" s="42" t="n">
        <f aca="false">-E23</f>
        <v>28.9749065652868</v>
      </c>
      <c r="F37" s="42" t="n">
        <f aca="false">-F23</f>
        <v>37.8621580779393</v>
      </c>
      <c r="G37" s="42" t="n">
        <f aca="false">-G23</f>
        <v>38.3932038758738</v>
      </c>
      <c r="H37" s="42" t="n">
        <f aca="false">-H23</f>
        <v>40.6758096328853</v>
      </c>
      <c r="I37" s="42" t="n">
        <f aca="false">-I23</f>
        <v>43.5231163071873</v>
      </c>
      <c r="J37" s="42" t="n">
        <f aca="false">-J23</f>
        <v>46.3521188671545</v>
      </c>
      <c r="K37" s="42" t="n">
        <f aca="false">-K23</f>
        <v>49.1332459991837</v>
      </c>
      <c r="L37" s="42" t="n">
        <f aca="false">-L23</f>
        <v>51.8355745291388</v>
      </c>
      <c r="M37" s="42" t="n">
        <f aca="false">-M23</f>
        <v>54.4273532555958</v>
      </c>
    </row>
    <row r="38" customFormat="false" ht="15" hidden="false" customHeight="false" outlineLevel="0" collapsed="false">
      <c r="B38" s="15" t="s">
        <v>743</v>
      </c>
      <c r="E38" s="115" t="n">
        <f aca="false">SUM(E34:E37)</f>
        <v>3427.53455035832</v>
      </c>
      <c r="F38" s="115" t="n">
        <f aca="false">SUM(F34:F37)</f>
        <v>3757.70722553626</v>
      </c>
      <c r="G38" s="115" t="n">
        <f aca="false">SUM(G34:G37)</f>
        <v>4083.19591652313</v>
      </c>
      <c r="H38" s="115" t="n">
        <f aca="false">SUM(H34:H37)</f>
        <v>4406.94027492578</v>
      </c>
      <c r="I38" s="115" t="n">
        <f aca="false">SUM(I34:I37)</f>
        <v>4432.34673841661</v>
      </c>
      <c r="J38" s="115" t="n">
        <f aca="false">SUM(J34:J37)</f>
        <v>4459.40462203434</v>
      </c>
      <c r="K38" s="115" t="n">
        <f aca="false">SUM(K34:K37)</f>
        <v>4488.08597866914</v>
      </c>
      <c r="L38" s="115" t="n">
        <f aca="false">SUM(L34:L37)</f>
        <v>4518.34480991885</v>
      </c>
      <c r="M38" s="115" t="n">
        <f aca="false">SUM(M34:M37)</f>
        <v>4550.11658273105</v>
      </c>
    </row>
    <row r="39" customFormat="false" ht="15" hidden="false" customHeight="false" outlineLevel="0" collapsed="false">
      <c r="B39" s="20" t="s">
        <v>744</v>
      </c>
      <c r="E39" s="42" t="n">
        <f aca="false">E20</f>
        <v>631.637916</v>
      </c>
      <c r="F39" s="42" t="n">
        <f aca="false">F20</f>
        <v>701.117298414</v>
      </c>
      <c r="G39" s="42" t="n">
        <f aca="false">G20</f>
        <v>769.47795430974</v>
      </c>
      <c r="H39" s="42" t="n">
        <f aca="false">H20</f>
        <v>841.998259690989</v>
      </c>
      <c r="I39" s="42" t="n">
        <f aca="false">I20</f>
        <v>900.938137869358</v>
      </c>
      <c r="J39" s="42" t="n">
        <f aca="false">J20</f>
        <v>959.499116830866</v>
      </c>
      <c r="K39" s="42" t="n">
        <f aca="false">K20</f>
        <v>1017.06906384072</v>
      </c>
      <c r="L39" s="42" t="n">
        <f aca="false">L20</f>
        <v>1073.00786235196</v>
      </c>
      <c r="M39" s="42" t="n">
        <f aca="false">M20</f>
        <v>1126.65825546956</v>
      </c>
    </row>
    <row r="40" customFormat="false" ht="15" hidden="false" customHeight="false" outlineLevel="0" collapsed="false">
      <c r="B40" s="15" t="s">
        <v>745</v>
      </c>
      <c r="E40" s="121" t="n">
        <f aca="false">IFERROR(E39/AVERAGE(E34,E38),"")</f>
        <v>0.193319858243878</v>
      </c>
      <c r="F40" s="121" t="n">
        <f aca="false">IFERROR(F39/AVERAGE(F34,F38),"")</f>
        <v>0.195154824369625</v>
      </c>
      <c r="G40" s="121" t="n">
        <f aca="false">IFERROR(G39/AVERAGE(G34,G38),"")</f>
        <v>0.196272786531996</v>
      </c>
      <c r="H40" s="121" t="n">
        <f aca="false">IFERROR(H39/AVERAGE(H34,H38),"")</f>
        <v>0.198347409441802</v>
      </c>
      <c r="I40" s="121" t="n">
        <f aca="false">IFERROR(I39/AVERAGE(I34,I38),"")</f>
        <v>0.203848599216078</v>
      </c>
      <c r="J40" s="121" t="n">
        <f aca="false">IFERROR(J39/AVERAGE(J34,J38),"")</f>
        <v>0.215817801900886</v>
      </c>
      <c r="K40" s="121" t="n">
        <f aca="false">IFERROR(K39/AVERAGE(K34,K38),"")</f>
        <v>0.227341745128126</v>
      </c>
      <c r="L40" s="121" t="n">
        <f aca="false">IFERROR(L39/AVERAGE(L34,L38),"")</f>
        <v>0.238275935837216</v>
      </c>
      <c r="M40" s="121" t="n">
        <f aca="false">IFERROR(M39/AVERAGE(M34,M38),"")</f>
        <v>0.248478370626957</v>
      </c>
    </row>
    <row r="41" customFormat="false" ht="15" hidden="false" customHeight="false" outlineLevel="0" collapsed="false">
      <c r="B41" s="20" t="s">
        <v>746</v>
      </c>
      <c r="E41" s="37" t="n">
        <f aca="false">IFERROR(SUM(E35:E37)/E39,"")</f>
        <v>0.507297453886994</v>
      </c>
      <c r="F41" s="37" t="n">
        <f aca="false">IFERROR(SUM(F35:F37)/F39,"")</f>
        <v>0.470923589996744</v>
      </c>
      <c r="G41" s="37" t="n">
        <f aca="false">IFERROR(SUM(G35:G37)/G39,"")</f>
        <v>0.422999371410001</v>
      </c>
      <c r="H41" s="37" t="n">
        <f aca="false">IFERROR(SUM(H35:H37)/H39,"")</f>
        <v>0.384495282117874</v>
      </c>
      <c r="I41" s="37" t="n">
        <f aca="false">IFERROR(SUM(I35:I37)/I39,"")</f>
        <v>0.0282000088828681</v>
      </c>
      <c r="J41" s="37" t="n">
        <f aca="false">IFERROR(SUM(J35:J37)/J39,"")</f>
        <v>0.0282000088828681</v>
      </c>
      <c r="K41" s="37" t="n">
        <f aca="false">IFERROR(SUM(K35:K37)/K39,"")</f>
        <v>0.0282000088828681</v>
      </c>
      <c r="L41" s="37" t="n">
        <f aca="false">IFERROR(SUM(L35:L37)/L39,"")</f>
        <v>0.0282000088828681</v>
      </c>
      <c r="M41" s="37" t="n">
        <f aca="false">IFERROR(SUM(M35:M37)/M39,"")</f>
        <v>0.0282000088828681</v>
      </c>
    </row>
    <row r="42" customFormat="false" ht="15" hidden="false" customHeight="false" outlineLevel="0" collapsed="false">
      <c r="B42" s="20" t="s">
        <v>747</v>
      </c>
      <c r="N42" s="37" t="n">
        <f aca="false">IFERROR($C$27/M41,"")</f>
        <v>1.41843926951032</v>
      </c>
    </row>
    <row r="43" customFormat="false" ht="15" hidden="false" customHeight="false" outlineLevel="0" collapsed="false">
      <c r="D43" s="109" t="s">
        <v>748</v>
      </c>
    </row>
    <row r="44" customFormat="false" ht="15" hidden="false" customHeight="false" outlineLevel="0" collapsed="false">
      <c r="B44" s="106" t="s">
        <v>749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</row>
    <row r="45" customFormat="false" ht="15" hidden="false" customHeight="false" outlineLevel="0" collapsed="false">
      <c r="B45" s="20" t="s">
        <v>750</v>
      </c>
      <c r="C45" s="42" t="n">
        <f aca="false">SUM(E31:M31)</f>
        <v>3730.72755488322</v>
      </c>
    </row>
    <row r="46" customFormat="false" ht="15" hidden="false" customHeight="false" outlineLevel="0" collapsed="false">
      <c r="B46" s="20" t="s">
        <v>751</v>
      </c>
      <c r="C46" s="42" t="n">
        <f aca="false">N31</f>
        <v>7968.02758332114</v>
      </c>
    </row>
    <row r="47" customFormat="false" ht="15" hidden="false" customHeight="false" outlineLevel="0" collapsed="false">
      <c r="B47" s="15" t="s">
        <v>752</v>
      </c>
      <c r="C47" s="116" t="n">
        <f aca="false">C45+C46</f>
        <v>11698.7551382044</v>
      </c>
    </row>
    <row r="48" customFormat="false" ht="15" hidden="false" customHeight="false" outlineLevel="0" collapsed="false">
      <c r="B48" s="20" t="s">
        <v>753</v>
      </c>
      <c r="C48" s="114" t="n">
        <f aca="false">Model!CA376</f>
        <v>347.032954868158</v>
      </c>
      <c r="D48" s="109" t="s">
        <v>754</v>
      </c>
    </row>
    <row r="49" customFormat="false" ht="15" hidden="false" customHeight="false" outlineLevel="0" collapsed="false">
      <c r="B49" s="15" t="s">
        <v>755</v>
      </c>
      <c r="C49" s="115" t="n">
        <f aca="false">C47-C48</f>
        <v>11351.7221833362</v>
      </c>
    </row>
    <row r="50" customFormat="false" ht="15" hidden="false" customHeight="false" outlineLevel="0" collapsed="false">
      <c r="B50" s="20" t="s">
        <v>756</v>
      </c>
      <c r="C50" s="122" t="n">
        <f aca="false">Model!CA383</f>
        <v>36.6608802134838</v>
      </c>
    </row>
    <row r="51" customFormat="false" ht="15" hidden="false" customHeight="false" outlineLevel="0" collapsed="false">
      <c r="B51" s="15" t="s">
        <v>757</v>
      </c>
      <c r="C51" s="123" t="n">
        <f aca="false">C49/C50</f>
        <v>309.641288404229</v>
      </c>
    </row>
    <row r="52" customFormat="false" ht="15" hidden="false" customHeight="false" outlineLevel="0" collapsed="false">
      <c r="B52" s="20" t="s">
        <v>758</v>
      </c>
      <c r="C52" s="124" t="n">
        <f aca="false">Model!CA381</f>
        <v>544.21</v>
      </c>
    </row>
    <row r="53" customFormat="false" ht="15" hidden="false" customHeight="false" outlineLevel="0" collapsed="false">
      <c r="B53" s="20" t="s">
        <v>759</v>
      </c>
      <c r="C53" s="125" t="n">
        <f aca="false">C51/C52-1</f>
        <v>-0.431026095800833</v>
      </c>
    </row>
    <row r="54" customFormat="false" ht="15" hidden="false" customHeight="false" outlineLevel="0" collapsed="false">
      <c r="B54" s="20" t="s">
        <v>760</v>
      </c>
      <c r="C54" s="117" t="n">
        <f aca="false">1-((1+C13)/(1+H54))^H55</f>
        <v>0.125991051066387</v>
      </c>
      <c r="D54" s="126" t="s">
        <v>761</v>
      </c>
      <c r="E54" s="126" t="s">
        <v>762</v>
      </c>
      <c r="H54" s="118" t="n">
        <v>0.15</v>
      </c>
    </row>
    <row r="55" customFormat="false" ht="15" hidden="false" customHeight="false" outlineLevel="0" collapsed="false">
      <c r="B55" s="20" t="s">
        <v>763</v>
      </c>
      <c r="C55" s="127" t="n">
        <f aca="false">C51*(1-C54)</f>
        <v>270.62925702463</v>
      </c>
      <c r="D55" s="117" t="n">
        <f aca="false">C55/C52-1</f>
        <v>-0.502711716020232</v>
      </c>
      <c r="E55" s="126" t="s">
        <v>764</v>
      </c>
      <c r="H55" s="128" t="n">
        <v>3</v>
      </c>
    </row>
    <row r="58" customFormat="false" ht="15" hidden="false" customHeight="false" outlineLevel="0" collapsed="false">
      <c r="B58" s="106" t="s">
        <v>765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</row>
    <row r="60" customFormat="false" ht="15" hidden="false" customHeight="false" outlineLevel="0" collapsed="false">
      <c r="D60" s="0" t="s">
        <v>766</v>
      </c>
    </row>
    <row r="61" customFormat="false" ht="15" hidden="false" customHeight="false" outlineLevel="0" collapsed="false">
      <c r="B61" s="0" t="s">
        <v>767</v>
      </c>
      <c r="D61" s="129" t="n">
        <f aca="false">F61-0.01</f>
        <v>0.08952</v>
      </c>
      <c r="E61" s="129" t="n">
        <f aca="false">F61-0.005</f>
        <v>0.09452</v>
      </c>
      <c r="F61" s="129" t="n">
        <f aca="false">$C$13</f>
        <v>0.09952</v>
      </c>
      <c r="G61" s="129" t="n">
        <f aca="false">F61+0.005</f>
        <v>0.10452</v>
      </c>
      <c r="H61" s="129" t="n">
        <f aca="false">F61+0.01</f>
        <v>0.10952</v>
      </c>
    </row>
    <row r="62" customFormat="false" ht="15" hidden="false" customHeight="false" outlineLevel="0" collapsed="false">
      <c r="B62" s="130" t="n">
        <f aca="false">B64-0.01</f>
        <v>0.03</v>
      </c>
      <c r="D62" s="131" t="n">
        <f aca="false">IFERROR((SUMPRODUCT($E$24:$M$24/(1+D$61)^$E$29:$M$29)+($M$24*(1+$B62)/(D$61-$B62))/(1+D$61)^$M$29-$C$48)/$C$50,"")</f>
        <v>331.966511406469</v>
      </c>
      <c r="E62" s="131" t="n">
        <f aca="false">IFERROR((SUMPRODUCT($E$24:$M$24/(1+E$61)^$E$29:$M$29)+($M$24*(1+$B62)/(E$61-$B62))/(1+E$61)^$M$29-$C$48)/$C$50,"")</f>
        <v>302.091066159989</v>
      </c>
      <c r="F62" s="131" t="n">
        <f aca="false">IFERROR((SUMPRODUCT($E$24:$M$24/(1+F$61)^$E$29:$M$29)+($M$24*(1+$B62)/(F$61-$B62))/(1+F$61)^$M$29-$C$48)/$C$50,"")</f>
        <v>276.58851003078</v>
      </c>
      <c r="G62" s="131" t="n">
        <f aca="false">IFERROR((SUMPRODUCT($E$24:$M$24/(1+G$61)^$E$29:$M$29)+($M$24*(1+$B62)/(G$61-$B62))/(1+G$61)^$M$29-$C$48)/$C$50,"")</f>
        <v>254.576483997983</v>
      </c>
      <c r="H62" s="131" t="n">
        <f aca="false">IFERROR((SUMPRODUCT($E$24:$M$24/(1+H$61)^$E$29:$M$29)+($M$24*(1+$B62)/(H$61-$B62))/(1+H$61)^$M$29-$C$48)/$C$50,"")</f>
        <v>235.394623693968</v>
      </c>
    </row>
    <row r="63" customFormat="false" ht="15" hidden="false" customHeight="false" outlineLevel="0" collapsed="false">
      <c r="B63" s="130" t="n">
        <f aca="false">B64-0.005</f>
        <v>0.035</v>
      </c>
      <c r="D63" s="131" t="n">
        <f aca="false">IFERROR((SUMPRODUCT($E$24:$M$24/(1+D$61)^$E$29:$M$29)+($M$24*(1+$B63)/(D$61-$B63))/(1+D$61)^$M$29-$C$48)/$C$50,"")</f>
        <v>354.685866236322</v>
      </c>
      <c r="E63" s="131" t="n">
        <f aca="false">IFERROR((SUMPRODUCT($E$24:$M$24/(1+E$61)^$E$29:$M$29)+($M$24*(1+$B63)/(E$61-$B63))/(1+E$61)^$M$29-$C$48)/$C$50,"")</f>
        <v>320.578989320858</v>
      </c>
      <c r="F63" s="131" t="n">
        <f aca="false">IFERROR((SUMPRODUCT($E$24:$M$24/(1+F$61)^$E$29:$M$29)+($M$24*(1+$B63)/(F$61-$B63))/(1+F$61)^$M$29-$C$48)/$C$50,"")</f>
        <v>291.834180898632</v>
      </c>
      <c r="G63" s="131" t="n">
        <f aca="false">IFERROR((SUMPRODUCT($E$24:$M$24/(1+G$61)^$E$29:$M$29)+($M$24*(1+$B63)/(G$61-$B63))/(1+G$61)^$M$29-$C$48)/$C$50,"")</f>
        <v>267.292387893271</v>
      </c>
      <c r="H63" s="131" t="n">
        <f aca="false">IFERROR((SUMPRODUCT($E$24:$M$24/(1+H$61)^$E$29:$M$29)+($M$24*(1+$B63)/(H$61-$B63))/(1+H$61)^$M$29-$C$48)/$C$50,"")</f>
        <v>246.105699114621</v>
      </c>
    </row>
    <row r="64" customFormat="false" ht="15" hidden="false" customHeight="false" outlineLevel="0" collapsed="false">
      <c r="B64" s="130" t="n">
        <f aca="false">$C$27</f>
        <v>0.04</v>
      </c>
      <c r="D64" s="131" t="n">
        <f aca="false">IFERROR((SUMPRODUCT($E$24:$M$24/(1+D$61)^$E$29:$M$29)+($M$24*(1+$B64)/(D$61-$B64))/(1+D$61)^$M$29-$C$48)/$C$50,"")</f>
        <v>381.993136015661</v>
      </c>
      <c r="E64" s="131" t="n">
        <f aca="false">IFERROR((SUMPRODUCT($E$24:$M$24/(1+E$61)^$E$29:$M$29)+($M$24*(1+$B64)/(E$61-$B64))/(1+E$61)^$M$29-$C$48)/$C$50,"")</f>
        <v>342.457947544249</v>
      </c>
      <c r="F64" s="132" t="n">
        <f aca="false">IFERROR((SUMPRODUCT($E$24:$M$24/(1+F$61)^$E$29:$M$29)+($M$24*(1+$B64)/(F$61-$B64))/(1+F$61)^$M$29-$C$48)/$C$50,"")</f>
        <v>309.641288404229</v>
      </c>
      <c r="G64" s="131" t="n">
        <f aca="false">IFERROR((SUMPRODUCT($E$24:$M$24/(1+G$61)^$E$29:$M$29)+($M$24*(1+$B64)/(G$61-$B64))/(1+G$61)^$M$29-$C$48)/$C$50,"")</f>
        <v>281.979138641517</v>
      </c>
      <c r="H64" s="131" t="n">
        <f aca="false">IFERROR((SUMPRODUCT($E$24:$M$24/(1+H$61)^$E$29:$M$29)+($M$24*(1+$B64)/(H$61-$B64))/(1+H$61)^$M$29-$C$48)/$C$50,"")</f>
        <v>258.357493094057</v>
      </c>
    </row>
    <row r="65" customFormat="false" ht="15" hidden="false" customHeight="false" outlineLevel="0" collapsed="false">
      <c r="B65" s="130" t="n">
        <f aca="false">B64+0.005</f>
        <v>0.045</v>
      </c>
      <c r="D65" s="131" t="n">
        <f aca="false">IFERROR((SUMPRODUCT($E$24:$M$24/(1+D$61)^$E$29:$M$29)+($M$24*(1+$B65)/(D$61-$B65))/(1+D$61)^$M$29-$C$48)/$C$50,"")</f>
        <v>415.434114191078</v>
      </c>
      <c r="E65" s="131" t="n">
        <f aca="false">IFERROR((SUMPRODUCT($E$24:$M$24/(1+E$61)^$E$29:$M$29)+($M$24*(1+$B65)/(E$61-$B65))/(1+E$61)^$M$29-$C$48)/$C$50,"")</f>
        <v>368.755112194012</v>
      </c>
      <c r="F65" s="131" t="n">
        <f aca="false">IFERROR((SUMPRODUCT($E$24:$M$24/(1+F$61)^$E$29:$M$29)+($M$24*(1+$B65)/(F$61-$B65))/(1+F$61)^$M$29-$C$48)/$C$50,"")</f>
        <v>330.714556494124</v>
      </c>
      <c r="G65" s="131" t="n">
        <f aca="false">IFERROR((SUMPRODUCT($E$24:$M$24/(1+G$61)^$E$29:$M$29)+($M$24*(1+$B65)/(G$61-$B65))/(1+G$61)^$M$29-$C$48)/$C$50,"")</f>
        <v>299.13342143752</v>
      </c>
      <c r="H65" s="131" t="n">
        <f aca="false">IFERROR((SUMPRODUCT($E$24:$M$24/(1+H$61)^$E$29:$M$29)+($M$24*(1+$B65)/(H$61-$B65))/(1+H$61)^$M$29-$C$48)/$C$50,"")</f>
        <v>272.508201205457</v>
      </c>
    </row>
    <row r="66" customFormat="false" ht="15" hidden="false" customHeight="false" outlineLevel="0" collapsed="false">
      <c r="B66" s="130" t="n">
        <f aca="false">B64+0.01</f>
        <v>0.05</v>
      </c>
      <c r="D66" s="131" t="n">
        <f aca="false">IFERROR((SUMPRODUCT($E$24:$M$24/(1+D$61)^$E$29:$M$29)+($M$24*(1+$B66)/(D$61-$B66))/(1+D$61)^$M$29-$C$48)/$C$50,"")</f>
        <v>457.336878342056</v>
      </c>
      <c r="E66" s="131" t="n">
        <f aca="false">IFERROR((SUMPRODUCT($E$24:$M$24/(1+E$61)^$E$29:$M$29)+($M$24*(1+$B66)/(E$61-$B66))/(1+E$61)^$M$29-$C$48)/$C$50,"")</f>
        <v>400.959097295204</v>
      </c>
      <c r="F66" s="131" t="n">
        <f aca="false">IFERROR((SUMPRODUCT($E$24:$M$24/(1+F$61)^$E$29:$M$29)+($M$24*(1+$B66)/(F$61-$B66))/(1+F$61)^$M$29-$C$48)/$C$50,"")</f>
        <v>356.043331064208</v>
      </c>
      <c r="G66" s="131" t="n">
        <f aca="false">IFERROR((SUMPRODUCT($E$24:$M$24/(1+G$61)^$E$29:$M$29)+($M$24*(1+$B66)/(G$61-$B66))/(1+G$61)^$M$29-$C$48)/$C$50,"")</f>
        <v>319.434124408871</v>
      </c>
      <c r="H66" s="131" t="n">
        <f aca="false">IFERROR((SUMPRODUCT($E$24:$M$24/(1+H$61)^$E$29:$M$29)+($M$24*(1+$B66)/(H$61-$B66))/(1+H$61)^$M$29-$C$48)/$C$50,"")</f>
        <v>289.036380437724</v>
      </c>
    </row>
    <row r="69" customFormat="false" ht="15" hidden="false" customHeight="false" outlineLevel="0" collapsed="false">
      <c r="B69" s="106" t="s">
        <v>768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</row>
    <row r="70" customFormat="false" ht="15" hidden="false" customHeight="false" outlineLevel="0" collapsed="false">
      <c r="B70" s="0" t="s">
        <v>769</v>
      </c>
    </row>
    <row r="72" customFormat="false" ht="15" hidden="false" customHeight="false" outlineLevel="0" collapsed="false">
      <c r="B72" s="106" t="s">
        <v>770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</row>
    <row r="73" customFormat="false" ht="15" hidden="false" customHeight="false" outlineLevel="0" collapsed="false">
      <c r="B73" s="15" t="s">
        <v>771</v>
      </c>
    </row>
    <row r="74" customFormat="false" ht="15" hidden="false" customHeight="false" outlineLevel="0" collapsed="false">
      <c r="B74" s="109" t="s">
        <v>772</v>
      </c>
    </row>
    <row r="76" customFormat="false" ht="15" hidden="false" customHeight="false" outlineLevel="0" collapsed="false">
      <c r="B76" s="8" t="s">
        <v>773</v>
      </c>
      <c r="C76" s="8" t="s">
        <v>774</v>
      </c>
      <c r="D76" s="8" t="s">
        <v>775</v>
      </c>
    </row>
    <row r="77" customFormat="false" ht="15" hidden="false" customHeight="false" outlineLevel="0" collapsed="false">
      <c r="B77" s="20" t="s">
        <v>776</v>
      </c>
      <c r="C77" s="111" t="n">
        <f aca="false">$C$13</f>
        <v>0.09952</v>
      </c>
      <c r="D77" s="126" t="s">
        <v>777</v>
      </c>
    </row>
    <row r="78" customFormat="false" ht="15" hidden="false" customHeight="false" outlineLevel="0" collapsed="false">
      <c r="B78" s="20" t="s">
        <v>778</v>
      </c>
      <c r="C78" s="118" t="n">
        <v>0.09</v>
      </c>
      <c r="D78" s="109" t="s">
        <v>779</v>
      </c>
    </row>
    <row r="79" customFormat="false" ht="15" hidden="false" customHeight="false" outlineLevel="0" collapsed="false">
      <c r="B79" s="20" t="s">
        <v>780</v>
      </c>
      <c r="C79" s="118" t="n">
        <v>0.2</v>
      </c>
      <c r="D79" s="109" t="s">
        <v>781</v>
      </c>
    </row>
    <row r="80" customFormat="false" ht="15" hidden="false" customHeight="false" outlineLevel="0" collapsed="false">
      <c r="B80" s="20" t="s">
        <v>782</v>
      </c>
      <c r="C80" s="128" t="n">
        <v>15</v>
      </c>
      <c r="D80" s="109" t="s">
        <v>783</v>
      </c>
    </row>
    <row r="82" customFormat="false" ht="15" hidden="false" customHeight="false" outlineLevel="0" collapsed="false">
      <c r="B82" s="8" t="s">
        <v>784</v>
      </c>
      <c r="C82" s="8" t="s">
        <v>774</v>
      </c>
    </row>
    <row r="83" customFormat="false" ht="15" hidden="false" customHeight="false" outlineLevel="0" collapsed="false">
      <c r="B83" s="20" t="s">
        <v>785</v>
      </c>
      <c r="C83" s="119" t="n">
        <f aca="false">1/C77</f>
        <v>10.048231511254</v>
      </c>
    </row>
    <row r="84" customFormat="false" ht="15" hidden="false" customHeight="false" outlineLevel="0" collapsed="false">
      <c r="B84" s="20" t="s">
        <v>786</v>
      </c>
      <c r="C84" s="120" t="n">
        <f aca="false">1-C77/C79</f>
        <v>0.5024</v>
      </c>
    </row>
    <row r="85" customFormat="false" ht="15" hidden="false" customHeight="false" outlineLevel="0" collapsed="false">
      <c r="B85" s="20" t="s">
        <v>787</v>
      </c>
      <c r="C85" s="119" t="n">
        <f aca="false">C78*C84/(C77*(C77-C78))</f>
        <v>47.7248777324435</v>
      </c>
    </row>
    <row r="86" customFormat="false" ht="15" hidden="false" customHeight="false" outlineLevel="0" collapsed="false">
      <c r="B86" s="20" t="s">
        <v>788</v>
      </c>
      <c r="C86" s="133" t="n">
        <f aca="false">1-((1+C78)/(1+C77))^C80</f>
        <v>0.122291171175519</v>
      </c>
    </row>
    <row r="87" customFormat="false" ht="15" hidden="false" customHeight="false" outlineLevel="0" collapsed="false">
      <c r="B87" s="20" t="s">
        <v>789</v>
      </c>
      <c r="C87" s="119" t="n">
        <f aca="false">C85*C86</f>
        <v>5.83633119210894</v>
      </c>
    </row>
    <row r="88" customFormat="false" ht="15" hidden="false" customHeight="false" outlineLevel="0" collapsed="false">
      <c r="B88" s="8" t="s">
        <v>790</v>
      </c>
      <c r="C88" s="134" t="n">
        <f aca="false">C83+C87</f>
        <v>15.884562703363</v>
      </c>
    </row>
    <row r="90" customFormat="false" ht="15" hidden="false" customHeight="false" outlineLevel="0" collapsed="false">
      <c r="B90" s="106" t="s">
        <v>791</v>
      </c>
      <c r="C90" s="106" t="s">
        <v>792</v>
      </c>
    </row>
    <row r="91" customFormat="false" ht="15" hidden="false" customHeight="false" outlineLevel="0" collapsed="false">
      <c r="B91" s="20" t="s">
        <v>793</v>
      </c>
      <c r="C91" s="114" t="n">
        <f aca="false">Model!CC123</f>
        <v>898.8683313</v>
      </c>
    </row>
    <row r="92" customFormat="false" ht="15" hidden="false" customHeight="false" outlineLevel="0" collapsed="false">
      <c r="B92" s="20" t="s">
        <v>794</v>
      </c>
      <c r="C92" s="37" t="n">
        <f aca="false">$C$10</f>
        <v>0.22</v>
      </c>
    </row>
    <row r="93" customFormat="false" ht="15" hidden="false" customHeight="false" outlineLevel="0" collapsed="false">
      <c r="B93" s="20" t="s">
        <v>795</v>
      </c>
      <c r="C93" s="42" t="n">
        <f aca="false">C91*(1-C92)</f>
        <v>701.117298414</v>
      </c>
    </row>
    <row r="94" customFormat="false" ht="15" hidden="false" customHeight="false" outlineLevel="0" collapsed="false">
      <c r="B94" s="20" t="s">
        <v>796</v>
      </c>
      <c r="C94" s="135" t="n">
        <f aca="false">C88</f>
        <v>15.884562703363</v>
      </c>
    </row>
    <row r="95" customFormat="false" ht="15" hidden="false" customHeight="false" outlineLevel="0" collapsed="false">
      <c r="B95" s="15" t="s">
        <v>797</v>
      </c>
      <c r="C95" s="115" t="n">
        <f aca="false">C93*C94</f>
        <v>11136.9416890696</v>
      </c>
    </row>
    <row r="96" customFormat="false" ht="15" hidden="false" customHeight="false" outlineLevel="0" collapsed="false">
      <c r="B96" s="20" t="s">
        <v>798</v>
      </c>
      <c r="C96" s="114" t="n">
        <f aca="false">Model!CB376</f>
        <v>468.7905</v>
      </c>
    </row>
    <row r="97" customFormat="false" ht="15" hidden="false" customHeight="false" outlineLevel="0" collapsed="false">
      <c r="B97" s="20" t="s">
        <v>799</v>
      </c>
      <c r="C97" s="42" t="n">
        <f aca="false">C95-C96</f>
        <v>10668.1511890696</v>
      </c>
    </row>
    <row r="98" customFormat="false" ht="15" hidden="false" customHeight="false" outlineLevel="0" collapsed="false">
      <c r="B98" s="20" t="s">
        <v>800</v>
      </c>
      <c r="C98" s="122" t="n">
        <f aca="false">Model!CC383</f>
        <v>35.7271789850653</v>
      </c>
    </row>
    <row r="99" customFormat="false" ht="15" hidden="false" customHeight="false" outlineLevel="0" collapsed="false">
      <c r="B99" s="15" t="s">
        <v>801</v>
      </c>
      <c r="C99" s="136" t="n">
        <f aca="false">C97/C98</f>
        <v>298.600435078547</v>
      </c>
    </row>
    <row r="101" customFormat="false" ht="15" hidden="false" customHeight="false" outlineLevel="0" collapsed="false">
      <c r="B101" s="20" t="s">
        <v>758</v>
      </c>
      <c r="C101" s="127" t="n">
        <f aca="false">C52</f>
        <v>544.21</v>
      </c>
    </row>
    <row r="102" customFormat="false" ht="15" hidden="false" customHeight="false" outlineLevel="0" collapsed="false">
      <c r="B102" s="20" t="s">
        <v>759</v>
      </c>
      <c r="C102" s="137" t="n">
        <f aca="false">C99/C101-1</f>
        <v>-0.451313950352719</v>
      </c>
    </row>
    <row r="104" customFormat="false" ht="15" hidden="false" customHeight="false" outlineLevel="0" collapsed="false">
      <c r="B104" s="106" t="s">
        <v>802</v>
      </c>
      <c r="C104" s="106" t="s">
        <v>792</v>
      </c>
    </row>
    <row r="105" customFormat="false" ht="15" hidden="false" customHeight="false" outlineLevel="0" collapsed="false">
      <c r="B105" s="20" t="s">
        <v>803</v>
      </c>
      <c r="C105" s="42" t="n">
        <f aca="false">C52*C50</f>
        <v>19951.21762098</v>
      </c>
    </row>
    <row r="106" customFormat="false" ht="15" hidden="false" customHeight="false" outlineLevel="0" collapsed="false">
      <c r="B106" s="20" t="s">
        <v>804</v>
      </c>
      <c r="C106" s="42" t="n">
        <f aca="false">C48</f>
        <v>347.032954868158</v>
      </c>
    </row>
    <row r="107" customFormat="false" ht="15" hidden="false" customHeight="false" outlineLevel="0" collapsed="false">
      <c r="B107" s="15" t="s">
        <v>805</v>
      </c>
      <c r="C107" s="42" t="n">
        <f aca="false">C105+C106</f>
        <v>20298.2505758482</v>
      </c>
    </row>
    <row r="108" customFormat="false" ht="15" hidden="false" customHeight="false" outlineLevel="0" collapsed="false">
      <c r="B108" s="15" t="s">
        <v>806</v>
      </c>
      <c r="C108" s="138" t="n">
        <f aca="false">C107/C93</f>
        <v>28.9512904927106</v>
      </c>
    </row>
    <row r="110" customFormat="false" ht="15" hidden="false" customHeight="false" outlineLevel="0" collapsed="false">
      <c r="B110" s="20" t="s">
        <v>807</v>
      </c>
      <c r="C110" s="135" t="n">
        <f aca="false">C88-C108</f>
        <v>-13.0667277893476</v>
      </c>
    </row>
    <row r="111" customFormat="false" ht="15" hidden="false" customHeight="false" outlineLevel="0" collapsed="false">
      <c r="B111" s="20" t="s">
        <v>808</v>
      </c>
      <c r="C111" s="137" t="n">
        <f aca="false">C88/C108-1</f>
        <v>-0.451334899652835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22" min="3" style="0" width="9"/>
  </cols>
  <sheetData>
    <row r="2" customFormat="false" ht="19.7" hidden="false" customHeight="false" outlineLevel="0" collapsed="false">
      <c r="B2" s="66" t="s">
        <v>809</v>
      </c>
    </row>
    <row r="3" customFormat="false" ht="15" hidden="false" customHeight="false" outlineLevel="0" collapsed="false">
      <c r="B3" s="4" t="s">
        <v>810</v>
      </c>
    </row>
    <row r="7" customFormat="false" ht="15" hidden="false" customHeight="false" outlineLevel="0" collapsed="false">
      <c r="C7" s="43" t="n">
        <v>2006</v>
      </c>
      <c r="D7" s="43" t="n">
        <v>2007</v>
      </c>
      <c r="E7" s="43" t="n">
        <v>2008</v>
      </c>
      <c r="F7" s="43" t="n">
        <v>2009</v>
      </c>
      <c r="G7" s="43" t="n">
        <v>2010</v>
      </c>
      <c r="H7" s="43" t="n">
        <v>2011</v>
      </c>
      <c r="I7" s="43" t="n">
        <v>2012</v>
      </c>
      <c r="J7" s="43" t="n">
        <v>2013</v>
      </c>
      <c r="K7" s="43" t="n">
        <v>2014</v>
      </c>
      <c r="L7" s="43" t="n">
        <v>2015</v>
      </c>
      <c r="M7" s="43" t="n">
        <v>2016</v>
      </c>
      <c r="N7" s="43" t="n">
        <v>2017</v>
      </c>
      <c r="O7" s="43" t="n">
        <v>2018</v>
      </c>
      <c r="P7" s="43" t="n">
        <v>2019</v>
      </c>
      <c r="Q7" s="43" t="n">
        <v>2020</v>
      </c>
      <c r="R7" s="43" t="n">
        <v>2021</v>
      </c>
      <c r="S7" s="43" t="n">
        <v>2022</v>
      </c>
      <c r="T7" s="43" t="n">
        <v>2023</v>
      </c>
      <c r="U7" s="43" t="n">
        <v>2024</v>
      </c>
      <c r="V7" s="43" t="n">
        <v>2025</v>
      </c>
    </row>
    <row r="8" customFormat="false" ht="15" hidden="false" customHeight="false" outlineLevel="0" collapsed="false">
      <c r="B8" s="10" t="s">
        <v>811</v>
      </c>
      <c r="C8" s="139" t="n">
        <f aca="false">IFERROR(Model!C209+0,0)</f>
        <v>0</v>
      </c>
      <c r="D8" s="139" t="n">
        <f aca="false">IFERROR(Model!D209+0,0)</f>
        <v>0.241756261918411</v>
      </c>
      <c r="E8" s="139" t="n">
        <f aca="false">IFERROR(Model!E209+0,0)</f>
        <v>0.149495893535931</v>
      </c>
      <c r="F8" s="139" t="n">
        <f aca="false">IFERROR(Model!F209+0,0)</f>
        <v>-0.0111740085457943</v>
      </c>
      <c r="G8" s="139" t="n">
        <f aca="false">IFERROR(Model!G209+0,0)</f>
        <v>0.04610955467511</v>
      </c>
      <c r="H8" s="139" t="n">
        <f aca="false">IFERROR(Model!H209+0,0)</f>
        <v>0.085042051962513</v>
      </c>
      <c r="I8" s="139" t="n">
        <f aca="false">IFERROR(Model!I209+0,0)</f>
        <v>0.0212187154659149</v>
      </c>
      <c r="J8" s="139" t="n">
        <f aca="false">IFERROR(Model!N209+0,0)</f>
        <v>0.196907016965118</v>
      </c>
      <c r="K8" s="139" t="n">
        <f aca="false">IFERROR(Model!S209+0,0)</f>
        <v>-0.106598730031532</v>
      </c>
      <c r="L8" s="139" t="n">
        <f aca="false">IFERROR(Model!X209+0,0)</f>
        <v>-0.0166923302569718</v>
      </c>
      <c r="M8" s="139" t="n">
        <f aca="false">IFERROR(Model!AC209+0,0)</f>
        <v>-0.0438648708812645</v>
      </c>
      <c r="N8" s="139" t="n">
        <f aca="false">IFERROR(Model!AH209+0,0)</f>
        <v>0.0768612154688797</v>
      </c>
      <c r="O8" s="139" t="n">
        <f aca="false">IFERROR(Model!AM209+0,0)</f>
        <v>0.0620023724959558</v>
      </c>
      <c r="P8" s="139" t="n">
        <f aca="false">IFERROR(Model!AR209+0,0)</f>
        <v>0.0315635190632857</v>
      </c>
      <c r="Q8" s="139" t="n">
        <f aca="false">IFERROR(Model!AW209+0,0)</f>
        <v>-0.0388370235707071</v>
      </c>
      <c r="R8" s="139" t="n">
        <f aca="false">IFERROR(Model!BB209+0,0)</f>
        <v>0.0479209111559398</v>
      </c>
      <c r="S8" s="139" t="n">
        <f aca="false">IFERROR(Model!BG209+0,0)</f>
        <v>0.0203892285940834</v>
      </c>
      <c r="T8" s="139" t="n">
        <f aca="false">IFERROR(Model!BL209+0,0)</f>
        <v>0.112766985070541</v>
      </c>
      <c r="U8" s="139" t="n">
        <f aca="false">IFERROR(Model!BQ209+0,0)</f>
        <v>0.0969349185502217</v>
      </c>
      <c r="V8" s="139" t="n">
        <f aca="false">IFERROR(Model!BV209+0,0)</f>
        <v>0.120845934033472</v>
      </c>
    </row>
    <row r="9" customFormat="false" ht="15" hidden="false" customHeight="false" outlineLevel="0" collapsed="false">
      <c r="B9" s="10" t="s">
        <v>812</v>
      </c>
      <c r="C9" s="139" t="n">
        <f aca="false">IFERROR(Model!C81+0,0)</f>
        <v>0.11</v>
      </c>
      <c r="D9" s="139" t="n">
        <f aca="false">IFERROR(Model!D81+0,0)</f>
        <v>0.13</v>
      </c>
      <c r="E9" s="139" t="n">
        <f aca="false">IFERROR(Model!E81+0,0)</f>
        <v>0.06</v>
      </c>
      <c r="F9" s="139" t="n">
        <f aca="false">IFERROR(Model!F81+0,0)</f>
        <v>-0.02</v>
      </c>
      <c r="G9" s="139" t="n">
        <f aca="false">IFERROR(Model!G81+0,0)</f>
        <v>0.03</v>
      </c>
      <c r="H9" s="139" t="n">
        <f aca="false">IFERROR(Model!H81+0,0)</f>
        <v>0.03</v>
      </c>
      <c r="I9" s="139" t="n">
        <f aca="false">IFERROR(Model!I81+0,0)</f>
        <v>0</v>
      </c>
      <c r="J9" s="139" t="n">
        <f aca="false">IFERROR(Model!N81+0,0)</f>
        <v>0.01</v>
      </c>
      <c r="K9" s="139" t="n">
        <f aca="false">IFERROR(Model!S81+0,0)</f>
        <v>0.02</v>
      </c>
      <c r="L9" s="139" t="n">
        <f aca="false">IFERROR(Model!X81+0,0)</f>
        <v>0</v>
      </c>
      <c r="M9" s="139" t="n">
        <f aca="false">IFERROR(Model!AC81+0,0)</f>
        <v>-0.04</v>
      </c>
      <c r="N9" s="139" t="n">
        <f aca="false">IFERROR(Model!AH81+0,0)</f>
        <v>0.05</v>
      </c>
      <c r="O9" s="139" t="n">
        <f aca="false">IFERROR(Model!AM81+0,0)</f>
        <v>0.03</v>
      </c>
      <c r="P9" s="139" t="n">
        <f aca="false">IFERROR(Model!AR81+0,0)</f>
        <v>0.02</v>
      </c>
      <c r="Q9" s="139" t="n">
        <f aca="false">IFERROR(Model!AW81+0,0)</f>
        <v>-0.08</v>
      </c>
      <c r="R9" s="139" t="n">
        <f aca="false">IFERROR(Model!BB81+0,0)</f>
        <v>-0.01</v>
      </c>
      <c r="S9" s="139" t="n">
        <f aca="false">IFERROR(Model!BG81+0,0)</f>
        <v>0.03</v>
      </c>
      <c r="T9" s="139" t="n">
        <f aca="false">IFERROR(Model!BL81+0,0)</f>
        <v>0.1</v>
      </c>
      <c r="U9" s="139" t="n">
        <f aca="false">IFERROR(Model!BQ81+0,0)</f>
        <v>0.09</v>
      </c>
      <c r="V9" s="139" t="n">
        <f aca="false">IFERROR(Model!BV81+0,0)</f>
        <v>0.09</v>
      </c>
    </row>
    <row r="11" customFormat="false" ht="15" hidden="false" customHeight="false" outlineLevel="0" collapsed="false">
      <c r="C11" s="43" t="n">
        <f aca="false">C7</f>
        <v>2006</v>
      </c>
      <c r="D11" s="43" t="n">
        <f aca="false">D7</f>
        <v>2007</v>
      </c>
      <c r="E11" s="43" t="n">
        <f aca="false">E7</f>
        <v>2008</v>
      </c>
      <c r="F11" s="43" t="n">
        <f aca="false">F7</f>
        <v>2009</v>
      </c>
      <c r="G11" s="43" t="n">
        <f aca="false">G7</f>
        <v>2010</v>
      </c>
      <c r="H11" s="43" t="n">
        <f aca="false">H7</f>
        <v>2011</v>
      </c>
      <c r="I11" s="43" t="n">
        <f aca="false">I7</f>
        <v>2012</v>
      </c>
      <c r="J11" s="43" t="n">
        <f aca="false">J7</f>
        <v>2013</v>
      </c>
      <c r="K11" s="43" t="n">
        <f aca="false">K7</f>
        <v>2014</v>
      </c>
      <c r="L11" s="43" t="n">
        <f aca="false">L7</f>
        <v>2015</v>
      </c>
      <c r="M11" s="43" t="n">
        <f aca="false">M7</f>
        <v>2016</v>
      </c>
      <c r="N11" s="43" t="n">
        <f aca="false">N7</f>
        <v>2017</v>
      </c>
      <c r="O11" s="43" t="n">
        <f aca="false">O7</f>
        <v>2018</v>
      </c>
      <c r="P11" s="43" t="n">
        <f aca="false">P7</f>
        <v>2019</v>
      </c>
      <c r="Q11" s="43" t="n">
        <f aca="false">Q7</f>
        <v>2020</v>
      </c>
      <c r="R11" s="43" t="n">
        <f aca="false">R7</f>
        <v>2021</v>
      </c>
      <c r="S11" s="43" t="n">
        <f aca="false">S7</f>
        <v>2022</v>
      </c>
      <c r="T11" s="43" t="n">
        <f aca="false">T7</f>
        <v>2023</v>
      </c>
      <c r="U11" s="43" t="n">
        <f aca="false">U7</f>
        <v>2024</v>
      </c>
      <c r="V11" s="43" t="n">
        <f aca="false">V7</f>
        <v>2025</v>
      </c>
    </row>
    <row r="12" customFormat="false" ht="15" hidden="false" customHeight="false" outlineLevel="0" collapsed="false">
      <c r="B12" s="10" t="s">
        <v>813</v>
      </c>
      <c r="C12" s="140" t="n">
        <f aca="false">Model!C159</f>
        <v>140.628</v>
      </c>
      <c r="D12" s="140" t="n">
        <f aca="false">Model!D159</f>
        <v>179.184</v>
      </c>
      <c r="E12" s="140" t="n">
        <f aca="false">Model!E159</f>
        <v>199.182</v>
      </c>
      <c r="F12" s="140" t="n">
        <f aca="false">Model!F159</f>
        <v>169.319</v>
      </c>
      <c r="G12" s="140" t="n">
        <f aca="false">Model!G159</f>
        <v>179.823</v>
      </c>
      <c r="H12" s="140" t="n">
        <f aca="false">Model!H159</f>
        <v>204.956</v>
      </c>
      <c r="I12" s="140" t="n">
        <f aca="false">Model!I159</f>
        <v>201.448</v>
      </c>
      <c r="J12" s="140" t="n">
        <f aca="false">Model!N159</f>
        <v>233.619</v>
      </c>
      <c r="K12" s="140" t="n">
        <f aca="false">Model!S159</f>
        <v>282.373</v>
      </c>
      <c r="L12" s="140" t="n">
        <f aca="false">Model!X159</f>
        <v>291</v>
      </c>
      <c r="M12" s="140" t="n">
        <f aca="false">Model!AC159</f>
        <v>308.098</v>
      </c>
      <c r="N12" s="140" t="n">
        <f aca="false">Model!AH159</f>
        <v>339.743</v>
      </c>
      <c r="O12" s="140" t="n">
        <f aca="false">Model!AM159</f>
        <v>382</v>
      </c>
      <c r="P12" s="140" t="n">
        <f aca="false">Model!AR159</f>
        <v>411</v>
      </c>
      <c r="Q12" s="140" t="n">
        <f aca="false">Model!AW159</f>
        <v>391</v>
      </c>
      <c r="R12" s="140" t="n">
        <f aca="false">Model!BB159</f>
        <v>420.423</v>
      </c>
      <c r="S12" s="140" t="n">
        <f aca="false">Model!BG159</f>
        <v>443.078001</v>
      </c>
      <c r="T12" s="140" t="n">
        <f aca="false">Model!BL159</f>
        <v>493.8</v>
      </c>
      <c r="U12" s="140" t="n">
        <f aca="false">Model!BQ159</f>
        <v>545.866</v>
      </c>
      <c r="V12" s="140" t="n">
        <f aca="false">Model!BV159</f>
        <v>650.994</v>
      </c>
    </row>
    <row r="13" customFormat="false" ht="15" hidden="false" customHeight="false" outlineLevel="0" collapsed="false">
      <c r="B13" s="10" t="s">
        <v>328</v>
      </c>
      <c r="C13" s="140" t="n">
        <f aca="false">Model!C123</f>
        <v>140.628</v>
      </c>
      <c r="D13" s="140" t="n">
        <f aca="false">Model!D123</f>
        <v>179.184</v>
      </c>
      <c r="E13" s="140" t="n">
        <f aca="false">Model!E123</f>
        <v>199.182</v>
      </c>
      <c r="F13" s="140" t="n">
        <f aca="false">Model!F123</f>
        <v>169.319</v>
      </c>
      <c r="G13" s="140" t="n">
        <f aca="false">Model!G123</f>
        <v>179.823</v>
      </c>
      <c r="H13" s="140" t="n">
        <f aca="false">Model!H123</f>
        <v>204.956</v>
      </c>
      <c r="I13" s="140" t="n">
        <f aca="false">Model!I123</f>
        <v>161.446</v>
      </c>
      <c r="J13" s="140" t="n">
        <f aca="false">Model!N123</f>
        <v>233.619</v>
      </c>
      <c r="K13" s="140" t="n">
        <f aca="false">Model!S123</f>
        <v>282.373</v>
      </c>
      <c r="L13" s="140" t="n">
        <f aca="false">Model!X123</f>
        <v>310.617</v>
      </c>
      <c r="M13" s="140" t="n">
        <f aca="false">Model!AC123</f>
        <v>308.098</v>
      </c>
      <c r="N13" s="140" t="n">
        <f aca="false">Model!AH123</f>
        <v>339.743</v>
      </c>
      <c r="O13" s="140" t="n">
        <f aca="false">Model!AM123</f>
        <v>373.626</v>
      </c>
      <c r="P13" s="140" t="n">
        <f aca="false">Model!AR123</f>
        <v>403.953</v>
      </c>
      <c r="Q13" s="140" t="n">
        <f aca="false">Model!AW123</f>
        <v>288.848</v>
      </c>
      <c r="R13" s="140" t="n">
        <f aca="false">Model!BB123</f>
        <v>382.683</v>
      </c>
      <c r="S13" s="140" t="n">
        <f aca="false">Model!BG123</f>
        <v>423.443</v>
      </c>
      <c r="T13" s="140" t="n">
        <f aca="false">Model!BL123</f>
        <v>484.602</v>
      </c>
      <c r="U13" s="140" t="n">
        <f aca="false">Model!BQ123</f>
        <v>528.597</v>
      </c>
      <c r="V13" s="140" t="n">
        <f aca="false">Model!BV123</f>
        <v>633.521</v>
      </c>
    </row>
    <row r="14" customFormat="false" ht="15" hidden="false" customHeight="false" outlineLevel="0" collapsed="false">
      <c r="B14" s="10" t="s">
        <v>814</v>
      </c>
      <c r="C14" s="139" t="n">
        <f aca="false">Model!C160</f>
        <v>0.109680966809785</v>
      </c>
      <c r="D14" s="139" t="n">
        <f aca="false">Model!D160</f>
        <v>0.112543997829315</v>
      </c>
      <c r="E14" s="139" t="n">
        <f aca="false">Model!E160</f>
        <v>0.108834296829751</v>
      </c>
      <c r="F14" s="139" t="n">
        <f aca="false">Model!F160</f>
        <v>0.0935624333449375</v>
      </c>
      <c r="G14" s="139" t="n">
        <f aca="false">Model!G160</f>
        <v>0.0949869370049875</v>
      </c>
      <c r="H14" s="139" t="n">
        <f aca="false">Model!H160</f>
        <v>0.0997775213837489</v>
      </c>
      <c r="I14" s="139" t="n">
        <f aca="false">Model!I160</f>
        <v>0.096032065351077</v>
      </c>
      <c r="J14" s="139" t="n">
        <f aca="false">Model!N160</f>
        <v>0.0930467175222272</v>
      </c>
      <c r="K14" s="139" t="n">
        <f aca="false">Model!S160</f>
        <v>0.125883699801081</v>
      </c>
      <c r="L14" s="139" t="n">
        <f aca="false">Model!X160</f>
        <v>0.131931923127666</v>
      </c>
      <c r="M14" s="139" t="n">
        <f aca="false">Model!AC160</f>
        <v>0.146092024822054</v>
      </c>
      <c r="N14" s="139" t="n">
        <f aca="false">Model!AH160</f>
        <v>0.149598903755395</v>
      </c>
      <c r="O14" s="139" t="n">
        <f aca="false">Model!AM160</f>
        <v>0.158385627540856</v>
      </c>
      <c r="P14" s="139" t="n">
        <f aca="false">Model!AR160</f>
        <v>0.16519551552456</v>
      </c>
      <c r="Q14" s="139" t="n">
        <f aca="false">Model!AW160</f>
        <v>0.163506926671952</v>
      </c>
      <c r="R14" s="139" t="n">
        <f aca="false">Model!BB160</f>
        <v>0.16777117965339</v>
      </c>
      <c r="S14" s="139" t="n">
        <f aca="false">Model!BG160</f>
        <v>0.173278712957441</v>
      </c>
      <c r="T14" s="139" t="n">
        <f aca="false">Model!BL160</f>
        <v>0.17354490957776</v>
      </c>
      <c r="U14" s="139" t="n">
        <f aca="false">Model!BQ160</f>
        <v>0.174890402343466</v>
      </c>
      <c r="V14" s="139" t="n">
        <f aca="false">Model!BV160</f>
        <v>0.186084841749248</v>
      </c>
    </row>
    <row r="15" customFormat="false" ht="15" hidden="false" customHeight="false" outlineLevel="0" collapsed="false">
      <c r="B15" s="10" t="s">
        <v>815</v>
      </c>
      <c r="C15" s="139" t="n">
        <f aca="false">Model!C124</f>
        <v>0.109680966809785</v>
      </c>
      <c r="D15" s="139" t="n">
        <f aca="false">Model!D124</f>
        <v>0.112543997829315</v>
      </c>
      <c r="E15" s="139" t="n">
        <f aca="false">Model!E124</f>
        <v>0.108834296829751</v>
      </c>
      <c r="F15" s="139" t="n">
        <f aca="false">Model!F124</f>
        <v>0.0935624333449375</v>
      </c>
      <c r="G15" s="139" t="n">
        <f aca="false">Model!G124</f>
        <v>0.0949869370049875</v>
      </c>
      <c r="H15" s="139" t="n">
        <f aca="false">Model!H124</f>
        <v>0.0997775213837489</v>
      </c>
      <c r="I15" s="139" t="n">
        <f aca="false">Model!I124</f>
        <v>0.0769627537760116</v>
      </c>
      <c r="J15" s="139" t="n">
        <f aca="false">Model!N124</f>
        <v>0.0930467175222272</v>
      </c>
      <c r="K15" s="139" t="n">
        <f aca="false">Model!S124</f>
        <v>0.125883699801081</v>
      </c>
      <c r="L15" s="139" t="n">
        <f aca="false">Model!X124</f>
        <v>0.140825766893973</v>
      </c>
      <c r="M15" s="139" t="n">
        <f aca="false">Model!AC124</f>
        <v>0.146092024822054</v>
      </c>
      <c r="N15" s="139" t="n">
        <f aca="false">Model!AH124</f>
        <v>0.149598903755395</v>
      </c>
      <c r="O15" s="139" t="n">
        <f aca="false">Model!AM124</f>
        <v>0.154913582396806</v>
      </c>
      <c r="P15" s="139" t="n">
        <f aca="false">Model!AR124</f>
        <v>0.162363075626989</v>
      </c>
      <c r="Q15" s="139" t="n">
        <f aca="false">Model!AW124</f>
        <v>0.120789383005985</v>
      </c>
      <c r="R15" s="139" t="n">
        <f aca="false">Model!BB124</f>
        <v>0.152710908640342</v>
      </c>
      <c r="S15" s="139" t="n">
        <f aca="false">Model!BG124</f>
        <v>0.165599867032978</v>
      </c>
      <c r="T15" s="139" t="n">
        <f aca="false">Model!BL124</f>
        <v>0.170312292975297</v>
      </c>
      <c r="U15" s="139" t="n">
        <f aca="false">Model!BQ124</f>
        <v>0.169357574949803</v>
      </c>
      <c r="V15" s="139" t="n">
        <f aca="false">Model!BV124</f>
        <v>0.181090232828298</v>
      </c>
    </row>
    <row r="17" customFormat="false" ht="15" hidden="false" customHeight="false" outlineLevel="0" collapsed="false">
      <c r="C17" s="43" t="n">
        <f aca="false">C7</f>
        <v>2006</v>
      </c>
      <c r="D17" s="43" t="n">
        <f aca="false">D7</f>
        <v>2007</v>
      </c>
      <c r="E17" s="43" t="n">
        <f aca="false">E7</f>
        <v>2008</v>
      </c>
      <c r="F17" s="43" t="n">
        <f aca="false">F7</f>
        <v>2009</v>
      </c>
      <c r="G17" s="43" t="n">
        <f aca="false">G7</f>
        <v>2010</v>
      </c>
      <c r="H17" s="43" t="n">
        <f aca="false">H7</f>
        <v>2011</v>
      </c>
      <c r="I17" s="43" t="n">
        <f aca="false">I7</f>
        <v>2012</v>
      </c>
      <c r="J17" s="43" t="n">
        <f aca="false">J7</f>
        <v>2013</v>
      </c>
      <c r="K17" s="43" t="n">
        <f aca="false">K7</f>
        <v>2014</v>
      </c>
      <c r="L17" s="43" t="n">
        <f aca="false">L7</f>
        <v>2015</v>
      </c>
      <c r="M17" s="43" t="n">
        <f aca="false">M7</f>
        <v>2016</v>
      </c>
      <c r="N17" s="43" t="n">
        <f aca="false">N7</f>
        <v>2017</v>
      </c>
      <c r="O17" s="43" t="n">
        <f aca="false">O7</f>
        <v>2018</v>
      </c>
      <c r="P17" s="43" t="n">
        <f aca="false">P7</f>
        <v>2019</v>
      </c>
      <c r="Q17" s="43" t="n">
        <f aca="false">Q7</f>
        <v>2020</v>
      </c>
      <c r="R17" s="43" t="n">
        <f aca="false">R7</f>
        <v>2021</v>
      </c>
      <c r="S17" s="43" t="n">
        <f aca="false">S7</f>
        <v>2022</v>
      </c>
      <c r="T17" s="43" t="n">
        <f aca="false">T7</f>
        <v>2023</v>
      </c>
      <c r="U17" s="43" t="n">
        <f aca="false">U7</f>
        <v>2024</v>
      </c>
      <c r="V17" s="43" t="n">
        <f aca="false">V7</f>
        <v>2025</v>
      </c>
    </row>
    <row r="18" customFormat="false" ht="15" hidden="false" customHeight="false" outlineLevel="0" collapsed="false">
      <c r="B18" s="10" t="s">
        <v>690</v>
      </c>
      <c r="C18" s="139" t="n">
        <f aca="false">IFERROR(Model!C359+0,NA())</f>
        <v>0.0960941003652033</v>
      </c>
      <c r="D18" s="139" t="n">
        <f aca="false">IFERROR(Model!D359+0,NA())</f>
        <v>0.0891465514018956</v>
      </c>
      <c r="E18" s="139" t="n">
        <f aca="false">IFERROR(Model!E359+0,NA())</f>
        <v>0.0974128151444864</v>
      </c>
      <c r="F18" s="139" t="n">
        <f aca="false">IFERROR(Model!F359+0,NA())</f>
        <v>0.0777893436361802</v>
      </c>
      <c r="G18" s="139" t="n">
        <f aca="false">IFERROR(Model!G359+0,NA())</f>
        <v>0.0813468826263998</v>
      </c>
      <c r="H18" s="139" t="n">
        <f aca="false">IFERROR(Model!H359+0,NA())</f>
        <v>0.0891382151998044</v>
      </c>
      <c r="I18" s="139" t="n">
        <f aca="false">IFERROR(Model!I359+0,NA())</f>
        <v>0.0660068697967977</v>
      </c>
      <c r="J18" s="139" t="n">
        <f aca="false">IFERROR(Model!N359+0,NA())</f>
        <v>0.0696693561683344</v>
      </c>
      <c r="K18" s="139" t="n">
        <f aca="false">IFERROR(Model!S359+0,NA())</f>
        <v>0.0980153201426071</v>
      </c>
      <c r="L18" s="139" t="n">
        <f aca="false">IFERROR(Model!X359+0,NA())</f>
        <v>0.105821306887215</v>
      </c>
      <c r="M18" s="139" t="n">
        <f aca="false">IFERROR(Model!AC359+0,NA())</f>
        <v>0.127813846413283</v>
      </c>
      <c r="N18" s="139" t="n">
        <f aca="false">IFERROR(Model!AH359+0,NA())</f>
        <v>0.130526045843053</v>
      </c>
      <c r="O18" s="139" t="n">
        <f aca="false">IFERROR(Model!AM359+0,NA())</f>
        <v>0.146578948137672</v>
      </c>
      <c r="P18" s="139" t="n">
        <f aca="false">IFERROR(Model!AR359+0,NA())</f>
        <v>0.148724411212305</v>
      </c>
      <c r="Q18" s="139" t="n">
        <f aca="false">IFERROR(Model!AW359+0,NA())</f>
        <v>0.113063829261148</v>
      </c>
      <c r="R18" s="139" t="n">
        <f aca="false">IFERROR(Model!BB359+0,NA())</f>
        <v>0.11708050486189</v>
      </c>
      <c r="S18" s="139" t="n">
        <f aca="false">IFERROR(Model!BG359+0,NA())</f>
        <v>0.11209053181787</v>
      </c>
      <c r="T18" s="139" t="n">
        <f aca="false">IFERROR(Model!BL359+0,NA())</f>
        <v>0.127202704068072</v>
      </c>
      <c r="U18" s="139" t="n">
        <f aca="false">IFERROR(Model!BQ359+0,NA())</f>
        <v>0.135994949712122</v>
      </c>
      <c r="V18" s="139" t="n">
        <f aca="false">IFERROR(Model!BV359+0,NA())</f>
        <v>0.162951314101426</v>
      </c>
    </row>
    <row r="19" customFormat="false" ht="15" hidden="false" customHeight="false" outlineLevel="0" collapsed="false">
      <c r="B19" s="10" t="s">
        <v>691</v>
      </c>
      <c r="C19" s="139" t="n">
        <f aca="false">IFERROR(Model!C370+0,NA())</f>
        <v>0.130751414536775</v>
      </c>
      <c r="D19" s="139" t="n">
        <f aca="false">IFERROR(Model!D370+0,NA())</f>
        <v>0.156133508549066</v>
      </c>
      <c r="E19" s="139" t="n">
        <f aca="false">IFERROR(Model!E370+0,NA())</f>
        <v>0.171782679715681</v>
      </c>
      <c r="F19" s="139" t="n">
        <f aca="false">IFERROR(Model!F370+0,NA())</f>
        <v>0.13741087481055</v>
      </c>
      <c r="G19" s="139" t="n">
        <f aca="false">IFERROR(Model!G370+0,NA())</f>
        <v>0.137154379134469</v>
      </c>
      <c r="H19" s="139" t="n">
        <f aca="false">IFERROR(Model!H370+0,NA())</f>
        <v>0.127982318265582</v>
      </c>
      <c r="I19" s="139" t="n">
        <f aca="false">IFERROR(Model!I370+0,NA())</f>
        <v>0.117315176130102</v>
      </c>
      <c r="J19" s="139" t="n">
        <f aca="false">IFERROR(Model!N370+0,NA())</f>
        <v>0.121233436075527</v>
      </c>
      <c r="K19" s="139" t="n">
        <f aca="false">IFERROR(Model!S370+0,NA())</f>
        <v>0.131229374881347</v>
      </c>
      <c r="L19" s="139" t="n">
        <f aca="false">IFERROR(Model!X370+0,NA())</f>
        <v>0.166347342262263</v>
      </c>
      <c r="M19" s="139" t="n">
        <f aca="false">IFERROR(Model!AC370+0,NA())</f>
        <v>0.168710110119149</v>
      </c>
      <c r="N19" s="139" t="n">
        <f aca="false">IFERROR(Model!AH370+0,NA())</f>
        <v>0.199813938577507</v>
      </c>
      <c r="O19" s="139" t="n">
        <f aca="false">IFERROR(Model!AM370+0,NA())</f>
        <v>0.28142112864519</v>
      </c>
      <c r="P19" s="139" t="n">
        <f aca="false">IFERROR(Model!AR370+0,NA())</f>
        <v>0.232246980174804</v>
      </c>
      <c r="Q19" s="139" t="n">
        <f aca="false">IFERROR(Model!AW370+0,NA())</f>
        <v>0.240212029867631</v>
      </c>
      <c r="R19" s="139" t="n">
        <f aca="false">IFERROR(Model!BB370+0,NA())</f>
        <v>0.231673645602429</v>
      </c>
      <c r="S19" s="139" t="n">
        <f aca="false">IFERROR(Model!BG370+0,NA())</f>
        <v>0.221168789328088</v>
      </c>
      <c r="T19" s="139" t="n">
        <f aca="false">IFERROR(Model!BL370+0,NA())</f>
        <v>0.222637001250031</v>
      </c>
      <c r="U19" s="139" t="n">
        <f aca="false">IFERROR(Model!BQ370+0,NA())</f>
        <v>0.248035704450798</v>
      </c>
      <c r="V19" s="139" t="n">
        <f aca="false">IFERROR(Model!BV370+0,NA())</f>
        <v>0.283901710298519</v>
      </c>
    </row>
    <row r="20" customFormat="false" ht="15" hidden="false" customHeight="false" outlineLevel="0" collapsed="false">
      <c r="B20" s="10" t="s">
        <v>814</v>
      </c>
      <c r="C20" s="139" t="n">
        <f aca="false">IFERROR(Model!C160+0,NA())</f>
        <v>0.109680966809785</v>
      </c>
      <c r="D20" s="139" t="n">
        <f aca="false">IFERROR(Model!D160+0,NA())</f>
        <v>0.112543997829315</v>
      </c>
      <c r="E20" s="139" t="n">
        <f aca="false">IFERROR(Model!E160+0,NA())</f>
        <v>0.108834296829751</v>
      </c>
      <c r="F20" s="139" t="n">
        <f aca="false">IFERROR(Model!F160+0,NA())</f>
        <v>0.0935624333449375</v>
      </c>
      <c r="G20" s="139" t="n">
        <f aca="false">IFERROR(Model!G160+0,NA())</f>
        <v>0.0949869370049875</v>
      </c>
      <c r="H20" s="139" t="n">
        <f aca="false">IFERROR(Model!H160+0,NA())</f>
        <v>0.0997775213837489</v>
      </c>
      <c r="I20" s="139" t="n">
        <f aca="false">IFERROR(Model!I160+0,NA())</f>
        <v>0.096032065351077</v>
      </c>
      <c r="J20" s="139" t="n">
        <f aca="false">IFERROR(Model!N160+0,NA())</f>
        <v>0.0930467175222272</v>
      </c>
      <c r="K20" s="139" t="n">
        <f aca="false">IFERROR(Model!S160+0,NA())</f>
        <v>0.125883699801081</v>
      </c>
      <c r="L20" s="139" t="n">
        <f aca="false">IFERROR(Model!X160+0,NA())</f>
        <v>0.131931923127666</v>
      </c>
      <c r="M20" s="139" t="n">
        <f aca="false">IFERROR(Model!AC160+0,NA())</f>
        <v>0.146092024822054</v>
      </c>
      <c r="N20" s="139" t="n">
        <f aca="false">IFERROR(Model!AH160+0,NA())</f>
        <v>0.149598903755395</v>
      </c>
      <c r="O20" s="139" t="n">
        <f aca="false">IFERROR(Model!AM160+0,NA())</f>
        <v>0.158385627540856</v>
      </c>
      <c r="P20" s="139" t="n">
        <f aca="false">IFERROR(Model!AR160+0,NA())</f>
        <v>0.16519551552456</v>
      </c>
      <c r="Q20" s="139" t="n">
        <f aca="false">IFERROR(Model!AW160+0,NA())</f>
        <v>0.163506926671952</v>
      </c>
      <c r="R20" s="139" t="n">
        <f aca="false">IFERROR(Model!BB160+0,NA())</f>
        <v>0.16777117965339</v>
      </c>
      <c r="S20" s="139" t="n">
        <f aca="false">IFERROR(Model!BG160+0,NA())</f>
        <v>0.173278712957441</v>
      </c>
      <c r="T20" s="139" t="n">
        <f aca="false">IFERROR(Model!BL160+0,NA())</f>
        <v>0.17354490957776</v>
      </c>
      <c r="U20" s="139" t="n">
        <f aca="false">IFERROR(Model!BQ160+0,NA())</f>
        <v>0.174890402343466</v>
      </c>
      <c r="V20" s="139" t="n">
        <f aca="false">IFERROR(Model!BV160+0,NA())</f>
        <v>0.186084841749248</v>
      </c>
    </row>
    <row r="21" customFormat="false" ht="15" hidden="false" customHeight="false" outlineLevel="0" collapsed="false">
      <c r="B21" s="10" t="s">
        <v>816</v>
      </c>
      <c r="C21" s="139" t="n">
        <f aca="false">IFERROR(Model!C259+0,NA())</f>
        <v>0.0808552788079445</v>
      </c>
      <c r="D21" s="139" t="n">
        <f aca="false">IFERROR(Model!D259+0,NA())</f>
        <v>0.0532012581934573</v>
      </c>
      <c r="E21" s="139" t="n">
        <f aca="false">IFERROR(Model!E259+0,NA())</f>
        <v>0.041616488356082</v>
      </c>
      <c r="F21" s="139" t="n">
        <f aca="false">IFERROR(Model!F259+0,NA())</f>
        <v>0.0668269151070073</v>
      </c>
      <c r="G21" s="139" t="n">
        <f aca="false">IFERROR(Model!G259+0,NA())</f>
        <v>0.0627161099003029</v>
      </c>
      <c r="H21" s="139" t="n">
        <f aca="false">IFERROR(Model!H259+0,NA())</f>
        <v>0.0572169239532065</v>
      </c>
      <c r="I21" s="139" t="n">
        <f aca="false">IFERROR(Model!I259+0,NA())</f>
        <v>0.0331408064771399</v>
      </c>
      <c r="J21" s="139" t="n">
        <f aca="false">IFERROR(Model!N259+0,NA())</f>
        <v>0.0659498616162127</v>
      </c>
      <c r="K21" s="139" t="n">
        <f aca="false">IFERROR(Model!S259+0,NA())</f>
        <v>0.117983118202009</v>
      </c>
      <c r="L21" s="139" t="n">
        <f aca="false">IFERROR(Model!X259+0,NA())</f>
        <v>0.057563575545534</v>
      </c>
      <c r="M21" s="139" t="n">
        <f aca="false">IFERROR(Model!AC259+0,NA())</f>
        <v>0.178489006989797</v>
      </c>
      <c r="N21" s="139" t="n">
        <f aca="false">IFERROR(Model!AH259+0,NA())</f>
        <v>0.147953832320722</v>
      </c>
      <c r="O21" s="139" t="n">
        <f aca="false">IFERROR(Model!AM259+0,NA())</f>
        <v>0.117278337863079</v>
      </c>
      <c r="P21" s="139" t="n">
        <f aca="false">IFERROR(Model!AR259+0,NA())</f>
        <v>0.141341443857038</v>
      </c>
      <c r="Q21" s="139" t="n">
        <f aca="false">IFERROR(Model!AW259+0,NA())</f>
        <v>0.0893563263380805</v>
      </c>
      <c r="R21" s="139" t="n">
        <f aca="false">IFERROR(Model!BB259+0,NA())</f>
        <v>0.13829590679073</v>
      </c>
      <c r="S21" s="139" t="n">
        <f aca="false">IFERROR(Model!BG259+0,NA())</f>
        <v>0.100334959572159</v>
      </c>
      <c r="T21" s="139" t="n">
        <f aca="false">IFERROR(Model!BL259+0,NA())</f>
        <v>0.14178211433088</v>
      </c>
      <c r="U21" s="139" t="n">
        <f aca="false">IFERROR(Model!BQ259+0,NA())</f>
        <v>0.154845156765579</v>
      </c>
      <c r="V21" s="139" t="n">
        <f aca="false">IFERROR(Model!BV259+0,NA())</f>
        <v>0.1582764783162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2026-10-07T13:31:25Z</dcterms:created>
  <dc:creator>openpyxl</dc:creator>
  <dc:description/>
  <dc:language>en-US</dc:language>
  <cp:lastModifiedBy/>
  <dcterms:modified xsi:type="dcterms:W3CDTF">2026-10-07T13:31:30Z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