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5505" yWindow="5505" windowWidth="14400" windowHeight="7275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Bull-Base-Bear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Charts" sheetId="4" state="visible" r:id="rId4"/>
  </sheets>
  <definedNames/>
  <calcPr calcId="191029" fullCalcOnLoad="1" iterate="1" iterateDelta="0.0001"/>
</workbook>
</file>

<file path=xl/styles.xml><?xml version="1.0" encoding="utf-8"?>
<styleSheet xmlns="http://schemas.openxmlformats.org/spreadsheetml/2006/main">
  <numFmts count="23">
    <numFmt numFmtId="164" formatCode="#,##0.0;\(#,##0.0\);\-"/>
    <numFmt numFmtId="165" formatCode="0%;\(0%\);&quot;n/m&quot;"/>
    <numFmt numFmtId="166" formatCode="0.0%;\(0.0%\);\-"/>
    <numFmt numFmtId="167" formatCode="#,##0;\(#,##0\);\-"/>
    <numFmt numFmtId="168" formatCode="0.00;\(0.00\);\-"/>
    <numFmt numFmtId="169" formatCode="0.000\x;\(0.000&quot;x)&quot;;\-"/>
    <numFmt numFmtId="170" formatCode="0.0\x;\(0.0&quot;x)&quot;;\-"/>
    <numFmt numFmtId="171" formatCode="\+0.0%;\-0.0%"/>
    <numFmt numFmtId="172" formatCode="\+#,##0;\-#,##0"/>
    <numFmt numFmtId="173" formatCode="0.00\x;\(0.00&quot;x)&quot;;\-"/>
    <numFmt numFmtId="174" formatCode="0\d;\(0&quot;)d&quot;;\-"/>
    <numFmt numFmtId="175" formatCode="0%;\(0%\);\-"/>
    <numFmt numFmtId="176" formatCode="0.0\x"/>
    <numFmt numFmtId="177" formatCode="dd\-mmm\-yy"/>
    <numFmt numFmtId="178" formatCode="0.0%"/>
    <numFmt numFmtId="179" formatCode="0.000"/>
    <numFmt numFmtId="180" formatCode="d/mmm/yyyy"/>
    <numFmt numFmtId="181" formatCode="#,##0.0"/>
    <numFmt numFmtId="182" formatCode="0.0%;\(0.0%\)"/>
    <numFmt numFmtId="183" formatCode="0.00\x"/>
    <numFmt numFmtId="184" formatCode="0.0\x;\(0.0\x\)"/>
    <numFmt numFmtId="185" formatCode="&quot;$&quot;#,##0.00;\(&quot;$&quot;#,##0.00\);\-"/>
    <numFmt numFmtId="186" formatCode="#,##0.00;\(#,##0.00\);\-"/>
  </numFmts>
  <fonts count="57">
    <font>
      <name val="Calibri"/>
      <charset val="1"/>
      <family val="2"/>
      <color theme="1"/>
      <sz val="11"/>
    </font>
    <font>
      <name val="Calibri"/>
      <family val="2"/>
      <b val="1"/>
      <color rgb="FFC00000"/>
      <sz val="10"/>
    </font>
    <font>
      <name val="Calibri"/>
      <family val="2"/>
      <b val="1"/>
      <color rgb="FF1F3864"/>
      <sz val="16"/>
    </font>
    <font>
      <name val="Calibri"/>
      <family val="2"/>
      <b val="1"/>
      <color rgb="FF0000FF"/>
      <sz val="12"/>
    </font>
    <font>
      <name val="Calibri"/>
      <family val="2"/>
      <color rgb="FF595959"/>
      <sz val="10"/>
    </font>
    <font>
      <name val="Calibri"/>
      <family val="2"/>
      <color rgb="FFC00000"/>
      <sz val="10"/>
    </font>
    <font>
      <name val="Calibri"/>
      <family val="2"/>
      <b val="1"/>
      <color rgb="FFFFFFFF"/>
      <sz val="12"/>
    </font>
    <font>
      <name val="Calibri"/>
      <family val="2"/>
      <color rgb="FF666666"/>
      <sz val="9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2"/>
    </font>
    <font>
      <name val="Calibri"/>
      <family val="2"/>
      <color rgb="FF404040"/>
      <sz val="12"/>
    </font>
    <font>
      <name val="Calibri"/>
      <family val="2"/>
      <color rgb="FFA6A6A6"/>
      <sz val="12"/>
    </font>
    <font>
      <name val="Calibri"/>
      <family val="2"/>
      <color rgb="FF000000"/>
      <sz val="12"/>
    </font>
    <font>
      <name val="Calibri"/>
      <family val="2"/>
      <sz val="12"/>
    </font>
    <font>
      <name val="Calibri"/>
      <family val="2"/>
      <color rgb="FF0000FF"/>
      <sz val="12"/>
    </font>
    <font>
      <name val="Calibri"/>
      <family val="2"/>
      <b val="1"/>
      <color rgb="FF595959"/>
      <sz val="12"/>
    </font>
    <font>
      <name val="Arial"/>
      <family val="2"/>
      <sz val="10"/>
    </font>
    <font>
      <name val="Calibri"/>
      <family val="2"/>
      <b val="1"/>
      <color rgb="FF2F3E46"/>
      <sz val="16"/>
    </font>
    <font>
      <name val="Calibri"/>
      <family val="2"/>
      <b val="1"/>
      <color rgb="FF008000"/>
      <sz val="12"/>
    </font>
    <font>
      <name val="Calibri"/>
      <family val="2"/>
      <b val="1"/>
      <color rgb="FF2F3E46"/>
      <sz val="12"/>
    </font>
    <font>
      <name val="Calibri"/>
      <family val="2"/>
      <b val="1"/>
      <color rgb="FFFFFFFF"/>
      <sz val="9"/>
    </font>
    <font>
      <name val="Calibri"/>
      <family val="2"/>
      <color rgb="FF595959"/>
      <sz val="12"/>
    </font>
    <font>
      <name val="Calibri"/>
      <family val="2"/>
      <color rgb="FF008000"/>
      <sz val="12"/>
    </font>
    <font>
      <name val="Calibri"/>
      <family val="2"/>
      <b val="1"/>
      <sz val="14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color rgb="FF0000FF"/>
      <sz val="11"/>
    </font>
    <font>
      <name val="Calibri"/>
      <family val="2"/>
      <sz val="11"/>
    </font>
    <font>
      <name val="Calibri"/>
      <family val="2"/>
      <color rgb="FF595959"/>
      <sz val="11"/>
    </font>
    <font>
      <name val="Calibri"/>
      <family val="2"/>
      <b val="1"/>
      <sz val="11"/>
    </font>
    <font>
      <name val="Calibri"/>
      <family val="2"/>
      <color rgb="FF008000"/>
      <sz val="11"/>
    </font>
    <font>
      <name val="Calibri"/>
      <family val="2"/>
      <b val="1"/>
      <color rgb="FF0000FF"/>
      <sz val="11"/>
    </font>
    <font>
      <name val="Calibri"/>
      <charset val="1"/>
      <family val="2"/>
      <color theme="1"/>
      <sz val="10"/>
    </font>
    <font>
      <name val="Calibri"/>
      <family val="2"/>
      <b val="1"/>
      <color rgb="FF666666"/>
      <sz val="12"/>
    </font>
    <font>
      <name val="Calibri"/>
      <family val="2"/>
      <b val="1"/>
      <color rgb="FFC00000"/>
      <sz val="11"/>
    </font>
    <font>
      <name val="Calibri"/>
      <color rgb="FF000000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000000"/>
      <sz val="12"/>
    </font>
    <font>
      <name val="Calibri"/>
      <color rgb="FF0000FF"/>
      <sz val="12"/>
    </font>
    <font>
      <name val="Calibri"/>
      <color rgb="FF595959"/>
      <sz val="9"/>
    </font>
    <font>
      <name val="Calibri"/>
      <b val="1"/>
      <color rgb="FF000000"/>
      <sz val="12"/>
    </font>
    <font>
      <name val="Calibri"/>
      <color rgb="FF008000"/>
      <sz val="12"/>
    </font>
    <font>
      <name val="Calibri"/>
      <b val="1"/>
      <color rgb="FF000000"/>
      <sz val="11"/>
    </font>
    <font>
      <name val="Calibri"/>
      <b val="1"/>
      <color rgb="FF0000FF"/>
      <sz val="12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libri"/>
      <family val="2"/>
      <color rgb="FF2F3E46"/>
      <sz val="12"/>
    </font>
    <font>
      <name val="Calibri"/>
      <color rgb="FFA6A6A6"/>
      <sz val="12"/>
    </font>
    <font>
      <name val="Calibri"/>
      <b val="1"/>
      <i val="1"/>
      <color rgb="FFC00000"/>
      <sz val="10"/>
    </font>
  </fonts>
  <fills count="18">
    <fill>
      <patternFill/>
    </fill>
    <fill>
      <patternFill patternType="gray125"/>
    </fill>
    <fill>
      <patternFill patternType="solid">
        <fgColor rgb="FFFFFDE7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84A98C"/>
        <bgColor rgb="FFA6A6A6"/>
      </patternFill>
    </fill>
    <fill>
      <patternFill patternType="solid">
        <fgColor rgb="FF2F3E46"/>
        <bgColor rgb="FF404040"/>
      </patternFill>
    </fill>
    <fill>
      <patternFill patternType="solid">
        <fgColor rgb="FFCAD2C5"/>
        <bgColor rgb="FFD9D9D9"/>
      </patternFill>
    </fill>
    <fill>
      <patternFill patternType="solid">
        <fgColor rgb="FF52796F"/>
        <bgColor rgb="FF666666"/>
      </patternFill>
    </fill>
    <fill>
      <patternFill patternType="solid">
        <fgColor rgb="FFE9ECEC"/>
        <bgColor rgb="FFE8EDE9"/>
      </patternFill>
    </fill>
    <fill>
      <patternFill patternType="solid">
        <fgColor rgb="FFF5F5F5"/>
        <bgColor rgb="FFF0F2F0"/>
      </patternFill>
    </fill>
    <fill>
      <patternFill patternType="solid">
        <fgColor rgb="FFE8EDE9"/>
        <bgColor rgb="FFE9ECEC"/>
      </patternFill>
    </fill>
    <fill>
      <patternFill patternType="solid">
        <fgColor rgb="FFF0F2F0"/>
        <bgColor rgb="FFF5F5F5"/>
      </patternFill>
    </fill>
    <fill>
      <patternFill patternType="solid">
        <fgColor rgb="FFFFF8DC"/>
        <bgColor rgb="FFFFFDE7"/>
      </patternFill>
    </fill>
    <fill>
      <patternFill patternType="solid">
        <fgColor rgb="FFFFFDE7"/>
        <bgColor indexed="64"/>
      </patternFill>
    </fill>
    <fill>
      <patternFill patternType="solid">
        <fgColor rgb="FF2F3E46"/>
        <bgColor indexed="64"/>
      </patternFill>
    </fill>
    <fill>
      <patternFill patternType="solid">
        <fgColor rgb="FF52796F"/>
        <bgColor indexed="64"/>
      </patternFill>
    </fill>
    <fill>
      <patternFill patternType="solid">
        <fgColor rgb="FFCAD2C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2F3E46"/>
      </top>
      <bottom/>
      <diagonal/>
    </border>
    <border>
      <left/>
      <right/>
      <top/>
      <bottom style="thin">
        <color rgb="FF2F3E46"/>
      </bottom>
      <diagonal/>
    </border>
    <border>
      <left style="thin">
        <color rgb="FF2F3E46"/>
      </left>
      <right/>
      <top style="thin">
        <color rgb="FF2F3E46"/>
      </top>
      <bottom/>
      <diagonal/>
    </border>
    <border>
      <left style="thin">
        <color rgb="FF2F3E46"/>
      </left>
      <right/>
      <top/>
      <bottom/>
      <diagonal/>
    </border>
    <border>
      <left style="thin">
        <color rgb="FF2F3E46"/>
      </left>
      <right/>
      <top/>
      <bottom style="thin">
        <color rgb="FF2F3E46"/>
      </bottom>
      <diagonal/>
    </border>
    <border>
      <left/>
      <right style="thin">
        <color rgb="FF2F3E46"/>
      </right>
      <top style="thin">
        <color rgb="FF2F3E46"/>
      </top>
      <bottom/>
      <diagonal/>
    </border>
    <border>
      <left/>
      <right style="thin">
        <color rgb="FF2F3E46"/>
      </right>
      <top/>
      <bottom/>
      <diagonal/>
    </border>
    <border>
      <left/>
      <right style="thin">
        <color rgb="FF2F3E46"/>
      </right>
      <top/>
      <bottom style="thin">
        <color rgb="FF2F3E46"/>
      </bottom>
      <diagonal/>
    </border>
  </borders>
  <cellStyleXfs count="2">
    <xf numFmtId="0" fontId="27" fillId="0" borderId="0"/>
    <xf numFmtId="9" fontId="27" fillId="0" borderId="0"/>
  </cellStyleXfs>
  <cellXfs count="30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6" fillId="5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11" fillId="7" borderId="0" pivotButton="0" quotePrefix="0" xfId="0"/>
    <xf numFmtId="0" fontId="6" fillId="7" borderId="0" pivotButton="0" quotePrefix="0" xfId="0"/>
    <xf numFmtId="0" fontId="12" fillId="0" borderId="2" pivotButton="0" quotePrefix="0" xfId="0"/>
    <xf numFmtId="164" fontId="3" fillId="0" borderId="2" applyAlignment="1" pivotButton="0" quotePrefix="0" xfId="0">
      <alignment horizontal="right"/>
    </xf>
    <xf numFmtId="164" fontId="9" fillId="2" borderId="2" applyAlignment="1" pivotButton="0" quotePrefix="0" xfId="0">
      <alignment horizontal="right"/>
    </xf>
    <xf numFmtId="0" fontId="10" fillId="2" borderId="0" pivotButton="0" quotePrefix="0" xfId="0"/>
    <xf numFmtId="165" fontId="12" fillId="6" borderId="0" pivotButton="0" quotePrefix="0" xfId="0"/>
    <xf numFmtId="0" fontId="6" fillId="7" borderId="0" applyAlignment="1" pivotButton="0" quotePrefix="0" xfId="0">
      <alignment horizontal="center"/>
    </xf>
    <xf numFmtId="0" fontId="13" fillId="0" borderId="0" pivotButton="0" quotePrefix="0" xfId="0"/>
    <xf numFmtId="166" fontId="14" fillId="0" borderId="0" applyAlignment="1" pivotButton="0" quotePrefix="0" xfId="0">
      <alignment horizontal="right"/>
    </xf>
    <xf numFmtId="166" fontId="15" fillId="2" borderId="0" applyAlignment="1" pivotButton="0" quotePrefix="0" xfId="0">
      <alignment horizontal="right"/>
    </xf>
    <xf numFmtId="0" fontId="16" fillId="0" borderId="0" pivotButton="0" quotePrefix="0" xfId="0"/>
    <xf numFmtId="167" fontId="17" fillId="0" borderId="0" pivotButton="0" quotePrefix="0" xfId="0"/>
    <xf numFmtId="168" fontId="17" fillId="0" borderId="0" applyAlignment="1" pivotButton="0" quotePrefix="0" xfId="0">
      <alignment horizontal="right"/>
    </xf>
    <xf numFmtId="168" fontId="15" fillId="2" borderId="0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2" borderId="0" applyAlignment="1" pivotButton="0" quotePrefix="0" xfId="0">
      <alignment horizontal="right"/>
    </xf>
    <xf numFmtId="167" fontId="3" fillId="0" borderId="2" applyAlignment="1" pivotButton="0" quotePrefix="0" xfId="0">
      <alignment horizontal="right"/>
    </xf>
    <xf numFmtId="167" fontId="9" fillId="2" borderId="2" applyAlignment="1" pivotButton="0" quotePrefix="0" xfId="0">
      <alignment horizontal="right"/>
    </xf>
    <xf numFmtId="166" fontId="15" fillId="0" borderId="0" pivotButton="0" quotePrefix="0" xfId="0"/>
    <xf numFmtId="167" fontId="17" fillId="0" borderId="0" applyAlignment="1" pivotButton="0" quotePrefix="0" xfId="0">
      <alignment horizontal="right"/>
    </xf>
    <xf numFmtId="167" fontId="15" fillId="2" borderId="0" applyAlignment="1" pivotButton="0" quotePrefix="0" xfId="0">
      <alignment horizontal="right"/>
    </xf>
    <xf numFmtId="166" fontId="15" fillId="0" borderId="0" applyAlignment="1" pivotButton="0" quotePrefix="0" xfId="0">
      <alignment horizontal="right"/>
    </xf>
    <xf numFmtId="166" fontId="12" fillId="6" borderId="0" pivotButton="0" quotePrefix="0" xfId="0"/>
    <xf numFmtId="168" fontId="15" fillId="0" borderId="0" applyAlignment="1" pivotButton="0" quotePrefix="0" xfId="0">
      <alignment horizontal="right"/>
    </xf>
    <xf numFmtId="170" fontId="17" fillId="0" borderId="0" pivotButton="0" quotePrefix="0" xfId="0"/>
    <xf numFmtId="166" fontId="17" fillId="0" borderId="0" applyAlignment="1" pivotButton="0" quotePrefix="0" xfId="0">
      <alignment horizontal="right"/>
    </xf>
    <xf numFmtId="171" fontId="3" fillId="8" borderId="0" applyAlignment="1" pivotButton="0" quotePrefix="0" xfId="0">
      <alignment horizontal="center"/>
    </xf>
    <xf numFmtId="166" fontId="17" fillId="0" borderId="0" pivotButton="0" quotePrefix="0" xfId="0"/>
    <xf numFmtId="167" fontId="9" fillId="0" borderId="2" applyAlignment="1" pivotButton="0" quotePrefix="0" xfId="0">
      <alignment horizontal="right"/>
    </xf>
    <xf numFmtId="167" fontId="15" fillId="0" borderId="0" applyAlignment="1" pivotButton="0" quotePrefix="0" xfId="0">
      <alignment horizontal="right"/>
    </xf>
    <xf numFmtId="164" fontId="17" fillId="0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" fontId="3" fillId="2" borderId="0" applyAlignment="1" pivotButton="0" quotePrefix="0" xfId="0">
      <alignment horizontal="right"/>
    </xf>
    <xf numFmtId="1" fontId="15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172" fontId="3" fillId="8" borderId="0" applyAlignment="1" pivotButton="0" quotePrefix="0" xfId="0">
      <alignment horizontal="center"/>
    </xf>
    <xf numFmtId="167" fontId="15" fillId="0" borderId="0" pivotButton="0" quotePrefix="0" xfId="0"/>
    <xf numFmtId="170" fontId="3" fillId="2" borderId="0" applyAlignment="1" pivotButton="0" quotePrefix="0" xfId="0">
      <alignment horizontal="right"/>
    </xf>
    <xf numFmtId="170" fontId="15" fillId="2" borderId="0" applyAlignment="1" pivotButton="0" quotePrefix="0" xfId="0">
      <alignment horizontal="right"/>
    </xf>
    <xf numFmtId="167" fontId="3" fillId="2" borderId="2" applyAlignment="1" pivotButton="0" quotePrefix="0" xfId="0">
      <alignment horizontal="right"/>
    </xf>
    <xf numFmtId="0" fontId="11" fillId="5" borderId="2" pivotButton="0" quotePrefix="0" xfId="0"/>
    <xf numFmtId="167" fontId="9" fillId="6" borderId="2" applyAlignment="1" pivotButton="0" quotePrefix="0" xfId="0">
      <alignment horizontal="right"/>
    </xf>
    <xf numFmtId="0" fontId="18" fillId="0" borderId="0" pivotButton="0" quotePrefix="0" xfId="0"/>
    <xf numFmtId="167" fontId="3" fillId="6" borderId="2" applyAlignment="1" pivotButton="0" quotePrefix="0" xfId="0">
      <alignment horizontal="right"/>
    </xf>
    <xf numFmtId="164" fontId="15" fillId="2" borderId="0" applyAlignment="1" pivotButton="0" quotePrefix="0" xfId="0">
      <alignment horizontal="right"/>
    </xf>
    <xf numFmtId="168" fontId="9" fillId="6" borderId="2" applyAlignment="1" pivotButton="0" quotePrefix="0" xfId="0">
      <alignment horizontal="right"/>
    </xf>
    <xf numFmtId="168" fontId="9" fillId="0" borderId="2" applyAlignment="1" pivotButton="0" quotePrefix="0" xfId="0">
      <alignment horizontal="right"/>
    </xf>
    <xf numFmtId="168" fontId="9" fillId="2" borderId="2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3" fillId="2" borderId="0" applyAlignment="1" pivotButton="0" quotePrefix="0" xfId="0">
      <alignment horizontal="right"/>
    </xf>
    <xf numFmtId="0" fontId="13" fillId="8" borderId="0" pivotButton="0" quotePrefix="0" xfId="0"/>
    <xf numFmtId="166" fontId="9" fillId="6" borderId="2" applyAlignment="1" pivotButton="0" quotePrefix="0" xfId="0">
      <alignment horizontal="right"/>
    </xf>
    <xf numFmtId="173" fontId="9" fillId="6" borderId="2" applyAlignment="1" pivotButton="0" quotePrefix="0" xfId="0">
      <alignment horizontal="right"/>
    </xf>
    <xf numFmtId="168" fontId="3" fillId="2" borderId="0" applyAlignment="1" pivotButton="0" quotePrefix="0" xfId="0">
      <alignment horizontal="right"/>
    </xf>
    <xf numFmtId="0" fontId="20" fillId="0" borderId="0" pivotButton="0" quotePrefix="0" xfId="0"/>
    <xf numFmtId="4" fontId="21" fillId="2" borderId="0" pivotButton="0" quotePrefix="0" xfId="0"/>
    <xf numFmtId="0" fontId="22" fillId="6" borderId="0" pivotButton="0" quotePrefix="0" xfId="0"/>
    <xf numFmtId="0" fontId="12" fillId="0" borderId="0" pivotButton="0" quotePrefix="0" xfId="0"/>
    <xf numFmtId="0" fontId="21" fillId="3" borderId="0" pivotButton="0" quotePrefix="0" xfId="0"/>
    <xf numFmtId="0" fontId="23" fillId="5" borderId="0" pivotButton="0" quotePrefix="0" xfId="0"/>
    <xf numFmtId="0" fontId="22" fillId="0" borderId="0" pivotButton="0" quotePrefix="0" xfId="0"/>
    <xf numFmtId="167" fontId="21" fillId="9" borderId="0" pivotButton="0" quotePrefix="0" xfId="0"/>
    <xf numFmtId="167" fontId="21" fillId="2" borderId="0" pivotButton="0" quotePrefix="0" xfId="0"/>
    <xf numFmtId="175" fontId="12" fillId="10" borderId="0" pivotButton="0" quotePrefix="0" xfId="0"/>
    <xf numFmtId="0" fontId="24" fillId="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66" fontId="21" fillId="9" borderId="0" pivotButton="0" quotePrefix="0" xfId="0"/>
    <xf numFmtId="166" fontId="21" fillId="2" borderId="0" pivotButton="0" quotePrefix="0" xfId="0"/>
    <xf numFmtId="166" fontId="24" fillId="9" borderId="0" pivotButton="0" quotePrefix="0" xfId="0"/>
    <xf numFmtId="166" fontId="24" fillId="2" borderId="0" pivotButton="0" quotePrefix="0" xfId="0"/>
    <xf numFmtId="166" fontId="24" fillId="11" borderId="0" pivotButton="0" quotePrefix="0" xfId="0"/>
    <xf numFmtId="164" fontId="21" fillId="9" borderId="0" pivotButton="0" quotePrefix="0" xfId="0"/>
    <xf numFmtId="164" fontId="21" fillId="2" borderId="0" pivotButton="0" quotePrefix="0" xfId="0"/>
    <xf numFmtId="168" fontId="21" fillId="9" borderId="0" pivotButton="0" quotePrefix="0" xfId="0"/>
    <xf numFmtId="168" fontId="21" fillId="2" borderId="0" pivotButton="0" quotePrefix="0" xfId="0"/>
    <xf numFmtId="176" fontId="3" fillId="12" borderId="0" pivotButton="0" quotePrefix="0" xfId="0"/>
    <xf numFmtId="167" fontId="6" fillId="5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68" fontId="24" fillId="9" borderId="0" pivotButton="0" quotePrefix="0" xfId="0"/>
    <xf numFmtId="168" fontId="24" fillId="2" borderId="0" pivotButton="0" quotePrefix="0" xfId="0"/>
    <xf numFmtId="166" fontId="24" fillId="0" borderId="0" pivotButton="0" quotePrefix="0" xfId="0"/>
    <xf numFmtId="173" fontId="24" fillId="9" borderId="0" pivotButton="0" quotePrefix="0" xfId="0"/>
    <xf numFmtId="173" fontId="24" fillId="2" borderId="0" pivotButton="0" quotePrefix="0" xfId="0"/>
    <xf numFmtId="167" fontId="24" fillId="0" borderId="0" pivotButton="0" quotePrefix="0" xfId="0"/>
    <xf numFmtId="173" fontId="24" fillId="0" borderId="0" pivotButton="0" quotePrefix="0" xfId="0"/>
    <xf numFmtId="167" fontId="25" fillId="0" borderId="0" pivotButton="0" quotePrefix="0" xfId="0"/>
    <xf numFmtId="0" fontId="26" fillId="0" borderId="0" pivotButton="0" quotePrefix="0" xfId="0"/>
    <xf numFmtId="166" fontId="25" fillId="0" borderId="0" pivotButton="0" quotePrefix="0" xfId="0"/>
    <xf numFmtId="0" fontId="28" fillId="5" borderId="0" pivotButton="0" quotePrefix="0" xfId="0"/>
    <xf numFmtId="0" fontId="29" fillId="0" borderId="0" pivotButton="0" quotePrefix="0" xfId="0"/>
    <xf numFmtId="177" fontId="29" fillId="0" borderId="0" pivotButton="0" quotePrefix="0" xfId="0"/>
    <xf numFmtId="167" fontId="29" fillId="0" borderId="0" pivotButton="0" quotePrefix="0" xfId="0"/>
    <xf numFmtId="166" fontId="30" fillId="0" borderId="0" pivotButton="0" quotePrefix="0" xfId="0"/>
    <xf numFmtId="178" fontId="29" fillId="0" borderId="0" pivotButton="0" quotePrefix="0" xfId="0"/>
    <xf numFmtId="2" fontId="29" fillId="0" borderId="0" pivotButton="0" quotePrefix="0" xfId="0"/>
    <xf numFmtId="179" fontId="29" fillId="0" borderId="0" pivotButton="0" quotePrefix="0" xfId="0"/>
    <xf numFmtId="167" fontId="30" fillId="0" borderId="0" pivotButton="0" quotePrefix="0" xfId="0"/>
    <xf numFmtId="0" fontId="31" fillId="0" borderId="0" pivotButton="0" quotePrefix="0" xfId="0"/>
    <xf numFmtId="166" fontId="31" fillId="0" borderId="0" pivotButton="0" quotePrefix="0" xfId="0"/>
    <xf numFmtId="166" fontId="29" fillId="0" borderId="0" pivotButton="0" quotePrefix="0" xfId="0"/>
    <xf numFmtId="164" fontId="29" fillId="0" borderId="0" pivotButton="0" quotePrefix="0" xfId="0"/>
    <xf numFmtId="4" fontId="29" fillId="0" borderId="0" pivotButton="0" quotePrefix="0" xfId="0"/>
    <xf numFmtId="178" fontId="32" fillId="0" borderId="0" pivotButton="0" quotePrefix="0" xfId="0"/>
    <xf numFmtId="3" fontId="29" fillId="0" borderId="0" pivotButton="0" quotePrefix="0" xfId="0"/>
    <xf numFmtId="3" fontId="29" fillId="3" borderId="0" pivotButton="0" quotePrefix="0" xfId="0"/>
    <xf numFmtId="176" fontId="29" fillId="0" borderId="0" pivotButton="0" quotePrefix="0" xfId="0"/>
    <xf numFmtId="0" fontId="33" fillId="0" borderId="0" pivotButton="0" quotePrefix="0" xfId="0"/>
    <xf numFmtId="10" fontId="32" fillId="2" borderId="0" pivotButton="0" quotePrefix="0" xfId="0"/>
    <xf numFmtId="0" fontId="34" fillId="0" borderId="0" pivotButton="0" quotePrefix="0" xfId="0"/>
    <xf numFmtId="2" fontId="32" fillId="2" borderId="0" pivotButton="0" quotePrefix="0" xfId="0"/>
    <xf numFmtId="10" fontId="33" fillId="0" borderId="0" pivotButton="0" quotePrefix="0" xfId="0"/>
    <xf numFmtId="0" fontId="35" fillId="0" borderId="0" pivotButton="0" quotePrefix="0" xfId="0"/>
    <xf numFmtId="10" fontId="35" fillId="6" borderId="0" pivotButton="0" quotePrefix="0" xfId="0"/>
    <xf numFmtId="167" fontId="36" fillId="0" borderId="0" pivotButton="0" quotePrefix="0" xfId="0"/>
    <xf numFmtId="0" fontId="35" fillId="6" borderId="0" pivotButton="0" quotePrefix="0" xfId="0"/>
    <xf numFmtId="167" fontId="35" fillId="6" borderId="0" pivotButton="0" quotePrefix="0" xfId="0"/>
    <xf numFmtId="178" fontId="32" fillId="2" borderId="0" pivotButton="0" quotePrefix="0" xfId="0"/>
    <xf numFmtId="178" fontId="30" fillId="2" borderId="0" pivotButton="0" quotePrefix="0" xfId="0"/>
    <xf numFmtId="178" fontId="37" fillId="3" borderId="0" pivotButton="0" quotePrefix="0" xfId="0"/>
    <xf numFmtId="10" fontId="30" fillId="0" borderId="0" pivotButton="0" quotePrefix="0" xfId="0"/>
    <xf numFmtId="1" fontId="32" fillId="2" borderId="0" pivotButton="0" quotePrefix="0" xfId="0"/>
    <xf numFmtId="0" fontId="30" fillId="0" borderId="0" applyAlignment="1" pivotButton="0" quotePrefix="0" xfId="0">
      <alignment horizontal="right"/>
    </xf>
    <xf numFmtId="178" fontId="32" fillId="13" borderId="0" pivotButton="0" quotePrefix="0" xfId="0"/>
    <xf numFmtId="1" fontId="32" fillId="13" borderId="0" pivotButton="0" quotePrefix="0" xfId="0"/>
    <xf numFmtId="0" fontId="38" fillId="2" borderId="0" pivotButton="0" quotePrefix="0" xfId="0"/>
    <xf numFmtId="0" fontId="16" fillId="0" borderId="3" pivotButton="0" quotePrefix="0" xfId="0"/>
    <xf numFmtId="168" fontId="15" fillId="0" borderId="3" applyAlignment="1" pivotButton="0" quotePrefix="0" xfId="0">
      <alignment horizontal="right"/>
    </xf>
    <xf numFmtId="168" fontId="15" fillId="2" borderId="3" applyAlignment="1" pivotButton="0" quotePrefix="0" xfId="0">
      <alignment horizontal="right"/>
    </xf>
    <xf numFmtId="9" fontId="30" fillId="0" borderId="0" applyAlignment="1" pivotButton="0" quotePrefix="0" xfId="1">
      <alignment horizontal="left"/>
    </xf>
    <xf numFmtId="0" fontId="11" fillId="5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shrinkToFit="1"/>
    </xf>
    <xf numFmtId="0" fontId="0" fillId="2" borderId="0" pivotButton="0" quotePrefix="0" xfId="0"/>
    <xf numFmtId="0" fontId="0" fillId="0" borderId="2" pivotButton="0" quotePrefix="0" xfId="0"/>
    <xf numFmtId="166" fontId="17" fillId="2" borderId="0" applyAlignment="1" pivotButton="0" quotePrefix="0" xfId="0">
      <alignment horizontal="right"/>
    </xf>
    <xf numFmtId="0" fontId="39" fillId="0" borderId="0" pivotButton="0" quotePrefix="0" xfId="0"/>
    <xf numFmtId="0" fontId="0" fillId="2" borderId="2" pivotButton="0" quotePrefix="0" xfId="0"/>
    <xf numFmtId="0" fontId="40" fillId="0" borderId="0" pivotButton="0" quotePrefix="0" xfId="0"/>
    <xf numFmtId="0" fontId="1" fillId="0" borderId="0" pivotButton="0" quotePrefix="0" xfId="0"/>
    <xf numFmtId="0" fontId="0" fillId="6" borderId="2" pivotButton="0" quotePrefix="0" xfId="0"/>
    <xf numFmtId="177" fontId="0" fillId="0" borderId="0" pivotButton="0" quotePrefix="0" xfId="0"/>
    <xf numFmtId="0" fontId="11" fillId="5" borderId="0" pivotButton="0" quotePrefix="0" xfId="0"/>
    <xf numFmtId="0" fontId="11" fillId="5" borderId="0" applyAlignment="1" pivotButton="0" quotePrefix="0" xfId="0">
      <alignment horizontal="right"/>
    </xf>
    <xf numFmtId="166" fontId="8" fillId="0" borderId="0" pivotButton="0" quotePrefix="0" xfId="0"/>
    <xf numFmtId="4" fontId="11" fillId="5" borderId="0" pivotButton="0" quotePrefix="0" xfId="0"/>
    <xf numFmtId="4" fontId="8" fillId="0" borderId="0" pivotButton="0" quotePrefix="0" xfId="0"/>
    <xf numFmtId="178" fontId="8" fillId="0" borderId="0" pivotButton="0" quotePrefix="0" xfId="0"/>
    <xf numFmtId="176" fontId="11" fillId="5" borderId="0" pivotButton="0" quotePrefix="0" xfId="0"/>
    <xf numFmtId="10" fontId="46" fillId="13" borderId="0" pivotButton="0" quotePrefix="0" xfId="0"/>
    <xf numFmtId="2" fontId="46" fillId="13" borderId="0" pivotButton="0" quotePrefix="0" xfId="0"/>
    <xf numFmtId="10" fontId="45" fillId="0" borderId="0" pivotButton="0" quotePrefix="0" xfId="0"/>
    <xf numFmtId="180" fontId="46" fillId="0" borderId="0" applyAlignment="1" pivotButton="0" quotePrefix="0" xfId="0">
      <alignment horizontal="center"/>
    </xf>
    <xf numFmtId="167" fontId="49" fillId="0" borderId="0" pivotButton="0" quotePrefix="0" xfId="0"/>
    <xf numFmtId="167" fontId="45" fillId="0" borderId="0" pivotButton="0" quotePrefix="0" xfId="0"/>
    <xf numFmtId="166" fontId="45" fillId="0" borderId="0" pivotButton="0" quotePrefix="0" xfId="0"/>
    <xf numFmtId="166" fontId="45" fillId="0" borderId="0" applyAlignment="1" pivotButton="0" quotePrefix="0" xfId="0">
      <alignment horizontal="center"/>
    </xf>
    <xf numFmtId="2" fontId="45" fillId="0" borderId="0" pivotButton="0" quotePrefix="0" xfId="0"/>
    <xf numFmtId="167" fontId="48" fillId="0" borderId="0" pivotButton="0" quotePrefix="0" xfId="0"/>
    <xf numFmtId="167" fontId="48" fillId="16" borderId="0" pivotButton="0" quotePrefix="0" xfId="0"/>
    <xf numFmtId="166" fontId="48" fillId="16" borderId="0" pivotButton="0" quotePrefix="0" xfId="0"/>
    <xf numFmtId="166" fontId="48" fillId="16" borderId="0" applyAlignment="1" pivotButton="0" quotePrefix="0" xfId="0">
      <alignment horizontal="center"/>
    </xf>
    <xf numFmtId="178" fontId="46" fillId="13" borderId="0" pivotButton="0" quotePrefix="0" xfId="0"/>
    <xf numFmtId="178" fontId="45" fillId="13" borderId="0" pivotButton="0" quotePrefix="0" xfId="0"/>
    <xf numFmtId="178" fontId="51" fillId="17" borderId="0" pivotButton="0" quotePrefix="0" xfId="0"/>
    <xf numFmtId="179" fontId="45" fillId="0" borderId="0" pivotButton="0" quotePrefix="0" xfId="0"/>
    <xf numFmtId="181" fontId="49" fillId="0" borderId="0" pivotButton="0" quotePrefix="0" xfId="0"/>
    <xf numFmtId="4" fontId="44" fillId="14" borderId="0" pivotButton="0" quotePrefix="0" xfId="0"/>
    <xf numFmtId="4" fontId="49" fillId="0" borderId="0" pivotButton="0" quotePrefix="0" xfId="0"/>
    <xf numFmtId="182" fontId="48" fillId="16" borderId="0" pivotButton="0" quotePrefix="0" xfId="0"/>
    <xf numFmtId="4" fontId="48" fillId="16" borderId="0" pivotButton="0" quotePrefix="0" xfId="0"/>
    <xf numFmtId="1" fontId="46" fillId="13" borderId="0" pivotButton="0" quotePrefix="0" xfId="0"/>
    <xf numFmtId="0" fontId="41" fillId="0" borderId="0" pivotButton="0" quotePrefix="0" xfId="0"/>
    <xf numFmtId="0" fontId="42" fillId="14" borderId="0" pivotButton="0" quotePrefix="0" xfId="0"/>
    <xf numFmtId="0" fontId="43" fillId="14" borderId="0" pivotButton="0" quotePrefix="0" xfId="0"/>
    <xf numFmtId="0" fontId="44" fillId="15" borderId="0" pivotButton="0" quotePrefix="0" xfId="0"/>
    <xf numFmtId="0" fontId="43" fillId="15" borderId="0" pivotButton="0" quotePrefix="0" xfId="0"/>
    <xf numFmtId="0" fontId="45" fillId="0" borderId="0" pivotButton="0" quotePrefix="0" xfId="0"/>
    <xf numFmtId="0" fontId="47" fillId="0" borderId="0" pivotButton="0" quotePrefix="0" xfId="0"/>
    <xf numFmtId="0" fontId="48" fillId="0" borderId="0" pivotButton="0" quotePrefix="0" xfId="0"/>
    <xf numFmtId="0" fontId="48" fillId="16" borderId="0" pivotButton="0" quotePrefix="0" xfId="0"/>
    <xf numFmtId="0" fontId="41" fillId="15" borderId="0" pivotButton="0" quotePrefix="0" xfId="0"/>
    <xf numFmtId="0" fontId="44" fillId="14" borderId="0" pivotButton="0" quotePrefix="0" xfId="0"/>
    <xf numFmtId="0" fontId="44" fillId="14" borderId="0" applyAlignment="1" pivotButton="0" quotePrefix="0" xfId="0">
      <alignment horizontal="center"/>
    </xf>
    <xf numFmtId="0" fontId="43" fillId="14" borderId="0" applyAlignment="1" pivotButton="0" quotePrefix="0" xfId="0">
      <alignment horizontal="center"/>
    </xf>
    <xf numFmtId="0" fontId="47" fillId="0" borderId="0" applyAlignment="1" pivotButton="0" quotePrefix="0" xfId="0">
      <alignment horizontal="right"/>
    </xf>
    <xf numFmtId="0" fontId="50" fillId="0" borderId="0" applyAlignment="1" pivotButton="0" quotePrefix="0" xfId="0">
      <alignment horizontal="centerContinuous"/>
    </xf>
    <xf numFmtId="0" fontId="44" fillId="15" borderId="0" applyAlignment="1" pivotButton="0" quotePrefix="0" xfId="0">
      <alignment horizontal="right"/>
    </xf>
    <xf numFmtId="1" fontId="46" fillId="13" borderId="0" applyAlignment="1" pivotButton="0" quotePrefix="0" xfId="0">
      <alignment horizontal="center"/>
    </xf>
    <xf numFmtId="167" fontId="49" fillId="0" borderId="0" applyAlignment="1" pivotButton="0" quotePrefix="0" xfId="0">
      <alignment horizontal="right"/>
    </xf>
    <xf numFmtId="178" fontId="49" fillId="0" borderId="0" applyAlignment="1" pivotButton="0" quotePrefix="0" xfId="0">
      <alignment horizontal="right"/>
    </xf>
    <xf numFmtId="167" fontId="45" fillId="0" borderId="0" applyAlignment="1" pivotButton="0" quotePrefix="0" xfId="0">
      <alignment horizontal="right"/>
    </xf>
    <xf numFmtId="181" fontId="49" fillId="0" borderId="0" applyAlignment="1" pivotButton="0" quotePrefix="0" xfId="0">
      <alignment horizontal="right"/>
    </xf>
    <xf numFmtId="4" fontId="44" fillId="14" borderId="0" applyAlignment="1" pivotButton="0" quotePrefix="0" xfId="0">
      <alignment horizontal="right"/>
    </xf>
    <xf numFmtId="4" fontId="45" fillId="0" borderId="0" applyAlignment="1" pivotButton="0" quotePrefix="0" xfId="0">
      <alignment horizontal="right"/>
    </xf>
    <xf numFmtId="166" fontId="45" fillId="0" borderId="0" applyAlignment="1" pivotButton="0" quotePrefix="0" xfId="0">
      <alignment horizontal="right"/>
    </xf>
    <xf numFmtId="10" fontId="48" fillId="16" borderId="4" pivotButton="0" quotePrefix="0" xfId="0"/>
    <xf numFmtId="0" fontId="48" fillId="16" borderId="4" pivotButton="0" quotePrefix="0" xfId="0"/>
    <xf numFmtId="0" fontId="50" fillId="16" borderId="4" pivotButton="0" quotePrefix="0" xfId="0"/>
    <xf numFmtId="167" fontId="48" fillId="16" borderId="4" pivotButton="0" quotePrefix="0" xfId="0"/>
    <xf numFmtId="0" fontId="45" fillId="0" borderId="4" pivotButton="0" quotePrefix="0" xfId="0"/>
    <xf numFmtId="0" fontId="41" fillId="0" borderId="4" pivotButton="0" quotePrefix="0" xfId="0"/>
    <xf numFmtId="167" fontId="45" fillId="0" borderId="4" pivotButton="0" quotePrefix="0" xfId="0"/>
    <xf numFmtId="0" fontId="48" fillId="0" borderId="4" pivotButton="0" quotePrefix="0" xfId="0"/>
    <xf numFmtId="167" fontId="48" fillId="0" borderId="4" pivotButton="0" quotePrefix="0" xfId="0"/>
    <xf numFmtId="3" fontId="45" fillId="0" borderId="0" applyAlignment="1" pivotButton="0" quotePrefix="0" xfId="0">
      <alignment horizontal="center"/>
    </xf>
    <xf numFmtId="3" fontId="48" fillId="17" borderId="0" applyAlignment="1" pivotButton="0" quotePrefix="0" xfId="0">
      <alignment horizontal="center"/>
    </xf>
    <xf numFmtId="0" fontId="43" fillId="14" borderId="4" pivotButton="0" quotePrefix="0" xfId="0"/>
    <xf numFmtId="10" fontId="44" fillId="14" borderId="4" applyAlignment="1" pivotButton="0" quotePrefix="0" xfId="0">
      <alignment horizontal="center"/>
    </xf>
    <xf numFmtId="0" fontId="41" fillId="0" borderId="5" pivotButton="0" quotePrefix="0" xfId="0"/>
    <xf numFmtId="3" fontId="45" fillId="0" borderId="5" applyAlignment="1" pivotButton="0" quotePrefix="0" xfId="0">
      <alignment horizontal="center"/>
    </xf>
    <xf numFmtId="0" fontId="44" fillId="14" borderId="6" pivotButton="0" quotePrefix="0" xfId="0"/>
    <xf numFmtId="10" fontId="48" fillId="0" borderId="7" applyAlignment="1" pivotButton="0" quotePrefix="0" xfId="0">
      <alignment horizontal="right"/>
    </xf>
    <xf numFmtId="10" fontId="48" fillId="0" borderId="8" applyAlignment="1" pivotButton="0" quotePrefix="0" xfId="0">
      <alignment horizontal="right"/>
    </xf>
    <xf numFmtId="10" fontId="44" fillId="14" borderId="9" applyAlignment="1" pivotButton="0" quotePrefix="0" xfId="0">
      <alignment horizontal="center"/>
    </xf>
    <xf numFmtId="3" fontId="45" fillId="0" borderId="10" applyAlignment="1" pivotButton="0" quotePrefix="0" xfId="0">
      <alignment horizontal="center"/>
    </xf>
    <xf numFmtId="3" fontId="45" fillId="0" borderId="11" applyAlignment="1" pivotButton="0" quotePrefix="0" xfId="0">
      <alignment horizontal="center"/>
    </xf>
    <xf numFmtId="0" fontId="45" fillId="0" borderId="0" applyAlignment="1" pivotButton="0" quotePrefix="0" xfId="0">
      <alignment horizontal="left" indent="2"/>
    </xf>
    <xf numFmtId="10" fontId="49" fillId="0" borderId="0" applyAlignment="1" pivotButton="0" quotePrefix="0" xfId="0">
      <alignment horizontal="center"/>
    </xf>
    <xf numFmtId="10" fontId="46" fillId="13" borderId="0" applyAlignment="1" pivotButton="0" quotePrefix="0" xfId="0">
      <alignment horizontal="center"/>
    </xf>
    <xf numFmtId="183" fontId="45" fillId="0" borderId="0" applyAlignment="1" pivotButton="0" quotePrefix="0" xfId="0">
      <alignment horizontal="center"/>
    </xf>
    <xf numFmtId="2" fontId="45" fillId="0" borderId="0" applyAlignment="1" pivotButton="0" quotePrefix="0" xfId="0">
      <alignment horizontal="center"/>
    </xf>
    <xf numFmtId="179" fontId="45" fillId="0" borderId="0" applyAlignment="1" pivotButton="0" quotePrefix="0" xfId="0">
      <alignment horizontal="center"/>
    </xf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82" fontId="48" fillId="16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  <xf numFmtId="184" fontId="48" fillId="0" borderId="0" applyAlignment="1" pivotButton="0" quotePrefix="0" xfId="0">
      <alignment horizontal="right"/>
    </xf>
    <xf numFmtId="167" fontId="25" fillId="2" borderId="0" pivotButton="0" quotePrefix="0" xfId="0"/>
    <xf numFmtId="185" fontId="25" fillId="2" borderId="0" pivotButton="0" quotePrefix="0" xfId="0"/>
    <xf numFmtId="168" fontId="25" fillId="2" borderId="0" pivotButton="0" quotePrefix="0" xfId="0"/>
    <xf numFmtId="0" fontId="0" fillId="0" borderId="0" pivotButton="0" quotePrefix="0" xfId="0"/>
    <xf numFmtId="0" fontId="54" fillId="0" borderId="0" pivotButton="0" quotePrefix="0" xfId="0"/>
    <xf numFmtId="167" fontId="51" fillId="0" borderId="2" applyAlignment="1" pivotButton="0" quotePrefix="0" xfId="0">
      <alignment horizontal="right"/>
    </xf>
    <xf numFmtId="167" fontId="48" fillId="2" borderId="2" applyAlignment="1" pivotButton="0" quotePrefix="0" xfId="0">
      <alignment horizontal="right"/>
    </xf>
    <xf numFmtId="166" fontId="55" fillId="0" borderId="0" applyAlignment="1" pivotButton="0" quotePrefix="0" xfId="0">
      <alignment horizontal="right"/>
    </xf>
    <xf numFmtId="166" fontId="45" fillId="2" borderId="0" applyAlignment="1" pivotButton="0" quotePrefix="0" xfId="0">
      <alignment horizontal="right"/>
    </xf>
    <xf numFmtId="167" fontId="46" fillId="0" borderId="0" pivotButton="0" quotePrefix="0" xfId="0"/>
    <xf numFmtId="166" fontId="46" fillId="0" borderId="0" applyAlignment="1" pivotButton="0" quotePrefix="0" xfId="0">
      <alignment horizontal="right"/>
    </xf>
    <xf numFmtId="166" fontId="48" fillId="2" borderId="0" applyAlignment="1" pivotButton="0" quotePrefix="0" xfId="0">
      <alignment horizontal="right"/>
    </xf>
    <xf numFmtId="166" fontId="46" fillId="0" borderId="0" pivotButton="0" quotePrefix="0" xfId="0"/>
    <xf numFmtId="167" fontId="46" fillId="0" borderId="0" applyAlignment="1" pivotButton="0" quotePrefix="0" xfId="0">
      <alignment horizontal="right"/>
    </xf>
    <xf numFmtId="168" fontId="46" fillId="0" borderId="0" pivotButton="0" quotePrefix="0" xfId="0"/>
    <xf numFmtId="167" fontId="45" fillId="2" borderId="0" applyAlignment="1" pivotButton="0" quotePrefix="0" xfId="0">
      <alignment horizontal="right"/>
    </xf>
    <xf numFmtId="173" fontId="46" fillId="0" borderId="0" pivotButton="0" quotePrefix="0" xfId="0"/>
    <xf numFmtId="171" fontId="51" fillId="8" borderId="0" applyAlignment="1" pivotButton="0" quotePrefix="0" xfId="0">
      <alignment horizontal="center"/>
    </xf>
    <xf numFmtId="167" fontId="48" fillId="0" borderId="2" applyAlignment="1" pivotButton="0" quotePrefix="0" xfId="0">
      <alignment horizontal="right"/>
    </xf>
    <xf numFmtId="168" fontId="45" fillId="0" borderId="0" applyAlignment="1" pivotButton="0" quotePrefix="0" xfId="0">
      <alignment horizontal="right"/>
    </xf>
    <xf numFmtId="172" fontId="51" fillId="8" borderId="0" applyAlignment="1" pivotButton="0" quotePrefix="0" xfId="0">
      <alignment horizontal="center"/>
    </xf>
    <xf numFmtId="167" fontId="51" fillId="2" borderId="0" applyAlignment="1" pivotButton="0" quotePrefix="0" xfId="0">
      <alignment horizontal="right"/>
    </xf>
    <xf numFmtId="166" fontId="51" fillId="2" borderId="0" applyAlignment="1" pivotButton="0" quotePrefix="0" xfId="0">
      <alignment horizontal="right"/>
    </xf>
    <xf numFmtId="0" fontId="51" fillId="2" borderId="0" applyAlignment="1" pivotButton="0" quotePrefix="0" xfId="0">
      <alignment horizontal="right"/>
    </xf>
    <xf numFmtId="167" fontId="48" fillId="6" borderId="2" applyAlignment="1" pivotButton="0" quotePrefix="0" xfId="0">
      <alignment horizontal="right"/>
    </xf>
    <xf numFmtId="167" fontId="41" fillId="2" borderId="0" pivotButton="0" quotePrefix="0" xfId="0"/>
    <xf numFmtId="167" fontId="51" fillId="6" borderId="2" applyAlignment="1" pivotButton="0" quotePrefix="0" xfId="0">
      <alignment horizontal="right"/>
    </xf>
    <xf numFmtId="168" fontId="48" fillId="6" borderId="2" applyAlignment="1" pivotButton="0" quotePrefix="0" xfId="0">
      <alignment horizontal="right"/>
    </xf>
    <xf numFmtId="168" fontId="46" fillId="0" borderId="0" applyAlignment="1" pivotButton="0" quotePrefix="0" xfId="0">
      <alignment horizontal="right"/>
    </xf>
    <xf numFmtId="168" fontId="45" fillId="2" borderId="0" applyAlignment="1" pivotButton="0" quotePrefix="0" xfId="0">
      <alignment horizontal="right"/>
    </xf>
    <xf numFmtId="0" fontId="56" fillId="0" borderId="0" pivotButton="0" quotePrefix="0" xfId="0"/>
    <xf numFmtId="173" fontId="45" fillId="0" borderId="0" applyAlignment="1" pivotButton="0" quotePrefix="0" xfId="0">
      <alignment horizontal="right"/>
    </xf>
    <xf numFmtId="173" fontId="45" fillId="2" borderId="0" applyAlignment="1" pivotButton="0" quotePrefix="0" xfId="0">
      <alignment horizontal="right"/>
    </xf>
    <xf numFmtId="186" fontId="45" fillId="2" borderId="0" applyAlignment="1" pivotButton="0" quotePrefix="0" xfId="0">
      <alignment horizontal="right"/>
    </xf>
    <xf numFmtId="186" fontId="51" fillId="2" borderId="0" applyAlignment="1" pivotButton="0" quotePrefix="0" xfId="0">
      <alignment horizontal="right"/>
    </xf>
    <xf numFmtId="164" fontId="45" fillId="2" borderId="0" applyAlignment="1" pivotButton="0" quotePrefix="0" xfId="0">
      <alignment horizontal="right"/>
    </xf>
    <xf numFmtId="164" fontId="41" fillId="2" borderId="0" pivotButton="0" quotePrefix="0" xfId="0"/>
    <xf numFmtId="174" fontId="45" fillId="0" borderId="0" applyAlignment="1" pivotButton="0" quotePrefix="0" xfId="0">
      <alignment horizontal="right"/>
    </xf>
    <xf numFmtId="174" fontId="51" fillId="2" borderId="0" applyAlignment="1" pivotButton="0" quotePrefix="0" xfId="0">
      <alignment horizontal="right"/>
    </xf>
    <xf numFmtId="164" fontId="51" fillId="2" borderId="0" applyAlignment="1" pivotButton="0" quotePrefix="0" xfId="0">
      <alignment horizontal="right"/>
    </xf>
    <xf numFmtId="166" fontId="48" fillId="6" borderId="2" applyAlignment="1" pivotButton="0" quotePrefix="0" xfId="0">
      <alignment horizontal="right"/>
    </xf>
    <xf numFmtId="173" fontId="48" fillId="6" borderId="2" applyAlignment="1" pivotButton="0" quotePrefix="0" xfId="0">
      <alignment horizontal="right"/>
    </xf>
    <xf numFmtId="176" fontId="45" fillId="2" borderId="0" applyAlignment="1" pivotButton="0" quotePrefix="0" xfId="0">
      <alignment horizontal="right"/>
    </xf>
    <xf numFmtId="177" fontId="0" fillId="0" borderId="0" pivotButton="0" quotePrefix="0" xfId="0"/>
    <xf numFmtId="175" fontId="12" fillId="10" borderId="0" pivotButton="0" quotePrefix="0" xfId="0"/>
    <xf numFmtId="175" fontId="24" fillId="9" borderId="0" pivotButton="0" quotePrefix="0" xfId="0"/>
    <xf numFmtId="175" fontId="24" fillId="2" borderId="0" pivotButton="0" quotePrefix="0" xfId="0"/>
    <xf numFmtId="176" fontId="3" fillId="12" borderId="0" pivotButton="0" quotePrefix="0" xfId="0"/>
    <xf numFmtId="175" fontId="24" fillId="0" borderId="0" pivotButton="0" quotePrefix="0" xfId="0"/>
    <xf numFmtId="175" fontId="22" fillId="6" borderId="0" pivotButton="0" quotePrefix="0" xfId="0"/>
    <xf numFmtId="176" fontId="44" fillId="14" borderId="0" applyAlignment="1" pivotButton="0" quotePrefix="0" xfId="0">
      <alignment horizontal="center"/>
    </xf>
    <xf numFmtId="176" fontId="45" fillId="0" borderId="0" applyAlignment="1" pivotButton="0" quotePrefix="0" xfId="0">
      <alignment horizontal="right"/>
    </xf>
    <xf numFmtId="176" fontId="44" fillId="14" borderId="0" applyAlignment="1" pivotButton="0" quotePrefix="0" xfId="0">
      <alignment horizontal="right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AD2C5"/>
      <rgbColor rgb="FF878787"/>
      <rgbColor rgb="FF84A98C"/>
      <rgbColor rgb="FF595959"/>
      <rgbColor rgb="FFFFF8DC"/>
      <rgbColor rgb="FFE8ED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CEC"/>
      <rgbColor rgb="FFF0F2F0"/>
      <rgbColor rgb="FFFFFDE7"/>
      <rgbColor rgb="FFA8C5D6"/>
      <rgbColor rgb="FFFF99CC"/>
      <rgbColor rgb="FFCC99FF"/>
      <rgbColor rgb="FFF5F5F5"/>
      <rgbColor rgb="FF3366FF"/>
      <rgbColor rgb="FF33CCCC"/>
      <rgbColor rgb="FF99CC00"/>
      <rgbColor rgb="FFFFCC00"/>
      <rgbColor rgb="FFFF9900"/>
      <rgbColor rgb="FFC8553D"/>
      <rgbColor rgb="FF666666"/>
      <rgbColor rgb="FFA6A6A6"/>
      <rgbColor rgb="FF1F3864"/>
      <rgbColor rgb="FF52796F"/>
      <rgbColor rgb="FF003300"/>
      <rgbColor rgb="FF404040"/>
      <rgbColor rgb="FF993300"/>
      <rgbColor rgb="FF993366"/>
      <rgbColor rgb="FF1F4E79"/>
      <rgbColor rgb="FF2F3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Revenue Growth: Advertising vs. Other Revenue Contribution, pp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Charts!$B$8</c:f>
            </c:strRef>
          </c:tx>
          <c:spPr>
            <a:solidFill>
              <a:srgbClr val="2F3E4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Charts!$C$8:$V$8</c:f>
            </c:numRef>
          </c:val>
          <c:extLst>
            <c:ext xmlns:c16="http://schemas.microsoft.com/office/drawing/2014/chart" uri="{C3380CC4-5D6E-409C-BE32-E72D297353CC}">
              <c16:uniqueId val="{00000000-FF49-44E0-9EFD-670A32200F47}"/>
            </c:ext>
          </c:extLst>
        </c:ser>
        <c:ser>
          <c:idx val="1"/>
          <c:order val="1"/>
          <c:tx>
            <c:strRef>
              <c:f>Charts!$B$9</c:f>
            </c:strRef>
          </c:tx>
          <c:spPr>
            <a:solidFill>
              <a:srgbClr val="84A98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Charts!$C$9:$V$9</c:f>
            </c:numRef>
          </c:val>
          <c:extLst>
            <c:ext xmlns:c16="http://schemas.microsoft.com/office/drawing/2014/chart" uri="{C3380CC4-5D6E-409C-BE32-E72D297353CC}">
              <c16:uniqueId val="{00000001-FF49-44E0-9EFD-670A32200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44735"/>
        <c:axId val="65342648"/>
      </c:barChart>
      <c:catAx>
        <c:axId val="200447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42648"/>
        <c:crosses val="autoZero"/>
        <c:auto val="1"/>
        <c:lblAlgn val="ctr"/>
        <c:lblOffset val="100"/>
        <c:noMultiLvlLbl val="0"/>
      </c:catAx>
      <c:valAx>
        <c:axId val="65342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447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Adjusted EBITDA (model) &amp; Income from Operations (USDm)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Charts!$B$12</c:f>
            </c:strRef>
          </c:tx>
          <c:spPr>
            <a:solidFill>
              <a:srgbClr val="A8C5D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Charts!$C$12:$V$12</c:f>
            </c:numRef>
          </c:val>
          <c:extLst>
            <c:ext xmlns:c16="http://schemas.microsoft.com/office/drawing/2014/chart" uri="{C3380CC4-5D6E-409C-BE32-E72D297353CC}">
              <c16:uniqueId val="{00000000-70F1-4400-9151-F0905619F4D5}"/>
            </c:ext>
          </c:extLst>
        </c:ser>
        <c:ser>
          <c:idx val="1"/>
          <c:order val="1"/>
          <c:tx>
            <c:strRef>
              <c:f>Charts!$B$13</c:f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Charts!$C$13:$V$13</c:f>
            </c:numRef>
          </c:val>
          <c:extLst>
            <c:ext xmlns:c16="http://schemas.microsoft.com/office/drawing/2014/chart" uri="{C3380CC4-5D6E-409C-BE32-E72D297353CC}">
              <c16:uniqueId val="{00000001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08424"/>
        <c:axId val="81960370"/>
      </c:barChart>
      <c:lineChart>
        <c:grouping val="standard"/>
        <c:varyColors val="0"/>
        <c:ser>
          <c:idx val="2"/>
          <c:order val="2"/>
          <c:tx>
            <c:strRef>
              <c:f>Charts!$B$14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Charts!$C$14:$V$14</c:f>
            </c:numRef>
          </c:val>
          <c:smooth val="1"/>
          <c:extLst>
            <c:ext xmlns:c16="http://schemas.microsoft.com/office/drawing/2014/chart" uri="{C3380CC4-5D6E-409C-BE32-E72D297353CC}">
              <c16:uniqueId val="{00000002-70F1-4400-9151-F0905619F4D5}"/>
            </c:ext>
          </c:extLst>
        </c:ser>
        <c:ser>
          <c:idx val="3"/>
          <c:order val="3"/>
          <c:tx>
            <c:strRef>
              <c:f>Charts!$B$15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Charts!$C$15:$V$15</c:f>
            </c:numRef>
          </c:val>
          <c:smooth val="1"/>
          <c:extLst>
            <c:ext xmlns:c16="http://schemas.microsoft.com/office/drawing/2014/chart" uri="{C3380CC4-5D6E-409C-BE32-E72D297353CC}">
              <c16:uniqueId val="{00000003-70F1-4400-9151-F0905619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9874911"/>
        <c:axId val="65694817"/>
      </c:lineChart>
      <c:catAx>
        <c:axId val="22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60370"/>
        <c:crosses val="autoZero"/>
        <c:auto val="1"/>
        <c:lblAlgn val="ctr"/>
        <c:lblOffset val="100"/>
        <c:noMultiLvlLbl val="0"/>
      </c:catAx>
      <c:valAx>
        <c:axId val="81960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608424"/>
        <c:crosses val="autoZero"/>
        <c:crossBetween val="between"/>
      </c:valAx>
      <c:catAx>
        <c:axId val="998749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94817"/>
        <c:crosses val="autoZero"/>
        <c:auto val="1"/>
        <c:lblAlgn val="ctr"/>
        <c:lblOffset val="100"/>
        <c:noMultiLvlLbl val="0"/>
      </c:catAx>
      <c:valAx>
        <c:axId val="65694817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874911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Returns Profile: ROIC, RONTA, Adjusted EBITDA Margin &amp; FCF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</c:strRef>
          </c:tx>
          <c:spPr>
            <a:ln w="28440">
              <a:solidFill>
                <a:srgbClr val="2F3E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Charts!$C$18:$V$18</c:f>
            </c:numRef>
          </c:val>
          <c:smooth val="1"/>
          <c:extLst>
            <c:ext xmlns:c16="http://schemas.microsoft.com/office/drawing/2014/chart" uri="{C3380CC4-5D6E-409C-BE32-E72D297353CC}">
              <c16:uniqueId val="{00000000-D2EB-4AF7-A066-6A1A3BE056BF}"/>
            </c:ext>
          </c:extLst>
        </c:ser>
        <c:ser>
          <c:idx val="1"/>
          <c:order val="1"/>
          <c:tx>
            <c:strRef>
              <c:f>Charts!$B$19</c:f>
            </c:strRef>
          </c:tx>
          <c:spPr>
            <a:ln w="28440">
              <a:solidFill>
                <a:srgbClr val="84A98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Charts!$C$19:$V$19</c:f>
            </c:numRef>
          </c:val>
          <c:smooth val="1"/>
          <c:extLst>
            <c:ext xmlns:c16="http://schemas.microsoft.com/office/drawing/2014/chart" uri="{C3380CC4-5D6E-409C-BE32-E72D297353CC}">
              <c16:uniqueId val="{00000001-D2EB-4AF7-A066-6A1A3BE056BF}"/>
            </c:ext>
          </c:extLst>
        </c:ser>
        <c:ser>
          <c:idx val="2"/>
          <c:order val="2"/>
          <c:tx>
            <c:strRef>
              <c:f>Charts!$B$20</c:f>
            </c:strRef>
          </c:tx>
          <c:spPr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Charts!$C$20:$V$20</c:f>
            </c:numRef>
          </c:val>
          <c:smooth val="1"/>
          <c:extLst>
            <c:ext xmlns:c16="http://schemas.microsoft.com/office/drawing/2014/chart" uri="{C3380CC4-5D6E-409C-BE32-E72D297353CC}">
              <c16:uniqueId val="{00000002-D2EB-4AF7-A066-6A1A3BE056BF}"/>
            </c:ext>
          </c:extLst>
        </c:ser>
        <c:ser>
          <c:idx val="3"/>
          <c:order val="3"/>
          <c:tx>
            <c:strRef>
              <c:f>Charts!$B$21</c:f>
            </c:strRef>
          </c:tx>
          <c:spPr>
            <a:ln w="28440">
              <a:solidFill>
                <a:srgbClr val="C8553D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Charts!$C$7:$V$7</c:f>
            </c:numRef>
          </c:cat>
          <c:val>
            <c:numRef>
              <c:f>Charts!$C$21:$V$21</c:f>
            </c:numRef>
          </c:val>
          <c:smooth val="1"/>
          <c:extLst>
            <c:ext xmlns:c16="http://schemas.microsoft.com/office/drawing/2014/chart" uri="{C3380CC4-5D6E-409C-BE32-E72D297353CC}">
              <c16:uniqueId val="{00000003-D2EB-4AF7-A066-6A1A3BE0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004353"/>
        <c:axId val="61682655"/>
      </c:lineChart>
      <c:catAx>
        <c:axId val="270043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82655"/>
        <c:crosses val="autoZero"/>
        <c:auto val="1"/>
        <c:lblAlgn val="ctr"/>
        <c:lblOffset val="100"/>
        <c:noMultiLvlLbl val="0"/>
      </c:catAx>
      <c:valAx>
        <c:axId val="61682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004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omments/comment1.xml><?xml version="1.0" encoding="utf-8"?>
<comments xmlns="http://schemas.openxmlformats.org/spreadsheetml/2006/main">
  <authors>
    <author>META model</author>
  </authors>
  <commentList>
    <comment ref="CD2" authorId="0" shapeId="0">
      <text>
        <t>Scenario toggle. Choose Bull / Base / Bear. Drives: Q3/26 revenue and FY26 expense guidance end-points (high / mid / low), 2H/26 buybacks, 2027E–2031E ad impressions and price-per-ad growth, other revenue, Reality Labs losses, other operating costs, capex intensity, M&amp;A spend and the leverage ceiling for 2027E+ buybacks (scenario table CL:CP).</t>
      </text>
    </comment>
    <comment ref="B11" authorId="0" shapeId="0">
      <text>
        <t>Source: Meta / Facebook earnings releases (Form 8-K Item 2.02, Ex. 99.1) — reconciliation of GAAP to non-GAAP results ("GAAP advertising revenue"); segment information from Q4-2021. FY2009–11: IPO prospectus (424B4, 18-May-2012) MD&amp;A revenue table. Each period as originally reported in its own release.</t>
      </text>
    </comment>
    <comment ref="B13" authorId="0" shapeId="0">
      <text>
        <t>Source: releases from Q4-2021 ("Ad impressions" / "Average price per ad" highlights); 2014–Q3 2021: 10-Q / 10-K MD&amp;A ("the number of ads delivered increased by x%"; "the average price per ad increased by y%"). Published as whole percentages. Q4 figures before 2021 are not published (the 10-K gives the year).</t>
      </text>
    </comment>
    <comment ref="B24" authorId="0" shapeId="0">
      <text>
        <t>Source: Meta / Facebook earnings releases (Form 8-K Item 2.02, Ex. 99.1) — segment information (Q4-2021 release: 2019–2021 recast; 2022+ releases). Not published for earlier periods.</t>
      </text>
    </comment>
    <comment ref="B44" authorId="0" shapeId="0">
      <text>
        <t>Source: Meta / Facebook earnings releases (Form 8-K Item 2.02, Ex. 99.1) — text highlights ("Family daily active people (DAP)"; "Daily active users (DAUs)"; "Headcount").</t>
      </text>
    </comment>
    <comment ref="B55" authorId="0" shapeId="0">
      <text>
        <t>Source: 10-Q / 10-K revenue note ("Revenue by geography is based on the addresses of our customers"), from 2018. Q4 = fiscal year (10-K) − nine months (Q1–Q3 10-Qs), derived.</t>
      </text>
    </comment>
    <comment ref="AI55" authorId="0" shapeId="0">
      <text>
        <t>Q4 = fiscal year (10-K) − nine months (10-Qs), derived.</t>
      </text>
    </comment>
    <comment ref="AN55" authorId="0" shapeId="0">
      <text>
        <t>Q4 = fiscal year (10-K) − nine months (10-Qs), derived.</t>
      </text>
    </comment>
    <comment ref="AS55" authorId="0" shapeId="0">
      <text>
        <t>Q4 = fiscal year (10-K) − nine months (10-Qs), derived.</t>
      </text>
    </comment>
    <comment ref="AX55" authorId="0" shapeId="0">
      <text>
        <t>Q4 = fiscal year (10-K) − nine months (10-Qs), derived.</t>
      </text>
    </comment>
    <comment ref="BC55" authorId="0" shapeId="0">
      <text>
        <t>Q4 = fiscal year (10-K) − nine months (10-Qs), derived.</t>
      </text>
    </comment>
    <comment ref="BH55" authorId="0" shapeId="0">
      <text>
        <t>Q4 = fiscal year (10-K) − nine months (10-Qs), derived.</t>
      </text>
    </comment>
    <comment ref="BM55" authorId="0" shapeId="0">
      <text>
        <t>Q4 = fiscal year (10-K) − nine months (10-Qs), derived.</t>
      </text>
    </comment>
    <comment ref="BR55" authorId="0" shapeId="0">
      <text>
        <t>Q4 = fiscal year (10-K) − nine months (10-Qs), derived.</t>
      </text>
    </comment>
    <comment ref="B74" authorId="0" shapeId="0">
      <text>
        <t>Source: Q2-26 release (8-K Ex. 99.1, 29-Jul-2026), "CFO Outlook Commentary" — SEC EDGAR; no guidance from outside EDGAR is used.</t>
      </text>
    </comment>
    <comment ref="B89" authorId="0" shapeId="0">
      <text>
        <t>Source: Meta / Facebook earnings releases (Form 8-K Item 2.02, Ex. 99.1) — condensed consolidated statements of cash flows (three-month statements for every quarter).</t>
      </text>
    </comment>
    <comment ref="B93" authorId="0" shapeId="0">
      <text>
        <t>Source: release text and footnotes (amounts the company quantified); see manual_items.json "one_offs" for the wording and URL per quarter.</t>
      </text>
    </comment>
    <comment ref="AK93" authorId="0" shapeId="0">
      <text>
        <t>Company disclosure (Q1-19): FTC accrual $3.0 billion (G&amp;A), not expected to be tax-deductible; diluted EPS would have been $1.04 higher (GAAP $0.85).</t>
      </text>
    </comment>
    <comment ref="AL93" authorId="0" shapeId="0">
      <text>
        <t>Company disclosure (Q2-19): Additional $2.0 billion FTC settlement expense (not tax-deductible) and $1.11 billion income tax expense (Altera Corp. v. Commissioner); diluted EPS would have been $1.08 higher (GAAP $0.91).</t>
      </text>
    </comment>
    <comment ref="BF93" authorId="0" shapeId="0">
      <text>
        <t>Company disclosure (Q2-23): Accrued legal expenses of $1.87 billion and restructuring charges of $780 million.</t>
      </text>
    </comment>
    <comment ref="BM93" authorId="0" shapeId="0">
      <text>
        <t>Company disclosure (Q4-24): Favorable impact of $1.55 billion due to a decrease in the accrued losses for certain legal proceedings (G&amp;A).</t>
      </text>
    </comment>
    <comment ref="BU93" authorId="0" shapeId="0">
      <text>
        <t>Company disclosure (Q2-26): $2.40 billion of charges related to legal proceedings (G&amp;A) and $1.18 billion of severance expenses (May 2026 headcount reduction); no 'excluding' EPS stated.</t>
      </text>
    </comment>
    <comment ref="BB94" authorId="0" shapeId="0">
      <text>
        <t>Company disclosure (Q3-22): Impairment loss of $413 million for certain operating leases (office facilities footprint) - first restructuring-related charge; company did not state an 'excluding' EPS.</t>
      </text>
    </comment>
    <comment ref="BC94" authorId="0" shapeId="0">
      <text>
        <t>Company disclosure (Q4-22): Restructuring charges $4,198 million (facilities consolidation $1,882m, severance $975m, data center assets $1,341m); diluted EPS would have been $1.24 higher (GAAP $1.76).</t>
      </text>
    </comment>
    <comment ref="BE94" authorId="0" shapeId="0">
      <text>
        <t>Company disclosure (Q1-23): Restructuring charges $1,144 million (FoA $934m, RL $210m).</t>
      </text>
    </comment>
    <comment ref="BF94" authorId="0" shapeId="0">
      <text>
        <t>Company disclosure (Q2-23): Accrued legal expenses of $1.87 billion and restructuring charges of $780 million.</t>
      </text>
    </comment>
    <comment ref="BG94" authorId="0" shapeId="0">
      <text>
        <t>Company disclosure (Q3-23): Restructuring charges $380 million (FoA $305m, RL $75m).</t>
      </text>
    </comment>
    <comment ref="BH94" authorId="0" shapeId="0">
      <text>
        <t>Company disclosure (Q4-23): Restructuring charges included in costs and expenses of $1.15 billion (FY2023 $3.45 billion).</t>
      </text>
    </comment>
    <comment ref="BU94" authorId="0" shapeId="0">
      <text>
        <t>Company disclosure (Q2-26): $2.40 billion of charges related to legal proceedings (G&amp;A) and $1.18 billion of severance expenses (May 2026 headcount reduction); no 'excluding' EPS stated.</t>
      </text>
    </comment>
    <comment ref="B104" authorId="0" shapeId="0">
      <text>
        <t>Source: XBRL company facts (InvestmentIncomeInterest; InterestExpense / InterestExpenseNonoperating), annual; Q1/Q2-26 from the Q2-26 10-Q MD&amp;A table.</t>
      </text>
    </comment>
    <comment ref="B109" authorId="0" shapeId="0">
      <text>
        <t>Source: Meta / Facebook earnings releases (Form 8-K Item 2.02, Ex. 99.1) — condensed consolidated statements of income, as originally reported; FY2009–11 from the IPO prospectus (424B4). FY2011 marketing &amp; sales / G&amp;A were reclassified in the FY2012 release ($427m / $280m as first reported → $393m / $314m) — not recast.</t>
      </text>
    </comment>
    <comment ref="E112" authorId="0" shapeId="0">
      <text>
        <t>FY2011 as originally reported in the prospectus ($427m); the FY2012 release shows $393m after a reclassification with G&amp;A (not recast).</t>
      </text>
    </comment>
    <comment ref="E113" authorId="0" shapeId="0">
      <text>
        <t>FY2011 as originally reported in the prospectus ($280m); $314m in the FY2012 release (reclassification).</t>
      </text>
    </comment>
    <comment ref="Z121" authorId="0" shapeId="0">
      <text>
        <t>FY2016 from the Q4-16 release, which early-adopted ASU 2016-09 from 1-Jan-2016 ($934m lower provision); Q1–Q3 2016 are as originally reported, so Σ quarters ≠ year.</t>
      </text>
    </comment>
    <comment ref="BQ121" authorId="0" shapeId="0">
      <text>
        <t>Includes a one-time, non-cash charge of $15.93bn (valuation allowance on U.S. federal deferred tax assets; OBBBA / CAMT).</t>
      </text>
    </comment>
    <comment ref="BT121" authorId="0" shapeId="0">
      <text>
        <t>Includes an $8.03bn benefit (U.S. Treasury Notice 2026-7), a partial reversal of the Q3-25 charge.</t>
      </text>
    </comment>
    <comment ref="B132" authorId="0" shapeId="0">
      <text>
        <t>Source: Meta / Facebook earnings releases (Form 8-K Item 2.02, Ex. 99.1) — statements of income (weighted-average shares). FY2009–11: prospectus Note 2 (two-class EPS: basic = Class A + B; diluted = Class A with Class B converted and participating income reallocated). No stock splits; Class B carries 10 votes, same economics.</t>
      </text>
    </comment>
    <comment ref="B151" authorId="0" shapeId="0">
      <text>
        <t>Source: Meta / Facebook earnings releases (Form 8-K Item 2.02, Ex. 99.1) — Reconciliation of Non-GAAP Results to Nearest GAAP Measures (non-GAAP income from operations, IPO to Q4-2016).</t>
      </text>
    </comment>
    <comment ref="P151" authorId="0" shapeId="0">
      <text>
        <t>FY2014 non-GAAP figure applies the amortization exclusion (introduced Q3-2014) to the full year, so Σ quarters ≠ year (−$82m).</t>
      </text>
    </comment>
    <comment ref="F153" authorId="0" shapeId="0">
      <text>
        <t>Facebook published non-GAAP costs, income from operations, net income and EPS from its first release (Q2-2012) to Q4-2016.</t>
      </text>
    </comment>
    <comment ref="N153" authorId="0" shapeId="0">
      <text>
        <t>Q3-2014 release; the FY2014 figure applies it to the whole year.</t>
      </text>
    </comment>
    <comment ref="AA153" authorId="0" shapeId="0">
      <text>
        <t>From Q1-2017 the company reports GAAP results plus FX-neutral revenue and free cash flow only.</t>
      </text>
    </comment>
    <comment ref="AK181" authorId="0" shapeId="0">
      <text>
        <t>Company: the FTC expense is not expected to be tax-deductible (no tax effect).</t>
      </text>
    </comment>
    <comment ref="AL181" authorId="0" shapeId="0">
      <text>
        <t>Company: the FTC expense is not expected to be tax-deductible (no tax effect).</t>
      </text>
    </comment>
    <comment ref="AO181" authorId="0" shapeId="0">
      <text>
        <t>Year: imputed / company tax effect on the year's items (Σ quarters may differ by rounding of the per-quarter derivations).</t>
      </text>
    </comment>
    <comment ref="BB181" authorId="0" shapeId="0">
      <text>
        <t>Tax effect imputed at the period effective tax rate bounded 15–40% (the company stated no "excluding" EPS for this period).</t>
      </text>
    </comment>
    <comment ref="BD181" authorId="0" shapeId="0">
      <text>
        <t>Year: imputed / company tax effect on the year's items (Σ quarters may differ by rounding of the per-quarter derivations).</t>
      </text>
    </comment>
    <comment ref="BE181" authorId="0" shapeId="0">
      <text>
        <t>Tax effect imputed at the period effective tax rate bounded 15–40% (the company stated no "excluding" EPS for this period).</t>
      </text>
    </comment>
    <comment ref="BF181" authorId="0" shapeId="0">
      <text>
        <t>Tax effect imputed at the period effective tax rate bounded 15–40% (the company stated no "excluding" EPS for this period).</t>
      </text>
    </comment>
    <comment ref="BG181" authorId="0" shapeId="0">
      <text>
        <t>Tax effect imputed at the period effective tax rate bounded 15–40% (the company stated no "excluding" EPS for this period).</t>
      </text>
    </comment>
    <comment ref="BH181" authorId="0" shapeId="0">
      <text>
        <t>Tax effect imputed at the period effective tax rate bounded 15–40% (the company stated no "excluding" EPS for this period).</t>
      </text>
    </comment>
    <comment ref="BI181" authorId="0" shapeId="0">
      <text>
        <t>Year: imputed / company tax effect on the year's items (Σ quarters may differ by rounding of the per-quarter derivations).</t>
      </text>
    </comment>
    <comment ref="BM181" authorId="0" shapeId="0">
      <text>
        <t>Tax effect imputed at the period effective tax rate bounded 15–40% (the company stated no "excluding" EPS for this period).</t>
      </text>
    </comment>
    <comment ref="BN181" authorId="0" shapeId="0">
      <text>
        <t>Year: imputed / company tax effect on the year's items (Σ quarters may differ by rounding of the per-quarter derivations).</t>
      </text>
    </comment>
    <comment ref="BU181" authorId="0" shapeId="0">
      <text>
        <t>Tax effect imputed at the period effective tax rate bounded 15–40% (the company stated no "excluding" EPS for this period).</t>
      </text>
    </comment>
    <comment ref="B188" authorId="0" shapeId="0">
      <text>
        <t>Source: Meta / Facebook earnings releases (Form 8-K Item 2.02, Ex. 99.1) — non-GAAP diluted EPS (IPO to Q4-2016); thereafter the "excluding" EPS the company stated for the quantified items (Q4-17, FY2017, Q1-19, Q2-19, Q3-20, Q4-22, Q3-25, Q1-26).</t>
      </text>
    </comment>
    <comment ref="B218" authorId="0" shapeId="0">
      <text>
        <t>Source: Meta / Facebook earnings releases (Form 8-K Item 2.02, Ex. 99.1) — condensed consolidated statements of cash flows (three-month columns); FY2009–11 from the IPO prospectus.</t>
      </text>
    </comment>
    <comment ref="AJ224" authorId="0" shapeId="0">
      <text>
        <t>FY2018 release reclassified $65m between operating cash flow and capex vs Q1–Q3 2018 as first reported.</t>
      </text>
    </comment>
    <comment ref="B250" authorId="0" shapeId="0">
      <text>
        <t>Source: Meta / Facebook earnings releases (Form 8-K Item 2.02, Ex. 99.1) — reconciliation of GAAP to non-GAAP results (free cash flow, from Q2-2013).</t>
      </text>
    </comment>
    <comment ref="B274" authorId="0" shapeId="0">
      <text>
        <t>Source: Meta / Facebook earnings releases (Form 8-K Item 2.02, Ex. 99.1) — condensed consolidated balance sheets (period ends); FY2010–11 from the IPO prospectus (no 31-Dec-2009 balance sheet). Shares outstanding: 10-Q / 10-K balance-sheet caption (Class A + Class B issued and outstanding).</t>
      </text>
    </comment>
    <comment ref="B319" authorId="0" shapeId="0">
      <text>
        <t>Source: release balance sheets; Q2-26 10-Q Note 8 (long-term debt; future principal payments); 8-Ks of Aug-2022, May-2023, Aug-2024, Nov-2025 and May-2026 (notes issues).</t>
      </text>
    </comment>
  </commentList>
</comments>
</file>

<file path=xl/comments/comment2.xml><?xml version="1.0" encoding="utf-8"?>
<comments xmlns="http://schemas.openxmlformats.org/spreadsheetml/2006/main">
  <authors>
    <author>META model</author>
  </authors>
  <commentList>
    <comment ref="N26" authorId="0" shapeId="0">
      <text>
        <t>P/E on adjusted EPS (current definition: GAAP + company-quantified one-offs and discrete tax items; SBC expensed). META at $745 (per the user, 12-Oct-2026) trades at ~26x 2026E and ~23x 2027E adjusted EPS (Model). Exit multiples are assumptions: Base 24x, Bull 28x, Bear 18x, applied to 2030E–31E (2029E–31E for Bear), in line with mega-cap internet peers through the cycle.</t>
      </text>
    </comment>
    <comment ref="P40" authorId="0" shapeId="0">
      <text>
        <t>Snapshot (values) of Model rows 264, 263 and 265 (Share Buyback Schedule) with Model!CD2 = Bull / Bear. Base panel (D40:H42) is live-linked.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22</row>
      <rowOff>160560</rowOff>
    </from>
    <to>
      <col>12</col>
      <colOff>543600</colOff>
      <row>37</row>
      <rowOff>2160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0</colOff>
      <row>43</row>
      <rowOff>160560</rowOff>
    </from>
    <to>
      <col>12</col>
      <colOff>543600</colOff>
      <row>58</row>
      <rowOff>1800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64</row>
      <rowOff>160560</rowOff>
    </from>
    <to>
      <col>12</col>
      <colOff>543600</colOff>
      <row>79</row>
      <rowOff>2160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P385"/>
  <sheetViews>
    <sheetView showGridLines="0" tabSelected="1" topLeftCell="C8" zoomScale="70" zoomScaleNormal="70" workbookViewId="0">
      <pane xSplit="2" ySplit="7" topLeftCell="C8" activePane="bottomRight" state="frozen"/>
      <selection pane="topRight" activeCell="A1" sqref="A1"/>
      <selection pane="bottomLeft" activeCell="A1" sqref="A1"/>
      <selection pane="bottomRight" activeCell="C1" sqref="C1"/>
      <selection pane="bottomLeft" activeCell="A8" sqref="A8"/>
      <selection pane="bottomRight" activeCell="CA164" sqref="CA164"/>
    </sheetView>
  </sheetViews>
  <sheetFormatPr baseColWidth="8" defaultColWidth="8.5703125" defaultRowHeight="15" outlineLevelRow="2"/>
  <cols>
    <col width="2.42578125" customWidth="1" style="251" min="1" max="1"/>
    <col width="62" customWidth="1" style="251" min="2" max="2"/>
    <col width="13" customWidth="1" style="251" min="3" max="3"/>
    <col width="13" customWidth="1" style="251" min="4" max="4"/>
    <col width="13" customWidth="1" style="251" min="5" max="5"/>
    <col width="13" customWidth="1" style="251" min="6" max="6"/>
    <col hidden="1" outlineLevel="1" width="9.5703125" customWidth="1" style="251" min="7" max="7"/>
    <col hidden="1" outlineLevel="1" width="9.5703125" customWidth="1" style="251" min="8" max="8"/>
    <col hidden="1" outlineLevel="1" width="9.5703125" customWidth="1" style="251" min="9" max="9"/>
    <col hidden="1" outlineLevel="1" width="9.5703125" customWidth="1" style="251" min="10" max="10"/>
    <col width="13" customWidth="1" style="251" min="11" max="11"/>
    <col hidden="1" outlineLevel="1" width="9.5703125" customWidth="1" style="251" min="12" max="12"/>
    <col hidden="1" outlineLevel="1" width="9.5703125" customWidth="1" style="251" min="13" max="13"/>
    <col hidden="1" outlineLevel="1" width="9.5703125" customWidth="1" style="251" min="14" max="14"/>
    <col hidden="1" outlineLevel="1" width="9.5703125" customWidth="1" style="251" min="15" max="15"/>
    <col width="13" customWidth="1" style="251" min="16" max="16"/>
    <col hidden="1" outlineLevel="1" width="9.5703125" customWidth="1" style="251" min="17" max="17"/>
    <col hidden="1" outlineLevel="1" width="9.5703125" customWidth="1" style="251" min="18" max="18"/>
    <col hidden="1" outlineLevel="1" width="9.5703125" customWidth="1" style="251" min="19" max="19"/>
    <col hidden="1" outlineLevel="1" width="9.5703125" customWidth="1" style="251" min="20" max="20"/>
    <col width="13" customWidth="1" style="251" min="21" max="21"/>
    <col hidden="1" outlineLevel="1" width="9.5703125" customWidth="1" style="251" min="22" max="22"/>
    <col hidden="1" outlineLevel="1" width="9.5703125" customWidth="1" style="251" min="23" max="23"/>
    <col hidden="1" outlineLevel="1" width="9.5703125" customWidth="1" style="251" min="24" max="24"/>
    <col hidden="1" outlineLevel="1" width="9.5703125" customWidth="1" style="251" min="25" max="25"/>
    <col width="13" customWidth="1" style="251" min="26" max="26"/>
    <col hidden="1" outlineLevel="1" width="9.5703125" customWidth="1" style="251" min="27" max="27"/>
    <col hidden="1" outlineLevel="1" width="9.5703125" customWidth="1" style="251" min="28" max="28"/>
    <col hidden="1" outlineLevel="1" width="9.5703125" customWidth="1" style="251" min="29" max="29"/>
    <col hidden="1" outlineLevel="1" width="9.5703125" customWidth="1" style="251" min="30" max="30"/>
    <col width="13" customWidth="1" style="251" min="31" max="31"/>
    <col hidden="1" outlineLevel="1" width="9.5703125" customWidth="1" style="251" min="32" max="32"/>
    <col hidden="1" outlineLevel="1" width="9.5703125" customWidth="1" style="251" min="33" max="33"/>
    <col hidden="1" outlineLevel="1" width="9.5703125" customWidth="1" style="251" min="34" max="34"/>
    <col hidden="1" outlineLevel="1" width="9.5703125" customWidth="1" style="251" min="35" max="35"/>
    <col width="13" customWidth="1" style="251" min="36" max="36"/>
    <col hidden="1" outlineLevel="1" width="9.5703125" customWidth="1" style="251" min="37" max="37"/>
    <col hidden="1" outlineLevel="1" width="9.5703125" customWidth="1" style="251" min="38" max="38"/>
    <col hidden="1" outlineLevel="1" width="9.5703125" customWidth="1" style="251" min="39" max="39"/>
    <col hidden="1" outlineLevel="1" width="9.5703125" customWidth="1" style="251" min="40" max="40"/>
    <col width="13" customWidth="1" style="251" min="41" max="41"/>
    <col hidden="1" outlineLevel="1" width="9.5703125" customWidth="1" style="251" min="42" max="42"/>
    <col hidden="1" outlineLevel="1" width="9.5703125" customWidth="1" style="251" min="43" max="43"/>
    <col hidden="1" outlineLevel="1" width="9.5703125" customWidth="1" style="251" min="44" max="44"/>
    <col hidden="1" outlineLevel="1" width="9.5703125" customWidth="1" style="251" min="45" max="45"/>
    <col width="13" customWidth="1" style="251" min="46" max="46"/>
    <col hidden="1" outlineLevel="1" width="9.5703125" customWidth="1" style="251" min="47" max="47"/>
    <col hidden="1" outlineLevel="1" width="9.5703125" customWidth="1" style="251" min="48" max="48"/>
    <col hidden="1" outlineLevel="1" width="9.5703125" customWidth="1" style="251" min="49" max="49"/>
    <col hidden="1" outlineLevel="1" width="9.5703125" customWidth="1" style="251" min="50" max="50"/>
    <col width="13" customWidth="1" style="251" min="51" max="51"/>
    <col hidden="1" outlineLevel="1" width="9.5703125" customWidth="1" style="251" min="52" max="52"/>
    <col hidden="1" outlineLevel="1" width="9.5703125" customWidth="1" style="251" min="53" max="53"/>
    <col hidden="1" outlineLevel="1" width="9.5703125" customWidth="1" style="251" min="54" max="54"/>
    <col hidden="1" outlineLevel="1" width="9.5703125" customWidth="1" style="251" min="55" max="55"/>
    <col width="13" customWidth="1" style="251" min="56" max="56"/>
    <col hidden="1" outlineLevel="1" width="9.5703125" customWidth="1" style="251" min="57" max="57"/>
    <col hidden="1" outlineLevel="1" width="9.5703125" customWidth="1" style="251" min="58" max="58"/>
    <col hidden="1" outlineLevel="1" width="9.5703125" customWidth="1" style="251" min="59" max="59"/>
    <col hidden="1" outlineLevel="1" width="9.5703125" customWidth="1" style="251" min="60" max="60"/>
    <col width="13" customWidth="1" style="251" min="61" max="61"/>
    <col hidden="1" outlineLevel="1" width="9.5703125" customWidth="1" style="251" min="62" max="62"/>
    <col hidden="1" outlineLevel="1" width="9.5703125" customWidth="1" style="251" min="63" max="63"/>
    <col hidden="1" outlineLevel="1" width="9.5703125" customWidth="1" style="251" min="64" max="64"/>
    <col hidden="1" outlineLevel="1" width="9.5703125" customWidth="1" style="251" min="65" max="65"/>
    <col width="13" customWidth="1" style="251" min="66" max="66"/>
    <col hidden="1" outlineLevel="1" width="9.5703125" customWidth="1" style="251" min="67" max="67"/>
    <col hidden="1" outlineLevel="1" width="9.5703125" customWidth="1" style="251" min="68" max="68"/>
    <col hidden="1" outlineLevel="1" width="9.5703125" customWidth="1" style="251" min="69" max="69"/>
    <col hidden="1" outlineLevel="1" width="9.5703125" customWidth="1" style="251" min="70" max="70"/>
    <col width="13" customWidth="1" style="251" min="71" max="71"/>
    <col hidden="1" outlineLevel="1" width="9.5703125" customWidth="1" style="251" min="72" max="72"/>
    <col hidden="1" outlineLevel="1" width="9.5703125" customWidth="1" style="251" min="73" max="73"/>
    <col hidden="1" outlineLevel="1" width="11.42578125" customWidth="1" style="251" min="74" max="74"/>
    <col hidden="1" outlineLevel="1" width="11.42578125" customWidth="1" style="251" min="75" max="75"/>
    <col width="14.140625" customWidth="1" style="251" min="76" max="76"/>
    <col width="13" customWidth="1" style="251" min="77" max="77"/>
    <col width="13" customWidth="1" style="251" min="78" max="78"/>
    <col width="13" customWidth="1" style="251" min="79" max="79"/>
    <col width="13" customWidth="1" style="251" min="80" max="80"/>
    <col width="13" customWidth="1" style="251" min="81" max="81"/>
    <col width="86.85546875" customWidth="1" style="251" min="82" max="82"/>
    <col width="2" customWidth="1" style="251" min="83" max="83"/>
    <col width="14.140625" customWidth="1" style="251" min="84" max="84"/>
    <col width="12.42578125" customWidth="1" style="251" min="85" max="85"/>
    <col width="13.42578125" customWidth="1" style="251" min="86" max="86"/>
    <col width="13" customWidth="1" style="251" min="87" max="87"/>
    <col width="2" customWidth="1" style="251" min="88" max="88"/>
    <col width="6" customWidth="1" style="251" min="89" max="89"/>
    <col width="46" customWidth="1" style="251" min="90" max="90"/>
    <col width="11.5703125" customWidth="1" style="251" min="91" max="91"/>
    <col width="13" customWidth="1" style="251" min="92" max="92"/>
    <col width="13" customWidth="1" style="251" min="93" max="93"/>
    <col width="60" customWidth="1" style="251" min="94" max="94"/>
  </cols>
  <sheetData>
    <row r="1" ht="15" customHeight="1" s="251">
      <c r="CD1" s="1" t="inlineStr">
        <is>
          <t>SCENARIO SWITCH ▼ (Bull / Base / Bear) — drives all scenario-linked forecast drivers</t>
        </is>
      </c>
    </row>
    <row r="2" ht="21" customHeight="1" s="251">
      <c r="B2" s="2" t="inlineStr">
        <is>
          <t>Meta Platforms, Inc. (NASDAQ: META) — 3-Statement Financial Model</t>
        </is>
      </c>
      <c r="CD2" s="3" t="inlineStr">
        <is>
          <t>Base</t>
        </is>
      </c>
    </row>
    <row r="3" ht="15" customHeight="1" s="251">
      <c r="B3" s="4" t="inlineStr">
        <is>
          <t>US GAAP as reported · USD millions (per-share data in USD; shares and people in millions) · Fiscal years ended 31 December · Source: SEC EDGAR only (CIK 1326801): Forms 10-K / 10-Q, Form 8-K earnings releases (Ex. 99.1), IPO prospectus (424B4, 18-May-2012), notes-issue 8-Ks; XBRL company facts. Investor-relations releases are the same documents as filed on EDGAR; all guidance is from the 8-K releases (no unverified guidance used)</t>
        </is>
      </c>
    </row>
    <row r="4" ht="15" customHeight="1" s="251">
      <c r="B4" s="5" t="inlineStr">
        <is>
          <t>Basis notes: as originally reported (FY2011 cost reclassification, FY2016 ASU 2016-09 and 2018 restricted-cash re-presentations not recast). Facebook, Inc. until 28-Oct-2021 (ticker FB until 9-Jun-2022); IPO 18-May-2012 (FY2009–11 from the prospectus; no FY2009 balance sheet). Segments FoA / RL from Q4-21 (2019–21 recast). Acquisitions: Instagram 2012, WhatsApp and Oculus 2014. Q3/26E calibrated to revenue guidance, 2H/26E to FY26 expense guidance (29-Jul-2026).</t>
        </is>
      </c>
    </row>
    <row r="5" ht="15" customHeight="1" s="251">
      <c r="BV5" s="153" t="n"/>
      <c r="BW5" s="153" t="n"/>
      <c r="BX5" s="153" t="n"/>
      <c r="BY5" s="153" t="n"/>
      <c r="BZ5" s="153" t="n"/>
      <c r="CA5" s="153" t="n"/>
      <c r="CB5" s="153" t="n"/>
      <c r="CC5" s="153" t="n"/>
      <c r="CF5" s="6" t="inlineStr">
        <is>
          <t>Forecast</t>
        </is>
      </c>
      <c r="CG5" s="6" t="inlineStr">
        <is>
          <t>Historical</t>
        </is>
      </c>
      <c r="CH5" s="6" t="inlineStr">
        <is>
          <t>Historical</t>
        </is>
      </c>
      <c r="CI5" s="6" t="inlineStr">
        <is>
          <t>Historical</t>
        </is>
      </c>
    </row>
    <row r="6" ht="15" customHeight="1" s="251">
      <c r="B6" s="7" t="inlineStr">
        <is>
          <t>(USDm)</t>
        </is>
      </c>
      <c r="C6" s="8" t="n">
        <v>2009</v>
      </c>
      <c r="D6" s="8" t="n">
        <v>2010</v>
      </c>
      <c r="E6" s="8" t="n">
        <v>2011</v>
      </c>
      <c r="F6" s="8" t="n">
        <v>2012</v>
      </c>
      <c r="G6" s="8" t="inlineStr">
        <is>
          <t>Q1/13</t>
        </is>
      </c>
      <c r="H6" s="8" t="inlineStr">
        <is>
          <t>Q2/13</t>
        </is>
      </c>
      <c r="I6" s="8" t="inlineStr">
        <is>
          <t>Q3/13</t>
        </is>
      </c>
      <c r="J6" s="8" t="inlineStr">
        <is>
          <t>Q4/13</t>
        </is>
      </c>
      <c r="K6" s="8" t="n">
        <v>2013</v>
      </c>
      <c r="L6" s="8" t="inlineStr">
        <is>
          <t>Q1/14</t>
        </is>
      </c>
      <c r="M6" s="8" t="inlineStr">
        <is>
          <t>Q2/14</t>
        </is>
      </c>
      <c r="N6" s="8" t="inlineStr">
        <is>
          <t>Q3/14</t>
        </is>
      </c>
      <c r="O6" s="8" t="inlineStr">
        <is>
          <t>Q4/14</t>
        </is>
      </c>
      <c r="P6" s="8" t="n">
        <v>2014</v>
      </c>
      <c r="Q6" s="8" t="inlineStr">
        <is>
          <t>Q1/15</t>
        </is>
      </c>
      <c r="R6" s="8" t="inlineStr">
        <is>
          <t>Q2/15</t>
        </is>
      </c>
      <c r="S6" s="8" t="inlineStr">
        <is>
          <t>Q3/15</t>
        </is>
      </c>
      <c r="T6" s="8" t="inlineStr">
        <is>
          <t>Q4/15</t>
        </is>
      </c>
      <c r="U6" s="8" t="n">
        <v>2015</v>
      </c>
      <c r="V6" s="8" t="inlineStr">
        <is>
          <t>Q1/16</t>
        </is>
      </c>
      <c r="W6" s="8" t="inlineStr">
        <is>
          <t>Q2/16</t>
        </is>
      </c>
      <c r="X6" s="8" t="inlineStr">
        <is>
          <t>Q3/16</t>
        </is>
      </c>
      <c r="Y6" s="8" t="inlineStr">
        <is>
          <t>Q4/16</t>
        </is>
      </c>
      <c r="Z6" s="8" t="n">
        <v>2016</v>
      </c>
      <c r="AA6" s="8" t="inlineStr">
        <is>
          <t>Q1/17</t>
        </is>
      </c>
      <c r="AB6" s="8" t="inlineStr">
        <is>
          <t>Q2/17</t>
        </is>
      </c>
      <c r="AC6" s="8" t="inlineStr">
        <is>
          <t>Q3/17</t>
        </is>
      </c>
      <c r="AD6" s="8" t="inlineStr">
        <is>
          <t>Q4/17</t>
        </is>
      </c>
      <c r="AE6" s="8" t="n">
        <v>2017</v>
      </c>
      <c r="AF6" s="8" t="inlineStr">
        <is>
          <t>Q1/18</t>
        </is>
      </c>
      <c r="AG6" s="8" t="inlineStr">
        <is>
          <t>Q2/18</t>
        </is>
      </c>
      <c r="AH6" s="8" t="inlineStr">
        <is>
          <t>Q3/18</t>
        </is>
      </c>
      <c r="AI6" s="8" t="inlineStr">
        <is>
          <t>Q4/18</t>
        </is>
      </c>
      <c r="AJ6" s="8" t="n">
        <v>2018</v>
      </c>
      <c r="AK6" s="8" t="inlineStr">
        <is>
          <t>Q1/19</t>
        </is>
      </c>
      <c r="AL6" s="8" t="inlineStr">
        <is>
          <t>Q2/19</t>
        </is>
      </c>
      <c r="AM6" s="8" t="inlineStr">
        <is>
          <t>Q3/19</t>
        </is>
      </c>
      <c r="AN6" s="8" t="inlineStr">
        <is>
          <t>Q4/19</t>
        </is>
      </c>
      <c r="AO6" s="8" t="n">
        <v>2019</v>
      </c>
      <c r="AP6" s="8" t="inlineStr">
        <is>
          <t>Q1/20</t>
        </is>
      </c>
      <c r="AQ6" s="8" t="inlineStr">
        <is>
          <t>Q2/20</t>
        </is>
      </c>
      <c r="AR6" s="8" t="inlineStr">
        <is>
          <t>Q3/20</t>
        </is>
      </c>
      <c r="AS6" s="8" t="inlineStr">
        <is>
          <t>Q4/20</t>
        </is>
      </c>
      <c r="AT6" s="8" t="n">
        <v>2020</v>
      </c>
      <c r="AU6" s="8" t="inlineStr">
        <is>
          <t>Q1/21</t>
        </is>
      </c>
      <c r="AV6" s="8" t="inlineStr">
        <is>
          <t>Q2/21</t>
        </is>
      </c>
      <c r="AW6" s="8" t="inlineStr">
        <is>
          <t>Q3/21</t>
        </is>
      </c>
      <c r="AX6" s="8" t="inlineStr">
        <is>
          <t>Q4/21</t>
        </is>
      </c>
      <c r="AY6" s="8" t="n">
        <v>2021</v>
      </c>
      <c r="AZ6" s="8" t="inlineStr">
        <is>
          <t>Q1/22</t>
        </is>
      </c>
      <c r="BA6" s="8" t="inlineStr">
        <is>
          <t>Q2/22</t>
        </is>
      </c>
      <c r="BB6" s="8" t="inlineStr">
        <is>
          <t>Q3/22</t>
        </is>
      </c>
      <c r="BC6" s="8" t="inlineStr">
        <is>
          <t>Q4/22</t>
        </is>
      </c>
      <c r="BD6" s="8" t="n">
        <v>2022</v>
      </c>
      <c r="BE6" s="8" t="inlineStr">
        <is>
          <t>Q1/23</t>
        </is>
      </c>
      <c r="BF6" s="8" t="inlineStr">
        <is>
          <t>Q2/23</t>
        </is>
      </c>
      <c r="BG6" s="8" t="inlineStr">
        <is>
          <t>Q3/23</t>
        </is>
      </c>
      <c r="BH6" s="8" t="inlineStr">
        <is>
          <t>Q4/23</t>
        </is>
      </c>
      <c r="BI6" s="8" t="n">
        <v>2023</v>
      </c>
      <c r="BJ6" s="8" t="inlineStr">
        <is>
          <t>Q1/24</t>
        </is>
      </c>
      <c r="BK6" s="8" t="inlineStr">
        <is>
          <t>Q2/24</t>
        </is>
      </c>
      <c r="BL6" s="8" t="inlineStr">
        <is>
          <t>Q3/24</t>
        </is>
      </c>
      <c r="BM6" s="8" t="inlineStr">
        <is>
          <t>Q4/24</t>
        </is>
      </c>
      <c r="BN6" s="8" t="n">
        <v>2024</v>
      </c>
      <c r="BO6" s="8" t="inlineStr">
        <is>
          <t>Q1/25</t>
        </is>
      </c>
      <c r="BP6" s="8" t="inlineStr">
        <is>
          <t>Q2/25</t>
        </is>
      </c>
      <c r="BQ6" s="8" t="inlineStr">
        <is>
          <t>Q3/25</t>
        </is>
      </c>
      <c r="BR6" s="8" t="inlineStr">
        <is>
          <t>Q4/25</t>
        </is>
      </c>
      <c r="BS6" s="8" t="n">
        <v>2025</v>
      </c>
      <c r="BT6" s="8" t="inlineStr">
        <is>
          <t>Q1/26</t>
        </is>
      </c>
      <c r="BU6" s="8" t="inlineStr">
        <is>
          <t>Q2/26</t>
        </is>
      </c>
      <c r="BV6" s="8" t="inlineStr">
        <is>
          <t>Q3/26E</t>
        </is>
      </c>
      <c r="BW6" s="8" t="inlineStr">
        <is>
          <t>Q4/26E</t>
        </is>
      </c>
      <c r="BX6" s="8" t="inlineStr">
        <is>
          <t>2026E</t>
        </is>
      </c>
      <c r="BY6" s="8" t="inlineStr">
        <is>
          <t>2027E</t>
        </is>
      </c>
      <c r="BZ6" s="8" t="inlineStr">
        <is>
          <t>2028E</t>
        </is>
      </c>
      <c r="CA6" s="8" t="inlineStr">
        <is>
          <t>2029E</t>
        </is>
      </c>
      <c r="CB6" s="8" t="inlineStr">
        <is>
          <t>2030E</t>
        </is>
      </c>
      <c r="CC6" s="8" t="inlineStr">
        <is>
          <t>2031E</t>
        </is>
      </c>
      <c r="CD6" s="8" t="inlineStr">
        <is>
          <t>Modelling Notes</t>
        </is>
      </c>
      <c r="CF6" s="6" t="inlineStr">
        <is>
          <t>5Y CAGR</t>
        </is>
      </c>
      <c r="CG6" s="6" t="inlineStr">
        <is>
          <t>5Y CAGR</t>
        </is>
      </c>
      <c r="CH6" s="6" t="inlineStr">
        <is>
          <t>10Y CAGR</t>
        </is>
      </c>
      <c r="CI6" s="6" t="inlineStr">
        <is>
          <t>16Y CAGR</t>
        </is>
      </c>
    </row>
    <row r="7" ht="15" customHeight="1" s="251">
      <c r="CF7" s="9" t="inlineStr">
        <is>
          <t>26-'31</t>
        </is>
      </c>
      <c r="CG7" s="9" t="inlineStr">
        <is>
          <t>20-'25</t>
        </is>
      </c>
      <c r="CH7" s="9" t="inlineStr">
        <is>
          <t>15-'25</t>
        </is>
      </c>
      <c r="CI7" s="9" t="inlineStr">
        <is>
          <t>09-'25</t>
        </is>
      </c>
    </row>
    <row r="8" ht="15" customHeight="1" s="251">
      <c r="B8" s="10" t="inlineStr">
        <is>
          <t>OPERATING BUILD — FAMILY OF APPS (ADVERTISING = AD IMPRESSIONS × PRICE PER AD; OTHER REVENUE) · REALITY LABS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inlineStr">
        <is>
          <t>OPERATING BUILD — modelling logic (advertising = prior-year period × (1 + impressions growth) × (1 + price-per-ad growth); other revenue by line; segment profit; costs built separately below)</t>
        </is>
      </c>
    </row>
    <row r="9" ht="15" customHeight="1" s="251">
      <c r="CL9" s="11" t="inlineStr">
        <is>
          <t>SCENARIO INPUT TABLE — driver assumptions per Bull / Base / Bear</t>
        </is>
      </c>
      <c r="CM9" s="12" t="inlineStr">
        <is>
          <t>Bull</t>
        </is>
      </c>
      <c r="CN9" s="12" t="inlineStr">
        <is>
          <t>Base</t>
        </is>
      </c>
      <c r="CO9" s="12" t="inlineStr">
        <is>
          <t>Bear</t>
        </is>
      </c>
      <c r="CP9" s="13" t="inlineStr">
        <is>
          <t>Bull / Bear = Base + Δ (Δ inputs on each block header). Outlook block = high / mid / low end of the 2026 guidance ranges.</t>
        </is>
      </c>
    </row>
    <row r="10" ht="15" customHeight="1" s="251">
      <c r="B10" s="14" t="inlineStr">
        <is>
          <t>Family of Apps — advertising (Facebook, Instagram, Messenger, WhatsApp, Threads)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5" t="inlineStr">
        <is>
          <t>ADVERTISING — modelling logic</t>
        </is>
      </c>
    </row>
    <row r="11" ht="15" customHeight="1" s="251">
      <c r="B11" s="16" t="inlineStr">
        <is>
          <t xml:space="preserve">  Advertising revenue</t>
        </is>
      </c>
      <c r="C11" s="253" t="n">
        <v>764</v>
      </c>
      <c r="D11" s="253" t="n">
        <v>1868</v>
      </c>
      <c r="E11" s="253" t="n">
        <v>3154</v>
      </c>
      <c r="F11" s="253" t="n">
        <v>4279</v>
      </c>
      <c r="G11" s="253" t="n">
        <v>1245</v>
      </c>
      <c r="H11" s="253" t="n">
        <v>1599</v>
      </c>
      <c r="I11" s="253" t="n">
        <v>1798</v>
      </c>
      <c r="J11" s="253" t="n">
        <v>2344</v>
      </c>
      <c r="K11" s="253" t="n">
        <v>6986</v>
      </c>
      <c r="L11" s="253" t="n">
        <v>2265</v>
      </c>
      <c r="M11" s="253" t="n">
        <v>2676</v>
      </c>
      <c r="N11" s="253" t="n">
        <v>2957</v>
      </c>
      <c r="O11" s="253" t="n">
        <v>3594</v>
      </c>
      <c r="P11" s="253" t="n">
        <v>11492</v>
      </c>
      <c r="Q11" s="253" t="n">
        <v>3317</v>
      </c>
      <c r="R11" s="253" t="n">
        <v>3827</v>
      </c>
      <c r="S11" s="253" t="n">
        <v>4299</v>
      </c>
      <c r="T11" s="253" t="n">
        <v>5637</v>
      </c>
      <c r="U11" s="253" t="n">
        <v>17079</v>
      </c>
      <c r="V11" s="253" t="n">
        <v>5201</v>
      </c>
      <c r="W11" s="253" t="n">
        <v>6239</v>
      </c>
      <c r="X11" s="253" t="n">
        <v>6816</v>
      </c>
      <c r="Y11" s="253" t="n">
        <v>8629</v>
      </c>
      <c r="Z11" s="253" t="n">
        <v>26885</v>
      </c>
      <c r="AA11" s="253" t="n">
        <v>7857</v>
      </c>
      <c r="AB11" s="253" t="n">
        <v>9164</v>
      </c>
      <c r="AC11" s="253" t="n">
        <v>10142</v>
      </c>
      <c r="AD11" s="253" t="n">
        <v>12779</v>
      </c>
      <c r="AE11" s="253" t="n">
        <v>39942</v>
      </c>
      <c r="AF11" s="253" t="n">
        <v>11795</v>
      </c>
      <c r="AG11" s="253" t="n">
        <v>13038</v>
      </c>
      <c r="AH11" s="253" t="n">
        <v>13539</v>
      </c>
      <c r="AI11" s="253" t="n">
        <v>16640</v>
      </c>
      <c r="AJ11" s="253" t="n">
        <v>55013</v>
      </c>
      <c r="AK11" s="253" t="n">
        <v>14912</v>
      </c>
      <c r="AL11" s="253" t="n">
        <v>16624</v>
      </c>
      <c r="AM11" s="253" t="n">
        <v>17383</v>
      </c>
      <c r="AN11" s="253" t="n">
        <v>20736</v>
      </c>
      <c r="AO11" s="253" t="n">
        <v>69655</v>
      </c>
      <c r="AP11" s="253" t="n">
        <v>17440</v>
      </c>
      <c r="AQ11" s="253" t="n">
        <v>18321</v>
      </c>
      <c r="AR11" s="253" t="n">
        <v>21221</v>
      </c>
      <c r="AS11" s="253" t="n">
        <v>27187</v>
      </c>
      <c r="AT11" s="253" t="n">
        <v>84169</v>
      </c>
      <c r="AU11" s="253" t="n">
        <v>25439</v>
      </c>
      <c r="AV11" s="253" t="n">
        <v>28580</v>
      </c>
      <c r="AW11" s="253" t="n">
        <v>28276</v>
      </c>
      <c r="AX11" s="253" t="n">
        <v>32639</v>
      </c>
      <c r="AY11" s="253" t="n">
        <v>114934</v>
      </c>
      <c r="AZ11" s="253" t="n">
        <v>26998</v>
      </c>
      <c r="BA11" s="253" t="n">
        <v>28152</v>
      </c>
      <c r="BB11" s="253" t="n">
        <v>27237</v>
      </c>
      <c r="BC11" s="253" t="n">
        <v>31254</v>
      </c>
      <c r="BD11" s="253" t="n">
        <v>113642</v>
      </c>
      <c r="BE11" s="253" t="n">
        <v>28101</v>
      </c>
      <c r="BF11" s="253" t="n">
        <v>31498</v>
      </c>
      <c r="BG11" s="253" t="n">
        <v>33643</v>
      </c>
      <c r="BH11" s="253" t="n">
        <v>38706</v>
      </c>
      <c r="BI11" s="253" t="n">
        <v>131948</v>
      </c>
      <c r="BJ11" s="253" t="n">
        <v>35635</v>
      </c>
      <c r="BK11" s="253" t="n">
        <v>38329</v>
      </c>
      <c r="BL11" s="253" t="n">
        <v>39885</v>
      </c>
      <c r="BM11" s="253" t="n">
        <v>46783</v>
      </c>
      <c r="BN11" s="253" t="n">
        <v>160633</v>
      </c>
      <c r="BO11" s="253" t="n">
        <v>41392</v>
      </c>
      <c r="BP11" s="253" t="n">
        <v>46563</v>
      </c>
      <c r="BQ11" s="253" t="n">
        <v>50082</v>
      </c>
      <c r="BR11" s="253" t="n">
        <v>58137</v>
      </c>
      <c r="BS11" s="253" t="n">
        <v>196175</v>
      </c>
      <c r="BT11" s="253" t="n">
        <v>55024</v>
      </c>
      <c r="BU11" s="253" t="n">
        <v>59363</v>
      </c>
      <c r="BV11" s="254">
        <f>BQ11*(1+BV12)</f>
        <v>60804.9470941565</v>
      </c>
      <c r="BW11" s="254">
        <f>BR11*(1+BW12)</f>
        <v>70584.5854640984</v>
      </c>
      <c r="BX11" s="254">
        <f>SUM(BT11:BW11)</f>
        <v>245776.532558255</v>
      </c>
      <c r="BY11" s="254">
        <f>BX11*(1+BY12)</f>
        <v>291982.520679207</v>
      </c>
      <c r="BZ11" s="254">
        <f>BY11*(1+BZ12)</f>
        <v>337356.604392756</v>
      </c>
      <c r="CA11" s="254">
        <f>BZ11*(1+CA12)</f>
        <v>382562.389381385</v>
      </c>
      <c r="CB11" s="254">
        <f>CA11*(1+CB12)</f>
        <v>425715.426903605</v>
      </c>
      <c r="CC11" s="254">
        <f>CB11*(1+CC12)</f>
        <v>469308.686618534</v>
      </c>
      <c r="CD11" s="153" t="inlineStr">
        <is>
          <t>History: release reconciliation ("GAAP advertising revenue"; 2009-11 prospectus; segment table from Q4-2021). Forecast: prior-year period × (1 + ad impressions growth) × (1 + price-per-ad growth).</t>
        </is>
      </c>
      <c r="CF11" s="20">
        <f>IFERROR((CC11/BX11)^(1/5)-1,"n/m")</f>
        <v>0.138108419009088</v>
      </c>
      <c r="CG11" s="20">
        <f>IFERROR((BS11/AT11)^(1/5)-1,"n/m")</f>
        <v>0.184399727434469</v>
      </c>
      <c r="CH11" s="20">
        <f>IFERROR((BS11/U11)^(1/10)-1,"n/m")</f>
        <v>0.276492073263734</v>
      </c>
      <c r="CI11" s="20">
        <f>IFERROR((BS11/C11)^(1/16)-1,"n/m")</f>
        <v>0.414480269602213</v>
      </c>
      <c r="CL11" s="15" t="inlineStr">
        <is>
          <t>Outlook — Q2-26 release (8-K Ex. 99.1, 29-Jul-2026)</t>
        </is>
      </c>
      <c r="CM11" s="21" t="inlineStr">
        <is>
          <t>High</t>
        </is>
      </c>
      <c r="CN11" s="21" t="inlineStr">
        <is>
          <t>Mid</t>
        </is>
      </c>
      <c r="CO11" s="21" t="inlineStr">
        <is>
          <t>Low</t>
        </is>
      </c>
      <c r="CP11" s="13" t="inlineStr">
        <is>
          <t>Q3/26 revenue $61–64bn (FX ~1% headwind); FY26 total expenses $165–169bn (low end raised for the $2.4bn Q2 legal charges); FY26 operating income above 2025; FY26 capital expenditures incl. principal payments on finance leases $130–145bn; tax rate 15–17% for the remaining quarters. All from the 8-K (SEC EDGAR).</t>
        </is>
      </c>
    </row>
    <row r="12" ht="15" customHeight="1" s="251">
      <c r="B12" s="22" t="inlineStr">
        <is>
          <t xml:space="preserve">    y/y %</t>
        </is>
      </c>
      <c r="C12" s="23" t="n"/>
      <c r="D12" s="255">
        <f>IF(AND(ISNUMBER(D11),ISNUMBER(C11)),IFERROR(D11/C11-1,""),"")</f>
        <v>1.44502617801047</v>
      </c>
      <c r="E12" s="255">
        <f>IF(AND(ISNUMBER(E11),ISNUMBER(D11)),IFERROR(E11/D11-1,""),"")</f>
        <v>0.688436830835118</v>
      </c>
      <c r="F12" s="255">
        <f>IF(AND(ISNUMBER(F11),ISNUMBER(E11)),IFERROR(F11/E11-1,""),"")</f>
        <v>0.356689917564997</v>
      </c>
      <c r="G12" s="23" t="n"/>
      <c r="H12" s="23" t="n"/>
      <c r="I12" s="23" t="n"/>
      <c r="J12" s="23" t="n"/>
      <c r="K12" s="255">
        <f>IF(AND(ISNUMBER(K11),ISNUMBER(F11)),IFERROR(K11/F11-1,""),"")</f>
        <v>0.632624444963777</v>
      </c>
      <c r="L12" s="255">
        <f>IF(AND(ISNUMBER(L11),ISNUMBER(G11)),IFERROR(L11/G11-1,""),"")</f>
        <v>0.819277108433735</v>
      </c>
      <c r="M12" s="255">
        <f>IF(AND(ISNUMBER(M11),ISNUMBER(H11)),IFERROR(M11/H11-1,""),"")</f>
        <v>0.673545966228893</v>
      </c>
      <c r="N12" s="255">
        <f>IF(AND(ISNUMBER(N11),ISNUMBER(I11)),IFERROR(N11/I11-1,""),"")</f>
        <v>0.64460511679644</v>
      </c>
      <c r="O12" s="255">
        <f>IF(AND(ISNUMBER(O11),ISNUMBER(J11)),IFERROR(O11/J11-1,""),"")</f>
        <v>0.533276450511945</v>
      </c>
      <c r="P12" s="255">
        <f>IF(AND(ISNUMBER(P11),ISNUMBER(K11)),IFERROR(P11/K11-1,""),"")</f>
        <v>0.645004294302892</v>
      </c>
      <c r="Q12" s="255">
        <f>IF(AND(ISNUMBER(Q11),ISNUMBER(L11)),IFERROR(Q11/L11-1,""),"")</f>
        <v>0.464459161147903</v>
      </c>
      <c r="R12" s="255">
        <f>IF(AND(ISNUMBER(R11),ISNUMBER(M11)),IFERROR(R11/M11-1,""),"")</f>
        <v>0.430119581464873</v>
      </c>
      <c r="S12" s="255">
        <f>IF(AND(ISNUMBER(S11),ISNUMBER(N11)),IFERROR(S11/N11-1,""),"")</f>
        <v>0.453838349678728</v>
      </c>
      <c r="T12" s="255">
        <f>IF(AND(ISNUMBER(T11),ISNUMBER(O11)),IFERROR(T11/O11-1,""),"")</f>
        <v>0.568447412353923</v>
      </c>
      <c r="U12" s="255">
        <f>IF(AND(ISNUMBER(U11),ISNUMBER(P11)),IFERROR(U11/P11-1,""),"")</f>
        <v>0.486164288200487</v>
      </c>
      <c r="V12" s="255">
        <f>IF(AND(ISNUMBER(V11),ISNUMBER(Q11)),IFERROR(V11/Q11-1,""),"")</f>
        <v>0.567983117274646</v>
      </c>
      <c r="W12" s="255">
        <f>IF(AND(ISNUMBER(W11),ISNUMBER(R11)),IFERROR(W11/R11-1,""),"")</f>
        <v>0.630258688267573</v>
      </c>
      <c r="X12" s="255">
        <f>IF(AND(ISNUMBER(X11),ISNUMBER(S11)),IFERROR(X11/S11-1,""),"")</f>
        <v>0.585484996510816</v>
      </c>
      <c r="Y12" s="255">
        <f>IF(AND(ISNUMBER(Y11),ISNUMBER(T11)),IFERROR(Y11/T11-1,""),"")</f>
        <v>0.530778783040625</v>
      </c>
      <c r="Z12" s="255">
        <f>IF(AND(ISNUMBER(Z11),ISNUMBER(U11)),IFERROR(Z11/U11-1,""),"")</f>
        <v>0.57415539551496</v>
      </c>
      <c r="AA12" s="255">
        <f>IF(AND(ISNUMBER(AA11),ISNUMBER(V11)),IFERROR(AA11/V11-1,""),"")</f>
        <v>0.510671024802923</v>
      </c>
      <c r="AB12" s="255">
        <f>IF(AND(ISNUMBER(AB11),ISNUMBER(W11)),IFERROR(AB11/W11-1,""),"")</f>
        <v>0.46882513223273</v>
      </c>
      <c r="AC12" s="255">
        <f>IF(AND(ISNUMBER(AC11),ISNUMBER(X11)),IFERROR(AC11/X11-1,""),"")</f>
        <v>0.487969483568075</v>
      </c>
      <c r="AD12" s="255">
        <f>IF(AND(ISNUMBER(AD11),ISNUMBER(Y11)),IFERROR(AD11/Y11-1,""),"")</f>
        <v>0.480936377332252</v>
      </c>
      <c r="AE12" s="255">
        <f>IF(AND(ISNUMBER(AE11),ISNUMBER(Z11)),IFERROR(AE11/Z11-1,""),"")</f>
        <v>0.48566114933978</v>
      </c>
      <c r="AF12" s="255">
        <f>IF(AND(ISNUMBER(AF11),ISNUMBER(AA11)),IFERROR(AF11/AA11-1,""),"")</f>
        <v>0.501209112892962</v>
      </c>
      <c r="AG12" s="255">
        <f>IF(AND(ISNUMBER(AG11),ISNUMBER(AB11)),IFERROR(AG11/AB11-1,""),"")</f>
        <v>0.422741161065037</v>
      </c>
      <c r="AH12" s="255">
        <f>IF(AND(ISNUMBER(AH11),ISNUMBER(AC11)),IFERROR(AH11/AC11-1,""),"")</f>
        <v>0.334943798067442</v>
      </c>
      <c r="AI12" s="255">
        <f>IF(AND(ISNUMBER(AI11),ISNUMBER(AD11)),IFERROR(AI11/AD11-1,""),"")</f>
        <v>0.302136317395727</v>
      </c>
      <c r="AJ12" s="255">
        <f>IF(AND(ISNUMBER(AJ11),ISNUMBER(AE11)),IFERROR(AJ11/AE11-1,""),"")</f>
        <v>0.377322117069751</v>
      </c>
      <c r="AK12" s="255">
        <f>IF(AND(ISNUMBER(AK11),ISNUMBER(AF11)),IFERROR(AK11/AF11-1,""),"")</f>
        <v>0.264264518863925</v>
      </c>
      <c r="AL12" s="255">
        <f>IF(AND(ISNUMBER(AL11),ISNUMBER(AG11)),IFERROR(AL11/AG11-1,""),"")</f>
        <v>0.275042184384108</v>
      </c>
      <c r="AM12" s="255">
        <f>IF(AND(ISNUMBER(AM11),ISNUMBER(AH11)),IFERROR(AM11/AH11-1,""),"")</f>
        <v>0.283920525888175</v>
      </c>
      <c r="AN12" s="255">
        <f>IF(AND(ISNUMBER(AN11),ISNUMBER(AI11)),IFERROR(AN11/AI11-1,""),"")</f>
        <v>0.246153846153846</v>
      </c>
      <c r="AO12" s="255">
        <f>IF(AND(ISNUMBER(AO11),ISNUMBER(AJ11)),IFERROR(AO11/AJ11-1,""),"")</f>
        <v>0.266155272390162</v>
      </c>
      <c r="AP12" s="255">
        <f>IF(AND(ISNUMBER(AP11),ISNUMBER(AK11)),IFERROR(AP11/AK11-1,""),"")</f>
        <v>0.169527896995708</v>
      </c>
      <c r="AQ12" s="255">
        <f>IF(AND(ISNUMBER(AQ11),ISNUMBER(AL11)),IFERROR(AQ11/AL11-1,""),"")</f>
        <v>0.102081328200192</v>
      </c>
      <c r="AR12" s="255">
        <f>IF(AND(ISNUMBER(AR11),ISNUMBER(AM11)),IFERROR(AR11/AM11-1,""),"")</f>
        <v>0.220790427429098</v>
      </c>
      <c r="AS12" s="255">
        <f>IF(AND(ISNUMBER(AS11),ISNUMBER(AN11)),IFERROR(AS11/AN11-1,""),"")</f>
        <v>0.311101466049383</v>
      </c>
      <c r="AT12" s="255">
        <f>IF(AND(ISNUMBER(AT11),ISNUMBER(AO11)),IFERROR(AT11/AO11-1,""),"")</f>
        <v>0.208369822697581</v>
      </c>
      <c r="AU12" s="255">
        <f>IF(AND(ISNUMBER(AU11),ISNUMBER(AP11)),IFERROR(AU11/AP11-1,""),"")</f>
        <v>0.458658256880734</v>
      </c>
      <c r="AV12" s="255">
        <f>IF(AND(ISNUMBER(AV11),ISNUMBER(AQ11)),IFERROR(AV11/AQ11-1,""),"")</f>
        <v>0.559958517548169</v>
      </c>
      <c r="AW12" s="255">
        <f>IF(AND(ISNUMBER(AW11),ISNUMBER(AR11)),IFERROR(AW11/AR11-1,""),"")</f>
        <v>0.332453701522077</v>
      </c>
      <c r="AX12" s="255">
        <f>IF(AND(ISNUMBER(AX11),ISNUMBER(AS11)),IFERROR(AX11/AS11-1,""),"")</f>
        <v>0.200537021370508</v>
      </c>
      <c r="AY12" s="255">
        <f>IF(AND(ISNUMBER(AY11),ISNUMBER(AT11)),IFERROR(AY11/AT11-1,""),"")</f>
        <v>0.36551461939669</v>
      </c>
      <c r="AZ12" s="255">
        <f>IF(AND(ISNUMBER(AZ11),ISNUMBER(AU11)),IFERROR(AZ11/AU11-1,""),"")</f>
        <v>0.0612838554974646</v>
      </c>
      <c r="BA12" s="255">
        <f>IF(AND(ISNUMBER(BA11),ISNUMBER(AV11)),IFERROR(BA11/AV11-1,""),"")</f>
        <v>-0.0149755073477956</v>
      </c>
      <c r="BB12" s="255">
        <f>IF(AND(ISNUMBER(BB11),ISNUMBER(AW11)),IFERROR(BB11/AW11-1,""),"")</f>
        <v>-0.0367449427075965</v>
      </c>
      <c r="BC12" s="255">
        <f>IF(AND(ISNUMBER(BC11),ISNUMBER(AX11)),IFERROR(BC11/AX11-1,""),"")</f>
        <v>-0.0424338980973682</v>
      </c>
      <c r="BD12" s="255">
        <f>IF(AND(ISNUMBER(BD11),ISNUMBER(AY11)),IFERROR(BD11/AY11-1,""),"")</f>
        <v>-0.0112412340995702</v>
      </c>
      <c r="BE12" s="255">
        <f>IF(AND(ISNUMBER(BE11),ISNUMBER(AZ11)),IFERROR(BE11/AZ11-1,""),"")</f>
        <v>0.0408548781391214</v>
      </c>
      <c r="BF12" s="255">
        <f>IF(AND(ISNUMBER(BF11),ISNUMBER(BA11)),IFERROR(BF11/BA11-1,""),"")</f>
        <v>0.118854788292128</v>
      </c>
      <c r="BG12" s="255">
        <f>IF(AND(ISNUMBER(BG11),ISNUMBER(BB11)),IFERROR(BG11/BB11-1,""),"")</f>
        <v>0.235194771817748</v>
      </c>
      <c r="BH12" s="255">
        <f>IF(AND(ISNUMBER(BH11),ISNUMBER(BC11)),IFERROR(BH11/BC11-1,""),"")</f>
        <v>0.238433480514494</v>
      </c>
      <c r="BI12" s="255">
        <f>IF(AND(ISNUMBER(BI11),ISNUMBER(BD11)),IFERROR(BI11/BD11-1,""),"")</f>
        <v>0.161084810193414</v>
      </c>
      <c r="BJ12" s="255">
        <f>IF(AND(ISNUMBER(BJ11),ISNUMBER(BE11)),IFERROR(BJ11/BE11-1,""),"")</f>
        <v>0.268104337923917</v>
      </c>
      <c r="BK12" s="255">
        <f>IF(AND(ISNUMBER(BK11),ISNUMBER(BF11)),IFERROR(BK11/BF11-1,""),"")</f>
        <v>0.216870912438885</v>
      </c>
      <c r="BL12" s="255">
        <f>IF(AND(ISNUMBER(BL11),ISNUMBER(BG11)),IFERROR(BL11/BG11-1,""),"")</f>
        <v>0.185536367149184</v>
      </c>
      <c r="BM12" s="255">
        <f>IF(AND(ISNUMBER(BM11),ISNUMBER(BH11)),IFERROR(BM11/BH11-1,""),"")</f>
        <v>0.208675657520798</v>
      </c>
      <c r="BN12" s="255">
        <f>IF(AND(ISNUMBER(BN11),ISNUMBER(BI11)),IFERROR(BN11/BI11-1,""),"")</f>
        <v>0.217396247006396</v>
      </c>
      <c r="BO12" s="255">
        <f>IF(AND(ISNUMBER(BO11),ISNUMBER(BJ11)),IFERROR(BO11/BJ11-1,""),"")</f>
        <v>0.161554651325944</v>
      </c>
      <c r="BP12" s="255">
        <f>IF(AND(ISNUMBER(BP11),ISNUMBER(BK11)),IFERROR(BP11/BK11-1,""),"")</f>
        <v>0.214824284484333</v>
      </c>
      <c r="BQ12" s="255">
        <f>IF(AND(ISNUMBER(BQ11),ISNUMBER(BL11)),IFERROR(BQ11/BL11-1,""),"")</f>
        <v>0.255660022564874</v>
      </c>
      <c r="BR12" s="255">
        <f>IF(AND(ISNUMBER(BR11),ISNUMBER(BM11)),IFERROR(BR11/BM11-1,""),"")</f>
        <v>0.242694996045572</v>
      </c>
      <c r="BS12" s="255">
        <f>IF(AND(ISNUMBER(BS11),ISNUMBER(BN11)),IFERROR(BS11/BN11-1,""),"")</f>
        <v>0.221262131691496</v>
      </c>
      <c r="BT12" s="255">
        <f>IF(AND(ISNUMBER(BT11),ISNUMBER(BO11)),IFERROR(BT11/BO11-1,""),"")</f>
        <v>0.329339002705837</v>
      </c>
      <c r="BU12" s="255">
        <f>IF(AND(ISNUMBER(BU11),ISNUMBER(BP11)),IFERROR(BU11/BP11-1,""),"")</f>
        <v>0.274896376951657</v>
      </c>
      <c r="BV12" s="256">
        <f>(1+BV13)*(1+BV14)-1</f>
        <v>0.214107805082794</v>
      </c>
      <c r="BW12" s="256">
        <f>(1+BW13)*(1+BW14)-1</f>
        <v>0.214107805082794</v>
      </c>
      <c r="BX12" s="256">
        <f>IF(AND(ISNUMBER(BX11),ISNUMBER(BS11)),IFERROR(BX11/BS11-1,""),"")</f>
        <v>0.252843290726417</v>
      </c>
      <c r="BY12" s="256">
        <f>(1+BY13)*(1+BY14)-1</f>
        <v>0.188</v>
      </c>
      <c r="BZ12" s="256">
        <f>(1+BZ13)*(1+BZ14)-1</f>
        <v>0.1554</v>
      </c>
      <c r="CA12" s="256">
        <f>(1+CA13)*(1+CA14)-1</f>
        <v>0.134</v>
      </c>
      <c r="CB12" s="256">
        <f>(1+CB13)*(1+CB14)-1</f>
        <v>0.1128</v>
      </c>
      <c r="CC12" s="256">
        <f>(1+CC13)*(1+CC14)-1</f>
        <v>0.1024</v>
      </c>
      <c r="CD12" s="153" t="n"/>
      <c r="CF12" s="37">
        <f>IFERROR(AVERAGE(BY12,BZ12,CA12,CB12,CC12),"n/m")</f>
        <v>0.13852</v>
      </c>
      <c r="CG12" s="37">
        <f>IFERROR(AVERAGE(AY12,BD12,BI12,BN12,BS12),"n/m")</f>
        <v>0.190803314837685</v>
      </c>
      <c r="CH12" s="37">
        <f>IFERROR(AVERAGE(Z12,AE12,AJ12,AO12,AT12,AY12,BD12,BI12,BN12,BS12),"n/m")</f>
        <v>0.286568033120066</v>
      </c>
      <c r="CI12" s="37">
        <f>IFERROR(AVERAGE(C12,D12,E12,F12,K12,P12,U12,Z12,AE12,AJ12,AO12,AT12,AY12,BD12,BI12,BN12,BS12),"n/m")</f>
        <v>0.4449766428174</v>
      </c>
      <c r="CL12" s="25" t="inlineStr">
        <is>
          <t xml:space="preserve">  Q3/26 total revenue ($m)</t>
        </is>
      </c>
      <c r="CM12" s="257" t="n">
        <v>64000</v>
      </c>
      <c r="CN12" s="257" t="n">
        <v>62500</v>
      </c>
      <c r="CO12" s="257" t="n">
        <v>61000</v>
      </c>
      <c r="CP12" s="13" t="inlineStr">
        <is>
          <t>Guided $61–64bn. Drives the Q3/26E price-per-ad calibration.</t>
        </is>
      </c>
    </row>
    <row r="13" ht="15" customHeight="1" s="251">
      <c r="B13" s="25" t="inlineStr">
        <is>
          <t xml:space="preserve">  Ad impressions delivered y/y % (company-reported, rounded)</t>
        </is>
      </c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258" t="n">
        <v>-0.17</v>
      </c>
      <c r="M13" s="258" t="n">
        <v>-0.25</v>
      </c>
      <c r="N13" s="258" t="n">
        <v>-0.5600000000000001</v>
      </c>
      <c r="O13" s="36" t="n"/>
      <c r="P13" s="258" t="n">
        <v>-0.4</v>
      </c>
      <c r="Q13" s="258" t="n">
        <v>-0.62</v>
      </c>
      <c r="R13" s="258" t="n">
        <v>-0.55</v>
      </c>
      <c r="S13" s="258" t="n">
        <v>-0.1</v>
      </c>
      <c r="T13" s="36" t="n"/>
      <c r="U13" s="258" t="n">
        <v>-0.38</v>
      </c>
      <c r="V13" s="258" t="n">
        <v>0.5</v>
      </c>
      <c r="W13" s="258" t="n">
        <v>0.49</v>
      </c>
      <c r="X13" s="258" t="n">
        <v>0.5</v>
      </c>
      <c r="Y13" s="36" t="n"/>
      <c r="Z13" s="258" t="n">
        <v>0.5</v>
      </c>
      <c r="AA13" s="258" t="n">
        <v>0.32</v>
      </c>
      <c r="AB13" s="258" t="n">
        <v>0.19</v>
      </c>
      <c r="AC13" s="258" t="n">
        <v>0.1</v>
      </c>
      <c r="AD13" s="36" t="n"/>
      <c r="AE13" s="258" t="n">
        <v>0.15</v>
      </c>
      <c r="AF13" s="258" t="n">
        <v>0.08</v>
      </c>
      <c r="AG13" s="258" t="n">
        <v>0.21</v>
      </c>
      <c r="AH13" s="258" t="n">
        <v>0.25</v>
      </c>
      <c r="AI13" s="36" t="n"/>
      <c r="AJ13" s="258" t="n">
        <v>0.22</v>
      </c>
      <c r="AK13" s="258" t="n">
        <v>0.32</v>
      </c>
      <c r="AL13" s="258" t="n">
        <v>0.33</v>
      </c>
      <c r="AM13" s="258" t="n">
        <v>0.37</v>
      </c>
      <c r="AN13" s="36" t="n"/>
      <c r="AO13" s="258" t="n">
        <v>0.33</v>
      </c>
      <c r="AP13" s="258" t="n">
        <v>0.39</v>
      </c>
      <c r="AQ13" s="258" t="n">
        <v>0.4</v>
      </c>
      <c r="AR13" s="258" t="n">
        <v>0.35</v>
      </c>
      <c r="AS13" s="36" t="n"/>
      <c r="AT13" s="258" t="n">
        <v>0.34</v>
      </c>
      <c r="AU13" s="258" t="n">
        <v>0.12</v>
      </c>
      <c r="AV13" s="258" t="n">
        <v>0.06</v>
      </c>
      <c r="AW13" s="258" t="n">
        <v>0.09</v>
      </c>
      <c r="AX13" s="258" t="n">
        <v>0.13</v>
      </c>
      <c r="AY13" s="258" t="n">
        <v>0.1</v>
      </c>
      <c r="AZ13" s="258" t="n">
        <v>0.15</v>
      </c>
      <c r="BA13" s="258" t="n">
        <v>0.15</v>
      </c>
      <c r="BB13" s="258" t="n">
        <v>0.17</v>
      </c>
      <c r="BC13" s="258" t="n">
        <v>0.23</v>
      </c>
      <c r="BD13" s="258" t="n">
        <v>0.18</v>
      </c>
      <c r="BE13" s="258" t="n">
        <v>0.26</v>
      </c>
      <c r="BF13" s="258" t="n">
        <v>0.34</v>
      </c>
      <c r="BG13" s="258" t="n">
        <v>0.31</v>
      </c>
      <c r="BH13" s="258" t="n">
        <v>0.21</v>
      </c>
      <c r="BI13" s="258" t="n">
        <v>0.28</v>
      </c>
      <c r="BJ13" s="258" t="n">
        <v>0.2</v>
      </c>
      <c r="BK13" s="258" t="n">
        <v>0.1</v>
      </c>
      <c r="BL13" s="258" t="n">
        <v>0.07000000000000001</v>
      </c>
      <c r="BM13" s="258" t="n">
        <v>0.06</v>
      </c>
      <c r="BN13" s="258" t="n">
        <v>0.11</v>
      </c>
      <c r="BO13" s="258" t="n">
        <v>0.05</v>
      </c>
      <c r="BP13" s="258" t="n">
        <v>0.11</v>
      </c>
      <c r="BQ13" s="258" t="n">
        <v>0.14</v>
      </c>
      <c r="BR13" s="258" t="n">
        <v>0.18</v>
      </c>
      <c r="BS13" s="258" t="n">
        <v>0.12</v>
      </c>
      <c r="BT13" s="258" t="n">
        <v>0.19</v>
      </c>
      <c r="BU13" s="258" t="n">
        <v>0.14</v>
      </c>
      <c r="BV13" s="256">
        <f>BV15</f>
        <v>0.14</v>
      </c>
      <c r="BW13" s="256">
        <f>BW15</f>
        <v>0.14</v>
      </c>
      <c r="BX13" s="24" t="n"/>
      <c r="BY13" s="259">
        <f>CHOOSE(MATCH($CD$2,{"Bull","Base","Bear"},0),$CM$28,$CN$28,$CO$28)</f>
        <v>0.1</v>
      </c>
      <c r="BZ13" s="259">
        <f>CHOOSE(MATCH($CD$2,{"Bull","Base","Bear"},0),$CM$29,$CN$29,$CO$29)</f>
        <v>0.09</v>
      </c>
      <c r="CA13" s="259">
        <f>CHOOSE(MATCH($CD$2,{"Bull","Base","Bear"},0),$CM$30,$CN$30,$CO$30)</f>
        <v>0.08</v>
      </c>
      <c r="CB13" s="259">
        <f>CHOOSE(MATCH($CD$2,{"Bull","Base","Bear"},0),$CM$31,$CN$31,$CO$31)</f>
        <v>0.07</v>
      </c>
      <c r="CC13" s="259">
        <f>CHOOSE(MATCH($CD$2,{"Bull","Base","Bear"},0),$CM$32,$CN$32,$CO$32)</f>
        <v>0.06</v>
      </c>
      <c r="CD13" s="19" t="inlineStr">
        <is>
          <t>Releases from Q4-2021; before that the 10-Q / 10-K MD&amp;A ("number of ads delivered", 2014-21; Q4 not published, year from the 10-K). Q3/Q4-26E: Q2/26 y/y held. 2027E+: scenario lever.</t>
        </is>
      </c>
      <c r="CF13" s="37">
        <f>IFERROR(AVERAGE(BY13,BZ13,CA13,CB13,CC13),"n/m")</f>
        <v>0.08</v>
      </c>
      <c r="CG13" s="37">
        <f>IFERROR(AVERAGE(AY13,BD13,BI13,BN13,BS13),"n/m")</f>
        <v>0.158</v>
      </c>
      <c r="CH13" s="37">
        <f>IFERROR(AVERAGE(Z13,AE13,AJ13,AO13,AT13,AY13,BD13,BI13,BN13,BS13),"n/m")</f>
        <v>0.233</v>
      </c>
      <c r="CI13" s="37">
        <f>IFERROR(AVERAGE(C13,D13,E13,F13,K13,P13,U13,Z13,AE13,AJ13,AO13,AT13,AY13,BD13,BI13,BN13,BS13),"n/m")</f>
        <v>0.129166666666667</v>
      </c>
      <c r="CL13" s="25" t="inlineStr">
        <is>
          <t xml:space="preserve">  FY26 total expenses ($m) — Bull = low end, Bear = high end</t>
        </is>
      </c>
      <c r="CM13" s="257" t="n">
        <v>165000</v>
      </c>
      <c r="CN13" s="257" t="n">
        <v>167000</v>
      </c>
      <c r="CO13" s="257" t="n">
        <v>169000</v>
      </c>
      <c r="CP13" s="13" t="inlineStr">
        <is>
          <t>Guided $165–169bn. Drives the 2H/26E other-operating-cost calibration (lower expenses in the Bull case).</t>
        </is>
      </c>
    </row>
    <row r="14" ht="15" customHeight="1" s="251">
      <c r="B14" s="25" t="inlineStr">
        <is>
          <t xml:space="preserve">  Average price per ad y/y % (company-reported, rounded)</t>
        </is>
      </c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258" t="n">
        <v>1.18</v>
      </c>
      <c r="M14" s="258" t="n">
        <v>1.23</v>
      </c>
      <c r="N14" s="258" t="n">
        <v>2.74</v>
      </c>
      <c r="O14" s="36" t="n"/>
      <c r="P14" s="258" t="n">
        <v>1.73</v>
      </c>
      <c r="Q14" s="258" t="n">
        <v>2.85</v>
      </c>
      <c r="R14" s="258" t="n">
        <v>2.2</v>
      </c>
      <c r="S14" s="258" t="n">
        <v>0.61</v>
      </c>
      <c r="T14" s="36" t="n"/>
      <c r="U14" s="258" t="n">
        <v>1.4</v>
      </c>
      <c r="V14" s="258" t="n">
        <v>0.05</v>
      </c>
      <c r="W14" s="258" t="n">
        <v>0.09</v>
      </c>
      <c r="X14" s="258" t="n">
        <v>0.06</v>
      </c>
      <c r="Y14" s="36" t="n"/>
      <c r="Z14" s="258" t="n">
        <v>0.05</v>
      </c>
      <c r="AA14" s="258" t="n">
        <v>0.14</v>
      </c>
      <c r="AB14" s="258" t="n">
        <v>0.24</v>
      </c>
      <c r="AC14" s="258" t="n">
        <v>0.35</v>
      </c>
      <c r="AD14" s="36" t="n"/>
      <c r="AE14" s="258" t="n">
        <v>0.29</v>
      </c>
      <c r="AF14" s="258" t="n">
        <v>0.39</v>
      </c>
      <c r="AG14" s="258" t="n">
        <v>0.17</v>
      </c>
      <c r="AH14" s="258" t="n">
        <v>0.07000000000000001</v>
      </c>
      <c r="AI14" s="36" t="n"/>
      <c r="AJ14" s="258" t="n">
        <v>0.13</v>
      </c>
      <c r="AK14" s="258" t="n">
        <v>-0.04</v>
      </c>
      <c r="AL14" s="258" t="n">
        <v>-0.04</v>
      </c>
      <c r="AM14" s="258" t="n">
        <v>-0.06</v>
      </c>
      <c r="AN14" s="36" t="n"/>
      <c r="AO14" s="258" t="n">
        <v>-0.05</v>
      </c>
      <c r="AP14" s="258" t="n">
        <v>-0.16</v>
      </c>
      <c r="AQ14" s="258" t="n">
        <v>-0.21</v>
      </c>
      <c r="AR14" s="258" t="n">
        <v>-0.09</v>
      </c>
      <c r="AS14" s="36" t="n"/>
      <c r="AT14" s="258" t="n">
        <v>-0.1</v>
      </c>
      <c r="AU14" s="258" t="n">
        <v>0.3</v>
      </c>
      <c r="AV14" s="258" t="n">
        <v>0.47</v>
      </c>
      <c r="AW14" s="258" t="n">
        <v>0.22</v>
      </c>
      <c r="AX14" s="258" t="n">
        <v>0.06</v>
      </c>
      <c r="AY14" s="258" t="n">
        <v>0.24</v>
      </c>
      <c r="AZ14" s="258" t="n">
        <v>-0.08</v>
      </c>
      <c r="BA14" s="258" t="n">
        <v>-0.14</v>
      </c>
      <c r="BB14" s="258" t="n">
        <v>-0.18</v>
      </c>
      <c r="BC14" s="258" t="n">
        <v>-0.22</v>
      </c>
      <c r="BD14" s="258" t="n">
        <v>-0.16</v>
      </c>
      <c r="BE14" s="258" t="n">
        <v>-0.17</v>
      </c>
      <c r="BF14" s="258" t="n">
        <v>-0.16</v>
      </c>
      <c r="BG14" s="258" t="n">
        <v>-0.06</v>
      </c>
      <c r="BH14" s="258" t="n">
        <v>0.02</v>
      </c>
      <c r="BI14" s="258" t="n">
        <v>-0.09</v>
      </c>
      <c r="BJ14" s="258" t="n">
        <v>0.06</v>
      </c>
      <c r="BK14" s="258" t="n">
        <v>0.1</v>
      </c>
      <c r="BL14" s="258" t="n">
        <v>0.11</v>
      </c>
      <c r="BM14" s="258" t="n">
        <v>0.14</v>
      </c>
      <c r="BN14" s="258" t="n">
        <v>0.1</v>
      </c>
      <c r="BO14" s="258" t="n">
        <v>0.1</v>
      </c>
      <c r="BP14" s="258" t="n">
        <v>0.09</v>
      </c>
      <c r="BQ14" s="258" t="n">
        <v>0.1</v>
      </c>
      <c r="BR14" s="258" t="n">
        <v>0.06</v>
      </c>
      <c r="BS14" s="258" t="n">
        <v>0.09</v>
      </c>
      <c r="BT14" s="258" t="n">
        <v>0.12</v>
      </c>
      <c r="BU14" s="258" t="n">
        <v>0.12</v>
      </c>
      <c r="BV14" s="256">
        <f>BV16+$BV$77</f>
        <v>0.0650068465638542</v>
      </c>
      <c r="BW14" s="256">
        <f>BW16+$BV$77</f>
        <v>0.0650068465638542</v>
      </c>
      <c r="BX14" s="24" t="n"/>
      <c r="BY14" s="259">
        <f>CHOOSE(MATCH($CD$2,{"Bull","Base","Bear"},0),$CM$34,$CN$34,$CO$34)</f>
        <v>0.08</v>
      </c>
      <c r="BZ14" s="259">
        <f>CHOOSE(MATCH($CD$2,{"Bull","Base","Bear"},0),$CM$35,$CN$35,$CO$35)</f>
        <v>0.06</v>
      </c>
      <c r="CA14" s="259">
        <f>CHOOSE(MATCH($CD$2,{"Bull","Base","Bear"},0),$CM$36,$CN$36,$CO$36)</f>
        <v>0.05</v>
      </c>
      <c r="CB14" s="259">
        <f>CHOOSE(MATCH($CD$2,{"Bull","Base","Bear"},0),$CM$37,$CN$37,$CO$37)</f>
        <v>0.04</v>
      </c>
      <c r="CC14" s="259">
        <f>CHOOSE(MATCH($CD$2,{"Bull","Base","Bear"},0),$CM$38,$CN$38,$CO$38)</f>
        <v>0.04</v>
      </c>
      <c r="CD14" s="19" t="inlineStr">
        <is>
          <t>Not disclosed 2019-Q3 2021 in some quarters. Q3/Q4-26E: Q2/26 y/y + revenue-guidance calibration Δ (solved in Q3, carried into Q4). 2027E+: scenario lever.</t>
        </is>
      </c>
      <c r="CF14" s="37">
        <f>IFERROR(AVERAGE(BY14,BZ14,CA14,CB14,CC14),"n/m")</f>
        <v>0.054</v>
      </c>
      <c r="CG14" s="37">
        <f>IFERROR(AVERAGE(AY14,BD14,BI14,BN14,BS14),"n/m")</f>
        <v>0.036</v>
      </c>
      <c r="CH14" s="37">
        <f>IFERROR(AVERAGE(Z14,AE14,AJ14,AO14,AT14,AY14,BD14,BI14,BN14,BS14),"n/m")</f>
        <v>0.05</v>
      </c>
      <c r="CI14" s="37">
        <f>IFERROR(AVERAGE(C14,D14,E14,F14,K14,P14,U14,Z14,AE14,AJ14,AO14,AT14,AY14,BD14,BI14,BN14,BS14),"n/m")</f>
        <v>0.3025</v>
      </c>
      <c r="CL14" s="25" t="inlineStr">
        <is>
          <t xml:space="preserve">  2H/26E share repurchases ($m)</t>
        </is>
      </c>
      <c r="CM14" s="257" t="n">
        <v>5000</v>
      </c>
      <c r="CN14" s="257" t="n">
        <v>0</v>
      </c>
      <c r="CO14" s="257" t="n">
        <v>0</v>
      </c>
      <c r="CP14" s="13" t="inlineStr">
        <is>
          <t>No repurchases in 1H/26 (Q4/25 none either) while capex is funded; $50bn+ authorization remaining (10-Q). Base / Bear nil, Bull $5bn (assumption).</t>
        </is>
      </c>
    </row>
    <row r="15" ht="15" customHeight="1" s="251">
      <c r="B15" s="25" t="inlineStr">
        <is>
          <t xml:space="preserve">    Q3/Q4-26E ad impressions growth (Q2/26 y/y, held)</t>
        </is>
      </c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  <c r="AP15" s="36" t="n"/>
      <c r="AQ15" s="36" t="n"/>
      <c r="AR15" s="36" t="n"/>
      <c r="AS15" s="36" t="n"/>
      <c r="AT15" s="36" t="n"/>
      <c r="AU15" s="36" t="n"/>
      <c r="AV15" s="36" t="n"/>
      <c r="AW15" s="36" t="n"/>
      <c r="AX15" s="36" t="n"/>
      <c r="AY15" s="36" t="n"/>
      <c r="AZ15" s="36" t="n"/>
      <c r="BA15" s="36" t="n"/>
      <c r="BB15" s="36" t="n"/>
      <c r="BC15" s="36" t="n"/>
      <c r="BD15" s="36" t="n"/>
      <c r="BE15" s="36" t="n"/>
      <c r="BF15" s="36" t="n"/>
      <c r="BG15" s="36" t="n"/>
      <c r="BH15" s="36" t="n"/>
      <c r="BI15" s="36" t="n"/>
      <c r="BJ15" s="36" t="n"/>
      <c r="BK15" s="36" t="n"/>
      <c r="BL15" s="36" t="n"/>
      <c r="BM15" s="36" t="n"/>
      <c r="BN15" s="36" t="n"/>
      <c r="BO15" s="36" t="n"/>
      <c r="BP15" s="36" t="n"/>
      <c r="BQ15" s="36" t="n"/>
      <c r="BR15" s="36" t="n"/>
      <c r="BS15" s="36" t="n"/>
      <c r="BT15" s="36" t="n"/>
      <c r="BU15" s="36" t="n"/>
      <c r="BV15" s="256">
        <f>$BU$13</f>
        <v>0.14</v>
      </c>
      <c r="BW15" s="256">
        <f>$BU$13</f>
        <v>0.14</v>
      </c>
      <c r="BX15" s="24" t="n"/>
      <c r="BY15" s="46" t="n"/>
      <c r="BZ15" s="46" t="n"/>
      <c r="CA15" s="46" t="n"/>
      <c r="CB15" s="46" t="n"/>
      <c r="CC15" s="46" t="n"/>
      <c r="CD15" s="19" t="n"/>
    </row>
    <row r="16" ht="15" customHeight="1" s="251">
      <c r="B16" s="25" t="inlineStr">
        <is>
          <t xml:space="preserve">    Q3/Q4-26E price-per-ad growth before calibration (Q2/26 y/y, held)</t>
        </is>
      </c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  <c r="AP16" s="36" t="n"/>
      <c r="AQ16" s="36" t="n"/>
      <c r="AR16" s="36" t="n"/>
      <c r="AS16" s="36" t="n"/>
      <c r="AT16" s="36" t="n"/>
      <c r="AU16" s="36" t="n"/>
      <c r="AV16" s="36" t="n"/>
      <c r="AW16" s="36" t="n"/>
      <c r="AX16" s="36" t="n"/>
      <c r="AY16" s="36" t="n"/>
      <c r="AZ16" s="36" t="n"/>
      <c r="BA16" s="36" t="n"/>
      <c r="BB16" s="36" t="n"/>
      <c r="BC16" s="36" t="n"/>
      <c r="BD16" s="36" t="n"/>
      <c r="BE16" s="36" t="n"/>
      <c r="BF16" s="36" t="n"/>
      <c r="BG16" s="36" t="n"/>
      <c r="BH16" s="36" t="n"/>
      <c r="BI16" s="36" t="n"/>
      <c r="BJ16" s="36" t="n"/>
      <c r="BK16" s="36" t="n"/>
      <c r="BL16" s="36" t="n"/>
      <c r="BM16" s="36" t="n"/>
      <c r="BN16" s="36" t="n"/>
      <c r="BO16" s="36" t="n"/>
      <c r="BP16" s="36" t="n"/>
      <c r="BQ16" s="36" t="n"/>
      <c r="BR16" s="36" t="n"/>
      <c r="BS16" s="36" t="n"/>
      <c r="BT16" s="36" t="n"/>
      <c r="BU16" s="36" t="n"/>
      <c r="BV16" s="256">
        <f>$BU$14</f>
        <v>0.12</v>
      </c>
      <c r="BW16" s="256">
        <f>$BU$14</f>
        <v>0.12</v>
      </c>
      <c r="BX16" s="24" t="n"/>
      <c r="BY16" s="46" t="n"/>
      <c r="BZ16" s="46" t="n"/>
      <c r="CA16" s="46" t="n"/>
      <c r="CB16" s="46" t="n"/>
      <c r="CC16" s="46" t="n"/>
      <c r="CD16" s="19" t="n"/>
      <c r="CL16" s="15" t="inlineStr">
        <is>
          <t>Q3/26E, Q4/26E and FY26 point estimates (all cases)</t>
        </is>
      </c>
      <c r="CM16" s="21" t="n"/>
      <c r="CN16" s="21" t="n"/>
      <c r="CO16" s="21" t="n"/>
    </row>
    <row r="17" ht="15" customHeight="1" s="251">
      <c r="B17" s="156" t="inlineStr">
        <is>
          <t xml:space="preserve">  Memo: implied advertising growth = (1 + impressions) × (1 + price) − 1</t>
        </is>
      </c>
      <c r="C17" s="215">
        <f>IF(AND(ISNUMBER(C13),ISNUMBER(C14)),(1+C13)*(1+C14)-1,"")</f>
      </c>
      <c r="D17" s="215">
        <f>IF(AND(ISNUMBER(D13),ISNUMBER(D14)),(1+D13)*(1+D14)-1,"")</f>
      </c>
      <c r="E17" s="215">
        <f>IF(AND(ISNUMBER(E13),ISNUMBER(E14)),(1+E13)*(1+E14)-1,"")</f>
      </c>
      <c r="F17" s="215">
        <f>IF(AND(ISNUMBER(F13),ISNUMBER(F14)),(1+F13)*(1+F14)-1,"")</f>
      </c>
      <c r="G17" s="215">
        <f>IF(AND(ISNUMBER(G13),ISNUMBER(G14)),(1+G13)*(1+G14)-1,"")</f>
      </c>
      <c r="H17" s="215">
        <f>IF(AND(ISNUMBER(H13),ISNUMBER(H14)),(1+H13)*(1+H14)-1,"")</f>
      </c>
      <c r="I17" s="215">
        <f>IF(AND(ISNUMBER(I13),ISNUMBER(I14)),(1+I13)*(1+I14)-1,"")</f>
      </c>
      <c r="J17" s="215">
        <f>IF(AND(ISNUMBER(J13),ISNUMBER(J14)),(1+J13)*(1+J14)-1,"")</f>
      </c>
      <c r="K17" s="215">
        <f>IF(AND(ISNUMBER(K13),ISNUMBER(K14)),(1+K13)*(1+K14)-1,"")</f>
      </c>
      <c r="L17" s="215">
        <f>IF(AND(ISNUMBER(L13),ISNUMBER(L14)),(1+L13)*(1+L14)-1,"")</f>
        <v>0.8094</v>
      </c>
      <c r="M17" s="215">
        <f>IF(AND(ISNUMBER(M13),ISNUMBER(M14)),(1+M13)*(1+M14)-1,"")</f>
        <v>0.6725</v>
      </c>
      <c r="N17" s="215">
        <f>IF(AND(ISNUMBER(N13),ISNUMBER(N14)),(1+N13)*(1+N14)-1,"")</f>
        <v>0.6456</v>
      </c>
      <c r="O17" s="215">
        <f>IF(AND(ISNUMBER(O13),ISNUMBER(O14)),(1+O13)*(1+O14)-1,"")</f>
      </c>
      <c r="P17" s="215">
        <f>IF(AND(ISNUMBER(P13),ISNUMBER(P14)),(1+P13)*(1+P14)-1,"")</f>
        <v>0.638</v>
      </c>
      <c r="Q17" s="215">
        <f>IF(AND(ISNUMBER(Q13),ISNUMBER(Q14)),(1+Q13)*(1+Q14)-1,"")</f>
        <v>0.463</v>
      </c>
      <c r="R17" s="215">
        <f>IF(AND(ISNUMBER(R13),ISNUMBER(R14)),(1+R13)*(1+R14)-1,"")</f>
        <v>0.44</v>
      </c>
      <c r="S17" s="215">
        <f>IF(AND(ISNUMBER(S13),ISNUMBER(S14)),(1+S13)*(1+S14)-1,"")</f>
        <v>0.449</v>
      </c>
      <c r="T17" s="215">
        <f>IF(AND(ISNUMBER(T13),ISNUMBER(T14)),(1+T13)*(1+T14)-1,"")</f>
      </c>
      <c r="U17" s="215">
        <f>IF(AND(ISNUMBER(U13),ISNUMBER(U14)),(1+U13)*(1+U14)-1,"")</f>
        <v>0.488</v>
      </c>
      <c r="V17" s="215">
        <f>IF(AND(ISNUMBER(V13),ISNUMBER(V14)),(1+V13)*(1+V14)-1,"")</f>
        <v>0.575</v>
      </c>
      <c r="W17" s="215">
        <f>IF(AND(ISNUMBER(W13),ISNUMBER(W14)),(1+W13)*(1+W14)-1,"")</f>
        <v>0.6241</v>
      </c>
      <c r="X17" s="215">
        <f>IF(AND(ISNUMBER(X13),ISNUMBER(X14)),(1+X13)*(1+X14)-1,"")</f>
        <v>0.59</v>
      </c>
      <c r="Y17" s="215">
        <f>IF(AND(ISNUMBER(Y13),ISNUMBER(Y14)),(1+Y13)*(1+Y14)-1,"")</f>
      </c>
      <c r="Z17" s="215">
        <f>IF(AND(ISNUMBER(Z13),ISNUMBER(Z14)),(1+Z13)*(1+Z14)-1,"")</f>
        <v>0.575</v>
      </c>
      <c r="AA17" s="215">
        <f>IF(AND(ISNUMBER(AA13),ISNUMBER(AA14)),(1+AA13)*(1+AA14)-1,"")</f>
        <v>0.5048</v>
      </c>
      <c r="AB17" s="215">
        <f>IF(AND(ISNUMBER(AB13),ISNUMBER(AB14)),(1+AB13)*(1+AB14)-1,"")</f>
        <v>0.4756</v>
      </c>
      <c r="AC17" s="215">
        <f>IF(AND(ISNUMBER(AC13),ISNUMBER(AC14)),(1+AC13)*(1+AC14)-1,"")</f>
        <v>0.485</v>
      </c>
      <c r="AD17" s="215">
        <f>IF(AND(ISNUMBER(AD13),ISNUMBER(AD14)),(1+AD13)*(1+AD14)-1,"")</f>
      </c>
      <c r="AE17" s="215">
        <f>IF(AND(ISNUMBER(AE13),ISNUMBER(AE14)),(1+AE13)*(1+AE14)-1,"")</f>
        <v>0.4835</v>
      </c>
      <c r="AF17" s="215">
        <f>IF(AND(ISNUMBER(AF13),ISNUMBER(AF14)),(1+AF13)*(1+AF14)-1,"")</f>
        <v>0.5012</v>
      </c>
      <c r="AG17" s="215">
        <f>IF(AND(ISNUMBER(AG13),ISNUMBER(AG14)),(1+AG13)*(1+AG14)-1,"")</f>
        <v>0.4157</v>
      </c>
      <c r="AH17" s="215">
        <f>IF(AND(ISNUMBER(AH13),ISNUMBER(AH14)),(1+AH13)*(1+AH14)-1,"")</f>
        <v>0.3375</v>
      </c>
      <c r="AI17" s="215">
        <f>IF(AND(ISNUMBER(AI13),ISNUMBER(AI14)),(1+AI13)*(1+AI14)-1,"")</f>
      </c>
      <c r="AJ17" s="215">
        <f>IF(AND(ISNUMBER(AJ13),ISNUMBER(AJ14)),(1+AJ13)*(1+AJ14)-1,"")</f>
        <v>0.3786</v>
      </c>
      <c r="AK17" s="215">
        <f>IF(AND(ISNUMBER(AK13),ISNUMBER(AK14)),(1+AK13)*(1+AK14)-1,"")</f>
        <v>0.2672</v>
      </c>
      <c r="AL17" s="215">
        <f>IF(AND(ISNUMBER(AL13),ISNUMBER(AL14)),(1+AL13)*(1+AL14)-1,"")</f>
        <v>0.2768</v>
      </c>
      <c r="AM17" s="215">
        <f>IF(AND(ISNUMBER(AM13),ISNUMBER(AM14)),(1+AM13)*(1+AM14)-1,"")</f>
        <v>0.2878</v>
      </c>
      <c r="AN17" s="215">
        <f>IF(AND(ISNUMBER(AN13),ISNUMBER(AN14)),(1+AN13)*(1+AN14)-1,"")</f>
      </c>
      <c r="AO17" s="215">
        <f>IF(AND(ISNUMBER(AO13),ISNUMBER(AO14)),(1+AO13)*(1+AO14)-1,"")</f>
        <v>0.2635</v>
      </c>
      <c r="AP17" s="215">
        <f>IF(AND(ISNUMBER(AP13),ISNUMBER(AP14)),(1+AP13)*(1+AP14)-1,"")</f>
        <v>0.1676</v>
      </c>
      <c r="AQ17" s="215">
        <f>IF(AND(ISNUMBER(AQ13),ISNUMBER(AQ14)),(1+AQ13)*(1+AQ14)-1,"")</f>
        <v>0.106</v>
      </c>
      <c r="AR17" s="215">
        <f>IF(AND(ISNUMBER(AR13),ISNUMBER(AR14)),(1+AR13)*(1+AR14)-1,"")</f>
        <v>0.2285</v>
      </c>
      <c r="AS17" s="215">
        <f>IF(AND(ISNUMBER(AS13),ISNUMBER(AS14)),(1+AS13)*(1+AS14)-1,"")</f>
      </c>
      <c r="AT17" s="215">
        <f>IF(AND(ISNUMBER(AT13),ISNUMBER(AT14)),(1+AT13)*(1+AT14)-1,"")</f>
        <v>0.206</v>
      </c>
      <c r="AU17" s="215">
        <f>IF(AND(ISNUMBER(AU13),ISNUMBER(AU14)),(1+AU13)*(1+AU14)-1,"")</f>
        <v>0.456</v>
      </c>
      <c r="AV17" s="215">
        <f>IF(AND(ISNUMBER(AV13),ISNUMBER(AV14)),(1+AV13)*(1+AV14)-1,"")</f>
        <v>0.5582</v>
      </c>
      <c r="AW17" s="215">
        <f>IF(AND(ISNUMBER(AW13),ISNUMBER(AW14)),(1+AW13)*(1+AW14)-1,"")</f>
        <v>0.3298</v>
      </c>
      <c r="AX17" s="215">
        <f>IF(AND(ISNUMBER(AX13),ISNUMBER(AX14)),(1+AX13)*(1+AX14)-1,"")</f>
        <v>0.1978</v>
      </c>
      <c r="AY17" s="215">
        <f>IF(AND(ISNUMBER(AY13),ISNUMBER(AY14)),(1+AY13)*(1+AY14)-1,"")</f>
        <v>0.364</v>
      </c>
      <c r="AZ17" s="215">
        <f>IF(AND(ISNUMBER(AZ13),ISNUMBER(AZ14)),(1+AZ13)*(1+AZ14)-1,"")</f>
        <v>0.0580000000000001</v>
      </c>
      <c r="BA17" s="215">
        <f>IF(AND(ISNUMBER(BA13),ISNUMBER(BA14)),(1+BA13)*(1+BA14)-1,"")</f>
        <v>-0.0110000000000001</v>
      </c>
      <c r="BB17" s="215">
        <f>IF(AND(ISNUMBER(BB13),ISNUMBER(BB14)),(1+BB13)*(1+BB14)-1,"")</f>
        <v>-0.0406</v>
      </c>
      <c r="BC17" s="215">
        <f>IF(AND(ISNUMBER(BC13),ISNUMBER(BC14)),(1+BC13)*(1+BC14)-1,"")</f>
        <v>-0.0406</v>
      </c>
      <c r="BD17" s="215">
        <f>IF(AND(ISNUMBER(BD13),ISNUMBER(BD14)),(1+BD13)*(1+BD14)-1,"")</f>
        <v>-0.00880000000000014</v>
      </c>
      <c r="BE17" s="215">
        <f>IF(AND(ISNUMBER(BE13),ISNUMBER(BE14)),(1+BE13)*(1+BE14)-1,"")</f>
        <v>0.0458000000000001</v>
      </c>
      <c r="BF17" s="215">
        <f>IF(AND(ISNUMBER(BF13),ISNUMBER(BF14)),(1+BF13)*(1+BF14)-1,"")</f>
        <v>0.1256</v>
      </c>
      <c r="BG17" s="215">
        <f>IF(AND(ISNUMBER(BG13),ISNUMBER(BG14)),(1+BG13)*(1+BG14)-1,"")</f>
        <v>0.2314</v>
      </c>
      <c r="BH17" s="215">
        <f>IF(AND(ISNUMBER(BH13),ISNUMBER(BH14)),(1+BH13)*(1+BH14)-1,"")</f>
        <v>0.2342</v>
      </c>
      <c r="BI17" s="215">
        <f>IF(AND(ISNUMBER(BI13),ISNUMBER(BI14)),(1+BI13)*(1+BI14)-1,"")</f>
        <v>0.1648</v>
      </c>
      <c r="BJ17" s="215">
        <f>IF(AND(ISNUMBER(BJ13),ISNUMBER(BJ14)),(1+BJ13)*(1+BJ14)-1,"")</f>
        <v>0.272</v>
      </c>
      <c r="BK17" s="215">
        <f>IF(AND(ISNUMBER(BK13),ISNUMBER(BK14)),(1+BK13)*(1+BK14)-1,"")</f>
        <v>0.21</v>
      </c>
      <c r="BL17" s="215">
        <f>IF(AND(ISNUMBER(BL13),ISNUMBER(BL14)),(1+BL13)*(1+BL14)-1,"")</f>
        <v>0.1877</v>
      </c>
      <c r="BM17" s="215">
        <f>IF(AND(ISNUMBER(BM13),ISNUMBER(BM14)),(1+BM13)*(1+BM14)-1,"")</f>
        <v>0.2084</v>
      </c>
      <c r="BN17" s="215">
        <f>IF(AND(ISNUMBER(BN13),ISNUMBER(BN14)),(1+BN13)*(1+BN14)-1,"")</f>
        <v>0.221</v>
      </c>
      <c r="BO17" s="215">
        <f>IF(AND(ISNUMBER(BO13),ISNUMBER(BO14)),(1+BO13)*(1+BO14)-1,"")</f>
        <v>0.155</v>
      </c>
      <c r="BP17" s="215">
        <f>IF(AND(ISNUMBER(BP13),ISNUMBER(BP14)),(1+BP13)*(1+BP14)-1,"")</f>
        <v>0.2099</v>
      </c>
      <c r="BQ17" s="215">
        <f>IF(AND(ISNUMBER(BQ13),ISNUMBER(BQ14)),(1+BQ13)*(1+BQ14)-1,"")</f>
        <v>0.254</v>
      </c>
      <c r="BR17" s="215">
        <f>IF(AND(ISNUMBER(BR13),ISNUMBER(BR14)),(1+BR13)*(1+BR14)-1,"")</f>
        <v>0.2508</v>
      </c>
      <c r="BS17" s="215">
        <f>IF(AND(ISNUMBER(BS13),ISNUMBER(BS14)),(1+BS13)*(1+BS14)-1,"")</f>
        <v>0.2208</v>
      </c>
      <c r="BT17" s="215">
        <f>IF(AND(ISNUMBER(BT13),ISNUMBER(BT14)),(1+BT13)*(1+BT14)-1,"")</f>
        <v>0.3328</v>
      </c>
      <c r="BU17" s="215">
        <f>IF(AND(ISNUMBER(BU13),ISNUMBER(BU14)),(1+BU13)*(1+BU14)-1,"")</f>
        <v>0.2768</v>
      </c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153" t="n"/>
      <c r="CL17" s="25" t="inlineStr">
        <is>
          <t xml:space="preserve">  Q3/Q4-26E D&amp;A growth q/q</t>
        </is>
      </c>
      <c r="CN17" s="260" t="n">
        <v>0.07000000000000001</v>
      </c>
      <c r="CP17" s="13" t="inlineStr">
        <is>
          <t>Q4/25 → Q1/26 +10.9%, Q1 → Q2/26 +6.0% (servers and data centers placed in service). Assumption.</t>
        </is>
      </c>
    </row>
    <row r="18" ht="15" customHeight="1" s="251">
      <c r="B18" s="156" t="inlineStr">
        <is>
          <t xml:space="preserve">  Memo: reported advertising growth − implied (rounding of the published whole-% figures; not a check)</t>
        </is>
      </c>
      <c r="C18" s="44" t="n"/>
      <c r="D18" s="215">
        <f>IF(AND(ISNUMBER(D17),ISNUMBER(D12)),D12-D17,"")</f>
      </c>
      <c r="E18" s="215">
        <f>IF(AND(ISNUMBER(E17),ISNUMBER(E12)),E12-E17,"")</f>
      </c>
      <c r="F18" s="215">
        <f>IF(AND(ISNUMBER(F17),ISNUMBER(F12)),F12-F17,"")</f>
      </c>
      <c r="G18" s="44" t="n"/>
      <c r="H18" s="44" t="n"/>
      <c r="I18" s="44" t="n"/>
      <c r="J18" s="44" t="n"/>
      <c r="K18" s="215">
        <f>IF(AND(ISNUMBER(K17),ISNUMBER(K12)),K12-K17,"")</f>
      </c>
      <c r="L18" s="215">
        <f>IF(AND(ISNUMBER(L17),ISNUMBER(L12)),L12-L17,"")</f>
        <v>0.00987710843373524</v>
      </c>
      <c r="M18" s="215">
        <f>IF(AND(ISNUMBER(M17),ISNUMBER(M12)),M12-M17,"")</f>
        <v>0.00104596622889308</v>
      </c>
      <c r="N18" s="215">
        <f>IF(AND(ISNUMBER(N17),ISNUMBER(N12)),N12-N17,"")</f>
        <v>-0.00099488320355956</v>
      </c>
      <c r="O18" s="215">
        <f>IF(AND(ISNUMBER(O17),ISNUMBER(O12)),O12-O17,"")</f>
      </c>
      <c r="P18" s="215">
        <f>IF(AND(ISNUMBER(P17),ISNUMBER(P12)),P12-P17,"")</f>
        <v>0.00700429430289162</v>
      </c>
      <c r="Q18" s="215">
        <f>IF(AND(ISNUMBER(Q17),ISNUMBER(Q12)),Q12-Q17,"")</f>
        <v>0.0014591611479029</v>
      </c>
      <c r="R18" s="215">
        <f>IF(AND(ISNUMBER(R17),ISNUMBER(R12)),R12-R17,"")</f>
        <v>-0.00988041853512711</v>
      </c>
      <c r="S18" s="215">
        <f>IF(AND(ISNUMBER(S17),ISNUMBER(S12)),S12-S17,"")</f>
        <v>0.00483834967872854</v>
      </c>
      <c r="T18" s="215">
        <f>IF(AND(ISNUMBER(T17),ISNUMBER(T12)),T12-T17,"")</f>
      </c>
      <c r="U18" s="215">
        <f>IF(AND(ISNUMBER(U17),ISNUMBER(U12)),U12-U17,"")</f>
        <v>-0.0018357117995127</v>
      </c>
      <c r="V18" s="215">
        <f>IF(AND(ISNUMBER(V17),ISNUMBER(V12)),V12-V17,"")</f>
        <v>-0.0070168827253545</v>
      </c>
      <c r="W18" s="215">
        <f>IF(AND(ISNUMBER(W17),ISNUMBER(W12)),W12-W17,"")</f>
        <v>0.00615868826757238</v>
      </c>
      <c r="X18" s="215">
        <f>IF(AND(ISNUMBER(X17),ISNUMBER(X12)),X12-X17,"")</f>
        <v>-0.00451500348918366</v>
      </c>
      <c r="Y18" s="215">
        <f>IF(AND(ISNUMBER(Y17),ISNUMBER(Y12)),Y12-Y17,"")</f>
      </c>
      <c r="Z18" s="215">
        <f>IF(AND(ISNUMBER(Z17),ISNUMBER(Z12)),Z12-Z17,"")</f>
        <v>-0.000844604485040312</v>
      </c>
      <c r="AA18" s="215">
        <f>IF(AND(ISNUMBER(AA17),ISNUMBER(AA12)),AA12-AA17,"")</f>
        <v>0.00587102480292234</v>
      </c>
      <c r="AB18" s="215">
        <f>IF(AND(ISNUMBER(AB17),ISNUMBER(AB12)),AB12-AB17,"")</f>
        <v>-0.00677486776727032</v>
      </c>
      <c r="AC18" s="215">
        <f>IF(AND(ISNUMBER(AC17),ISNUMBER(AC12)),AC12-AC17,"")</f>
        <v>0.00296948356807469</v>
      </c>
      <c r="AD18" s="215">
        <f>IF(AND(ISNUMBER(AD17),ISNUMBER(AD12)),AD12-AD17,"")</f>
      </c>
      <c r="AE18" s="215">
        <f>IF(AND(ISNUMBER(AE17),ISNUMBER(AE12)),AE12-AE17,"")</f>
        <v>0.00216114933978062</v>
      </c>
      <c r="AF18" s="215">
        <f>IF(AND(ISNUMBER(AF17),ISNUMBER(AF12)),AF12-AF17,"")</f>
        <v>9.11289296134932e-06</v>
      </c>
      <c r="AG18" s="215">
        <f>IF(AND(ISNUMBER(AG17),ISNUMBER(AG12)),AG12-AG17,"")</f>
        <v>0.00704116106503716</v>
      </c>
      <c r="AH18" s="215">
        <f>IF(AND(ISNUMBER(AH17),ISNUMBER(AH12)),AH12-AH17,"")</f>
        <v>-0.00255620193255779</v>
      </c>
      <c r="AI18" s="215">
        <f>IF(AND(ISNUMBER(AI17),ISNUMBER(AI12)),AI12-AI17,"")</f>
      </c>
      <c r="AJ18" s="215">
        <f>IF(AND(ISNUMBER(AJ17),ISNUMBER(AJ12)),AJ12-AJ17,"")</f>
        <v>-0.00127788293024866</v>
      </c>
      <c r="AK18" s="215">
        <f>IF(AND(ISNUMBER(AK17),ISNUMBER(AK12)),AK12-AK17,"")</f>
        <v>-0.00293548113607467</v>
      </c>
      <c r="AL18" s="215">
        <f>IF(AND(ISNUMBER(AL17),ISNUMBER(AL12)),AL12-AL17,"")</f>
        <v>-0.00175781561589194</v>
      </c>
      <c r="AM18" s="215">
        <f>IF(AND(ISNUMBER(AM17),ISNUMBER(AM12)),AM12-AM17,"")</f>
        <v>-0.0038794741118251</v>
      </c>
      <c r="AN18" s="215">
        <f>IF(AND(ISNUMBER(AN17),ISNUMBER(AN12)),AN12-AN17,"")</f>
      </c>
      <c r="AO18" s="215">
        <f>IF(AND(ISNUMBER(AO17),ISNUMBER(AO12)),AO12-AO17,"")</f>
        <v>0.00265527239016228</v>
      </c>
      <c r="AP18" s="215">
        <f>IF(AND(ISNUMBER(AP17),ISNUMBER(AP12)),AP12-AP17,"")</f>
        <v>0.00192789699570817</v>
      </c>
      <c r="AQ18" s="215">
        <f>IF(AND(ISNUMBER(AQ17),ISNUMBER(AQ12)),AQ12-AQ17,"")</f>
        <v>-0.00391867179980743</v>
      </c>
      <c r="AR18" s="215">
        <f>IF(AND(ISNUMBER(AR17),ISNUMBER(AR12)),AR12-AR17,"")</f>
        <v>-0.00770957257090266</v>
      </c>
      <c r="AS18" s="215">
        <f>IF(AND(ISNUMBER(AS17),ISNUMBER(AS12)),AS12-AS17,"")</f>
      </c>
      <c r="AT18" s="215">
        <f>IF(AND(ISNUMBER(AT17),ISNUMBER(AT12)),AT12-AT17,"")</f>
        <v>0.00236982269758079</v>
      </c>
      <c r="AU18" s="215">
        <f>IF(AND(ISNUMBER(AU17),ISNUMBER(AU12)),AU12-AU17,"")</f>
        <v>0.00265825688073384</v>
      </c>
      <c r="AV18" s="215">
        <f>IF(AND(ISNUMBER(AV17),ISNUMBER(AV12)),AV12-AV17,"")</f>
        <v>0.00175851754816869</v>
      </c>
      <c r="AW18" s="215">
        <f>IF(AND(ISNUMBER(AW17),ISNUMBER(AW12)),AW12-AW17,"")</f>
        <v>0.00265370152207711</v>
      </c>
      <c r="AX18" s="215">
        <f>IF(AND(ISNUMBER(AX17),ISNUMBER(AX12)),AX12-AX17,"")</f>
        <v>0.00273702137050802</v>
      </c>
      <c r="AY18" s="215">
        <f>IF(AND(ISNUMBER(AY17),ISNUMBER(AY12)),AY12-AY17,"")</f>
        <v>0.00151461939668995</v>
      </c>
      <c r="AZ18" s="215">
        <f>IF(AND(ISNUMBER(AZ17),ISNUMBER(AZ12)),AZ12-AZ17,"")</f>
        <v>0.00328385549746457</v>
      </c>
      <c r="BA18" s="215">
        <f>IF(AND(ISNUMBER(BA17),ISNUMBER(BA12)),BA12-BA17,"")</f>
        <v>-0.0039755073477955</v>
      </c>
      <c r="BB18" s="215">
        <f>IF(AND(ISNUMBER(BB17),ISNUMBER(BB12)),BB12-BB17,"")</f>
        <v>0.00385505729240343</v>
      </c>
      <c r="BC18" s="215">
        <f>IF(AND(ISNUMBER(BC17),ISNUMBER(BC12)),BC12-BC17,"")</f>
        <v>-0.00183389809736823</v>
      </c>
      <c r="BD18" s="215">
        <f>IF(AND(ISNUMBER(BD17),ISNUMBER(BD12)),BD12-BD17,"")</f>
        <v>-0.00244123409957009</v>
      </c>
      <c r="BE18" s="215">
        <f>IF(AND(ISNUMBER(BE17),ISNUMBER(BE12)),BE12-BE17,"")</f>
        <v>-0.0049451218608787</v>
      </c>
      <c r="BF18" s="215">
        <f>IF(AND(ISNUMBER(BF17),ISNUMBER(BF12)),BF12-BF17,"")</f>
        <v>-0.00674521170787146</v>
      </c>
      <c r="BG18" s="215">
        <f>IF(AND(ISNUMBER(BG17),ISNUMBER(BG12)),BG12-BG17,"")</f>
        <v>0.00379477181774779</v>
      </c>
      <c r="BH18" s="215">
        <f>IF(AND(ISNUMBER(BH17),ISNUMBER(BH12)),BH12-BH17,"")</f>
        <v>0.00423348051449413</v>
      </c>
      <c r="BI18" s="215">
        <f>IF(AND(ISNUMBER(BI17),ISNUMBER(BI12)),BI12-BI17,"")</f>
        <v>-0.00371518980658569</v>
      </c>
      <c r="BJ18" s="215">
        <f>IF(AND(ISNUMBER(BJ17),ISNUMBER(BJ12)),BJ12-BJ17,"")</f>
        <v>-0.00389566207608283</v>
      </c>
      <c r="BK18" s="215">
        <f>IF(AND(ISNUMBER(BK17),ISNUMBER(BK12)),BK12-BK17,"")</f>
        <v>0.00687091243888482</v>
      </c>
      <c r="BL18" s="215">
        <f>IF(AND(ISNUMBER(BL17),ISNUMBER(BL12)),BL12-BL17,"")</f>
        <v>-0.00216363285081611</v>
      </c>
      <c r="BM18" s="215">
        <f>IF(AND(ISNUMBER(BM17),ISNUMBER(BM12)),BM12-BM17,"")</f>
        <v>0.000275657520797612</v>
      </c>
      <c r="BN18" s="215">
        <f>IF(AND(ISNUMBER(BN17),ISNUMBER(BN12)),BN12-BN17,"")</f>
        <v>-0.00360375299360394</v>
      </c>
      <c r="BO18" s="215">
        <f>IF(AND(ISNUMBER(BO17),ISNUMBER(BO12)),BO12-BO17,"")</f>
        <v>0.00655465132594335</v>
      </c>
      <c r="BP18" s="215">
        <f>IF(AND(ISNUMBER(BP17),ISNUMBER(BP12)),BP12-BP17,"")</f>
        <v>0.00492428448433291</v>
      </c>
      <c r="BQ18" s="215">
        <f>IF(AND(ISNUMBER(BQ17),ISNUMBER(BQ12)),BQ12-BQ17,"")</f>
        <v>0.00166002256487374</v>
      </c>
      <c r="BR18" s="215">
        <f>IF(AND(ISNUMBER(BR17),ISNUMBER(BR12)),BR12-BR17,"")</f>
        <v>-0.0081050039544277</v>
      </c>
      <c r="BS18" s="215">
        <f>IF(AND(ISNUMBER(BS17),ISNUMBER(BS12)),BS12-BS17,"")</f>
        <v>0.000462131691495449</v>
      </c>
      <c r="BT18" s="215">
        <f>IF(AND(ISNUMBER(BT17),ISNUMBER(BT12)),BT12-BT17,"")</f>
        <v>-0.00346099729416305</v>
      </c>
      <c r="BU18" s="215">
        <f>IF(AND(ISNUMBER(BU17),ISNUMBER(BU12)),BU12-BU17,"")</f>
        <v>-0.00190362304834335</v>
      </c>
      <c r="BV18" s="35" t="n"/>
      <c r="BW18" s="35" t="n"/>
      <c r="BX18" s="35" t="n"/>
      <c r="BY18" s="35" t="n"/>
      <c r="BZ18" s="35" t="n"/>
      <c r="CA18" s="35" t="n"/>
      <c r="CB18" s="35" t="n"/>
      <c r="CC18" s="35" t="n"/>
      <c r="CD18" s="153" t="n"/>
      <c r="CL18" s="25" t="inlineStr">
        <is>
          <t xml:space="preserve">  Q3/Q4-26E share-based compensation ($m)</t>
        </is>
      </c>
      <c r="CN18" s="257" t="n">
        <v>7658</v>
      </c>
      <c r="CP18" s="13" t="inlineStr">
        <is>
          <t>Q2/26 level held ($7,658m; Q1/26 $6,032m).</t>
        </is>
      </c>
    </row>
    <row r="19" ht="15" customHeight="1" s="251">
      <c r="B19" s="156" t="inlineStr">
        <is>
          <t xml:space="preserve">  Memo: advertising revenue excluding foreign-exchange effect (company non-GAAP)</t>
        </is>
      </c>
      <c r="C19" s="34" t="n"/>
      <c r="D19" s="34" t="n"/>
      <c r="E19" s="34" t="n"/>
      <c r="F19" s="261" t="n">
        <v>4402</v>
      </c>
      <c r="G19" s="34" t="n"/>
      <c r="H19" s="261" t="n">
        <v>1612</v>
      </c>
      <c r="I19" s="261" t="n">
        <v>1801</v>
      </c>
      <c r="J19" s="261" t="n">
        <v>2346</v>
      </c>
      <c r="K19" s="261" t="n">
        <v>7008</v>
      </c>
      <c r="L19" s="34" t="n"/>
      <c r="M19" s="261" t="n">
        <v>2646</v>
      </c>
      <c r="N19" s="261" t="n">
        <v>2936</v>
      </c>
      <c r="O19" s="261" t="n">
        <v>3697</v>
      </c>
      <c r="P19" s="261" t="n">
        <v>11553</v>
      </c>
      <c r="Q19" s="261" t="n">
        <v>3505</v>
      </c>
      <c r="R19" s="261" t="n">
        <v>4159</v>
      </c>
      <c r="S19" s="261" t="n">
        <v>4641</v>
      </c>
      <c r="T19" s="261" t="n">
        <v>5959</v>
      </c>
      <c r="U19" s="261" t="n">
        <v>18264</v>
      </c>
      <c r="V19" s="261" t="n">
        <v>5403</v>
      </c>
      <c r="W19" s="261" t="n">
        <v>6240</v>
      </c>
      <c r="X19" s="261" t="n">
        <v>6847</v>
      </c>
      <c r="Y19" s="261" t="n">
        <v>8664</v>
      </c>
      <c r="Z19" s="261" t="n">
        <v>27154</v>
      </c>
      <c r="AA19" s="261" t="n">
        <v>7879</v>
      </c>
      <c r="AB19" s="261" t="n">
        <v>9305</v>
      </c>
      <c r="AC19" s="261" t="n">
        <v>10014</v>
      </c>
      <c r="AD19" s="261" t="n">
        <v>12452</v>
      </c>
      <c r="AE19" s="261" t="n">
        <v>39650</v>
      </c>
      <c r="AF19" s="261" t="n">
        <v>11260</v>
      </c>
      <c r="AG19" s="261" t="n">
        <v>12667</v>
      </c>
      <c r="AH19" s="261" t="n">
        <v>13698</v>
      </c>
      <c r="AI19" s="261" t="n">
        <v>16987</v>
      </c>
      <c r="AJ19" s="261" t="n">
        <v>54612</v>
      </c>
      <c r="AK19" s="261" t="n">
        <v>15415</v>
      </c>
      <c r="AL19" s="261" t="n">
        <v>17196</v>
      </c>
      <c r="AM19" s="261" t="n">
        <v>17678</v>
      </c>
      <c r="AN19" s="261" t="n">
        <v>21030</v>
      </c>
      <c r="AO19" s="261" t="n">
        <v>71319</v>
      </c>
      <c r="AP19" s="261" t="n">
        <v>17714</v>
      </c>
      <c r="AQ19" s="261" t="n">
        <v>18616</v>
      </c>
      <c r="AR19" s="261" t="n">
        <v>21112</v>
      </c>
      <c r="AS19" s="261" t="n">
        <v>26855</v>
      </c>
      <c r="AT19" s="261" t="n">
        <v>84298</v>
      </c>
      <c r="AU19" s="261" t="n">
        <v>24744</v>
      </c>
      <c r="AV19" s="261" t="n">
        <v>27605</v>
      </c>
      <c r="AW19" s="261" t="n">
        <v>28020</v>
      </c>
      <c r="AX19" s="261" t="n">
        <v>32945</v>
      </c>
      <c r="AY19" s="261" t="n">
        <v>113314</v>
      </c>
      <c r="AZ19" s="261" t="n">
        <v>27886</v>
      </c>
      <c r="BA19" s="261" t="n">
        <v>29407</v>
      </c>
      <c r="BB19" s="261" t="n">
        <v>29013</v>
      </c>
      <c r="BC19" s="261" t="n">
        <v>33231</v>
      </c>
      <c r="BD19" s="261" t="n">
        <v>119538</v>
      </c>
      <c r="BE19" s="261" t="n">
        <v>28907</v>
      </c>
      <c r="BF19" s="261" t="n">
        <v>31767</v>
      </c>
      <c r="BG19" s="261" t="n">
        <v>32998</v>
      </c>
      <c r="BH19" s="261" t="n">
        <v>37897</v>
      </c>
      <c r="BI19" s="261" t="n">
        <v>131569</v>
      </c>
      <c r="BJ19" s="261" t="n">
        <v>35530</v>
      </c>
      <c r="BK19" s="261" t="n">
        <v>38696</v>
      </c>
      <c r="BL19" s="261" t="n">
        <v>40423</v>
      </c>
      <c r="BM19" s="261" t="n">
        <v>46864</v>
      </c>
      <c r="BN19" s="261" t="n">
        <v>161513</v>
      </c>
      <c r="BO19" s="261" t="n">
        <v>42616</v>
      </c>
      <c r="BP19" s="261" t="n">
        <v>46643</v>
      </c>
      <c r="BQ19" s="261" t="n">
        <v>49673</v>
      </c>
      <c r="BR19" s="261" t="n">
        <v>57664</v>
      </c>
      <c r="BS19" s="261" t="n">
        <v>196595</v>
      </c>
      <c r="BT19" s="261" t="n">
        <v>53290</v>
      </c>
      <c r="BU19" s="261" t="n">
        <v>58670</v>
      </c>
      <c r="BV19" s="153" t="n"/>
      <c r="BW19" s="153" t="n"/>
      <c r="BX19" s="153" t="n"/>
      <c r="BY19" s="153" t="n"/>
      <c r="BZ19" s="153" t="n"/>
      <c r="CA19" s="153" t="n"/>
      <c r="CB19" s="153" t="n"/>
      <c r="CC19" s="153" t="n"/>
      <c r="CD19" s="153" t="n"/>
      <c r="CL19" s="25" t="inlineStr">
        <is>
          <t xml:space="preserve">  Q3/Q4-26E tax rate</t>
        </is>
      </c>
      <c r="CN19" s="260" t="n">
        <v>0.16</v>
      </c>
      <c r="CP19" s="13" t="inlineStr">
        <is>
          <t>Guided 15–17% for the remaining quarters of 2026 (mid-point).</t>
        </is>
      </c>
    </row>
    <row r="20" ht="15" customHeight="1" s="251">
      <c r="B20" s="22" t="inlineStr">
        <is>
          <t xml:space="preserve">  Advertising growth at constant currency %</t>
        </is>
      </c>
      <c r="C20" s="23" t="n"/>
      <c r="D20" s="255">
        <f>IF(AND(ISNUMBER(D19),ISNUMBER(C11)),IFERROR(D19/C11-1,""),"")</f>
      </c>
      <c r="E20" s="255">
        <f>IF(AND(ISNUMBER(E19),ISNUMBER(D11)),IFERROR(E19/D11-1,""),"")</f>
      </c>
      <c r="F20" s="255">
        <f>IF(AND(ISNUMBER(F19),ISNUMBER(E11)),IFERROR(F19/E11-1,""),"")</f>
        <v>0.39568801521877</v>
      </c>
      <c r="G20" s="23" t="n"/>
      <c r="H20" s="23" t="n"/>
      <c r="I20" s="23" t="n"/>
      <c r="J20" s="23" t="n"/>
      <c r="K20" s="255">
        <f>IF(AND(ISNUMBER(K19),ISNUMBER(F11)),IFERROR(K19/F11-1,""),"")</f>
        <v>0.637765833138584</v>
      </c>
      <c r="L20" s="255">
        <f>IF(AND(ISNUMBER(L19),ISNUMBER(G11)),IFERROR(L19/G11-1,""),"")</f>
      </c>
      <c r="M20" s="255">
        <f>IF(AND(ISNUMBER(M19),ISNUMBER(H11)),IFERROR(M19/H11-1,""),"")</f>
        <v>0.654784240150094</v>
      </c>
      <c r="N20" s="255">
        <f>IF(AND(ISNUMBER(N19),ISNUMBER(I11)),IFERROR(N19/I11-1,""),"")</f>
        <v>0.632925472747497</v>
      </c>
      <c r="O20" s="255">
        <f>IF(AND(ISNUMBER(O19),ISNUMBER(J11)),IFERROR(O19/J11-1,""),"")</f>
        <v>0.57721843003413</v>
      </c>
      <c r="P20" s="255">
        <f>IF(AND(ISNUMBER(P19),ISNUMBER(K11)),IFERROR(P19/K11-1,""),"")</f>
        <v>0.653736043515603</v>
      </c>
      <c r="Q20" s="255">
        <f>IF(AND(ISNUMBER(Q19),ISNUMBER(L11)),IFERROR(Q19/L11-1,""),"")</f>
        <v>0.547461368653422</v>
      </c>
      <c r="R20" s="255">
        <f>IF(AND(ISNUMBER(R19),ISNUMBER(M11)),IFERROR(R19/M11-1,""),"")</f>
        <v>0.554185351270553</v>
      </c>
      <c r="S20" s="255">
        <f>IF(AND(ISNUMBER(S19),ISNUMBER(N11)),IFERROR(S19/N11-1,""),"")</f>
        <v>0.569496110923233</v>
      </c>
      <c r="T20" s="255">
        <f>IF(AND(ISNUMBER(T19),ISNUMBER(O11)),IFERROR(T19/O11-1,""),"")</f>
        <v>0.658041179744018</v>
      </c>
      <c r="U20" s="255">
        <f>IF(AND(ISNUMBER(U19),ISNUMBER(P11)),IFERROR(U19/P11-1,""),"")</f>
        <v>0.589279498781761</v>
      </c>
      <c r="V20" s="255">
        <f>IF(AND(ISNUMBER(V19),ISNUMBER(Q11)),IFERROR(V19/Q11-1,""),"")</f>
        <v>0.628881519445282</v>
      </c>
      <c r="W20" s="255">
        <f>IF(AND(ISNUMBER(W19),ISNUMBER(R11)),IFERROR(W19/R11-1,""),"")</f>
        <v>0.630519989547949</v>
      </c>
      <c r="X20" s="255">
        <f>IF(AND(ISNUMBER(X19),ISNUMBER(S11)),IFERROR(X19/S11-1,""),"")</f>
        <v>0.592695975808327</v>
      </c>
      <c r="Y20" s="255">
        <f>IF(AND(ISNUMBER(Y19),ISNUMBER(T11)),IFERROR(Y19/T11-1,""),"")</f>
        <v>0.536987759446514</v>
      </c>
      <c r="Z20" s="255">
        <f>IF(AND(ISNUMBER(Z19),ISNUMBER(U11)),IFERROR(Z19/U11-1,""),"")</f>
        <v>0.589905732185725</v>
      </c>
      <c r="AA20" s="255">
        <f>IF(AND(ISNUMBER(AA19),ISNUMBER(V11)),IFERROR(AA19/V11-1,""),"")</f>
        <v>0.514900980580658</v>
      </c>
      <c r="AB20" s="255">
        <f>IF(AND(ISNUMBER(AB19),ISNUMBER(W11)),IFERROR(AB19/W11-1,""),"")</f>
        <v>0.491424907837795</v>
      </c>
      <c r="AC20" s="255">
        <f>IF(AND(ISNUMBER(AC19),ISNUMBER(X11)),IFERROR(AC19/X11-1,""),"")</f>
        <v>0.469190140845071</v>
      </c>
      <c r="AD20" s="255">
        <f>IF(AND(ISNUMBER(AD19),ISNUMBER(Y11)),IFERROR(AD19/Y11-1,""),"")</f>
        <v>0.443040908564144</v>
      </c>
      <c r="AE20" s="255">
        <f>IF(AND(ISNUMBER(AE19),ISNUMBER(Z11)),IFERROR(AE19/Z11-1,""),"")</f>
        <v>0.474800074390924</v>
      </c>
      <c r="AF20" s="255">
        <f>IF(AND(ISNUMBER(AF19),ISNUMBER(AA11)),IFERROR(AF19/AA11-1,""),"")</f>
        <v>0.433116965763014</v>
      </c>
      <c r="AG20" s="255">
        <f>IF(AND(ISNUMBER(AG19),ISNUMBER(AB11)),IFERROR(AG19/AB11-1,""),"")</f>
        <v>0.382256656481886</v>
      </c>
      <c r="AH20" s="255">
        <f>IF(AND(ISNUMBER(AH19),ISNUMBER(AC11)),IFERROR(AH19/AC11-1,""),"")</f>
        <v>0.350621179254585</v>
      </c>
      <c r="AI20" s="255">
        <f>IF(AND(ISNUMBER(AI19),ISNUMBER(AD11)),IFERROR(AI19/AD11-1,""),"")</f>
        <v>0.329290241802958</v>
      </c>
      <c r="AJ20" s="255">
        <f>IF(AND(ISNUMBER(AJ19),ISNUMBER(AE11)),IFERROR(AJ19/AE11-1,""),"")</f>
        <v>0.367282559711582</v>
      </c>
      <c r="AK20" s="255">
        <f>IF(AND(ISNUMBER(AK19),ISNUMBER(AF11)),IFERROR(AK19/AF11-1,""),"")</f>
        <v>0.306909707503179</v>
      </c>
      <c r="AL20" s="255">
        <f>IF(AND(ISNUMBER(AL19),ISNUMBER(AG11)),IFERROR(AL19/AG11-1,""),"")</f>
        <v>0.31891394385642</v>
      </c>
      <c r="AM20" s="255">
        <f>IF(AND(ISNUMBER(AM19),ISNUMBER(AH11)),IFERROR(AM19/AH11-1,""),"")</f>
        <v>0.305709432011227</v>
      </c>
      <c r="AN20" s="255">
        <f>IF(AND(ISNUMBER(AN19),ISNUMBER(AI11)),IFERROR(AN19/AI11-1,""),"")</f>
        <v>0.263822115384615</v>
      </c>
      <c r="AO20" s="255">
        <f>IF(AND(ISNUMBER(AO19),ISNUMBER(AJ11)),IFERROR(AO19/AJ11-1,""),"")</f>
        <v>0.296402668460182</v>
      </c>
      <c r="AP20" s="255">
        <f>IF(AND(ISNUMBER(AP19),ISNUMBER(AK11)),IFERROR(AP19/AK11-1,""),"")</f>
        <v>0.187902360515021</v>
      </c>
      <c r="AQ20" s="255">
        <f>IF(AND(ISNUMBER(AQ19),ISNUMBER(AL11)),IFERROR(AQ19/AL11-1,""),"")</f>
        <v>0.119826756496631</v>
      </c>
      <c r="AR20" s="255">
        <f>IF(AND(ISNUMBER(AR19),ISNUMBER(AM11)),IFERROR(AR19/AM11-1,""),"")</f>
        <v>0.214519933268136</v>
      </c>
      <c r="AS20" s="255">
        <f>IF(AND(ISNUMBER(AS19),ISNUMBER(AN11)),IFERROR(AS19/AN11-1,""),"")</f>
        <v>0.295090663580247</v>
      </c>
      <c r="AT20" s="255">
        <f>IF(AND(ISNUMBER(AT19),ISNUMBER(AO11)),IFERROR(AT19/AO11-1,""),"")</f>
        <v>0.210221807479722</v>
      </c>
      <c r="AU20" s="255">
        <f>IF(AND(ISNUMBER(AU19),ISNUMBER(AP11)),IFERROR(AU19/AP11-1,""),"")</f>
        <v>0.418807339449541</v>
      </c>
      <c r="AV20" s="255">
        <f>IF(AND(ISNUMBER(AV19),ISNUMBER(AQ11)),IFERROR(AV19/AQ11-1,""),"")</f>
        <v>0.506740898422575</v>
      </c>
      <c r="AW20" s="255">
        <f>IF(AND(ISNUMBER(AW19),ISNUMBER(AR11)),IFERROR(AW19/AR11-1,""),"")</f>
        <v>0.320390179539136</v>
      </c>
      <c r="AX20" s="255">
        <f>IF(AND(ISNUMBER(AX19),ISNUMBER(AS11)),IFERROR(AX19/AS11-1,""),"")</f>
        <v>0.211792400779784</v>
      </c>
      <c r="AY20" s="255">
        <f>IF(AND(ISNUMBER(AY19),ISNUMBER(AT11)),IFERROR(AY19/AT11-1,""),"")</f>
        <v>0.346267628224168</v>
      </c>
      <c r="AZ20" s="255">
        <f>IF(AND(ISNUMBER(AZ19),ISNUMBER(AU11)),IFERROR(AZ19/AU11-1,""),"")</f>
        <v>0.096190888006604</v>
      </c>
      <c r="BA20" s="255">
        <f>IF(AND(ISNUMBER(BA19),ISNUMBER(AV11)),IFERROR(BA19/AV11-1,""),"")</f>
        <v>0.0289363191042686</v>
      </c>
      <c r="BB20" s="255">
        <f>IF(AND(ISNUMBER(BB19),ISNUMBER(AW11)),IFERROR(BB19/AW11-1,""),"")</f>
        <v>0.0260645070024048</v>
      </c>
      <c r="BC20" s="255">
        <f>IF(AND(ISNUMBER(BC19),ISNUMBER(AX11)),IFERROR(BC19/AX11-1,""),"")</f>
        <v>0.0181378105946874</v>
      </c>
      <c r="BD20" s="255">
        <f>IF(AND(ISNUMBER(BD19),ISNUMBER(AY11)),IFERROR(BD19/AY11-1,""),"")</f>
        <v>0.0400577722867037</v>
      </c>
      <c r="BE20" s="255">
        <f>IF(AND(ISNUMBER(BE19),ISNUMBER(AZ11)),IFERROR(BE19/AZ11-1,""),"")</f>
        <v>0.0707089414030668</v>
      </c>
      <c r="BF20" s="255">
        <f>IF(AND(ISNUMBER(BF19),ISNUMBER(BA11)),IFERROR(BF19/BA11-1,""),"")</f>
        <v>0.128410059676044</v>
      </c>
      <c r="BG20" s="255">
        <f>IF(AND(ISNUMBER(BG19),ISNUMBER(BB11)),IFERROR(BG19/BB11-1,""),"")</f>
        <v>0.211513749678746</v>
      </c>
      <c r="BH20" s="255">
        <f>IF(AND(ISNUMBER(BH19),ISNUMBER(BC11)),IFERROR(BH19/BC11-1,""),"")</f>
        <v>0.2125487937544</v>
      </c>
      <c r="BI20" s="255">
        <f>IF(AND(ISNUMBER(BI19),ISNUMBER(BD11)),IFERROR(BI19/BD11-1,""),"")</f>
        <v>0.15774977561113</v>
      </c>
      <c r="BJ20" s="255">
        <f>IF(AND(ISNUMBER(BJ19),ISNUMBER(BE11)),IFERROR(BJ19/BE11-1,""),"")</f>
        <v>0.264367816091954</v>
      </c>
      <c r="BK20" s="255">
        <f>IF(AND(ISNUMBER(BK19),ISNUMBER(BF11)),IFERROR(BK19/BF11-1,""),"")</f>
        <v>0.228522445869579</v>
      </c>
      <c r="BL20" s="255">
        <f>IF(AND(ISNUMBER(BL19),ISNUMBER(BG11)),IFERROR(BL19/BG11-1,""),"")</f>
        <v>0.20152780667598</v>
      </c>
      <c r="BM20" s="255">
        <f>IF(AND(ISNUMBER(BM19),ISNUMBER(BH11)),IFERROR(BM19/BH11-1,""),"")</f>
        <v>0.210768356327185</v>
      </c>
      <c r="BN20" s="255">
        <f>IF(AND(ISNUMBER(BN19),ISNUMBER(BI11)),IFERROR(BN19/BI11-1,""),"")</f>
        <v>0.224065540970685</v>
      </c>
      <c r="BO20" s="255">
        <f>IF(AND(ISNUMBER(BO19),ISNUMBER(BJ11)),IFERROR(BO19/BJ11-1,""),"")</f>
        <v>0.195902904447874</v>
      </c>
      <c r="BP20" s="255">
        <f>IF(AND(ISNUMBER(BP19),ISNUMBER(BK11)),IFERROR(BP19/BK11-1,""),"")</f>
        <v>0.216911476949568</v>
      </c>
      <c r="BQ20" s="255">
        <f>IF(AND(ISNUMBER(BQ19),ISNUMBER(BL11)),IFERROR(BQ19/BL11-1,""),"")</f>
        <v>0.245405540930174</v>
      </c>
      <c r="BR20" s="255">
        <f>IF(AND(ISNUMBER(BR19),ISNUMBER(BM11)),IFERROR(BR19/BM11-1,""),"")</f>
        <v>0.232584485817498</v>
      </c>
      <c r="BS20" s="255">
        <f>IF(AND(ISNUMBER(BS19),ISNUMBER(BN11)),IFERROR(BS19/BN11-1,""),"")</f>
        <v>0.223876787459613</v>
      </c>
      <c r="BT20" s="255">
        <f>IF(AND(ISNUMBER(BT19),ISNUMBER(BO11)),IFERROR(BT19/BO11-1,""),"")</f>
        <v>0.287446849632779</v>
      </c>
      <c r="BU20" s="255">
        <f>IF(AND(ISNUMBER(BU19),ISNUMBER(BP11)),IFERROR(BU19/BP11-1,""),"")</f>
        <v>0.260013315293259</v>
      </c>
      <c r="BV20" s="24" t="n"/>
      <c r="BW20" s="24" t="n"/>
      <c r="BX20" s="24" t="n"/>
      <c r="BY20" s="24" t="n"/>
      <c r="BZ20" s="24" t="n"/>
      <c r="CA20" s="24" t="n"/>
      <c r="CB20" s="24" t="n"/>
      <c r="CC20" s="24" t="n"/>
      <c r="CD20" s="153" t="n"/>
      <c r="CL20" s="25" t="inlineStr">
        <is>
          <t xml:space="preserve">  FY26 capital expenditures incl. finance-lease principal ($m)</t>
        </is>
      </c>
      <c r="CN20" s="257" t="n">
        <v>137500</v>
      </c>
      <c r="CP20" s="13" t="inlineStr">
        <is>
          <t>Guided $130–145bn (narrowed from $125–145bn); mid-point. 1H/26 $50.9bn.</t>
        </is>
      </c>
    </row>
    <row r="21" ht="15" customHeight="1" s="251">
      <c r="B21" s="22" t="inlineStr">
        <is>
          <t xml:space="preserve">  FX effect on advertising growth (pp)</t>
        </is>
      </c>
      <c r="C21" s="23" t="n"/>
      <c r="D21" s="255">
        <f>IF(AND(ISNUMBER(D20),ISNUMBER(D12)),D12-D20,"")</f>
      </c>
      <c r="E21" s="255">
        <f>IF(AND(ISNUMBER(E20),ISNUMBER(E12)),E12-E20,"")</f>
      </c>
      <c r="F21" s="255">
        <f>IF(AND(ISNUMBER(F20),ISNUMBER(F12)),F12-F20,"")</f>
        <v>-0.0389980976537729</v>
      </c>
      <c r="G21" s="23" t="n"/>
      <c r="H21" s="23" t="n"/>
      <c r="I21" s="23" t="n"/>
      <c r="J21" s="23" t="n"/>
      <c r="K21" s="255">
        <f>IF(AND(ISNUMBER(K20),ISNUMBER(K12)),K12-K20,"")</f>
        <v>-0.00514138817480725</v>
      </c>
      <c r="L21" s="255">
        <f>IF(AND(ISNUMBER(L20),ISNUMBER(L12)),L12-L20,"")</f>
      </c>
      <c r="M21" s="255">
        <f>IF(AND(ISNUMBER(M20),ISNUMBER(M12)),M12-M20,"")</f>
        <v>0.0187617260787991</v>
      </c>
      <c r="N21" s="255">
        <f>IF(AND(ISNUMBER(N20),ISNUMBER(N12)),N12-N20,"")</f>
        <v>0.0116796440489433</v>
      </c>
      <c r="O21" s="255">
        <f>IF(AND(ISNUMBER(O20),ISNUMBER(O12)),O12-O20,"")</f>
        <v>-0.0439419795221843</v>
      </c>
      <c r="P21" s="255">
        <f>IF(AND(ISNUMBER(P20),ISNUMBER(P12)),P12-P20,"")</f>
        <v>-0.00873174921271103</v>
      </c>
      <c r="Q21" s="255">
        <f>IF(AND(ISNUMBER(Q20),ISNUMBER(Q12)),Q12-Q20,"")</f>
        <v>-0.0830022075055186</v>
      </c>
      <c r="R21" s="255">
        <f>IF(AND(ISNUMBER(R20),ISNUMBER(R12)),R12-R20,"")</f>
        <v>-0.12406576980568</v>
      </c>
      <c r="S21" s="255">
        <f>IF(AND(ISNUMBER(S20),ISNUMBER(S12)),S12-S20,"")</f>
        <v>-0.115657761244505</v>
      </c>
      <c r="T21" s="255">
        <f>IF(AND(ISNUMBER(T20),ISNUMBER(T12)),T12-T20,"")</f>
        <v>-0.0895937673900946</v>
      </c>
      <c r="U21" s="255">
        <f>IF(AND(ISNUMBER(U20),ISNUMBER(U12)),U12-U20,"")</f>
        <v>-0.103115210581274</v>
      </c>
      <c r="V21" s="255">
        <f>IF(AND(ISNUMBER(V20),ISNUMBER(V12)),V12-V20,"")</f>
        <v>-0.0608984021706362</v>
      </c>
      <c r="W21" s="255">
        <f>IF(AND(ISNUMBER(W20),ISNUMBER(W12)),W12-W20,"")</f>
        <v>-0.000261301280376269</v>
      </c>
      <c r="X21" s="255">
        <f>IF(AND(ISNUMBER(X20),ISNUMBER(X12)),X12-X20,"")</f>
        <v>-0.00721097929751102</v>
      </c>
      <c r="Y21" s="255">
        <f>IF(AND(ISNUMBER(Y20),ISNUMBER(Y12)),Y12-Y20,"")</f>
        <v>-0.00620897640588947</v>
      </c>
      <c r="Z21" s="255">
        <f>IF(AND(ISNUMBER(Z20),ISNUMBER(Z12)),Z12-Z20,"")</f>
        <v>-0.0157503366707652</v>
      </c>
      <c r="AA21" s="255">
        <f>IF(AND(ISNUMBER(AA20),ISNUMBER(AA12)),AA12-AA20,"")</f>
        <v>-0.004229955777735</v>
      </c>
      <c r="AB21" s="255">
        <f>IF(AND(ISNUMBER(AB20),ISNUMBER(AB12)),AB12-AB20,"")</f>
        <v>-0.0225997756050649</v>
      </c>
      <c r="AC21" s="255">
        <f>IF(AND(ISNUMBER(AC20),ISNUMBER(AC12)),AC12-AC20,"")</f>
        <v>0.0187793427230045</v>
      </c>
      <c r="AD21" s="255">
        <f>IF(AND(ISNUMBER(AD20),ISNUMBER(AD12)),AD12-AD20,"")</f>
        <v>0.0378954687681075</v>
      </c>
      <c r="AE21" s="255">
        <f>IF(AND(ISNUMBER(AE20),ISNUMBER(AE12)),AE12-AE20,"")</f>
        <v>0.0108610749488562</v>
      </c>
      <c r="AF21" s="255">
        <f>IF(AND(ISNUMBER(AF20),ISNUMBER(AF12)),AF12-AF20,"")</f>
        <v>0.0680921471299478</v>
      </c>
      <c r="AG21" s="255">
        <f>IF(AND(ISNUMBER(AG20),ISNUMBER(AG12)),AG12-AG20,"")</f>
        <v>0.0404845045831515</v>
      </c>
      <c r="AH21" s="255">
        <f>IF(AND(ISNUMBER(AH20),ISNUMBER(AH12)),AH12-AH20,"")</f>
        <v>-0.0156773811871425</v>
      </c>
      <c r="AI21" s="255">
        <f>IF(AND(ISNUMBER(AI20),ISNUMBER(AI12)),AI12-AI20,"")</f>
        <v>-0.0271539244072305</v>
      </c>
      <c r="AJ21" s="255">
        <f>IF(AND(ISNUMBER(AJ20),ISNUMBER(AJ12)),AJ12-AJ20,"")</f>
        <v>0.0100395573581693</v>
      </c>
      <c r="AK21" s="255">
        <f>IF(AND(ISNUMBER(AK20),ISNUMBER(AK12)),AK12-AK20,"")</f>
        <v>-0.0426451886392538</v>
      </c>
      <c r="AL21" s="255">
        <f>IF(AND(ISNUMBER(AL20),ISNUMBER(AL12)),AL12-AL20,"")</f>
        <v>-0.0438717594723117</v>
      </c>
      <c r="AM21" s="255">
        <f>IF(AND(ISNUMBER(AM20),ISNUMBER(AM12)),AM12-AM20,"")</f>
        <v>-0.0217889061230518</v>
      </c>
      <c r="AN21" s="255">
        <f>IF(AND(ISNUMBER(AN20),ISNUMBER(AN12)),AN12-AN20,"")</f>
        <v>-0.0176682692307693</v>
      </c>
      <c r="AO21" s="255">
        <f>IF(AND(ISNUMBER(AO20),ISNUMBER(AO12)),AO12-AO20,"")</f>
        <v>-0.0302473960700198</v>
      </c>
      <c r="AP21" s="255">
        <f>IF(AND(ISNUMBER(AP20),ISNUMBER(AP12)),AP12-AP20,"")</f>
        <v>-0.0183744635193133</v>
      </c>
      <c r="AQ21" s="255">
        <f>IF(AND(ISNUMBER(AQ20),ISNUMBER(AQ12)),AQ12-AQ20,"")</f>
        <v>-0.0177454282964389</v>
      </c>
      <c r="AR21" s="255">
        <f>IF(AND(ISNUMBER(AR20),ISNUMBER(AR12)),AR12-AR20,"")</f>
        <v>0.00627049416096193</v>
      </c>
      <c r="AS21" s="255">
        <f>IF(AND(ISNUMBER(AS20),ISNUMBER(AS12)),AS12-AS20,"")</f>
        <v>0.0160108024691359</v>
      </c>
      <c r="AT21" s="255">
        <f>IF(AND(ISNUMBER(AT20),ISNUMBER(AT12)),AT12-AT20,"")</f>
        <v>-0.00185198478214055</v>
      </c>
      <c r="AU21" s="255">
        <f>IF(AND(ISNUMBER(AU20),ISNUMBER(AU12)),AU12-AU20,"")</f>
        <v>0.0398509174311927</v>
      </c>
      <c r="AV21" s="255">
        <f>IF(AND(ISNUMBER(AV20),ISNUMBER(AV12)),AV12-AV20,"")</f>
        <v>0.0532176191255935</v>
      </c>
      <c r="AW21" s="255">
        <f>IF(AND(ISNUMBER(AW20),ISNUMBER(AW12)),AW12-AW20,"")</f>
        <v>0.0120635219829415</v>
      </c>
      <c r="AX21" s="255">
        <f>IF(AND(ISNUMBER(AX20),ISNUMBER(AX12)),AX12-AX20,"")</f>
        <v>-0.0112553794092765</v>
      </c>
      <c r="AY21" s="255">
        <f>IF(AND(ISNUMBER(AY20),ISNUMBER(AY12)),AY12-AY20,"")</f>
        <v>0.0192469911725219</v>
      </c>
      <c r="AZ21" s="255">
        <f>IF(AND(ISNUMBER(AZ20),ISNUMBER(AZ12)),AZ12-AZ20,"")</f>
        <v>-0.0349070325091394</v>
      </c>
      <c r="BA21" s="255">
        <f>IF(AND(ISNUMBER(BA20),ISNUMBER(BA12)),BA12-BA20,"")</f>
        <v>-0.0439118264520643</v>
      </c>
      <c r="BB21" s="255">
        <f>IF(AND(ISNUMBER(BB20),ISNUMBER(BB12)),BB12-BB20,"")</f>
        <v>-0.0628094497100014</v>
      </c>
      <c r="BC21" s="255">
        <f>IF(AND(ISNUMBER(BC20),ISNUMBER(BC12)),BC12-BC20,"")</f>
        <v>-0.0605717086920556</v>
      </c>
      <c r="BD21" s="255">
        <f>IF(AND(ISNUMBER(BD20),ISNUMBER(BD12)),BD12-BD20,"")</f>
        <v>-0.0512990063862739</v>
      </c>
      <c r="BE21" s="255">
        <f>IF(AND(ISNUMBER(BE20),ISNUMBER(BE12)),BE12-BE20,"")</f>
        <v>-0.0298540632639455</v>
      </c>
      <c r="BF21" s="255">
        <f>IF(AND(ISNUMBER(BF20),ISNUMBER(BF12)),BF12-BF20,"")</f>
        <v>-0.00955527138391576</v>
      </c>
      <c r="BG21" s="255">
        <f>IF(AND(ISNUMBER(BG20),ISNUMBER(BG12)),BG12-BG20,"")</f>
        <v>0.023681022139002</v>
      </c>
      <c r="BH21" s="255">
        <f>IF(AND(ISNUMBER(BH20),ISNUMBER(BH12)),BH12-BH20,"")</f>
        <v>0.0258846867600946</v>
      </c>
      <c r="BI21" s="255">
        <f>IF(AND(ISNUMBER(BI20),ISNUMBER(BI12)),BI12-BI20,"")</f>
        <v>0.00333503458228468</v>
      </c>
      <c r="BJ21" s="255">
        <f>IF(AND(ISNUMBER(BJ20),ISNUMBER(BJ12)),BJ12-BJ20,"")</f>
        <v>0.00373652183196316</v>
      </c>
      <c r="BK21" s="255">
        <f>IF(AND(ISNUMBER(BK20),ISNUMBER(BK12)),BK12-BK20,"")</f>
        <v>-0.0116515334306939</v>
      </c>
      <c r="BL21" s="255">
        <f>IF(AND(ISNUMBER(BL20),ISNUMBER(BL12)),BL12-BL20,"")</f>
        <v>-0.0159914395267962</v>
      </c>
      <c r="BM21" s="255">
        <f>IF(AND(ISNUMBER(BM20),ISNUMBER(BM12)),BM12-BM20,"")</f>
        <v>-0.00209269880638674</v>
      </c>
      <c r="BN21" s="255">
        <f>IF(AND(ISNUMBER(BN20),ISNUMBER(BN12)),BN12-BN20,"")</f>
        <v>-0.00666929396428895</v>
      </c>
      <c r="BO21" s="255">
        <f>IF(AND(ISNUMBER(BO20),ISNUMBER(BO12)),BO12-BO20,"")</f>
        <v>-0.0343482531219306</v>
      </c>
      <c r="BP21" s="255">
        <f>IF(AND(ISNUMBER(BP20),ISNUMBER(BP12)),BP12-BP20,"")</f>
        <v>-0.00208719246523503</v>
      </c>
      <c r="BQ21" s="255">
        <f>IF(AND(ISNUMBER(BQ20),ISNUMBER(BQ12)),BQ12-BQ20,"")</f>
        <v>0.0102544816346997</v>
      </c>
      <c r="BR21" s="255">
        <f>IF(AND(ISNUMBER(BR20),ISNUMBER(BR12)),BR12-BR20,"")</f>
        <v>0.0101105102280743</v>
      </c>
      <c r="BS21" s="255">
        <f>IF(AND(ISNUMBER(BS20),ISNUMBER(BS12)),BS12-BS20,"")</f>
        <v>-0.00261465576811726</v>
      </c>
      <c r="BT21" s="255">
        <f>IF(AND(ISNUMBER(BT20),ISNUMBER(BT12)),BT12-BT20,"")</f>
        <v>0.0418921530730576</v>
      </c>
      <c r="BU21" s="255">
        <f>IF(AND(ISNUMBER(BU20),ISNUMBER(BU12)),BU12-BU20,"")</f>
        <v>0.0148830616583981</v>
      </c>
      <c r="BV21" s="24" t="n"/>
      <c r="BW21" s="24" t="n"/>
      <c r="BX21" s="24" t="n"/>
      <c r="BY21" s="24" t="n"/>
      <c r="BZ21" s="24" t="n"/>
      <c r="CA21" s="24" t="n"/>
      <c r="CB21" s="24" t="n"/>
      <c r="CC21" s="24" t="n"/>
      <c r="CD21" s="153" t="n"/>
      <c r="CL21" s="25" t="inlineStr">
        <is>
          <t xml:space="preserve">  Q3/Q4-26E interest-income yield on cash and marketable securities</t>
        </is>
      </c>
      <c r="CN21" s="260" t="n">
        <v>0.04</v>
      </c>
      <c r="CP21" s="13" t="inlineStr">
        <is>
          <t>Q2/26 interest income $859m on ~$86bn average (~4.0%, 10-Q).</t>
        </is>
      </c>
    </row>
    <row r="22" ht="15" customHeight="1" s="251">
      <c r="CL22" s="25" t="inlineStr">
        <is>
          <t xml:space="preserve">  Q3/Q4-26E interest rate on debt, net of capitalized interest</t>
        </is>
      </c>
      <c r="CN22" s="260" t="n">
        <v>0.042</v>
      </c>
      <c r="CP22" s="13" t="inlineStr">
        <is>
          <t>Q2/26 interest expense $783m (notes $754m net of capitalized interest) on ~$71.5bn average notes (~4.2%, 10-Q).</t>
        </is>
      </c>
    </row>
    <row r="23" ht="15" customHeight="1" s="251">
      <c r="B23" s="14" t="inlineStr">
        <is>
          <t>Other revenue — FoA other revenue (WhatsApp business messaging, Meta Verified; payments &amp; other fees to 2017) · Reality Labs (Quest, AI glasses)</t>
        </is>
      </c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  <c r="AP23" s="14" t="n"/>
      <c r="AQ23" s="14" t="n"/>
      <c r="AR23" s="14" t="n"/>
      <c r="AS23" s="14" t="n"/>
      <c r="AT23" s="14" t="n"/>
      <c r="AU23" s="14" t="n"/>
      <c r="AV23" s="14" t="n"/>
      <c r="AW23" s="14" t="n"/>
      <c r="AX23" s="14" t="n"/>
      <c r="AY23" s="14" t="n"/>
      <c r="AZ23" s="14" t="n"/>
      <c r="BA23" s="14" t="n"/>
      <c r="BB23" s="14" t="n"/>
      <c r="BC23" s="14" t="n"/>
      <c r="BD23" s="14" t="n"/>
      <c r="BE23" s="14" t="n"/>
      <c r="BF23" s="14" t="n"/>
      <c r="BG23" s="14" t="n"/>
      <c r="BH23" s="14" t="n"/>
      <c r="BI23" s="14" t="n"/>
      <c r="BJ23" s="14" t="n"/>
      <c r="BK23" s="14" t="n"/>
      <c r="BL23" s="14" t="n"/>
      <c r="BM23" s="14" t="n"/>
      <c r="BN23" s="14" t="n"/>
      <c r="BO23" s="14" t="n"/>
      <c r="BP23" s="14" t="n"/>
      <c r="BQ23" s="14" t="n"/>
      <c r="BR23" s="14" t="n"/>
      <c r="BS23" s="14" t="n"/>
      <c r="BT23" s="14" t="n"/>
      <c r="BU23" s="14" t="n"/>
      <c r="BV23" s="14" t="n"/>
      <c r="BW23" s="14" t="n"/>
      <c r="BX23" s="14" t="n"/>
      <c r="BY23" s="14" t="n"/>
      <c r="BZ23" s="14" t="n"/>
      <c r="CA23" s="14" t="n"/>
      <c r="CB23" s="14" t="n"/>
      <c r="CC23" s="14" t="n"/>
      <c r="CD23" s="15" t="inlineStr">
        <is>
          <t>OTHER REVENUE — FoA other revenue and Reality Labs split from 2019 (segment recast in the Q4-2021 release); before that total non-advertising revenue only</t>
        </is>
      </c>
      <c r="CL23" s="25" t="inlineStr">
        <is>
          <t xml:space="preserve">  Q3/Q4-26E dividend per share ($)</t>
        </is>
      </c>
      <c r="CN23" s="262" t="n">
        <v>0.525</v>
      </c>
      <c r="CP23" s="13" t="inlineStr">
        <is>
          <t>Quarterly $0.525 declared in 2025 and 2026 (XBRL).</t>
        </is>
      </c>
    </row>
    <row r="24" ht="15" customHeight="1" s="251">
      <c r="B24" s="25" t="inlineStr">
        <is>
          <t xml:space="preserve">  Family of Apps other revenue</t>
        </is>
      </c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4" t="n"/>
      <c r="S24" s="34" t="n"/>
      <c r="T24" s="34" t="n"/>
      <c r="U24" s="34" t="n"/>
      <c r="V24" s="34" t="n"/>
      <c r="W24" s="34" t="n"/>
      <c r="X24" s="34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261" t="n">
        <v>541</v>
      </c>
      <c r="AP24" s="34" t="n"/>
      <c r="AQ24" s="34" t="n"/>
      <c r="AR24" s="34" t="n"/>
      <c r="AS24" s="261" t="n">
        <v>168</v>
      </c>
      <c r="AT24" s="261" t="n">
        <v>657</v>
      </c>
      <c r="AU24" s="261" t="n">
        <v>198</v>
      </c>
      <c r="AV24" s="261" t="n">
        <v>192</v>
      </c>
      <c r="AW24" s="261" t="n">
        <v>176</v>
      </c>
      <c r="AX24" s="261" t="n">
        <v>155</v>
      </c>
      <c r="AY24" s="261" t="n">
        <v>721</v>
      </c>
      <c r="AZ24" s="261" t="n">
        <v>215</v>
      </c>
      <c r="BA24" s="261" t="n">
        <v>218</v>
      </c>
      <c r="BB24" s="261" t="n">
        <v>192</v>
      </c>
      <c r="BC24" s="261" t="n">
        <v>184</v>
      </c>
      <c r="BD24" s="261" t="n">
        <v>808</v>
      </c>
      <c r="BE24" s="261" t="n">
        <v>205</v>
      </c>
      <c r="BF24" s="261" t="n">
        <v>225</v>
      </c>
      <c r="BG24" s="261" t="n">
        <v>293</v>
      </c>
      <c r="BH24" s="261" t="n">
        <v>334</v>
      </c>
      <c r="BI24" s="261" t="n">
        <v>1058</v>
      </c>
      <c r="BJ24" s="261" t="n">
        <v>380</v>
      </c>
      <c r="BK24" s="261" t="n">
        <v>389</v>
      </c>
      <c r="BL24" s="261" t="n">
        <v>434</v>
      </c>
      <c r="BM24" s="261" t="n">
        <v>519</v>
      </c>
      <c r="BN24" s="261" t="n">
        <v>1722</v>
      </c>
      <c r="BO24" s="261" t="n">
        <v>510</v>
      </c>
      <c r="BP24" s="261" t="n">
        <v>583</v>
      </c>
      <c r="BQ24" s="261" t="n">
        <v>690</v>
      </c>
      <c r="BR24" s="261" t="n">
        <v>801</v>
      </c>
      <c r="BS24" s="261" t="n">
        <v>2584</v>
      </c>
      <c r="BT24" s="261" t="n">
        <v>885</v>
      </c>
      <c r="BU24" s="261" t="n">
        <v>1007</v>
      </c>
      <c r="BV24" s="263">
        <f>BQ24*(1+BV25)</f>
        <v>1194.40073193047</v>
      </c>
      <c r="BW24" s="263">
        <f>BR24*(1+BW25)</f>
        <v>1386.54345837145</v>
      </c>
      <c r="BX24" s="263">
        <f>SUM(BT24:BW24)</f>
        <v>4472.94419030192</v>
      </c>
      <c r="BY24" s="263">
        <f>BX24*(1+BY25)</f>
        <v>6262.12186642269</v>
      </c>
      <c r="BZ24" s="263">
        <f>BY24*(1+BZ25)</f>
        <v>8140.7584263495</v>
      </c>
      <c r="CA24" s="263">
        <f>BZ24*(1+CA25)</f>
        <v>10175.9480329369</v>
      </c>
      <c r="CB24" s="263">
        <f>CA24*(1+CB25)</f>
        <v>12211.1376395242</v>
      </c>
      <c r="CC24" s="263">
        <f>CB24*(1+CC25)</f>
        <v>14042.8082854529</v>
      </c>
      <c r="CD24" s="19" t="n"/>
      <c r="CF24" s="20">
        <f>IFERROR((CC24/BX24)^(1/5)-1,"n/m")</f>
        <v>0.257106573865453</v>
      </c>
      <c r="CG24" s="20">
        <f>IFERROR((BS24/AT24)^(1/5)-1,"n/m")</f>
        <v>0.315059575654298</v>
      </c>
      <c r="CH24" s="20" t="str">
        <f>IFERROR((BS24/U24)^(1/10)-1,"n/m")</f>
        <v>n/m</v>
      </c>
      <c r="CI24" s="20" t="str">
        <f>IFERROR((BS24/C24)^(1/16)-1,"n/m")</f>
        <v>n/m</v>
      </c>
    </row>
    <row r="25" ht="15" customHeight="1" s="251">
      <c r="B25" s="22" t="inlineStr">
        <is>
          <t xml:space="preserve">    y/y %</t>
        </is>
      </c>
      <c r="C25" s="23" t="n"/>
      <c r="D25" s="255">
        <f>IF(AND(ISNUMBER(D24),ISNUMBER(C24)),IFERROR(D24/C24-1,""),"")</f>
      </c>
      <c r="E25" s="255">
        <f>IF(AND(ISNUMBER(E24),ISNUMBER(D24)),IFERROR(E24/D24-1,""),"")</f>
      </c>
      <c r="F25" s="255">
        <f>IF(AND(ISNUMBER(F24),ISNUMBER(E24)),IFERROR(F24/E24-1,""),"")</f>
      </c>
      <c r="G25" s="23" t="n"/>
      <c r="H25" s="23" t="n"/>
      <c r="I25" s="23" t="n"/>
      <c r="J25" s="23" t="n"/>
      <c r="K25" s="255">
        <f>IF(AND(ISNUMBER(K24),ISNUMBER(F24)),IFERROR(K24/F24-1,""),"")</f>
      </c>
      <c r="L25" s="255">
        <f>IF(AND(ISNUMBER(L24),ISNUMBER(G24)),IFERROR(L24/G24-1,""),"")</f>
      </c>
      <c r="M25" s="255">
        <f>IF(AND(ISNUMBER(M24),ISNUMBER(H24)),IFERROR(M24/H24-1,""),"")</f>
      </c>
      <c r="N25" s="255">
        <f>IF(AND(ISNUMBER(N24),ISNUMBER(I24)),IFERROR(N24/I24-1,""),"")</f>
      </c>
      <c r="O25" s="255">
        <f>IF(AND(ISNUMBER(O24),ISNUMBER(J24)),IFERROR(O24/J24-1,""),"")</f>
      </c>
      <c r="P25" s="255">
        <f>IF(AND(ISNUMBER(P24),ISNUMBER(K24)),IFERROR(P24/K24-1,""),"")</f>
      </c>
      <c r="Q25" s="255">
        <f>IF(AND(ISNUMBER(Q24),ISNUMBER(L24)),IFERROR(Q24/L24-1,""),"")</f>
      </c>
      <c r="R25" s="255">
        <f>IF(AND(ISNUMBER(R24),ISNUMBER(M24)),IFERROR(R24/M24-1,""),"")</f>
      </c>
      <c r="S25" s="255">
        <f>IF(AND(ISNUMBER(S24),ISNUMBER(N24)),IFERROR(S24/N24-1,""),"")</f>
      </c>
      <c r="T25" s="255">
        <f>IF(AND(ISNUMBER(T24),ISNUMBER(O24)),IFERROR(T24/O24-1,""),"")</f>
      </c>
      <c r="U25" s="255">
        <f>IF(AND(ISNUMBER(U24),ISNUMBER(P24)),IFERROR(U24/P24-1,""),"")</f>
      </c>
      <c r="V25" s="255">
        <f>IF(AND(ISNUMBER(V24),ISNUMBER(Q24)),IFERROR(V24/Q24-1,""),"")</f>
      </c>
      <c r="W25" s="255">
        <f>IF(AND(ISNUMBER(W24),ISNUMBER(R24)),IFERROR(W24/R24-1,""),"")</f>
      </c>
      <c r="X25" s="255">
        <f>IF(AND(ISNUMBER(X24),ISNUMBER(S24)),IFERROR(X24/S24-1,""),"")</f>
      </c>
      <c r="Y25" s="255">
        <f>IF(AND(ISNUMBER(Y24),ISNUMBER(T24)),IFERROR(Y24/T24-1,""),"")</f>
      </c>
      <c r="Z25" s="255">
        <f>IF(AND(ISNUMBER(Z24),ISNUMBER(U24)),IFERROR(Z24/U24-1,""),"")</f>
      </c>
      <c r="AA25" s="255">
        <f>IF(AND(ISNUMBER(AA24),ISNUMBER(V24)),IFERROR(AA24/V24-1,""),"")</f>
      </c>
      <c r="AB25" s="255">
        <f>IF(AND(ISNUMBER(AB24),ISNUMBER(W24)),IFERROR(AB24/W24-1,""),"")</f>
      </c>
      <c r="AC25" s="255">
        <f>IF(AND(ISNUMBER(AC24),ISNUMBER(X24)),IFERROR(AC24/X24-1,""),"")</f>
      </c>
      <c r="AD25" s="255">
        <f>IF(AND(ISNUMBER(AD24),ISNUMBER(Y24)),IFERROR(AD24/Y24-1,""),"")</f>
      </c>
      <c r="AE25" s="255">
        <f>IF(AND(ISNUMBER(AE24),ISNUMBER(Z24)),IFERROR(AE24/Z24-1,""),"")</f>
      </c>
      <c r="AF25" s="255">
        <f>IF(AND(ISNUMBER(AF24),ISNUMBER(AA24)),IFERROR(AF24/AA24-1,""),"")</f>
      </c>
      <c r="AG25" s="255">
        <f>IF(AND(ISNUMBER(AG24),ISNUMBER(AB24)),IFERROR(AG24/AB24-1,""),"")</f>
      </c>
      <c r="AH25" s="255">
        <f>IF(AND(ISNUMBER(AH24),ISNUMBER(AC24)),IFERROR(AH24/AC24-1,""),"")</f>
      </c>
      <c r="AI25" s="255">
        <f>IF(AND(ISNUMBER(AI24),ISNUMBER(AD24)),IFERROR(AI24/AD24-1,""),"")</f>
      </c>
      <c r="AJ25" s="255">
        <f>IF(AND(ISNUMBER(AJ24),ISNUMBER(AE24)),IFERROR(AJ24/AE24-1,""),"")</f>
      </c>
      <c r="AK25" s="255">
        <f>IF(AND(ISNUMBER(AK24),ISNUMBER(AF24)),IFERROR(AK24/AF24-1,""),"")</f>
      </c>
      <c r="AL25" s="255">
        <f>IF(AND(ISNUMBER(AL24),ISNUMBER(AG24)),IFERROR(AL24/AG24-1,""),"")</f>
      </c>
      <c r="AM25" s="255">
        <f>IF(AND(ISNUMBER(AM24),ISNUMBER(AH24)),IFERROR(AM24/AH24-1,""),"")</f>
      </c>
      <c r="AN25" s="255">
        <f>IF(AND(ISNUMBER(AN24),ISNUMBER(AI24)),IFERROR(AN24/AI24-1,""),"")</f>
      </c>
      <c r="AO25" s="255">
        <f>IF(AND(ISNUMBER(AO24),ISNUMBER(AJ24)),IFERROR(AO24/AJ24-1,""),"")</f>
      </c>
      <c r="AP25" s="255">
        <f>IF(AND(ISNUMBER(AP24),ISNUMBER(AK24)),IFERROR(AP24/AK24-1,""),"")</f>
      </c>
      <c r="AQ25" s="255">
        <f>IF(AND(ISNUMBER(AQ24),ISNUMBER(AL24)),IFERROR(AQ24/AL24-1,""),"")</f>
      </c>
      <c r="AR25" s="255">
        <f>IF(AND(ISNUMBER(AR24),ISNUMBER(AM24)),IFERROR(AR24/AM24-1,""),"")</f>
      </c>
      <c r="AS25" s="255">
        <f>IF(AND(ISNUMBER(AS24),ISNUMBER(AN24)),IFERROR(AS24/AN24-1,""),"")</f>
      </c>
      <c r="AT25" s="255">
        <f>IF(AND(ISNUMBER(AT24),ISNUMBER(AO24)),IFERROR(AT24/AO24-1,""),"")</f>
        <v>0.214417744916821</v>
      </c>
      <c r="AU25" s="255">
        <f>IF(AND(ISNUMBER(AU24),ISNUMBER(AP24)),IFERROR(AU24/AP24-1,""),"")</f>
      </c>
      <c r="AV25" s="255">
        <f>IF(AND(ISNUMBER(AV24),ISNUMBER(AQ24)),IFERROR(AV24/AQ24-1,""),"")</f>
      </c>
      <c r="AW25" s="255">
        <f>IF(AND(ISNUMBER(AW24),ISNUMBER(AR24)),IFERROR(AW24/AR24-1,""),"")</f>
      </c>
      <c r="AX25" s="255">
        <f>IF(AND(ISNUMBER(AX24),ISNUMBER(AS24)),IFERROR(AX24/AS24-1,""),"")</f>
        <v>-0.0773809523809523</v>
      </c>
      <c r="AY25" s="255">
        <f>IF(AND(ISNUMBER(AY24),ISNUMBER(AT24)),IFERROR(AY24/AT24-1,""),"")</f>
        <v>0.0974124809741248</v>
      </c>
      <c r="AZ25" s="255">
        <f>IF(AND(ISNUMBER(AZ24),ISNUMBER(AU24)),IFERROR(AZ24/AU24-1,""),"")</f>
        <v>0.0858585858585859</v>
      </c>
      <c r="BA25" s="255">
        <f>IF(AND(ISNUMBER(BA24),ISNUMBER(AV24)),IFERROR(BA24/AV24-1,""),"")</f>
        <v>0.135416666666667</v>
      </c>
      <c r="BB25" s="255">
        <f>IF(AND(ISNUMBER(BB24),ISNUMBER(AW24)),IFERROR(BB24/AW24-1,""),"")</f>
        <v>0.0909090909090908</v>
      </c>
      <c r="BC25" s="255">
        <f>IF(AND(ISNUMBER(BC24),ISNUMBER(AX24)),IFERROR(BC24/AX24-1,""),"")</f>
        <v>0.187096774193548</v>
      </c>
      <c r="BD25" s="255">
        <f>IF(AND(ISNUMBER(BD24),ISNUMBER(AY24)),IFERROR(BD24/AY24-1,""),"")</f>
        <v>0.120665742024965</v>
      </c>
      <c r="BE25" s="255">
        <f>IF(AND(ISNUMBER(BE24),ISNUMBER(AZ24)),IFERROR(BE24/AZ24-1,""),"")</f>
        <v>-0.0465116279069767</v>
      </c>
      <c r="BF25" s="255">
        <f>IF(AND(ISNUMBER(BF24),ISNUMBER(BA24)),IFERROR(BF24/BA24-1,""),"")</f>
        <v>0.0321100917431192</v>
      </c>
      <c r="BG25" s="255">
        <f>IF(AND(ISNUMBER(BG24),ISNUMBER(BB24)),IFERROR(BG24/BB24-1,""),"")</f>
        <v>0.526041666666667</v>
      </c>
      <c r="BH25" s="255">
        <f>IF(AND(ISNUMBER(BH24),ISNUMBER(BC24)),IFERROR(BH24/BC24-1,""),"")</f>
        <v>0.815217391304348</v>
      </c>
      <c r="BI25" s="255">
        <f>IF(AND(ISNUMBER(BI24),ISNUMBER(BD24)),IFERROR(BI24/BD24-1,""),"")</f>
        <v>0.309405940594059</v>
      </c>
      <c r="BJ25" s="255">
        <f>IF(AND(ISNUMBER(BJ24),ISNUMBER(BE24)),IFERROR(BJ24/BE24-1,""),"")</f>
        <v>0.853658536585366</v>
      </c>
      <c r="BK25" s="255">
        <f>IF(AND(ISNUMBER(BK24),ISNUMBER(BF24)),IFERROR(BK24/BF24-1,""),"")</f>
        <v>0.728888888888889</v>
      </c>
      <c r="BL25" s="255">
        <f>IF(AND(ISNUMBER(BL24),ISNUMBER(BG24)),IFERROR(BL24/BG24-1,""),"")</f>
        <v>0.48122866894198</v>
      </c>
      <c r="BM25" s="255">
        <f>IF(AND(ISNUMBER(BM24),ISNUMBER(BH24)),IFERROR(BM24/BH24-1,""),"")</f>
        <v>0.553892215568862</v>
      </c>
      <c r="BN25" s="255">
        <f>IF(AND(ISNUMBER(BN24),ISNUMBER(BI24)),IFERROR(BN24/BI24-1,""),"")</f>
        <v>0.627599243856333</v>
      </c>
      <c r="BO25" s="255">
        <f>IF(AND(ISNUMBER(BO24),ISNUMBER(BJ24)),IFERROR(BO24/BJ24-1,""),"")</f>
        <v>0.342105263157895</v>
      </c>
      <c r="BP25" s="255">
        <f>IF(AND(ISNUMBER(BP24),ISNUMBER(BK24)),IFERROR(BP24/BK24-1,""),"")</f>
        <v>0.498714652956298</v>
      </c>
      <c r="BQ25" s="255">
        <f>IF(AND(ISNUMBER(BQ24),ISNUMBER(BL24)),IFERROR(BQ24/BL24-1,""),"")</f>
        <v>0.589861751152074</v>
      </c>
      <c r="BR25" s="255">
        <f>IF(AND(ISNUMBER(BR24),ISNUMBER(BM24)),IFERROR(BR24/BM24-1,""),"")</f>
        <v>0.543352601156069</v>
      </c>
      <c r="BS25" s="255">
        <f>IF(AND(ISNUMBER(BS24),ISNUMBER(BN24)),IFERROR(BS24/BN24-1,""),"")</f>
        <v>0.500580720092915</v>
      </c>
      <c r="BT25" s="255">
        <f>IF(AND(ISNUMBER(BT24),ISNUMBER(BO24)),IFERROR(BT24/BO24-1,""),"")</f>
        <v>0.735294117647059</v>
      </c>
      <c r="BU25" s="255">
        <f>IF(AND(ISNUMBER(BU24),ISNUMBER(BP24)),IFERROR(BU24/BP24-1,""),"")</f>
        <v>0.727272727272727</v>
      </c>
      <c r="BV25" s="256">
        <f>IFERROR(SUM(BT24:BU24)/SUM(BO24:BP24)-1,0)</f>
        <v>0.731015553522415</v>
      </c>
      <c r="BW25" s="256">
        <f>IFERROR(SUM(BT24:BU24)/SUM(BO24:BP24)-1,0)</f>
        <v>0.731015553522415</v>
      </c>
      <c r="BX25" s="256">
        <f>IF(AND(ISNUMBER(BX24),ISNUMBER(BS24)),IFERROR(BX24/BS24-1,""),"")</f>
        <v>0.731015553522415</v>
      </c>
      <c r="BY25" s="256">
        <f>CHOOSE(MATCH($CD$2,{"Bull","Base","Bear"},0),$CM$40,$CN$40,$CO$40)</f>
        <v>0.4</v>
      </c>
      <c r="BZ25" s="256">
        <f>CHOOSE(MATCH($CD$2,{"Bull","Base","Bear"},0),$CM$41,$CN$41,$CO$41)</f>
        <v>0.3</v>
      </c>
      <c r="CA25" s="256">
        <f>CHOOSE(MATCH($CD$2,{"Bull","Base","Bear"},0),$CM$42,$CN$42,$CO$42)</f>
        <v>0.25</v>
      </c>
      <c r="CB25" s="256">
        <f>CHOOSE(MATCH($CD$2,{"Bull","Base","Bear"},0),$CM$43,$CN$43,$CO$43)</f>
        <v>0.2</v>
      </c>
      <c r="CC25" s="256">
        <f>CHOOSE(MATCH($CD$2,{"Bull","Base","Bear"},0),$CM$44,$CN$44,$CO$44)</f>
        <v>0.15</v>
      </c>
      <c r="CD25" s="153" t="inlineStr">
        <is>
          <t>Q3/Q4-26E: 1H/26 y/y. 2027E+: scenario lever.</t>
        </is>
      </c>
      <c r="CL25" s="25" t="inlineStr">
        <is>
          <t xml:space="preserve">  Maximum net debt / adjusted EBITDA before buybacks (x) — buyback ceiling 2027E+</t>
        </is>
      </c>
      <c r="CM25" s="264" t="n">
        <v>0.5</v>
      </c>
      <c r="CN25" s="264" t="n">
        <v>0.25</v>
      </c>
      <c r="CO25" s="264" t="n">
        <v>0</v>
      </c>
      <c r="CP25" s="13" t="inlineStr">
        <is>
          <t>Meta moved from net cash ($22bn at YE2025, cash and marketable securities $81.6bn vs notes $58.7bn) to ~$6.6bn net cash at 30-Jun-2026 as capex outran operating cash flow. Ceiling (assumption) up to which surplus cash is returned via buybacks; above it, cash flow reduces debt. Bull = more buybacks.</t>
        </is>
      </c>
    </row>
    <row r="26" ht="15" customHeight="1" s="251">
      <c r="B26" s="25" t="inlineStr">
        <is>
          <t xml:space="preserve">  Reality Labs revenue</t>
        </is>
      </c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4" t="n"/>
      <c r="S26" s="34" t="n"/>
      <c r="T26" s="34" t="n"/>
      <c r="U26" s="34" t="n"/>
      <c r="V26" s="34" t="n"/>
      <c r="W26" s="34" t="n"/>
      <c r="X26" s="34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261" t="n">
        <v>501</v>
      </c>
      <c r="AP26" s="34" t="n"/>
      <c r="AQ26" s="34" t="n"/>
      <c r="AR26" s="34" t="n"/>
      <c r="AS26" s="261" t="n">
        <v>717</v>
      </c>
      <c r="AT26" s="261" t="n">
        <v>1139</v>
      </c>
      <c r="AU26" s="261" t="n">
        <v>534</v>
      </c>
      <c r="AV26" s="261" t="n">
        <v>305</v>
      </c>
      <c r="AW26" s="261" t="n">
        <v>558</v>
      </c>
      <c r="AX26" s="261" t="n">
        <v>877</v>
      </c>
      <c r="AY26" s="261" t="n">
        <v>2274</v>
      </c>
      <c r="AZ26" s="261" t="n">
        <v>695</v>
      </c>
      <c r="BA26" s="261" t="n">
        <v>452</v>
      </c>
      <c r="BB26" s="261" t="n">
        <v>285</v>
      </c>
      <c r="BC26" s="261" t="n">
        <v>727</v>
      </c>
      <c r="BD26" s="261" t="n">
        <v>2159</v>
      </c>
      <c r="BE26" s="261" t="n">
        <v>339</v>
      </c>
      <c r="BF26" s="261" t="n">
        <v>276</v>
      </c>
      <c r="BG26" s="261" t="n">
        <v>210</v>
      </c>
      <c r="BH26" s="261" t="n">
        <v>1071</v>
      </c>
      <c r="BI26" s="261" t="n">
        <v>1896</v>
      </c>
      <c r="BJ26" s="261" t="n">
        <v>440</v>
      </c>
      <c r="BK26" s="261" t="n">
        <v>353</v>
      </c>
      <c r="BL26" s="261" t="n">
        <v>270</v>
      </c>
      <c r="BM26" s="261" t="n">
        <v>1083</v>
      </c>
      <c r="BN26" s="261" t="n">
        <v>2146</v>
      </c>
      <c r="BO26" s="261" t="n">
        <v>412</v>
      </c>
      <c r="BP26" s="261" t="n">
        <v>370</v>
      </c>
      <c r="BQ26" s="261" t="n">
        <v>470</v>
      </c>
      <c r="BR26" s="261" t="n">
        <v>955</v>
      </c>
      <c r="BS26" s="261" t="n">
        <v>2207</v>
      </c>
      <c r="BT26" s="261" t="n">
        <v>402</v>
      </c>
      <c r="BU26" s="261" t="n">
        <v>431</v>
      </c>
      <c r="BV26" s="263">
        <f>BQ26*(1+BV27)</f>
        <v>500.652173913044</v>
      </c>
      <c r="BW26" s="263">
        <f>BR26*(1+BW27)</f>
        <v>1017.28260869565</v>
      </c>
      <c r="BX26" s="263">
        <f>SUM(BT26:BW26)</f>
        <v>2350.9347826087</v>
      </c>
      <c r="BY26" s="263">
        <f>BX26*(1+BY27)</f>
        <v>2586.02826086957</v>
      </c>
      <c r="BZ26" s="263">
        <f>BY26*(1+BZ27)</f>
        <v>2844.63108695652</v>
      </c>
      <c r="CA26" s="263">
        <f>BZ26*(1+CA27)</f>
        <v>3129.09419565217</v>
      </c>
      <c r="CB26" s="263">
        <f>CA26*(1+CB27)</f>
        <v>3442.00361521739</v>
      </c>
      <c r="CC26" s="263">
        <f>CB26*(1+CC27)</f>
        <v>3786.20397673913</v>
      </c>
      <c r="CD26" s="19" t="n"/>
      <c r="CF26" s="20">
        <f>IFERROR((CC26/BX26)^(1/5)-1,"n/m")</f>
        <v>0.1</v>
      </c>
      <c r="CG26" s="20">
        <f>IFERROR((BS26/AT26)^(1/5)-1,"n/m")</f>
        <v>0.141446923280948</v>
      </c>
      <c r="CH26" s="20" t="str">
        <f>IFERROR((BS26/U26)^(1/10)-1,"n/m")</f>
        <v>n/m</v>
      </c>
      <c r="CI26" s="20" t="str">
        <f>IFERROR((BS26/C26)^(1/16)-1,"n/m")</f>
        <v>n/m</v>
      </c>
    </row>
    <row r="27" ht="15" customHeight="1" s="251">
      <c r="B27" s="22" t="inlineStr">
        <is>
          <t xml:space="preserve">    y/y %</t>
        </is>
      </c>
      <c r="C27" s="23" t="n"/>
      <c r="D27" s="255">
        <f>IF(AND(ISNUMBER(D26),ISNUMBER(C26)),IFERROR(D26/C26-1,""),"")</f>
      </c>
      <c r="E27" s="255">
        <f>IF(AND(ISNUMBER(E26),ISNUMBER(D26)),IFERROR(E26/D26-1,""),"")</f>
      </c>
      <c r="F27" s="255">
        <f>IF(AND(ISNUMBER(F26),ISNUMBER(E26)),IFERROR(F26/E26-1,""),"")</f>
      </c>
      <c r="G27" s="23" t="n"/>
      <c r="H27" s="23" t="n"/>
      <c r="I27" s="23" t="n"/>
      <c r="J27" s="23" t="n"/>
      <c r="K27" s="255">
        <f>IF(AND(ISNUMBER(K26),ISNUMBER(F26)),IFERROR(K26/F26-1,""),"")</f>
      </c>
      <c r="L27" s="255">
        <f>IF(AND(ISNUMBER(L26),ISNUMBER(G26)),IFERROR(L26/G26-1,""),"")</f>
      </c>
      <c r="M27" s="255">
        <f>IF(AND(ISNUMBER(M26),ISNUMBER(H26)),IFERROR(M26/H26-1,""),"")</f>
      </c>
      <c r="N27" s="255">
        <f>IF(AND(ISNUMBER(N26),ISNUMBER(I26)),IFERROR(N26/I26-1,""),"")</f>
      </c>
      <c r="O27" s="255">
        <f>IF(AND(ISNUMBER(O26),ISNUMBER(J26)),IFERROR(O26/J26-1,""),"")</f>
      </c>
      <c r="P27" s="255">
        <f>IF(AND(ISNUMBER(P26),ISNUMBER(K26)),IFERROR(P26/K26-1,""),"")</f>
      </c>
      <c r="Q27" s="255">
        <f>IF(AND(ISNUMBER(Q26),ISNUMBER(L26)),IFERROR(Q26/L26-1,""),"")</f>
      </c>
      <c r="R27" s="255">
        <f>IF(AND(ISNUMBER(R26),ISNUMBER(M26)),IFERROR(R26/M26-1,""),"")</f>
      </c>
      <c r="S27" s="255">
        <f>IF(AND(ISNUMBER(S26),ISNUMBER(N26)),IFERROR(S26/N26-1,""),"")</f>
      </c>
      <c r="T27" s="255">
        <f>IF(AND(ISNUMBER(T26),ISNUMBER(O26)),IFERROR(T26/O26-1,""),"")</f>
      </c>
      <c r="U27" s="255">
        <f>IF(AND(ISNUMBER(U26),ISNUMBER(P26)),IFERROR(U26/P26-1,""),"")</f>
      </c>
      <c r="V27" s="255">
        <f>IF(AND(ISNUMBER(V26),ISNUMBER(Q26)),IFERROR(V26/Q26-1,""),"")</f>
      </c>
      <c r="W27" s="255">
        <f>IF(AND(ISNUMBER(W26),ISNUMBER(R26)),IFERROR(W26/R26-1,""),"")</f>
      </c>
      <c r="X27" s="255">
        <f>IF(AND(ISNUMBER(X26),ISNUMBER(S26)),IFERROR(X26/S26-1,""),"")</f>
      </c>
      <c r="Y27" s="255">
        <f>IF(AND(ISNUMBER(Y26),ISNUMBER(T26)),IFERROR(Y26/T26-1,""),"")</f>
      </c>
      <c r="Z27" s="255">
        <f>IF(AND(ISNUMBER(Z26),ISNUMBER(U26)),IFERROR(Z26/U26-1,""),"")</f>
      </c>
      <c r="AA27" s="255">
        <f>IF(AND(ISNUMBER(AA26),ISNUMBER(V26)),IFERROR(AA26/V26-1,""),"")</f>
      </c>
      <c r="AB27" s="255">
        <f>IF(AND(ISNUMBER(AB26),ISNUMBER(W26)),IFERROR(AB26/W26-1,""),"")</f>
      </c>
      <c r="AC27" s="255">
        <f>IF(AND(ISNUMBER(AC26),ISNUMBER(X26)),IFERROR(AC26/X26-1,""),"")</f>
      </c>
      <c r="AD27" s="255">
        <f>IF(AND(ISNUMBER(AD26),ISNUMBER(Y26)),IFERROR(AD26/Y26-1,""),"")</f>
      </c>
      <c r="AE27" s="255">
        <f>IF(AND(ISNUMBER(AE26),ISNUMBER(Z26)),IFERROR(AE26/Z26-1,""),"")</f>
      </c>
      <c r="AF27" s="255">
        <f>IF(AND(ISNUMBER(AF26),ISNUMBER(AA26)),IFERROR(AF26/AA26-1,""),"")</f>
      </c>
      <c r="AG27" s="255">
        <f>IF(AND(ISNUMBER(AG26),ISNUMBER(AB26)),IFERROR(AG26/AB26-1,""),"")</f>
      </c>
      <c r="AH27" s="255">
        <f>IF(AND(ISNUMBER(AH26),ISNUMBER(AC26)),IFERROR(AH26/AC26-1,""),"")</f>
      </c>
      <c r="AI27" s="255">
        <f>IF(AND(ISNUMBER(AI26),ISNUMBER(AD26)),IFERROR(AI26/AD26-1,""),"")</f>
      </c>
      <c r="AJ27" s="255">
        <f>IF(AND(ISNUMBER(AJ26),ISNUMBER(AE26)),IFERROR(AJ26/AE26-1,""),"")</f>
      </c>
      <c r="AK27" s="255">
        <f>IF(AND(ISNUMBER(AK26),ISNUMBER(AF26)),IFERROR(AK26/AF26-1,""),"")</f>
      </c>
      <c r="AL27" s="255">
        <f>IF(AND(ISNUMBER(AL26),ISNUMBER(AG26)),IFERROR(AL26/AG26-1,""),"")</f>
      </c>
      <c r="AM27" s="255">
        <f>IF(AND(ISNUMBER(AM26),ISNUMBER(AH26)),IFERROR(AM26/AH26-1,""),"")</f>
      </c>
      <c r="AN27" s="255">
        <f>IF(AND(ISNUMBER(AN26),ISNUMBER(AI26)),IFERROR(AN26/AI26-1,""),"")</f>
      </c>
      <c r="AO27" s="255">
        <f>IF(AND(ISNUMBER(AO26),ISNUMBER(AJ26)),IFERROR(AO26/AJ26-1,""),"")</f>
      </c>
      <c r="AP27" s="255">
        <f>IF(AND(ISNUMBER(AP26),ISNUMBER(AK26)),IFERROR(AP26/AK26-1,""),"")</f>
      </c>
      <c r="AQ27" s="255">
        <f>IF(AND(ISNUMBER(AQ26),ISNUMBER(AL26)),IFERROR(AQ26/AL26-1,""),"")</f>
      </c>
      <c r="AR27" s="255">
        <f>IF(AND(ISNUMBER(AR26),ISNUMBER(AM26)),IFERROR(AR26/AM26-1,""),"")</f>
      </c>
      <c r="AS27" s="255">
        <f>IF(AND(ISNUMBER(AS26),ISNUMBER(AN26)),IFERROR(AS26/AN26-1,""),"")</f>
      </c>
      <c r="AT27" s="255">
        <f>IF(AND(ISNUMBER(AT26),ISNUMBER(AO26)),IFERROR(AT26/AO26-1,""),"")</f>
        <v>1.27345309381238</v>
      </c>
      <c r="AU27" s="255">
        <f>IF(AND(ISNUMBER(AU26),ISNUMBER(AP26)),IFERROR(AU26/AP26-1,""),"")</f>
      </c>
      <c r="AV27" s="255">
        <f>IF(AND(ISNUMBER(AV26),ISNUMBER(AQ26)),IFERROR(AV26/AQ26-1,""),"")</f>
      </c>
      <c r="AW27" s="255">
        <f>IF(AND(ISNUMBER(AW26),ISNUMBER(AR26)),IFERROR(AW26/AR26-1,""),"")</f>
      </c>
      <c r="AX27" s="255">
        <f>IF(AND(ISNUMBER(AX26),ISNUMBER(AS26)),IFERROR(AX26/AS26-1,""),"")</f>
        <v>0.223152022315202</v>
      </c>
      <c r="AY27" s="255">
        <f>IF(AND(ISNUMBER(AY26),ISNUMBER(AT26)),IFERROR(AY26/AT26-1,""),"")</f>
        <v>0.996488147497805</v>
      </c>
      <c r="AZ27" s="255">
        <f>IF(AND(ISNUMBER(AZ26),ISNUMBER(AU26)),IFERROR(AZ26/AU26-1,""),"")</f>
        <v>0.301498127340824</v>
      </c>
      <c r="BA27" s="255">
        <f>IF(AND(ISNUMBER(BA26),ISNUMBER(AV26)),IFERROR(BA26/AV26-1,""),"")</f>
        <v>0.481967213114754</v>
      </c>
      <c r="BB27" s="255">
        <f>IF(AND(ISNUMBER(BB26),ISNUMBER(AW26)),IFERROR(BB26/AW26-1,""),"")</f>
        <v>-0.489247311827957</v>
      </c>
      <c r="BC27" s="255">
        <f>IF(AND(ISNUMBER(BC26),ISNUMBER(AX26)),IFERROR(BC26/AX26-1,""),"")</f>
        <v>-0.171037628278221</v>
      </c>
      <c r="BD27" s="255">
        <f>IF(AND(ISNUMBER(BD26),ISNUMBER(AY26)),IFERROR(BD26/AY26-1,""),"")</f>
        <v>-0.0505716798592788</v>
      </c>
      <c r="BE27" s="255">
        <f>IF(AND(ISNUMBER(BE26),ISNUMBER(AZ26)),IFERROR(BE26/AZ26-1,""),"")</f>
        <v>-0.512230215827338</v>
      </c>
      <c r="BF27" s="255">
        <f>IF(AND(ISNUMBER(BF26),ISNUMBER(BA26)),IFERROR(BF26/BA26-1,""),"")</f>
        <v>-0.389380530973451</v>
      </c>
      <c r="BG27" s="255">
        <f>IF(AND(ISNUMBER(BG26),ISNUMBER(BB26)),IFERROR(BG26/BB26-1,""),"")</f>
        <v>-0.263157894736842</v>
      </c>
      <c r="BH27" s="255">
        <f>IF(AND(ISNUMBER(BH26),ISNUMBER(BC26)),IFERROR(BH26/BC26-1,""),"")</f>
        <v>0.473177441540578</v>
      </c>
      <c r="BI27" s="255">
        <f>IF(AND(ISNUMBER(BI26),ISNUMBER(BD26)),IFERROR(BI26/BD26-1,""),"")</f>
        <v>-0.121815655396017</v>
      </c>
      <c r="BJ27" s="255">
        <f>IF(AND(ISNUMBER(BJ26),ISNUMBER(BE26)),IFERROR(BJ26/BE26-1,""),"")</f>
        <v>0.297935103244838</v>
      </c>
      <c r="BK27" s="255">
        <f>IF(AND(ISNUMBER(BK26),ISNUMBER(BF26)),IFERROR(BK26/BF26-1,""),"")</f>
        <v>0.278985507246377</v>
      </c>
      <c r="BL27" s="255">
        <f>IF(AND(ISNUMBER(BL26),ISNUMBER(BG26)),IFERROR(BL26/BG26-1,""),"")</f>
        <v>0.285714285714286</v>
      </c>
      <c r="BM27" s="255">
        <f>IF(AND(ISNUMBER(BM26),ISNUMBER(BH26)),IFERROR(BM26/BH26-1,""),"")</f>
        <v>0.011204481792717</v>
      </c>
      <c r="BN27" s="255">
        <f>IF(AND(ISNUMBER(BN26),ISNUMBER(BI26)),IFERROR(BN26/BI26-1,""),"")</f>
        <v>0.131856540084388</v>
      </c>
      <c r="BO27" s="255">
        <f>IF(AND(ISNUMBER(BO26),ISNUMBER(BJ26)),IFERROR(BO26/BJ26-1,""),"")</f>
        <v>-0.0636363636363636</v>
      </c>
      <c r="BP27" s="255">
        <f>IF(AND(ISNUMBER(BP26),ISNUMBER(BK26)),IFERROR(BP26/BK26-1,""),"")</f>
        <v>0.048158640226629</v>
      </c>
      <c r="BQ27" s="255">
        <f>IF(AND(ISNUMBER(BQ26),ISNUMBER(BL26)),IFERROR(BQ26/BL26-1,""),"")</f>
        <v>0.740740740740741</v>
      </c>
      <c r="BR27" s="255">
        <f>IF(AND(ISNUMBER(BR26),ISNUMBER(BM26)),IFERROR(BR26/BM26-1,""),"")</f>
        <v>-0.118190212373038</v>
      </c>
      <c r="BS27" s="255">
        <f>IF(AND(ISNUMBER(BS26),ISNUMBER(BN26)),IFERROR(BS26/BN26-1,""),"")</f>
        <v>0.0284249767008389</v>
      </c>
      <c r="BT27" s="255">
        <f>IF(AND(ISNUMBER(BT26),ISNUMBER(BO26)),IFERROR(BT26/BO26-1,""),"")</f>
        <v>-0.0242718446601942</v>
      </c>
      <c r="BU27" s="255">
        <f>IF(AND(ISNUMBER(BU26),ISNUMBER(BP26)),IFERROR(BU26/BP26-1,""),"")</f>
        <v>0.164864864864865</v>
      </c>
      <c r="BV27" s="256">
        <f>IFERROR(SUM(BT26:BU26)/SUM(BO26:BP26)-1,0)</f>
        <v>0.0652173913043479</v>
      </c>
      <c r="BW27" s="256">
        <f>IFERROR(SUM(BT26:BU26)/SUM(BO26:BP26)-1,0)</f>
        <v>0.0652173913043479</v>
      </c>
      <c r="BX27" s="256">
        <f>IF(AND(ISNUMBER(BX26),ISNUMBER(BS26)),IFERROR(BX26/BS26-1,""),"")</f>
        <v>0.0652173913043479</v>
      </c>
      <c r="BY27" s="256">
        <f>CHOOSE(MATCH($CD$2,{"Bull","Base","Bear"},0),$CM$46,$CN$46,$CO$46)</f>
        <v>0.1</v>
      </c>
      <c r="BZ27" s="256">
        <f>CHOOSE(MATCH($CD$2,{"Bull","Base","Bear"},0),$CM$47,$CN$47,$CO$47)</f>
        <v>0.1</v>
      </c>
      <c r="CA27" s="256">
        <f>CHOOSE(MATCH($CD$2,{"Bull","Base","Bear"},0),$CM$48,$CN$48,$CO$48)</f>
        <v>0.1</v>
      </c>
      <c r="CB27" s="256">
        <f>CHOOSE(MATCH($CD$2,{"Bull","Base","Bear"},0),$CM$49,$CN$49,$CO$49)</f>
        <v>0.1</v>
      </c>
      <c r="CC27" s="256">
        <f>CHOOSE(MATCH($CD$2,{"Bull","Base","Bear"},0),$CM$50,$CN$50,$CO$50)</f>
        <v>0.1</v>
      </c>
      <c r="CD27" s="153" t="inlineStr">
        <is>
          <t>Q3/Q4-26E: 1H/26 y/y. 2027E+: scenario lever.</t>
        </is>
      </c>
      <c r="CL27" s="15" t="inlineStr">
        <is>
          <t>IMPR (ad impressions y/y)</t>
        </is>
      </c>
      <c r="CM27" s="265" t="n">
        <v>0.02</v>
      </c>
      <c r="CN27" s="21" t="inlineStr">
        <is>
          <t>Δ →</t>
        </is>
      </c>
      <c r="CO27" s="265" t="n">
        <v>-0.04</v>
      </c>
      <c r="CP27" s="13" t="inlineStr">
        <is>
          <t>1H/26 +19% / +14% (Q1 / Q2); FY25 +12%, FY24 +11%; Threads, WhatsApp Status and Reels add inventory; DAP growth ~3–4% p.a. Assumption.</t>
        </is>
      </c>
    </row>
    <row r="28" ht="15" customHeight="1" s="251">
      <c r="B28" s="16" t="inlineStr">
        <is>
          <t xml:space="preserve">  Total non-advertising revenue</t>
        </is>
      </c>
      <c r="C28" s="266">
        <f>IF(ISNUMBER(C24),C24+C26,IF(ISNUMBER(C11),C109-C11,""))</f>
        <v>13</v>
      </c>
      <c r="D28" s="266">
        <f>IF(ISNUMBER(D24),D24+D26,IF(ISNUMBER(D11),D109-D11,""))</f>
        <v>106</v>
      </c>
      <c r="E28" s="266">
        <f>IF(ISNUMBER(E24),E24+E26,IF(ISNUMBER(E11),E109-E11,""))</f>
        <v>557</v>
      </c>
      <c r="F28" s="266">
        <f>IF(ISNUMBER(F24),F24+F26,IF(ISNUMBER(F11),F109-F11,""))</f>
        <v>810</v>
      </c>
      <c r="G28" s="266">
        <f>IF(ISNUMBER(G24),G24+G26,IF(ISNUMBER(G11),G109-G11,""))</f>
        <v>213</v>
      </c>
      <c r="H28" s="266">
        <f>IF(ISNUMBER(H24),H24+H26,IF(ISNUMBER(H11),H109-H11,""))</f>
        <v>214</v>
      </c>
      <c r="I28" s="266">
        <f>IF(ISNUMBER(I24),I24+I26,IF(ISNUMBER(I11),I109-I11,""))</f>
        <v>218</v>
      </c>
      <c r="J28" s="266">
        <f>IF(ISNUMBER(J24),J24+J26,IF(ISNUMBER(J11),J109-J11,""))</f>
        <v>241</v>
      </c>
      <c r="K28" s="266">
        <f>IF(ISNUMBER(K24),K24+K26,IF(ISNUMBER(K11),K109-K11,""))</f>
        <v>886</v>
      </c>
      <c r="L28" s="266">
        <f>IF(ISNUMBER(L24),L24+L26,IF(ISNUMBER(L11),L109-L11,""))</f>
        <v>237</v>
      </c>
      <c r="M28" s="266">
        <f>IF(ISNUMBER(M24),M24+M26,IF(ISNUMBER(M11),M109-M11,""))</f>
        <v>234</v>
      </c>
      <c r="N28" s="266">
        <f>IF(ISNUMBER(N24),N24+N26,IF(ISNUMBER(N11),N109-N11,""))</f>
        <v>246</v>
      </c>
      <c r="O28" s="266">
        <f>IF(ISNUMBER(O24),O24+O26,IF(ISNUMBER(O11),O109-O11,""))</f>
        <v>257</v>
      </c>
      <c r="P28" s="266">
        <f>IF(ISNUMBER(P24),P24+P26,IF(ISNUMBER(P11),P109-P11,""))</f>
        <v>974</v>
      </c>
      <c r="Q28" s="266">
        <f>IF(ISNUMBER(Q24),Q24+Q26,IF(ISNUMBER(Q11),Q109-Q11,""))</f>
        <v>226</v>
      </c>
      <c r="R28" s="266">
        <f>IF(ISNUMBER(R24),R24+R26,IF(ISNUMBER(R11),R109-R11,""))</f>
        <v>215</v>
      </c>
      <c r="S28" s="266">
        <f>IF(ISNUMBER(S24),S24+S26,IF(ISNUMBER(S11),S109-S11,""))</f>
        <v>202</v>
      </c>
      <c r="T28" s="266">
        <f>IF(ISNUMBER(T24),T24+T26,IF(ISNUMBER(T11),T109-T11,""))</f>
        <v>204</v>
      </c>
      <c r="U28" s="266">
        <f>IF(ISNUMBER(U24),U24+U26,IF(ISNUMBER(U11),U109-U11,""))</f>
        <v>849</v>
      </c>
      <c r="V28" s="266">
        <f>IF(ISNUMBER(V24),V24+V26,IF(ISNUMBER(V11),V109-V11,""))</f>
        <v>181</v>
      </c>
      <c r="W28" s="266">
        <f>IF(ISNUMBER(W24),W24+W26,IF(ISNUMBER(W11),W109-W11,""))</f>
        <v>197</v>
      </c>
      <c r="X28" s="266">
        <f>IF(ISNUMBER(X24),X24+X26,IF(ISNUMBER(X11),X109-X11,""))</f>
        <v>195</v>
      </c>
      <c r="Y28" s="266">
        <f>IF(ISNUMBER(Y24),Y24+Y26,IF(ISNUMBER(Y11),Y109-Y11,""))</f>
        <v>180</v>
      </c>
      <c r="Z28" s="266">
        <f>IF(ISNUMBER(Z24),Z24+Z26,IF(ISNUMBER(Z11),Z109-Z11,""))</f>
        <v>753</v>
      </c>
      <c r="AA28" s="266">
        <f>IF(ISNUMBER(AA24),AA24+AA26,IF(ISNUMBER(AA11),AA109-AA11,""))</f>
        <v>175</v>
      </c>
      <c r="AB28" s="266">
        <f>IF(ISNUMBER(AB24),AB24+AB26,IF(ISNUMBER(AB11),AB109-AB11,""))</f>
        <v>157</v>
      </c>
      <c r="AC28" s="266">
        <f>IF(ISNUMBER(AC24),AC24+AC26,IF(ISNUMBER(AC11),AC109-AC11,""))</f>
        <v>186</v>
      </c>
      <c r="AD28" s="266">
        <f>IF(ISNUMBER(AD24),AD24+AD26,IF(ISNUMBER(AD11),AD109-AD11,""))</f>
        <v>193</v>
      </c>
      <c r="AE28" s="266">
        <f>IF(ISNUMBER(AE24),AE24+AE26,IF(ISNUMBER(AE11),AE109-AE11,""))</f>
        <v>711</v>
      </c>
      <c r="AF28" s="266">
        <f>IF(ISNUMBER(AF24),AF24+AF26,IF(ISNUMBER(AF11),AF109-AF11,""))</f>
        <v>171</v>
      </c>
      <c r="AG28" s="266">
        <f>IF(ISNUMBER(AG24),AG24+AG26,IF(ISNUMBER(AG11),AG109-AG11,""))</f>
        <v>193</v>
      </c>
      <c r="AH28" s="266">
        <f>IF(ISNUMBER(AH24),AH24+AH26,IF(ISNUMBER(AH11),AH109-AH11,""))</f>
        <v>188</v>
      </c>
      <c r="AI28" s="266">
        <f>IF(ISNUMBER(AI24),AI24+AI26,IF(ISNUMBER(AI11),AI109-AI11,""))</f>
        <v>274</v>
      </c>
      <c r="AJ28" s="266">
        <f>IF(ISNUMBER(AJ24),AJ24+AJ26,IF(ISNUMBER(AJ11),AJ109-AJ11,""))</f>
        <v>825</v>
      </c>
      <c r="AK28" s="266">
        <f>IF(ISNUMBER(AK24),AK24+AK26,IF(ISNUMBER(AK11),AK109-AK11,""))</f>
        <v>165</v>
      </c>
      <c r="AL28" s="266">
        <f>IF(ISNUMBER(AL24),AL24+AL26,IF(ISNUMBER(AL11),AL109-AL11,""))</f>
        <v>262</v>
      </c>
      <c r="AM28" s="266">
        <f>IF(ISNUMBER(AM24),AM24+AM26,IF(ISNUMBER(AM11),AM109-AM11,""))</f>
        <v>269</v>
      </c>
      <c r="AN28" s="266">
        <f>IF(ISNUMBER(AN24),AN24+AN26,IF(ISNUMBER(AN11),AN109-AN11,""))</f>
        <v>346</v>
      </c>
      <c r="AO28" s="266">
        <f>IF(ISNUMBER(AO24),AO24+AO26,IF(ISNUMBER(AO11),AO109-AO11,""))</f>
        <v>1042</v>
      </c>
      <c r="AP28" s="266">
        <f>IF(ISNUMBER(AP24),AP24+AP26,IF(ISNUMBER(AP11),AP109-AP11,""))</f>
        <v>297</v>
      </c>
      <c r="AQ28" s="266">
        <f>IF(ISNUMBER(AQ24),AQ24+AQ26,IF(ISNUMBER(AQ11),AQ109-AQ11,""))</f>
        <v>366</v>
      </c>
      <c r="AR28" s="266">
        <f>IF(ISNUMBER(AR24),AR24+AR26,IF(ISNUMBER(AR11),AR109-AR11,""))</f>
        <v>249</v>
      </c>
      <c r="AS28" s="266">
        <f>IF(ISNUMBER(AS24),AS24+AS26,IF(ISNUMBER(AS11),AS109-AS11,""))</f>
        <v>885</v>
      </c>
      <c r="AT28" s="266">
        <f>IF(ISNUMBER(AT24),AT24+AT26,IF(ISNUMBER(AT11),AT109-AT11,""))</f>
        <v>1796</v>
      </c>
      <c r="AU28" s="266">
        <f>IF(ISNUMBER(AU24),AU24+AU26,IF(ISNUMBER(AU11),AU109-AU11,""))</f>
        <v>732</v>
      </c>
      <c r="AV28" s="266">
        <f>IF(ISNUMBER(AV24),AV24+AV26,IF(ISNUMBER(AV11),AV109-AV11,""))</f>
        <v>497</v>
      </c>
      <c r="AW28" s="266">
        <f>IF(ISNUMBER(AW24),AW24+AW26,IF(ISNUMBER(AW11),AW109-AW11,""))</f>
        <v>734</v>
      </c>
      <c r="AX28" s="266">
        <f>IF(ISNUMBER(AX24),AX24+AX26,IF(ISNUMBER(AX11),AX109-AX11,""))</f>
        <v>1032</v>
      </c>
      <c r="AY28" s="266">
        <f>IF(ISNUMBER(AY24),AY24+AY26,IF(ISNUMBER(AY11),AY109-AY11,""))</f>
        <v>2995</v>
      </c>
      <c r="AZ28" s="266">
        <f>IF(ISNUMBER(AZ24),AZ24+AZ26,IF(ISNUMBER(AZ11),AZ109-AZ11,""))</f>
        <v>910</v>
      </c>
      <c r="BA28" s="266">
        <f>IF(ISNUMBER(BA24),BA24+BA26,IF(ISNUMBER(BA11),BA109-BA11,""))</f>
        <v>670</v>
      </c>
      <c r="BB28" s="266">
        <f>IF(ISNUMBER(BB24),BB24+BB26,IF(ISNUMBER(BB11),BB109-BB11,""))</f>
        <v>477</v>
      </c>
      <c r="BC28" s="266">
        <f>IF(ISNUMBER(BC24),BC24+BC26,IF(ISNUMBER(BC11),BC109-BC11,""))</f>
        <v>911</v>
      </c>
      <c r="BD28" s="266">
        <f>IF(ISNUMBER(BD24),BD24+BD26,IF(ISNUMBER(BD11),BD109-BD11,""))</f>
        <v>2967</v>
      </c>
      <c r="BE28" s="266">
        <f>IF(ISNUMBER(BE24),BE24+BE26,IF(ISNUMBER(BE11),BE109-BE11,""))</f>
        <v>544</v>
      </c>
      <c r="BF28" s="266">
        <f>IF(ISNUMBER(BF24),BF24+BF26,IF(ISNUMBER(BF11),BF109-BF11,""))</f>
        <v>501</v>
      </c>
      <c r="BG28" s="266">
        <f>IF(ISNUMBER(BG24),BG24+BG26,IF(ISNUMBER(BG11),BG109-BG11,""))</f>
        <v>503</v>
      </c>
      <c r="BH28" s="266">
        <f>IF(ISNUMBER(BH24),BH24+BH26,IF(ISNUMBER(BH11),BH109-BH11,""))</f>
        <v>1405</v>
      </c>
      <c r="BI28" s="266">
        <f>IF(ISNUMBER(BI24),BI24+BI26,IF(ISNUMBER(BI11),BI109-BI11,""))</f>
        <v>2954</v>
      </c>
      <c r="BJ28" s="266">
        <f>IF(ISNUMBER(BJ24),BJ24+BJ26,IF(ISNUMBER(BJ11),BJ109-BJ11,""))</f>
        <v>820</v>
      </c>
      <c r="BK28" s="266">
        <f>IF(ISNUMBER(BK24),BK24+BK26,IF(ISNUMBER(BK11),BK109-BK11,""))</f>
        <v>742</v>
      </c>
      <c r="BL28" s="266">
        <f>IF(ISNUMBER(BL24),BL24+BL26,IF(ISNUMBER(BL11),BL109-BL11,""))</f>
        <v>704</v>
      </c>
      <c r="BM28" s="266">
        <f>IF(ISNUMBER(BM24),BM24+BM26,IF(ISNUMBER(BM11),BM109-BM11,""))</f>
        <v>1602</v>
      </c>
      <c r="BN28" s="266">
        <f>IF(ISNUMBER(BN24),BN24+BN26,IF(ISNUMBER(BN11),BN109-BN11,""))</f>
        <v>3868</v>
      </c>
      <c r="BO28" s="266">
        <f>IF(ISNUMBER(BO24),BO24+BO26,IF(ISNUMBER(BO11),BO109-BO11,""))</f>
        <v>922</v>
      </c>
      <c r="BP28" s="266">
        <f>IF(ISNUMBER(BP24),BP24+BP26,IF(ISNUMBER(BP11),BP109-BP11,""))</f>
        <v>953</v>
      </c>
      <c r="BQ28" s="266">
        <f>IF(ISNUMBER(BQ24),BQ24+BQ26,IF(ISNUMBER(BQ11),BQ109-BQ11,""))</f>
        <v>1160</v>
      </c>
      <c r="BR28" s="266">
        <f>IF(ISNUMBER(BR24),BR24+BR26,IF(ISNUMBER(BR11),BR109-BR11,""))</f>
        <v>1756</v>
      </c>
      <c r="BS28" s="266">
        <f>IF(ISNUMBER(BS24),BS24+BS26,IF(ISNUMBER(BS11),BS109-BS11,""))</f>
        <v>4791</v>
      </c>
      <c r="BT28" s="266">
        <f>IF(ISNUMBER(BT24),BT24+BT26,IF(ISNUMBER(BT11),BT109-BT11,""))</f>
        <v>1287</v>
      </c>
      <c r="BU28" s="266">
        <f>IF(ISNUMBER(BU24),BU24+BU26,IF(ISNUMBER(BU11),BU109-BU11,""))</f>
        <v>1438</v>
      </c>
      <c r="BV28" s="254">
        <f>BV24+BV26</f>
        <v>1695.05290584351</v>
      </c>
      <c r="BW28" s="254">
        <f>BW24+BW26</f>
        <v>2403.82606706711</v>
      </c>
      <c r="BX28" s="254">
        <f>SUM(BT28:BW28)</f>
        <v>6823.87897291062</v>
      </c>
      <c r="BY28" s="254">
        <f>BY24+BY26</f>
        <v>8848.15012729226</v>
      </c>
      <c r="BZ28" s="254">
        <f>BZ24+BZ26</f>
        <v>10985.389513306</v>
      </c>
      <c r="CA28" s="254">
        <f>CA24+CA26</f>
        <v>13305.042228589</v>
      </c>
      <c r="CB28" s="254">
        <f>CB24+CB26</f>
        <v>15653.1412547416</v>
      </c>
      <c r="CC28" s="254">
        <f>CC24+CC26</f>
        <v>17829.012262192</v>
      </c>
      <c r="CD28" s="153" t="inlineStr">
        <is>
          <t>History: FoA other + Reality Labs where the segment split is published; otherwise revenue − advertising (payments and other fees, Oculus hardware).</t>
        </is>
      </c>
      <c r="CF28" s="20">
        <f>IFERROR((CC28/BX28)^(1/5)-1,"n/m")</f>
        <v>0.211767202022271</v>
      </c>
      <c r="CG28" s="20">
        <f>IFERROR((BS28/AT28)^(1/5)-1,"n/m")</f>
        <v>0.216813355233563</v>
      </c>
      <c r="CH28" s="20">
        <f>IFERROR((BS28/U28)^(1/10)-1,"n/m")</f>
        <v>0.188917851675361</v>
      </c>
      <c r="CI28" s="20">
        <f>IFERROR((BS28/C28)^(1/16)-1,"n/m")</f>
        <v>0.44678892676766</v>
      </c>
      <c r="CL28" s="25" t="inlineStr">
        <is>
          <t xml:space="preserve">  2027E</t>
        </is>
      </c>
      <c r="CM28" s="33">
        <f>CN28+$CM$27</f>
        <v>0.12</v>
      </c>
      <c r="CN28" s="260" t="n">
        <v>0.1</v>
      </c>
      <c r="CO28" s="33">
        <f>CN28+$CO$27</f>
        <v>0.06</v>
      </c>
    </row>
    <row r="29" ht="15" customHeight="1" s="251">
      <c r="B29" s="22" t="inlineStr">
        <is>
          <t xml:space="preserve">    y/y %</t>
        </is>
      </c>
      <c r="C29" s="23" t="n"/>
      <c r="D29" s="255">
        <f>IF(AND(ISNUMBER(D28),ISNUMBER(C28)),IFERROR(D28/C28-1,""),"")</f>
        <v>7.15384615384615</v>
      </c>
      <c r="E29" s="255">
        <f>IF(AND(ISNUMBER(E28),ISNUMBER(D28)),IFERROR(E28/D28-1,""),"")</f>
        <v>4.25471698113208</v>
      </c>
      <c r="F29" s="255">
        <f>IF(AND(ISNUMBER(F28),ISNUMBER(E28)),IFERROR(F28/E28-1,""),"")</f>
        <v>0.454219030520646</v>
      </c>
      <c r="G29" s="23" t="n"/>
      <c r="H29" s="23" t="n"/>
      <c r="I29" s="23" t="n"/>
      <c r="J29" s="23" t="n"/>
      <c r="K29" s="255">
        <f>IF(AND(ISNUMBER(K28),ISNUMBER(F28)),IFERROR(K28/F28-1,""),"")</f>
        <v>0.0938271604938272</v>
      </c>
      <c r="L29" s="255">
        <f>IF(AND(ISNUMBER(L28),ISNUMBER(G28)),IFERROR(L28/G28-1,""),"")</f>
        <v>0.112676056338028</v>
      </c>
      <c r="M29" s="255">
        <f>IF(AND(ISNUMBER(M28),ISNUMBER(H28)),IFERROR(M28/H28-1,""),"")</f>
        <v>0.0934579439252337</v>
      </c>
      <c r="N29" s="255">
        <f>IF(AND(ISNUMBER(N28),ISNUMBER(I28)),IFERROR(N28/I28-1,""),"")</f>
        <v>0.128440366972477</v>
      </c>
      <c r="O29" s="255">
        <f>IF(AND(ISNUMBER(O28),ISNUMBER(J28)),IFERROR(O28/J28-1,""),"")</f>
        <v>0.0663900414937759</v>
      </c>
      <c r="P29" s="255">
        <f>IF(AND(ISNUMBER(P28),ISNUMBER(K28)),IFERROR(P28/K28-1,""),"")</f>
        <v>0.0993227990970655</v>
      </c>
      <c r="Q29" s="255">
        <f>IF(AND(ISNUMBER(Q28),ISNUMBER(L28)),IFERROR(Q28/L28-1,""),"")</f>
        <v>-0.0464135021097046</v>
      </c>
      <c r="R29" s="255">
        <f>IF(AND(ISNUMBER(R28),ISNUMBER(M28)),IFERROR(R28/M28-1,""),"")</f>
        <v>-0.0811965811965812</v>
      </c>
      <c r="S29" s="255">
        <f>IF(AND(ISNUMBER(S28),ISNUMBER(N28)),IFERROR(S28/N28-1,""),"")</f>
        <v>-0.178861788617886</v>
      </c>
      <c r="T29" s="255">
        <f>IF(AND(ISNUMBER(T28),ISNUMBER(O28)),IFERROR(T28/O28-1,""),"")</f>
        <v>-0.206225680933852</v>
      </c>
      <c r="U29" s="255">
        <f>IF(AND(ISNUMBER(U28),ISNUMBER(P28)),IFERROR(U28/P28-1,""),"")</f>
        <v>-0.128336755646817</v>
      </c>
      <c r="V29" s="255">
        <f>IF(AND(ISNUMBER(V28),ISNUMBER(Q28)),IFERROR(V28/Q28-1,""),"")</f>
        <v>-0.199115044247788</v>
      </c>
      <c r="W29" s="255">
        <f>IF(AND(ISNUMBER(W28),ISNUMBER(R28)),IFERROR(W28/R28-1,""),"")</f>
        <v>-0.0837209302325581</v>
      </c>
      <c r="X29" s="255">
        <f>IF(AND(ISNUMBER(X28),ISNUMBER(S28)),IFERROR(X28/S28-1,""),"")</f>
        <v>-0.0346534653465347</v>
      </c>
      <c r="Y29" s="255">
        <f>IF(AND(ISNUMBER(Y28),ISNUMBER(T28)),IFERROR(Y28/T28-1,""),"")</f>
        <v>-0.117647058823529</v>
      </c>
      <c r="Z29" s="255">
        <f>IF(AND(ISNUMBER(Z28),ISNUMBER(U28)),IFERROR(Z28/U28-1,""),"")</f>
        <v>-0.113074204946996</v>
      </c>
      <c r="AA29" s="255">
        <f>IF(AND(ISNUMBER(AA28),ISNUMBER(V28)),IFERROR(AA28/V28-1,""),"")</f>
        <v>-0.0331491712707183</v>
      </c>
      <c r="AB29" s="255">
        <f>IF(AND(ISNUMBER(AB28),ISNUMBER(W28)),IFERROR(AB28/W28-1,""),"")</f>
        <v>-0.203045685279188</v>
      </c>
      <c r="AC29" s="255">
        <f>IF(AND(ISNUMBER(AC28),ISNUMBER(X28)),IFERROR(AC28/X28-1,""),"")</f>
        <v>-0.0461538461538461</v>
      </c>
      <c r="AD29" s="255">
        <f>IF(AND(ISNUMBER(AD28),ISNUMBER(Y28)),IFERROR(AD28/Y28-1,""),"")</f>
        <v>0.0722222222222222</v>
      </c>
      <c r="AE29" s="255">
        <f>IF(AND(ISNUMBER(AE28),ISNUMBER(Z28)),IFERROR(AE28/Z28-1,""),"")</f>
        <v>-0.0557768924302788</v>
      </c>
      <c r="AF29" s="255">
        <f>IF(AND(ISNUMBER(AF28),ISNUMBER(AA28)),IFERROR(AF28/AA28-1,""),"")</f>
        <v>-0.0228571428571429</v>
      </c>
      <c r="AG29" s="255">
        <f>IF(AND(ISNUMBER(AG28),ISNUMBER(AB28)),IFERROR(AG28/AB28-1,""),"")</f>
        <v>0.229299363057325</v>
      </c>
      <c r="AH29" s="255">
        <f>IF(AND(ISNUMBER(AH28),ISNUMBER(AC28)),IFERROR(AH28/AC28-1,""),"")</f>
        <v>0.010752688172043</v>
      </c>
      <c r="AI29" s="255">
        <f>IF(AND(ISNUMBER(AI28),ISNUMBER(AD28)),IFERROR(AI28/AD28-1,""),"")</f>
        <v>0.419689119170984</v>
      </c>
      <c r="AJ29" s="255">
        <f>IF(AND(ISNUMBER(AJ28),ISNUMBER(AE28)),IFERROR(AJ28/AE28-1,""),"")</f>
        <v>0.160337552742616</v>
      </c>
      <c r="AK29" s="255">
        <f>IF(AND(ISNUMBER(AK28),ISNUMBER(AF28)),IFERROR(AK28/AF28-1,""),"")</f>
        <v>-0.0350877192982456</v>
      </c>
      <c r="AL29" s="255">
        <f>IF(AND(ISNUMBER(AL28),ISNUMBER(AG28)),IFERROR(AL28/AG28-1,""),"")</f>
        <v>0.357512953367876</v>
      </c>
      <c r="AM29" s="255">
        <f>IF(AND(ISNUMBER(AM28),ISNUMBER(AH28)),IFERROR(AM28/AH28-1,""),"")</f>
        <v>0.430851063829787</v>
      </c>
      <c r="AN29" s="255">
        <f>IF(AND(ISNUMBER(AN28),ISNUMBER(AI28)),IFERROR(AN28/AI28-1,""),"")</f>
        <v>0.262773722627737</v>
      </c>
      <c r="AO29" s="255">
        <f>IF(AND(ISNUMBER(AO28),ISNUMBER(AJ28)),IFERROR(AO28/AJ28-1,""),"")</f>
        <v>0.263030303030303</v>
      </c>
      <c r="AP29" s="255">
        <f>IF(AND(ISNUMBER(AP28),ISNUMBER(AK28)),IFERROR(AP28/AK28-1,""),"")</f>
        <v>0.8</v>
      </c>
      <c r="AQ29" s="255">
        <f>IF(AND(ISNUMBER(AQ28),ISNUMBER(AL28)),IFERROR(AQ28/AL28-1,""),"")</f>
        <v>0.396946564885496</v>
      </c>
      <c r="AR29" s="255">
        <f>IF(AND(ISNUMBER(AR28),ISNUMBER(AM28)),IFERROR(AR28/AM28-1,""),"")</f>
        <v>-0.0743494423791822</v>
      </c>
      <c r="AS29" s="255">
        <f>IF(AND(ISNUMBER(AS28),ISNUMBER(AN28)),IFERROR(AS28/AN28-1,""),"")</f>
        <v>1.55780346820809</v>
      </c>
      <c r="AT29" s="255">
        <f>IF(AND(ISNUMBER(AT28),ISNUMBER(AO28)),IFERROR(AT28/AO28-1,""),"")</f>
        <v>0.723608445297505</v>
      </c>
      <c r="AU29" s="255">
        <f>IF(AND(ISNUMBER(AU28),ISNUMBER(AP28)),IFERROR(AU28/AP28-1,""),"")</f>
        <v>1.46464646464646</v>
      </c>
      <c r="AV29" s="255">
        <f>IF(AND(ISNUMBER(AV28),ISNUMBER(AQ28)),IFERROR(AV28/AQ28-1,""),"")</f>
        <v>0.35792349726776</v>
      </c>
      <c r="AW29" s="255">
        <f>IF(AND(ISNUMBER(AW28),ISNUMBER(AR28)),IFERROR(AW28/AR28-1,""),"")</f>
        <v>1.94779116465863</v>
      </c>
      <c r="AX29" s="255">
        <f>IF(AND(ISNUMBER(AX28),ISNUMBER(AS28)),IFERROR(AX28/AS28-1,""),"")</f>
        <v>0.166101694915254</v>
      </c>
      <c r="AY29" s="255">
        <f>IF(AND(ISNUMBER(AY28),ISNUMBER(AT28)),IFERROR(AY28/AT28-1,""),"")</f>
        <v>0.667594654788419</v>
      </c>
      <c r="AZ29" s="255">
        <f>IF(AND(ISNUMBER(AZ28),ISNUMBER(AU28)),IFERROR(AZ28/AU28-1,""),"")</f>
        <v>0.243169398907104</v>
      </c>
      <c r="BA29" s="255">
        <f>IF(AND(ISNUMBER(BA28),ISNUMBER(AV28)),IFERROR(BA28/AV28-1,""),"")</f>
        <v>0.348088531187123</v>
      </c>
      <c r="BB29" s="255">
        <f>IF(AND(ISNUMBER(BB28),ISNUMBER(AW28)),IFERROR(BB28/AW28-1,""),"")</f>
        <v>-0.350136239782016</v>
      </c>
      <c r="BC29" s="255">
        <f>IF(AND(ISNUMBER(BC28),ISNUMBER(AX28)),IFERROR(BC28/AX28-1,""),"")</f>
        <v>-0.117248062015504</v>
      </c>
      <c r="BD29" s="255">
        <f>IF(AND(ISNUMBER(BD28),ISNUMBER(AY28)),IFERROR(BD28/AY28-1,""),"")</f>
        <v>-0.00934891485809686</v>
      </c>
      <c r="BE29" s="255">
        <f>IF(AND(ISNUMBER(BE28),ISNUMBER(AZ28)),IFERROR(BE28/AZ28-1,""),"")</f>
        <v>-0.402197802197802</v>
      </c>
      <c r="BF29" s="255">
        <f>IF(AND(ISNUMBER(BF28),ISNUMBER(BA28)),IFERROR(BF28/BA28-1,""),"")</f>
        <v>-0.252238805970149</v>
      </c>
      <c r="BG29" s="255">
        <f>IF(AND(ISNUMBER(BG28),ISNUMBER(BB28)),IFERROR(BG28/BB28-1,""),"")</f>
        <v>0.0545073375262055</v>
      </c>
      <c r="BH29" s="255">
        <f>IF(AND(ISNUMBER(BH28),ISNUMBER(BC28)),IFERROR(BH28/BC28-1,""),"")</f>
        <v>0.542261251372119</v>
      </c>
      <c r="BI29" s="255">
        <f>IF(AND(ISNUMBER(BI28),ISNUMBER(BD28)),IFERROR(BI28/BD28-1,""),"")</f>
        <v>-0.00438153016514997</v>
      </c>
      <c r="BJ29" s="255">
        <f>IF(AND(ISNUMBER(BJ28),ISNUMBER(BE28)),IFERROR(BJ28/BE28-1,""),"")</f>
        <v>0.507352941176471</v>
      </c>
      <c r="BK29" s="255">
        <f>IF(AND(ISNUMBER(BK28),ISNUMBER(BF28)),IFERROR(BK28/BF28-1,""),"")</f>
        <v>0.481037924151697</v>
      </c>
      <c r="BL29" s="255">
        <f>IF(AND(ISNUMBER(BL28),ISNUMBER(BG28)),IFERROR(BL28/BG28-1,""),"")</f>
        <v>0.399602385685885</v>
      </c>
      <c r="BM29" s="255">
        <f>IF(AND(ISNUMBER(BM28),ISNUMBER(BH28)),IFERROR(BM28/BH28-1,""),"")</f>
        <v>0.140213523131673</v>
      </c>
      <c r="BN29" s="255">
        <f>IF(AND(ISNUMBER(BN28),ISNUMBER(BI28)),IFERROR(BN28/BI28-1,""),"")</f>
        <v>0.309410968178741</v>
      </c>
      <c r="BO29" s="255">
        <f>IF(AND(ISNUMBER(BO28),ISNUMBER(BJ28)),IFERROR(BO28/BJ28-1,""),"")</f>
        <v>0.124390243902439</v>
      </c>
      <c r="BP29" s="255">
        <f>IF(AND(ISNUMBER(BP28),ISNUMBER(BK28)),IFERROR(BP28/BK28-1,""),"")</f>
        <v>0.284366576819407</v>
      </c>
      <c r="BQ29" s="255">
        <f>IF(AND(ISNUMBER(BQ28),ISNUMBER(BL28)),IFERROR(BQ28/BL28-1,""),"")</f>
        <v>0.647727272727273</v>
      </c>
      <c r="BR29" s="255">
        <f>IF(AND(ISNUMBER(BR28),ISNUMBER(BM28)),IFERROR(BR28/BM28-1,""),"")</f>
        <v>0.0961298377028714</v>
      </c>
      <c r="BS29" s="255">
        <f>IF(AND(ISNUMBER(BS28),ISNUMBER(BN28)),IFERROR(BS28/BN28-1,""),"")</f>
        <v>0.238624612202689</v>
      </c>
      <c r="BT29" s="255">
        <f>IF(AND(ISNUMBER(BT28),ISNUMBER(BO28)),IFERROR(BT28/BO28-1,""),"")</f>
        <v>0.39587852494577</v>
      </c>
      <c r="BU29" s="255">
        <f>IF(AND(ISNUMBER(BU28),ISNUMBER(BP28)),IFERROR(BU28/BP28-1,""),"")</f>
        <v>0.508919202518363</v>
      </c>
      <c r="BV29" s="256">
        <f>IF(AND(ISNUMBER(BV28),ISNUMBER(BQ28)),IFERROR(BV28/BQ28-1,""),"")</f>
        <v>0.461252505037509</v>
      </c>
      <c r="BW29" s="256">
        <f>IF(AND(ISNUMBER(BW28),ISNUMBER(BR28)),IFERROR(BW28/BR28-1,""),"")</f>
        <v>0.368921450493797</v>
      </c>
      <c r="BX29" s="256">
        <f>IF(AND(ISNUMBER(BX28),ISNUMBER(BS28)),IFERROR(BX28/BS28-1,""),"")</f>
        <v>0.424312037760513</v>
      </c>
      <c r="BY29" s="256">
        <f>IF(AND(ISNUMBER(BY28),ISNUMBER(BX28)),IFERROR(BY28/BX28-1,""),"")</f>
        <v>0.296645231021472</v>
      </c>
      <c r="BZ29" s="256">
        <f>IF(AND(ISNUMBER(BZ28),ISNUMBER(BY28)),IFERROR(BZ28/BY28-1,""),"")</f>
        <v>0.241546465110421</v>
      </c>
      <c r="CA29" s="256">
        <f>IF(AND(ISNUMBER(CA28),ISNUMBER(BZ28)),IFERROR(CA28/BZ28-1,""),"")</f>
        <v>0.211157985110437</v>
      </c>
      <c r="CB29" s="256">
        <f>IF(AND(ISNUMBER(CB28),ISNUMBER(CA28)),IFERROR(CB28/CA28-1,""),"")</f>
        <v>0.176481892038429</v>
      </c>
      <c r="CC29" s="256">
        <f>IF(AND(ISNUMBER(CC28),ISNUMBER(CB28)),IFERROR(CC28/CB28-1,""),"")</f>
        <v>0.139005390166735</v>
      </c>
      <c r="CD29" s="153" t="n"/>
      <c r="CL29" s="25" t="inlineStr">
        <is>
          <t xml:space="preserve">  2028E</t>
        </is>
      </c>
      <c r="CM29" s="33">
        <f>CN29+$CM$27</f>
        <v>0.11</v>
      </c>
      <c r="CN29" s="260" t="n">
        <v>0.09</v>
      </c>
      <c r="CO29" s="33">
        <f>CN29+$CO$27</f>
        <v>0.05</v>
      </c>
    </row>
    <row r="30" ht="15" customHeight="1" s="251">
      <c r="B30" s="22" t="inlineStr">
        <is>
          <t xml:space="preserve">  Contribution to revenue growth — advertising (pp)</t>
        </is>
      </c>
      <c r="C30" s="23" t="n"/>
      <c r="D30" s="255">
        <f>IFERROR((D11-C11)/C109,"")</f>
        <v>1.42084942084942</v>
      </c>
      <c r="E30" s="255">
        <f>IFERROR((E11-D11)/D109,"")</f>
        <v>0.651469098277609</v>
      </c>
      <c r="F30" s="255">
        <f>IFERROR((F11-E11)/E109,"")</f>
        <v>0.303152789005659</v>
      </c>
      <c r="G30" s="23" t="n"/>
      <c r="H30" s="23" t="n"/>
      <c r="I30" s="23" t="n"/>
      <c r="J30" s="23" t="n"/>
      <c r="K30" s="255">
        <f>IFERROR((K11-F11)/F109,"")</f>
        <v>0.531931617213598</v>
      </c>
      <c r="L30" s="255">
        <f>IFERROR((L11-G11)/G109,"")</f>
        <v>0.699588477366255</v>
      </c>
      <c r="M30" s="255">
        <f>IFERROR((M11-H11)/H109,"")</f>
        <v>0.594043022614451</v>
      </c>
      <c r="N30" s="255">
        <f>IFERROR((N11-I11)/I109,"")</f>
        <v>0.574900793650794</v>
      </c>
      <c r="O30" s="255">
        <f>IFERROR((O11-J11)/J109,"")</f>
        <v>0.483558994197292</v>
      </c>
      <c r="P30" s="255">
        <f>IFERROR((P11-K11)/K109,"")</f>
        <v>0.572408536585366</v>
      </c>
      <c r="Q30" s="255">
        <f>IFERROR((Q11-L11)/L109,"")</f>
        <v>0.420463629096723</v>
      </c>
      <c r="R30" s="255">
        <f>IFERROR((R11-M11)/M109,"")</f>
        <v>0.39553264604811</v>
      </c>
      <c r="S30" s="255">
        <f>IFERROR((S11-N11)/N109,"")</f>
        <v>0.418982204183578</v>
      </c>
      <c r="T30" s="255">
        <f>IFERROR((T11-O11)/O109,"")</f>
        <v>0.530511555440145</v>
      </c>
      <c r="U30" s="255">
        <f>IFERROR((U11-P11)/P109,"")</f>
        <v>0.448179047007861</v>
      </c>
      <c r="V30" s="255">
        <f>IFERROR((V11-Q11)/Q109,"")</f>
        <v>0.531752751905165</v>
      </c>
      <c r="W30" s="255">
        <f>IFERROR((W11-R11)/R109,"")</f>
        <v>0.596734289955468</v>
      </c>
      <c r="X30" s="255">
        <f>IFERROR((X11-S11)/S109,"")</f>
        <v>0.5592090646523</v>
      </c>
      <c r="Y30" s="255">
        <f>IFERROR((Y11-T11)/T109,"")</f>
        <v>0.512241054613936</v>
      </c>
      <c r="Z30" s="255">
        <f>IFERROR((Z11-U11)/U109,"")</f>
        <v>0.546965640339134</v>
      </c>
      <c r="AA30" s="255">
        <f>IFERROR((AA11-V11)/V109,"")</f>
        <v>0.493496841322928</v>
      </c>
      <c r="AB30" s="255">
        <f>IFERROR((AB11-W11)/W109,"")</f>
        <v>0.454474829086389</v>
      </c>
      <c r="AC30" s="255">
        <f>IFERROR((AC11-X11)/X109,"")</f>
        <v>0.474397375552703</v>
      </c>
      <c r="AD30" s="255">
        <f>IFERROR((AD11-Y11)/Y109,"")</f>
        <v>0.471109092973096</v>
      </c>
      <c r="AE30" s="255">
        <f>IFERROR((AE11-Z11)/Z109,"")</f>
        <v>0.472429264056733</v>
      </c>
      <c r="AF30" s="255">
        <f>IFERROR((AF11-AA11)/AA109,"")</f>
        <v>0.490288844621514</v>
      </c>
      <c r="AG30" s="255">
        <f>IFERROR((AG11-AB11)/AB109,"")</f>
        <v>0.415620641562064</v>
      </c>
      <c r="AH30" s="255">
        <f>IFERROR((AH11-AC11)/AC109,"")</f>
        <v>0.328911696359411</v>
      </c>
      <c r="AI30" s="255">
        <f>IFERROR((AI11-AD11)/AD109,"")</f>
        <v>0.297641073080481</v>
      </c>
      <c r="AJ30" s="255">
        <f>IFERROR((AJ11-AE11)/AE109,"")</f>
        <v>0.370722947875926</v>
      </c>
      <c r="AK30" s="255">
        <f>IFERROR((AK11-AF11)/AF109,"")</f>
        <v>0.260488049473508</v>
      </c>
      <c r="AL30" s="255">
        <f>IFERROR((AL11-AG11)/AG109,"")</f>
        <v>0.27103015645076</v>
      </c>
      <c r="AM30" s="255">
        <f>IFERROR((AM11-AH11)/AH109,"")</f>
        <v>0.280032053616959</v>
      </c>
      <c r="AN30" s="255">
        <f>IFERROR((AN11-AI11)/AI109,"")</f>
        <v>0.242166252808324</v>
      </c>
      <c r="AO30" s="255">
        <f>IFERROR((AO11-AJ11)/AJ109,"")</f>
        <v>0.262222858984921</v>
      </c>
      <c r="AP30" s="255">
        <f>IFERROR((AP11-AK11)/AK109,"")</f>
        <v>0.167672613915235</v>
      </c>
      <c r="AQ30" s="255">
        <f>IFERROR((AQ11-AL11)/AL109,"")</f>
        <v>0.100497453511785</v>
      </c>
      <c r="AR30" s="255">
        <f>IFERROR((AR11-AM11)/AM109,"")</f>
        <v>0.217425787446182</v>
      </c>
      <c r="AS30" s="255">
        <f>IFERROR((AS11-AN11)/AN109,"")</f>
        <v>0.305995636087658</v>
      </c>
      <c r="AT30" s="255">
        <f>IFERROR((AT11-AO11)/AO109,"")</f>
        <v>0.205298668967566</v>
      </c>
      <c r="AU30" s="255">
        <f>IFERROR((AU11-AP11)/AP109,"")</f>
        <v>0.450978181203135</v>
      </c>
      <c r="AV30" s="255">
        <f>IFERROR((AV11-AQ11)/AQ109,"")</f>
        <v>0.548991277358592</v>
      </c>
      <c r="AW30" s="255">
        <f>IFERROR((AW11-AR11)/AR109,"")</f>
        <v>0.328598043782021</v>
      </c>
      <c r="AX30" s="255">
        <f>IFERROR((AX11-AS11)/AS109,"")</f>
        <v>0.194214876033058</v>
      </c>
      <c r="AY30" s="255">
        <f>IFERROR((AY11-AT11)/AT109,"")</f>
        <v>0.357878206246728</v>
      </c>
      <c r="AZ30" s="255">
        <f>IFERROR((AZ11-AU11)/AU109,"")</f>
        <v>0.0595697527797944</v>
      </c>
      <c r="BA30" s="255">
        <f>IFERROR((BA11-AV11)/AV109,"")</f>
        <v>-0.0147195377790006</v>
      </c>
      <c r="BB30" s="255">
        <f>IFERROR((BB11-AW11)/AW109,"")</f>
        <v>-0.035815236125474</v>
      </c>
      <c r="BC30" s="255">
        <f>IFERROR((BC11-AX11)/AX109,"")</f>
        <v>-0.0411333194737311</v>
      </c>
      <c r="BD30" s="255">
        <f>IFERROR((BD11-AY11)/AY109,"")</f>
        <v>-0.0109557445581664</v>
      </c>
      <c r="BE30" s="255">
        <f>IFERROR((BE11-AZ11)/AZ109,"")</f>
        <v>0.0395227175003583</v>
      </c>
      <c r="BF30" s="255">
        <f>IFERROR((BF11-BA11)/BA109,"")</f>
        <v>0.116091874262716</v>
      </c>
      <c r="BG30" s="255">
        <f>IFERROR((BG11-BB11)/BB109,"")</f>
        <v>0.23114671285271</v>
      </c>
      <c r="BH30" s="255">
        <f>IFERROR((BH11-BC11)/BC109,"")</f>
        <v>0.23168039794808</v>
      </c>
      <c r="BI30" s="255">
        <f>IFERROR((BI11-BD11)/BD109,"")</f>
        <v>0.156986167448482</v>
      </c>
      <c r="BJ30" s="255">
        <f>IFERROR((BJ11-BE11)/BE109,"")</f>
        <v>0.263012742188864</v>
      </c>
      <c r="BK30" s="255">
        <f>IFERROR((BK11-BF11)/BF109,"")</f>
        <v>0.21347542110691</v>
      </c>
      <c r="BL30" s="255">
        <f>IFERROR((BL11-BG11)/BG109,"")</f>
        <v>0.182803256603995</v>
      </c>
      <c r="BM30" s="255">
        <f>IFERROR((BM11-BH11)/BH109,"")</f>
        <v>0.201366208770661</v>
      </c>
      <c r="BN30" s="255">
        <f>IFERROR((BN11-BI11)/BI109,"")</f>
        <v>0.212635839350047</v>
      </c>
      <c r="BO30" s="255">
        <f>IFERROR((BO11-BJ11)/BJ109,"")</f>
        <v>0.157920724180497</v>
      </c>
      <c r="BP30" s="255">
        <f>IFERROR((BP11-BK11)/BK109,"")</f>
        <v>0.210744541987664</v>
      </c>
      <c r="BQ30" s="255">
        <f>IFERROR((BQ11-BL11)/BL109,"")</f>
        <v>0.251225701544754</v>
      </c>
      <c r="BR30" s="255">
        <f>IFERROR((BR11-BM11)/BM109,"")</f>
        <v>0.23465950191175</v>
      </c>
      <c r="BS30" s="255">
        <f>IFERROR((BS11-BN11)/BN109,"")</f>
        <v>0.216059476842086</v>
      </c>
      <c r="BT30" s="255">
        <f>IFERROR((BT11-BO11)/BO109,"")</f>
        <v>0.322162877534622</v>
      </c>
      <c r="BU30" s="255">
        <f>IFERROR((BU11-BP11)/BP109,"")</f>
        <v>0.269382944692314</v>
      </c>
      <c r="BV30" s="256">
        <f>IFERROR((BV11-BQ11)/BQ109,"")</f>
        <v>0.209260901099811</v>
      </c>
      <c r="BW30" s="256">
        <f>IFERROR((BW11-BR11)/BR109,"")</f>
        <v>0.207830388594634</v>
      </c>
      <c r="BX30" s="256">
        <f>IFERROR((BX11-BS11)/BS109,"")</f>
        <v>0.24681554371513</v>
      </c>
      <c r="BY30" s="256">
        <f>IFERROR((BY11-BX11)/BX109,"")</f>
        <v>0.1829212701629</v>
      </c>
      <c r="BZ30" s="256">
        <f>IFERROR((BZ11-BY11)/BY109,"")</f>
        <v>0.150829314018764</v>
      </c>
      <c r="CA30" s="256">
        <f>IFERROR((CA11-BZ11)/BZ109,"")</f>
        <v>0.129774146612998</v>
      </c>
      <c r="CB30" s="256">
        <f>IFERROR((CB11-CA11)/CA109,"")</f>
        <v>0.109008809708641</v>
      </c>
      <c r="CC30" s="256">
        <f>IFERROR((CC11-CB11)/CB109,"")</f>
        <v>0.0987683828434506</v>
      </c>
      <c r="CD30" s="153" t="n"/>
      <c r="CL30" s="25" t="inlineStr">
        <is>
          <t xml:space="preserve">  2029E</t>
        </is>
      </c>
      <c r="CM30" s="33">
        <f>CN30+$CM$27</f>
        <v>0.1</v>
      </c>
      <c r="CN30" s="260" t="n">
        <v>0.08</v>
      </c>
      <c r="CO30" s="33">
        <f>CN30+$CO$27</f>
        <v>0.04</v>
      </c>
    </row>
    <row r="31" ht="15" customHeight="1" s="251">
      <c r="B31" s="22" t="inlineStr">
        <is>
          <t xml:space="preserve">  Contribution to revenue growth — other revenue (pp)</t>
        </is>
      </c>
      <c r="C31" s="23" t="n"/>
      <c r="D31" s="255">
        <f>IFERROR((D28-C28)/C109,"")</f>
        <v>0.11969111969112</v>
      </c>
      <c r="E31" s="255">
        <f>IFERROR((E28-D28)/D109,"")</f>
        <v>0.228470111448835</v>
      </c>
      <c r="F31" s="255">
        <f>IFERROR((F28-E28)/E109,"")</f>
        <v>0.0681756938830504</v>
      </c>
      <c r="G31" s="23" t="n"/>
      <c r="H31" s="23" t="n"/>
      <c r="I31" s="23" t="n"/>
      <c r="J31" s="23" t="n"/>
      <c r="K31" s="255">
        <f>IFERROR((K28-F28)/F109,"")</f>
        <v>0.014934171742975</v>
      </c>
      <c r="L31" s="255">
        <f>IFERROR((L28-G28)/G109,"")</f>
        <v>0.0164609053497942</v>
      </c>
      <c r="M31" s="255">
        <f>IFERROR((M28-H28)/H109,"")</f>
        <v>0.0110314396028682</v>
      </c>
      <c r="N31" s="255">
        <f>IFERROR((N28-I28)/I109,"")</f>
        <v>0.0138888888888889</v>
      </c>
      <c r="O31" s="255">
        <f>IFERROR((O28-J28)/J109,"")</f>
        <v>0.00618955512572534</v>
      </c>
      <c r="P31" s="255">
        <f>IFERROR((P28-K28)/K109,"")</f>
        <v>0.0111788617886179</v>
      </c>
      <c r="Q31" s="255">
        <f>IFERROR((Q28-L28)/L109,"")</f>
        <v>-0.004396482813749</v>
      </c>
      <c r="R31" s="255">
        <f>IFERROR((R28-M28)/M109,"")</f>
        <v>-0.00652920962199313</v>
      </c>
      <c r="S31" s="255">
        <f>IFERROR((S28-N28)/N109,"")</f>
        <v>-0.0137371214486419</v>
      </c>
      <c r="T31" s="255">
        <f>IFERROR((T28-O28)/O109,"")</f>
        <v>-0.0137626590495975</v>
      </c>
      <c r="U31" s="255">
        <f>IFERROR((U28-P28)/P109,"")</f>
        <v>-0.0100272741857853</v>
      </c>
      <c r="V31" s="255">
        <f>IFERROR((V28-Q28)/Q109,"")</f>
        <v>-0.012701100762066</v>
      </c>
      <c r="W31" s="255">
        <f>IFERROR((W28-R28)/R109,"")</f>
        <v>-0.00445324096981692</v>
      </c>
      <c r="X31" s="255">
        <f>IFERROR((X28-S28)/S109,"")</f>
        <v>-0.0015552099533437</v>
      </c>
      <c r="Y31" s="255">
        <f>IFERROR((Y28-T28)/T109,"")</f>
        <v>-0.00410888546481767</v>
      </c>
      <c r="Z31" s="255">
        <f>IFERROR((Z28-U28)/U109,"")</f>
        <v>-0.00535475234270415</v>
      </c>
      <c r="AA31" s="255">
        <f>IFERROR((AA28-V28)/V109,"")</f>
        <v>-0.00111482720178372</v>
      </c>
      <c r="AB31" s="255">
        <f>IFERROR((AB28-W28)/W109,"")</f>
        <v>-0.00621504039776259</v>
      </c>
      <c r="AC31" s="255">
        <f>IFERROR((AC28-X28)/X109,"")</f>
        <v>-0.00128369704749679</v>
      </c>
      <c r="AD31" s="255">
        <f>IFERROR((AD28-Y28)/Y109,"")</f>
        <v>0.00147576342377114</v>
      </c>
      <c r="AE31" s="255">
        <f>IFERROR((AE28-Z28)/Z109,"")</f>
        <v>-0.00151964686301469</v>
      </c>
      <c r="AF31" s="255">
        <f>IFERROR((AF28-AA28)/AA109,"")</f>
        <v>-0.00049800796812749</v>
      </c>
      <c r="AG31" s="255">
        <f>IFERROR((AG28-AB28)/AB109,"")</f>
        <v>0.00386224654007081</v>
      </c>
      <c r="AH31" s="255">
        <f>IFERROR((AH28-AC28)/AC109,"")</f>
        <v>0.000193648334624322</v>
      </c>
      <c r="AI31" s="255">
        <f>IFERROR((AI28-AD28)/AD109,"")</f>
        <v>0.00624421831637373</v>
      </c>
      <c r="AJ31" s="255">
        <f>IFERROR((AJ28-AE28)/AE109,"")</f>
        <v>0.00280422109069441</v>
      </c>
      <c r="AK31" s="255">
        <f>IFERROR((AK28-AF28)/AF109,"")</f>
        <v>-0.000501420691960555</v>
      </c>
      <c r="AL31" s="255">
        <f>IFERROR((AL28-AG28)/AG109,"")</f>
        <v>0.00521502531932583</v>
      </c>
      <c r="AM31" s="255">
        <f>IFERROR((AM28-AH28)/AH109,"")</f>
        <v>0.00590077948568515</v>
      </c>
      <c r="AN31" s="255">
        <f>IFERROR((AN28-AI28)/AI109,"")</f>
        <v>0.00425682866264633</v>
      </c>
      <c r="AO31" s="255">
        <f>IFERROR((AO28-AJ28)/AJ109,"")</f>
        <v>0.00388624234392349</v>
      </c>
      <c r="AP31" s="255">
        <f>IFERROR((AP28-AK28)/AK109,"")</f>
        <v>0.00875505737215626</v>
      </c>
      <c r="AQ31" s="255">
        <f>IFERROR((AQ28-AL28)/AL109,"")</f>
        <v>0.00615894824114651</v>
      </c>
      <c r="AR31" s="255">
        <f>IFERROR((AR28-AM28)/AM109,"")</f>
        <v>-0.00113301608882846</v>
      </c>
      <c r="AS31" s="255">
        <f>IFERROR((AS28-AN28)/AN109,"")</f>
        <v>0.0255668342661987</v>
      </c>
      <c r="AT31" s="255">
        <f>IFERROR((AT28-AO28)/AO109,"")</f>
        <v>0.01066523331966</v>
      </c>
      <c r="AU31" s="255">
        <f>IFERROR((AU28-AP28)/AP109,"")</f>
        <v>0.024525004228449</v>
      </c>
      <c r="AV31" s="255">
        <f>IFERROR((AV28-AQ28)/AQ109,"")</f>
        <v>0.00701022100925777</v>
      </c>
      <c r="AW31" s="255">
        <f>IFERROR((AW28-AR28)/AR109,"")</f>
        <v>0.0225896599906847</v>
      </c>
      <c r="AX31" s="255">
        <f>IFERROR((AX28-AS28)/AS109,"")</f>
        <v>0.00523653462524936</v>
      </c>
      <c r="AY31" s="255">
        <f>IFERROR((AY28-AT28)/AT109,"")</f>
        <v>0.0139475367882278</v>
      </c>
      <c r="AZ31" s="255">
        <f>IFERROR((AZ28-AU28)/AU109,"")</f>
        <v>0.00680142142065645</v>
      </c>
      <c r="BA31" s="255">
        <f>IFERROR((BA28-AV28)/AV109,"")</f>
        <v>0.00594971970973622</v>
      </c>
      <c r="BB31" s="255">
        <f>IFERROR((BB28-AW28)/AW109,"")</f>
        <v>-0.00885901413305757</v>
      </c>
      <c r="BC31" s="255">
        <f>IFERROR((BC28-AX28)/AX109,"")</f>
        <v>-0.00359359686377001</v>
      </c>
      <c r="BD31" s="255">
        <f>IFERROR((BD28-AY28)/AY109,"")</f>
        <v>-0.000237430996616608</v>
      </c>
      <c r="BE31" s="255">
        <f>IFERROR((BE28-AZ28)/AZ109,"")</f>
        <v>-0.0131145191342984</v>
      </c>
      <c r="BF31" s="255">
        <f>IFERROR((BF28-BA28)/BA109,"")</f>
        <v>-0.00586357643466796</v>
      </c>
      <c r="BG31" s="255">
        <f>IFERROR((BG28-BB28)/BB109,"")</f>
        <v>0.000938154001587645</v>
      </c>
      <c r="BH31" s="255">
        <f>IFERROR((BH28-BC28)/BC109,"")</f>
        <v>0.0153583087206591</v>
      </c>
      <c r="BI31" s="255">
        <f>IFERROR((BI28-BD28)/BD109,"")</f>
        <v>-0.000111483676217102</v>
      </c>
      <c r="BJ31" s="255">
        <f>IFERROR((BJ28-BE28)/BE109,"")</f>
        <v>0.00963518938732763</v>
      </c>
      <c r="BK31" s="255">
        <f>IFERROR((BK28-BF28)/BF109,"")</f>
        <v>0.00753148535891747</v>
      </c>
      <c r="BL31" s="255">
        <f>IFERROR((BL28-BG28)/BG109,"")</f>
        <v>0.00588648743630293</v>
      </c>
      <c r="BM31" s="255">
        <f>IFERROR((BM28-BH28)/BH109,"")</f>
        <v>0.00491137094562589</v>
      </c>
      <c r="BN31" s="255">
        <f>IFERROR((BN28-BI28)/BI109,"")</f>
        <v>0.00677528872811374</v>
      </c>
      <c r="BO31" s="255">
        <f>IFERROR((BO28-BJ28)/BJ109,"")</f>
        <v>0.00279797010012344</v>
      </c>
      <c r="BP31" s="255">
        <f>IFERROR((BP28-BK28)/BK109,"")</f>
        <v>0.00540042486754882</v>
      </c>
      <c r="BQ31" s="255">
        <f>IFERROR((BQ28-BL28)/BL109,"")</f>
        <v>0.0112345709428663</v>
      </c>
      <c r="BR31" s="255">
        <f>IFERROR((BR28-BM28)/BM109,"")</f>
        <v>0.00318280458819882</v>
      </c>
      <c r="BS31" s="255">
        <f>IFERROR((BS28-BN28)/BN109,"")</f>
        <v>0.00561090814037605</v>
      </c>
      <c r="BT31" s="255">
        <f>IFERROR((BT28-BO28)/BO109,"")</f>
        <v>0.00862598667107813</v>
      </c>
      <c r="BU31" s="255">
        <f>IFERROR((BU28-BP28)/BP109,"")</f>
        <v>0.0102070881387322</v>
      </c>
      <c r="BV31" s="256">
        <f>IFERROR((BV28-BQ28)/BQ109,"")</f>
        <v>0.0104416866211996</v>
      </c>
      <c r="BW31" s="256">
        <f>IFERROR((BW28-BR28)/BR109,"")</f>
        <v>0.0108163903472377</v>
      </c>
      <c r="BX31" s="256">
        <f>IFERROR((BX28-BS28)/BS109,"")</f>
        <v>0.0101155368217043</v>
      </c>
      <c r="BY31" s="256">
        <f>IFERROR((BY28-BX28)/BX109,"")</f>
        <v>0.00801372864799109</v>
      </c>
      <c r="BZ31" s="256">
        <f>IFERROR((BZ28-BY28)/BY109,"")</f>
        <v>0.00710445972906959</v>
      </c>
      <c r="CA31" s="256">
        <f>IFERROR((CA28-BZ28)/BZ109,"")</f>
        <v>0.00665912452665289</v>
      </c>
      <c r="CB31" s="256">
        <f>IFERROR((CB28-CA28)/CA109,"")</f>
        <v>0.00593152868525452</v>
      </c>
      <c r="CC31" s="256">
        <f>IFERROR((CC28-CB28)/CB109,"")</f>
        <v>0.00492982773224974</v>
      </c>
      <c r="CD31" s="153" t="n"/>
      <c r="CL31" s="25" t="inlineStr">
        <is>
          <t xml:space="preserve">  2030E</t>
        </is>
      </c>
      <c r="CM31" s="33">
        <f>CN31+$CM$27</f>
        <v>0.09</v>
      </c>
      <c r="CN31" s="260" t="n">
        <v>0.07000000000000001</v>
      </c>
      <c r="CO31" s="33">
        <f>CN31+$CO$27</f>
        <v>0.03</v>
      </c>
    </row>
    <row r="32" ht="15" customHeight="1" s="251">
      <c r="CL32" s="25" t="inlineStr">
        <is>
          <t xml:space="preserve">  2031E</t>
        </is>
      </c>
      <c r="CM32" s="33">
        <f>CN32+$CM$27</f>
        <v>0.08</v>
      </c>
      <c r="CN32" s="260" t="n">
        <v>0.06</v>
      </c>
      <c r="CO32" s="33">
        <f>CN32+$CO$27</f>
        <v>0.02</v>
      </c>
    </row>
    <row r="33" ht="15" customHeight="1" s="251">
      <c r="B33" s="14" t="inlineStr">
        <is>
          <t>Segment results — Family of Apps · Reality Labs (first presented in the Q4-2021 release; FY2019-20, Q4-2020 and 2021 quarters recast)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4" t="n"/>
      <c r="AU33" s="14" t="n"/>
      <c r="AV33" s="14" t="n"/>
      <c r="AW33" s="14" t="n"/>
      <c r="AX33" s="14" t="n"/>
      <c r="AY33" s="14" t="n"/>
      <c r="AZ33" s="14" t="n"/>
      <c r="BA33" s="14" t="n"/>
      <c r="BB33" s="14" t="n"/>
      <c r="BC33" s="14" t="n"/>
      <c r="BD33" s="14" t="n"/>
      <c r="BE33" s="14" t="n"/>
      <c r="BF33" s="14" t="n"/>
      <c r="BG33" s="14" t="n"/>
      <c r="BH33" s="14" t="n"/>
      <c r="BI33" s="14" t="n"/>
      <c r="BJ33" s="14" t="n"/>
      <c r="BK33" s="14" t="n"/>
      <c r="BL33" s="14" t="n"/>
      <c r="BM33" s="14" t="n"/>
      <c r="BN33" s="14" t="n"/>
      <c r="BO33" s="14" t="n"/>
      <c r="BP33" s="14" t="n"/>
      <c r="BQ33" s="14" t="n"/>
      <c r="BR33" s="14" t="n"/>
      <c r="BS33" s="14" t="n"/>
      <c r="BT33" s="14" t="n"/>
      <c r="BU33" s="14" t="n"/>
      <c r="BV33" s="14" t="n"/>
      <c r="BW33" s="14" t="n"/>
      <c r="BX33" s="14" t="n"/>
      <c r="BY33" s="14" t="n"/>
      <c r="BZ33" s="14" t="n"/>
      <c r="CA33" s="14" t="n"/>
      <c r="CB33" s="14" t="n"/>
      <c r="CC33" s="14" t="n"/>
      <c r="CD33" s="15" t="inlineStr">
        <is>
          <t>SEGMENTS — FoA income = consolidated income from operations − Reality Labs result (forecast)</t>
        </is>
      </c>
      <c r="CL33" s="15" t="inlineStr">
        <is>
          <t>PRICE (average price per ad y/y)</t>
        </is>
      </c>
      <c r="CM33" s="265" t="n">
        <v>0.02</v>
      </c>
      <c r="CN33" s="21" t="inlineStr">
        <is>
          <t>Δ →</t>
        </is>
      </c>
      <c r="CO33" s="265" t="n">
        <v>-0.04</v>
      </c>
      <c r="CP33" s="13" t="inlineStr">
        <is>
          <t>1H/26 +12% (both quarters); FY25 +9%, FY24 +10%; AI ranking and ad-format gains vs mix shift to lower-monetizing geographies. Assumption.</t>
        </is>
      </c>
    </row>
    <row r="34" ht="15" customHeight="1" s="251">
      <c r="B34" s="16" t="inlineStr">
        <is>
          <t xml:space="preserve">  Family of Apps revenue</t>
        </is>
      </c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  <c r="AA34" s="43" t="n"/>
      <c r="AB34" s="43" t="n"/>
      <c r="AC34" s="43" t="n"/>
      <c r="AD34" s="43" t="n"/>
      <c r="AE34" s="43" t="n"/>
      <c r="AF34" s="43" t="n"/>
      <c r="AG34" s="43" t="n"/>
      <c r="AH34" s="43" t="n"/>
      <c r="AI34" s="43" t="n"/>
      <c r="AJ34" s="43" t="n"/>
      <c r="AK34" s="43" t="n"/>
      <c r="AL34" s="43" t="n"/>
      <c r="AM34" s="43" t="n"/>
      <c r="AN34" s="43" t="n"/>
      <c r="AO34" s="253" t="n">
        <v>70196</v>
      </c>
      <c r="AP34" s="43" t="n"/>
      <c r="AQ34" s="43" t="n"/>
      <c r="AR34" s="43" t="n"/>
      <c r="AS34" s="253" t="n">
        <v>27355</v>
      </c>
      <c r="AT34" s="253" t="n">
        <v>84826</v>
      </c>
      <c r="AU34" s="253" t="n">
        <v>25637</v>
      </c>
      <c r="AV34" s="253" t="n">
        <v>28772</v>
      </c>
      <c r="AW34" s="253" t="n">
        <v>28452</v>
      </c>
      <c r="AX34" s="253" t="n">
        <v>32794</v>
      </c>
      <c r="AY34" s="253" t="n">
        <v>115655</v>
      </c>
      <c r="AZ34" s="253" t="n">
        <v>27213</v>
      </c>
      <c r="BA34" s="253" t="n">
        <v>28370</v>
      </c>
      <c r="BB34" s="253" t="n">
        <v>27429</v>
      </c>
      <c r="BC34" s="253" t="n">
        <v>31438</v>
      </c>
      <c r="BD34" s="253" t="n">
        <v>114450</v>
      </c>
      <c r="BE34" s="253" t="n">
        <v>28306</v>
      </c>
      <c r="BF34" s="253" t="n">
        <v>31723</v>
      </c>
      <c r="BG34" s="253" t="n">
        <v>33936</v>
      </c>
      <c r="BH34" s="253" t="n">
        <v>39040</v>
      </c>
      <c r="BI34" s="253" t="n">
        <v>133006</v>
      </c>
      <c r="BJ34" s="253" t="n">
        <v>36015</v>
      </c>
      <c r="BK34" s="253" t="n">
        <v>38718</v>
      </c>
      <c r="BL34" s="253" t="n">
        <v>40319</v>
      </c>
      <c r="BM34" s="253" t="n">
        <v>47302</v>
      </c>
      <c r="BN34" s="253" t="n">
        <v>162355</v>
      </c>
      <c r="BO34" s="253" t="n">
        <v>41902</v>
      </c>
      <c r="BP34" s="253" t="n">
        <v>47146</v>
      </c>
      <c r="BQ34" s="253" t="n">
        <v>50772</v>
      </c>
      <c r="BR34" s="253" t="n">
        <v>58938</v>
      </c>
      <c r="BS34" s="253" t="n">
        <v>198759</v>
      </c>
      <c r="BT34" s="253" t="n">
        <v>55909</v>
      </c>
      <c r="BU34" s="253" t="n">
        <v>60370</v>
      </c>
      <c r="BV34" s="254">
        <f>BV11+BV24</f>
        <v>61999.347826087</v>
      </c>
      <c r="BW34" s="254">
        <f>BW11+BW24</f>
        <v>71971.1289224699</v>
      </c>
      <c r="BX34" s="254">
        <f>SUM(BT34:BW34)</f>
        <v>250249.476748557</v>
      </c>
      <c r="BY34" s="254">
        <f>BY11+BY24</f>
        <v>298244.64254563</v>
      </c>
      <c r="BZ34" s="254">
        <f>BZ11+BZ24</f>
        <v>345497.362819105</v>
      </c>
      <c r="CA34" s="254">
        <f>CA11+CA24</f>
        <v>392738.337414322</v>
      </c>
      <c r="CB34" s="254">
        <f>CB11+CB24</f>
        <v>437926.564543129</v>
      </c>
      <c r="CC34" s="254">
        <f>CC11+CC24</f>
        <v>483351.494903987</v>
      </c>
      <c r="CD34" s="153" t="n"/>
      <c r="CF34" s="20">
        <f>IFERROR((CC34/BX34)^(1/5)-1,"n/m")</f>
        <v>0.140717167474171</v>
      </c>
      <c r="CG34" s="20">
        <f>IFERROR((BS34/AT34)^(1/5)-1,"n/m")</f>
        <v>0.185658346744547</v>
      </c>
      <c r="CH34" s="20" t="str">
        <f>IFERROR((BS34/U34)^(1/10)-1,"n/m")</f>
        <v>n/m</v>
      </c>
      <c r="CI34" s="20" t="str">
        <f>IFERROR((BS34/C34)^(1/16)-1,"n/m")</f>
        <v>n/m</v>
      </c>
      <c r="CL34" s="25" t="inlineStr">
        <is>
          <t xml:space="preserve">  2027E</t>
        </is>
      </c>
      <c r="CM34" s="33">
        <f>CN34+$CM$33</f>
        <v>0.1</v>
      </c>
      <c r="CN34" s="260" t="n">
        <v>0.08</v>
      </c>
      <c r="CO34" s="33">
        <f>CN34+$CO$33</f>
        <v>0.04</v>
      </c>
    </row>
    <row r="35" ht="15" customHeight="1" s="251">
      <c r="B35" s="22" t="inlineStr">
        <is>
          <t xml:space="preserve">    y/y %</t>
        </is>
      </c>
      <c r="C35" s="23" t="n"/>
      <c r="D35" s="255">
        <f>IF(AND(ISNUMBER(D34),ISNUMBER(C34)),IFERROR(D34/C34-1,""),"")</f>
      </c>
      <c r="E35" s="255">
        <f>IF(AND(ISNUMBER(E34),ISNUMBER(D34)),IFERROR(E34/D34-1,""),"")</f>
      </c>
      <c r="F35" s="255">
        <f>IF(AND(ISNUMBER(F34),ISNUMBER(E34)),IFERROR(F34/E34-1,""),"")</f>
      </c>
      <c r="G35" s="23" t="n"/>
      <c r="H35" s="23" t="n"/>
      <c r="I35" s="23" t="n"/>
      <c r="J35" s="23" t="n"/>
      <c r="K35" s="255">
        <f>IF(AND(ISNUMBER(K34),ISNUMBER(F34)),IFERROR(K34/F34-1,""),"")</f>
      </c>
      <c r="L35" s="255">
        <f>IF(AND(ISNUMBER(L34),ISNUMBER(G34)),IFERROR(L34/G34-1,""),"")</f>
      </c>
      <c r="M35" s="255">
        <f>IF(AND(ISNUMBER(M34),ISNUMBER(H34)),IFERROR(M34/H34-1,""),"")</f>
      </c>
      <c r="N35" s="255">
        <f>IF(AND(ISNUMBER(N34),ISNUMBER(I34)),IFERROR(N34/I34-1,""),"")</f>
      </c>
      <c r="O35" s="255">
        <f>IF(AND(ISNUMBER(O34),ISNUMBER(J34)),IFERROR(O34/J34-1,""),"")</f>
      </c>
      <c r="P35" s="255">
        <f>IF(AND(ISNUMBER(P34),ISNUMBER(K34)),IFERROR(P34/K34-1,""),"")</f>
      </c>
      <c r="Q35" s="255">
        <f>IF(AND(ISNUMBER(Q34),ISNUMBER(L34)),IFERROR(Q34/L34-1,""),"")</f>
      </c>
      <c r="R35" s="255">
        <f>IF(AND(ISNUMBER(R34),ISNUMBER(M34)),IFERROR(R34/M34-1,""),"")</f>
      </c>
      <c r="S35" s="255">
        <f>IF(AND(ISNUMBER(S34),ISNUMBER(N34)),IFERROR(S34/N34-1,""),"")</f>
      </c>
      <c r="T35" s="255">
        <f>IF(AND(ISNUMBER(T34),ISNUMBER(O34)),IFERROR(T34/O34-1,""),"")</f>
      </c>
      <c r="U35" s="255">
        <f>IF(AND(ISNUMBER(U34),ISNUMBER(P34)),IFERROR(U34/P34-1,""),"")</f>
      </c>
      <c r="V35" s="255">
        <f>IF(AND(ISNUMBER(V34),ISNUMBER(Q34)),IFERROR(V34/Q34-1,""),"")</f>
      </c>
      <c r="W35" s="255">
        <f>IF(AND(ISNUMBER(W34),ISNUMBER(R34)),IFERROR(W34/R34-1,""),"")</f>
      </c>
      <c r="X35" s="255">
        <f>IF(AND(ISNUMBER(X34),ISNUMBER(S34)),IFERROR(X34/S34-1,""),"")</f>
      </c>
      <c r="Y35" s="255">
        <f>IF(AND(ISNUMBER(Y34),ISNUMBER(T34)),IFERROR(Y34/T34-1,""),"")</f>
      </c>
      <c r="Z35" s="255">
        <f>IF(AND(ISNUMBER(Z34),ISNUMBER(U34)),IFERROR(Z34/U34-1,""),"")</f>
      </c>
      <c r="AA35" s="255">
        <f>IF(AND(ISNUMBER(AA34),ISNUMBER(V34)),IFERROR(AA34/V34-1,""),"")</f>
      </c>
      <c r="AB35" s="255">
        <f>IF(AND(ISNUMBER(AB34),ISNUMBER(W34)),IFERROR(AB34/W34-1,""),"")</f>
      </c>
      <c r="AC35" s="255">
        <f>IF(AND(ISNUMBER(AC34),ISNUMBER(X34)),IFERROR(AC34/X34-1,""),"")</f>
      </c>
      <c r="AD35" s="255">
        <f>IF(AND(ISNUMBER(AD34),ISNUMBER(Y34)),IFERROR(AD34/Y34-1,""),"")</f>
      </c>
      <c r="AE35" s="255">
        <f>IF(AND(ISNUMBER(AE34),ISNUMBER(Z34)),IFERROR(AE34/Z34-1,""),"")</f>
      </c>
      <c r="AF35" s="255">
        <f>IF(AND(ISNUMBER(AF34),ISNUMBER(AA34)),IFERROR(AF34/AA34-1,""),"")</f>
      </c>
      <c r="AG35" s="255">
        <f>IF(AND(ISNUMBER(AG34),ISNUMBER(AB34)),IFERROR(AG34/AB34-1,""),"")</f>
      </c>
      <c r="AH35" s="255">
        <f>IF(AND(ISNUMBER(AH34),ISNUMBER(AC34)),IFERROR(AH34/AC34-1,""),"")</f>
      </c>
      <c r="AI35" s="255">
        <f>IF(AND(ISNUMBER(AI34),ISNUMBER(AD34)),IFERROR(AI34/AD34-1,""),"")</f>
      </c>
      <c r="AJ35" s="255">
        <f>IF(AND(ISNUMBER(AJ34),ISNUMBER(AE34)),IFERROR(AJ34/AE34-1,""),"")</f>
      </c>
      <c r="AK35" s="255">
        <f>IF(AND(ISNUMBER(AK34),ISNUMBER(AF34)),IFERROR(AK34/AF34-1,""),"")</f>
      </c>
      <c r="AL35" s="255">
        <f>IF(AND(ISNUMBER(AL34),ISNUMBER(AG34)),IFERROR(AL34/AG34-1,""),"")</f>
      </c>
      <c r="AM35" s="255">
        <f>IF(AND(ISNUMBER(AM34),ISNUMBER(AH34)),IFERROR(AM34/AH34-1,""),"")</f>
      </c>
      <c r="AN35" s="255">
        <f>IF(AND(ISNUMBER(AN34),ISNUMBER(AI34)),IFERROR(AN34/AI34-1,""),"")</f>
      </c>
      <c r="AO35" s="255">
        <f>IF(AND(ISNUMBER(AO34),ISNUMBER(AJ34)),IFERROR(AO34/AJ34-1,""),"")</f>
      </c>
      <c r="AP35" s="255">
        <f>IF(AND(ISNUMBER(AP34),ISNUMBER(AK34)),IFERROR(AP34/AK34-1,""),"")</f>
      </c>
      <c r="AQ35" s="255">
        <f>IF(AND(ISNUMBER(AQ34),ISNUMBER(AL34)),IFERROR(AQ34/AL34-1,""),"")</f>
      </c>
      <c r="AR35" s="255">
        <f>IF(AND(ISNUMBER(AR34),ISNUMBER(AM34)),IFERROR(AR34/AM34-1,""),"")</f>
      </c>
      <c r="AS35" s="255">
        <f>IF(AND(ISNUMBER(AS34),ISNUMBER(AN34)),IFERROR(AS34/AN34-1,""),"")</f>
      </c>
      <c r="AT35" s="255">
        <f>IF(AND(ISNUMBER(AT34),ISNUMBER(AO34)),IFERROR(AT34/AO34-1,""),"")</f>
        <v>0.208416433984842</v>
      </c>
      <c r="AU35" s="255">
        <f>IF(AND(ISNUMBER(AU34),ISNUMBER(AP34)),IFERROR(AU34/AP34-1,""),"")</f>
      </c>
      <c r="AV35" s="255">
        <f>IF(AND(ISNUMBER(AV34),ISNUMBER(AQ34)),IFERROR(AV34/AQ34-1,""),"")</f>
      </c>
      <c r="AW35" s="255">
        <f>IF(AND(ISNUMBER(AW34),ISNUMBER(AR34)),IFERROR(AW34/AR34-1,""),"")</f>
      </c>
      <c r="AX35" s="255">
        <f>IF(AND(ISNUMBER(AX34),ISNUMBER(AS34)),IFERROR(AX34/AS34-1,""),"")</f>
        <v>0.198830195576677</v>
      </c>
      <c r="AY35" s="255">
        <f>IF(AND(ISNUMBER(AY34),ISNUMBER(AT34)),IFERROR(AY34/AT34-1,""),"")</f>
        <v>0.36343809680994</v>
      </c>
      <c r="AZ35" s="255">
        <f>IF(AND(ISNUMBER(AZ34),ISNUMBER(AU34)),IFERROR(AZ34/AU34-1,""),"")</f>
        <v>0.0614736513632641</v>
      </c>
      <c r="BA35" s="255">
        <f>IF(AND(ISNUMBER(BA34),ISNUMBER(AV34)),IFERROR(BA34/AV34-1,""),"")</f>
        <v>-0.0139719171416655</v>
      </c>
      <c r="BB35" s="255">
        <f>IF(AND(ISNUMBER(BB34),ISNUMBER(AW34)),IFERROR(BB34/AW34-1,""),"")</f>
        <v>-0.0359552931252636</v>
      </c>
      <c r="BC35" s="255">
        <f>IF(AND(ISNUMBER(BC34),ISNUMBER(AX34)),IFERROR(BC34/AX34-1,""),"")</f>
        <v>-0.0413490272610844</v>
      </c>
      <c r="BD35" s="255">
        <f>IF(AND(ISNUMBER(BD34),ISNUMBER(AY34)),IFERROR(BD34/AY34-1,""),"")</f>
        <v>-0.0104189183347023</v>
      </c>
      <c r="BE35" s="255">
        <f>IF(AND(ISNUMBER(BE34),ISNUMBER(AZ34)),IFERROR(BE34/AZ34-1,""),"")</f>
        <v>0.0401646272002352</v>
      </c>
      <c r="BF35" s="255">
        <f>IF(AND(ISNUMBER(BF34),ISNUMBER(BA34)),IFERROR(BF34/BA34-1,""),"")</f>
        <v>0.118188227000352</v>
      </c>
      <c r="BG35" s="255">
        <f>IF(AND(ISNUMBER(BG34),ISNUMBER(BB34)),IFERROR(BG34/BB34-1,""),"")</f>
        <v>0.237230668270808</v>
      </c>
      <c r="BH35" s="255">
        <f>IF(AND(ISNUMBER(BH34),ISNUMBER(BC34)),IFERROR(BH34/BC34-1,""),"")</f>
        <v>0.241809275399199</v>
      </c>
      <c r="BI35" s="255">
        <f>IF(AND(ISNUMBER(BI34),ISNUMBER(BD34)),IFERROR(BI34/BD34-1,""),"")</f>
        <v>0.162131935342944</v>
      </c>
      <c r="BJ35" s="255">
        <f>IF(AND(ISNUMBER(BJ34),ISNUMBER(BE34)),IFERROR(BJ34/BE34-1,""),"")</f>
        <v>0.272345085847524</v>
      </c>
      <c r="BK35" s="255">
        <f>IF(AND(ISNUMBER(BK34),ISNUMBER(BF34)),IFERROR(BK34/BF34-1,""),"")</f>
        <v>0.220502474545283</v>
      </c>
      <c r="BL35" s="255">
        <f>IF(AND(ISNUMBER(BL34),ISNUMBER(BG34)),IFERROR(BL34/BG34-1,""),"")</f>
        <v>0.188089344648751</v>
      </c>
      <c r="BM35" s="255">
        <f>IF(AND(ISNUMBER(BM34),ISNUMBER(BH34)),IFERROR(BM34/BH34-1,""),"")</f>
        <v>0.211629098360656</v>
      </c>
      <c r="BN35" s="255">
        <f>IF(AND(ISNUMBER(BN34),ISNUMBER(BI34)),IFERROR(BN34/BI34-1,""),"")</f>
        <v>0.220659218381126</v>
      </c>
      <c r="BO35" s="255">
        <f>IF(AND(ISNUMBER(BO34),ISNUMBER(BJ34)),IFERROR(BO34/BJ34-1,""),"")</f>
        <v>0.163459669582119</v>
      </c>
      <c r="BP35" s="255">
        <f>IF(AND(ISNUMBER(BP34),ISNUMBER(BK34)),IFERROR(BP34/BK34-1,""),"")</f>
        <v>0.217676532878764</v>
      </c>
      <c r="BQ35" s="255">
        <f>IF(AND(ISNUMBER(BQ34),ISNUMBER(BL34)),IFERROR(BQ34/BL34-1,""),"")</f>
        <v>0.259257422059079</v>
      </c>
      <c r="BR35" s="255">
        <f>IF(AND(ISNUMBER(BR34),ISNUMBER(BM34)),IFERROR(BR34/BM34-1,""),"")</f>
        <v>0.245993826899497</v>
      </c>
      <c r="BS35" s="255">
        <f>IF(AND(ISNUMBER(BS34),ISNUMBER(BN34)),IFERROR(BS34/BN34-1,""),"")</f>
        <v>0.224224692802809</v>
      </c>
      <c r="BT35" s="255">
        <f>IF(AND(ISNUMBER(BT34),ISNUMBER(BO34)),IFERROR(BT34/BO34-1,""),"")</f>
        <v>0.334279986635483</v>
      </c>
      <c r="BU35" s="255">
        <f>IF(AND(ISNUMBER(BU34),ISNUMBER(BP34)),IFERROR(BU34/BP34-1,""),"")</f>
        <v>0.280490391549654</v>
      </c>
      <c r="BV35" s="256">
        <f>IF(AND(ISNUMBER(BV34),ISNUMBER(BQ34)),IFERROR(BV34/BQ34-1,""),"")</f>
        <v>0.221132668125876</v>
      </c>
      <c r="BW35" s="256">
        <f>IF(AND(ISNUMBER(BW34),ISNUMBER(BR34)),IFERROR(BW34/BR34-1,""),"")</f>
        <v>0.221132867122567</v>
      </c>
      <c r="BX35" s="256">
        <f>IF(AND(ISNUMBER(BX34),ISNUMBER(BS34)),IFERROR(BX34/BS34-1,""),"")</f>
        <v>0.259059850112734</v>
      </c>
      <c r="BY35" s="256">
        <f>IF(AND(ISNUMBER(BY34),ISNUMBER(BX34)),IFERROR(BY34/BX34-1,""),"")</f>
        <v>0.191789275329022</v>
      </c>
      <c r="BZ35" s="256">
        <f>IF(AND(ISNUMBER(BZ34),ISNUMBER(BY34)),IFERROR(BZ34/BY34-1,""),"")</f>
        <v>0.158436107586564</v>
      </c>
      <c r="CA35" s="256">
        <f>IF(AND(ISNUMBER(CA34),ISNUMBER(BZ34)),IFERROR(CA34/BZ34-1,""),"")</f>
        <v>0.136733242215661</v>
      </c>
      <c r="CB35" s="256">
        <f>IF(AND(ISNUMBER(CB34),ISNUMBER(CA34)),IFERROR(CB34/CA34-1,""),"")</f>
        <v>0.115059373694746</v>
      </c>
      <c r="CC35" s="256">
        <f>IF(AND(ISNUMBER(CC34),ISNUMBER(CB34)),IFERROR(CC34/CB34-1,""),"")</f>
        <v>0.103727277673251</v>
      </c>
      <c r="CD35" s="153" t="n"/>
      <c r="CL35" s="25" t="inlineStr">
        <is>
          <t xml:space="preserve">  2028E</t>
        </is>
      </c>
      <c r="CM35" s="33">
        <f>CN35+$CM$33</f>
        <v>0.08</v>
      </c>
      <c r="CN35" s="260" t="n">
        <v>0.06</v>
      </c>
      <c r="CO35" s="33">
        <f>CN35+$CO$33</f>
        <v>0.02</v>
      </c>
    </row>
    <row r="36" ht="15" customHeight="1" s="251">
      <c r="B36" s="25" t="inlineStr">
        <is>
          <t xml:space="preserve">  Family of Apps income from operations</t>
        </is>
      </c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  <c r="AA36" s="34" t="n"/>
      <c r="AB36" s="34" t="n"/>
      <c r="AC36" s="34" t="n"/>
      <c r="AD36" s="34" t="n"/>
      <c r="AE36" s="34" t="n"/>
      <c r="AF36" s="34" t="n"/>
      <c r="AG36" s="34" t="n"/>
      <c r="AH36" s="34" t="n"/>
      <c r="AI36" s="34" t="n"/>
      <c r="AJ36" s="34" t="n"/>
      <c r="AK36" s="34" t="n"/>
      <c r="AL36" s="34" t="n"/>
      <c r="AM36" s="34" t="n"/>
      <c r="AN36" s="34" t="n"/>
      <c r="AO36" s="261" t="n">
        <v>28489</v>
      </c>
      <c r="AP36" s="34" t="n"/>
      <c r="AQ36" s="34" t="n"/>
      <c r="AR36" s="34" t="n"/>
      <c r="AS36" s="261" t="n">
        <v>14874</v>
      </c>
      <c r="AT36" s="261" t="n">
        <v>39294</v>
      </c>
      <c r="AU36" s="261" t="n">
        <v>13205</v>
      </c>
      <c r="AV36" s="261" t="n">
        <v>14799</v>
      </c>
      <c r="AW36" s="261" t="n">
        <v>13054</v>
      </c>
      <c r="AX36" s="261" t="n">
        <v>15889</v>
      </c>
      <c r="AY36" s="261" t="n">
        <v>56946</v>
      </c>
      <c r="AZ36" s="261" t="n">
        <v>11484</v>
      </c>
      <c r="BA36" s="261" t="n">
        <v>11164</v>
      </c>
      <c r="BB36" s="261" t="n">
        <v>9336</v>
      </c>
      <c r="BC36" s="261" t="n">
        <v>10678</v>
      </c>
      <c r="BD36" s="261" t="n">
        <v>42661</v>
      </c>
      <c r="BE36" s="261" t="n">
        <v>11219</v>
      </c>
      <c r="BF36" s="261" t="n">
        <v>13131</v>
      </c>
      <c r="BG36" s="261" t="n">
        <v>17490</v>
      </c>
      <c r="BH36" s="261" t="n">
        <v>21030</v>
      </c>
      <c r="BI36" s="261" t="n">
        <v>62871</v>
      </c>
      <c r="BJ36" s="261" t="n">
        <v>17664</v>
      </c>
      <c r="BK36" s="261" t="n">
        <v>19335</v>
      </c>
      <c r="BL36" s="261" t="n">
        <v>21778</v>
      </c>
      <c r="BM36" s="261" t="n">
        <v>28332</v>
      </c>
      <c r="BN36" s="261" t="n">
        <v>87109</v>
      </c>
      <c r="BO36" s="261" t="n">
        <v>21765</v>
      </c>
      <c r="BP36" s="261" t="n">
        <v>24971</v>
      </c>
      <c r="BQ36" s="261" t="n">
        <v>24967</v>
      </c>
      <c r="BR36" s="261" t="n">
        <v>30766</v>
      </c>
      <c r="BS36" s="261" t="n">
        <v>102469</v>
      </c>
      <c r="BT36" s="261" t="n">
        <v>26900</v>
      </c>
      <c r="BU36" s="261" t="n">
        <v>23394</v>
      </c>
      <c r="BV36" s="263">
        <f>BV116-BV38</f>
        <v>24203.7189474414</v>
      </c>
      <c r="BW36" s="263">
        <f>BW116-BW38</f>
        <v>30091.4650093534</v>
      </c>
      <c r="BX36" s="263">
        <f>SUM(BT36:BW36)</f>
        <v>104589.183956795</v>
      </c>
      <c r="BY36" s="263">
        <f>BY116-BY38</f>
        <v>122233.462145683</v>
      </c>
      <c r="BZ36" s="263">
        <f>BZ116-BZ38</f>
        <v>138615.078596139</v>
      </c>
      <c r="CA36" s="263">
        <f>CA116-CA38</f>
        <v>153765.024787283</v>
      </c>
      <c r="CB36" s="263">
        <f>CB116-CB38</f>
        <v>173014.506147673</v>
      </c>
      <c r="CC36" s="263">
        <f>CC116-CC38</f>
        <v>192281.06846433</v>
      </c>
      <c r="CD36" s="19" t="inlineStr">
        <is>
          <t>Forecast: consolidated income from operations − Reality Labs operating loss (FoA carries all one-off items in the forecast).</t>
        </is>
      </c>
      <c r="CF36" s="20">
        <f>IFERROR((CC36/BX36)^(1/5)-1,"n/m")</f>
        <v>0.12950966240914</v>
      </c>
      <c r="CG36" s="20">
        <f>IFERROR((BS36/AT36)^(1/5)-1,"n/m")</f>
        <v>0.211304279080605</v>
      </c>
      <c r="CH36" s="20" t="str">
        <f>IFERROR((BS36/U36)^(1/10)-1,"n/m")</f>
        <v>n/m</v>
      </c>
      <c r="CI36" s="20" t="str">
        <f>IFERROR((BS36/C36)^(1/16)-1,"n/m")</f>
        <v>n/m</v>
      </c>
      <c r="CL36" s="25" t="inlineStr">
        <is>
          <t xml:space="preserve">  2029E</t>
        </is>
      </c>
      <c r="CM36" s="33">
        <f>CN36+$CM$33</f>
        <v>0.07</v>
      </c>
      <c r="CN36" s="260" t="n">
        <v>0.05</v>
      </c>
      <c r="CO36" s="33">
        <f>CN36+$CO$33</f>
        <v>0.01</v>
      </c>
    </row>
    <row r="37" ht="15" customHeight="1" s="251">
      <c r="B37" s="25" t="inlineStr">
        <is>
          <t xml:space="preserve">  FoA operating margin %</t>
        </is>
      </c>
      <c r="C37" s="215">
        <f>IF(AND(ISNUMBER(C36),ISNUMBER(C34)),IFERROR(C36/C34,""),"")</f>
      </c>
      <c r="D37" s="215">
        <f>IF(AND(ISNUMBER(D36),ISNUMBER(D34)),IFERROR(D36/D34,""),"")</f>
      </c>
      <c r="E37" s="215">
        <f>IF(AND(ISNUMBER(E36),ISNUMBER(E34)),IFERROR(E36/E34,""),"")</f>
      </c>
      <c r="F37" s="215">
        <f>IF(AND(ISNUMBER(F36),ISNUMBER(F34)),IFERROR(F36/F34,""),"")</f>
      </c>
      <c r="G37" s="215">
        <f>IF(AND(ISNUMBER(G36),ISNUMBER(G34)),IFERROR(G36/G34,""),"")</f>
      </c>
      <c r="H37" s="215">
        <f>IF(AND(ISNUMBER(H36),ISNUMBER(H34)),IFERROR(H36/H34,""),"")</f>
      </c>
      <c r="I37" s="215">
        <f>IF(AND(ISNUMBER(I36),ISNUMBER(I34)),IFERROR(I36/I34,""),"")</f>
      </c>
      <c r="J37" s="215">
        <f>IF(AND(ISNUMBER(J36),ISNUMBER(J34)),IFERROR(J36/J34,""),"")</f>
      </c>
      <c r="K37" s="215">
        <f>IF(AND(ISNUMBER(K36),ISNUMBER(K34)),IFERROR(K36/K34,""),"")</f>
      </c>
      <c r="L37" s="215">
        <f>IF(AND(ISNUMBER(L36),ISNUMBER(L34)),IFERROR(L36/L34,""),"")</f>
      </c>
      <c r="M37" s="215">
        <f>IF(AND(ISNUMBER(M36),ISNUMBER(M34)),IFERROR(M36/M34,""),"")</f>
      </c>
      <c r="N37" s="215">
        <f>IF(AND(ISNUMBER(N36),ISNUMBER(N34)),IFERROR(N36/N34,""),"")</f>
      </c>
      <c r="O37" s="215">
        <f>IF(AND(ISNUMBER(O36),ISNUMBER(O34)),IFERROR(O36/O34,""),"")</f>
      </c>
      <c r="P37" s="215">
        <f>IF(AND(ISNUMBER(P36),ISNUMBER(P34)),IFERROR(P36/P34,""),"")</f>
      </c>
      <c r="Q37" s="215">
        <f>IF(AND(ISNUMBER(Q36),ISNUMBER(Q34)),IFERROR(Q36/Q34,""),"")</f>
      </c>
      <c r="R37" s="215">
        <f>IF(AND(ISNUMBER(R36),ISNUMBER(R34)),IFERROR(R36/R34,""),"")</f>
      </c>
      <c r="S37" s="215">
        <f>IF(AND(ISNUMBER(S36),ISNUMBER(S34)),IFERROR(S36/S34,""),"")</f>
      </c>
      <c r="T37" s="215">
        <f>IF(AND(ISNUMBER(T36),ISNUMBER(T34)),IFERROR(T36/T34,""),"")</f>
      </c>
      <c r="U37" s="215">
        <f>IF(AND(ISNUMBER(U36),ISNUMBER(U34)),IFERROR(U36/U34,""),"")</f>
      </c>
      <c r="V37" s="215">
        <f>IF(AND(ISNUMBER(V36),ISNUMBER(V34)),IFERROR(V36/V34,""),"")</f>
      </c>
      <c r="W37" s="215">
        <f>IF(AND(ISNUMBER(W36),ISNUMBER(W34)),IFERROR(W36/W34,""),"")</f>
      </c>
      <c r="X37" s="215">
        <f>IF(AND(ISNUMBER(X36),ISNUMBER(X34)),IFERROR(X36/X34,""),"")</f>
      </c>
      <c r="Y37" s="215">
        <f>IF(AND(ISNUMBER(Y36),ISNUMBER(Y34)),IFERROR(Y36/Y34,""),"")</f>
      </c>
      <c r="Z37" s="215">
        <f>IF(AND(ISNUMBER(Z36),ISNUMBER(Z34)),IFERROR(Z36/Z34,""),"")</f>
      </c>
      <c r="AA37" s="215">
        <f>IF(AND(ISNUMBER(AA36),ISNUMBER(AA34)),IFERROR(AA36/AA34,""),"")</f>
      </c>
      <c r="AB37" s="215">
        <f>IF(AND(ISNUMBER(AB36),ISNUMBER(AB34)),IFERROR(AB36/AB34,""),"")</f>
      </c>
      <c r="AC37" s="215">
        <f>IF(AND(ISNUMBER(AC36),ISNUMBER(AC34)),IFERROR(AC36/AC34,""),"")</f>
      </c>
      <c r="AD37" s="215">
        <f>IF(AND(ISNUMBER(AD36),ISNUMBER(AD34)),IFERROR(AD36/AD34,""),"")</f>
      </c>
      <c r="AE37" s="215">
        <f>IF(AND(ISNUMBER(AE36),ISNUMBER(AE34)),IFERROR(AE36/AE34,""),"")</f>
      </c>
      <c r="AF37" s="215">
        <f>IF(AND(ISNUMBER(AF36),ISNUMBER(AF34)),IFERROR(AF36/AF34,""),"")</f>
      </c>
      <c r="AG37" s="215">
        <f>IF(AND(ISNUMBER(AG36),ISNUMBER(AG34)),IFERROR(AG36/AG34,""),"")</f>
      </c>
      <c r="AH37" s="215">
        <f>IF(AND(ISNUMBER(AH36),ISNUMBER(AH34)),IFERROR(AH36/AH34,""),"")</f>
      </c>
      <c r="AI37" s="215">
        <f>IF(AND(ISNUMBER(AI36),ISNUMBER(AI34)),IFERROR(AI36/AI34,""),"")</f>
      </c>
      <c r="AJ37" s="215">
        <f>IF(AND(ISNUMBER(AJ36),ISNUMBER(AJ34)),IFERROR(AJ36/AJ34,""),"")</f>
      </c>
      <c r="AK37" s="215">
        <f>IF(AND(ISNUMBER(AK36),ISNUMBER(AK34)),IFERROR(AK36/AK34,""),"")</f>
      </c>
      <c r="AL37" s="215">
        <f>IF(AND(ISNUMBER(AL36),ISNUMBER(AL34)),IFERROR(AL36/AL34,""),"")</f>
      </c>
      <c r="AM37" s="215">
        <f>IF(AND(ISNUMBER(AM36),ISNUMBER(AM34)),IFERROR(AM36/AM34,""),"")</f>
      </c>
      <c r="AN37" s="215">
        <f>IF(AND(ISNUMBER(AN36),ISNUMBER(AN34)),IFERROR(AN36/AN34,""),"")</f>
      </c>
      <c r="AO37" s="215">
        <f>IF(AND(ISNUMBER(AO36),ISNUMBER(AO34)),IFERROR(AO36/AO34,""),"")</f>
        <v>0.40584933614451</v>
      </c>
      <c r="AP37" s="215">
        <f>IF(AND(ISNUMBER(AP36),ISNUMBER(AP34)),IFERROR(AP36/AP34,""),"")</f>
      </c>
      <c r="AQ37" s="215">
        <f>IF(AND(ISNUMBER(AQ36),ISNUMBER(AQ34)),IFERROR(AQ36/AQ34,""),"")</f>
      </c>
      <c r="AR37" s="215">
        <f>IF(AND(ISNUMBER(AR36),ISNUMBER(AR34)),IFERROR(AR36/AR34,""),"")</f>
      </c>
      <c r="AS37" s="215">
        <f>IF(AND(ISNUMBER(AS36),ISNUMBER(AS34)),IFERROR(AS36/AS34,""),"")</f>
        <v>0.543739718515811</v>
      </c>
      <c r="AT37" s="215">
        <f>IF(AND(ISNUMBER(AT36),ISNUMBER(AT34)),IFERROR(AT36/AT34,""),"")</f>
        <v>0.46323061325537</v>
      </c>
      <c r="AU37" s="215">
        <f>IF(AND(ISNUMBER(AU36),ISNUMBER(AU34)),IFERROR(AU36/AU34,""),"")</f>
        <v>0.515075866911105</v>
      </c>
      <c r="AV37" s="215">
        <f>IF(AND(ISNUMBER(AV36),ISNUMBER(AV34)),IFERROR(AV36/AV34,""),"")</f>
        <v>0.514354233282358</v>
      </c>
      <c r="AW37" s="215">
        <f>IF(AND(ISNUMBER(AW36),ISNUMBER(AW34)),IFERROR(AW36/AW34,""),"")</f>
        <v>0.458807816673696</v>
      </c>
      <c r="AX37" s="215">
        <f>IF(AND(ISNUMBER(AX36),ISNUMBER(AX34)),IFERROR(AX36/AX34,""),"")</f>
        <v>0.484509361468561</v>
      </c>
      <c r="AY37" s="215">
        <f>IF(AND(ISNUMBER(AY36),ISNUMBER(AY34)),IFERROR(AY36/AY34,""),"")</f>
        <v>0.492378193765942</v>
      </c>
      <c r="AZ37" s="215">
        <f>IF(AND(ISNUMBER(AZ36),ISNUMBER(AZ34)),IFERROR(AZ36/AZ34,""),"")</f>
        <v>0.422004189174292</v>
      </c>
      <c r="BA37" s="215">
        <f>IF(AND(ISNUMBER(BA36),ISNUMBER(BA34)),IFERROR(BA36/BA34,""),"")</f>
        <v>0.393514275643285</v>
      </c>
      <c r="BB37" s="215">
        <f>IF(AND(ISNUMBER(BB36),ISNUMBER(BB34)),IFERROR(BB36/BB34,""),"")</f>
        <v>0.340369681723723</v>
      </c>
      <c r="BC37" s="215">
        <f>IF(AND(ISNUMBER(BC36),ISNUMBER(BC34)),IFERROR(BC36/BC34,""),"")</f>
        <v>0.339652649659648</v>
      </c>
      <c r="BD37" s="215">
        <f>IF(AND(ISNUMBER(BD36),ISNUMBER(BD34)),IFERROR(BD36/BD34,""),"")</f>
        <v>0.372747924858017</v>
      </c>
      <c r="BE37" s="215">
        <f>IF(AND(ISNUMBER(BE36),ISNUMBER(BE34)),IFERROR(BE36/BE34,""),"")</f>
        <v>0.396347064226666</v>
      </c>
      <c r="BF37" s="215">
        <f>IF(AND(ISNUMBER(BF36),ISNUMBER(BF34)),IFERROR(BF36/BF34,""),"")</f>
        <v>0.413926803896227</v>
      </c>
      <c r="BG37" s="215">
        <f>IF(AND(ISNUMBER(BG36),ISNUMBER(BG34)),IFERROR(BG36/BG34,""),"")</f>
        <v>0.51538189533239</v>
      </c>
      <c r="BH37" s="215">
        <f>IF(AND(ISNUMBER(BH36),ISNUMBER(BH34)),IFERROR(BH36/BH34,""),"")</f>
        <v>0.538678278688525</v>
      </c>
      <c r="BI37" s="215">
        <f>IF(AND(ISNUMBER(BI36),ISNUMBER(BI34)),IFERROR(BI36/BI34,""),"")</f>
        <v>0.472692961219795</v>
      </c>
      <c r="BJ37" s="215">
        <f>IF(AND(ISNUMBER(BJ36),ISNUMBER(BJ34)),IFERROR(BJ36/BJ34,""),"")</f>
        <v>0.490462307371928</v>
      </c>
      <c r="BK37" s="215">
        <f>IF(AND(ISNUMBER(BK36),ISNUMBER(BK34)),IFERROR(BK36/BK34,""),"")</f>
        <v>0.499380133271347</v>
      </c>
      <c r="BL37" s="215">
        <f>IF(AND(ISNUMBER(BL36),ISNUMBER(BL34)),IFERROR(BL36/BL34,""),"")</f>
        <v>0.54014236464198</v>
      </c>
      <c r="BM37" s="215">
        <f>IF(AND(ISNUMBER(BM36),ISNUMBER(BM34)),IFERROR(BM36/BM34,""),"")</f>
        <v>0.59895987484673</v>
      </c>
      <c r="BN37" s="215">
        <f>IF(AND(ISNUMBER(BN36),ISNUMBER(BN34)),IFERROR(BN36/BN34,""),"")</f>
        <v>0.536534138154045</v>
      </c>
      <c r="BO37" s="215">
        <f>IF(AND(ISNUMBER(BO36),ISNUMBER(BO34)),IFERROR(BO36/BO34,""),"")</f>
        <v>0.519426280368479</v>
      </c>
      <c r="BP37" s="215">
        <f>IF(AND(ISNUMBER(BP36),ISNUMBER(BP34)),IFERROR(BP36/BP34,""),"")</f>
        <v>0.529652568616638</v>
      </c>
      <c r="BQ37" s="215">
        <f>IF(AND(ISNUMBER(BQ36),ISNUMBER(BQ34)),IFERROR(BQ36/BQ34,""),"")</f>
        <v>0.491747419837706</v>
      </c>
      <c r="BR37" s="215">
        <f>IF(AND(ISNUMBER(BR36),ISNUMBER(BR34)),IFERROR(BR36/BR34,""),"")</f>
        <v>0.52200617598154</v>
      </c>
      <c r="BS37" s="215">
        <f>IF(AND(ISNUMBER(BS36),ISNUMBER(BS34)),IFERROR(BS36/BS34,""),"")</f>
        <v>0.51554395021106</v>
      </c>
      <c r="BT37" s="215">
        <f>IF(AND(ISNUMBER(BT36),ISNUMBER(BT34)),IFERROR(BT36/BT34,""),"")</f>
        <v>0.481138993721941</v>
      </c>
      <c r="BU37" s="215">
        <f>IF(AND(ISNUMBER(BU36),ISNUMBER(BU34)),IFERROR(BU36/BU34,""),"")</f>
        <v>0.38751035282425</v>
      </c>
      <c r="BV37" s="256">
        <f>IF(AND(ISNUMBER(BV36),ISNUMBER(BV34)),IFERROR(BV36/BV34,""),"")</f>
        <v>0.390386670120059</v>
      </c>
      <c r="BW37" s="256">
        <f>IF(AND(ISNUMBER(BW36),ISNUMBER(BW34)),IFERROR(BW36/BW34,""),"")</f>
        <v>0.418104668634128</v>
      </c>
      <c r="BX37" s="256">
        <f>IF(AND(ISNUMBER(BX36),ISNUMBER(BX34)),IFERROR(BX36/BX34,""),"")</f>
        <v>0.417939670906417</v>
      </c>
      <c r="BY37" s="256">
        <f>IF(AND(ISNUMBER(BY36),ISNUMBER(BY34)),IFERROR(BY36/BY34,""),"")</f>
        <v>0.409842943371503</v>
      </c>
      <c r="BZ37" s="256">
        <f>IF(AND(ISNUMBER(BZ36),ISNUMBER(BZ34)),IFERROR(BZ36/BZ34,""),"")</f>
        <v>0.401204447597231</v>
      </c>
      <c r="CA37" s="256">
        <f>IF(AND(ISNUMBER(CA36),ISNUMBER(CA34)),IFERROR(CA36/CA34,""),"")</f>
        <v>0.391520282434427</v>
      </c>
      <c r="CB37" s="256">
        <f>IF(AND(ISNUMBER(CB36),ISNUMBER(CB34)),IFERROR(CB36/CB34,""),"")</f>
        <v>0.395076526878821</v>
      </c>
      <c r="CC37" s="256">
        <f>IF(AND(ISNUMBER(CC36),ISNUMBER(CC34)),IFERROR(CC36/CC34,""),"")</f>
        <v>0.397807952373303</v>
      </c>
      <c r="CD37" s="153" t="n"/>
      <c r="CF37" s="37">
        <f>IFERROR(AVERAGE(BY37,BZ37,CA37,CB37,CC37),"n/m")</f>
        <v>0.399090430531057</v>
      </c>
      <c r="CG37" s="37">
        <f>IFERROR(AVERAGE(AY37,BD37,BI37,BN37,BS37),"n/m")</f>
        <v>0.477979433641772</v>
      </c>
      <c r="CH37" s="37">
        <f>IFERROR(AVERAGE(Z37,AE37,AJ37,AO37,AT37,AY37,BD37,BI37,BN37,BS37),"n/m")</f>
        <v>0.465568159658391</v>
      </c>
      <c r="CI37" s="37">
        <f>IFERROR(AVERAGE(C37,D37,E37,F37,K37,P37,U37,Z37,AE37,AJ37,AO37,AT37,AY37,BD37,BI37,BN37,BS37),"n/m")</f>
        <v>0.465568159658391</v>
      </c>
      <c r="CL37" s="25" t="inlineStr">
        <is>
          <t xml:space="preserve">  2030E</t>
        </is>
      </c>
      <c r="CM37" s="33">
        <f>CN37+$CM$33</f>
        <v>0.06</v>
      </c>
      <c r="CN37" s="260" t="n">
        <v>0.04</v>
      </c>
      <c r="CO37" s="33">
        <f>CN37+$CO$33</f>
        <v>0</v>
      </c>
    </row>
    <row r="38" ht="15" customHeight="1" s="251">
      <c r="B38" s="25" t="inlineStr">
        <is>
          <t xml:space="preserve">  Reality Labs income (loss) from operations</t>
        </is>
      </c>
      <c r="C38" s="34" t="n"/>
      <c r="D38" s="34" t="n"/>
      <c r="E38" s="34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  <c r="AA38" s="34" t="n"/>
      <c r="AB38" s="34" t="n"/>
      <c r="AC38" s="34" t="n"/>
      <c r="AD38" s="34" t="n"/>
      <c r="AE38" s="34" t="n"/>
      <c r="AF38" s="34" t="n"/>
      <c r="AG38" s="34" t="n"/>
      <c r="AH38" s="34" t="n"/>
      <c r="AI38" s="34" t="n"/>
      <c r="AJ38" s="34" t="n"/>
      <c r="AK38" s="34" t="n"/>
      <c r="AL38" s="34" t="n"/>
      <c r="AM38" s="34" t="n"/>
      <c r="AN38" s="34" t="n"/>
      <c r="AO38" s="261" t="n">
        <v>-4503</v>
      </c>
      <c r="AP38" s="34" t="n"/>
      <c r="AQ38" s="34" t="n"/>
      <c r="AR38" s="34" t="n"/>
      <c r="AS38" s="261" t="n">
        <v>-2099</v>
      </c>
      <c r="AT38" s="261" t="n">
        <v>-6623</v>
      </c>
      <c r="AU38" s="261" t="n">
        <v>-1827</v>
      </c>
      <c r="AV38" s="261" t="n">
        <v>-2432</v>
      </c>
      <c r="AW38" s="261" t="n">
        <v>-2631</v>
      </c>
      <c r="AX38" s="261" t="n">
        <v>-3304</v>
      </c>
      <c r="AY38" s="261" t="n">
        <v>-10193</v>
      </c>
      <c r="AZ38" s="261" t="n">
        <v>-2960</v>
      </c>
      <c r="BA38" s="261" t="n">
        <v>-2806</v>
      </c>
      <c r="BB38" s="261" t="n">
        <v>-3672</v>
      </c>
      <c r="BC38" s="261" t="n">
        <v>-4279</v>
      </c>
      <c r="BD38" s="261" t="n">
        <v>-13717</v>
      </c>
      <c r="BE38" s="261" t="n">
        <v>-3992</v>
      </c>
      <c r="BF38" s="261" t="n">
        <v>-3739</v>
      </c>
      <c r="BG38" s="261" t="n">
        <v>-3742</v>
      </c>
      <c r="BH38" s="261" t="n">
        <v>-4646</v>
      </c>
      <c r="BI38" s="261" t="n">
        <v>-16120</v>
      </c>
      <c r="BJ38" s="261" t="n">
        <v>-3846</v>
      </c>
      <c r="BK38" s="261" t="n">
        <v>-4488</v>
      </c>
      <c r="BL38" s="261" t="n">
        <v>-4428</v>
      </c>
      <c r="BM38" s="261" t="n">
        <v>-4967</v>
      </c>
      <c r="BN38" s="261" t="n">
        <v>-17729</v>
      </c>
      <c r="BO38" s="261" t="n">
        <v>-4210</v>
      </c>
      <c r="BP38" s="261" t="n">
        <v>-4530</v>
      </c>
      <c r="BQ38" s="261" t="n">
        <v>-4432</v>
      </c>
      <c r="BR38" s="261" t="n">
        <v>-6021</v>
      </c>
      <c r="BS38" s="261" t="n">
        <v>-19193</v>
      </c>
      <c r="BT38" s="261" t="n">
        <v>-4028</v>
      </c>
      <c r="BU38" s="261" t="n">
        <v>-4619</v>
      </c>
      <c r="BV38" s="263">
        <f>BQ38*IFERROR(SUM(BT38:BU38)/SUM(BO38:BP38),1)</f>
        <v>-4384.84027459954</v>
      </c>
      <c r="BW38" s="263">
        <f>BR38*IFERROR(SUM(BT38:BU38)/SUM(BO38:BP38),1)</f>
        <v>-5956.93215102975</v>
      </c>
      <c r="BX38" s="263">
        <f>SUM(BT38:BW38)</f>
        <v>-18988.7724256293</v>
      </c>
      <c r="BY38" s="263">
        <f>-CHOOSE(MATCH($CD$2,{"Bull","Base","Bear"},0),$CM$52,$CN$52,$CO$52)</f>
        <v>-20000</v>
      </c>
      <c r="BZ38" s="263">
        <f>-CHOOSE(MATCH($CD$2,{"Bull","Base","Bear"},0),$CM$53,$CN$53,$CO$53)</f>
        <v>-19500</v>
      </c>
      <c r="CA38" s="263">
        <f>-CHOOSE(MATCH($CD$2,{"Bull","Base","Bear"},0),$CM$54,$CN$54,$CO$54)</f>
        <v>-19000</v>
      </c>
      <c r="CB38" s="263">
        <f>-CHOOSE(MATCH($CD$2,{"Bull","Base","Bear"},0),$CM$55,$CN$55,$CO$55)</f>
        <v>-18000</v>
      </c>
      <c r="CC38" s="263">
        <f>-CHOOSE(MATCH($CD$2,{"Bull","Base","Bear"},0),$CM$56,$CN$56,$CO$56)</f>
        <v>-17000</v>
      </c>
      <c r="CD38" s="19" t="inlineStr">
        <is>
          <t>Q3/Q4-26E: prior-year quarter × 1H/26 ÷ 1H/25 loss ratio. 2027E+: scenario lever (operating loss, $m).</t>
        </is>
      </c>
      <c r="CL38" s="25" t="inlineStr">
        <is>
          <t xml:space="preserve">  2031E</t>
        </is>
      </c>
      <c r="CM38" s="33">
        <f>CN38+$CM$33</f>
        <v>0.06</v>
      </c>
      <c r="CN38" s="260" t="n">
        <v>0.04</v>
      </c>
      <c r="CO38" s="33">
        <f>CN38+$CO$33</f>
        <v>0</v>
      </c>
    </row>
    <row r="39" ht="15" customHeight="1" s="251">
      <c r="B39" s="22" t="inlineStr">
        <is>
          <t xml:space="preserve">    y/y %</t>
        </is>
      </c>
      <c r="C39" s="23" t="n"/>
      <c r="D39" s="255">
        <f>IF(AND(ISNUMBER(D38),ISNUMBER(C38)),IFERROR(D38/C38-1,""),"")</f>
      </c>
      <c r="E39" s="255">
        <f>IF(AND(ISNUMBER(E38),ISNUMBER(D38)),IFERROR(E38/D38-1,""),"")</f>
      </c>
      <c r="F39" s="255">
        <f>IF(AND(ISNUMBER(F38),ISNUMBER(E38)),IFERROR(F38/E38-1,""),"")</f>
      </c>
      <c r="G39" s="23" t="n"/>
      <c r="H39" s="23" t="n"/>
      <c r="I39" s="23" t="n"/>
      <c r="J39" s="23" t="n"/>
      <c r="K39" s="255">
        <f>IF(AND(ISNUMBER(K38),ISNUMBER(F38)),IFERROR(K38/F38-1,""),"")</f>
      </c>
      <c r="L39" s="255">
        <f>IF(AND(ISNUMBER(L38),ISNUMBER(G38)),IFERROR(L38/G38-1,""),"")</f>
      </c>
      <c r="M39" s="255">
        <f>IF(AND(ISNUMBER(M38),ISNUMBER(H38)),IFERROR(M38/H38-1,""),"")</f>
      </c>
      <c r="N39" s="255">
        <f>IF(AND(ISNUMBER(N38),ISNUMBER(I38)),IFERROR(N38/I38-1,""),"")</f>
      </c>
      <c r="O39" s="255">
        <f>IF(AND(ISNUMBER(O38),ISNUMBER(J38)),IFERROR(O38/J38-1,""),"")</f>
      </c>
      <c r="P39" s="255">
        <f>IF(AND(ISNUMBER(P38),ISNUMBER(K38)),IFERROR(P38/K38-1,""),"")</f>
      </c>
      <c r="Q39" s="255">
        <f>IF(AND(ISNUMBER(Q38),ISNUMBER(L38)),IFERROR(Q38/L38-1,""),"")</f>
      </c>
      <c r="R39" s="255">
        <f>IF(AND(ISNUMBER(R38),ISNUMBER(M38)),IFERROR(R38/M38-1,""),"")</f>
      </c>
      <c r="S39" s="255">
        <f>IF(AND(ISNUMBER(S38),ISNUMBER(N38)),IFERROR(S38/N38-1,""),"")</f>
      </c>
      <c r="T39" s="255">
        <f>IF(AND(ISNUMBER(T38),ISNUMBER(O38)),IFERROR(T38/O38-1,""),"")</f>
      </c>
      <c r="U39" s="255">
        <f>IF(AND(ISNUMBER(U38),ISNUMBER(P38)),IFERROR(U38/P38-1,""),"")</f>
      </c>
      <c r="V39" s="255">
        <f>IF(AND(ISNUMBER(V38),ISNUMBER(Q38)),IFERROR(V38/Q38-1,""),"")</f>
      </c>
      <c r="W39" s="255">
        <f>IF(AND(ISNUMBER(W38),ISNUMBER(R38)),IFERROR(W38/R38-1,""),"")</f>
      </c>
      <c r="X39" s="255">
        <f>IF(AND(ISNUMBER(X38),ISNUMBER(S38)),IFERROR(X38/S38-1,""),"")</f>
      </c>
      <c r="Y39" s="255">
        <f>IF(AND(ISNUMBER(Y38),ISNUMBER(T38)),IFERROR(Y38/T38-1,""),"")</f>
      </c>
      <c r="Z39" s="255">
        <f>IF(AND(ISNUMBER(Z38),ISNUMBER(U38)),IFERROR(Z38/U38-1,""),"")</f>
      </c>
      <c r="AA39" s="255">
        <f>IF(AND(ISNUMBER(AA38),ISNUMBER(V38)),IFERROR(AA38/V38-1,""),"")</f>
      </c>
      <c r="AB39" s="255">
        <f>IF(AND(ISNUMBER(AB38),ISNUMBER(W38)),IFERROR(AB38/W38-1,""),"")</f>
      </c>
      <c r="AC39" s="255">
        <f>IF(AND(ISNUMBER(AC38),ISNUMBER(X38)),IFERROR(AC38/X38-1,""),"")</f>
      </c>
      <c r="AD39" s="255">
        <f>IF(AND(ISNUMBER(AD38),ISNUMBER(Y38)),IFERROR(AD38/Y38-1,""),"")</f>
      </c>
      <c r="AE39" s="255">
        <f>IF(AND(ISNUMBER(AE38),ISNUMBER(Z38)),IFERROR(AE38/Z38-1,""),"")</f>
      </c>
      <c r="AF39" s="255">
        <f>IF(AND(ISNUMBER(AF38),ISNUMBER(AA38)),IFERROR(AF38/AA38-1,""),"")</f>
      </c>
      <c r="AG39" s="255">
        <f>IF(AND(ISNUMBER(AG38),ISNUMBER(AB38)),IFERROR(AG38/AB38-1,""),"")</f>
      </c>
      <c r="AH39" s="255">
        <f>IF(AND(ISNUMBER(AH38),ISNUMBER(AC38)),IFERROR(AH38/AC38-1,""),"")</f>
      </c>
      <c r="AI39" s="255">
        <f>IF(AND(ISNUMBER(AI38),ISNUMBER(AD38)),IFERROR(AI38/AD38-1,""),"")</f>
      </c>
      <c r="AJ39" s="255">
        <f>IF(AND(ISNUMBER(AJ38),ISNUMBER(AE38)),IFERROR(AJ38/AE38-1,""),"")</f>
      </c>
      <c r="AK39" s="255">
        <f>IF(AND(ISNUMBER(AK38),ISNUMBER(AF38)),IFERROR(AK38/AF38-1,""),"")</f>
      </c>
      <c r="AL39" s="255">
        <f>IF(AND(ISNUMBER(AL38),ISNUMBER(AG38)),IFERROR(AL38/AG38-1,""),"")</f>
      </c>
      <c r="AM39" s="255">
        <f>IF(AND(ISNUMBER(AM38),ISNUMBER(AH38)),IFERROR(AM38/AH38-1,""),"")</f>
      </c>
      <c r="AN39" s="255">
        <f>IF(AND(ISNUMBER(AN38),ISNUMBER(AI38)),IFERROR(AN38/AI38-1,""),"")</f>
      </c>
      <c r="AO39" s="255">
        <f>IF(AND(ISNUMBER(AO38),ISNUMBER(AJ38)),IFERROR(AO38/AJ38-1,""),"")</f>
      </c>
      <c r="AP39" s="255">
        <f>IF(AND(ISNUMBER(AP38),ISNUMBER(AK38)),IFERROR(AP38/AK38-1,""),"")</f>
      </c>
      <c r="AQ39" s="255">
        <f>IF(AND(ISNUMBER(AQ38),ISNUMBER(AL38)),IFERROR(AQ38/AL38-1,""),"")</f>
      </c>
      <c r="AR39" s="255">
        <f>IF(AND(ISNUMBER(AR38),ISNUMBER(AM38)),IFERROR(AR38/AM38-1,""),"")</f>
      </c>
      <c r="AS39" s="255">
        <f>IF(AND(ISNUMBER(AS38),ISNUMBER(AN38)),IFERROR(AS38/AN38-1,""),"")</f>
      </c>
      <c r="AT39" s="255">
        <f>IF(AND(ISNUMBER(AT38),ISNUMBER(AO38)),IFERROR(AT38/AO38-1,""),"")</f>
        <v>0.470797246280258</v>
      </c>
      <c r="AU39" s="255">
        <f>IF(AND(ISNUMBER(AU38),ISNUMBER(AP38)),IFERROR(AU38/AP38-1,""),"")</f>
      </c>
      <c r="AV39" s="255">
        <f>IF(AND(ISNUMBER(AV38),ISNUMBER(AQ38)),IFERROR(AV38/AQ38-1,""),"")</f>
      </c>
      <c r="AW39" s="255">
        <f>IF(AND(ISNUMBER(AW38),ISNUMBER(AR38)),IFERROR(AW38/AR38-1,""),"")</f>
      </c>
      <c r="AX39" s="255">
        <f>IF(AND(ISNUMBER(AX38),ISNUMBER(AS38)),IFERROR(AX38/AS38-1,""),"")</f>
        <v>0.574082896617437</v>
      </c>
      <c r="AY39" s="255">
        <f>IF(AND(ISNUMBER(AY38),ISNUMBER(AT38)),IFERROR(AY38/AT38-1,""),"")</f>
        <v>0.539030650762494</v>
      </c>
      <c r="AZ39" s="255">
        <f>IF(AND(ISNUMBER(AZ38),ISNUMBER(AU38)),IFERROR(AZ38/AU38-1,""),"")</f>
        <v>0.620142309797482</v>
      </c>
      <c r="BA39" s="255">
        <f>IF(AND(ISNUMBER(BA38),ISNUMBER(AV38)),IFERROR(BA38/AV38-1,""),"")</f>
        <v>0.153782894736842</v>
      </c>
      <c r="BB39" s="255">
        <f>IF(AND(ISNUMBER(BB38),ISNUMBER(AW38)),IFERROR(BB38/AW38-1,""),"")</f>
        <v>0.395667046750285</v>
      </c>
      <c r="BC39" s="255">
        <f>IF(AND(ISNUMBER(BC38),ISNUMBER(AX38)),IFERROR(BC38/AX38-1,""),"")</f>
        <v>0.295096852300242</v>
      </c>
      <c r="BD39" s="255">
        <f>IF(AND(ISNUMBER(BD38),ISNUMBER(AY38)),IFERROR(BD38/AY38-1,""),"")</f>
        <v>0.345727460021583</v>
      </c>
      <c r="BE39" s="255">
        <f>IF(AND(ISNUMBER(BE38),ISNUMBER(AZ38)),IFERROR(BE38/AZ38-1,""),"")</f>
        <v>0.348648648648649</v>
      </c>
      <c r="BF39" s="255">
        <f>IF(AND(ISNUMBER(BF38),ISNUMBER(BA38)),IFERROR(BF38/BA38-1,""),"")</f>
        <v>0.332501781895937</v>
      </c>
      <c r="BG39" s="255">
        <f>IF(AND(ISNUMBER(BG38),ISNUMBER(BB38)),IFERROR(BG38/BB38-1,""),"")</f>
        <v>0.0190631808278867</v>
      </c>
      <c r="BH39" s="255">
        <f>IF(AND(ISNUMBER(BH38),ISNUMBER(BC38)),IFERROR(BH38/BC38-1,""),"")</f>
        <v>0.0857677027342838</v>
      </c>
      <c r="BI39" s="255">
        <f>IF(AND(ISNUMBER(BI38),ISNUMBER(BD38)),IFERROR(BI38/BD38-1,""),"")</f>
        <v>0.175184078151199</v>
      </c>
      <c r="BJ39" s="255">
        <f>IF(AND(ISNUMBER(BJ38),ISNUMBER(BE38)),IFERROR(BJ38/BE38-1,""),"")</f>
        <v>-0.0365731462925851</v>
      </c>
      <c r="BK39" s="255">
        <f>IF(AND(ISNUMBER(BK38),ISNUMBER(BF38)),IFERROR(BK38/BF38-1,""),"")</f>
        <v>0.200320941428189</v>
      </c>
      <c r="BL39" s="255">
        <f>IF(AND(ISNUMBER(BL38),ISNUMBER(BG38)),IFERROR(BL38/BG38-1,""),"")</f>
        <v>0.183324425440941</v>
      </c>
      <c r="BM39" s="255">
        <f>IF(AND(ISNUMBER(BM38),ISNUMBER(BH38)),IFERROR(BM38/BH38-1,""),"")</f>
        <v>0.0690916917778734</v>
      </c>
      <c r="BN39" s="255">
        <f>IF(AND(ISNUMBER(BN38),ISNUMBER(BI38)),IFERROR(BN38/BI38-1,""),"")</f>
        <v>0.0998138957816377</v>
      </c>
      <c r="BO39" s="255">
        <f>IF(AND(ISNUMBER(BO38),ISNUMBER(BJ38)),IFERROR(BO38/BJ38-1,""),"")</f>
        <v>0.09464378575143</v>
      </c>
      <c r="BP39" s="255">
        <f>IF(AND(ISNUMBER(BP38),ISNUMBER(BK38)),IFERROR(BP38/BK38-1,""),"")</f>
        <v>0.0093582887700534</v>
      </c>
      <c r="BQ39" s="255">
        <f>IF(AND(ISNUMBER(BQ38),ISNUMBER(BL38)),IFERROR(BQ38/BL38-1,""),"")</f>
        <v>0.000903342366757043</v>
      </c>
      <c r="BR39" s="255">
        <f>IF(AND(ISNUMBER(BR38),ISNUMBER(BM38)),IFERROR(BR38/BM38-1,""),"")</f>
        <v>0.212200523454802</v>
      </c>
      <c r="BS39" s="255">
        <f>IF(AND(ISNUMBER(BS38),ISNUMBER(BN38)),IFERROR(BS38/BN38-1,""),"")</f>
        <v>0.0825765694624627</v>
      </c>
      <c r="BT39" s="255">
        <f>IF(AND(ISNUMBER(BT38),ISNUMBER(BO38)),IFERROR(BT38/BO38-1,""),"")</f>
        <v>-0.0432304038004751</v>
      </c>
      <c r="BU39" s="255">
        <f>IF(AND(ISNUMBER(BU38),ISNUMBER(BP38)),IFERROR(BU38/BP38-1,""),"")</f>
        <v>0.0196467991169977</v>
      </c>
      <c r="BV39" s="256">
        <f>IF(AND(ISNUMBER(BV38),ISNUMBER(BQ38)),IFERROR(BV38/BQ38-1,""),"")</f>
        <v>-0.0106407322654464</v>
      </c>
      <c r="BW39" s="256">
        <f>IF(AND(ISNUMBER(BW38),ISNUMBER(BR38)),IFERROR(BW38/BR38-1,""),"")</f>
        <v>-0.0106407322654463</v>
      </c>
      <c r="BX39" s="256">
        <f>IF(AND(ISNUMBER(BX38),ISNUMBER(BS38)),IFERROR(BX38/BS38-1,""),"")</f>
        <v>-0.0106407322654463</v>
      </c>
      <c r="BY39" s="256">
        <f>IF(AND(ISNUMBER(BY38),ISNUMBER(BX38)),IFERROR(BY38/BX38-1,""),"")</f>
        <v>0.0532539730164889</v>
      </c>
      <c r="BZ39" s="256">
        <f>IF(AND(ISNUMBER(BZ38),ISNUMBER(BY38)),IFERROR(BZ38/BY38-1,""),"")</f>
        <v>-0.025</v>
      </c>
      <c r="CA39" s="256">
        <f>IF(AND(ISNUMBER(CA38),ISNUMBER(BZ38)),IFERROR(CA38/BZ38-1,""),"")</f>
        <v>-0.0256410256410257</v>
      </c>
      <c r="CB39" s="256">
        <f>IF(AND(ISNUMBER(CB38),ISNUMBER(CA38)),IFERROR(CB38/CA38-1,""),"")</f>
        <v>-0.0526315789473685</v>
      </c>
      <c r="CC39" s="256">
        <f>IF(AND(ISNUMBER(CC38),ISNUMBER(CB38)),IFERROR(CC38/CB38-1,""),"")</f>
        <v>-0.0555555555555556</v>
      </c>
      <c r="CD39" s="153" t="n"/>
      <c r="CL39" s="15" t="inlineStr">
        <is>
          <t>FOTH (FoA other revenue y/y)</t>
        </is>
      </c>
      <c r="CM39" s="265" t="n">
        <v>0.1</v>
      </c>
      <c r="CN39" s="21" t="inlineStr">
        <is>
          <t>Δ →</t>
        </is>
      </c>
      <c r="CO39" s="265" t="n">
        <v>-0.15</v>
      </c>
      <c r="CP39" s="13" t="inlineStr">
        <is>
          <t>1H/26 +73%; FY25 +50% (WhatsApp business messaging, Meta Verified subscriptions). Assumption.</t>
        </is>
      </c>
    </row>
    <row r="40" ht="15" customHeight="1" s="251">
      <c r="B40" s="57" t="inlineStr">
        <is>
          <t xml:space="preserve">  Check: segment revenue vs consolidated revenue (should be 0)</t>
        </is>
      </c>
      <c r="C40" s="211">
        <f>IF(ISNUMBER(C34),ROUND(C34+C26-C109,1),"")</f>
      </c>
      <c r="D40" s="211">
        <f>IF(ISNUMBER(D34),ROUND(D34+D26-D109,1),"")</f>
      </c>
      <c r="E40" s="211">
        <f>IF(ISNUMBER(E34),ROUND(E34+E26-E109,1),"")</f>
      </c>
      <c r="F40" s="211">
        <f>IF(ISNUMBER(F34),ROUND(F34+F26-F109,1),"")</f>
      </c>
      <c r="G40" s="211">
        <f>IF(ISNUMBER(G34),ROUND(G34+G26-G109,1),"")</f>
      </c>
      <c r="H40" s="211">
        <f>IF(ISNUMBER(H34),ROUND(H34+H26-H109,1),"")</f>
      </c>
      <c r="I40" s="211">
        <f>IF(ISNUMBER(I34),ROUND(I34+I26-I109,1),"")</f>
      </c>
      <c r="J40" s="211">
        <f>IF(ISNUMBER(J34),ROUND(J34+J26-J109,1),"")</f>
      </c>
      <c r="K40" s="211">
        <f>IF(ISNUMBER(K34),ROUND(K34+K26-K109,1),"")</f>
      </c>
      <c r="L40" s="211">
        <f>IF(ISNUMBER(L34),ROUND(L34+L26-L109,1),"")</f>
      </c>
      <c r="M40" s="211">
        <f>IF(ISNUMBER(M34),ROUND(M34+M26-M109,1),"")</f>
      </c>
      <c r="N40" s="211">
        <f>IF(ISNUMBER(N34),ROUND(N34+N26-N109,1),"")</f>
      </c>
      <c r="O40" s="211">
        <f>IF(ISNUMBER(O34),ROUND(O34+O26-O109,1),"")</f>
      </c>
      <c r="P40" s="211">
        <f>IF(ISNUMBER(P34),ROUND(P34+P26-P109,1),"")</f>
      </c>
      <c r="Q40" s="211">
        <f>IF(ISNUMBER(Q34),ROUND(Q34+Q26-Q109,1),"")</f>
      </c>
      <c r="R40" s="211">
        <f>IF(ISNUMBER(R34),ROUND(R34+R26-R109,1),"")</f>
      </c>
      <c r="S40" s="211">
        <f>IF(ISNUMBER(S34),ROUND(S34+S26-S109,1),"")</f>
      </c>
      <c r="T40" s="211">
        <f>IF(ISNUMBER(T34),ROUND(T34+T26-T109,1),"")</f>
      </c>
      <c r="U40" s="211">
        <f>IF(ISNUMBER(U34),ROUND(U34+U26-U109,1),"")</f>
      </c>
      <c r="V40" s="211">
        <f>IF(ISNUMBER(V34),ROUND(V34+V26-V109,1),"")</f>
      </c>
      <c r="W40" s="211">
        <f>IF(ISNUMBER(W34),ROUND(W34+W26-W109,1),"")</f>
      </c>
      <c r="X40" s="211">
        <f>IF(ISNUMBER(X34),ROUND(X34+X26-X109,1),"")</f>
      </c>
      <c r="Y40" s="211">
        <f>IF(ISNUMBER(Y34),ROUND(Y34+Y26-Y109,1),"")</f>
      </c>
      <c r="Z40" s="211">
        <f>IF(ISNUMBER(Z34),ROUND(Z34+Z26-Z109,1),"")</f>
      </c>
      <c r="AA40" s="211">
        <f>IF(ISNUMBER(AA34),ROUND(AA34+AA26-AA109,1),"")</f>
      </c>
      <c r="AB40" s="211">
        <f>IF(ISNUMBER(AB34),ROUND(AB34+AB26-AB109,1),"")</f>
      </c>
      <c r="AC40" s="211">
        <f>IF(ISNUMBER(AC34),ROUND(AC34+AC26-AC109,1),"")</f>
      </c>
      <c r="AD40" s="211">
        <f>IF(ISNUMBER(AD34),ROUND(AD34+AD26-AD109,1),"")</f>
      </c>
      <c r="AE40" s="211">
        <f>IF(ISNUMBER(AE34),ROUND(AE34+AE26-AE109,1),"")</f>
      </c>
      <c r="AF40" s="211">
        <f>IF(ISNUMBER(AF34),ROUND(AF34+AF26-AF109,1),"")</f>
      </c>
      <c r="AG40" s="211">
        <f>IF(ISNUMBER(AG34),ROUND(AG34+AG26-AG109,1),"")</f>
      </c>
      <c r="AH40" s="211">
        <f>IF(ISNUMBER(AH34),ROUND(AH34+AH26-AH109,1),"")</f>
      </c>
      <c r="AI40" s="211">
        <f>IF(ISNUMBER(AI34),ROUND(AI34+AI26-AI109,1),"")</f>
      </c>
      <c r="AJ40" s="211">
        <f>IF(ISNUMBER(AJ34),ROUND(AJ34+AJ26-AJ109,1),"")</f>
      </c>
      <c r="AK40" s="211">
        <f>IF(ISNUMBER(AK34),ROUND(AK34+AK26-AK109,1),"")</f>
      </c>
      <c r="AL40" s="211">
        <f>IF(ISNUMBER(AL34),ROUND(AL34+AL26-AL109,1),"")</f>
      </c>
      <c r="AM40" s="211">
        <f>IF(ISNUMBER(AM34),ROUND(AM34+AM26-AM109,1),"")</f>
      </c>
      <c r="AN40" s="211">
        <f>IF(ISNUMBER(AN34),ROUND(AN34+AN26-AN109,1),"")</f>
      </c>
      <c r="AO40" s="211">
        <f>IF(ISNUMBER(AO34),ROUND(AO34+AO26-AO109,1),"")</f>
        <v>0</v>
      </c>
      <c r="AP40" s="211">
        <f>IF(ISNUMBER(AP34),ROUND(AP34+AP26-AP109,1),"")</f>
      </c>
      <c r="AQ40" s="211">
        <f>IF(ISNUMBER(AQ34),ROUND(AQ34+AQ26-AQ109,1),"")</f>
      </c>
      <c r="AR40" s="211">
        <f>IF(ISNUMBER(AR34),ROUND(AR34+AR26-AR109,1),"")</f>
      </c>
      <c r="AS40" s="211">
        <f>IF(ISNUMBER(AS34),ROUND(AS34+AS26-AS109,1),"")</f>
        <v>0</v>
      </c>
      <c r="AT40" s="211">
        <f>IF(ISNUMBER(AT34),ROUND(AT34+AT26-AT109,1),"")</f>
        <v>0</v>
      </c>
      <c r="AU40" s="211">
        <f>IF(ISNUMBER(AU34),ROUND(AU34+AU26-AU109,1),"")</f>
        <v>0</v>
      </c>
      <c r="AV40" s="211">
        <f>IF(ISNUMBER(AV34),ROUND(AV34+AV26-AV109,1),"")</f>
        <v>0</v>
      </c>
      <c r="AW40" s="211">
        <f>IF(ISNUMBER(AW34),ROUND(AW34+AW26-AW109,1),"")</f>
        <v>0</v>
      </c>
      <c r="AX40" s="211">
        <f>IF(ISNUMBER(AX34),ROUND(AX34+AX26-AX109,1),"")</f>
        <v>0</v>
      </c>
      <c r="AY40" s="211">
        <f>IF(ISNUMBER(AY34),ROUND(AY34+AY26-AY109,1),"")</f>
        <v>0</v>
      </c>
      <c r="AZ40" s="211">
        <f>IF(ISNUMBER(AZ34),ROUND(AZ34+AZ26-AZ109,1),"")</f>
        <v>0</v>
      </c>
      <c r="BA40" s="211">
        <f>IF(ISNUMBER(BA34),ROUND(BA34+BA26-BA109,1),"")</f>
        <v>0</v>
      </c>
      <c r="BB40" s="211">
        <f>IF(ISNUMBER(BB34),ROUND(BB34+BB26-BB109,1),"")</f>
        <v>0</v>
      </c>
      <c r="BC40" s="211">
        <f>IF(ISNUMBER(BC34),ROUND(BC34+BC26-BC109,1),"")</f>
        <v>0</v>
      </c>
      <c r="BD40" s="211">
        <f>IF(ISNUMBER(BD34),ROUND(BD34+BD26-BD109,1),"")</f>
        <v>0</v>
      </c>
      <c r="BE40" s="211">
        <f>IF(ISNUMBER(BE34),ROUND(BE34+BE26-BE109,1),"")</f>
        <v>0</v>
      </c>
      <c r="BF40" s="211">
        <f>IF(ISNUMBER(BF34),ROUND(BF34+BF26-BF109,1),"")</f>
        <v>0</v>
      </c>
      <c r="BG40" s="211">
        <f>IF(ISNUMBER(BG34),ROUND(BG34+BG26-BG109,1),"")</f>
        <v>0</v>
      </c>
      <c r="BH40" s="211">
        <f>IF(ISNUMBER(BH34),ROUND(BH34+BH26-BH109,1),"")</f>
        <v>0</v>
      </c>
      <c r="BI40" s="211">
        <f>IF(ISNUMBER(BI34),ROUND(BI34+BI26-BI109,1),"")</f>
        <v>0</v>
      </c>
      <c r="BJ40" s="211">
        <f>IF(ISNUMBER(BJ34),ROUND(BJ34+BJ26-BJ109,1),"")</f>
        <v>0</v>
      </c>
      <c r="BK40" s="211">
        <f>IF(ISNUMBER(BK34),ROUND(BK34+BK26-BK109,1),"")</f>
        <v>0</v>
      </c>
      <c r="BL40" s="211">
        <f>IF(ISNUMBER(BL34),ROUND(BL34+BL26-BL109,1),"")</f>
        <v>0</v>
      </c>
      <c r="BM40" s="211">
        <f>IF(ISNUMBER(BM34),ROUND(BM34+BM26-BM109,1),"")</f>
        <v>0</v>
      </c>
      <c r="BN40" s="211">
        <f>IF(ISNUMBER(BN34),ROUND(BN34+BN26-BN109,1),"")</f>
        <v>0</v>
      </c>
      <c r="BO40" s="211">
        <f>IF(ISNUMBER(BO34),ROUND(BO34+BO26-BO109,1),"")</f>
        <v>0</v>
      </c>
      <c r="BP40" s="211">
        <f>IF(ISNUMBER(BP34),ROUND(BP34+BP26-BP109,1),"")</f>
        <v>0</v>
      </c>
      <c r="BQ40" s="211">
        <f>IF(ISNUMBER(BQ34),ROUND(BQ34+BQ26-BQ109,1),"")</f>
        <v>0</v>
      </c>
      <c r="BR40" s="211">
        <f>IF(ISNUMBER(BR34),ROUND(BR34+BR26-BR109,1),"")</f>
        <v>0</v>
      </c>
      <c r="BS40" s="211">
        <f>IF(ISNUMBER(BS34),ROUND(BS34+BS26-BS109,1),"")</f>
        <v>0</v>
      </c>
      <c r="BT40" s="211">
        <f>IF(ISNUMBER(BT34),ROUND(BT34+BT26-BT109,1),"")</f>
        <v>0</v>
      </c>
      <c r="BU40" s="211">
        <f>IF(ISNUMBER(BU34),ROUND(BU34+BU26-BU109,1),"")</f>
        <v>0</v>
      </c>
      <c r="BV40" s="153" t="n"/>
      <c r="BW40" s="153" t="n"/>
      <c r="BX40" s="153" t="n"/>
      <c r="BY40" s="153" t="n"/>
      <c r="BZ40" s="153" t="n"/>
      <c r="CA40" s="153" t="n"/>
      <c r="CB40" s="153" t="n"/>
      <c r="CC40" s="153" t="n"/>
      <c r="CD40" s="153" t="n"/>
      <c r="CL40" s="25" t="inlineStr">
        <is>
          <t xml:space="preserve">  2027E</t>
        </is>
      </c>
      <c r="CM40" s="33">
        <f>CN40+$CM$39</f>
        <v>0.5</v>
      </c>
      <c r="CN40" s="260" t="n">
        <v>0.4</v>
      </c>
      <c r="CO40" s="33">
        <f>CN40+$CO$39</f>
        <v>0.25</v>
      </c>
    </row>
    <row r="41" ht="15" customHeight="1" s="251">
      <c r="B41" s="57" t="inlineStr">
        <is>
          <t xml:space="preserve">  Check: segment results vs income from operations (should be 0)</t>
        </is>
      </c>
      <c r="C41" s="211">
        <f>IF(ISNUMBER(C36),ROUND(C36+C38-C116,1),"")</f>
      </c>
      <c r="D41" s="211">
        <f>IF(ISNUMBER(D36),ROUND(D36+D38-D116,1),"")</f>
      </c>
      <c r="E41" s="211">
        <f>IF(ISNUMBER(E36),ROUND(E36+E38-E116,1),"")</f>
      </c>
      <c r="F41" s="211">
        <f>IF(ISNUMBER(F36),ROUND(F36+F38-F116,1),"")</f>
      </c>
      <c r="G41" s="211">
        <f>IF(ISNUMBER(G36),ROUND(G36+G38-G116,1),"")</f>
      </c>
      <c r="H41" s="211">
        <f>IF(ISNUMBER(H36),ROUND(H36+H38-H116,1),"")</f>
      </c>
      <c r="I41" s="211">
        <f>IF(ISNUMBER(I36),ROUND(I36+I38-I116,1),"")</f>
      </c>
      <c r="J41" s="211">
        <f>IF(ISNUMBER(J36),ROUND(J36+J38-J116,1),"")</f>
      </c>
      <c r="K41" s="211">
        <f>IF(ISNUMBER(K36),ROUND(K36+K38-K116,1),"")</f>
      </c>
      <c r="L41" s="211">
        <f>IF(ISNUMBER(L36),ROUND(L36+L38-L116,1),"")</f>
      </c>
      <c r="M41" s="211">
        <f>IF(ISNUMBER(M36),ROUND(M36+M38-M116,1),"")</f>
      </c>
      <c r="N41" s="211">
        <f>IF(ISNUMBER(N36),ROUND(N36+N38-N116,1),"")</f>
      </c>
      <c r="O41" s="211">
        <f>IF(ISNUMBER(O36),ROUND(O36+O38-O116,1),"")</f>
      </c>
      <c r="P41" s="211">
        <f>IF(ISNUMBER(P36),ROUND(P36+P38-P116,1),"")</f>
      </c>
      <c r="Q41" s="211">
        <f>IF(ISNUMBER(Q36),ROUND(Q36+Q38-Q116,1),"")</f>
      </c>
      <c r="R41" s="211">
        <f>IF(ISNUMBER(R36),ROUND(R36+R38-R116,1),"")</f>
      </c>
      <c r="S41" s="211">
        <f>IF(ISNUMBER(S36),ROUND(S36+S38-S116,1),"")</f>
      </c>
      <c r="T41" s="211">
        <f>IF(ISNUMBER(T36),ROUND(T36+T38-T116,1),"")</f>
      </c>
      <c r="U41" s="211">
        <f>IF(ISNUMBER(U36),ROUND(U36+U38-U116,1),"")</f>
      </c>
      <c r="V41" s="211">
        <f>IF(ISNUMBER(V36),ROUND(V36+V38-V116,1),"")</f>
      </c>
      <c r="W41" s="211">
        <f>IF(ISNUMBER(W36),ROUND(W36+W38-W116,1),"")</f>
      </c>
      <c r="X41" s="211">
        <f>IF(ISNUMBER(X36),ROUND(X36+X38-X116,1),"")</f>
      </c>
      <c r="Y41" s="211">
        <f>IF(ISNUMBER(Y36),ROUND(Y36+Y38-Y116,1),"")</f>
      </c>
      <c r="Z41" s="211">
        <f>IF(ISNUMBER(Z36),ROUND(Z36+Z38-Z116,1),"")</f>
      </c>
      <c r="AA41" s="211">
        <f>IF(ISNUMBER(AA36),ROUND(AA36+AA38-AA116,1),"")</f>
      </c>
      <c r="AB41" s="211">
        <f>IF(ISNUMBER(AB36),ROUND(AB36+AB38-AB116,1),"")</f>
      </c>
      <c r="AC41" s="211">
        <f>IF(ISNUMBER(AC36),ROUND(AC36+AC38-AC116,1),"")</f>
      </c>
      <c r="AD41" s="211">
        <f>IF(ISNUMBER(AD36),ROUND(AD36+AD38-AD116,1),"")</f>
      </c>
      <c r="AE41" s="211">
        <f>IF(ISNUMBER(AE36),ROUND(AE36+AE38-AE116,1),"")</f>
      </c>
      <c r="AF41" s="211">
        <f>IF(ISNUMBER(AF36),ROUND(AF36+AF38-AF116,1),"")</f>
      </c>
      <c r="AG41" s="211">
        <f>IF(ISNUMBER(AG36),ROUND(AG36+AG38-AG116,1),"")</f>
      </c>
      <c r="AH41" s="211">
        <f>IF(ISNUMBER(AH36),ROUND(AH36+AH38-AH116,1),"")</f>
      </c>
      <c r="AI41" s="211">
        <f>IF(ISNUMBER(AI36),ROUND(AI36+AI38-AI116,1),"")</f>
      </c>
      <c r="AJ41" s="211">
        <f>IF(ISNUMBER(AJ36),ROUND(AJ36+AJ38-AJ116,1),"")</f>
      </c>
      <c r="AK41" s="211">
        <f>IF(ISNUMBER(AK36),ROUND(AK36+AK38-AK116,1),"")</f>
      </c>
      <c r="AL41" s="211">
        <f>IF(ISNUMBER(AL36),ROUND(AL36+AL38-AL116,1),"")</f>
      </c>
      <c r="AM41" s="211">
        <f>IF(ISNUMBER(AM36),ROUND(AM36+AM38-AM116,1),"")</f>
      </c>
      <c r="AN41" s="211">
        <f>IF(ISNUMBER(AN36),ROUND(AN36+AN38-AN116,1),"")</f>
      </c>
      <c r="AO41" s="211">
        <f>IF(ISNUMBER(AO36),ROUND(AO36+AO38-AO116,1),"")</f>
        <v>0</v>
      </c>
      <c r="AP41" s="211">
        <f>IF(ISNUMBER(AP36),ROUND(AP36+AP38-AP116,1),"")</f>
      </c>
      <c r="AQ41" s="211">
        <f>IF(ISNUMBER(AQ36),ROUND(AQ36+AQ38-AQ116,1),"")</f>
      </c>
      <c r="AR41" s="211">
        <f>IF(ISNUMBER(AR36),ROUND(AR36+AR38-AR116,1),"")</f>
      </c>
      <c r="AS41" s="211">
        <f>IF(ISNUMBER(AS36),ROUND(AS36+AS38-AS116,1),"")</f>
        <v>0</v>
      </c>
      <c r="AT41" s="211">
        <f>IF(ISNUMBER(AT36),ROUND(AT36+AT38-AT116,1),"")</f>
        <v>0</v>
      </c>
      <c r="AU41" s="211">
        <f>IF(ISNUMBER(AU36),ROUND(AU36+AU38-AU116,1),"")</f>
        <v>0</v>
      </c>
      <c r="AV41" s="211">
        <f>IF(ISNUMBER(AV36),ROUND(AV36+AV38-AV116,1),"")</f>
        <v>0</v>
      </c>
      <c r="AW41" s="211">
        <f>IF(ISNUMBER(AW36),ROUND(AW36+AW38-AW116,1),"")</f>
        <v>0</v>
      </c>
      <c r="AX41" s="211">
        <f>IF(ISNUMBER(AX36),ROUND(AX36+AX38-AX116,1),"")</f>
        <v>0</v>
      </c>
      <c r="AY41" s="211">
        <f>IF(ISNUMBER(AY36),ROUND(AY36+AY38-AY116,1),"")</f>
        <v>0</v>
      </c>
      <c r="AZ41" s="211">
        <f>IF(ISNUMBER(AZ36),ROUND(AZ36+AZ38-AZ116,1),"")</f>
        <v>0</v>
      </c>
      <c r="BA41" s="211">
        <f>IF(ISNUMBER(BA36),ROUND(BA36+BA38-BA116,1),"")</f>
        <v>0</v>
      </c>
      <c r="BB41" s="211">
        <f>IF(ISNUMBER(BB36),ROUND(BB36+BB38-BB116,1),"")</f>
        <v>0</v>
      </c>
      <c r="BC41" s="211">
        <f>IF(ISNUMBER(BC36),ROUND(BC36+BC38-BC116,1),"")</f>
        <v>0</v>
      </c>
      <c r="BD41" s="211">
        <f>IF(ISNUMBER(BD36),ROUND(BD36+BD38-BD116,1),"")</f>
        <v>0</v>
      </c>
      <c r="BE41" s="211">
        <f>IF(ISNUMBER(BE36),ROUND(BE36+BE38-BE116,1),"")</f>
        <v>0</v>
      </c>
      <c r="BF41" s="211">
        <f>IF(ISNUMBER(BF36),ROUND(BF36+BF38-BF116,1),"")</f>
        <v>0</v>
      </c>
      <c r="BG41" s="211">
        <f>IF(ISNUMBER(BG36),ROUND(BG36+BG38-BG116,1),"")</f>
        <v>0</v>
      </c>
      <c r="BH41" s="211">
        <f>IF(ISNUMBER(BH36),ROUND(BH36+BH38-BH116,1),"")</f>
        <v>0</v>
      </c>
      <c r="BI41" s="211">
        <f>IF(ISNUMBER(BI36),ROUND(BI36+BI38-BI116,1),"")</f>
        <v>0</v>
      </c>
      <c r="BJ41" s="211">
        <f>IF(ISNUMBER(BJ36),ROUND(BJ36+BJ38-BJ116,1),"")</f>
        <v>0</v>
      </c>
      <c r="BK41" s="211">
        <f>IF(ISNUMBER(BK36),ROUND(BK36+BK38-BK116,1),"")</f>
        <v>0</v>
      </c>
      <c r="BL41" s="211">
        <f>IF(ISNUMBER(BL36),ROUND(BL36+BL38-BL116,1),"")</f>
        <v>0</v>
      </c>
      <c r="BM41" s="211">
        <f>IF(ISNUMBER(BM36),ROUND(BM36+BM38-BM116,1),"")</f>
        <v>0</v>
      </c>
      <c r="BN41" s="211">
        <f>IF(ISNUMBER(BN36),ROUND(BN36+BN38-BN116,1),"")</f>
        <v>0</v>
      </c>
      <c r="BO41" s="211">
        <f>IF(ISNUMBER(BO36),ROUND(BO36+BO38-BO116,1),"")</f>
        <v>0</v>
      </c>
      <c r="BP41" s="211">
        <f>IF(ISNUMBER(BP36),ROUND(BP36+BP38-BP116,1),"")</f>
        <v>0</v>
      </c>
      <c r="BQ41" s="211">
        <f>IF(ISNUMBER(BQ36),ROUND(BQ36+BQ38-BQ116,1),"")</f>
        <v>0</v>
      </c>
      <c r="BR41" s="211">
        <f>IF(ISNUMBER(BR36),ROUND(BR36+BR38-BR116,1),"")</f>
        <v>0</v>
      </c>
      <c r="BS41" s="211">
        <f>IF(ISNUMBER(BS36),ROUND(BS36+BS38-BS116,1),"")</f>
        <v>0</v>
      </c>
      <c r="BT41" s="211">
        <f>IF(ISNUMBER(BT36),ROUND(BT36+BT38-BT116,1),"")</f>
        <v>0</v>
      </c>
      <c r="BU41" s="211">
        <f>IF(ISNUMBER(BU36),ROUND(BU36+BU38-BU116,1),"")</f>
        <v>0</v>
      </c>
      <c r="BV41" s="153" t="n"/>
      <c r="BW41" s="153" t="n"/>
      <c r="BX41" s="153" t="n"/>
      <c r="BY41" s="153" t="n"/>
      <c r="BZ41" s="153" t="n"/>
      <c r="CA41" s="153" t="n"/>
      <c r="CB41" s="153" t="n"/>
      <c r="CC41" s="153" t="n"/>
      <c r="CD41" s="153" t="n"/>
      <c r="CL41" s="25" t="inlineStr">
        <is>
          <t xml:space="preserve">  2028E</t>
        </is>
      </c>
      <c r="CM41" s="33">
        <f>CN41+$CM$39</f>
        <v>0.4</v>
      </c>
      <c r="CN41" s="260" t="n">
        <v>0.3</v>
      </c>
      <c r="CO41" s="33">
        <f>CN41+$CO$39</f>
        <v>0.15</v>
      </c>
    </row>
    <row r="42" ht="15" customHeight="1" s="251">
      <c r="CL42" s="25" t="inlineStr">
        <is>
          <t xml:space="preserve">  2029E</t>
        </is>
      </c>
      <c r="CM42" s="33">
        <f>CN42+$CM$39</f>
        <v>0.35</v>
      </c>
      <c r="CN42" s="260" t="n">
        <v>0.25</v>
      </c>
      <c r="CO42" s="33">
        <f>CN42+$CO$39</f>
        <v>0.1</v>
      </c>
    </row>
    <row r="43" ht="15" customHeight="1" s="251">
      <c r="B43" s="14" t="inlineStr">
        <is>
          <t>People, engagement &amp; productivity (company-reported KPIs)</t>
        </is>
      </c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  <c r="AP43" s="14" t="n"/>
      <c r="AQ43" s="14" t="n"/>
      <c r="AR43" s="14" t="n"/>
      <c r="AS43" s="14" t="n"/>
      <c r="AT43" s="14" t="n"/>
      <c r="AU43" s="14" t="n"/>
      <c r="AV43" s="14" t="n"/>
      <c r="AW43" s="14" t="n"/>
      <c r="AX43" s="14" t="n"/>
      <c r="AY43" s="14" t="n"/>
      <c r="AZ43" s="14" t="n"/>
      <c r="BA43" s="14" t="n"/>
      <c r="BB43" s="14" t="n"/>
      <c r="BC43" s="14" t="n"/>
      <c r="BD43" s="14" t="n"/>
      <c r="BE43" s="14" t="n"/>
      <c r="BF43" s="14" t="n"/>
      <c r="BG43" s="14" t="n"/>
      <c r="BH43" s="14" t="n"/>
      <c r="BI43" s="14" t="n"/>
      <c r="BJ43" s="14" t="n"/>
      <c r="BK43" s="14" t="n"/>
      <c r="BL43" s="14" t="n"/>
      <c r="BM43" s="14" t="n"/>
      <c r="BN43" s="14" t="n"/>
      <c r="BO43" s="14" t="n"/>
      <c r="BP43" s="14" t="n"/>
      <c r="BQ43" s="14" t="n"/>
      <c r="BR43" s="14" t="n"/>
      <c r="BS43" s="14" t="n"/>
      <c r="BT43" s="14" t="n"/>
      <c r="BU43" s="14" t="n"/>
      <c r="BV43" s="14" t="n"/>
      <c r="BW43" s="14" t="n"/>
      <c r="BX43" s="14" t="n"/>
      <c r="BY43" s="14" t="n"/>
      <c r="BZ43" s="14" t="n"/>
      <c r="CA43" s="14" t="n"/>
      <c r="CB43" s="14" t="n"/>
      <c r="CC43" s="14" t="n"/>
      <c r="CD43" s="15" t="inlineStr">
        <is>
          <t>KPIs — information rows (release text)</t>
        </is>
      </c>
      <c r="CL43" s="25" t="inlineStr">
        <is>
          <t xml:space="preserve">  2030E</t>
        </is>
      </c>
      <c r="CM43" s="33">
        <f>CN43+$CM$39</f>
        <v>0.3</v>
      </c>
      <c r="CN43" s="260" t="n">
        <v>0.2</v>
      </c>
      <c r="CO43" s="33">
        <f>CN43+$CO$39</f>
        <v>0.05</v>
      </c>
    </row>
    <row r="44" ht="15" customHeight="1" s="251">
      <c r="B44" s="156" t="inlineStr">
        <is>
          <t xml:space="preserve">  Family daily active people (DAP), m (average for the last month of the quarter; from Q4-2019)</t>
        </is>
      </c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  <c r="AA44" s="34" t="n"/>
      <c r="AB44" s="34" t="n"/>
      <c r="AC44" s="34" t="n"/>
      <c r="AD44" s="34" t="n"/>
      <c r="AE44" s="34" t="n"/>
      <c r="AF44" s="34" t="n"/>
      <c r="AG44" s="34" t="n"/>
      <c r="AH44" s="34" t="n"/>
      <c r="AI44" s="34" t="n"/>
      <c r="AJ44" s="34" t="n"/>
      <c r="AK44" s="34" t="n"/>
      <c r="AL44" s="34" t="n"/>
      <c r="AM44" s="34" t="n"/>
      <c r="AN44" s="261" t="n">
        <v>2260</v>
      </c>
      <c r="AO44" s="261" t="n">
        <v>2260</v>
      </c>
      <c r="AP44" s="261" t="n">
        <v>2360</v>
      </c>
      <c r="AQ44" s="261" t="n">
        <v>2470</v>
      </c>
      <c r="AR44" s="261" t="n">
        <v>2540</v>
      </c>
      <c r="AS44" s="261" t="n">
        <v>2600</v>
      </c>
      <c r="AT44" s="261" t="n">
        <v>2600</v>
      </c>
      <c r="AU44" s="261" t="n">
        <v>2720</v>
      </c>
      <c r="AV44" s="261" t="n">
        <v>2760</v>
      </c>
      <c r="AW44" s="261" t="n">
        <v>2810</v>
      </c>
      <c r="AX44" s="261" t="n">
        <v>2820</v>
      </c>
      <c r="AY44" s="261" t="n">
        <v>2820</v>
      </c>
      <c r="AZ44" s="261" t="n">
        <v>2870</v>
      </c>
      <c r="BA44" s="261" t="n">
        <v>2880</v>
      </c>
      <c r="BB44" s="261" t="n">
        <v>2930</v>
      </c>
      <c r="BC44" s="261" t="n">
        <v>2960</v>
      </c>
      <c r="BD44" s="261" t="n">
        <v>2960</v>
      </c>
      <c r="BE44" s="261" t="n">
        <v>3020</v>
      </c>
      <c r="BF44" s="261" t="n">
        <v>3070</v>
      </c>
      <c r="BG44" s="261" t="n">
        <v>3140</v>
      </c>
      <c r="BH44" s="261" t="n">
        <v>3190</v>
      </c>
      <c r="BI44" s="261" t="n">
        <v>3190</v>
      </c>
      <c r="BJ44" s="261" t="n">
        <v>3240</v>
      </c>
      <c r="BK44" s="261" t="n">
        <v>3270</v>
      </c>
      <c r="BL44" s="261" t="n">
        <v>3290</v>
      </c>
      <c r="BM44" s="261" t="n">
        <v>3350</v>
      </c>
      <c r="BN44" s="261" t="n">
        <v>3350</v>
      </c>
      <c r="BO44" s="261" t="n">
        <v>3430</v>
      </c>
      <c r="BP44" s="261" t="n">
        <v>3480</v>
      </c>
      <c r="BQ44" s="261" t="n">
        <v>3540</v>
      </c>
      <c r="BR44" s="261" t="n">
        <v>3580</v>
      </c>
      <c r="BS44" s="261" t="n">
        <v>3580</v>
      </c>
      <c r="BT44" s="261" t="n">
        <v>3560</v>
      </c>
      <c r="BU44" s="261" t="n">
        <v>3600</v>
      </c>
      <c r="BV44" s="153" t="n"/>
      <c r="BW44" s="153" t="n"/>
      <c r="BX44" s="153" t="n"/>
      <c r="BY44" s="153" t="n"/>
      <c r="BZ44" s="153" t="n"/>
      <c r="CA44" s="153" t="n"/>
      <c r="CB44" s="153" t="n"/>
      <c r="CC44" s="153" t="n"/>
      <c r="CD44" s="153" t="n"/>
      <c r="CF44" s="20" t="str">
        <f>IFERROR((CC44/BX44)^(1/5)-1,"n/m")</f>
        <v>n/m</v>
      </c>
      <c r="CG44" s="20">
        <f>IFERROR((BS44/AT44)^(1/5)-1,"n/m")</f>
        <v>0.0660607054538147</v>
      </c>
      <c r="CH44" s="20" t="str">
        <f>IFERROR((BS44/U44)^(1/10)-1,"n/m")</f>
        <v>n/m</v>
      </c>
      <c r="CI44" s="20" t="str">
        <f>IFERROR((BS44/C44)^(1/16)-1,"n/m")</f>
        <v>n/m</v>
      </c>
      <c r="CL44" s="25" t="inlineStr">
        <is>
          <t xml:space="preserve">  2031E</t>
        </is>
      </c>
      <c r="CM44" s="33">
        <f>CN44+$CM$39</f>
        <v>0.25</v>
      </c>
      <c r="CN44" s="260" t="n">
        <v>0.15</v>
      </c>
      <c r="CO44" s="33">
        <f>CN44+$CO$39</f>
        <v>0</v>
      </c>
    </row>
    <row r="45" ht="15" customHeight="1" s="251">
      <c r="B45" s="22" t="inlineStr">
        <is>
          <t xml:space="preserve">    DAP y/y %</t>
        </is>
      </c>
      <c r="C45" s="23" t="n"/>
      <c r="D45" s="255">
        <f>IF(AND(ISNUMBER(D44),ISNUMBER(C44)),IFERROR(D44/C44-1,""),"")</f>
      </c>
      <c r="E45" s="255">
        <f>IF(AND(ISNUMBER(E44),ISNUMBER(D44)),IFERROR(E44/D44-1,""),"")</f>
      </c>
      <c r="F45" s="255">
        <f>IF(AND(ISNUMBER(F44),ISNUMBER(E44)),IFERROR(F44/E44-1,""),"")</f>
      </c>
      <c r="G45" s="23" t="n"/>
      <c r="H45" s="23" t="n"/>
      <c r="I45" s="23" t="n"/>
      <c r="J45" s="23" t="n"/>
      <c r="K45" s="255">
        <f>IF(AND(ISNUMBER(K44),ISNUMBER(F44)),IFERROR(K44/F44-1,""),"")</f>
      </c>
      <c r="L45" s="255">
        <f>IF(AND(ISNUMBER(L44),ISNUMBER(G44)),IFERROR(L44/G44-1,""),"")</f>
      </c>
      <c r="M45" s="255">
        <f>IF(AND(ISNUMBER(M44),ISNUMBER(H44)),IFERROR(M44/H44-1,""),"")</f>
      </c>
      <c r="N45" s="255">
        <f>IF(AND(ISNUMBER(N44),ISNUMBER(I44)),IFERROR(N44/I44-1,""),"")</f>
      </c>
      <c r="O45" s="255">
        <f>IF(AND(ISNUMBER(O44),ISNUMBER(J44)),IFERROR(O44/J44-1,""),"")</f>
      </c>
      <c r="P45" s="255">
        <f>IF(AND(ISNUMBER(P44),ISNUMBER(K44)),IFERROR(P44/K44-1,""),"")</f>
      </c>
      <c r="Q45" s="255">
        <f>IF(AND(ISNUMBER(Q44),ISNUMBER(L44)),IFERROR(Q44/L44-1,""),"")</f>
      </c>
      <c r="R45" s="255">
        <f>IF(AND(ISNUMBER(R44),ISNUMBER(M44)),IFERROR(R44/M44-1,""),"")</f>
      </c>
      <c r="S45" s="255">
        <f>IF(AND(ISNUMBER(S44),ISNUMBER(N44)),IFERROR(S44/N44-1,""),"")</f>
      </c>
      <c r="T45" s="255">
        <f>IF(AND(ISNUMBER(T44),ISNUMBER(O44)),IFERROR(T44/O44-1,""),"")</f>
      </c>
      <c r="U45" s="255">
        <f>IF(AND(ISNUMBER(U44),ISNUMBER(P44)),IFERROR(U44/P44-1,""),"")</f>
      </c>
      <c r="V45" s="255">
        <f>IF(AND(ISNUMBER(V44),ISNUMBER(Q44)),IFERROR(V44/Q44-1,""),"")</f>
      </c>
      <c r="W45" s="255">
        <f>IF(AND(ISNUMBER(W44),ISNUMBER(R44)),IFERROR(W44/R44-1,""),"")</f>
      </c>
      <c r="X45" s="255">
        <f>IF(AND(ISNUMBER(X44),ISNUMBER(S44)),IFERROR(X44/S44-1,""),"")</f>
      </c>
      <c r="Y45" s="255">
        <f>IF(AND(ISNUMBER(Y44),ISNUMBER(T44)),IFERROR(Y44/T44-1,""),"")</f>
      </c>
      <c r="Z45" s="255">
        <f>IF(AND(ISNUMBER(Z44),ISNUMBER(U44)),IFERROR(Z44/U44-1,""),"")</f>
      </c>
      <c r="AA45" s="255">
        <f>IF(AND(ISNUMBER(AA44),ISNUMBER(V44)),IFERROR(AA44/V44-1,""),"")</f>
      </c>
      <c r="AB45" s="255">
        <f>IF(AND(ISNUMBER(AB44),ISNUMBER(W44)),IFERROR(AB44/W44-1,""),"")</f>
      </c>
      <c r="AC45" s="255">
        <f>IF(AND(ISNUMBER(AC44),ISNUMBER(X44)),IFERROR(AC44/X44-1,""),"")</f>
      </c>
      <c r="AD45" s="255">
        <f>IF(AND(ISNUMBER(AD44),ISNUMBER(Y44)),IFERROR(AD44/Y44-1,""),"")</f>
      </c>
      <c r="AE45" s="255">
        <f>IF(AND(ISNUMBER(AE44),ISNUMBER(Z44)),IFERROR(AE44/Z44-1,""),"")</f>
      </c>
      <c r="AF45" s="255">
        <f>IF(AND(ISNUMBER(AF44),ISNUMBER(AA44)),IFERROR(AF44/AA44-1,""),"")</f>
      </c>
      <c r="AG45" s="255">
        <f>IF(AND(ISNUMBER(AG44),ISNUMBER(AB44)),IFERROR(AG44/AB44-1,""),"")</f>
      </c>
      <c r="AH45" s="255">
        <f>IF(AND(ISNUMBER(AH44),ISNUMBER(AC44)),IFERROR(AH44/AC44-1,""),"")</f>
      </c>
      <c r="AI45" s="255">
        <f>IF(AND(ISNUMBER(AI44),ISNUMBER(AD44)),IFERROR(AI44/AD44-1,""),"")</f>
      </c>
      <c r="AJ45" s="255">
        <f>IF(AND(ISNUMBER(AJ44),ISNUMBER(AE44)),IFERROR(AJ44/AE44-1,""),"")</f>
      </c>
      <c r="AK45" s="255">
        <f>IF(AND(ISNUMBER(AK44),ISNUMBER(AF44)),IFERROR(AK44/AF44-1,""),"")</f>
      </c>
      <c r="AL45" s="255">
        <f>IF(AND(ISNUMBER(AL44),ISNUMBER(AG44)),IFERROR(AL44/AG44-1,""),"")</f>
      </c>
      <c r="AM45" s="255">
        <f>IF(AND(ISNUMBER(AM44),ISNUMBER(AH44)),IFERROR(AM44/AH44-1,""),"")</f>
      </c>
      <c r="AN45" s="255">
        <f>IF(AND(ISNUMBER(AN44),ISNUMBER(AI44)),IFERROR(AN44/AI44-1,""),"")</f>
      </c>
      <c r="AO45" s="255">
        <f>IF(AND(ISNUMBER(AO44),ISNUMBER(AJ44)),IFERROR(AO44/AJ44-1,""),"")</f>
      </c>
      <c r="AP45" s="255">
        <f>IF(AND(ISNUMBER(AP44),ISNUMBER(AK44)),IFERROR(AP44/AK44-1,""),"")</f>
      </c>
      <c r="AQ45" s="255">
        <f>IF(AND(ISNUMBER(AQ44),ISNUMBER(AL44)),IFERROR(AQ44/AL44-1,""),"")</f>
      </c>
      <c r="AR45" s="255">
        <f>IF(AND(ISNUMBER(AR44),ISNUMBER(AM44)),IFERROR(AR44/AM44-1,""),"")</f>
      </c>
      <c r="AS45" s="255">
        <f>IF(AND(ISNUMBER(AS44),ISNUMBER(AN44)),IFERROR(AS44/AN44-1,""),"")</f>
        <v>0.150442477876106</v>
      </c>
      <c r="AT45" s="255">
        <f>IF(AND(ISNUMBER(AT44),ISNUMBER(AO44)),IFERROR(AT44/AO44-1,""),"")</f>
        <v>0.150442477876106</v>
      </c>
      <c r="AU45" s="255">
        <f>IF(AND(ISNUMBER(AU44),ISNUMBER(AP44)),IFERROR(AU44/AP44-1,""),"")</f>
        <v>0.152542372881356</v>
      </c>
      <c r="AV45" s="255">
        <f>IF(AND(ISNUMBER(AV44),ISNUMBER(AQ44)),IFERROR(AV44/AQ44-1,""),"")</f>
        <v>0.117408906882591</v>
      </c>
      <c r="AW45" s="255">
        <f>IF(AND(ISNUMBER(AW44),ISNUMBER(AR44)),IFERROR(AW44/AR44-1,""),"")</f>
        <v>0.106299212598425</v>
      </c>
      <c r="AX45" s="255">
        <f>IF(AND(ISNUMBER(AX44),ISNUMBER(AS44)),IFERROR(AX44/AS44-1,""),"")</f>
        <v>0.0846153846153845</v>
      </c>
      <c r="AY45" s="255">
        <f>IF(AND(ISNUMBER(AY44),ISNUMBER(AT44)),IFERROR(AY44/AT44-1,""),"")</f>
        <v>0.0846153846153845</v>
      </c>
      <c r="AZ45" s="255">
        <f>IF(AND(ISNUMBER(AZ44),ISNUMBER(AU44)),IFERROR(AZ44/AU44-1,""),"")</f>
        <v>0.0551470588235294</v>
      </c>
      <c r="BA45" s="255">
        <f>IF(AND(ISNUMBER(BA44),ISNUMBER(AV44)),IFERROR(BA44/AV44-1,""),"")</f>
        <v>0.0434782608695652</v>
      </c>
      <c r="BB45" s="255">
        <f>IF(AND(ISNUMBER(BB44),ISNUMBER(AW44)),IFERROR(BB44/AW44-1,""),"")</f>
        <v>0.0427046263345197</v>
      </c>
      <c r="BC45" s="255">
        <f>IF(AND(ISNUMBER(BC44),ISNUMBER(AX44)),IFERROR(BC44/AX44-1,""),"")</f>
        <v>0.0496453900709219</v>
      </c>
      <c r="BD45" s="255">
        <f>IF(AND(ISNUMBER(BD44),ISNUMBER(AY44)),IFERROR(BD44/AY44-1,""),"")</f>
        <v>0.0496453900709219</v>
      </c>
      <c r="BE45" s="255">
        <f>IF(AND(ISNUMBER(BE44),ISNUMBER(AZ44)),IFERROR(BE44/AZ44-1,""),"")</f>
        <v>0.0522648083623694</v>
      </c>
      <c r="BF45" s="255">
        <f>IF(AND(ISNUMBER(BF44),ISNUMBER(BA44)),IFERROR(BF44/BA44-1,""),"")</f>
        <v>0.0659722222222223</v>
      </c>
      <c r="BG45" s="255">
        <f>IF(AND(ISNUMBER(BG44),ISNUMBER(BB44)),IFERROR(BG44/BB44-1,""),"")</f>
        <v>0.0716723549488054</v>
      </c>
      <c r="BH45" s="255">
        <f>IF(AND(ISNUMBER(BH44),ISNUMBER(BC44)),IFERROR(BH44/BC44-1,""),"")</f>
        <v>0.0777027027027026</v>
      </c>
      <c r="BI45" s="255">
        <f>IF(AND(ISNUMBER(BI44),ISNUMBER(BD44)),IFERROR(BI44/BD44-1,""),"")</f>
        <v>0.0777027027027026</v>
      </c>
      <c r="BJ45" s="255">
        <f>IF(AND(ISNUMBER(BJ44),ISNUMBER(BE44)),IFERROR(BJ44/BE44-1,""),"")</f>
        <v>0.0728476821192052</v>
      </c>
      <c r="BK45" s="255">
        <f>IF(AND(ISNUMBER(BK44),ISNUMBER(BF44)),IFERROR(BK44/BF44-1,""),"")</f>
        <v>0.0651465798045603</v>
      </c>
      <c r="BL45" s="255">
        <f>IF(AND(ISNUMBER(BL44),ISNUMBER(BG44)),IFERROR(BL44/BG44-1,""),"")</f>
        <v>0.0477707006369428</v>
      </c>
      <c r="BM45" s="255">
        <f>IF(AND(ISNUMBER(BM44),ISNUMBER(BH44)),IFERROR(BM44/BH44-1,""),"")</f>
        <v>0.0501567398119123</v>
      </c>
      <c r="BN45" s="255">
        <f>IF(AND(ISNUMBER(BN44),ISNUMBER(BI44)),IFERROR(BN44/BI44-1,""),"")</f>
        <v>0.0501567398119123</v>
      </c>
      <c r="BO45" s="255">
        <f>IF(AND(ISNUMBER(BO44),ISNUMBER(BJ44)),IFERROR(BO44/BJ44-1,""),"")</f>
        <v>0.058641975308642</v>
      </c>
      <c r="BP45" s="255">
        <f>IF(AND(ISNUMBER(BP44),ISNUMBER(BK44)),IFERROR(BP44/BK44-1,""),"")</f>
        <v>0.0642201834862386</v>
      </c>
      <c r="BQ45" s="255">
        <f>IF(AND(ISNUMBER(BQ44),ISNUMBER(BL44)),IFERROR(BQ44/BL44-1,""),"")</f>
        <v>0.0759878419452889</v>
      </c>
      <c r="BR45" s="255">
        <f>IF(AND(ISNUMBER(BR44),ISNUMBER(BM44)),IFERROR(BR44/BM44-1,""),"")</f>
        <v>0.0686567164179104</v>
      </c>
      <c r="BS45" s="255">
        <f>IF(AND(ISNUMBER(BS44),ISNUMBER(BN44)),IFERROR(BS44/BN44-1,""),"")</f>
        <v>0.0686567164179104</v>
      </c>
      <c r="BT45" s="255">
        <f>IF(AND(ISNUMBER(BT44),ISNUMBER(BO44)),IFERROR(BT44/BO44-1,""),"")</f>
        <v>0.0379008746355685</v>
      </c>
      <c r="BU45" s="255">
        <f>IF(AND(ISNUMBER(BU44),ISNUMBER(BP44)),IFERROR(BU44/BP44-1,""),"")</f>
        <v>0.0344827586206897</v>
      </c>
      <c r="BV45" s="256">
        <f>IF(AND(ISNUMBER(BV44),ISNUMBER(BQ44)),IFERROR(BV44/BQ44-1,""),"")</f>
      </c>
      <c r="BW45" s="256">
        <f>IF(AND(ISNUMBER(BW44),ISNUMBER(BR44)),IFERROR(BW44/BR44-1,""),"")</f>
      </c>
      <c r="BX45" s="256">
        <f>IF(AND(ISNUMBER(BX44),ISNUMBER(BS44)),IFERROR(BX44/BS44-1,""),"")</f>
      </c>
      <c r="BY45" s="256">
        <f>IF(AND(ISNUMBER(BY44),ISNUMBER(BX44)),IFERROR(BY44/BX44-1,""),"")</f>
      </c>
      <c r="BZ45" s="256">
        <f>IF(AND(ISNUMBER(BZ44),ISNUMBER(BY44)),IFERROR(BZ44/BY44-1,""),"")</f>
      </c>
      <c r="CA45" s="256">
        <f>IF(AND(ISNUMBER(CA44),ISNUMBER(BZ44)),IFERROR(CA44/BZ44-1,""),"")</f>
      </c>
      <c r="CB45" s="256">
        <f>IF(AND(ISNUMBER(CB44),ISNUMBER(CA44)),IFERROR(CB44/CA44-1,""),"")</f>
      </c>
      <c r="CC45" s="256">
        <f>IF(AND(ISNUMBER(CC44),ISNUMBER(CB44)),IFERROR(CC44/CB44-1,""),"")</f>
      </c>
      <c r="CD45" s="153" t="n"/>
      <c r="CL45" s="15" t="inlineStr">
        <is>
          <t>RLREV (Reality Labs revenue y/y)</t>
        </is>
      </c>
      <c r="CM45" s="265" t="n">
        <v>0.1</v>
      </c>
      <c r="CN45" s="21" t="inlineStr">
        <is>
          <t>Δ →</t>
        </is>
      </c>
      <c r="CO45" s="265" t="n">
        <v>-0.1</v>
      </c>
      <c r="CP45" s="13" t="inlineStr">
        <is>
          <t>1H/26 +7%; FY25 −3% (Quest declines offset by AI glasses). Assumption.</t>
        </is>
      </c>
    </row>
    <row r="46" ht="15" customHeight="1" s="251">
      <c r="B46" s="156" t="inlineStr">
        <is>
          <t xml:space="preserve">  Family monthly active people (MAP), m (Q4-2019 to Q4-2023)</t>
        </is>
      </c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  <c r="AA46" s="34" t="n"/>
      <c r="AB46" s="34" t="n"/>
      <c r="AC46" s="34" t="n"/>
      <c r="AD46" s="34" t="n"/>
      <c r="AE46" s="34" t="n"/>
      <c r="AF46" s="34" t="n"/>
      <c r="AG46" s="34" t="n"/>
      <c r="AH46" s="34" t="n"/>
      <c r="AI46" s="34" t="n"/>
      <c r="AJ46" s="34" t="n"/>
      <c r="AK46" s="34" t="n"/>
      <c r="AL46" s="34" t="n"/>
      <c r="AM46" s="34" t="n"/>
      <c r="AN46" s="261" t="n">
        <v>2890</v>
      </c>
      <c r="AO46" s="261" t="n">
        <v>2890</v>
      </c>
      <c r="AP46" s="261" t="n">
        <v>2990</v>
      </c>
      <c r="AQ46" s="261" t="n">
        <v>3140</v>
      </c>
      <c r="AR46" s="261" t="n">
        <v>3210</v>
      </c>
      <c r="AS46" s="261" t="n">
        <v>3300</v>
      </c>
      <c r="AT46" s="261" t="n">
        <v>3300</v>
      </c>
      <c r="AU46" s="261" t="n">
        <v>3450</v>
      </c>
      <c r="AV46" s="261" t="n">
        <v>3510</v>
      </c>
      <c r="AW46" s="261" t="n">
        <v>3580</v>
      </c>
      <c r="AX46" s="261" t="n">
        <v>3590</v>
      </c>
      <c r="AY46" s="261" t="n">
        <v>3590</v>
      </c>
      <c r="AZ46" s="261" t="n">
        <v>3640</v>
      </c>
      <c r="BA46" s="261" t="n">
        <v>3650</v>
      </c>
      <c r="BB46" s="261" t="n">
        <v>3710</v>
      </c>
      <c r="BC46" s="261" t="n">
        <v>3740</v>
      </c>
      <c r="BD46" s="261" t="n">
        <v>3740</v>
      </c>
      <c r="BE46" s="261" t="n">
        <v>3810</v>
      </c>
      <c r="BF46" s="261" t="n">
        <v>3880</v>
      </c>
      <c r="BG46" s="261" t="n">
        <v>3960</v>
      </c>
      <c r="BH46" s="261" t="n">
        <v>3980</v>
      </c>
      <c r="BI46" s="261" t="n">
        <v>3980</v>
      </c>
      <c r="BJ46" s="34" t="n"/>
      <c r="BK46" s="34" t="n"/>
      <c r="BL46" s="34" t="n"/>
      <c r="BM46" s="34" t="n"/>
      <c r="BN46" s="34" t="n"/>
      <c r="BO46" s="34" t="n"/>
      <c r="BP46" s="34" t="n"/>
      <c r="BQ46" s="34" t="n"/>
      <c r="BR46" s="34" t="n"/>
      <c r="BS46" s="34" t="n"/>
      <c r="BT46" s="34" t="n"/>
      <c r="BU46" s="34" t="n"/>
      <c r="BV46" s="153" t="n"/>
      <c r="BW46" s="153" t="n"/>
      <c r="BX46" s="153" t="n"/>
      <c r="BY46" s="153" t="n"/>
      <c r="BZ46" s="153" t="n"/>
      <c r="CA46" s="153" t="n"/>
      <c r="CB46" s="153" t="n"/>
      <c r="CC46" s="153" t="n"/>
      <c r="CD46" s="153" t="n"/>
      <c r="CL46" s="25" t="inlineStr">
        <is>
          <t xml:space="preserve">  2027E</t>
        </is>
      </c>
      <c r="CM46" s="33">
        <f>CN46+$CM$45</f>
        <v>0.2</v>
      </c>
      <c r="CN46" s="260" t="n">
        <v>0.1</v>
      </c>
      <c r="CO46" s="33">
        <f>CN46+$CO$45</f>
        <v>0</v>
      </c>
    </row>
    <row r="47" ht="15" customHeight="1" s="251">
      <c r="B47" s="156" t="inlineStr">
        <is>
          <t xml:space="preserve">  Facebook daily active users (DAUs), m (to Q4-2023)</t>
        </is>
      </c>
      <c r="C47" s="34" t="n"/>
      <c r="D47" s="34" t="n"/>
      <c r="E47" s="34" t="n"/>
      <c r="F47" s="261" t="n">
        <v>618</v>
      </c>
      <c r="G47" s="261" t="n">
        <v>665</v>
      </c>
      <c r="H47" s="261" t="n">
        <v>699</v>
      </c>
      <c r="I47" s="261" t="n">
        <v>728</v>
      </c>
      <c r="J47" s="261" t="n">
        <v>757</v>
      </c>
      <c r="K47" s="261" t="n">
        <v>757</v>
      </c>
      <c r="L47" s="261" t="n">
        <v>802</v>
      </c>
      <c r="M47" s="261" t="n">
        <v>829</v>
      </c>
      <c r="N47" s="261" t="n">
        <v>864</v>
      </c>
      <c r="O47" s="261" t="n">
        <v>890</v>
      </c>
      <c r="P47" s="261" t="n">
        <v>890</v>
      </c>
      <c r="Q47" s="261" t="n">
        <v>936</v>
      </c>
      <c r="R47" s="261" t="n">
        <v>968</v>
      </c>
      <c r="S47" s="261" t="n">
        <v>1010</v>
      </c>
      <c r="T47" s="261" t="n">
        <v>1040</v>
      </c>
      <c r="U47" s="261" t="n">
        <v>1040</v>
      </c>
      <c r="V47" s="261" t="n">
        <v>1090</v>
      </c>
      <c r="W47" s="261" t="n">
        <v>1130</v>
      </c>
      <c r="X47" s="261" t="n">
        <v>1180</v>
      </c>
      <c r="Y47" s="261" t="n">
        <v>1230</v>
      </c>
      <c r="Z47" s="261" t="n">
        <v>1230</v>
      </c>
      <c r="AA47" s="261" t="n">
        <v>1280</v>
      </c>
      <c r="AB47" s="261" t="n">
        <v>1320</v>
      </c>
      <c r="AC47" s="261" t="n">
        <v>1370</v>
      </c>
      <c r="AD47" s="261" t="n">
        <v>1400</v>
      </c>
      <c r="AE47" s="261" t="n">
        <v>1400</v>
      </c>
      <c r="AF47" s="261" t="n">
        <v>1450</v>
      </c>
      <c r="AG47" s="261" t="n">
        <v>1470</v>
      </c>
      <c r="AH47" s="261" t="n">
        <v>1490</v>
      </c>
      <c r="AI47" s="261" t="n">
        <v>1520</v>
      </c>
      <c r="AJ47" s="261" t="n">
        <v>1520</v>
      </c>
      <c r="AK47" s="261" t="n">
        <v>1560</v>
      </c>
      <c r="AL47" s="261" t="n">
        <v>1590</v>
      </c>
      <c r="AM47" s="261" t="n">
        <v>1620</v>
      </c>
      <c r="AN47" s="261" t="n">
        <v>1660</v>
      </c>
      <c r="AO47" s="261" t="n">
        <v>1660</v>
      </c>
      <c r="AP47" s="261" t="n">
        <v>1730</v>
      </c>
      <c r="AQ47" s="261" t="n">
        <v>1790</v>
      </c>
      <c r="AR47" s="261" t="n">
        <v>1820</v>
      </c>
      <c r="AS47" s="261" t="n">
        <v>1840</v>
      </c>
      <c r="AT47" s="261" t="n">
        <v>1840</v>
      </c>
      <c r="AU47" s="261" t="n">
        <v>1880</v>
      </c>
      <c r="AV47" s="261" t="n">
        <v>1910</v>
      </c>
      <c r="AW47" s="261" t="n">
        <v>1930</v>
      </c>
      <c r="AX47" s="261" t="n">
        <v>1930</v>
      </c>
      <c r="AY47" s="261" t="n">
        <v>1930</v>
      </c>
      <c r="AZ47" s="261" t="n">
        <v>1960</v>
      </c>
      <c r="BA47" s="261" t="n">
        <v>1970</v>
      </c>
      <c r="BB47" s="261" t="n">
        <v>1980</v>
      </c>
      <c r="BC47" s="261" t="n">
        <v>2000</v>
      </c>
      <c r="BD47" s="261" t="n">
        <v>2000</v>
      </c>
      <c r="BE47" s="261" t="n">
        <v>2040</v>
      </c>
      <c r="BF47" s="261" t="n">
        <v>2060</v>
      </c>
      <c r="BG47" s="261" t="n">
        <v>2090</v>
      </c>
      <c r="BH47" s="261" t="n">
        <v>2110</v>
      </c>
      <c r="BI47" s="261" t="n">
        <v>2110</v>
      </c>
      <c r="BJ47" s="34" t="n"/>
      <c r="BK47" s="34" t="n"/>
      <c r="BL47" s="34" t="n"/>
      <c r="BM47" s="34" t="n"/>
      <c r="BN47" s="34" t="n"/>
      <c r="BO47" s="34" t="n"/>
      <c r="BP47" s="34" t="n"/>
      <c r="BQ47" s="34" t="n"/>
      <c r="BR47" s="34" t="n"/>
      <c r="BS47" s="34" t="n"/>
      <c r="BT47" s="34" t="n"/>
      <c r="BU47" s="34" t="n"/>
      <c r="BV47" s="153" t="n"/>
      <c r="BW47" s="153" t="n"/>
      <c r="BX47" s="153" t="n"/>
      <c r="BY47" s="153" t="n"/>
      <c r="BZ47" s="153" t="n"/>
      <c r="CA47" s="153" t="n"/>
      <c r="CB47" s="153" t="n"/>
      <c r="CC47" s="153" t="n"/>
      <c r="CD47" s="153" t="n"/>
      <c r="CL47" s="25" t="inlineStr">
        <is>
          <t xml:space="preserve">  2028E</t>
        </is>
      </c>
      <c r="CM47" s="33">
        <f>CN47+$CM$45</f>
        <v>0.2</v>
      </c>
      <c r="CN47" s="260" t="n">
        <v>0.1</v>
      </c>
      <c r="CO47" s="33">
        <f>CN47+$CO$45</f>
        <v>0</v>
      </c>
    </row>
    <row r="48" ht="15" customHeight="1" s="251">
      <c r="B48" s="156" t="inlineStr">
        <is>
          <t xml:space="preserve">  Facebook monthly active users (MAUs), m (to Q4-2023)</t>
        </is>
      </c>
      <c r="C48" s="34" t="n"/>
      <c r="D48" s="34" t="n"/>
      <c r="E48" s="34" t="n"/>
      <c r="F48" s="261" t="n">
        <v>1060</v>
      </c>
      <c r="G48" s="261" t="n">
        <v>1110</v>
      </c>
      <c r="H48" s="261" t="n">
        <v>1150</v>
      </c>
      <c r="I48" s="261" t="n">
        <v>1190</v>
      </c>
      <c r="J48" s="261" t="n">
        <v>1230</v>
      </c>
      <c r="K48" s="261" t="n">
        <v>1230</v>
      </c>
      <c r="L48" s="261" t="n">
        <v>1280</v>
      </c>
      <c r="M48" s="261" t="n">
        <v>1320</v>
      </c>
      <c r="N48" s="261" t="n">
        <v>1350</v>
      </c>
      <c r="O48" s="261" t="n">
        <v>1390</v>
      </c>
      <c r="P48" s="261" t="n">
        <v>1390</v>
      </c>
      <c r="Q48" s="261" t="n">
        <v>1440</v>
      </c>
      <c r="R48" s="261" t="n">
        <v>1490</v>
      </c>
      <c r="S48" s="261" t="n">
        <v>1550</v>
      </c>
      <c r="T48" s="261" t="n">
        <v>1590</v>
      </c>
      <c r="U48" s="261" t="n">
        <v>1590</v>
      </c>
      <c r="V48" s="261" t="n">
        <v>1650</v>
      </c>
      <c r="W48" s="261" t="n">
        <v>1710</v>
      </c>
      <c r="X48" s="261" t="n">
        <v>1790</v>
      </c>
      <c r="Y48" s="261" t="n">
        <v>1860</v>
      </c>
      <c r="Z48" s="261" t="n">
        <v>1860</v>
      </c>
      <c r="AA48" s="261" t="n">
        <v>1940</v>
      </c>
      <c r="AB48" s="261" t="n">
        <v>2010</v>
      </c>
      <c r="AC48" s="261" t="n">
        <v>2070</v>
      </c>
      <c r="AD48" s="261" t="n">
        <v>2130</v>
      </c>
      <c r="AE48" s="261" t="n">
        <v>2130</v>
      </c>
      <c r="AF48" s="261" t="n">
        <v>2200</v>
      </c>
      <c r="AG48" s="261" t="n">
        <v>2230</v>
      </c>
      <c r="AH48" s="261" t="n">
        <v>2270</v>
      </c>
      <c r="AI48" s="261" t="n">
        <v>2320</v>
      </c>
      <c r="AJ48" s="261" t="n">
        <v>2320</v>
      </c>
      <c r="AK48" s="261" t="n">
        <v>2380</v>
      </c>
      <c r="AL48" s="261" t="n">
        <v>2410</v>
      </c>
      <c r="AM48" s="261" t="n">
        <v>2450</v>
      </c>
      <c r="AN48" s="261" t="n">
        <v>2500</v>
      </c>
      <c r="AO48" s="261" t="n">
        <v>2500</v>
      </c>
      <c r="AP48" s="261" t="n">
        <v>2600</v>
      </c>
      <c r="AQ48" s="261" t="n">
        <v>2700</v>
      </c>
      <c r="AR48" s="261" t="n">
        <v>2740</v>
      </c>
      <c r="AS48" s="261" t="n">
        <v>2800</v>
      </c>
      <c r="AT48" s="261" t="n">
        <v>2800</v>
      </c>
      <c r="AU48" s="261" t="n">
        <v>2850</v>
      </c>
      <c r="AV48" s="261" t="n">
        <v>2900</v>
      </c>
      <c r="AW48" s="261" t="n">
        <v>2910</v>
      </c>
      <c r="AX48" s="261" t="n">
        <v>2910</v>
      </c>
      <c r="AY48" s="261" t="n">
        <v>2910</v>
      </c>
      <c r="AZ48" s="261" t="n">
        <v>2940</v>
      </c>
      <c r="BA48" s="261" t="n">
        <v>2930</v>
      </c>
      <c r="BB48" s="261" t="n">
        <v>2960</v>
      </c>
      <c r="BC48" s="261" t="n">
        <v>2960</v>
      </c>
      <c r="BD48" s="261" t="n">
        <v>2960</v>
      </c>
      <c r="BE48" s="261" t="n">
        <v>2990</v>
      </c>
      <c r="BF48" s="261" t="n">
        <v>3030</v>
      </c>
      <c r="BG48" s="261" t="n">
        <v>3050</v>
      </c>
      <c r="BH48" s="261" t="n">
        <v>3070</v>
      </c>
      <c r="BI48" s="261" t="n">
        <v>3070</v>
      </c>
      <c r="BJ48" s="34" t="n"/>
      <c r="BK48" s="34" t="n"/>
      <c r="BL48" s="34" t="n"/>
      <c r="BM48" s="34" t="n"/>
      <c r="BN48" s="34" t="n"/>
      <c r="BO48" s="34" t="n"/>
      <c r="BP48" s="34" t="n"/>
      <c r="BQ48" s="34" t="n"/>
      <c r="BR48" s="34" t="n"/>
      <c r="BS48" s="34" t="n"/>
      <c r="BT48" s="34" t="n"/>
      <c r="BU48" s="34" t="n"/>
      <c r="BV48" s="153" t="n"/>
      <c r="BW48" s="153" t="n"/>
      <c r="BX48" s="153" t="n"/>
      <c r="BY48" s="153" t="n"/>
      <c r="BZ48" s="153" t="n"/>
      <c r="CA48" s="153" t="n"/>
      <c r="CB48" s="153" t="n"/>
      <c r="CC48" s="153" t="n"/>
      <c r="CD48" s="153" t="n"/>
      <c r="CL48" s="25" t="inlineStr">
        <is>
          <t xml:space="preserve">  2029E</t>
        </is>
      </c>
      <c r="CM48" s="33">
        <f>CN48+$CM$45</f>
        <v>0.2</v>
      </c>
      <c r="CN48" s="260" t="n">
        <v>0.1</v>
      </c>
      <c r="CO48" s="33">
        <f>CN48+$CO$45</f>
        <v>0</v>
      </c>
    </row>
    <row r="49" ht="15" customHeight="1" s="251">
      <c r="B49" s="156" t="inlineStr">
        <is>
          <t xml:space="preserve">  Revenue per DAP — annualised, on period DAP ($)</t>
        </is>
      </c>
      <c r="C49" s="267">
        <f>IF(ISNUMBER(C44),IFERROR(C109*1/C44,""),"")</f>
      </c>
      <c r="D49" s="267">
        <f>IF(ISNUMBER(D44),IFERROR(D109*1/D44,""),"")</f>
      </c>
      <c r="E49" s="267">
        <f>IF(ISNUMBER(E44),IFERROR(E109*1/E44,""),"")</f>
      </c>
      <c r="F49" s="267">
        <f>IF(ISNUMBER(F44),IFERROR(F109*1/F44,""),"")</f>
      </c>
      <c r="G49" s="267">
        <f>IF(ISNUMBER(G44),IFERROR(G109*4/G44,""),"")</f>
      </c>
      <c r="H49" s="267">
        <f>IF(ISNUMBER(H44),IFERROR(H109*4/H44,""),"")</f>
      </c>
      <c r="I49" s="267">
        <f>IF(ISNUMBER(I44),IFERROR(I109*4/I44,""),"")</f>
      </c>
      <c r="J49" s="267">
        <f>IF(ISNUMBER(J44),IFERROR(J109*4/J44,""),"")</f>
      </c>
      <c r="K49" s="267">
        <f>IF(ISNUMBER(K44),IFERROR(K109*1/K44,""),"")</f>
      </c>
      <c r="L49" s="267">
        <f>IF(ISNUMBER(L44),IFERROR(L109*4/L44,""),"")</f>
      </c>
      <c r="M49" s="267">
        <f>IF(ISNUMBER(M44),IFERROR(M109*4/M44,""),"")</f>
      </c>
      <c r="N49" s="267">
        <f>IF(ISNUMBER(N44),IFERROR(N109*4/N44,""),"")</f>
      </c>
      <c r="O49" s="267">
        <f>IF(ISNUMBER(O44),IFERROR(O109*4/O44,""),"")</f>
      </c>
      <c r="P49" s="267">
        <f>IF(ISNUMBER(P44),IFERROR(P109*1/P44,""),"")</f>
      </c>
      <c r="Q49" s="267">
        <f>IF(ISNUMBER(Q44),IFERROR(Q109*4/Q44,""),"")</f>
      </c>
      <c r="R49" s="267">
        <f>IF(ISNUMBER(R44),IFERROR(R109*4/R44,""),"")</f>
      </c>
      <c r="S49" s="267">
        <f>IF(ISNUMBER(S44),IFERROR(S109*4/S44,""),"")</f>
      </c>
      <c r="T49" s="267">
        <f>IF(ISNUMBER(T44),IFERROR(T109*4/T44,""),"")</f>
      </c>
      <c r="U49" s="267">
        <f>IF(ISNUMBER(U44),IFERROR(U109*1/U44,""),"")</f>
      </c>
      <c r="V49" s="267">
        <f>IF(ISNUMBER(V44),IFERROR(V109*4/V44,""),"")</f>
      </c>
      <c r="W49" s="267">
        <f>IF(ISNUMBER(W44),IFERROR(W109*4/W44,""),"")</f>
      </c>
      <c r="X49" s="267">
        <f>IF(ISNUMBER(X44),IFERROR(X109*4/X44,""),"")</f>
      </c>
      <c r="Y49" s="267">
        <f>IF(ISNUMBER(Y44),IFERROR(Y109*4/Y44,""),"")</f>
      </c>
      <c r="Z49" s="267">
        <f>IF(ISNUMBER(Z44),IFERROR(Z109*1/Z44,""),"")</f>
      </c>
      <c r="AA49" s="267">
        <f>IF(ISNUMBER(AA44),IFERROR(AA109*4/AA44,""),"")</f>
      </c>
      <c r="AB49" s="267">
        <f>IF(ISNUMBER(AB44),IFERROR(AB109*4/AB44,""),"")</f>
      </c>
      <c r="AC49" s="267">
        <f>IF(ISNUMBER(AC44),IFERROR(AC109*4/AC44,""),"")</f>
      </c>
      <c r="AD49" s="267">
        <f>IF(ISNUMBER(AD44),IFERROR(AD109*4/AD44,""),"")</f>
      </c>
      <c r="AE49" s="267">
        <f>IF(ISNUMBER(AE44),IFERROR(AE109*1/AE44,""),"")</f>
      </c>
      <c r="AF49" s="267">
        <f>IF(ISNUMBER(AF44),IFERROR(AF109*4/AF44,""),"")</f>
      </c>
      <c r="AG49" s="267">
        <f>IF(ISNUMBER(AG44),IFERROR(AG109*4/AG44,""),"")</f>
      </c>
      <c r="AH49" s="267">
        <f>IF(ISNUMBER(AH44),IFERROR(AH109*4/AH44,""),"")</f>
      </c>
      <c r="AI49" s="267">
        <f>IF(ISNUMBER(AI44),IFERROR(AI109*4/AI44,""),"")</f>
      </c>
      <c r="AJ49" s="267">
        <f>IF(ISNUMBER(AJ44),IFERROR(AJ109*1/AJ44,""),"")</f>
      </c>
      <c r="AK49" s="267">
        <f>IF(ISNUMBER(AK44),IFERROR(AK109*4/AK44,""),"")</f>
      </c>
      <c r="AL49" s="267">
        <f>IF(ISNUMBER(AL44),IFERROR(AL109*4/AL44,""),"")</f>
      </c>
      <c r="AM49" s="267">
        <f>IF(ISNUMBER(AM44),IFERROR(AM109*4/AM44,""),"")</f>
      </c>
      <c r="AN49" s="267">
        <f>IF(ISNUMBER(AN44),IFERROR(AN109*4/AN44,""),"")</f>
        <v>37.3132743362832</v>
      </c>
      <c r="AO49" s="267">
        <f>IF(ISNUMBER(AO44),IFERROR(AO109*1/AO44,""),"")</f>
        <v>31.2818584070796</v>
      </c>
      <c r="AP49" s="267">
        <f>IF(ISNUMBER(AP44),IFERROR(AP109*4/AP44,""),"")</f>
        <v>30.0627118644068</v>
      </c>
      <c r="AQ49" s="267">
        <f>IF(ISNUMBER(AQ44),IFERROR(AQ109*4/AQ44,""),"")</f>
        <v>30.2623481781377</v>
      </c>
      <c r="AR49" s="267">
        <f>IF(ISNUMBER(AR44),IFERROR(AR109*4/AR44,""),"")</f>
        <v>33.8110236220472</v>
      </c>
      <c r="AS49" s="267">
        <f>IF(ISNUMBER(AS44),IFERROR(AS109*4/AS44,""),"")</f>
        <v>43.1876923076923</v>
      </c>
      <c r="AT49" s="267">
        <f>IF(ISNUMBER(AT44),IFERROR(AT109*1/AT44,""),"")</f>
        <v>33.0634615384615</v>
      </c>
      <c r="AU49" s="267">
        <f>IF(ISNUMBER(AU44),IFERROR(AU109*4/AU44,""),"")</f>
        <v>38.4867647058824</v>
      </c>
      <c r="AV49" s="267">
        <f>IF(ISNUMBER(AV44),IFERROR(AV109*4/AV44,""),"")</f>
        <v>42.1405797101449</v>
      </c>
      <c r="AW49" s="267">
        <f>IF(ISNUMBER(AW44),IFERROR(AW109*4/AW44,""),"")</f>
        <v>41.2953736654804</v>
      </c>
      <c r="AX49" s="267">
        <f>IF(ISNUMBER(AX44),IFERROR(AX109*4/AX44,""),"")</f>
        <v>47.7602836879433</v>
      </c>
      <c r="AY49" s="267">
        <f>IF(ISNUMBER(AY44),IFERROR(AY109*1/AY44,""),"")</f>
        <v>41.8187943262411</v>
      </c>
      <c r="AZ49" s="267">
        <f>IF(ISNUMBER(AZ44),IFERROR(AZ109*4/AZ44,""),"")</f>
        <v>38.8961672473868</v>
      </c>
      <c r="BA49" s="267">
        <f>IF(ISNUMBER(BA44),IFERROR(BA109*4/BA44,""),"")</f>
        <v>40.0305555555556</v>
      </c>
      <c r="BB49" s="267">
        <f>IF(ISNUMBER(BB44),IFERROR(BB109*4/BB44,""),"")</f>
        <v>37.8348122866894</v>
      </c>
      <c r="BC49" s="267">
        <f>IF(ISNUMBER(BC44),IFERROR(BC109*4/BC44,""),"")</f>
        <v>43.4662162162162</v>
      </c>
      <c r="BD49" s="267">
        <f>IF(ISNUMBER(BD44),IFERROR(BD109*1/BD44,""),"")</f>
        <v>39.3949324324324</v>
      </c>
      <c r="BE49" s="267">
        <f>IF(ISNUMBER(BE44),IFERROR(BE109*4/BE44,""),"")</f>
        <v>37.9403973509934</v>
      </c>
      <c r="BF49" s="267">
        <f>IF(ISNUMBER(BF44),IFERROR(BF109*4/BF44,""),"")</f>
        <v>41.6925081433225</v>
      </c>
      <c r="BG49" s="267">
        <f>IF(ISNUMBER(BG44),IFERROR(BG109*4/BG44,""),"")</f>
        <v>43.4980891719745</v>
      </c>
      <c r="BH49" s="267">
        <f>IF(ISNUMBER(BH44),IFERROR(BH109*4/BH44,""),"")</f>
        <v>50.2959247648903</v>
      </c>
      <c r="BI49" s="267">
        <f>IF(ISNUMBER(BI44),IFERROR(BI109*1/BI44,""),"")</f>
        <v>42.2890282131661</v>
      </c>
      <c r="BJ49" s="267">
        <f>IF(ISNUMBER(BJ44),IFERROR(BJ109*4/BJ44,""),"")</f>
        <v>45.0061728395062</v>
      </c>
      <c r="BK49" s="267">
        <f>IF(ISNUMBER(BK44),IFERROR(BK109*4/BK44,""),"")</f>
        <v>47.7932721712538</v>
      </c>
      <c r="BL49" s="267">
        <f>IF(ISNUMBER(BL44),IFERROR(BL109*4/BL44,""),"")</f>
        <v>49.3483282674772</v>
      </c>
      <c r="BM49" s="267">
        <f>IF(ISNUMBER(BM44),IFERROR(BM109*4/BM44,""),"")</f>
        <v>57.7731343283582</v>
      </c>
      <c r="BN49" s="267">
        <f>IF(ISNUMBER(BN44),IFERROR(BN109*1/BN44,""),"")</f>
        <v>49.104776119403</v>
      </c>
      <c r="BO49" s="267">
        <f>IF(ISNUMBER(BO44),IFERROR(BO109*4/BO44,""),"")</f>
        <v>49.3457725947522</v>
      </c>
      <c r="BP49" s="267">
        <f>IF(ISNUMBER(BP44),IFERROR(BP109*4/BP44,""),"")</f>
        <v>54.616091954023</v>
      </c>
      <c r="BQ49" s="267">
        <f>IF(ISNUMBER(BQ44),IFERROR(BQ109*4/BQ44,""),"")</f>
        <v>57.9005649717514</v>
      </c>
      <c r="BR49" s="267">
        <f>IF(ISNUMBER(BR44),IFERROR(BR109*4/BR44,""),"")</f>
        <v>66.9195530726257</v>
      </c>
      <c r="BS49" s="267">
        <f>IF(ISNUMBER(BS44),IFERROR(BS109*1/BS44,""),"")</f>
        <v>56.1357541899441</v>
      </c>
      <c r="BT49" s="267">
        <f>IF(ISNUMBER(BT44),IFERROR(BT109*4/BT44,""),"")</f>
        <v>63.2707865168539</v>
      </c>
      <c r="BU49" s="267">
        <f>IF(ISNUMBER(BU44),IFERROR(BU109*4/BU44,""),"")</f>
        <v>67.5566666666667</v>
      </c>
      <c r="BV49" s="35" t="n"/>
      <c r="BW49" s="35" t="n"/>
      <c r="BX49" s="35" t="n"/>
      <c r="BY49" s="35" t="n"/>
      <c r="BZ49" s="35" t="n"/>
      <c r="CA49" s="35" t="n"/>
      <c r="CB49" s="35" t="n"/>
      <c r="CC49" s="35" t="n"/>
      <c r="CD49" s="153" t="n"/>
      <c r="CL49" s="25" t="inlineStr">
        <is>
          <t xml:space="preserve">  2030E</t>
        </is>
      </c>
      <c r="CM49" s="33">
        <f>CN49+$CM$45</f>
        <v>0.2</v>
      </c>
      <c r="CN49" s="260" t="n">
        <v>0.1</v>
      </c>
      <c r="CO49" s="33">
        <f>CN49+$CO$45</f>
        <v>0</v>
      </c>
    </row>
    <row r="50" ht="15" customHeight="1" s="251">
      <c r="B50" s="156" t="inlineStr">
        <is>
          <t xml:space="preserve">  Headcount (period end)</t>
        </is>
      </c>
      <c r="C50" s="34" t="n"/>
      <c r="D50" s="34" t="n"/>
      <c r="E50" s="34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261" t="n">
        <v>18770</v>
      </c>
      <c r="AB50" s="261" t="n">
        <v>20658</v>
      </c>
      <c r="AC50" s="261" t="n">
        <v>23165</v>
      </c>
      <c r="AD50" s="261" t="n">
        <v>25105</v>
      </c>
      <c r="AE50" s="261" t="n">
        <v>25105</v>
      </c>
      <c r="AF50" s="261" t="n">
        <v>27742</v>
      </c>
      <c r="AG50" s="261" t="n">
        <v>30275</v>
      </c>
      <c r="AH50" s="261" t="n">
        <v>33606</v>
      </c>
      <c r="AI50" s="261" t="n">
        <v>35587</v>
      </c>
      <c r="AJ50" s="261" t="n">
        <v>35587</v>
      </c>
      <c r="AK50" s="261" t="n">
        <v>37773</v>
      </c>
      <c r="AL50" s="261" t="n">
        <v>39651</v>
      </c>
      <c r="AM50" s="261" t="n">
        <v>43030</v>
      </c>
      <c r="AN50" s="261" t="n">
        <v>44942</v>
      </c>
      <c r="AO50" s="261" t="n">
        <v>44942</v>
      </c>
      <c r="AP50" s="261" t="n">
        <v>48268</v>
      </c>
      <c r="AQ50" s="261" t="n">
        <v>52534</v>
      </c>
      <c r="AR50" s="261" t="n">
        <v>56653</v>
      </c>
      <c r="AS50" s="261" t="n">
        <v>58604</v>
      </c>
      <c r="AT50" s="261" t="n">
        <v>58604</v>
      </c>
      <c r="AU50" s="261" t="n">
        <v>60654</v>
      </c>
      <c r="AV50" s="261" t="n">
        <v>63404</v>
      </c>
      <c r="AW50" s="261" t="n">
        <v>68177</v>
      </c>
      <c r="AX50" s="261" t="n">
        <v>71970</v>
      </c>
      <c r="AY50" s="261" t="n">
        <v>71970</v>
      </c>
      <c r="AZ50" s="261" t="n">
        <v>77805</v>
      </c>
      <c r="BA50" s="261" t="n">
        <v>83553</v>
      </c>
      <c r="BB50" s="261" t="n">
        <v>87314</v>
      </c>
      <c r="BC50" s="261" t="n">
        <v>86482</v>
      </c>
      <c r="BD50" s="261" t="n">
        <v>86482</v>
      </c>
      <c r="BE50" s="261" t="n">
        <v>77114</v>
      </c>
      <c r="BF50" s="261" t="n">
        <v>71469</v>
      </c>
      <c r="BG50" s="261" t="n">
        <v>66185</v>
      </c>
      <c r="BH50" s="261" t="n">
        <v>67317</v>
      </c>
      <c r="BI50" s="261" t="n">
        <v>67317</v>
      </c>
      <c r="BJ50" s="261" t="n">
        <v>69329</v>
      </c>
      <c r="BK50" s="261" t="n">
        <v>70799</v>
      </c>
      <c r="BL50" s="261" t="n">
        <v>72404</v>
      </c>
      <c r="BM50" s="261" t="n">
        <v>74067</v>
      </c>
      <c r="BN50" s="261" t="n">
        <v>74067</v>
      </c>
      <c r="BO50" s="261" t="n">
        <v>76834</v>
      </c>
      <c r="BP50" s="261" t="n">
        <v>75945</v>
      </c>
      <c r="BQ50" s="261" t="n">
        <v>78450</v>
      </c>
      <c r="BR50" s="261" t="n">
        <v>78865</v>
      </c>
      <c r="BS50" s="261" t="n">
        <v>78865</v>
      </c>
      <c r="BT50" s="261" t="n">
        <v>77986</v>
      </c>
      <c r="BU50" s="261" t="n">
        <v>75472</v>
      </c>
      <c r="BV50" s="153" t="n"/>
      <c r="BW50" s="153" t="n"/>
      <c r="BX50" s="153" t="n"/>
      <c r="BY50" s="153" t="n"/>
      <c r="BZ50" s="153" t="n"/>
      <c r="CA50" s="153" t="n"/>
      <c r="CB50" s="153" t="n"/>
      <c r="CC50" s="153" t="n"/>
      <c r="CD50" s="153" t="n"/>
      <c r="CF50" s="20" t="str">
        <f>IFERROR((CC50/BX50)^(1/5)-1,"n/m")</f>
        <v>n/m</v>
      </c>
      <c r="CG50" s="20">
        <f>IFERROR((BS50/AT50)^(1/5)-1,"n/m")</f>
        <v>0.0611857502793916</v>
      </c>
      <c r="CH50" s="20" t="str">
        <f>IFERROR((BS50/U50)^(1/10)-1,"n/m")</f>
        <v>n/m</v>
      </c>
      <c r="CI50" s="20" t="str">
        <f>IFERROR((BS50/C50)^(1/16)-1,"n/m")</f>
        <v>n/m</v>
      </c>
      <c r="CL50" s="25" t="inlineStr">
        <is>
          <t xml:space="preserve">  2031E</t>
        </is>
      </c>
      <c r="CM50" s="33">
        <f>CN50+$CM$45</f>
        <v>0.2</v>
      </c>
      <c r="CN50" s="260" t="n">
        <v>0.1</v>
      </c>
      <c r="CO50" s="33">
        <f>CN50+$CO$45</f>
        <v>0</v>
      </c>
    </row>
    <row r="51" ht="15" customHeight="1" s="251">
      <c r="B51" s="22" t="inlineStr">
        <is>
          <t xml:space="preserve">    Headcount y/y %</t>
        </is>
      </c>
      <c r="C51" s="23" t="n"/>
      <c r="D51" s="255">
        <f>IF(AND(ISNUMBER(D50),ISNUMBER(C50)),IFERROR(D50/C50-1,""),"")</f>
      </c>
      <c r="E51" s="255">
        <f>IF(AND(ISNUMBER(E50),ISNUMBER(D50)),IFERROR(E50/D50-1,""),"")</f>
      </c>
      <c r="F51" s="255">
        <f>IF(AND(ISNUMBER(F50),ISNUMBER(E50)),IFERROR(F50/E50-1,""),"")</f>
      </c>
      <c r="G51" s="23" t="n"/>
      <c r="H51" s="23" t="n"/>
      <c r="I51" s="23" t="n"/>
      <c r="J51" s="23" t="n"/>
      <c r="K51" s="255">
        <f>IF(AND(ISNUMBER(K50),ISNUMBER(F50)),IFERROR(K50/F50-1,""),"")</f>
      </c>
      <c r="L51" s="255">
        <f>IF(AND(ISNUMBER(L50),ISNUMBER(G50)),IFERROR(L50/G50-1,""),"")</f>
      </c>
      <c r="M51" s="255">
        <f>IF(AND(ISNUMBER(M50),ISNUMBER(H50)),IFERROR(M50/H50-1,""),"")</f>
      </c>
      <c r="N51" s="255">
        <f>IF(AND(ISNUMBER(N50),ISNUMBER(I50)),IFERROR(N50/I50-1,""),"")</f>
      </c>
      <c r="O51" s="255">
        <f>IF(AND(ISNUMBER(O50),ISNUMBER(J50)),IFERROR(O50/J50-1,""),"")</f>
      </c>
      <c r="P51" s="255">
        <f>IF(AND(ISNUMBER(P50),ISNUMBER(K50)),IFERROR(P50/K50-1,""),"")</f>
      </c>
      <c r="Q51" s="255">
        <f>IF(AND(ISNUMBER(Q50),ISNUMBER(L50)),IFERROR(Q50/L50-1,""),"")</f>
      </c>
      <c r="R51" s="255">
        <f>IF(AND(ISNUMBER(R50),ISNUMBER(M50)),IFERROR(R50/M50-1,""),"")</f>
      </c>
      <c r="S51" s="255">
        <f>IF(AND(ISNUMBER(S50),ISNUMBER(N50)),IFERROR(S50/N50-1,""),"")</f>
      </c>
      <c r="T51" s="255">
        <f>IF(AND(ISNUMBER(T50),ISNUMBER(O50)),IFERROR(T50/O50-1,""),"")</f>
      </c>
      <c r="U51" s="255">
        <f>IF(AND(ISNUMBER(U50),ISNUMBER(P50)),IFERROR(U50/P50-1,""),"")</f>
      </c>
      <c r="V51" s="255">
        <f>IF(AND(ISNUMBER(V50),ISNUMBER(Q50)),IFERROR(V50/Q50-1,""),"")</f>
      </c>
      <c r="W51" s="255">
        <f>IF(AND(ISNUMBER(W50),ISNUMBER(R50)),IFERROR(W50/R50-1,""),"")</f>
      </c>
      <c r="X51" s="255">
        <f>IF(AND(ISNUMBER(X50),ISNUMBER(S50)),IFERROR(X50/S50-1,""),"")</f>
      </c>
      <c r="Y51" s="255">
        <f>IF(AND(ISNUMBER(Y50),ISNUMBER(T50)),IFERROR(Y50/T50-1,""),"")</f>
      </c>
      <c r="Z51" s="255">
        <f>IF(AND(ISNUMBER(Z50),ISNUMBER(U50)),IFERROR(Z50/U50-1,""),"")</f>
      </c>
      <c r="AA51" s="255">
        <f>IF(AND(ISNUMBER(AA50),ISNUMBER(V50)),IFERROR(AA50/V50-1,""),"")</f>
      </c>
      <c r="AB51" s="255">
        <f>IF(AND(ISNUMBER(AB50),ISNUMBER(W50)),IFERROR(AB50/W50-1,""),"")</f>
      </c>
      <c r="AC51" s="255">
        <f>IF(AND(ISNUMBER(AC50),ISNUMBER(X50)),IFERROR(AC50/X50-1,""),"")</f>
      </c>
      <c r="AD51" s="255">
        <f>IF(AND(ISNUMBER(AD50),ISNUMBER(Y50)),IFERROR(AD50/Y50-1,""),"")</f>
      </c>
      <c r="AE51" s="255">
        <f>IF(AND(ISNUMBER(AE50),ISNUMBER(Z50)),IFERROR(AE50/Z50-1,""),"")</f>
      </c>
      <c r="AF51" s="255">
        <f>IF(AND(ISNUMBER(AF50),ISNUMBER(AA50)),IFERROR(AF50/AA50-1,""),"")</f>
        <v>0.477996803409696</v>
      </c>
      <c r="AG51" s="255">
        <f>IF(AND(ISNUMBER(AG50),ISNUMBER(AB50)),IFERROR(AG50/AB50-1,""),"")</f>
        <v>0.465533933585052</v>
      </c>
      <c r="AH51" s="255">
        <f>IF(AND(ISNUMBER(AH50),ISNUMBER(AC50)),IFERROR(AH50/AC50-1,""),"")</f>
        <v>0.450723073602418</v>
      </c>
      <c r="AI51" s="255">
        <f>IF(AND(ISNUMBER(AI50),ISNUMBER(AD50)),IFERROR(AI50/AD50-1,""),"")</f>
        <v>0.417526389165505</v>
      </c>
      <c r="AJ51" s="255">
        <f>IF(AND(ISNUMBER(AJ50),ISNUMBER(AE50)),IFERROR(AJ50/AE50-1,""),"")</f>
        <v>0.417526389165505</v>
      </c>
      <c r="AK51" s="255">
        <f>IF(AND(ISNUMBER(AK50),ISNUMBER(AF50)),IFERROR(AK50/AF50-1,""),"")</f>
        <v>0.36158171725182</v>
      </c>
      <c r="AL51" s="255">
        <f>IF(AND(ISNUMBER(AL50),ISNUMBER(AG50)),IFERROR(AL50/AG50-1,""),"")</f>
        <v>0.309694467382329</v>
      </c>
      <c r="AM51" s="255">
        <f>IF(AND(ISNUMBER(AM50),ISNUMBER(AH50)),IFERROR(AM50/AH50-1,""),"")</f>
        <v>0.280426114384336</v>
      </c>
      <c r="AN51" s="255">
        <f>IF(AND(ISNUMBER(AN50),ISNUMBER(AI50)),IFERROR(AN50/AI50-1,""),"")</f>
        <v>0.262876893247534</v>
      </c>
      <c r="AO51" s="255">
        <f>IF(AND(ISNUMBER(AO50),ISNUMBER(AJ50)),IFERROR(AO50/AJ50-1,""),"")</f>
        <v>0.262876893247534</v>
      </c>
      <c r="AP51" s="255">
        <f>IF(AND(ISNUMBER(AP50),ISNUMBER(AK50)),IFERROR(AP50/AK50-1,""),"")</f>
        <v>0.277843962618802</v>
      </c>
      <c r="AQ51" s="255">
        <f>IF(AND(ISNUMBER(AQ50),ISNUMBER(AL50)),IFERROR(AQ50/AL50-1,""),"")</f>
        <v>0.324909838339512</v>
      </c>
      <c r="AR51" s="255">
        <f>IF(AND(ISNUMBER(AR50),ISNUMBER(AM50)),IFERROR(AR50/AM50-1,""),"")</f>
        <v>0.316593074599117</v>
      </c>
      <c r="AS51" s="255">
        <f>IF(AND(ISNUMBER(AS50),ISNUMBER(AN50)),IFERROR(AS50/AN50-1,""),"")</f>
        <v>0.303991811668373</v>
      </c>
      <c r="AT51" s="255">
        <f>IF(AND(ISNUMBER(AT50),ISNUMBER(AO50)),IFERROR(AT50/AO50-1,""),"")</f>
        <v>0.303991811668373</v>
      </c>
      <c r="AU51" s="255">
        <f>IF(AND(ISNUMBER(AU50),ISNUMBER(AP50)),IFERROR(AU50/AP50-1,""),"")</f>
        <v>0.256608933454877</v>
      </c>
      <c r="AV51" s="255">
        <f>IF(AND(ISNUMBER(AV50),ISNUMBER(AQ50)),IFERROR(AV50/AQ50-1,""),"")</f>
        <v>0.206913617847489</v>
      </c>
      <c r="AW51" s="255">
        <f>IF(AND(ISNUMBER(AW50),ISNUMBER(AR50)),IFERROR(AW50/AR50-1,""),"")</f>
        <v>0.203413764496143</v>
      </c>
      <c r="AX51" s="255">
        <f>IF(AND(ISNUMBER(AX50),ISNUMBER(AS50)),IFERROR(AX50/AS50-1,""),"")</f>
        <v>0.228073169066958</v>
      </c>
      <c r="AY51" s="255">
        <f>IF(AND(ISNUMBER(AY50),ISNUMBER(AT50)),IFERROR(AY50/AT50-1,""),"")</f>
        <v>0.228073169066958</v>
      </c>
      <c r="AZ51" s="255">
        <f>IF(AND(ISNUMBER(AZ50),ISNUMBER(AU50)),IFERROR(AZ50/AU50-1,""),"")</f>
        <v>0.282767830645959</v>
      </c>
      <c r="BA51" s="255">
        <f>IF(AND(ISNUMBER(BA50),ISNUMBER(AV50)),IFERROR(BA50/AV50-1,""),"")</f>
        <v>0.317787521292032</v>
      </c>
      <c r="BB51" s="255">
        <f>IF(AND(ISNUMBER(BB50),ISNUMBER(AW50)),IFERROR(BB50/AW50-1,""),"")</f>
        <v>0.280695835839066</v>
      </c>
      <c r="BC51" s="255">
        <f>IF(AND(ISNUMBER(BC50),ISNUMBER(AX50)),IFERROR(BC50/AX50-1,""),"")</f>
        <v>0.201639572043907</v>
      </c>
      <c r="BD51" s="255">
        <f>IF(AND(ISNUMBER(BD50),ISNUMBER(AY50)),IFERROR(BD50/AY50-1,""),"")</f>
        <v>0.201639572043907</v>
      </c>
      <c r="BE51" s="255">
        <f>IF(AND(ISNUMBER(BE50),ISNUMBER(AZ50)),IFERROR(BE50/AZ50-1,""),"")</f>
        <v>-0.00888117730222993</v>
      </c>
      <c r="BF51" s="255">
        <f>IF(AND(ISNUMBER(BF50),ISNUMBER(BA50)),IFERROR(BF50/BA50-1,""),"")</f>
        <v>-0.14462676385049</v>
      </c>
      <c r="BG51" s="255">
        <f>IF(AND(ISNUMBER(BG50),ISNUMBER(BB50)),IFERROR(BG50/BB50-1,""),"")</f>
        <v>-0.241988684517947</v>
      </c>
      <c r="BH51" s="255">
        <f>IF(AND(ISNUMBER(BH50),ISNUMBER(BC50)),IFERROR(BH50/BC50-1,""),"")</f>
        <v>-0.221606808353183</v>
      </c>
      <c r="BI51" s="255">
        <f>IF(AND(ISNUMBER(BI50),ISNUMBER(BD50)),IFERROR(BI50/BD50-1,""),"")</f>
        <v>-0.221606808353183</v>
      </c>
      <c r="BJ51" s="255">
        <f>IF(AND(ISNUMBER(BJ50),ISNUMBER(BE50)),IFERROR(BJ50/BE50-1,""),"")</f>
        <v>-0.100954431102005</v>
      </c>
      <c r="BK51" s="255">
        <f>IF(AND(ISNUMBER(BK50),ISNUMBER(BF50)),IFERROR(BK50/BF50-1,""),"")</f>
        <v>-0.00937469392323942</v>
      </c>
      <c r="BL51" s="255">
        <f>IF(AND(ISNUMBER(BL50),ISNUMBER(BG50)),IFERROR(BL50/BG50-1,""),"")</f>
        <v>0.0939638890987384</v>
      </c>
      <c r="BM51" s="255">
        <f>IF(AND(ISNUMBER(BM50),ISNUMBER(BH50)),IFERROR(BM50/BH50-1,""),"")</f>
        <v>0.100271848121574</v>
      </c>
      <c r="BN51" s="255">
        <f>IF(AND(ISNUMBER(BN50),ISNUMBER(BI50)),IFERROR(BN50/BI50-1,""),"")</f>
        <v>0.100271848121574</v>
      </c>
      <c r="BO51" s="255">
        <f>IF(AND(ISNUMBER(BO50),ISNUMBER(BJ50)),IFERROR(BO50/BJ50-1,""),"")</f>
        <v>0.108251958055071</v>
      </c>
      <c r="BP51" s="255">
        <f>IF(AND(ISNUMBER(BP50),ISNUMBER(BK50)),IFERROR(BP50/BK50-1,""),"")</f>
        <v>0.0726846424384526</v>
      </c>
      <c r="BQ51" s="255">
        <f>IF(AND(ISNUMBER(BQ50),ISNUMBER(BL50)),IFERROR(BQ50/BL50-1,""),"")</f>
        <v>0.0835036738301751</v>
      </c>
      <c r="BR51" s="255">
        <f>IF(AND(ISNUMBER(BR50),ISNUMBER(BM50)),IFERROR(BR50/BM50-1,""),"")</f>
        <v>0.0647791864123024</v>
      </c>
      <c r="BS51" s="255">
        <f>IF(AND(ISNUMBER(BS50),ISNUMBER(BN50)),IFERROR(BS50/BN50-1,""),"")</f>
        <v>0.0647791864123024</v>
      </c>
      <c r="BT51" s="255">
        <f>IF(AND(ISNUMBER(BT50),ISNUMBER(BO50)),IFERROR(BT50/BO50-1,""),"")</f>
        <v>0.0149933623135592</v>
      </c>
      <c r="BU51" s="255">
        <f>IF(AND(ISNUMBER(BU50),ISNUMBER(BP50)),IFERROR(BU50/BP50-1,""),"")</f>
        <v>-0.00622819145434195</v>
      </c>
      <c r="BV51" s="256">
        <f>IF(AND(ISNUMBER(BV50),ISNUMBER(BQ50)),IFERROR(BV50/BQ50-1,""),"")</f>
      </c>
      <c r="BW51" s="256">
        <f>IF(AND(ISNUMBER(BW50),ISNUMBER(BR50)),IFERROR(BW50/BR50-1,""),"")</f>
      </c>
      <c r="BX51" s="256">
        <f>IF(AND(ISNUMBER(BX50),ISNUMBER(BS50)),IFERROR(BX50/BS50-1,""),"")</f>
      </c>
      <c r="BY51" s="256">
        <f>IF(AND(ISNUMBER(BY50),ISNUMBER(BX50)),IFERROR(BY50/BX50-1,""),"")</f>
      </c>
      <c r="BZ51" s="256">
        <f>IF(AND(ISNUMBER(BZ50),ISNUMBER(BY50)),IFERROR(BZ50/BY50-1,""),"")</f>
      </c>
      <c r="CA51" s="256">
        <f>IF(AND(ISNUMBER(CA50),ISNUMBER(BZ50)),IFERROR(CA50/BZ50-1,""),"")</f>
      </c>
      <c r="CB51" s="256">
        <f>IF(AND(ISNUMBER(CB50),ISNUMBER(CA50)),IFERROR(CB50/CA50-1,""),"")</f>
      </c>
      <c r="CC51" s="256">
        <f>IF(AND(ISNUMBER(CC50),ISNUMBER(CB50)),IFERROR(CC50/CB50-1,""),"")</f>
      </c>
      <c r="CD51" s="153" t="n"/>
      <c r="CL51" s="15" t="inlineStr">
        <is>
          <t>RLLOSS (Reality Labs operating loss, $m)</t>
        </is>
      </c>
      <c r="CM51" s="268" t="n">
        <v>-3000</v>
      </c>
      <c r="CN51" s="21" t="inlineStr">
        <is>
          <t>Δ →</t>
        </is>
      </c>
      <c r="CO51" s="268" t="n">
        <v>4000</v>
      </c>
      <c r="CP51" s="13" t="inlineStr">
        <is>
          <t>FY25 loss $19.2bn; 1H/26 $8.6bn (−1% y/y). The company said 2026 Reality Labs losses would be similar to 2025. Assumption: gradual narrowing.</t>
        </is>
      </c>
    </row>
    <row r="52" ht="15" customHeight="1" s="251">
      <c r="B52" s="156" t="inlineStr">
        <is>
          <t xml:space="preserve">  Revenue per employee — annualised ($000)</t>
        </is>
      </c>
      <c r="C52" s="211">
        <f>IF(ISNUMBER(C50),IFERROR(C109*1/C50*1000,""),"")</f>
      </c>
      <c r="D52" s="211">
        <f>IF(ISNUMBER(D50),IFERROR(D109*1/D50*1000,""),"")</f>
      </c>
      <c r="E52" s="211">
        <f>IF(ISNUMBER(E50),IFERROR(E109*1/E50*1000,""),"")</f>
      </c>
      <c r="F52" s="211">
        <f>IF(ISNUMBER(F50),IFERROR(F109*1/F50*1000,""),"")</f>
      </c>
      <c r="G52" s="211">
        <f>IF(ISNUMBER(G50),IFERROR(G109*4/G50*1000,""),"")</f>
      </c>
      <c r="H52" s="211">
        <f>IF(ISNUMBER(H50),IFERROR(H109*4/H50*1000,""),"")</f>
      </c>
      <c r="I52" s="211">
        <f>IF(ISNUMBER(I50),IFERROR(I109*4/I50*1000,""),"")</f>
      </c>
      <c r="J52" s="211">
        <f>IF(ISNUMBER(J50),IFERROR(J109*4/J50*1000,""),"")</f>
      </c>
      <c r="K52" s="211">
        <f>IF(ISNUMBER(K50),IFERROR(K109*1/K50*1000,""),"")</f>
      </c>
      <c r="L52" s="211">
        <f>IF(ISNUMBER(L50),IFERROR(L109*4/L50*1000,""),"")</f>
      </c>
      <c r="M52" s="211">
        <f>IF(ISNUMBER(M50),IFERROR(M109*4/M50*1000,""),"")</f>
      </c>
      <c r="N52" s="211">
        <f>IF(ISNUMBER(N50),IFERROR(N109*4/N50*1000,""),"")</f>
      </c>
      <c r="O52" s="211">
        <f>IF(ISNUMBER(O50),IFERROR(O109*4/O50*1000,""),"")</f>
      </c>
      <c r="P52" s="211">
        <f>IF(ISNUMBER(P50),IFERROR(P109*1/P50*1000,""),"")</f>
      </c>
      <c r="Q52" s="211">
        <f>IF(ISNUMBER(Q50),IFERROR(Q109*4/Q50*1000,""),"")</f>
      </c>
      <c r="R52" s="211">
        <f>IF(ISNUMBER(R50),IFERROR(R109*4/R50*1000,""),"")</f>
      </c>
      <c r="S52" s="211">
        <f>IF(ISNUMBER(S50),IFERROR(S109*4/S50*1000,""),"")</f>
      </c>
      <c r="T52" s="211">
        <f>IF(ISNUMBER(T50),IFERROR(T109*4/T50*1000,""),"")</f>
      </c>
      <c r="U52" s="211">
        <f>IF(ISNUMBER(U50),IFERROR(U109*1/U50*1000,""),"")</f>
      </c>
      <c r="V52" s="211">
        <f>IF(ISNUMBER(V50),IFERROR(V109*4/V50*1000,""),"")</f>
      </c>
      <c r="W52" s="211">
        <f>IF(ISNUMBER(W50),IFERROR(W109*4/W50*1000,""),"")</f>
      </c>
      <c r="X52" s="211">
        <f>IF(ISNUMBER(X50),IFERROR(X109*4/X50*1000,""),"")</f>
      </c>
      <c r="Y52" s="211">
        <f>IF(ISNUMBER(Y50),IFERROR(Y109*4/Y50*1000,""),"")</f>
      </c>
      <c r="Z52" s="211">
        <f>IF(ISNUMBER(Z50),IFERROR(Z109*1/Z50*1000,""),"")</f>
      </c>
      <c r="AA52" s="211">
        <f>IF(ISNUMBER(AA50),IFERROR(AA109*4/AA50*1000,""),"")</f>
        <v>1711.66755460842</v>
      </c>
      <c r="AB52" s="211">
        <f>IF(ISNUMBER(AB50),IFERROR(AB109*4/AB50*1000,""),"")</f>
        <v>1804.82137670636</v>
      </c>
      <c r="AC52" s="211">
        <f>IF(ISNUMBER(AC50),IFERROR(AC109*4/AC50*1000,""),"")</f>
        <v>1783.38009928772</v>
      </c>
      <c r="AD52" s="211">
        <f>IF(ISNUMBER(AD50),IFERROR(AD109*4/AD50*1000,""),"")</f>
        <v>2066.83927504481</v>
      </c>
      <c r="AE52" s="211">
        <f>IF(ISNUMBER(AE50),IFERROR(AE109*1/AE50*1000,""),"")</f>
        <v>1619.3188607847</v>
      </c>
      <c r="AF52" s="211">
        <f>IF(ISNUMBER(AF50),IFERROR(AF109*4/AF50*1000,""),"")</f>
        <v>1725.32622017158</v>
      </c>
      <c r="AG52" s="211">
        <f>IF(ISNUMBER(AG50),IFERROR(AG109*4/AG50*1000,""),"")</f>
        <v>1748.10900082576</v>
      </c>
      <c r="AH52" s="211">
        <f>IF(ISNUMBER(AH50),IFERROR(AH109*4/AH50*1000,""),"")</f>
        <v>1633.87490329108</v>
      </c>
      <c r="AI52" s="211">
        <f>IF(ISNUMBER(AI50),IFERROR(AI109*4/AI50*1000,""),"")</f>
        <v>1901.14367606148</v>
      </c>
      <c r="AJ52" s="211">
        <f>IF(ISNUMBER(AJ50),IFERROR(AJ109*1/AJ50*1000,""),"")</f>
        <v>1569.05611599741</v>
      </c>
      <c r="AK52" s="211">
        <f>IF(ISNUMBER(AK50),IFERROR(AK109*4/AK50*1000,""),"")</f>
        <v>1596.59015699044</v>
      </c>
      <c r="AL52" s="211">
        <f>IF(ISNUMBER(AL50),IFERROR(AL109*4/AL50*1000,""),"")</f>
        <v>1703.46271216363</v>
      </c>
      <c r="AM52" s="211">
        <f>IF(ISNUMBER(AM50),IFERROR(AM109*4/AM50*1000,""),"")</f>
        <v>1640.90169649082</v>
      </c>
      <c r="AN52" s="211">
        <f>IF(ISNUMBER(AN50),IFERROR(AN109*4/AN50*1000,""),"")</f>
        <v>1876.37399314672</v>
      </c>
      <c r="AO52" s="211">
        <f>IF(ISNUMBER(AO50),IFERROR(AO109*1/AO50*1000,""),"")</f>
        <v>1573.07195941436</v>
      </c>
      <c r="AP52" s="211">
        <f>IF(ISNUMBER(AP50),IFERROR(AP109*4/AP50*1000,""),"")</f>
        <v>1469.87652274799</v>
      </c>
      <c r="AQ52" s="211">
        <f>IF(ISNUMBER(AQ50),IFERROR(AQ109*4/AQ50*1000,""),"")</f>
        <v>1422.84996383295</v>
      </c>
      <c r="AR52" s="211">
        <f>IF(ISNUMBER(AR50),IFERROR(AR109*4/AR50*1000,""),"")</f>
        <v>1515.89500997299</v>
      </c>
      <c r="AS52" s="211">
        <f>IF(ISNUMBER(AS50),IFERROR(AS109*4/AS50*1000,""),"")</f>
        <v>1916.04668623302</v>
      </c>
      <c r="AT52" s="211">
        <f>IF(ISNUMBER(AT50),IFERROR(AT109*1/AT50*1000,""),"")</f>
        <v>1466.87939389803</v>
      </c>
      <c r="AU52" s="211">
        <f>IF(ISNUMBER(AU50),IFERROR(AU109*4/AU50*1000,""),"")</f>
        <v>1725.92079664985</v>
      </c>
      <c r="AV52" s="211">
        <f>IF(ISNUMBER(AV50),IFERROR(AV109*4/AV50*1000,""),"")</f>
        <v>1834.39530628982</v>
      </c>
      <c r="AW52" s="211">
        <f>IF(ISNUMBER(AW50),IFERROR(AW109*4/AW50*1000,""),"")</f>
        <v>1702.04027751294</v>
      </c>
      <c r="AX52" s="211">
        <f>IF(ISNUMBER(AX50),IFERROR(AX109*4/AX50*1000,""),"")</f>
        <v>1871.39085730165</v>
      </c>
      <c r="AY52" s="211">
        <f>IF(ISNUMBER(AY50),IFERROR(AY109*1/AY50*1000,""),"")</f>
        <v>1638.58552174517</v>
      </c>
      <c r="AZ52" s="211">
        <f>IF(ISNUMBER(AZ50),IFERROR(AZ109*4/AZ50*1000,""),"")</f>
        <v>1434.76640318746</v>
      </c>
      <c r="BA52" s="211">
        <f>IF(ISNUMBER(BA50),IFERROR(BA109*4/BA50*1000,""),"")</f>
        <v>1379.8187976494</v>
      </c>
      <c r="BB52" s="211">
        <f>IF(ISNUMBER(BB50),IFERROR(BB109*4/BB50*1000,""),"")</f>
        <v>1269.62457337884</v>
      </c>
      <c r="BC52" s="211">
        <f>IF(ISNUMBER(BC50),IFERROR(BC109*4/BC50*1000,""),"")</f>
        <v>1487.70842487454</v>
      </c>
      <c r="BD52" s="211">
        <f>IF(ISNUMBER(BD50),IFERROR(BD109*1/BD50*1000,""),"")</f>
        <v>1348.36150875327</v>
      </c>
      <c r="BE52" s="211">
        <f>IF(ISNUMBER(BE50),IFERROR(BE109*4/BE50*1000,""),"")</f>
        <v>1485.85211505044</v>
      </c>
      <c r="BF52" s="211">
        <f>IF(ISNUMBER(BF50),IFERROR(BF109*4/BF50*1000,""),"")</f>
        <v>1790.93033343128</v>
      </c>
      <c r="BG52" s="211">
        <f>IF(ISNUMBER(BG50),IFERROR(BG109*4/BG50*1000,""),"")</f>
        <v>2063.67001586462</v>
      </c>
      <c r="BH52" s="211">
        <f>IF(ISNUMBER(BH50),IFERROR(BH109*4/BH50*1000,""),"")</f>
        <v>2383.40983703968</v>
      </c>
      <c r="BI52" s="211">
        <f>IF(ISNUMBER(BI50),IFERROR(BI109*1/BI50*1000,""),"")</f>
        <v>2003.98116374764</v>
      </c>
      <c r="BJ52" s="211">
        <f>IF(ISNUMBER(BJ50),IFERROR(BJ109*4/BJ50*1000,""),"")</f>
        <v>2103.30453345642</v>
      </c>
      <c r="BK52" s="211">
        <f>IF(ISNUMBER(BK50),IFERROR(BK109*4/BK50*1000,""),"")</f>
        <v>2207.43230836594</v>
      </c>
      <c r="BL52" s="211">
        <f>IF(ISNUMBER(BL50),IFERROR(BL109*4/BL50*1000,""),"")</f>
        <v>2242.36230042539</v>
      </c>
      <c r="BM52" s="211">
        <f>IF(ISNUMBER(BM50),IFERROR(BM109*4/BM50*1000,""),"")</f>
        <v>2613.03954527657</v>
      </c>
      <c r="BN52" s="211">
        <f>IF(ISNUMBER(BN50),IFERROR(BN109*1/BN50*1000,""),"")</f>
        <v>2220.9756031701</v>
      </c>
      <c r="BO52" s="211">
        <f>IF(ISNUMBER(BO50),IFERROR(BO109*4/BO50*1000,""),"")</f>
        <v>2202.87893380535</v>
      </c>
      <c r="BP52" s="211">
        <f>IF(ISNUMBER(BP50),IFERROR(BP109*4/BP50*1000,""),"")</f>
        <v>2502.6532358944</v>
      </c>
      <c r="BQ52" s="211">
        <f>IF(ISNUMBER(BQ50),IFERROR(BQ109*4/BQ50*1000,""),"")</f>
        <v>2612.72147864882</v>
      </c>
      <c r="BR52" s="211">
        <f>IF(ISNUMBER(BR50),IFERROR(BR109*4/BR50*1000,""),"")</f>
        <v>3037.74805046599</v>
      </c>
      <c r="BS52" s="211">
        <f>IF(ISNUMBER(BS50),IFERROR(BS109*1/BS50*1000,""),"")</f>
        <v>2548.22798453053</v>
      </c>
      <c r="BT52" s="211">
        <f>IF(ISNUMBER(BT50),IFERROR(BT109*4/BT50*1000,""),"")</f>
        <v>2888.26199574283</v>
      </c>
      <c r="BU52" s="211">
        <f>IF(ISNUMBER(BU50),IFERROR(BU109*4/BU50*1000,""),"")</f>
        <v>3222.44011023956</v>
      </c>
      <c r="BV52" s="35" t="n"/>
      <c r="BW52" s="35" t="n"/>
      <c r="BX52" s="35" t="n"/>
      <c r="BY52" s="35" t="n"/>
      <c r="BZ52" s="35" t="n"/>
      <c r="CA52" s="35" t="n"/>
      <c r="CB52" s="35" t="n"/>
      <c r="CC52" s="35" t="n"/>
      <c r="CD52" s="153" t="n"/>
      <c r="CL52" s="25" t="inlineStr">
        <is>
          <t xml:space="preserve">  2027E</t>
        </is>
      </c>
      <c r="CM52" s="51">
        <f>CN52+$CM$51</f>
        <v>17000</v>
      </c>
      <c r="CN52" s="257" t="n">
        <v>20000</v>
      </c>
      <c r="CO52" s="51">
        <f>CN52+$CO$51</f>
        <v>24000</v>
      </c>
    </row>
    <row r="53" ht="15" customHeight="1" s="251">
      <c r="CL53" s="25" t="inlineStr">
        <is>
          <t xml:space="preserve">  2028E</t>
        </is>
      </c>
      <c r="CM53" s="51">
        <f>CN53+$CM$51</f>
        <v>16500</v>
      </c>
      <c r="CN53" s="257" t="n">
        <v>19500</v>
      </c>
      <c r="CO53" s="51">
        <f>CN53+$CO$51</f>
        <v>23500</v>
      </c>
    </row>
    <row r="54" collapsed="1" ht="15" customHeight="1" s="251">
      <c r="B54" s="14" t="inlineStr">
        <is>
          <t>Revenue by geography (billing address of the customer; 10-Q / 10-K revenue note from 2018; Q4 = year − nine months)</t>
        </is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  <c r="BP54" s="14" t="n"/>
      <c r="BQ54" s="14" t="n"/>
      <c r="BR54" s="14" t="n"/>
      <c r="BS54" s="14" t="n"/>
      <c r="BT54" s="14" t="n"/>
      <c r="BU54" s="14" t="n"/>
      <c r="BV54" s="14" t="n"/>
      <c r="BW54" s="14" t="n"/>
      <c r="BX54" s="14" t="n"/>
      <c r="BY54" s="14" t="n"/>
      <c r="BZ54" s="14" t="n"/>
      <c r="CA54" s="14" t="n"/>
      <c r="CB54" s="14" t="n"/>
      <c r="CC54" s="14" t="n"/>
      <c r="CD54" s="15" t="inlineStr">
        <is>
          <t>GEOGRAPHY — memo (customer billing address, not user location)</t>
        </is>
      </c>
      <c r="CL54" s="25" t="inlineStr">
        <is>
          <t xml:space="preserve">  2029E</t>
        </is>
      </c>
      <c r="CM54" s="51">
        <f>CN54+$CM$51</f>
        <v>16000</v>
      </c>
      <c r="CN54" s="257" t="n">
        <v>19000</v>
      </c>
      <c r="CO54" s="51">
        <f>CN54+$CO$51</f>
        <v>23000</v>
      </c>
    </row>
    <row r="55" ht="15" customHeight="1" s="251">
      <c r="B55" s="156" t="inlineStr">
        <is>
          <t xml:space="preserve">  United States &amp; Canada</t>
        </is>
      </c>
      <c r="C55" s="34" t="n"/>
      <c r="D55" s="34" t="n"/>
      <c r="E55" s="34" t="n"/>
      <c r="F55" s="34" t="n"/>
      <c r="G55" s="34" t="n"/>
      <c r="H55" s="34" t="n"/>
      <c r="I55" s="34" t="n"/>
      <c r="J55" s="34" t="n"/>
      <c r="K55" s="34" t="n"/>
      <c r="L55" s="34" t="n"/>
      <c r="M55" s="34" t="n"/>
      <c r="N55" s="34" t="n"/>
      <c r="O55" s="34" t="n"/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  <c r="AA55" s="34" t="n"/>
      <c r="AB55" s="34" t="n"/>
      <c r="AC55" s="34" t="n"/>
      <c r="AD55" s="34" t="n"/>
      <c r="AE55" s="34" t="n"/>
      <c r="AF55" s="261" t="n">
        <v>5442</v>
      </c>
      <c r="AG55" s="261" t="n">
        <v>5982</v>
      </c>
      <c r="AH55" s="261" t="n">
        <v>6325</v>
      </c>
      <c r="AI55" s="261" t="n">
        <v>7978</v>
      </c>
      <c r="AJ55" s="261" t="n">
        <v>25727</v>
      </c>
      <c r="AK55" s="261" t="n">
        <v>6777</v>
      </c>
      <c r="AL55" s="261" t="n">
        <v>7632</v>
      </c>
      <c r="AM55" s="261" t="n">
        <v>8026</v>
      </c>
      <c r="AN55" s="261" t="n">
        <v>9771</v>
      </c>
      <c r="AO55" s="261" t="n">
        <v>32206</v>
      </c>
      <c r="AP55" s="261" t="n">
        <v>8012</v>
      </c>
      <c r="AQ55" s="261" t="n">
        <v>8292</v>
      </c>
      <c r="AR55" s="261" t="n">
        <v>9229</v>
      </c>
      <c r="AS55" s="261" t="n">
        <v>12900</v>
      </c>
      <c r="AT55" s="261" t="n">
        <v>38433</v>
      </c>
      <c r="AU55" s="261" t="n">
        <v>11436</v>
      </c>
      <c r="AV55" s="261" t="n">
        <v>12612</v>
      </c>
      <c r="AW55" s="261" t="n">
        <v>12668</v>
      </c>
      <c r="AX55" s="261" t="n">
        <v>14825</v>
      </c>
      <c r="AY55" s="261" t="n">
        <v>51541</v>
      </c>
      <c r="AZ55" s="261" t="n">
        <v>11780</v>
      </c>
      <c r="BA55" s="261" t="n">
        <v>12186</v>
      </c>
      <c r="BB55" s="261" t="n">
        <v>11966</v>
      </c>
      <c r="BC55" s="261" t="n">
        <v>14218</v>
      </c>
      <c r="BD55" s="261" t="n">
        <v>50150</v>
      </c>
      <c r="BE55" s="261" t="n">
        <v>11449</v>
      </c>
      <c r="BF55" s="261" t="n">
        <v>12404</v>
      </c>
      <c r="BG55" s="261" t="n">
        <v>12908</v>
      </c>
      <c r="BH55" s="261" t="n">
        <v>16127</v>
      </c>
      <c r="BI55" s="261" t="n">
        <v>52888</v>
      </c>
      <c r="BJ55" s="261" t="n">
        <v>13646</v>
      </c>
      <c r="BK55" s="261" t="n">
        <v>14640</v>
      </c>
      <c r="BL55" s="261" t="n">
        <v>15619</v>
      </c>
      <c r="BM55" s="261" t="n">
        <v>19302</v>
      </c>
      <c r="BN55" s="261" t="n">
        <v>63207</v>
      </c>
      <c r="BO55" s="261" t="n">
        <v>16869</v>
      </c>
      <c r="BP55" s="261" t="n">
        <v>18454</v>
      </c>
      <c r="BQ55" s="261" t="n">
        <v>19708</v>
      </c>
      <c r="BR55" s="261" t="n">
        <v>23835</v>
      </c>
      <c r="BS55" s="261" t="n">
        <v>78866</v>
      </c>
      <c r="BT55" s="261" t="n">
        <v>21267</v>
      </c>
      <c r="BU55" s="261" t="n">
        <v>23863</v>
      </c>
      <c r="BV55" s="153" t="n"/>
      <c r="BW55" s="153" t="n"/>
      <c r="BX55" s="153" t="n"/>
      <c r="BY55" s="153" t="n"/>
      <c r="BZ55" s="153" t="n"/>
      <c r="CA55" s="153" t="n"/>
      <c r="CB55" s="153" t="n"/>
      <c r="CC55" s="153" t="n"/>
      <c r="CD55" s="153" t="n"/>
      <c r="CF55" s="20" t="str">
        <f>IFERROR((CC55/BX55)^(1/5)-1,"n/m")</f>
        <v>n/m</v>
      </c>
      <c r="CG55" s="20">
        <f>IFERROR((BS55/AT55)^(1/5)-1,"n/m")</f>
        <v>0.154614761883789</v>
      </c>
      <c r="CH55" s="20" t="str">
        <f>IFERROR((BS55/U55)^(1/10)-1,"n/m")</f>
        <v>n/m</v>
      </c>
      <c r="CI55" s="20" t="str">
        <f>IFERROR((BS55/C55)^(1/16)-1,"n/m")</f>
        <v>n/m</v>
      </c>
      <c r="CL55" s="25" t="inlineStr">
        <is>
          <t xml:space="preserve">  2030E</t>
        </is>
      </c>
      <c r="CM55" s="51">
        <f>CN55+$CM$51</f>
        <v>15000</v>
      </c>
      <c r="CN55" s="257" t="n">
        <v>18000</v>
      </c>
      <c r="CO55" s="51">
        <f>CN55+$CO$51</f>
        <v>22000</v>
      </c>
    </row>
    <row r="56" ht="15" customHeight="1" s="251">
      <c r="B56" s="156" t="inlineStr">
        <is>
          <t xml:space="preserve">  Europe (incl. Russia and Turkey)</t>
        </is>
      </c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  <c r="AA56" s="34" t="n"/>
      <c r="AB56" s="34" t="n"/>
      <c r="AC56" s="34" t="n"/>
      <c r="AD56" s="34" t="n"/>
      <c r="AE56" s="34" t="n"/>
      <c r="AF56" s="261" t="n">
        <v>3027</v>
      </c>
      <c r="AG56" s="261" t="n">
        <v>3307</v>
      </c>
      <c r="AH56" s="261" t="n">
        <v>3234</v>
      </c>
      <c r="AI56" s="261" t="n">
        <v>4063</v>
      </c>
      <c r="AJ56" s="261" t="n">
        <v>13631</v>
      </c>
      <c r="AK56" s="261" t="n">
        <v>3624</v>
      </c>
      <c r="AL56" s="261" t="n">
        <v>4097</v>
      </c>
      <c r="AM56" s="261" t="n">
        <v>4053</v>
      </c>
      <c r="AN56" s="261" t="n">
        <v>5052</v>
      </c>
      <c r="AO56" s="261" t="n">
        <v>16826</v>
      </c>
      <c r="AP56" s="261" t="n">
        <v>4150</v>
      </c>
      <c r="AQ56" s="261" t="n">
        <v>4249</v>
      </c>
      <c r="AR56" s="261" t="n">
        <v>5055</v>
      </c>
      <c r="AS56" s="261" t="n">
        <v>6895</v>
      </c>
      <c r="AT56" s="261" t="n">
        <v>20349</v>
      </c>
      <c r="AU56" s="261" t="n">
        <v>6384</v>
      </c>
      <c r="AV56" s="261" t="n">
        <v>7220</v>
      </c>
      <c r="AW56" s="261" t="n">
        <v>7018</v>
      </c>
      <c r="AX56" s="261" t="n">
        <v>8435</v>
      </c>
      <c r="AY56" s="261" t="n">
        <v>29057</v>
      </c>
      <c r="AZ56" s="261" t="n">
        <v>6638</v>
      </c>
      <c r="BA56" s="261" t="n">
        <v>6650</v>
      </c>
      <c r="BB56" s="261" t="n">
        <v>5996</v>
      </c>
      <c r="BC56" s="261" t="n">
        <v>7397</v>
      </c>
      <c r="BD56" s="261" t="n">
        <v>26681</v>
      </c>
      <c r="BE56" s="261" t="n">
        <v>6759</v>
      </c>
      <c r="BF56" s="261" t="n">
        <v>7515</v>
      </c>
      <c r="BG56" s="261" t="n">
        <v>7578</v>
      </c>
      <c r="BH56" s="261" t="n">
        <v>9358</v>
      </c>
      <c r="BI56" s="261" t="n">
        <v>31210</v>
      </c>
      <c r="BJ56" s="261" t="n">
        <v>8404</v>
      </c>
      <c r="BK56" s="261" t="n">
        <v>9153</v>
      </c>
      <c r="BL56" s="261" t="n">
        <v>9205</v>
      </c>
      <c r="BM56" s="261" t="n">
        <v>11599</v>
      </c>
      <c r="BN56" s="261" t="n">
        <v>38361</v>
      </c>
      <c r="BO56" s="261" t="n">
        <v>9621</v>
      </c>
      <c r="BP56" s="261" t="n">
        <v>11128</v>
      </c>
      <c r="BQ56" s="261" t="n">
        <v>11566</v>
      </c>
      <c r="BR56" s="261" t="n">
        <v>14254</v>
      </c>
      <c r="BS56" s="261" t="n">
        <v>46569</v>
      </c>
      <c r="BT56" s="261" t="n">
        <v>13240</v>
      </c>
      <c r="BU56" s="261" t="n">
        <v>14009</v>
      </c>
      <c r="BV56" s="153" t="n"/>
      <c r="BW56" s="153" t="n"/>
      <c r="BX56" s="153" t="n"/>
      <c r="BY56" s="153" t="n"/>
      <c r="BZ56" s="153" t="n"/>
      <c r="CA56" s="153" t="n"/>
      <c r="CB56" s="153" t="n"/>
      <c r="CC56" s="153" t="n"/>
      <c r="CD56" s="153" t="n"/>
      <c r="CF56" s="20" t="str">
        <f>IFERROR((CC56/BX56)^(1/5)-1,"n/m")</f>
        <v>n/m</v>
      </c>
      <c r="CG56" s="20">
        <f>IFERROR((BS56/AT56)^(1/5)-1,"n/m")</f>
        <v>0.180078147071012</v>
      </c>
      <c r="CH56" s="20" t="str">
        <f>IFERROR((BS56/U56)^(1/10)-1,"n/m")</f>
        <v>n/m</v>
      </c>
      <c r="CI56" s="20" t="str">
        <f>IFERROR((BS56/C56)^(1/16)-1,"n/m")</f>
        <v>n/m</v>
      </c>
      <c r="CL56" s="25" t="inlineStr">
        <is>
          <t xml:space="preserve">  2031E</t>
        </is>
      </c>
      <c r="CM56" s="51">
        <f>CN56+$CM$51</f>
        <v>14000</v>
      </c>
      <c r="CN56" s="257" t="n">
        <v>17000</v>
      </c>
      <c r="CO56" s="51">
        <f>CN56+$CO$51</f>
        <v>21000</v>
      </c>
    </row>
    <row r="57" ht="15" customHeight="1" s="251">
      <c r="B57" s="156" t="inlineStr">
        <is>
          <t xml:space="preserve">  Asia-Pacific</t>
        </is>
      </c>
      <c r="C57" s="34" t="n"/>
      <c r="D57" s="34" t="n"/>
      <c r="E57" s="34" t="n"/>
      <c r="F57" s="34" t="n"/>
      <c r="G57" s="34" t="n"/>
      <c r="H57" s="34" t="n"/>
      <c r="I57" s="34" t="n"/>
      <c r="J57" s="34" t="n"/>
      <c r="K57" s="34" t="n"/>
      <c r="L57" s="34" t="n"/>
      <c r="M57" s="34" t="n"/>
      <c r="N57" s="34" t="n"/>
      <c r="O57" s="34" t="n"/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  <c r="AA57" s="34" t="n"/>
      <c r="AB57" s="34" t="n"/>
      <c r="AC57" s="34" t="n"/>
      <c r="AD57" s="34" t="n"/>
      <c r="AE57" s="34" t="n"/>
      <c r="AF57" s="261" t="n">
        <v>2475</v>
      </c>
      <c r="AG57" s="261" t="n">
        <v>2772</v>
      </c>
      <c r="AH57" s="261" t="n">
        <v>3007</v>
      </c>
      <c r="AI57" s="261" t="n">
        <v>3479</v>
      </c>
      <c r="AJ57" s="261" t="n">
        <v>11733</v>
      </c>
      <c r="AK57" s="261" t="n">
        <v>3337</v>
      </c>
      <c r="AL57" s="261" t="n">
        <v>3628</v>
      </c>
      <c r="AM57" s="261" t="n">
        <v>3958</v>
      </c>
      <c r="AN57" s="261" t="n">
        <v>4483</v>
      </c>
      <c r="AO57" s="261" t="n">
        <v>15406</v>
      </c>
      <c r="AP57" s="261" t="n">
        <v>3971</v>
      </c>
      <c r="AQ57" s="261" t="n">
        <v>4611</v>
      </c>
      <c r="AR57" s="261" t="n">
        <v>5311</v>
      </c>
      <c r="AS57" s="261" t="n">
        <v>5955</v>
      </c>
      <c r="AT57" s="261" t="n">
        <v>19848</v>
      </c>
      <c r="AU57" s="261" t="n">
        <v>6101</v>
      </c>
      <c r="AV57" s="261" t="n">
        <v>6677</v>
      </c>
      <c r="AW57" s="261" t="n">
        <v>6592</v>
      </c>
      <c r="AX57" s="261" t="n">
        <v>7369</v>
      </c>
      <c r="AY57" s="261" t="n">
        <v>26739</v>
      </c>
      <c r="AZ57" s="261" t="n">
        <v>6722</v>
      </c>
      <c r="BA57" s="261" t="n">
        <v>6960</v>
      </c>
      <c r="BB57" s="261" t="n">
        <v>6797</v>
      </c>
      <c r="BC57" s="261" t="n">
        <v>7281</v>
      </c>
      <c r="BD57" s="261" t="n">
        <v>27760</v>
      </c>
      <c r="BE57" s="261" t="n">
        <v>7292</v>
      </c>
      <c r="BF57" s="261" t="n">
        <v>8551</v>
      </c>
      <c r="BG57" s="261" t="n">
        <v>9790</v>
      </c>
      <c r="BH57" s="261" t="n">
        <v>10521</v>
      </c>
      <c r="BI57" s="261" t="n">
        <v>36154</v>
      </c>
      <c r="BJ57" s="261" t="n">
        <v>10312</v>
      </c>
      <c r="BK57" s="261" t="n">
        <v>10967</v>
      </c>
      <c r="BL57" s="261" t="n">
        <v>11243</v>
      </c>
      <c r="BM57" s="261" t="n">
        <v>12487</v>
      </c>
      <c r="BN57" s="261" t="n">
        <v>45009</v>
      </c>
      <c r="BO57" s="261" t="n">
        <v>11239</v>
      </c>
      <c r="BP57" s="261" t="n">
        <v>12858</v>
      </c>
      <c r="BQ57" s="261" t="n">
        <v>14304</v>
      </c>
      <c r="BR57" s="261" t="n">
        <v>15416</v>
      </c>
      <c r="BS57" s="261" t="n">
        <v>53817</v>
      </c>
      <c r="BT57" s="261" t="n">
        <v>15445</v>
      </c>
      <c r="BU57" s="261" t="n">
        <v>16073</v>
      </c>
      <c r="BV57" s="153" t="n"/>
      <c r="BW57" s="153" t="n"/>
      <c r="BX57" s="153" t="n"/>
      <c r="BY57" s="153" t="n"/>
      <c r="BZ57" s="153" t="n"/>
      <c r="CA57" s="153" t="n"/>
      <c r="CB57" s="153" t="n"/>
      <c r="CC57" s="153" t="n"/>
      <c r="CD57" s="153" t="n"/>
      <c r="CF57" s="20" t="str">
        <f>IFERROR((CC57/BX57)^(1/5)-1,"n/m")</f>
        <v>n/m</v>
      </c>
      <c r="CG57" s="20">
        <f>IFERROR((BS57/AT57)^(1/5)-1,"n/m")</f>
        <v>0.220788829305119</v>
      </c>
      <c r="CH57" s="20" t="str">
        <f>IFERROR((BS57/U57)^(1/10)-1,"n/m")</f>
        <v>n/m</v>
      </c>
      <c r="CI57" s="20" t="str">
        <f>IFERROR((BS57/C57)^(1/16)-1,"n/m")</f>
        <v>n/m</v>
      </c>
      <c r="CL57" s="15" t="inlineStr">
        <is>
          <t>OPEX (other operating costs excl. D&amp;A, SBC, one-offs; % of revenue)</t>
        </is>
      </c>
      <c r="CM57" s="265" t="n">
        <v>-0.02</v>
      </c>
      <c r="CN57" s="21" t="inlineStr">
        <is>
          <t>Δ →</t>
        </is>
      </c>
      <c r="CO57" s="265" t="n">
        <v>0.03</v>
      </c>
      <c r="CP57" s="13" t="inlineStr">
        <is>
          <t>FY25 39.1%, 1H/26 39.4%, 2026E ~42% (guidance-implied 2H step-up: AI compute, cloud capacity, talent). Assumption: modest operating leverage.</t>
        </is>
      </c>
    </row>
    <row r="58" ht="15" customHeight="1" s="251">
      <c r="B58" s="156" t="inlineStr">
        <is>
          <t xml:space="preserve">  Rest of World (Africa, Latin America, Middle East)</t>
        </is>
      </c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  <c r="AA58" s="34" t="n"/>
      <c r="AB58" s="34" t="n"/>
      <c r="AC58" s="34" t="n"/>
      <c r="AD58" s="34" t="n"/>
      <c r="AE58" s="34" t="n"/>
      <c r="AF58" s="261" t="n">
        <v>1022</v>
      </c>
      <c r="AG58" s="261" t="n">
        <v>1170</v>
      </c>
      <c r="AH58" s="261" t="n">
        <v>1161</v>
      </c>
      <c r="AI58" s="261" t="n">
        <v>1394</v>
      </c>
      <c r="AJ58" s="261" t="n">
        <v>4747</v>
      </c>
      <c r="AK58" s="261" t="n">
        <v>1339</v>
      </c>
      <c r="AL58" s="261" t="n">
        <v>1529</v>
      </c>
      <c r="AM58" s="261" t="n">
        <v>1615</v>
      </c>
      <c r="AN58" s="261" t="n">
        <v>1776</v>
      </c>
      <c r="AO58" s="261" t="n">
        <v>6259</v>
      </c>
      <c r="AP58" s="261" t="n">
        <v>1604</v>
      </c>
      <c r="AQ58" s="261" t="n">
        <v>1535</v>
      </c>
      <c r="AR58" s="261" t="n">
        <v>1875</v>
      </c>
      <c r="AS58" s="261" t="n">
        <v>2321</v>
      </c>
      <c r="AT58" s="261" t="n">
        <v>7335</v>
      </c>
      <c r="AU58" s="261" t="n">
        <v>2250</v>
      </c>
      <c r="AV58" s="261" t="n">
        <v>2568</v>
      </c>
      <c r="AW58" s="261" t="n">
        <v>2732</v>
      </c>
      <c r="AX58" s="261" t="n">
        <v>3042</v>
      </c>
      <c r="AY58" s="261" t="n">
        <v>10592</v>
      </c>
      <c r="AZ58" s="261" t="n">
        <v>2768</v>
      </c>
      <c r="BA58" s="261" t="n">
        <v>3026</v>
      </c>
      <c r="BB58" s="261" t="n">
        <v>2955</v>
      </c>
      <c r="BC58" s="261" t="n">
        <v>3269</v>
      </c>
      <c r="BD58" s="261" t="n">
        <v>12018</v>
      </c>
      <c r="BE58" s="261" t="n">
        <v>3145</v>
      </c>
      <c r="BF58" s="261" t="n">
        <v>3529</v>
      </c>
      <c r="BG58" s="261" t="n">
        <v>3870</v>
      </c>
      <c r="BH58" s="261" t="n">
        <v>4106</v>
      </c>
      <c r="BI58" s="261" t="n">
        <v>14650</v>
      </c>
      <c r="BJ58" s="261" t="n">
        <v>4093</v>
      </c>
      <c r="BK58" s="261" t="n">
        <v>4311</v>
      </c>
      <c r="BL58" s="261" t="n">
        <v>4522</v>
      </c>
      <c r="BM58" s="261" t="n">
        <v>4998</v>
      </c>
      <c r="BN58" s="261" t="n">
        <v>17924</v>
      </c>
      <c r="BO58" s="261" t="n">
        <v>4585</v>
      </c>
      <c r="BP58" s="261" t="n">
        <v>5076</v>
      </c>
      <c r="BQ58" s="261" t="n">
        <v>5664</v>
      </c>
      <c r="BR58" s="261" t="n">
        <v>6389</v>
      </c>
      <c r="BS58" s="261" t="n">
        <v>21714</v>
      </c>
      <c r="BT58" s="261" t="n">
        <v>6359</v>
      </c>
      <c r="BU58" s="261" t="n">
        <v>6856</v>
      </c>
      <c r="BV58" s="153" t="n"/>
      <c r="BW58" s="153" t="n"/>
      <c r="BX58" s="153" t="n"/>
      <c r="BY58" s="153" t="n"/>
      <c r="BZ58" s="153" t="n"/>
      <c r="CA58" s="153" t="n"/>
      <c r="CB58" s="153" t="n"/>
      <c r="CC58" s="153" t="n"/>
      <c r="CD58" s="153" t="n"/>
      <c r="CF58" s="20" t="str">
        <f>IFERROR((CC58/BX58)^(1/5)-1,"n/m")</f>
        <v>n/m</v>
      </c>
      <c r="CG58" s="20">
        <f>IFERROR((BS58/AT58)^(1/5)-1,"n/m")</f>
        <v>0.242418595873732</v>
      </c>
      <c r="CH58" s="20" t="str">
        <f>IFERROR((BS58/U58)^(1/10)-1,"n/m")</f>
        <v>n/m</v>
      </c>
      <c r="CI58" s="20" t="str">
        <f>IFERROR((BS58/C58)^(1/16)-1,"n/m")</f>
        <v>n/m</v>
      </c>
      <c r="CL58" s="25" t="inlineStr">
        <is>
          <t xml:space="preserve">  2027E</t>
        </is>
      </c>
      <c r="CM58" s="33">
        <f>CN58+$CM$57</f>
        <v>0.39</v>
      </c>
      <c r="CN58" s="260" t="n">
        <v>0.41</v>
      </c>
      <c r="CO58" s="33">
        <f>CN58+$CO$57</f>
        <v>0.44</v>
      </c>
    </row>
    <row r="59" ht="15" customHeight="1" s="251">
      <c r="B59" s="57" t="inlineStr">
        <is>
          <t xml:space="preserve">  Check: Σ geographies vs revenue (should be 0; ±1 where Q4 = year − nine months)</t>
        </is>
      </c>
      <c r="C59" s="211">
        <f>IF(ISNUMBER(C55),IF(ABS(C55+C56+C57+C58-C109)&lt;=1.1,0,ROUND(C55+C56+C57+C58-C109,1)),"")</f>
      </c>
      <c r="D59" s="211">
        <f>IF(ISNUMBER(D55),IF(ABS(D55+D56+D57+D58-D109)&lt;=1.1,0,ROUND(D55+D56+D57+D58-D109,1)),"")</f>
      </c>
      <c r="E59" s="211">
        <f>IF(ISNUMBER(E55),IF(ABS(E55+E56+E57+E58-E109)&lt;=1.1,0,ROUND(E55+E56+E57+E58-E109,1)),"")</f>
      </c>
      <c r="F59" s="211">
        <f>IF(ISNUMBER(F55),IF(ABS(F55+F56+F57+F58-F109)&lt;=1.1,0,ROUND(F55+F56+F57+F58-F109,1)),"")</f>
      </c>
      <c r="G59" s="211">
        <f>IF(ISNUMBER(G55),IF(ABS(G55+G56+G57+G58-G109)&lt;=1.1,0,ROUND(G55+G56+G57+G58-G109,1)),"")</f>
      </c>
      <c r="H59" s="211">
        <f>IF(ISNUMBER(H55),IF(ABS(H55+H56+H57+H58-H109)&lt;=1.1,0,ROUND(H55+H56+H57+H58-H109,1)),"")</f>
      </c>
      <c r="I59" s="211">
        <f>IF(ISNUMBER(I55),IF(ABS(I55+I56+I57+I58-I109)&lt;=1.1,0,ROUND(I55+I56+I57+I58-I109,1)),"")</f>
      </c>
      <c r="J59" s="211">
        <f>IF(ISNUMBER(J55),IF(ABS(J55+J56+J57+J58-J109)&lt;=1.1,0,ROUND(J55+J56+J57+J58-J109,1)),"")</f>
      </c>
      <c r="K59" s="211">
        <f>IF(ISNUMBER(K55),IF(ABS(K55+K56+K57+K58-K109)&lt;=1.1,0,ROUND(K55+K56+K57+K58-K109,1)),"")</f>
      </c>
      <c r="L59" s="211">
        <f>IF(ISNUMBER(L55),IF(ABS(L55+L56+L57+L58-L109)&lt;=1.1,0,ROUND(L55+L56+L57+L58-L109,1)),"")</f>
      </c>
      <c r="M59" s="211">
        <f>IF(ISNUMBER(M55),IF(ABS(M55+M56+M57+M58-M109)&lt;=1.1,0,ROUND(M55+M56+M57+M58-M109,1)),"")</f>
      </c>
      <c r="N59" s="211">
        <f>IF(ISNUMBER(N55),IF(ABS(N55+N56+N57+N58-N109)&lt;=1.1,0,ROUND(N55+N56+N57+N58-N109,1)),"")</f>
      </c>
      <c r="O59" s="211">
        <f>IF(ISNUMBER(O55),IF(ABS(O55+O56+O57+O58-O109)&lt;=1.1,0,ROUND(O55+O56+O57+O58-O109,1)),"")</f>
      </c>
      <c r="P59" s="211">
        <f>IF(ISNUMBER(P55),IF(ABS(P55+P56+P57+P58-P109)&lt;=1.1,0,ROUND(P55+P56+P57+P58-P109,1)),"")</f>
      </c>
      <c r="Q59" s="211">
        <f>IF(ISNUMBER(Q55),IF(ABS(Q55+Q56+Q57+Q58-Q109)&lt;=1.1,0,ROUND(Q55+Q56+Q57+Q58-Q109,1)),"")</f>
      </c>
      <c r="R59" s="211">
        <f>IF(ISNUMBER(R55),IF(ABS(R55+R56+R57+R58-R109)&lt;=1.1,0,ROUND(R55+R56+R57+R58-R109,1)),"")</f>
      </c>
      <c r="S59" s="211">
        <f>IF(ISNUMBER(S55),IF(ABS(S55+S56+S57+S58-S109)&lt;=1.1,0,ROUND(S55+S56+S57+S58-S109,1)),"")</f>
      </c>
      <c r="T59" s="211">
        <f>IF(ISNUMBER(T55),IF(ABS(T55+T56+T57+T58-T109)&lt;=1.1,0,ROUND(T55+T56+T57+T58-T109,1)),"")</f>
      </c>
      <c r="U59" s="211">
        <f>IF(ISNUMBER(U55),IF(ABS(U55+U56+U57+U58-U109)&lt;=1.1,0,ROUND(U55+U56+U57+U58-U109,1)),"")</f>
      </c>
      <c r="V59" s="211">
        <f>IF(ISNUMBER(V55),IF(ABS(V55+V56+V57+V58-V109)&lt;=1.1,0,ROUND(V55+V56+V57+V58-V109,1)),"")</f>
      </c>
      <c r="W59" s="211">
        <f>IF(ISNUMBER(W55),IF(ABS(W55+W56+W57+W58-W109)&lt;=1.1,0,ROUND(W55+W56+W57+W58-W109,1)),"")</f>
      </c>
      <c r="X59" s="211">
        <f>IF(ISNUMBER(X55),IF(ABS(X55+X56+X57+X58-X109)&lt;=1.1,0,ROUND(X55+X56+X57+X58-X109,1)),"")</f>
      </c>
      <c r="Y59" s="211">
        <f>IF(ISNUMBER(Y55),IF(ABS(Y55+Y56+Y57+Y58-Y109)&lt;=1.1,0,ROUND(Y55+Y56+Y57+Y58-Y109,1)),"")</f>
      </c>
      <c r="Z59" s="211">
        <f>IF(ISNUMBER(Z55),IF(ABS(Z55+Z56+Z57+Z58-Z109)&lt;=1.1,0,ROUND(Z55+Z56+Z57+Z58-Z109,1)),"")</f>
      </c>
      <c r="AA59" s="211">
        <f>IF(ISNUMBER(AA55),IF(ABS(AA55+AA56+AA57+AA58-AA109)&lt;=1.1,0,ROUND(AA55+AA56+AA57+AA58-AA109,1)),"")</f>
      </c>
      <c r="AB59" s="211">
        <f>IF(ISNUMBER(AB55),IF(ABS(AB55+AB56+AB57+AB58-AB109)&lt;=1.1,0,ROUND(AB55+AB56+AB57+AB58-AB109,1)),"")</f>
      </c>
      <c r="AC59" s="211">
        <f>IF(ISNUMBER(AC55),IF(ABS(AC55+AC56+AC57+AC58-AC109)&lt;=1.1,0,ROUND(AC55+AC56+AC57+AC58-AC109,1)),"")</f>
      </c>
      <c r="AD59" s="211">
        <f>IF(ISNUMBER(AD55),IF(ABS(AD55+AD56+AD57+AD58-AD109)&lt;=1.1,0,ROUND(AD55+AD56+AD57+AD58-AD109,1)),"")</f>
      </c>
      <c r="AE59" s="211">
        <f>IF(ISNUMBER(AE55),IF(ABS(AE55+AE56+AE57+AE58-AE109)&lt;=1.1,0,ROUND(AE55+AE56+AE57+AE58-AE109,1)),"")</f>
      </c>
      <c r="AF59" s="211">
        <f>IF(ISNUMBER(AF55),IF(ABS(AF55+AF56+AF57+AF58-AF109)&lt;=1.1,0,ROUND(AF55+AF56+AF57+AF58-AF109,1)),"")</f>
        <v>0</v>
      </c>
      <c r="AG59" s="211">
        <f>IF(ISNUMBER(AG55),IF(ABS(AG55+AG56+AG57+AG58-AG109)&lt;=1.1,0,ROUND(AG55+AG56+AG57+AG58-AG109,1)),"")</f>
        <v>0</v>
      </c>
      <c r="AH59" s="211">
        <f>IF(ISNUMBER(AH55),IF(ABS(AH55+AH56+AH57+AH58-AH109)&lt;=1.1,0,ROUND(AH55+AH56+AH57+AH58-AH109,1)),"")</f>
        <v>0</v>
      </c>
      <c r="AI59" s="211">
        <f>IF(ISNUMBER(AI55),IF(ABS(AI55+AI56+AI57+AI58-AI109)&lt;=1.1,0,ROUND(AI55+AI56+AI57+AI58-AI109,1)),"")</f>
        <v>0</v>
      </c>
      <c r="AJ59" s="211">
        <f>IF(ISNUMBER(AJ55),IF(ABS(AJ55+AJ56+AJ57+AJ58-AJ109)&lt;=1.1,0,ROUND(AJ55+AJ56+AJ57+AJ58-AJ109,1)),"")</f>
        <v>0</v>
      </c>
      <c r="AK59" s="211">
        <f>IF(ISNUMBER(AK55),IF(ABS(AK55+AK56+AK57+AK58-AK109)&lt;=1.1,0,ROUND(AK55+AK56+AK57+AK58-AK109,1)),"")</f>
        <v>0</v>
      </c>
      <c r="AL59" s="211">
        <f>IF(ISNUMBER(AL55),IF(ABS(AL55+AL56+AL57+AL58-AL109)&lt;=1.1,0,ROUND(AL55+AL56+AL57+AL58-AL109,1)),"")</f>
        <v>0</v>
      </c>
      <c r="AM59" s="211">
        <f>IF(ISNUMBER(AM55),IF(ABS(AM55+AM56+AM57+AM58-AM109)&lt;=1.1,0,ROUND(AM55+AM56+AM57+AM58-AM109,1)),"")</f>
        <v>0</v>
      </c>
      <c r="AN59" s="211">
        <f>IF(ISNUMBER(AN55),IF(ABS(AN55+AN56+AN57+AN58-AN109)&lt;=1.1,0,ROUND(AN55+AN56+AN57+AN58-AN109,1)),"")</f>
        <v>0</v>
      </c>
      <c r="AO59" s="211">
        <f>IF(ISNUMBER(AO55),IF(ABS(AO55+AO56+AO57+AO58-AO109)&lt;=1.1,0,ROUND(AO55+AO56+AO57+AO58-AO109,1)),"")</f>
        <v>0</v>
      </c>
      <c r="AP59" s="211">
        <f>IF(ISNUMBER(AP55),IF(ABS(AP55+AP56+AP57+AP58-AP109)&lt;=1.1,0,ROUND(AP55+AP56+AP57+AP58-AP109,1)),"")</f>
        <v>0</v>
      </c>
      <c r="AQ59" s="211">
        <f>IF(ISNUMBER(AQ55),IF(ABS(AQ55+AQ56+AQ57+AQ58-AQ109)&lt;=1.1,0,ROUND(AQ55+AQ56+AQ57+AQ58-AQ109,1)),"")</f>
        <v>0</v>
      </c>
      <c r="AR59" s="211">
        <f>IF(ISNUMBER(AR55),IF(ABS(AR55+AR56+AR57+AR58-AR109)&lt;=1.1,0,ROUND(AR55+AR56+AR57+AR58-AR109,1)),"")</f>
        <v>0</v>
      </c>
      <c r="AS59" s="211">
        <f>IF(ISNUMBER(AS55),IF(ABS(AS55+AS56+AS57+AS58-AS109)&lt;=1.1,0,ROUND(AS55+AS56+AS57+AS58-AS109,1)),"")</f>
        <v>0</v>
      </c>
      <c r="AT59" s="211">
        <f>IF(ISNUMBER(AT55),IF(ABS(AT55+AT56+AT57+AT58-AT109)&lt;=1.1,0,ROUND(AT55+AT56+AT57+AT58-AT109,1)),"")</f>
        <v>0</v>
      </c>
      <c r="AU59" s="211">
        <f>IF(ISNUMBER(AU55),IF(ABS(AU55+AU56+AU57+AU58-AU109)&lt;=1.1,0,ROUND(AU55+AU56+AU57+AU58-AU109,1)),"")</f>
        <v>0</v>
      </c>
      <c r="AV59" s="211">
        <f>IF(ISNUMBER(AV55),IF(ABS(AV55+AV56+AV57+AV58-AV109)&lt;=1.1,0,ROUND(AV55+AV56+AV57+AV58-AV109,1)),"")</f>
        <v>0</v>
      </c>
      <c r="AW59" s="211">
        <f>IF(ISNUMBER(AW55),IF(ABS(AW55+AW56+AW57+AW58-AW109)&lt;=1.1,0,ROUND(AW55+AW56+AW57+AW58-AW109,1)),"")</f>
        <v>0</v>
      </c>
      <c r="AX59" s="211">
        <f>IF(ISNUMBER(AX55),IF(ABS(AX55+AX56+AX57+AX58-AX109)&lt;=1.1,0,ROUND(AX55+AX56+AX57+AX58-AX109,1)),"")</f>
        <v>0</v>
      </c>
      <c r="AY59" s="211">
        <f>IF(ISNUMBER(AY55),IF(ABS(AY55+AY56+AY57+AY58-AY109)&lt;=1.1,0,ROUND(AY55+AY56+AY57+AY58-AY109,1)),"")</f>
        <v>0</v>
      </c>
      <c r="AZ59" s="211">
        <f>IF(ISNUMBER(AZ55),IF(ABS(AZ55+AZ56+AZ57+AZ58-AZ109)&lt;=1.1,0,ROUND(AZ55+AZ56+AZ57+AZ58-AZ109,1)),"")</f>
        <v>0</v>
      </c>
      <c r="BA59" s="211">
        <f>IF(ISNUMBER(BA55),IF(ABS(BA55+BA56+BA57+BA58-BA109)&lt;=1.1,0,ROUND(BA55+BA56+BA57+BA58-BA109,1)),"")</f>
        <v>0</v>
      </c>
      <c r="BB59" s="211">
        <f>IF(ISNUMBER(BB55),IF(ABS(BB55+BB56+BB57+BB58-BB109)&lt;=1.1,0,ROUND(BB55+BB56+BB57+BB58-BB109,1)),"")</f>
        <v>0</v>
      </c>
      <c r="BC59" s="211">
        <f>IF(ISNUMBER(BC55),IF(ABS(BC55+BC56+BC57+BC58-BC109)&lt;=1.1,0,ROUND(BC55+BC56+BC57+BC58-BC109,1)),"")</f>
        <v>0</v>
      </c>
      <c r="BD59" s="211">
        <f>IF(ISNUMBER(BD55),IF(ABS(BD55+BD56+BD57+BD58-BD109)&lt;=1.1,0,ROUND(BD55+BD56+BD57+BD58-BD109,1)),"")</f>
        <v>0</v>
      </c>
      <c r="BE59" s="211">
        <f>IF(ISNUMBER(BE55),IF(ABS(BE55+BE56+BE57+BE58-BE109)&lt;=1.1,0,ROUND(BE55+BE56+BE57+BE58-BE109,1)),"")</f>
        <v>0</v>
      </c>
      <c r="BF59" s="211">
        <f>IF(ISNUMBER(BF55),IF(ABS(BF55+BF56+BF57+BF58-BF109)&lt;=1.1,0,ROUND(BF55+BF56+BF57+BF58-BF109,1)),"")</f>
        <v>0</v>
      </c>
      <c r="BG59" s="211">
        <f>IF(ISNUMBER(BG55),IF(ABS(BG55+BG56+BG57+BG58-BG109)&lt;=1.1,0,ROUND(BG55+BG56+BG57+BG58-BG109,1)),"")</f>
        <v>0</v>
      </c>
      <c r="BH59" s="211">
        <f>IF(ISNUMBER(BH55),IF(ABS(BH55+BH56+BH57+BH58-BH109)&lt;=1.1,0,ROUND(BH55+BH56+BH57+BH58-BH109,1)),"")</f>
        <v>0</v>
      </c>
      <c r="BI59" s="211">
        <f>IF(ISNUMBER(BI55),IF(ABS(BI55+BI56+BI57+BI58-BI109)&lt;=1.1,0,ROUND(BI55+BI56+BI57+BI58-BI109,1)),"")</f>
        <v>0</v>
      </c>
      <c r="BJ59" s="211">
        <f>IF(ISNUMBER(BJ55),IF(ABS(BJ55+BJ56+BJ57+BJ58-BJ109)&lt;=1.1,0,ROUND(BJ55+BJ56+BJ57+BJ58-BJ109,1)),"")</f>
        <v>0</v>
      </c>
      <c r="BK59" s="211">
        <f>IF(ISNUMBER(BK55),IF(ABS(BK55+BK56+BK57+BK58-BK109)&lt;=1.1,0,ROUND(BK55+BK56+BK57+BK58-BK109,1)),"")</f>
        <v>0</v>
      </c>
      <c r="BL59" s="211">
        <f>IF(ISNUMBER(BL55),IF(ABS(BL55+BL56+BL57+BL58-BL109)&lt;=1.1,0,ROUND(BL55+BL56+BL57+BL58-BL109,1)),"")</f>
        <v>0</v>
      </c>
      <c r="BM59" s="211">
        <f>IF(ISNUMBER(BM55),IF(ABS(BM55+BM56+BM57+BM58-BM109)&lt;=1.1,0,ROUND(BM55+BM56+BM57+BM58-BM109,1)),"")</f>
        <v>0</v>
      </c>
      <c r="BN59" s="211">
        <f>IF(ISNUMBER(BN55),IF(ABS(BN55+BN56+BN57+BN58-BN109)&lt;=1.1,0,ROUND(BN55+BN56+BN57+BN58-BN109,1)),"")</f>
        <v>0</v>
      </c>
      <c r="BO59" s="211">
        <f>IF(ISNUMBER(BO55),IF(ABS(BO55+BO56+BO57+BO58-BO109)&lt;=1.1,0,ROUND(BO55+BO56+BO57+BO58-BO109,1)),"")</f>
        <v>0</v>
      </c>
      <c r="BP59" s="211">
        <f>IF(ISNUMBER(BP55),IF(ABS(BP55+BP56+BP57+BP58-BP109)&lt;=1.1,0,ROUND(BP55+BP56+BP57+BP58-BP109,1)),"")</f>
        <v>0</v>
      </c>
      <c r="BQ59" s="211">
        <f>IF(ISNUMBER(BQ55),IF(ABS(BQ55+BQ56+BQ57+BQ58-BQ109)&lt;=1.1,0,ROUND(BQ55+BQ56+BQ57+BQ58-BQ109,1)),"")</f>
        <v>0</v>
      </c>
      <c r="BR59" s="211">
        <f>IF(ISNUMBER(BR55),IF(ABS(BR55+BR56+BR57+BR58-BR109)&lt;=1.1,0,ROUND(BR55+BR56+BR57+BR58-BR109,1)),"")</f>
        <v>0</v>
      </c>
      <c r="BS59" s="211">
        <f>IF(ISNUMBER(BS55),IF(ABS(BS55+BS56+BS57+BS58-BS109)&lt;=1.1,0,ROUND(BS55+BS56+BS57+BS58-BS109,1)),"")</f>
        <v>0</v>
      </c>
      <c r="BT59" s="211">
        <f>IF(ISNUMBER(BT55),IF(ABS(BT55+BT56+BT57+BT58-BT109)&lt;=1.1,0,ROUND(BT55+BT56+BT57+BT58-BT109,1)),"")</f>
        <v>0</v>
      </c>
      <c r="BU59" s="211">
        <f>IF(ISNUMBER(BU55),IF(ABS(BU55+BU56+BU57+BU58-BU109)&lt;=1.1,0,ROUND(BU55+BU56+BU57+BU58-BU109,1)),"")</f>
        <v>0</v>
      </c>
      <c r="BV59" s="153" t="n"/>
      <c r="BW59" s="153" t="n"/>
      <c r="BX59" s="153" t="n"/>
      <c r="BY59" s="153" t="n"/>
      <c r="BZ59" s="153" t="n"/>
      <c r="CA59" s="153" t="n"/>
      <c r="CB59" s="153" t="n"/>
      <c r="CC59" s="153" t="n"/>
      <c r="CD59" s="153" t="n"/>
      <c r="CL59" s="25" t="inlineStr">
        <is>
          <t xml:space="preserve">  2028E</t>
        </is>
      </c>
      <c r="CM59" s="33">
        <f>CN59+$CM$57</f>
        <v>0.38</v>
      </c>
      <c r="CN59" s="260" t="n">
        <v>0.4</v>
      </c>
      <c r="CO59" s="33">
        <f>CN59+$CO$57</f>
        <v>0.43</v>
      </c>
    </row>
    <row r="60" ht="15" customHeight="1" s="251">
      <c r="B60" s="25" t="inlineStr">
        <is>
          <t xml:space="preserve">  United States &amp; Canada % of revenue</t>
        </is>
      </c>
      <c r="C60" s="215">
        <f>IF(ISNUMBER(C55),IFERROR(C55/C109,""),"")</f>
      </c>
      <c r="D60" s="215">
        <f>IF(ISNUMBER(D55),IFERROR(D55/D109,""),"")</f>
      </c>
      <c r="E60" s="215">
        <f>IF(ISNUMBER(E55),IFERROR(E55/E109,""),"")</f>
      </c>
      <c r="F60" s="215">
        <f>IF(ISNUMBER(F55),IFERROR(F55/F109,""),"")</f>
      </c>
      <c r="G60" s="215">
        <f>IF(ISNUMBER(G55),IFERROR(G55/G109,""),"")</f>
      </c>
      <c r="H60" s="215">
        <f>IF(ISNUMBER(H55),IFERROR(H55/H109,""),"")</f>
      </c>
      <c r="I60" s="215">
        <f>IF(ISNUMBER(I55),IFERROR(I55/I109,""),"")</f>
      </c>
      <c r="J60" s="215">
        <f>IF(ISNUMBER(J55),IFERROR(J55/J109,""),"")</f>
      </c>
      <c r="K60" s="215">
        <f>IF(ISNUMBER(K55),IFERROR(K55/K109,""),"")</f>
      </c>
      <c r="L60" s="215">
        <f>IF(ISNUMBER(L55),IFERROR(L55/L109,""),"")</f>
      </c>
      <c r="M60" s="215">
        <f>IF(ISNUMBER(M55),IFERROR(M55/M109,""),"")</f>
      </c>
      <c r="N60" s="215">
        <f>IF(ISNUMBER(N55),IFERROR(N55/N109,""),"")</f>
      </c>
      <c r="O60" s="215">
        <f>IF(ISNUMBER(O55),IFERROR(O55/O109,""),"")</f>
      </c>
      <c r="P60" s="215">
        <f>IF(ISNUMBER(P55),IFERROR(P55/P109,""),"")</f>
      </c>
      <c r="Q60" s="215">
        <f>IF(ISNUMBER(Q55),IFERROR(Q55/Q109,""),"")</f>
      </c>
      <c r="R60" s="215">
        <f>IF(ISNUMBER(R55),IFERROR(R55/R109,""),"")</f>
      </c>
      <c r="S60" s="215">
        <f>IF(ISNUMBER(S55),IFERROR(S55/S109,""),"")</f>
      </c>
      <c r="T60" s="215">
        <f>IF(ISNUMBER(T55),IFERROR(T55/T109,""),"")</f>
      </c>
      <c r="U60" s="215">
        <f>IF(ISNUMBER(U55),IFERROR(U55/U109,""),"")</f>
      </c>
      <c r="V60" s="215">
        <f>IF(ISNUMBER(V55),IFERROR(V55/V109,""),"")</f>
      </c>
      <c r="W60" s="215">
        <f>IF(ISNUMBER(W55),IFERROR(W55/W109,""),"")</f>
      </c>
      <c r="X60" s="215">
        <f>IF(ISNUMBER(X55),IFERROR(X55/X109,""),"")</f>
      </c>
      <c r="Y60" s="215">
        <f>IF(ISNUMBER(Y55),IFERROR(Y55/Y109,""),"")</f>
      </c>
      <c r="Z60" s="215">
        <f>IF(ISNUMBER(Z55),IFERROR(Z55/Z109,""),"")</f>
      </c>
      <c r="AA60" s="215">
        <f>IF(ISNUMBER(AA55),IFERROR(AA55/AA109,""),"")</f>
      </c>
      <c r="AB60" s="215">
        <f>IF(ISNUMBER(AB55),IFERROR(AB55/AB109,""),"")</f>
      </c>
      <c r="AC60" s="215">
        <f>IF(ISNUMBER(AC55),IFERROR(AC55/AC109,""),"")</f>
      </c>
      <c r="AD60" s="215">
        <f>IF(ISNUMBER(AD55),IFERROR(AD55/AD109,""),"")</f>
      </c>
      <c r="AE60" s="215">
        <f>IF(ISNUMBER(AE55),IFERROR(AE55/AE109,""),"")</f>
      </c>
      <c r="AF60" s="215">
        <f>IF(ISNUMBER(AF55),IFERROR(AF55/AF109,""),"")</f>
        <v>0.454788567608223</v>
      </c>
      <c r="AG60" s="215">
        <f>IF(ISNUMBER(AG55),IFERROR(AG55/AG109,""),"")</f>
        <v>0.452120021162422</v>
      </c>
      <c r="AH60" s="215">
        <f>IF(ISNUMBER(AH55),IFERROR(AH55/AH109,""),"")</f>
        <v>0.460770743789612</v>
      </c>
      <c r="AI60" s="215">
        <f>IF(ISNUMBER(AI55),IFERROR(AI55/AI109,""),"")</f>
        <v>0.471680264869339</v>
      </c>
      <c r="AJ60" s="215">
        <f>IF(ISNUMBER(AJ55),IFERROR(AJ55/AJ109,""),"")</f>
        <v>0.460743579641105</v>
      </c>
      <c r="AK60" s="215">
        <f>IF(ISNUMBER(AK55),IFERROR(AK55/AK109,""),"")</f>
        <v>0.449492604629568</v>
      </c>
      <c r="AL60" s="215">
        <f>IF(ISNUMBER(AL55),IFERROR(AL55/AL109,""),"")</f>
        <v>0.45197204785029</v>
      </c>
      <c r="AM60" s="215">
        <f>IF(ISNUMBER(AM55),IFERROR(AM55/AM109,""),"")</f>
        <v>0.454679356446862</v>
      </c>
      <c r="AN60" s="215">
        <f>IF(ISNUMBER(AN55),IFERROR(AN55/AN109,""),"")</f>
        <v>0.463475951048288</v>
      </c>
      <c r="AO60" s="215">
        <f>IF(ISNUMBER(AO55),IFERROR(AO55/AO109,""),"")</f>
        <v>0.455549740441603</v>
      </c>
      <c r="AP60" s="215">
        <f>IF(ISNUMBER(AP55),IFERROR(AP55/AP109,""),"")</f>
        <v>0.451711112363985</v>
      </c>
      <c r="AQ60" s="215">
        <f>IF(ISNUMBER(AQ55),IFERROR(AQ55/AQ109,""),"")</f>
        <v>0.443730935944774</v>
      </c>
      <c r="AR60" s="215">
        <f>IF(ISNUMBER(AR55),IFERROR(AR55/AR109,""),"")</f>
        <v>0.429855612482534</v>
      </c>
      <c r="AS60" s="215">
        <f>IF(ISNUMBER(AS55),IFERROR(AS55/AS109,""),"")</f>
        <v>0.459532630379025</v>
      </c>
      <c r="AT60" s="215">
        <f>IF(ISNUMBER(AT55),IFERROR(AT55/AT109,""),"")</f>
        <v>0.447077298900715</v>
      </c>
      <c r="AU60" s="215">
        <f>IF(ISNUMBER(AU55),IFERROR(AU55/AU109,""),"")</f>
        <v>0.436972221160827</v>
      </c>
      <c r="AV60" s="215">
        <f>IF(ISNUMBER(AV55),IFERROR(AV55/AV109,""),"")</f>
        <v>0.433744884272793</v>
      </c>
      <c r="AW60" s="215">
        <f>IF(ISNUMBER(AW55),IFERROR(AW55/AW109,""),"")</f>
        <v>0.436677007928301</v>
      </c>
      <c r="AX60" s="215">
        <f>IF(ISNUMBER(AX55),IFERROR(AX55/AX109,""),"")</f>
        <v>0.440289863680912</v>
      </c>
      <c r="AY60" s="215">
        <f>IF(ISNUMBER(AY55),IFERROR(AY55/AY109,""),"")</f>
        <v>0.437051107022022</v>
      </c>
      <c r="AZ60" s="215">
        <f>IF(ISNUMBER(AZ55),IFERROR(AZ55/AZ109,""),"")</f>
        <v>0.422101189623047</v>
      </c>
      <c r="BA60" s="215">
        <f>IF(ISNUMBER(BA55),IFERROR(BA55/BA109,""),"")</f>
        <v>0.422802026229963</v>
      </c>
      <c r="BB60" s="215">
        <f>IF(ISNUMBER(BB55),IFERROR(BB55/BB109,""),"")</f>
        <v>0.431767337807606</v>
      </c>
      <c r="BC60" s="215">
        <f>IF(ISNUMBER(BC55),IFERROR(BC55/BC109,""),"")</f>
        <v>0.44203326597233</v>
      </c>
      <c r="BD60" s="215">
        <f>IF(ISNUMBER(BD55),IFERROR(BD55/BD109,""),"")</f>
        <v>0.430069720175973</v>
      </c>
      <c r="BE60" s="215">
        <f>IF(ISNUMBER(BE55),IFERROR(BE55/BE109,""),"")</f>
        <v>0.399685809041718</v>
      </c>
      <c r="BF60" s="215">
        <f>IF(ISNUMBER(BF55),IFERROR(BF55/BF109,""),"")</f>
        <v>0.387637113659802</v>
      </c>
      <c r="BG60" s="215">
        <f>IF(ISNUMBER(BG55),IFERROR(BG55/BG109,""),"")</f>
        <v>0.378023780237802</v>
      </c>
      <c r="BH60" s="215">
        <f>IF(ISNUMBER(BH55),IFERROR(BH55/BH109,""),"")</f>
        <v>0.402059285482785</v>
      </c>
      <c r="BI60" s="215">
        <f>IF(ISNUMBER(BI55),IFERROR(BI55/BI109,""),"")</f>
        <v>0.392047560451291</v>
      </c>
      <c r="BJ60" s="215">
        <f>IF(ISNUMBER(BJ55),IFERROR(BJ55/BJ109,""),"")</f>
        <v>0.374324509669456</v>
      </c>
      <c r="BK60" s="215">
        <f>IF(ISNUMBER(BK55),IFERROR(BK55/BK109,""),"")</f>
        <v>0.374702464743672</v>
      </c>
      <c r="BL60" s="215">
        <f>IF(ISNUMBER(BL55),IFERROR(BL55/BL109,""),"")</f>
        <v>0.384808692010151</v>
      </c>
      <c r="BM60" s="215">
        <f>IF(ISNUMBER(BM55),IFERROR(BM55/BM109,""),"")</f>
        <v>0.398925286762426</v>
      </c>
      <c r="BN60" s="215">
        <f>IF(ISNUMBER(BN55),IFERROR(BN55/BN109,""),"")</f>
        <v>0.384234746293336</v>
      </c>
      <c r="BO60" s="215">
        <f>IF(ISNUMBER(BO55),IFERROR(BO55/BO109,""),"")</f>
        <v>0.398662381244978</v>
      </c>
      <c r="BP60" s="215">
        <f>IF(ISNUMBER(BP55),IFERROR(BP55/BP109,""),"")</f>
        <v>0.388374442293122</v>
      </c>
      <c r="BQ60" s="215">
        <f>IF(ISNUMBER(BQ55),IFERROR(BQ55/BQ109,""),"")</f>
        <v>0.384606377580891</v>
      </c>
      <c r="BR60" s="215">
        <f>IF(ISNUMBER(BR55),IFERROR(BR55/BR109,""),"")</f>
        <v>0.397959694789041</v>
      </c>
      <c r="BS60" s="215">
        <f>IF(ISNUMBER(BS55),IFERROR(BS55/BS109,""),"")</f>
        <v>0.392434541166167</v>
      </c>
      <c r="BT60" s="215">
        <f>IF(ISNUMBER(BT55),IFERROR(BT55/BT109,""),"")</f>
        <v>0.377670437392339</v>
      </c>
      <c r="BU60" s="215">
        <f>IF(ISNUMBER(BU55),IFERROR(BU55/BU109,""),"")</f>
        <v>0.392477097416161</v>
      </c>
      <c r="BV60" s="24" t="n"/>
      <c r="BW60" s="24" t="n"/>
      <c r="BX60" s="24" t="n"/>
      <c r="BY60" s="24" t="n"/>
      <c r="BZ60" s="24" t="n"/>
      <c r="CA60" s="24" t="n"/>
      <c r="CB60" s="24" t="n"/>
      <c r="CC60" s="24" t="n"/>
      <c r="CD60" s="153" t="n"/>
      <c r="CL60" s="25" t="inlineStr">
        <is>
          <t xml:space="preserve">  2029E</t>
        </is>
      </c>
      <c r="CM60" s="33">
        <f>CN60+$CM$57</f>
        <v>0.37</v>
      </c>
      <c r="CN60" s="260" t="n">
        <v>0.39</v>
      </c>
      <c r="CO60" s="33">
        <f>CN60+$CO$57</f>
        <v>0.42</v>
      </c>
    </row>
    <row r="61" ht="15" customHeight="1" s="251">
      <c r="B61" s="22" t="inlineStr">
        <is>
          <t xml:space="preserve">  United States &amp; Canada y/y %</t>
        </is>
      </c>
      <c r="C61" s="23" t="n"/>
      <c r="D61" s="255">
        <f>IF(AND(ISNUMBER(D55),ISNUMBER(C55)),IFERROR(D55/C55-1,""),"")</f>
      </c>
      <c r="E61" s="255">
        <f>IF(AND(ISNUMBER(E55),ISNUMBER(D55)),IFERROR(E55/D55-1,""),"")</f>
      </c>
      <c r="F61" s="255">
        <f>IF(AND(ISNUMBER(F55),ISNUMBER(E55)),IFERROR(F55/E55-1,""),"")</f>
      </c>
      <c r="G61" s="23" t="n"/>
      <c r="H61" s="23" t="n"/>
      <c r="I61" s="23" t="n"/>
      <c r="J61" s="23" t="n"/>
      <c r="K61" s="255">
        <f>IF(AND(ISNUMBER(K55),ISNUMBER(F55)),IFERROR(K55/F55-1,""),"")</f>
      </c>
      <c r="L61" s="255">
        <f>IF(AND(ISNUMBER(L55),ISNUMBER(G55)),IFERROR(L55/G55-1,""),"")</f>
      </c>
      <c r="M61" s="255">
        <f>IF(AND(ISNUMBER(M55),ISNUMBER(H55)),IFERROR(M55/H55-1,""),"")</f>
      </c>
      <c r="N61" s="255">
        <f>IF(AND(ISNUMBER(N55),ISNUMBER(I55)),IFERROR(N55/I55-1,""),"")</f>
      </c>
      <c r="O61" s="255">
        <f>IF(AND(ISNUMBER(O55),ISNUMBER(J55)),IFERROR(O55/J55-1,""),"")</f>
      </c>
      <c r="P61" s="255">
        <f>IF(AND(ISNUMBER(P55),ISNUMBER(K55)),IFERROR(P55/K55-1,""),"")</f>
      </c>
      <c r="Q61" s="255">
        <f>IF(AND(ISNUMBER(Q55),ISNUMBER(L55)),IFERROR(Q55/L55-1,""),"")</f>
      </c>
      <c r="R61" s="255">
        <f>IF(AND(ISNUMBER(R55),ISNUMBER(M55)),IFERROR(R55/M55-1,""),"")</f>
      </c>
      <c r="S61" s="255">
        <f>IF(AND(ISNUMBER(S55),ISNUMBER(N55)),IFERROR(S55/N55-1,""),"")</f>
      </c>
      <c r="T61" s="255">
        <f>IF(AND(ISNUMBER(T55),ISNUMBER(O55)),IFERROR(T55/O55-1,""),"")</f>
      </c>
      <c r="U61" s="255">
        <f>IF(AND(ISNUMBER(U55),ISNUMBER(P55)),IFERROR(U55/P55-1,""),"")</f>
      </c>
      <c r="V61" s="255">
        <f>IF(AND(ISNUMBER(V55),ISNUMBER(Q55)),IFERROR(V55/Q55-1,""),"")</f>
      </c>
      <c r="W61" s="255">
        <f>IF(AND(ISNUMBER(W55),ISNUMBER(R55)),IFERROR(W55/R55-1,""),"")</f>
      </c>
      <c r="X61" s="255">
        <f>IF(AND(ISNUMBER(X55),ISNUMBER(S55)),IFERROR(X55/S55-1,""),"")</f>
      </c>
      <c r="Y61" s="255">
        <f>IF(AND(ISNUMBER(Y55),ISNUMBER(T55)),IFERROR(Y55/T55-1,""),"")</f>
      </c>
      <c r="Z61" s="255">
        <f>IF(AND(ISNUMBER(Z55),ISNUMBER(U55)),IFERROR(Z55/U55-1,""),"")</f>
      </c>
      <c r="AA61" s="255">
        <f>IF(AND(ISNUMBER(AA55),ISNUMBER(V55)),IFERROR(AA55/V55-1,""),"")</f>
      </c>
      <c r="AB61" s="255">
        <f>IF(AND(ISNUMBER(AB55),ISNUMBER(W55)),IFERROR(AB55/W55-1,""),"")</f>
      </c>
      <c r="AC61" s="255">
        <f>IF(AND(ISNUMBER(AC55),ISNUMBER(X55)),IFERROR(AC55/X55-1,""),"")</f>
      </c>
      <c r="AD61" s="255">
        <f>IF(AND(ISNUMBER(AD55),ISNUMBER(Y55)),IFERROR(AD55/Y55-1,""),"")</f>
      </c>
      <c r="AE61" s="255">
        <f>IF(AND(ISNUMBER(AE55),ISNUMBER(Z55)),IFERROR(AE55/Z55-1,""),"")</f>
      </c>
      <c r="AF61" s="255">
        <f>IF(AND(ISNUMBER(AF55),ISNUMBER(AA55)),IFERROR(AF55/AA55-1,""),"")</f>
      </c>
      <c r="AG61" s="255">
        <f>IF(AND(ISNUMBER(AG55),ISNUMBER(AB55)),IFERROR(AG55/AB55-1,""),"")</f>
      </c>
      <c r="AH61" s="255">
        <f>IF(AND(ISNUMBER(AH55),ISNUMBER(AC55)),IFERROR(AH55/AC55-1,""),"")</f>
      </c>
      <c r="AI61" s="255">
        <f>IF(AND(ISNUMBER(AI55),ISNUMBER(AD55)),IFERROR(AI55/AD55-1,""),"")</f>
      </c>
      <c r="AJ61" s="255">
        <f>IF(AND(ISNUMBER(AJ55),ISNUMBER(AE55)),IFERROR(AJ55/AE55-1,""),"")</f>
      </c>
      <c r="AK61" s="255">
        <f>IF(AND(ISNUMBER(AK55),ISNUMBER(AF55)),IFERROR(AK55/AF55-1,""),"")</f>
        <v>0.245314222712238</v>
      </c>
      <c r="AL61" s="255">
        <f>IF(AND(ISNUMBER(AL55),ISNUMBER(AG55)),IFERROR(AL55/AG55-1,""),"")</f>
        <v>0.275827482447342</v>
      </c>
      <c r="AM61" s="255">
        <f>IF(AND(ISNUMBER(AM55),ISNUMBER(AH55)),IFERROR(AM55/AH55-1,""),"")</f>
        <v>0.268932806324111</v>
      </c>
      <c r="AN61" s="255">
        <f>IF(AND(ISNUMBER(AN55),ISNUMBER(AI55)),IFERROR(AN55/AI55-1,""),"")</f>
        <v>0.224743043369265</v>
      </c>
      <c r="AO61" s="255">
        <f>IF(AND(ISNUMBER(AO55),ISNUMBER(AJ55)),IFERROR(AO55/AJ55-1,""),"")</f>
        <v>0.251836591907335</v>
      </c>
      <c r="AP61" s="255">
        <f>IF(AND(ISNUMBER(AP55),ISNUMBER(AK55)),IFERROR(AP55/AK55-1,""),"")</f>
        <v>0.182234026855541</v>
      </c>
      <c r="AQ61" s="255">
        <f>IF(AND(ISNUMBER(AQ55),ISNUMBER(AL55)),IFERROR(AQ55/AL55-1,""),"")</f>
        <v>0.0864779874213837</v>
      </c>
      <c r="AR61" s="255">
        <f>IF(AND(ISNUMBER(AR55),ISNUMBER(AM55)),IFERROR(AR55/AM55-1,""),"")</f>
        <v>0.149887864440568</v>
      </c>
      <c r="AS61" s="255">
        <f>IF(AND(ISNUMBER(AS55),ISNUMBER(AN55)),IFERROR(AS55/AN55-1,""),"")</f>
        <v>0.3202333435677</v>
      </c>
      <c r="AT61" s="255">
        <f>IF(AND(ISNUMBER(AT55),ISNUMBER(AO55)),IFERROR(AT55/AO55-1,""),"")</f>
        <v>0.193349065391542</v>
      </c>
      <c r="AU61" s="255">
        <f>IF(AND(ISNUMBER(AU55),ISNUMBER(AP55)),IFERROR(AU55/AP55-1,""),"")</f>
        <v>0.427358961557663</v>
      </c>
      <c r="AV61" s="255">
        <f>IF(AND(ISNUMBER(AV55),ISNUMBER(AQ55)),IFERROR(AV55/AQ55-1,""),"")</f>
        <v>0.520984081041968</v>
      </c>
      <c r="AW61" s="255">
        <f>IF(AND(ISNUMBER(AW55),ISNUMBER(AR55)),IFERROR(AW55/AR55-1,""),"")</f>
        <v>0.37262975403619</v>
      </c>
      <c r="AX61" s="255">
        <f>IF(AND(ISNUMBER(AX55),ISNUMBER(AS55)),IFERROR(AX55/AS55-1,""),"")</f>
        <v>0.14922480620155</v>
      </c>
      <c r="AY61" s="255">
        <f>IF(AND(ISNUMBER(AY55),ISNUMBER(AT55)),IFERROR(AY55/AT55-1,""),"")</f>
        <v>0.341061067311945</v>
      </c>
      <c r="AZ61" s="255">
        <f>IF(AND(ISNUMBER(AZ55),ISNUMBER(AU55)),IFERROR(AZ55/AU55-1,""),"")</f>
        <v>0.0300804477089891</v>
      </c>
      <c r="BA61" s="255">
        <f>IF(AND(ISNUMBER(BA55),ISNUMBER(AV55)),IFERROR(BA55/AV55-1,""),"")</f>
        <v>-0.0337773549000952</v>
      </c>
      <c r="BB61" s="255">
        <f>IF(AND(ISNUMBER(BB55),ISNUMBER(AW55)),IFERROR(BB55/AW55-1,""),"")</f>
        <v>-0.0554152194505841</v>
      </c>
      <c r="BC61" s="255">
        <f>IF(AND(ISNUMBER(BC55),ISNUMBER(AX55)),IFERROR(BC55/AX55-1,""),"")</f>
        <v>-0.0409443507588533</v>
      </c>
      <c r="BD61" s="255">
        <f>IF(AND(ISNUMBER(BD55),ISNUMBER(AY55)),IFERROR(BD55/AY55-1,""),"")</f>
        <v>-0.0269882229681224</v>
      </c>
      <c r="BE61" s="255">
        <f>IF(AND(ISNUMBER(BE55),ISNUMBER(AZ55)),IFERROR(BE55/AZ55-1,""),"")</f>
        <v>-0.0280984719864177</v>
      </c>
      <c r="BF61" s="255">
        <f>IF(AND(ISNUMBER(BF55),ISNUMBER(BA55)),IFERROR(BF55/BA55-1,""),"")</f>
        <v>0.0178893812571803</v>
      </c>
      <c r="BG61" s="255">
        <f>IF(AND(ISNUMBER(BG55),ISNUMBER(BB55)),IFERROR(BG55/BB55-1,""),"")</f>
        <v>0.0787230486378072</v>
      </c>
      <c r="BH61" s="255">
        <f>IF(AND(ISNUMBER(BH55),ISNUMBER(BC55)),IFERROR(BH55/BC55-1,""),"")</f>
        <v>0.134266422844282</v>
      </c>
      <c r="BI61" s="255">
        <f>IF(AND(ISNUMBER(BI55),ISNUMBER(BD55)),IFERROR(BI55/BD55-1,""),"")</f>
        <v>0.0545962113659022</v>
      </c>
      <c r="BJ61" s="255">
        <f>IF(AND(ISNUMBER(BJ55),ISNUMBER(BE55)),IFERROR(BJ55/BE55-1,""),"")</f>
        <v>0.191894488601625</v>
      </c>
      <c r="BK61" s="255">
        <f>IF(AND(ISNUMBER(BK55),ISNUMBER(BF55)),IFERROR(BK55/BF55-1,""),"")</f>
        <v>0.180264430828765</v>
      </c>
      <c r="BL61" s="255">
        <f>IF(AND(ISNUMBER(BL55),ISNUMBER(BG55)),IFERROR(BL55/BG55-1,""),"")</f>
        <v>0.210024790827394</v>
      </c>
      <c r="BM61" s="255">
        <f>IF(AND(ISNUMBER(BM55),ISNUMBER(BH55)),IFERROR(BM55/BH55-1,""),"")</f>
        <v>0.196874806225585</v>
      </c>
      <c r="BN61" s="255">
        <f>IF(AND(ISNUMBER(BN55),ISNUMBER(BI55)),IFERROR(BN55/BI55-1,""),"")</f>
        <v>0.1951104220239</v>
      </c>
      <c r="BO61" s="255">
        <f>IF(AND(ISNUMBER(BO55),ISNUMBER(BJ55)),IFERROR(BO55/BJ55-1,""),"")</f>
        <v>0.236186428257365</v>
      </c>
      <c r="BP61" s="255">
        <f>IF(AND(ISNUMBER(BP55),ISNUMBER(BK55)),IFERROR(BP55/BK55-1,""),"")</f>
        <v>0.26051912568306</v>
      </c>
      <c r="BQ61" s="255">
        <f>IF(AND(ISNUMBER(BQ55),ISNUMBER(BL55)),IFERROR(BQ55/BL55-1,""),"")</f>
        <v>0.261796529867469</v>
      </c>
      <c r="BR61" s="255">
        <f>IF(AND(ISNUMBER(BR55),ISNUMBER(BM55)),IFERROR(BR55/BM55-1,""),"")</f>
        <v>0.234846129934722</v>
      </c>
      <c r="BS61" s="255">
        <f>IF(AND(ISNUMBER(BS55),ISNUMBER(BN55)),IFERROR(BS55/BN55-1,""),"")</f>
        <v>0.247741547613397</v>
      </c>
      <c r="BT61" s="255">
        <f>IF(AND(ISNUMBER(BT55),ISNUMBER(BO55)),IFERROR(BT55/BO55-1,""),"")</f>
        <v>0.26071492086075</v>
      </c>
      <c r="BU61" s="255">
        <f>IF(AND(ISNUMBER(BU55),ISNUMBER(BP55)),IFERROR(BU55/BP55-1,""),"")</f>
        <v>0.293107185434052</v>
      </c>
      <c r="BV61" s="256">
        <f>IF(AND(ISNUMBER(BV55),ISNUMBER(BQ55)),IFERROR(BV55/BQ55-1,""),"")</f>
      </c>
      <c r="BW61" s="256">
        <f>IF(AND(ISNUMBER(BW55),ISNUMBER(BR55)),IFERROR(BW55/BR55-1,""),"")</f>
      </c>
      <c r="BX61" s="256">
        <f>IF(AND(ISNUMBER(BX55),ISNUMBER(BS55)),IFERROR(BX55/BS55-1,""),"")</f>
      </c>
      <c r="BY61" s="256">
        <f>IF(AND(ISNUMBER(BY55),ISNUMBER(BX55)),IFERROR(BY55/BX55-1,""),"")</f>
      </c>
      <c r="BZ61" s="256">
        <f>IF(AND(ISNUMBER(BZ55),ISNUMBER(BY55)),IFERROR(BZ55/BY55-1,""),"")</f>
      </c>
      <c r="CA61" s="256">
        <f>IF(AND(ISNUMBER(CA55),ISNUMBER(BZ55)),IFERROR(CA55/BZ55-1,""),"")</f>
      </c>
      <c r="CB61" s="256">
        <f>IF(AND(ISNUMBER(CB55),ISNUMBER(CA55)),IFERROR(CB55/CA55-1,""),"")</f>
      </c>
      <c r="CC61" s="256">
        <f>IF(AND(ISNUMBER(CC55),ISNUMBER(CB55)),IFERROR(CC55/CB55-1,""),"")</f>
      </c>
      <c r="CD61" s="153" t="n"/>
      <c r="CL61" s="25" t="inlineStr">
        <is>
          <t xml:space="preserve">  2030E</t>
        </is>
      </c>
      <c r="CM61" s="33">
        <f>CN61+$CM$57</f>
        <v>0.365</v>
      </c>
      <c r="CN61" s="260" t="n">
        <v>0.385</v>
      </c>
      <c r="CO61" s="33">
        <f>CN61+$CO$57</f>
        <v>0.415</v>
      </c>
    </row>
    <row r="62" ht="15" customHeight="1" s="251">
      <c r="CL62" s="25" t="inlineStr">
        <is>
          <t xml:space="preserve">  2031E</t>
        </is>
      </c>
      <c r="CM62" s="33">
        <f>CN62+$CM$57</f>
        <v>0.36</v>
      </c>
      <c r="CN62" s="260" t="n">
        <v>0.38</v>
      </c>
      <c r="CO62" s="33">
        <f>CN62+$CO$57</f>
        <v>0.41</v>
      </c>
    </row>
    <row r="63" ht="15" customHeight="1" s="251">
      <c r="B63" s="14" t="inlineStr">
        <is>
          <t>Future acquisitions (M&amp;A lever — technology and talent deals; no acquired revenue assumed)</t>
        </is>
      </c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  <c r="AH63" s="14" t="n"/>
      <c r="AI63" s="14" t="n"/>
      <c r="AJ63" s="14" t="n"/>
      <c r="AK63" s="14" t="n"/>
      <c r="AL63" s="14" t="n"/>
      <c r="AM63" s="14" t="n"/>
      <c r="AN63" s="14" t="n"/>
      <c r="AO63" s="14" t="n"/>
      <c r="AP63" s="14" t="n"/>
      <c r="AQ63" s="14" t="n"/>
      <c r="AR63" s="14" t="n"/>
      <c r="AS63" s="14" t="n"/>
      <c r="AT63" s="14" t="n"/>
      <c r="AU63" s="14" t="n"/>
      <c r="AV63" s="14" t="n"/>
      <c r="AW63" s="14" t="n"/>
      <c r="AX63" s="14" t="n"/>
      <c r="AY63" s="14" t="n"/>
      <c r="AZ63" s="14" t="n"/>
      <c r="BA63" s="14" t="n"/>
      <c r="BB63" s="14" t="n"/>
      <c r="BC63" s="14" t="n"/>
      <c r="BD63" s="14" t="n"/>
      <c r="BE63" s="14" t="n"/>
      <c r="BF63" s="14" t="n"/>
      <c r="BG63" s="14" t="n"/>
      <c r="BH63" s="14" t="n"/>
      <c r="BI63" s="14" t="n"/>
      <c r="BJ63" s="14" t="n"/>
      <c r="BK63" s="14" t="n"/>
      <c r="BL63" s="14" t="n"/>
      <c r="BM63" s="14" t="n"/>
      <c r="BN63" s="14" t="n"/>
      <c r="BO63" s="14" t="n"/>
      <c r="BP63" s="14" t="n"/>
      <c r="BQ63" s="14" t="n"/>
      <c r="BR63" s="14" t="n"/>
      <c r="BS63" s="14" t="n"/>
      <c r="BT63" s="14" t="n"/>
      <c r="BU63" s="14" t="n"/>
      <c r="BV63" s="14" t="n"/>
      <c r="BW63" s="14" t="n"/>
      <c r="BX63" s="14" t="n"/>
      <c r="BY63" s="14" t="n"/>
      <c r="BZ63" s="14" t="n"/>
      <c r="CA63" s="14" t="n"/>
      <c r="CB63" s="14" t="n"/>
      <c r="CC63" s="14" t="n"/>
      <c r="CD63" s="15" t="inlineStr">
        <is>
          <t>M&amp;A LEVER — spend → goodwill &amp; intangibles; acquired intangibles amortised (inside D&amp;A); mid-year convention</t>
        </is>
      </c>
      <c r="CL63" s="15" t="inlineStr">
        <is>
          <t>CAPEX (purchases of property and equipment % of revenue)</t>
        </is>
      </c>
      <c r="CM63" s="265" t="n">
        <v>-0.04</v>
      </c>
      <c r="CN63" s="21" t="inlineStr">
        <is>
          <t>Δ →</t>
        </is>
      </c>
      <c r="CO63" s="265" t="n">
        <v>0.05</v>
      </c>
      <c r="CP63" s="13" t="inlineStr">
        <is>
          <t>FY25 34.7% ($69.7bn); 2026E ~53% (guidance mid-point $137.5bn incl. finance leases); 2019–21 16–21%. AI data-center build-out (Hyperion, Prometheus). Assumption: intensity fades toward ~23%, above the pre-AI level.</t>
        </is>
      </c>
    </row>
    <row r="64" ht="15" customHeight="1" s="251">
      <c r="B64" s="25" t="inlineStr">
        <is>
          <t xml:space="preserve">  Acquisition spend (USDm, scenario)</t>
        </is>
      </c>
      <c r="C64" s="34" t="n"/>
      <c r="D64" s="34" t="n"/>
      <c r="E64" s="34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  <c r="AA64" s="34" t="n"/>
      <c r="AB64" s="34" t="n"/>
      <c r="AC64" s="34" t="n"/>
      <c r="AD64" s="34" t="n"/>
      <c r="AE64" s="34" t="n"/>
      <c r="AF64" s="34" t="n"/>
      <c r="AG64" s="34" t="n"/>
      <c r="AH64" s="34" t="n"/>
      <c r="AI64" s="34" t="n"/>
      <c r="AJ64" s="34" t="n"/>
      <c r="AK64" s="34" t="n"/>
      <c r="AL64" s="34" t="n"/>
      <c r="AM64" s="34" t="n"/>
      <c r="AN64" s="34" t="n"/>
      <c r="AO64" s="34" t="n"/>
      <c r="AP64" s="34" t="n"/>
      <c r="AQ64" s="34" t="n"/>
      <c r="AR64" s="34" t="n"/>
      <c r="AS64" s="34" t="n"/>
      <c r="AT64" s="34" t="n"/>
      <c r="AU64" s="34" t="n"/>
      <c r="AV64" s="34" t="n"/>
      <c r="AW64" s="34" t="n"/>
      <c r="AX64" s="34" t="n"/>
      <c r="AY64" s="34" t="n"/>
      <c r="AZ64" s="34" t="n"/>
      <c r="BA64" s="34" t="n"/>
      <c r="BB64" s="34" t="n"/>
      <c r="BC64" s="34" t="n"/>
      <c r="BD64" s="34" t="n"/>
      <c r="BE64" s="34" t="n"/>
      <c r="BF64" s="34" t="n"/>
      <c r="BG64" s="34" t="n"/>
      <c r="BH64" s="34" t="n"/>
      <c r="BI64" s="34" t="n"/>
      <c r="BJ64" s="34" t="n"/>
      <c r="BK64" s="34" t="n"/>
      <c r="BL64" s="34" t="n"/>
      <c r="BM64" s="34" t="n"/>
      <c r="BN64" s="34" t="n"/>
      <c r="BO64" s="34" t="n"/>
      <c r="BP64" s="34" t="n"/>
      <c r="BQ64" s="34" t="n"/>
      <c r="BR64" s="34" t="n"/>
      <c r="BS64" s="34" t="n"/>
      <c r="BT64" s="34" t="n"/>
      <c r="BU64" s="34" t="n"/>
      <c r="BV64" s="35" t="n"/>
      <c r="BW64" s="35" t="n"/>
      <c r="BX64" s="269" t="n">
        <v>0</v>
      </c>
      <c r="BY64" s="263">
        <f>MAX(0,CHOOSE(MATCH($CD$2,{"Bull","Base","Bear"},0),$CM$70,$CN$70,$CO$70))</f>
        <v>1000</v>
      </c>
      <c r="BZ64" s="263">
        <f>MAX(0,CHOOSE(MATCH($CD$2,{"Bull","Base","Bear"},0),$CM$71,$CN$71,$CO$71))</f>
        <v>1000</v>
      </c>
      <c r="CA64" s="263">
        <f>MAX(0,CHOOSE(MATCH($CD$2,{"Bull","Base","Bear"},0),$CM$72,$CN$72,$CO$72))</f>
        <v>1000</v>
      </c>
      <c r="CB64" s="263">
        <f>MAX(0,CHOOSE(MATCH($CD$2,{"Bull","Base","Bear"},0),$CM$73,$CN$73,$CO$73))</f>
        <v>1000</v>
      </c>
      <c r="CC64" s="263">
        <f>MAX(0,CHOOSE(MATCH($CD$2,{"Bull","Base","Bear"},0),$CM$74,$CN$74,$CO$74))</f>
        <v>1000</v>
      </c>
      <c r="CD64" s="19" t="inlineStr">
        <is>
          <t>Scenario lever MNA (Base $1bn p.a.). Funded from cash / debt (debt schedule).</t>
        </is>
      </c>
      <c r="CL64" s="25" t="inlineStr">
        <is>
          <t xml:space="preserve">  2027E</t>
        </is>
      </c>
      <c r="CM64" s="33">
        <f>CN64+$CM$63</f>
        <v>0.42</v>
      </c>
      <c r="CN64" s="260" t="n">
        <v>0.46</v>
      </c>
      <c r="CO64" s="33">
        <f>CN64+$CO$63</f>
        <v>0.51</v>
      </c>
    </row>
    <row r="65" ht="15" customHeight="1" s="251">
      <c r="B65" s="25" t="inlineStr">
        <is>
          <t xml:space="preserve">  Acquired intangibles % of spend (rest goodwill)</t>
        </is>
      </c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  <c r="AU65" s="36" t="n"/>
      <c r="AV65" s="36" t="n"/>
      <c r="AW65" s="36" t="n"/>
      <c r="AX65" s="36" t="n"/>
      <c r="AY65" s="36" t="n"/>
      <c r="AZ65" s="36" t="n"/>
      <c r="BA65" s="36" t="n"/>
      <c r="BB65" s="36" t="n"/>
      <c r="BC65" s="36" t="n"/>
      <c r="BD65" s="36" t="n"/>
      <c r="BE65" s="36" t="n"/>
      <c r="BF65" s="36" t="n"/>
      <c r="BG65" s="36" t="n"/>
      <c r="BH65" s="36" t="n"/>
      <c r="BI65" s="36" t="n"/>
      <c r="BJ65" s="36" t="n"/>
      <c r="BK65" s="36" t="n"/>
      <c r="BL65" s="36" t="n"/>
      <c r="BM65" s="36" t="n"/>
      <c r="BN65" s="36" t="n"/>
      <c r="BO65" s="36" t="n"/>
      <c r="BP65" s="36" t="n"/>
      <c r="BQ65" s="36" t="n"/>
      <c r="BR65" s="36" t="n"/>
      <c r="BS65" s="36" t="n"/>
      <c r="BT65" s="36" t="n"/>
      <c r="BU65" s="36" t="n"/>
      <c r="BV65" s="24" t="n"/>
      <c r="BW65" s="24" t="n"/>
      <c r="BX65" s="270" t="n">
        <v>0</v>
      </c>
      <c r="BY65" s="270" t="n">
        <v>0.25</v>
      </c>
      <c r="BZ65" s="270" t="n">
        <v>0.25</v>
      </c>
      <c r="CA65" s="270" t="n">
        <v>0.25</v>
      </c>
      <c r="CB65" s="270" t="n">
        <v>0.25</v>
      </c>
      <c r="CC65" s="270" t="n">
        <v>0.25</v>
      </c>
      <c r="CD65" s="19" t="inlineStr">
        <is>
          <t>Assumption (Meta's purchase-price allocations are mostly goodwill: WhatsApp 2014, Oculus 2014, Giphy, Within, Kustomer).</t>
        </is>
      </c>
      <c r="CL65" s="25" t="inlineStr">
        <is>
          <t xml:space="preserve">  2028E</t>
        </is>
      </c>
      <c r="CM65" s="33">
        <f>CN65+$CM$63</f>
        <v>0.34</v>
      </c>
      <c r="CN65" s="260" t="n">
        <v>0.38</v>
      </c>
      <c r="CO65" s="33">
        <f>CN65+$CO$63</f>
        <v>0.43</v>
      </c>
    </row>
    <row r="66" ht="15" customHeight="1" s="251">
      <c r="B66" s="25" t="inlineStr">
        <is>
          <t xml:space="preserve">  Intangible amortization life (years)</t>
        </is>
      </c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  <c r="AU66" s="36" t="n"/>
      <c r="AV66" s="36" t="n"/>
      <c r="AW66" s="36" t="n"/>
      <c r="AX66" s="36" t="n"/>
      <c r="AY66" s="36" t="n"/>
      <c r="AZ66" s="36" t="n"/>
      <c r="BA66" s="36" t="n"/>
      <c r="BB66" s="36" t="n"/>
      <c r="BC66" s="36" t="n"/>
      <c r="BD66" s="36" t="n"/>
      <c r="BE66" s="36" t="n"/>
      <c r="BF66" s="36" t="n"/>
      <c r="BG66" s="36" t="n"/>
      <c r="BH66" s="36" t="n"/>
      <c r="BI66" s="36" t="n"/>
      <c r="BJ66" s="36" t="n"/>
      <c r="BK66" s="36" t="n"/>
      <c r="BL66" s="36" t="n"/>
      <c r="BM66" s="36" t="n"/>
      <c r="BN66" s="36" t="n"/>
      <c r="BO66" s="36" t="n"/>
      <c r="BP66" s="36" t="n"/>
      <c r="BQ66" s="36" t="n"/>
      <c r="BR66" s="36" t="n"/>
      <c r="BS66" s="36" t="n"/>
      <c r="BT66" s="36" t="n"/>
      <c r="BU66" s="36" t="n"/>
      <c r="BV66" s="24" t="n"/>
      <c r="BW66" s="24" t="n"/>
      <c r="BX66" s="271" t="n">
        <v>0</v>
      </c>
      <c r="BY66" s="271" t="n">
        <v>5</v>
      </c>
      <c r="BZ66" s="271" t="n">
        <v>5</v>
      </c>
      <c r="CA66" s="271" t="n">
        <v>5</v>
      </c>
      <c r="CB66" s="271" t="n">
        <v>5</v>
      </c>
      <c r="CC66" s="271" t="n">
        <v>5</v>
      </c>
      <c r="CD66" s="19" t="n"/>
      <c r="CL66" s="25" t="inlineStr">
        <is>
          <t xml:space="preserve">  2029E</t>
        </is>
      </c>
      <c r="CM66" s="33">
        <f>CN66+$CM$63</f>
        <v>0.27</v>
      </c>
      <c r="CN66" s="260" t="n">
        <v>0.31</v>
      </c>
      <c r="CO66" s="33">
        <f>CN66+$CO$63</f>
        <v>0.36</v>
      </c>
    </row>
    <row r="67" ht="15" customHeight="1" s="251">
      <c r="B67" s="25" t="inlineStr">
        <is>
          <t xml:space="preserve">  Cumulative acquired intangibles (gross)</t>
        </is>
      </c>
      <c r="C67" s="34" t="n"/>
      <c r="D67" s="34" t="n"/>
      <c r="E67" s="34" t="n"/>
      <c r="F67" s="34" t="n"/>
      <c r="G67" s="34" t="n"/>
      <c r="H67" s="34" t="n"/>
      <c r="I67" s="34" t="n"/>
      <c r="J67" s="34" t="n"/>
      <c r="K67" s="34" t="n"/>
      <c r="L67" s="34" t="n"/>
      <c r="M67" s="34" t="n"/>
      <c r="N67" s="34" t="n"/>
      <c r="O67" s="34" t="n"/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  <c r="AB67" s="34" t="n"/>
      <c r="AC67" s="34" t="n"/>
      <c r="AD67" s="34" t="n"/>
      <c r="AE67" s="34" t="n"/>
      <c r="AF67" s="34" t="n"/>
      <c r="AG67" s="34" t="n"/>
      <c r="AH67" s="34" t="n"/>
      <c r="AI67" s="34" t="n"/>
      <c r="AJ67" s="34" t="n"/>
      <c r="AK67" s="34" t="n"/>
      <c r="AL67" s="34" t="n"/>
      <c r="AM67" s="34" t="n"/>
      <c r="AN67" s="34" t="n"/>
      <c r="AO67" s="34" t="n"/>
      <c r="AP67" s="34" t="n"/>
      <c r="AQ67" s="34" t="n"/>
      <c r="AR67" s="34" t="n"/>
      <c r="AS67" s="34" t="n"/>
      <c r="AT67" s="34" t="n"/>
      <c r="AU67" s="34" t="n"/>
      <c r="AV67" s="34" t="n"/>
      <c r="AW67" s="34" t="n"/>
      <c r="AX67" s="34" t="n"/>
      <c r="AY67" s="34" t="n"/>
      <c r="AZ67" s="34" t="n"/>
      <c r="BA67" s="34" t="n"/>
      <c r="BB67" s="34" t="n"/>
      <c r="BC67" s="34" t="n"/>
      <c r="BD67" s="34" t="n"/>
      <c r="BE67" s="34" t="n"/>
      <c r="BF67" s="34" t="n"/>
      <c r="BG67" s="34" t="n"/>
      <c r="BH67" s="34" t="n"/>
      <c r="BI67" s="34" t="n"/>
      <c r="BJ67" s="34" t="n"/>
      <c r="BK67" s="34" t="n"/>
      <c r="BL67" s="34" t="n"/>
      <c r="BM67" s="34" t="n"/>
      <c r="BN67" s="34" t="n"/>
      <c r="BO67" s="34" t="n"/>
      <c r="BP67" s="34" t="n"/>
      <c r="BQ67" s="34" t="n"/>
      <c r="BR67" s="34" t="n"/>
      <c r="BS67" s="34" t="n"/>
      <c r="BT67" s="34" t="n"/>
      <c r="BU67" s="34" t="n"/>
      <c r="BV67" s="35" t="n"/>
      <c r="BW67" s="35" t="n"/>
      <c r="BX67" s="269" t="n">
        <v>0</v>
      </c>
      <c r="BY67" s="263">
        <f>BX67+BY64*BY65</f>
        <v>250</v>
      </c>
      <c r="BZ67" s="263">
        <f>BY67+BZ64*BZ65</f>
        <v>500</v>
      </c>
      <c r="CA67" s="263">
        <f>BZ67+CA64*CA65</f>
        <v>750</v>
      </c>
      <c r="CB67" s="263">
        <f>CA67+CB64*CB65</f>
        <v>1000</v>
      </c>
      <c r="CC67" s="263">
        <f>CB67+CC64*CC65</f>
        <v>1250</v>
      </c>
      <c r="CD67" s="19" t="n"/>
      <c r="CL67" s="25" t="inlineStr">
        <is>
          <t xml:space="preserve">  2030E</t>
        </is>
      </c>
      <c r="CM67" s="33">
        <f>CN67+$CM$63</f>
        <v>0.22</v>
      </c>
      <c r="CN67" s="260" t="n">
        <v>0.26</v>
      </c>
      <c r="CO67" s="33">
        <f>CN67+$CO$63</f>
        <v>0.31</v>
      </c>
    </row>
    <row r="68" ht="15" customHeight="1" s="251">
      <c r="B68" s="25" t="inlineStr">
        <is>
          <t xml:space="preserve">  Amortization of future-acquisition intangibles (inside D&amp;A)</t>
        </is>
      </c>
      <c r="C68" s="34" t="n"/>
      <c r="D68" s="34" t="n"/>
      <c r="E68" s="34" t="n"/>
      <c r="F68" s="34" t="n"/>
      <c r="G68" s="34" t="n"/>
      <c r="H68" s="34" t="n"/>
      <c r="I68" s="34" t="n"/>
      <c r="J68" s="34" t="n"/>
      <c r="K68" s="34" t="n"/>
      <c r="L68" s="34" t="n"/>
      <c r="M68" s="34" t="n"/>
      <c r="N68" s="34" t="n"/>
      <c r="O68" s="34" t="n"/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  <c r="AA68" s="34" t="n"/>
      <c r="AB68" s="34" t="n"/>
      <c r="AC68" s="34" t="n"/>
      <c r="AD68" s="34" t="n"/>
      <c r="AE68" s="34" t="n"/>
      <c r="AF68" s="34" t="n"/>
      <c r="AG68" s="34" t="n"/>
      <c r="AH68" s="34" t="n"/>
      <c r="AI68" s="34" t="n"/>
      <c r="AJ68" s="34" t="n"/>
      <c r="AK68" s="34" t="n"/>
      <c r="AL68" s="34" t="n"/>
      <c r="AM68" s="34" t="n"/>
      <c r="AN68" s="34" t="n"/>
      <c r="AO68" s="34" t="n"/>
      <c r="AP68" s="34" t="n"/>
      <c r="AQ68" s="34" t="n"/>
      <c r="AR68" s="34" t="n"/>
      <c r="AS68" s="34" t="n"/>
      <c r="AT68" s="34" t="n"/>
      <c r="AU68" s="34" t="n"/>
      <c r="AV68" s="34" t="n"/>
      <c r="AW68" s="34" t="n"/>
      <c r="AX68" s="34" t="n"/>
      <c r="AY68" s="34" t="n"/>
      <c r="AZ68" s="34" t="n"/>
      <c r="BA68" s="34" t="n"/>
      <c r="BB68" s="34" t="n"/>
      <c r="BC68" s="34" t="n"/>
      <c r="BD68" s="34" t="n"/>
      <c r="BE68" s="34" t="n"/>
      <c r="BF68" s="34" t="n"/>
      <c r="BG68" s="34" t="n"/>
      <c r="BH68" s="34" t="n"/>
      <c r="BI68" s="34" t="n"/>
      <c r="BJ68" s="34" t="n"/>
      <c r="BK68" s="34" t="n"/>
      <c r="BL68" s="34" t="n"/>
      <c r="BM68" s="34" t="n"/>
      <c r="BN68" s="34" t="n"/>
      <c r="BO68" s="34" t="n"/>
      <c r="BP68" s="34" t="n"/>
      <c r="BQ68" s="34" t="n"/>
      <c r="BR68" s="34" t="n"/>
      <c r="BS68" s="34" t="n"/>
      <c r="BT68" s="34" t="n"/>
      <c r="BU68" s="34" t="n"/>
      <c r="BV68" s="35" t="n"/>
      <c r="BW68" s="35" t="n"/>
      <c r="BX68" s="269" t="n">
        <v>0</v>
      </c>
      <c r="BY68" s="263">
        <f>IFERROR((BX67+0.5*BY64*BY65)/BY66,0)</f>
        <v>25</v>
      </c>
      <c r="BZ68" s="263">
        <f>IFERROR((BY67+0.5*BZ64*BZ65)/BZ66,0)</f>
        <v>75</v>
      </c>
      <c r="CA68" s="263">
        <f>IFERROR((BZ67+0.5*CA64*CA65)/CA66,0)</f>
        <v>125</v>
      </c>
      <c r="CB68" s="263">
        <f>IFERROR((CA67+0.5*CB64*CB65)/CB66,0)</f>
        <v>175</v>
      </c>
      <c r="CC68" s="263">
        <f>IFERROR((CB67+0.5*CC64*CC65)/CC66,0)</f>
        <v>225</v>
      </c>
      <c r="CD68" s="19" t="n"/>
      <c r="CL68" s="25" t="inlineStr">
        <is>
          <t xml:space="preserve">  2031E</t>
        </is>
      </c>
      <c r="CM68" s="33">
        <f>CN68+$CM$63</f>
        <v>0.19</v>
      </c>
      <c r="CN68" s="260" t="n">
        <v>0.23</v>
      </c>
      <c r="CO68" s="33">
        <f>CN68+$CO$63</f>
        <v>0.28</v>
      </c>
    </row>
    <row r="69" ht="15" customHeight="1" s="251">
      <c r="CL69" s="15" t="inlineStr">
        <is>
          <t>MNA (acquisitions, $m)</t>
        </is>
      </c>
      <c r="CM69" s="268" t="n">
        <v>2000</v>
      </c>
      <c r="CN69" s="21" t="inlineStr">
        <is>
          <t>Δ →</t>
        </is>
      </c>
      <c r="CO69" s="268" t="n">
        <v>-1000</v>
      </c>
      <c r="CP69" s="13" t="inlineStr">
        <is>
          <t>Acquisitions of businesses and intangible assets: FY25 $0.1bn, FY24 $0.3bn, FY22 $1.3bn (Within, Kustomer era). Base $1bn p.a. (assumption).</t>
        </is>
      </c>
    </row>
    <row r="70" ht="15" customHeight="1" s="251">
      <c r="B70" s="14" t="inlineStr">
        <is>
          <t>Group total — revenue (build) → 2026 guidance calibration (Q3/26E revenue; FY26 total expenses)</t>
        </is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  <c r="AH70" s="14" t="n"/>
      <c r="AI70" s="14" t="n"/>
      <c r="AJ70" s="14" t="n"/>
      <c r="AK70" s="14" t="n"/>
      <c r="AL70" s="14" t="n"/>
      <c r="AM70" s="14" t="n"/>
      <c r="AN70" s="14" t="n"/>
      <c r="AO70" s="14" t="n"/>
      <c r="AP70" s="14" t="n"/>
      <c r="AQ70" s="14" t="n"/>
      <c r="AR70" s="14" t="n"/>
      <c r="AS70" s="14" t="n"/>
      <c r="AT70" s="14" t="n"/>
      <c r="AU70" s="14" t="n"/>
      <c r="AV70" s="14" t="n"/>
      <c r="AW70" s="14" t="n"/>
      <c r="AX70" s="14" t="n"/>
      <c r="AY70" s="14" t="n"/>
      <c r="AZ70" s="14" t="n"/>
      <c r="BA70" s="14" t="n"/>
      <c r="BB70" s="14" t="n"/>
      <c r="BC70" s="14" t="n"/>
      <c r="BD70" s="14" t="n"/>
      <c r="BE70" s="14" t="n"/>
      <c r="BF70" s="14" t="n"/>
      <c r="BG70" s="14" t="n"/>
      <c r="BH70" s="14" t="n"/>
      <c r="BI70" s="14" t="n"/>
      <c r="BJ70" s="14" t="n"/>
      <c r="BK70" s="14" t="n"/>
      <c r="BL70" s="14" t="n"/>
      <c r="BM70" s="14" t="n"/>
      <c r="BN70" s="14" t="n"/>
      <c r="BO70" s="14" t="n"/>
      <c r="BP70" s="14" t="n"/>
      <c r="BQ70" s="14" t="n"/>
      <c r="BR70" s="14" t="n"/>
      <c r="BS70" s="14" t="n"/>
      <c r="BT70" s="14" t="n"/>
      <c r="BU70" s="14" t="n"/>
      <c r="BV70" s="14" t="n"/>
      <c r="BW70" s="14" t="n"/>
      <c r="BX70" s="14" t="n"/>
      <c r="BY70" s="14" t="n"/>
      <c r="BZ70" s="14" t="n"/>
      <c r="CA70" s="14" t="n"/>
      <c r="CB70" s="14" t="n"/>
      <c r="CC70" s="14" t="n"/>
      <c r="CD70" s="15" t="inlineStr">
        <is>
          <t>GROUP TOTAL (CONSOLIDATED) — modelling logic</t>
        </is>
      </c>
      <c r="CL70" s="25" t="inlineStr">
        <is>
          <t xml:space="preserve">  2027E</t>
        </is>
      </c>
      <c r="CM70" s="51">
        <f>MAX(0,CN70+$CM$69)</f>
        <v>3000</v>
      </c>
      <c r="CN70" s="257" t="n">
        <v>1000</v>
      </c>
      <c r="CO70" s="51">
        <f>MAX(0,CN70+$CO$69)</f>
        <v>0</v>
      </c>
    </row>
    <row r="71" ht="15" customHeight="1" s="251">
      <c r="B71" s="55" t="inlineStr">
        <is>
          <t>Revenue (build)</t>
        </is>
      </c>
      <c r="C71" s="272">
        <f>IF(ISNUMBER(C11),C11+C28,C109)</f>
        <v>777</v>
      </c>
      <c r="D71" s="272">
        <f>IF(ISNUMBER(D11),D11+D28,D109)</f>
        <v>1974</v>
      </c>
      <c r="E71" s="272">
        <f>IF(ISNUMBER(E11),E11+E28,E109)</f>
        <v>3711</v>
      </c>
      <c r="F71" s="272">
        <f>IF(ISNUMBER(F11),F11+F28,F109)</f>
        <v>5089</v>
      </c>
      <c r="G71" s="272">
        <f>IF(ISNUMBER(G11),G11+G28,G109)</f>
        <v>1458</v>
      </c>
      <c r="H71" s="272">
        <f>IF(ISNUMBER(H11),H11+H28,H109)</f>
        <v>1813</v>
      </c>
      <c r="I71" s="272">
        <f>IF(ISNUMBER(I11),I11+I28,I109)</f>
        <v>2016</v>
      </c>
      <c r="J71" s="272">
        <f>IF(ISNUMBER(J11),J11+J28,J109)</f>
        <v>2585</v>
      </c>
      <c r="K71" s="272">
        <f>IF(ISNUMBER(K11),K11+K28,K109)</f>
        <v>7872</v>
      </c>
      <c r="L71" s="272">
        <f>IF(ISNUMBER(L11),L11+L28,L109)</f>
        <v>2502</v>
      </c>
      <c r="M71" s="272">
        <f>IF(ISNUMBER(M11),M11+M28,M109)</f>
        <v>2910</v>
      </c>
      <c r="N71" s="272">
        <f>IF(ISNUMBER(N11),N11+N28,N109)</f>
        <v>3203</v>
      </c>
      <c r="O71" s="272">
        <f>IF(ISNUMBER(O11),O11+O28,O109)</f>
        <v>3851</v>
      </c>
      <c r="P71" s="272">
        <f>IF(ISNUMBER(P11),P11+P28,P109)</f>
        <v>12466</v>
      </c>
      <c r="Q71" s="272">
        <f>IF(ISNUMBER(Q11),Q11+Q28,Q109)</f>
        <v>3543</v>
      </c>
      <c r="R71" s="272">
        <f>IF(ISNUMBER(R11),R11+R28,R109)</f>
        <v>4042</v>
      </c>
      <c r="S71" s="272">
        <f>IF(ISNUMBER(S11),S11+S28,S109)</f>
        <v>4501</v>
      </c>
      <c r="T71" s="272">
        <f>IF(ISNUMBER(T11),T11+T28,T109)</f>
        <v>5841</v>
      </c>
      <c r="U71" s="272">
        <f>IF(ISNUMBER(U11),U11+U28,U109)</f>
        <v>17928</v>
      </c>
      <c r="V71" s="272">
        <f>IF(ISNUMBER(V11),V11+V28,V109)</f>
        <v>5382</v>
      </c>
      <c r="W71" s="272">
        <f>IF(ISNUMBER(W11),W11+W28,W109)</f>
        <v>6436</v>
      </c>
      <c r="X71" s="272">
        <f>IF(ISNUMBER(X11),X11+X28,X109)</f>
        <v>7011</v>
      </c>
      <c r="Y71" s="272">
        <f>IF(ISNUMBER(Y11),Y11+Y28,Y109)</f>
        <v>8809</v>
      </c>
      <c r="Z71" s="272">
        <f>IF(ISNUMBER(Z11),Z11+Z28,Z109)</f>
        <v>27638</v>
      </c>
      <c r="AA71" s="272">
        <f>IF(ISNUMBER(AA11),AA11+AA28,AA109)</f>
        <v>8032</v>
      </c>
      <c r="AB71" s="272">
        <f>IF(ISNUMBER(AB11),AB11+AB28,AB109)</f>
        <v>9321</v>
      </c>
      <c r="AC71" s="272">
        <f>IF(ISNUMBER(AC11),AC11+AC28,AC109)</f>
        <v>10328</v>
      </c>
      <c r="AD71" s="272">
        <f>IF(ISNUMBER(AD11),AD11+AD28,AD109)</f>
        <v>12972</v>
      </c>
      <c r="AE71" s="272">
        <f>IF(ISNUMBER(AE11),AE11+AE28,AE109)</f>
        <v>40653</v>
      </c>
      <c r="AF71" s="272">
        <f>IF(ISNUMBER(AF11),AF11+AF28,AF109)</f>
        <v>11966</v>
      </c>
      <c r="AG71" s="272">
        <f>IF(ISNUMBER(AG11),AG11+AG28,AG109)</f>
        <v>13231</v>
      </c>
      <c r="AH71" s="272">
        <f>IF(ISNUMBER(AH11),AH11+AH28,AH109)</f>
        <v>13727</v>
      </c>
      <c r="AI71" s="272">
        <f>IF(ISNUMBER(AI11),AI11+AI28,AI109)</f>
        <v>16914</v>
      </c>
      <c r="AJ71" s="272">
        <f>IF(ISNUMBER(AJ11),AJ11+AJ28,AJ109)</f>
        <v>55838</v>
      </c>
      <c r="AK71" s="272">
        <f>IF(ISNUMBER(AK11),AK11+AK28,AK109)</f>
        <v>15077</v>
      </c>
      <c r="AL71" s="272">
        <f>IF(ISNUMBER(AL11),AL11+AL28,AL109)</f>
        <v>16886</v>
      </c>
      <c r="AM71" s="272">
        <f>IF(ISNUMBER(AM11),AM11+AM28,AM109)</f>
        <v>17652</v>
      </c>
      <c r="AN71" s="272">
        <f>IF(ISNUMBER(AN11),AN11+AN28,AN109)</f>
        <v>21082</v>
      </c>
      <c r="AO71" s="272">
        <f>IF(ISNUMBER(AO11),AO11+AO28,AO109)</f>
        <v>70697</v>
      </c>
      <c r="AP71" s="272">
        <f>IF(ISNUMBER(AP11),AP11+AP28,AP109)</f>
        <v>17737</v>
      </c>
      <c r="AQ71" s="272">
        <f>IF(ISNUMBER(AQ11),AQ11+AQ28,AQ109)</f>
        <v>18687</v>
      </c>
      <c r="AR71" s="272">
        <f>IF(ISNUMBER(AR11),AR11+AR28,AR109)</f>
        <v>21470</v>
      </c>
      <c r="AS71" s="272">
        <f>IF(ISNUMBER(AS11),AS11+AS28,AS109)</f>
        <v>28072</v>
      </c>
      <c r="AT71" s="272">
        <f>IF(ISNUMBER(AT11),AT11+AT28,AT109)</f>
        <v>85965</v>
      </c>
      <c r="AU71" s="272">
        <f>IF(ISNUMBER(AU11),AU11+AU28,AU109)</f>
        <v>26171</v>
      </c>
      <c r="AV71" s="272">
        <f>IF(ISNUMBER(AV11),AV11+AV28,AV109)</f>
        <v>29077</v>
      </c>
      <c r="AW71" s="272">
        <f>IF(ISNUMBER(AW11),AW11+AW28,AW109)</f>
        <v>29010</v>
      </c>
      <c r="AX71" s="272">
        <f>IF(ISNUMBER(AX11),AX11+AX28,AX109)</f>
        <v>33671</v>
      </c>
      <c r="AY71" s="272">
        <f>IF(ISNUMBER(AY11),AY11+AY28,AY109)</f>
        <v>117929</v>
      </c>
      <c r="AZ71" s="272">
        <f>IF(ISNUMBER(AZ11),AZ11+AZ28,AZ109)</f>
        <v>27908</v>
      </c>
      <c r="BA71" s="272">
        <f>IF(ISNUMBER(BA11),BA11+BA28,BA109)</f>
        <v>28822</v>
      </c>
      <c r="BB71" s="272">
        <f>IF(ISNUMBER(BB11),BB11+BB28,BB109)</f>
        <v>27714</v>
      </c>
      <c r="BC71" s="272">
        <f>IF(ISNUMBER(BC11),BC11+BC28,BC109)</f>
        <v>32165</v>
      </c>
      <c r="BD71" s="272">
        <f>IF(ISNUMBER(BD11),BD11+BD28,BD109)</f>
        <v>116609</v>
      </c>
      <c r="BE71" s="272">
        <f>IF(ISNUMBER(BE11),BE11+BE28,BE109)</f>
        <v>28645</v>
      </c>
      <c r="BF71" s="272">
        <f>IF(ISNUMBER(BF11),BF11+BF28,BF109)</f>
        <v>31999</v>
      </c>
      <c r="BG71" s="272">
        <f>IF(ISNUMBER(BG11),BG11+BG28,BG109)</f>
        <v>34146</v>
      </c>
      <c r="BH71" s="272">
        <f>IF(ISNUMBER(BH11),BH11+BH28,BH109)</f>
        <v>40111</v>
      </c>
      <c r="BI71" s="272">
        <f>IF(ISNUMBER(BI11),BI11+BI28,BI109)</f>
        <v>134902</v>
      </c>
      <c r="BJ71" s="272">
        <f>IF(ISNUMBER(BJ11),BJ11+BJ28,BJ109)</f>
        <v>36455</v>
      </c>
      <c r="BK71" s="272">
        <f>IF(ISNUMBER(BK11),BK11+BK28,BK109)</f>
        <v>39071</v>
      </c>
      <c r="BL71" s="272">
        <f>IF(ISNUMBER(BL11),BL11+BL28,BL109)</f>
        <v>40589</v>
      </c>
      <c r="BM71" s="272">
        <f>IF(ISNUMBER(BM11),BM11+BM28,BM109)</f>
        <v>48385</v>
      </c>
      <c r="BN71" s="272">
        <f>IF(ISNUMBER(BN11),BN11+BN28,BN109)</f>
        <v>164501</v>
      </c>
      <c r="BO71" s="272">
        <f>IF(ISNUMBER(BO11),BO11+BO28,BO109)</f>
        <v>42314</v>
      </c>
      <c r="BP71" s="272">
        <f>IF(ISNUMBER(BP11),BP11+BP28,BP109)</f>
        <v>47516</v>
      </c>
      <c r="BQ71" s="272">
        <f>IF(ISNUMBER(BQ11),BQ11+BQ28,BQ109)</f>
        <v>51242</v>
      </c>
      <c r="BR71" s="272">
        <f>IF(ISNUMBER(BR11),BR11+BR28,BR109)</f>
        <v>59893</v>
      </c>
      <c r="BS71" s="272">
        <f>IF(ISNUMBER(BS11),BS11+BS28,BS109)</f>
        <v>200966</v>
      </c>
      <c r="BT71" s="272">
        <f>IF(ISNUMBER(BT11),BT11+BT28,BT109)</f>
        <v>56311</v>
      </c>
      <c r="BU71" s="272">
        <f>IF(ISNUMBER(BU11),BU11+BU28,BU109)</f>
        <v>60801</v>
      </c>
      <c r="BV71" s="272">
        <f>BV11+BV28</f>
        <v>62500</v>
      </c>
      <c r="BW71" s="272">
        <f>BW11+BW28</f>
        <v>72988.4115311655</v>
      </c>
      <c r="BX71" s="272">
        <f>BX11+BX28</f>
        <v>252600.411531166</v>
      </c>
      <c r="BY71" s="272">
        <f>BY11+BY28</f>
        <v>300830.670806499</v>
      </c>
      <c r="BZ71" s="272">
        <f>BZ11+BZ28</f>
        <v>348341.993906062</v>
      </c>
      <c r="CA71" s="272">
        <f>CA11+CA28</f>
        <v>395867.431609974</v>
      </c>
      <c r="CB71" s="272">
        <f>CB11+CB28</f>
        <v>441368.568158347</v>
      </c>
      <c r="CC71" s="272">
        <f>CC11+CC28</f>
        <v>487137.698880726</v>
      </c>
      <c r="CD71" s="153" t="inlineStr">
        <is>
          <t>Advertising + non-advertising revenue.</t>
        </is>
      </c>
      <c r="CF71" s="20">
        <f>IFERROR((CC71/BX71)^(1/5)-1,"n/m")</f>
        <v>0.140364101452749</v>
      </c>
      <c r="CG71" s="20">
        <f>IFERROR((BS71/AT71)^(1/5)-1,"n/m")</f>
        <v>0.185114151787598</v>
      </c>
      <c r="CH71" s="20">
        <f>IFERROR((BS71/U71)^(1/10)-1,"n/m")</f>
        <v>0.273383078793184</v>
      </c>
      <c r="CI71" s="20">
        <f>IFERROR((BS71/C71)^(1/16)-1,"n/m")</f>
        <v>0.415121887212957</v>
      </c>
      <c r="CL71" s="25" t="inlineStr">
        <is>
          <t xml:space="preserve">  2028E</t>
        </is>
      </c>
      <c r="CM71" s="51">
        <f>MAX(0,CN71+$CM$69)</f>
        <v>3000</v>
      </c>
      <c r="CN71" s="257" t="n">
        <v>1000</v>
      </c>
      <c r="CO71" s="51">
        <f>MAX(0,CN71+$CO$69)</f>
        <v>0</v>
      </c>
    </row>
    <row r="72" collapsed="1" ht="15" customHeight="1" s="251">
      <c r="B72" s="22" t="inlineStr">
        <is>
          <t xml:space="preserve">  Revenue y/y %</t>
        </is>
      </c>
      <c r="C72" s="23" t="n"/>
      <c r="D72" s="255">
        <f>IF(AND(ISNUMBER(D71),ISNUMBER(C71)),IFERROR(D71/C71-1,""),"")</f>
        <v>1.54054054054054</v>
      </c>
      <c r="E72" s="255">
        <f>IF(AND(ISNUMBER(E71),ISNUMBER(D71)),IFERROR(E71/D71-1,""),"")</f>
        <v>0.879939209726444</v>
      </c>
      <c r="F72" s="255">
        <f>IF(AND(ISNUMBER(F71),ISNUMBER(E71)),IFERROR(F71/E71-1,""),"")</f>
        <v>0.371328482888709</v>
      </c>
      <c r="G72" s="23" t="n"/>
      <c r="H72" s="23" t="n"/>
      <c r="I72" s="23" t="n"/>
      <c r="J72" s="23" t="n"/>
      <c r="K72" s="255">
        <f>IF(AND(ISNUMBER(K71),ISNUMBER(F71)),IFERROR(K71/F71-1,""),"")</f>
        <v>0.546865788956573</v>
      </c>
      <c r="L72" s="255">
        <f>IF(AND(ISNUMBER(L71),ISNUMBER(G71)),IFERROR(L71/G71-1,""),"")</f>
        <v>0.71604938271605</v>
      </c>
      <c r="M72" s="255">
        <f>IF(AND(ISNUMBER(M71),ISNUMBER(H71)),IFERROR(M71/H71-1,""),"")</f>
        <v>0.605074462217319</v>
      </c>
      <c r="N72" s="255">
        <f>IF(AND(ISNUMBER(N71),ISNUMBER(I71)),IFERROR(N71/I71-1,""),"")</f>
        <v>0.588789682539683</v>
      </c>
      <c r="O72" s="255">
        <f>IF(AND(ISNUMBER(O71),ISNUMBER(J71)),IFERROR(O71/J71-1,""),"")</f>
        <v>0.489748549323017</v>
      </c>
      <c r="P72" s="255">
        <f>IF(AND(ISNUMBER(P71),ISNUMBER(K71)),IFERROR(P71/K71-1,""),"")</f>
        <v>0.583587398373984</v>
      </c>
      <c r="Q72" s="255">
        <f>IF(AND(ISNUMBER(Q71),ISNUMBER(L71)),IFERROR(Q71/L71-1,""),"")</f>
        <v>0.416067146282974</v>
      </c>
      <c r="R72" s="255">
        <f>IF(AND(ISNUMBER(R71),ISNUMBER(M71)),IFERROR(R71/M71-1,""),"")</f>
        <v>0.389003436426117</v>
      </c>
      <c r="S72" s="255">
        <f>IF(AND(ISNUMBER(S71),ISNUMBER(N71)),IFERROR(S71/N71-1,""),"")</f>
        <v>0.405245082734936</v>
      </c>
      <c r="T72" s="255">
        <f>IF(AND(ISNUMBER(T71),ISNUMBER(O71)),IFERROR(T71/O71-1,""),"")</f>
        <v>0.516748896390548</v>
      </c>
      <c r="U72" s="255">
        <f>IF(AND(ISNUMBER(U71),ISNUMBER(P71)),IFERROR(U71/P71-1,""),"")</f>
        <v>0.438151772822076</v>
      </c>
      <c r="V72" s="255">
        <f>IF(AND(ISNUMBER(V71),ISNUMBER(Q71)),IFERROR(V71/Q71-1,""),"")</f>
        <v>0.519051651143099</v>
      </c>
      <c r="W72" s="255">
        <f>IF(AND(ISNUMBER(W71),ISNUMBER(R71)),IFERROR(W71/R71-1,""),"")</f>
        <v>0.592281048985651</v>
      </c>
      <c r="X72" s="255">
        <f>IF(AND(ISNUMBER(X71),ISNUMBER(S71)),IFERROR(X71/S71-1,""),"")</f>
        <v>0.557653854698956</v>
      </c>
      <c r="Y72" s="255">
        <f>IF(AND(ISNUMBER(Y71),ISNUMBER(T71)),IFERROR(Y71/T71-1,""),"")</f>
        <v>0.508132169149118</v>
      </c>
      <c r="Z72" s="255">
        <f>IF(AND(ISNUMBER(Z71),ISNUMBER(U71)),IFERROR(Z71/U71-1,""),"")</f>
        <v>0.54161088799643</v>
      </c>
      <c r="AA72" s="255">
        <f>IF(AND(ISNUMBER(AA71),ISNUMBER(V71)),IFERROR(AA71/V71-1,""),"")</f>
        <v>0.492382014121145</v>
      </c>
      <c r="AB72" s="255">
        <f>IF(AND(ISNUMBER(AB71),ISNUMBER(W71)),IFERROR(AB71/W71-1,""),"")</f>
        <v>0.448259788688626</v>
      </c>
      <c r="AC72" s="255">
        <f>IF(AND(ISNUMBER(AC71),ISNUMBER(X71)),IFERROR(AC71/X71-1,""),"")</f>
        <v>0.473113678505206</v>
      </c>
      <c r="AD72" s="255">
        <f>IF(AND(ISNUMBER(AD71),ISNUMBER(Y71)),IFERROR(AD71/Y71-1,""),"")</f>
        <v>0.472584856396867</v>
      </c>
      <c r="AE72" s="255">
        <f>IF(AND(ISNUMBER(AE71),ISNUMBER(Z71)),IFERROR(AE71/Z71-1,""),"")</f>
        <v>0.470909617193719</v>
      </c>
      <c r="AF72" s="255">
        <f>IF(AND(ISNUMBER(AF71),ISNUMBER(AA71)),IFERROR(AF71/AA71-1,""),"")</f>
        <v>0.489790836653387</v>
      </c>
      <c r="AG72" s="255">
        <f>IF(AND(ISNUMBER(AG71),ISNUMBER(AB71)),IFERROR(AG71/AB71-1,""),"")</f>
        <v>0.419482888102135</v>
      </c>
      <c r="AH72" s="255">
        <f>IF(AND(ISNUMBER(AH71),ISNUMBER(AC71)),IFERROR(AH71/AC71-1,""),"")</f>
        <v>0.329105344694036</v>
      </c>
      <c r="AI72" s="255">
        <f>IF(AND(ISNUMBER(AI71),ISNUMBER(AD71)),IFERROR(AI71/AD71-1,""),"")</f>
        <v>0.303885291396855</v>
      </c>
      <c r="AJ72" s="255">
        <f>IF(AND(ISNUMBER(AJ71),ISNUMBER(AE71)),IFERROR(AJ71/AE71-1,""),"")</f>
        <v>0.37352716896662</v>
      </c>
      <c r="AK72" s="255">
        <f>IF(AND(ISNUMBER(AK71),ISNUMBER(AF71)),IFERROR(AK71/AF71-1,""),"")</f>
        <v>0.259986628781548</v>
      </c>
      <c r="AL72" s="255">
        <f>IF(AND(ISNUMBER(AL71),ISNUMBER(AG71)),IFERROR(AL71/AG71-1,""),"")</f>
        <v>0.276245181770086</v>
      </c>
      <c r="AM72" s="255">
        <f>IF(AND(ISNUMBER(AM71),ISNUMBER(AH71)),IFERROR(AM71/AH71-1,""),"")</f>
        <v>0.285932833102645</v>
      </c>
      <c r="AN72" s="255">
        <f>IF(AND(ISNUMBER(AN71),ISNUMBER(AI71)),IFERROR(AN71/AI71-1,""),"")</f>
        <v>0.246423081470971</v>
      </c>
      <c r="AO72" s="255">
        <f>IF(AND(ISNUMBER(AO71),ISNUMBER(AJ71)),IFERROR(AO71/AJ71-1,""),"")</f>
        <v>0.266109101328844</v>
      </c>
      <c r="AP72" s="255">
        <f>IF(AND(ISNUMBER(AP71),ISNUMBER(AK71)),IFERROR(AP71/AK71-1,""),"")</f>
        <v>0.176427671287391</v>
      </c>
      <c r="AQ72" s="255">
        <f>IF(AND(ISNUMBER(AQ71),ISNUMBER(AL71)),IFERROR(AQ71/AL71-1,""),"")</f>
        <v>0.106656401752931</v>
      </c>
      <c r="AR72" s="255">
        <f>IF(AND(ISNUMBER(AR71),ISNUMBER(AM71)),IFERROR(AR71/AM71-1,""),"")</f>
        <v>0.216292771357353</v>
      </c>
      <c r="AS72" s="255">
        <f>IF(AND(ISNUMBER(AS71),ISNUMBER(AN71)),IFERROR(AS71/AN71-1,""),"")</f>
        <v>0.331562470353856</v>
      </c>
      <c r="AT72" s="255">
        <f>IF(AND(ISNUMBER(AT71),ISNUMBER(AO71)),IFERROR(AT71/AO71-1,""),"")</f>
        <v>0.215963902287226</v>
      </c>
      <c r="AU72" s="255">
        <f>IF(AND(ISNUMBER(AU71),ISNUMBER(AP71)),IFERROR(AU71/AP71-1,""),"")</f>
        <v>0.475503185431584</v>
      </c>
      <c r="AV72" s="255">
        <f>IF(AND(ISNUMBER(AV71),ISNUMBER(AQ71)),IFERROR(AV71/AQ71-1,""),"")</f>
        <v>0.556001498367849</v>
      </c>
      <c r="AW72" s="255">
        <f>IF(AND(ISNUMBER(AW71),ISNUMBER(AR71)),IFERROR(AW71/AR71-1,""),"")</f>
        <v>0.351187703772706</v>
      </c>
      <c r="AX72" s="255">
        <f>IF(AND(ISNUMBER(AX71),ISNUMBER(AS71)),IFERROR(AX71/AS71-1,""),"")</f>
        <v>0.199451410658307</v>
      </c>
      <c r="AY72" s="255">
        <f>IF(AND(ISNUMBER(AY71),ISNUMBER(AT71)),IFERROR(AY71/AT71-1,""),"")</f>
        <v>0.371825743034956</v>
      </c>
      <c r="AZ72" s="255">
        <f>IF(AND(ISNUMBER(AZ71),ISNUMBER(AU71)),IFERROR(AZ71/AU71-1,""),"")</f>
        <v>0.0663711742004509</v>
      </c>
      <c r="BA72" s="255">
        <f>IF(AND(ISNUMBER(BA71),ISNUMBER(AV71)),IFERROR(BA71/AV71-1,""),"")</f>
        <v>-0.00876981806926436</v>
      </c>
      <c r="BB72" s="255">
        <f>IF(AND(ISNUMBER(BB71),ISNUMBER(AW71)),IFERROR(BB71/AW71-1,""),"")</f>
        <v>-0.0446742502585316</v>
      </c>
      <c r="BC72" s="255">
        <f>IF(AND(ISNUMBER(BC71),ISNUMBER(AX71)),IFERROR(BC71/AX71-1,""),"")</f>
        <v>-0.0447269163375011</v>
      </c>
      <c r="BD72" s="255">
        <f>IF(AND(ISNUMBER(BD71),ISNUMBER(AY71)),IFERROR(BD71/AY71-1,""),"")</f>
        <v>-0.0111931755547829</v>
      </c>
      <c r="BE72" s="255">
        <f>IF(AND(ISNUMBER(BE71),ISNUMBER(AZ71)),IFERROR(BE71/AZ71-1,""),"")</f>
        <v>0.02640819836606</v>
      </c>
      <c r="BF72" s="255">
        <f>IF(AND(ISNUMBER(BF71),ISNUMBER(BA71)),IFERROR(BF71/BA71-1,""),"")</f>
        <v>0.110228297828048</v>
      </c>
      <c r="BG72" s="255">
        <f>IF(AND(ISNUMBER(BG71),ISNUMBER(BB71)),IFERROR(BG71/BB71-1,""),"")</f>
        <v>0.232084866854297</v>
      </c>
      <c r="BH72" s="255">
        <f>IF(AND(ISNUMBER(BH71),ISNUMBER(BC71)),IFERROR(BH71/BC71-1,""),"")</f>
        <v>0.247038706668739</v>
      </c>
      <c r="BI72" s="255">
        <f>IF(AND(ISNUMBER(BI71),ISNUMBER(BD71)),IFERROR(BI71/BD71-1,""),"")</f>
        <v>0.156874683772265</v>
      </c>
      <c r="BJ72" s="255">
        <f>IF(AND(ISNUMBER(BJ71),ISNUMBER(BE71)),IFERROR(BJ71/BE71-1,""),"")</f>
        <v>0.272647931576191</v>
      </c>
      <c r="BK72" s="255">
        <f>IF(AND(ISNUMBER(BK71),ISNUMBER(BF71)),IFERROR(BK71/BF71-1,""),"")</f>
        <v>0.221006906465827</v>
      </c>
      <c r="BL72" s="255">
        <f>IF(AND(ISNUMBER(BL71),ISNUMBER(BG71)),IFERROR(BL71/BG71-1,""),"")</f>
        <v>0.188689744040297</v>
      </c>
      <c r="BM72" s="255">
        <f>IF(AND(ISNUMBER(BM71),ISNUMBER(BH71)),IFERROR(BM71/BH71-1,""),"")</f>
        <v>0.206277579716287</v>
      </c>
      <c r="BN72" s="255">
        <f>IF(AND(ISNUMBER(BN71),ISNUMBER(BI71)),IFERROR(BN71/BI71-1,""),"")</f>
        <v>0.219411128078161</v>
      </c>
      <c r="BO72" s="255">
        <f>IF(AND(ISNUMBER(BO71),ISNUMBER(BJ71)),IFERROR(BO71/BJ71-1,""),"")</f>
        <v>0.16071869428062</v>
      </c>
      <c r="BP72" s="255">
        <f>IF(AND(ISNUMBER(BP71),ISNUMBER(BK71)),IFERROR(BP71/BK71-1,""),"")</f>
        <v>0.216144966855212</v>
      </c>
      <c r="BQ72" s="255">
        <f>IF(AND(ISNUMBER(BQ71),ISNUMBER(BL71)),IFERROR(BQ71/BL71-1,""),"")</f>
        <v>0.26246027248762</v>
      </c>
      <c r="BR72" s="255">
        <f>IF(AND(ISNUMBER(BR71),ISNUMBER(BM71)),IFERROR(BR71/BM71-1,""),"")</f>
        <v>0.237842306499948</v>
      </c>
      <c r="BS72" s="255">
        <f>IF(AND(ISNUMBER(BS71),ISNUMBER(BN71)),IFERROR(BS71/BN71-1,""),"")</f>
        <v>0.221670384982462</v>
      </c>
      <c r="BT72" s="255">
        <f>IF(AND(ISNUMBER(BT71),ISNUMBER(BO71)),IFERROR(BT71/BO71-1,""),"")</f>
        <v>0.3307888642057</v>
      </c>
      <c r="BU72" s="255">
        <f>IF(AND(ISNUMBER(BU71),ISNUMBER(BP71)),IFERROR(BU71/BP71-1,""),"")</f>
        <v>0.279590032831046</v>
      </c>
      <c r="BV72" s="256">
        <f>IF(AND(ISNUMBER(BV71),ISNUMBER(BQ71)),IFERROR(BV71/BQ71-1,""),"")</f>
        <v>0.21970258772101</v>
      </c>
      <c r="BW72" s="256">
        <f>IF(AND(ISNUMBER(BW71),ISNUMBER(BR71)),IFERROR(BW71/BR71-1,""),"")</f>
        <v>0.218646778941871</v>
      </c>
      <c r="BX72" s="256">
        <f>IF(AND(ISNUMBER(BX71),ISNUMBER(BS71)),IFERROR(BX71/BS71-1,""),"")</f>
        <v>0.256931080536835</v>
      </c>
      <c r="BY72" s="256">
        <f>IF(AND(ISNUMBER(BY71),ISNUMBER(BX71)),IFERROR(BY71/BX71-1,""),"")</f>
        <v>0.190934998810891</v>
      </c>
      <c r="BZ72" s="256">
        <f>IF(AND(ISNUMBER(BZ71),ISNUMBER(BY71)),IFERROR(BZ71/BY71-1,""),"")</f>
        <v>0.157933773747833</v>
      </c>
      <c r="CA72" s="256">
        <f>IF(AND(ISNUMBER(CA71),ISNUMBER(BZ71)),IFERROR(CA71/BZ71-1,""),"")</f>
        <v>0.136433271139651</v>
      </c>
      <c r="CB72" s="256">
        <f>IF(AND(ISNUMBER(CB71),ISNUMBER(CA71)),IFERROR(CB71/CA71-1,""),"")</f>
        <v>0.114940338393896</v>
      </c>
      <c r="CC72" s="256">
        <f>IF(AND(ISNUMBER(CC71),ISNUMBER(CB71)),IFERROR(CC71/CB71-1,""),"")</f>
        <v>0.1036982105757</v>
      </c>
      <c r="CD72" s="153" t="n"/>
      <c r="CL72" s="25" t="inlineStr">
        <is>
          <t xml:space="preserve">  2029E</t>
        </is>
      </c>
      <c r="CM72" s="51">
        <f>MAX(0,CN72+$CM$69)</f>
        <v>3000</v>
      </c>
      <c r="CN72" s="257" t="n">
        <v>1000</v>
      </c>
      <c r="CO72" s="51">
        <f>MAX(0,CN72+$CO$69)</f>
        <v>0</v>
      </c>
    </row>
    <row r="73" ht="15" customHeight="1" s="251">
      <c r="B73" s="57" t="inlineStr">
        <is>
          <t xml:space="preserve">  Check: build vs consolidated revenue (should be 0)</t>
        </is>
      </c>
      <c r="C73" s="211">
        <f>IF(ISNUMBER(C71),ROUND(C71-C109,1),"")</f>
        <v>0</v>
      </c>
      <c r="D73" s="211">
        <f>IF(ISNUMBER(D71),ROUND(D71-D109,1),"")</f>
        <v>0</v>
      </c>
      <c r="E73" s="211">
        <f>IF(ISNUMBER(E71),ROUND(E71-E109,1),"")</f>
        <v>0</v>
      </c>
      <c r="F73" s="211">
        <f>IF(ISNUMBER(F71),ROUND(F71-F109,1),"")</f>
        <v>0</v>
      </c>
      <c r="G73" s="211">
        <f>IF(ISNUMBER(G71),ROUND(G71-G109,1),"")</f>
        <v>0</v>
      </c>
      <c r="H73" s="211">
        <f>IF(ISNUMBER(H71),ROUND(H71-H109,1),"")</f>
        <v>0</v>
      </c>
      <c r="I73" s="211">
        <f>IF(ISNUMBER(I71),ROUND(I71-I109,1),"")</f>
        <v>0</v>
      </c>
      <c r="J73" s="211">
        <f>IF(ISNUMBER(J71),ROUND(J71-J109,1),"")</f>
        <v>0</v>
      </c>
      <c r="K73" s="211">
        <f>IF(ISNUMBER(K71),ROUND(K71-K109,1),"")</f>
        <v>0</v>
      </c>
      <c r="L73" s="211">
        <f>IF(ISNUMBER(L71),ROUND(L71-L109,1),"")</f>
        <v>0</v>
      </c>
      <c r="M73" s="211">
        <f>IF(ISNUMBER(M71),ROUND(M71-M109,1),"")</f>
        <v>0</v>
      </c>
      <c r="N73" s="211">
        <f>IF(ISNUMBER(N71),ROUND(N71-N109,1),"")</f>
        <v>0</v>
      </c>
      <c r="O73" s="211">
        <f>IF(ISNUMBER(O71),ROUND(O71-O109,1),"")</f>
        <v>0</v>
      </c>
      <c r="P73" s="211">
        <f>IF(ISNUMBER(P71),ROUND(P71-P109,1),"")</f>
        <v>0</v>
      </c>
      <c r="Q73" s="211">
        <f>IF(ISNUMBER(Q71),ROUND(Q71-Q109,1),"")</f>
        <v>0</v>
      </c>
      <c r="R73" s="211">
        <f>IF(ISNUMBER(R71),ROUND(R71-R109,1),"")</f>
        <v>0</v>
      </c>
      <c r="S73" s="211">
        <f>IF(ISNUMBER(S71),ROUND(S71-S109,1),"")</f>
        <v>0</v>
      </c>
      <c r="T73" s="211">
        <f>IF(ISNUMBER(T71),ROUND(T71-T109,1),"")</f>
        <v>0</v>
      </c>
      <c r="U73" s="211">
        <f>IF(ISNUMBER(U71),ROUND(U71-U109,1),"")</f>
        <v>0</v>
      </c>
      <c r="V73" s="211">
        <f>IF(ISNUMBER(V71),ROUND(V71-V109,1),"")</f>
        <v>0</v>
      </c>
      <c r="W73" s="211">
        <f>IF(ISNUMBER(W71),ROUND(W71-W109,1),"")</f>
        <v>0</v>
      </c>
      <c r="X73" s="211">
        <f>IF(ISNUMBER(X71),ROUND(X71-X109,1),"")</f>
        <v>0</v>
      </c>
      <c r="Y73" s="211">
        <f>IF(ISNUMBER(Y71),ROUND(Y71-Y109,1),"")</f>
        <v>0</v>
      </c>
      <c r="Z73" s="211">
        <f>IF(ISNUMBER(Z71),ROUND(Z71-Z109,1),"")</f>
        <v>0</v>
      </c>
      <c r="AA73" s="211">
        <f>IF(ISNUMBER(AA71),ROUND(AA71-AA109,1),"")</f>
        <v>0</v>
      </c>
      <c r="AB73" s="211">
        <f>IF(ISNUMBER(AB71),ROUND(AB71-AB109,1),"")</f>
        <v>0</v>
      </c>
      <c r="AC73" s="211">
        <f>IF(ISNUMBER(AC71),ROUND(AC71-AC109,1),"")</f>
        <v>0</v>
      </c>
      <c r="AD73" s="211">
        <f>IF(ISNUMBER(AD71),ROUND(AD71-AD109,1),"")</f>
        <v>0</v>
      </c>
      <c r="AE73" s="211">
        <f>IF(ISNUMBER(AE71),ROUND(AE71-AE109,1),"")</f>
        <v>0</v>
      </c>
      <c r="AF73" s="211">
        <f>IF(ISNUMBER(AF71),ROUND(AF71-AF109,1),"")</f>
        <v>0</v>
      </c>
      <c r="AG73" s="211">
        <f>IF(ISNUMBER(AG71),ROUND(AG71-AG109,1),"")</f>
        <v>0</v>
      </c>
      <c r="AH73" s="211">
        <f>IF(ISNUMBER(AH71),ROUND(AH71-AH109,1),"")</f>
        <v>0</v>
      </c>
      <c r="AI73" s="211">
        <f>IF(ISNUMBER(AI71),ROUND(AI71-AI109,1),"")</f>
        <v>0</v>
      </c>
      <c r="AJ73" s="211">
        <f>IF(ISNUMBER(AJ71),ROUND(AJ71-AJ109,1),"")</f>
        <v>0</v>
      </c>
      <c r="AK73" s="211">
        <f>IF(ISNUMBER(AK71),ROUND(AK71-AK109,1),"")</f>
        <v>0</v>
      </c>
      <c r="AL73" s="211">
        <f>IF(ISNUMBER(AL71),ROUND(AL71-AL109,1),"")</f>
        <v>0</v>
      </c>
      <c r="AM73" s="211">
        <f>IF(ISNUMBER(AM71),ROUND(AM71-AM109,1),"")</f>
        <v>0</v>
      </c>
      <c r="AN73" s="211">
        <f>IF(ISNUMBER(AN71),ROUND(AN71-AN109,1),"")</f>
        <v>0</v>
      </c>
      <c r="AO73" s="211">
        <f>IF(ISNUMBER(AO71),ROUND(AO71-AO109,1),"")</f>
        <v>0</v>
      </c>
      <c r="AP73" s="211">
        <f>IF(ISNUMBER(AP71),ROUND(AP71-AP109,1),"")</f>
        <v>0</v>
      </c>
      <c r="AQ73" s="211">
        <f>IF(ISNUMBER(AQ71),ROUND(AQ71-AQ109,1),"")</f>
        <v>0</v>
      </c>
      <c r="AR73" s="211">
        <f>IF(ISNUMBER(AR71),ROUND(AR71-AR109,1),"")</f>
        <v>0</v>
      </c>
      <c r="AS73" s="211">
        <f>IF(ISNUMBER(AS71),ROUND(AS71-AS109,1),"")</f>
        <v>0</v>
      </c>
      <c r="AT73" s="211">
        <f>IF(ISNUMBER(AT71),ROUND(AT71-AT109,1),"")</f>
        <v>0</v>
      </c>
      <c r="AU73" s="211">
        <f>IF(ISNUMBER(AU71),ROUND(AU71-AU109,1),"")</f>
        <v>0</v>
      </c>
      <c r="AV73" s="211">
        <f>IF(ISNUMBER(AV71),ROUND(AV71-AV109,1),"")</f>
        <v>0</v>
      </c>
      <c r="AW73" s="211">
        <f>IF(ISNUMBER(AW71),ROUND(AW71-AW109,1),"")</f>
        <v>0</v>
      </c>
      <c r="AX73" s="211">
        <f>IF(ISNUMBER(AX71),ROUND(AX71-AX109,1),"")</f>
        <v>0</v>
      </c>
      <c r="AY73" s="211">
        <f>IF(ISNUMBER(AY71),ROUND(AY71-AY109,1),"")</f>
        <v>0</v>
      </c>
      <c r="AZ73" s="211">
        <f>IF(ISNUMBER(AZ71),ROUND(AZ71-AZ109,1),"")</f>
        <v>0</v>
      </c>
      <c r="BA73" s="211">
        <f>IF(ISNUMBER(BA71),ROUND(BA71-BA109,1),"")</f>
        <v>0</v>
      </c>
      <c r="BB73" s="211">
        <f>IF(ISNUMBER(BB71),ROUND(BB71-BB109,1),"")</f>
        <v>0</v>
      </c>
      <c r="BC73" s="211">
        <f>IF(ISNUMBER(BC71),ROUND(BC71-BC109,1),"")</f>
        <v>0</v>
      </c>
      <c r="BD73" s="211">
        <f>IF(ISNUMBER(BD71),ROUND(BD71-BD109,1),"")</f>
        <v>0</v>
      </c>
      <c r="BE73" s="211">
        <f>IF(ISNUMBER(BE71),ROUND(BE71-BE109,1),"")</f>
        <v>0</v>
      </c>
      <c r="BF73" s="211">
        <f>IF(ISNUMBER(BF71),ROUND(BF71-BF109,1),"")</f>
        <v>0</v>
      </c>
      <c r="BG73" s="211">
        <f>IF(ISNUMBER(BG71),ROUND(BG71-BG109,1),"")</f>
        <v>0</v>
      </c>
      <c r="BH73" s="211">
        <f>IF(ISNUMBER(BH71),ROUND(BH71-BH109,1),"")</f>
        <v>0</v>
      </c>
      <c r="BI73" s="211">
        <f>IF(ISNUMBER(BI71),ROUND(BI71-BI109,1),"")</f>
        <v>0</v>
      </c>
      <c r="BJ73" s="211">
        <f>IF(ISNUMBER(BJ71),ROUND(BJ71-BJ109,1),"")</f>
        <v>0</v>
      </c>
      <c r="BK73" s="211">
        <f>IF(ISNUMBER(BK71),ROUND(BK71-BK109,1),"")</f>
        <v>0</v>
      </c>
      <c r="BL73" s="211">
        <f>IF(ISNUMBER(BL71),ROUND(BL71-BL109,1),"")</f>
        <v>0</v>
      </c>
      <c r="BM73" s="211">
        <f>IF(ISNUMBER(BM71),ROUND(BM71-BM109,1),"")</f>
        <v>0</v>
      </c>
      <c r="BN73" s="211">
        <f>IF(ISNUMBER(BN71),ROUND(BN71-BN109,1),"")</f>
        <v>0</v>
      </c>
      <c r="BO73" s="211">
        <f>IF(ISNUMBER(BO71),ROUND(BO71-BO109,1),"")</f>
        <v>0</v>
      </c>
      <c r="BP73" s="211">
        <f>IF(ISNUMBER(BP71),ROUND(BP71-BP109,1),"")</f>
        <v>0</v>
      </c>
      <c r="BQ73" s="211">
        <f>IF(ISNUMBER(BQ71),ROUND(BQ71-BQ109,1),"")</f>
        <v>0</v>
      </c>
      <c r="BR73" s="211">
        <f>IF(ISNUMBER(BR71),ROUND(BR71-BR109,1),"")</f>
        <v>0</v>
      </c>
      <c r="BS73" s="211">
        <f>IF(ISNUMBER(BS71),ROUND(BS71-BS109,1),"")</f>
        <v>0</v>
      </c>
      <c r="BT73" s="211">
        <f>IF(ISNUMBER(BT71),ROUND(BT71-BT109,1),"")</f>
        <v>0</v>
      </c>
      <c r="BU73" s="211">
        <f>IF(ISNUMBER(BU71),ROUND(BU71-BU109,1),"")</f>
        <v>0</v>
      </c>
      <c r="BV73" s="273">
        <f>IF(ISNUMBER(BV71),ROUND(BV71-BV109,1),"")</f>
        <v>0</v>
      </c>
      <c r="BW73" s="273">
        <f>IF(ISNUMBER(BW71),ROUND(BW71-BW109,1),"")</f>
        <v>0</v>
      </c>
      <c r="BX73" s="273">
        <f>IF(ISNUMBER(BX71),ROUND(BX71-BX109,1),"")</f>
        <v>0</v>
      </c>
      <c r="BY73" s="273">
        <f>IF(ISNUMBER(BY71),ROUND(BY71-BY109,1),"")</f>
        <v>0</v>
      </c>
      <c r="BZ73" s="273">
        <f>IF(ISNUMBER(BZ71),ROUND(BZ71-BZ109,1),"")</f>
        <v>0</v>
      </c>
      <c r="CA73" s="273">
        <f>IF(ISNUMBER(CA71),ROUND(CA71-CA109,1),"")</f>
        <v>0</v>
      </c>
      <c r="CB73" s="273">
        <f>IF(ISNUMBER(CB71),ROUND(CB71-CB109,1),"")</f>
        <v>0</v>
      </c>
      <c r="CC73" s="273">
        <f>IF(ISNUMBER(CC71),ROUND(CC71-CC109,1),"")</f>
        <v>0</v>
      </c>
      <c r="CD73" s="153" t="n"/>
      <c r="CL73" s="25" t="inlineStr">
        <is>
          <t xml:space="preserve">  2030E</t>
        </is>
      </c>
      <c r="CM73" s="51">
        <f>MAX(0,CN73+$CM$69)</f>
        <v>3000</v>
      </c>
      <c r="CN73" s="257" t="n">
        <v>1000</v>
      </c>
      <c r="CO73" s="51">
        <f>MAX(0,CN73+$CO$69)</f>
        <v>0</v>
      </c>
    </row>
    <row r="74" ht="15" customHeight="1" s="251">
      <c r="B74" s="156" t="inlineStr">
        <is>
          <t xml:space="preserve">  Memo: Q3/26 revenue guidance (scenario end-point: high / mid / low of $61–64bn)</t>
        </is>
      </c>
      <c r="C74" s="34" t="n"/>
      <c r="D74" s="34" t="n"/>
      <c r="E74" s="34" t="n"/>
      <c r="F74" s="34" t="n"/>
      <c r="G74" s="34" t="n"/>
      <c r="H74" s="34" t="n"/>
      <c r="I74" s="34" t="n"/>
      <c r="J74" s="34" t="n"/>
      <c r="K74" s="34" t="n"/>
      <c r="L74" s="34" t="n"/>
      <c r="M74" s="34" t="n"/>
      <c r="N74" s="34" t="n"/>
      <c r="O74" s="34" t="n"/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  <c r="AA74" s="34" t="n"/>
      <c r="AB74" s="34" t="n"/>
      <c r="AC74" s="34" t="n"/>
      <c r="AD74" s="34" t="n"/>
      <c r="AE74" s="34" t="n"/>
      <c r="AF74" s="34" t="n"/>
      <c r="AG74" s="34" t="n"/>
      <c r="AH74" s="34" t="n"/>
      <c r="AI74" s="34" t="n"/>
      <c r="AJ74" s="34" t="n"/>
      <c r="AK74" s="34" t="n"/>
      <c r="AL74" s="34" t="n"/>
      <c r="AM74" s="34" t="n"/>
      <c r="AN74" s="34" t="n"/>
      <c r="AO74" s="34" t="n"/>
      <c r="AP74" s="34" t="n"/>
      <c r="AQ74" s="34" t="n"/>
      <c r="AR74" s="34" t="n"/>
      <c r="AS74" s="34" t="n"/>
      <c r="AT74" s="34" t="n"/>
      <c r="AU74" s="34" t="n"/>
      <c r="AV74" s="34" t="n"/>
      <c r="AW74" s="34" t="n"/>
      <c r="AX74" s="34" t="n"/>
      <c r="AY74" s="34" t="n"/>
      <c r="AZ74" s="34" t="n"/>
      <c r="BA74" s="34" t="n"/>
      <c r="BB74" s="34" t="n"/>
      <c r="BC74" s="34" t="n"/>
      <c r="BD74" s="34" t="n"/>
      <c r="BE74" s="34" t="n"/>
      <c r="BF74" s="34" t="n"/>
      <c r="BG74" s="34" t="n"/>
      <c r="BH74" s="34" t="n"/>
      <c r="BI74" s="34" t="n"/>
      <c r="BJ74" s="34" t="n"/>
      <c r="BK74" s="34" t="n"/>
      <c r="BL74" s="34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 t="n"/>
      <c r="BV74" s="273">
        <f>CHOOSE(MATCH($CD$2,{"Bull","Base","Bear"},0),$CM$12,$CN$12,$CO$12)</f>
        <v>62500</v>
      </c>
      <c r="BW74" s="153" t="n"/>
      <c r="BX74" s="153" t="n"/>
      <c r="BY74" s="153" t="n"/>
      <c r="BZ74" s="153" t="n"/>
      <c r="CA74" s="153" t="n"/>
      <c r="CB74" s="153" t="n"/>
      <c r="CC74" s="153" t="n"/>
      <c r="CD74" s="153" t="inlineStr">
        <is>
          <t>Company Q3/26 revenue guidance $61–64bn (Q2-26 release, 29-Jul-2026). Drives the price-per-ad calibration.</t>
        </is>
      </c>
      <c r="CL74" s="25" t="inlineStr">
        <is>
          <t xml:space="preserve">  2031E</t>
        </is>
      </c>
      <c r="CM74" s="51">
        <f>MAX(0,CN74+$CM$69)</f>
        <v>3000</v>
      </c>
      <c r="CN74" s="257" t="n">
        <v>1000</v>
      </c>
      <c r="CO74" s="51">
        <f>MAX(0,CN74+$CO$69)</f>
        <v>0</v>
      </c>
    </row>
    <row r="75" ht="15" customHeight="1" s="251">
      <c r="B75" s="25" t="inlineStr">
        <is>
          <t xml:space="preserve">  Q3/26E revenue before calibration (helper)</t>
        </is>
      </c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  <c r="AA75" s="34" t="n"/>
      <c r="AB75" s="34" t="n"/>
      <c r="AC75" s="34" t="n"/>
      <c r="AD75" s="34" t="n"/>
      <c r="AE75" s="34" t="n"/>
      <c r="AF75" s="34" t="n"/>
      <c r="AG75" s="34" t="n"/>
      <c r="AH75" s="34" t="n"/>
      <c r="AI75" s="34" t="n"/>
      <c r="AJ75" s="34" t="n"/>
      <c r="AK75" s="34" t="n"/>
      <c r="AL75" s="34" t="n"/>
      <c r="AM75" s="34" t="n"/>
      <c r="AN75" s="34" t="n"/>
      <c r="AO75" s="34" t="n"/>
      <c r="AP75" s="34" t="n"/>
      <c r="AQ75" s="34" t="n"/>
      <c r="AR75" s="34" t="n"/>
      <c r="AS75" s="34" t="n"/>
      <c r="AT75" s="34" t="n"/>
      <c r="AU75" s="34" t="n"/>
      <c r="AV75" s="34" t="n"/>
      <c r="AW75" s="34" t="n"/>
      <c r="AX75" s="34" t="n"/>
      <c r="AY75" s="34" t="n"/>
      <c r="AZ75" s="34" t="n"/>
      <c r="BA75" s="34" t="n"/>
      <c r="BB75" s="34" t="n"/>
      <c r="BC75" s="34" t="n"/>
      <c r="BD75" s="34" t="n"/>
      <c r="BE75" s="34" t="n"/>
      <c r="BF75" s="34" t="n"/>
      <c r="BG75" s="34" t="n"/>
      <c r="BH75" s="34" t="n"/>
      <c r="BI75" s="34" t="n"/>
      <c r="BJ75" s="34" t="n"/>
      <c r="BK75" s="34" t="n"/>
      <c r="BL75" s="34" t="n"/>
      <c r="BM75" s="34" t="n"/>
      <c r="BN75" s="34" t="n"/>
      <c r="BO75" s="34" t="n"/>
      <c r="BP75" s="34" t="n"/>
      <c r="BQ75" s="34" t="n"/>
      <c r="BR75" s="34" t="n"/>
      <c r="BS75" s="34" t="n"/>
      <c r="BT75" s="34" t="n"/>
      <c r="BU75" s="34" t="n"/>
      <c r="BV75" s="263">
        <f>BQ11*(1+BV13)*(1+BV16)+BV24+BV26</f>
        <v>65639.7505058435</v>
      </c>
      <c r="BW75" s="35" t="n"/>
      <c r="BX75" s="35" t="n"/>
      <c r="BY75" s="35" t="n"/>
      <c r="BZ75" s="35" t="n"/>
      <c r="CA75" s="35" t="n"/>
      <c r="CB75" s="35" t="n"/>
      <c r="CC75" s="35" t="n"/>
      <c r="CD75" s="19" t="n"/>
    </row>
    <row r="76" ht="15" customHeight="1" s="251">
      <c r="B76" s="25" t="inlineStr">
        <is>
          <t xml:space="preserve">  Q3/26E revenue sensitivity to +1.00 of price-per-ad growth (helper)</t>
        </is>
      </c>
      <c r="C76" s="34" t="n"/>
      <c r="D76" s="34" t="n"/>
      <c r="E76" s="34" t="n"/>
      <c r="F76" s="34" t="n"/>
      <c r="G76" s="34" t="n"/>
      <c r="H76" s="34" t="n"/>
      <c r="I76" s="34" t="n"/>
      <c r="J76" s="34" t="n"/>
      <c r="K76" s="34" t="n"/>
      <c r="L76" s="34" t="n"/>
      <c r="M76" s="34" t="n"/>
      <c r="N76" s="34" t="n"/>
      <c r="O76" s="34" t="n"/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  <c r="AA76" s="34" t="n"/>
      <c r="AB76" s="34" t="n"/>
      <c r="AC76" s="34" t="n"/>
      <c r="AD76" s="34" t="n"/>
      <c r="AE76" s="34" t="n"/>
      <c r="AF76" s="34" t="n"/>
      <c r="AG76" s="34" t="n"/>
      <c r="AH76" s="34" t="n"/>
      <c r="AI76" s="34" t="n"/>
      <c r="AJ76" s="34" t="n"/>
      <c r="AK76" s="34" t="n"/>
      <c r="AL76" s="34" t="n"/>
      <c r="AM76" s="34" t="n"/>
      <c r="AN76" s="34" t="n"/>
      <c r="AO76" s="34" t="n"/>
      <c r="AP76" s="34" t="n"/>
      <c r="AQ76" s="34" t="n"/>
      <c r="AR76" s="34" t="n"/>
      <c r="AS76" s="34" t="n"/>
      <c r="AT76" s="34" t="n"/>
      <c r="AU76" s="34" t="n"/>
      <c r="AV76" s="34" t="n"/>
      <c r="AW76" s="34" t="n"/>
      <c r="AX76" s="34" t="n"/>
      <c r="AY76" s="34" t="n"/>
      <c r="AZ76" s="34" t="n"/>
      <c r="BA76" s="34" t="n"/>
      <c r="BB76" s="34" t="n"/>
      <c r="BC76" s="34" t="n"/>
      <c r="BD76" s="34" t="n"/>
      <c r="BE76" s="34" t="n"/>
      <c r="BF76" s="34" t="n"/>
      <c r="BG76" s="34" t="n"/>
      <c r="BH76" s="34" t="n"/>
      <c r="BI76" s="34" t="n"/>
      <c r="BJ76" s="34" t="n"/>
      <c r="BK76" s="34" t="n"/>
      <c r="BL76" s="34" t="n"/>
      <c r="BM76" s="34" t="n"/>
      <c r="BN76" s="34" t="n"/>
      <c r="BO76" s="34" t="n"/>
      <c r="BP76" s="34" t="n"/>
      <c r="BQ76" s="34" t="n"/>
      <c r="BR76" s="34" t="n"/>
      <c r="BS76" s="34" t="n"/>
      <c r="BT76" s="34" t="n"/>
      <c r="BU76" s="34" t="n"/>
      <c r="BV76" s="263">
        <f>BQ11*(1+BV13)</f>
        <v>57093.48</v>
      </c>
      <c r="BW76" s="35" t="n"/>
      <c r="BX76" s="35" t="n"/>
      <c r="BY76" s="35" t="n"/>
      <c r="BZ76" s="35" t="n"/>
      <c r="CA76" s="35" t="n"/>
      <c r="CB76" s="35" t="n"/>
      <c r="CC76" s="35" t="n"/>
      <c r="CD76" s="19" t="n"/>
    </row>
    <row r="77" ht="15" customHeight="1" s="251">
      <c r="B77" s="25" t="inlineStr">
        <is>
          <t xml:space="preserve">  Guidance calibration: Δ price-per-ad growth (solved in Q3/26E; carried into Q4/26E)</t>
        </is>
      </c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  <c r="AU77" s="36" t="n"/>
      <c r="AV77" s="36" t="n"/>
      <c r="AW77" s="36" t="n"/>
      <c r="AX77" s="36" t="n"/>
      <c r="AY77" s="36" t="n"/>
      <c r="AZ77" s="36" t="n"/>
      <c r="BA77" s="36" t="n"/>
      <c r="BB77" s="36" t="n"/>
      <c r="BC77" s="36" t="n"/>
      <c r="BD77" s="36" t="n"/>
      <c r="BE77" s="36" t="n"/>
      <c r="BF77" s="36" t="n"/>
      <c r="BG77" s="36" t="n"/>
      <c r="BH77" s="36" t="n"/>
      <c r="BI77" s="36" t="n"/>
      <c r="BJ77" s="36" t="n"/>
      <c r="BK77" s="36" t="n"/>
      <c r="BL77" s="36" t="n"/>
      <c r="BM77" s="36" t="n"/>
      <c r="BN77" s="36" t="n"/>
      <c r="BO77" s="36" t="n"/>
      <c r="BP77" s="36" t="n"/>
      <c r="BQ77" s="36" t="n"/>
      <c r="BR77" s="36" t="n"/>
      <c r="BS77" s="36" t="n"/>
      <c r="BT77" s="36" t="n"/>
      <c r="BU77" s="36" t="n"/>
      <c r="BV77" s="256">
        <f>(BV74-BV75)/BV76</f>
        <v>-0.0549931534361458</v>
      </c>
      <c r="BW77" s="256">
        <f>$BV$77</f>
        <v>-0.0549931534361458</v>
      </c>
      <c r="BX77" s="24" t="n"/>
      <c r="BY77" s="46" t="n"/>
      <c r="BZ77" s="46" t="n"/>
      <c r="CA77" s="46" t="n"/>
      <c r="CB77" s="46" t="n"/>
      <c r="CC77" s="46" t="n"/>
      <c r="CD77" s="19" t="inlineStr">
        <is>
          <t>Closed-form linear solve: Δ = (guidance end-point − revenue before calibration) ÷ sensitivity. No guidance for Q4: the Q3 Δ is carried forward.</t>
        </is>
      </c>
    </row>
    <row r="78" ht="15" customHeight="1" s="251">
      <c r="B78" s="57" t="inlineStr">
        <is>
          <t xml:space="preserve">  Check: Q3/26E revenue vs guidance end-point (should be 0)</t>
        </is>
      </c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  <c r="AE78" s="44" t="n"/>
      <c r="AF78" s="44" t="n"/>
      <c r="AG78" s="44" t="n"/>
      <c r="AH78" s="44" t="n"/>
      <c r="AI78" s="44" t="n"/>
      <c r="AJ78" s="44" t="n"/>
      <c r="AK78" s="44" t="n"/>
      <c r="AL78" s="44" t="n"/>
      <c r="AM78" s="44" t="n"/>
      <c r="AN78" s="44" t="n"/>
      <c r="AO78" s="44" t="n"/>
      <c r="AP78" s="44" t="n"/>
      <c r="AQ78" s="44" t="n"/>
      <c r="AR78" s="44" t="n"/>
      <c r="AS78" s="44" t="n"/>
      <c r="AT78" s="44" t="n"/>
      <c r="AU78" s="44" t="n"/>
      <c r="AV78" s="44" t="n"/>
      <c r="AW78" s="44" t="n"/>
      <c r="AX78" s="44" t="n"/>
      <c r="AY78" s="44" t="n"/>
      <c r="AZ78" s="44" t="n"/>
      <c r="BA78" s="44" t="n"/>
      <c r="BB78" s="44" t="n"/>
      <c r="BC78" s="44" t="n"/>
      <c r="BD78" s="44" t="n"/>
      <c r="BE78" s="44" t="n"/>
      <c r="BF78" s="44" t="n"/>
      <c r="BG78" s="44" t="n"/>
      <c r="BH78" s="44" t="n"/>
      <c r="BI78" s="44" t="n"/>
      <c r="BJ78" s="44" t="n"/>
      <c r="BK78" s="44" t="n"/>
      <c r="BL78" s="44" t="n"/>
      <c r="BM78" s="44" t="n"/>
      <c r="BN78" s="44" t="n"/>
      <c r="BO78" s="44" t="n"/>
      <c r="BP78" s="44" t="n"/>
      <c r="BQ78" s="44" t="n"/>
      <c r="BR78" s="44" t="n"/>
      <c r="BS78" s="44" t="n"/>
      <c r="BT78" s="44" t="n"/>
      <c r="BU78" s="44" t="n"/>
      <c r="BV78" s="273">
        <f>ROUND(BV109-BV74,1)</f>
        <v>0</v>
      </c>
      <c r="BW78" s="153" t="n"/>
      <c r="BX78" s="153" t="n"/>
      <c r="BY78" s="153" t="n"/>
      <c r="BZ78" s="153" t="n"/>
      <c r="CA78" s="153" t="n"/>
      <c r="CB78" s="153" t="n"/>
      <c r="CC78" s="153" t="n"/>
      <c r="CD78" s="153" t="n"/>
    </row>
    <row r="79" ht="15" customHeight="1" s="251">
      <c r="B79" s="156" t="inlineStr">
        <is>
          <t xml:space="preserve">  Memo: FY26 total expenses guidance (scenario end-point: low / mid / high of $165–169bn)</t>
        </is>
      </c>
      <c r="C79" s="34" t="n"/>
      <c r="D79" s="34" t="n"/>
      <c r="E79" s="34" t="n"/>
      <c r="F79" s="34" t="n"/>
      <c r="G79" s="34" t="n"/>
      <c r="H79" s="34" t="n"/>
      <c r="I79" s="34" t="n"/>
      <c r="J79" s="34" t="n"/>
      <c r="K79" s="34" t="n"/>
      <c r="L79" s="34" t="n"/>
      <c r="M79" s="34" t="n"/>
      <c r="N79" s="34" t="n"/>
      <c r="O79" s="34" t="n"/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  <c r="AA79" s="34" t="n"/>
      <c r="AB79" s="34" t="n"/>
      <c r="AC79" s="34" t="n"/>
      <c r="AD79" s="34" t="n"/>
      <c r="AE79" s="34" t="n"/>
      <c r="AF79" s="34" t="n"/>
      <c r="AG79" s="34" t="n"/>
      <c r="AH79" s="34" t="n"/>
      <c r="AI79" s="34" t="n"/>
      <c r="AJ79" s="34" t="n"/>
      <c r="AK79" s="34" t="n"/>
      <c r="AL79" s="34" t="n"/>
      <c r="AM79" s="34" t="n"/>
      <c r="AN79" s="34" t="n"/>
      <c r="AO79" s="34" t="n"/>
      <c r="AP79" s="34" t="n"/>
      <c r="AQ79" s="34" t="n"/>
      <c r="AR79" s="34" t="n"/>
      <c r="AS79" s="34" t="n"/>
      <c r="AT79" s="34" t="n"/>
      <c r="AU79" s="34" t="n"/>
      <c r="AV79" s="34" t="n"/>
      <c r="AW79" s="34" t="n"/>
      <c r="AX79" s="34" t="n"/>
      <c r="AY79" s="34" t="n"/>
      <c r="AZ79" s="34" t="n"/>
      <c r="BA79" s="34" t="n"/>
      <c r="BB79" s="34" t="n"/>
      <c r="BC79" s="34" t="n"/>
      <c r="BD79" s="34" t="n"/>
      <c r="BE79" s="34" t="n"/>
      <c r="BF79" s="34" t="n"/>
      <c r="BG79" s="34" t="n"/>
      <c r="BH79" s="34" t="n"/>
      <c r="BI79" s="34" t="n"/>
      <c r="BJ79" s="34" t="n"/>
      <c r="BK79" s="34" t="n"/>
      <c r="BL79" s="34" t="n"/>
      <c r="BM79" s="34" t="n"/>
      <c r="BN79" s="34" t="n"/>
      <c r="BO79" s="34" t="n"/>
      <c r="BP79" s="34" t="n"/>
      <c r="BQ79" s="34" t="n"/>
      <c r="BR79" s="34" t="n"/>
      <c r="BS79" s="34" t="n"/>
      <c r="BT79" s="34" t="n"/>
      <c r="BU79" s="34" t="n"/>
      <c r="BV79" s="153" t="n"/>
      <c r="BW79" s="153" t="n"/>
      <c r="BX79" s="273">
        <f>CHOOSE(MATCH($CD$2,{"Bull","Base","Bear"},0),$CM$13,$CN$13,$CO$13)</f>
        <v>167000</v>
      </c>
      <c r="BY79" s="153" t="n"/>
      <c r="BZ79" s="153" t="n"/>
      <c r="CA79" s="153" t="n"/>
      <c r="CB79" s="153" t="n"/>
      <c r="CC79" s="153" t="n"/>
      <c r="CD79" s="153" t="inlineStr">
        <is>
          <t>Company FY26 total expenses guidance $165–169bn (Q2-26 release; low end raised from $162bn for the Q2 legal charges). Drives the 2H cost calibration.</t>
        </is>
      </c>
    </row>
    <row r="80" collapsed="1" ht="15" customHeight="1" s="251">
      <c r="B80" s="156" t="inlineStr">
        <is>
          <t xml:space="preserve">  2H/26E total costs and expenses required (guidance − 1H/26 actual)</t>
        </is>
      </c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  <c r="AE80" s="44" t="n"/>
      <c r="AF80" s="44" t="n"/>
      <c r="AG80" s="44" t="n"/>
      <c r="AH80" s="44" t="n"/>
      <c r="AI80" s="44" t="n"/>
      <c r="AJ80" s="44" t="n"/>
      <c r="AK80" s="44" t="n"/>
      <c r="AL80" s="44" t="n"/>
      <c r="AM80" s="44" t="n"/>
      <c r="AN80" s="44" t="n"/>
      <c r="AO80" s="44" t="n"/>
      <c r="AP80" s="44" t="n"/>
      <c r="AQ80" s="44" t="n"/>
      <c r="AR80" s="44" t="n"/>
      <c r="AS80" s="44" t="n"/>
      <c r="AT80" s="44" t="n"/>
      <c r="AU80" s="44" t="n"/>
      <c r="AV80" s="44" t="n"/>
      <c r="AW80" s="44" t="n"/>
      <c r="AX80" s="44" t="n"/>
      <c r="AY80" s="44" t="n"/>
      <c r="AZ80" s="44" t="n"/>
      <c r="BA80" s="44" t="n"/>
      <c r="BB80" s="44" t="n"/>
      <c r="BC80" s="44" t="n"/>
      <c r="BD80" s="44" t="n"/>
      <c r="BE80" s="44" t="n"/>
      <c r="BF80" s="44" t="n"/>
      <c r="BG80" s="44" t="n"/>
      <c r="BH80" s="44" t="n"/>
      <c r="BI80" s="44" t="n"/>
      <c r="BJ80" s="44" t="n"/>
      <c r="BK80" s="44" t="n"/>
      <c r="BL80" s="44" t="n"/>
      <c r="BM80" s="44" t="n"/>
      <c r="BN80" s="44" t="n"/>
      <c r="BO80" s="44" t="n"/>
      <c r="BP80" s="44" t="n"/>
      <c r="BQ80" s="44" t="n"/>
      <c r="BR80" s="44" t="n"/>
      <c r="BS80" s="44" t="n"/>
      <c r="BT80" s="44" t="n"/>
      <c r="BU80" s="44" t="n"/>
      <c r="BV80" s="35" t="n"/>
      <c r="BW80" s="35" t="n"/>
      <c r="BX80" s="263">
        <f>BX79-SUM(BT114:BU114)</f>
        <v>91535</v>
      </c>
      <c r="BY80" s="35" t="n"/>
      <c r="BZ80" s="35" t="n"/>
      <c r="CA80" s="35" t="n"/>
      <c r="CB80" s="35" t="n"/>
      <c r="CC80" s="35" t="n"/>
      <c r="CD80" s="153" t="n"/>
    </row>
    <row r="81" ht="15" customHeight="1" s="251">
      <c r="B81" s="156" t="inlineStr">
        <is>
          <t xml:space="preserve">  Q3 share of 2H costs (2H/25 pattern: Q3/25 ÷ (Q3/25 + Q4/25))</t>
        </is>
      </c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  <c r="AE81" s="44" t="n"/>
      <c r="AF81" s="44" t="n"/>
      <c r="AG81" s="44" t="n"/>
      <c r="AH81" s="44" t="n"/>
      <c r="AI81" s="44" t="n"/>
      <c r="AJ81" s="44" t="n"/>
      <c r="AK81" s="44" t="n"/>
      <c r="AL81" s="44" t="n"/>
      <c r="AM81" s="44" t="n"/>
      <c r="AN81" s="44" t="n"/>
      <c r="AO81" s="44" t="n"/>
      <c r="AP81" s="44" t="n"/>
      <c r="AQ81" s="44" t="n"/>
      <c r="AR81" s="44" t="n"/>
      <c r="AS81" s="44" t="n"/>
      <c r="AT81" s="44" t="n"/>
      <c r="AU81" s="44" t="n"/>
      <c r="AV81" s="44" t="n"/>
      <c r="AW81" s="44" t="n"/>
      <c r="AX81" s="44" t="n"/>
      <c r="AY81" s="44" t="n"/>
      <c r="AZ81" s="44" t="n"/>
      <c r="BA81" s="44" t="n"/>
      <c r="BB81" s="44" t="n"/>
      <c r="BC81" s="44" t="n"/>
      <c r="BD81" s="44" t="n"/>
      <c r="BE81" s="44" t="n"/>
      <c r="BF81" s="44" t="n"/>
      <c r="BG81" s="44" t="n"/>
      <c r="BH81" s="44" t="n"/>
      <c r="BI81" s="44" t="n"/>
      <c r="BJ81" s="44" t="n"/>
      <c r="BK81" s="44" t="n"/>
      <c r="BL81" s="44" t="n"/>
      <c r="BM81" s="44" t="n"/>
      <c r="BN81" s="44" t="n"/>
      <c r="BO81" s="44" t="n"/>
      <c r="BP81" s="44" t="n"/>
      <c r="BQ81" s="44" t="n"/>
      <c r="BR81" s="44" t="n"/>
      <c r="BS81" s="44" t="n"/>
      <c r="BT81" s="44" t="n"/>
      <c r="BU81" s="44" t="n"/>
      <c r="BV81" s="35" t="n"/>
      <c r="BW81" s="35" t="n"/>
      <c r="BX81" s="256">
        <f>BQ114/(BQ114+BR114)</f>
        <v>0.466281983144788</v>
      </c>
      <c r="BY81" s="35" t="n"/>
      <c r="BZ81" s="35" t="n"/>
      <c r="CA81" s="35" t="n"/>
      <c r="CB81" s="35" t="n"/>
      <c r="CC81" s="35" t="n"/>
      <c r="CD81" s="153" t="n"/>
    </row>
    <row r="82" ht="15" customHeight="1" s="251">
      <c r="B82" s="25" t="inlineStr">
        <is>
          <t xml:space="preserve">  Total costs and expenses target (Q3/26E, Q4/26E)</t>
        </is>
      </c>
      <c r="C82" s="34" t="n"/>
      <c r="D82" s="34" t="n"/>
      <c r="E82" s="34" t="n"/>
      <c r="F82" s="34" t="n"/>
      <c r="G82" s="34" t="n"/>
      <c r="H82" s="34" t="n"/>
      <c r="I82" s="34" t="n"/>
      <c r="J82" s="34" t="n"/>
      <c r="K82" s="34" t="n"/>
      <c r="L82" s="34" t="n"/>
      <c r="M82" s="34" t="n"/>
      <c r="N82" s="34" t="n"/>
      <c r="O82" s="34" t="n"/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  <c r="AA82" s="34" t="n"/>
      <c r="AB82" s="34" t="n"/>
      <c r="AC82" s="34" t="n"/>
      <c r="AD82" s="34" t="n"/>
      <c r="AE82" s="34" t="n"/>
      <c r="AF82" s="34" t="n"/>
      <c r="AG82" s="34" t="n"/>
      <c r="AH82" s="34" t="n"/>
      <c r="AI82" s="34" t="n"/>
      <c r="AJ82" s="34" t="n"/>
      <c r="AK82" s="34" t="n"/>
      <c r="AL82" s="34" t="n"/>
      <c r="AM82" s="34" t="n"/>
      <c r="AN82" s="34" t="n"/>
      <c r="AO82" s="34" t="n"/>
      <c r="AP82" s="34" t="n"/>
      <c r="AQ82" s="34" t="n"/>
      <c r="AR82" s="34" t="n"/>
      <c r="AS82" s="34" t="n"/>
      <c r="AT82" s="34" t="n"/>
      <c r="AU82" s="34" t="n"/>
      <c r="AV82" s="34" t="n"/>
      <c r="AW82" s="34" t="n"/>
      <c r="AX82" s="34" t="n"/>
      <c r="AY82" s="34" t="n"/>
      <c r="AZ82" s="34" t="n"/>
      <c r="BA82" s="34" t="n"/>
      <c r="BB82" s="34" t="n"/>
      <c r="BC82" s="34" t="n"/>
      <c r="BD82" s="34" t="n"/>
      <c r="BE82" s="34" t="n"/>
      <c r="BF82" s="34" t="n"/>
      <c r="BG82" s="34" t="n"/>
      <c r="BH82" s="34" t="n"/>
      <c r="BI82" s="34" t="n"/>
      <c r="BJ82" s="34" t="n"/>
      <c r="BK82" s="34" t="n"/>
      <c r="BL82" s="34" t="n"/>
      <c r="BM82" s="34" t="n"/>
      <c r="BN82" s="34" t="n"/>
      <c r="BO82" s="34" t="n"/>
      <c r="BP82" s="34" t="n"/>
      <c r="BQ82" s="34" t="n"/>
      <c r="BR82" s="34" t="n"/>
      <c r="BS82" s="34" t="n"/>
      <c r="BT82" s="34" t="n"/>
      <c r="BU82" s="34" t="n"/>
      <c r="BV82" s="263">
        <f>$BX$80*$BX$81</f>
        <v>42681.1213271582</v>
      </c>
      <c r="BW82" s="263">
        <f>$BX$80*(1-$BX$81)</f>
        <v>48853.8786728419</v>
      </c>
      <c r="BX82" s="35" t="n"/>
      <c r="BY82" s="35" t="n"/>
      <c r="BZ82" s="35" t="n"/>
      <c r="CA82" s="35" t="n"/>
      <c r="CB82" s="35" t="n"/>
      <c r="CC82" s="35" t="n"/>
      <c r="CD82" s="19" t="inlineStr">
        <is>
          <t>Other operating costs (cash) are the balancing driver: target − D&amp;A − share-based compensation − one-off items.</t>
        </is>
      </c>
    </row>
    <row r="83" ht="15" customHeight="1" s="251">
      <c r="B83" s="57" t="inlineStr">
        <is>
          <t xml:space="preserve">  Check: FY26 total costs and expenses vs guidance end-point (should be 0)</t>
        </is>
      </c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  <c r="AE83" s="44" t="n"/>
      <c r="AF83" s="44" t="n"/>
      <c r="AG83" s="44" t="n"/>
      <c r="AH83" s="44" t="n"/>
      <c r="AI83" s="44" t="n"/>
      <c r="AJ83" s="44" t="n"/>
      <c r="AK83" s="44" t="n"/>
      <c r="AL83" s="44" t="n"/>
      <c r="AM83" s="44" t="n"/>
      <c r="AN83" s="44" t="n"/>
      <c r="AO83" s="44" t="n"/>
      <c r="AP83" s="44" t="n"/>
      <c r="AQ83" s="44" t="n"/>
      <c r="AR83" s="44" t="n"/>
      <c r="AS83" s="44" t="n"/>
      <c r="AT83" s="44" t="n"/>
      <c r="AU83" s="44" t="n"/>
      <c r="AV83" s="44" t="n"/>
      <c r="AW83" s="44" t="n"/>
      <c r="AX83" s="44" t="n"/>
      <c r="AY83" s="44" t="n"/>
      <c r="AZ83" s="44" t="n"/>
      <c r="BA83" s="44" t="n"/>
      <c r="BB83" s="44" t="n"/>
      <c r="BC83" s="44" t="n"/>
      <c r="BD83" s="44" t="n"/>
      <c r="BE83" s="44" t="n"/>
      <c r="BF83" s="44" t="n"/>
      <c r="BG83" s="44" t="n"/>
      <c r="BH83" s="44" t="n"/>
      <c r="BI83" s="44" t="n"/>
      <c r="BJ83" s="44" t="n"/>
      <c r="BK83" s="44" t="n"/>
      <c r="BL83" s="44" t="n"/>
      <c r="BM83" s="44" t="n"/>
      <c r="BN83" s="44" t="n"/>
      <c r="BO83" s="44" t="n"/>
      <c r="BP83" s="44" t="n"/>
      <c r="BQ83" s="44" t="n"/>
      <c r="BR83" s="44" t="n"/>
      <c r="BS83" s="44" t="n"/>
      <c r="BT83" s="44" t="n"/>
      <c r="BU83" s="44" t="n"/>
      <c r="BV83" s="153" t="n"/>
      <c r="BW83" s="153" t="n"/>
      <c r="BX83" s="273">
        <f>ROUND(BX114-BX79,1)</f>
        <v>0</v>
      </c>
      <c r="BY83" s="153" t="n"/>
      <c r="BZ83" s="153" t="n"/>
      <c r="CA83" s="153" t="n"/>
      <c r="CB83" s="153" t="n"/>
      <c r="CC83" s="153" t="n"/>
      <c r="CD83" s="153" t="n"/>
    </row>
    <row r="84" ht="15" customHeight="1" s="251">
      <c r="B84" s="156" t="inlineStr">
        <is>
          <t xml:space="preserve">  Memo: FY26 income from operations − FY25 ("above 2025 operating income" — information, should be &gt; 0)</t>
        </is>
      </c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  <c r="AE84" s="44" t="n"/>
      <c r="AF84" s="44" t="n"/>
      <c r="AG84" s="44" t="n"/>
      <c r="AH84" s="44" t="n"/>
      <c r="AI84" s="44" t="n"/>
      <c r="AJ84" s="44" t="n"/>
      <c r="AK84" s="44" t="n"/>
      <c r="AL84" s="44" t="n"/>
      <c r="AM84" s="44" t="n"/>
      <c r="AN84" s="44" t="n"/>
      <c r="AO84" s="44" t="n"/>
      <c r="AP84" s="44" t="n"/>
      <c r="AQ84" s="44" t="n"/>
      <c r="AR84" s="44" t="n"/>
      <c r="AS84" s="44" t="n"/>
      <c r="AT84" s="44" t="n"/>
      <c r="AU84" s="44" t="n"/>
      <c r="AV84" s="44" t="n"/>
      <c r="AW84" s="44" t="n"/>
      <c r="AX84" s="44" t="n"/>
      <c r="AY84" s="44" t="n"/>
      <c r="AZ84" s="44" t="n"/>
      <c r="BA84" s="44" t="n"/>
      <c r="BB84" s="44" t="n"/>
      <c r="BC84" s="44" t="n"/>
      <c r="BD84" s="44" t="n"/>
      <c r="BE84" s="44" t="n"/>
      <c r="BF84" s="44" t="n"/>
      <c r="BG84" s="44" t="n"/>
      <c r="BH84" s="44" t="n"/>
      <c r="BI84" s="44" t="n"/>
      <c r="BJ84" s="44" t="n"/>
      <c r="BK84" s="44" t="n"/>
      <c r="BL84" s="44" t="n"/>
      <c r="BM84" s="44" t="n"/>
      <c r="BN84" s="44" t="n"/>
      <c r="BO84" s="44" t="n"/>
      <c r="BP84" s="44" t="n"/>
      <c r="BQ84" s="44" t="n"/>
      <c r="BR84" s="44" t="n"/>
      <c r="BS84" s="44" t="n"/>
      <c r="BT84" s="44" t="n"/>
      <c r="BU84" s="44" t="n"/>
      <c r="BV84" s="35" t="n"/>
      <c r="BW84" s="35" t="n"/>
      <c r="BX84" s="263">
        <f>BX116-BS116</f>
        <v>2324.4115311655</v>
      </c>
      <c r="BY84" s="35" t="n"/>
      <c r="BZ84" s="35" t="n"/>
      <c r="CA84" s="35" t="n"/>
      <c r="CB84" s="35" t="n"/>
      <c r="CC84" s="35" t="n"/>
      <c r="CD84" s="153" t="n"/>
    </row>
    <row r="85" ht="15" customHeight="1" s="251">
      <c r="B85" s="156" t="inlineStr">
        <is>
          <t xml:space="preserve">  Memo: FY26 capital expenditures incl. principal payments on finance leases — guidance mid-point ($130–145bn)</t>
        </is>
      </c>
      <c r="C85" s="34" t="n"/>
      <c r="D85" s="34" t="n"/>
      <c r="E85" s="34" t="n"/>
      <c r="F85" s="34" t="n"/>
      <c r="G85" s="34" t="n"/>
      <c r="H85" s="34" t="n"/>
      <c r="I85" s="34" t="n"/>
      <c r="J85" s="34" t="n"/>
      <c r="K85" s="34" t="n"/>
      <c r="L85" s="34" t="n"/>
      <c r="M85" s="34" t="n"/>
      <c r="N85" s="34" t="n"/>
      <c r="O85" s="34" t="n"/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  <c r="AA85" s="34" t="n"/>
      <c r="AB85" s="34" t="n"/>
      <c r="AC85" s="34" t="n"/>
      <c r="AD85" s="34" t="n"/>
      <c r="AE85" s="34" t="n"/>
      <c r="AF85" s="34" t="n"/>
      <c r="AG85" s="34" t="n"/>
      <c r="AH85" s="34" t="n"/>
      <c r="AI85" s="34" t="n"/>
      <c r="AJ85" s="34" t="n"/>
      <c r="AK85" s="34" t="n"/>
      <c r="AL85" s="34" t="n"/>
      <c r="AM85" s="34" t="n"/>
      <c r="AN85" s="34" t="n"/>
      <c r="AO85" s="34" t="n"/>
      <c r="AP85" s="34" t="n"/>
      <c r="AQ85" s="34" t="n"/>
      <c r="AR85" s="34" t="n"/>
      <c r="AS85" s="34" t="n"/>
      <c r="AT85" s="34" t="n"/>
      <c r="AU85" s="34" t="n"/>
      <c r="AV85" s="34" t="n"/>
      <c r="AW85" s="34" t="n"/>
      <c r="AX85" s="34" t="n"/>
      <c r="AY85" s="34" t="n"/>
      <c r="AZ85" s="34" t="n"/>
      <c r="BA85" s="34" t="n"/>
      <c r="BB85" s="34" t="n"/>
      <c r="BC85" s="34" t="n"/>
      <c r="BD85" s="34" t="n"/>
      <c r="BE85" s="34" t="n"/>
      <c r="BF85" s="34" t="n"/>
      <c r="BG85" s="34" t="n"/>
      <c r="BH85" s="34" t="n"/>
      <c r="BI85" s="34" t="n"/>
      <c r="BJ85" s="34" t="n"/>
      <c r="BK85" s="34" t="n"/>
      <c r="BL85" s="34" t="n"/>
      <c r="BM85" s="34" t="n"/>
      <c r="BN85" s="34" t="n"/>
      <c r="BO85" s="34" t="n"/>
      <c r="BP85" s="34" t="n"/>
      <c r="BQ85" s="34" t="n"/>
      <c r="BR85" s="34" t="n"/>
      <c r="BS85" s="34" t="n"/>
      <c r="BT85" s="34" t="n"/>
      <c r="BU85" s="34" t="n"/>
      <c r="BV85" s="153" t="n"/>
      <c r="BW85" s="153" t="n"/>
      <c r="BX85" s="273">
        <f>$CN$20</f>
        <v>137500</v>
      </c>
      <c r="BY85" s="153" t="n"/>
      <c r="BZ85" s="153" t="n"/>
      <c r="CA85" s="153" t="n"/>
      <c r="CB85" s="153" t="n"/>
      <c r="CC85" s="153" t="n"/>
      <c r="CD85" s="153" t="n"/>
    </row>
    <row r="86" ht="15" customHeight="1" s="251">
      <c r="B86" s="156" t="inlineStr">
        <is>
          <t xml:space="preserve">    Model − guidance (information)</t>
        </is>
      </c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  <c r="AE86" s="44" t="n"/>
      <c r="AF86" s="44" t="n"/>
      <c r="AG86" s="44" t="n"/>
      <c r="AH86" s="44" t="n"/>
      <c r="AI86" s="44" t="n"/>
      <c r="AJ86" s="44" t="n"/>
      <c r="AK86" s="44" t="n"/>
      <c r="AL86" s="44" t="n"/>
      <c r="AM86" s="44" t="n"/>
      <c r="AN86" s="44" t="n"/>
      <c r="AO86" s="44" t="n"/>
      <c r="AP86" s="44" t="n"/>
      <c r="AQ86" s="44" t="n"/>
      <c r="AR86" s="44" t="n"/>
      <c r="AS86" s="44" t="n"/>
      <c r="AT86" s="44" t="n"/>
      <c r="AU86" s="44" t="n"/>
      <c r="AV86" s="44" t="n"/>
      <c r="AW86" s="44" t="n"/>
      <c r="AX86" s="44" t="n"/>
      <c r="AY86" s="44" t="n"/>
      <c r="AZ86" s="44" t="n"/>
      <c r="BA86" s="44" t="n"/>
      <c r="BB86" s="44" t="n"/>
      <c r="BC86" s="44" t="n"/>
      <c r="BD86" s="44" t="n"/>
      <c r="BE86" s="44" t="n"/>
      <c r="BF86" s="44" t="n"/>
      <c r="BG86" s="44" t="n"/>
      <c r="BH86" s="44" t="n"/>
      <c r="BI86" s="44" t="n"/>
      <c r="BJ86" s="44" t="n"/>
      <c r="BK86" s="44" t="n"/>
      <c r="BL86" s="44" t="n"/>
      <c r="BM86" s="44" t="n"/>
      <c r="BN86" s="44" t="n"/>
      <c r="BO86" s="44" t="n"/>
      <c r="BP86" s="44" t="n"/>
      <c r="BQ86" s="44" t="n"/>
      <c r="BR86" s="44" t="n"/>
      <c r="BS86" s="44" t="n"/>
      <c r="BT86" s="44" t="n"/>
      <c r="BU86" s="44" t="n"/>
      <c r="BV86" s="35" t="n"/>
      <c r="BW86" s="35" t="n"/>
      <c r="BX86" s="263">
        <f>BX246-BX85</f>
        <v>0</v>
      </c>
      <c r="BY86" s="35" t="n"/>
      <c r="BZ86" s="35" t="n"/>
      <c r="CA86" s="35" t="n"/>
      <c r="CB86" s="35" t="n"/>
      <c r="CC86" s="35" t="n"/>
      <c r="CD86" s="153" t="n"/>
    </row>
    <row r="87" ht="15" customHeight="1" s="251">
      <c r="CL87" s="11" t="n"/>
      <c r="CM87" s="12" t="n"/>
      <c r="CN87" s="12" t="n"/>
      <c r="CO87" s="12" t="n"/>
      <c r="CP87" s="13" t="n"/>
    </row>
    <row r="88" collapsed="1" ht="15" customHeight="1" s="251">
      <c r="B88" s="14" t="inlineStr">
        <is>
          <t>Cost drivers — D&amp;A (capex-driven), share-based compensation, other operating costs, one-off items; interest &amp; other</t>
        </is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  <c r="AH88" s="14" t="n"/>
      <c r="AI88" s="14" t="n"/>
      <c r="AJ88" s="14" t="n"/>
      <c r="AK88" s="14" t="n"/>
      <c r="AL88" s="14" t="n"/>
      <c r="AM88" s="14" t="n"/>
      <c r="AN88" s="14" t="n"/>
      <c r="AO88" s="14" t="n"/>
      <c r="AP88" s="14" t="n"/>
      <c r="AQ88" s="14" t="n"/>
      <c r="AR88" s="14" t="n"/>
      <c r="AS88" s="14" t="n"/>
      <c r="AT88" s="14" t="n"/>
      <c r="AU88" s="14" t="n"/>
      <c r="AV88" s="14" t="n"/>
      <c r="AW88" s="14" t="n"/>
      <c r="AX88" s="14" t="n"/>
      <c r="AY88" s="14" t="n"/>
      <c r="AZ88" s="14" t="n"/>
      <c r="BA88" s="14" t="n"/>
      <c r="BB88" s="14" t="n"/>
      <c r="BC88" s="14" t="n"/>
      <c r="BD88" s="14" t="n"/>
      <c r="BE88" s="14" t="n"/>
      <c r="BF88" s="14" t="n"/>
      <c r="BG88" s="14" t="n"/>
      <c r="BH88" s="14" t="n"/>
      <c r="BI88" s="14" t="n"/>
      <c r="BJ88" s="14" t="n"/>
      <c r="BK88" s="14" t="n"/>
      <c r="BL88" s="14" t="n"/>
      <c r="BM88" s="14" t="n"/>
      <c r="BN88" s="14" t="n"/>
      <c r="BO88" s="14" t="n"/>
      <c r="BP88" s="14" t="n"/>
      <c r="BQ88" s="14" t="n"/>
      <c r="BR88" s="14" t="n"/>
      <c r="BS88" s="14" t="n"/>
      <c r="BT88" s="14" t="n"/>
      <c r="BU88" s="14" t="n"/>
      <c r="BV88" s="14" t="n"/>
      <c r="BW88" s="14" t="n"/>
      <c r="BX88" s="14" t="n"/>
      <c r="BY88" s="14" t="n"/>
      <c r="BZ88" s="14" t="n"/>
      <c r="CA88" s="14" t="n"/>
      <c r="CB88" s="14" t="n"/>
      <c r="CC88" s="14" t="n"/>
      <c r="CD88" s="15" t="inlineStr">
        <is>
          <t>COST DRIVERS — total costs = D&amp;A + share-based compensation + other operating costs (cash) + company-quantified one-offs</t>
        </is>
      </c>
    </row>
    <row r="89" ht="15" customHeight="1" s="251">
      <c r="B89" s="25" t="inlineStr">
        <is>
          <t xml:space="preserve">  Depreciation &amp; amortization (cash-flow statement)</t>
        </is>
      </c>
      <c r="C89" s="261" t="n">
        <v>78</v>
      </c>
      <c r="D89" s="261" t="n">
        <v>139</v>
      </c>
      <c r="E89" s="261" t="n">
        <v>323</v>
      </c>
      <c r="F89" s="261" t="n">
        <v>649</v>
      </c>
      <c r="G89" s="261" t="n">
        <v>241</v>
      </c>
      <c r="H89" s="261" t="n">
        <v>230</v>
      </c>
      <c r="I89" s="261" t="n">
        <v>274</v>
      </c>
      <c r="J89" s="261" t="n">
        <v>274</v>
      </c>
      <c r="K89" s="261" t="n">
        <v>1011</v>
      </c>
      <c r="L89" s="261" t="n">
        <v>264</v>
      </c>
      <c r="M89" s="261" t="n">
        <v>257</v>
      </c>
      <c r="N89" s="261" t="n">
        <v>289</v>
      </c>
      <c r="O89" s="261" t="n">
        <v>433</v>
      </c>
      <c r="P89" s="261" t="n">
        <v>1243</v>
      </c>
      <c r="Q89" s="261" t="n">
        <v>457</v>
      </c>
      <c r="R89" s="261" t="n">
        <v>459</v>
      </c>
      <c r="S89" s="261" t="n">
        <v>486</v>
      </c>
      <c r="T89" s="261" t="n">
        <v>543</v>
      </c>
      <c r="U89" s="261" t="n">
        <v>1945</v>
      </c>
      <c r="V89" s="261" t="n">
        <v>552</v>
      </c>
      <c r="W89" s="261" t="n">
        <v>585</v>
      </c>
      <c r="X89" s="261" t="n">
        <v>591</v>
      </c>
      <c r="Y89" s="261" t="n">
        <v>614</v>
      </c>
      <c r="Z89" s="261" t="n">
        <v>2342</v>
      </c>
      <c r="AA89" s="261" t="n">
        <v>671</v>
      </c>
      <c r="AB89" s="261" t="n">
        <v>728</v>
      </c>
      <c r="AC89" s="261" t="n">
        <v>773</v>
      </c>
      <c r="AD89" s="261" t="n">
        <v>853</v>
      </c>
      <c r="AE89" s="261" t="n">
        <v>3025</v>
      </c>
      <c r="AF89" s="261" t="n">
        <v>949</v>
      </c>
      <c r="AG89" s="261" t="n">
        <v>1034</v>
      </c>
      <c r="AH89" s="261" t="n">
        <v>1107</v>
      </c>
      <c r="AI89" s="261" t="n">
        <v>1225</v>
      </c>
      <c r="AJ89" s="261" t="n">
        <v>4315</v>
      </c>
      <c r="AK89" s="261" t="n">
        <v>1355</v>
      </c>
      <c r="AL89" s="261" t="n">
        <v>1502</v>
      </c>
      <c r="AM89" s="261" t="n">
        <v>1416</v>
      </c>
      <c r="AN89" s="261" t="n">
        <v>1468</v>
      </c>
      <c r="AO89" s="261" t="n">
        <v>5741</v>
      </c>
      <c r="AP89" s="261" t="n">
        <v>1597</v>
      </c>
      <c r="AQ89" s="261" t="n">
        <v>1704</v>
      </c>
      <c r="AR89" s="261" t="n">
        <v>1698</v>
      </c>
      <c r="AS89" s="261" t="n">
        <v>1863</v>
      </c>
      <c r="AT89" s="261" t="n">
        <v>6862</v>
      </c>
      <c r="AU89" s="261" t="n">
        <v>1972</v>
      </c>
      <c r="AV89" s="261" t="n">
        <v>1985</v>
      </c>
      <c r="AW89" s="261" t="n">
        <v>1995</v>
      </c>
      <c r="AX89" s="261" t="n">
        <v>2014</v>
      </c>
      <c r="AY89" s="261" t="n">
        <v>7967</v>
      </c>
      <c r="AZ89" s="261" t="n">
        <v>2156</v>
      </c>
      <c r="BA89" s="261" t="n">
        <v>1979</v>
      </c>
      <c r="BB89" s="261" t="n">
        <v>2175</v>
      </c>
      <c r="BC89" s="261" t="n">
        <v>2376</v>
      </c>
      <c r="BD89" s="261" t="n">
        <v>8686</v>
      </c>
      <c r="BE89" s="261" t="n">
        <v>2524</v>
      </c>
      <c r="BF89" s="261" t="n">
        <v>2623</v>
      </c>
      <c r="BG89" s="261" t="n">
        <v>2858</v>
      </c>
      <c r="BH89" s="261" t="n">
        <v>3172</v>
      </c>
      <c r="BI89" s="261" t="n">
        <v>11178</v>
      </c>
      <c r="BJ89" s="261" t="n">
        <v>3374</v>
      </c>
      <c r="BK89" s="261" t="n">
        <v>3637</v>
      </c>
      <c r="BL89" s="261" t="n">
        <v>4027</v>
      </c>
      <c r="BM89" s="261" t="n">
        <v>4460</v>
      </c>
      <c r="BN89" s="261" t="n">
        <v>15498</v>
      </c>
      <c r="BO89" s="261" t="n">
        <v>3900</v>
      </c>
      <c r="BP89" s="261" t="n">
        <v>4342</v>
      </c>
      <c r="BQ89" s="261" t="n">
        <v>4963</v>
      </c>
      <c r="BR89" s="261" t="n">
        <v>5411</v>
      </c>
      <c r="BS89" s="261" t="n">
        <v>18616</v>
      </c>
      <c r="BT89" s="261" t="n">
        <v>5999</v>
      </c>
      <c r="BU89" s="261" t="n">
        <v>6356</v>
      </c>
      <c r="BV89" s="263">
        <f>BU89*(1+$CN$17)</f>
        <v>6800.92</v>
      </c>
      <c r="BW89" s="263">
        <f>BV89*(1+$CN$17)</f>
        <v>7276.9844</v>
      </c>
      <c r="BX89" s="263">
        <f>SUM(BT89:BW89)</f>
        <v>26432.9044</v>
      </c>
      <c r="BY89" s="263">
        <f>(BX280+0.5*BY246)*BY90+N(BY68)</f>
        <v>40661.1064874044</v>
      </c>
      <c r="BZ89" s="263">
        <f>(BY280+0.5*BZ246)*BZ90+N(BZ68)</f>
        <v>51572.4984178311</v>
      </c>
      <c r="CA89" s="263">
        <f>(BZ280+0.5*CA246)*CA90+N(CA68)</f>
        <v>63168.6910177044</v>
      </c>
      <c r="CB89" s="263">
        <f>(CA280+0.5*CB246)*CB90+N(CB68)</f>
        <v>70083.4636130835</v>
      </c>
      <c r="CC89" s="263">
        <f>(CB280+0.5*CC246)*CC90+N(CC68)</f>
        <v>75594.8464592438</v>
      </c>
      <c r="CD89" s="19" t="inlineStr">
        <is>
          <t>Q3/Q4-26E: prior quarter × (1 + q/q growth point estimate). 2027E+: (opening net PP&amp;E + ½ × capex incl. finance leases) × depreciation rate + acquired-intangible amortization.</t>
        </is>
      </c>
      <c r="CF89" s="20">
        <f>IFERROR((CC89/BX89)^(1/5)-1,"n/m")</f>
        <v>0.233870158456471</v>
      </c>
      <c r="CG89" s="20">
        <f>IFERROR((BS89/AT89)^(1/5)-1,"n/m")</f>
        <v>0.220919784380947</v>
      </c>
      <c r="CH89" s="20">
        <f>IFERROR((BS89/U89)^(1/10)-1,"n/m")</f>
        <v>0.253420162460505</v>
      </c>
      <c r="CI89" s="20">
        <f>IFERROR((BS89/C89)^(1/16)-1,"n/m")</f>
        <v>0.408030250722627</v>
      </c>
    </row>
    <row r="90" ht="15" customHeight="1" s="251">
      <c r="B90" s="25" t="inlineStr">
        <is>
          <t xml:space="preserve">  D&amp;A rate — D&amp;A ÷ (opening net PP&amp;E + ½ capex incl. finance leases) (annual)</t>
        </is>
      </c>
      <c r="C90" s="36" t="n"/>
      <c r="D90" s="36" t="n"/>
      <c r="E90" s="36" t="n"/>
      <c r="F90" s="215">
        <f>IFERROR(F89/(E280+0.5*F246),"")</f>
        <v>0.285212041309602</v>
      </c>
      <c r="G90" s="36" t="n"/>
      <c r="H90" s="36" t="n"/>
      <c r="I90" s="36" t="n"/>
      <c r="J90" s="36" t="n"/>
      <c r="K90" s="215">
        <f>IFERROR(K89/(F280+0.5*K246),"")</f>
        <v>0.309410864575363</v>
      </c>
      <c r="L90" s="36" t="n"/>
      <c r="M90" s="36" t="n"/>
      <c r="N90" s="36" t="n"/>
      <c r="O90" s="36" t="n"/>
      <c r="P90" s="215">
        <f>IFERROR(P89/(K280+0.5*P246),"")</f>
        <v>0.317172748150038</v>
      </c>
      <c r="Q90" s="36" t="n"/>
      <c r="R90" s="36" t="n"/>
      <c r="S90" s="36" t="n"/>
      <c r="T90" s="36" t="n"/>
      <c r="U90" s="215">
        <f>IFERROR(U89/(P280+0.5*U246),"")</f>
        <v>0.367813918305598</v>
      </c>
      <c r="V90" s="36" t="n"/>
      <c r="W90" s="36" t="n"/>
      <c r="X90" s="36" t="n"/>
      <c r="Y90" s="36" t="n"/>
      <c r="Z90" s="215">
        <f>IFERROR(Z89/(U280+0.5*Z246),"")</f>
        <v>0.289546887556407</v>
      </c>
      <c r="AA90" s="36" t="n"/>
      <c r="AB90" s="36" t="n"/>
      <c r="AC90" s="36" t="n"/>
      <c r="AD90" s="36" t="n"/>
      <c r="AE90" s="215">
        <f>IFERROR(AE89/(Z280+0.5*AE246),"")</f>
        <v>0.252979301693498</v>
      </c>
      <c r="AF90" s="36" t="n"/>
      <c r="AG90" s="36" t="n"/>
      <c r="AH90" s="36" t="n"/>
      <c r="AI90" s="36" t="n"/>
      <c r="AJ90" s="215">
        <f>IFERROR(AJ89/(AE280+0.5*AJ246),"")</f>
        <v>0.208670841695481</v>
      </c>
      <c r="AK90" s="36" t="n"/>
      <c r="AL90" s="36" t="n"/>
      <c r="AM90" s="36" t="n"/>
      <c r="AN90" s="36" t="n"/>
      <c r="AO90" s="215">
        <f>IFERROR(AO89/(AJ280+0.5*AO246),"")</f>
        <v>0.176591817902184</v>
      </c>
      <c r="AP90" s="36" t="n"/>
      <c r="AQ90" s="36" t="n"/>
      <c r="AR90" s="36" t="n"/>
      <c r="AS90" s="36" t="n"/>
      <c r="AT90" s="215">
        <f>IFERROR(AT89/(AO280+0.5*AT246),"")</f>
        <v>0.158906964626874</v>
      </c>
      <c r="AU90" s="36" t="n"/>
      <c r="AV90" s="36" t="n"/>
      <c r="AW90" s="36" t="n"/>
      <c r="AX90" s="36" t="n"/>
      <c r="AY90" s="215">
        <f>IFERROR(AY89/(AT280+0.5*AY246),"")</f>
        <v>0.144186046511628</v>
      </c>
      <c r="AZ90" s="36" t="n"/>
      <c r="BA90" s="36" t="n"/>
      <c r="BB90" s="36" t="n"/>
      <c r="BC90" s="36" t="n"/>
      <c r="BD90" s="215">
        <f>IFERROR(BD89/(AY280+0.5*BD246),"")</f>
        <v>0.117653433025858</v>
      </c>
      <c r="BE90" s="36" t="n"/>
      <c r="BF90" s="36" t="n"/>
      <c r="BG90" s="36" t="n"/>
      <c r="BH90" s="36" t="n"/>
      <c r="BI90" s="215">
        <f>IFERROR(BI89/(BD280+0.5*BI246),"")</f>
        <v>0.119462004178712</v>
      </c>
      <c r="BJ90" s="36" t="n"/>
      <c r="BK90" s="36" t="n"/>
      <c r="BL90" s="36" t="n"/>
      <c r="BM90" s="36" t="n"/>
      <c r="BN90" s="215">
        <f>IFERROR(BN89/(BI280+0.5*BN246),"")</f>
        <v>0.133374067874647</v>
      </c>
      <c r="BO90" s="36" t="n"/>
      <c r="BP90" s="36" t="n"/>
      <c r="BQ90" s="36" t="n"/>
      <c r="BR90" s="36" t="n"/>
      <c r="BS90" s="215">
        <f>IFERROR(BS89/(BN280+0.5*BS246),"")</f>
        <v>0.118231731908151</v>
      </c>
      <c r="BT90" s="36" t="n"/>
      <c r="BU90" s="36" t="n"/>
      <c r="BV90" s="24" t="n"/>
      <c r="BW90" s="24" t="n"/>
      <c r="BX90" s="24" t="n"/>
      <c r="BY90" s="270" t="n">
        <v>0.11</v>
      </c>
      <c r="BZ90" s="270" t="n">
        <v>0.11</v>
      </c>
      <c r="CA90" s="270" t="n">
        <v>0.115</v>
      </c>
      <c r="CB90" s="270" t="n">
        <v>0.115</v>
      </c>
      <c r="CC90" s="270" t="n">
        <v>0.115</v>
      </c>
      <c r="CD90" s="153" t="inlineStr">
        <is>
          <t>FY2025 11.8% (D&amp;A $18.6bn on opening net PP&amp;E $121.3bn + ½ × $72.2bn capex incl. finance leases); servers depreciated over 5.5 years from 2025, buildings and network over longer lives; 2026E implied ~10.8%. 2027E+ input (assumption).</t>
        </is>
      </c>
    </row>
    <row r="91" ht="15" customHeight="1" s="251">
      <c r="B91" s="25" t="inlineStr">
        <is>
          <t xml:space="preserve">  Share-based compensation (cash-flow statement)</t>
        </is>
      </c>
      <c r="C91" s="261" t="n">
        <v>27</v>
      </c>
      <c r="D91" s="261" t="n">
        <v>20</v>
      </c>
      <c r="E91" s="261" t="n">
        <v>217</v>
      </c>
      <c r="F91" s="261" t="n">
        <v>1572</v>
      </c>
      <c r="G91" s="261" t="n">
        <v>170</v>
      </c>
      <c r="H91" s="261" t="n">
        <v>224</v>
      </c>
      <c r="I91" s="261" t="n">
        <v>239</v>
      </c>
      <c r="J91" s="261" t="n">
        <v>273</v>
      </c>
      <c r="K91" s="261" t="n">
        <v>906</v>
      </c>
      <c r="L91" s="261" t="n">
        <v>274</v>
      </c>
      <c r="M91" s="261" t="n">
        <v>314</v>
      </c>
      <c r="N91" s="261" t="n">
        <v>353</v>
      </c>
      <c r="O91" s="261" t="n">
        <v>845</v>
      </c>
      <c r="P91" s="261" t="n">
        <v>1786</v>
      </c>
      <c r="Q91" s="261" t="n">
        <v>694</v>
      </c>
      <c r="R91" s="261" t="n">
        <v>763</v>
      </c>
      <c r="S91" s="261" t="n">
        <v>757</v>
      </c>
      <c r="T91" s="261" t="n">
        <v>746</v>
      </c>
      <c r="U91" s="261" t="n">
        <v>2960</v>
      </c>
      <c r="V91" s="261" t="n">
        <v>747</v>
      </c>
      <c r="W91" s="261" t="n">
        <v>805</v>
      </c>
      <c r="X91" s="261" t="n">
        <v>819</v>
      </c>
      <c r="Y91" s="261" t="n">
        <v>831</v>
      </c>
      <c r="Z91" s="261" t="n">
        <v>3218</v>
      </c>
      <c r="AA91" s="261" t="n">
        <v>867</v>
      </c>
      <c r="AB91" s="261" t="n">
        <v>1032</v>
      </c>
      <c r="AC91" s="261" t="n">
        <v>1010</v>
      </c>
      <c r="AD91" s="261" t="n">
        <v>814</v>
      </c>
      <c r="AE91" s="261" t="n">
        <v>3723</v>
      </c>
      <c r="AF91" s="261" t="n">
        <v>955</v>
      </c>
      <c r="AG91" s="261" t="n">
        <v>1186</v>
      </c>
      <c r="AH91" s="261" t="n">
        <v>1040</v>
      </c>
      <c r="AI91" s="261" t="n">
        <v>971</v>
      </c>
      <c r="AJ91" s="261" t="n">
        <v>4152</v>
      </c>
      <c r="AK91" s="261" t="n">
        <v>1010</v>
      </c>
      <c r="AL91" s="261" t="n">
        <v>1303</v>
      </c>
      <c r="AM91" s="261" t="n">
        <v>1249</v>
      </c>
      <c r="AN91" s="261" t="n">
        <v>1273</v>
      </c>
      <c r="AO91" s="261" t="n">
        <v>4836</v>
      </c>
      <c r="AP91" s="261" t="n">
        <v>1335</v>
      </c>
      <c r="AQ91" s="261" t="n">
        <v>1695</v>
      </c>
      <c r="AR91" s="261" t="n">
        <v>1722</v>
      </c>
      <c r="AS91" s="261" t="n">
        <v>1784</v>
      </c>
      <c r="AT91" s="261" t="n">
        <v>6536</v>
      </c>
      <c r="AU91" s="261" t="n">
        <v>1830</v>
      </c>
      <c r="AV91" s="261" t="n">
        <v>2548</v>
      </c>
      <c r="AW91" s="261" t="n">
        <v>2379</v>
      </c>
      <c r="AX91" s="261" t="n">
        <v>2406</v>
      </c>
      <c r="AY91" s="261" t="n">
        <v>9164</v>
      </c>
      <c r="AZ91" s="261" t="n">
        <v>2498</v>
      </c>
      <c r="BA91" s="261" t="n">
        <v>3351</v>
      </c>
      <c r="BB91" s="261" t="n">
        <v>3134</v>
      </c>
      <c r="BC91" s="261" t="n">
        <v>3008</v>
      </c>
      <c r="BD91" s="261" t="n">
        <v>11992</v>
      </c>
      <c r="BE91" s="261" t="n">
        <v>3051</v>
      </c>
      <c r="BF91" s="261" t="n">
        <v>4060</v>
      </c>
      <c r="BG91" s="261" t="n">
        <v>3492</v>
      </c>
      <c r="BH91" s="261" t="n">
        <v>3424</v>
      </c>
      <c r="BI91" s="261" t="n">
        <v>14027</v>
      </c>
      <c r="BJ91" s="261" t="n">
        <v>3562</v>
      </c>
      <c r="BK91" s="261" t="n">
        <v>4616</v>
      </c>
      <c r="BL91" s="261" t="n">
        <v>4250</v>
      </c>
      <c r="BM91" s="261" t="n">
        <v>4262</v>
      </c>
      <c r="BN91" s="261" t="n">
        <v>16690</v>
      </c>
      <c r="BO91" s="261" t="n">
        <v>4147</v>
      </c>
      <c r="BP91" s="261" t="n">
        <v>4834</v>
      </c>
      <c r="BQ91" s="261" t="n">
        <v>5555</v>
      </c>
      <c r="BR91" s="261" t="n">
        <v>5890</v>
      </c>
      <c r="BS91" s="261" t="n">
        <v>20427</v>
      </c>
      <c r="BT91" s="261" t="n">
        <v>6032</v>
      </c>
      <c r="BU91" s="261" t="n">
        <v>7658</v>
      </c>
      <c r="BV91" s="263">
        <f>$CN$18</f>
        <v>7658</v>
      </c>
      <c r="BW91" s="263">
        <f>$CN$18</f>
        <v>7658</v>
      </c>
      <c r="BX91" s="263">
        <f>SUM(BT91:BW91)</f>
        <v>29006</v>
      </c>
      <c r="BY91" s="263">
        <f>BY109*BY92</f>
        <v>34595.5271427474</v>
      </c>
      <c r="BZ91" s="263">
        <f>BZ109*BZ92</f>
        <v>38317.6193296668</v>
      </c>
      <c r="CA91" s="263">
        <f>CA109*CA92</f>
        <v>43545.4174770971</v>
      </c>
      <c r="CB91" s="263">
        <f>CB109*CB92</f>
        <v>46343.6996566264</v>
      </c>
      <c r="CC91" s="263">
        <f>CC109*CC92</f>
        <v>51149.4583824763</v>
      </c>
      <c r="CD91" s="19" t="inlineStr">
        <is>
          <t>Q3/Q4-26E: point estimate (Q2/26 level). 2027E+: % of revenue.</t>
        </is>
      </c>
      <c r="CF91" s="20">
        <f>IFERROR((CC91/BX91)^(1/5)-1,"n/m")</f>
        <v>0.120135701117002</v>
      </c>
      <c r="CG91" s="20">
        <f>IFERROR((BS91/AT91)^(1/5)-1,"n/m")</f>
        <v>0.255967810986638</v>
      </c>
      <c r="CH91" s="20">
        <f>IFERROR((BS91/U91)^(1/10)-1,"n/m")</f>
        <v>0.213085154037856</v>
      </c>
      <c r="CI91" s="20">
        <f>IFERROR((BS91/C91)^(1/16)-1,"n/m")</f>
        <v>0.513308779130225</v>
      </c>
    </row>
    <row r="92" ht="15" customHeight="1" s="251">
      <c r="B92" s="25" t="inlineStr">
        <is>
          <t xml:space="preserve">  Share-based compensation % of revenue</t>
        </is>
      </c>
      <c r="C92" s="215">
        <f>IF(AND(ISNUMBER(C91),ISNUMBER(C109)),IFERROR(C91/C109,""),"")</f>
        <v>0.0347490347490348</v>
      </c>
      <c r="D92" s="215">
        <f>IF(AND(ISNUMBER(D91),ISNUMBER(D109)),IFERROR(D91/D109,""),"")</f>
        <v>0.0101317122593718</v>
      </c>
      <c r="E92" s="215">
        <f>IF(AND(ISNUMBER(E91),ISNUMBER(E109)),IFERROR(E91/E109,""),"")</f>
        <v>0.0584748046348693</v>
      </c>
      <c r="F92" s="215">
        <f>IF(AND(ISNUMBER(F91),ISNUMBER(F109)),IFERROR(F91/F109,""),"")</f>
        <v>0.308901552367852</v>
      </c>
      <c r="G92" s="215">
        <f>IF(AND(ISNUMBER(G91),ISNUMBER(G109)),IFERROR(G91/G109,""),"")</f>
        <v>0.116598079561043</v>
      </c>
      <c r="H92" s="215">
        <f>IF(AND(ISNUMBER(H91),ISNUMBER(H109)),IFERROR(H91/H109,""),"")</f>
        <v>0.123552123552124</v>
      </c>
      <c r="I92" s="215">
        <f>IF(AND(ISNUMBER(I91),ISNUMBER(I109)),IFERROR(I91/I109,""),"")</f>
        <v>0.118551587301587</v>
      </c>
      <c r="J92" s="215">
        <f>IF(AND(ISNUMBER(J91),ISNUMBER(J109)),IFERROR(J91/J109,""),"")</f>
        <v>0.105609284332689</v>
      </c>
      <c r="K92" s="215">
        <f>IF(AND(ISNUMBER(K91),ISNUMBER(K109)),IFERROR(K91/K109,""),"")</f>
        <v>0.115091463414634</v>
      </c>
      <c r="L92" s="215">
        <f>IF(AND(ISNUMBER(L91),ISNUMBER(L109)),IFERROR(L91/L109,""),"")</f>
        <v>0.10951239008793</v>
      </c>
      <c r="M92" s="215">
        <f>IF(AND(ISNUMBER(M91),ISNUMBER(M109)),IFERROR(M91/M109,""),"")</f>
        <v>0.107903780068729</v>
      </c>
      <c r="N92" s="215">
        <f>IF(AND(ISNUMBER(N91),ISNUMBER(N109)),IFERROR(N91/N109,""),"")</f>
        <v>0.110209178894786</v>
      </c>
      <c r="O92" s="215">
        <f>IF(AND(ISNUMBER(O91),ISNUMBER(O109)),IFERROR(O91/O109,""),"")</f>
        <v>0.21942352635679</v>
      </c>
      <c r="P92" s="215">
        <f>IF(AND(ISNUMBER(P91),ISNUMBER(P109)),IFERROR(P91/P109,""),"")</f>
        <v>0.143269693566501</v>
      </c>
      <c r="Q92" s="215">
        <f>IF(AND(ISNUMBER(Q91),ISNUMBER(Q109)),IFERROR(Q91/Q109,""),"")</f>
        <v>0.195879198419419</v>
      </c>
      <c r="R92" s="215">
        <f>IF(AND(ISNUMBER(R91),ISNUMBER(R109)),IFERROR(R91/R109,""),"")</f>
        <v>0.188767936665017</v>
      </c>
      <c r="S92" s="215">
        <f>IF(AND(ISNUMBER(S91),ISNUMBER(S109)),IFERROR(S91/S109,""),"")</f>
        <v>0.168184847811597</v>
      </c>
      <c r="T92" s="215">
        <f>IF(AND(ISNUMBER(T91),ISNUMBER(T109)),IFERROR(T91/T109,""),"")</f>
        <v>0.127717856531416</v>
      </c>
      <c r="U92" s="215">
        <f>IF(AND(ISNUMBER(U91),ISNUMBER(U109)),IFERROR(U91/U109,""),"")</f>
        <v>0.165104863900045</v>
      </c>
      <c r="V92" s="215">
        <f>IF(AND(ISNUMBER(V91),ISNUMBER(V109)),IFERROR(V91/V109,""),"")</f>
        <v>0.138795986622074</v>
      </c>
      <c r="W92" s="215">
        <f>IF(AND(ISNUMBER(W91),ISNUMBER(W109)),IFERROR(W91/W109,""),"")</f>
        <v>0.125077688004972</v>
      </c>
      <c r="X92" s="215">
        <f>IF(AND(ISNUMBER(X91),ISNUMBER(X109)),IFERROR(X91/X109,""),"")</f>
        <v>0.116816431322208</v>
      </c>
      <c r="Y92" s="215">
        <f>IF(AND(ISNUMBER(Y91),ISNUMBER(Y109)),IFERROR(Y91/Y109,""),"")</f>
        <v>0.0943353388579862</v>
      </c>
      <c r="Z92" s="215">
        <f>IF(AND(ISNUMBER(Z91),ISNUMBER(Z109)),IFERROR(Z91/Z109,""),"")</f>
        <v>0.116433895361459</v>
      </c>
      <c r="AA92" s="215">
        <f>IF(AND(ISNUMBER(AA91),ISNUMBER(AA109)),IFERROR(AA91/AA109,""),"")</f>
        <v>0.107943227091633</v>
      </c>
      <c r="AB92" s="215">
        <f>IF(AND(ISNUMBER(AB91),ISNUMBER(AB109)),IFERROR(AB91/AB109,""),"")</f>
        <v>0.110717734148697</v>
      </c>
      <c r="AC92" s="215">
        <f>IF(AND(ISNUMBER(AC91),ISNUMBER(AC109)),IFERROR(AC91/AC109,""),"")</f>
        <v>0.0977924089852827</v>
      </c>
      <c r="AD92" s="215">
        <f>IF(AND(ISNUMBER(AD91),ISNUMBER(AD109)),IFERROR(AD91/AD109,""),"")</f>
        <v>0.0627505396238051</v>
      </c>
      <c r="AE92" s="215">
        <f>IF(AND(ISNUMBER(AE91),ISNUMBER(AE109)),IFERROR(AE91/AE109,""),"")</f>
        <v>0.0915799571987307</v>
      </c>
      <c r="AF92" s="215">
        <f>IF(AND(ISNUMBER(AF91),ISNUMBER(AF109)),IFERROR(AF91/AF109,""),"")</f>
        <v>0.079809460137055</v>
      </c>
      <c r="AG92" s="215">
        <f>IF(AND(ISNUMBER(AG91),ISNUMBER(AG109)),IFERROR(AG91/AG109,""),"")</f>
        <v>0.0896379714307309</v>
      </c>
      <c r="AH92" s="215">
        <f>IF(AND(ISNUMBER(AH91),ISNUMBER(AH109)),IFERROR(AH91/AH109,""),"")</f>
        <v>0.0757630946310192</v>
      </c>
      <c r="AI92" s="215">
        <f>IF(AND(ISNUMBER(AI91),ISNUMBER(AI109)),IFERROR(AI91/AI109,""),"")</f>
        <v>0.0574080643254109</v>
      </c>
      <c r="AJ92" s="215">
        <f>IF(AND(ISNUMBER(AJ91),ISNUMBER(AJ109)),IFERROR(AJ91/AJ109,""),"")</f>
        <v>0.0743579641104624</v>
      </c>
      <c r="AK92" s="215">
        <f>IF(AND(ISNUMBER(AK91),ISNUMBER(AK109)),IFERROR(AK91/AK109,""),"")</f>
        <v>0.0669894541354381</v>
      </c>
      <c r="AL92" s="215">
        <f>IF(AND(ISNUMBER(AL91),ISNUMBER(AL109)),IFERROR(AL91/AL109,""),"")</f>
        <v>0.077164514982826</v>
      </c>
      <c r="AM92" s="215">
        <f>IF(AND(ISNUMBER(AM91),ISNUMBER(AM109)),IFERROR(AM91/AM109,""),"")</f>
        <v>0.0707568547473374</v>
      </c>
      <c r="AN92" s="215">
        <f>IF(AND(ISNUMBER(AN91),ISNUMBER(AN109)),IFERROR(AN91/AN109,""),"")</f>
        <v>0.0603832653448439</v>
      </c>
      <c r="AO92" s="215">
        <f>IF(AND(ISNUMBER(AO91),ISNUMBER(AO109)),IFERROR(AO91/AO109,""),"")</f>
        <v>0.0684045999123018</v>
      </c>
      <c r="AP92" s="215">
        <f>IF(AND(ISNUMBER(AP91),ISNUMBER(AP109)),IFERROR(AP91/AP109,""),"")</f>
        <v>0.075266392287309</v>
      </c>
      <c r="AQ92" s="215">
        <f>IF(AND(ISNUMBER(AQ91),ISNUMBER(AQ109)),IFERROR(AQ91/AQ109,""),"")</f>
        <v>0.090704768020549</v>
      </c>
      <c r="AR92" s="215">
        <f>IF(AND(ISNUMBER(AR91),ISNUMBER(AR109)),IFERROR(AR91/AR109,""),"")</f>
        <v>0.080204937121565</v>
      </c>
      <c r="AS92" s="215">
        <f>IF(AND(ISNUMBER(AS91),ISNUMBER(AS109)),IFERROR(AS91/AS109,""),"")</f>
        <v>0.0635508691935024</v>
      </c>
      <c r="AT92" s="215">
        <f>IF(AND(ISNUMBER(AT91),ISNUMBER(AT109)),IFERROR(AT91/AT109,""),"")</f>
        <v>0.0760309428255686</v>
      </c>
      <c r="AU92" s="215">
        <f>IF(AND(ISNUMBER(AU91),ISNUMBER(AU109)),IFERROR(AU91/AU109,""),"")</f>
        <v>0.0699247258415804</v>
      </c>
      <c r="AV92" s="215">
        <f>IF(AND(ISNUMBER(AV91),ISNUMBER(AV109)),IFERROR(AV91/AV109,""),"")</f>
        <v>0.0876293978058259</v>
      </c>
      <c r="AW92" s="215">
        <f>IF(AND(ISNUMBER(AW91),ISNUMBER(AW109)),IFERROR(AW91/AW109,""),"")</f>
        <v>0.0820062047569804</v>
      </c>
      <c r="AX92" s="215">
        <f>IF(AND(ISNUMBER(AX91),ISNUMBER(AX109)),IFERROR(AX91/AX109,""),"")</f>
        <v>0.0714561492085177</v>
      </c>
      <c r="AY92" s="215">
        <f>IF(AND(ISNUMBER(AY91),ISNUMBER(AY109)),IFERROR(AY91/AY109,""),"")</f>
        <v>0.0777077733212357</v>
      </c>
      <c r="AZ92" s="215">
        <f>IF(AND(ISNUMBER(AZ91),ISNUMBER(AZ109)),IFERROR(AZ91/AZ109,""),"")</f>
        <v>0.0895083846925613</v>
      </c>
      <c r="BA92" s="215">
        <f>IF(AND(ISNUMBER(BA91),ISNUMBER(BA109)),IFERROR(BA91/BA109,""),"")</f>
        <v>0.116265352855458</v>
      </c>
      <c r="BB92" s="215">
        <f>IF(AND(ISNUMBER(BB91),ISNUMBER(BB109)),IFERROR(BB91/BB109,""),"")</f>
        <v>0.113083640037526</v>
      </c>
      <c r="BC92" s="215">
        <f>IF(AND(ISNUMBER(BC91),ISNUMBER(BC109)),IFERROR(BC91/BC109,""),"")</f>
        <v>0.0935177988496813</v>
      </c>
      <c r="BD92" s="215">
        <f>IF(AND(ISNUMBER(BD91),ISNUMBER(BD109)),IFERROR(BD91/BD109,""),"")</f>
        <v>0.102839403476576</v>
      </c>
      <c r="BE92" s="215">
        <f>IF(AND(ISNUMBER(BE91),ISNUMBER(BE109)),IFERROR(BE91/BE109,""),"")</f>
        <v>0.106510734857741</v>
      </c>
      <c r="BF92" s="215">
        <f>IF(AND(ISNUMBER(BF91),ISNUMBER(BF109)),IFERROR(BF91/BF109,""),"")</f>
        <v>0.126878964967655</v>
      </c>
      <c r="BG92" s="215">
        <f>IF(AND(ISNUMBER(BG91),ISNUMBER(BG109)),IFERROR(BG91/BG109,""),"")</f>
        <v>0.102266736953084</v>
      </c>
      <c r="BH92" s="215">
        <f>IF(AND(ISNUMBER(BH91),ISNUMBER(BH109)),IFERROR(BH91/BH109,""),"")</f>
        <v>0.0853631173493555</v>
      </c>
      <c r="BI92" s="215">
        <f>IF(AND(ISNUMBER(BI91),ISNUMBER(BI109)),IFERROR(BI91/BI109,""),"")</f>
        <v>0.103979184889772</v>
      </c>
      <c r="BJ92" s="215">
        <f>IF(AND(ISNUMBER(BJ91),ISNUMBER(BJ109)),IFERROR(BJ91/BJ109,""),"")</f>
        <v>0.0977095048690166</v>
      </c>
      <c r="BK92" s="215">
        <f>IF(AND(ISNUMBER(BK91),ISNUMBER(BK109)),IFERROR(BK91/BK109,""),"")</f>
        <v>0.118143891889125</v>
      </c>
      <c r="BL92" s="215">
        <f>IF(AND(ISNUMBER(BL91),ISNUMBER(BL109)),IFERROR(BL91/BL109,""),"")</f>
        <v>0.104708172164872</v>
      </c>
      <c r="BM92" s="215">
        <f>IF(AND(ISNUMBER(BM91),ISNUMBER(BM109)),IFERROR(BM91/BM109,""),"")</f>
        <v>0.0880851503565154</v>
      </c>
      <c r="BN92" s="215">
        <f>IF(AND(ISNUMBER(BN91),ISNUMBER(BN109)),IFERROR(BN91/BN109,""),"")</f>
        <v>0.101458349797266</v>
      </c>
      <c r="BO92" s="215">
        <f>IF(AND(ISNUMBER(BO91),ISNUMBER(BO109)),IFERROR(BO91/BO109,""),"")</f>
        <v>0.0980053882875644</v>
      </c>
      <c r="BP92" s="215">
        <f>IF(AND(ISNUMBER(BP91),ISNUMBER(BP109)),IFERROR(BP91/BP109,""),"")</f>
        <v>0.101734152706457</v>
      </c>
      <c r="BQ92" s="215">
        <f>IF(AND(ISNUMBER(BQ91),ISNUMBER(BQ109)),IFERROR(BQ91/BQ109,""),"")</f>
        <v>0.108407165996643</v>
      </c>
      <c r="BR92" s="215">
        <f>IF(AND(ISNUMBER(BR91),ISNUMBER(BR109)),IFERROR(BR91/BR109,""),"")</f>
        <v>0.0983420433105705</v>
      </c>
      <c r="BS92" s="215">
        <f>IF(AND(ISNUMBER(BS91),ISNUMBER(BS109)),IFERROR(BS91/BS109,""),"")</f>
        <v>0.101644059194093</v>
      </c>
      <c r="BT92" s="215">
        <f>IF(AND(ISNUMBER(BT91),ISNUMBER(BT109)),IFERROR(BT91/BT109,""),"")</f>
        <v>0.107119390527606</v>
      </c>
      <c r="BU92" s="215">
        <f>IF(AND(ISNUMBER(BU91),ISNUMBER(BU109)),IFERROR(BU91/BU109,""),"")</f>
        <v>0.125951875791517</v>
      </c>
      <c r="BV92" s="256">
        <f>IF(AND(ISNUMBER(BV91),ISNUMBER(BV109)),IFERROR(BV91/BV109,""),"")</f>
        <v>0.122528</v>
      </c>
      <c r="BW92" s="256">
        <f>IF(AND(ISNUMBER(BW91),ISNUMBER(BW109)),IFERROR(BW91/BW109,""),"")</f>
        <v>0.10492076535643</v>
      </c>
      <c r="BX92" s="256">
        <f>IF(AND(ISNUMBER(BX91),ISNUMBER(BX109)),IFERROR(BX91/BX109,""),"")</f>
        <v>0.114829583309769</v>
      </c>
      <c r="BY92" s="270" t="n">
        <v>0.115</v>
      </c>
      <c r="BZ92" s="270" t="n">
        <v>0.11</v>
      </c>
      <c r="CA92" s="270" t="n">
        <v>0.11</v>
      </c>
      <c r="CB92" s="270" t="n">
        <v>0.105</v>
      </c>
      <c r="CC92" s="270" t="n">
        <v>0.105</v>
      </c>
      <c r="CD92" s="153" t="n"/>
      <c r="CF92" s="37">
        <f>IFERROR(AVERAGE(BY92,BZ92,CA92,CB92,CC92),"n/m")</f>
        <v>0.109</v>
      </c>
      <c r="CG92" s="37">
        <f>IFERROR(AVERAGE(AY92,BD92,BI92,BN92,BS92),"n/m")</f>
        <v>0.0975257541357883</v>
      </c>
      <c r="CH92" s="37">
        <f>IFERROR(AVERAGE(Z92,AE92,AJ92,AO92,AT92,AY92,BD92,BI92,BN92,BS92),"n/m")</f>
        <v>0.0914436130087464</v>
      </c>
      <c r="CI92" s="37">
        <f>IFERROR(AVERAGE(C92,D92,E92,F92,K92,P92,U92,Z92,AE92,AJ92,AO92,AT92,AY92,BD92,BI92,BN92,BS92),"n/m")</f>
        <v>0.102950544410575</v>
      </c>
    </row>
    <row r="93" ht="15" customHeight="1" s="251">
      <c r="B93" s="25" t="inlineStr">
        <is>
          <t xml:space="preserve">  One-off: legal accruals and settlements (company-quantified; G&amp;A)</t>
        </is>
      </c>
      <c r="C93" s="261" t="n">
        <v>0</v>
      </c>
      <c r="D93" s="261" t="n">
        <v>0</v>
      </c>
      <c r="E93" s="261" t="n">
        <v>0</v>
      </c>
      <c r="F93" s="261" t="n">
        <v>0</v>
      </c>
      <c r="G93" s="261" t="n">
        <v>0</v>
      </c>
      <c r="H93" s="261" t="n">
        <v>0</v>
      </c>
      <c r="I93" s="261" t="n">
        <v>0</v>
      </c>
      <c r="J93" s="261" t="n">
        <v>0</v>
      </c>
      <c r="K93" s="261" t="n">
        <v>0</v>
      </c>
      <c r="L93" s="261" t="n">
        <v>0</v>
      </c>
      <c r="M93" s="261" t="n">
        <v>0</v>
      </c>
      <c r="N93" s="261" t="n">
        <v>0</v>
      </c>
      <c r="O93" s="261" t="n">
        <v>0</v>
      </c>
      <c r="P93" s="261" t="n">
        <v>0</v>
      </c>
      <c r="Q93" s="261" t="n">
        <v>0</v>
      </c>
      <c r="R93" s="261" t="n">
        <v>0</v>
      </c>
      <c r="S93" s="261" t="n">
        <v>0</v>
      </c>
      <c r="T93" s="261" t="n">
        <v>0</v>
      </c>
      <c r="U93" s="261" t="n">
        <v>0</v>
      </c>
      <c r="V93" s="261" t="n">
        <v>0</v>
      </c>
      <c r="W93" s="261" t="n">
        <v>0</v>
      </c>
      <c r="X93" s="261" t="n">
        <v>0</v>
      </c>
      <c r="Y93" s="261" t="n">
        <v>0</v>
      </c>
      <c r="Z93" s="261" t="n">
        <v>0</v>
      </c>
      <c r="AA93" s="261" t="n">
        <v>0</v>
      </c>
      <c r="AB93" s="261" t="n">
        <v>0</v>
      </c>
      <c r="AC93" s="261" t="n">
        <v>0</v>
      </c>
      <c r="AD93" s="261" t="n">
        <v>0</v>
      </c>
      <c r="AE93" s="261" t="n">
        <v>0</v>
      </c>
      <c r="AF93" s="261" t="n">
        <v>0</v>
      </c>
      <c r="AG93" s="261" t="n">
        <v>0</v>
      </c>
      <c r="AH93" s="261" t="n">
        <v>0</v>
      </c>
      <c r="AI93" s="261" t="n">
        <v>0</v>
      </c>
      <c r="AJ93" s="261" t="n">
        <v>0</v>
      </c>
      <c r="AK93" s="261" t="n">
        <v>3000</v>
      </c>
      <c r="AL93" s="261" t="n">
        <v>2000</v>
      </c>
      <c r="AM93" s="261" t="n">
        <v>0</v>
      </c>
      <c r="AN93" s="261" t="n">
        <v>0</v>
      </c>
      <c r="AO93" s="261" t="n">
        <v>5000</v>
      </c>
      <c r="AP93" s="261" t="n">
        <v>0</v>
      </c>
      <c r="AQ93" s="261" t="n">
        <v>0</v>
      </c>
      <c r="AR93" s="261" t="n">
        <v>0</v>
      </c>
      <c r="AS93" s="261" t="n">
        <v>0</v>
      </c>
      <c r="AT93" s="261" t="n">
        <v>0</v>
      </c>
      <c r="AU93" s="261" t="n">
        <v>0</v>
      </c>
      <c r="AV93" s="261" t="n">
        <v>0</v>
      </c>
      <c r="AW93" s="261" t="n">
        <v>0</v>
      </c>
      <c r="AX93" s="261" t="n">
        <v>0</v>
      </c>
      <c r="AY93" s="261" t="n">
        <v>0</v>
      </c>
      <c r="AZ93" s="261" t="n">
        <v>0</v>
      </c>
      <c r="BA93" s="261" t="n">
        <v>0</v>
      </c>
      <c r="BB93" s="261" t="n">
        <v>0</v>
      </c>
      <c r="BC93" s="261" t="n">
        <v>0</v>
      </c>
      <c r="BD93" s="261" t="n">
        <v>0</v>
      </c>
      <c r="BE93" s="261" t="n">
        <v>0</v>
      </c>
      <c r="BF93" s="261" t="n">
        <v>1870</v>
      </c>
      <c r="BG93" s="261" t="n">
        <v>0</v>
      </c>
      <c r="BH93" s="261" t="n">
        <v>0</v>
      </c>
      <c r="BI93" s="261" t="n">
        <v>1870</v>
      </c>
      <c r="BJ93" s="261" t="n">
        <v>0</v>
      </c>
      <c r="BK93" s="261" t="n">
        <v>0</v>
      </c>
      <c r="BL93" s="261" t="n">
        <v>0</v>
      </c>
      <c r="BM93" s="261" t="n">
        <v>-1550</v>
      </c>
      <c r="BN93" s="261" t="n">
        <v>-1550</v>
      </c>
      <c r="BO93" s="261" t="n">
        <v>0</v>
      </c>
      <c r="BP93" s="261" t="n">
        <v>0</v>
      </c>
      <c r="BQ93" s="261" t="n">
        <v>0</v>
      </c>
      <c r="BR93" s="261" t="n">
        <v>0</v>
      </c>
      <c r="BS93" s="261" t="n">
        <v>0</v>
      </c>
      <c r="BT93" s="261" t="n">
        <v>0</v>
      </c>
      <c r="BU93" s="261" t="n">
        <v>2400</v>
      </c>
      <c r="BV93" s="263">
        <f>0</f>
        <v>0</v>
      </c>
      <c r="BW93" s="263">
        <f>0</f>
        <v>0</v>
      </c>
      <c r="BX93" s="263">
        <f>SUM(BT93:BW93)</f>
        <v>2400</v>
      </c>
      <c r="BY93" s="263">
        <f>0</f>
        <v>0</v>
      </c>
      <c r="BZ93" s="263">
        <f>0</f>
        <v>0</v>
      </c>
      <c r="CA93" s="263">
        <f>0</f>
        <v>0</v>
      </c>
      <c r="CB93" s="263">
        <f>0</f>
        <v>0</v>
      </c>
      <c r="CC93" s="263">
        <f>0</f>
        <v>0</v>
      </c>
      <c r="CD93" s="19" t="inlineStr">
        <is>
          <t>Only items the company quantified in its releases (FTC 2019; Q2-23; Q4-24 release; Q2-26). The Q2-24 Texas settlement was named but not quantified (left in).</t>
        </is>
      </c>
    </row>
    <row r="94" ht="15" customHeight="1" s="251">
      <c r="B94" s="25" t="inlineStr">
        <is>
          <t xml:space="preserve">  One-off: restructuring and severance (company-quantified)</t>
        </is>
      </c>
      <c r="C94" s="261" t="n">
        <v>0</v>
      </c>
      <c r="D94" s="261" t="n">
        <v>0</v>
      </c>
      <c r="E94" s="261" t="n">
        <v>0</v>
      </c>
      <c r="F94" s="261" t="n">
        <v>0</v>
      </c>
      <c r="G94" s="261" t="n">
        <v>0</v>
      </c>
      <c r="H94" s="261" t="n">
        <v>0</v>
      </c>
      <c r="I94" s="261" t="n">
        <v>0</v>
      </c>
      <c r="J94" s="261" t="n">
        <v>0</v>
      </c>
      <c r="K94" s="261" t="n">
        <v>0</v>
      </c>
      <c r="L94" s="261" t="n">
        <v>0</v>
      </c>
      <c r="M94" s="261" t="n">
        <v>0</v>
      </c>
      <c r="N94" s="261" t="n">
        <v>0</v>
      </c>
      <c r="O94" s="261" t="n">
        <v>0</v>
      </c>
      <c r="P94" s="261" t="n">
        <v>0</v>
      </c>
      <c r="Q94" s="261" t="n">
        <v>0</v>
      </c>
      <c r="R94" s="261" t="n">
        <v>0</v>
      </c>
      <c r="S94" s="261" t="n">
        <v>0</v>
      </c>
      <c r="T94" s="261" t="n">
        <v>0</v>
      </c>
      <c r="U94" s="261" t="n">
        <v>0</v>
      </c>
      <c r="V94" s="261" t="n">
        <v>0</v>
      </c>
      <c r="W94" s="261" t="n">
        <v>0</v>
      </c>
      <c r="X94" s="261" t="n">
        <v>0</v>
      </c>
      <c r="Y94" s="261" t="n">
        <v>0</v>
      </c>
      <c r="Z94" s="261" t="n">
        <v>0</v>
      </c>
      <c r="AA94" s="261" t="n">
        <v>0</v>
      </c>
      <c r="AB94" s="261" t="n">
        <v>0</v>
      </c>
      <c r="AC94" s="261" t="n">
        <v>0</v>
      </c>
      <c r="AD94" s="261" t="n">
        <v>0</v>
      </c>
      <c r="AE94" s="261" t="n">
        <v>0</v>
      </c>
      <c r="AF94" s="261" t="n">
        <v>0</v>
      </c>
      <c r="AG94" s="261" t="n">
        <v>0</v>
      </c>
      <c r="AH94" s="261" t="n">
        <v>0</v>
      </c>
      <c r="AI94" s="261" t="n">
        <v>0</v>
      </c>
      <c r="AJ94" s="261" t="n">
        <v>0</v>
      </c>
      <c r="AK94" s="261" t="n">
        <v>0</v>
      </c>
      <c r="AL94" s="261" t="n">
        <v>0</v>
      </c>
      <c r="AM94" s="261" t="n">
        <v>0</v>
      </c>
      <c r="AN94" s="261" t="n">
        <v>0</v>
      </c>
      <c r="AO94" s="261" t="n">
        <v>0</v>
      </c>
      <c r="AP94" s="261" t="n">
        <v>0</v>
      </c>
      <c r="AQ94" s="261" t="n">
        <v>0</v>
      </c>
      <c r="AR94" s="261" t="n">
        <v>0</v>
      </c>
      <c r="AS94" s="261" t="n">
        <v>0</v>
      </c>
      <c r="AT94" s="261" t="n">
        <v>0</v>
      </c>
      <c r="AU94" s="261" t="n">
        <v>0</v>
      </c>
      <c r="AV94" s="261" t="n">
        <v>0</v>
      </c>
      <c r="AW94" s="261" t="n">
        <v>0</v>
      </c>
      <c r="AX94" s="261" t="n">
        <v>0</v>
      </c>
      <c r="AY94" s="261" t="n">
        <v>0</v>
      </c>
      <c r="AZ94" s="261" t="n">
        <v>0</v>
      </c>
      <c r="BA94" s="261" t="n">
        <v>0</v>
      </c>
      <c r="BB94" s="261" t="n">
        <v>413</v>
      </c>
      <c r="BC94" s="261" t="n">
        <v>4198</v>
      </c>
      <c r="BD94" s="261" t="n">
        <v>4611</v>
      </c>
      <c r="BE94" s="261" t="n">
        <v>1144</v>
      </c>
      <c r="BF94" s="261" t="n">
        <v>780</v>
      </c>
      <c r="BG94" s="261" t="n">
        <v>380</v>
      </c>
      <c r="BH94" s="261" t="n">
        <v>1150</v>
      </c>
      <c r="BI94" s="261" t="n">
        <v>3454</v>
      </c>
      <c r="BJ94" s="261" t="n">
        <v>0</v>
      </c>
      <c r="BK94" s="261" t="n">
        <v>0</v>
      </c>
      <c r="BL94" s="261" t="n">
        <v>0</v>
      </c>
      <c r="BM94" s="261" t="n">
        <v>0</v>
      </c>
      <c r="BN94" s="261" t="n">
        <v>0</v>
      </c>
      <c r="BO94" s="261" t="n">
        <v>0</v>
      </c>
      <c r="BP94" s="261" t="n">
        <v>0</v>
      </c>
      <c r="BQ94" s="261" t="n">
        <v>0</v>
      </c>
      <c r="BR94" s="261" t="n">
        <v>0</v>
      </c>
      <c r="BS94" s="261" t="n">
        <v>0</v>
      </c>
      <c r="BT94" s="261" t="n">
        <v>0</v>
      </c>
      <c r="BU94" s="261" t="n">
        <v>1180</v>
      </c>
      <c r="BV94" s="263">
        <f>0</f>
        <v>0</v>
      </c>
      <c r="BW94" s="263">
        <f>0</f>
        <v>0</v>
      </c>
      <c r="BX94" s="263">
        <f>SUM(BT94:BW94)</f>
        <v>1180</v>
      </c>
      <c r="BY94" s="263">
        <f>0</f>
        <v>0</v>
      </c>
      <c r="BZ94" s="263">
        <f>0</f>
        <v>0</v>
      </c>
      <c r="CA94" s="263">
        <f>0</f>
        <v>0</v>
      </c>
      <c r="CB94" s="263">
        <f>0</f>
        <v>0</v>
      </c>
      <c r="CC94" s="263">
        <f>0</f>
        <v>0</v>
      </c>
      <c r="CD94" s="19" t="inlineStr">
        <is>
          <t>Q3-22 lease impairment; Q4-22–Q4-23 facilities consolidation, layoffs and data-center restructuring; Q2-26 severance (May-2026 headcount reduction). Forecast: none assumed.</t>
        </is>
      </c>
    </row>
    <row r="95" ht="15" customHeight="1" s="251">
      <c r="B95" s="16" t="inlineStr">
        <is>
          <t xml:space="preserve">  Other operating costs (cash; excl. D&amp;A, share-based compensation and one-offs)</t>
        </is>
      </c>
      <c r="C95" s="266">
        <f>IF(ISNUMBER(C89),C114-C89-C91-N(C93)-N(C94),"")</f>
        <v>410</v>
      </c>
      <c r="D95" s="266">
        <f>IF(ISNUMBER(D89),D114-D89-D91-N(D93)-N(D94),"")</f>
        <v>783</v>
      </c>
      <c r="E95" s="266">
        <f>IF(ISNUMBER(E89),E114-E89-E91-N(E93)-N(E94),"")</f>
        <v>1415</v>
      </c>
      <c r="F95" s="266">
        <f>IF(ISNUMBER(F89),F114-F89-F91-N(F93)-N(F94),"")</f>
        <v>2330</v>
      </c>
      <c r="G95" s="266">
        <f>IF(ISNUMBER(G89),G114-G89-G91-N(G93)-N(G94),"")</f>
        <v>674</v>
      </c>
      <c r="H95" s="266">
        <f>IF(ISNUMBER(H89),H114-H89-H91-N(H93)-N(H94),"")</f>
        <v>797</v>
      </c>
      <c r="I95" s="266">
        <f>IF(ISNUMBER(I89),I114-I89-I91-N(I93)-N(I94),"")</f>
        <v>767</v>
      </c>
      <c r="J95" s="266">
        <f>IF(ISNUMBER(J89),J114-J89-J91-N(J93)-N(J94),"")</f>
        <v>905</v>
      </c>
      <c r="K95" s="266">
        <f>IF(ISNUMBER(K89),K114-K89-K91-N(K93)-N(K94),"")</f>
        <v>3151</v>
      </c>
      <c r="L95" s="266">
        <f>IF(ISNUMBER(L89),L114-L89-L91-N(L93)-N(L94),"")</f>
        <v>889</v>
      </c>
      <c r="M95" s="266">
        <f>IF(ISNUMBER(M89),M114-M89-M91-N(M93)-N(M94),"")</f>
        <v>949</v>
      </c>
      <c r="N95" s="266">
        <f>IF(ISNUMBER(N89),N114-N89-N91-N(N93)-N(N94),"")</f>
        <v>1164</v>
      </c>
      <c r="O95" s="266">
        <f>IF(ISNUMBER(O89),O114-O89-O91-N(O93)-N(O94),"")</f>
        <v>1440</v>
      </c>
      <c r="P95" s="266">
        <f>IF(ISNUMBER(P89),P114-P89-P91-N(P93)-N(P94),"")</f>
        <v>4443</v>
      </c>
      <c r="Q95" s="266">
        <f>IF(ISNUMBER(Q89),Q114-Q89-Q91-N(Q93)-N(Q94),"")</f>
        <v>1459</v>
      </c>
      <c r="R95" s="266">
        <f>IF(ISNUMBER(R89),R114-R89-R91-N(R93)-N(R94),"")</f>
        <v>1547</v>
      </c>
      <c r="S95" s="266">
        <f>IF(ISNUMBER(S89),S114-S89-S91-N(S93)-N(S94),"")</f>
        <v>1799</v>
      </c>
      <c r="T95" s="266">
        <f>IF(ISNUMBER(T89),T114-T89-T91-N(T93)-N(T94),"")</f>
        <v>1992</v>
      </c>
      <c r="U95" s="266">
        <f>IF(ISNUMBER(U89),U114-U89-U91-N(U93)-N(U94),"")</f>
        <v>6798</v>
      </c>
      <c r="V95" s="266">
        <f>IF(ISNUMBER(V89),V114-V89-V91-N(V93)-N(V94),"")</f>
        <v>2074</v>
      </c>
      <c r="W95" s="266">
        <f>IF(ISNUMBER(W89),W114-W89-W91-N(W93)-N(W94),"")</f>
        <v>2300</v>
      </c>
      <c r="X95" s="266">
        <f>IF(ISNUMBER(X89),X114-X89-X91-N(X93)-N(X94),"")</f>
        <v>2479</v>
      </c>
      <c r="Y95" s="266">
        <f>IF(ISNUMBER(Y89),Y114-Y89-Y91-N(Y93)-N(Y94),"")</f>
        <v>2798</v>
      </c>
      <c r="Z95" s="266">
        <f>IF(ISNUMBER(Z89),Z114-Z89-Z91-N(Z93)-N(Z94),"")</f>
        <v>9651</v>
      </c>
      <c r="AA95" s="266">
        <f>IF(ISNUMBER(AA89),AA114-AA89-AA91-N(AA93)-N(AA94),"")</f>
        <v>3167</v>
      </c>
      <c r="AB95" s="266">
        <f>IF(ISNUMBER(AB89),AB114-AB89-AB91-N(AB93)-N(AB94),"")</f>
        <v>3160</v>
      </c>
      <c r="AC95" s="266">
        <f>IF(ISNUMBER(AC89),AC114-AC89-AC91-N(AC93)-N(AC94),"")</f>
        <v>3423</v>
      </c>
      <c r="AD95" s="266">
        <f>IF(ISNUMBER(AD89),AD114-AD89-AD91-N(AD93)-N(AD94),"")</f>
        <v>3953</v>
      </c>
      <c r="AE95" s="266">
        <f>IF(ISNUMBER(AE89),AE114-AE89-AE91-N(AE93)-N(AE94),"")</f>
        <v>13702</v>
      </c>
      <c r="AF95" s="266">
        <f>IF(ISNUMBER(AF89),AF114-AF89-AF91-N(AF93)-N(AF94),"")</f>
        <v>4613</v>
      </c>
      <c r="AG95" s="266">
        <f>IF(ISNUMBER(AG89),AG114-AG89-AG91-N(AG93)-N(AG94),"")</f>
        <v>5148</v>
      </c>
      <c r="AH95" s="266">
        <f>IF(ISNUMBER(AH89),AH114-AH89-AH91-N(AH93)-N(AH94),"")</f>
        <v>5799</v>
      </c>
      <c r="AI95" s="266">
        <f>IF(ISNUMBER(AI89),AI114-AI89-AI91-N(AI93)-N(AI94),"")</f>
        <v>6898</v>
      </c>
      <c r="AJ95" s="266">
        <f>IF(ISNUMBER(AJ89),AJ114-AJ89-AJ91-N(AJ93)-N(AJ94),"")</f>
        <v>22458</v>
      </c>
      <c r="AK95" s="266">
        <f>IF(ISNUMBER(AK89),AK114-AK89-AK91-N(AK93)-N(AK94),"")</f>
        <v>6395</v>
      </c>
      <c r="AL95" s="266">
        <f>IF(ISNUMBER(AL89),AL114-AL89-AL91-N(AL93)-N(AL94),"")</f>
        <v>7455</v>
      </c>
      <c r="AM95" s="266">
        <f>IF(ISNUMBER(AM89),AM114-AM89-AM91-N(AM93)-N(AM94),"")</f>
        <v>7802</v>
      </c>
      <c r="AN95" s="266">
        <f>IF(ISNUMBER(AN89),AN114-AN89-AN91-N(AN93)-N(AN94),"")</f>
        <v>9483</v>
      </c>
      <c r="AO95" s="266">
        <f>IF(ISNUMBER(AO89),AO114-AO89-AO91-N(AO93)-N(AO94),"")</f>
        <v>31134</v>
      </c>
      <c r="AP95" s="266">
        <f>IF(ISNUMBER(AP89),AP114-AP89-AP91-N(AP93)-N(AP94),"")</f>
        <v>8912</v>
      </c>
      <c r="AQ95" s="266">
        <f>IF(ISNUMBER(AQ89),AQ114-AQ89-AQ91-N(AQ93)-N(AQ94),"")</f>
        <v>9325</v>
      </c>
      <c r="AR95" s="266">
        <f>IF(ISNUMBER(AR89),AR114-AR89-AR91-N(AR93)-N(AR94),"")</f>
        <v>10010</v>
      </c>
      <c r="AS95" s="266">
        <f>IF(ISNUMBER(AS89),AS114-AS89-AS91-N(AS93)-N(AS94),"")</f>
        <v>11650</v>
      </c>
      <c r="AT95" s="266">
        <f>IF(ISNUMBER(AT89),AT114-AT89-AT91-N(AT93)-N(AT94),"")</f>
        <v>39896</v>
      </c>
      <c r="AU95" s="266">
        <f>IF(ISNUMBER(AU89),AU114-AU89-AU91-N(AU93)-N(AU94),"")</f>
        <v>10991</v>
      </c>
      <c r="AV95" s="266">
        <f>IF(ISNUMBER(AV89),AV114-AV89-AV91-N(AV93)-N(AV94),"")</f>
        <v>12177</v>
      </c>
      <c r="AW95" s="266">
        <f>IF(ISNUMBER(AW89),AW114-AW89-AW91-N(AW93)-N(AW94),"")</f>
        <v>14213</v>
      </c>
      <c r="AX95" s="266">
        <f>IF(ISNUMBER(AX89),AX114-AX89-AX91-N(AX93)-N(AX94),"")</f>
        <v>16666</v>
      </c>
      <c r="AY95" s="266">
        <f>IF(ISNUMBER(AY89),AY114-AY89-AY91-N(AY93)-N(AY94),"")</f>
        <v>54045</v>
      </c>
      <c r="AZ95" s="266">
        <f>IF(ISNUMBER(AZ89),AZ114-AZ89-AZ91-N(AZ93)-N(AZ94),"")</f>
        <v>14730</v>
      </c>
      <c r="BA95" s="266">
        <f>IF(ISNUMBER(BA89),BA114-BA89-BA91-N(BA93)-N(BA94),"")</f>
        <v>15134</v>
      </c>
      <c r="BB95" s="266">
        <f>IF(ISNUMBER(BB89),BB114-BB89-BB91-N(BB93)-N(BB94),"")</f>
        <v>16328</v>
      </c>
      <c r="BC95" s="266">
        <f>IF(ISNUMBER(BC89),BC114-BC89-BC91-N(BC93)-N(BC94),"")</f>
        <v>16184</v>
      </c>
      <c r="BD95" s="266">
        <f>IF(ISNUMBER(BD89),BD114-BD89-BD91-N(BD93)-N(BD94),"")</f>
        <v>62376</v>
      </c>
      <c r="BE95" s="266">
        <f>IF(ISNUMBER(BE89),BE114-BE89-BE91-N(BE93)-N(BE94),"")</f>
        <v>14699</v>
      </c>
      <c r="BF95" s="266">
        <f>IF(ISNUMBER(BF89),BF114-BF89-BF91-N(BF93)-N(BF94),"")</f>
        <v>13274</v>
      </c>
      <c r="BG95" s="266">
        <f>IF(ISNUMBER(BG89),BG114-BG89-BG91-N(BG93)-N(BG94),"")</f>
        <v>13668</v>
      </c>
      <c r="BH95" s="266">
        <f>IF(ISNUMBER(BH89),BH114-BH89-BH91-N(BH93)-N(BH94),"")</f>
        <v>15981</v>
      </c>
      <c r="BI95" s="266">
        <f>IF(ISNUMBER(BI89),BI114-BI89-BI91-N(BI93)-N(BI94),"")</f>
        <v>57622</v>
      </c>
      <c r="BJ95" s="266">
        <f>IF(ISNUMBER(BJ89),BJ114-BJ89-BJ91-N(BJ93)-N(BJ94),"")</f>
        <v>15701</v>
      </c>
      <c r="BK95" s="266">
        <f>IF(ISNUMBER(BK89),BK114-BK89-BK91-N(BK93)-N(BK94),"")</f>
        <v>15971</v>
      </c>
      <c r="BL95" s="266">
        <f>IF(ISNUMBER(BL89),BL114-BL89-BL91-N(BL93)-N(BL94),"")</f>
        <v>14962</v>
      </c>
      <c r="BM95" s="266">
        <f>IF(ISNUMBER(BM89),BM114-BM89-BM91-N(BM93)-N(BM94),"")</f>
        <v>17848</v>
      </c>
      <c r="BN95" s="266">
        <f>IF(ISNUMBER(BN89),BN114-BN89-BN91-N(BN93)-N(BN94),"")</f>
        <v>64483</v>
      </c>
      <c r="BO95" s="266">
        <f>IF(ISNUMBER(BO89),BO114-BO89-BO91-N(BO93)-N(BO94),"")</f>
        <v>16712</v>
      </c>
      <c r="BP95" s="266">
        <f>IF(ISNUMBER(BP89),BP114-BP89-BP91-N(BP93)-N(BP94),"")</f>
        <v>17899</v>
      </c>
      <c r="BQ95" s="266">
        <f>IF(ISNUMBER(BQ89),BQ114-BQ89-BQ91-N(BQ93)-N(BQ94),"")</f>
        <v>20189</v>
      </c>
      <c r="BR95" s="266">
        <f>IF(ISNUMBER(BR89),BR114-BR89-BR91-N(BR93)-N(BR94),"")</f>
        <v>23847</v>
      </c>
      <c r="BS95" s="266">
        <f>IF(ISNUMBER(BS89),BS114-BS89-BS91-N(BS93)-N(BS94),"")</f>
        <v>78647</v>
      </c>
      <c r="BT95" s="266">
        <f>IF(ISNUMBER(BT89),BT114-BT89-BT91-N(BT93)-N(BT94),"")</f>
        <v>21408</v>
      </c>
      <c r="BU95" s="266">
        <f>IF(ISNUMBER(BU89),BU114-BU89-BU91-N(BU93)-N(BU94),"")</f>
        <v>24432</v>
      </c>
      <c r="BV95" s="254">
        <f>BV82-BV89-BV91-BV93-BV94</f>
        <v>28222.2013271582</v>
      </c>
      <c r="BW95" s="254">
        <f>BW82-BW89-BW91-BW93-BW94</f>
        <v>33918.8942728419</v>
      </c>
      <c r="BX95" s="254">
        <f>SUM(BT95:BW95)</f>
        <v>107981.0956</v>
      </c>
      <c r="BY95" s="254">
        <f>BY109*BY96</f>
        <v>123340.575030665</v>
      </c>
      <c r="BZ95" s="254">
        <f>BZ109*BZ96</f>
        <v>139336.797562425</v>
      </c>
      <c r="CA95" s="254">
        <f>CA109*CA96</f>
        <v>154388.29832789</v>
      </c>
      <c r="CB95" s="254">
        <f>CB109*CB96</f>
        <v>169926.898740964</v>
      </c>
      <c r="CC95" s="254">
        <f>CC109*CC96</f>
        <v>185112.325574676</v>
      </c>
      <c r="CD95" s="153" t="inlineStr">
        <is>
          <t>Q3/Q4-26E: balancing driver to the FY26 expense guidance. 2027E+: % of revenue (scenario lever): AI compute (third-party cloud, data-center operations), people, content, marketing.</t>
        </is>
      </c>
      <c r="CF95" s="20">
        <f>IFERROR((CC95/BX95)^(1/5)-1,"n/m")</f>
        <v>0.113826436171252</v>
      </c>
      <c r="CG95" s="20">
        <f>IFERROR((BS95/AT95)^(1/5)-1,"n/m")</f>
        <v>0.145382546979144</v>
      </c>
      <c r="CH95" s="20">
        <f>IFERROR((BS95/U95)^(1/10)-1,"n/m")</f>
        <v>0.277409377731185</v>
      </c>
      <c r="CI95" s="20">
        <f>IFERROR((BS95/C95)^(1/16)-1,"n/m")</f>
        <v>0.388932512215749</v>
      </c>
    </row>
    <row r="96" ht="15" customHeight="1" s="251">
      <c r="B96" s="25" t="inlineStr">
        <is>
          <t xml:space="preserve">  Other operating costs % of revenue</t>
        </is>
      </c>
      <c r="C96" s="215">
        <f>IF(AND(ISNUMBER(C95),ISNUMBER(C109)),IFERROR(C95/C109,""),"")</f>
        <v>0.527670527670528</v>
      </c>
      <c r="D96" s="215">
        <f>IF(AND(ISNUMBER(D95),ISNUMBER(D109)),IFERROR(D95/D109,""),"")</f>
        <v>0.396656534954407</v>
      </c>
      <c r="E96" s="215">
        <f>IF(AND(ISNUMBER(E95),ISNUMBER(E109)),IFERROR(E95/E109,""),"")</f>
        <v>0.381298841282673</v>
      </c>
      <c r="F96" s="215">
        <f>IF(AND(ISNUMBER(F95),ISNUMBER(F109)),IFERROR(F95/F109,""),"")</f>
        <v>0.457850265278051</v>
      </c>
      <c r="G96" s="215">
        <f>IF(AND(ISNUMBER(G95),ISNUMBER(G109)),IFERROR(G95/G109,""),"")</f>
        <v>0.462277091906722</v>
      </c>
      <c r="H96" s="215">
        <f>IF(AND(ISNUMBER(H95),ISNUMBER(H109)),IFERROR(H95/H109,""),"")</f>
        <v>0.439602868174297</v>
      </c>
      <c r="I96" s="215">
        <f>IF(AND(ISNUMBER(I95),ISNUMBER(I109)),IFERROR(I95/I109,""),"")</f>
        <v>0.380456349206349</v>
      </c>
      <c r="J96" s="215">
        <f>IF(AND(ISNUMBER(J95),ISNUMBER(J109)),IFERROR(J95/J109,""),"")</f>
        <v>0.350096711798839</v>
      </c>
      <c r="K96" s="215">
        <f>IF(AND(ISNUMBER(K95),ISNUMBER(K109)),IFERROR(K95/K109,""),"")</f>
        <v>0.400279471544715</v>
      </c>
      <c r="L96" s="215">
        <f>IF(AND(ISNUMBER(L95),ISNUMBER(L109)),IFERROR(L95/L109,""),"")</f>
        <v>0.355315747402078</v>
      </c>
      <c r="M96" s="215">
        <f>IF(AND(ISNUMBER(M95),ISNUMBER(M109)),IFERROR(M95/M109,""),"")</f>
        <v>0.326116838487973</v>
      </c>
      <c r="N96" s="215">
        <f>IF(AND(ISNUMBER(N95),ISNUMBER(N109)),IFERROR(N95/N109,""),"")</f>
        <v>0.363409303777708</v>
      </c>
      <c r="O96" s="215">
        <f>IF(AND(ISNUMBER(O95),ISNUMBER(O109)),IFERROR(O95/O109,""),"")</f>
        <v>0.373928849649442</v>
      </c>
      <c r="P96" s="215">
        <f>IF(AND(ISNUMBER(P95),ISNUMBER(P109)),IFERROR(P95/P109,""),"")</f>
        <v>0.356409433659554</v>
      </c>
      <c r="Q96" s="215">
        <f>IF(AND(ISNUMBER(Q95),ISNUMBER(Q109)),IFERROR(Q95/Q109,""),"")</f>
        <v>0.411797911374541</v>
      </c>
      <c r="R96" s="215">
        <f>IF(AND(ISNUMBER(R95),ISNUMBER(R109)),IFERROR(R95/R109,""),"")</f>
        <v>0.382731321128154</v>
      </c>
      <c r="S96" s="215">
        <f>IF(AND(ISNUMBER(S95),ISNUMBER(S109)),IFERROR(S95/S109,""),"")</f>
        <v>0.399688958009331</v>
      </c>
      <c r="T96" s="215">
        <f>IF(AND(ISNUMBER(T95),ISNUMBER(T109)),IFERROR(T95/T109,""),"")</f>
        <v>0.341037493579866</v>
      </c>
      <c r="U96" s="215">
        <f>IF(AND(ISNUMBER(U95),ISNUMBER(U109)),IFERROR(U95/U109,""),"")</f>
        <v>0.379183400267738</v>
      </c>
      <c r="V96" s="215">
        <f>IF(AND(ISNUMBER(V95),ISNUMBER(V109)),IFERROR(V95/V109,""),"")</f>
        <v>0.385358602749907</v>
      </c>
      <c r="W96" s="215">
        <f>IF(AND(ISNUMBER(W95),ISNUMBER(W109)),IFERROR(W95/W109,""),"")</f>
        <v>0.357364822871349</v>
      </c>
      <c r="X96" s="215">
        <f>IF(AND(ISNUMBER(X95),ISNUMBER(X109)),IFERROR(X95/X109,""),"")</f>
        <v>0.353587220082727</v>
      </c>
      <c r="Y96" s="215">
        <f>IF(AND(ISNUMBER(Y95),ISNUMBER(Y109)),IFERROR(Y95/Y109,""),"")</f>
        <v>0.317629696900897</v>
      </c>
      <c r="Z96" s="215">
        <f>IF(AND(ISNUMBER(Z95),ISNUMBER(Z109)),IFERROR(Z95/Z109,""),"")</f>
        <v>0.349193139879876</v>
      </c>
      <c r="AA96" s="215">
        <f>IF(AND(ISNUMBER(AA95),ISNUMBER(AA109)),IFERROR(AA95/AA109,""),"")</f>
        <v>0.39429780876494</v>
      </c>
      <c r="AB96" s="215">
        <f>IF(AND(ISNUMBER(AB95),ISNUMBER(AB109)),IFERROR(AB95/AB109,""),"")</f>
        <v>0.339019418517327</v>
      </c>
      <c r="AC96" s="215">
        <f>IF(AND(ISNUMBER(AC95),ISNUMBER(AC109)),IFERROR(AC95/AC109,""),"")</f>
        <v>0.331429124709528</v>
      </c>
      <c r="AD96" s="215">
        <f>IF(AND(ISNUMBER(AD95),ISNUMBER(AD109)),IFERROR(AD95/AD109,""),"")</f>
        <v>0.304733271662041</v>
      </c>
      <c r="AE96" s="215">
        <f>IF(AND(ISNUMBER(AE95),ISNUMBER(AE109)),IFERROR(AE95/AE109,""),"")</f>
        <v>0.337047696356972</v>
      </c>
      <c r="AF96" s="215">
        <f>IF(AND(ISNUMBER(AF95),ISNUMBER(AF109)),IFERROR(AF95/AF109,""),"")</f>
        <v>0.38550894200234</v>
      </c>
      <c r="AG96" s="215">
        <f>IF(AND(ISNUMBER(AG95),ISNUMBER(AG109)),IFERROR(AG95/AG109,""),"")</f>
        <v>0.389086236867962</v>
      </c>
      <c r="AH96" s="215">
        <f>IF(AND(ISNUMBER(AH95),ISNUMBER(AH109)),IFERROR(AH95/AH109,""),"")</f>
        <v>0.422452101697385</v>
      </c>
      <c r="AI96" s="215">
        <f>IF(AND(ISNUMBER(AI95),ISNUMBER(AI109)),IFERROR(AI95/AI109,""),"")</f>
        <v>0.407827834929644</v>
      </c>
      <c r="AJ96" s="215">
        <f>IF(AND(ISNUMBER(AJ95),ISNUMBER(AJ109)),IFERROR(AJ95/AJ109,""),"")</f>
        <v>0.402199219169741</v>
      </c>
      <c r="AK96" s="215">
        <f>IF(AND(ISNUMBER(AK95),ISNUMBER(AK109)),IFERROR(AK95/AK109,""),"")</f>
        <v>0.424155999204086</v>
      </c>
      <c r="AL96" s="215">
        <f>IF(AND(ISNUMBER(AL95),ISNUMBER(AL109)),IFERROR(AL95/AL109,""),"")</f>
        <v>0.441489991709108</v>
      </c>
      <c r="AM96" s="215">
        <f>IF(AND(ISNUMBER(AM95),ISNUMBER(AM109)),IFERROR(AM95/AM109,""),"")</f>
        <v>0.441989576251983</v>
      </c>
      <c r="AN96" s="215">
        <f>IF(AND(ISNUMBER(AN95),ISNUMBER(AN109)),IFERROR(AN95/AN109,""),"")</f>
        <v>0.449815008063751</v>
      </c>
      <c r="AO96" s="215">
        <f>IF(AND(ISNUMBER(AO95),ISNUMBER(AO109)),IFERROR(AO95/AO109,""),"")</f>
        <v>0.440386437896941</v>
      </c>
      <c r="AP96" s="215">
        <f>IF(AND(ISNUMBER(AP95),ISNUMBER(AP109)),IFERROR(AP95/AP109,""),"")</f>
        <v>0.502452500422845</v>
      </c>
      <c r="AQ96" s="215">
        <f>IF(AND(ISNUMBER(AQ95),ISNUMBER(AQ109)),IFERROR(AQ95/AQ109,""),"")</f>
        <v>0.499010006956708</v>
      </c>
      <c r="AR96" s="215">
        <f>IF(AND(ISNUMBER(AR95),ISNUMBER(AR109)),IFERROR(AR95/AR109,""),"")</f>
        <v>0.466231951560317</v>
      </c>
      <c r="AS96" s="215">
        <f>IF(AND(ISNUMBER(AS95),ISNUMBER(AS109)),IFERROR(AS95/AS109,""),"")</f>
        <v>0.415004274722143</v>
      </c>
      <c r="AT96" s="215">
        <f>IF(AND(ISNUMBER(AT95),ISNUMBER(AT109)),IFERROR(AT95/AT109,""),"")</f>
        <v>0.464095852963415</v>
      </c>
      <c r="AU96" s="215">
        <f>IF(AND(ISNUMBER(AU95),ISNUMBER(AU109)),IFERROR(AU95/AU109,""),"")</f>
        <v>0.419968667609186</v>
      </c>
      <c r="AV96" s="215">
        <f>IF(AND(ISNUMBER(AV95),ISNUMBER(AV109)),IFERROR(AV95/AV109,""),"")</f>
        <v>0.41878460638993</v>
      </c>
      <c r="AW96" s="215">
        <f>IF(AND(ISNUMBER(AW95),ISNUMBER(AW109)),IFERROR(AW95/AW109,""),"")</f>
        <v>0.489934505342985</v>
      </c>
      <c r="AX96" s="215">
        <f>IF(AND(ISNUMBER(AX95),ISNUMBER(AX109)),IFERROR(AX95/AX109,""),"")</f>
        <v>0.494965994475959</v>
      </c>
      <c r="AY96" s="215">
        <f>IF(AND(ISNUMBER(AY95),ISNUMBER(AY109)),IFERROR(AY95/AY109,""),"")</f>
        <v>0.458284221862307</v>
      </c>
      <c r="AZ96" s="215">
        <f>IF(AND(ISNUMBER(AZ95),ISNUMBER(AZ109)),IFERROR(AZ95/AZ109,""),"")</f>
        <v>0.527805647126272</v>
      </c>
      <c r="BA96" s="215">
        <f>IF(AND(ISNUMBER(BA95),ISNUMBER(BA109)),IFERROR(BA95/BA109,""),"")</f>
        <v>0.525085004510443</v>
      </c>
      <c r="BB96" s="215">
        <f>IF(AND(ISNUMBER(BB95),ISNUMBER(BB109)),IFERROR(BB95/BB109,""),"")</f>
        <v>0.589160712997041</v>
      </c>
      <c r="BC96" s="215">
        <f>IF(AND(ISNUMBER(BC95),ISNUMBER(BC109)),IFERROR(BC95/BC109,""),"")</f>
        <v>0.503155603917301</v>
      </c>
      <c r="BD96" s="215">
        <f>IF(AND(ISNUMBER(BD95),ISNUMBER(BD109)),IFERROR(BD95/BD109,""),"")</f>
        <v>0.534915829824456</v>
      </c>
      <c r="BE96" s="215">
        <f>IF(AND(ISNUMBER(BE95),ISNUMBER(BE109)),IFERROR(BE95/BE109,""),"")</f>
        <v>0.513143655088148</v>
      </c>
      <c r="BF96" s="215">
        <f>IF(AND(ISNUMBER(BF95),ISNUMBER(BF109)),IFERROR(BF95/BF109,""),"")</f>
        <v>0.414825463295728</v>
      </c>
      <c r="BG96" s="215">
        <f>IF(AND(ISNUMBER(BG95),ISNUMBER(BG109)),IFERROR(BG95/BG109,""),"")</f>
        <v>0.4002811456686</v>
      </c>
      <c r="BH96" s="215">
        <f>IF(AND(ISNUMBER(BH95),ISNUMBER(BH109)),IFERROR(BH95/BH109,""),"")</f>
        <v>0.398419386203286</v>
      </c>
      <c r="BI96" s="215">
        <f>IF(AND(ISNUMBER(BI95),ISNUMBER(BI109)),IFERROR(BI95/BI109,""),"")</f>
        <v>0.427139701412878</v>
      </c>
      <c r="BJ96" s="215">
        <f>IF(AND(ISNUMBER(BJ95),ISNUMBER(BJ109)),IFERROR(BJ95/BJ109,""),"")</f>
        <v>0.430695377863119</v>
      </c>
      <c r="BK96" s="215">
        <f>IF(AND(ISNUMBER(BK95),ISNUMBER(BK109)),IFERROR(BK95/BK109,""),"")</f>
        <v>0.408768651941338</v>
      </c>
      <c r="BL96" s="215">
        <f>IF(AND(ISNUMBER(BL95),ISNUMBER(BL109)),IFERROR(BL95/BL109,""),"")</f>
        <v>0.36862204045431</v>
      </c>
      <c r="BM96" s="215">
        <f>IF(AND(ISNUMBER(BM95),ISNUMBER(BM109)),IFERROR(BM95/BM109,""),"")</f>
        <v>0.368874651234887</v>
      </c>
      <c r="BN96" s="215">
        <f>IF(AND(ISNUMBER(BN95),ISNUMBER(BN109)),IFERROR(BN95/BN109,""),"")</f>
        <v>0.391991538045361</v>
      </c>
      <c r="BO96" s="215">
        <f>IF(AND(ISNUMBER(BO95),ISNUMBER(BO109)),IFERROR(BO95/BO109,""),"")</f>
        <v>0.394952025334405</v>
      </c>
      <c r="BP96" s="215">
        <f>IF(AND(ISNUMBER(BP95),ISNUMBER(BP109)),IFERROR(BP95/BP109,""),"")</f>
        <v>0.376694166175604</v>
      </c>
      <c r="BQ96" s="215">
        <f>IF(AND(ISNUMBER(BQ95),ISNUMBER(BQ109)),IFERROR(BQ95/BQ109,""),"")</f>
        <v>0.393993208695992</v>
      </c>
      <c r="BR96" s="215">
        <f>IF(AND(ISNUMBER(BR95),ISNUMBER(BR109)),IFERROR(BR95/BR109,""),"")</f>
        <v>0.398160052092899</v>
      </c>
      <c r="BS96" s="215">
        <f>IF(AND(ISNUMBER(BS95),ISNUMBER(BS109)),IFERROR(BS95/BS109,""),"")</f>
        <v>0.391344804593812</v>
      </c>
      <c r="BT96" s="215">
        <f>IF(AND(ISNUMBER(BT95),ISNUMBER(BT109)),IFERROR(BT95/BT109,""),"")</f>
        <v>0.380174388662961</v>
      </c>
      <c r="BU96" s="215">
        <f>IF(AND(ISNUMBER(BU95),ISNUMBER(BU109)),IFERROR(BU95/BU109,""),"")</f>
        <v>0.401835496126708</v>
      </c>
      <c r="BV96" s="256">
        <f>IF(AND(ISNUMBER(BV95),ISNUMBER(BV109)),IFERROR(BV95/BV109,""),"")</f>
        <v>0.45155522123453</v>
      </c>
      <c r="BW96" s="256">
        <f>IF(AND(ISNUMBER(BW95),ISNUMBER(BW109)),IFERROR(BW95/BW109,""),"")</f>
        <v>0.464716159199584</v>
      </c>
      <c r="BX96" s="256">
        <f>IF(AND(ISNUMBER(BX95),ISNUMBER(BX109)),IFERROR(BX95/BX109,""),"")</f>
        <v>0.427477908469985</v>
      </c>
      <c r="BY96" s="256">
        <f>CHOOSE(MATCH($CD$2,{"Bull","Base","Bear"},0),$CM$58,$CN$58,$CO$58)</f>
        <v>0.41</v>
      </c>
      <c r="BZ96" s="256">
        <f>CHOOSE(MATCH($CD$2,{"Bull","Base","Bear"},0),$CM$59,$CN$59,$CO$59)</f>
        <v>0.4</v>
      </c>
      <c r="CA96" s="256">
        <f>CHOOSE(MATCH($CD$2,{"Bull","Base","Bear"},0),$CM$60,$CN$60,$CO$60)</f>
        <v>0.39</v>
      </c>
      <c r="CB96" s="256">
        <f>CHOOSE(MATCH($CD$2,{"Bull","Base","Bear"},0),$CM$61,$CN$61,$CO$61)</f>
        <v>0.385</v>
      </c>
      <c r="CC96" s="256">
        <f>CHOOSE(MATCH($CD$2,{"Bull","Base","Bear"},0),$CM$62,$CN$62,$CO$62)</f>
        <v>0.38</v>
      </c>
      <c r="CD96" s="153" t="n"/>
      <c r="CF96" s="37">
        <f>IFERROR(AVERAGE(BY96,BZ96,CA96,CB96,CC96),"n/m")</f>
        <v>0.393</v>
      </c>
      <c r="CG96" s="37">
        <f>IFERROR(AVERAGE(AY96,BD96,BI96,BN96,BS96),"n/m")</f>
        <v>0.440735219147763</v>
      </c>
      <c r="CH96" s="37">
        <f>IFERROR(AVERAGE(Z96,AE96,AJ96,AO96,AT96,AY96,BD96,BI96,BN96,BS96),"n/m")</f>
        <v>0.419659844200576</v>
      </c>
      <c r="CI96" s="37">
        <f>IFERROR(AVERAGE(C96,D96,E96,F96,K96,P96,U96,Z96,AE96,AJ96,AO96,AT96,AY96,BD96,BI96,BN96,BS96),"n/m")</f>
        <v>0.417408642156672</v>
      </c>
    </row>
    <row r="97" ht="15" customHeight="1" s="251">
      <c r="B97" s="22" t="inlineStr">
        <is>
          <t xml:space="preserve">    y/y %</t>
        </is>
      </c>
      <c r="C97" s="23" t="n"/>
      <c r="D97" s="255">
        <f>IF(AND(ISNUMBER(D95),ISNUMBER(C95)),IFERROR(D95/C95-1,""),"")</f>
        <v>0.909756097560976</v>
      </c>
      <c r="E97" s="255">
        <f>IF(AND(ISNUMBER(E95),ISNUMBER(D95)),IFERROR(E95/D95-1,""),"")</f>
        <v>0.807151979565773</v>
      </c>
      <c r="F97" s="255">
        <f>IF(AND(ISNUMBER(F95),ISNUMBER(E95)),IFERROR(F95/E95-1,""),"")</f>
        <v>0.646643109540636</v>
      </c>
      <c r="G97" s="23" t="n"/>
      <c r="H97" s="23" t="n"/>
      <c r="I97" s="23" t="n"/>
      <c r="J97" s="23" t="n"/>
      <c r="K97" s="255">
        <f>IF(AND(ISNUMBER(K95),ISNUMBER(F95)),IFERROR(K95/F95-1,""),"")</f>
        <v>0.352360515021459</v>
      </c>
      <c r="L97" s="255">
        <f>IF(AND(ISNUMBER(L95),ISNUMBER(G95)),IFERROR(L95/G95-1,""),"")</f>
        <v>0.318991097922849</v>
      </c>
      <c r="M97" s="255">
        <f>IF(AND(ISNUMBER(M95),ISNUMBER(H95)),IFERROR(M95/H95-1,""),"")</f>
        <v>0.190715181932246</v>
      </c>
      <c r="N97" s="255">
        <f>IF(AND(ISNUMBER(N95),ISNUMBER(I95)),IFERROR(N95/I95-1,""),"")</f>
        <v>0.517601043024772</v>
      </c>
      <c r="O97" s="255">
        <f>IF(AND(ISNUMBER(O95),ISNUMBER(J95)),IFERROR(O95/J95-1,""),"")</f>
        <v>0.591160220994475</v>
      </c>
      <c r="P97" s="255">
        <f>IF(AND(ISNUMBER(P95),ISNUMBER(K95)),IFERROR(P95/K95-1,""),"")</f>
        <v>0.410028562361155</v>
      </c>
      <c r="Q97" s="255">
        <f>IF(AND(ISNUMBER(Q95),ISNUMBER(L95)),IFERROR(Q95/L95-1,""),"")</f>
        <v>0.641169853768279</v>
      </c>
      <c r="R97" s="255">
        <f>IF(AND(ISNUMBER(R95),ISNUMBER(M95)),IFERROR(R95/M95-1,""),"")</f>
        <v>0.63013698630137</v>
      </c>
      <c r="S97" s="255">
        <f>IF(AND(ISNUMBER(S95),ISNUMBER(N95)),IFERROR(S95/N95-1,""),"")</f>
        <v>0.54553264604811</v>
      </c>
      <c r="T97" s="255">
        <f>IF(AND(ISNUMBER(T95),ISNUMBER(O95)),IFERROR(T95/O95-1,""),"")</f>
        <v>0.383333333333333</v>
      </c>
      <c r="U97" s="255">
        <f>IF(AND(ISNUMBER(U95),ISNUMBER(P95)),IFERROR(U95/P95-1,""),"")</f>
        <v>0.530047265361243</v>
      </c>
      <c r="V97" s="255">
        <f>IF(AND(ISNUMBER(V95),ISNUMBER(Q95)),IFERROR(V95/Q95-1,""),"")</f>
        <v>0.421521590130226</v>
      </c>
      <c r="W97" s="255">
        <f>IF(AND(ISNUMBER(W95),ISNUMBER(R95)),IFERROR(W95/R95-1,""),"")</f>
        <v>0.486748545572075</v>
      </c>
      <c r="X97" s="255">
        <f>IF(AND(ISNUMBER(X95),ISNUMBER(S95)),IFERROR(X95/S95-1,""),"")</f>
        <v>0.37798777098388</v>
      </c>
      <c r="Y97" s="255">
        <f>IF(AND(ISNUMBER(Y95),ISNUMBER(T95)),IFERROR(Y95/T95-1,""),"")</f>
        <v>0.404618473895582</v>
      </c>
      <c r="Z97" s="255">
        <f>IF(AND(ISNUMBER(Z95),ISNUMBER(U95)),IFERROR(Z95/U95-1,""),"")</f>
        <v>0.419682259488085</v>
      </c>
      <c r="AA97" s="255">
        <f>IF(AND(ISNUMBER(AA95),ISNUMBER(V95)),IFERROR(AA95/V95-1,""),"")</f>
        <v>0.527000964320154</v>
      </c>
      <c r="AB97" s="255">
        <f>IF(AND(ISNUMBER(AB95),ISNUMBER(W95)),IFERROR(AB95/W95-1,""),"")</f>
        <v>0.373913043478261</v>
      </c>
      <c r="AC97" s="255">
        <f>IF(AND(ISNUMBER(AC95),ISNUMBER(X95)),IFERROR(AC95/X95-1,""),"")</f>
        <v>0.380798709156918</v>
      </c>
      <c r="AD97" s="255">
        <f>IF(AND(ISNUMBER(AD95),ISNUMBER(Y95)),IFERROR(AD95/Y95-1,""),"")</f>
        <v>0.412794853466762</v>
      </c>
      <c r="AE97" s="255">
        <f>IF(AND(ISNUMBER(AE95),ISNUMBER(Z95)),IFERROR(AE95/Z95-1,""),"")</f>
        <v>0.41974924878251</v>
      </c>
      <c r="AF97" s="255">
        <f>IF(AND(ISNUMBER(AF95),ISNUMBER(AA95)),IFERROR(AF95/AA95-1,""),"")</f>
        <v>0.456583517524471</v>
      </c>
      <c r="AG97" s="255">
        <f>IF(AND(ISNUMBER(AG95),ISNUMBER(AB95)),IFERROR(AG95/AB95-1,""),"")</f>
        <v>0.629113924050633</v>
      </c>
      <c r="AH97" s="255">
        <f>IF(AND(ISNUMBER(AH95),ISNUMBER(AC95)),IFERROR(AH95/AC95-1,""),"")</f>
        <v>0.694127957931639</v>
      </c>
      <c r="AI97" s="255">
        <f>IF(AND(ISNUMBER(AI95),ISNUMBER(AD95)),IFERROR(AI95/AD95-1,""),"")</f>
        <v>0.74500379458639</v>
      </c>
      <c r="AJ97" s="255">
        <f>IF(AND(ISNUMBER(AJ95),ISNUMBER(AE95)),IFERROR(AJ95/AE95-1,""),"")</f>
        <v>0.639030798423588</v>
      </c>
      <c r="AK97" s="255">
        <f>IF(AND(ISNUMBER(AK95),ISNUMBER(AF95)),IFERROR(AK95/AF95-1,""),"")</f>
        <v>0.386299588120529</v>
      </c>
      <c r="AL97" s="255">
        <f>IF(AND(ISNUMBER(AL95),ISNUMBER(AG95)),IFERROR(AL95/AG95-1,""),"")</f>
        <v>0.448135198135198</v>
      </c>
      <c r="AM97" s="255">
        <f>IF(AND(ISNUMBER(AM95),ISNUMBER(AH95)),IFERROR(AM95/AH95-1,""),"")</f>
        <v>0.345404380065529</v>
      </c>
      <c r="AN97" s="255">
        <f>IF(AND(ISNUMBER(AN95),ISNUMBER(AI95)),IFERROR(AN95/AI95-1,""),"")</f>
        <v>0.374746303276312</v>
      </c>
      <c r="AO97" s="255">
        <f>IF(AND(ISNUMBER(AO95),ISNUMBER(AJ95)),IFERROR(AO95/AJ95-1,""),"")</f>
        <v>0.386321132781192</v>
      </c>
      <c r="AP97" s="255">
        <f>IF(AND(ISNUMBER(AP95),ISNUMBER(AK95)),IFERROR(AP95/AK95-1,""),"")</f>
        <v>0.393588741204066</v>
      </c>
      <c r="AQ97" s="255">
        <f>IF(AND(ISNUMBER(AQ95),ISNUMBER(AL95)),IFERROR(AQ95/AL95-1,""),"")</f>
        <v>0.25083836351442</v>
      </c>
      <c r="AR97" s="255">
        <f>IF(AND(ISNUMBER(AR95),ISNUMBER(AM95)),IFERROR(AR95/AM95-1,""),"")</f>
        <v>0.28300435785696</v>
      </c>
      <c r="AS97" s="255">
        <f>IF(AND(ISNUMBER(AS95),ISNUMBER(AN95)),IFERROR(AS95/AN95-1,""),"")</f>
        <v>0.228514183275335</v>
      </c>
      <c r="AT97" s="255">
        <f>IF(AND(ISNUMBER(AT95),ISNUMBER(AO95)),IFERROR(AT95/AO95-1,""),"")</f>
        <v>0.28142866319779</v>
      </c>
      <c r="AU97" s="255">
        <f>IF(AND(ISNUMBER(AU95),ISNUMBER(AP95)),IFERROR(AU95/AP95-1,""),"")</f>
        <v>0.233280969479354</v>
      </c>
      <c r="AV97" s="255">
        <f>IF(AND(ISNUMBER(AV95),ISNUMBER(AQ95)),IFERROR(AV95/AQ95-1,""),"")</f>
        <v>0.305844504021448</v>
      </c>
      <c r="AW97" s="255">
        <f>IF(AND(ISNUMBER(AW95),ISNUMBER(AR95)),IFERROR(AW95/AR95-1,""),"")</f>
        <v>0.41988011988012</v>
      </c>
      <c r="AX97" s="255">
        <f>IF(AND(ISNUMBER(AX95),ISNUMBER(AS95)),IFERROR(AX95/AS95-1,""),"")</f>
        <v>0.430557939914163</v>
      </c>
      <c r="AY97" s="255">
        <f>IF(AND(ISNUMBER(AY95),ISNUMBER(AT95)),IFERROR(AY95/AT95-1,""),"")</f>
        <v>0.354647082414277</v>
      </c>
      <c r="AZ97" s="255">
        <f>IF(AND(ISNUMBER(AZ95),ISNUMBER(AU95)),IFERROR(AZ95/AU95-1,""),"")</f>
        <v>0.34018742607588</v>
      </c>
      <c r="BA97" s="255">
        <f>IF(AND(ISNUMBER(BA95),ISNUMBER(AV95)),IFERROR(BA95/AV95-1,""),"")</f>
        <v>0.24283485259095</v>
      </c>
      <c r="BB97" s="255">
        <f>IF(AND(ISNUMBER(BB95),ISNUMBER(AW95)),IFERROR(BB95/AW95-1,""),"")</f>
        <v>0.148807429817772</v>
      </c>
      <c r="BC97" s="255">
        <f>IF(AND(ISNUMBER(BC95),ISNUMBER(AX95)),IFERROR(BC95/AX95-1,""),"")</f>
        <v>-0.0289211568462738</v>
      </c>
      <c r="BD97" s="255">
        <f>IF(AND(ISNUMBER(BD95),ISNUMBER(AY95)),IFERROR(BD95/AY95-1,""),"")</f>
        <v>0.154149320011102</v>
      </c>
      <c r="BE97" s="255">
        <f>IF(AND(ISNUMBER(BE95),ISNUMBER(AZ95)),IFERROR(BE95/AZ95-1,""),"")</f>
        <v>-0.00210454854039377</v>
      </c>
      <c r="BF97" s="255">
        <f>IF(AND(ISNUMBER(BF95),ISNUMBER(BA95)),IFERROR(BF95/BA95-1,""),"")</f>
        <v>-0.122902074798467</v>
      </c>
      <c r="BG97" s="255">
        <f>IF(AND(ISNUMBER(BG95),ISNUMBER(BB95)),IFERROR(BG95/BB95-1,""),"")</f>
        <v>-0.162910338069574</v>
      </c>
      <c r="BH97" s="255">
        <f>IF(AND(ISNUMBER(BH95),ISNUMBER(BC95)),IFERROR(BH95/BC95-1,""),"")</f>
        <v>-0.0125432525951558</v>
      </c>
      <c r="BI97" s="255">
        <f>IF(AND(ISNUMBER(BI95),ISNUMBER(BD95)),IFERROR(BI95/BD95-1,""),"")</f>
        <v>-0.0762152109785815</v>
      </c>
      <c r="BJ97" s="255">
        <f>IF(AND(ISNUMBER(BJ95),ISNUMBER(BE95)),IFERROR(BJ95/BE95-1,""),"")</f>
        <v>0.0681679025784068</v>
      </c>
      <c r="BK97" s="255">
        <f>IF(AND(ISNUMBER(BK95),ISNUMBER(BF95)),IFERROR(BK95/BF95-1,""),"")</f>
        <v>0.203179147205063</v>
      </c>
      <c r="BL97" s="255">
        <f>IF(AND(ISNUMBER(BL95),ISNUMBER(BG95)),IFERROR(BL95/BG95-1,""),"")</f>
        <v>0.094673690371671</v>
      </c>
      <c r="BM97" s="255">
        <f>IF(AND(ISNUMBER(BM95),ISNUMBER(BH95)),IFERROR(BM95/BH95-1,""),"")</f>
        <v>0.11682623114949</v>
      </c>
      <c r="BN97" s="255">
        <f>IF(AND(ISNUMBER(BN95),ISNUMBER(BI95)),IFERROR(BN95/BI95-1,""),"")</f>
        <v>0.119069105549964</v>
      </c>
      <c r="BO97" s="255">
        <f>IF(AND(ISNUMBER(BO95),ISNUMBER(BJ95)),IFERROR(BO95/BJ95-1,""),"")</f>
        <v>0.0643908031335583</v>
      </c>
      <c r="BP97" s="255">
        <f>IF(AND(ISNUMBER(BP95),ISNUMBER(BK95)),IFERROR(BP95/BK95-1,""),"")</f>
        <v>0.12071880283013</v>
      </c>
      <c r="BQ97" s="255">
        <f>IF(AND(ISNUMBER(BQ95),ISNUMBER(BL95)),IFERROR(BQ95/BL95-1,""),"")</f>
        <v>0.349351690950408</v>
      </c>
      <c r="BR97" s="255">
        <f>IF(AND(ISNUMBER(BR95),ISNUMBER(BM95)),IFERROR(BR95/BM95-1,""),"")</f>
        <v>0.336116091438817</v>
      </c>
      <c r="BS97" s="255">
        <f>IF(AND(ISNUMBER(BS95),ISNUMBER(BN95)),IFERROR(BS95/BN95-1,""),"")</f>
        <v>0.21965479273607</v>
      </c>
      <c r="BT97" s="255">
        <f>IF(AND(ISNUMBER(BT95),ISNUMBER(BO95)),IFERROR(BT95/BO95-1,""),"")</f>
        <v>0.280995691718526</v>
      </c>
      <c r="BU97" s="255">
        <f>IF(AND(ISNUMBER(BU95),ISNUMBER(BP95)),IFERROR(BU95/BP95-1,""),"")</f>
        <v>0.3649924576792</v>
      </c>
      <c r="BV97" s="256">
        <f>IF(AND(ISNUMBER(BV95),ISNUMBER(BQ95)),IFERROR(BV95/BQ95-1,""),"")</f>
        <v>0.397899912187734</v>
      </c>
      <c r="BW97" s="256">
        <f>IF(AND(ISNUMBER(BW95),ISNUMBER(BR95)),IFERROR(BW95/BR95-1,""),"")</f>
        <v>0.422354773046583</v>
      </c>
      <c r="BX97" s="256">
        <f>IF(AND(ISNUMBER(BX95),ISNUMBER(BS95)),IFERROR(BX95/BS95-1,""),"")</f>
        <v>0.372984291835671</v>
      </c>
      <c r="BY97" s="256">
        <f>IF(AND(ISNUMBER(BY95),ISNUMBER(BX95)),IFERROR(BY95/BX95-1,""),"")</f>
        <v>0.142242300333399</v>
      </c>
      <c r="BZ97" s="256">
        <f>IF(AND(ISNUMBER(BZ95),ISNUMBER(BY95)),IFERROR(BZ95/BY95-1,""),"")</f>
        <v>0.129691486583252</v>
      </c>
      <c r="CA97" s="256">
        <f>IF(AND(ISNUMBER(CA95),ISNUMBER(BZ95)),IFERROR(CA95/BZ95-1,""),"")</f>
        <v>0.10802243936116</v>
      </c>
      <c r="CB97" s="256">
        <f>IF(AND(ISNUMBER(CB95),ISNUMBER(CA95)),IFERROR(CB95/CA95-1,""),"")</f>
        <v>0.10064623149141</v>
      </c>
      <c r="CC97" s="256">
        <f>IF(AND(ISNUMBER(CC95),ISNUMBER(CB95)),IFERROR(CC95/CB95-1,""),"")</f>
        <v>0.0893644675812109</v>
      </c>
      <c r="CD97" s="153" t="n"/>
    </row>
    <row r="98" ht="15" customHeight="1" s="251">
      <c r="B98" s="25" t="inlineStr">
        <is>
          <t xml:space="preserve">  Cost lines — share of total costs excluding one-offs (forecast presentation; one-offs booked in G&amp;A):</t>
        </is>
      </c>
      <c r="CD98" s="153" t="n"/>
    </row>
    <row r="99" ht="15" customHeight="1" s="251">
      <c r="B99" s="25" t="inlineStr">
        <is>
          <t xml:space="preserve">    Cost of revenue %</t>
        </is>
      </c>
      <c r="C99" s="215">
        <f>IFERROR(C110/(C114-N(C93)-N(C94)),"")</f>
        <v>0.433009708737864</v>
      </c>
      <c r="D99" s="215">
        <f>IFERROR(D110/(D114-N(D93)-N(D94)),"")</f>
        <v>0.523354564755839</v>
      </c>
      <c r="E99" s="215">
        <f>IFERROR(E110/(E114-N(E93)-N(E94)),"")</f>
        <v>0.439897698209719</v>
      </c>
      <c r="F99" s="215">
        <f>IFERROR(F110/(F114-N(F93)-N(F94)),"")</f>
        <v>0.299714348494836</v>
      </c>
      <c r="G99" s="215">
        <f>IFERROR(G110/(G114-N(G93)-N(G94)),"")</f>
        <v>0.380645161290323</v>
      </c>
      <c r="H99" s="215">
        <f>IFERROR(H110/(H114-N(H93)-N(H94)),"")</f>
        <v>0.371702637889688</v>
      </c>
      <c r="I99" s="215">
        <f>IFERROR(I110/(I114-N(I93)-N(I94)),"")</f>
        <v>0.39609375</v>
      </c>
      <c r="J99" s="215">
        <f>IFERROR(J110/(J114-N(J93)-N(J94)),"")</f>
        <v>0.338154269972452</v>
      </c>
      <c r="K99" s="215">
        <f>IFERROR(K110/(K114-N(K93)-N(K94)),"")</f>
        <v>0.369968429360695</v>
      </c>
      <c r="L99" s="215">
        <f>IFERROR(L110/(L114-N(L93)-N(L94)),"")</f>
        <v>0.323756131744919</v>
      </c>
      <c r="M99" s="215">
        <f>IFERROR(M110/(M114-N(M93)-N(M94)),"")</f>
        <v>0.311184210526316</v>
      </c>
      <c r="N99" s="215">
        <f>IFERROR(N110/(N114-N(N93)-N(N94)),"")</f>
        <v>0.312846068660022</v>
      </c>
      <c r="O99" s="215">
        <f>IFERROR(O110/(O114-N(O93)-N(O94)),"")</f>
        <v>0.240250183958793</v>
      </c>
      <c r="P99" s="215">
        <f>IFERROR(P110/(P114-N(P93)-N(P94)),"")</f>
        <v>0.288142398286938</v>
      </c>
      <c r="Q99" s="215">
        <f>IFERROR(Q110/(Q114-N(Q93)-N(Q94)),"")</f>
        <v>0.250574712643678</v>
      </c>
      <c r="R99" s="215">
        <f>IFERROR(R110/(R114-N(R93)-N(R94)),"")</f>
        <v>0.241242325749368</v>
      </c>
      <c r="S99" s="215">
        <f>IFERROR(S110/(S114-N(S93)-N(S94)),"")</f>
        <v>0.236686390532544</v>
      </c>
      <c r="T99" s="215">
        <f>IFERROR(T110/(T114-N(T93)-N(T94)),"")</f>
        <v>0.251142944224322</v>
      </c>
      <c r="U99" s="215">
        <f>IFERROR(U110/(U114-N(U93)-N(U94)),"")</f>
        <v>0.244979919678715</v>
      </c>
      <c r="V99" s="215">
        <f>IFERROR(V110/(V114-N(V93)-N(V94)),"")</f>
        <v>0.248443522087163</v>
      </c>
      <c r="W99" s="215">
        <f>IFERROR(W110/(W114-N(W93)-N(W94)),"")</f>
        <v>0.248238482384824</v>
      </c>
      <c r="X99" s="215">
        <f>IFERROR(X110/(X114-N(X93)-N(X94)),"")</f>
        <v>0.253792748778606</v>
      </c>
      <c r="Y99" s="215">
        <f>IFERROR(Y110/(Y114-N(Y93)-N(Y94)),"")</f>
        <v>0.246759368371435</v>
      </c>
      <c r="Z99" s="215">
        <f>IFERROR(Z110/(Z114-N(Z93)-N(Z94)),"")</f>
        <v>0.249096048911972</v>
      </c>
      <c r="AA99" s="215">
        <f>IFERROR(AA110/(AA114-N(AA93)-N(AA94)),"")</f>
        <v>0.246333687566419</v>
      </c>
      <c r="AB99" s="215">
        <f>IFERROR(AB110/(AB114-N(AB93)-N(AB94)),"")</f>
        <v>0.251422764227642</v>
      </c>
      <c r="AC99" s="215">
        <f>IFERROR(AC110/(AC114-N(AC93)-N(AC94)),"")</f>
        <v>0.278140606991932</v>
      </c>
      <c r="AD99" s="215">
        <f>IFERROR(AD110/(AD114-N(AD93)-N(AD94)),"")</f>
        <v>0.286654804270463</v>
      </c>
      <c r="AE99" s="215">
        <f>IFERROR(AE110/(AE114-N(AE93)-N(AE94)),"")</f>
        <v>0.266699266503668</v>
      </c>
      <c r="AF99" s="215">
        <f>IFERROR(AF110/(AF114-N(AF93)-N(AF94)),"")</f>
        <v>0.295688200092067</v>
      </c>
      <c r="AG99" s="215">
        <f>IFERROR(AG110/(AG114-N(AG93)-N(AG94)),"")</f>
        <v>0.300488599348534</v>
      </c>
      <c r="AH99" s="215">
        <f>IFERROR(AH110/(AH114-N(AH93)-N(AH94)),"")</f>
        <v>0.304304052353385</v>
      </c>
      <c r="AI99" s="215">
        <f>IFERROR(AI110/(AI114-N(AI93)-N(AI94)),"")</f>
        <v>0.307455465141852</v>
      </c>
      <c r="AJ99" s="215">
        <f>IFERROR(AJ110/(AJ114-N(AJ93)-N(AJ94)),"")</f>
        <v>0.30250606305578</v>
      </c>
      <c r="AK99" s="215">
        <f>IFERROR(AK110/(AK114-N(AK93)-N(AK94)),"")</f>
        <v>0.321461187214612</v>
      </c>
      <c r="AL99" s="215">
        <f>IFERROR(AL110/(AL114-N(AL93)-N(AL94)),"")</f>
        <v>0.322319688109162</v>
      </c>
      <c r="AM99" s="215">
        <f>IFERROR(AM110/(AM114-N(AM93)-N(AM94)),"")</f>
        <v>0.3014235215439</v>
      </c>
      <c r="AN99" s="215">
        <f>IFERROR(AN110/(AN114-N(AN93)-N(AN94)),"")</f>
        <v>0.285667539267016</v>
      </c>
      <c r="AO99" s="215">
        <f>IFERROR(AO110/(AO114-N(AO93)-N(AO94)),"")</f>
        <v>0.306154251876004</v>
      </c>
      <c r="AP99" s="215">
        <f>IFERROR(AP110/(AP114-N(AP93)-N(AP94)),"")</f>
        <v>0.292046605876393</v>
      </c>
      <c r="AQ99" s="215">
        <f>IFERROR(AQ110/(AQ114-N(AQ93)-N(AQ94)),"")</f>
        <v>0.300927381326627</v>
      </c>
      <c r="AR99" s="215">
        <f>IFERROR(AR110/(AR114-N(AR93)-N(AR94)),"")</f>
        <v>0.312285927029039</v>
      </c>
      <c r="AS99" s="215">
        <f>IFERROR(AS110/(AS114-N(AS93)-N(AS94)),"")</f>
        <v>0.340589658102896</v>
      </c>
      <c r="AT99" s="215">
        <f>IFERROR(AT110/(AT114-N(AT93)-N(AT94)),"")</f>
        <v>0.313205989417195</v>
      </c>
      <c r="AU99" s="215">
        <f>IFERROR(AU110/(AU114-N(AU93)-N(AU94)),"")</f>
        <v>0.346853241397959</v>
      </c>
      <c r="AV99" s="215">
        <f>IFERROR(AV110/(AV114-N(AV93)-N(AV94)),"")</f>
        <v>0.323099940155595</v>
      </c>
      <c r="AW99" s="215">
        <f>IFERROR(AW110/(AW114-N(AW93)-N(AW94)),"")</f>
        <v>0.310485823424974</v>
      </c>
      <c r="AX99" s="215">
        <f>IFERROR(AX110/(AX114-N(AX93)-N(AX94)),"")</f>
        <v>0.301052831262449</v>
      </c>
      <c r="AY99" s="215">
        <f>IFERROR(AY110/(AY114-N(AY93)-N(AY94)),"")</f>
        <v>0.318211194784759</v>
      </c>
      <c r="AZ99" s="215">
        <f>IFERROR(AZ110/(AZ114-N(AZ93)-N(AZ94)),"")</f>
        <v>0.309791580685101</v>
      </c>
      <c r="BA99" s="215">
        <f>IFERROR(BA110/(BA114-N(BA93)-N(BA94)),"")</f>
        <v>0.253713838936669</v>
      </c>
      <c r="BB99" s="215">
        <f>IFERROR(BB110/(BB114-N(BB93)-N(BB94)),"")</f>
        <v>0.264177104034755</v>
      </c>
      <c r="BC99" s="215">
        <f>IFERROR(BC110/(BC114-N(BC93)-N(BC94)),"")</f>
        <v>0.386498516320475</v>
      </c>
      <c r="BD99" s="215">
        <f>IFERROR(BD110/(BD114-N(BD93)-N(BD94)),"")</f>
        <v>0.304007031569822</v>
      </c>
      <c r="BE99" s="215">
        <f>IFERROR(BE110/(BE114-N(BE93)-N(BE94)),"")</f>
        <v>0.301272565847884</v>
      </c>
      <c r="BF99" s="215">
        <f>IFERROR(BF110/(BF114-N(BF93)-N(BF94)),"")</f>
        <v>0.297890464498672</v>
      </c>
      <c r="BG99" s="215">
        <f>IFERROR(BG110/(BG114-N(BG93)-N(BG94)),"")</f>
        <v>0.310220801278849</v>
      </c>
      <c r="BH99" s="215">
        <f>IFERROR(BH110/(BH114-N(BH93)-N(BH94)),"")</f>
        <v>0.340833591708376</v>
      </c>
      <c r="BI99" s="215">
        <f>IFERROR(BI110/(BI114-N(BI93)-N(BI94)),"")</f>
        <v>0.313412293092832</v>
      </c>
      <c r="BJ99" s="215">
        <f>IFERROR(BJ110/(BJ114-N(BJ93)-N(BJ94)),"")</f>
        <v>0.293325087246543</v>
      </c>
      <c r="BK99" s="215">
        <f>IFERROR(BK110/(BK114-N(BK93)-N(BK94)),"")</f>
        <v>0.30168428005284</v>
      </c>
      <c r="BL99" s="215">
        <f>IFERROR(BL110/(BL114-N(BL93)-N(BL94)),"")</f>
        <v>0.317354447265373</v>
      </c>
      <c r="BM99" s="215">
        <f>IFERROR(BM110/(BM114-N(BM93)-N(BM94)),"")</f>
        <v>0.332668423033496</v>
      </c>
      <c r="BN99" s="215">
        <f>IFERROR(BN110/(BN114-N(BN93)-N(BN94)),"")</f>
        <v>0.311996358783917</v>
      </c>
      <c r="BO99" s="215">
        <f>IFERROR(BO110/(BO114-N(BO93)-N(BO94)),"")</f>
        <v>0.305828183690779</v>
      </c>
      <c r="BP99" s="215">
        <f>IFERROR(BP110/(BP114-N(BP93)-N(BP94)),"")</f>
        <v>0.313610341643583</v>
      </c>
      <c r="BQ99" s="215">
        <f>IFERROR(BQ110/(BQ114-N(BQ93)-N(BQ94)),"")</f>
        <v>0.299801348226789</v>
      </c>
      <c r="BR99" s="215">
        <f>IFERROR(BR110/(BR114-N(BR93)-N(BR94)),"")</f>
        <v>0.310259474223284</v>
      </c>
      <c r="BS99" s="215">
        <f>IFERROR(BS110/(BS114-N(BS93)-N(BS94)),"")</f>
        <v>0.307375308012575</v>
      </c>
      <c r="BT99" s="215">
        <f>IFERROR(BT110/(BT114-N(BT93)-N(BT94)),"")</f>
        <v>0.305571338855827</v>
      </c>
      <c r="BU99" s="215">
        <f>IFERROR(BU110/(BU114-N(BU93)-N(BU94)),"")</f>
        <v>0.294699058419602</v>
      </c>
      <c r="BV99" s="256">
        <f>IFERROR(SUM(BT110:BU110)/(SUM(BT114:BU114)-SUM(BT93:BU93)-SUM(BT94:BU94)),0)</f>
        <v>0.299756555609654</v>
      </c>
      <c r="BW99" s="256">
        <f>IFERROR(SUM(BT110:BU110)/(SUM(BT114:BU114)-SUM(BT93:BU93)-SUM(BT94:BU94)),0)</f>
        <v>0.299756555609654</v>
      </c>
      <c r="BX99" s="24" t="n"/>
      <c r="BY99" s="256">
        <f>$BW$99</f>
        <v>0.299756555609654</v>
      </c>
      <c r="BZ99" s="256">
        <f>$BW$99</f>
        <v>0.299756555609654</v>
      </c>
      <c r="CA99" s="256">
        <f>$BW$99</f>
        <v>0.299756555609654</v>
      </c>
      <c r="CB99" s="256">
        <f>$BW$99</f>
        <v>0.299756555609654</v>
      </c>
      <c r="CC99" s="256">
        <f>$BW$99</f>
        <v>0.299756555609654</v>
      </c>
      <c r="CD99" s="153" t="inlineStr">
        <is>
          <t>Q3/Q4-26E: 1H/26 mix (G&amp;A excluding the Q2 legal charges; the Q2 severance spread across the lines is not separable). 2027E+: held.</t>
        </is>
      </c>
    </row>
    <row r="100" ht="15" customHeight="1" s="251">
      <c r="B100" s="25" t="inlineStr">
        <is>
          <t xml:space="preserve">    Research &amp; development %</t>
        </is>
      </c>
      <c r="C100" s="215">
        <f>IFERROR(C111/(C114-N(C93)-N(C94)),"")</f>
        <v>0.168932038834951</v>
      </c>
      <c r="D100" s="215">
        <f>IFERROR(D111/(D114-N(D93)-N(D94)),"")</f>
        <v>0.152866242038217</v>
      </c>
      <c r="E100" s="215">
        <f>IFERROR(E111/(E114-N(E93)-N(E94)),"")</f>
        <v>0.19846547314578</v>
      </c>
      <c r="F100" s="215">
        <f>IFERROR(F111/(F114-N(F93)-N(F94)),"")</f>
        <v>0.307404965941551</v>
      </c>
      <c r="G100" s="215">
        <f>IFERROR(G111/(G114-N(G93)-N(G94)),"")</f>
        <v>0.270046082949309</v>
      </c>
      <c r="H100" s="215">
        <f>IFERROR(H111/(H114-N(H93)-N(H94)),"")</f>
        <v>0.27498001598721</v>
      </c>
      <c r="I100" s="215">
        <f>IFERROR(I111/(I114-N(I93)-N(I94)),"")</f>
        <v>0.28828125</v>
      </c>
      <c r="J100" s="215">
        <f>IFERROR(J111/(J114-N(J93)-N(J94)),"")</f>
        <v>0.28099173553719</v>
      </c>
      <c r="K100" s="215">
        <f>IFERROR(K111/(K114-N(K93)-N(K94)),"")</f>
        <v>0.279202841357538</v>
      </c>
      <c r="L100" s="215">
        <f>IFERROR(L111/(L114-N(L93)-N(L94)),"")</f>
        <v>0.31885073580939</v>
      </c>
      <c r="M100" s="215">
        <f>IFERROR(M111/(M114-N(M93)-N(M94)),"")</f>
        <v>0.323684210526316</v>
      </c>
      <c r="N100" s="215">
        <f>IFERROR(N111/(N114-N(N93)-N(N94)),"")</f>
        <v>0.336655592469546</v>
      </c>
      <c r="O100" s="215">
        <f>IFERROR(O111/(O114-N(O93)-N(O94)),"")</f>
        <v>0.408756438557763</v>
      </c>
      <c r="P100" s="215">
        <f>IFERROR(P111/(P114-N(P93)-N(P94)),"")</f>
        <v>0.356798715203426</v>
      </c>
      <c r="Q100" s="215">
        <f>IFERROR(Q111/(Q114-N(Q93)-N(Q94)),"")</f>
        <v>0.406896551724138</v>
      </c>
      <c r="R100" s="215">
        <f>IFERROR(R111/(R114-N(R93)-N(R94)),"")</f>
        <v>0.422535211267606</v>
      </c>
      <c r="S100" s="215">
        <f>IFERROR(S111/(S114-N(S93)-N(S94)),"")</f>
        <v>0.417817225509533</v>
      </c>
      <c r="T100" s="215">
        <f>IFERROR(T111/(T114-N(T93)-N(T94)),"")</f>
        <v>0.400487656202377</v>
      </c>
      <c r="U100" s="215">
        <f>IFERROR(U111/(U114-N(U93)-N(U94)),"")</f>
        <v>0.411518414081859</v>
      </c>
      <c r="V100" s="215">
        <f>IFERROR(V111/(V114-N(V93)-N(V94)),"")</f>
        <v>0.398161873702935</v>
      </c>
      <c r="W100" s="215">
        <f>IFERROR(W111/(W114-N(W93)-N(W94)),"")</f>
        <v>0.396476964769648</v>
      </c>
      <c r="X100" s="215">
        <f>IFERROR(X111/(X114-N(X93)-N(X94)),"")</f>
        <v>0.395731550527128</v>
      </c>
      <c r="Y100" s="215">
        <f>IFERROR(Y111/(Y114-N(Y93)-N(Y94)),"")</f>
        <v>0.368371435305209</v>
      </c>
      <c r="Z100" s="215">
        <f>IFERROR(Z111/(Z114-N(Z93)-N(Z94)),"")</f>
        <v>0.389126290184735</v>
      </c>
      <c r="AA100" s="215">
        <f>IFERROR(AA111/(AA114-N(AA93)-N(AA94)),"")</f>
        <v>0.389798087141339</v>
      </c>
      <c r="AB100" s="215">
        <f>IFERROR(AB111/(AB114-N(AB93)-N(AB94)),"")</f>
        <v>0.390040650406504</v>
      </c>
      <c r="AC100" s="215">
        <f>IFERROR(AC111/(AC114-N(AC93)-N(AC94)),"")</f>
        <v>0.394160583941606</v>
      </c>
      <c r="AD100" s="215">
        <f>IFERROR(AD111/(AD114-N(AD93)-N(AD94)),"")</f>
        <v>0.346797153024911</v>
      </c>
      <c r="AE100" s="215">
        <f>IFERROR(AE111/(AE114-N(AE93)-N(AE94)),"")</f>
        <v>0.379168704156479</v>
      </c>
      <c r="AF100" s="215">
        <f>IFERROR(AF111/(AF114-N(AF93)-N(AF94)),"")</f>
        <v>0.343409544268835</v>
      </c>
      <c r="AG100" s="215">
        <f>IFERROR(AG111/(AG114-N(AG93)-N(AG94)),"")</f>
        <v>0.34242671009772</v>
      </c>
      <c r="AH100" s="215">
        <f>IFERROR(AH111/(AH114-N(AH93)-N(AH94)),"")</f>
        <v>0.334382079033476</v>
      </c>
      <c r="AI100" s="215">
        <f>IFERROR(AI111/(AI114-N(AI93)-N(AI94)),"")</f>
        <v>0.313943259291841</v>
      </c>
      <c r="AJ100" s="215">
        <f>IFERROR(AJ111/(AJ114-N(AJ93)-N(AJ94)),"")</f>
        <v>0.332190784155214</v>
      </c>
      <c r="AK100" s="215">
        <f>IFERROR(AK111/(AK114-N(AK93)-N(AK94)),"")</f>
        <v>0.32648401826484</v>
      </c>
      <c r="AL100" s="215">
        <f>IFERROR(AL111/(AL114-N(AL93)-N(AL94)),"")</f>
        <v>0.323099415204678</v>
      </c>
      <c r="AM100" s="215">
        <f>IFERROR(AM111/(AM114-N(AM93)-N(AM94)),"")</f>
        <v>0.338970096493742</v>
      </c>
      <c r="AN100" s="215">
        <f>IFERROR(AN111/(AN114-N(AN93)-N(AN94)),"")</f>
        <v>0.317162958115183</v>
      </c>
      <c r="AO100" s="215">
        <f>IFERROR(AO111/(AO114-N(AO93)-N(AO94)),"")</f>
        <v>0.326053079523387</v>
      </c>
      <c r="AP100" s="215">
        <f>IFERROR(AP111/(AP114-N(AP93)-N(AP94)),"")</f>
        <v>0.338990206011483</v>
      </c>
      <c r="AQ100" s="215">
        <f>IFERROR(AQ111/(AQ114-N(AQ93)-N(AQ94)),"")</f>
        <v>0.350675888085508</v>
      </c>
      <c r="AR100" s="215">
        <f>IFERROR(AR111/(AR114-N(AR93)-N(AR94)),"")</f>
        <v>0.354653760238273</v>
      </c>
      <c r="AS100" s="215">
        <f>IFERROR(AS111/(AS114-N(AS93)-N(AS94)),"")</f>
        <v>0.340458913512453</v>
      </c>
      <c r="AT100" s="215">
        <f>IFERROR(AT111/(AT114-N(AT93)-N(AT94)),"")</f>
        <v>0.346136525687695</v>
      </c>
      <c r="AU100" s="215">
        <f>IFERROR(AU111/(AU114-N(AU93)-N(AU94)),"")</f>
        <v>0.351314811059285</v>
      </c>
      <c r="AV100" s="215">
        <f>IFERROR(AV111/(AV114-N(AV93)-N(AV94)),"")</f>
        <v>0.364811490125673</v>
      </c>
      <c r="AW100" s="215">
        <f>IFERROR(AW111/(AW114-N(AW93)-N(AW94)),"")</f>
        <v>0.33980739226341</v>
      </c>
      <c r="AX100" s="215">
        <f>IFERROR(AX111/(AX114-N(AX93)-N(AX94)),"")</f>
        <v>0.334155363748459</v>
      </c>
      <c r="AY100" s="215">
        <f>IFERROR(AY111/(AY114-N(AY93)-N(AY94)),"")</f>
        <v>0.34639485219737</v>
      </c>
      <c r="AZ100" s="215">
        <f>IFERROR(AZ111/(AZ114-N(AZ93)-N(AZ94)),"")</f>
        <v>0.397595955427156</v>
      </c>
      <c r="BA100" s="215">
        <f>IFERROR(BA111/(BA114-N(BA93)-N(BA94)),"")</f>
        <v>0.424648162627052</v>
      </c>
      <c r="BB100" s="215">
        <f>IFERROR(BB111/(BB114-N(BB93)-N(BB94)),"")</f>
        <v>0.423811064380459</v>
      </c>
      <c r="BC100" s="215">
        <f>IFERROR(BC111/(BC114-N(BC93)-N(BC94)),"")</f>
        <v>0.453032270029674</v>
      </c>
      <c r="BD100" s="215">
        <f>IFERROR(BD111/(BD114-N(BD93)-N(BD94)),"")</f>
        <v>0.425482216389337</v>
      </c>
      <c r="BE100" s="215">
        <f>IFERROR(BE111/(BE114-N(BE93)-N(BE94)),"")</f>
        <v>0.462710861201539</v>
      </c>
      <c r="BF100" s="215">
        <f>IFERROR(BF111/(BF114-N(BF93)-N(BF94)),"")</f>
        <v>0.468206644285213</v>
      </c>
      <c r="BG100" s="215">
        <f>IFERROR(BG111/(BG114-N(BG93)-N(BG94)),"")</f>
        <v>0.461634528923968</v>
      </c>
      <c r="BH100" s="215">
        <f>IFERROR(BH111/(BH114-N(BH93)-N(BH94)),"")</f>
        <v>0.465828055100323</v>
      </c>
      <c r="BI100" s="215">
        <f>IFERROR(BI111/(BI114-N(BI93)-N(BI94)),"")</f>
        <v>0.464619025197098</v>
      </c>
      <c r="BJ100" s="215">
        <f>IFERROR(BJ111/(BJ114-N(BJ93)-N(BJ94)),"")</f>
        <v>0.440782789238857</v>
      </c>
      <c r="BK100" s="215">
        <f>IFERROR(BK111/(BK114-N(BK93)-N(BK94)),"")</f>
        <v>0.434981836195509</v>
      </c>
      <c r="BL100" s="215">
        <f>IFERROR(BL111/(BL114-N(BL93)-N(BL94)),"")</f>
        <v>0.480958733164078</v>
      </c>
      <c r="BM100" s="215">
        <f>IFERROR(BM111/(BM114-N(BM93)-N(BM94)),"")</f>
        <v>0.458411742566805</v>
      </c>
      <c r="BN100" s="215">
        <f>IFERROR(BN111/(BN114-N(BN93)-N(BN94)),"")</f>
        <v>0.453838276215204</v>
      </c>
      <c r="BO100" s="215">
        <f>IFERROR(BO111/(BO114-N(BO93)-N(BO94)),"")</f>
        <v>0.490730643402399</v>
      </c>
      <c r="BP100" s="215">
        <f>IFERROR(BP111/(BP114-N(BP93)-N(BP94)),"")</f>
        <v>0.478005540166205</v>
      </c>
      <c r="BQ100" s="215">
        <f>IFERROR(BQ111/(BQ114-N(BQ93)-N(BQ94)),"")</f>
        <v>0.493177451395447</v>
      </c>
      <c r="BR100" s="215">
        <f>IFERROR(BR111/(BR114-N(BR93)-N(BR94)),"")</f>
        <v>0.487538409013315</v>
      </c>
      <c r="BS100" s="215">
        <f>IFERROR(BS111/(BS114-N(BS93)-N(BS94)),"")</f>
        <v>0.487484068315065</v>
      </c>
      <c r="BT100" s="215">
        <f>IFERROR(BT111/(BT114-N(BT93)-N(BT94)),"")</f>
        <v>0.529292143903825</v>
      </c>
      <c r="BU100" s="215">
        <f>IFERROR(BU111/(BU114-N(BU93)-N(BU94)),"")</f>
        <v>0.563283566560891</v>
      </c>
      <c r="BV100" s="256">
        <f>IFERROR(SUM(BT111:BU111)/(SUM(BT114:BU114)-SUM(BT93:BU93)-SUM(BT94:BU94)),0)</f>
        <v>0.54747165611741</v>
      </c>
      <c r="BW100" s="256">
        <f>IFERROR(SUM(BT111:BU111)/(SUM(BT114:BU114)-SUM(BT93:BU93)-SUM(BT94:BU94)),0)</f>
        <v>0.54747165611741</v>
      </c>
      <c r="BX100" s="24" t="n"/>
      <c r="BY100" s="256">
        <f>$BW$100</f>
        <v>0.54747165611741</v>
      </c>
      <c r="BZ100" s="256">
        <f>$BW$100</f>
        <v>0.54747165611741</v>
      </c>
      <c r="CA100" s="256">
        <f>$BW$100</f>
        <v>0.54747165611741</v>
      </c>
      <c r="CB100" s="256">
        <f>$BW$100</f>
        <v>0.54747165611741</v>
      </c>
      <c r="CC100" s="256">
        <f>$BW$100</f>
        <v>0.54747165611741</v>
      </c>
      <c r="CD100" s="153" t="n"/>
    </row>
    <row r="101" ht="15" customHeight="1" s="251">
      <c r="B101" s="25" t="inlineStr">
        <is>
          <t xml:space="preserve">    Marketing &amp; sales %</t>
        </is>
      </c>
      <c r="C101" s="215">
        <f>IFERROR(C112/(C114-N(C93)-N(C94)),"")</f>
        <v>0.223300970873786</v>
      </c>
      <c r="D101" s="215">
        <f>IFERROR(D112/(D114-N(D93)-N(D94)),"")</f>
        <v>0.195329087048832</v>
      </c>
      <c r="E101" s="215">
        <f>IFERROR(E112/(E114-N(E93)-N(E94)),"")</f>
        <v>0.218414322250639</v>
      </c>
      <c r="F101" s="215">
        <f>IFERROR(F112/(F114-N(F93)-N(F94)),"")</f>
        <v>0.196879806635904</v>
      </c>
      <c r="G101" s="215">
        <f>IFERROR(G112/(G114-N(G93)-N(G94)),"")</f>
        <v>0.187096774193548</v>
      </c>
      <c r="H101" s="215">
        <f>IFERROR(H112/(H114-N(H93)-N(H94)),"")</f>
        <v>0.215027977617906</v>
      </c>
      <c r="I101" s="215">
        <f>IFERROR(I112/(I114-N(I93)-N(I94)),"")</f>
        <v>0.18203125</v>
      </c>
      <c r="J101" s="215">
        <f>IFERROR(J112/(J114-N(J93)-N(J94)),"")</f>
        <v>0.201101928374656</v>
      </c>
      <c r="K101" s="215">
        <f>IFERROR(K112/(K114-N(K93)-N(K94)),"")</f>
        <v>0.19672454617206</v>
      </c>
      <c r="L101" s="215">
        <f>IFERROR(L112/(L114-N(L93)-N(L94)),"")</f>
        <v>0.226348983882271</v>
      </c>
      <c r="M101" s="215">
        <f>IFERROR(M112/(M114-N(M93)-N(M94)),"")</f>
        <v>0.235526315789474</v>
      </c>
      <c r="N101" s="215">
        <f>IFERROR(N112/(N114-N(N93)-N(N94)),"")</f>
        <v>0.207087486157254</v>
      </c>
      <c r="O101" s="215">
        <f>IFERROR(O112/(O114-N(O93)-N(O94)),"")</f>
        <v>0.229580573951435</v>
      </c>
      <c r="P101" s="215">
        <f>IFERROR(P112/(P114-N(P93)-N(P94)),"")</f>
        <v>0.224839400428266</v>
      </c>
      <c r="Q101" s="215">
        <f>IFERROR(Q112/(Q114-N(Q93)-N(Q94)),"")</f>
        <v>0.237547892720307</v>
      </c>
      <c r="R101" s="215">
        <f>IFERROR(R112/(R114-N(R93)-N(R94)),"")</f>
        <v>0.22607439508848</v>
      </c>
      <c r="S101" s="215">
        <f>IFERROR(S112/(S114-N(S93)-N(S94)),"")</f>
        <v>0.232084155161078</v>
      </c>
      <c r="T101" s="215">
        <f>IFERROR(T112/(T114-N(T93)-N(T94)),"")</f>
        <v>0.235294117647059</v>
      </c>
      <c r="U101" s="215">
        <f>IFERROR(U112/(U114-N(U93)-N(U94)),"")</f>
        <v>0.232846278731949</v>
      </c>
      <c r="V101" s="215">
        <f>IFERROR(V112/(V114-N(V93)-N(V94)),"")</f>
        <v>0.244885858286392</v>
      </c>
      <c r="W101" s="215">
        <f>IFERROR(W112/(W114-N(W93)-N(W94)),"")</f>
        <v>0.243631436314363</v>
      </c>
      <c r="X101" s="215">
        <f>IFERROR(X112/(X114-N(X93)-N(X94)),"")</f>
        <v>0.237850347132939</v>
      </c>
      <c r="Y101" s="215">
        <f>IFERROR(Y112/(Y114-N(Y93)-N(Y94)),"")</f>
        <v>0.263492811689842</v>
      </c>
      <c r="Z101" s="215">
        <f>IFERROR(Z112/(Z114-N(Z93)-N(Z94)),"")</f>
        <v>0.247978436657682</v>
      </c>
      <c r="AA101" s="215">
        <f>IFERROR(AA112/(AA114-N(AA93)-N(AA94)),"")</f>
        <v>0.224654622741764</v>
      </c>
      <c r="AB101" s="215">
        <f>IFERROR(AB112/(AB114-N(AB93)-N(AB94)),"")</f>
        <v>0.228455284552846</v>
      </c>
      <c r="AC101" s="215">
        <f>IFERROR(AC112/(AC114-N(AC93)-N(AC94)),"")</f>
        <v>0.224740683826354</v>
      </c>
      <c r="AD101" s="215">
        <f>IFERROR(AD112/(AD114-N(AD93)-N(AD94)),"")</f>
        <v>0.244483985765125</v>
      </c>
      <c r="AE101" s="215">
        <f>IFERROR(AE112/(AE114-N(AE93)-N(AE94)),"")</f>
        <v>0.231051344743276</v>
      </c>
      <c r="AF101" s="215">
        <f>IFERROR(AF112/(AF114-N(AF93)-N(AF94)),"")</f>
        <v>0.244744514347092</v>
      </c>
      <c r="AG101" s="215">
        <f>IFERROR(AG112/(AG114-N(AG93)-N(AG94)),"")</f>
        <v>0.251764386536374</v>
      </c>
      <c r="AH101" s="215">
        <f>IFERROR(AH112/(AH114-N(AH93)-N(AH94)),"")</f>
        <v>0.242637805184999</v>
      </c>
      <c r="AI101" s="215">
        <f>IFERROR(AI112/(AI114-N(AI93)-N(AI94)),"")</f>
        <v>0.27127776555971</v>
      </c>
      <c r="AJ101" s="215">
        <f>IFERROR(AJ112/(AJ114-N(AJ93)-N(AJ94)),"")</f>
        <v>0.253710590137429</v>
      </c>
      <c r="AK101" s="215">
        <f>IFERROR(AK112/(AK114-N(AK93)-N(AK94)),"")</f>
        <v>0.230593607305936</v>
      </c>
      <c r="AL101" s="215">
        <f>IFERROR(AL112/(AL114-N(AL93)-N(AL94)),"")</f>
        <v>0.235282651072125</v>
      </c>
      <c r="AM101" s="215">
        <f>IFERROR(AM112/(AM114-N(AM93)-N(AM94)),"")</f>
        <v>0.230820674500812</v>
      </c>
      <c r="AN101" s="215">
        <f>IFERROR(AN112/(AN114-N(AN93)-N(AN94)),"")</f>
        <v>0.247545811518325</v>
      </c>
      <c r="AO101" s="215">
        <f>IFERROR(AO112/(AO114-N(AO93)-N(AO94)),"")</f>
        <v>0.236772074512718</v>
      </c>
      <c r="AP101" s="215">
        <f>IFERROR(AP112/(AP114-N(AP93)-N(AP94)),"")</f>
        <v>0.235309017223911</v>
      </c>
      <c r="AQ101" s="215">
        <f>IFERROR(AQ112/(AQ114-N(AQ93)-N(AQ94)),"")</f>
        <v>0.223200251493241</v>
      </c>
      <c r="AR101" s="215">
        <f>IFERROR(AR112/(AR114-N(AR93)-N(AR94)),"")</f>
        <v>0.199776619508563</v>
      </c>
      <c r="AS101" s="215">
        <f>IFERROR(AS112/(AS114-N(AS93)-N(AS94)),"")</f>
        <v>0.214421128325816</v>
      </c>
      <c r="AT101" s="215">
        <f>IFERROR(AT112/(AT114-N(AT93)-N(AT94)),"")</f>
        <v>0.217491650091943</v>
      </c>
      <c r="AU101" s="215">
        <f>IFERROR(AU112/(AU114-N(AU93)-N(AU94)),"")</f>
        <v>0.192185493138647</v>
      </c>
      <c r="AV101" s="215">
        <f>IFERROR(AV112/(AV114-N(AV93)-N(AV94)),"")</f>
        <v>0.195032914422502</v>
      </c>
      <c r="AW101" s="215">
        <f>IFERROR(AW112/(AW114-N(AW93)-N(AW94)),"")</f>
        <v>0.191208909452843</v>
      </c>
      <c r="AX101" s="215">
        <f>IFERROR(AX112/(AX114-N(AX93)-N(AX94)),"")</f>
        <v>0.208052736412786</v>
      </c>
      <c r="AY101" s="215">
        <f>IFERROR(AY112/(AY114-N(AY93)-N(AY94)),"")</f>
        <v>0.197299651567944</v>
      </c>
      <c r="AZ101" s="215">
        <f>IFERROR(AZ112/(AZ114-N(AZ93)-N(AZ94)),"")</f>
        <v>0.170862567065621</v>
      </c>
      <c r="BA101" s="215">
        <f>IFERROR(BA112/(BA114-N(BA93)-N(BA94)),"")</f>
        <v>0.175674354964816</v>
      </c>
      <c r="BB101" s="215">
        <f>IFERROR(BB112/(BB114-N(BB93)-N(BB94)),"")</f>
        <v>0.174700744095762</v>
      </c>
      <c r="BC101" s="215">
        <f>IFERROR(BC112/(BC114-N(BC93)-N(BC94)),"")</f>
        <v>0.212073442136499</v>
      </c>
      <c r="BD101" s="215">
        <f>IFERROR(BD112/(BD114-N(BD93)-N(BD94)),"")</f>
        <v>0.183759963397308</v>
      </c>
      <c r="BE101" s="215">
        <f>IFERROR(BE112/(BE114-N(BE93)-N(BE94)),"")</f>
        <v>0.150143040347243</v>
      </c>
      <c r="BF101" s="215">
        <f>IFERROR(BF112/(BF114-N(BF93)-N(BF94)),"")</f>
        <v>0.158039785538909</v>
      </c>
      <c r="BG101" s="215">
        <f>IFERROR(BG112/(BG114-N(BG93)-N(BG94)),"")</f>
        <v>0.143720651413728</v>
      </c>
      <c r="BH101" s="215">
        <f>IFERROR(BH112/(BH114-N(BH93)-N(BH94)),"")</f>
        <v>0.142888780617443</v>
      </c>
      <c r="BI101" s="215">
        <f>IFERROR(BI112/(BI114-N(BI93)-N(BI94)),"")</f>
        <v>0.148514373332367</v>
      </c>
      <c r="BJ101" s="215">
        <f>IFERROR(BJ112/(BJ114-N(BJ93)-N(BJ94)),"")</f>
        <v>0.113265892123515</v>
      </c>
      <c r="BK101" s="215">
        <f>IFERROR(BK112/(BK114-N(BK93)-N(BK94)),"")</f>
        <v>0.112326618229855</v>
      </c>
      <c r="BL101" s="215">
        <f>IFERROR(BL112/(BL114-N(BL93)-N(BL94)),"")</f>
        <v>0.121433796634967</v>
      </c>
      <c r="BM101" s="215">
        <f>IFERROR(BM112/(BM114-N(BM93)-N(BM94)),"")</f>
        <v>0.121942039894618</v>
      </c>
      <c r="BN101" s="215">
        <f>IFERROR(BN112/(BN114-N(BN93)-N(BN94)),"")</f>
        <v>0.11737749687083</v>
      </c>
      <c r="BO101" s="215">
        <f>IFERROR(BO112/(BO114-N(BO93)-N(BO94)),"")</f>
        <v>0.11135344723131</v>
      </c>
      <c r="BP101" s="215">
        <f>IFERROR(BP112/(BP114-N(BP93)-N(BP94)),"")</f>
        <v>0.110027700831025</v>
      </c>
      <c r="BQ101" s="215">
        <f>IFERROR(BQ112/(BQ114-N(BQ93)-N(BQ94)),"")</f>
        <v>0.0926498843911812</v>
      </c>
      <c r="BR101" s="215">
        <f>IFERROR(BR112/(BR114-N(BR93)-N(BR94)),"")</f>
        <v>0.0970183225219074</v>
      </c>
      <c r="BS101" s="215">
        <f>IFERROR(BS112/(BS114-N(BS93)-N(BS94)),"")</f>
        <v>0.101886311496304</v>
      </c>
      <c r="BT101" s="215">
        <f>IFERROR(BT112/(BT114-N(BT93)-N(BT94)),"")</f>
        <v>0.0869643230957864</v>
      </c>
      <c r="BU101" s="215">
        <f>IFERROR(BU112/(BU114-N(BU93)-N(BU94)),"")</f>
        <v>0.0892420537897311</v>
      </c>
      <c r="BV101" s="256">
        <f>IFERROR(SUM(BT112:BU112)/(SUM(BT114:BU114)-SUM(BT93:BU93)-SUM(BT94:BU94)),0)</f>
        <v>0.0881825137372192</v>
      </c>
      <c r="BW101" s="256">
        <f>IFERROR(SUM(BT112:BU112)/(SUM(BT114:BU114)-SUM(BT93:BU93)-SUM(BT94:BU94)),0)</f>
        <v>0.0881825137372192</v>
      </c>
      <c r="BX101" s="24" t="n"/>
      <c r="BY101" s="256">
        <f>$BW$101</f>
        <v>0.0881825137372192</v>
      </c>
      <c r="BZ101" s="256">
        <f>$BW$101</f>
        <v>0.0881825137372192</v>
      </c>
      <c r="CA101" s="256">
        <f>$BW$101</f>
        <v>0.0881825137372192</v>
      </c>
      <c r="CB101" s="256">
        <f>$BW$101</f>
        <v>0.0881825137372192</v>
      </c>
      <c r="CC101" s="256">
        <f>$BW$101</f>
        <v>0.0881825137372192</v>
      </c>
      <c r="CD101" s="153" t="n"/>
    </row>
    <row r="102" ht="15" customHeight="1" s="251">
      <c r="B102" s="25" t="inlineStr">
        <is>
          <t xml:space="preserve">    General &amp; administrative %</t>
        </is>
      </c>
      <c r="C102" s="215">
        <f>IFERROR((C113-N(C93)-N(C94))/(C114-N(C93)-N(C94)),"")</f>
        <v>0.174757281553398</v>
      </c>
      <c r="D102" s="215">
        <f>IFERROR((D113-N(D93)-N(D94))/(D114-N(D93)-N(D94)),"")</f>
        <v>0.128450106157113</v>
      </c>
      <c r="E102" s="215">
        <f>IFERROR((E113-N(E93)-N(E94))/(E114-N(E93)-N(E94)),"")</f>
        <v>0.143222506393862</v>
      </c>
      <c r="F102" s="215">
        <f>IFERROR((F113-N(F93)-N(F94))/(F114-N(F93)-N(F94)),"")</f>
        <v>0.196000878927708</v>
      </c>
      <c r="G102" s="215">
        <f>IFERROR((G113-N(G93)-N(G94))/(G114-N(G93)-N(G94)),"")</f>
        <v>0.16221198156682</v>
      </c>
      <c r="H102" s="215">
        <f>IFERROR((H113-N(H93)-N(H94))/(H114-N(H93)-N(H94)),"")</f>
        <v>0.138289368505196</v>
      </c>
      <c r="I102" s="215">
        <f>IFERROR((I113-N(I93)-N(I94))/(I114-N(I93)-N(I94)),"")</f>
        <v>0.13359375</v>
      </c>
      <c r="J102" s="215">
        <f>IFERROR((J113-N(J93)-N(J94))/(J114-N(J93)-N(J94)),"")</f>
        <v>0.179752066115703</v>
      </c>
      <c r="K102" s="215">
        <f>IFERROR((K113-N(K93)-N(K94))/(K114-N(K93)-N(K94)),"")</f>
        <v>0.154104183109708</v>
      </c>
      <c r="L102" s="215">
        <f>IFERROR((L113-N(L93)-N(L94))/(L114-N(L93)-N(L94)),"")</f>
        <v>0.13104414856342</v>
      </c>
      <c r="M102" s="215">
        <f>IFERROR((M113-N(M93)-N(M94))/(M114-N(M93)-N(M94)),"")</f>
        <v>0.129605263157895</v>
      </c>
      <c r="N102" s="215">
        <f>IFERROR((N113-N(N93)-N(N94))/(N114-N(N93)-N(N94)),"")</f>
        <v>0.143410852713178</v>
      </c>
      <c r="O102" s="215">
        <f>IFERROR((O113-N(O93)-N(O94))/(O114-N(O93)-N(O94)),"")</f>
        <v>0.121412803532009</v>
      </c>
      <c r="P102" s="215">
        <f>IFERROR((P113-N(P93)-N(P94))/(P114-N(P93)-N(P94)),"")</f>
        <v>0.13021948608137</v>
      </c>
      <c r="Q102" s="215">
        <f>IFERROR((Q113-N(Q93)-N(Q94))/(Q114-N(Q93)-N(Q94)),"")</f>
        <v>0.104980842911877</v>
      </c>
      <c r="R102" s="215">
        <f>IFERROR((R113-N(R93)-N(R94))/(R114-N(R93)-N(R94)),"")</f>
        <v>0.110148067894547</v>
      </c>
      <c r="S102" s="215">
        <f>IFERROR((S113-N(S93)-N(S94))/(S114-N(S93)-N(S94)),"")</f>
        <v>0.113412228796844</v>
      </c>
      <c r="T102" s="215">
        <f>IFERROR((T113-N(T93)-N(T94))/(T114-N(T93)-N(T94)),"")</f>
        <v>0.113075281926242</v>
      </c>
      <c r="U102" s="215">
        <f>IFERROR((U113-N(U93)-N(U94))/(U114-N(U93)-N(U94)),"")</f>
        <v>0.110655387507477</v>
      </c>
      <c r="V102" s="215">
        <f>IFERROR((V113-N(V93)-N(V94))/(V114-N(V93)-N(V94)),"")</f>
        <v>0.10850874592351</v>
      </c>
      <c r="W102" s="215">
        <f>IFERROR((W113-N(W93)-N(W94))/(W114-N(W93)-N(W94)),"")</f>
        <v>0.111653116531165</v>
      </c>
      <c r="X102" s="215">
        <f>IFERROR((X113-N(X93)-N(X94))/(X114-N(X93)-N(X94)),"")</f>
        <v>0.112625353561327</v>
      </c>
      <c r="Y102" s="215">
        <f>IFERROR((Y113-N(Y93)-N(Y94))/(Y114-N(Y93)-N(Y94)),"")</f>
        <v>0.121376384633514</v>
      </c>
      <c r="Z102" s="215">
        <f>IFERROR((Z113-N(Z93)-N(Z94))/(Z114-N(Z93)-N(Z94)),"")</f>
        <v>0.113799224245612</v>
      </c>
      <c r="AA102" s="215">
        <f>IFERROR((AA113-N(AA93)-N(AA94))/(AA114-N(AA93)-N(AA94)),"")</f>
        <v>0.139213602550478</v>
      </c>
      <c r="AB102" s="215">
        <f>IFERROR((AB113-N(AB93)-N(AB94))/(AB114-N(AB93)-N(AB94)),"")</f>
        <v>0.130081300813008</v>
      </c>
      <c r="AC102" s="215">
        <f>IFERROR((AC113-N(AC93)-N(AC94))/(AC114-N(AC93)-N(AC94)),"")</f>
        <v>0.102958125240108</v>
      </c>
      <c r="AD102" s="215">
        <f>IFERROR((AD113-N(AD93)-N(AD94))/(AD114-N(AD93)-N(AD94)),"")</f>
        <v>0.122064056939502</v>
      </c>
      <c r="AE102" s="215">
        <f>IFERROR((AE113-N(AE93)-N(AE94))/(AE114-N(AE93)-N(AE94)),"")</f>
        <v>0.123080684596577</v>
      </c>
      <c r="AF102" s="215">
        <f>IFERROR((AF113-N(AF93)-N(AF94))/(AF114-N(AF93)-N(AF94)),"")</f>
        <v>0.116157741292006</v>
      </c>
      <c r="AG102" s="215">
        <f>IFERROR((AG113-N(AG93)-N(AG94))/(AG114-N(AG93)-N(AG94)),"")</f>
        <v>0.105320304017372</v>
      </c>
      <c r="AH102" s="215">
        <f>IFERROR((AH113-N(AH93)-N(AH94))/(AH114-N(AH93)-N(AH94)),"")</f>
        <v>0.11867606342814</v>
      </c>
      <c r="AI102" s="215">
        <f>IFERROR((AI113-N(AI93)-N(AI94))/(AI114-N(AI93)-N(AI94)),"")</f>
        <v>0.107323510006598</v>
      </c>
      <c r="AJ102" s="215">
        <f>IFERROR((AJ113-N(AJ93)-N(AJ94))/(AJ114-N(AJ93)-N(AJ94)),"")</f>
        <v>0.111592562651576</v>
      </c>
      <c r="AK102" s="215">
        <f>IFERROR((AK113-N(AK93)-N(AK94))/(AK114-N(AK93)-N(AK94)),"")</f>
        <v>0.121461187214612</v>
      </c>
      <c r="AL102" s="215">
        <f>IFERROR((AL113-N(AL93)-N(AL94))/(AL114-N(AL93)-N(AL94)),"")</f>
        <v>0.119298245614035</v>
      </c>
      <c r="AM102" s="215">
        <f>IFERROR((AM113-N(AM93)-N(AM94))/(AM114-N(AM93)-N(AM94)),"")</f>
        <v>0.128785707461546</v>
      </c>
      <c r="AN102" s="215">
        <f>IFERROR((AN113-N(AN93)-N(AN94))/(AN114-N(AN93)-N(AN94)),"")</f>
        <v>0.149623691099476</v>
      </c>
      <c r="AO102" s="215">
        <f>IFERROR((AO113-N(AO93)-N(AO94))/(AO114-N(AO93)-N(AO94)),"")</f>
        <v>0.131020594087891</v>
      </c>
      <c r="AP102" s="215">
        <f>IFERROR((AP113-N(AP93)-N(AP94))/(AP114-N(AP93)-N(AP94)),"")</f>
        <v>0.133654170888213</v>
      </c>
      <c r="AQ102" s="215">
        <f>IFERROR((AQ113-N(AQ93)-N(AQ94))/(AQ114-N(AQ93)-N(AQ94)),"")</f>
        <v>0.125196479094624</v>
      </c>
      <c r="AR102" s="215">
        <f>IFERROR((AR113-N(AR93)-N(AR94))/(AR114-N(AR93)-N(AR94)),"")</f>
        <v>0.133283693224125</v>
      </c>
      <c r="AS102" s="215">
        <f>IFERROR((AS113-N(AS93)-N(AS94))/(AS114-N(AS93)-N(AS94)),"")</f>
        <v>0.104530300058835</v>
      </c>
      <c r="AT102" s="215">
        <f>IFERROR((AT113-N(AT93)-N(AT94))/(AT114-N(AT93)-N(AT94)),"")</f>
        <v>0.123165834803167</v>
      </c>
      <c r="AU102" s="215">
        <f>IFERROR((AU113-N(AU93)-N(AU94))/(AU114-N(AU93)-N(AU94)),"")</f>
        <v>0.10964645440411</v>
      </c>
      <c r="AV102" s="215">
        <f>IFERROR((AV113-N(AV93)-N(AV94))/(AV114-N(AV93)-N(AV94)),"")</f>
        <v>0.11705565529623</v>
      </c>
      <c r="AW102" s="215">
        <f>IFERROR((AW113-N(AW93)-N(AW94))/(AW114-N(AW93)-N(AW94)),"")</f>
        <v>0.158497874858772</v>
      </c>
      <c r="AX102" s="215">
        <f>IFERROR((AX113-N(AX93)-N(AX94))/(AX114-N(AX93)-N(AX94)),"")</f>
        <v>0.156739068576307</v>
      </c>
      <c r="AY102" s="215">
        <f>IFERROR((AY113-N(AY93)-N(AY94))/(AY114-N(AY93)-N(AY94)),"")</f>
        <v>0.138094301449927</v>
      </c>
      <c r="AZ102" s="215">
        <f>IFERROR((AZ113-N(AZ93)-N(AZ94))/(AZ114-N(AZ93)-N(AZ94)),"")</f>
        <v>0.121749896822121</v>
      </c>
      <c r="BA102" s="215">
        <f>IFERROR((BA113-N(BA93)-N(BA94))/(BA114-N(BA93)-N(BA94)),"")</f>
        <v>0.145963643471462</v>
      </c>
      <c r="BB102" s="215">
        <f>IFERROR((BB113-N(BB93)-N(BB94))/(BB114-N(BB93)-N(BB94)),"")</f>
        <v>0.137311087489023</v>
      </c>
      <c r="BC102" s="215">
        <f>IFERROR((BC113-N(BC93)-N(BC94))/(BC114-N(BC93)-N(BC94)),"")</f>
        <v>-0.0516042284866469</v>
      </c>
      <c r="BD102" s="215">
        <f>IFERROR((BD113-N(BD93)-N(BD94))/(BD114-N(BD93)-N(BD94)),"")</f>
        <v>0.0867507886435331</v>
      </c>
      <c r="BE102" s="215">
        <f>IFERROR((BE113-N(BE93)-N(BE94))/(BE114-N(BE93)-N(BE94)),"")</f>
        <v>0.0858735326033343</v>
      </c>
      <c r="BF102" s="215">
        <f>IFERROR((BF113-N(BF93)-N(BF94))/(BF114-N(BF93)-N(BF94)),"")</f>
        <v>0.075863105677206</v>
      </c>
      <c r="BG102" s="215">
        <f>IFERROR((BG113-N(BG93)-N(BG94))/(BG114-N(BG93)-N(BG94)),"")</f>
        <v>0.0844240183834549</v>
      </c>
      <c r="BH102" s="215">
        <f>IFERROR((BH113-N(BH93)-N(BH94))/(BH114-N(BH93)-N(BH94)),"")</f>
        <v>0.0504495725738584</v>
      </c>
      <c r="BI102" s="215">
        <f>IFERROR((BI113-N(BI93)-N(BI94))/(BI114-N(BI93)-N(BI94)),"")</f>
        <v>0.0734543083777029</v>
      </c>
      <c r="BJ102" s="215">
        <f>IFERROR((BJ113-N(BJ93)-N(BJ94))/(BJ114-N(BJ93)-N(BJ94)),"")</f>
        <v>0.152626231391085</v>
      </c>
      <c r="BK102" s="215">
        <f>IFERROR((BK113-N(BK93)-N(BK94))/(BK114-N(BK93)-N(BK94)),"")</f>
        <v>0.151007265521797</v>
      </c>
      <c r="BL102" s="215">
        <f>IFERROR((BL113-N(BL93)-N(BL94))/(BL114-N(BL93)-N(BL94)),"")</f>
        <v>0.0802530229355824</v>
      </c>
      <c r="BM102" s="215">
        <f>IFERROR((BM113-N(BM93)-N(BM94))/(BM114-N(BM93)-N(BM94)),"")</f>
        <v>0.0869777945050809</v>
      </c>
      <c r="BN102" s="215">
        <f>IFERROR((BN113-N(BN93)-N(BN94))/(BN114-N(BN93)-N(BN94)),"")</f>
        <v>0.116787868130049</v>
      </c>
      <c r="BO102" s="215">
        <f>IFERROR((BO113-N(BO93)-N(BO94))/(BO114-N(BO93)-N(BO94)),"")</f>
        <v>0.0920877256755119</v>
      </c>
      <c r="BP102" s="215">
        <f>IFERROR((BP113-N(BP93)-N(BP94))/(BP114-N(BP93)-N(BP94)),"")</f>
        <v>0.0983564173591875</v>
      </c>
      <c r="BQ102" s="215">
        <f>IFERROR((BQ113-N(BQ93)-N(BQ94))/(BQ114-N(BQ93)-N(BQ94)),"")</f>
        <v>0.114371315986583</v>
      </c>
      <c r="BR102" s="215">
        <f>IFERROR((BR113-N(BR93)-N(BR94))/(BR114-N(BR93)-N(BR94)),"")</f>
        <v>0.105183794241493</v>
      </c>
      <c r="BS102" s="215">
        <f>IFERROR((BS113-N(BS93)-N(BS94))/(BS114-N(BS93)-N(BS94)),"")</f>
        <v>0.103254312176056</v>
      </c>
      <c r="BT102" s="215">
        <f>IFERROR((BT113-N(BT93)-N(BT94))/(BT114-N(BT93)-N(BT94)),"")</f>
        <v>0.0781721941445617</v>
      </c>
      <c r="BU102" s="215">
        <f>IFERROR((BU113-N(BU93)-N(BU94))/(BU114-N(BU93)-N(BU94)),"")</f>
        <v>0.0527753212297768</v>
      </c>
      <c r="BV102" s="256">
        <f>IFERROR((SUM(BT113:BU113)-SUM(BT93:BU93)-SUM(BT94:BU94))/(SUM(BT114:BU114)-SUM(BT93:BU93)-SUM(BT94:BU94)),0)</f>
        <v>0.0645892745357168</v>
      </c>
      <c r="BW102" s="256">
        <f>IFERROR((SUM(BT113:BU113)-SUM(BT93:BU93)-SUM(BT94:BU94))/(SUM(BT114:BU114)-SUM(BT93:BU93)-SUM(BT94:BU94)),0)</f>
        <v>0.0645892745357168</v>
      </c>
      <c r="BX102" s="24" t="n"/>
      <c r="BY102" s="256">
        <f>$BW$102</f>
        <v>0.0645892745357168</v>
      </c>
      <c r="BZ102" s="256">
        <f>$BW$102</f>
        <v>0.0645892745357168</v>
      </c>
      <c r="CA102" s="256">
        <f>$BW$102</f>
        <v>0.0645892745357168</v>
      </c>
      <c r="CB102" s="256">
        <f>$BW$102</f>
        <v>0.0645892745357168</v>
      </c>
      <c r="CC102" s="256">
        <f>$BW$102</f>
        <v>0.0645892745357168</v>
      </c>
      <c r="CD102" s="153" t="n"/>
    </row>
    <row r="103" ht="15" customHeight="1" s="251">
      <c r="B103" s="25" t="inlineStr">
        <is>
          <t xml:space="preserve">  Interest and other income (expense), net — components:</t>
        </is>
      </c>
      <c r="CD103" s="153" t="n"/>
    </row>
    <row r="104" ht="15" customHeight="1" s="251">
      <c r="B104" s="25" t="inlineStr">
        <is>
          <t xml:space="preserve">  Interest income</t>
        </is>
      </c>
      <c r="C104" s="34" t="n"/>
      <c r="D104" s="34" t="n"/>
      <c r="E104" s="34" t="n"/>
      <c r="F104" s="261" t="n">
        <v>14</v>
      </c>
      <c r="G104" s="34" t="n"/>
      <c r="H104" s="34" t="n"/>
      <c r="I104" s="34" t="n"/>
      <c r="J104" s="34" t="n"/>
      <c r="K104" s="261" t="n">
        <v>19</v>
      </c>
      <c r="L104" s="34" t="n"/>
      <c r="M104" s="34" t="n"/>
      <c r="N104" s="34" t="n"/>
      <c r="O104" s="34" t="n"/>
      <c r="P104" s="261" t="n">
        <v>27</v>
      </c>
      <c r="Q104" s="34" t="n"/>
      <c r="R104" s="34" t="n"/>
      <c r="S104" s="34" t="n"/>
      <c r="T104" s="34" t="n"/>
      <c r="U104" s="261" t="n">
        <v>52</v>
      </c>
      <c r="V104" s="34" t="n"/>
      <c r="W104" s="34" t="n"/>
      <c r="X104" s="34" t="n"/>
      <c r="Y104" s="34" t="n"/>
      <c r="Z104" s="261" t="n">
        <v>176</v>
      </c>
      <c r="AA104" s="34" t="n"/>
      <c r="AB104" s="34" t="n"/>
      <c r="AC104" s="34" t="n"/>
      <c r="AD104" s="34" t="n"/>
      <c r="AE104" s="261" t="n">
        <v>398</v>
      </c>
      <c r="AF104" s="34" t="n"/>
      <c r="AG104" s="34" t="n"/>
      <c r="AH104" s="34" t="n"/>
      <c r="AI104" s="34" t="n"/>
      <c r="AJ104" s="261" t="n">
        <v>661</v>
      </c>
      <c r="AK104" s="34" t="n"/>
      <c r="AL104" s="34" t="n"/>
      <c r="AM104" s="34" t="n"/>
      <c r="AN104" s="34" t="n"/>
      <c r="AO104" s="261" t="n">
        <v>924</v>
      </c>
      <c r="AP104" s="34" t="n"/>
      <c r="AQ104" s="34" t="n"/>
      <c r="AR104" s="34" t="n"/>
      <c r="AS104" s="34" t="n"/>
      <c r="AT104" s="34" t="n"/>
      <c r="AU104" s="34" t="n"/>
      <c r="AV104" s="34" t="n"/>
      <c r="AW104" s="34" t="n"/>
      <c r="AX104" s="34" t="n"/>
      <c r="AY104" s="261" t="n">
        <v>484</v>
      </c>
      <c r="AZ104" s="34" t="n"/>
      <c r="BA104" s="34" t="n"/>
      <c r="BB104" s="34" t="n"/>
      <c r="BC104" s="34" t="n"/>
      <c r="BD104" s="261" t="n">
        <v>461</v>
      </c>
      <c r="BE104" s="34" t="n"/>
      <c r="BF104" s="34" t="n"/>
      <c r="BG104" s="34" t="n"/>
      <c r="BH104" s="34" t="n"/>
      <c r="BI104" s="261" t="n">
        <v>1639</v>
      </c>
      <c r="BJ104" s="34" t="n"/>
      <c r="BK104" s="34" t="n"/>
      <c r="BL104" s="34" t="n"/>
      <c r="BM104" s="34" t="n"/>
      <c r="BN104" s="261" t="n">
        <v>2517</v>
      </c>
      <c r="BO104" s="34" t="n"/>
      <c r="BP104" s="34" t="n"/>
      <c r="BQ104" s="34" t="n"/>
      <c r="BR104" s="34" t="n"/>
      <c r="BS104" s="261" t="n">
        <v>2123</v>
      </c>
      <c r="BT104" s="261" t="n">
        <v>744</v>
      </c>
      <c r="BU104" s="261" t="n">
        <v>859</v>
      </c>
      <c r="BV104" s="263">
        <f>(BU274+BU275)*$CN$21/4</f>
        <v>902.6</v>
      </c>
      <c r="BW104" s="263">
        <f>(BU274+BU275)*$CN$21/4</f>
        <v>902.6</v>
      </c>
      <c r="BX104" s="263">
        <f>SUM(BT104:BW104)</f>
        <v>3408.2</v>
      </c>
      <c r="BY104" s="263">
        <f>(BX274+BX275)*BY328</f>
        <v>3367.425</v>
      </c>
      <c r="BZ104" s="263">
        <f>(BY274+BY275)*BZ328</f>
        <v>3142.93</v>
      </c>
      <c r="CA104" s="263">
        <f>(BZ274+BZ275)*CA328</f>
        <v>3142.93</v>
      </c>
      <c r="CB104" s="263">
        <f>(CA274+CA275)*CB328</f>
        <v>3142.93</v>
      </c>
      <c r="CC104" s="263">
        <f>(CB274+CB275)*CC328</f>
        <v>3142.93</v>
      </c>
      <c r="CD104" s="19" t="inlineStr">
        <is>
          <t>History: XBRL (annual; Q1/Q2-26 from the 10-Q). Forecast: yield × opening cash, cash equivalents and marketable securities.</t>
        </is>
      </c>
    </row>
    <row r="105" ht="15" customHeight="1" s="251">
      <c r="B105" s="25" t="inlineStr">
        <is>
          <t xml:space="preserve">  Interest expense (net of capitalized interest)</t>
        </is>
      </c>
      <c r="C105" s="34" t="n"/>
      <c r="D105" s="261" t="n">
        <v>22</v>
      </c>
      <c r="E105" s="261" t="n">
        <v>42</v>
      </c>
      <c r="F105" s="261" t="n">
        <v>51</v>
      </c>
      <c r="G105" s="261" t="n">
        <v>15</v>
      </c>
      <c r="H105" s="261" t="n">
        <v>14</v>
      </c>
      <c r="I105" s="261" t="n">
        <v>21</v>
      </c>
      <c r="J105" s="261" t="n">
        <v>6</v>
      </c>
      <c r="K105" s="261" t="n">
        <v>56</v>
      </c>
      <c r="L105" s="34" t="n"/>
      <c r="M105" s="34" t="n"/>
      <c r="N105" s="34" t="n"/>
      <c r="O105" s="34" t="n"/>
      <c r="P105" s="261" t="n">
        <v>23</v>
      </c>
      <c r="Q105" s="34" t="n"/>
      <c r="R105" s="34" t="n"/>
      <c r="S105" s="34" t="n"/>
      <c r="T105" s="34" t="n"/>
      <c r="U105" s="261" t="n">
        <v>23</v>
      </c>
      <c r="V105" s="34" t="n"/>
      <c r="W105" s="34" t="n"/>
      <c r="X105" s="34" t="n"/>
      <c r="Y105" s="34" t="n"/>
      <c r="Z105" s="261" t="n">
        <v>10</v>
      </c>
      <c r="AA105" s="34" t="n"/>
      <c r="AB105" s="34" t="n"/>
      <c r="AC105" s="34" t="n"/>
      <c r="AD105" s="34" t="n"/>
      <c r="AE105" s="261" t="n">
        <v>6</v>
      </c>
      <c r="AF105" s="34" t="n"/>
      <c r="AG105" s="34" t="n"/>
      <c r="AH105" s="34" t="n"/>
      <c r="AI105" s="34" t="n"/>
      <c r="AJ105" s="261" t="n">
        <v>9</v>
      </c>
      <c r="AK105" s="34" t="n"/>
      <c r="AL105" s="34" t="n"/>
      <c r="AM105" s="34" t="n"/>
      <c r="AN105" s="34" t="n"/>
      <c r="AO105" s="261" t="n">
        <v>20</v>
      </c>
      <c r="AP105" s="34" t="n"/>
      <c r="AQ105" s="34" t="n"/>
      <c r="AR105" s="34" t="n"/>
      <c r="AS105" s="34" t="n"/>
      <c r="AT105" s="34" t="n"/>
      <c r="AU105" s="34" t="n"/>
      <c r="AV105" s="34" t="n"/>
      <c r="AW105" s="34" t="n"/>
      <c r="AX105" s="34" t="n"/>
      <c r="AY105" s="261" t="n">
        <v>23</v>
      </c>
      <c r="AZ105" s="34" t="n"/>
      <c r="BA105" s="34" t="n"/>
      <c r="BB105" s="34" t="n"/>
      <c r="BC105" s="34" t="n"/>
      <c r="BD105" s="261" t="n">
        <v>185</v>
      </c>
      <c r="BE105" s="34" t="n"/>
      <c r="BF105" s="34" t="n"/>
      <c r="BG105" s="34" t="n"/>
      <c r="BH105" s="34" t="n"/>
      <c r="BI105" s="261" t="n">
        <v>446</v>
      </c>
      <c r="BJ105" s="34" t="n"/>
      <c r="BK105" s="34" t="n"/>
      <c r="BL105" s="34" t="n"/>
      <c r="BM105" s="34" t="n"/>
      <c r="BN105" s="261" t="n">
        <v>715</v>
      </c>
      <c r="BO105" s="34" t="n"/>
      <c r="BP105" s="34" t="n"/>
      <c r="BQ105" s="34" t="n"/>
      <c r="BR105" s="34" t="n"/>
      <c r="BS105" s="261" t="n">
        <v>1165</v>
      </c>
      <c r="BT105" s="261" t="n">
        <v>562</v>
      </c>
      <c r="BU105" s="261" t="n">
        <v>783</v>
      </c>
      <c r="BV105" s="263">
        <f>BU319*$CN$22/4</f>
        <v>878.472</v>
      </c>
      <c r="BW105" s="263">
        <f>BU319*$CN$22/4</f>
        <v>878.472</v>
      </c>
      <c r="BX105" s="263">
        <f>SUM(BT105:BW105)</f>
        <v>3101.944</v>
      </c>
      <c r="BY105" s="263">
        <f>BX319*BY327</f>
        <v>5449.26332586712</v>
      </c>
      <c r="BZ105" s="263">
        <f>BY319*BZ327</f>
        <v>6354.14335240848</v>
      </c>
      <c r="CA105" s="263">
        <f>BZ319*CA327</f>
        <v>6226.08502991415</v>
      </c>
      <c r="CB105" s="263">
        <f>CA319*CB327</f>
        <v>6685.50858965984</v>
      </c>
      <c r="CC105" s="263">
        <f>CB319*CC327</f>
        <v>7011.47963712908</v>
      </c>
      <c r="CD105" s="19" t="inlineStr">
        <is>
          <t>History: XBRL (annual; Q1/Q2-26 from the 10-Q). Forecast: rate × opening debt (net of capitalized interest on data-center construction).</t>
        </is>
      </c>
    </row>
    <row r="106" ht="15" customHeight="1" s="251">
      <c r="B106" s="25" t="inlineStr">
        <is>
          <t xml:space="preserve">  FX, gains / (losses) on equity investments and other (derived; forecast nil)</t>
        </is>
      </c>
      <c r="C106" s="211">
        <f>IF(ISNUMBER(C104),C119-C104+C105,"")</f>
      </c>
      <c r="D106" s="211">
        <f>IF(ISNUMBER(D104),D119-D104+D105,"")</f>
      </c>
      <c r="E106" s="211">
        <f>IF(ISNUMBER(E104),E119-E104+E105,"")</f>
      </c>
      <c r="F106" s="211">
        <f>IF(ISNUMBER(F104),F119-F104+F105,"")</f>
        <v>-7</v>
      </c>
      <c r="G106" s="211">
        <f>IF(ISNUMBER(G104),G119-G104+G105,"")</f>
      </c>
      <c r="H106" s="211">
        <f>IF(ISNUMBER(H104),H119-H104+H105,"")</f>
      </c>
      <c r="I106" s="211">
        <f>IF(ISNUMBER(I104),I119-I104+I105,"")</f>
      </c>
      <c r="J106" s="211">
        <f>IF(ISNUMBER(J104),J119-J104+J105,"")</f>
      </c>
      <c r="K106" s="211">
        <f>IF(ISNUMBER(K104),K119-K104+K105,"")</f>
        <v>-13</v>
      </c>
      <c r="L106" s="211">
        <f>IF(ISNUMBER(L104),L119-L104+L105,"")</f>
      </c>
      <c r="M106" s="211">
        <f>IF(ISNUMBER(M104),M119-M104+M105,"")</f>
      </c>
      <c r="N106" s="211">
        <f>IF(ISNUMBER(N104),N119-N104+N105,"")</f>
      </c>
      <c r="O106" s="211">
        <f>IF(ISNUMBER(O104),O119-O104+O105,"")</f>
      </c>
      <c r="P106" s="211">
        <f>IF(ISNUMBER(P104),P119-P104+P105,"")</f>
        <v>-88</v>
      </c>
      <c r="Q106" s="211">
        <f>IF(ISNUMBER(Q104),Q119-Q104+Q105,"")</f>
      </c>
      <c r="R106" s="211">
        <f>IF(ISNUMBER(R104),R119-R104+R105,"")</f>
      </c>
      <c r="S106" s="211">
        <f>IF(ISNUMBER(S104),S119-S104+S105,"")</f>
      </c>
      <c r="T106" s="211">
        <f>IF(ISNUMBER(T104),T119-T104+T105,"")</f>
      </c>
      <c r="U106" s="211">
        <f>IF(ISNUMBER(U104),U119-U104+U105,"")</f>
        <v>-60</v>
      </c>
      <c r="V106" s="211">
        <f>IF(ISNUMBER(V104),V119-V104+V105,"")</f>
      </c>
      <c r="W106" s="211">
        <f>IF(ISNUMBER(W104),W119-W104+W105,"")</f>
      </c>
      <c r="X106" s="211">
        <f>IF(ISNUMBER(X104),X119-X104+X105,"")</f>
      </c>
      <c r="Y106" s="211">
        <f>IF(ISNUMBER(Y104),Y119-Y104+Y105,"")</f>
      </c>
      <c r="Z106" s="211">
        <f>IF(ISNUMBER(Z104),Z119-Z104+Z105,"")</f>
        <v>-75</v>
      </c>
      <c r="AA106" s="211">
        <f>IF(ISNUMBER(AA104),AA119-AA104+AA105,"")</f>
      </c>
      <c r="AB106" s="211">
        <f>IF(ISNUMBER(AB104),AB119-AB104+AB105,"")</f>
      </c>
      <c r="AC106" s="211">
        <f>IF(ISNUMBER(AC104),AC119-AC104+AC105,"")</f>
      </c>
      <c r="AD106" s="211">
        <f>IF(ISNUMBER(AD104),AD119-AD104+AD105,"")</f>
      </c>
      <c r="AE106" s="211">
        <f>IF(ISNUMBER(AE104),AE119-AE104+AE105,"")</f>
        <v>-1</v>
      </c>
      <c r="AF106" s="211">
        <f>IF(ISNUMBER(AF104),AF119-AF104+AF105,"")</f>
      </c>
      <c r="AG106" s="211">
        <f>IF(ISNUMBER(AG104),AG119-AG104+AG105,"")</f>
      </c>
      <c r="AH106" s="211">
        <f>IF(ISNUMBER(AH104),AH119-AH104+AH105,"")</f>
      </c>
      <c r="AI106" s="211">
        <f>IF(ISNUMBER(AI104),AI119-AI104+AI105,"")</f>
      </c>
      <c r="AJ106" s="211">
        <f>IF(ISNUMBER(AJ104),AJ119-AJ104+AJ105,"")</f>
        <v>-204</v>
      </c>
      <c r="AK106" s="211">
        <f>IF(ISNUMBER(AK104),AK119-AK104+AK105,"")</f>
      </c>
      <c r="AL106" s="211">
        <f>IF(ISNUMBER(AL104),AL119-AL104+AL105,"")</f>
      </c>
      <c r="AM106" s="211">
        <f>IF(ISNUMBER(AM104),AM119-AM104+AM105,"")</f>
      </c>
      <c r="AN106" s="211">
        <f>IF(ISNUMBER(AN104),AN119-AN104+AN105,"")</f>
      </c>
      <c r="AO106" s="211">
        <f>IF(ISNUMBER(AO104),AO119-AO104+AO105,"")</f>
        <v>-78</v>
      </c>
      <c r="AP106" s="211">
        <f>IF(ISNUMBER(AP104),AP119-AP104+AP105,"")</f>
      </c>
      <c r="AQ106" s="211">
        <f>IF(ISNUMBER(AQ104),AQ119-AQ104+AQ105,"")</f>
      </c>
      <c r="AR106" s="211">
        <f>IF(ISNUMBER(AR104),AR119-AR104+AR105,"")</f>
      </c>
      <c r="AS106" s="211">
        <f>IF(ISNUMBER(AS104),AS119-AS104+AS105,"")</f>
      </c>
      <c r="AT106" s="211">
        <f>IF(ISNUMBER(AT104),AT119-AT104+AT105,"")</f>
      </c>
      <c r="AU106" s="211">
        <f>IF(ISNUMBER(AU104),AU119-AU104+AU105,"")</f>
      </c>
      <c r="AV106" s="211">
        <f>IF(ISNUMBER(AV104),AV119-AV104+AV105,"")</f>
      </c>
      <c r="AW106" s="211">
        <f>IF(ISNUMBER(AW104),AW119-AW104+AW105,"")</f>
      </c>
      <c r="AX106" s="211">
        <f>IF(ISNUMBER(AX104),AX119-AX104+AX105,"")</f>
      </c>
      <c r="AY106" s="211">
        <f>IF(ISNUMBER(AY104),AY119-AY104+AY105,"")</f>
        <v>70</v>
      </c>
      <c r="AZ106" s="211">
        <f>IF(ISNUMBER(AZ104),AZ119-AZ104+AZ105,"")</f>
      </c>
      <c r="BA106" s="211">
        <f>IF(ISNUMBER(BA104),BA119-BA104+BA105,"")</f>
      </c>
      <c r="BB106" s="211">
        <f>IF(ISNUMBER(BB104),BB119-BB104+BB105,"")</f>
      </c>
      <c r="BC106" s="211">
        <f>IF(ISNUMBER(BC104),BC119-BC104+BC105,"")</f>
      </c>
      <c r="BD106" s="211">
        <f>IF(ISNUMBER(BD104),BD119-BD104+BD105,"")</f>
        <v>-401</v>
      </c>
      <c r="BE106" s="211">
        <f>IF(ISNUMBER(BE104),BE119-BE104+BE105,"")</f>
      </c>
      <c r="BF106" s="211">
        <f>IF(ISNUMBER(BF104),BF119-BF104+BF105,"")</f>
      </c>
      <c r="BG106" s="211">
        <f>IF(ISNUMBER(BG104),BG119-BG104+BG105,"")</f>
      </c>
      <c r="BH106" s="211">
        <f>IF(ISNUMBER(BH104),BH119-BH104+BH105,"")</f>
      </c>
      <c r="BI106" s="211">
        <f>IF(ISNUMBER(BI104),BI119-BI104+BI105,"")</f>
        <v>-516</v>
      </c>
      <c r="BJ106" s="211">
        <f>IF(ISNUMBER(BJ104),BJ119-BJ104+BJ105,"")</f>
      </c>
      <c r="BK106" s="211">
        <f>IF(ISNUMBER(BK104),BK119-BK104+BK105,"")</f>
      </c>
      <c r="BL106" s="211">
        <f>IF(ISNUMBER(BL104),BL119-BL104+BL105,"")</f>
      </c>
      <c r="BM106" s="211">
        <f>IF(ISNUMBER(BM104),BM119-BM104+BM105,"")</f>
      </c>
      <c r="BN106" s="211">
        <f>IF(ISNUMBER(BN104),BN119-BN104+BN105,"")</f>
        <v>-519</v>
      </c>
      <c r="BO106" s="211">
        <f>IF(ISNUMBER(BO104),BO119-BO104+BO105,"")</f>
      </c>
      <c r="BP106" s="211">
        <f>IF(ISNUMBER(BP104),BP119-BP104+BP105,"")</f>
      </c>
      <c r="BQ106" s="211">
        <f>IF(ISNUMBER(BQ104),BQ119-BQ104+BQ105,"")</f>
      </c>
      <c r="BR106" s="211">
        <f>IF(ISNUMBER(BR104),BR119-BR104+BR105,"")</f>
      </c>
      <c r="BS106" s="211">
        <f>IF(ISNUMBER(BS104),BS119-BS104+BS105,"")</f>
        <v>1698</v>
      </c>
      <c r="BT106" s="211">
        <f>IF(ISNUMBER(BT104),BT119-BT104+BT105,"")</f>
        <v>-1302</v>
      </c>
      <c r="BU106" s="211">
        <f>IF(ISNUMBER(BU104),BU119-BU104+BU105,"")</f>
        <v>-95</v>
      </c>
      <c r="BV106" s="263">
        <f>0</f>
        <v>0</v>
      </c>
      <c r="BW106" s="263">
        <f>0</f>
        <v>0</v>
      </c>
      <c r="BX106" s="263">
        <f>SUM(BT106:BW106)</f>
        <v>-1397</v>
      </c>
      <c r="BY106" s="263">
        <f>0</f>
        <v>0</v>
      </c>
      <c r="BZ106" s="263">
        <f>0</f>
        <v>0</v>
      </c>
      <c r="CA106" s="263">
        <f>0</f>
        <v>0</v>
      </c>
      <c r="CB106" s="263">
        <f>0</f>
        <v>0</v>
      </c>
      <c r="CC106" s="263">
        <f>0</f>
        <v>0</v>
      </c>
      <c r="CD106" s="19" t="n"/>
    </row>
    <row r="107" ht="15" customHeight="1" s="251">
      <c r="CL107" s="11" t="n"/>
      <c r="CM107" s="12" t="n"/>
      <c r="CN107" s="12" t="n"/>
      <c r="CO107" s="12" t="n"/>
      <c r="CP107" s="13" t="n"/>
    </row>
    <row r="108" ht="15" customHeight="1" s="251">
      <c r="B108" s="10" t="inlineStr">
        <is>
          <t>CONSOLIDATED STATEMENTS OF INCOME (US GAAP)</t>
        </is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n"/>
      <c r="AN108" s="10" t="n"/>
      <c r="AO108" s="10" t="n"/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0" t="n"/>
      <c r="BC108" s="10" t="n"/>
      <c r="BD108" s="10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inlineStr">
        <is>
          <t>CONSOLIDATED IS — forecast logic (revenue from the build; total costs from the cost drivers; cost lines by mix)</t>
        </is>
      </c>
    </row>
    <row r="109" ht="15" customHeight="1" s="251">
      <c r="B109" s="55" t="inlineStr">
        <is>
          <t>Revenue</t>
        </is>
      </c>
      <c r="C109" s="274" t="n">
        <v>777</v>
      </c>
      <c r="D109" s="274" t="n">
        <v>1974</v>
      </c>
      <c r="E109" s="274" t="n">
        <v>3711</v>
      </c>
      <c r="F109" s="274" t="n">
        <v>5089</v>
      </c>
      <c r="G109" s="274" t="n">
        <v>1458</v>
      </c>
      <c r="H109" s="274" t="n">
        <v>1813</v>
      </c>
      <c r="I109" s="274" t="n">
        <v>2016</v>
      </c>
      <c r="J109" s="274" t="n">
        <v>2585</v>
      </c>
      <c r="K109" s="274" t="n">
        <v>7872</v>
      </c>
      <c r="L109" s="274" t="n">
        <v>2502</v>
      </c>
      <c r="M109" s="274" t="n">
        <v>2910</v>
      </c>
      <c r="N109" s="274" t="n">
        <v>3203</v>
      </c>
      <c r="O109" s="274" t="n">
        <v>3851</v>
      </c>
      <c r="P109" s="274" t="n">
        <v>12466</v>
      </c>
      <c r="Q109" s="274" t="n">
        <v>3543</v>
      </c>
      <c r="R109" s="274" t="n">
        <v>4042</v>
      </c>
      <c r="S109" s="274" t="n">
        <v>4501</v>
      </c>
      <c r="T109" s="274" t="n">
        <v>5841</v>
      </c>
      <c r="U109" s="274" t="n">
        <v>17928</v>
      </c>
      <c r="V109" s="274" t="n">
        <v>5382</v>
      </c>
      <c r="W109" s="274" t="n">
        <v>6436</v>
      </c>
      <c r="X109" s="274" t="n">
        <v>7011</v>
      </c>
      <c r="Y109" s="274" t="n">
        <v>8809</v>
      </c>
      <c r="Z109" s="274" t="n">
        <v>27638</v>
      </c>
      <c r="AA109" s="274" t="n">
        <v>8032</v>
      </c>
      <c r="AB109" s="274" t="n">
        <v>9321</v>
      </c>
      <c r="AC109" s="274" t="n">
        <v>10328</v>
      </c>
      <c r="AD109" s="274" t="n">
        <v>12972</v>
      </c>
      <c r="AE109" s="274" t="n">
        <v>40653</v>
      </c>
      <c r="AF109" s="274" t="n">
        <v>11966</v>
      </c>
      <c r="AG109" s="274" t="n">
        <v>13231</v>
      </c>
      <c r="AH109" s="274" t="n">
        <v>13727</v>
      </c>
      <c r="AI109" s="274" t="n">
        <v>16914</v>
      </c>
      <c r="AJ109" s="274" t="n">
        <v>55838</v>
      </c>
      <c r="AK109" s="274" t="n">
        <v>15077</v>
      </c>
      <c r="AL109" s="274" t="n">
        <v>16886</v>
      </c>
      <c r="AM109" s="274" t="n">
        <v>17652</v>
      </c>
      <c r="AN109" s="274" t="n">
        <v>21082</v>
      </c>
      <c r="AO109" s="274" t="n">
        <v>70697</v>
      </c>
      <c r="AP109" s="274" t="n">
        <v>17737</v>
      </c>
      <c r="AQ109" s="274" t="n">
        <v>18687</v>
      </c>
      <c r="AR109" s="274" t="n">
        <v>21470</v>
      </c>
      <c r="AS109" s="274" t="n">
        <v>28072</v>
      </c>
      <c r="AT109" s="274" t="n">
        <v>85965</v>
      </c>
      <c r="AU109" s="274" t="n">
        <v>26171</v>
      </c>
      <c r="AV109" s="274" t="n">
        <v>29077</v>
      </c>
      <c r="AW109" s="274" t="n">
        <v>29010</v>
      </c>
      <c r="AX109" s="274" t="n">
        <v>33671</v>
      </c>
      <c r="AY109" s="274" t="n">
        <v>117929</v>
      </c>
      <c r="AZ109" s="274" t="n">
        <v>27908</v>
      </c>
      <c r="BA109" s="274" t="n">
        <v>28822</v>
      </c>
      <c r="BB109" s="274" t="n">
        <v>27714</v>
      </c>
      <c r="BC109" s="274" t="n">
        <v>32165</v>
      </c>
      <c r="BD109" s="274" t="n">
        <v>116609</v>
      </c>
      <c r="BE109" s="274" t="n">
        <v>28645</v>
      </c>
      <c r="BF109" s="274" t="n">
        <v>31999</v>
      </c>
      <c r="BG109" s="274" t="n">
        <v>34146</v>
      </c>
      <c r="BH109" s="274" t="n">
        <v>40111</v>
      </c>
      <c r="BI109" s="274" t="n">
        <v>134902</v>
      </c>
      <c r="BJ109" s="274" t="n">
        <v>36455</v>
      </c>
      <c r="BK109" s="274" t="n">
        <v>39071</v>
      </c>
      <c r="BL109" s="274" t="n">
        <v>40589</v>
      </c>
      <c r="BM109" s="274" t="n">
        <v>48385</v>
      </c>
      <c r="BN109" s="274" t="n">
        <v>164501</v>
      </c>
      <c r="BO109" s="274" t="n">
        <v>42314</v>
      </c>
      <c r="BP109" s="274" t="n">
        <v>47516</v>
      </c>
      <c r="BQ109" s="274" t="n">
        <v>51242</v>
      </c>
      <c r="BR109" s="274" t="n">
        <v>59893</v>
      </c>
      <c r="BS109" s="274" t="n">
        <v>200966</v>
      </c>
      <c r="BT109" s="274" t="n">
        <v>56311</v>
      </c>
      <c r="BU109" s="274" t="n">
        <v>60801</v>
      </c>
      <c r="BV109" s="272">
        <f>BV71</f>
        <v>62500</v>
      </c>
      <c r="BW109" s="272">
        <f>BW71</f>
        <v>72988.4115311655</v>
      </c>
      <c r="BX109" s="272">
        <f>SUM(BT109:BW109)</f>
        <v>252600.411531166</v>
      </c>
      <c r="BY109" s="272">
        <f>BY71</f>
        <v>300830.670806499</v>
      </c>
      <c r="BZ109" s="272">
        <f>BZ71</f>
        <v>348341.993906062</v>
      </c>
      <c r="CA109" s="272">
        <f>CA71</f>
        <v>395867.431609974</v>
      </c>
      <c r="CB109" s="272">
        <f>CB71</f>
        <v>441368.568158347</v>
      </c>
      <c r="CC109" s="272">
        <f>CC71</f>
        <v>487137.698880726</v>
      </c>
      <c r="CD109" s="153" t="inlineStr">
        <is>
          <t>Forecast linked to the operating build.</t>
        </is>
      </c>
      <c r="CF109" s="20">
        <f>IFERROR((CC109/BX109)^(1/5)-1,"n/m")</f>
        <v>0.140364101452749</v>
      </c>
      <c r="CG109" s="20">
        <f>IFERROR((BS109/AT109)^(1/5)-1,"n/m")</f>
        <v>0.185114151787598</v>
      </c>
      <c r="CH109" s="20">
        <f>IFERROR((BS109/U109)^(1/10)-1,"n/m")</f>
        <v>0.273383078793184</v>
      </c>
      <c r="CI109" s="20">
        <f>IFERROR((BS109/C109)^(1/16)-1,"n/m")</f>
        <v>0.415121887212957</v>
      </c>
    </row>
    <row r="110" ht="15" customHeight="1" s="251">
      <c r="B110" s="25" t="inlineStr">
        <is>
          <t>Cost of revenue</t>
        </is>
      </c>
      <c r="C110" s="261" t="n">
        <v>223</v>
      </c>
      <c r="D110" s="261" t="n">
        <v>493</v>
      </c>
      <c r="E110" s="261" t="n">
        <v>860</v>
      </c>
      <c r="F110" s="261" t="n">
        <v>1364</v>
      </c>
      <c r="G110" s="261" t="n">
        <v>413</v>
      </c>
      <c r="H110" s="261" t="n">
        <v>465</v>
      </c>
      <c r="I110" s="261" t="n">
        <v>507</v>
      </c>
      <c r="J110" s="261" t="n">
        <v>491</v>
      </c>
      <c r="K110" s="261" t="n">
        <v>1875</v>
      </c>
      <c r="L110" s="261" t="n">
        <v>462</v>
      </c>
      <c r="M110" s="261" t="n">
        <v>473</v>
      </c>
      <c r="N110" s="261" t="n">
        <v>565</v>
      </c>
      <c r="O110" s="261" t="n">
        <v>653</v>
      </c>
      <c r="P110" s="261" t="n">
        <v>2153</v>
      </c>
      <c r="Q110" s="261" t="n">
        <v>654</v>
      </c>
      <c r="R110" s="261" t="n">
        <v>668</v>
      </c>
      <c r="S110" s="261" t="n">
        <v>720</v>
      </c>
      <c r="T110" s="261" t="n">
        <v>824</v>
      </c>
      <c r="U110" s="261" t="n">
        <v>2867</v>
      </c>
      <c r="V110" s="261" t="n">
        <v>838</v>
      </c>
      <c r="W110" s="261" t="n">
        <v>916</v>
      </c>
      <c r="X110" s="261" t="n">
        <v>987</v>
      </c>
      <c r="Y110" s="261" t="n">
        <v>1047</v>
      </c>
      <c r="Z110" s="261" t="n">
        <v>3789</v>
      </c>
      <c r="AA110" s="261" t="n">
        <v>1159</v>
      </c>
      <c r="AB110" s="261" t="n">
        <v>1237</v>
      </c>
      <c r="AC110" s="261" t="n">
        <v>1448</v>
      </c>
      <c r="AD110" s="261" t="n">
        <v>1611</v>
      </c>
      <c r="AE110" s="261" t="n">
        <v>5454</v>
      </c>
      <c r="AF110" s="261" t="n">
        <v>1927</v>
      </c>
      <c r="AG110" s="261" t="n">
        <v>2214</v>
      </c>
      <c r="AH110" s="261" t="n">
        <v>2418</v>
      </c>
      <c r="AI110" s="261" t="n">
        <v>2796</v>
      </c>
      <c r="AJ110" s="261" t="n">
        <v>9355</v>
      </c>
      <c r="AK110" s="261" t="n">
        <v>2816</v>
      </c>
      <c r="AL110" s="261" t="n">
        <v>3307</v>
      </c>
      <c r="AM110" s="261" t="n">
        <v>3155</v>
      </c>
      <c r="AN110" s="261" t="n">
        <v>3492</v>
      </c>
      <c r="AO110" s="261" t="n">
        <v>12770</v>
      </c>
      <c r="AP110" s="261" t="n">
        <v>3459</v>
      </c>
      <c r="AQ110" s="261" t="n">
        <v>3829</v>
      </c>
      <c r="AR110" s="261" t="n">
        <v>4194</v>
      </c>
      <c r="AS110" s="261" t="n">
        <v>5210</v>
      </c>
      <c r="AT110" s="261" t="n">
        <v>16692</v>
      </c>
      <c r="AU110" s="261" t="n">
        <v>5131</v>
      </c>
      <c r="AV110" s="261" t="n">
        <v>5399</v>
      </c>
      <c r="AW110" s="261" t="n">
        <v>5771</v>
      </c>
      <c r="AX110" s="261" t="n">
        <v>6348</v>
      </c>
      <c r="AY110" s="261" t="n">
        <v>22649</v>
      </c>
      <c r="AZ110" s="261" t="n">
        <v>6005</v>
      </c>
      <c r="BA110" s="261" t="n">
        <v>5192</v>
      </c>
      <c r="BB110" s="261" t="n">
        <v>5716</v>
      </c>
      <c r="BC110" s="261" t="n">
        <v>8336</v>
      </c>
      <c r="BD110" s="261" t="n">
        <v>25249</v>
      </c>
      <c r="BE110" s="261" t="n">
        <v>6108</v>
      </c>
      <c r="BF110" s="261" t="n">
        <v>5945</v>
      </c>
      <c r="BG110" s="261" t="n">
        <v>6210</v>
      </c>
      <c r="BH110" s="261" t="n">
        <v>7695</v>
      </c>
      <c r="BI110" s="261" t="n">
        <v>25959</v>
      </c>
      <c r="BJ110" s="261" t="n">
        <v>6640</v>
      </c>
      <c r="BK110" s="261" t="n">
        <v>7308</v>
      </c>
      <c r="BL110" s="261" t="n">
        <v>7375</v>
      </c>
      <c r="BM110" s="261" t="n">
        <v>8839</v>
      </c>
      <c r="BN110" s="261" t="n">
        <v>30161</v>
      </c>
      <c r="BO110" s="261" t="n">
        <v>7572</v>
      </c>
      <c r="BP110" s="261" t="n">
        <v>8491</v>
      </c>
      <c r="BQ110" s="261" t="n">
        <v>9206</v>
      </c>
      <c r="BR110" s="261" t="n">
        <v>10905</v>
      </c>
      <c r="BS110" s="261" t="n">
        <v>36175</v>
      </c>
      <c r="BT110" s="261" t="n">
        <v>10218</v>
      </c>
      <c r="BU110" s="261" t="n">
        <v>11330</v>
      </c>
      <c r="BV110" s="263">
        <f>(BV114-BV93-BV94)*BV99</f>
        <v>12793.9459185867</v>
      </c>
      <c r="BW110" s="263">
        <f>(BW114-BW93-BW94)*BW99</f>
        <v>14644.270399143</v>
      </c>
      <c r="BX110" s="263">
        <f>SUM(BT110:BW110)</f>
        <v>48986.2163177297</v>
      </c>
      <c r="BY110" s="263">
        <f>(BY114-BY93-BY94)*BY99</f>
        <v>59530.8152218582</v>
      </c>
      <c r="BZ110" s="263">
        <f>(BZ114-BZ93-BZ94)*BZ99</f>
        <v>68712.2705863283</v>
      </c>
      <c r="CA110" s="263">
        <f>(CA114-CA93-CA94)*CA99</f>
        <v>78267.1581305607</v>
      </c>
      <c r="CB110" s="263">
        <f>(CB114-CB93-CB94)*CB99</f>
        <v>85836.5073131528</v>
      </c>
      <c r="CC110" s="263">
        <f>(CC114-CC93-CC94)*CC99</f>
        <v>93481.0693776519</v>
      </c>
      <c r="CD110" s="19" t="n"/>
    </row>
    <row r="111" ht="15" customHeight="1" s="251">
      <c r="B111" s="25" t="inlineStr">
        <is>
          <t>Research and development</t>
        </is>
      </c>
      <c r="C111" s="261" t="n">
        <v>87</v>
      </c>
      <c r="D111" s="261" t="n">
        <v>144</v>
      </c>
      <c r="E111" s="261" t="n">
        <v>388</v>
      </c>
      <c r="F111" s="261" t="n">
        <v>1399</v>
      </c>
      <c r="G111" s="261" t="n">
        <v>293</v>
      </c>
      <c r="H111" s="261" t="n">
        <v>344</v>
      </c>
      <c r="I111" s="261" t="n">
        <v>369</v>
      </c>
      <c r="J111" s="261" t="n">
        <v>408</v>
      </c>
      <c r="K111" s="261" t="n">
        <v>1415</v>
      </c>
      <c r="L111" s="261" t="n">
        <v>455</v>
      </c>
      <c r="M111" s="261" t="n">
        <v>492</v>
      </c>
      <c r="N111" s="261" t="n">
        <v>608</v>
      </c>
      <c r="O111" s="261" t="n">
        <v>1111</v>
      </c>
      <c r="P111" s="261" t="n">
        <v>2666</v>
      </c>
      <c r="Q111" s="261" t="n">
        <v>1062</v>
      </c>
      <c r="R111" s="261" t="n">
        <v>1170</v>
      </c>
      <c r="S111" s="261" t="n">
        <v>1271</v>
      </c>
      <c r="T111" s="261" t="n">
        <v>1314</v>
      </c>
      <c r="U111" s="261" t="n">
        <v>4816</v>
      </c>
      <c r="V111" s="261" t="n">
        <v>1343</v>
      </c>
      <c r="W111" s="261" t="n">
        <v>1463</v>
      </c>
      <c r="X111" s="261" t="n">
        <v>1539</v>
      </c>
      <c r="Y111" s="261" t="n">
        <v>1563</v>
      </c>
      <c r="Z111" s="261" t="n">
        <v>5919</v>
      </c>
      <c r="AA111" s="261" t="n">
        <v>1834</v>
      </c>
      <c r="AB111" s="261" t="n">
        <v>1919</v>
      </c>
      <c r="AC111" s="261" t="n">
        <v>2052</v>
      </c>
      <c r="AD111" s="261" t="n">
        <v>1949</v>
      </c>
      <c r="AE111" s="261" t="n">
        <v>7754</v>
      </c>
      <c r="AF111" s="261" t="n">
        <v>2238</v>
      </c>
      <c r="AG111" s="261" t="n">
        <v>2523</v>
      </c>
      <c r="AH111" s="261" t="n">
        <v>2657</v>
      </c>
      <c r="AI111" s="261" t="n">
        <v>2855</v>
      </c>
      <c r="AJ111" s="261" t="n">
        <v>10273</v>
      </c>
      <c r="AK111" s="261" t="n">
        <v>2860</v>
      </c>
      <c r="AL111" s="261" t="n">
        <v>3315</v>
      </c>
      <c r="AM111" s="261" t="n">
        <v>3548</v>
      </c>
      <c r="AN111" s="261" t="n">
        <v>3877</v>
      </c>
      <c r="AO111" s="261" t="n">
        <v>13600</v>
      </c>
      <c r="AP111" s="261" t="n">
        <v>4015</v>
      </c>
      <c r="AQ111" s="261" t="n">
        <v>4462</v>
      </c>
      <c r="AR111" s="261" t="n">
        <v>4763</v>
      </c>
      <c r="AS111" s="261" t="n">
        <v>5208</v>
      </c>
      <c r="AT111" s="261" t="n">
        <v>18447</v>
      </c>
      <c r="AU111" s="261" t="n">
        <v>5197</v>
      </c>
      <c r="AV111" s="261" t="n">
        <v>6096</v>
      </c>
      <c r="AW111" s="261" t="n">
        <v>6316</v>
      </c>
      <c r="AX111" s="261" t="n">
        <v>7046</v>
      </c>
      <c r="AY111" s="261" t="n">
        <v>24655</v>
      </c>
      <c r="AZ111" s="261" t="n">
        <v>7707</v>
      </c>
      <c r="BA111" s="261" t="n">
        <v>8690</v>
      </c>
      <c r="BB111" s="261" t="n">
        <v>9170</v>
      </c>
      <c r="BC111" s="261" t="n">
        <v>9771</v>
      </c>
      <c r="BD111" s="261" t="n">
        <v>35338</v>
      </c>
      <c r="BE111" s="261" t="n">
        <v>9381</v>
      </c>
      <c r="BF111" s="261" t="n">
        <v>9344</v>
      </c>
      <c r="BG111" s="261" t="n">
        <v>9241</v>
      </c>
      <c r="BH111" s="261" t="n">
        <v>10517</v>
      </c>
      <c r="BI111" s="261" t="n">
        <v>38483</v>
      </c>
      <c r="BJ111" s="261" t="n">
        <v>9978</v>
      </c>
      <c r="BK111" s="261" t="n">
        <v>10537</v>
      </c>
      <c r="BL111" s="261" t="n">
        <v>11177</v>
      </c>
      <c r="BM111" s="261" t="n">
        <v>12180</v>
      </c>
      <c r="BN111" s="261" t="n">
        <v>43873</v>
      </c>
      <c r="BO111" s="261" t="n">
        <v>12150</v>
      </c>
      <c r="BP111" s="261" t="n">
        <v>12942</v>
      </c>
      <c r="BQ111" s="261" t="n">
        <v>15144</v>
      </c>
      <c r="BR111" s="261" t="n">
        <v>17136</v>
      </c>
      <c r="BS111" s="261" t="n">
        <v>57372</v>
      </c>
      <c r="BT111" s="261" t="n">
        <v>17699</v>
      </c>
      <c r="BU111" s="261" t="n">
        <v>21656</v>
      </c>
      <c r="BV111" s="263">
        <f>(BV114-BV93-BV94)*BV100</f>
        <v>23366.7041779274</v>
      </c>
      <c r="BW111" s="263">
        <f>(BW114-BW93-BW94)*BW100</f>
        <v>26746.1138647797</v>
      </c>
      <c r="BX111" s="263">
        <f>SUM(BT111:BW111)</f>
        <v>89467.8180427071</v>
      </c>
      <c r="BY111" s="263">
        <f>(BY114-BY93-BY94)*BY100</f>
        <v>108726.342725832</v>
      </c>
      <c r="BZ111" s="263">
        <f>(BZ114-BZ93-BZ94)*BZ100</f>
        <v>125495.238951409</v>
      </c>
      <c r="CA111" s="263">
        <f>(CA114-CA93-CA94)*CA100</f>
        <v>142946.167079461</v>
      </c>
      <c r="CB111" s="263">
        <f>(CB114-CB93-CB94)*CB100</f>
        <v>156770.732564931</v>
      </c>
      <c r="CC111" s="263">
        <f>(CC114-CC93-CC94)*CC100</f>
        <v>170732.665925259</v>
      </c>
      <c r="CD111" s="19" t="n"/>
    </row>
    <row r="112" ht="15" customHeight="1" s="251">
      <c r="B112" s="25" t="inlineStr">
        <is>
          <t>Marketing and sales</t>
        </is>
      </c>
      <c r="C112" s="261" t="n">
        <v>115</v>
      </c>
      <c r="D112" s="261" t="n">
        <v>184</v>
      </c>
      <c r="E112" s="261" t="n">
        <v>427</v>
      </c>
      <c r="F112" s="261" t="n">
        <v>896</v>
      </c>
      <c r="G112" s="261" t="n">
        <v>203</v>
      </c>
      <c r="H112" s="261" t="n">
        <v>269</v>
      </c>
      <c r="I112" s="261" t="n">
        <v>233</v>
      </c>
      <c r="J112" s="261" t="n">
        <v>292</v>
      </c>
      <c r="K112" s="261" t="n">
        <v>997</v>
      </c>
      <c r="L112" s="261" t="n">
        <v>323</v>
      </c>
      <c r="M112" s="261" t="n">
        <v>358</v>
      </c>
      <c r="N112" s="261" t="n">
        <v>374</v>
      </c>
      <c r="O112" s="261" t="n">
        <v>624</v>
      </c>
      <c r="P112" s="261" t="n">
        <v>1680</v>
      </c>
      <c r="Q112" s="261" t="n">
        <v>620</v>
      </c>
      <c r="R112" s="261" t="n">
        <v>626</v>
      </c>
      <c r="S112" s="261" t="n">
        <v>706</v>
      </c>
      <c r="T112" s="261" t="n">
        <v>772</v>
      </c>
      <c r="U112" s="261" t="n">
        <v>2725</v>
      </c>
      <c r="V112" s="261" t="n">
        <v>826</v>
      </c>
      <c r="W112" s="261" t="n">
        <v>899</v>
      </c>
      <c r="X112" s="261" t="n">
        <v>925</v>
      </c>
      <c r="Y112" s="261" t="n">
        <v>1118</v>
      </c>
      <c r="Z112" s="261" t="n">
        <v>3772</v>
      </c>
      <c r="AA112" s="261" t="n">
        <v>1057</v>
      </c>
      <c r="AB112" s="261" t="n">
        <v>1124</v>
      </c>
      <c r="AC112" s="261" t="n">
        <v>1170</v>
      </c>
      <c r="AD112" s="261" t="n">
        <v>1374</v>
      </c>
      <c r="AE112" s="261" t="n">
        <v>4725</v>
      </c>
      <c r="AF112" s="261" t="n">
        <v>1595</v>
      </c>
      <c r="AG112" s="261" t="n">
        <v>1855</v>
      </c>
      <c r="AH112" s="261" t="n">
        <v>1928</v>
      </c>
      <c r="AI112" s="261" t="n">
        <v>2467</v>
      </c>
      <c r="AJ112" s="261" t="n">
        <v>7846</v>
      </c>
      <c r="AK112" s="261" t="n">
        <v>2020</v>
      </c>
      <c r="AL112" s="261" t="n">
        <v>2414</v>
      </c>
      <c r="AM112" s="261" t="n">
        <v>2416</v>
      </c>
      <c r="AN112" s="261" t="n">
        <v>3026</v>
      </c>
      <c r="AO112" s="261" t="n">
        <v>9876</v>
      </c>
      <c r="AP112" s="261" t="n">
        <v>2787</v>
      </c>
      <c r="AQ112" s="261" t="n">
        <v>2840</v>
      </c>
      <c r="AR112" s="261" t="n">
        <v>2683</v>
      </c>
      <c r="AS112" s="261" t="n">
        <v>3280</v>
      </c>
      <c r="AT112" s="261" t="n">
        <v>11591</v>
      </c>
      <c r="AU112" s="261" t="n">
        <v>2843</v>
      </c>
      <c r="AV112" s="261" t="n">
        <v>3259</v>
      </c>
      <c r="AW112" s="261" t="n">
        <v>3554</v>
      </c>
      <c r="AX112" s="261" t="n">
        <v>4387</v>
      </c>
      <c r="AY112" s="261" t="n">
        <v>14043</v>
      </c>
      <c r="AZ112" s="261" t="n">
        <v>3312</v>
      </c>
      <c r="BA112" s="261" t="n">
        <v>3595</v>
      </c>
      <c r="BB112" s="261" t="n">
        <v>3780</v>
      </c>
      <c r="BC112" s="261" t="n">
        <v>4574</v>
      </c>
      <c r="BD112" s="261" t="n">
        <v>15262</v>
      </c>
      <c r="BE112" s="261" t="n">
        <v>3044</v>
      </c>
      <c r="BF112" s="261" t="n">
        <v>3154</v>
      </c>
      <c r="BG112" s="261" t="n">
        <v>2877</v>
      </c>
      <c r="BH112" s="261" t="n">
        <v>3226</v>
      </c>
      <c r="BI112" s="261" t="n">
        <v>12301</v>
      </c>
      <c r="BJ112" s="261" t="n">
        <v>2564</v>
      </c>
      <c r="BK112" s="261" t="n">
        <v>2721</v>
      </c>
      <c r="BL112" s="261" t="n">
        <v>2822</v>
      </c>
      <c r="BM112" s="261" t="n">
        <v>3240</v>
      </c>
      <c r="BN112" s="261" t="n">
        <v>11347</v>
      </c>
      <c r="BO112" s="261" t="n">
        <v>2757</v>
      </c>
      <c r="BP112" s="261" t="n">
        <v>2979</v>
      </c>
      <c r="BQ112" s="261" t="n">
        <v>2845</v>
      </c>
      <c r="BR112" s="261" t="n">
        <v>3410</v>
      </c>
      <c r="BS112" s="261" t="n">
        <v>11991</v>
      </c>
      <c r="BT112" s="261" t="n">
        <v>2908</v>
      </c>
      <c r="BU112" s="261" t="n">
        <v>3431</v>
      </c>
      <c r="BV112" s="263">
        <f>(BV114-BV93-BV94)*BV101</f>
        <v>3763.72856775204</v>
      </c>
      <c r="BW112" s="263">
        <f>(BW114-BW93-BW94)*BW101</f>
        <v>4308.05782718432</v>
      </c>
      <c r="BX112" s="263">
        <f>SUM(BT112:BW112)</f>
        <v>14410.7863949364</v>
      </c>
      <c r="BY112" s="263">
        <f>(BY114-BY93-BY94)*BY101</f>
        <v>17512.8010809058</v>
      </c>
      <c r="BZ112" s="263">
        <f>(BZ114-BZ93-BZ94)*BZ101</f>
        <v>20213.8056082576</v>
      </c>
      <c r="CA112" s="263">
        <f>(CA114-CA93-CA94)*CA101</f>
        <v>23024.666576463</v>
      </c>
      <c r="CB112" s="263">
        <f>(CB114-CB93-CB94)*CB101</f>
        <v>25251.4210069647</v>
      </c>
      <c r="CC112" s="263">
        <f>(CC114-CC93-CC94)*CC101</f>
        <v>27500.3015957367</v>
      </c>
      <c r="CD112" s="19" t="n"/>
    </row>
    <row r="113" ht="15" customHeight="1" s="251">
      <c r="B113" s="25" t="inlineStr">
        <is>
          <t>General and administrative</t>
        </is>
      </c>
      <c r="C113" s="261" t="n">
        <v>90</v>
      </c>
      <c r="D113" s="261" t="n">
        <v>121</v>
      </c>
      <c r="E113" s="261" t="n">
        <v>280</v>
      </c>
      <c r="F113" s="261" t="n">
        <v>892</v>
      </c>
      <c r="G113" s="261" t="n">
        <v>176</v>
      </c>
      <c r="H113" s="261" t="n">
        <v>173</v>
      </c>
      <c r="I113" s="261" t="n">
        <v>171</v>
      </c>
      <c r="J113" s="261" t="n">
        <v>261</v>
      </c>
      <c r="K113" s="261" t="n">
        <v>781</v>
      </c>
      <c r="L113" s="261" t="n">
        <v>187</v>
      </c>
      <c r="M113" s="261" t="n">
        <v>197</v>
      </c>
      <c r="N113" s="261" t="n">
        <v>259</v>
      </c>
      <c r="O113" s="261" t="n">
        <v>330</v>
      </c>
      <c r="P113" s="261" t="n">
        <v>973</v>
      </c>
      <c r="Q113" s="261" t="n">
        <v>274</v>
      </c>
      <c r="R113" s="261" t="n">
        <v>305</v>
      </c>
      <c r="S113" s="261" t="n">
        <v>345</v>
      </c>
      <c r="T113" s="261" t="n">
        <v>371</v>
      </c>
      <c r="U113" s="261" t="n">
        <v>1295</v>
      </c>
      <c r="V113" s="261" t="n">
        <v>366</v>
      </c>
      <c r="W113" s="261" t="n">
        <v>412</v>
      </c>
      <c r="X113" s="261" t="n">
        <v>438</v>
      </c>
      <c r="Y113" s="261" t="n">
        <v>515</v>
      </c>
      <c r="Z113" s="261" t="n">
        <v>1731</v>
      </c>
      <c r="AA113" s="261" t="n">
        <v>655</v>
      </c>
      <c r="AB113" s="261" t="n">
        <v>640</v>
      </c>
      <c r="AC113" s="261" t="n">
        <v>536</v>
      </c>
      <c r="AD113" s="261" t="n">
        <v>686</v>
      </c>
      <c r="AE113" s="261" t="n">
        <v>2517</v>
      </c>
      <c r="AF113" s="261" t="n">
        <v>757</v>
      </c>
      <c r="AG113" s="261" t="n">
        <v>776</v>
      </c>
      <c r="AH113" s="261" t="n">
        <v>943</v>
      </c>
      <c r="AI113" s="261" t="n">
        <v>976</v>
      </c>
      <c r="AJ113" s="261" t="n">
        <v>3451</v>
      </c>
      <c r="AK113" s="261" t="n">
        <v>4064</v>
      </c>
      <c r="AL113" s="261" t="n">
        <v>3224</v>
      </c>
      <c r="AM113" s="261" t="n">
        <v>1348</v>
      </c>
      <c r="AN113" s="261" t="n">
        <v>1829</v>
      </c>
      <c r="AO113" s="261" t="n">
        <v>10465</v>
      </c>
      <c r="AP113" s="261" t="n">
        <v>1583</v>
      </c>
      <c r="AQ113" s="261" t="n">
        <v>1593</v>
      </c>
      <c r="AR113" s="261" t="n">
        <v>1790</v>
      </c>
      <c r="AS113" s="261" t="n">
        <v>1599</v>
      </c>
      <c r="AT113" s="261" t="n">
        <v>6564</v>
      </c>
      <c r="AU113" s="261" t="n">
        <v>1622</v>
      </c>
      <c r="AV113" s="261" t="n">
        <v>1956</v>
      </c>
      <c r="AW113" s="261" t="n">
        <v>2946</v>
      </c>
      <c r="AX113" s="261" t="n">
        <v>3305</v>
      </c>
      <c r="AY113" s="261" t="n">
        <v>9829</v>
      </c>
      <c r="AZ113" s="261" t="n">
        <v>2360</v>
      </c>
      <c r="BA113" s="261" t="n">
        <v>2987</v>
      </c>
      <c r="BB113" s="261" t="n">
        <v>3384</v>
      </c>
      <c r="BC113" s="261" t="n">
        <v>3085</v>
      </c>
      <c r="BD113" s="261" t="n">
        <v>11816</v>
      </c>
      <c r="BE113" s="261" t="n">
        <v>2885</v>
      </c>
      <c r="BF113" s="261" t="n">
        <v>4164</v>
      </c>
      <c r="BG113" s="261" t="n">
        <v>2070</v>
      </c>
      <c r="BH113" s="261" t="n">
        <v>2289</v>
      </c>
      <c r="BI113" s="261" t="n">
        <v>11408</v>
      </c>
      <c r="BJ113" s="261" t="n">
        <v>3455</v>
      </c>
      <c r="BK113" s="261" t="n">
        <v>3658</v>
      </c>
      <c r="BL113" s="261" t="n">
        <v>1865</v>
      </c>
      <c r="BM113" s="261" t="n">
        <v>761</v>
      </c>
      <c r="BN113" s="261" t="n">
        <v>9740</v>
      </c>
      <c r="BO113" s="261" t="n">
        <v>2280</v>
      </c>
      <c r="BP113" s="261" t="n">
        <v>2663</v>
      </c>
      <c r="BQ113" s="261" t="n">
        <v>3512</v>
      </c>
      <c r="BR113" s="261" t="n">
        <v>3697</v>
      </c>
      <c r="BS113" s="261" t="n">
        <v>12152</v>
      </c>
      <c r="BT113" s="261" t="n">
        <v>2614</v>
      </c>
      <c r="BU113" s="261" t="n">
        <v>5609</v>
      </c>
      <c r="BV113" s="263">
        <f>(BV114-BV93-BV94)*BV102+BV93+BV94</f>
        <v>2756.74266289205</v>
      </c>
      <c r="BW113" s="263">
        <f>(BW114-BW93-BW94)*BW102+BW93+BW94</f>
        <v>3155.43658173478</v>
      </c>
      <c r="BX113" s="263">
        <f>SUM(BT113:BW113)</f>
        <v>14135.1792446268</v>
      </c>
      <c r="BY113" s="263">
        <f>(BY114-BY93-BY94)*BY102+BY93+BY94</f>
        <v>12827.2496322205</v>
      </c>
      <c r="BZ113" s="263">
        <f>(BZ114-BZ93-BZ94)*BZ102+BZ93+BZ94</f>
        <v>14805.6001639281</v>
      </c>
      <c r="CA113" s="263">
        <f>(CA114-CA93-CA94)*CA102+CA93+CA94</f>
        <v>16864.4150362072</v>
      </c>
      <c r="CB113" s="263">
        <f>(CB114-CB93-CB94)*CB102+CB93+CB94</f>
        <v>18495.401125625</v>
      </c>
      <c r="CC113" s="263">
        <f>(CC114-CC93-CC94)*CC102+CC93+CC94</f>
        <v>20142.5935177482</v>
      </c>
      <c r="CD113" s="19" t="n"/>
    </row>
    <row r="114" ht="15" customHeight="1" s="251">
      <c r="B114" s="16" t="inlineStr">
        <is>
          <t>Total costs and expenses</t>
        </is>
      </c>
      <c r="C114" s="253" t="n">
        <v>515</v>
      </c>
      <c r="D114" s="253" t="n">
        <v>942</v>
      </c>
      <c r="E114" s="253" t="n">
        <v>1955</v>
      </c>
      <c r="F114" s="253" t="n">
        <v>4551</v>
      </c>
      <c r="G114" s="253" t="n">
        <v>1085</v>
      </c>
      <c r="H114" s="253" t="n">
        <v>1251</v>
      </c>
      <c r="I114" s="253" t="n">
        <v>1280</v>
      </c>
      <c r="J114" s="253" t="n">
        <v>1452</v>
      </c>
      <c r="K114" s="253" t="n">
        <v>5068</v>
      </c>
      <c r="L114" s="253" t="n">
        <v>1427</v>
      </c>
      <c r="M114" s="253" t="n">
        <v>1520</v>
      </c>
      <c r="N114" s="253" t="n">
        <v>1806</v>
      </c>
      <c r="O114" s="253" t="n">
        <v>2718</v>
      </c>
      <c r="P114" s="253" t="n">
        <v>7472</v>
      </c>
      <c r="Q114" s="253" t="n">
        <v>2610</v>
      </c>
      <c r="R114" s="253" t="n">
        <v>2769</v>
      </c>
      <c r="S114" s="253" t="n">
        <v>3042</v>
      </c>
      <c r="T114" s="253" t="n">
        <v>3281</v>
      </c>
      <c r="U114" s="253" t="n">
        <v>11703</v>
      </c>
      <c r="V114" s="253" t="n">
        <v>3373</v>
      </c>
      <c r="W114" s="253" t="n">
        <v>3690</v>
      </c>
      <c r="X114" s="253" t="n">
        <v>3889</v>
      </c>
      <c r="Y114" s="253" t="n">
        <v>4243</v>
      </c>
      <c r="Z114" s="253" t="n">
        <v>15211</v>
      </c>
      <c r="AA114" s="253" t="n">
        <v>4705</v>
      </c>
      <c r="AB114" s="253" t="n">
        <v>4920</v>
      </c>
      <c r="AC114" s="253" t="n">
        <v>5206</v>
      </c>
      <c r="AD114" s="253" t="n">
        <v>5620</v>
      </c>
      <c r="AE114" s="253" t="n">
        <v>20450</v>
      </c>
      <c r="AF114" s="253" t="n">
        <v>6517</v>
      </c>
      <c r="AG114" s="253" t="n">
        <v>7368</v>
      </c>
      <c r="AH114" s="253" t="n">
        <v>7946</v>
      </c>
      <c r="AI114" s="253" t="n">
        <v>9094</v>
      </c>
      <c r="AJ114" s="253" t="n">
        <v>30925</v>
      </c>
      <c r="AK114" s="253" t="n">
        <v>11760</v>
      </c>
      <c r="AL114" s="253" t="n">
        <v>12260</v>
      </c>
      <c r="AM114" s="253" t="n">
        <v>10467</v>
      </c>
      <c r="AN114" s="253" t="n">
        <v>12224</v>
      </c>
      <c r="AO114" s="253" t="n">
        <v>46711</v>
      </c>
      <c r="AP114" s="253" t="n">
        <v>11844</v>
      </c>
      <c r="AQ114" s="253" t="n">
        <v>12724</v>
      </c>
      <c r="AR114" s="253" t="n">
        <v>13430</v>
      </c>
      <c r="AS114" s="253" t="n">
        <v>15297</v>
      </c>
      <c r="AT114" s="253" t="n">
        <v>53294</v>
      </c>
      <c r="AU114" s="253" t="n">
        <v>14793</v>
      </c>
      <c r="AV114" s="253" t="n">
        <v>16710</v>
      </c>
      <c r="AW114" s="253" t="n">
        <v>18587</v>
      </c>
      <c r="AX114" s="253" t="n">
        <v>21086</v>
      </c>
      <c r="AY114" s="253" t="n">
        <v>71176</v>
      </c>
      <c r="AZ114" s="253" t="n">
        <v>19384</v>
      </c>
      <c r="BA114" s="253" t="n">
        <v>20464</v>
      </c>
      <c r="BB114" s="253" t="n">
        <v>22050</v>
      </c>
      <c r="BC114" s="253" t="n">
        <v>25766</v>
      </c>
      <c r="BD114" s="253" t="n">
        <v>87665</v>
      </c>
      <c r="BE114" s="253" t="n">
        <v>21418</v>
      </c>
      <c r="BF114" s="253" t="n">
        <v>22607</v>
      </c>
      <c r="BG114" s="253" t="n">
        <v>20398</v>
      </c>
      <c r="BH114" s="253" t="n">
        <v>23727</v>
      </c>
      <c r="BI114" s="253" t="n">
        <v>88151</v>
      </c>
      <c r="BJ114" s="253" t="n">
        <v>22637</v>
      </c>
      <c r="BK114" s="253" t="n">
        <v>24224</v>
      </c>
      <c r="BL114" s="253" t="n">
        <v>23239</v>
      </c>
      <c r="BM114" s="253" t="n">
        <v>25020</v>
      </c>
      <c r="BN114" s="253" t="n">
        <v>95121</v>
      </c>
      <c r="BO114" s="253" t="n">
        <v>24759</v>
      </c>
      <c r="BP114" s="253" t="n">
        <v>27075</v>
      </c>
      <c r="BQ114" s="253" t="n">
        <v>30707</v>
      </c>
      <c r="BR114" s="253" t="n">
        <v>35148</v>
      </c>
      <c r="BS114" s="253" t="n">
        <v>117690</v>
      </c>
      <c r="BT114" s="253" t="n">
        <v>33439</v>
      </c>
      <c r="BU114" s="253" t="n">
        <v>42026</v>
      </c>
      <c r="BV114" s="254">
        <f>BV89+BV91+BV95+BV93+BV94</f>
        <v>42681.1213271582</v>
      </c>
      <c r="BW114" s="254">
        <f>BW89+BW91+BW95+BW93+BW94</f>
        <v>48853.8786728419</v>
      </c>
      <c r="BX114" s="254">
        <f>SUM(BT114:BW114)</f>
        <v>167000</v>
      </c>
      <c r="BY114" s="254">
        <f>BY89+BY91+BY95+BY93+BY94</f>
        <v>198597.208660816</v>
      </c>
      <c r="BZ114" s="254">
        <f>BZ89+BZ91+BZ95+BZ93+BZ94</f>
        <v>229226.915309923</v>
      </c>
      <c r="CA114" s="254">
        <f>CA89+CA91+CA95+CA93+CA94</f>
        <v>261102.406822691</v>
      </c>
      <c r="CB114" s="254">
        <f>CB89+CB91+CB95+CB93+CB94</f>
        <v>286354.062010673</v>
      </c>
      <c r="CC114" s="254">
        <f>CC89+CC91+CC95+CC93+CC94</f>
        <v>311856.630416396</v>
      </c>
      <c r="CD114" s="153" t="n"/>
      <c r="CF114" s="20">
        <f>IFERROR((CC114/BX114)^(1/5)-1,"n/m")</f>
        <v>0.133046418070194</v>
      </c>
      <c r="CG114" s="20">
        <f>IFERROR((BS114/AT114)^(1/5)-1,"n/m")</f>
        <v>0.171688720321227</v>
      </c>
      <c r="CH114" s="20">
        <f>IFERROR((BS114/U114)^(1/10)-1,"n/m")</f>
        <v>0.259633597412427</v>
      </c>
      <c r="CI114" s="20">
        <f>IFERROR((BS114/C114)^(1/16)-1,"n/m")</f>
        <v>0.404213910213797</v>
      </c>
    </row>
    <row r="115" ht="15" customHeight="1" s="251">
      <c r="B115" s="22" t="inlineStr">
        <is>
          <t xml:space="preserve">  Total costs and expenses y/y %</t>
        </is>
      </c>
      <c r="C115" s="23" t="n"/>
      <c r="D115" s="255">
        <f>IF(AND(ISNUMBER(D114),ISNUMBER(C114)),IFERROR(D114/C114-1,""),"")</f>
        <v>0.829126213592233</v>
      </c>
      <c r="E115" s="255">
        <f>IF(AND(ISNUMBER(E114),ISNUMBER(D114)),IFERROR(E114/D114-1,""),"")</f>
        <v>1.07537154989384</v>
      </c>
      <c r="F115" s="255">
        <f>IF(AND(ISNUMBER(F114),ISNUMBER(E114)),IFERROR(F114/E114-1,""),"")</f>
        <v>1.32787723785166</v>
      </c>
      <c r="G115" s="23" t="n"/>
      <c r="H115" s="23" t="n"/>
      <c r="I115" s="23" t="n"/>
      <c r="J115" s="23" t="n"/>
      <c r="K115" s="255">
        <f>IF(AND(ISNUMBER(K114),ISNUMBER(F114)),IFERROR(K114/F114-1,""),"")</f>
        <v>0.113601406284333</v>
      </c>
      <c r="L115" s="255">
        <f>IF(AND(ISNUMBER(L114),ISNUMBER(G114)),IFERROR(L114/G114-1,""),"")</f>
        <v>0.315207373271889</v>
      </c>
      <c r="M115" s="255">
        <f>IF(AND(ISNUMBER(M114),ISNUMBER(H114)),IFERROR(M114/H114-1,""),"")</f>
        <v>0.215027977617906</v>
      </c>
      <c r="N115" s="255">
        <f>IF(AND(ISNUMBER(N114),ISNUMBER(I114)),IFERROR(N114/I114-1,""),"")</f>
        <v>0.4109375</v>
      </c>
      <c r="O115" s="255">
        <f>IF(AND(ISNUMBER(O114),ISNUMBER(J114)),IFERROR(O114/J114-1,""),"")</f>
        <v>0.871900826446281</v>
      </c>
      <c r="P115" s="255">
        <f>IF(AND(ISNUMBER(P114),ISNUMBER(K114)),IFERROR(P114/K114-1,""),"")</f>
        <v>0.474348855564325</v>
      </c>
      <c r="Q115" s="255">
        <f>IF(AND(ISNUMBER(Q114),ISNUMBER(L114)),IFERROR(Q114/L114-1,""),"")</f>
        <v>0.829011913104415</v>
      </c>
      <c r="R115" s="255">
        <f>IF(AND(ISNUMBER(R114),ISNUMBER(M114)),IFERROR(R114/M114-1,""),"")</f>
        <v>0.82171052631579</v>
      </c>
      <c r="S115" s="255">
        <f>IF(AND(ISNUMBER(S114),ISNUMBER(N114)),IFERROR(S114/N114-1,""),"")</f>
        <v>0.684385382059801</v>
      </c>
      <c r="T115" s="255">
        <f>IF(AND(ISNUMBER(T114),ISNUMBER(O114)),IFERROR(T114/O114-1,""),"")</f>
        <v>0.207137601177336</v>
      </c>
      <c r="U115" s="255">
        <f>IF(AND(ISNUMBER(U114),ISNUMBER(P114)),IFERROR(U114/P114-1,""),"")</f>
        <v>0.566247323340471</v>
      </c>
      <c r="V115" s="255">
        <f>IF(AND(ISNUMBER(V114),ISNUMBER(Q114)),IFERROR(V114/Q114-1,""),"")</f>
        <v>0.292337164750958</v>
      </c>
      <c r="W115" s="255">
        <f>IF(AND(ISNUMBER(W114),ISNUMBER(R114)),IFERROR(W114/R114-1,""),"")</f>
        <v>0.33261105092091</v>
      </c>
      <c r="X115" s="255">
        <f>IF(AND(ISNUMBER(X114),ISNUMBER(S114)),IFERROR(X114/S114-1,""),"")</f>
        <v>0.278435239973702</v>
      </c>
      <c r="Y115" s="255">
        <f>IF(AND(ISNUMBER(Y114),ISNUMBER(T114)),IFERROR(Y114/T114-1,""),"")</f>
        <v>0.293203291679366</v>
      </c>
      <c r="Z115" s="255">
        <f>IF(AND(ISNUMBER(Z114),ISNUMBER(U114)),IFERROR(Z114/U114-1,""),"")</f>
        <v>0.299752200290524</v>
      </c>
      <c r="AA115" s="255">
        <f>IF(AND(ISNUMBER(AA114),ISNUMBER(V114)),IFERROR(AA114/V114-1,""),"")</f>
        <v>0.394900681885562</v>
      </c>
      <c r="AB115" s="255">
        <f>IF(AND(ISNUMBER(AB114),ISNUMBER(W114)),IFERROR(AB114/W114-1,""),"")</f>
        <v>0.333333333333333</v>
      </c>
      <c r="AC115" s="255">
        <f>IF(AND(ISNUMBER(AC114),ISNUMBER(X114)),IFERROR(AC114/X114-1,""),"")</f>
        <v>0.338647467215222</v>
      </c>
      <c r="AD115" s="255">
        <f>IF(AND(ISNUMBER(AD114),ISNUMBER(Y114)),IFERROR(AD114/Y114-1,""),"")</f>
        <v>0.324534527456988</v>
      </c>
      <c r="AE115" s="255">
        <f>IF(AND(ISNUMBER(AE114),ISNUMBER(Z114)),IFERROR(AE114/Z114-1,""),"")</f>
        <v>0.344421800013149</v>
      </c>
      <c r="AF115" s="255">
        <f>IF(AND(ISNUMBER(AF114),ISNUMBER(AA114)),IFERROR(AF114/AA114-1,""),"")</f>
        <v>0.385122210414453</v>
      </c>
      <c r="AG115" s="255">
        <f>IF(AND(ISNUMBER(AG114),ISNUMBER(AB114)),IFERROR(AG114/AB114-1,""),"")</f>
        <v>0.497560975609756</v>
      </c>
      <c r="AH115" s="255">
        <f>IF(AND(ISNUMBER(AH114),ISNUMBER(AC114)),IFERROR(AH114/AC114-1,""),"")</f>
        <v>0.526315789473684</v>
      </c>
      <c r="AI115" s="255">
        <f>IF(AND(ISNUMBER(AI114),ISNUMBER(AD114)),IFERROR(AI114/AD114-1,""),"")</f>
        <v>0.618149466192171</v>
      </c>
      <c r="AJ115" s="255">
        <f>IF(AND(ISNUMBER(AJ114),ISNUMBER(AE114)),IFERROR(AJ114/AE114-1,""),"")</f>
        <v>0.512224938875306</v>
      </c>
      <c r="AK115" s="255">
        <f>IF(AND(ISNUMBER(AK114),ISNUMBER(AF114)),IFERROR(AK114/AF114-1,""),"")</f>
        <v>0.804511278195489</v>
      </c>
      <c r="AL115" s="255">
        <f>IF(AND(ISNUMBER(AL114),ISNUMBER(AG114)),IFERROR(AL114/AG114-1,""),"")</f>
        <v>0.663952225841477</v>
      </c>
      <c r="AM115" s="255">
        <f>IF(AND(ISNUMBER(AM114),ISNUMBER(AH114)),IFERROR(AM114/AH114-1,""),"")</f>
        <v>0.317266549207148</v>
      </c>
      <c r="AN115" s="255">
        <f>IF(AND(ISNUMBER(AN114),ISNUMBER(AI114)),IFERROR(AN114/AI114-1,""),"")</f>
        <v>0.344182977787552</v>
      </c>
      <c r="AO115" s="255">
        <f>IF(AND(ISNUMBER(AO114),ISNUMBER(AJ114)),IFERROR(AO114/AJ114-1,""),"")</f>
        <v>0.510460792239289</v>
      </c>
      <c r="AP115" s="255">
        <f>IF(AND(ISNUMBER(AP114),ISNUMBER(AK114)),IFERROR(AP114/AK114-1,""),"")</f>
        <v>0.00714285714285712</v>
      </c>
      <c r="AQ115" s="255">
        <f>IF(AND(ISNUMBER(AQ114),ISNUMBER(AL114)),IFERROR(AQ114/AL114-1,""),"")</f>
        <v>0.037846655791191</v>
      </c>
      <c r="AR115" s="255">
        <f>IF(AND(ISNUMBER(AR114),ISNUMBER(AM114)),IFERROR(AR114/AM114-1,""),"")</f>
        <v>0.283080156682908</v>
      </c>
      <c r="AS115" s="255">
        <f>IF(AND(ISNUMBER(AS114),ISNUMBER(AN114)),IFERROR(AS114/AN114-1,""),"")</f>
        <v>0.251390706806283</v>
      </c>
      <c r="AT115" s="255">
        <f>IF(AND(ISNUMBER(AT114),ISNUMBER(AO114)),IFERROR(AT114/AO114-1,""),"")</f>
        <v>0.140930401832545</v>
      </c>
      <c r="AU115" s="255">
        <f>IF(AND(ISNUMBER(AU114),ISNUMBER(AP114)),IFERROR(AU114/AP114-1,""),"")</f>
        <v>0.248986828774063</v>
      </c>
      <c r="AV115" s="255">
        <f>IF(AND(ISNUMBER(AV114),ISNUMBER(AQ114)),IFERROR(AV114/AQ114-1,""),"")</f>
        <v>0.313266268469035</v>
      </c>
      <c r="AW115" s="255">
        <f>IF(AND(ISNUMBER(AW114),ISNUMBER(AR114)),IFERROR(AW114/AR114-1,""),"")</f>
        <v>0.383991064780343</v>
      </c>
      <c r="AX115" s="255">
        <f>IF(AND(ISNUMBER(AX114),ISNUMBER(AS114)),IFERROR(AX114/AS114-1,""),"")</f>
        <v>0.37844021703602</v>
      </c>
      <c r="AY115" s="255">
        <f>IF(AND(ISNUMBER(AY114),ISNUMBER(AT114)),IFERROR(AY114/AT114-1,""),"")</f>
        <v>0.33553495703081</v>
      </c>
      <c r="AZ115" s="255">
        <f>IF(AND(ISNUMBER(AZ114),ISNUMBER(AU114)),IFERROR(AZ114/AU114-1,""),"")</f>
        <v>0.310349489623471</v>
      </c>
      <c r="BA115" s="255">
        <f>IF(AND(ISNUMBER(BA114),ISNUMBER(AV114)),IFERROR(BA114/AV114-1,""),"")</f>
        <v>0.224655894673848</v>
      </c>
      <c r="BB115" s="255">
        <f>IF(AND(ISNUMBER(BB114),ISNUMBER(AW114)),IFERROR(BB114/AW114-1,""),"")</f>
        <v>0.186313014472481</v>
      </c>
      <c r="BC115" s="255">
        <f>IF(AND(ISNUMBER(BC114),ISNUMBER(AX114)),IFERROR(BC114/AX114-1,""),"")</f>
        <v>0.221948212083847</v>
      </c>
      <c r="BD115" s="255">
        <f>IF(AND(ISNUMBER(BD114),ISNUMBER(AY114)),IFERROR(BD114/AY114-1,""),"")</f>
        <v>0.231665168034169</v>
      </c>
      <c r="BE115" s="255">
        <f>IF(AND(ISNUMBER(BE114),ISNUMBER(AZ114)),IFERROR(BE114/AZ114-1,""),"")</f>
        <v>0.104931902600083</v>
      </c>
      <c r="BF115" s="255">
        <f>IF(AND(ISNUMBER(BF114),ISNUMBER(BA114)),IFERROR(BF114/BA114-1,""),"")</f>
        <v>0.104720484753714</v>
      </c>
      <c r="BG115" s="255">
        <f>IF(AND(ISNUMBER(BG114),ISNUMBER(BB114)),IFERROR(BG114/BB114-1,""),"")</f>
        <v>-0.0749206349206349</v>
      </c>
      <c r="BH115" s="255">
        <f>IF(AND(ISNUMBER(BH114),ISNUMBER(BC114)),IFERROR(BH114/BC114-1,""),"")</f>
        <v>-0.0791352945742452</v>
      </c>
      <c r="BI115" s="255">
        <f>IF(AND(ISNUMBER(BI114),ISNUMBER(BD114)),IFERROR(BI114/BD114-1,""),"")</f>
        <v>0.00554383163178018</v>
      </c>
      <c r="BJ115" s="255">
        <f>IF(AND(ISNUMBER(BJ114),ISNUMBER(BE114)),IFERROR(BJ114/BE114-1,""),"")</f>
        <v>0.0569147446073397</v>
      </c>
      <c r="BK115" s="255">
        <f>IF(AND(ISNUMBER(BK114),ISNUMBER(BF114)),IFERROR(BK114/BF114-1,""),"")</f>
        <v>0.0715265183350289</v>
      </c>
      <c r="BL115" s="255">
        <f>IF(AND(ISNUMBER(BL114),ISNUMBER(BG114)),IFERROR(BL114/BG114-1,""),"")</f>
        <v>0.139278360623591</v>
      </c>
      <c r="BM115" s="255">
        <f>IF(AND(ISNUMBER(BM114),ISNUMBER(BH114)),IFERROR(BM114/BH114-1,""),"")</f>
        <v>0.0544948792514857</v>
      </c>
      <c r="BN115" s="255">
        <f>IF(AND(ISNUMBER(BN114),ISNUMBER(BI114)),IFERROR(BN114/BI114-1,""),"")</f>
        <v>0.0790688704609137</v>
      </c>
      <c r="BO115" s="255">
        <f>IF(AND(ISNUMBER(BO114),ISNUMBER(BJ114)),IFERROR(BO114/BJ114-1,""),"")</f>
        <v>0.0937403366170428</v>
      </c>
      <c r="BP115" s="255">
        <f>IF(AND(ISNUMBER(BP114),ISNUMBER(BK114)),IFERROR(BP114/BK114-1,""),"")</f>
        <v>0.11769319682959</v>
      </c>
      <c r="BQ115" s="255">
        <f>IF(AND(ISNUMBER(BQ114),ISNUMBER(BL114)),IFERROR(BQ114/BL114-1,""),"")</f>
        <v>0.321356340634279</v>
      </c>
      <c r="BR115" s="255">
        <f>IF(AND(ISNUMBER(BR114),ISNUMBER(BM114)),IFERROR(BR114/BM114-1,""),"")</f>
        <v>0.404796163069544</v>
      </c>
      <c r="BS115" s="255">
        <f>IF(AND(ISNUMBER(BS114),ISNUMBER(BN114)),IFERROR(BS114/BN114-1,""),"")</f>
        <v>0.237266218816034</v>
      </c>
      <c r="BT115" s="255">
        <f>IF(AND(ISNUMBER(BT114),ISNUMBER(BO114)),IFERROR(BT114/BO114-1,""),"")</f>
        <v>0.350579587220809</v>
      </c>
      <c r="BU115" s="255">
        <f>IF(AND(ISNUMBER(BU114),ISNUMBER(BP114)),IFERROR(BU114/BP114-1,""),"")</f>
        <v>0.552206832871653</v>
      </c>
      <c r="BV115" s="256">
        <f>IF(AND(ISNUMBER(BV114),ISNUMBER(BQ114)),IFERROR(BV114/BQ114-1,""),"")</f>
        <v>0.389947612178271</v>
      </c>
      <c r="BW115" s="256">
        <f>IF(AND(ISNUMBER(BW114),ISNUMBER(BR114)),IFERROR(BW114/BR114-1,""),"")</f>
        <v>0.389947612178271</v>
      </c>
      <c r="BX115" s="256">
        <f>IF(AND(ISNUMBER(BX114),ISNUMBER(BS114)),IFERROR(BX114/BS114-1,""),"")</f>
        <v>0.418982071543887</v>
      </c>
      <c r="BY115" s="256">
        <f>IF(AND(ISNUMBER(BY114),ISNUMBER(BX114)),IFERROR(BY114/BX114-1,""),"")</f>
        <v>0.189204842280338</v>
      </c>
      <c r="BZ115" s="256">
        <f>IF(AND(ISNUMBER(BZ114),ISNUMBER(BY114)),IFERROR(BZ114/BY114-1,""),"")</f>
        <v>0.154230297876031</v>
      </c>
      <c r="CA115" s="256">
        <f>IF(AND(ISNUMBER(CA114),ISNUMBER(BZ114)),IFERROR(CA114/BZ114-1,""),"")</f>
        <v>0.139056495480351</v>
      </c>
      <c r="CB115" s="256">
        <f>IF(AND(ISNUMBER(CB114),ISNUMBER(CA114)),IFERROR(CB114/CA114-1,""),"")</f>
        <v>0.0967116906169685</v>
      </c>
      <c r="CC115" s="256">
        <f>IF(AND(ISNUMBER(CC114),ISNUMBER(CB114)),IFERROR(CC114/CB114-1,""),"")</f>
        <v>0.0890595657231226</v>
      </c>
      <c r="CD115" s="153" t="n"/>
    </row>
    <row r="116" ht="15" customHeight="1" s="251">
      <c r="B116" s="55" t="inlineStr">
        <is>
          <t>Income from operations</t>
        </is>
      </c>
      <c r="C116" s="274" t="n">
        <v>262</v>
      </c>
      <c r="D116" s="274" t="n">
        <v>1032</v>
      </c>
      <c r="E116" s="274" t="n">
        <v>1756</v>
      </c>
      <c r="F116" s="274" t="n">
        <v>538</v>
      </c>
      <c r="G116" s="274" t="n">
        <v>373</v>
      </c>
      <c r="H116" s="274" t="n">
        <v>562</v>
      </c>
      <c r="I116" s="274" t="n">
        <v>736</v>
      </c>
      <c r="J116" s="274" t="n">
        <v>1133</v>
      </c>
      <c r="K116" s="274" t="n">
        <v>2804</v>
      </c>
      <c r="L116" s="274" t="n">
        <v>1075</v>
      </c>
      <c r="M116" s="274" t="n">
        <v>1390</v>
      </c>
      <c r="N116" s="274" t="n">
        <v>1397</v>
      </c>
      <c r="O116" s="274" t="n">
        <v>1133</v>
      </c>
      <c r="P116" s="274" t="n">
        <v>4994</v>
      </c>
      <c r="Q116" s="274" t="n">
        <v>933</v>
      </c>
      <c r="R116" s="274" t="n">
        <v>1273</v>
      </c>
      <c r="S116" s="274" t="n">
        <v>1459</v>
      </c>
      <c r="T116" s="274" t="n">
        <v>2560</v>
      </c>
      <c r="U116" s="274" t="n">
        <v>6225</v>
      </c>
      <c r="V116" s="274" t="n">
        <v>2009</v>
      </c>
      <c r="W116" s="274" t="n">
        <v>2746</v>
      </c>
      <c r="X116" s="274" t="n">
        <v>3122</v>
      </c>
      <c r="Y116" s="274" t="n">
        <v>4566</v>
      </c>
      <c r="Z116" s="274" t="n">
        <v>12427</v>
      </c>
      <c r="AA116" s="274" t="n">
        <v>3327</v>
      </c>
      <c r="AB116" s="274" t="n">
        <v>4401</v>
      </c>
      <c r="AC116" s="274" t="n">
        <v>5122</v>
      </c>
      <c r="AD116" s="274" t="n">
        <v>7352</v>
      </c>
      <c r="AE116" s="274" t="n">
        <v>20203</v>
      </c>
      <c r="AF116" s="274" t="n">
        <v>5449</v>
      </c>
      <c r="AG116" s="274" t="n">
        <v>5863</v>
      </c>
      <c r="AH116" s="274" t="n">
        <v>5781</v>
      </c>
      <c r="AI116" s="274" t="n">
        <v>7820</v>
      </c>
      <c r="AJ116" s="274" t="n">
        <v>24913</v>
      </c>
      <c r="AK116" s="274" t="n">
        <v>3317</v>
      </c>
      <c r="AL116" s="274" t="n">
        <v>4626</v>
      </c>
      <c r="AM116" s="274" t="n">
        <v>7185</v>
      </c>
      <c r="AN116" s="274" t="n">
        <v>8858</v>
      </c>
      <c r="AO116" s="274" t="n">
        <v>23986</v>
      </c>
      <c r="AP116" s="274" t="n">
        <v>5893</v>
      </c>
      <c r="AQ116" s="274" t="n">
        <v>5963</v>
      </c>
      <c r="AR116" s="274" t="n">
        <v>8040</v>
      </c>
      <c r="AS116" s="274" t="n">
        <v>12775</v>
      </c>
      <c r="AT116" s="274" t="n">
        <v>32671</v>
      </c>
      <c r="AU116" s="274" t="n">
        <v>11378</v>
      </c>
      <c r="AV116" s="274" t="n">
        <v>12367</v>
      </c>
      <c r="AW116" s="274" t="n">
        <v>10423</v>
      </c>
      <c r="AX116" s="274" t="n">
        <v>12585</v>
      </c>
      <c r="AY116" s="274" t="n">
        <v>46753</v>
      </c>
      <c r="AZ116" s="274" t="n">
        <v>8524</v>
      </c>
      <c r="BA116" s="274" t="n">
        <v>8358</v>
      </c>
      <c r="BB116" s="274" t="n">
        <v>5664</v>
      </c>
      <c r="BC116" s="274" t="n">
        <v>6399</v>
      </c>
      <c r="BD116" s="274" t="n">
        <v>28944</v>
      </c>
      <c r="BE116" s="274" t="n">
        <v>7227</v>
      </c>
      <c r="BF116" s="274" t="n">
        <v>9392</v>
      </c>
      <c r="BG116" s="274" t="n">
        <v>13748</v>
      </c>
      <c r="BH116" s="274" t="n">
        <v>16384</v>
      </c>
      <c r="BI116" s="274" t="n">
        <v>46751</v>
      </c>
      <c r="BJ116" s="274" t="n">
        <v>13818</v>
      </c>
      <c r="BK116" s="274" t="n">
        <v>14847</v>
      </c>
      <c r="BL116" s="274" t="n">
        <v>17350</v>
      </c>
      <c r="BM116" s="274" t="n">
        <v>23365</v>
      </c>
      <c r="BN116" s="274" t="n">
        <v>69380</v>
      </c>
      <c r="BO116" s="274" t="n">
        <v>17555</v>
      </c>
      <c r="BP116" s="274" t="n">
        <v>20441</v>
      </c>
      <c r="BQ116" s="274" t="n">
        <v>20535</v>
      </c>
      <c r="BR116" s="274" t="n">
        <v>24745</v>
      </c>
      <c r="BS116" s="274" t="n">
        <v>83276</v>
      </c>
      <c r="BT116" s="274" t="n">
        <v>22872</v>
      </c>
      <c r="BU116" s="274" t="n">
        <v>18775</v>
      </c>
      <c r="BV116" s="272">
        <f>BV109-BV114</f>
        <v>19818.8786728419</v>
      </c>
      <c r="BW116" s="272">
        <f>BW109-BW114</f>
        <v>24134.5328583236</v>
      </c>
      <c r="BX116" s="272">
        <f>SUM(BT116:BW116)</f>
        <v>85600.4115311655</v>
      </c>
      <c r="BY116" s="272">
        <f>BY109-BY114</f>
        <v>102233.462145683</v>
      </c>
      <c r="BZ116" s="272">
        <f>BZ109-BZ114</f>
        <v>119115.078596139</v>
      </c>
      <c r="CA116" s="272">
        <f>CA109-CA114</f>
        <v>134765.024787283</v>
      </c>
      <c r="CB116" s="272">
        <f>CB109-CB114</f>
        <v>155014.506147673</v>
      </c>
      <c r="CC116" s="272">
        <f>CC109-CC114</f>
        <v>175281.06846433</v>
      </c>
      <c r="CD116" s="153" t="n"/>
      <c r="CF116" s="20">
        <f>IFERROR((CC116/BX116)^(1/5)-1,"n/m")</f>
        <v>0.154122298134074</v>
      </c>
      <c r="CG116" s="20">
        <f>IFERROR((BS116/AT116)^(1/5)-1,"n/m")</f>
        <v>0.205789466848026</v>
      </c>
      <c r="CH116" s="20">
        <f>IFERROR((BS116/U116)^(1/10)-1,"n/m")</f>
        <v>0.296098625563257</v>
      </c>
      <c r="CI116" s="20">
        <f>IFERROR((BS116/C116)^(1/16)-1,"n/m")</f>
        <v>0.433470171520366</v>
      </c>
    </row>
    <row r="117" ht="15" customHeight="1" s="251">
      <c r="B117" s="25" t="inlineStr">
        <is>
          <t xml:space="preserve">  Operating margin %</t>
        </is>
      </c>
      <c r="C117" s="215">
        <f>IF(AND(ISNUMBER(C116),ISNUMBER(C109)),IFERROR(C116/C109,""),"")</f>
        <v>0.337194337194337</v>
      </c>
      <c r="D117" s="215">
        <f>IF(AND(ISNUMBER(D116),ISNUMBER(D109)),IFERROR(D116/D109,""),"")</f>
        <v>0.522796352583587</v>
      </c>
      <c r="E117" s="215">
        <f>IF(AND(ISNUMBER(E116),ISNUMBER(E109)),IFERROR(E116/E109,""),"")</f>
        <v>0.473187819994611</v>
      </c>
      <c r="F117" s="215">
        <f>IF(AND(ISNUMBER(F116),ISNUMBER(F109)),IFERROR(F116/F109,""),"")</f>
        <v>0.105718215759481</v>
      </c>
      <c r="G117" s="215">
        <f>IF(AND(ISNUMBER(G116),ISNUMBER(G109)),IFERROR(G116/G109,""),"")</f>
        <v>0.255829903978052</v>
      </c>
      <c r="H117" s="215">
        <f>IF(AND(ISNUMBER(H116),ISNUMBER(H109)),IFERROR(H116/H109,""),"")</f>
        <v>0.309983452840596</v>
      </c>
      <c r="I117" s="215">
        <f>IF(AND(ISNUMBER(I116),ISNUMBER(I109)),IFERROR(I116/I109,""),"")</f>
        <v>0.365079365079365</v>
      </c>
      <c r="J117" s="215">
        <f>IF(AND(ISNUMBER(J116),ISNUMBER(J109)),IFERROR(J116/J109,""),"")</f>
        <v>0.438297872340426</v>
      </c>
      <c r="K117" s="215">
        <f>IF(AND(ISNUMBER(K116),ISNUMBER(K109)),IFERROR(K116/K109,""),"")</f>
        <v>0.35619918699187</v>
      </c>
      <c r="L117" s="215">
        <f>IF(AND(ISNUMBER(L116),ISNUMBER(L109)),IFERROR(L116/L109,""),"")</f>
        <v>0.429656274980016</v>
      </c>
      <c r="M117" s="215">
        <f>IF(AND(ISNUMBER(M116),ISNUMBER(M109)),IFERROR(M116/M109,""),"")</f>
        <v>0.47766323024055</v>
      </c>
      <c r="N117" s="215">
        <f>IF(AND(ISNUMBER(N116),ISNUMBER(N109)),IFERROR(N116/N109,""),"")</f>
        <v>0.43615360599438</v>
      </c>
      <c r="O117" s="215">
        <f>IF(AND(ISNUMBER(O116),ISNUMBER(O109)),IFERROR(O116/O109,""),"")</f>
        <v>0.294209296286679</v>
      </c>
      <c r="P117" s="215">
        <f>IF(AND(ISNUMBER(P116),ISNUMBER(P109)),IFERROR(P116/P109,""),"")</f>
        <v>0.400609658270496</v>
      </c>
      <c r="Q117" s="215">
        <f>IF(AND(ISNUMBER(Q116),ISNUMBER(Q109)),IFERROR(Q116/Q109,""),"")</f>
        <v>0.263336155800169</v>
      </c>
      <c r="R117" s="215">
        <f>IF(AND(ISNUMBER(R116),ISNUMBER(R109)),IFERROR(R116/R109,""),"")</f>
        <v>0.314943097476497</v>
      </c>
      <c r="S117" s="215">
        <f>IF(AND(ISNUMBER(S116),ISNUMBER(S109)),IFERROR(S116/S109,""),"")</f>
        <v>0.324150188846923</v>
      </c>
      <c r="T117" s="215">
        <f>IF(AND(ISNUMBER(T116),ISNUMBER(T109)),IFERROR(T116/T109,""),"")</f>
        <v>0.438281116247218</v>
      </c>
      <c r="U117" s="215">
        <f>IF(AND(ISNUMBER(U116),ISNUMBER(U109)),IFERROR(U116/U109,""),"")</f>
        <v>0.347222222222222</v>
      </c>
      <c r="V117" s="215">
        <f>IF(AND(ISNUMBER(V116),ISNUMBER(V109)),IFERROR(V116/V109,""),"")</f>
        <v>0.373281308063917</v>
      </c>
      <c r="W117" s="215">
        <f>IF(AND(ISNUMBER(W116),ISNUMBER(W109)),IFERROR(W116/W109,""),"")</f>
        <v>0.426662523306402</v>
      </c>
      <c r="X117" s="215">
        <f>IF(AND(ISNUMBER(X116),ISNUMBER(X109)),IFERROR(X116/X109,""),"")</f>
        <v>0.445300242476109</v>
      </c>
      <c r="Y117" s="215">
        <f>IF(AND(ISNUMBER(Y116),ISNUMBER(Y109)),IFERROR(Y116/Y109,""),"")</f>
        <v>0.518333522533772</v>
      </c>
      <c r="Z117" s="215">
        <f>IF(AND(ISNUMBER(Z116),ISNUMBER(Z109)),IFERROR(Z116/Z109,""),"")</f>
        <v>0.449634561111513</v>
      </c>
      <c r="AA117" s="215">
        <f>IF(AND(ISNUMBER(AA116),ISNUMBER(AA109)),IFERROR(AA116/AA109,""),"")</f>
        <v>0.41421812749004</v>
      </c>
      <c r="AB117" s="215">
        <f>IF(AND(ISNUMBER(AB116),ISNUMBER(AB109)),IFERROR(AB116/AB109,""),"")</f>
        <v>0.472159639523656</v>
      </c>
      <c r="AC117" s="215">
        <f>IF(AND(ISNUMBER(AC116),ISNUMBER(AC109)),IFERROR(AC116/AC109,""),"")</f>
        <v>0.495933384972889</v>
      </c>
      <c r="AD117" s="215">
        <f>IF(AND(ISNUMBER(AD116),ISNUMBER(AD109)),IFERROR(AD116/AD109,""),"")</f>
        <v>0.566759173604687</v>
      </c>
      <c r="AE117" s="215">
        <f>IF(AND(ISNUMBER(AE116),ISNUMBER(AE109)),IFERROR(AE116/AE109,""),"")</f>
        <v>0.496962093818414</v>
      </c>
      <c r="AF117" s="215">
        <f>IF(AND(ISNUMBER(AF116),ISNUMBER(AF109)),IFERROR(AF116/AF109,""),"")</f>
        <v>0.455373558415511</v>
      </c>
      <c r="AG117" s="215">
        <f>IF(AND(ISNUMBER(AG116),ISNUMBER(AG109)),IFERROR(AG116/AG109,""),"")</f>
        <v>0.443125991988512</v>
      </c>
      <c r="AH117" s="215">
        <f>IF(AND(ISNUMBER(AH116),ISNUMBER(AH109)),IFERROR(AH116/AH109,""),"")</f>
        <v>0.421140817367232</v>
      </c>
      <c r="AI117" s="215">
        <f>IF(AND(ISNUMBER(AI116),ISNUMBER(AI109)),IFERROR(AI116/AI109,""),"")</f>
        <v>0.462338890859643</v>
      </c>
      <c r="AJ117" s="215">
        <f>IF(AND(ISNUMBER(AJ116),ISNUMBER(AJ109)),IFERROR(AJ116/AJ109,""),"")</f>
        <v>0.446165693613668</v>
      </c>
      <c r="AK117" s="215">
        <f>IF(AND(ISNUMBER(AK116),ISNUMBER(AK109)),IFERROR(AK116/AK109,""),"")</f>
        <v>0.220003979571533</v>
      </c>
      <c r="AL117" s="215">
        <f>IF(AND(ISNUMBER(AL116),ISNUMBER(AL109)),IFERROR(AL116/AL109,""),"")</f>
        <v>0.27395475541869</v>
      </c>
      <c r="AM117" s="215">
        <f>IF(AND(ISNUMBER(AM116),ISNUMBER(AM109)),IFERROR(AM116/AM109,""),"")</f>
        <v>0.407036029911625</v>
      </c>
      <c r="AN117" s="215">
        <f>IF(AND(ISNUMBER(AN116),ISNUMBER(AN109)),IFERROR(AN116/AN109,""),"")</f>
        <v>0.420168864434114</v>
      </c>
      <c r="AO117" s="215">
        <f>IF(AND(ISNUMBER(AO116),ISNUMBER(AO109)),IFERROR(AO116/AO109,""),"")</f>
        <v>0.339278894436822</v>
      </c>
      <c r="AP117" s="215">
        <f>IF(AND(ISNUMBER(AP116),ISNUMBER(AP109)),IFERROR(AP116/AP109,""),"")</f>
        <v>0.332243333145402</v>
      </c>
      <c r="AQ117" s="215">
        <f>IF(AND(ISNUMBER(AQ116),ISNUMBER(AQ109)),IFERROR(AQ116/AQ109,""),"")</f>
        <v>0.319098838764917</v>
      </c>
      <c r="AR117" s="215">
        <f>IF(AND(ISNUMBER(AR116),ISNUMBER(AR109)),IFERROR(AR116/AR109,""),"")</f>
        <v>0.374476013041453</v>
      </c>
      <c r="AS117" s="215">
        <f>IF(AND(ISNUMBER(AS116),ISNUMBER(AS109)),IFERROR(AS116/AS109,""),"")</f>
        <v>0.455079794813337</v>
      </c>
      <c r="AT117" s="215">
        <f>IF(AND(ISNUMBER(AT116),ISNUMBER(AT109)),IFERROR(AT116/AT109,""),"")</f>
        <v>0.380050020357122</v>
      </c>
      <c r="AU117" s="215">
        <f>IF(AND(ISNUMBER(AU116),ISNUMBER(AU109)),IFERROR(AU116/AU109,""),"")</f>
        <v>0.434756027664208</v>
      </c>
      <c r="AV117" s="215">
        <f>IF(AND(ISNUMBER(AV116),ISNUMBER(AV109)),IFERROR(AV116/AV109,""),"")</f>
        <v>0.425318980637617</v>
      </c>
      <c r="AW117" s="215">
        <f>IF(AND(ISNUMBER(AW116),ISNUMBER(AW109)),IFERROR(AW116/AW109,""),"")</f>
        <v>0.359289900034471</v>
      </c>
      <c r="AX117" s="215">
        <f>IF(AND(ISNUMBER(AX116),ISNUMBER(AX109)),IFERROR(AX116/AX109,""),"")</f>
        <v>0.373763772979715</v>
      </c>
      <c r="AY117" s="215">
        <f>IF(AND(ISNUMBER(AY116),ISNUMBER(AY109)),IFERROR(AY116/AY109,""),"")</f>
        <v>0.396450406600582</v>
      </c>
      <c r="AZ117" s="215">
        <f>IF(AND(ISNUMBER(AZ116),ISNUMBER(AZ109)),IFERROR(AZ116/AZ109,""),"")</f>
        <v>0.305432134155081</v>
      </c>
      <c r="BA117" s="215">
        <f>IF(AND(ISNUMBER(BA116),ISNUMBER(BA109)),IFERROR(BA116/BA109,""),"")</f>
        <v>0.289986815626952</v>
      </c>
      <c r="BB117" s="215">
        <f>IF(AND(ISNUMBER(BB116),ISNUMBER(BB109)),IFERROR(BB116/BB109,""),"")</f>
        <v>0.204373240961247</v>
      </c>
      <c r="BC117" s="215">
        <f>IF(AND(ISNUMBER(BC116),ISNUMBER(BC109)),IFERROR(BC116/BC109,""),"")</f>
        <v>0.198942950411938</v>
      </c>
      <c r="BD117" s="215">
        <f>IF(AND(ISNUMBER(BD116),ISNUMBER(BD109)),IFERROR(BD116/BD109,""),"")</f>
        <v>0.248214117263676</v>
      </c>
      <c r="BE117" s="215">
        <f>IF(AND(ISNUMBER(BE116),ISNUMBER(BE109)),IFERROR(BE116/BE109,""),"")</f>
        <v>0.252295339500786</v>
      </c>
      <c r="BF117" s="215">
        <f>IF(AND(ISNUMBER(BF116),ISNUMBER(BF109)),IFERROR(BF116/BF109,""),"")</f>
        <v>0.29350917216163</v>
      </c>
      <c r="BG117" s="215">
        <f>IF(AND(ISNUMBER(BG116),ISNUMBER(BG109)),IFERROR(BG116/BG109,""),"")</f>
        <v>0.402624026240262</v>
      </c>
      <c r="BH117" s="215">
        <f>IF(AND(ISNUMBER(BH116),ISNUMBER(BH109)),IFERROR(BH116/BH109,""),"")</f>
        <v>0.408466505447384</v>
      </c>
      <c r="BI117" s="215">
        <f>IF(AND(ISNUMBER(BI116),ISNUMBER(BI109)),IFERROR(BI116/BI109,""),"")</f>
        <v>0.346555277164164</v>
      </c>
      <c r="BJ117" s="215">
        <f>IF(AND(ISNUMBER(BJ116),ISNUMBER(BJ109)),IFERROR(BJ116/BJ109,""),"")</f>
        <v>0.379042655328487</v>
      </c>
      <c r="BK117" s="215">
        <f>IF(AND(ISNUMBER(BK116),ISNUMBER(BK109)),IFERROR(BK116/BK109,""),"")</f>
        <v>0.380000511888613</v>
      </c>
      <c r="BL117" s="215">
        <f>IF(AND(ISNUMBER(BL116),ISNUMBER(BL109)),IFERROR(BL116/BL109,""),"")</f>
        <v>0.427455714602479</v>
      </c>
      <c r="BM117" s="215">
        <f>IF(AND(ISNUMBER(BM116),ISNUMBER(BM109)),IFERROR(BM116/BM109,""),"")</f>
        <v>0.482897592228997</v>
      </c>
      <c r="BN117" s="215">
        <f>IF(AND(ISNUMBER(BN116),ISNUMBER(BN109)),IFERROR(BN116/BN109,""),"")</f>
        <v>0.421760354040401</v>
      </c>
      <c r="BO117" s="215">
        <f>IF(AND(ISNUMBER(BO116),ISNUMBER(BO109)),IFERROR(BO116/BO109,""),"")</f>
        <v>0.414874509618566</v>
      </c>
      <c r="BP117" s="215">
        <f>IF(AND(ISNUMBER(BP116),ISNUMBER(BP109)),IFERROR(BP116/BP109,""),"")</f>
        <v>0.430191935348093</v>
      </c>
      <c r="BQ117" s="215">
        <f>IF(AND(ISNUMBER(BQ116),ISNUMBER(BQ109)),IFERROR(BQ116/BQ109,""),"")</f>
        <v>0.400745482221615</v>
      </c>
      <c r="BR117" s="215">
        <f>IF(AND(ISNUMBER(BR116),ISNUMBER(BR109)),IFERROR(BR116/BR109,""),"")</f>
        <v>0.413153456998314</v>
      </c>
      <c r="BS117" s="215">
        <f>IF(AND(ISNUMBER(BS116),ISNUMBER(BS109)),IFERROR(BS116/BS109,""),"")</f>
        <v>0.414378551595792</v>
      </c>
      <c r="BT117" s="215">
        <f>IF(AND(ISNUMBER(BT116),ISNUMBER(BT109)),IFERROR(BT116/BT109,""),"")</f>
        <v>0.406172861430271</v>
      </c>
      <c r="BU117" s="215">
        <f>IF(AND(ISNUMBER(BU116),ISNUMBER(BU109)),IFERROR(BU116/BU109,""),"")</f>
        <v>0.308794263252249</v>
      </c>
      <c r="BV117" s="256">
        <f>IF(AND(ISNUMBER(BV116),ISNUMBER(BV109)),IFERROR(BV116/BV109,""),"")</f>
        <v>0.31710205876547</v>
      </c>
      <c r="BW117" s="256">
        <f>IF(AND(ISNUMBER(BW116),ISNUMBER(BW109)),IFERROR(BW116/BW109,""),"")</f>
        <v>0.330662530558271</v>
      </c>
      <c r="BX117" s="256">
        <f>IF(AND(ISNUMBER(BX116),ISNUMBER(BX109)),IFERROR(BX116/BX109,""),"")</f>
        <v>0.338876769884455</v>
      </c>
      <c r="BY117" s="256">
        <f>IF(AND(ISNUMBER(BY116),ISNUMBER(BY109)),IFERROR(BY116/BY109,""),"")</f>
        <v>0.339837230929959</v>
      </c>
      <c r="BZ117" s="256">
        <f>IF(AND(ISNUMBER(BZ116),ISNUMBER(BZ109)),IFERROR(BZ116/BZ109,""),"")</f>
        <v>0.341948661602544</v>
      </c>
      <c r="CA117" s="256">
        <f>IF(AND(ISNUMBER(CA116),ISNUMBER(CA109)),IFERROR(CA116/CA109,""),"")</f>
        <v>0.340429684349631</v>
      </c>
      <c r="CB117" s="256">
        <f>IF(AND(ISNUMBER(CB116),ISNUMBER(CB109)),IFERROR(CB116/CB109,""),"")</f>
        <v>0.351213288237734</v>
      </c>
      <c r="CC117" s="256">
        <f>IF(AND(ISNUMBER(CC116),ISNUMBER(CC109)),IFERROR(CC116/CC109,""),"")</f>
        <v>0.359818320091148</v>
      </c>
      <c r="CD117" s="153" t="n"/>
      <c r="CF117" s="37">
        <f>IFERROR(AVERAGE(BY117,BZ117,CA117,CB117,CC117),"n/m")</f>
        <v>0.346649437042203</v>
      </c>
      <c r="CG117" s="37">
        <f>IFERROR(AVERAGE(AY117,BD117,BI117,BN117,BS117),"n/m")</f>
        <v>0.365471741332923</v>
      </c>
      <c r="CH117" s="37">
        <f>IFERROR(AVERAGE(Z117,AE117,AJ117,AO117,AT117,AY117,BD117,BI117,BN117,BS117),"n/m")</f>
        <v>0.393944997000215</v>
      </c>
      <c r="CI117" s="37">
        <f>IFERROR(AVERAGE(C117,D117,E117,F117,K117,P117,U117,Z117,AE117,AJ117,AO117,AT117,AY117,BD117,BI117,BN117,BS117),"n/m")</f>
        <v>0.381316339001103</v>
      </c>
    </row>
    <row r="118" ht="15" customHeight="1" s="251">
      <c r="B118" s="57" t="inlineStr">
        <is>
          <t xml:space="preserve">  Check: revenue − total costs = income from operations (should be 0)</t>
        </is>
      </c>
      <c r="C118" s="211">
        <f>IF(ISNUMBER(C114),ROUND(C109-C114-C116,1),"")</f>
        <v>0</v>
      </c>
      <c r="D118" s="211">
        <f>IF(ISNUMBER(D114),ROUND(D109-D114-D116,1),"")</f>
        <v>0</v>
      </c>
      <c r="E118" s="211">
        <f>IF(ISNUMBER(E114),ROUND(E109-E114-E116,1),"")</f>
        <v>0</v>
      </c>
      <c r="F118" s="211">
        <f>IF(ISNUMBER(F114),ROUND(F109-F114-F116,1),"")</f>
        <v>0</v>
      </c>
      <c r="G118" s="211">
        <f>IF(ISNUMBER(G114),ROUND(G109-G114-G116,1),"")</f>
        <v>0</v>
      </c>
      <c r="H118" s="211">
        <f>IF(ISNUMBER(H114),ROUND(H109-H114-H116,1),"")</f>
        <v>0</v>
      </c>
      <c r="I118" s="211">
        <f>IF(ISNUMBER(I114),ROUND(I109-I114-I116,1),"")</f>
        <v>0</v>
      </c>
      <c r="J118" s="211">
        <f>IF(ISNUMBER(J114),ROUND(J109-J114-J116,1),"")</f>
        <v>0</v>
      </c>
      <c r="K118" s="211">
        <f>IF(ISNUMBER(K114),ROUND(K109-K114-K116,1),"")</f>
        <v>0</v>
      </c>
      <c r="L118" s="211">
        <f>IF(ISNUMBER(L114),ROUND(L109-L114-L116,1),"")</f>
        <v>0</v>
      </c>
      <c r="M118" s="211">
        <f>IF(ISNUMBER(M114),ROUND(M109-M114-M116,1),"")</f>
        <v>0</v>
      </c>
      <c r="N118" s="211">
        <f>IF(ISNUMBER(N114),ROUND(N109-N114-N116,1),"")</f>
        <v>0</v>
      </c>
      <c r="O118" s="211">
        <f>IF(ISNUMBER(O114),ROUND(O109-O114-O116,1),"")</f>
        <v>0</v>
      </c>
      <c r="P118" s="211">
        <f>IF(ISNUMBER(P114),ROUND(P109-P114-P116,1),"")</f>
        <v>0</v>
      </c>
      <c r="Q118" s="211">
        <f>IF(ISNUMBER(Q114),ROUND(Q109-Q114-Q116,1),"")</f>
        <v>0</v>
      </c>
      <c r="R118" s="211">
        <f>IF(ISNUMBER(R114),ROUND(R109-R114-R116,1),"")</f>
        <v>0</v>
      </c>
      <c r="S118" s="211">
        <f>IF(ISNUMBER(S114),ROUND(S109-S114-S116,1),"")</f>
        <v>0</v>
      </c>
      <c r="T118" s="211">
        <f>IF(ISNUMBER(T114),ROUND(T109-T114-T116,1),"")</f>
        <v>0</v>
      </c>
      <c r="U118" s="211">
        <f>IF(ISNUMBER(U114),ROUND(U109-U114-U116,1),"")</f>
        <v>0</v>
      </c>
      <c r="V118" s="211">
        <f>IF(ISNUMBER(V114),ROUND(V109-V114-V116,1),"")</f>
        <v>0</v>
      </c>
      <c r="W118" s="211">
        <f>IF(ISNUMBER(W114),ROUND(W109-W114-W116,1),"")</f>
        <v>0</v>
      </c>
      <c r="X118" s="211">
        <f>IF(ISNUMBER(X114),ROUND(X109-X114-X116,1),"")</f>
        <v>0</v>
      </c>
      <c r="Y118" s="211">
        <f>IF(ISNUMBER(Y114),ROUND(Y109-Y114-Y116,1),"")</f>
        <v>0</v>
      </c>
      <c r="Z118" s="211">
        <f>IF(ISNUMBER(Z114),ROUND(Z109-Z114-Z116,1),"")</f>
        <v>0</v>
      </c>
      <c r="AA118" s="211">
        <f>IF(ISNUMBER(AA114),ROUND(AA109-AA114-AA116,1),"")</f>
        <v>0</v>
      </c>
      <c r="AB118" s="211">
        <f>IF(ISNUMBER(AB114),ROUND(AB109-AB114-AB116,1),"")</f>
        <v>0</v>
      </c>
      <c r="AC118" s="211">
        <f>IF(ISNUMBER(AC114),ROUND(AC109-AC114-AC116,1),"")</f>
        <v>0</v>
      </c>
      <c r="AD118" s="211">
        <f>IF(ISNUMBER(AD114),ROUND(AD109-AD114-AD116,1),"")</f>
        <v>0</v>
      </c>
      <c r="AE118" s="211">
        <f>IF(ISNUMBER(AE114),ROUND(AE109-AE114-AE116,1),"")</f>
        <v>0</v>
      </c>
      <c r="AF118" s="211">
        <f>IF(ISNUMBER(AF114),ROUND(AF109-AF114-AF116,1),"")</f>
        <v>0</v>
      </c>
      <c r="AG118" s="211">
        <f>IF(ISNUMBER(AG114),ROUND(AG109-AG114-AG116,1),"")</f>
        <v>0</v>
      </c>
      <c r="AH118" s="211">
        <f>IF(ISNUMBER(AH114),ROUND(AH109-AH114-AH116,1),"")</f>
        <v>0</v>
      </c>
      <c r="AI118" s="211">
        <f>IF(ISNUMBER(AI114),ROUND(AI109-AI114-AI116,1),"")</f>
        <v>0</v>
      </c>
      <c r="AJ118" s="211">
        <f>IF(ISNUMBER(AJ114),ROUND(AJ109-AJ114-AJ116,1),"")</f>
        <v>0</v>
      </c>
      <c r="AK118" s="211">
        <f>IF(ISNUMBER(AK114),ROUND(AK109-AK114-AK116,1),"")</f>
        <v>0</v>
      </c>
      <c r="AL118" s="211">
        <f>IF(ISNUMBER(AL114),ROUND(AL109-AL114-AL116,1),"")</f>
        <v>0</v>
      </c>
      <c r="AM118" s="211">
        <f>IF(ISNUMBER(AM114),ROUND(AM109-AM114-AM116,1),"")</f>
        <v>0</v>
      </c>
      <c r="AN118" s="211">
        <f>IF(ISNUMBER(AN114),ROUND(AN109-AN114-AN116,1),"")</f>
        <v>0</v>
      </c>
      <c r="AO118" s="211">
        <f>IF(ISNUMBER(AO114),ROUND(AO109-AO114-AO116,1),"")</f>
        <v>0</v>
      </c>
      <c r="AP118" s="211">
        <f>IF(ISNUMBER(AP114),ROUND(AP109-AP114-AP116,1),"")</f>
        <v>0</v>
      </c>
      <c r="AQ118" s="211">
        <f>IF(ISNUMBER(AQ114),ROUND(AQ109-AQ114-AQ116,1),"")</f>
        <v>0</v>
      </c>
      <c r="AR118" s="211">
        <f>IF(ISNUMBER(AR114),ROUND(AR109-AR114-AR116,1),"")</f>
        <v>0</v>
      </c>
      <c r="AS118" s="211">
        <f>IF(ISNUMBER(AS114),ROUND(AS109-AS114-AS116,1),"")</f>
        <v>0</v>
      </c>
      <c r="AT118" s="211">
        <f>IF(ISNUMBER(AT114),ROUND(AT109-AT114-AT116,1),"")</f>
        <v>0</v>
      </c>
      <c r="AU118" s="211">
        <f>IF(ISNUMBER(AU114),ROUND(AU109-AU114-AU116,1),"")</f>
        <v>0</v>
      </c>
      <c r="AV118" s="211">
        <f>IF(ISNUMBER(AV114),ROUND(AV109-AV114-AV116,1),"")</f>
        <v>0</v>
      </c>
      <c r="AW118" s="211">
        <f>IF(ISNUMBER(AW114),ROUND(AW109-AW114-AW116,1),"")</f>
        <v>0</v>
      </c>
      <c r="AX118" s="211">
        <f>IF(ISNUMBER(AX114),ROUND(AX109-AX114-AX116,1),"")</f>
        <v>0</v>
      </c>
      <c r="AY118" s="211">
        <f>IF(ISNUMBER(AY114),ROUND(AY109-AY114-AY116,1),"")</f>
        <v>0</v>
      </c>
      <c r="AZ118" s="211">
        <f>IF(ISNUMBER(AZ114),ROUND(AZ109-AZ114-AZ116,1),"")</f>
        <v>0</v>
      </c>
      <c r="BA118" s="211">
        <f>IF(ISNUMBER(BA114),ROUND(BA109-BA114-BA116,1),"")</f>
        <v>0</v>
      </c>
      <c r="BB118" s="211">
        <f>IF(ISNUMBER(BB114),ROUND(BB109-BB114-BB116,1),"")</f>
        <v>0</v>
      </c>
      <c r="BC118" s="211">
        <f>IF(ISNUMBER(BC114),ROUND(BC109-BC114-BC116,1),"")</f>
        <v>0</v>
      </c>
      <c r="BD118" s="211">
        <f>IF(ISNUMBER(BD114),ROUND(BD109-BD114-BD116,1),"")</f>
        <v>0</v>
      </c>
      <c r="BE118" s="211">
        <f>IF(ISNUMBER(BE114),ROUND(BE109-BE114-BE116,1),"")</f>
        <v>0</v>
      </c>
      <c r="BF118" s="211">
        <f>IF(ISNUMBER(BF114),ROUND(BF109-BF114-BF116,1),"")</f>
        <v>0</v>
      </c>
      <c r="BG118" s="211">
        <f>IF(ISNUMBER(BG114),ROUND(BG109-BG114-BG116,1),"")</f>
        <v>0</v>
      </c>
      <c r="BH118" s="211">
        <f>IF(ISNUMBER(BH114),ROUND(BH109-BH114-BH116,1),"")</f>
        <v>0</v>
      </c>
      <c r="BI118" s="211">
        <f>IF(ISNUMBER(BI114),ROUND(BI109-BI114-BI116,1),"")</f>
        <v>0</v>
      </c>
      <c r="BJ118" s="211">
        <f>IF(ISNUMBER(BJ114),ROUND(BJ109-BJ114-BJ116,1),"")</f>
        <v>0</v>
      </c>
      <c r="BK118" s="211">
        <f>IF(ISNUMBER(BK114),ROUND(BK109-BK114-BK116,1),"")</f>
        <v>0</v>
      </c>
      <c r="BL118" s="211">
        <f>IF(ISNUMBER(BL114),ROUND(BL109-BL114-BL116,1),"")</f>
        <v>0</v>
      </c>
      <c r="BM118" s="211">
        <f>IF(ISNUMBER(BM114),ROUND(BM109-BM114-BM116,1),"")</f>
        <v>0</v>
      </c>
      <c r="BN118" s="211">
        <f>IF(ISNUMBER(BN114),ROUND(BN109-BN114-BN116,1),"")</f>
        <v>0</v>
      </c>
      <c r="BO118" s="211">
        <f>IF(ISNUMBER(BO114),ROUND(BO109-BO114-BO116,1),"")</f>
        <v>0</v>
      </c>
      <c r="BP118" s="211">
        <f>IF(ISNUMBER(BP114),ROUND(BP109-BP114-BP116,1),"")</f>
        <v>0</v>
      </c>
      <c r="BQ118" s="211">
        <f>IF(ISNUMBER(BQ114),ROUND(BQ109-BQ114-BQ116,1),"")</f>
        <v>0</v>
      </c>
      <c r="BR118" s="211">
        <f>IF(ISNUMBER(BR114),ROUND(BR109-BR114-BR116,1),"")</f>
        <v>0</v>
      </c>
      <c r="BS118" s="211">
        <f>IF(ISNUMBER(BS114),ROUND(BS109-BS114-BS116,1),"")</f>
        <v>0</v>
      </c>
      <c r="BT118" s="211">
        <f>IF(ISNUMBER(BT114),ROUND(BT109-BT114-BT116,1),"")</f>
        <v>0</v>
      </c>
      <c r="BU118" s="211">
        <f>IF(ISNUMBER(BU114),ROUND(BU109-BU114-BU116,1),"")</f>
        <v>0</v>
      </c>
      <c r="BV118" s="153" t="n"/>
      <c r="BW118" s="153" t="n"/>
      <c r="BX118" s="153" t="n"/>
      <c r="BY118" s="153" t="n"/>
      <c r="BZ118" s="153" t="n"/>
      <c r="CA118" s="153" t="n"/>
      <c r="CB118" s="153" t="n"/>
      <c r="CC118" s="153" t="n"/>
      <c r="CD118" s="153" t="n"/>
    </row>
    <row r="119" ht="15" customHeight="1" s="251">
      <c r="B119" s="25" t="inlineStr">
        <is>
          <t>Interest and other income (expense), net</t>
        </is>
      </c>
      <c r="C119" s="261" t="n">
        <v>-8</v>
      </c>
      <c r="D119" s="261" t="n">
        <v>-24</v>
      </c>
      <c r="E119" s="261" t="n">
        <v>-61</v>
      </c>
      <c r="F119" s="261" t="n">
        <v>-44</v>
      </c>
      <c r="G119" s="261" t="n">
        <v>-20</v>
      </c>
      <c r="H119" s="261" t="n">
        <v>-17</v>
      </c>
      <c r="I119" s="261" t="n">
        <v>-10</v>
      </c>
      <c r="J119" s="261" t="n">
        <v>-3</v>
      </c>
      <c r="K119" s="261" t="n">
        <v>-50</v>
      </c>
      <c r="L119" s="261" t="n">
        <v>0</v>
      </c>
      <c r="M119" s="261" t="n">
        <v>-4</v>
      </c>
      <c r="N119" s="261" t="n">
        <v>-61</v>
      </c>
      <c r="O119" s="261" t="n">
        <v>-19</v>
      </c>
      <c r="P119" s="261" t="n">
        <v>-84</v>
      </c>
      <c r="Q119" s="261" t="n">
        <v>-1</v>
      </c>
      <c r="R119" s="261" t="n">
        <v>0</v>
      </c>
      <c r="S119" s="261" t="n">
        <v>-27</v>
      </c>
      <c r="T119" s="261" t="n">
        <v>-3</v>
      </c>
      <c r="U119" s="261" t="n">
        <v>-31</v>
      </c>
      <c r="V119" s="261" t="n">
        <v>56</v>
      </c>
      <c r="W119" s="261" t="n">
        <v>20</v>
      </c>
      <c r="X119" s="261" t="n">
        <v>47</v>
      </c>
      <c r="Y119" s="261" t="n">
        <v>-33</v>
      </c>
      <c r="Z119" s="261" t="n">
        <v>91</v>
      </c>
      <c r="AA119" s="261" t="n">
        <v>81</v>
      </c>
      <c r="AB119" s="261" t="n">
        <v>87</v>
      </c>
      <c r="AC119" s="261" t="n">
        <v>114</v>
      </c>
      <c r="AD119" s="261" t="n">
        <v>110</v>
      </c>
      <c r="AE119" s="261" t="n">
        <v>391</v>
      </c>
      <c r="AF119" s="261" t="n">
        <v>161</v>
      </c>
      <c r="AG119" s="261" t="n">
        <v>5</v>
      </c>
      <c r="AH119" s="261" t="n">
        <v>131</v>
      </c>
      <c r="AI119" s="261" t="n">
        <v>151</v>
      </c>
      <c r="AJ119" s="261" t="n">
        <v>448</v>
      </c>
      <c r="AK119" s="261" t="n">
        <v>165</v>
      </c>
      <c r="AL119" s="261" t="n">
        <v>206</v>
      </c>
      <c r="AM119" s="261" t="n">
        <v>144</v>
      </c>
      <c r="AN119" s="261" t="n">
        <v>311</v>
      </c>
      <c r="AO119" s="261" t="n">
        <v>826</v>
      </c>
      <c r="AP119" s="261" t="n">
        <v>-32</v>
      </c>
      <c r="AQ119" s="261" t="n">
        <v>168</v>
      </c>
      <c r="AR119" s="261" t="n">
        <v>93</v>
      </c>
      <c r="AS119" s="261" t="n">
        <v>280</v>
      </c>
      <c r="AT119" s="261" t="n">
        <v>509</v>
      </c>
      <c r="AU119" s="261" t="n">
        <v>125</v>
      </c>
      <c r="AV119" s="261" t="n">
        <v>146</v>
      </c>
      <c r="AW119" s="261" t="n">
        <v>142</v>
      </c>
      <c r="AX119" s="261" t="n">
        <v>117</v>
      </c>
      <c r="AY119" s="261" t="n">
        <v>531</v>
      </c>
      <c r="AZ119" s="261" t="n">
        <v>384</v>
      </c>
      <c r="BA119" s="261" t="n">
        <v>-172</v>
      </c>
      <c r="BB119" s="261" t="n">
        <v>-88</v>
      </c>
      <c r="BC119" s="261" t="n">
        <v>-250</v>
      </c>
      <c r="BD119" s="261" t="n">
        <v>-125</v>
      </c>
      <c r="BE119" s="261" t="n">
        <v>80</v>
      </c>
      <c r="BF119" s="261" t="n">
        <v>-99</v>
      </c>
      <c r="BG119" s="261" t="n">
        <v>272</v>
      </c>
      <c r="BH119" s="261" t="n">
        <v>424</v>
      </c>
      <c r="BI119" s="261" t="n">
        <v>677</v>
      </c>
      <c r="BJ119" s="261" t="n">
        <v>365</v>
      </c>
      <c r="BK119" s="261" t="n">
        <v>259</v>
      </c>
      <c r="BL119" s="261" t="n">
        <v>472</v>
      </c>
      <c r="BM119" s="261" t="n">
        <v>188</v>
      </c>
      <c r="BN119" s="261" t="n">
        <v>1283</v>
      </c>
      <c r="BO119" s="261" t="n">
        <v>827</v>
      </c>
      <c r="BP119" s="261" t="n">
        <v>93</v>
      </c>
      <c r="BQ119" s="261" t="n">
        <v>1128</v>
      </c>
      <c r="BR119" s="261" t="n">
        <v>609</v>
      </c>
      <c r="BS119" s="261" t="n">
        <v>2656</v>
      </c>
      <c r="BT119" s="261" t="n">
        <v>-1120</v>
      </c>
      <c r="BU119" s="261" t="n">
        <v>-19</v>
      </c>
      <c r="BV119" s="263">
        <f>BV104-BV105+BV106</f>
        <v>24.1279999999999</v>
      </c>
      <c r="BW119" s="263">
        <f>BW104-BW105+BW106</f>
        <v>24.1279999999999</v>
      </c>
      <c r="BX119" s="263">
        <f>SUM(BT119:BW119)</f>
        <v>-1090.744</v>
      </c>
      <c r="BY119" s="263">
        <f>BY104-BY105+BY106</f>
        <v>-2081.83832586712</v>
      </c>
      <c r="BZ119" s="263">
        <f>BZ104-BZ105+BZ106</f>
        <v>-3211.21335240848</v>
      </c>
      <c r="CA119" s="263">
        <f>CA104-CA105+CA106</f>
        <v>-3083.15502991415</v>
      </c>
      <c r="CB119" s="263">
        <f>CB104-CB105+CB106</f>
        <v>-3542.57858965984</v>
      </c>
      <c r="CC119" s="263">
        <f>CC104-CC105+CC106</f>
        <v>-3868.54963712908</v>
      </c>
      <c r="CD119" s="19" t="n"/>
    </row>
    <row r="120" ht="15" customHeight="1" s="251">
      <c r="B120" s="16" t="inlineStr">
        <is>
          <t>Income before provision for income taxes</t>
        </is>
      </c>
      <c r="C120" s="266">
        <f>IF(ISNUMBER(C116),C116+C119,"")</f>
        <v>254</v>
      </c>
      <c r="D120" s="266">
        <f>IF(ISNUMBER(D116),D116+D119,"")</f>
        <v>1008</v>
      </c>
      <c r="E120" s="266">
        <f>IF(ISNUMBER(E116),E116+E119,"")</f>
        <v>1695</v>
      </c>
      <c r="F120" s="266">
        <f>IF(ISNUMBER(F116),F116+F119,"")</f>
        <v>494</v>
      </c>
      <c r="G120" s="266">
        <f>IF(ISNUMBER(G116),G116+G119,"")</f>
        <v>353</v>
      </c>
      <c r="H120" s="266">
        <f>IF(ISNUMBER(H116),H116+H119,"")</f>
        <v>545</v>
      </c>
      <c r="I120" s="266">
        <f>IF(ISNUMBER(I116),I116+I119,"")</f>
        <v>726</v>
      </c>
      <c r="J120" s="266">
        <f>IF(ISNUMBER(J116),J116+J119,"")</f>
        <v>1130</v>
      </c>
      <c r="K120" s="266">
        <f>IF(ISNUMBER(K116),K116+K119,"")</f>
        <v>2754</v>
      </c>
      <c r="L120" s="266">
        <f>IF(ISNUMBER(L116),L116+L119,"")</f>
        <v>1075</v>
      </c>
      <c r="M120" s="266">
        <f>IF(ISNUMBER(M116),M116+M119,"")</f>
        <v>1386</v>
      </c>
      <c r="N120" s="266">
        <f>IF(ISNUMBER(N116),N116+N119,"")</f>
        <v>1336</v>
      </c>
      <c r="O120" s="266">
        <f>IF(ISNUMBER(O116),O116+O119,"")</f>
        <v>1114</v>
      </c>
      <c r="P120" s="266">
        <f>IF(ISNUMBER(P116),P116+P119,"")</f>
        <v>4910</v>
      </c>
      <c r="Q120" s="266">
        <f>IF(ISNUMBER(Q116),Q116+Q119,"")</f>
        <v>932</v>
      </c>
      <c r="R120" s="266">
        <f>IF(ISNUMBER(R116),R116+R119,"")</f>
        <v>1273</v>
      </c>
      <c r="S120" s="266">
        <f>IF(ISNUMBER(S116),S116+S119,"")</f>
        <v>1432</v>
      </c>
      <c r="T120" s="266">
        <f>IF(ISNUMBER(T116),T116+T119,"")</f>
        <v>2557</v>
      </c>
      <c r="U120" s="266">
        <f>IF(ISNUMBER(U116),U116+U119,"")</f>
        <v>6194</v>
      </c>
      <c r="V120" s="266">
        <f>IF(ISNUMBER(V116),V116+V119,"")</f>
        <v>2065</v>
      </c>
      <c r="W120" s="266">
        <f>IF(ISNUMBER(W116),W116+W119,"")</f>
        <v>2766</v>
      </c>
      <c r="X120" s="266">
        <f>IF(ISNUMBER(X116),X116+X119,"")</f>
        <v>3169</v>
      </c>
      <c r="Y120" s="266">
        <f>IF(ISNUMBER(Y116),Y116+Y119,"")</f>
        <v>4533</v>
      </c>
      <c r="Z120" s="266">
        <f>IF(ISNUMBER(Z116),Z116+Z119,"")</f>
        <v>12518</v>
      </c>
      <c r="AA120" s="266">
        <f>IF(ISNUMBER(AA116),AA116+AA119,"")</f>
        <v>3408</v>
      </c>
      <c r="AB120" s="266">
        <f>IF(ISNUMBER(AB116),AB116+AB119,"")</f>
        <v>4488</v>
      </c>
      <c r="AC120" s="266">
        <f>IF(ISNUMBER(AC116),AC116+AC119,"")</f>
        <v>5236</v>
      </c>
      <c r="AD120" s="266">
        <f>IF(ISNUMBER(AD116),AD116+AD119,"")</f>
        <v>7462</v>
      </c>
      <c r="AE120" s="266">
        <f>IF(ISNUMBER(AE116),AE116+AE119,"")</f>
        <v>20594</v>
      </c>
      <c r="AF120" s="266">
        <f>IF(ISNUMBER(AF116),AF116+AF119,"")</f>
        <v>5610</v>
      </c>
      <c r="AG120" s="266">
        <f>IF(ISNUMBER(AG116),AG116+AG119,"")</f>
        <v>5868</v>
      </c>
      <c r="AH120" s="266">
        <f>IF(ISNUMBER(AH116),AH116+AH119,"")</f>
        <v>5912</v>
      </c>
      <c r="AI120" s="266">
        <f>IF(ISNUMBER(AI116),AI116+AI119,"")</f>
        <v>7971</v>
      </c>
      <c r="AJ120" s="266">
        <f>IF(ISNUMBER(AJ116),AJ116+AJ119,"")</f>
        <v>25361</v>
      </c>
      <c r="AK120" s="266">
        <f>IF(ISNUMBER(AK116),AK116+AK119,"")</f>
        <v>3482</v>
      </c>
      <c r="AL120" s="266">
        <f>IF(ISNUMBER(AL116),AL116+AL119,"")</f>
        <v>4832</v>
      </c>
      <c r="AM120" s="266">
        <f>IF(ISNUMBER(AM116),AM116+AM119,"")</f>
        <v>7329</v>
      </c>
      <c r="AN120" s="266">
        <f>IF(ISNUMBER(AN116),AN116+AN119,"")</f>
        <v>9169</v>
      </c>
      <c r="AO120" s="266">
        <f>IF(ISNUMBER(AO116),AO116+AO119,"")</f>
        <v>24812</v>
      </c>
      <c r="AP120" s="266">
        <f>IF(ISNUMBER(AP116),AP116+AP119,"")</f>
        <v>5861</v>
      </c>
      <c r="AQ120" s="266">
        <f>IF(ISNUMBER(AQ116),AQ116+AQ119,"")</f>
        <v>6131</v>
      </c>
      <c r="AR120" s="266">
        <f>IF(ISNUMBER(AR116),AR116+AR119,"")</f>
        <v>8133</v>
      </c>
      <c r="AS120" s="266">
        <f>IF(ISNUMBER(AS116),AS116+AS119,"")</f>
        <v>13055</v>
      </c>
      <c r="AT120" s="266">
        <f>IF(ISNUMBER(AT116),AT116+AT119,"")</f>
        <v>33180</v>
      </c>
      <c r="AU120" s="266">
        <f>IF(ISNUMBER(AU116),AU116+AU119,"")</f>
        <v>11503</v>
      </c>
      <c r="AV120" s="266">
        <f>IF(ISNUMBER(AV116),AV116+AV119,"")</f>
        <v>12513</v>
      </c>
      <c r="AW120" s="266">
        <f>IF(ISNUMBER(AW116),AW116+AW119,"")</f>
        <v>10565</v>
      </c>
      <c r="AX120" s="266">
        <f>IF(ISNUMBER(AX116),AX116+AX119,"")</f>
        <v>12702</v>
      </c>
      <c r="AY120" s="266">
        <f>IF(ISNUMBER(AY116),AY116+AY119,"")</f>
        <v>47284</v>
      </c>
      <c r="AZ120" s="266">
        <f>IF(ISNUMBER(AZ116),AZ116+AZ119,"")</f>
        <v>8908</v>
      </c>
      <c r="BA120" s="266">
        <f>IF(ISNUMBER(BA116),BA116+BA119,"")</f>
        <v>8186</v>
      </c>
      <c r="BB120" s="266">
        <f>IF(ISNUMBER(BB116),BB116+BB119,"")</f>
        <v>5576</v>
      </c>
      <c r="BC120" s="266">
        <f>IF(ISNUMBER(BC116),BC116+BC119,"")</f>
        <v>6149</v>
      </c>
      <c r="BD120" s="266">
        <f>IF(ISNUMBER(BD116),BD116+BD119,"")</f>
        <v>28819</v>
      </c>
      <c r="BE120" s="266">
        <f>IF(ISNUMBER(BE116),BE116+BE119,"")</f>
        <v>7307</v>
      </c>
      <c r="BF120" s="266">
        <f>IF(ISNUMBER(BF116),BF116+BF119,"")</f>
        <v>9293</v>
      </c>
      <c r="BG120" s="266">
        <f>IF(ISNUMBER(BG116),BG116+BG119,"")</f>
        <v>14020</v>
      </c>
      <c r="BH120" s="266">
        <f>IF(ISNUMBER(BH116),BH116+BH119,"")</f>
        <v>16808</v>
      </c>
      <c r="BI120" s="266">
        <f>IF(ISNUMBER(BI116),BI116+BI119,"")</f>
        <v>47428</v>
      </c>
      <c r="BJ120" s="266">
        <f>IF(ISNUMBER(BJ116),BJ116+BJ119,"")</f>
        <v>14183</v>
      </c>
      <c r="BK120" s="266">
        <f>IF(ISNUMBER(BK116),BK116+BK119,"")</f>
        <v>15106</v>
      </c>
      <c r="BL120" s="266">
        <f>IF(ISNUMBER(BL116),BL116+BL119,"")</f>
        <v>17822</v>
      </c>
      <c r="BM120" s="266">
        <f>IF(ISNUMBER(BM116),BM116+BM119,"")</f>
        <v>23553</v>
      </c>
      <c r="BN120" s="266">
        <f>IF(ISNUMBER(BN116),BN116+BN119,"")</f>
        <v>70663</v>
      </c>
      <c r="BO120" s="266">
        <f>IF(ISNUMBER(BO116),BO116+BO119,"")</f>
        <v>18382</v>
      </c>
      <c r="BP120" s="266">
        <f>IF(ISNUMBER(BP116),BP116+BP119,"")</f>
        <v>20534</v>
      </c>
      <c r="BQ120" s="266">
        <f>IF(ISNUMBER(BQ116),BQ116+BQ119,"")</f>
        <v>21663</v>
      </c>
      <c r="BR120" s="266">
        <f>IF(ISNUMBER(BR116),BR116+BR119,"")</f>
        <v>25354</v>
      </c>
      <c r="BS120" s="266">
        <f>IF(ISNUMBER(BS116),BS116+BS119,"")</f>
        <v>85932</v>
      </c>
      <c r="BT120" s="266">
        <f>IF(ISNUMBER(BT116),BT116+BT119,"")</f>
        <v>21752</v>
      </c>
      <c r="BU120" s="266">
        <f>IF(ISNUMBER(BU116),BU116+BU119,"")</f>
        <v>18756</v>
      </c>
      <c r="BV120" s="254">
        <f>IF(ISNUMBER(BV116),BV116+BV119,"")</f>
        <v>19843.0066728419</v>
      </c>
      <c r="BW120" s="254">
        <f>IF(ISNUMBER(BW116),BW116+BW119,"")</f>
        <v>24158.6608583237</v>
      </c>
      <c r="BX120" s="254">
        <f>IF(ISNUMBER(BX116),BX116+BX119,"")</f>
        <v>84509.6675311655</v>
      </c>
      <c r="BY120" s="254">
        <f>IF(ISNUMBER(BY116),BY116+BY119,"")</f>
        <v>100151.623819816</v>
      </c>
      <c r="BZ120" s="254">
        <f>IF(ISNUMBER(BZ116),BZ116+BZ119,"")</f>
        <v>115903.865243731</v>
      </c>
      <c r="CA120" s="254">
        <f>IF(ISNUMBER(CA116),CA116+CA119,"")</f>
        <v>131681.869757368</v>
      </c>
      <c r="CB120" s="254">
        <f>IF(ISNUMBER(CB116),CB116+CB119,"")</f>
        <v>151471.927558014</v>
      </c>
      <c r="CC120" s="254">
        <f>IF(ISNUMBER(CC116),CC116+CC119,"")</f>
        <v>171412.518827201</v>
      </c>
      <c r="CD120" s="153" t="n"/>
    </row>
    <row r="121" ht="15" customHeight="1" s="251">
      <c r="B121" s="25" t="inlineStr">
        <is>
          <t>Provision (benefit) for income taxes</t>
        </is>
      </c>
      <c r="C121" s="261" t="n">
        <v>25</v>
      </c>
      <c r="D121" s="261" t="n">
        <v>402</v>
      </c>
      <c r="E121" s="261" t="n">
        <v>695</v>
      </c>
      <c r="F121" s="261" t="n">
        <v>441</v>
      </c>
      <c r="G121" s="261" t="n">
        <v>134</v>
      </c>
      <c r="H121" s="261" t="n">
        <v>212</v>
      </c>
      <c r="I121" s="261" t="n">
        <v>301</v>
      </c>
      <c r="J121" s="261" t="n">
        <v>607</v>
      </c>
      <c r="K121" s="261" t="n">
        <v>1254</v>
      </c>
      <c r="L121" s="261" t="n">
        <v>433</v>
      </c>
      <c r="M121" s="261" t="n">
        <v>595</v>
      </c>
      <c r="N121" s="261" t="n">
        <v>530</v>
      </c>
      <c r="O121" s="261" t="n">
        <v>413</v>
      </c>
      <c r="P121" s="261" t="n">
        <v>1970</v>
      </c>
      <c r="Q121" s="261" t="n">
        <v>420</v>
      </c>
      <c r="R121" s="261" t="n">
        <v>554</v>
      </c>
      <c r="S121" s="261" t="n">
        <v>536</v>
      </c>
      <c r="T121" s="261" t="n">
        <v>995</v>
      </c>
      <c r="U121" s="261" t="n">
        <v>2506</v>
      </c>
      <c r="V121" s="261" t="n">
        <v>555</v>
      </c>
      <c r="W121" s="261" t="n">
        <v>711</v>
      </c>
      <c r="X121" s="261" t="n">
        <v>790</v>
      </c>
      <c r="Y121" s="261" t="n">
        <v>965</v>
      </c>
      <c r="Z121" s="261" t="n">
        <v>2301</v>
      </c>
      <c r="AA121" s="261" t="n">
        <v>344</v>
      </c>
      <c r="AB121" s="261" t="n">
        <v>594</v>
      </c>
      <c r="AC121" s="261" t="n">
        <v>529</v>
      </c>
      <c r="AD121" s="261" t="n">
        <v>3194</v>
      </c>
      <c r="AE121" s="261" t="n">
        <v>4660</v>
      </c>
      <c r="AF121" s="261" t="n">
        <v>622</v>
      </c>
      <c r="AG121" s="261" t="n">
        <v>762</v>
      </c>
      <c r="AH121" s="261" t="n">
        <v>775</v>
      </c>
      <c r="AI121" s="261" t="n">
        <v>1089</v>
      </c>
      <c r="AJ121" s="261" t="n">
        <v>3249</v>
      </c>
      <c r="AK121" s="261" t="n">
        <v>1053</v>
      </c>
      <c r="AL121" s="261" t="n">
        <v>2216</v>
      </c>
      <c r="AM121" s="261" t="n">
        <v>1238</v>
      </c>
      <c r="AN121" s="261" t="n">
        <v>1820</v>
      </c>
      <c r="AO121" s="261" t="n">
        <v>6327</v>
      </c>
      <c r="AP121" s="261" t="n">
        <v>959</v>
      </c>
      <c r="AQ121" s="261" t="n">
        <v>953</v>
      </c>
      <c r="AR121" s="261" t="n">
        <v>287</v>
      </c>
      <c r="AS121" s="261" t="n">
        <v>1836</v>
      </c>
      <c r="AT121" s="261" t="n">
        <v>4034</v>
      </c>
      <c r="AU121" s="261" t="n">
        <v>2006</v>
      </c>
      <c r="AV121" s="261" t="n">
        <v>2119</v>
      </c>
      <c r="AW121" s="261" t="n">
        <v>1371</v>
      </c>
      <c r="AX121" s="261" t="n">
        <v>2417</v>
      </c>
      <c r="AY121" s="261" t="n">
        <v>7914</v>
      </c>
      <c r="AZ121" s="261" t="n">
        <v>1443</v>
      </c>
      <c r="BA121" s="261" t="n">
        <v>1499</v>
      </c>
      <c r="BB121" s="261" t="n">
        <v>1181</v>
      </c>
      <c r="BC121" s="261" t="n">
        <v>1497</v>
      </c>
      <c r="BD121" s="261" t="n">
        <v>5619</v>
      </c>
      <c r="BE121" s="261" t="n">
        <v>1598</v>
      </c>
      <c r="BF121" s="261" t="n">
        <v>1505</v>
      </c>
      <c r="BG121" s="261" t="n">
        <v>2437</v>
      </c>
      <c r="BH121" s="261" t="n">
        <v>2791</v>
      </c>
      <c r="BI121" s="261" t="n">
        <v>8330</v>
      </c>
      <c r="BJ121" s="261" t="n">
        <v>1814</v>
      </c>
      <c r="BK121" s="261" t="n">
        <v>1641</v>
      </c>
      <c r="BL121" s="261" t="n">
        <v>2134</v>
      </c>
      <c r="BM121" s="261" t="n">
        <v>2715</v>
      </c>
      <c r="BN121" s="261" t="n">
        <v>8303</v>
      </c>
      <c r="BO121" s="261" t="n">
        <v>1738</v>
      </c>
      <c r="BP121" s="261" t="n">
        <v>2197</v>
      </c>
      <c r="BQ121" s="261" t="n">
        <v>18954</v>
      </c>
      <c r="BR121" s="261" t="n">
        <v>2586</v>
      </c>
      <c r="BS121" s="261" t="n">
        <v>25474</v>
      </c>
      <c r="BT121" s="261" t="n">
        <v>-5021</v>
      </c>
      <c r="BU121" s="261" t="n">
        <v>2908</v>
      </c>
      <c r="BV121" s="263">
        <f>BV120*BV122</f>
        <v>3174.8810676547</v>
      </c>
      <c r="BW121" s="263">
        <f>BW120*BW122</f>
        <v>3865.38573733178</v>
      </c>
      <c r="BX121" s="263">
        <f>SUM(BT121:BW121)</f>
        <v>4927.26680498648</v>
      </c>
      <c r="BY121" s="263">
        <f>BY120*BY122</f>
        <v>16024.2598111705</v>
      </c>
      <c r="BZ121" s="263">
        <f>BZ120*BZ122</f>
        <v>18544.6184389969</v>
      </c>
      <c r="CA121" s="263">
        <f>CA120*CA122</f>
        <v>21069.099161179</v>
      </c>
      <c r="CB121" s="263">
        <f>CB120*CB122</f>
        <v>24992.8680470722</v>
      </c>
      <c r="CC121" s="263">
        <f>CC120*CC122</f>
        <v>28283.0656064882</v>
      </c>
      <c r="CD121" s="19" t="n"/>
    </row>
    <row r="122" ht="15" customHeight="1" s="251">
      <c r="B122" s="25" t="inlineStr">
        <is>
          <t xml:space="preserve">  Effective tax rate</t>
        </is>
      </c>
      <c r="C122" s="215">
        <f>IF(AND(ISNUMBER(C121),ISNUMBER(C120)),IFERROR(C121/C120,""),"")</f>
        <v>0.0984251968503937</v>
      </c>
      <c r="D122" s="215">
        <f>IF(AND(ISNUMBER(D121),ISNUMBER(D120)),IFERROR(D121/D120,""),"")</f>
        <v>0.398809523809524</v>
      </c>
      <c r="E122" s="215">
        <f>IF(AND(ISNUMBER(E121),ISNUMBER(E120)),IFERROR(E121/E120,""),"")</f>
        <v>0.410029498525074</v>
      </c>
      <c r="F122" s="215">
        <f>IF(AND(ISNUMBER(F121),ISNUMBER(F120)),IFERROR(F121/F120,""),"")</f>
        <v>0.892712550607288</v>
      </c>
      <c r="G122" s="215">
        <f>IF(AND(ISNUMBER(G121),ISNUMBER(G120)),IFERROR(G121/G120,""),"")</f>
        <v>0.379603399433428</v>
      </c>
      <c r="H122" s="215">
        <f>IF(AND(ISNUMBER(H121),ISNUMBER(H120)),IFERROR(H121/H120,""),"")</f>
        <v>0.388990825688073</v>
      </c>
      <c r="I122" s="215">
        <f>IF(AND(ISNUMBER(I121),ISNUMBER(I120)),IFERROR(I121/I120,""),"")</f>
        <v>0.414600550964187</v>
      </c>
      <c r="J122" s="215">
        <f>IF(AND(ISNUMBER(J121),ISNUMBER(J120)),IFERROR(J121/J120,""),"")</f>
        <v>0.53716814159292</v>
      </c>
      <c r="K122" s="215">
        <f>IF(AND(ISNUMBER(K121),ISNUMBER(K120)),IFERROR(K121/K120,""),"")</f>
        <v>0.455337690631808</v>
      </c>
      <c r="L122" s="215">
        <f>IF(AND(ISNUMBER(L121),ISNUMBER(L120)),IFERROR(L121/L120,""),"")</f>
        <v>0.402790697674419</v>
      </c>
      <c r="M122" s="215">
        <f>IF(AND(ISNUMBER(M121),ISNUMBER(M120)),IFERROR(M121/M120,""),"")</f>
        <v>0.429292929292929</v>
      </c>
      <c r="N122" s="215">
        <f>IF(AND(ISNUMBER(N121),ISNUMBER(N120)),IFERROR(N121/N120,""),"")</f>
        <v>0.396706586826347</v>
      </c>
      <c r="O122" s="215">
        <f>IF(AND(ISNUMBER(O121),ISNUMBER(O120)),IFERROR(O121/O120,""),"")</f>
        <v>0.370736086175943</v>
      </c>
      <c r="P122" s="215">
        <f>IF(AND(ISNUMBER(P121),ISNUMBER(P120)),IFERROR(P121/P120,""),"")</f>
        <v>0.40122199592668</v>
      </c>
      <c r="Q122" s="215">
        <f>IF(AND(ISNUMBER(Q121),ISNUMBER(Q120)),IFERROR(Q121/Q120,""),"")</f>
        <v>0.450643776824034</v>
      </c>
      <c r="R122" s="215">
        <f>IF(AND(ISNUMBER(R121),ISNUMBER(R120)),IFERROR(R121/R120,""),"")</f>
        <v>0.435192458758837</v>
      </c>
      <c r="S122" s="215">
        <f>IF(AND(ISNUMBER(S121),ISNUMBER(S120)),IFERROR(S121/S120,""),"")</f>
        <v>0.374301675977654</v>
      </c>
      <c r="T122" s="215">
        <f>IF(AND(ISNUMBER(T121),ISNUMBER(T120)),IFERROR(T121/T120,""),"")</f>
        <v>0.389127884239343</v>
      </c>
      <c r="U122" s="215">
        <f>IF(AND(ISNUMBER(U121),ISNUMBER(U120)),IFERROR(U121/U120,""),"")</f>
        <v>0.404585082337746</v>
      </c>
      <c r="V122" s="215">
        <f>IF(AND(ISNUMBER(V121),ISNUMBER(V120)),IFERROR(V121/V120,""),"")</f>
        <v>0.268765133171913</v>
      </c>
      <c r="W122" s="215">
        <f>IF(AND(ISNUMBER(W121),ISNUMBER(W120)),IFERROR(W121/W120,""),"")</f>
        <v>0.25704989154013</v>
      </c>
      <c r="X122" s="215">
        <f>IF(AND(ISNUMBER(X121),ISNUMBER(X120)),IFERROR(X121/X120,""),"")</f>
        <v>0.24928999684443</v>
      </c>
      <c r="Y122" s="215">
        <f>IF(AND(ISNUMBER(Y121),ISNUMBER(Y120)),IFERROR(Y121/Y120,""),"")</f>
        <v>0.212883300242665</v>
      </c>
      <c r="Z122" s="215">
        <f>IF(AND(ISNUMBER(Z121),ISNUMBER(Z120)),IFERROR(Z121/Z120,""),"")</f>
        <v>0.183815305959418</v>
      </c>
      <c r="AA122" s="215">
        <f>IF(AND(ISNUMBER(AA121),ISNUMBER(AA120)),IFERROR(AA121/AA120,""),"")</f>
        <v>0.10093896713615</v>
      </c>
      <c r="AB122" s="215">
        <f>IF(AND(ISNUMBER(AB121),ISNUMBER(AB120)),IFERROR(AB121/AB120,""),"")</f>
        <v>0.132352941176471</v>
      </c>
      <c r="AC122" s="215">
        <f>IF(AND(ISNUMBER(AC121),ISNUMBER(AC120)),IFERROR(AC121/AC120,""),"")</f>
        <v>0.101031321619557</v>
      </c>
      <c r="AD122" s="215">
        <f>IF(AND(ISNUMBER(AD121),ISNUMBER(AD120)),IFERROR(AD121/AD120,""),"")</f>
        <v>0.428035379254891</v>
      </c>
      <c r="AE122" s="215">
        <f>IF(AND(ISNUMBER(AE121),ISNUMBER(AE120)),IFERROR(AE121/AE120,""),"")</f>
        <v>0.22627949888317</v>
      </c>
      <c r="AF122" s="215">
        <f>IF(AND(ISNUMBER(AF121),ISNUMBER(AF120)),IFERROR(AF121/AF120,""),"")</f>
        <v>0.110873440285205</v>
      </c>
      <c r="AG122" s="215">
        <f>IF(AND(ISNUMBER(AG121),ISNUMBER(AG120)),IFERROR(AG121/AG120,""),"")</f>
        <v>0.129856850715746</v>
      </c>
      <c r="AH122" s="215">
        <f>IF(AND(ISNUMBER(AH121),ISNUMBER(AH120)),IFERROR(AH121/AH120,""),"")</f>
        <v>0.131089309878214</v>
      </c>
      <c r="AI122" s="215">
        <f>IF(AND(ISNUMBER(AI121),ISNUMBER(AI120)),IFERROR(AI121/AI120,""),"")</f>
        <v>0.136620248400452</v>
      </c>
      <c r="AJ122" s="215">
        <f>IF(AND(ISNUMBER(AJ121),ISNUMBER(AJ120)),IFERROR(AJ121/AJ120,""),"")</f>
        <v>0.128110090296124</v>
      </c>
      <c r="AK122" s="215">
        <f>IF(AND(ISNUMBER(AK121),ISNUMBER(AK120)),IFERROR(AK121/AK120,""),"")</f>
        <v>0.302412406662838</v>
      </c>
      <c r="AL122" s="215">
        <f>IF(AND(ISNUMBER(AL121),ISNUMBER(AL120)),IFERROR(AL121/AL120,""),"")</f>
        <v>0.458609271523179</v>
      </c>
      <c r="AM122" s="215">
        <f>IF(AND(ISNUMBER(AM121),ISNUMBER(AM120)),IFERROR(AM121/AM120,""),"")</f>
        <v>0.168917996998226</v>
      </c>
      <c r="AN122" s="215">
        <f>IF(AND(ISNUMBER(AN121),ISNUMBER(AN120)),IFERROR(AN121/AN120,""),"")</f>
        <v>0.198494928563638</v>
      </c>
      <c r="AO122" s="215">
        <f>IF(AND(ISNUMBER(AO121),ISNUMBER(AO120)),IFERROR(AO121/AO120,""),"")</f>
        <v>0.254997581815251</v>
      </c>
      <c r="AP122" s="215">
        <f>IF(AND(ISNUMBER(AP121),ISNUMBER(AP120)),IFERROR(AP121/AP120,""),"")</f>
        <v>0.163623954956492</v>
      </c>
      <c r="AQ122" s="215">
        <f>IF(AND(ISNUMBER(AQ121),ISNUMBER(AQ120)),IFERROR(AQ121/AQ120,""),"")</f>
        <v>0.155439569401403</v>
      </c>
      <c r="AR122" s="215">
        <f>IF(AND(ISNUMBER(AR121),ISNUMBER(AR120)),IFERROR(AR121/AR120,""),"")</f>
        <v>0.0352883314889955</v>
      </c>
      <c r="AS122" s="215">
        <f>IF(AND(ISNUMBER(AS121),ISNUMBER(AS120)),IFERROR(AS121/AS120,""),"")</f>
        <v>0.140635771734967</v>
      </c>
      <c r="AT122" s="215">
        <f>IF(AND(ISNUMBER(AT121),ISNUMBER(AT120)),IFERROR(AT121/AT120,""),"")</f>
        <v>0.121579264617239</v>
      </c>
      <c r="AU122" s="215">
        <f>IF(AND(ISNUMBER(AU121),ISNUMBER(AU120)),IFERROR(AU121/AU120,""),"")</f>
        <v>0.1743892897505</v>
      </c>
      <c r="AV122" s="215">
        <f>IF(AND(ISNUMBER(AV121),ISNUMBER(AV120)),IFERROR(AV121/AV120,""),"")</f>
        <v>0.169343882362343</v>
      </c>
      <c r="AW122" s="215">
        <f>IF(AND(ISNUMBER(AW121),ISNUMBER(AW120)),IFERROR(AW121/AW120,""),"")</f>
        <v>0.129768102224326</v>
      </c>
      <c r="AX122" s="215">
        <f>IF(AND(ISNUMBER(AX121),ISNUMBER(AX120)),IFERROR(AX121/AX120,""),"")</f>
        <v>0.190284994489057</v>
      </c>
      <c r="AY122" s="215">
        <f>IF(AND(ISNUMBER(AY121),ISNUMBER(AY120)),IFERROR(AY121/AY120,""),"")</f>
        <v>0.167371626765925</v>
      </c>
      <c r="AZ122" s="215">
        <f>IF(AND(ISNUMBER(AZ121),ISNUMBER(AZ120)),IFERROR(AZ121/AZ120,""),"")</f>
        <v>0.161989223170184</v>
      </c>
      <c r="BA122" s="215">
        <f>IF(AND(ISNUMBER(BA121),ISNUMBER(BA120)),IFERROR(BA121/BA120,""),"")</f>
        <v>0.183117517713169</v>
      </c>
      <c r="BB122" s="215">
        <f>IF(AND(ISNUMBER(BB121),ISNUMBER(BB120)),IFERROR(BB121/BB120,""),"")</f>
        <v>0.211800573888092</v>
      </c>
      <c r="BC122" s="215">
        <f>IF(AND(ISNUMBER(BC121),ISNUMBER(BC120)),IFERROR(BC121/BC120,""),"")</f>
        <v>0.243454220198406</v>
      </c>
      <c r="BD122" s="215">
        <f>IF(AND(ISNUMBER(BD121),ISNUMBER(BD120)),IFERROR(BD121/BD120,""),"")</f>
        <v>0.194975536972136</v>
      </c>
      <c r="BE122" s="215">
        <f>IF(AND(ISNUMBER(BE121),ISNUMBER(BE120)),IFERROR(BE121/BE120,""),"")</f>
        <v>0.218694402627617</v>
      </c>
      <c r="BF122" s="215">
        <f>IF(AND(ISNUMBER(BF121),ISNUMBER(BF120)),IFERROR(BF121/BF120,""),"")</f>
        <v>0.161949854729366</v>
      </c>
      <c r="BG122" s="215">
        <f>IF(AND(ISNUMBER(BG121),ISNUMBER(BG120)),IFERROR(BG121/BG120,""),"")</f>
        <v>0.173823109843081</v>
      </c>
      <c r="BH122" s="215">
        <f>IF(AND(ISNUMBER(BH121),ISNUMBER(BH120)),IFERROR(BH121/BH120,""),"")</f>
        <v>0.166051880057116</v>
      </c>
      <c r="BI122" s="215">
        <f>IF(AND(ISNUMBER(BI121),ISNUMBER(BI120)),IFERROR(BI121/BI120,""),"")</f>
        <v>0.175634646200557</v>
      </c>
      <c r="BJ122" s="215">
        <f>IF(AND(ISNUMBER(BJ121),ISNUMBER(BJ120)),IFERROR(BJ121/BJ120,""),"")</f>
        <v>0.127899598110414</v>
      </c>
      <c r="BK122" s="215">
        <f>IF(AND(ISNUMBER(BK121),ISNUMBER(BK120)),IFERROR(BK121/BK120,""),"")</f>
        <v>0.108632331523898</v>
      </c>
      <c r="BL122" s="215">
        <f>IF(AND(ISNUMBER(BL121),ISNUMBER(BL120)),IFERROR(BL121/BL120,""),"")</f>
        <v>0.119739647626529</v>
      </c>
      <c r="BM122" s="215">
        <f>IF(AND(ISNUMBER(BM121),ISNUMBER(BM120)),IFERROR(BM121/BM120,""),"")</f>
        <v>0.11527193988027</v>
      </c>
      <c r="BN122" s="215">
        <f>IF(AND(ISNUMBER(BN121),ISNUMBER(BN120)),IFERROR(BN121/BN120,""),"")</f>
        <v>0.117501379788574</v>
      </c>
      <c r="BO122" s="215">
        <f>IF(AND(ISNUMBER(BO121),ISNUMBER(BO120)),IFERROR(BO121/BO120,""),"")</f>
        <v>0.0945490153410946</v>
      </c>
      <c r="BP122" s="215">
        <f>IF(AND(ISNUMBER(BP121),ISNUMBER(BP120)),IFERROR(BP121/BP120,""),"")</f>
        <v>0.106993279438979</v>
      </c>
      <c r="BQ122" s="215">
        <f>IF(AND(ISNUMBER(BQ121),ISNUMBER(BQ120)),IFERROR(BQ121/BQ120,""),"")</f>
        <v>0.874948068134607</v>
      </c>
      <c r="BR122" s="215">
        <f>IF(AND(ISNUMBER(BR121),ISNUMBER(BR120)),IFERROR(BR121/BR120,""),"")</f>
        <v>0.10199574031711</v>
      </c>
      <c r="BS122" s="215">
        <f>IF(AND(ISNUMBER(BS121),ISNUMBER(BS120)),IFERROR(BS121/BS120,""),"")</f>
        <v>0.296443699669506</v>
      </c>
      <c r="BT122" s="215">
        <f>IF(AND(ISNUMBER(BT121),ISNUMBER(BT120)),IFERROR(BT121/BT120,""),"")</f>
        <v>-0.230829349025377</v>
      </c>
      <c r="BU122" s="215">
        <f>IF(AND(ISNUMBER(BU121),ISNUMBER(BU120)),IFERROR(BU121/BU120,""),"")</f>
        <v>0.155043719343144</v>
      </c>
      <c r="BV122" s="256">
        <f>$CN$19</f>
        <v>0.16</v>
      </c>
      <c r="BW122" s="256">
        <f>$CN$19</f>
        <v>0.16</v>
      </c>
      <c r="BX122" s="256">
        <f>IF(AND(ISNUMBER(BX121),ISNUMBER(BX120)),IFERROR(BX121/BX120,""),"")</f>
        <v>0.0583041792605491</v>
      </c>
      <c r="BY122" s="270" t="n">
        <v>0.16</v>
      </c>
      <c r="BZ122" s="270" t="n">
        <v>0.16</v>
      </c>
      <c r="CA122" s="270" t="n">
        <v>0.16</v>
      </c>
      <c r="CB122" s="270" t="n">
        <v>0.165</v>
      </c>
      <c r="CC122" s="270" t="n">
        <v>0.165</v>
      </c>
      <c r="CD122" s="153" t="inlineStr">
        <is>
          <t>Q3/Q4-26E: guidance 15–17% for the remaining quarters of 2026 (mid-point). 2027E+: input (U.S. Corporate Alternative Minimum Tax; FDII).</t>
        </is>
      </c>
      <c r="CF122" s="37">
        <f>IFERROR(AVERAGE(BY122,BZ122,CA122,CB122,CC122),"n/m")</f>
        <v>0.162</v>
      </c>
      <c r="CG122" s="37">
        <f>IFERROR(AVERAGE(AY122,BD122,BI122,BN122,BS122),"n/m")</f>
        <v>0.19038537787934</v>
      </c>
      <c r="CH122" s="37">
        <f>IFERROR(AVERAGE(Z122,AE122,AJ122,AO122,AT122,AY122,BD122,BI122,BN122,BS122),"n/m")</f>
        <v>0.18667086309679</v>
      </c>
      <c r="CI122" s="37">
        <f>IFERROR(AVERAGE(C122,D122,E122,F122,K122,P122,U122,Z122,AE122,AJ122,AO122,AT122,AY122,BD122,BI122,BN122,BS122),"n/m")</f>
        <v>0.289872362920966</v>
      </c>
    </row>
    <row r="123" ht="15" customHeight="1" s="251">
      <c r="B123" s="55" t="inlineStr">
        <is>
          <t>Net income</t>
        </is>
      </c>
      <c r="C123" s="272">
        <f>IF(ISNUMBER(C120),C120-C121,"")</f>
        <v>229</v>
      </c>
      <c r="D123" s="272">
        <f>IF(ISNUMBER(D120),D120-D121,"")</f>
        <v>606</v>
      </c>
      <c r="E123" s="272">
        <f>IF(ISNUMBER(E120),E120-E121,"")</f>
        <v>1000</v>
      </c>
      <c r="F123" s="272">
        <f>IF(ISNUMBER(F120),F120-F121,"")</f>
        <v>53</v>
      </c>
      <c r="G123" s="272">
        <f>IF(ISNUMBER(G120),G120-G121,"")</f>
        <v>219</v>
      </c>
      <c r="H123" s="272">
        <f>IF(ISNUMBER(H120),H120-H121,"")</f>
        <v>333</v>
      </c>
      <c r="I123" s="272">
        <f>IF(ISNUMBER(I120),I120-I121,"")</f>
        <v>425</v>
      </c>
      <c r="J123" s="272">
        <f>IF(ISNUMBER(J120),J120-J121,"")</f>
        <v>523</v>
      </c>
      <c r="K123" s="272">
        <f>IF(ISNUMBER(K120),K120-K121,"")</f>
        <v>1500</v>
      </c>
      <c r="L123" s="272">
        <f>IF(ISNUMBER(L120),L120-L121,"")</f>
        <v>642</v>
      </c>
      <c r="M123" s="272">
        <f>IF(ISNUMBER(M120),M120-M121,"")</f>
        <v>791</v>
      </c>
      <c r="N123" s="272">
        <f>IF(ISNUMBER(N120),N120-N121,"")</f>
        <v>806</v>
      </c>
      <c r="O123" s="272">
        <f>IF(ISNUMBER(O120),O120-O121,"")</f>
        <v>701</v>
      </c>
      <c r="P123" s="272">
        <f>IF(ISNUMBER(P120),P120-P121,"")</f>
        <v>2940</v>
      </c>
      <c r="Q123" s="272">
        <f>IF(ISNUMBER(Q120),Q120-Q121,"")</f>
        <v>512</v>
      </c>
      <c r="R123" s="272">
        <f>IF(ISNUMBER(R120),R120-R121,"")</f>
        <v>719</v>
      </c>
      <c r="S123" s="272">
        <f>IF(ISNUMBER(S120),S120-S121,"")</f>
        <v>896</v>
      </c>
      <c r="T123" s="272">
        <f>IF(ISNUMBER(T120),T120-T121,"")</f>
        <v>1562</v>
      </c>
      <c r="U123" s="272">
        <f>IF(ISNUMBER(U120),U120-U121,"")</f>
        <v>3688</v>
      </c>
      <c r="V123" s="272">
        <f>IF(ISNUMBER(V120),V120-V121,"")</f>
        <v>1510</v>
      </c>
      <c r="W123" s="272">
        <f>IF(ISNUMBER(W120),W120-W121,"")</f>
        <v>2055</v>
      </c>
      <c r="X123" s="272">
        <f>IF(ISNUMBER(X120),X120-X121,"")</f>
        <v>2379</v>
      </c>
      <c r="Y123" s="272">
        <f>IF(ISNUMBER(Y120),Y120-Y121,"")</f>
        <v>3568</v>
      </c>
      <c r="Z123" s="272">
        <f>IF(ISNUMBER(Z120),Z120-Z121,"")</f>
        <v>10217</v>
      </c>
      <c r="AA123" s="272">
        <f>IF(ISNUMBER(AA120),AA120-AA121,"")</f>
        <v>3064</v>
      </c>
      <c r="AB123" s="272">
        <f>IF(ISNUMBER(AB120),AB120-AB121,"")</f>
        <v>3894</v>
      </c>
      <c r="AC123" s="272">
        <f>IF(ISNUMBER(AC120),AC120-AC121,"")</f>
        <v>4707</v>
      </c>
      <c r="AD123" s="272">
        <f>IF(ISNUMBER(AD120),AD120-AD121,"")</f>
        <v>4268</v>
      </c>
      <c r="AE123" s="272">
        <f>IF(ISNUMBER(AE120),AE120-AE121,"")</f>
        <v>15934</v>
      </c>
      <c r="AF123" s="272">
        <f>IF(ISNUMBER(AF120),AF120-AF121,"")</f>
        <v>4988</v>
      </c>
      <c r="AG123" s="272">
        <f>IF(ISNUMBER(AG120),AG120-AG121,"")</f>
        <v>5106</v>
      </c>
      <c r="AH123" s="272">
        <f>IF(ISNUMBER(AH120),AH120-AH121,"")</f>
        <v>5137</v>
      </c>
      <c r="AI123" s="272">
        <f>IF(ISNUMBER(AI120),AI120-AI121,"")</f>
        <v>6882</v>
      </c>
      <c r="AJ123" s="272">
        <f>IF(ISNUMBER(AJ120),AJ120-AJ121,"")</f>
        <v>22112</v>
      </c>
      <c r="AK123" s="272">
        <f>IF(ISNUMBER(AK120),AK120-AK121,"")</f>
        <v>2429</v>
      </c>
      <c r="AL123" s="272">
        <f>IF(ISNUMBER(AL120),AL120-AL121,"")</f>
        <v>2616</v>
      </c>
      <c r="AM123" s="272">
        <f>IF(ISNUMBER(AM120),AM120-AM121,"")</f>
        <v>6091</v>
      </c>
      <c r="AN123" s="272">
        <f>IF(ISNUMBER(AN120),AN120-AN121,"")</f>
        <v>7349</v>
      </c>
      <c r="AO123" s="272">
        <f>IF(ISNUMBER(AO120),AO120-AO121,"")</f>
        <v>18485</v>
      </c>
      <c r="AP123" s="272">
        <f>IF(ISNUMBER(AP120),AP120-AP121,"")</f>
        <v>4902</v>
      </c>
      <c r="AQ123" s="272">
        <f>IF(ISNUMBER(AQ120),AQ120-AQ121,"")</f>
        <v>5178</v>
      </c>
      <c r="AR123" s="272">
        <f>IF(ISNUMBER(AR120),AR120-AR121,"")</f>
        <v>7846</v>
      </c>
      <c r="AS123" s="272">
        <f>IF(ISNUMBER(AS120),AS120-AS121,"")</f>
        <v>11219</v>
      </c>
      <c r="AT123" s="272">
        <f>IF(ISNUMBER(AT120),AT120-AT121,"")</f>
        <v>29146</v>
      </c>
      <c r="AU123" s="272">
        <f>IF(ISNUMBER(AU120),AU120-AU121,"")</f>
        <v>9497</v>
      </c>
      <c r="AV123" s="272">
        <f>IF(ISNUMBER(AV120),AV120-AV121,"")</f>
        <v>10394</v>
      </c>
      <c r="AW123" s="272">
        <f>IF(ISNUMBER(AW120),AW120-AW121,"")</f>
        <v>9194</v>
      </c>
      <c r="AX123" s="272">
        <f>IF(ISNUMBER(AX120),AX120-AX121,"")</f>
        <v>10285</v>
      </c>
      <c r="AY123" s="272">
        <f>IF(ISNUMBER(AY120),AY120-AY121,"")</f>
        <v>39370</v>
      </c>
      <c r="AZ123" s="272">
        <f>IF(ISNUMBER(AZ120),AZ120-AZ121,"")</f>
        <v>7465</v>
      </c>
      <c r="BA123" s="272">
        <f>IF(ISNUMBER(BA120),BA120-BA121,"")</f>
        <v>6687</v>
      </c>
      <c r="BB123" s="272">
        <f>IF(ISNUMBER(BB120),BB120-BB121,"")</f>
        <v>4395</v>
      </c>
      <c r="BC123" s="272">
        <f>IF(ISNUMBER(BC120),BC120-BC121,"")</f>
        <v>4652</v>
      </c>
      <c r="BD123" s="272">
        <f>IF(ISNUMBER(BD120),BD120-BD121,"")</f>
        <v>23200</v>
      </c>
      <c r="BE123" s="272">
        <f>IF(ISNUMBER(BE120),BE120-BE121,"")</f>
        <v>5709</v>
      </c>
      <c r="BF123" s="272">
        <f>IF(ISNUMBER(BF120),BF120-BF121,"")</f>
        <v>7788</v>
      </c>
      <c r="BG123" s="272">
        <f>IF(ISNUMBER(BG120),BG120-BG121,"")</f>
        <v>11583</v>
      </c>
      <c r="BH123" s="272">
        <f>IF(ISNUMBER(BH120),BH120-BH121,"")</f>
        <v>14017</v>
      </c>
      <c r="BI123" s="272">
        <f>IF(ISNUMBER(BI120),BI120-BI121,"")</f>
        <v>39098</v>
      </c>
      <c r="BJ123" s="272">
        <f>IF(ISNUMBER(BJ120),BJ120-BJ121,"")</f>
        <v>12369</v>
      </c>
      <c r="BK123" s="272">
        <f>IF(ISNUMBER(BK120),BK120-BK121,"")</f>
        <v>13465</v>
      </c>
      <c r="BL123" s="272">
        <f>IF(ISNUMBER(BL120),BL120-BL121,"")</f>
        <v>15688</v>
      </c>
      <c r="BM123" s="272">
        <f>IF(ISNUMBER(BM120),BM120-BM121,"")</f>
        <v>20838</v>
      </c>
      <c r="BN123" s="272">
        <f>IF(ISNUMBER(BN120),BN120-BN121,"")</f>
        <v>62360</v>
      </c>
      <c r="BO123" s="272">
        <f>IF(ISNUMBER(BO120),BO120-BO121,"")</f>
        <v>16644</v>
      </c>
      <c r="BP123" s="272">
        <f>IF(ISNUMBER(BP120),BP120-BP121,"")</f>
        <v>18337</v>
      </c>
      <c r="BQ123" s="272">
        <f>IF(ISNUMBER(BQ120),BQ120-BQ121,"")</f>
        <v>2709</v>
      </c>
      <c r="BR123" s="272">
        <f>IF(ISNUMBER(BR120),BR120-BR121,"")</f>
        <v>22768</v>
      </c>
      <c r="BS123" s="272">
        <f>IF(ISNUMBER(BS120),BS120-BS121,"")</f>
        <v>60458</v>
      </c>
      <c r="BT123" s="272">
        <f>IF(ISNUMBER(BT120),BT120-BT121,"")</f>
        <v>26773</v>
      </c>
      <c r="BU123" s="272">
        <f>IF(ISNUMBER(BU120),BU120-BU121,"")</f>
        <v>15848</v>
      </c>
      <c r="BV123" s="272">
        <f>IF(ISNUMBER(BV120),BV120-BV121,"")</f>
        <v>16668.1256051872</v>
      </c>
      <c r="BW123" s="272">
        <f>IF(ISNUMBER(BW120),BW120-BW121,"")</f>
        <v>20293.2751209919</v>
      </c>
      <c r="BX123" s="272">
        <f>IF(ISNUMBER(BX120),BX120-BX121,"")</f>
        <v>79582.400726179</v>
      </c>
      <c r="BY123" s="272">
        <f>IF(ISNUMBER(BY120),BY120-BY121,"")</f>
        <v>84127.3640086451</v>
      </c>
      <c r="BZ123" s="272">
        <f>IF(ISNUMBER(BZ120),BZ120-BZ121,"")</f>
        <v>97359.2468047338</v>
      </c>
      <c r="CA123" s="272">
        <f>IF(ISNUMBER(CA120),CA120-CA121,"")</f>
        <v>110612.770596189</v>
      </c>
      <c r="CB123" s="272">
        <f>IF(ISNUMBER(CB120),CB120-CB121,"")</f>
        <v>126479.059510941</v>
      </c>
      <c r="CC123" s="272">
        <f>IF(ISNUMBER(CC120),CC120-CC121,"")</f>
        <v>143129.453220713</v>
      </c>
      <c r="CD123" s="153" t="n"/>
      <c r="CF123" s="20">
        <f>IFERROR((CC123/BX123)^(1/5)-1,"n/m")</f>
        <v>0.124559387300141</v>
      </c>
      <c r="CG123" s="20">
        <f>IFERROR((BS123/AT123)^(1/5)-1,"n/m")</f>
        <v>0.157110842649352</v>
      </c>
      <c r="CH123" s="20">
        <f>IFERROR((BS123/U123)^(1/10)-1,"n/m")</f>
        <v>0.322715023694055</v>
      </c>
      <c r="CI123" s="20">
        <f>IFERROR((BS123/C123)^(1/16)-1,"n/m")</f>
        <v>0.416938965206176</v>
      </c>
    </row>
    <row r="124" ht="15" customHeight="1" s="251">
      <c r="B124" s="57" t="inlineStr">
        <is>
          <t xml:space="preserve">  Check: net income vs reported (should be 0)</t>
        </is>
      </c>
      <c r="C124" s="211">
        <f>IF(ISNUMBER(C125),ROUND(C123-C125,1),"")</f>
        <v>0</v>
      </c>
      <c r="D124" s="211">
        <f>IF(ISNUMBER(D125),ROUND(D123-D125,1),"")</f>
        <v>0</v>
      </c>
      <c r="E124" s="211">
        <f>IF(ISNUMBER(E125),ROUND(E123-E125,1),"")</f>
        <v>0</v>
      </c>
      <c r="F124" s="211">
        <f>IF(ISNUMBER(F125),ROUND(F123-F125,1),"")</f>
        <v>0</v>
      </c>
      <c r="G124" s="211">
        <f>IF(ISNUMBER(G125),ROUND(G123-G125,1),"")</f>
        <v>0</v>
      </c>
      <c r="H124" s="211">
        <f>IF(ISNUMBER(H125),ROUND(H123-H125,1),"")</f>
        <v>0</v>
      </c>
      <c r="I124" s="211">
        <f>IF(ISNUMBER(I125),ROUND(I123-I125,1),"")</f>
        <v>0</v>
      </c>
      <c r="J124" s="211">
        <f>IF(ISNUMBER(J125),ROUND(J123-J125,1),"")</f>
        <v>0</v>
      </c>
      <c r="K124" s="211">
        <f>IF(ISNUMBER(K125),ROUND(K123-K125,1),"")</f>
        <v>0</v>
      </c>
      <c r="L124" s="211">
        <f>IF(ISNUMBER(L125),ROUND(L123-L125,1),"")</f>
        <v>0</v>
      </c>
      <c r="M124" s="211">
        <f>IF(ISNUMBER(M125),ROUND(M123-M125,1),"")</f>
        <v>0</v>
      </c>
      <c r="N124" s="211">
        <f>IF(ISNUMBER(N125),ROUND(N123-N125,1),"")</f>
        <v>0</v>
      </c>
      <c r="O124" s="211">
        <f>IF(ISNUMBER(O125),ROUND(O123-O125,1),"")</f>
        <v>0</v>
      </c>
      <c r="P124" s="211">
        <f>IF(ISNUMBER(P125),ROUND(P123-P125,1),"")</f>
        <v>0</v>
      </c>
      <c r="Q124" s="211">
        <f>IF(ISNUMBER(Q125),ROUND(Q123-Q125,1),"")</f>
        <v>0</v>
      </c>
      <c r="R124" s="211">
        <f>IF(ISNUMBER(R125),ROUND(R123-R125,1),"")</f>
        <v>0</v>
      </c>
      <c r="S124" s="211">
        <f>IF(ISNUMBER(S125),ROUND(S123-S125,1),"")</f>
        <v>0</v>
      </c>
      <c r="T124" s="211">
        <f>IF(ISNUMBER(T125),ROUND(T123-T125,1),"")</f>
        <v>0</v>
      </c>
      <c r="U124" s="211">
        <f>IF(ISNUMBER(U125),ROUND(U123-U125,1),"")</f>
        <v>0</v>
      </c>
      <c r="V124" s="211">
        <f>IF(ISNUMBER(V125),ROUND(V123-V125,1),"")</f>
        <v>0</v>
      </c>
      <c r="W124" s="211">
        <f>IF(ISNUMBER(W125),ROUND(W123-W125,1),"")</f>
        <v>0</v>
      </c>
      <c r="X124" s="211">
        <f>IF(ISNUMBER(X125),ROUND(X123-X125,1),"")</f>
        <v>0</v>
      </c>
      <c r="Y124" s="211">
        <f>IF(ISNUMBER(Y125),ROUND(Y123-Y125,1),"")</f>
        <v>0</v>
      </c>
      <c r="Z124" s="211">
        <f>IF(ISNUMBER(Z125),ROUND(Z123-Z125,1),"")</f>
        <v>0</v>
      </c>
      <c r="AA124" s="211">
        <f>IF(ISNUMBER(AA125),ROUND(AA123-AA125,1),"")</f>
        <v>0</v>
      </c>
      <c r="AB124" s="211">
        <f>IF(ISNUMBER(AB125),ROUND(AB123-AB125,1),"")</f>
        <v>0</v>
      </c>
      <c r="AC124" s="211">
        <f>IF(ISNUMBER(AC125),ROUND(AC123-AC125,1),"")</f>
        <v>0</v>
      </c>
      <c r="AD124" s="211">
        <f>IF(ISNUMBER(AD125),ROUND(AD123-AD125,1),"")</f>
        <v>0</v>
      </c>
      <c r="AE124" s="211">
        <f>IF(ISNUMBER(AE125),ROUND(AE123-AE125,1),"")</f>
        <v>0</v>
      </c>
      <c r="AF124" s="211">
        <f>IF(ISNUMBER(AF125),ROUND(AF123-AF125,1),"")</f>
        <v>0</v>
      </c>
      <c r="AG124" s="211">
        <f>IF(ISNUMBER(AG125),ROUND(AG123-AG125,1),"")</f>
        <v>0</v>
      </c>
      <c r="AH124" s="211">
        <f>IF(ISNUMBER(AH125),ROUND(AH123-AH125,1),"")</f>
        <v>0</v>
      </c>
      <c r="AI124" s="211">
        <f>IF(ISNUMBER(AI125),ROUND(AI123-AI125,1),"")</f>
        <v>0</v>
      </c>
      <c r="AJ124" s="211">
        <f>IF(ISNUMBER(AJ125),ROUND(AJ123-AJ125,1),"")</f>
        <v>0</v>
      </c>
      <c r="AK124" s="211">
        <f>IF(ISNUMBER(AK125),ROUND(AK123-AK125,1),"")</f>
        <v>0</v>
      </c>
      <c r="AL124" s="211">
        <f>IF(ISNUMBER(AL125),ROUND(AL123-AL125,1),"")</f>
        <v>0</v>
      </c>
      <c r="AM124" s="211">
        <f>IF(ISNUMBER(AM125),ROUND(AM123-AM125,1),"")</f>
        <v>0</v>
      </c>
      <c r="AN124" s="211">
        <f>IF(ISNUMBER(AN125),ROUND(AN123-AN125,1),"")</f>
        <v>0</v>
      </c>
      <c r="AO124" s="211">
        <f>IF(ISNUMBER(AO125),ROUND(AO123-AO125,1),"")</f>
        <v>0</v>
      </c>
      <c r="AP124" s="211">
        <f>IF(ISNUMBER(AP125),ROUND(AP123-AP125,1),"")</f>
        <v>0</v>
      </c>
      <c r="AQ124" s="211">
        <f>IF(ISNUMBER(AQ125),ROUND(AQ123-AQ125,1),"")</f>
        <v>0</v>
      </c>
      <c r="AR124" s="211">
        <f>IF(ISNUMBER(AR125),ROUND(AR123-AR125,1),"")</f>
        <v>0</v>
      </c>
      <c r="AS124" s="211">
        <f>IF(ISNUMBER(AS125),ROUND(AS123-AS125,1),"")</f>
        <v>0</v>
      </c>
      <c r="AT124" s="211">
        <f>IF(ISNUMBER(AT125),ROUND(AT123-AT125,1),"")</f>
        <v>0</v>
      </c>
      <c r="AU124" s="211">
        <f>IF(ISNUMBER(AU125),ROUND(AU123-AU125,1),"")</f>
        <v>0</v>
      </c>
      <c r="AV124" s="211">
        <f>IF(ISNUMBER(AV125),ROUND(AV123-AV125,1),"")</f>
        <v>0</v>
      </c>
      <c r="AW124" s="211">
        <f>IF(ISNUMBER(AW125),ROUND(AW123-AW125,1),"")</f>
        <v>0</v>
      </c>
      <c r="AX124" s="211">
        <f>IF(ISNUMBER(AX125),ROUND(AX123-AX125,1),"")</f>
        <v>0</v>
      </c>
      <c r="AY124" s="211">
        <f>IF(ISNUMBER(AY125),ROUND(AY123-AY125,1),"")</f>
        <v>0</v>
      </c>
      <c r="AZ124" s="211">
        <f>IF(ISNUMBER(AZ125),ROUND(AZ123-AZ125,1),"")</f>
        <v>0</v>
      </c>
      <c r="BA124" s="211">
        <f>IF(ISNUMBER(BA125),ROUND(BA123-BA125,1),"")</f>
        <v>0</v>
      </c>
      <c r="BB124" s="211">
        <f>IF(ISNUMBER(BB125),ROUND(BB123-BB125,1),"")</f>
        <v>0</v>
      </c>
      <c r="BC124" s="211">
        <f>IF(ISNUMBER(BC125),ROUND(BC123-BC125,1),"")</f>
        <v>0</v>
      </c>
      <c r="BD124" s="211">
        <f>IF(ISNUMBER(BD125),ROUND(BD123-BD125,1),"")</f>
        <v>0</v>
      </c>
      <c r="BE124" s="211">
        <f>IF(ISNUMBER(BE125),ROUND(BE123-BE125,1),"")</f>
        <v>0</v>
      </c>
      <c r="BF124" s="211">
        <f>IF(ISNUMBER(BF125),ROUND(BF123-BF125,1),"")</f>
        <v>0</v>
      </c>
      <c r="BG124" s="211">
        <f>IF(ISNUMBER(BG125),ROUND(BG123-BG125,1),"")</f>
        <v>0</v>
      </c>
      <c r="BH124" s="211">
        <f>IF(ISNUMBER(BH125),ROUND(BH123-BH125,1),"")</f>
        <v>0</v>
      </c>
      <c r="BI124" s="211">
        <f>IF(ISNUMBER(BI125),ROUND(BI123-BI125,1),"")</f>
        <v>0</v>
      </c>
      <c r="BJ124" s="211">
        <f>IF(ISNUMBER(BJ125),ROUND(BJ123-BJ125,1),"")</f>
        <v>0</v>
      </c>
      <c r="BK124" s="211">
        <f>IF(ISNUMBER(BK125),ROUND(BK123-BK125,1),"")</f>
        <v>0</v>
      </c>
      <c r="BL124" s="211">
        <f>IF(ISNUMBER(BL125),ROUND(BL123-BL125,1),"")</f>
        <v>0</v>
      </c>
      <c r="BM124" s="211">
        <f>IF(ISNUMBER(BM125),ROUND(BM123-BM125,1),"")</f>
        <v>0</v>
      </c>
      <c r="BN124" s="211">
        <f>IF(ISNUMBER(BN125),ROUND(BN123-BN125,1),"")</f>
        <v>0</v>
      </c>
      <c r="BO124" s="211">
        <f>IF(ISNUMBER(BO125),ROUND(BO123-BO125,1),"")</f>
        <v>0</v>
      </c>
      <c r="BP124" s="211">
        <f>IF(ISNUMBER(BP125),ROUND(BP123-BP125,1),"")</f>
        <v>0</v>
      </c>
      <c r="BQ124" s="211">
        <f>IF(ISNUMBER(BQ125),ROUND(BQ123-BQ125,1),"")</f>
        <v>0</v>
      </c>
      <c r="BR124" s="211">
        <f>IF(ISNUMBER(BR125),ROUND(BR123-BR125,1),"")</f>
        <v>0</v>
      </c>
      <c r="BS124" s="211">
        <f>IF(ISNUMBER(BS125),ROUND(BS123-BS125,1),"")</f>
        <v>0</v>
      </c>
      <c r="BT124" s="211">
        <f>IF(ISNUMBER(BT125),ROUND(BT123-BT125,1),"")</f>
        <v>0</v>
      </c>
      <c r="BU124" s="211">
        <f>IF(ISNUMBER(BU125),ROUND(BU123-BU125,1),"")</f>
        <v>0</v>
      </c>
      <c r="BV124" s="153" t="n"/>
      <c r="BW124" s="153" t="n"/>
      <c r="BX124" s="153" t="n"/>
      <c r="BY124" s="153" t="n"/>
      <c r="BZ124" s="153" t="n"/>
      <c r="CA124" s="153" t="n"/>
      <c r="CB124" s="153" t="n"/>
      <c r="CC124" s="153" t="n"/>
      <c r="CD124" s="153" t="n"/>
    </row>
    <row r="125" ht="15" customHeight="1" s="251">
      <c r="B125" s="156" t="inlineStr">
        <is>
          <t xml:space="preserve">  Memo: net income as reported</t>
        </is>
      </c>
      <c r="C125" s="261" t="n">
        <v>229</v>
      </c>
      <c r="D125" s="261" t="n">
        <v>606</v>
      </c>
      <c r="E125" s="261" t="n">
        <v>1000</v>
      </c>
      <c r="F125" s="261" t="n">
        <v>53</v>
      </c>
      <c r="G125" s="261" t="n">
        <v>219</v>
      </c>
      <c r="H125" s="261" t="n">
        <v>333</v>
      </c>
      <c r="I125" s="261" t="n">
        <v>425</v>
      </c>
      <c r="J125" s="261" t="n">
        <v>523</v>
      </c>
      <c r="K125" s="261" t="n">
        <v>1500</v>
      </c>
      <c r="L125" s="261" t="n">
        <v>642</v>
      </c>
      <c r="M125" s="261" t="n">
        <v>791</v>
      </c>
      <c r="N125" s="261" t="n">
        <v>806</v>
      </c>
      <c r="O125" s="261" t="n">
        <v>701</v>
      </c>
      <c r="P125" s="261" t="n">
        <v>2940</v>
      </c>
      <c r="Q125" s="261" t="n">
        <v>512</v>
      </c>
      <c r="R125" s="261" t="n">
        <v>719</v>
      </c>
      <c r="S125" s="261" t="n">
        <v>896</v>
      </c>
      <c r="T125" s="261" t="n">
        <v>1562</v>
      </c>
      <c r="U125" s="261" t="n">
        <v>3688</v>
      </c>
      <c r="V125" s="261" t="n">
        <v>1510</v>
      </c>
      <c r="W125" s="261" t="n">
        <v>2055</v>
      </c>
      <c r="X125" s="261" t="n">
        <v>2379</v>
      </c>
      <c r="Y125" s="261" t="n">
        <v>3568</v>
      </c>
      <c r="Z125" s="261" t="n">
        <v>10217</v>
      </c>
      <c r="AA125" s="261" t="n">
        <v>3064</v>
      </c>
      <c r="AB125" s="261" t="n">
        <v>3894</v>
      </c>
      <c r="AC125" s="261" t="n">
        <v>4707</v>
      </c>
      <c r="AD125" s="261" t="n">
        <v>4268</v>
      </c>
      <c r="AE125" s="261" t="n">
        <v>15934</v>
      </c>
      <c r="AF125" s="261" t="n">
        <v>4988</v>
      </c>
      <c r="AG125" s="261" t="n">
        <v>5106</v>
      </c>
      <c r="AH125" s="261" t="n">
        <v>5137</v>
      </c>
      <c r="AI125" s="261" t="n">
        <v>6882</v>
      </c>
      <c r="AJ125" s="261" t="n">
        <v>22112</v>
      </c>
      <c r="AK125" s="261" t="n">
        <v>2429</v>
      </c>
      <c r="AL125" s="261" t="n">
        <v>2616</v>
      </c>
      <c r="AM125" s="261" t="n">
        <v>6091</v>
      </c>
      <c r="AN125" s="261" t="n">
        <v>7349</v>
      </c>
      <c r="AO125" s="261" t="n">
        <v>18485</v>
      </c>
      <c r="AP125" s="261" t="n">
        <v>4902</v>
      </c>
      <c r="AQ125" s="261" t="n">
        <v>5178</v>
      </c>
      <c r="AR125" s="261" t="n">
        <v>7846</v>
      </c>
      <c r="AS125" s="261" t="n">
        <v>11219</v>
      </c>
      <c r="AT125" s="261" t="n">
        <v>29146</v>
      </c>
      <c r="AU125" s="261" t="n">
        <v>9497</v>
      </c>
      <c r="AV125" s="261" t="n">
        <v>10394</v>
      </c>
      <c r="AW125" s="261" t="n">
        <v>9194</v>
      </c>
      <c r="AX125" s="261" t="n">
        <v>10285</v>
      </c>
      <c r="AY125" s="261" t="n">
        <v>39370</v>
      </c>
      <c r="AZ125" s="261" t="n">
        <v>7465</v>
      </c>
      <c r="BA125" s="261" t="n">
        <v>6687</v>
      </c>
      <c r="BB125" s="261" t="n">
        <v>4395</v>
      </c>
      <c r="BC125" s="261" t="n">
        <v>4652</v>
      </c>
      <c r="BD125" s="261" t="n">
        <v>23200</v>
      </c>
      <c r="BE125" s="261" t="n">
        <v>5709</v>
      </c>
      <c r="BF125" s="261" t="n">
        <v>7788</v>
      </c>
      <c r="BG125" s="261" t="n">
        <v>11583</v>
      </c>
      <c r="BH125" s="261" t="n">
        <v>14017</v>
      </c>
      <c r="BI125" s="261" t="n">
        <v>39098</v>
      </c>
      <c r="BJ125" s="261" t="n">
        <v>12369</v>
      </c>
      <c r="BK125" s="261" t="n">
        <v>13465</v>
      </c>
      <c r="BL125" s="261" t="n">
        <v>15688</v>
      </c>
      <c r="BM125" s="261" t="n">
        <v>20838</v>
      </c>
      <c r="BN125" s="261" t="n">
        <v>62360</v>
      </c>
      <c r="BO125" s="261" t="n">
        <v>16644</v>
      </c>
      <c r="BP125" s="261" t="n">
        <v>18337</v>
      </c>
      <c r="BQ125" s="261" t="n">
        <v>2709</v>
      </c>
      <c r="BR125" s="261" t="n">
        <v>22768</v>
      </c>
      <c r="BS125" s="261" t="n">
        <v>60458</v>
      </c>
      <c r="BT125" s="261" t="n">
        <v>26773</v>
      </c>
      <c r="BU125" s="261" t="n">
        <v>15848</v>
      </c>
      <c r="BV125" s="153" t="n"/>
      <c r="BW125" s="153" t="n"/>
      <c r="BX125" s="153" t="n"/>
      <c r="BY125" s="153" t="n"/>
      <c r="BZ125" s="153" t="n"/>
      <c r="CA125" s="153" t="n"/>
      <c r="CB125" s="153" t="n"/>
      <c r="CC125" s="153" t="n"/>
      <c r="CD125" s="153" t="n"/>
    </row>
    <row r="126" ht="15" customHeight="1" s="251">
      <c r="B126" s="25" t="inlineStr">
        <is>
          <t xml:space="preserve">  Less: net income attributable to participating securities (pre-IPO preferred; unvested awards)</t>
        </is>
      </c>
      <c r="C126" s="261" t="n">
        <v>107</v>
      </c>
      <c r="D126" s="261" t="n">
        <v>234</v>
      </c>
      <c r="E126" s="261" t="n">
        <v>332</v>
      </c>
      <c r="F126" s="261" t="n">
        <v>21</v>
      </c>
      <c r="G126" s="261" t="n">
        <v>2</v>
      </c>
      <c r="H126" s="261" t="n">
        <v>2</v>
      </c>
      <c r="I126" s="261" t="n">
        <v>3</v>
      </c>
      <c r="J126" s="261" t="n">
        <v>3</v>
      </c>
      <c r="K126" s="261" t="n">
        <v>9</v>
      </c>
      <c r="L126" s="261" t="n">
        <v>3</v>
      </c>
      <c r="M126" s="261" t="n">
        <v>3</v>
      </c>
      <c r="N126" s="261" t="n">
        <v>4</v>
      </c>
      <c r="O126" s="261" t="n">
        <v>5</v>
      </c>
      <c r="P126" s="261" t="n">
        <v>15</v>
      </c>
      <c r="Q126" s="261" t="n">
        <v>3</v>
      </c>
      <c r="R126" s="261" t="n">
        <v>4</v>
      </c>
      <c r="S126" s="261" t="n">
        <v>5</v>
      </c>
      <c r="T126" s="261" t="n">
        <v>7</v>
      </c>
      <c r="U126" s="261" t="n">
        <v>19</v>
      </c>
      <c r="V126" s="261" t="n">
        <v>5</v>
      </c>
      <c r="W126" s="261" t="n">
        <v>7</v>
      </c>
      <c r="X126" s="261" t="n">
        <v>6</v>
      </c>
      <c r="Y126" s="261" t="n">
        <v>7</v>
      </c>
      <c r="Z126" s="261" t="n">
        <v>29</v>
      </c>
      <c r="AA126" s="261" t="n">
        <v>5</v>
      </c>
      <c r="AB126" s="261" t="n">
        <v>4</v>
      </c>
      <c r="AC126" s="261" t="n">
        <v>3</v>
      </c>
      <c r="AD126" s="261" t="n">
        <v>2</v>
      </c>
      <c r="AE126" s="261" t="n">
        <v>14</v>
      </c>
      <c r="AF126" s="261" t="n">
        <v>1</v>
      </c>
      <c r="AG126" s="261" t="n">
        <v>0</v>
      </c>
      <c r="AH126" s="261" t="n">
        <v>0</v>
      </c>
      <c r="AI126" s="261" t="n">
        <v>0</v>
      </c>
      <c r="AJ126" s="261" t="n">
        <v>1</v>
      </c>
      <c r="AK126" s="261" t="n">
        <v>0</v>
      </c>
      <c r="AL126" s="261" t="n">
        <v>0</v>
      </c>
      <c r="AM126" s="261" t="n">
        <v>0</v>
      </c>
      <c r="AN126" s="261" t="n">
        <v>0</v>
      </c>
      <c r="AO126" s="261" t="n">
        <v>0</v>
      </c>
      <c r="AP126" s="261" t="n">
        <v>0</v>
      </c>
      <c r="AQ126" s="261" t="n">
        <v>0</v>
      </c>
      <c r="AR126" s="261" t="n">
        <v>0</v>
      </c>
      <c r="AS126" s="261" t="n">
        <v>0</v>
      </c>
      <c r="AT126" s="261" t="n">
        <v>0</v>
      </c>
      <c r="AU126" s="261" t="n">
        <v>0</v>
      </c>
      <c r="AV126" s="261" t="n">
        <v>0</v>
      </c>
      <c r="AW126" s="261" t="n">
        <v>0</v>
      </c>
      <c r="AX126" s="261" t="n">
        <v>0</v>
      </c>
      <c r="AY126" s="261" t="n">
        <v>0</v>
      </c>
      <c r="AZ126" s="261" t="n">
        <v>0</v>
      </c>
      <c r="BA126" s="261" t="n">
        <v>0</v>
      </c>
      <c r="BB126" s="261" t="n">
        <v>0</v>
      </c>
      <c r="BC126" s="261" t="n">
        <v>0</v>
      </c>
      <c r="BD126" s="261" t="n">
        <v>0</v>
      </c>
      <c r="BE126" s="261" t="n">
        <v>0</v>
      </c>
      <c r="BF126" s="261" t="n">
        <v>0</v>
      </c>
      <c r="BG126" s="261" t="n">
        <v>0</v>
      </c>
      <c r="BH126" s="261" t="n">
        <v>0</v>
      </c>
      <c r="BI126" s="261" t="n">
        <v>0</v>
      </c>
      <c r="BJ126" s="261" t="n">
        <v>0</v>
      </c>
      <c r="BK126" s="261" t="n">
        <v>0</v>
      </c>
      <c r="BL126" s="261" t="n">
        <v>0</v>
      </c>
      <c r="BM126" s="261" t="n">
        <v>0</v>
      </c>
      <c r="BN126" s="261" t="n">
        <v>0</v>
      </c>
      <c r="BO126" s="261" t="n">
        <v>0</v>
      </c>
      <c r="BP126" s="261" t="n">
        <v>0</v>
      </c>
      <c r="BQ126" s="261" t="n">
        <v>0</v>
      </c>
      <c r="BR126" s="261" t="n">
        <v>0</v>
      </c>
      <c r="BS126" s="261" t="n">
        <v>0</v>
      </c>
      <c r="BT126" s="261" t="n">
        <v>0</v>
      </c>
      <c r="BU126" s="261" t="n">
        <v>0</v>
      </c>
      <c r="BV126" s="263">
        <f>0</f>
        <v>0</v>
      </c>
      <c r="BW126" s="263">
        <f>0</f>
        <v>0</v>
      </c>
      <c r="BX126" s="263">
        <f>SUM(BT126:BW126)</f>
        <v>0</v>
      </c>
      <c r="BY126" s="263">
        <f>0</f>
        <v>0</v>
      </c>
      <c r="BZ126" s="263">
        <f>0</f>
        <v>0</v>
      </c>
      <c r="CA126" s="263">
        <f>0</f>
        <v>0</v>
      </c>
      <c r="CB126" s="263">
        <f>0</f>
        <v>0</v>
      </c>
      <c r="CC126" s="263">
        <f>0</f>
        <v>0</v>
      </c>
      <c r="CD126" s="19" t="n"/>
    </row>
    <row r="127" ht="15" customHeight="1" s="251">
      <c r="B127" s="25" t="inlineStr">
        <is>
          <t xml:space="preserve">  Reallocation to Class A for diluted EPS (pre-IPO two-class method, FY2009–11)</t>
        </is>
      </c>
      <c r="C127" s="261" t="n">
        <v>12</v>
      </c>
      <c r="D127" s="261" t="n">
        <v>30</v>
      </c>
      <c r="E127" s="261" t="n">
        <v>31</v>
      </c>
      <c r="F127" s="261" t="n">
        <v>0</v>
      </c>
      <c r="G127" s="261" t="n">
        <v>0</v>
      </c>
      <c r="H127" s="261" t="n">
        <v>0</v>
      </c>
      <c r="I127" s="261" t="n">
        <v>0</v>
      </c>
      <c r="J127" s="261" t="n">
        <v>0</v>
      </c>
      <c r="K127" s="261" t="n">
        <v>0</v>
      </c>
      <c r="L127" s="261" t="n">
        <v>0</v>
      </c>
      <c r="M127" s="261" t="n">
        <v>0</v>
      </c>
      <c r="N127" s="261" t="n">
        <v>0</v>
      </c>
      <c r="O127" s="261" t="n">
        <v>0</v>
      </c>
      <c r="P127" s="261" t="n">
        <v>0</v>
      </c>
      <c r="Q127" s="261" t="n">
        <v>0</v>
      </c>
      <c r="R127" s="261" t="n">
        <v>0</v>
      </c>
      <c r="S127" s="261" t="n">
        <v>0</v>
      </c>
      <c r="T127" s="261" t="n">
        <v>0</v>
      </c>
      <c r="U127" s="261" t="n">
        <v>0</v>
      </c>
      <c r="V127" s="261" t="n">
        <v>0</v>
      </c>
      <c r="W127" s="261" t="n">
        <v>0</v>
      </c>
      <c r="X127" s="261" t="n">
        <v>0</v>
      </c>
      <c r="Y127" s="261" t="n">
        <v>0</v>
      </c>
      <c r="Z127" s="261" t="n">
        <v>0</v>
      </c>
      <c r="AA127" s="261" t="n">
        <v>0</v>
      </c>
      <c r="AB127" s="261" t="n">
        <v>0</v>
      </c>
      <c r="AC127" s="261" t="n">
        <v>0</v>
      </c>
      <c r="AD127" s="261" t="n">
        <v>0</v>
      </c>
      <c r="AE127" s="261" t="n">
        <v>0</v>
      </c>
      <c r="AF127" s="261" t="n">
        <v>0</v>
      </c>
      <c r="AG127" s="261" t="n">
        <v>0</v>
      </c>
      <c r="AH127" s="261" t="n">
        <v>0</v>
      </c>
      <c r="AI127" s="261" t="n">
        <v>0</v>
      </c>
      <c r="AJ127" s="261" t="n">
        <v>0</v>
      </c>
      <c r="AK127" s="261" t="n">
        <v>0</v>
      </c>
      <c r="AL127" s="261" t="n">
        <v>0</v>
      </c>
      <c r="AM127" s="261" t="n">
        <v>0</v>
      </c>
      <c r="AN127" s="261" t="n">
        <v>0</v>
      </c>
      <c r="AO127" s="261" t="n">
        <v>0</v>
      </c>
      <c r="AP127" s="261" t="n">
        <v>0</v>
      </c>
      <c r="AQ127" s="261" t="n">
        <v>0</v>
      </c>
      <c r="AR127" s="261" t="n">
        <v>0</v>
      </c>
      <c r="AS127" s="261" t="n">
        <v>0</v>
      </c>
      <c r="AT127" s="261" t="n">
        <v>0</v>
      </c>
      <c r="AU127" s="261" t="n">
        <v>0</v>
      </c>
      <c r="AV127" s="261" t="n">
        <v>0</v>
      </c>
      <c r="AW127" s="261" t="n">
        <v>0</v>
      </c>
      <c r="AX127" s="261" t="n">
        <v>0</v>
      </c>
      <c r="AY127" s="261" t="n">
        <v>0</v>
      </c>
      <c r="AZ127" s="261" t="n">
        <v>0</v>
      </c>
      <c r="BA127" s="261" t="n">
        <v>0</v>
      </c>
      <c r="BB127" s="261" t="n">
        <v>0</v>
      </c>
      <c r="BC127" s="261" t="n">
        <v>0</v>
      </c>
      <c r="BD127" s="261" t="n">
        <v>0</v>
      </c>
      <c r="BE127" s="261" t="n">
        <v>0</v>
      </c>
      <c r="BF127" s="261" t="n">
        <v>0</v>
      </c>
      <c r="BG127" s="261" t="n">
        <v>0</v>
      </c>
      <c r="BH127" s="261" t="n">
        <v>0</v>
      </c>
      <c r="BI127" s="261" t="n">
        <v>0</v>
      </c>
      <c r="BJ127" s="261" t="n">
        <v>0</v>
      </c>
      <c r="BK127" s="261" t="n">
        <v>0</v>
      </c>
      <c r="BL127" s="261" t="n">
        <v>0</v>
      </c>
      <c r="BM127" s="261" t="n">
        <v>0</v>
      </c>
      <c r="BN127" s="261" t="n">
        <v>0</v>
      </c>
      <c r="BO127" s="261" t="n">
        <v>0</v>
      </c>
      <c r="BP127" s="261" t="n">
        <v>0</v>
      </c>
      <c r="BQ127" s="261" t="n">
        <v>0</v>
      </c>
      <c r="BR127" s="261" t="n">
        <v>0</v>
      </c>
      <c r="BS127" s="261" t="n">
        <v>0</v>
      </c>
      <c r="BT127" s="261" t="n">
        <v>0</v>
      </c>
      <c r="BU127" s="261" t="n">
        <v>0</v>
      </c>
      <c r="BV127" s="263">
        <f>0</f>
        <v>0</v>
      </c>
      <c r="BW127" s="263">
        <f>0</f>
        <v>0</v>
      </c>
      <c r="BX127" s="263">
        <f>SUM(BT127:BW127)</f>
        <v>0</v>
      </c>
      <c r="BY127" s="263">
        <f>0</f>
        <v>0</v>
      </c>
      <c r="BZ127" s="263">
        <f>0</f>
        <v>0</v>
      </c>
      <c r="CA127" s="263">
        <f>0</f>
        <v>0</v>
      </c>
      <c r="CB127" s="263">
        <f>0</f>
        <v>0</v>
      </c>
      <c r="CC127" s="263">
        <f>0</f>
        <v>0</v>
      </c>
      <c r="CD127" s="19" t="n"/>
    </row>
    <row r="128" ht="15" customHeight="1" s="251">
      <c r="B128" s="16" t="inlineStr">
        <is>
          <t>Net income attributable to Class A and Class B common stockholders (diluted EPS numerator)</t>
        </is>
      </c>
      <c r="C128" s="266">
        <f>IF(ISNUMBER(C123),C123-N(C126)+N(C127),"")</f>
        <v>134</v>
      </c>
      <c r="D128" s="266">
        <f>IF(ISNUMBER(D123),D123-N(D126)+N(D127),"")</f>
        <v>402</v>
      </c>
      <c r="E128" s="266">
        <f>IF(ISNUMBER(E123),E123-N(E126)+N(E127),"")</f>
        <v>699</v>
      </c>
      <c r="F128" s="266">
        <f>IF(ISNUMBER(F123),F123-N(F126)+N(F127),"")</f>
        <v>32</v>
      </c>
      <c r="G128" s="266">
        <f>IF(ISNUMBER(G123),G123-N(G126)+N(G127),"")</f>
        <v>217</v>
      </c>
      <c r="H128" s="266">
        <f>IF(ISNUMBER(H123),H123-N(H126)+N(H127),"")</f>
        <v>331</v>
      </c>
      <c r="I128" s="266">
        <f>IF(ISNUMBER(I123),I123-N(I126)+N(I127),"")</f>
        <v>422</v>
      </c>
      <c r="J128" s="266">
        <f>IF(ISNUMBER(J123),J123-N(J126)+N(J127),"")</f>
        <v>520</v>
      </c>
      <c r="K128" s="266">
        <f>IF(ISNUMBER(K123),K123-N(K126)+N(K127),"")</f>
        <v>1491</v>
      </c>
      <c r="L128" s="266">
        <f>IF(ISNUMBER(L123),L123-N(L126)+N(L127),"")</f>
        <v>639</v>
      </c>
      <c r="M128" s="266">
        <f>IF(ISNUMBER(M123),M123-N(M126)+N(M127),"")</f>
        <v>788</v>
      </c>
      <c r="N128" s="266">
        <f>IF(ISNUMBER(N123),N123-N(N126)+N(N127),"")</f>
        <v>802</v>
      </c>
      <c r="O128" s="266">
        <f>IF(ISNUMBER(O123),O123-N(O126)+N(O127),"")</f>
        <v>696</v>
      </c>
      <c r="P128" s="266">
        <f>IF(ISNUMBER(P123),P123-N(P126)+N(P127),"")</f>
        <v>2925</v>
      </c>
      <c r="Q128" s="266">
        <f>IF(ISNUMBER(Q123),Q123-N(Q126)+N(Q127),"")</f>
        <v>509</v>
      </c>
      <c r="R128" s="266">
        <f>IF(ISNUMBER(R123),R123-N(R126)+N(R127),"")</f>
        <v>715</v>
      </c>
      <c r="S128" s="266">
        <f>IF(ISNUMBER(S123),S123-N(S126)+N(S127),"")</f>
        <v>891</v>
      </c>
      <c r="T128" s="266">
        <f>IF(ISNUMBER(T123),T123-N(T126)+N(T127),"")</f>
        <v>1555</v>
      </c>
      <c r="U128" s="266">
        <f>IF(ISNUMBER(U123),U123-N(U126)+N(U127),"")</f>
        <v>3669</v>
      </c>
      <c r="V128" s="266">
        <f>IF(ISNUMBER(V123),V123-N(V126)+N(V127),"")</f>
        <v>1505</v>
      </c>
      <c r="W128" s="266">
        <f>IF(ISNUMBER(W123),W123-N(W126)+N(W127),"")</f>
        <v>2048</v>
      </c>
      <c r="X128" s="266">
        <f>IF(ISNUMBER(X123),X123-N(X126)+N(X127),"")</f>
        <v>2373</v>
      </c>
      <c r="Y128" s="266">
        <f>IF(ISNUMBER(Y123),Y123-N(Y126)+N(Y127),"")</f>
        <v>3561</v>
      </c>
      <c r="Z128" s="266">
        <f>IF(ISNUMBER(Z123),Z123-N(Z126)+N(Z127),"")</f>
        <v>10188</v>
      </c>
      <c r="AA128" s="266">
        <f>IF(ISNUMBER(AA123),AA123-N(AA126)+N(AA127),"")</f>
        <v>3059</v>
      </c>
      <c r="AB128" s="266">
        <f>IF(ISNUMBER(AB123),AB123-N(AB126)+N(AB127),"")</f>
        <v>3890</v>
      </c>
      <c r="AC128" s="266">
        <f>IF(ISNUMBER(AC123),AC123-N(AC126)+N(AC127),"")</f>
        <v>4704</v>
      </c>
      <c r="AD128" s="266">
        <f>IF(ISNUMBER(AD123),AD123-N(AD126)+N(AD127),"")</f>
        <v>4266</v>
      </c>
      <c r="AE128" s="266">
        <f>IF(ISNUMBER(AE123),AE123-N(AE126)+N(AE127),"")</f>
        <v>15920</v>
      </c>
      <c r="AF128" s="266">
        <f>IF(ISNUMBER(AF123),AF123-N(AF126)+N(AF127),"")</f>
        <v>4987</v>
      </c>
      <c r="AG128" s="266">
        <f>IF(ISNUMBER(AG123),AG123-N(AG126)+N(AG127),"")</f>
        <v>5106</v>
      </c>
      <c r="AH128" s="266">
        <f>IF(ISNUMBER(AH123),AH123-N(AH126)+N(AH127),"")</f>
        <v>5137</v>
      </c>
      <c r="AI128" s="266">
        <f>IF(ISNUMBER(AI123),AI123-N(AI126)+N(AI127),"")</f>
        <v>6882</v>
      </c>
      <c r="AJ128" s="266">
        <f>IF(ISNUMBER(AJ123),AJ123-N(AJ126)+N(AJ127),"")</f>
        <v>22111</v>
      </c>
      <c r="AK128" s="266">
        <f>IF(ISNUMBER(AK123),AK123-N(AK126)+N(AK127),"")</f>
        <v>2429</v>
      </c>
      <c r="AL128" s="266">
        <f>IF(ISNUMBER(AL123),AL123-N(AL126)+N(AL127),"")</f>
        <v>2616</v>
      </c>
      <c r="AM128" s="266">
        <f>IF(ISNUMBER(AM123),AM123-N(AM126)+N(AM127),"")</f>
        <v>6091</v>
      </c>
      <c r="AN128" s="266">
        <f>IF(ISNUMBER(AN123),AN123-N(AN126)+N(AN127),"")</f>
        <v>7349</v>
      </c>
      <c r="AO128" s="266">
        <f>IF(ISNUMBER(AO123),AO123-N(AO126)+N(AO127),"")</f>
        <v>18485</v>
      </c>
      <c r="AP128" s="266">
        <f>IF(ISNUMBER(AP123),AP123-N(AP126)+N(AP127),"")</f>
        <v>4902</v>
      </c>
      <c r="AQ128" s="266">
        <f>IF(ISNUMBER(AQ123),AQ123-N(AQ126)+N(AQ127),"")</f>
        <v>5178</v>
      </c>
      <c r="AR128" s="266">
        <f>IF(ISNUMBER(AR123),AR123-N(AR126)+N(AR127),"")</f>
        <v>7846</v>
      </c>
      <c r="AS128" s="266">
        <f>IF(ISNUMBER(AS123),AS123-N(AS126)+N(AS127),"")</f>
        <v>11219</v>
      </c>
      <c r="AT128" s="266">
        <f>IF(ISNUMBER(AT123),AT123-N(AT126)+N(AT127),"")</f>
        <v>29146</v>
      </c>
      <c r="AU128" s="266">
        <f>IF(ISNUMBER(AU123),AU123-N(AU126)+N(AU127),"")</f>
        <v>9497</v>
      </c>
      <c r="AV128" s="266">
        <f>IF(ISNUMBER(AV123),AV123-N(AV126)+N(AV127),"")</f>
        <v>10394</v>
      </c>
      <c r="AW128" s="266">
        <f>IF(ISNUMBER(AW123),AW123-N(AW126)+N(AW127),"")</f>
        <v>9194</v>
      </c>
      <c r="AX128" s="266">
        <f>IF(ISNUMBER(AX123),AX123-N(AX126)+N(AX127),"")</f>
        <v>10285</v>
      </c>
      <c r="AY128" s="266">
        <f>IF(ISNUMBER(AY123),AY123-N(AY126)+N(AY127),"")</f>
        <v>39370</v>
      </c>
      <c r="AZ128" s="266">
        <f>IF(ISNUMBER(AZ123),AZ123-N(AZ126)+N(AZ127),"")</f>
        <v>7465</v>
      </c>
      <c r="BA128" s="266">
        <f>IF(ISNUMBER(BA123),BA123-N(BA126)+N(BA127),"")</f>
        <v>6687</v>
      </c>
      <c r="BB128" s="266">
        <f>IF(ISNUMBER(BB123),BB123-N(BB126)+N(BB127),"")</f>
        <v>4395</v>
      </c>
      <c r="BC128" s="266">
        <f>IF(ISNUMBER(BC123),BC123-N(BC126)+N(BC127),"")</f>
        <v>4652</v>
      </c>
      <c r="BD128" s="266">
        <f>IF(ISNUMBER(BD123),BD123-N(BD126)+N(BD127),"")</f>
        <v>23200</v>
      </c>
      <c r="BE128" s="266">
        <f>IF(ISNUMBER(BE123),BE123-N(BE126)+N(BE127),"")</f>
        <v>5709</v>
      </c>
      <c r="BF128" s="266">
        <f>IF(ISNUMBER(BF123),BF123-N(BF126)+N(BF127),"")</f>
        <v>7788</v>
      </c>
      <c r="BG128" s="266">
        <f>IF(ISNUMBER(BG123),BG123-N(BG126)+N(BG127),"")</f>
        <v>11583</v>
      </c>
      <c r="BH128" s="266">
        <f>IF(ISNUMBER(BH123),BH123-N(BH126)+N(BH127),"")</f>
        <v>14017</v>
      </c>
      <c r="BI128" s="266">
        <f>IF(ISNUMBER(BI123),BI123-N(BI126)+N(BI127),"")</f>
        <v>39098</v>
      </c>
      <c r="BJ128" s="266">
        <f>IF(ISNUMBER(BJ123),BJ123-N(BJ126)+N(BJ127),"")</f>
        <v>12369</v>
      </c>
      <c r="BK128" s="266">
        <f>IF(ISNUMBER(BK123),BK123-N(BK126)+N(BK127),"")</f>
        <v>13465</v>
      </c>
      <c r="BL128" s="266">
        <f>IF(ISNUMBER(BL123),BL123-N(BL126)+N(BL127),"")</f>
        <v>15688</v>
      </c>
      <c r="BM128" s="266">
        <f>IF(ISNUMBER(BM123),BM123-N(BM126)+N(BM127),"")</f>
        <v>20838</v>
      </c>
      <c r="BN128" s="266">
        <f>IF(ISNUMBER(BN123),BN123-N(BN126)+N(BN127),"")</f>
        <v>62360</v>
      </c>
      <c r="BO128" s="266">
        <f>IF(ISNUMBER(BO123),BO123-N(BO126)+N(BO127),"")</f>
        <v>16644</v>
      </c>
      <c r="BP128" s="266">
        <f>IF(ISNUMBER(BP123),BP123-N(BP126)+N(BP127),"")</f>
        <v>18337</v>
      </c>
      <c r="BQ128" s="266">
        <f>IF(ISNUMBER(BQ123),BQ123-N(BQ126)+N(BQ127),"")</f>
        <v>2709</v>
      </c>
      <c r="BR128" s="266">
        <f>IF(ISNUMBER(BR123),BR123-N(BR126)+N(BR127),"")</f>
        <v>22768</v>
      </c>
      <c r="BS128" s="266">
        <f>IF(ISNUMBER(BS123),BS123-N(BS126)+N(BS127),"")</f>
        <v>60458</v>
      </c>
      <c r="BT128" s="266">
        <f>IF(ISNUMBER(BT123),BT123-N(BT126)+N(BT127),"")</f>
        <v>26773</v>
      </c>
      <c r="BU128" s="266">
        <f>IF(ISNUMBER(BU123),BU123-N(BU126)+N(BU127),"")</f>
        <v>15848</v>
      </c>
      <c r="BV128" s="254">
        <f>IF(ISNUMBER(BV123),BV123-N(BV126)+N(BV127),"")</f>
        <v>16668.1256051872</v>
      </c>
      <c r="BW128" s="254">
        <f>IF(ISNUMBER(BW123),BW123-N(BW126)+N(BW127),"")</f>
        <v>20293.2751209919</v>
      </c>
      <c r="BX128" s="254">
        <f>IF(ISNUMBER(BX123),BX123-N(BX126)+N(BX127),"")</f>
        <v>79582.400726179</v>
      </c>
      <c r="BY128" s="254">
        <f>IF(ISNUMBER(BY123),BY123-N(BY126)+N(BY127),"")</f>
        <v>84127.3640086451</v>
      </c>
      <c r="BZ128" s="254">
        <f>IF(ISNUMBER(BZ123),BZ123-N(BZ126)+N(BZ127),"")</f>
        <v>97359.2468047338</v>
      </c>
      <c r="CA128" s="254">
        <f>IF(ISNUMBER(CA123),CA123-N(CA126)+N(CA127),"")</f>
        <v>110612.770596189</v>
      </c>
      <c r="CB128" s="254">
        <f>IF(ISNUMBER(CB123),CB123-N(CB126)+N(CB127),"")</f>
        <v>126479.059510941</v>
      </c>
      <c r="CC128" s="254">
        <f>IF(ISNUMBER(CC123),CC123-N(CC126)+N(CC127),"")</f>
        <v>143129.453220713</v>
      </c>
      <c r="CD128" s="153" t="n"/>
    </row>
    <row r="129" ht="15" customHeight="1" s="251">
      <c r="B129" s="156" t="inlineStr">
        <is>
          <t xml:space="preserve">  Memo: depreciation &amp; amortization</t>
        </is>
      </c>
      <c r="C129" s="211">
        <f>C89</f>
        <v>78</v>
      </c>
      <c r="D129" s="211">
        <f>D89</f>
        <v>139</v>
      </c>
      <c r="E129" s="211">
        <f>E89</f>
        <v>323</v>
      </c>
      <c r="F129" s="211">
        <f>F89</f>
        <v>649</v>
      </c>
      <c r="G129" s="211">
        <f>G89</f>
        <v>241</v>
      </c>
      <c r="H129" s="211">
        <f>H89</f>
        <v>230</v>
      </c>
      <c r="I129" s="211">
        <f>I89</f>
        <v>274</v>
      </c>
      <c r="J129" s="211">
        <f>J89</f>
        <v>274</v>
      </c>
      <c r="K129" s="211">
        <f>K89</f>
        <v>1011</v>
      </c>
      <c r="L129" s="211">
        <f>L89</f>
        <v>264</v>
      </c>
      <c r="M129" s="211">
        <f>M89</f>
        <v>257</v>
      </c>
      <c r="N129" s="211">
        <f>N89</f>
        <v>289</v>
      </c>
      <c r="O129" s="211">
        <f>O89</f>
        <v>433</v>
      </c>
      <c r="P129" s="211">
        <f>P89</f>
        <v>1243</v>
      </c>
      <c r="Q129" s="211">
        <f>Q89</f>
        <v>457</v>
      </c>
      <c r="R129" s="211">
        <f>R89</f>
        <v>459</v>
      </c>
      <c r="S129" s="211">
        <f>S89</f>
        <v>486</v>
      </c>
      <c r="T129" s="211">
        <f>T89</f>
        <v>543</v>
      </c>
      <c r="U129" s="211">
        <f>U89</f>
        <v>1945</v>
      </c>
      <c r="V129" s="211">
        <f>V89</f>
        <v>552</v>
      </c>
      <c r="W129" s="211">
        <f>W89</f>
        <v>585</v>
      </c>
      <c r="X129" s="211">
        <f>X89</f>
        <v>591</v>
      </c>
      <c r="Y129" s="211">
        <f>Y89</f>
        <v>614</v>
      </c>
      <c r="Z129" s="211">
        <f>Z89</f>
        <v>2342</v>
      </c>
      <c r="AA129" s="211">
        <f>AA89</f>
        <v>671</v>
      </c>
      <c r="AB129" s="211">
        <f>AB89</f>
        <v>728</v>
      </c>
      <c r="AC129" s="211">
        <f>AC89</f>
        <v>773</v>
      </c>
      <c r="AD129" s="211">
        <f>AD89</f>
        <v>853</v>
      </c>
      <c r="AE129" s="211">
        <f>AE89</f>
        <v>3025</v>
      </c>
      <c r="AF129" s="211">
        <f>AF89</f>
        <v>949</v>
      </c>
      <c r="AG129" s="211">
        <f>AG89</f>
        <v>1034</v>
      </c>
      <c r="AH129" s="211">
        <f>AH89</f>
        <v>1107</v>
      </c>
      <c r="AI129" s="211">
        <f>AI89</f>
        <v>1225</v>
      </c>
      <c r="AJ129" s="211">
        <f>AJ89</f>
        <v>4315</v>
      </c>
      <c r="AK129" s="211">
        <f>AK89</f>
        <v>1355</v>
      </c>
      <c r="AL129" s="211">
        <f>AL89</f>
        <v>1502</v>
      </c>
      <c r="AM129" s="211">
        <f>AM89</f>
        <v>1416</v>
      </c>
      <c r="AN129" s="211">
        <f>AN89</f>
        <v>1468</v>
      </c>
      <c r="AO129" s="211">
        <f>AO89</f>
        <v>5741</v>
      </c>
      <c r="AP129" s="211">
        <f>AP89</f>
        <v>1597</v>
      </c>
      <c r="AQ129" s="211">
        <f>AQ89</f>
        <v>1704</v>
      </c>
      <c r="AR129" s="211">
        <f>AR89</f>
        <v>1698</v>
      </c>
      <c r="AS129" s="211">
        <f>AS89</f>
        <v>1863</v>
      </c>
      <c r="AT129" s="211">
        <f>AT89</f>
        <v>6862</v>
      </c>
      <c r="AU129" s="211">
        <f>AU89</f>
        <v>1972</v>
      </c>
      <c r="AV129" s="211">
        <f>AV89</f>
        <v>1985</v>
      </c>
      <c r="AW129" s="211">
        <f>AW89</f>
        <v>1995</v>
      </c>
      <c r="AX129" s="211">
        <f>AX89</f>
        <v>2014</v>
      </c>
      <c r="AY129" s="211">
        <f>AY89</f>
        <v>7967</v>
      </c>
      <c r="AZ129" s="211">
        <f>AZ89</f>
        <v>2156</v>
      </c>
      <c r="BA129" s="211">
        <f>BA89</f>
        <v>1979</v>
      </c>
      <c r="BB129" s="211">
        <f>BB89</f>
        <v>2175</v>
      </c>
      <c r="BC129" s="211">
        <f>BC89</f>
        <v>2376</v>
      </c>
      <c r="BD129" s="211">
        <f>BD89</f>
        <v>8686</v>
      </c>
      <c r="BE129" s="211">
        <f>BE89</f>
        <v>2524</v>
      </c>
      <c r="BF129" s="211">
        <f>BF89</f>
        <v>2623</v>
      </c>
      <c r="BG129" s="211">
        <f>BG89</f>
        <v>2858</v>
      </c>
      <c r="BH129" s="211">
        <f>BH89</f>
        <v>3172</v>
      </c>
      <c r="BI129" s="211">
        <f>BI89</f>
        <v>11178</v>
      </c>
      <c r="BJ129" s="211">
        <f>BJ89</f>
        <v>3374</v>
      </c>
      <c r="BK129" s="211">
        <f>BK89</f>
        <v>3637</v>
      </c>
      <c r="BL129" s="211">
        <f>BL89</f>
        <v>4027</v>
      </c>
      <c r="BM129" s="211">
        <f>BM89</f>
        <v>4460</v>
      </c>
      <c r="BN129" s="211">
        <f>BN89</f>
        <v>15498</v>
      </c>
      <c r="BO129" s="211">
        <f>BO89</f>
        <v>3900</v>
      </c>
      <c r="BP129" s="211">
        <f>BP89</f>
        <v>4342</v>
      </c>
      <c r="BQ129" s="211">
        <f>BQ89</f>
        <v>4963</v>
      </c>
      <c r="BR129" s="211">
        <f>BR89</f>
        <v>5411</v>
      </c>
      <c r="BS129" s="211">
        <f>BS89</f>
        <v>18616</v>
      </c>
      <c r="BT129" s="211">
        <f>BT89</f>
        <v>5999</v>
      </c>
      <c r="BU129" s="211">
        <f>BU89</f>
        <v>6356</v>
      </c>
      <c r="BV129" s="263">
        <f>BV89</f>
        <v>6800.92</v>
      </c>
      <c r="BW129" s="263">
        <f>BW89</f>
        <v>7276.9844</v>
      </c>
      <c r="BX129" s="263">
        <f>BX89</f>
        <v>26432.9044</v>
      </c>
      <c r="BY129" s="263">
        <f>BY89</f>
        <v>40661.1064874044</v>
      </c>
      <c r="BZ129" s="263">
        <f>BZ89</f>
        <v>51572.4984178311</v>
      </c>
      <c r="CA129" s="263">
        <f>CA89</f>
        <v>63168.6910177044</v>
      </c>
      <c r="CB129" s="263">
        <f>CB89</f>
        <v>70083.4636130835</v>
      </c>
      <c r="CC129" s="263">
        <f>CC89</f>
        <v>75594.8464592438</v>
      </c>
      <c r="CD129" s="153" t="n"/>
    </row>
    <row r="130" ht="15" customHeight="1" s="251">
      <c r="B130" s="156" t="inlineStr">
        <is>
          <t xml:space="preserve">  Memo: share-based compensation</t>
        </is>
      </c>
      <c r="C130" s="211">
        <f>C91</f>
        <v>27</v>
      </c>
      <c r="D130" s="211">
        <f>D91</f>
        <v>20</v>
      </c>
      <c r="E130" s="211">
        <f>E91</f>
        <v>217</v>
      </c>
      <c r="F130" s="211">
        <f>F91</f>
        <v>1572</v>
      </c>
      <c r="G130" s="211">
        <f>G91</f>
        <v>170</v>
      </c>
      <c r="H130" s="211">
        <f>H91</f>
        <v>224</v>
      </c>
      <c r="I130" s="211">
        <f>I91</f>
        <v>239</v>
      </c>
      <c r="J130" s="211">
        <f>J91</f>
        <v>273</v>
      </c>
      <c r="K130" s="211">
        <f>K91</f>
        <v>906</v>
      </c>
      <c r="L130" s="211">
        <f>L91</f>
        <v>274</v>
      </c>
      <c r="M130" s="211">
        <f>M91</f>
        <v>314</v>
      </c>
      <c r="N130" s="211">
        <f>N91</f>
        <v>353</v>
      </c>
      <c r="O130" s="211">
        <f>O91</f>
        <v>845</v>
      </c>
      <c r="P130" s="211">
        <f>P91</f>
        <v>1786</v>
      </c>
      <c r="Q130" s="211">
        <f>Q91</f>
        <v>694</v>
      </c>
      <c r="R130" s="211">
        <f>R91</f>
        <v>763</v>
      </c>
      <c r="S130" s="211">
        <f>S91</f>
        <v>757</v>
      </c>
      <c r="T130" s="211">
        <f>T91</f>
        <v>746</v>
      </c>
      <c r="U130" s="211">
        <f>U91</f>
        <v>2960</v>
      </c>
      <c r="V130" s="211">
        <f>V91</f>
        <v>747</v>
      </c>
      <c r="W130" s="211">
        <f>W91</f>
        <v>805</v>
      </c>
      <c r="X130" s="211">
        <f>X91</f>
        <v>819</v>
      </c>
      <c r="Y130" s="211">
        <f>Y91</f>
        <v>831</v>
      </c>
      <c r="Z130" s="211">
        <f>Z91</f>
        <v>3218</v>
      </c>
      <c r="AA130" s="211">
        <f>AA91</f>
        <v>867</v>
      </c>
      <c r="AB130" s="211">
        <f>AB91</f>
        <v>1032</v>
      </c>
      <c r="AC130" s="211">
        <f>AC91</f>
        <v>1010</v>
      </c>
      <c r="AD130" s="211">
        <f>AD91</f>
        <v>814</v>
      </c>
      <c r="AE130" s="211">
        <f>AE91</f>
        <v>3723</v>
      </c>
      <c r="AF130" s="211">
        <f>AF91</f>
        <v>955</v>
      </c>
      <c r="AG130" s="211">
        <f>AG91</f>
        <v>1186</v>
      </c>
      <c r="AH130" s="211">
        <f>AH91</f>
        <v>1040</v>
      </c>
      <c r="AI130" s="211">
        <f>AI91</f>
        <v>971</v>
      </c>
      <c r="AJ130" s="211">
        <f>AJ91</f>
        <v>4152</v>
      </c>
      <c r="AK130" s="211">
        <f>AK91</f>
        <v>1010</v>
      </c>
      <c r="AL130" s="211">
        <f>AL91</f>
        <v>1303</v>
      </c>
      <c r="AM130" s="211">
        <f>AM91</f>
        <v>1249</v>
      </c>
      <c r="AN130" s="211">
        <f>AN91</f>
        <v>1273</v>
      </c>
      <c r="AO130" s="211">
        <f>AO91</f>
        <v>4836</v>
      </c>
      <c r="AP130" s="211">
        <f>AP91</f>
        <v>1335</v>
      </c>
      <c r="AQ130" s="211">
        <f>AQ91</f>
        <v>1695</v>
      </c>
      <c r="AR130" s="211">
        <f>AR91</f>
        <v>1722</v>
      </c>
      <c r="AS130" s="211">
        <f>AS91</f>
        <v>1784</v>
      </c>
      <c r="AT130" s="211">
        <f>AT91</f>
        <v>6536</v>
      </c>
      <c r="AU130" s="211">
        <f>AU91</f>
        <v>1830</v>
      </c>
      <c r="AV130" s="211">
        <f>AV91</f>
        <v>2548</v>
      </c>
      <c r="AW130" s="211">
        <f>AW91</f>
        <v>2379</v>
      </c>
      <c r="AX130" s="211">
        <f>AX91</f>
        <v>2406</v>
      </c>
      <c r="AY130" s="211">
        <f>AY91</f>
        <v>9164</v>
      </c>
      <c r="AZ130" s="211">
        <f>AZ91</f>
        <v>2498</v>
      </c>
      <c r="BA130" s="211">
        <f>BA91</f>
        <v>3351</v>
      </c>
      <c r="BB130" s="211">
        <f>BB91</f>
        <v>3134</v>
      </c>
      <c r="BC130" s="211">
        <f>BC91</f>
        <v>3008</v>
      </c>
      <c r="BD130" s="211">
        <f>BD91</f>
        <v>11992</v>
      </c>
      <c r="BE130" s="211">
        <f>BE91</f>
        <v>3051</v>
      </c>
      <c r="BF130" s="211">
        <f>BF91</f>
        <v>4060</v>
      </c>
      <c r="BG130" s="211">
        <f>BG91</f>
        <v>3492</v>
      </c>
      <c r="BH130" s="211">
        <f>BH91</f>
        <v>3424</v>
      </c>
      <c r="BI130" s="211">
        <f>BI91</f>
        <v>14027</v>
      </c>
      <c r="BJ130" s="211">
        <f>BJ91</f>
        <v>3562</v>
      </c>
      <c r="BK130" s="211">
        <f>BK91</f>
        <v>4616</v>
      </c>
      <c r="BL130" s="211">
        <f>BL91</f>
        <v>4250</v>
      </c>
      <c r="BM130" s="211">
        <f>BM91</f>
        <v>4262</v>
      </c>
      <c r="BN130" s="211">
        <f>BN91</f>
        <v>16690</v>
      </c>
      <c r="BO130" s="211">
        <f>BO91</f>
        <v>4147</v>
      </c>
      <c r="BP130" s="211">
        <f>BP91</f>
        <v>4834</v>
      </c>
      <c r="BQ130" s="211">
        <f>BQ91</f>
        <v>5555</v>
      </c>
      <c r="BR130" s="211">
        <f>BR91</f>
        <v>5890</v>
      </c>
      <c r="BS130" s="211">
        <f>BS91</f>
        <v>20427</v>
      </c>
      <c r="BT130" s="211">
        <f>BT91</f>
        <v>6032</v>
      </c>
      <c r="BU130" s="211">
        <f>BU91</f>
        <v>7658</v>
      </c>
      <c r="BV130" s="263">
        <f>BV91</f>
        <v>7658</v>
      </c>
      <c r="BW130" s="263">
        <f>BW91</f>
        <v>7658</v>
      </c>
      <c r="BX130" s="263">
        <f>BX91</f>
        <v>29006</v>
      </c>
      <c r="BY130" s="263">
        <f>BY91</f>
        <v>34595.5271427474</v>
      </c>
      <c r="BZ130" s="263">
        <f>BZ91</f>
        <v>38317.6193296668</v>
      </c>
      <c r="CA130" s="263">
        <f>CA91</f>
        <v>43545.4174770971</v>
      </c>
      <c r="CB130" s="263">
        <f>CB91</f>
        <v>46343.6996566264</v>
      </c>
      <c r="CC130" s="263">
        <f>CC91</f>
        <v>51149.4583824763</v>
      </c>
      <c r="CD130" s="153" t="n"/>
    </row>
    <row r="131" ht="15" customHeight="1" s="251">
      <c r="B131" s="25" t="inlineStr">
        <is>
          <t>(Earnings per share — Class A and Class B common stock; same per-share amount for both classes)</t>
        </is>
      </c>
      <c r="CD131" s="153" t="n"/>
    </row>
    <row r="132" ht="15" customHeight="1" s="251">
      <c r="B132" s="25" t="inlineStr">
        <is>
          <t xml:space="preserve">  Weighted-average basic shares (m)</t>
        </is>
      </c>
      <c r="C132" s="261" t="n">
        <v>1020</v>
      </c>
      <c r="D132" s="261" t="n">
        <v>1107</v>
      </c>
      <c r="E132" s="261" t="n">
        <v>1294</v>
      </c>
      <c r="F132" s="261" t="n">
        <v>2006</v>
      </c>
      <c r="G132" s="261" t="n">
        <v>2386</v>
      </c>
      <c r="H132" s="261" t="n">
        <v>2407</v>
      </c>
      <c r="I132" s="261" t="n">
        <v>2430</v>
      </c>
      <c r="J132" s="261" t="n">
        <v>2458</v>
      </c>
      <c r="K132" s="261" t="n">
        <v>2420</v>
      </c>
      <c r="L132" s="261" t="n">
        <v>2545</v>
      </c>
      <c r="M132" s="261" t="n">
        <v>2560</v>
      </c>
      <c r="N132" s="261" t="n">
        <v>2587</v>
      </c>
      <c r="O132" s="261" t="n">
        <v>2761</v>
      </c>
      <c r="P132" s="261" t="n">
        <v>2614</v>
      </c>
      <c r="Q132" s="261" t="n">
        <v>2784</v>
      </c>
      <c r="R132" s="261" t="n">
        <v>2796</v>
      </c>
      <c r="S132" s="261" t="n">
        <v>2808</v>
      </c>
      <c r="T132" s="261" t="n">
        <v>2825</v>
      </c>
      <c r="U132" s="261" t="n">
        <v>2803</v>
      </c>
      <c r="V132" s="261" t="n">
        <v>2843</v>
      </c>
      <c r="W132" s="261" t="n">
        <v>2856</v>
      </c>
      <c r="X132" s="261" t="n">
        <v>2871</v>
      </c>
      <c r="Y132" s="261" t="n">
        <v>2882</v>
      </c>
      <c r="Z132" s="261" t="n">
        <v>2863</v>
      </c>
      <c r="AA132" s="261" t="n">
        <v>2891</v>
      </c>
      <c r="AB132" s="261" t="n">
        <v>2900</v>
      </c>
      <c r="AC132" s="261" t="n">
        <v>2904</v>
      </c>
      <c r="AD132" s="261" t="n">
        <v>2907</v>
      </c>
      <c r="AE132" s="261" t="n">
        <v>2901</v>
      </c>
      <c r="AF132" s="261" t="n">
        <v>2906</v>
      </c>
      <c r="AG132" s="261" t="n">
        <v>2895</v>
      </c>
      <c r="AH132" s="261" t="n">
        <v>2885</v>
      </c>
      <c r="AI132" s="261" t="n">
        <v>2872</v>
      </c>
      <c r="AJ132" s="261" t="n">
        <v>2890</v>
      </c>
      <c r="AK132" s="261" t="n">
        <v>2856</v>
      </c>
      <c r="AL132" s="261" t="n">
        <v>2855</v>
      </c>
      <c r="AM132" s="261" t="n">
        <v>2854</v>
      </c>
      <c r="AN132" s="261" t="n">
        <v>2853</v>
      </c>
      <c r="AO132" s="261" t="n">
        <v>2854</v>
      </c>
      <c r="AP132" s="261" t="n">
        <v>2851</v>
      </c>
      <c r="AQ132" s="261" t="n">
        <v>2850</v>
      </c>
      <c r="AR132" s="261" t="n">
        <v>2850</v>
      </c>
      <c r="AS132" s="261" t="n">
        <v>2850</v>
      </c>
      <c r="AT132" s="261" t="n">
        <v>2851</v>
      </c>
      <c r="AU132" s="261" t="n">
        <v>2847</v>
      </c>
      <c r="AV132" s="261" t="n">
        <v>2834</v>
      </c>
      <c r="AW132" s="261" t="n">
        <v>2814</v>
      </c>
      <c r="AX132" s="261" t="n">
        <v>2765</v>
      </c>
      <c r="AY132" s="261" t="n">
        <v>2815</v>
      </c>
      <c r="AZ132" s="261" t="n">
        <v>2725</v>
      </c>
      <c r="BA132" s="261" t="n">
        <v>2704</v>
      </c>
      <c r="BB132" s="261" t="n">
        <v>2682</v>
      </c>
      <c r="BC132" s="261" t="n">
        <v>2638</v>
      </c>
      <c r="BD132" s="261" t="n">
        <v>2687</v>
      </c>
      <c r="BE132" s="261" t="n">
        <v>2587</v>
      </c>
      <c r="BF132" s="261" t="n">
        <v>2568</v>
      </c>
      <c r="BG132" s="261" t="n">
        <v>2576</v>
      </c>
      <c r="BH132" s="261" t="n">
        <v>2566</v>
      </c>
      <c r="BI132" s="261" t="n">
        <v>2574</v>
      </c>
      <c r="BJ132" s="261" t="n">
        <v>2545</v>
      </c>
      <c r="BK132" s="261" t="n">
        <v>2534</v>
      </c>
      <c r="BL132" s="261" t="n">
        <v>2529</v>
      </c>
      <c r="BM132" s="261" t="n">
        <v>2529</v>
      </c>
      <c r="BN132" s="261" t="n">
        <v>2534</v>
      </c>
      <c r="BO132" s="261" t="n">
        <v>2527</v>
      </c>
      <c r="BP132" s="261" t="n">
        <v>2518</v>
      </c>
      <c r="BQ132" s="261" t="n">
        <v>2517</v>
      </c>
      <c r="BR132" s="261" t="n">
        <v>2525</v>
      </c>
      <c r="BS132" s="261" t="n">
        <v>2521</v>
      </c>
      <c r="BT132" s="261" t="n">
        <v>2534</v>
      </c>
      <c r="BU132" s="261" t="n">
        <v>2543</v>
      </c>
      <c r="BV132" s="263">
        <f>BU132+($BX$266-$BX$265)*0.25</f>
        <v>2547.5</v>
      </c>
      <c r="BW132" s="263">
        <f>BV132+($BX$266-$BX$265)*0.5</f>
        <v>2556.5</v>
      </c>
      <c r="BX132" s="263">
        <f>AVERAGE(BT132:BW132)</f>
        <v>2545.25</v>
      </c>
      <c r="BY132" s="263">
        <f>AVERAGE(BY267,BY268)</f>
        <v>2581</v>
      </c>
      <c r="BZ132" s="263">
        <f>AVERAGE(BZ267,BZ268)</f>
        <v>2607.49824981532</v>
      </c>
      <c r="CA132" s="263">
        <f>AVERAGE(CA267,CA268)</f>
        <v>2605.87593936031</v>
      </c>
      <c r="CB132" s="263">
        <f>AVERAGE(CB267,CB268)</f>
        <v>2566.51038662332</v>
      </c>
      <c r="CC132" s="263">
        <f>AVERAGE(CC267,CC268)</f>
        <v>2505.43585846864</v>
      </c>
      <c r="CD132" s="19" t="inlineStr">
        <is>
          <t>Q3/Q4-26E: prior quarter + 2H net share issuance less buybacks (phased). 2027E+: average of beginning and ending shares. FY2009–11: prospectus EPS note (Class A + B).</t>
        </is>
      </c>
    </row>
    <row r="133" ht="15" customHeight="1" s="251">
      <c r="B133" s="25" t="inlineStr">
        <is>
          <t xml:space="preserve">  Weighted-average diluted shares (m)</t>
        </is>
      </c>
      <c r="C133" s="261" t="n">
        <v>1366</v>
      </c>
      <c r="D133" s="261" t="n">
        <v>1414</v>
      </c>
      <c r="E133" s="261" t="n">
        <v>1508</v>
      </c>
      <c r="F133" s="261" t="n">
        <v>2166</v>
      </c>
      <c r="G133" s="261" t="n">
        <v>2499</v>
      </c>
      <c r="H133" s="261" t="n">
        <v>2502</v>
      </c>
      <c r="I133" s="261" t="n">
        <v>2528</v>
      </c>
      <c r="J133" s="261" t="n">
        <v>2558</v>
      </c>
      <c r="K133" s="261" t="n">
        <v>2517</v>
      </c>
      <c r="L133" s="261" t="n">
        <v>2609</v>
      </c>
      <c r="M133" s="261" t="n">
        <v>2615</v>
      </c>
      <c r="N133" s="261" t="n">
        <v>2644</v>
      </c>
      <c r="O133" s="261" t="n">
        <v>2816</v>
      </c>
      <c r="P133" s="261" t="n">
        <v>2664</v>
      </c>
      <c r="Q133" s="261" t="n">
        <v>2836</v>
      </c>
      <c r="R133" s="261" t="n">
        <v>2850</v>
      </c>
      <c r="S133" s="261" t="n">
        <v>2863</v>
      </c>
      <c r="T133" s="261" t="n">
        <v>2878</v>
      </c>
      <c r="U133" s="261" t="n">
        <v>2853</v>
      </c>
      <c r="V133" s="261" t="n">
        <v>2888</v>
      </c>
      <c r="W133" s="261" t="n">
        <v>2904</v>
      </c>
      <c r="X133" s="261" t="n">
        <v>2915</v>
      </c>
      <c r="Y133" s="261" t="n">
        <v>2938</v>
      </c>
      <c r="Z133" s="261" t="n">
        <v>2925</v>
      </c>
      <c r="AA133" s="261" t="n">
        <v>2944</v>
      </c>
      <c r="AB133" s="261" t="n">
        <v>2951</v>
      </c>
      <c r="AC133" s="261" t="n">
        <v>2956</v>
      </c>
      <c r="AD133" s="261" t="n">
        <v>2954</v>
      </c>
      <c r="AE133" s="261" t="n">
        <v>2956</v>
      </c>
      <c r="AF133" s="261" t="n">
        <v>2945</v>
      </c>
      <c r="AG133" s="261" t="n">
        <v>2930</v>
      </c>
      <c r="AH133" s="261" t="n">
        <v>2913</v>
      </c>
      <c r="AI133" s="261" t="n">
        <v>2886</v>
      </c>
      <c r="AJ133" s="261" t="n">
        <v>2921</v>
      </c>
      <c r="AK133" s="261" t="n">
        <v>2869</v>
      </c>
      <c r="AL133" s="261" t="n">
        <v>2875</v>
      </c>
      <c r="AM133" s="261" t="n">
        <v>2874</v>
      </c>
      <c r="AN133" s="261" t="n">
        <v>2871</v>
      </c>
      <c r="AO133" s="261" t="n">
        <v>2876</v>
      </c>
      <c r="AP133" s="261" t="n">
        <v>2868</v>
      </c>
      <c r="AQ133" s="261" t="n">
        <v>2879</v>
      </c>
      <c r="AR133" s="261" t="n">
        <v>2891</v>
      </c>
      <c r="AS133" s="261" t="n">
        <v>2890</v>
      </c>
      <c r="AT133" s="261" t="n">
        <v>2888</v>
      </c>
      <c r="AU133" s="261" t="n">
        <v>2882</v>
      </c>
      <c r="AV133" s="261" t="n">
        <v>2877</v>
      </c>
      <c r="AW133" s="261" t="n">
        <v>2859</v>
      </c>
      <c r="AX133" s="261" t="n">
        <v>2799</v>
      </c>
      <c r="AY133" s="261" t="n">
        <v>2859</v>
      </c>
      <c r="AZ133" s="261" t="n">
        <v>2742</v>
      </c>
      <c r="BA133" s="261" t="n">
        <v>2713</v>
      </c>
      <c r="BB133" s="261" t="n">
        <v>2687</v>
      </c>
      <c r="BC133" s="261" t="n">
        <v>2640</v>
      </c>
      <c r="BD133" s="261" t="n">
        <v>2702</v>
      </c>
      <c r="BE133" s="261" t="n">
        <v>2596</v>
      </c>
      <c r="BF133" s="261" t="n">
        <v>2612</v>
      </c>
      <c r="BG133" s="261" t="n">
        <v>2641</v>
      </c>
      <c r="BH133" s="261" t="n">
        <v>2630</v>
      </c>
      <c r="BI133" s="261" t="n">
        <v>2629</v>
      </c>
      <c r="BJ133" s="261" t="n">
        <v>2625</v>
      </c>
      <c r="BK133" s="261" t="n">
        <v>2610</v>
      </c>
      <c r="BL133" s="261" t="n">
        <v>2600</v>
      </c>
      <c r="BM133" s="261" t="n">
        <v>2599</v>
      </c>
      <c r="BN133" s="261" t="n">
        <v>2614</v>
      </c>
      <c r="BO133" s="261" t="n">
        <v>2590</v>
      </c>
      <c r="BP133" s="261" t="n">
        <v>2570</v>
      </c>
      <c r="BQ133" s="261" t="n">
        <v>2572</v>
      </c>
      <c r="BR133" s="261" t="n">
        <v>2565</v>
      </c>
      <c r="BS133" s="261" t="n">
        <v>2574</v>
      </c>
      <c r="BT133" s="261" t="n">
        <v>2564</v>
      </c>
      <c r="BU133" s="261" t="n">
        <v>2566</v>
      </c>
      <c r="BV133" s="263">
        <f>BV132+($BU$133-$BU$132)</f>
        <v>2570.5</v>
      </c>
      <c r="BW133" s="263">
        <f>BW132+($BU$133-$BU$132)</f>
        <v>2579.5</v>
      </c>
      <c r="BX133" s="263">
        <f>AVERAGE(BT133:BW133)</f>
        <v>2570</v>
      </c>
      <c r="BY133" s="263">
        <f>BY132+BY316</f>
        <v>2604</v>
      </c>
      <c r="BZ133" s="263">
        <f>BZ132+BZ316</f>
        <v>2630.49824981532</v>
      </c>
      <c r="CA133" s="263">
        <f>CA132+CA316</f>
        <v>2628.87593936031</v>
      </c>
      <c r="CB133" s="263">
        <f>CB132+CB316</f>
        <v>2589.51038662332</v>
      </c>
      <c r="CC133" s="263">
        <f>CC132+CC316</f>
        <v>2528.43585846864</v>
      </c>
      <c r="CD133" s="19" t="inlineStr">
        <is>
          <t>FY2009–11: Class A diluted computation (Class B converted).</t>
        </is>
      </c>
      <c r="CF133" s="20">
        <f>IFERROR((CC133/BX133)^(1/5)-1,"n/m")</f>
        <v>-0.00325569372106249</v>
      </c>
      <c r="CG133" s="20">
        <f>IFERROR((BS133/AT133)^(1/5)-1,"n/m")</f>
        <v>-0.0227576694887445</v>
      </c>
      <c r="CH133" s="20">
        <f>IFERROR((BS133/U133)^(1/10)-1,"n/m")</f>
        <v>-0.0102382251808792</v>
      </c>
      <c r="CI133" s="20">
        <f>IFERROR((BS133/C133)^(1/16)-1,"n/m")</f>
        <v>0.0403928651269216</v>
      </c>
    </row>
    <row r="134" ht="15" customHeight="1" s="251">
      <c r="B134" s="55" t="inlineStr">
        <is>
          <t>EPS — diluted ($)</t>
        </is>
      </c>
      <c r="C134" s="275">
        <f>IF(ISNUMBER(C133),IFERROR(C128/C133,""),"")</f>
        <v>0.0980966325036603</v>
      </c>
      <c r="D134" s="275">
        <f>IF(ISNUMBER(D133),IFERROR(D128/D133,""),"")</f>
        <v>0.284299858557284</v>
      </c>
      <c r="E134" s="275">
        <f>IF(ISNUMBER(E133),IFERROR(E128/E133,""),"")</f>
        <v>0.463527851458886</v>
      </c>
      <c r="F134" s="275">
        <f>IF(ISNUMBER(F133),IFERROR(F128/F133,""),"")</f>
        <v>0.0147737765466297</v>
      </c>
      <c r="G134" s="275">
        <f>IF(ISNUMBER(G133),IFERROR(G128/G133,""),"")</f>
        <v>0.0868347338935574</v>
      </c>
      <c r="H134" s="275">
        <f>IF(ISNUMBER(H133),IFERROR(H128/H133,""),"")</f>
        <v>0.132294164668265</v>
      </c>
      <c r="I134" s="275">
        <f>IF(ISNUMBER(I133),IFERROR(I128/I133,""),"")</f>
        <v>0.166930379746835</v>
      </c>
      <c r="J134" s="275">
        <f>IF(ISNUMBER(J133),IFERROR(J128/J133,""),"")</f>
        <v>0.203283815480844</v>
      </c>
      <c r="K134" s="275">
        <f>IF(ISNUMBER(K133),IFERROR(K128/K133,""),"")</f>
        <v>0.592371871275328</v>
      </c>
      <c r="L134" s="275">
        <f>IF(ISNUMBER(L133),IFERROR(L128/L133,""),"")</f>
        <v>0.244921425833653</v>
      </c>
      <c r="M134" s="275">
        <f>IF(ISNUMBER(M133),IFERROR(M128/M133,""),"")</f>
        <v>0.301338432122371</v>
      </c>
      <c r="N134" s="275">
        <f>IF(ISNUMBER(N133),IFERROR(N128/N133,""),"")</f>
        <v>0.303328290468986</v>
      </c>
      <c r="O134" s="275">
        <f>IF(ISNUMBER(O133),IFERROR(O128/O133,""),"")</f>
        <v>0.247159090909091</v>
      </c>
      <c r="P134" s="275">
        <f>IF(ISNUMBER(P133),IFERROR(P128/P133,""),"")</f>
        <v>1.09797297297297</v>
      </c>
      <c r="Q134" s="275">
        <f>IF(ISNUMBER(Q133),IFERROR(Q128/Q133,""),"")</f>
        <v>0.179478138222849</v>
      </c>
      <c r="R134" s="275">
        <f>IF(ISNUMBER(R133),IFERROR(R128/R133,""),"")</f>
        <v>0.250877192982456</v>
      </c>
      <c r="S134" s="275">
        <f>IF(ISNUMBER(S133),IFERROR(S128/S133,""),"")</f>
        <v>0.311212015368495</v>
      </c>
      <c r="T134" s="275">
        <f>IF(ISNUMBER(T133),IFERROR(T128/T133,""),"")</f>
        <v>0.540305767894371</v>
      </c>
      <c r="U134" s="275">
        <f>IF(ISNUMBER(U133),IFERROR(U128/U133,""),"")</f>
        <v>1.28601472134595</v>
      </c>
      <c r="V134" s="275">
        <f>IF(ISNUMBER(V133),IFERROR(V128/V133,""),"")</f>
        <v>0.52112188365651</v>
      </c>
      <c r="W134" s="275">
        <f>IF(ISNUMBER(W133),IFERROR(W128/W133,""),"")</f>
        <v>0.705234159779614</v>
      </c>
      <c r="X134" s="275">
        <f>IF(ISNUMBER(X133),IFERROR(X128/X133,""),"")</f>
        <v>0.814065180102916</v>
      </c>
      <c r="Y134" s="275">
        <f>IF(ISNUMBER(Y133),IFERROR(Y128/Y133,""),"")</f>
        <v>1.21204901293397</v>
      </c>
      <c r="Z134" s="275">
        <f>IF(ISNUMBER(Z133),IFERROR(Z128/Z133,""),"")</f>
        <v>3.48307692307692</v>
      </c>
      <c r="AA134" s="275">
        <f>IF(ISNUMBER(AA133),IFERROR(AA128/AA133,""),"")</f>
        <v>1.0390625</v>
      </c>
      <c r="AB134" s="275">
        <f>IF(ISNUMBER(AB133),IFERROR(AB128/AB133,""),"")</f>
        <v>1.31819722128092</v>
      </c>
      <c r="AC134" s="275">
        <f>IF(ISNUMBER(AC133),IFERROR(AC128/AC133,""),"")</f>
        <v>1.59133964817321</v>
      </c>
      <c r="AD134" s="275">
        <f>IF(ISNUMBER(AD133),IFERROR(AD128/AD133,""),"")</f>
        <v>1.44414353419093</v>
      </c>
      <c r="AE134" s="275">
        <f>IF(ISNUMBER(AE133),IFERROR(AE128/AE133,""),"")</f>
        <v>5.38565629228687</v>
      </c>
      <c r="AF134" s="275">
        <f>IF(ISNUMBER(AF133),IFERROR(AF128/AF133,""),"")</f>
        <v>1.69337860780985</v>
      </c>
      <c r="AG134" s="275">
        <f>IF(ISNUMBER(AG133),IFERROR(AG128/AG133,""),"")</f>
        <v>1.74266211604096</v>
      </c>
      <c r="AH134" s="275">
        <f>IF(ISNUMBER(AH133),IFERROR(AH128/AH133,""),"")</f>
        <v>1.76347408170271</v>
      </c>
      <c r="AI134" s="275">
        <f>IF(ISNUMBER(AI133),IFERROR(AI128/AI133,""),"")</f>
        <v>2.38461538461538</v>
      </c>
      <c r="AJ134" s="275">
        <f>IF(ISNUMBER(AJ133),IFERROR(AJ128/AJ133,""),"")</f>
        <v>7.56966792194454</v>
      </c>
      <c r="AK134" s="275">
        <f>IF(ISNUMBER(AK133),IFERROR(AK128/AK133,""),"")</f>
        <v>0.84663645869641</v>
      </c>
      <c r="AL134" s="275">
        <f>IF(ISNUMBER(AL133),IFERROR(AL128/AL133,""),"")</f>
        <v>0.909913043478261</v>
      </c>
      <c r="AM134" s="275">
        <f>IF(ISNUMBER(AM133),IFERROR(AM128/AM133,""),"")</f>
        <v>2.11934585942937</v>
      </c>
      <c r="AN134" s="275">
        <f>IF(ISNUMBER(AN133),IFERROR(AN128/AN133,""),"")</f>
        <v>2.55973528387322</v>
      </c>
      <c r="AO134" s="275">
        <f>IF(ISNUMBER(AO133),IFERROR(AO128/AO133,""),"")</f>
        <v>6.42732962447844</v>
      </c>
      <c r="AP134" s="275">
        <f>IF(ISNUMBER(AP133),IFERROR(AP128/AP133,""),"")</f>
        <v>1.7092050209205</v>
      </c>
      <c r="AQ134" s="275">
        <f>IF(ISNUMBER(AQ133),IFERROR(AQ128/AQ133,""),"")</f>
        <v>1.79854116012504</v>
      </c>
      <c r="AR134" s="275">
        <f>IF(ISNUMBER(AR133),IFERROR(AR128/AR133,""),"")</f>
        <v>2.71393981321342</v>
      </c>
      <c r="AS134" s="275">
        <f>IF(ISNUMBER(AS133),IFERROR(AS128/AS133,""),"")</f>
        <v>3.88200692041523</v>
      </c>
      <c r="AT134" s="275">
        <f>IF(ISNUMBER(AT133),IFERROR(AT128/AT133,""),"")</f>
        <v>10.0921052631579</v>
      </c>
      <c r="AU134" s="275">
        <f>IF(ISNUMBER(AU133),IFERROR(AU128/AU133,""),"")</f>
        <v>3.29528105482304</v>
      </c>
      <c r="AV134" s="275">
        <f>IF(ISNUMBER(AV133),IFERROR(AV128/AV133,""),"")</f>
        <v>3.6127911018422</v>
      </c>
      <c r="AW134" s="275">
        <f>IF(ISNUMBER(AW133),IFERROR(AW128/AW133,""),"")</f>
        <v>3.21580972367961</v>
      </c>
      <c r="AX134" s="275">
        <f>IF(ISNUMBER(AX133),IFERROR(AX128/AX133,""),"")</f>
        <v>3.6745266166488</v>
      </c>
      <c r="AY134" s="275">
        <f>IF(ISNUMBER(AY133),IFERROR(AY128/AY133,""),"")</f>
        <v>13.770549143057</v>
      </c>
      <c r="AZ134" s="275">
        <f>IF(ISNUMBER(AZ133),IFERROR(AZ128/AZ133,""),"")</f>
        <v>2.72246535375638</v>
      </c>
      <c r="BA134" s="275">
        <f>IF(ISNUMBER(BA133),IFERROR(BA128/BA133,""),"")</f>
        <v>2.46479911537044</v>
      </c>
      <c r="BB134" s="275">
        <f>IF(ISNUMBER(BB133),IFERROR(BB128/BB133,""),"")</f>
        <v>1.63565314477112</v>
      </c>
      <c r="BC134" s="275">
        <f>IF(ISNUMBER(BC133),IFERROR(BC128/BC133,""),"")</f>
        <v>1.76212121212121</v>
      </c>
      <c r="BD134" s="275">
        <f>IF(ISNUMBER(BD133),IFERROR(BD128/BD133,""),"")</f>
        <v>8.58623242042931</v>
      </c>
      <c r="BE134" s="275">
        <f>IF(ISNUMBER(BE133),IFERROR(BE128/BE133,""),"")</f>
        <v>2.19915254237288</v>
      </c>
      <c r="BF134" s="275">
        <f>IF(ISNUMBER(BF133),IFERROR(BF128/BF133,""),"")</f>
        <v>2.98162327718224</v>
      </c>
      <c r="BG134" s="275">
        <f>IF(ISNUMBER(BG133),IFERROR(BG128/BG133,""),"")</f>
        <v>4.38583869746308</v>
      </c>
      <c r="BH134" s="275">
        <f>IF(ISNUMBER(BH133),IFERROR(BH128/BH133,""),"")</f>
        <v>5.32965779467681</v>
      </c>
      <c r="BI134" s="275">
        <f>IF(ISNUMBER(BI133),IFERROR(BI128/BI133,""),"")</f>
        <v>14.8718143780905</v>
      </c>
      <c r="BJ134" s="275">
        <f>IF(ISNUMBER(BJ133),IFERROR(BJ128/BJ133,""),"")</f>
        <v>4.712</v>
      </c>
      <c r="BK134" s="275">
        <f>IF(ISNUMBER(BK133),IFERROR(BK128/BK133,""),"")</f>
        <v>5.15900383141763</v>
      </c>
      <c r="BL134" s="275">
        <f>IF(ISNUMBER(BL133),IFERROR(BL128/BL133,""),"")</f>
        <v>6.03384615384615</v>
      </c>
      <c r="BM134" s="275">
        <f>IF(ISNUMBER(BM133),IFERROR(BM128/BM133,""),"")</f>
        <v>8.01769911504425</v>
      </c>
      <c r="BN134" s="275">
        <f>IF(ISNUMBER(BN133),IFERROR(BN128/BN133,""),"")</f>
        <v>23.8561591430757</v>
      </c>
      <c r="BO134" s="275">
        <f>IF(ISNUMBER(BO133),IFERROR(BO128/BO133,""),"")</f>
        <v>6.42625482625483</v>
      </c>
      <c r="BP134" s="275">
        <f>IF(ISNUMBER(BP133),IFERROR(BP128/BP133,""),"")</f>
        <v>7.13501945525292</v>
      </c>
      <c r="BQ134" s="275">
        <f>IF(ISNUMBER(BQ133),IFERROR(BQ128/BQ133,""),"")</f>
        <v>1.05326594090202</v>
      </c>
      <c r="BR134" s="275">
        <f>IF(ISNUMBER(BR133),IFERROR(BR128/BR133,""),"")</f>
        <v>8.87641325536063</v>
      </c>
      <c r="BS134" s="275">
        <f>IF(ISNUMBER(BS133),IFERROR(BS128/BS133,""),"")</f>
        <v>23.4879564879565</v>
      </c>
      <c r="BT134" s="275">
        <f>IF(ISNUMBER(BT133),IFERROR(BT128/BT133,""),"")</f>
        <v>10.441887675507</v>
      </c>
      <c r="BU134" s="275">
        <f>IF(ISNUMBER(BU133),IFERROR(BU128/BU133,""),"")</f>
        <v>6.17614964925955</v>
      </c>
      <c r="BV134" s="275">
        <f>IF(ISNUMBER(BV133),IFERROR(BV128/BV133,""),"")</f>
        <v>6.48439043189541</v>
      </c>
      <c r="BW134" s="275">
        <f>IF(ISNUMBER(BW133),IFERROR(BW128/BW133,""),"")</f>
        <v>7.86713515060743</v>
      </c>
      <c r="BX134" s="275">
        <f>IF(ISNUMBER(BX133),IFERROR(BX128/BX133,""),"")</f>
        <v>30.9659146794471</v>
      </c>
      <c r="BY134" s="275">
        <f>IF(ISNUMBER(BY133),IFERROR(BY128/BY133,""),"")</f>
        <v>32.306975425747</v>
      </c>
      <c r="BZ134" s="275">
        <f>IF(ISNUMBER(BZ133),IFERROR(BZ128/BZ133,""),"")</f>
        <v>37.011713203599</v>
      </c>
      <c r="CA134" s="275">
        <f>IF(ISNUMBER(CA133),IFERROR(CA128/CA133,""),"")</f>
        <v>42.0760709701292</v>
      </c>
      <c r="CB134" s="275">
        <f>IF(ISNUMBER(CB133),IFERROR(CB128/CB133,""),"")</f>
        <v>48.8428469583658</v>
      </c>
      <c r="CC134" s="275">
        <f>IF(ISNUMBER(CC133),IFERROR(CC128/CC133,""),"")</f>
        <v>56.6079035548089</v>
      </c>
      <c r="CD134" s="19" t="n"/>
      <c r="CF134" s="20">
        <f>IFERROR((CC134/BX134)^(1/5)-1,"n/m")</f>
        <v>0.12823256698437</v>
      </c>
      <c r="CG134" s="20">
        <f>IFERROR((BS134/AT134)^(1/5)-1,"n/m")</f>
        <v>0.184057225646371</v>
      </c>
      <c r="CH134" s="20">
        <f>IFERROR((BS134/U134)^(1/10)-1,"n/m")</f>
        <v>0.337087809765878</v>
      </c>
      <c r="CI134" s="20">
        <f>IFERROR((BS134/C134)^(1/16)-1,"n/m")</f>
        <v>0.408313835606595</v>
      </c>
    </row>
    <row r="135" ht="15" customHeight="1" s="251">
      <c r="B135" s="22" t="inlineStr">
        <is>
          <t xml:space="preserve">  EPS — diluted y/y %</t>
        </is>
      </c>
      <c r="C135" s="23" t="n"/>
      <c r="D135" s="255">
        <f>IF(AND(ISNUMBER(D134),ISNUMBER(C134)),IFERROR(D134/C134-1,""),"")</f>
        <v>1.8981612446959</v>
      </c>
      <c r="E135" s="255">
        <f>IF(AND(ISNUMBER(E134),ISNUMBER(D134)),IFERROR(E134/D134-1,""),"")</f>
        <v>0.630418860604141</v>
      </c>
      <c r="F135" s="255">
        <f>IF(AND(ISNUMBER(F134),ISNUMBER(E134)),IFERROR(F134/E134-1,""),"")</f>
        <v>-0.968127532142607</v>
      </c>
      <c r="G135" s="23" t="n"/>
      <c r="H135" s="23" t="n"/>
      <c r="I135" s="23" t="n"/>
      <c r="J135" s="23" t="n"/>
      <c r="K135" s="255">
        <f>IF(AND(ISNUMBER(K134),ISNUMBER(F134)),IFERROR(K134/F134-1,""),"")</f>
        <v>39.0961710369487</v>
      </c>
      <c r="L135" s="255">
        <f>IF(AND(ISNUMBER(L134),ISNUMBER(G134)),IFERROR(L134/G134-1,""),"")</f>
        <v>1.82054674266497</v>
      </c>
      <c r="M135" s="255">
        <f>IF(AND(ISNUMBER(M134),ISNUMBER(H134)),IFERROR(M134/H134-1,""),"")</f>
        <v>1.27779080716064</v>
      </c>
      <c r="N135" s="255">
        <f>IF(AND(ISNUMBER(N134),ISNUMBER(I134)),IFERROR(N134/I134-1,""),"")</f>
        <v>0.817094593141227</v>
      </c>
      <c r="O135" s="255">
        <f>IF(AND(ISNUMBER(O134),ISNUMBER(J134)),IFERROR(O134/J134-1,""),"")</f>
        <v>0.215832604895105</v>
      </c>
      <c r="P135" s="255">
        <f>IF(AND(ISNUMBER(P134),ISNUMBER(K134)),IFERROR(P134/K134-1,""),"")</f>
        <v>0.853519767252162</v>
      </c>
      <c r="Q135" s="255">
        <f>IF(AND(ISNUMBER(Q134),ISNUMBER(L134)),IFERROR(Q134/L134-1,""),"")</f>
        <v>-0.26720115395397</v>
      </c>
      <c r="R135" s="255">
        <f>IF(AND(ISNUMBER(R134),ISNUMBER(M134)),IFERROR(R134/M134-1,""),"")</f>
        <v>-0.167457030902128</v>
      </c>
      <c r="S135" s="255">
        <f>IF(AND(ISNUMBER(S134),ISNUMBER(N134)),IFERROR(S134/N134-1,""),"")</f>
        <v>0.0259907339579795</v>
      </c>
      <c r="T135" s="255">
        <f>IF(AND(ISNUMBER(T134),ISNUMBER(O134)),IFERROR(T134/O134-1,""),"")</f>
        <v>1.18606471607838</v>
      </c>
      <c r="U135" s="255">
        <f>IF(AND(ISNUMBER(U134),ISNUMBER(P134)),IFERROR(U134/P134-1,""),"")</f>
        <v>0.171262638518159</v>
      </c>
      <c r="V135" s="255">
        <f>IF(AND(ISNUMBER(V134),ISNUMBER(Q134)),IFERROR(V134/Q134-1,""),"")</f>
        <v>1.90353961109992</v>
      </c>
      <c r="W135" s="255">
        <f>IF(AND(ISNUMBER(W134),ISNUMBER(R134)),IFERROR(W134/R134-1,""),"")</f>
        <v>1.81107322429637</v>
      </c>
      <c r="X135" s="255">
        <f>IF(AND(ISNUMBER(X134),ISNUMBER(S134)),IFERROR(X134/S134-1,""),"")</f>
        <v>1.61578968645864</v>
      </c>
      <c r="Y135" s="255">
        <f>IF(AND(ISNUMBER(Y134),ISNUMBER(T134)),IFERROR(Y134/T134-1,""),"")</f>
        <v>1.24326498985464</v>
      </c>
      <c r="Z135" s="255">
        <f>IF(AND(ISNUMBER(Z134),ISNUMBER(U134)),IFERROR(Z134/U134-1,""),"")</f>
        <v>1.70842694509089</v>
      </c>
      <c r="AA135" s="255">
        <f>IF(AND(ISNUMBER(AA134),ISNUMBER(V134)),IFERROR(AA134/V134-1,""),"")</f>
        <v>0.993895348837209</v>
      </c>
      <c r="AB135" s="255">
        <f>IF(AND(ISNUMBER(AB134),ISNUMBER(W134)),IFERROR(AB134/W134-1,""),"")</f>
        <v>0.869162466113182</v>
      </c>
      <c r="AC135" s="255">
        <f>IF(AND(ISNUMBER(AC134),ISNUMBER(X134)),IFERROR(AC134/X134-1,""),"")</f>
        <v>0.954806183912726</v>
      </c>
      <c r="AD135" s="255">
        <f>IF(AND(ISNUMBER(AD134),ISNUMBER(Y134)),IFERROR(AD134/Y134-1,""),"")</f>
        <v>0.191489385973868</v>
      </c>
      <c r="AE135" s="255">
        <f>IF(AND(ISNUMBER(AE134),ISNUMBER(Z134)),IFERROR(AE134/Z134-1,""),"")</f>
        <v>0.546235242926885</v>
      </c>
      <c r="AF135" s="255">
        <f>IF(AND(ISNUMBER(AF134),ISNUMBER(AA134)),IFERROR(AF134/AA134-1,""),"")</f>
        <v>0.629717757892184</v>
      </c>
      <c r="AG135" s="255">
        <f>IF(AND(ISNUMBER(AG134),ISNUMBER(AB134)),IFERROR(AG134/AB134-1,""),"")</f>
        <v>0.32200408854418</v>
      </c>
      <c r="AH135" s="255">
        <f>IF(AND(ISNUMBER(AH134),ISNUMBER(AC134)),IFERROR(AH134/AC134-1,""),"")</f>
        <v>0.108169512226449</v>
      </c>
      <c r="AI135" s="255">
        <f>IF(AND(ISNUMBER(AI134),ISNUMBER(AD134)),IFERROR(AI134/AD134-1,""),"")</f>
        <v>0.651231562623968</v>
      </c>
      <c r="AJ135" s="255">
        <f>IF(AND(ISNUMBER(AJ134),ISNUMBER(AE134)),IFERROR(AJ134/AE134-1,""),"")</f>
        <v>0.405523767416335</v>
      </c>
      <c r="AK135" s="255">
        <f>IF(AND(ISNUMBER(AK134),ISNUMBER(AF134)),IFERROR(AK134/AF134-1,""),"")</f>
        <v>-0.500031206965926</v>
      </c>
      <c r="AL135" s="255">
        <f>IF(AND(ISNUMBER(AL134),ISNUMBER(AG134)),IFERROR(AL134/AG134-1,""),"")</f>
        <v>-0.477860317784703</v>
      </c>
      <c r="AM135" s="255">
        <f>IF(AND(ISNUMBER(AM134),ISNUMBER(AH134)),IFERROR(AM134/AH134-1,""),"")</f>
        <v>0.201801535627359</v>
      </c>
      <c r="AN135" s="255">
        <f>IF(AND(ISNUMBER(AN134),ISNUMBER(AI134)),IFERROR(AN134/AI134-1,""),"")</f>
        <v>0.0734373771081225</v>
      </c>
      <c r="AO135" s="255">
        <f>IF(AND(ISNUMBER(AO134),ISNUMBER(AJ134)),IFERROR(AO134/AJ134-1,""),"")</f>
        <v>-0.150909961869588</v>
      </c>
      <c r="AP135" s="255">
        <f>IF(AND(ISNUMBER(AP134),ISNUMBER(AK134)),IFERROR(AP134/AK134-1,""),"")</f>
        <v>1.01881811651746</v>
      </c>
      <c r="AQ135" s="255">
        <f>IF(AND(ISNUMBER(AQ134),ISNUMBER(AL134)),IFERROR(AQ134/AL134-1,""),"")</f>
        <v>0.976607735229167</v>
      </c>
      <c r="AR135" s="255">
        <f>IF(AND(ISNUMBER(AR134),ISNUMBER(AM134)),IFERROR(AR134/AM134-1,""),"")</f>
        <v>0.280555413425607</v>
      </c>
      <c r="AS135" s="255">
        <f>IF(AND(ISNUMBER(AS134),ISNUMBER(AN134)),IFERROR(AS134/AN134-1,""),"")</f>
        <v>0.516565773372175</v>
      </c>
      <c r="AT135" s="255">
        <f>IF(AND(ISNUMBER(AT134),ISNUMBER(AO134)),IFERROR(AT134/AO134-1,""),"")</f>
        <v>0.570186353088564</v>
      </c>
      <c r="AU135" s="255">
        <f>IF(AND(ISNUMBER(AU134),ISNUMBER(AP134)),IFERROR(AU134/AP134-1,""),"")</f>
        <v>0.927961253617397</v>
      </c>
      <c r="AV135" s="255">
        <f>IF(AND(ISNUMBER(AV134),ISNUMBER(AQ134)),IFERROR(AV134/AQ134-1,""),"")</f>
        <v>1.00873417964536</v>
      </c>
      <c r="AW135" s="255">
        <f>IF(AND(ISNUMBER(AW134),ISNUMBER(AR134)),IFERROR(AW134/AR134-1,""),"")</f>
        <v>0.18492300677514</v>
      </c>
      <c r="AX135" s="255">
        <f>IF(AND(ISNUMBER(AX134),ISNUMBER(AS134)),IFERROR(AX134/AS134-1,""),"")</f>
        <v>-0.0534466599416132</v>
      </c>
      <c r="AY135" s="255">
        <f>IF(AND(ISNUMBER(AY134),ISNUMBER(AT134)),IFERROR(AY134/AT134-1,""),"")</f>
        <v>0.364487268412429</v>
      </c>
      <c r="AZ135" s="255">
        <f>IF(AND(ISNUMBER(AZ134),ISNUMBER(AU134)),IFERROR(AZ134/AU134-1,""),"")</f>
        <v>-0.173829088183016</v>
      </c>
      <c r="BA135" s="255">
        <f>IF(AND(ISNUMBER(BA134),ISNUMBER(AV134)),IFERROR(BA134/AV134-1,""),"")</f>
        <v>-0.317757643359558</v>
      </c>
      <c r="BB135" s="255">
        <f>IF(AND(ISNUMBER(BB134),ISNUMBER(AW134)),IFERROR(BB134/AW134-1,""),"")</f>
        <v>-0.491371292049094</v>
      </c>
      <c r="BC135" s="255">
        <f>IF(AND(ISNUMBER(BC134),ISNUMBER(AX134)),IFERROR(BC134/AX134-1,""),"")</f>
        <v>-0.520449463030892</v>
      </c>
      <c r="BD135" s="255">
        <f>IF(AND(ISNUMBER(BD134),ISNUMBER(AY134)),IFERROR(BD134/AY134-1,""),"")</f>
        <v>-0.376478575310963</v>
      </c>
      <c r="BE135" s="255">
        <f>IF(AND(ISNUMBER(BE134),ISNUMBER(AZ134)),IFERROR(BE134/AZ134-1,""),"")</f>
        <v>-0.192220191401682</v>
      </c>
      <c r="BF135" s="255">
        <f>IF(AND(ISNUMBER(BF134),ISNUMBER(BA134)),IFERROR(BF134/BA134-1,""),"")</f>
        <v>0.209682062359116</v>
      </c>
      <c r="BG135" s="255">
        <f>IF(AND(ISNUMBER(BG134),ISNUMBER(BB134)),IFERROR(BG134/BB134-1,""),"")</f>
        <v>1.68139899433067</v>
      </c>
      <c r="BH135" s="255">
        <f>IF(AND(ISNUMBER(BH134),ISNUMBER(BC134)),IFERROR(BH134/BC134-1,""),"")</f>
        <v>2.02456934177704</v>
      </c>
      <c r="BI135" s="255">
        <f>IF(AND(ISNUMBER(BI134),ISNUMBER(BD134)),IFERROR(BI134/BD134-1,""),"")</f>
        <v>0.732053553862095</v>
      </c>
      <c r="BJ135" s="255">
        <f>IF(AND(ISNUMBER(BJ134),ISNUMBER(BE134)),IFERROR(BJ134/BE134-1,""),"")</f>
        <v>1.14264354527938</v>
      </c>
      <c r="BK135" s="255">
        <f>IF(AND(ISNUMBER(BK134),ISNUMBER(BF134)),IFERROR(BK134/BF134-1,""),"")</f>
        <v>0.7302668217338</v>
      </c>
      <c r="BL135" s="255">
        <f>IF(AND(ISNUMBER(BL134),ISNUMBER(BG134)),IFERROR(BL134/BG134-1,""),"")</f>
        <v>0.375756513192411</v>
      </c>
      <c r="BM135" s="255">
        <f>IF(AND(ISNUMBER(BM134),ISNUMBER(BH134)),IFERROR(BM134/BH134-1,""),"")</f>
        <v>0.504355330852991</v>
      </c>
      <c r="BN135" s="255">
        <f>IF(AND(ISNUMBER(BN134),ISNUMBER(BI134)),IFERROR(BN134/BI134-1,""),"")</f>
        <v>0.604118941816618</v>
      </c>
      <c r="BO135" s="255">
        <f>IF(AND(ISNUMBER(BO134),ISNUMBER(BJ134)),IFERROR(BO134/BJ134-1,""),"")</f>
        <v>0.36380620251588</v>
      </c>
      <c r="BP135" s="255">
        <f>IF(AND(ISNUMBER(BP134),ISNUMBER(BK134)),IFERROR(BP134/BK134-1,""),"")</f>
        <v>0.383022709113265</v>
      </c>
      <c r="BQ135" s="255">
        <f>IF(AND(ISNUMBER(BQ134),ISNUMBER(BL134)),IFERROR(BQ134/BL134-1,""),"")</f>
        <v>-0.825440371854586</v>
      </c>
      <c r="BR135" s="255">
        <f>IF(AND(ISNUMBER(BR134),ISNUMBER(BM134)),IFERROR(BR134/BM134-1,""),"")</f>
        <v>0.107102315514073</v>
      </c>
      <c r="BS135" s="255">
        <f>IF(AND(ISNUMBER(BS134),ISNUMBER(BN134)),IFERROR(BS134/BN134-1,""),"")</f>
        <v>-0.0154342806363332</v>
      </c>
      <c r="BT135" s="255">
        <f>IF(AND(ISNUMBER(BT134),ISNUMBER(BO134)),IFERROR(BT134/BO134-1,""),"")</f>
        <v>0.624879180459216</v>
      </c>
      <c r="BU135" s="255">
        <f>IF(AND(ISNUMBER(BU134),ISNUMBER(BP134)),IFERROR(BU134/BP134-1,""),"")</f>
        <v>-0.134389234956807</v>
      </c>
      <c r="BV135" s="256">
        <f>IF(AND(ISNUMBER(BV134),ISNUMBER(BQ134)),IFERROR(BV134/BQ134-1,""),"")</f>
        <v>5.15646075704504</v>
      </c>
      <c r="BW135" s="256">
        <f>IF(AND(ISNUMBER(BW134),ISNUMBER(BR134)),IFERROR(BW134/BR134-1,""),"")</f>
        <v>-0.113703370462577</v>
      </c>
      <c r="BX135" s="256">
        <f>IF(AND(ISNUMBER(BX134),ISNUMBER(BS134)),IFERROR(BX134/BS134-1,""),"")</f>
        <v>0.318374150400225</v>
      </c>
      <c r="BY135" s="256">
        <f>IF(AND(ISNUMBER(BY134),ISNUMBER(BX134)),IFERROR(BY134/BX134-1,""),"")</f>
        <v>0.0433076419728677</v>
      </c>
      <c r="BZ135" s="256">
        <f>IF(AND(ISNUMBER(BZ134),ISNUMBER(BY134)),IFERROR(BZ134/BY134-1,""),"")</f>
        <v>0.145626067307515</v>
      </c>
      <c r="CA135" s="256">
        <f>IF(AND(ISNUMBER(CA134),ISNUMBER(BZ134)),IFERROR(CA134/BZ134-1,""),"")</f>
        <v>0.136831217152027</v>
      </c>
      <c r="CB135" s="256">
        <f>IF(AND(ISNUMBER(CB134),ISNUMBER(CA134)),IFERROR(CB134/CA134-1,""),"")</f>
        <v>0.160822430236903</v>
      </c>
      <c r="CC135" s="256">
        <f>IF(AND(ISNUMBER(CC134),ISNUMBER(CB134)),IFERROR(CC134/CB134-1,""),"")</f>
        <v>0.158980425589486</v>
      </c>
      <c r="CD135" s="153" t="n"/>
    </row>
    <row r="136" ht="15" customHeight="1" s="251">
      <c r="B136" s="156" t="inlineStr">
        <is>
          <t xml:space="preserve">  Memo: EPS — diluted as reported ($)</t>
        </is>
      </c>
      <c r="C136" s="276" t="n">
        <v>0.1</v>
      </c>
      <c r="D136" s="276" t="n">
        <v>0.28</v>
      </c>
      <c r="E136" s="276" t="n">
        <v>0.46</v>
      </c>
      <c r="F136" s="276" t="n">
        <v>0.01</v>
      </c>
      <c r="G136" s="276" t="n">
        <v>0.09</v>
      </c>
      <c r="H136" s="276" t="n">
        <v>0.13</v>
      </c>
      <c r="I136" s="276" t="n">
        <v>0.17</v>
      </c>
      <c r="J136" s="276" t="n">
        <v>0.2</v>
      </c>
      <c r="K136" s="276" t="n">
        <v>0.6</v>
      </c>
      <c r="L136" s="276" t="n">
        <v>0.25</v>
      </c>
      <c r="M136" s="276" t="n">
        <v>0.3</v>
      </c>
      <c r="N136" s="276" t="n">
        <v>0.3</v>
      </c>
      <c r="O136" s="276" t="n">
        <v>0.25</v>
      </c>
      <c r="P136" s="276" t="n">
        <v>1.1</v>
      </c>
      <c r="Q136" s="276" t="n">
        <v>0.18</v>
      </c>
      <c r="R136" s="276" t="n">
        <v>0.25</v>
      </c>
      <c r="S136" s="276" t="n">
        <v>0.31</v>
      </c>
      <c r="T136" s="276" t="n">
        <v>0.54</v>
      </c>
      <c r="U136" s="276" t="n">
        <v>1.29</v>
      </c>
      <c r="V136" s="276" t="n">
        <v>0.52</v>
      </c>
      <c r="W136" s="276" t="n">
        <v>0.71</v>
      </c>
      <c r="X136" s="276" t="n">
        <v>0.82</v>
      </c>
      <c r="Y136" s="276" t="n">
        <v>1.21</v>
      </c>
      <c r="Z136" s="276" t="n">
        <v>3.49</v>
      </c>
      <c r="AA136" s="276" t="n">
        <v>1.04</v>
      </c>
      <c r="AB136" s="276" t="n">
        <v>1.32</v>
      </c>
      <c r="AC136" s="276" t="n">
        <v>1.59</v>
      </c>
      <c r="AD136" s="276" t="n">
        <v>1.44</v>
      </c>
      <c r="AE136" s="276" t="n">
        <v>5.39</v>
      </c>
      <c r="AF136" s="276" t="n">
        <v>1.69</v>
      </c>
      <c r="AG136" s="276" t="n">
        <v>1.74</v>
      </c>
      <c r="AH136" s="276" t="n">
        <v>1.76</v>
      </c>
      <c r="AI136" s="276" t="n">
        <v>2.38</v>
      </c>
      <c r="AJ136" s="276" t="n">
        <v>7.57</v>
      </c>
      <c r="AK136" s="276" t="n">
        <v>0.85</v>
      </c>
      <c r="AL136" s="276" t="n">
        <v>0.91</v>
      </c>
      <c r="AM136" s="276" t="n">
        <v>2.12</v>
      </c>
      <c r="AN136" s="276" t="n">
        <v>2.56</v>
      </c>
      <c r="AO136" s="276" t="n">
        <v>6.43</v>
      </c>
      <c r="AP136" s="276" t="n">
        <v>1.71</v>
      </c>
      <c r="AQ136" s="276" t="n">
        <v>1.8</v>
      </c>
      <c r="AR136" s="276" t="n">
        <v>2.71</v>
      </c>
      <c r="AS136" s="276" t="n">
        <v>3.88</v>
      </c>
      <c r="AT136" s="276" t="n">
        <v>10.09</v>
      </c>
      <c r="AU136" s="276" t="n">
        <v>3.3</v>
      </c>
      <c r="AV136" s="276" t="n">
        <v>3.61</v>
      </c>
      <c r="AW136" s="276" t="n">
        <v>3.22</v>
      </c>
      <c r="AX136" s="276" t="n">
        <v>3.67</v>
      </c>
      <c r="AY136" s="276" t="n">
        <v>13.77</v>
      </c>
      <c r="AZ136" s="276" t="n">
        <v>2.72</v>
      </c>
      <c r="BA136" s="276" t="n">
        <v>2.46</v>
      </c>
      <c r="BB136" s="276" t="n">
        <v>1.64</v>
      </c>
      <c r="BC136" s="276" t="n">
        <v>1.76</v>
      </c>
      <c r="BD136" s="276" t="n">
        <v>8.59</v>
      </c>
      <c r="BE136" s="276" t="n">
        <v>2.2</v>
      </c>
      <c r="BF136" s="276" t="n">
        <v>2.98</v>
      </c>
      <c r="BG136" s="276" t="n">
        <v>4.39</v>
      </c>
      <c r="BH136" s="276" t="n">
        <v>5.33</v>
      </c>
      <c r="BI136" s="276" t="n">
        <v>14.87</v>
      </c>
      <c r="BJ136" s="276" t="n">
        <v>4.71</v>
      </c>
      <c r="BK136" s="276" t="n">
        <v>5.16</v>
      </c>
      <c r="BL136" s="276" t="n">
        <v>6.03</v>
      </c>
      <c r="BM136" s="276" t="n">
        <v>8.02</v>
      </c>
      <c r="BN136" s="276" t="n">
        <v>23.86</v>
      </c>
      <c r="BO136" s="276" t="n">
        <v>6.43</v>
      </c>
      <c r="BP136" s="276" t="n">
        <v>7.14</v>
      </c>
      <c r="BQ136" s="276" t="n">
        <v>1.05</v>
      </c>
      <c r="BR136" s="276" t="n">
        <v>8.880000000000001</v>
      </c>
      <c r="BS136" s="276" t="n">
        <v>23.49</v>
      </c>
      <c r="BT136" s="276" t="n">
        <v>10.44</v>
      </c>
      <c r="BU136" s="276" t="n">
        <v>6.18</v>
      </c>
      <c r="BV136" s="153" t="n"/>
      <c r="BW136" s="153" t="n"/>
      <c r="BX136" s="153" t="n"/>
      <c r="BY136" s="153" t="n"/>
      <c r="BZ136" s="153" t="n"/>
      <c r="CA136" s="153" t="n"/>
      <c r="CB136" s="153" t="n"/>
      <c r="CC136" s="153" t="n"/>
      <c r="CD136" s="153" t="n"/>
    </row>
    <row r="137" ht="15" customHeight="1" s="251">
      <c r="B137" s="57" t="inlineStr">
        <is>
          <t xml:space="preserve">  Check: model vs reported diluted EPS (should be 0.00; ±0.01 rounding)</t>
        </is>
      </c>
      <c r="C137" s="267">
        <f>IF(AND(ISNUMBER(C136),ISNUMBER(C134)),IF(ABS(C134-C136)&lt;=0.0101,0,ROUND(C134-C136,2)),"n/p")</f>
        <v>0</v>
      </c>
      <c r="D137" s="267">
        <f>IF(AND(ISNUMBER(D136),ISNUMBER(D134)),IF(ABS(D134-D136)&lt;=0.0101,0,ROUND(D134-D136,2)),"n/p")</f>
        <v>0</v>
      </c>
      <c r="E137" s="267">
        <f>IF(AND(ISNUMBER(E136),ISNUMBER(E134)),IF(ABS(E134-E136)&lt;=0.0101,0,ROUND(E134-E136,2)),"n/p")</f>
        <v>0</v>
      </c>
      <c r="F137" s="267">
        <f>IF(AND(ISNUMBER(F136),ISNUMBER(F134)),IF(ABS(F134-F136)&lt;=0.0101,0,ROUND(F134-F136,2)),"n/p")</f>
        <v>0</v>
      </c>
      <c r="G137" s="267">
        <f>IF(AND(ISNUMBER(G136),ISNUMBER(G134)),IF(ABS(G134-G136)&lt;=0.0101,0,ROUND(G134-G136,2)),"n/p")</f>
        <v>0</v>
      </c>
      <c r="H137" s="267">
        <f>IF(AND(ISNUMBER(H136),ISNUMBER(H134)),IF(ABS(H134-H136)&lt;=0.0101,0,ROUND(H134-H136,2)),"n/p")</f>
        <v>0</v>
      </c>
      <c r="I137" s="267">
        <f>IF(AND(ISNUMBER(I136),ISNUMBER(I134)),IF(ABS(I134-I136)&lt;=0.0101,0,ROUND(I134-I136,2)),"n/p")</f>
        <v>0</v>
      </c>
      <c r="J137" s="267">
        <f>IF(AND(ISNUMBER(J136),ISNUMBER(J134)),IF(ABS(J134-J136)&lt;=0.0101,0,ROUND(J134-J136,2)),"n/p")</f>
        <v>0</v>
      </c>
      <c r="K137" s="267">
        <f>IF(AND(ISNUMBER(K136),ISNUMBER(K134)),IF(ABS(K134-K136)&lt;=0.0101,0,ROUND(K134-K136,2)),"n/p")</f>
        <v>0</v>
      </c>
      <c r="L137" s="267">
        <f>IF(AND(ISNUMBER(L136),ISNUMBER(L134)),IF(ABS(L134-L136)&lt;=0.0101,0,ROUND(L134-L136,2)),"n/p")</f>
        <v>0</v>
      </c>
      <c r="M137" s="267">
        <f>IF(AND(ISNUMBER(M136),ISNUMBER(M134)),IF(ABS(M134-M136)&lt;=0.0101,0,ROUND(M134-M136,2)),"n/p")</f>
        <v>0</v>
      </c>
      <c r="N137" s="267">
        <f>IF(AND(ISNUMBER(N136),ISNUMBER(N134)),IF(ABS(N134-N136)&lt;=0.0101,0,ROUND(N134-N136,2)),"n/p")</f>
        <v>0</v>
      </c>
      <c r="O137" s="267">
        <f>IF(AND(ISNUMBER(O136),ISNUMBER(O134)),IF(ABS(O134-O136)&lt;=0.0101,0,ROUND(O134-O136,2)),"n/p")</f>
        <v>0</v>
      </c>
      <c r="P137" s="267">
        <f>IF(AND(ISNUMBER(P136),ISNUMBER(P134)),IF(ABS(P134-P136)&lt;=0.0101,0,ROUND(P134-P136,2)),"n/p")</f>
        <v>0</v>
      </c>
      <c r="Q137" s="267">
        <f>IF(AND(ISNUMBER(Q136),ISNUMBER(Q134)),IF(ABS(Q134-Q136)&lt;=0.0101,0,ROUND(Q134-Q136,2)),"n/p")</f>
        <v>0</v>
      </c>
      <c r="R137" s="267">
        <f>IF(AND(ISNUMBER(R136),ISNUMBER(R134)),IF(ABS(R134-R136)&lt;=0.0101,0,ROUND(R134-R136,2)),"n/p")</f>
        <v>0</v>
      </c>
      <c r="S137" s="267">
        <f>IF(AND(ISNUMBER(S136),ISNUMBER(S134)),IF(ABS(S134-S136)&lt;=0.0101,0,ROUND(S134-S136,2)),"n/p")</f>
        <v>0</v>
      </c>
      <c r="T137" s="267">
        <f>IF(AND(ISNUMBER(T136),ISNUMBER(T134)),IF(ABS(T134-T136)&lt;=0.0101,0,ROUND(T134-T136,2)),"n/p")</f>
        <v>0</v>
      </c>
      <c r="U137" s="267">
        <f>IF(AND(ISNUMBER(U136),ISNUMBER(U134)),IF(ABS(U134-U136)&lt;=0.0101,0,ROUND(U134-U136,2)),"n/p")</f>
        <v>0</v>
      </c>
      <c r="V137" s="267">
        <f>IF(AND(ISNUMBER(V136),ISNUMBER(V134)),IF(ABS(V134-V136)&lt;=0.0101,0,ROUND(V134-V136,2)),"n/p")</f>
        <v>0</v>
      </c>
      <c r="W137" s="267">
        <f>IF(AND(ISNUMBER(W136),ISNUMBER(W134)),IF(ABS(W134-W136)&lt;=0.0101,0,ROUND(W134-W136,2)),"n/p")</f>
        <v>0</v>
      </c>
      <c r="X137" s="267">
        <f>IF(AND(ISNUMBER(X136),ISNUMBER(X134)),IF(ABS(X134-X136)&lt;=0.0101,0,ROUND(X134-X136,2)),"n/p")</f>
        <v>0</v>
      </c>
      <c r="Y137" s="267">
        <f>IF(AND(ISNUMBER(Y136),ISNUMBER(Y134)),IF(ABS(Y134-Y136)&lt;=0.0101,0,ROUND(Y134-Y136,2)),"n/p")</f>
        <v>0</v>
      </c>
      <c r="Z137" s="267">
        <f>IF(AND(ISNUMBER(Z136),ISNUMBER(Z134)),IF(ABS(Z134-Z136)&lt;=0.0101,0,ROUND(Z134-Z136,2)),"n/p")</f>
        <v>0</v>
      </c>
      <c r="AA137" s="267">
        <f>IF(AND(ISNUMBER(AA136),ISNUMBER(AA134)),IF(ABS(AA134-AA136)&lt;=0.0101,0,ROUND(AA134-AA136,2)),"n/p")</f>
        <v>0</v>
      </c>
      <c r="AB137" s="267">
        <f>IF(AND(ISNUMBER(AB136),ISNUMBER(AB134)),IF(ABS(AB134-AB136)&lt;=0.0101,0,ROUND(AB134-AB136,2)),"n/p")</f>
        <v>0</v>
      </c>
      <c r="AC137" s="267">
        <f>IF(AND(ISNUMBER(AC136),ISNUMBER(AC134)),IF(ABS(AC134-AC136)&lt;=0.0101,0,ROUND(AC134-AC136,2)),"n/p")</f>
        <v>0</v>
      </c>
      <c r="AD137" s="267">
        <f>IF(AND(ISNUMBER(AD136),ISNUMBER(AD134)),IF(ABS(AD134-AD136)&lt;=0.0101,0,ROUND(AD134-AD136,2)),"n/p")</f>
        <v>0</v>
      </c>
      <c r="AE137" s="267">
        <f>IF(AND(ISNUMBER(AE136),ISNUMBER(AE134)),IF(ABS(AE134-AE136)&lt;=0.0101,0,ROUND(AE134-AE136,2)),"n/p")</f>
        <v>0</v>
      </c>
      <c r="AF137" s="267">
        <f>IF(AND(ISNUMBER(AF136),ISNUMBER(AF134)),IF(ABS(AF134-AF136)&lt;=0.0101,0,ROUND(AF134-AF136,2)),"n/p")</f>
        <v>0</v>
      </c>
      <c r="AG137" s="267">
        <f>IF(AND(ISNUMBER(AG136),ISNUMBER(AG134)),IF(ABS(AG134-AG136)&lt;=0.0101,0,ROUND(AG134-AG136,2)),"n/p")</f>
        <v>0</v>
      </c>
      <c r="AH137" s="267">
        <f>IF(AND(ISNUMBER(AH136),ISNUMBER(AH134)),IF(ABS(AH134-AH136)&lt;=0.0101,0,ROUND(AH134-AH136,2)),"n/p")</f>
        <v>0</v>
      </c>
      <c r="AI137" s="267">
        <f>IF(AND(ISNUMBER(AI136),ISNUMBER(AI134)),IF(ABS(AI134-AI136)&lt;=0.0101,0,ROUND(AI134-AI136,2)),"n/p")</f>
        <v>0</v>
      </c>
      <c r="AJ137" s="267">
        <f>IF(AND(ISNUMBER(AJ136),ISNUMBER(AJ134)),IF(ABS(AJ134-AJ136)&lt;=0.0101,0,ROUND(AJ134-AJ136,2)),"n/p")</f>
        <v>0</v>
      </c>
      <c r="AK137" s="267">
        <f>IF(AND(ISNUMBER(AK136),ISNUMBER(AK134)),IF(ABS(AK134-AK136)&lt;=0.0101,0,ROUND(AK134-AK136,2)),"n/p")</f>
        <v>0</v>
      </c>
      <c r="AL137" s="267">
        <f>IF(AND(ISNUMBER(AL136),ISNUMBER(AL134)),IF(ABS(AL134-AL136)&lt;=0.0101,0,ROUND(AL134-AL136,2)),"n/p")</f>
        <v>0</v>
      </c>
      <c r="AM137" s="267">
        <f>IF(AND(ISNUMBER(AM136),ISNUMBER(AM134)),IF(ABS(AM134-AM136)&lt;=0.0101,0,ROUND(AM134-AM136,2)),"n/p")</f>
        <v>0</v>
      </c>
      <c r="AN137" s="267">
        <f>IF(AND(ISNUMBER(AN136),ISNUMBER(AN134)),IF(ABS(AN134-AN136)&lt;=0.0101,0,ROUND(AN134-AN136,2)),"n/p")</f>
        <v>0</v>
      </c>
      <c r="AO137" s="267">
        <f>IF(AND(ISNUMBER(AO136),ISNUMBER(AO134)),IF(ABS(AO134-AO136)&lt;=0.0101,0,ROUND(AO134-AO136,2)),"n/p")</f>
        <v>0</v>
      </c>
      <c r="AP137" s="267">
        <f>IF(AND(ISNUMBER(AP136),ISNUMBER(AP134)),IF(ABS(AP134-AP136)&lt;=0.0101,0,ROUND(AP134-AP136,2)),"n/p")</f>
        <v>0</v>
      </c>
      <c r="AQ137" s="267">
        <f>IF(AND(ISNUMBER(AQ136),ISNUMBER(AQ134)),IF(ABS(AQ134-AQ136)&lt;=0.0101,0,ROUND(AQ134-AQ136,2)),"n/p")</f>
        <v>0</v>
      </c>
      <c r="AR137" s="267">
        <f>IF(AND(ISNUMBER(AR136),ISNUMBER(AR134)),IF(ABS(AR134-AR136)&lt;=0.0101,0,ROUND(AR134-AR136,2)),"n/p")</f>
        <v>0</v>
      </c>
      <c r="AS137" s="267">
        <f>IF(AND(ISNUMBER(AS136),ISNUMBER(AS134)),IF(ABS(AS134-AS136)&lt;=0.0101,0,ROUND(AS134-AS136,2)),"n/p")</f>
        <v>0</v>
      </c>
      <c r="AT137" s="267">
        <f>IF(AND(ISNUMBER(AT136),ISNUMBER(AT134)),IF(ABS(AT134-AT136)&lt;=0.0101,0,ROUND(AT134-AT136,2)),"n/p")</f>
        <v>0</v>
      </c>
      <c r="AU137" s="267">
        <f>IF(AND(ISNUMBER(AU136),ISNUMBER(AU134)),IF(ABS(AU134-AU136)&lt;=0.0101,0,ROUND(AU134-AU136,2)),"n/p")</f>
        <v>0</v>
      </c>
      <c r="AV137" s="267">
        <f>IF(AND(ISNUMBER(AV136),ISNUMBER(AV134)),IF(ABS(AV134-AV136)&lt;=0.0101,0,ROUND(AV134-AV136,2)),"n/p")</f>
        <v>0</v>
      </c>
      <c r="AW137" s="267">
        <f>IF(AND(ISNUMBER(AW136),ISNUMBER(AW134)),IF(ABS(AW134-AW136)&lt;=0.0101,0,ROUND(AW134-AW136,2)),"n/p")</f>
        <v>0</v>
      </c>
      <c r="AX137" s="267">
        <f>IF(AND(ISNUMBER(AX136),ISNUMBER(AX134)),IF(ABS(AX134-AX136)&lt;=0.0101,0,ROUND(AX134-AX136,2)),"n/p")</f>
        <v>0</v>
      </c>
      <c r="AY137" s="267">
        <f>IF(AND(ISNUMBER(AY136),ISNUMBER(AY134)),IF(ABS(AY134-AY136)&lt;=0.0101,0,ROUND(AY134-AY136,2)),"n/p")</f>
        <v>0</v>
      </c>
      <c r="AZ137" s="267">
        <f>IF(AND(ISNUMBER(AZ136),ISNUMBER(AZ134)),IF(ABS(AZ134-AZ136)&lt;=0.0101,0,ROUND(AZ134-AZ136,2)),"n/p")</f>
        <v>0</v>
      </c>
      <c r="BA137" s="267">
        <f>IF(AND(ISNUMBER(BA136),ISNUMBER(BA134)),IF(ABS(BA134-BA136)&lt;=0.0101,0,ROUND(BA134-BA136,2)),"n/p")</f>
        <v>0</v>
      </c>
      <c r="BB137" s="267">
        <f>IF(AND(ISNUMBER(BB136),ISNUMBER(BB134)),IF(ABS(BB134-BB136)&lt;=0.0101,0,ROUND(BB134-BB136,2)),"n/p")</f>
        <v>0</v>
      </c>
      <c r="BC137" s="267">
        <f>IF(AND(ISNUMBER(BC136),ISNUMBER(BC134)),IF(ABS(BC134-BC136)&lt;=0.0101,0,ROUND(BC134-BC136,2)),"n/p")</f>
        <v>0</v>
      </c>
      <c r="BD137" s="267">
        <f>IF(AND(ISNUMBER(BD136),ISNUMBER(BD134)),IF(ABS(BD134-BD136)&lt;=0.0101,0,ROUND(BD134-BD136,2)),"n/p")</f>
        <v>0</v>
      </c>
      <c r="BE137" s="267">
        <f>IF(AND(ISNUMBER(BE136),ISNUMBER(BE134)),IF(ABS(BE134-BE136)&lt;=0.0101,0,ROUND(BE134-BE136,2)),"n/p")</f>
        <v>0</v>
      </c>
      <c r="BF137" s="267">
        <f>IF(AND(ISNUMBER(BF136),ISNUMBER(BF134)),IF(ABS(BF134-BF136)&lt;=0.0101,0,ROUND(BF134-BF136,2)),"n/p")</f>
        <v>0</v>
      </c>
      <c r="BG137" s="267">
        <f>IF(AND(ISNUMBER(BG136),ISNUMBER(BG134)),IF(ABS(BG134-BG136)&lt;=0.0101,0,ROUND(BG134-BG136,2)),"n/p")</f>
        <v>0</v>
      </c>
      <c r="BH137" s="267">
        <f>IF(AND(ISNUMBER(BH136),ISNUMBER(BH134)),IF(ABS(BH134-BH136)&lt;=0.0101,0,ROUND(BH134-BH136,2)),"n/p")</f>
        <v>0</v>
      </c>
      <c r="BI137" s="267">
        <f>IF(AND(ISNUMBER(BI136),ISNUMBER(BI134)),IF(ABS(BI134-BI136)&lt;=0.0101,0,ROUND(BI134-BI136,2)),"n/p")</f>
        <v>0</v>
      </c>
      <c r="BJ137" s="267">
        <f>IF(AND(ISNUMBER(BJ136),ISNUMBER(BJ134)),IF(ABS(BJ134-BJ136)&lt;=0.0101,0,ROUND(BJ134-BJ136,2)),"n/p")</f>
        <v>0</v>
      </c>
      <c r="BK137" s="267">
        <f>IF(AND(ISNUMBER(BK136),ISNUMBER(BK134)),IF(ABS(BK134-BK136)&lt;=0.0101,0,ROUND(BK134-BK136,2)),"n/p")</f>
        <v>0</v>
      </c>
      <c r="BL137" s="267">
        <f>IF(AND(ISNUMBER(BL136),ISNUMBER(BL134)),IF(ABS(BL134-BL136)&lt;=0.0101,0,ROUND(BL134-BL136,2)),"n/p")</f>
        <v>0</v>
      </c>
      <c r="BM137" s="267">
        <f>IF(AND(ISNUMBER(BM136),ISNUMBER(BM134)),IF(ABS(BM134-BM136)&lt;=0.0101,0,ROUND(BM134-BM136,2)),"n/p")</f>
        <v>0</v>
      </c>
      <c r="BN137" s="267">
        <f>IF(AND(ISNUMBER(BN136),ISNUMBER(BN134)),IF(ABS(BN134-BN136)&lt;=0.0101,0,ROUND(BN134-BN136,2)),"n/p")</f>
        <v>0</v>
      </c>
      <c r="BO137" s="267">
        <f>IF(AND(ISNUMBER(BO136),ISNUMBER(BO134)),IF(ABS(BO134-BO136)&lt;=0.0101,0,ROUND(BO134-BO136,2)),"n/p")</f>
        <v>0</v>
      </c>
      <c r="BP137" s="267">
        <f>IF(AND(ISNUMBER(BP136),ISNUMBER(BP134)),IF(ABS(BP134-BP136)&lt;=0.0101,0,ROUND(BP134-BP136,2)),"n/p")</f>
        <v>0</v>
      </c>
      <c r="BQ137" s="267">
        <f>IF(AND(ISNUMBER(BQ136),ISNUMBER(BQ134)),IF(ABS(BQ134-BQ136)&lt;=0.0101,0,ROUND(BQ134-BQ136,2)),"n/p")</f>
        <v>0</v>
      </c>
      <c r="BR137" s="267">
        <f>IF(AND(ISNUMBER(BR136),ISNUMBER(BR134)),IF(ABS(BR134-BR136)&lt;=0.0101,0,ROUND(BR134-BR136,2)),"n/p")</f>
        <v>0</v>
      </c>
      <c r="BS137" s="267">
        <f>IF(AND(ISNUMBER(BS136),ISNUMBER(BS134)),IF(ABS(BS134-BS136)&lt;=0.0101,0,ROUND(BS134-BS136,2)),"n/p")</f>
        <v>0</v>
      </c>
      <c r="BT137" s="267">
        <f>IF(AND(ISNUMBER(BT136),ISNUMBER(BT134)),IF(ABS(BT134-BT136)&lt;=0.0101,0,ROUND(BT134-BT136,2)),"n/p")</f>
        <v>0</v>
      </c>
      <c r="BU137" s="267">
        <f>IF(AND(ISNUMBER(BU136),ISNUMBER(BU134)),IF(ABS(BU134-BU136)&lt;=0.0101,0,ROUND(BU134-BU136,2)),"n/p")</f>
        <v>0</v>
      </c>
      <c r="BV137" s="153" t="n"/>
      <c r="BW137" s="153" t="n"/>
      <c r="BX137" s="153" t="n"/>
      <c r="BY137" s="153" t="n"/>
      <c r="BZ137" s="153" t="n"/>
      <c r="CA137" s="153" t="n"/>
      <c r="CB137" s="153" t="n"/>
      <c r="CC137" s="153" t="n"/>
      <c r="CD137" s="153" t="n"/>
    </row>
    <row r="138" ht="15" customHeight="1" s="251">
      <c r="B138" s="25" t="inlineStr">
        <is>
          <t xml:space="preserve">  Dividends declared per share ($; first dividend Q1-2024)</t>
        </is>
      </c>
      <c r="C138" s="276" t="n">
        <v>0</v>
      </c>
      <c r="D138" s="276" t="n">
        <v>0</v>
      </c>
      <c r="E138" s="276" t="n">
        <v>0</v>
      </c>
      <c r="F138" s="276" t="n">
        <v>0</v>
      </c>
      <c r="G138" s="276" t="n">
        <v>0</v>
      </c>
      <c r="H138" s="276" t="n">
        <v>0</v>
      </c>
      <c r="I138" s="276" t="n">
        <v>0</v>
      </c>
      <c r="J138" s="276" t="n">
        <v>0</v>
      </c>
      <c r="K138" s="276" t="n">
        <v>0</v>
      </c>
      <c r="L138" s="276" t="n">
        <v>0</v>
      </c>
      <c r="M138" s="276" t="n">
        <v>0</v>
      </c>
      <c r="N138" s="276" t="n">
        <v>0</v>
      </c>
      <c r="O138" s="276" t="n">
        <v>0</v>
      </c>
      <c r="P138" s="276" t="n">
        <v>0</v>
      </c>
      <c r="Q138" s="276" t="n">
        <v>0</v>
      </c>
      <c r="R138" s="276" t="n">
        <v>0</v>
      </c>
      <c r="S138" s="276" t="n">
        <v>0</v>
      </c>
      <c r="T138" s="276" t="n">
        <v>0</v>
      </c>
      <c r="U138" s="276" t="n">
        <v>0</v>
      </c>
      <c r="V138" s="276" t="n">
        <v>0</v>
      </c>
      <c r="W138" s="276" t="n">
        <v>0</v>
      </c>
      <c r="X138" s="276" t="n">
        <v>0</v>
      </c>
      <c r="Y138" s="276" t="n">
        <v>0</v>
      </c>
      <c r="Z138" s="276" t="n">
        <v>0</v>
      </c>
      <c r="AA138" s="276" t="n">
        <v>0</v>
      </c>
      <c r="AB138" s="276" t="n">
        <v>0</v>
      </c>
      <c r="AC138" s="276" t="n">
        <v>0</v>
      </c>
      <c r="AD138" s="276" t="n">
        <v>0</v>
      </c>
      <c r="AE138" s="276" t="n">
        <v>0</v>
      </c>
      <c r="AF138" s="276" t="n">
        <v>0</v>
      </c>
      <c r="AG138" s="276" t="n">
        <v>0</v>
      </c>
      <c r="AH138" s="276" t="n">
        <v>0</v>
      </c>
      <c r="AI138" s="276" t="n">
        <v>0</v>
      </c>
      <c r="AJ138" s="276" t="n">
        <v>0</v>
      </c>
      <c r="AK138" s="276" t="n">
        <v>0</v>
      </c>
      <c r="AL138" s="276" t="n">
        <v>0</v>
      </c>
      <c r="AM138" s="276" t="n">
        <v>0</v>
      </c>
      <c r="AN138" s="276" t="n">
        <v>0</v>
      </c>
      <c r="AO138" s="276" t="n">
        <v>0</v>
      </c>
      <c r="AP138" s="276" t="n">
        <v>0</v>
      </c>
      <c r="AQ138" s="276" t="n">
        <v>0</v>
      </c>
      <c r="AR138" s="276" t="n">
        <v>0</v>
      </c>
      <c r="AS138" s="276" t="n">
        <v>0</v>
      </c>
      <c r="AT138" s="276" t="n">
        <v>0</v>
      </c>
      <c r="AU138" s="276" t="n">
        <v>0</v>
      </c>
      <c r="AV138" s="276" t="n">
        <v>0</v>
      </c>
      <c r="AW138" s="276" t="n">
        <v>0</v>
      </c>
      <c r="AX138" s="276" t="n">
        <v>0</v>
      </c>
      <c r="AY138" s="276" t="n">
        <v>0</v>
      </c>
      <c r="AZ138" s="276" t="n">
        <v>0</v>
      </c>
      <c r="BA138" s="276" t="n">
        <v>0</v>
      </c>
      <c r="BB138" s="276" t="n">
        <v>0</v>
      </c>
      <c r="BC138" s="276" t="n">
        <v>0</v>
      </c>
      <c r="BD138" s="276" t="n">
        <v>0</v>
      </c>
      <c r="BE138" s="276" t="n">
        <v>0</v>
      </c>
      <c r="BF138" s="276" t="n">
        <v>0</v>
      </c>
      <c r="BG138" s="276" t="n">
        <v>0</v>
      </c>
      <c r="BH138" s="276" t="n">
        <v>0</v>
      </c>
      <c r="BI138" s="276" t="n">
        <v>0</v>
      </c>
      <c r="BJ138" s="276" t="n">
        <v>0.5</v>
      </c>
      <c r="BK138" s="276" t="n">
        <v>0.5</v>
      </c>
      <c r="BL138" s="276" t="n">
        <v>0.5</v>
      </c>
      <c r="BM138" s="276" t="n">
        <v>0.5</v>
      </c>
      <c r="BN138" s="276" t="n">
        <v>2</v>
      </c>
      <c r="BO138" s="276" t="n">
        <v>0.525</v>
      </c>
      <c r="BP138" s="276" t="n">
        <v>0.525</v>
      </c>
      <c r="BQ138" s="276" t="n">
        <v>0.525</v>
      </c>
      <c r="BR138" s="276" t="n">
        <v>0.525</v>
      </c>
      <c r="BS138" s="276" t="n">
        <v>2.1</v>
      </c>
      <c r="BT138" s="276" t="n">
        <v>0.525</v>
      </c>
      <c r="BU138" s="276" t="n">
        <v>0.525</v>
      </c>
      <c r="BV138" s="277">
        <f>$CN$23</f>
        <v>0.525</v>
      </c>
      <c r="BW138" s="277">
        <f>$CN$23</f>
        <v>0.525</v>
      </c>
      <c r="BX138" s="277">
        <f>SUM(BT138:BW138)</f>
        <v>2.1</v>
      </c>
      <c r="BY138" s="277">
        <f>BX138*(1+BY139)</f>
        <v>2.205</v>
      </c>
      <c r="BZ138" s="277">
        <f>BY138*(1+BZ139)</f>
        <v>2.31525</v>
      </c>
      <c r="CA138" s="277">
        <f>BZ138*(1+CA139)</f>
        <v>2.4310125</v>
      </c>
      <c r="CB138" s="277">
        <f>CA138*(1+CB139)</f>
        <v>2.552563125</v>
      </c>
      <c r="CC138" s="277">
        <f>CB138*(1+CC139)</f>
        <v>2.68019128125</v>
      </c>
      <c r="CD138" s="19" t="inlineStr">
        <is>
          <t>XBRL (10-Q / 10-K). Quarterly $0.525 (2025–2026). 2027E+: prior year × (1 + growth).</t>
        </is>
      </c>
    </row>
    <row r="139" ht="15" customHeight="1" s="251">
      <c r="B139" s="25" t="inlineStr">
        <is>
          <t xml:space="preserve">  Dividend per share growth %</t>
        </is>
      </c>
      <c r="C139" s="36" t="n"/>
      <c r="D139" s="215">
        <f>IF(AND(ISNUMBER(D138),ISNUMBER(C138)),IFERROR(D138/C138-1,""),"")</f>
      </c>
      <c r="E139" s="215">
        <f>IF(AND(ISNUMBER(E138),ISNUMBER(D138)),IFERROR(E138/D138-1,""),"")</f>
      </c>
      <c r="F139" s="215">
        <f>IF(AND(ISNUMBER(F138),ISNUMBER(E138)),IFERROR(F138/E138-1,""),"")</f>
      </c>
      <c r="G139" s="36" t="n"/>
      <c r="H139" s="36" t="n"/>
      <c r="I139" s="36" t="n"/>
      <c r="J139" s="36" t="n"/>
      <c r="K139" s="215">
        <f>IF(AND(ISNUMBER(K138),ISNUMBER(F138)),IFERROR(K138/F138-1,""),"")</f>
      </c>
      <c r="L139" s="215">
        <f>IF(AND(ISNUMBER(L138),ISNUMBER(G138)),IFERROR(L138/G138-1,""),"")</f>
      </c>
      <c r="M139" s="215">
        <f>IF(AND(ISNUMBER(M138),ISNUMBER(H138)),IFERROR(M138/H138-1,""),"")</f>
      </c>
      <c r="N139" s="215">
        <f>IF(AND(ISNUMBER(N138),ISNUMBER(I138)),IFERROR(N138/I138-1,""),"")</f>
      </c>
      <c r="O139" s="215">
        <f>IF(AND(ISNUMBER(O138),ISNUMBER(J138)),IFERROR(O138/J138-1,""),"")</f>
      </c>
      <c r="P139" s="215">
        <f>IF(AND(ISNUMBER(P138),ISNUMBER(K138)),IFERROR(P138/K138-1,""),"")</f>
      </c>
      <c r="Q139" s="215">
        <f>IF(AND(ISNUMBER(Q138),ISNUMBER(L138)),IFERROR(Q138/L138-1,""),"")</f>
      </c>
      <c r="R139" s="215">
        <f>IF(AND(ISNUMBER(R138),ISNUMBER(M138)),IFERROR(R138/M138-1,""),"")</f>
      </c>
      <c r="S139" s="215">
        <f>IF(AND(ISNUMBER(S138),ISNUMBER(N138)),IFERROR(S138/N138-1,""),"")</f>
      </c>
      <c r="T139" s="215">
        <f>IF(AND(ISNUMBER(T138),ISNUMBER(O138)),IFERROR(T138/O138-1,""),"")</f>
      </c>
      <c r="U139" s="215">
        <f>IF(AND(ISNUMBER(U138),ISNUMBER(P138)),IFERROR(U138/P138-1,""),"")</f>
      </c>
      <c r="V139" s="215">
        <f>IF(AND(ISNUMBER(V138),ISNUMBER(Q138)),IFERROR(V138/Q138-1,""),"")</f>
      </c>
      <c r="W139" s="215">
        <f>IF(AND(ISNUMBER(W138),ISNUMBER(R138)),IFERROR(W138/R138-1,""),"")</f>
      </c>
      <c r="X139" s="215">
        <f>IF(AND(ISNUMBER(X138),ISNUMBER(S138)),IFERROR(X138/S138-1,""),"")</f>
      </c>
      <c r="Y139" s="215">
        <f>IF(AND(ISNUMBER(Y138),ISNUMBER(T138)),IFERROR(Y138/T138-1,""),"")</f>
      </c>
      <c r="Z139" s="215">
        <f>IF(AND(ISNUMBER(Z138),ISNUMBER(U138)),IFERROR(Z138/U138-1,""),"")</f>
      </c>
      <c r="AA139" s="215">
        <f>IF(AND(ISNUMBER(AA138),ISNUMBER(V138)),IFERROR(AA138/V138-1,""),"")</f>
      </c>
      <c r="AB139" s="215">
        <f>IF(AND(ISNUMBER(AB138),ISNUMBER(W138)),IFERROR(AB138/W138-1,""),"")</f>
      </c>
      <c r="AC139" s="215">
        <f>IF(AND(ISNUMBER(AC138),ISNUMBER(X138)),IFERROR(AC138/X138-1,""),"")</f>
      </c>
      <c r="AD139" s="215">
        <f>IF(AND(ISNUMBER(AD138),ISNUMBER(Y138)),IFERROR(AD138/Y138-1,""),"")</f>
      </c>
      <c r="AE139" s="215">
        <f>IF(AND(ISNUMBER(AE138),ISNUMBER(Z138)),IFERROR(AE138/Z138-1,""),"")</f>
      </c>
      <c r="AF139" s="215">
        <f>IF(AND(ISNUMBER(AF138),ISNUMBER(AA138)),IFERROR(AF138/AA138-1,""),"")</f>
      </c>
      <c r="AG139" s="215">
        <f>IF(AND(ISNUMBER(AG138),ISNUMBER(AB138)),IFERROR(AG138/AB138-1,""),"")</f>
      </c>
      <c r="AH139" s="215">
        <f>IF(AND(ISNUMBER(AH138),ISNUMBER(AC138)),IFERROR(AH138/AC138-1,""),"")</f>
      </c>
      <c r="AI139" s="215">
        <f>IF(AND(ISNUMBER(AI138),ISNUMBER(AD138)),IFERROR(AI138/AD138-1,""),"")</f>
      </c>
      <c r="AJ139" s="215">
        <f>IF(AND(ISNUMBER(AJ138),ISNUMBER(AE138)),IFERROR(AJ138/AE138-1,""),"")</f>
      </c>
      <c r="AK139" s="215">
        <f>IF(AND(ISNUMBER(AK138),ISNUMBER(AF138)),IFERROR(AK138/AF138-1,""),"")</f>
      </c>
      <c r="AL139" s="215">
        <f>IF(AND(ISNUMBER(AL138),ISNUMBER(AG138)),IFERROR(AL138/AG138-1,""),"")</f>
      </c>
      <c r="AM139" s="215">
        <f>IF(AND(ISNUMBER(AM138),ISNUMBER(AH138)),IFERROR(AM138/AH138-1,""),"")</f>
      </c>
      <c r="AN139" s="215">
        <f>IF(AND(ISNUMBER(AN138),ISNUMBER(AI138)),IFERROR(AN138/AI138-1,""),"")</f>
      </c>
      <c r="AO139" s="215">
        <f>IF(AND(ISNUMBER(AO138),ISNUMBER(AJ138)),IFERROR(AO138/AJ138-1,""),"")</f>
      </c>
      <c r="AP139" s="215">
        <f>IF(AND(ISNUMBER(AP138),ISNUMBER(AK138)),IFERROR(AP138/AK138-1,""),"")</f>
      </c>
      <c r="AQ139" s="215">
        <f>IF(AND(ISNUMBER(AQ138),ISNUMBER(AL138)),IFERROR(AQ138/AL138-1,""),"")</f>
      </c>
      <c r="AR139" s="215">
        <f>IF(AND(ISNUMBER(AR138),ISNUMBER(AM138)),IFERROR(AR138/AM138-1,""),"")</f>
      </c>
      <c r="AS139" s="215">
        <f>IF(AND(ISNUMBER(AS138),ISNUMBER(AN138)),IFERROR(AS138/AN138-1,""),"")</f>
      </c>
      <c r="AT139" s="215">
        <f>IF(AND(ISNUMBER(AT138),ISNUMBER(AO138)),IFERROR(AT138/AO138-1,""),"")</f>
      </c>
      <c r="AU139" s="215">
        <f>IF(AND(ISNUMBER(AU138),ISNUMBER(AP138)),IFERROR(AU138/AP138-1,""),"")</f>
      </c>
      <c r="AV139" s="215">
        <f>IF(AND(ISNUMBER(AV138),ISNUMBER(AQ138)),IFERROR(AV138/AQ138-1,""),"")</f>
      </c>
      <c r="AW139" s="215">
        <f>IF(AND(ISNUMBER(AW138),ISNUMBER(AR138)),IFERROR(AW138/AR138-1,""),"")</f>
      </c>
      <c r="AX139" s="215">
        <f>IF(AND(ISNUMBER(AX138),ISNUMBER(AS138)),IFERROR(AX138/AS138-1,""),"")</f>
      </c>
      <c r="AY139" s="215">
        <f>IF(AND(ISNUMBER(AY138),ISNUMBER(AT138)),IFERROR(AY138/AT138-1,""),"")</f>
      </c>
      <c r="AZ139" s="215">
        <f>IF(AND(ISNUMBER(AZ138),ISNUMBER(AU138)),IFERROR(AZ138/AU138-1,""),"")</f>
      </c>
      <c r="BA139" s="215">
        <f>IF(AND(ISNUMBER(BA138),ISNUMBER(AV138)),IFERROR(BA138/AV138-1,""),"")</f>
      </c>
      <c r="BB139" s="215">
        <f>IF(AND(ISNUMBER(BB138),ISNUMBER(AW138)),IFERROR(BB138/AW138-1,""),"")</f>
      </c>
      <c r="BC139" s="215">
        <f>IF(AND(ISNUMBER(BC138),ISNUMBER(AX138)),IFERROR(BC138/AX138-1,""),"")</f>
      </c>
      <c r="BD139" s="215">
        <f>IF(AND(ISNUMBER(BD138),ISNUMBER(AY138)),IFERROR(BD138/AY138-1,""),"")</f>
      </c>
      <c r="BE139" s="215">
        <f>IF(AND(ISNUMBER(BE138),ISNUMBER(AZ138)),IFERROR(BE138/AZ138-1,""),"")</f>
      </c>
      <c r="BF139" s="215">
        <f>IF(AND(ISNUMBER(BF138),ISNUMBER(BA138)),IFERROR(BF138/BA138-1,""),"")</f>
      </c>
      <c r="BG139" s="215">
        <f>IF(AND(ISNUMBER(BG138),ISNUMBER(BB138)),IFERROR(BG138/BB138-1,""),"")</f>
      </c>
      <c r="BH139" s="215">
        <f>IF(AND(ISNUMBER(BH138),ISNUMBER(BC138)),IFERROR(BH138/BC138-1,""),"")</f>
      </c>
      <c r="BI139" s="215">
        <f>IF(AND(ISNUMBER(BI138),ISNUMBER(BD138)),IFERROR(BI138/BD138-1,""),"")</f>
      </c>
      <c r="BJ139" s="215">
        <f>IF(AND(ISNUMBER(BJ138),ISNUMBER(BE138)),IFERROR(BJ138/BE138-1,""),"")</f>
      </c>
      <c r="BK139" s="215">
        <f>IF(AND(ISNUMBER(BK138),ISNUMBER(BF138)),IFERROR(BK138/BF138-1,""),"")</f>
      </c>
      <c r="BL139" s="215">
        <f>IF(AND(ISNUMBER(BL138),ISNUMBER(BG138)),IFERROR(BL138/BG138-1,""),"")</f>
      </c>
      <c r="BM139" s="215">
        <f>IF(AND(ISNUMBER(BM138),ISNUMBER(BH138)),IFERROR(BM138/BH138-1,""),"")</f>
      </c>
      <c r="BN139" s="215">
        <f>IF(AND(ISNUMBER(BN138),ISNUMBER(BI138)),IFERROR(BN138/BI138-1,""),"")</f>
      </c>
      <c r="BO139" s="215">
        <f>IF(AND(ISNUMBER(BO138),ISNUMBER(BJ138)),IFERROR(BO138/BJ138-1,""),"")</f>
        <v>0.05</v>
      </c>
      <c r="BP139" s="215">
        <f>IF(AND(ISNUMBER(BP138),ISNUMBER(BK138)),IFERROR(BP138/BK138-1,""),"")</f>
        <v>0.05</v>
      </c>
      <c r="BQ139" s="215">
        <f>IF(AND(ISNUMBER(BQ138),ISNUMBER(BL138)),IFERROR(BQ138/BL138-1,""),"")</f>
        <v>0.05</v>
      </c>
      <c r="BR139" s="215">
        <f>IF(AND(ISNUMBER(BR138),ISNUMBER(BM138)),IFERROR(BR138/BM138-1,""),"")</f>
        <v>0.05</v>
      </c>
      <c r="BS139" s="215">
        <f>IF(AND(ISNUMBER(BS138),ISNUMBER(BN138)),IFERROR(BS138/BN138-1,""),"")</f>
        <v>0.05</v>
      </c>
      <c r="BT139" s="215">
        <f>IF(AND(ISNUMBER(BT138),ISNUMBER(BO138)),IFERROR(BT138/BO138-1,""),"")</f>
        <v>0</v>
      </c>
      <c r="BU139" s="215">
        <f>IF(AND(ISNUMBER(BU138),ISNUMBER(BP138)),IFERROR(BU138/BP138-1,""),"")</f>
        <v>0</v>
      </c>
      <c r="BV139" s="256">
        <f>IF(AND(ISNUMBER(BV138),ISNUMBER(BQ138)),IFERROR(BV138/BQ138-1,""),"")</f>
        <v>0</v>
      </c>
      <c r="BW139" s="256">
        <f>IF(AND(ISNUMBER(BW138),ISNUMBER(BR138)),IFERROR(BW138/BR138-1,""),"")</f>
        <v>0</v>
      </c>
      <c r="BX139" s="256">
        <f>IF(AND(ISNUMBER(BX138),ISNUMBER(BS138)),IFERROR(BX138/BS138-1,""),"")</f>
        <v>0</v>
      </c>
      <c r="BY139" s="270" t="n">
        <v>0.05</v>
      </c>
      <c r="BZ139" s="270" t="n">
        <v>0.05</v>
      </c>
      <c r="CA139" s="270" t="n">
        <v>0.05</v>
      </c>
      <c r="CB139" s="270" t="n">
        <v>0.05</v>
      </c>
      <c r="CC139" s="270" t="n">
        <v>0.05</v>
      </c>
      <c r="CD139" s="19" t="n"/>
    </row>
    <row r="140" ht="15" customHeight="1" s="251">
      <c r="CL140" s="11" t="n"/>
      <c r="CM140" s="12" t="n"/>
      <c r="CN140" s="12" t="n"/>
      <c r="CO140" s="12" t="n"/>
      <c r="CP140" s="13" t="n"/>
    </row>
    <row r="141" ht="15" customHeight="1" s="251">
      <c r="B141" s="10" t="inlineStr">
        <is>
          <t>RECONCILIATION: INCOME FROM OPERATIONS → ADJUSTED INCOME FROM OPERATIONS (company definition IPO–2016; model definition after)</t>
        </is>
      </c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n"/>
      <c r="AN141" s="10" t="n"/>
      <c r="AO141" s="10" t="n"/>
      <c r="AP141" s="10" t="n"/>
      <c r="AQ141" s="10" t="n"/>
      <c r="AR141" s="10" t="n"/>
      <c r="AS141" s="10" t="n"/>
      <c r="AT141" s="10" t="n"/>
      <c r="AU141" s="10" t="n"/>
      <c r="AV141" s="10" t="n"/>
      <c r="AW141" s="10" t="n"/>
      <c r="AX141" s="10" t="n"/>
      <c r="AY141" s="10" t="n"/>
      <c r="AZ141" s="10" t="n"/>
      <c r="BA141" s="10" t="n"/>
      <c r="BB141" s="10" t="n"/>
      <c r="BC141" s="10" t="n"/>
      <c r="BD141" s="10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inlineStr">
        <is>
          <t>ADJUSTED OI — company non-GAAP IPO–Q4 2016 (excl. share-based compensation, payroll tax, amortization from Q3-14); 2017+ model: company-quantified one-offs only</t>
        </is>
      </c>
    </row>
    <row r="142" ht="15" customHeight="1" s="251">
      <c r="B142" s="16" t="inlineStr">
        <is>
          <t>Income from operations (GAAP)</t>
        </is>
      </c>
      <c r="C142" s="266">
        <f>C116</f>
        <v>262</v>
      </c>
      <c r="D142" s="266">
        <f>D116</f>
        <v>1032</v>
      </c>
      <c r="E142" s="266">
        <f>E116</f>
        <v>1756</v>
      </c>
      <c r="F142" s="266">
        <f>F116</f>
        <v>538</v>
      </c>
      <c r="G142" s="266">
        <f>G116</f>
        <v>373</v>
      </c>
      <c r="H142" s="266">
        <f>H116</f>
        <v>562</v>
      </c>
      <c r="I142" s="266">
        <f>I116</f>
        <v>736</v>
      </c>
      <c r="J142" s="266">
        <f>J116</f>
        <v>1133</v>
      </c>
      <c r="K142" s="266">
        <f>K116</f>
        <v>2804</v>
      </c>
      <c r="L142" s="266">
        <f>L116</f>
        <v>1075</v>
      </c>
      <c r="M142" s="266">
        <f>M116</f>
        <v>1390</v>
      </c>
      <c r="N142" s="266">
        <f>N116</f>
        <v>1397</v>
      </c>
      <c r="O142" s="266">
        <f>O116</f>
        <v>1133</v>
      </c>
      <c r="P142" s="266">
        <f>P116</f>
        <v>4994</v>
      </c>
      <c r="Q142" s="266">
        <f>Q116</f>
        <v>933</v>
      </c>
      <c r="R142" s="266">
        <f>R116</f>
        <v>1273</v>
      </c>
      <c r="S142" s="266">
        <f>S116</f>
        <v>1459</v>
      </c>
      <c r="T142" s="266">
        <f>T116</f>
        <v>2560</v>
      </c>
      <c r="U142" s="266">
        <f>U116</f>
        <v>6225</v>
      </c>
      <c r="V142" s="266">
        <f>V116</f>
        <v>2009</v>
      </c>
      <c r="W142" s="266">
        <f>W116</f>
        <v>2746</v>
      </c>
      <c r="X142" s="266">
        <f>X116</f>
        <v>3122</v>
      </c>
      <c r="Y142" s="266">
        <f>Y116</f>
        <v>4566</v>
      </c>
      <c r="Z142" s="266">
        <f>Z116</f>
        <v>12427</v>
      </c>
      <c r="AA142" s="266">
        <f>AA116</f>
        <v>3327</v>
      </c>
      <c r="AB142" s="266">
        <f>AB116</f>
        <v>4401</v>
      </c>
      <c r="AC142" s="266">
        <f>AC116</f>
        <v>5122</v>
      </c>
      <c r="AD142" s="266">
        <f>AD116</f>
        <v>7352</v>
      </c>
      <c r="AE142" s="266">
        <f>AE116</f>
        <v>20203</v>
      </c>
      <c r="AF142" s="266">
        <f>AF116</f>
        <v>5449</v>
      </c>
      <c r="AG142" s="266">
        <f>AG116</f>
        <v>5863</v>
      </c>
      <c r="AH142" s="266">
        <f>AH116</f>
        <v>5781</v>
      </c>
      <c r="AI142" s="266">
        <f>AI116</f>
        <v>7820</v>
      </c>
      <c r="AJ142" s="266">
        <f>AJ116</f>
        <v>24913</v>
      </c>
      <c r="AK142" s="266">
        <f>AK116</f>
        <v>3317</v>
      </c>
      <c r="AL142" s="266">
        <f>AL116</f>
        <v>4626</v>
      </c>
      <c r="AM142" s="266">
        <f>AM116</f>
        <v>7185</v>
      </c>
      <c r="AN142" s="266">
        <f>AN116</f>
        <v>8858</v>
      </c>
      <c r="AO142" s="266">
        <f>AO116</f>
        <v>23986</v>
      </c>
      <c r="AP142" s="266">
        <f>AP116</f>
        <v>5893</v>
      </c>
      <c r="AQ142" s="266">
        <f>AQ116</f>
        <v>5963</v>
      </c>
      <c r="AR142" s="266">
        <f>AR116</f>
        <v>8040</v>
      </c>
      <c r="AS142" s="266">
        <f>AS116</f>
        <v>12775</v>
      </c>
      <c r="AT142" s="266">
        <f>AT116</f>
        <v>32671</v>
      </c>
      <c r="AU142" s="266">
        <f>AU116</f>
        <v>11378</v>
      </c>
      <c r="AV142" s="266">
        <f>AV116</f>
        <v>12367</v>
      </c>
      <c r="AW142" s="266">
        <f>AW116</f>
        <v>10423</v>
      </c>
      <c r="AX142" s="266">
        <f>AX116</f>
        <v>12585</v>
      </c>
      <c r="AY142" s="266">
        <f>AY116</f>
        <v>46753</v>
      </c>
      <c r="AZ142" s="266">
        <f>AZ116</f>
        <v>8524</v>
      </c>
      <c r="BA142" s="266">
        <f>BA116</f>
        <v>8358</v>
      </c>
      <c r="BB142" s="266">
        <f>BB116</f>
        <v>5664</v>
      </c>
      <c r="BC142" s="266">
        <f>BC116</f>
        <v>6399</v>
      </c>
      <c r="BD142" s="266">
        <f>BD116</f>
        <v>28944</v>
      </c>
      <c r="BE142" s="266">
        <f>BE116</f>
        <v>7227</v>
      </c>
      <c r="BF142" s="266">
        <f>BF116</f>
        <v>9392</v>
      </c>
      <c r="BG142" s="266">
        <f>BG116</f>
        <v>13748</v>
      </c>
      <c r="BH142" s="266">
        <f>BH116</f>
        <v>16384</v>
      </c>
      <c r="BI142" s="266">
        <f>BI116</f>
        <v>46751</v>
      </c>
      <c r="BJ142" s="266">
        <f>BJ116</f>
        <v>13818</v>
      </c>
      <c r="BK142" s="266">
        <f>BK116</f>
        <v>14847</v>
      </c>
      <c r="BL142" s="266">
        <f>BL116</f>
        <v>17350</v>
      </c>
      <c r="BM142" s="266">
        <f>BM116</f>
        <v>23365</v>
      </c>
      <c r="BN142" s="266">
        <f>BN116</f>
        <v>69380</v>
      </c>
      <c r="BO142" s="266">
        <f>BO116</f>
        <v>17555</v>
      </c>
      <c r="BP142" s="266">
        <f>BP116</f>
        <v>20441</v>
      </c>
      <c r="BQ142" s="266">
        <f>BQ116</f>
        <v>20535</v>
      </c>
      <c r="BR142" s="266">
        <f>BR116</f>
        <v>24745</v>
      </c>
      <c r="BS142" s="266">
        <f>BS116</f>
        <v>83276</v>
      </c>
      <c r="BT142" s="266">
        <f>BT116</f>
        <v>22872</v>
      </c>
      <c r="BU142" s="266">
        <f>BU116</f>
        <v>18775</v>
      </c>
      <c r="BV142" s="254">
        <f>BV116</f>
        <v>19818.8786728419</v>
      </c>
      <c r="BW142" s="254">
        <f>BW116</f>
        <v>24134.5328583236</v>
      </c>
      <c r="BX142" s="254">
        <f>BX116</f>
        <v>85600.4115311655</v>
      </c>
      <c r="BY142" s="254">
        <f>BY116</f>
        <v>102233.462145683</v>
      </c>
      <c r="BZ142" s="254">
        <f>BZ116</f>
        <v>119115.078596139</v>
      </c>
      <c r="CA142" s="254">
        <f>CA116</f>
        <v>134765.024787283</v>
      </c>
      <c r="CB142" s="254">
        <f>CB116</f>
        <v>155014.506147673</v>
      </c>
      <c r="CC142" s="254">
        <f>CC116</f>
        <v>175281.06846433</v>
      </c>
      <c r="CD142" s="153" t="n"/>
    </row>
    <row r="143" ht="15" customHeight="1" s="251">
      <c r="B143" s="25" t="inlineStr">
        <is>
          <t xml:space="preserve">  (+) Share-based compensation (company definition IPO–2016 only)</t>
        </is>
      </c>
      <c r="C143" s="211">
        <f>0</f>
        <v>0</v>
      </c>
      <c r="D143" s="211">
        <f>0</f>
        <v>0</v>
      </c>
      <c r="E143" s="211">
        <f>0</f>
        <v>0</v>
      </c>
      <c r="F143" s="261" t="n">
        <v>1572</v>
      </c>
      <c r="G143" s="261" t="n">
        <v>170</v>
      </c>
      <c r="H143" s="261" t="n">
        <v>224</v>
      </c>
      <c r="I143" s="261" t="n">
        <v>239</v>
      </c>
      <c r="J143" s="261" t="n">
        <v>273</v>
      </c>
      <c r="K143" s="261" t="n">
        <v>906</v>
      </c>
      <c r="L143" s="261" t="n">
        <v>274</v>
      </c>
      <c r="M143" s="261" t="n">
        <v>314</v>
      </c>
      <c r="N143" s="261" t="n">
        <v>353</v>
      </c>
      <c r="O143" s="261" t="n">
        <v>896</v>
      </c>
      <c r="P143" s="261" t="n">
        <v>1837</v>
      </c>
      <c r="Q143" s="261" t="n">
        <v>703</v>
      </c>
      <c r="R143" s="261" t="n">
        <v>763</v>
      </c>
      <c r="S143" s="261" t="n">
        <v>757</v>
      </c>
      <c r="T143" s="261" t="n">
        <v>746</v>
      </c>
      <c r="U143" s="261" t="n">
        <v>2969</v>
      </c>
      <c r="V143" s="261" t="n">
        <v>747</v>
      </c>
      <c r="W143" s="261" t="n">
        <v>805</v>
      </c>
      <c r="X143" s="261" t="n">
        <v>819</v>
      </c>
      <c r="Y143" s="261" t="n">
        <v>831</v>
      </c>
      <c r="Z143" s="261" t="n">
        <v>3218</v>
      </c>
      <c r="AA143" s="211">
        <f>0</f>
        <v>0</v>
      </c>
      <c r="AB143" s="211">
        <f>0</f>
        <v>0</v>
      </c>
      <c r="AC143" s="211">
        <f>0</f>
        <v>0</v>
      </c>
      <c r="AD143" s="211">
        <f>0</f>
        <v>0</v>
      </c>
      <c r="AE143" s="211">
        <f>0</f>
        <v>0</v>
      </c>
      <c r="AF143" s="211">
        <f>0</f>
        <v>0</v>
      </c>
      <c r="AG143" s="211">
        <f>0</f>
        <v>0</v>
      </c>
      <c r="AH143" s="211">
        <f>0</f>
        <v>0</v>
      </c>
      <c r="AI143" s="211">
        <f>0</f>
        <v>0</v>
      </c>
      <c r="AJ143" s="211">
        <f>0</f>
        <v>0</v>
      </c>
      <c r="AK143" s="211">
        <f>0</f>
        <v>0</v>
      </c>
      <c r="AL143" s="211">
        <f>0</f>
        <v>0</v>
      </c>
      <c r="AM143" s="211">
        <f>0</f>
        <v>0</v>
      </c>
      <c r="AN143" s="211">
        <f>0</f>
        <v>0</v>
      </c>
      <c r="AO143" s="211">
        <f>0</f>
        <v>0</v>
      </c>
      <c r="AP143" s="211">
        <f>0</f>
        <v>0</v>
      </c>
      <c r="AQ143" s="211">
        <f>0</f>
        <v>0</v>
      </c>
      <c r="AR143" s="211">
        <f>0</f>
        <v>0</v>
      </c>
      <c r="AS143" s="211">
        <f>0</f>
        <v>0</v>
      </c>
      <c r="AT143" s="211">
        <f>0</f>
        <v>0</v>
      </c>
      <c r="AU143" s="211">
        <f>0</f>
        <v>0</v>
      </c>
      <c r="AV143" s="211">
        <f>0</f>
        <v>0</v>
      </c>
      <c r="AW143" s="211">
        <f>0</f>
        <v>0</v>
      </c>
      <c r="AX143" s="211">
        <f>0</f>
        <v>0</v>
      </c>
      <c r="AY143" s="211">
        <f>0</f>
        <v>0</v>
      </c>
      <c r="AZ143" s="211">
        <f>0</f>
        <v>0</v>
      </c>
      <c r="BA143" s="211">
        <f>0</f>
        <v>0</v>
      </c>
      <c r="BB143" s="211">
        <f>0</f>
        <v>0</v>
      </c>
      <c r="BC143" s="211">
        <f>0</f>
        <v>0</v>
      </c>
      <c r="BD143" s="211">
        <f>0</f>
        <v>0</v>
      </c>
      <c r="BE143" s="211">
        <f>0</f>
        <v>0</v>
      </c>
      <c r="BF143" s="211">
        <f>0</f>
        <v>0</v>
      </c>
      <c r="BG143" s="211">
        <f>0</f>
        <v>0</v>
      </c>
      <c r="BH143" s="211">
        <f>0</f>
        <v>0</v>
      </c>
      <c r="BI143" s="211">
        <f>0</f>
        <v>0</v>
      </c>
      <c r="BJ143" s="211">
        <f>0</f>
        <v>0</v>
      </c>
      <c r="BK143" s="211">
        <f>0</f>
        <v>0</v>
      </c>
      <c r="BL143" s="211">
        <f>0</f>
        <v>0</v>
      </c>
      <c r="BM143" s="211">
        <f>0</f>
        <v>0</v>
      </c>
      <c r="BN143" s="211">
        <f>0</f>
        <v>0</v>
      </c>
      <c r="BO143" s="211">
        <f>0</f>
        <v>0</v>
      </c>
      <c r="BP143" s="211">
        <f>0</f>
        <v>0</v>
      </c>
      <c r="BQ143" s="211">
        <f>0</f>
        <v>0</v>
      </c>
      <c r="BR143" s="211">
        <f>0</f>
        <v>0</v>
      </c>
      <c r="BS143" s="211">
        <f>0</f>
        <v>0</v>
      </c>
      <c r="BT143" s="211">
        <f>0</f>
        <v>0</v>
      </c>
      <c r="BU143" s="211">
        <f>0</f>
        <v>0</v>
      </c>
      <c r="BV143" s="263">
        <f>0</f>
        <v>0</v>
      </c>
      <c r="BW143" s="263">
        <f>0</f>
        <v>0</v>
      </c>
      <c r="BX143" s="263">
        <f>SUM(BT143:BW143)</f>
        <v>0</v>
      </c>
      <c r="BY143" s="263">
        <f>0</f>
        <v>0</v>
      </c>
      <c r="BZ143" s="263">
        <f>0</f>
        <v>0</v>
      </c>
      <c r="CA143" s="263">
        <f>0</f>
        <v>0</v>
      </c>
      <c r="CB143" s="263">
        <f>0</f>
        <v>0</v>
      </c>
      <c r="CC143" s="263">
        <f>0</f>
        <v>0</v>
      </c>
      <c r="CD143" s="19" t="n"/>
    </row>
    <row r="144" ht="15" customHeight="1" s="251">
      <c r="B144" s="25" t="inlineStr">
        <is>
          <t xml:space="preserve">  (+) Payroll tax related to share-based compensation (IPO–2016)</t>
        </is>
      </c>
      <c r="C144" s="211">
        <f>0</f>
        <v>0</v>
      </c>
      <c r="D144" s="211">
        <f>0</f>
        <v>0</v>
      </c>
      <c r="E144" s="211">
        <f>0</f>
        <v>0</v>
      </c>
      <c r="F144" s="261" t="n">
        <v>151</v>
      </c>
      <c r="G144" s="261" t="n">
        <v>20</v>
      </c>
      <c r="H144" s="261" t="n">
        <v>8</v>
      </c>
      <c r="I144" s="261" t="n">
        <v>12</v>
      </c>
      <c r="J144" s="261" t="n">
        <v>53</v>
      </c>
      <c r="K144" s="261" t="n">
        <v>93</v>
      </c>
      <c r="L144" s="261" t="n">
        <v>25</v>
      </c>
      <c r="M144" s="261" t="n">
        <v>8</v>
      </c>
      <c r="N144" s="261" t="n">
        <v>11</v>
      </c>
      <c r="O144" s="261" t="n">
        <v>13</v>
      </c>
      <c r="P144" s="261" t="n">
        <v>57</v>
      </c>
      <c r="Q144" s="261" t="n">
        <v>25</v>
      </c>
      <c r="R144" s="261" t="n">
        <v>12</v>
      </c>
      <c r="S144" s="261" t="n">
        <v>14</v>
      </c>
      <c r="T144" s="261" t="n">
        <v>26</v>
      </c>
      <c r="U144" s="261" t="n">
        <v>77</v>
      </c>
      <c r="V144" s="261" t="n">
        <v>41</v>
      </c>
      <c r="W144" s="261" t="n">
        <v>20</v>
      </c>
      <c r="X144" s="261" t="n">
        <v>20</v>
      </c>
      <c r="Y144" s="261" t="n">
        <v>17</v>
      </c>
      <c r="Z144" s="261" t="n">
        <v>98</v>
      </c>
      <c r="AA144" s="211">
        <f>0</f>
        <v>0</v>
      </c>
      <c r="AB144" s="211">
        <f>0</f>
        <v>0</v>
      </c>
      <c r="AC144" s="211">
        <f>0</f>
        <v>0</v>
      </c>
      <c r="AD144" s="211">
        <f>0</f>
        <v>0</v>
      </c>
      <c r="AE144" s="211">
        <f>0</f>
        <v>0</v>
      </c>
      <c r="AF144" s="211">
        <f>0</f>
        <v>0</v>
      </c>
      <c r="AG144" s="211">
        <f>0</f>
        <v>0</v>
      </c>
      <c r="AH144" s="211">
        <f>0</f>
        <v>0</v>
      </c>
      <c r="AI144" s="211">
        <f>0</f>
        <v>0</v>
      </c>
      <c r="AJ144" s="211">
        <f>0</f>
        <v>0</v>
      </c>
      <c r="AK144" s="211">
        <f>0</f>
        <v>0</v>
      </c>
      <c r="AL144" s="211">
        <f>0</f>
        <v>0</v>
      </c>
      <c r="AM144" s="211">
        <f>0</f>
        <v>0</v>
      </c>
      <c r="AN144" s="211">
        <f>0</f>
        <v>0</v>
      </c>
      <c r="AO144" s="211">
        <f>0</f>
        <v>0</v>
      </c>
      <c r="AP144" s="211">
        <f>0</f>
        <v>0</v>
      </c>
      <c r="AQ144" s="211">
        <f>0</f>
        <v>0</v>
      </c>
      <c r="AR144" s="211">
        <f>0</f>
        <v>0</v>
      </c>
      <c r="AS144" s="211">
        <f>0</f>
        <v>0</v>
      </c>
      <c r="AT144" s="211">
        <f>0</f>
        <v>0</v>
      </c>
      <c r="AU144" s="211">
        <f>0</f>
        <v>0</v>
      </c>
      <c r="AV144" s="211">
        <f>0</f>
        <v>0</v>
      </c>
      <c r="AW144" s="211">
        <f>0</f>
        <v>0</v>
      </c>
      <c r="AX144" s="211">
        <f>0</f>
        <v>0</v>
      </c>
      <c r="AY144" s="211">
        <f>0</f>
        <v>0</v>
      </c>
      <c r="AZ144" s="211">
        <f>0</f>
        <v>0</v>
      </c>
      <c r="BA144" s="211">
        <f>0</f>
        <v>0</v>
      </c>
      <c r="BB144" s="211">
        <f>0</f>
        <v>0</v>
      </c>
      <c r="BC144" s="211">
        <f>0</f>
        <v>0</v>
      </c>
      <c r="BD144" s="211">
        <f>0</f>
        <v>0</v>
      </c>
      <c r="BE144" s="211">
        <f>0</f>
        <v>0</v>
      </c>
      <c r="BF144" s="211">
        <f>0</f>
        <v>0</v>
      </c>
      <c r="BG144" s="211">
        <f>0</f>
        <v>0</v>
      </c>
      <c r="BH144" s="211">
        <f>0</f>
        <v>0</v>
      </c>
      <c r="BI144" s="211">
        <f>0</f>
        <v>0</v>
      </c>
      <c r="BJ144" s="211">
        <f>0</f>
        <v>0</v>
      </c>
      <c r="BK144" s="211">
        <f>0</f>
        <v>0</v>
      </c>
      <c r="BL144" s="211">
        <f>0</f>
        <v>0</v>
      </c>
      <c r="BM144" s="211">
        <f>0</f>
        <v>0</v>
      </c>
      <c r="BN144" s="211">
        <f>0</f>
        <v>0</v>
      </c>
      <c r="BO144" s="211">
        <f>0</f>
        <v>0</v>
      </c>
      <c r="BP144" s="211">
        <f>0</f>
        <v>0</v>
      </c>
      <c r="BQ144" s="211">
        <f>0</f>
        <v>0</v>
      </c>
      <c r="BR144" s="211">
        <f>0</f>
        <v>0</v>
      </c>
      <c r="BS144" s="211">
        <f>0</f>
        <v>0</v>
      </c>
      <c r="BT144" s="211">
        <f>0</f>
        <v>0</v>
      </c>
      <c r="BU144" s="211">
        <f>0</f>
        <v>0</v>
      </c>
      <c r="BV144" s="263">
        <f>0</f>
        <v>0</v>
      </c>
      <c r="BW144" s="263">
        <f>0</f>
        <v>0</v>
      </c>
      <c r="BX144" s="263">
        <f>SUM(BT144:BW144)</f>
        <v>0</v>
      </c>
      <c r="BY144" s="263">
        <f>0</f>
        <v>0</v>
      </c>
      <c r="BZ144" s="263">
        <f>0</f>
        <v>0</v>
      </c>
      <c r="CA144" s="263">
        <f>0</f>
        <v>0</v>
      </c>
      <c r="CB144" s="263">
        <f>0</f>
        <v>0</v>
      </c>
      <c r="CC144" s="263">
        <f>0</f>
        <v>0</v>
      </c>
      <c r="CD144" s="19" t="n"/>
    </row>
    <row r="145" ht="15" customHeight="1" s="251">
      <c r="B145" s="25" t="inlineStr">
        <is>
          <t xml:space="preserve">  (+) Amortization of intangible assets (Q3-2014–2016)</t>
        </is>
      </c>
      <c r="C145" s="211">
        <f>0</f>
        <v>0</v>
      </c>
      <c r="D145" s="211">
        <f>0</f>
        <v>0</v>
      </c>
      <c r="E145" s="211">
        <f>0</f>
        <v>0</v>
      </c>
      <c r="F145" s="261" t="n">
        <v>0</v>
      </c>
      <c r="G145" s="261" t="n">
        <v>0</v>
      </c>
      <c r="H145" s="261" t="n">
        <v>0</v>
      </c>
      <c r="I145" s="261" t="n">
        <v>0</v>
      </c>
      <c r="J145" s="261" t="n">
        <v>0</v>
      </c>
      <c r="K145" s="261" t="n">
        <v>0</v>
      </c>
      <c r="L145" s="261" t="n">
        <v>0</v>
      </c>
      <c r="M145" s="261" t="n">
        <v>0</v>
      </c>
      <c r="N145" s="261" t="n">
        <v>59</v>
      </c>
      <c r="O145" s="261" t="n">
        <v>177</v>
      </c>
      <c r="P145" s="261" t="n">
        <v>319</v>
      </c>
      <c r="Q145" s="261" t="n">
        <v>179</v>
      </c>
      <c r="R145" s="261" t="n">
        <v>180</v>
      </c>
      <c r="S145" s="261" t="n">
        <v>180</v>
      </c>
      <c r="T145" s="261" t="n">
        <v>191</v>
      </c>
      <c r="U145" s="261" t="n">
        <v>730</v>
      </c>
      <c r="V145" s="261" t="n">
        <v>180</v>
      </c>
      <c r="W145" s="261" t="n">
        <v>193</v>
      </c>
      <c r="X145" s="261" t="n">
        <v>195</v>
      </c>
      <c r="Y145" s="261" t="n">
        <v>183</v>
      </c>
      <c r="Z145" s="261" t="n">
        <v>751</v>
      </c>
      <c r="AA145" s="211">
        <f>0</f>
        <v>0</v>
      </c>
      <c r="AB145" s="211">
        <f>0</f>
        <v>0</v>
      </c>
      <c r="AC145" s="211">
        <f>0</f>
        <v>0</v>
      </c>
      <c r="AD145" s="211">
        <f>0</f>
        <v>0</v>
      </c>
      <c r="AE145" s="211">
        <f>0</f>
        <v>0</v>
      </c>
      <c r="AF145" s="211">
        <f>0</f>
        <v>0</v>
      </c>
      <c r="AG145" s="211">
        <f>0</f>
        <v>0</v>
      </c>
      <c r="AH145" s="211">
        <f>0</f>
        <v>0</v>
      </c>
      <c r="AI145" s="211">
        <f>0</f>
        <v>0</v>
      </c>
      <c r="AJ145" s="211">
        <f>0</f>
        <v>0</v>
      </c>
      <c r="AK145" s="211">
        <f>0</f>
        <v>0</v>
      </c>
      <c r="AL145" s="211">
        <f>0</f>
        <v>0</v>
      </c>
      <c r="AM145" s="211">
        <f>0</f>
        <v>0</v>
      </c>
      <c r="AN145" s="211">
        <f>0</f>
        <v>0</v>
      </c>
      <c r="AO145" s="211">
        <f>0</f>
        <v>0</v>
      </c>
      <c r="AP145" s="211">
        <f>0</f>
        <v>0</v>
      </c>
      <c r="AQ145" s="211">
        <f>0</f>
        <v>0</v>
      </c>
      <c r="AR145" s="211">
        <f>0</f>
        <v>0</v>
      </c>
      <c r="AS145" s="211">
        <f>0</f>
        <v>0</v>
      </c>
      <c r="AT145" s="211">
        <f>0</f>
        <v>0</v>
      </c>
      <c r="AU145" s="211">
        <f>0</f>
        <v>0</v>
      </c>
      <c r="AV145" s="211">
        <f>0</f>
        <v>0</v>
      </c>
      <c r="AW145" s="211">
        <f>0</f>
        <v>0</v>
      </c>
      <c r="AX145" s="211">
        <f>0</f>
        <v>0</v>
      </c>
      <c r="AY145" s="211">
        <f>0</f>
        <v>0</v>
      </c>
      <c r="AZ145" s="211">
        <f>0</f>
        <v>0</v>
      </c>
      <c r="BA145" s="211">
        <f>0</f>
        <v>0</v>
      </c>
      <c r="BB145" s="211">
        <f>0</f>
        <v>0</v>
      </c>
      <c r="BC145" s="211">
        <f>0</f>
        <v>0</v>
      </c>
      <c r="BD145" s="211">
        <f>0</f>
        <v>0</v>
      </c>
      <c r="BE145" s="211">
        <f>0</f>
        <v>0</v>
      </c>
      <c r="BF145" s="211">
        <f>0</f>
        <v>0</v>
      </c>
      <c r="BG145" s="211">
        <f>0</f>
        <v>0</v>
      </c>
      <c r="BH145" s="211">
        <f>0</f>
        <v>0</v>
      </c>
      <c r="BI145" s="211">
        <f>0</f>
        <v>0</v>
      </c>
      <c r="BJ145" s="211">
        <f>0</f>
        <v>0</v>
      </c>
      <c r="BK145" s="211">
        <f>0</f>
        <v>0</v>
      </c>
      <c r="BL145" s="211">
        <f>0</f>
        <v>0</v>
      </c>
      <c r="BM145" s="211">
        <f>0</f>
        <v>0</v>
      </c>
      <c r="BN145" s="211">
        <f>0</f>
        <v>0</v>
      </c>
      <c r="BO145" s="211">
        <f>0</f>
        <v>0</v>
      </c>
      <c r="BP145" s="211">
        <f>0</f>
        <v>0</v>
      </c>
      <c r="BQ145" s="211">
        <f>0</f>
        <v>0</v>
      </c>
      <c r="BR145" s="211">
        <f>0</f>
        <v>0</v>
      </c>
      <c r="BS145" s="211">
        <f>0</f>
        <v>0</v>
      </c>
      <c r="BT145" s="211">
        <f>0</f>
        <v>0</v>
      </c>
      <c r="BU145" s="211">
        <f>0</f>
        <v>0</v>
      </c>
      <c r="BV145" s="263">
        <f>0</f>
        <v>0</v>
      </c>
      <c r="BW145" s="263">
        <f>0</f>
        <v>0</v>
      </c>
      <c r="BX145" s="263">
        <f>SUM(BT145:BW145)</f>
        <v>0</v>
      </c>
      <c r="BY145" s="263">
        <f>0</f>
        <v>0</v>
      </c>
      <c r="BZ145" s="263">
        <f>0</f>
        <v>0</v>
      </c>
      <c r="CA145" s="263">
        <f>0</f>
        <v>0</v>
      </c>
      <c r="CB145" s="263">
        <f>0</f>
        <v>0</v>
      </c>
      <c r="CC145" s="263">
        <f>0</f>
        <v>0</v>
      </c>
      <c r="CD145" s="19" t="n"/>
    </row>
    <row r="146" ht="15" customHeight="1" s="251">
      <c r="B146" s="25" t="inlineStr">
        <is>
          <t xml:space="preserve">  (+) Legal accruals and settlements (company-quantified)</t>
        </is>
      </c>
      <c r="C146" s="211">
        <f>N(C93)</f>
        <v>0</v>
      </c>
      <c r="D146" s="211">
        <f>N(D93)</f>
        <v>0</v>
      </c>
      <c r="E146" s="211">
        <f>N(E93)</f>
        <v>0</v>
      </c>
      <c r="F146" s="211">
        <f>N(F93)</f>
        <v>0</v>
      </c>
      <c r="G146" s="211">
        <f>N(G93)</f>
        <v>0</v>
      </c>
      <c r="H146" s="211">
        <f>N(H93)</f>
        <v>0</v>
      </c>
      <c r="I146" s="211">
        <f>N(I93)</f>
        <v>0</v>
      </c>
      <c r="J146" s="211">
        <f>N(J93)</f>
        <v>0</v>
      </c>
      <c r="K146" s="211">
        <f>N(K93)</f>
        <v>0</v>
      </c>
      <c r="L146" s="211">
        <f>N(L93)</f>
        <v>0</v>
      </c>
      <c r="M146" s="211">
        <f>N(M93)</f>
        <v>0</v>
      </c>
      <c r="N146" s="211">
        <f>N(N93)</f>
        <v>0</v>
      </c>
      <c r="O146" s="211">
        <f>N(O93)</f>
        <v>0</v>
      </c>
      <c r="P146" s="211">
        <f>N(P93)</f>
        <v>0</v>
      </c>
      <c r="Q146" s="211">
        <f>N(Q93)</f>
        <v>0</v>
      </c>
      <c r="R146" s="211">
        <f>N(R93)</f>
        <v>0</v>
      </c>
      <c r="S146" s="211">
        <f>N(S93)</f>
        <v>0</v>
      </c>
      <c r="T146" s="211">
        <f>N(T93)</f>
        <v>0</v>
      </c>
      <c r="U146" s="211">
        <f>N(U93)</f>
        <v>0</v>
      </c>
      <c r="V146" s="211">
        <f>N(V93)</f>
        <v>0</v>
      </c>
      <c r="W146" s="211">
        <f>N(W93)</f>
        <v>0</v>
      </c>
      <c r="X146" s="211">
        <f>N(X93)</f>
        <v>0</v>
      </c>
      <c r="Y146" s="211">
        <f>N(Y93)</f>
        <v>0</v>
      </c>
      <c r="Z146" s="211">
        <f>N(Z93)</f>
        <v>0</v>
      </c>
      <c r="AA146" s="211">
        <f>N(AA93)</f>
        <v>0</v>
      </c>
      <c r="AB146" s="211">
        <f>N(AB93)</f>
        <v>0</v>
      </c>
      <c r="AC146" s="211">
        <f>N(AC93)</f>
        <v>0</v>
      </c>
      <c r="AD146" s="211">
        <f>N(AD93)</f>
        <v>0</v>
      </c>
      <c r="AE146" s="211">
        <f>N(AE93)</f>
        <v>0</v>
      </c>
      <c r="AF146" s="211">
        <f>N(AF93)</f>
        <v>0</v>
      </c>
      <c r="AG146" s="211">
        <f>N(AG93)</f>
        <v>0</v>
      </c>
      <c r="AH146" s="211">
        <f>N(AH93)</f>
        <v>0</v>
      </c>
      <c r="AI146" s="211">
        <f>N(AI93)</f>
        <v>0</v>
      </c>
      <c r="AJ146" s="211">
        <f>N(AJ93)</f>
        <v>0</v>
      </c>
      <c r="AK146" s="211">
        <f>N(AK93)</f>
        <v>3000</v>
      </c>
      <c r="AL146" s="211">
        <f>N(AL93)</f>
        <v>2000</v>
      </c>
      <c r="AM146" s="211">
        <f>N(AM93)</f>
        <v>0</v>
      </c>
      <c r="AN146" s="211">
        <f>N(AN93)</f>
        <v>0</v>
      </c>
      <c r="AO146" s="211">
        <f>N(AO93)</f>
        <v>5000</v>
      </c>
      <c r="AP146" s="211">
        <f>N(AP93)</f>
        <v>0</v>
      </c>
      <c r="AQ146" s="211">
        <f>N(AQ93)</f>
        <v>0</v>
      </c>
      <c r="AR146" s="211">
        <f>N(AR93)</f>
        <v>0</v>
      </c>
      <c r="AS146" s="211">
        <f>N(AS93)</f>
        <v>0</v>
      </c>
      <c r="AT146" s="211">
        <f>N(AT93)</f>
        <v>0</v>
      </c>
      <c r="AU146" s="211">
        <f>N(AU93)</f>
        <v>0</v>
      </c>
      <c r="AV146" s="211">
        <f>N(AV93)</f>
        <v>0</v>
      </c>
      <c r="AW146" s="211">
        <f>N(AW93)</f>
        <v>0</v>
      </c>
      <c r="AX146" s="211">
        <f>N(AX93)</f>
        <v>0</v>
      </c>
      <c r="AY146" s="211">
        <f>N(AY93)</f>
        <v>0</v>
      </c>
      <c r="AZ146" s="211">
        <f>N(AZ93)</f>
        <v>0</v>
      </c>
      <c r="BA146" s="211">
        <f>N(BA93)</f>
        <v>0</v>
      </c>
      <c r="BB146" s="211">
        <f>N(BB93)</f>
        <v>0</v>
      </c>
      <c r="BC146" s="211">
        <f>N(BC93)</f>
        <v>0</v>
      </c>
      <c r="BD146" s="211">
        <f>N(BD93)</f>
        <v>0</v>
      </c>
      <c r="BE146" s="211">
        <f>N(BE93)</f>
        <v>0</v>
      </c>
      <c r="BF146" s="211">
        <f>N(BF93)</f>
        <v>1870</v>
      </c>
      <c r="BG146" s="211">
        <f>N(BG93)</f>
        <v>0</v>
      </c>
      <c r="BH146" s="211">
        <f>N(BH93)</f>
        <v>0</v>
      </c>
      <c r="BI146" s="211">
        <f>N(BI93)</f>
        <v>1870</v>
      </c>
      <c r="BJ146" s="211">
        <f>N(BJ93)</f>
        <v>0</v>
      </c>
      <c r="BK146" s="211">
        <f>N(BK93)</f>
        <v>0</v>
      </c>
      <c r="BL146" s="211">
        <f>N(BL93)</f>
        <v>0</v>
      </c>
      <c r="BM146" s="211">
        <f>N(BM93)</f>
        <v>-1550</v>
      </c>
      <c r="BN146" s="211">
        <f>N(BN93)</f>
        <v>-1550</v>
      </c>
      <c r="BO146" s="211">
        <f>N(BO93)</f>
        <v>0</v>
      </c>
      <c r="BP146" s="211">
        <f>N(BP93)</f>
        <v>0</v>
      </c>
      <c r="BQ146" s="211">
        <f>N(BQ93)</f>
        <v>0</v>
      </c>
      <c r="BR146" s="211">
        <f>N(BR93)</f>
        <v>0</v>
      </c>
      <c r="BS146" s="211">
        <f>N(BS93)</f>
        <v>0</v>
      </c>
      <c r="BT146" s="211">
        <f>N(BT93)</f>
        <v>0</v>
      </c>
      <c r="BU146" s="211">
        <f>N(BU93)</f>
        <v>2400</v>
      </c>
      <c r="BV146" s="263">
        <f>N(BV93)</f>
        <v>0</v>
      </c>
      <c r="BW146" s="263">
        <f>N(BW93)</f>
        <v>0</v>
      </c>
      <c r="BX146" s="263">
        <f>N(BX93)</f>
        <v>2400</v>
      </c>
      <c r="BY146" s="263">
        <f>N(BY93)</f>
        <v>0</v>
      </c>
      <c r="BZ146" s="263">
        <f>N(BZ93)</f>
        <v>0</v>
      </c>
      <c r="CA146" s="263">
        <f>N(CA93)</f>
        <v>0</v>
      </c>
      <c r="CB146" s="263">
        <f>N(CB93)</f>
        <v>0</v>
      </c>
      <c r="CC146" s="263">
        <f>N(CC93)</f>
        <v>0</v>
      </c>
      <c r="CD146" s="19" t="n"/>
    </row>
    <row r="147" ht="15" customHeight="1" s="251">
      <c r="B147" s="25" t="inlineStr">
        <is>
          <t xml:space="preserve">  (+) Restructuring and severance (company-quantified)</t>
        </is>
      </c>
      <c r="C147" s="211">
        <f>N(C94)</f>
        <v>0</v>
      </c>
      <c r="D147" s="211">
        <f>N(D94)</f>
        <v>0</v>
      </c>
      <c r="E147" s="211">
        <f>N(E94)</f>
        <v>0</v>
      </c>
      <c r="F147" s="211">
        <f>N(F94)</f>
        <v>0</v>
      </c>
      <c r="G147" s="211">
        <f>N(G94)</f>
        <v>0</v>
      </c>
      <c r="H147" s="211">
        <f>N(H94)</f>
        <v>0</v>
      </c>
      <c r="I147" s="211">
        <f>N(I94)</f>
        <v>0</v>
      </c>
      <c r="J147" s="211">
        <f>N(J94)</f>
        <v>0</v>
      </c>
      <c r="K147" s="211">
        <f>N(K94)</f>
        <v>0</v>
      </c>
      <c r="L147" s="211">
        <f>N(L94)</f>
        <v>0</v>
      </c>
      <c r="M147" s="211">
        <f>N(M94)</f>
        <v>0</v>
      </c>
      <c r="N147" s="211">
        <f>N(N94)</f>
        <v>0</v>
      </c>
      <c r="O147" s="211">
        <f>N(O94)</f>
        <v>0</v>
      </c>
      <c r="P147" s="211">
        <f>N(P94)</f>
        <v>0</v>
      </c>
      <c r="Q147" s="211">
        <f>N(Q94)</f>
        <v>0</v>
      </c>
      <c r="R147" s="211">
        <f>N(R94)</f>
        <v>0</v>
      </c>
      <c r="S147" s="211">
        <f>N(S94)</f>
        <v>0</v>
      </c>
      <c r="T147" s="211">
        <f>N(T94)</f>
        <v>0</v>
      </c>
      <c r="U147" s="211">
        <f>N(U94)</f>
        <v>0</v>
      </c>
      <c r="V147" s="211">
        <f>N(V94)</f>
        <v>0</v>
      </c>
      <c r="W147" s="211">
        <f>N(W94)</f>
        <v>0</v>
      </c>
      <c r="X147" s="211">
        <f>N(X94)</f>
        <v>0</v>
      </c>
      <c r="Y147" s="211">
        <f>N(Y94)</f>
        <v>0</v>
      </c>
      <c r="Z147" s="211">
        <f>N(Z94)</f>
        <v>0</v>
      </c>
      <c r="AA147" s="211">
        <f>N(AA94)</f>
        <v>0</v>
      </c>
      <c r="AB147" s="211">
        <f>N(AB94)</f>
        <v>0</v>
      </c>
      <c r="AC147" s="211">
        <f>N(AC94)</f>
        <v>0</v>
      </c>
      <c r="AD147" s="211">
        <f>N(AD94)</f>
        <v>0</v>
      </c>
      <c r="AE147" s="211">
        <f>N(AE94)</f>
        <v>0</v>
      </c>
      <c r="AF147" s="211">
        <f>N(AF94)</f>
        <v>0</v>
      </c>
      <c r="AG147" s="211">
        <f>N(AG94)</f>
        <v>0</v>
      </c>
      <c r="AH147" s="211">
        <f>N(AH94)</f>
        <v>0</v>
      </c>
      <c r="AI147" s="211">
        <f>N(AI94)</f>
        <v>0</v>
      </c>
      <c r="AJ147" s="211">
        <f>N(AJ94)</f>
        <v>0</v>
      </c>
      <c r="AK147" s="211">
        <f>N(AK94)</f>
        <v>0</v>
      </c>
      <c r="AL147" s="211">
        <f>N(AL94)</f>
        <v>0</v>
      </c>
      <c r="AM147" s="211">
        <f>N(AM94)</f>
        <v>0</v>
      </c>
      <c r="AN147" s="211">
        <f>N(AN94)</f>
        <v>0</v>
      </c>
      <c r="AO147" s="211">
        <f>N(AO94)</f>
        <v>0</v>
      </c>
      <c r="AP147" s="211">
        <f>N(AP94)</f>
        <v>0</v>
      </c>
      <c r="AQ147" s="211">
        <f>N(AQ94)</f>
        <v>0</v>
      </c>
      <c r="AR147" s="211">
        <f>N(AR94)</f>
        <v>0</v>
      </c>
      <c r="AS147" s="211">
        <f>N(AS94)</f>
        <v>0</v>
      </c>
      <c r="AT147" s="211">
        <f>N(AT94)</f>
        <v>0</v>
      </c>
      <c r="AU147" s="211">
        <f>N(AU94)</f>
        <v>0</v>
      </c>
      <c r="AV147" s="211">
        <f>N(AV94)</f>
        <v>0</v>
      </c>
      <c r="AW147" s="211">
        <f>N(AW94)</f>
        <v>0</v>
      </c>
      <c r="AX147" s="211">
        <f>N(AX94)</f>
        <v>0</v>
      </c>
      <c r="AY147" s="211">
        <f>N(AY94)</f>
        <v>0</v>
      </c>
      <c r="AZ147" s="211">
        <f>N(AZ94)</f>
        <v>0</v>
      </c>
      <c r="BA147" s="211">
        <f>N(BA94)</f>
        <v>0</v>
      </c>
      <c r="BB147" s="211">
        <f>N(BB94)</f>
        <v>413</v>
      </c>
      <c r="BC147" s="211">
        <f>N(BC94)</f>
        <v>4198</v>
      </c>
      <c r="BD147" s="211">
        <f>N(BD94)</f>
        <v>4611</v>
      </c>
      <c r="BE147" s="211">
        <f>N(BE94)</f>
        <v>1144</v>
      </c>
      <c r="BF147" s="211">
        <f>N(BF94)</f>
        <v>780</v>
      </c>
      <c r="BG147" s="211">
        <f>N(BG94)</f>
        <v>380</v>
      </c>
      <c r="BH147" s="211">
        <f>N(BH94)</f>
        <v>1150</v>
      </c>
      <c r="BI147" s="211">
        <f>N(BI94)</f>
        <v>3454</v>
      </c>
      <c r="BJ147" s="211">
        <f>N(BJ94)</f>
        <v>0</v>
      </c>
      <c r="BK147" s="211">
        <f>N(BK94)</f>
        <v>0</v>
      </c>
      <c r="BL147" s="211">
        <f>N(BL94)</f>
        <v>0</v>
      </c>
      <c r="BM147" s="211">
        <f>N(BM94)</f>
        <v>0</v>
      </c>
      <c r="BN147" s="211">
        <f>N(BN94)</f>
        <v>0</v>
      </c>
      <c r="BO147" s="211">
        <f>N(BO94)</f>
        <v>0</v>
      </c>
      <c r="BP147" s="211">
        <f>N(BP94)</f>
        <v>0</v>
      </c>
      <c r="BQ147" s="211">
        <f>N(BQ94)</f>
        <v>0</v>
      </c>
      <c r="BR147" s="211">
        <f>N(BR94)</f>
        <v>0</v>
      </c>
      <c r="BS147" s="211">
        <f>N(BS94)</f>
        <v>0</v>
      </c>
      <c r="BT147" s="211">
        <f>N(BT94)</f>
        <v>0</v>
      </c>
      <c r="BU147" s="211">
        <f>N(BU94)</f>
        <v>1180</v>
      </c>
      <c r="BV147" s="263">
        <f>N(BV94)</f>
        <v>0</v>
      </c>
      <c r="BW147" s="263">
        <f>N(BW94)</f>
        <v>0</v>
      </c>
      <c r="BX147" s="263">
        <f>N(BX94)</f>
        <v>1180</v>
      </c>
      <c r="BY147" s="263">
        <f>N(BY94)</f>
        <v>0</v>
      </c>
      <c r="BZ147" s="263">
        <f>N(BZ94)</f>
        <v>0</v>
      </c>
      <c r="CA147" s="263">
        <f>N(CA94)</f>
        <v>0</v>
      </c>
      <c r="CB147" s="263">
        <f>N(CB94)</f>
        <v>0</v>
      </c>
      <c r="CC147" s="263">
        <f>N(CC94)</f>
        <v>0</v>
      </c>
      <c r="CD147" s="19" t="n"/>
    </row>
    <row r="148" ht="15" customHeight="1" s="251">
      <c r="B148" s="16" t="inlineStr">
        <is>
          <t xml:space="preserve">  Total adjusting items (pre-tax)</t>
        </is>
      </c>
      <c r="C148" s="266">
        <f>N(C143)+N(C144)+N(C145)+N(C146)+N(C147)</f>
        <v>0</v>
      </c>
      <c r="D148" s="266">
        <f>N(D143)+N(D144)+N(D145)+N(D146)+N(D147)</f>
        <v>0</v>
      </c>
      <c r="E148" s="266">
        <f>N(E143)+N(E144)+N(E145)+N(E146)+N(E147)</f>
        <v>0</v>
      </c>
      <c r="F148" s="266">
        <f>N(F143)+N(F144)+N(F145)+N(F146)+N(F147)</f>
        <v>1723</v>
      </c>
      <c r="G148" s="266">
        <f>N(G143)+N(G144)+N(G145)+N(G146)+N(G147)</f>
        <v>190</v>
      </c>
      <c r="H148" s="266">
        <f>N(H143)+N(H144)+N(H145)+N(H146)+N(H147)</f>
        <v>232</v>
      </c>
      <c r="I148" s="266">
        <f>N(I143)+N(I144)+N(I145)+N(I146)+N(I147)</f>
        <v>251</v>
      </c>
      <c r="J148" s="266">
        <f>N(J143)+N(J144)+N(J145)+N(J146)+N(J147)</f>
        <v>326</v>
      </c>
      <c r="K148" s="266">
        <f>N(K143)+N(K144)+N(K145)+N(K146)+N(K147)</f>
        <v>999</v>
      </c>
      <c r="L148" s="266">
        <f>N(L143)+N(L144)+N(L145)+N(L146)+N(L147)</f>
        <v>299</v>
      </c>
      <c r="M148" s="266">
        <f>N(M143)+N(M144)+N(M145)+N(M146)+N(M147)</f>
        <v>322</v>
      </c>
      <c r="N148" s="266">
        <f>N(N143)+N(N144)+N(N145)+N(N146)+N(N147)</f>
        <v>423</v>
      </c>
      <c r="O148" s="266">
        <f>N(O143)+N(O144)+N(O145)+N(O146)+N(O147)</f>
        <v>1086</v>
      </c>
      <c r="P148" s="266">
        <f>N(P143)+N(P144)+N(P145)+N(P146)+N(P147)</f>
        <v>2213</v>
      </c>
      <c r="Q148" s="266">
        <f>N(Q143)+N(Q144)+N(Q145)+N(Q146)+N(Q147)</f>
        <v>907</v>
      </c>
      <c r="R148" s="266">
        <f>N(R143)+N(R144)+N(R145)+N(R146)+N(R147)</f>
        <v>955</v>
      </c>
      <c r="S148" s="266">
        <f>N(S143)+N(S144)+N(S145)+N(S146)+N(S147)</f>
        <v>951</v>
      </c>
      <c r="T148" s="266">
        <f>N(T143)+N(T144)+N(T145)+N(T146)+N(T147)</f>
        <v>963</v>
      </c>
      <c r="U148" s="266">
        <f>N(U143)+N(U144)+N(U145)+N(U146)+N(U147)</f>
        <v>3776</v>
      </c>
      <c r="V148" s="266">
        <f>N(V143)+N(V144)+N(V145)+N(V146)+N(V147)</f>
        <v>968</v>
      </c>
      <c r="W148" s="266">
        <f>N(W143)+N(W144)+N(W145)+N(W146)+N(W147)</f>
        <v>1018</v>
      </c>
      <c r="X148" s="266">
        <f>N(X143)+N(X144)+N(X145)+N(X146)+N(X147)</f>
        <v>1034</v>
      </c>
      <c r="Y148" s="266">
        <f>N(Y143)+N(Y144)+N(Y145)+N(Y146)+N(Y147)</f>
        <v>1031</v>
      </c>
      <c r="Z148" s="266">
        <f>N(Z143)+N(Z144)+N(Z145)+N(Z146)+N(Z147)</f>
        <v>4067</v>
      </c>
      <c r="AA148" s="266">
        <f>N(AA143)+N(AA144)+N(AA145)+N(AA146)+N(AA147)</f>
        <v>0</v>
      </c>
      <c r="AB148" s="266">
        <f>N(AB143)+N(AB144)+N(AB145)+N(AB146)+N(AB147)</f>
        <v>0</v>
      </c>
      <c r="AC148" s="266">
        <f>N(AC143)+N(AC144)+N(AC145)+N(AC146)+N(AC147)</f>
        <v>0</v>
      </c>
      <c r="AD148" s="266">
        <f>N(AD143)+N(AD144)+N(AD145)+N(AD146)+N(AD147)</f>
        <v>0</v>
      </c>
      <c r="AE148" s="266">
        <f>N(AE143)+N(AE144)+N(AE145)+N(AE146)+N(AE147)</f>
        <v>0</v>
      </c>
      <c r="AF148" s="266">
        <f>N(AF143)+N(AF144)+N(AF145)+N(AF146)+N(AF147)</f>
        <v>0</v>
      </c>
      <c r="AG148" s="266">
        <f>N(AG143)+N(AG144)+N(AG145)+N(AG146)+N(AG147)</f>
        <v>0</v>
      </c>
      <c r="AH148" s="266">
        <f>N(AH143)+N(AH144)+N(AH145)+N(AH146)+N(AH147)</f>
        <v>0</v>
      </c>
      <c r="AI148" s="266">
        <f>N(AI143)+N(AI144)+N(AI145)+N(AI146)+N(AI147)</f>
        <v>0</v>
      </c>
      <c r="AJ148" s="266">
        <f>N(AJ143)+N(AJ144)+N(AJ145)+N(AJ146)+N(AJ147)</f>
        <v>0</v>
      </c>
      <c r="AK148" s="266">
        <f>N(AK143)+N(AK144)+N(AK145)+N(AK146)+N(AK147)</f>
        <v>3000</v>
      </c>
      <c r="AL148" s="266">
        <f>N(AL143)+N(AL144)+N(AL145)+N(AL146)+N(AL147)</f>
        <v>2000</v>
      </c>
      <c r="AM148" s="266">
        <f>N(AM143)+N(AM144)+N(AM145)+N(AM146)+N(AM147)</f>
        <v>0</v>
      </c>
      <c r="AN148" s="266">
        <f>N(AN143)+N(AN144)+N(AN145)+N(AN146)+N(AN147)</f>
        <v>0</v>
      </c>
      <c r="AO148" s="266">
        <f>N(AO143)+N(AO144)+N(AO145)+N(AO146)+N(AO147)</f>
        <v>5000</v>
      </c>
      <c r="AP148" s="266">
        <f>N(AP143)+N(AP144)+N(AP145)+N(AP146)+N(AP147)</f>
        <v>0</v>
      </c>
      <c r="AQ148" s="266">
        <f>N(AQ143)+N(AQ144)+N(AQ145)+N(AQ146)+N(AQ147)</f>
        <v>0</v>
      </c>
      <c r="AR148" s="266">
        <f>N(AR143)+N(AR144)+N(AR145)+N(AR146)+N(AR147)</f>
        <v>0</v>
      </c>
      <c r="AS148" s="266">
        <f>N(AS143)+N(AS144)+N(AS145)+N(AS146)+N(AS147)</f>
        <v>0</v>
      </c>
      <c r="AT148" s="266">
        <f>N(AT143)+N(AT144)+N(AT145)+N(AT146)+N(AT147)</f>
        <v>0</v>
      </c>
      <c r="AU148" s="266">
        <f>N(AU143)+N(AU144)+N(AU145)+N(AU146)+N(AU147)</f>
        <v>0</v>
      </c>
      <c r="AV148" s="266">
        <f>N(AV143)+N(AV144)+N(AV145)+N(AV146)+N(AV147)</f>
        <v>0</v>
      </c>
      <c r="AW148" s="266">
        <f>N(AW143)+N(AW144)+N(AW145)+N(AW146)+N(AW147)</f>
        <v>0</v>
      </c>
      <c r="AX148" s="266">
        <f>N(AX143)+N(AX144)+N(AX145)+N(AX146)+N(AX147)</f>
        <v>0</v>
      </c>
      <c r="AY148" s="266">
        <f>N(AY143)+N(AY144)+N(AY145)+N(AY146)+N(AY147)</f>
        <v>0</v>
      </c>
      <c r="AZ148" s="266">
        <f>N(AZ143)+N(AZ144)+N(AZ145)+N(AZ146)+N(AZ147)</f>
        <v>0</v>
      </c>
      <c r="BA148" s="266">
        <f>N(BA143)+N(BA144)+N(BA145)+N(BA146)+N(BA147)</f>
        <v>0</v>
      </c>
      <c r="BB148" s="266">
        <f>N(BB143)+N(BB144)+N(BB145)+N(BB146)+N(BB147)</f>
        <v>413</v>
      </c>
      <c r="BC148" s="266">
        <f>N(BC143)+N(BC144)+N(BC145)+N(BC146)+N(BC147)</f>
        <v>4198</v>
      </c>
      <c r="BD148" s="266">
        <f>N(BD143)+N(BD144)+N(BD145)+N(BD146)+N(BD147)</f>
        <v>4611</v>
      </c>
      <c r="BE148" s="266">
        <f>N(BE143)+N(BE144)+N(BE145)+N(BE146)+N(BE147)</f>
        <v>1144</v>
      </c>
      <c r="BF148" s="266">
        <f>N(BF143)+N(BF144)+N(BF145)+N(BF146)+N(BF147)</f>
        <v>2650</v>
      </c>
      <c r="BG148" s="266">
        <f>N(BG143)+N(BG144)+N(BG145)+N(BG146)+N(BG147)</f>
        <v>380</v>
      </c>
      <c r="BH148" s="266">
        <f>N(BH143)+N(BH144)+N(BH145)+N(BH146)+N(BH147)</f>
        <v>1150</v>
      </c>
      <c r="BI148" s="266">
        <f>N(BI143)+N(BI144)+N(BI145)+N(BI146)+N(BI147)</f>
        <v>5324</v>
      </c>
      <c r="BJ148" s="266">
        <f>N(BJ143)+N(BJ144)+N(BJ145)+N(BJ146)+N(BJ147)</f>
        <v>0</v>
      </c>
      <c r="BK148" s="266">
        <f>N(BK143)+N(BK144)+N(BK145)+N(BK146)+N(BK147)</f>
        <v>0</v>
      </c>
      <c r="BL148" s="266">
        <f>N(BL143)+N(BL144)+N(BL145)+N(BL146)+N(BL147)</f>
        <v>0</v>
      </c>
      <c r="BM148" s="266">
        <f>N(BM143)+N(BM144)+N(BM145)+N(BM146)+N(BM147)</f>
        <v>-1550</v>
      </c>
      <c r="BN148" s="266">
        <f>N(BN143)+N(BN144)+N(BN145)+N(BN146)+N(BN147)</f>
        <v>-1550</v>
      </c>
      <c r="BO148" s="266">
        <f>N(BO143)+N(BO144)+N(BO145)+N(BO146)+N(BO147)</f>
        <v>0</v>
      </c>
      <c r="BP148" s="266">
        <f>N(BP143)+N(BP144)+N(BP145)+N(BP146)+N(BP147)</f>
        <v>0</v>
      </c>
      <c r="BQ148" s="266">
        <f>N(BQ143)+N(BQ144)+N(BQ145)+N(BQ146)+N(BQ147)</f>
        <v>0</v>
      </c>
      <c r="BR148" s="266">
        <f>N(BR143)+N(BR144)+N(BR145)+N(BR146)+N(BR147)</f>
        <v>0</v>
      </c>
      <c r="BS148" s="266">
        <f>N(BS143)+N(BS144)+N(BS145)+N(BS146)+N(BS147)</f>
        <v>0</v>
      </c>
      <c r="BT148" s="266">
        <f>N(BT143)+N(BT144)+N(BT145)+N(BT146)+N(BT147)</f>
        <v>0</v>
      </c>
      <c r="BU148" s="266">
        <f>N(BU143)+N(BU144)+N(BU145)+N(BU146)+N(BU147)</f>
        <v>3580</v>
      </c>
      <c r="BV148" s="254">
        <f>N(BV143)+N(BV144)+N(BV145)+N(BV146)+N(BV147)</f>
        <v>0</v>
      </c>
      <c r="BW148" s="254">
        <f>N(BW143)+N(BW144)+N(BW145)+N(BW146)+N(BW147)</f>
        <v>0</v>
      </c>
      <c r="BX148" s="254">
        <f>N(BX143)+N(BX144)+N(BX145)+N(BX146)+N(BX147)</f>
        <v>3580</v>
      </c>
      <c r="BY148" s="254">
        <f>N(BY143)+N(BY144)+N(BY145)+N(BY146)+N(BY147)</f>
        <v>0</v>
      </c>
      <c r="BZ148" s="254">
        <f>N(BZ143)+N(BZ144)+N(BZ145)+N(BZ146)+N(BZ147)</f>
        <v>0</v>
      </c>
      <c r="CA148" s="254">
        <f>N(CA143)+N(CA144)+N(CA145)+N(CA146)+N(CA147)</f>
        <v>0</v>
      </c>
      <c r="CB148" s="254">
        <f>N(CB143)+N(CB144)+N(CB145)+N(CB146)+N(CB147)</f>
        <v>0</v>
      </c>
      <c r="CC148" s="254">
        <f>N(CC143)+N(CC144)+N(CC145)+N(CC146)+N(CC147)</f>
        <v>0</v>
      </c>
      <c r="CD148" s="153" t="n"/>
    </row>
    <row r="149" collapsed="1" ht="15" customHeight="1" s="251">
      <c r="B149" s="55" t="inlineStr">
        <is>
          <t xml:space="preserve">  = Adjusted income from operations (definition in force)</t>
        </is>
      </c>
      <c r="C149" s="272">
        <f>IF(ISNUMBER(C142),C142+C148,"")</f>
        <v>262</v>
      </c>
      <c r="D149" s="272">
        <f>IF(ISNUMBER(D142),D142+D148,"")</f>
        <v>1032</v>
      </c>
      <c r="E149" s="272">
        <f>IF(ISNUMBER(E142),E142+E148,"")</f>
        <v>1756</v>
      </c>
      <c r="F149" s="272">
        <f>IF(ISNUMBER(F142),F142+F148,"")</f>
        <v>2261</v>
      </c>
      <c r="G149" s="272">
        <f>IF(ISNUMBER(G142),G142+G148,"")</f>
        <v>563</v>
      </c>
      <c r="H149" s="272">
        <f>IF(ISNUMBER(H142),H142+H148,"")</f>
        <v>794</v>
      </c>
      <c r="I149" s="272">
        <f>IF(ISNUMBER(I142),I142+I148,"")</f>
        <v>987</v>
      </c>
      <c r="J149" s="272">
        <f>IF(ISNUMBER(J142),J142+J148,"")</f>
        <v>1459</v>
      </c>
      <c r="K149" s="272">
        <f>IF(ISNUMBER(K142),K142+K148,"")</f>
        <v>3803</v>
      </c>
      <c r="L149" s="272">
        <f>IF(ISNUMBER(L142),L142+L148,"")</f>
        <v>1374</v>
      </c>
      <c r="M149" s="272">
        <f>IF(ISNUMBER(M142),M142+M148,"")</f>
        <v>1712</v>
      </c>
      <c r="N149" s="272">
        <f>IF(ISNUMBER(N142),N142+N148,"")</f>
        <v>1820</v>
      </c>
      <c r="O149" s="272">
        <f>IF(ISNUMBER(O142),O142+O148,"")</f>
        <v>2219</v>
      </c>
      <c r="P149" s="272">
        <f>IF(ISNUMBER(P142),P142+P148,"")</f>
        <v>7207</v>
      </c>
      <c r="Q149" s="272">
        <f>IF(ISNUMBER(Q142),Q142+Q148,"")</f>
        <v>1840</v>
      </c>
      <c r="R149" s="272">
        <f>IF(ISNUMBER(R142),R142+R148,"")</f>
        <v>2228</v>
      </c>
      <c r="S149" s="272">
        <f>IF(ISNUMBER(S142),S142+S148,"")</f>
        <v>2410</v>
      </c>
      <c r="T149" s="272">
        <f>IF(ISNUMBER(T142),T142+T148,"")</f>
        <v>3523</v>
      </c>
      <c r="U149" s="272">
        <f>IF(ISNUMBER(U142),U142+U148,"")</f>
        <v>10001</v>
      </c>
      <c r="V149" s="272">
        <f>IF(ISNUMBER(V142),V142+V148,"")</f>
        <v>2977</v>
      </c>
      <c r="W149" s="272">
        <f>IF(ISNUMBER(W142),W142+W148,"")</f>
        <v>3764</v>
      </c>
      <c r="X149" s="272">
        <f>IF(ISNUMBER(X142),X142+X148,"")</f>
        <v>4156</v>
      </c>
      <c r="Y149" s="272">
        <f>IF(ISNUMBER(Y142),Y142+Y148,"")</f>
        <v>5597</v>
      </c>
      <c r="Z149" s="272">
        <f>IF(ISNUMBER(Z142),Z142+Z148,"")</f>
        <v>16494</v>
      </c>
      <c r="AA149" s="272">
        <f>IF(ISNUMBER(AA142),AA142+AA148,"")</f>
        <v>3327</v>
      </c>
      <c r="AB149" s="272">
        <f>IF(ISNUMBER(AB142),AB142+AB148,"")</f>
        <v>4401</v>
      </c>
      <c r="AC149" s="272">
        <f>IF(ISNUMBER(AC142),AC142+AC148,"")</f>
        <v>5122</v>
      </c>
      <c r="AD149" s="272">
        <f>IF(ISNUMBER(AD142),AD142+AD148,"")</f>
        <v>7352</v>
      </c>
      <c r="AE149" s="272">
        <f>IF(ISNUMBER(AE142),AE142+AE148,"")</f>
        <v>20203</v>
      </c>
      <c r="AF149" s="272">
        <f>IF(ISNUMBER(AF142),AF142+AF148,"")</f>
        <v>5449</v>
      </c>
      <c r="AG149" s="272">
        <f>IF(ISNUMBER(AG142),AG142+AG148,"")</f>
        <v>5863</v>
      </c>
      <c r="AH149" s="272">
        <f>IF(ISNUMBER(AH142),AH142+AH148,"")</f>
        <v>5781</v>
      </c>
      <c r="AI149" s="272">
        <f>IF(ISNUMBER(AI142),AI142+AI148,"")</f>
        <v>7820</v>
      </c>
      <c r="AJ149" s="272">
        <f>IF(ISNUMBER(AJ142),AJ142+AJ148,"")</f>
        <v>24913</v>
      </c>
      <c r="AK149" s="272">
        <f>IF(ISNUMBER(AK142),AK142+AK148,"")</f>
        <v>6317</v>
      </c>
      <c r="AL149" s="272">
        <f>IF(ISNUMBER(AL142),AL142+AL148,"")</f>
        <v>6626</v>
      </c>
      <c r="AM149" s="272">
        <f>IF(ISNUMBER(AM142),AM142+AM148,"")</f>
        <v>7185</v>
      </c>
      <c r="AN149" s="272">
        <f>IF(ISNUMBER(AN142),AN142+AN148,"")</f>
        <v>8858</v>
      </c>
      <c r="AO149" s="272">
        <f>IF(ISNUMBER(AO142),AO142+AO148,"")</f>
        <v>28986</v>
      </c>
      <c r="AP149" s="272">
        <f>IF(ISNUMBER(AP142),AP142+AP148,"")</f>
        <v>5893</v>
      </c>
      <c r="AQ149" s="272">
        <f>IF(ISNUMBER(AQ142),AQ142+AQ148,"")</f>
        <v>5963</v>
      </c>
      <c r="AR149" s="272">
        <f>IF(ISNUMBER(AR142),AR142+AR148,"")</f>
        <v>8040</v>
      </c>
      <c r="AS149" s="272">
        <f>IF(ISNUMBER(AS142),AS142+AS148,"")</f>
        <v>12775</v>
      </c>
      <c r="AT149" s="272">
        <f>IF(ISNUMBER(AT142),AT142+AT148,"")</f>
        <v>32671</v>
      </c>
      <c r="AU149" s="272">
        <f>IF(ISNUMBER(AU142),AU142+AU148,"")</f>
        <v>11378</v>
      </c>
      <c r="AV149" s="272">
        <f>IF(ISNUMBER(AV142),AV142+AV148,"")</f>
        <v>12367</v>
      </c>
      <c r="AW149" s="272">
        <f>IF(ISNUMBER(AW142),AW142+AW148,"")</f>
        <v>10423</v>
      </c>
      <c r="AX149" s="272">
        <f>IF(ISNUMBER(AX142),AX142+AX148,"")</f>
        <v>12585</v>
      </c>
      <c r="AY149" s="272">
        <f>IF(ISNUMBER(AY142),AY142+AY148,"")</f>
        <v>46753</v>
      </c>
      <c r="AZ149" s="272">
        <f>IF(ISNUMBER(AZ142),AZ142+AZ148,"")</f>
        <v>8524</v>
      </c>
      <c r="BA149" s="272">
        <f>IF(ISNUMBER(BA142),BA142+BA148,"")</f>
        <v>8358</v>
      </c>
      <c r="BB149" s="272">
        <f>IF(ISNUMBER(BB142),BB142+BB148,"")</f>
        <v>6077</v>
      </c>
      <c r="BC149" s="272">
        <f>IF(ISNUMBER(BC142),BC142+BC148,"")</f>
        <v>10597</v>
      </c>
      <c r="BD149" s="272">
        <f>IF(ISNUMBER(BD142),BD142+BD148,"")</f>
        <v>33555</v>
      </c>
      <c r="BE149" s="272">
        <f>IF(ISNUMBER(BE142),BE142+BE148,"")</f>
        <v>8371</v>
      </c>
      <c r="BF149" s="272">
        <f>IF(ISNUMBER(BF142),BF142+BF148,"")</f>
        <v>12042</v>
      </c>
      <c r="BG149" s="272">
        <f>IF(ISNUMBER(BG142),BG142+BG148,"")</f>
        <v>14128</v>
      </c>
      <c r="BH149" s="272">
        <f>IF(ISNUMBER(BH142),BH142+BH148,"")</f>
        <v>17534</v>
      </c>
      <c r="BI149" s="272">
        <f>IF(ISNUMBER(BI142),BI142+BI148,"")</f>
        <v>52075</v>
      </c>
      <c r="BJ149" s="272">
        <f>IF(ISNUMBER(BJ142),BJ142+BJ148,"")</f>
        <v>13818</v>
      </c>
      <c r="BK149" s="272">
        <f>IF(ISNUMBER(BK142),BK142+BK148,"")</f>
        <v>14847</v>
      </c>
      <c r="BL149" s="272">
        <f>IF(ISNUMBER(BL142),BL142+BL148,"")</f>
        <v>17350</v>
      </c>
      <c r="BM149" s="272">
        <f>IF(ISNUMBER(BM142),BM142+BM148,"")</f>
        <v>21815</v>
      </c>
      <c r="BN149" s="272">
        <f>IF(ISNUMBER(BN142),BN142+BN148,"")</f>
        <v>67830</v>
      </c>
      <c r="BO149" s="272">
        <f>IF(ISNUMBER(BO142),BO142+BO148,"")</f>
        <v>17555</v>
      </c>
      <c r="BP149" s="272">
        <f>IF(ISNUMBER(BP142),BP142+BP148,"")</f>
        <v>20441</v>
      </c>
      <c r="BQ149" s="272">
        <f>IF(ISNUMBER(BQ142),BQ142+BQ148,"")</f>
        <v>20535</v>
      </c>
      <c r="BR149" s="272">
        <f>IF(ISNUMBER(BR142),BR142+BR148,"")</f>
        <v>24745</v>
      </c>
      <c r="BS149" s="272">
        <f>IF(ISNUMBER(BS142),BS142+BS148,"")</f>
        <v>83276</v>
      </c>
      <c r="BT149" s="272">
        <f>IF(ISNUMBER(BT142),BT142+BT148,"")</f>
        <v>22872</v>
      </c>
      <c r="BU149" s="272">
        <f>IF(ISNUMBER(BU142),BU142+BU148,"")</f>
        <v>22355</v>
      </c>
      <c r="BV149" s="272">
        <f>IF(ISNUMBER(BV142),BV142+BV148,"")</f>
        <v>19818.8786728419</v>
      </c>
      <c r="BW149" s="272">
        <f>IF(ISNUMBER(BW142),BW142+BW148,"")</f>
        <v>24134.5328583236</v>
      </c>
      <c r="BX149" s="272">
        <f>IF(ISNUMBER(BX142),BX142+BX148,"")</f>
        <v>89180.4115311655</v>
      </c>
      <c r="BY149" s="272">
        <f>IF(ISNUMBER(BY142),BY142+BY148,"")</f>
        <v>102233.462145683</v>
      </c>
      <c r="BZ149" s="272">
        <f>IF(ISNUMBER(BZ142),BZ142+BZ148,"")</f>
        <v>119115.078596139</v>
      </c>
      <c r="CA149" s="272">
        <f>IF(ISNUMBER(CA142),CA142+CA148,"")</f>
        <v>134765.024787283</v>
      </c>
      <c r="CB149" s="272">
        <f>IF(ISNUMBER(CB142),CB142+CB148,"")</f>
        <v>155014.506147673</v>
      </c>
      <c r="CC149" s="272">
        <f>IF(ISNUMBER(CC142),CC142+CC148,"")</f>
        <v>175281.06846433</v>
      </c>
      <c r="CD149" s="153" t="inlineStr">
        <is>
          <t>Company definition where published (IPO–2016); otherwise GAAP + company-quantified one-offs (model).</t>
        </is>
      </c>
    </row>
    <row r="150" ht="15" customHeight="1" s="251">
      <c r="B150" s="25" t="inlineStr">
        <is>
          <t xml:space="preserve">  Adjusted operating margin %</t>
        </is>
      </c>
      <c r="C150" s="215">
        <f>IF(AND(ISNUMBER(C149),ISNUMBER(C109)),IFERROR(C149/C109,""),"")</f>
        <v>0.337194337194337</v>
      </c>
      <c r="D150" s="215">
        <f>IF(AND(ISNUMBER(D149),ISNUMBER(D109)),IFERROR(D149/D109,""),"")</f>
        <v>0.522796352583587</v>
      </c>
      <c r="E150" s="215">
        <f>IF(AND(ISNUMBER(E149),ISNUMBER(E109)),IFERROR(E149/E109,""),"")</f>
        <v>0.473187819994611</v>
      </c>
      <c r="F150" s="215">
        <f>IF(AND(ISNUMBER(F149),ISNUMBER(F109)),IFERROR(F149/F109,""),"")</f>
        <v>0.444291609353508</v>
      </c>
      <c r="G150" s="215">
        <f>IF(AND(ISNUMBER(G149),ISNUMBER(G109)),IFERROR(G149/G109,""),"")</f>
        <v>0.386145404663923</v>
      </c>
      <c r="H150" s="215">
        <f>IF(AND(ISNUMBER(H149),ISNUMBER(H109)),IFERROR(H149/H109,""),"")</f>
        <v>0.437948152233867</v>
      </c>
      <c r="I150" s="215">
        <f>IF(AND(ISNUMBER(I149),ISNUMBER(I109)),IFERROR(I149/I109,""),"")</f>
        <v>0.489583333333333</v>
      </c>
      <c r="J150" s="215">
        <f>IF(AND(ISNUMBER(J149),ISNUMBER(J109)),IFERROR(J149/J109,""),"")</f>
        <v>0.564410058027079</v>
      </c>
      <c r="K150" s="215">
        <f>IF(AND(ISNUMBER(K149),ISNUMBER(K109)),IFERROR(K149/K109,""),"")</f>
        <v>0.483104674796748</v>
      </c>
      <c r="L150" s="215">
        <f>IF(AND(ISNUMBER(L149),ISNUMBER(L109)),IFERROR(L149/L109,""),"")</f>
        <v>0.54916067146283</v>
      </c>
      <c r="M150" s="215">
        <f>IF(AND(ISNUMBER(M149),ISNUMBER(M109)),IFERROR(M149/M109,""),"")</f>
        <v>0.588316151202749</v>
      </c>
      <c r="N150" s="215">
        <f>IF(AND(ISNUMBER(N149),ISNUMBER(N109)),IFERROR(N149/N109,""),"")</f>
        <v>0.568217296284733</v>
      </c>
      <c r="O150" s="215">
        <f>IF(AND(ISNUMBER(O149),ISNUMBER(O109)),IFERROR(O149/O109,""),"")</f>
        <v>0.576213970397299</v>
      </c>
      <c r="P150" s="215">
        <f>IF(AND(ISNUMBER(P149),ISNUMBER(P109)),IFERROR(P149/P109,""),"")</f>
        <v>0.578132520455639</v>
      </c>
      <c r="Q150" s="215">
        <f>IF(AND(ISNUMBER(Q149),ISNUMBER(Q109)),IFERROR(Q149/Q109,""),"")</f>
        <v>0.519333897826701</v>
      </c>
      <c r="R150" s="215">
        <f>IF(AND(ISNUMBER(R149),ISNUMBER(R109)),IFERROR(R149/R109,""),"")</f>
        <v>0.551212271152895</v>
      </c>
      <c r="S150" s="215">
        <f>IF(AND(ISNUMBER(S149),ISNUMBER(S109)),IFERROR(S149/S109,""),"")</f>
        <v>0.535436569651189</v>
      </c>
      <c r="T150" s="215">
        <f>IF(AND(ISNUMBER(T149),ISNUMBER(T109)),IFERROR(T149/T109,""),"")</f>
        <v>0.603150145523027</v>
      </c>
      <c r="U150" s="215">
        <f>IF(AND(ISNUMBER(U149),ISNUMBER(U109)),IFERROR(U149/U109,""),"")</f>
        <v>0.557842481035252</v>
      </c>
      <c r="V150" s="215">
        <f>IF(AND(ISNUMBER(V149),ISNUMBER(V109)),IFERROR(V149/V109,""),"")</f>
        <v>0.553140096618358</v>
      </c>
      <c r="W150" s="215">
        <f>IF(AND(ISNUMBER(W149),ISNUMBER(W109)),IFERROR(W149/W109,""),"")</f>
        <v>0.584835301429459</v>
      </c>
      <c r="X150" s="215">
        <f>IF(AND(ISNUMBER(X149),ISNUMBER(X109)),IFERROR(X149/X109,""),"")</f>
        <v>0.592782769932963</v>
      </c>
      <c r="Y150" s="215">
        <f>IF(AND(ISNUMBER(Y149),ISNUMBER(Y109)),IFERROR(Y149/Y109,""),"")</f>
        <v>0.635372914065161</v>
      </c>
      <c r="Z150" s="215">
        <f>IF(AND(ISNUMBER(Z149),ISNUMBER(Z109)),IFERROR(Z149/Z109,""),"")</f>
        <v>0.596787032346769</v>
      </c>
      <c r="AA150" s="215">
        <f>IF(AND(ISNUMBER(AA149),ISNUMBER(AA109)),IFERROR(AA149/AA109,""),"")</f>
        <v>0.41421812749004</v>
      </c>
      <c r="AB150" s="215">
        <f>IF(AND(ISNUMBER(AB149),ISNUMBER(AB109)),IFERROR(AB149/AB109,""),"")</f>
        <v>0.472159639523656</v>
      </c>
      <c r="AC150" s="215">
        <f>IF(AND(ISNUMBER(AC149),ISNUMBER(AC109)),IFERROR(AC149/AC109,""),"")</f>
        <v>0.495933384972889</v>
      </c>
      <c r="AD150" s="215">
        <f>IF(AND(ISNUMBER(AD149),ISNUMBER(AD109)),IFERROR(AD149/AD109,""),"")</f>
        <v>0.566759173604687</v>
      </c>
      <c r="AE150" s="215">
        <f>IF(AND(ISNUMBER(AE149),ISNUMBER(AE109)),IFERROR(AE149/AE109,""),"")</f>
        <v>0.496962093818414</v>
      </c>
      <c r="AF150" s="215">
        <f>IF(AND(ISNUMBER(AF149),ISNUMBER(AF109)),IFERROR(AF149/AF109,""),"")</f>
        <v>0.455373558415511</v>
      </c>
      <c r="AG150" s="215">
        <f>IF(AND(ISNUMBER(AG149),ISNUMBER(AG109)),IFERROR(AG149/AG109,""),"")</f>
        <v>0.443125991988512</v>
      </c>
      <c r="AH150" s="215">
        <f>IF(AND(ISNUMBER(AH149),ISNUMBER(AH109)),IFERROR(AH149/AH109,""),"")</f>
        <v>0.421140817367232</v>
      </c>
      <c r="AI150" s="215">
        <f>IF(AND(ISNUMBER(AI149),ISNUMBER(AI109)),IFERROR(AI149/AI109,""),"")</f>
        <v>0.462338890859643</v>
      </c>
      <c r="AJ150" s="215">
        <f>IF(AND(ISNUMBER(AJ149),ISNUMBER(AJ109)),IFERROR(AJ149/AJ109,""),"")</f>
        <v>0.446165693613668</v>
      </c>
      <c r="AK150" s="215">
        <f>IF(AND(ISNUMBER(AK149),ISNUMBER(AK109)),IFERROR(AK149/AK109,""),"")</f>
        <v>0.418982556211448</v>
      </c>
      <c r="AL150" s="215">
        <f>IF(AND(ISNUMBER(AL149),ISNUMBER(AL109)),IFERROR(AL149/AL109,""),"")</f>
        <v>0.392396067748431</v>
      </c>
      <c r="AM150" s="215">
        <f>IF(AND(ISNUMBER(AM149),ISNUMBER(AM109)),IFERROR(AM149/AM109,""),"")</f>
        <v>0.407036029911625</v>
      </c>
      <c r="AN150" s="215">
        <f>IF(AND(ISNUMBER(AN149),ISNUMBER(AN109)),IFERROR(AN149/AN109,""),"")</f>
        <v>0.420168864434114</v>
      </c>
      <c r="AO150" s="215">
        <f>IF(AND(ISNUMBER(AO149),ISNUMBER(AO109)),IFERROR(AO149/AO109,""),"")</f>
        <v>0.410003253320509</v>
      </c>
      <c r="AP150" s="215">
        <f>IF(AND(ISNUMBER(AP149),ISNUMBER(AP109)),IFERROR(AP149/AP109,""),"")</f>
        <v>0.332243333145402</v>
      </c>
      <c r="AQ150" s="215">
        <f>IF(AND(ISNUMBER(AQ149),ISNUMBER(AQ109)),IFERROR(AQ149/AQ109,""),"")</f>
        <v>0.319098838764917</v>
      </c>
      <c r="AR150" s="215">
        <f>IF(AND(ISNUMBER(AR149),ISNUMBER(AR109)),IFERROR(AR149/AR109,""),"")</f>
        <v>0.374476013041453</v>
      </c>
      <c r="AS150" s="215">
        <f>IF(AND(ISNUMBER(AS149),ISNUMBER(AS109)),IFERROR(AS149/AS109,""),"")</f>
        <v>0.455079794813337</v>
      </c>
      <c r="AT150" s="215">
        <f>IF(AND(ISNUMBER(AT149),ISNUMBER(AT109)),IFERROR(AT149/AT109,""),"")</f>
        <v>0.380050020357122</v>
      </c>
      <c r="AU150" s="215">
        <f>IF(AND(ISNUMBER(AU149),ISNUMBER(AU109)),IFERROR(AU149/AU109,""),"")</f>
        <v>0.434756027664208</v>
      </c>
      <c r="AV150" s="215">
        <f>IF(AND(ISNUMBER(AV149),ISNUMBER(AV109)),IFERROR(AV149/AV109,""),"")</f>
        <v>0.425318980637617</v>
      </c>
      <c r="AW150" s="215">
        <f>IF(AND(ISNUMBER(AW149),ISNUMBER(AW109)),IFERROR(AW149/AW109,""),"")</f>
        <v>0.359289900034471</v>
      </c>
      <c r="AX150" s="215">
        <f>IF(AND(ISNUMBER(AX149),ISNUMBER(AX109)),IFERROR(AX149/AX109,""),"")</f>
        <v>0.373763772979715</v>
      </c>
      <c r="AY150" s="215">
        <f>IF(AND(ISNUMBER(AY149),ISNUMBER(AY109)),IFERROR(AY149/AY109,""),"")</f>
        <v>0.396450406600582</v>
      </c>
      <c r="AZ150" s="215">
        <f>IF(AND(ISNUMBER(AZ149),ISNUMBER(AZ109)),IFERROR(AZ149/AZ109,""),"")</f>
        <v>0.305432134155081</v>
      </c>
      <c r="BA150" s="215">
        <f>IF(AND(ISNUMBER(BA149),ISNUMBER(BA109)),IFERROR(BA149/BA109,""),"")</f>
        <v>0.289986815626952</v>
      </c>
      <c r="BB150" s="215">
        <f>IF(AND(ISNUMBER(BB149),ISNUMBER(BB109)),IFERROR(BB149/BB109,""),"")</f>
        <v>0.219275456448005</v>
      </c>
      <c r="BC150" s="215">
        <f>IF(AND(ISNUMBER(BC149),ISNUMBER(BC109)),IFERROR(BC149/BC109,""),"")</f>
        <v>0.329457484843774</v>
      </c>
      <c r="BD150" s="215">
        <f>IF(AND(ISNUMBER(BD149),ISNUMBER(BD109)),IFERROR(BD149/BD109,""),"")</f>
        <v>0.287756519651142</v>
      </c>
      <c r="BE150" s="215">
        <f>IF(AND(ISNUMBER(BE149),ISNUMBER(BE109)),IFERROR(BE149/BE109,""),"")</f>
        <v>0.292232501309129</v>
      </c>
      <c r="BF150" s="215">
        <f>IF(AND(ISNUMBER(BF149),ISNUMBER(BF109)),IFERROR(BF149/BF109,""),"")</f>
        <v>0.376324260133129</v>
      </c>
      <c r="BG150" s="215">
        <f>IF(AND(ISNUMBER(BG149),ISNUMBER(BG109)),IFERROR(BG149/BG109,""),"")</f>
        <v>0.413752708955661</v>
      </c>
      <c r="BH150" s="215">
        <f>IF(AND(ISNUMBER(BH149),ISNUMBER(BH109)),IFERROR(BH149/BH109,""),"")</f>
        <v>0.437136944977687</v>
      </c>
      <c r="BI150" s="215">
        <f>IF(AND(ISNUMBER(BI149),ISNUMBER(BI109)),IFERROR(BI149/BI109,""),"")</f>
        <v>0.386020963365999</v>
      </c>
      <c r="BJ150" s="215">
        <f>IF(AND(ISNUMBER(BJ149),ISNUMBER(BJ109)),IFERROR(BJ149/BJ109,""),"")</f>
        <v>0.379042655328487</v>
      </c>
      <c r="BK150" s="215">
        <f>IF(AND(ISNUMBER(BK149),ISNUMBER(BK109)),IFERROR(BK149/BK109,""),"")</f>
        <v>0.380000511888613</v>
      </c>
      <c r="BL150" s="215">
        <f>IF(AND(ISNUMBER(BL149),ISNUMBER(BL109)),IFERROR(BL149/BL109,""),"")</f>
        <v>0.427455714602479</v>
      </c>
      <c r="BM150" s="215">
        <f>IF(AND(ISNUMBER(BM149),ISNUMBER(BM109)),IFERROR(BM149/BM109,""),"")</f>
        <v>0.450862870724398</v>
      </c>
      <c r="BN150" s="215">
        <f>IF(AND(ISNUMBER(BN149),ISNUMBER(BN109)),IFERROR(BN149/BN109,""),"")</f>
        <v>0.412337918918426</v>
      </c>
      <c r="BO150" s="215">
        <f>IF(AND(ISNUMBER(BO149),ISNUMBER(BO109)),IFERROR(BO149/BO109,""),"")</f>
        <v>0.414874509618566</v>
      </c>
      <c r="BP150" s="215">
        <f>IF(AND(ISNUMBER(BP149),ISNUMBER(BP109)),IFERROR(BP149/BP109,""),"")</f>
        <v>0.430191935348093</v>
      </c>
      <c r="BQ150" s="215">
        <f>IF(AND(ISNUMBER(BQ149),ISNUMBER(BQ109)),IFERROR(BQ149/BQ109,""),"")</f>
        <v>0.400745482221615</v>
      </c>
      <c r="BR150" s="215">
        <f>IF(AND(ISNUMBER(BR149),ISNUMBER(BR109)),IFERROR(BR149/BR109,""),"")</f>
        <v>0.413153456998314</v>
      </c>
      <c r="BS150" s="215">
        <f>IF(AND(ISNUMBER(BS149),ISNUMBER(BS109)),IFERROR(BS149/BS109,""),"")</f>
        <v>0.414378551595792</v>
      </c>
      <c r="BT150" s="215">
        <f>IF(AND(ISNUMBER(BT149),ISNUMBER(BT109)),IFERROR(BT149/BT109,""),"")</f>
        <v>0.406172861430271</v>
      </c>
      <c r="BU150" s="215">
        <f>IF(AND(ISNUMBER(BU149),ISNUMBER(BU109)),IFERROR(BU149/BU109,""),"")</f>
        <v>0.367674873768524</v>
      </c>
      <c r="BV150" s="256">
        <f>IF(AND(ISNUMBER(BV149),ISNUMBER(BV109)),IFERROR(BV149/BV109,""),"")</f>
        <v>0.31710205876547</v>
      </c>
      <c r="BW150" s="256">
        <f>IF(AND(ISNUMBER(BW149),ISNUMBER(BW109)),IFERROR(BW149/BW109,""),"")</f>
        <v>0.330662530558271</v>
      </c>
      <c r="BX150" s="256">
        <f>IF(AND(ISNUMBER(BX149),ISNUMBER(BX109)),IFERROR(BX149/BX109,""),"")</f>
        <v>0.353049351703699</v>
      </c>
      <c r="BY150" s="256">
        <f>IF(AND(ISNUMBER(BY149),ISNUMBER(BY109)),IFERROR(BY149/BY109,""),"")</f>
        <v>0.339837230929959</v>
      </c>
      <c r="BZ150" s="256">
        <f>IF(AND(ISNUMBER(BZ149),ISNUMBER(BZ109)),IFERROR(BZ149/BZ109,""),"")</f>
        <v>0.341948661602544</v>
      </c>
      <c r="CA150" s="256">
        <f>IF(AND(ISNUMBER(CA149),ISNUMBER(CA109)),IFERROR(CA149/CA109,""),"")</f>
        <v>0.340429684349631</v>
      </c>
      <c r="CB150" s="256">
        <f>IF(AND(ISNUMBER(CB149),ISNUMBER(CB109)),IFERROR(CB149/CB109,""),"")</f>
        <v>0.351213288237734</v>
      </c>
      <c r="CC150" s="256">
        <f>IF(AND(ISNUMBER(CC149),ISNUMBER(CC109)),IFERROR(CC149/CC109,""),"")</f>
        <v>0.359818320091148</v>
      </c>
      <c r="CD150" s="153" t="n"/>
    </row>
    <row r="151" ht="15" customHeight="1" s="251">
      <c r="B151" s="156" t="inlineStr">
        <is>
          <t xml:space="preserve">  Company-published non-GAAP income from operations</t>
        </is>
      </c>
      <c r="C151" s="34" t="n"/>
      <c r="D151" s="34" t="n"/>
      <c r="E151" s="34" t="n"/>
      <c r="F151" s="261" t="n">
        <v>2261</v>
      </c>
      <c r="G151" s="261" t="n">
        <v>563</v>
      </c>
      <c r="H151" s="261" t="n">
        <v>794</v>
      </c>
      <c r="I151" s="261" t="n">
        <v>987</v>
      </c>
      <c r="J151" s="261" t="n">
        <v>1459</v>
      </c>
      <c r="K151" s="261" t="n">
        <v>3803</v>
      </c>
      <c r="L151" s="261" t="n">
        <v>1374</v>
      </c>
      <c r="M151" s="261" t="n">
        <v>1712</v>
      </c>
      <c r="N151" s="261" t="n">
        <v>1820</v>
      </c>
      <c r="O151" s="261" t="n">
        <v>2219</v>
      </c>
      <c r="P151" s="261" t="n">
        <v>7207</v>
      </c>
      <c r="Q151" s="261" t="n">
        <v>1840</v>
      </c>
      <c r="R151" s="261" t="n">
        <v>2228</v>
      </c>
      <c r="S151" s="261" t="n">
        <v>2410</v>
      </c>
      <c r="T151" s="261" t="n">
        <v>3523</v>
      </c>
      <c r="U151" s="261" t="n">
        <v>10001</v>
      </c>
      <c r="V151" s="261" t="n">
        <v>2977</v>
      </c>
      <c r="W151" s="261" t="n">
        <v>3764</v>
      </c>
      <c r="X151" s="261" t="n">
        <v>4156</v>
      </c>
      <c r="Y151" s="261" t="n">
        <v>5597</v>
      </c>
      <c r="Z151" s="261" t="n">
        <v>16494</v>
      </c>
      <c r="AA151" s="34" t="n"/>
      <c r="AB151" s="34" t="n"/>
      <c r="AC151" s="34" t="n"/>
      <c r="AD151" s="34" t="n"/>
      <c r="AE151" s="34" t="n"/>
      <c r="AF151" s="34" t="n"/>
      <c r="AG151" s="34" t="n"/>
      <c r="AH151" s="34" t="n"/>
      <c r="AI151" s="34" t="n"/>
      <c r="AJ151" s="34" t="n"/>
      <c r="AK151" s="34" t="n"/>
      <c r="AL151" s="34" t="n"/>
      <c r="AM151" s="34" t="n"/>
      <c r="AN151" s="34" t="n"/>
      <c r="AO151" s="34" t="n"/>
      <c r="AP151" s="34" t="n"/>
      <c r="AQ151" s="34" t="n"/>
      <c r="AR151" s="34" t="n"/>
      <c r="AS151" s="34" t="n"/>
      <c r="AT151" s="34" t="n"/>
      <c r="AU151" s="34" t="n"/>
      <c r="AV151" s="34" t="n"/>
      <c r="AW151" s="34" t="n"/>
      <c r="AX151" s="34" t="n"/>
      <c r="AY151" s="34" t="n"/>
      <c r="AZ151" s="34" t="n"/>
      <c r="BA151" s="34" t="n"/>
      <c r="BB151" s="34" t="n"/>
      <c r="BC151" s="34" t="n"/>
      <c r="BD151" s="34" t="n"/>
      <c r="BE151" s="34" t="n"/>
      <c r="BF151" s="34" t="n"/>
      <c r="BG151" s="34" t="n"/>
      <c r="BH151" s="34" t="n"/>
      <c r="BI151" s="34" t="n"/>
      <c r="BJ151" s="34" t="n"/>
      <c r="BK151" s="34" t="n"/>
      <c r="BL151" s="34" t="n"/>
      <c r="BM151" s="34" t="n"/>
      <c r="BN151" s="34" t="n"/>
      <c r="BO151" s="34" t="n"/>
      <c r="BP151" s="34" t="n"/>
      <c r="BQ151" s="34" t="n"/>
      <c r="BR151" s="34" t="n"/>
      <c r="BS151" s="34" t="n"/>
      <c r="BT151" s="34" t="n"/>
      <c r="BU151" s="34" t="n"/>
      <c r="BV151" s="153" t="n"/>
      <c r="BW151" s="153" t="n"/>
      <c r="BX151" s="153" t="n"/>
      <c r="BY151" s="153" t="n"/>
      <c r="BZ151" s="153" t="n"/>
      <c r="CA151" s="153" t="n"/>
      <c r="CB151" s="153" t="n"/>
      <c r="CC151" s="153" t="n"/>
      <c r="CD151" s="153" t="n"/>
    </row>
    <row r="152" ht="15" customHeight="1" s="251">
      <c r="B152" s="57" t="inlineStr">
        <is>
          <t xml:space="preserve">  Check: model bridge vs company-published (should be 0)</t>
        </is>
      </c>
      <c r="C152" s="211" t="str">
        <f>IF(ISNUMBER(C151),ROUND(C149-C151,1),"n/p")</f>
        <v>n/p</v>
      </c>
      <c r="D152" s="211" t="str">
        <f>IF(ISNUMBER(D151),ROUND(D149-D151,1),"n/p")</f>
        <v>n/p</v>
      </c>
      <c r="E152" s="211" t="str">
        <f>IF(ISNUMBER(E151),ROUND(E149-E151,1),"n/p")</f>
        <v>n/p</v>
      </c>
      <c r="F152" s="211">
        <f>IF(ISNUMBER(F151),ROUND(F149-F151,1),"n/p")</f>
        <v>0</v>
      </c>
      <c r="G152" s="211">
        <f>IF(ISNUMBER(G151),ROUND(G149-G151,1),"n/p")</f>
        <v>0</v>
      </c>
      <c r="H152" s="211">
        <f>IF(ISNUMBER(H151),ROUND(H149-H151,1),"n/p")</f>
        <v>0</v>
      </c>
      <c r="I152" s="211">
        <f>IF(ISNUMBER(I151),ROUND(I149-I151,1),"n/p")</f>
        <v>0</v>
      </c>
      <c r="J152" s="211">
        <f>IF(ISNUMBER(J151),ROUND(J149-J151,1),"n/p")</f>
        <v>0</v>
      </c>
      <c r="K152" s="211">
        <f>IF(ISNUMBER(K151),ROUND(K149-K151,1),"n/p")</f>
        <v>0</v>
      </c>
      <c r="L152" s="211">
        <f>IF(ISNUMBER(L151),ROUND(L149-L151,1),"n/p")</f>
        <v>0</v>
      </c>
      <c r="M152" s="211">
        <f>IF(ISNUMBER(M151),ROUND(M149-M151,1),"n/p")</f>
        <v>0</v>
      </c>
      <c r="N152" s="211">
        <f>IF(ISNUMBER(N151),ROUND(N149-N151,1),"n/p")</f>
        <v>0</v>
      </c>
      <c r="O152" s="211">
        <f>IF(ISNUMBER(O151),ROUND(O149-O151,1),"n/p")</f>
        <v>0</v>
      </c>
      <c r="P152" s="211">
        <f>IF(ISNUMBER(P151),ROUND(P149-P151,1),"n/p")</f>
        <v>0</v>
      </c>
      <c r="Q152" s="211">
        <f>IF(ISNUMBER(Q151),ROUND(Q149-Q151,1),"n/p")</f>
        <v>0</v>
      </c>
      <c r="R152" s="211">
        <f>IF(ISNUMBER(R151),ROUND(R149-R151,1),"n/p")</f>
        <v>0</v>
      </c>
      <c r="S152" s="211">
        <f>IF(ISNUMBER(S151),ROUND(S149-S151,1),"n/p")</f>
        <v>0</v>
      </c>
      <c r="T152" s="211">
        <f>IF(ISNUMBER(T151),ROUND(T149-T151,1),"n/p")</f>
        <v>0</v>
      </c>
      <c r="U152" s="211">
        <f>IF(ISNUMBER(U151),ROUND(U149-U151,1),"n/p")</f>
        <v>0</v>
      </c>
      <c r="V152" s="211">
        <f>IF(ISNUMBER(V151),ROUND(V149-V151,1),"n/p")</f>
        <v>0</v>
      </c>
      <c r="W152" s="211">
        <f>IF(ISNUMBER(W151),ROUND(W149-W151,1),"n/p")</f>
        <v>0</v>
      </c>
      <c r="X152" s="211">
        <f>IF(ISNUMBER(X151),ROUND(X149-X151,1),"n/p")</f>
        <v>0</v>
      </c>
      <c r="Y152" s="211">
        <f>IF(ISNUMBER(Y151),ROUND(Y149-Y151,1),"n/p")</f>
        <v>0</v>
      </c>
      <c r="Z152" s="211">
        <f>IF(ISNUMBER(Z151),ROUND(Z149-Z151,1),"n/p")</f>
        <v>0</v>
      </c>
      <c r="AA152" s="211" t="str">
        <f>IF(ISNUMBER(AA151),ROUND(AA149-AA151,1),"n/p")</f>
        <v>n/p</v>
      </c>
      <c r="AB152" s="211" t="str">
        <f>IF(ISNUMBER(AB151),ROUND(AB149-AB151,1),"n/p")</f>
        <v>n/p</v>
      </c>
      <c r="AC152" s="211" t="str">
        <f>IF(ISNUMBER(AC151),ROUND(AC149-AC151,1),"n/p")</f>
        <v>n/p</v>
      </c>
      <c r="AD152" s="211" t="str">
        <f>IF(ISNUMBER(AD151),ROUND(AD149-AD151,1),"n/p")</f>
        <v>n/p</v>
      </c>
      <c r="AE152" s="211" t="str">
        <f>IF(ISNUMBER(AE151),ROUND(AE149-AE151,1),"n/p")</f>
        <v>n/p</v>
      </c>
      <c r="AF152" s="211" t="str">
        <f>IF(ISNUMBER(AF151),ROUND(AF149-AF151,1),"n/p")</f>
        <v>n/p</v>
      </c>
      <c r="AG152" s="211" t="str">
        <f>IF(ISNUMBER(AG151),ROUND(AG149-AG151,1),"n/p")</f>
        <v>n/p</v>
      </c>
      <c r="AH152" s="211" t="str">
        <f>IF(ISNUMBER(AH151),ROUND(AH149-AH151,1),"n/p")</f>
        <v>n/p</v>
      </c>
      <c r="AI152" s="211" t="str">
        <f>IF(ISNUMBER(AI151),ROUND(AI149-AI151,1),"n/p")</f>
        <v>n/p</v>
      </c>
      <c r="AJ152" s="211" t="str">
        <f>IF(ISNUMBER(AJ151),ROUND(AJ149-AJ151,1),"n/p")</f>
        <v>n/p</v>
      </c>
      <c r="AK152" s="211" t="str">
        <f>IF(ISNUMBER(AK151),ROUND(AK149-AK151,1),"n/p")</f>
        <v>n/p</v>
      </c>
      <c r="AL152" s="211" t="str">
        <f>IF(ISNUMBER(AL151),ROUND(AL149-AL151,1),"n/p")</f>
        <v>n/p</v>
      </c>
      <c r="AM152" s="211" t="str">
        <f>IF(ISNUMBER(AM151),ROUND(AM149-AM151,1),"n/p")</f>
        <v>n/p</v>
      </c>
      <c r="AN152" s="211" t="str">
        <f>IF(ISNUMBER(AN151),ROUND(AN149-AN151,1),"n/p")</f>
        <v>n/p</v>
      </c>
      <c r="AO152" s="211" t="str">
        <f>IF(ISNUMBER(AO151),ROUND(AO149-AO151,1),"n/p")</f>
        <v>n/p</v>
      </c>
      <c r="AP152" s="211" t="str">
        <f>IF(ISNUMBER(AP151),ROUND(AP149-AP151,1),"n/p")</f>
        <v>n/p</v>
      </c>
      <c r="AQ152" s="211" t="str">
        <f>IF(ISNUMBER(AQ151),ROUND(AQ149-AQ151,1),"n/p")</f>
        <v>n/p</v>
      </c>
      <c r="AR152" s="211" t="str">
        <f>IF(ISNUMBER(AR151),ROUND(AR149-AR151,1),"n/p")</f>
        <v>n/p</v>
      </c>
      <c r="AS152" s="211" t="str">
        <f>IF(ISNUMBER(AS151),ROUND(AS149-AS151,1),"n/p")</f>
        <v>n/p</v>
      </c>
      <c r="AT152" s="211" t="str">
        <f>IF(ISNUMBER(AT151),ROUND(AT149-AT151,1),"n/p")</f>
        <v>n/p</v>
      </c>
      <c r="AU152" s="211" t="str">
        <f>IF(ISNUMBER(AU151),ROUND(AU149-AU151,1),"n/p")</f>
        <v>n/p</v>
      </c>
      <c r="AV152" s="211" t="str">
        <f>IF(ISNUMBER(AV151),ROUND(AV149-AV151,1),"n/p")</f>
        <v>n/p</v>
      </c>
      <c r="AW152" s="211" t="str">
        <f>IF(ISNUMBER(AW151),ROUND(AW149-AW151,1),"n/p")</f>
        <v>n/p</v>
      </c>
      <c r="AX152" s="211" t="str">
        <f>IF(ISNUMBER(AX151),ROUND(AX149-AX151,1),"n/p")</f>
        <v>n/p</v>
      </c>
      <c r="AY152" s="211" t="str">
        <f>IF(ISNUMBER(AY151),ROUND(AY149-AY151,1),"n/p")</f>
        <v>n/p</v>
      </c>
      <c r="AZ152" s="211" t="str">
        <f>IF(ISNUMBER(AZ151),ROUND(AZ149-AZ151,1),"n/p")</f>
        <v>n/p</v>
      </c>
      <c r="BA152" s="211" t="str">
        <f>IF(ISNUMBER(BA151),ROUND(BA149-BA151,1),"n/p")</f>
        <v>n/p</v>
      </c>
      <c r="BB152" s="211" t="str">
        <f>IF(ISNUMBER(BB151),ROUND(BB149-BB151,1),"n/p")</f>
        <v>n/p</v>
      </c>
      <c r="BC152" s="211" t="str">
        <f>IF(ISNUMBER(BC151),ROUND(BC149-BC151,1),"n/p")</f>
        <v>n/p</v>
      </c>
      <c r="BD152" s="211" t="str">
        <f>IF(ISNUMBER(BD151),ROUND(BD149-BD151,1),"n/p")</f>
        <v>n/p</v>
      </c>
      <c r="BE152" s="211" t="str">
        <f>IF(ISNUMBER(BE151),ROUND(BE149-BE151,1),"n/p")</f>
        <v>n/p</v>
      </c>
      <c r="BF152" s="211" t="str">
        <f>IF(ISNUMBER(BF151),ROUND(BF149-BF151,1),"n/p")</f>
        <v>n/p</v>
      </c>
      <c r="BG152" s="211" t="str">
        <f>IF(ISNUMBER(BG151),ROUND(BG149-BG151,1),"n/p")</f>
        <v>n/p</v>
      </c>
      <c r="BH152" s="211" t="str">
        <f>IF(ISNUMBER(BH151),ROUND(BH149-BH151,1),"n/p")</f>
        <v>n/p</v>
      </c>
      <c r="BI152" s="211" t="str">
        <f>IF(ISNUMBER(BI151),ROUND(BI149-BI151,1),"n/p")</f>
        <v>n/p</v>
      </c>
      <c r="BJ152" s="211" t="str">
        <f>IF(ISNUMBER(BJ151),ROUND(BJ149-BJ151,1),"n/p")</f>
        <v>n/p</v>
      </c>
      <c r="BK152" s="211" t="str">
        <f>IF(ISNUMBER(BK151),ROUND(BK149-BK151,1),"n/p")</f>
        <v>n/p</v>
      </c>
      <c r="BL152" s="211" t="str">
        <f>IF(ISNUMBER(BL151),ROUND(BL149-BL151,1),"n/p")</f>
        <v>n/p</v>
      </c>
      <c r="BM152" s="211" t="str">
        <f>IF(ISNUMBER(BM151),ROUND(BM149-BM151,1),"n/p")</f>
        <v>n/p</v>
      </c>
      <c r="BN152" s="211" t="str">
        <f>IF(ISNUMBER(BN151),ROUND(BN149-BN151,1),"n/p")</f>
        <v>n/p</v>
      </c>
      <c r="BO152" s="211" t="str">
        <f>IF(ISNUMBER(BO151),ROUND(BO149-BO151,1),"n/p")</f>
        <v>n/p</v>
      </c>
      <c r="BP152" s="211" t="str">
        <f>IF(ISNUMBER(BP151),ROUND(BP149-BP151,1),"n/p")</f>
        <v>n/p</v>
      </c>
      <c r="BQ152" s="211" t="str">
        <f>IF(ISNUMBER(BQ151),ROUND(BQ149-BQ151,1),"n/p")</f>
        <v>n/p</v>
      </c>
      <c r="BR152" s="211" t="str">
        <f>IF(ISNUMBER(BR151),ROUND(BR149-BR151,1),"n/p")</f>
        <v>n/p</v>
      </c>
      <c r="BS152" s="211" t="str">
        <f>IF(ISNUMBER(BS151),ROUND(BS149-BS151,1),"n/p")</f>
        <v>n/p</v>
      </c>
      <c r="BT152" s="211" t="str">
        <f>IF(ISNUMBER(BT151),ROUND(BT149-BT151,1),"n/p")</f>
        <v>n/p</v>
      </c>
      <c r="BU152" s="211" t="str">
        <f>IF(ISNUMBER(BU151),ROUND(BU149-BU151,1),"n/p")</f>
        <v>n/p</v>
      </c>
      <c r="BV152" s="153" t="n"/>
      <c r="BW152" s="153" t="n"/>
      <c r="BX152" s="153" t="n"/>
      <c r="BY152" s="153" t="n"/>
      <c r="BZ152" s="153" t="n"/>
      <c r="CA152" s="153" t="n"/>
      <c r="CB152" s="153" t="n"/>
      <c r="CC152" s="153" t="n"/>
      <c r="CD152" s="153" t="n"/>
    </row>
    <row r="153" ht="15" customHeight="1" s="251">
      <c r="B153" s="158" t="inlineStr">
        <is>
          <t xml:space="preserve">  Definition / basis (adjusted definition in force)</t>
        </is>
      </c>
      <c r="C153" s="278" t="inlineStr">
        <is>
          <t>FY2009–11 (pre-IPO): no non-GAAP measures published — adjusted = GAAP (model definition)</t>
        </is>
      </c>
      <c r="F153" s="278" t="inlineStr">
        <is>
          <t>IPO–2016: company non-GAAP income from operations excludes share-based compensation and related payroll tax</t>
        </is>
      </c>
      <c r="N153" s="278" t="inlineStr">
        <is>
          <t>From Q3-2014: amortization of intangible assets also excluded (WhatsApp, Oculus)</t>
        </is>
      </c>
      <c r="AA153" s="278" t="inlineStr">
        <is>
          <t>2017+: no company non-GAAP operating measure — model definition: GAAP + company-quantified legal and restructuring items (SBC expensed)</t>
        </is>
      </c>
      <c r="AK153" s="278" t="inlineStr">
        <is>
          <t>FTC accruals $3.0bn (Q1-19) and $2.0bn (Q2-19) — adjusted out (company-quantified)</t>
        </is>
      </c>
      <c r="BB153" s="278" t="inlineStr">
        <is>
          <t>Restructuring Q3-22–Q4-23 (facilities, layoffs, data centers) and Q2-23 legal $1.87bn — adjusted out</t>
        </is>
      </c>
      <c r="BM153" s="278" t="inlineStr">
        <is>
          <t>Q4-24 favorable $1.55bn decrease in legal accruals — adjusted out (negative item)</t>
        </is>
      </c>
      <c r="BU153" s="278" t="inlineStr">
        <is>
          <t>Q2-26 legal charges $2.40bn and severance $1.18bn — adjusted out</t>
        </is>
      </c>
      <c r="BV153" s="153" t="n"/>
      <c r="BW153" s="153" t="n"/>
      <c r="BX153" s="153" t="n"/>
      <c r="BY153" s="153" t="n"/>
      <c r="BZ153" s="153" t="n"/>
      <c r="CA153" s="153" t="n"/>
      <c r="CB153" s="153" t="n"/>
      <c r="CC153" s="153" t="n"/>
      <c r="CD153" s="19" t="inlineStr">
        <is>
          <t>Basis changes are flagged in the column where they take effect (cell comment gives the detail).</t>
        </is>
      </c>
    </row>
    <row r="154" ht="15" customHeight="1" s="251">
      <c r="B154" s="55" t="inlineStr">
        <is>
          <t xml:space="preserve">  Memo: adjusted income from operations — current definition (GAAP + company-quantified one-offs; SBC expensed) — drives valuation</t>
        </is>
      </c>
      <c r="C154" s="272">
        <f>IF(ISNUMBER(C142),C142+C146+C147,"")</f>
        <v>262</v>
      </c>
      <c r="D154" s="272">
        <f>IF(ISNUMBER(D142),D142+D146+D147,"")</f>
        <v>1032</v>
      </c>
      <c r="E154" s="272">
        <f>IF(ISNUMBER(E142),E142+E146+E147,"")</f>
        <v>1756</v>
      </c>
      <c r="F154" s="272">
        <f>IF(ISNUMBER(F142),F142+F146+F147,"")</f>
        <v>538</v>
      </c>
      <c r="G154" s="272">
        <f>IF(ISNUMBER(G142),G142+G146+G147,"")</f>
        <v>373</v>
      </c>
      <c r="H154" s="272">
        <f>IF(ISNUMBER(H142),H142+H146+H147,"")</f>
        <v>562</v>
      </c>
      <c r="I154" s="272">
        <f>IF(ISNUMBER(I142),I142+I146+I147,"")</f>
        <v>736</v>
      </c>
      <c r="J154" s="272">
        <f>IF(ISNUMBER(J142),J142+J146+J147,"")</f>
        <v>1133</v>
      </c>
      <c r="K154" s="272">
        <f>IF(ISNUMBER(K142),K142+K146+K147,"")</f>
        <v>2804</v>
      </c>
      <c r="L154" s="272">
        <f>IF(ISNUMBER(L142),L142+L146+L147,"")</f>
        <v>1075</v>
      </c>
      <c r="M154" s="272">
        <f>IF(ISNUMBER(M142),M142+M146+M147,"")</f>
        <v>1390</v>
      </c>
      <c r="N154" s="272">
        <f>IF(ISNUMBER(N142),N142+N146+N147,"")</f>
        <v>1397</v>
      </c>
      <c r="O154" s="272">
        <f>IF(ISNUMBER(O142),O142+O146+O147,"")</f>
        <v>1133</v>
      </c>
      <c r="P154" s="272">
        <f>IF(ISNUMBER(P142),P142+P146+P147,"")</f>
        <v>4994</v>
      </c>
      <c r="Q154" s="272">
        <f>IF(ISNUMBER(Q142),Q142+Q146+Q147,"")</f>
        <v>933</v>
      </c>
      <c r="R154" s="272">
        <f>IF(ISNUMBER(R142),R142+R146+R147,"")</f>
        <v>1273</v>
      </c>
      <c r="S154" s="272">
        <f>IF(ISNUMBER(S142),S142+S146+S147,"")</f>
        <v>1459</v>
      </c>
      <c r="T154" s="272">
        <f>IF(ISNUMBER(T142),T142+T146+T147,"")</f>
        <v>2560</v>
      </c>
      <c r="U154" s="272">
        <f>IF(ISNUMBER(U142),U142+U146+U147,"")</f>
        <v>6225</v>
      </c>
      <c r="V154" s="272">
        <f>IF(ISNUMBER(V142),V142+V146+V147,"")</f>
        <v>2009</v>
      </c>
      <c r="W154" s="272">
        <f>IF(ISNUMBER(W142),W142+W146+W147,"")</f>
        <v>2746</v>
      </c>
      <c r="X154" s="272">
        <f>IF(ISNUMBER(X142),X142+X146+X147,"")</f>
        <v>3122</v>
      </c>
      <c r="Y154" s="272">
        <f>IF(ISNUMBER(Y142),Y142+Y146+Y147,"")</f>
        <v>4566</v>
      </c>
      <c r="Z154" s="272">
        <f>IF(ISNUMBER(Z142),Z142+Z146+Z147,"")</f>
        <v>12427</v>
      </c>
      <c r="AA154" s="272">
        <f>IF(ISNUMBER(AA142),AA142+AA146+AA147,"")</f>
        <v>3327</v>
      </c>
      <c r="AB154" s="272">
        <f>IF(ISNUMBER(AB142),AB142+AB146+AB147,"")</f>
        <v>4401</v>
      </c>
      <c r="AC154" s="272">
        <f>IF(ISNUMBER(AC142),AC142+AC146+AC147,"")</f>
        <v>5122</v>
      </c>
      <c r="AD154" s="272">
        <f>IF(ISNUMBER(AD142),AD142+AD146+AD147,"")</f>
        <v>7352</v>
      </c>
      <c r="AE154" s="272">
        <f>IF(ISNUMBER(AE142),AE142+AE146+AE147,"")</f>
        <v>20203</v>
      </c>
      <c r="AF154" s="272">
        <f>IF(ISNUMBER(AF142),AF142+AF146+AF147,"")</f>
        <v>5449</v>
      </c>
      <c r="AG154" s="272">
        <f>IF(ISNUMBER(AG142),AG142+AG146+AG147,"")</f>
        <v>5863</v>
      </c>
      <c r="AH154" s="272">
        <f>IF(ISNUMBER(AH142),AH142+AH146+AH147,"")</f>
        <v>5781</v>
      </c>
      <c r="AI154" s="272">
        <f>IF(ISNUMBER(AI142),AI142+AI146+AI147,"")</f>
        <v>7820</v>
      </c>
      <c r="AJ154" s="272">
        <f>IF(ISNUMBER(AJ142),AJ142+AJ146+AJ147,"")</f>
        <v>24913</v>
      </c>
      <c r="AK154" s="272">
        <f>IF(ISNUMBER(AK142),AK142+AK146+AK147,"")</f>
        <v>6317</v>
      </c>
      <c r="AL154" s="272">
        <f>IF(ISNUMBER(AL142),AL142+AL146+AL147,"")</f>
        <v>6626</v>
      </c>
      <c r="AM154" s="272">
        <f>IF(ISNUMBER(AM142),AM142+AM146+AM147,"")</f>
        <v>7185</v>
      </c>
      <c r="AN154" s="272">
        <f>IF(ISNUMBER(AN142),AN142+AN146+AN147,"")</f>
        <v>8858</v>
      </c>
      <c r="AO154" s="272">
        <f>IF(ISNUMBER(AO142),AO142+AO146+AO147,"")</f>
        <v>28986</v>
      </c>
      <c r="AP154" s="272">
        <f>IF(ISNUMBER(AP142),AP142+AP146+AP147,"")</f>
        <v>5893</v>
      </c>
      <c r="AQ154" s="272">
        <f>IF(ISNUMBER(AQ142),AQ142+AQ146+AQ147,"")</f>
        <v>5963</v>
      </c>
      <c r="AR154" s="272">
        <f>IF(ISNUMBER(AR142),AR142+AR146+AR147,"")</f>
        <v>8040</v>
      </c>
      <c r="AS154" s="272">
        <f>IF(ISNUMBER(AS142),AS142+AS146+AS147,"")</f>
        <v>12775</v>
      </c>
      <c r="AT154" s="272">
        <f>IF(ISNUMBER(AT142),AT142+AT146+AT147,"")</f>
        <v>32671</v>
      </c>
      <c r="AU154" s="272">
        <f>IF(ISNUMBER(AU142),AU142+AU146+AU147,"")</f>
        <v>11378</v>
      </c>
      <c r="AV154" s="272">
        <f>IF(ISNUMBER(AV142),AV142+AV146+AV147,"")</f>
        <v>12367</v>
      </c>
      <c r="AW154" s="272">
        <f>IF(ISNUMBER(AW142),AW142+AW146+AW147,"")</f>
        <v>10423</v>
      </c>
      <c r="AX154" s="272">
        <f>IF(ISNUMBER(AX142),AX142+AX146+AX147,"")</f>
        <v>12585</v>
      </c>
      <c r="AY154" s="272">
        <f>IF(ISNUMBER(AY142),AY142+AY146+AY147,"")</f>
        <v>46753</v>
      </c>
      <c r="AZ154" s="272">
        <f>IF(ISNUMBER(AZ142),AZ142+AZ146+AZ147,"")</f>
        <v>8524</v>
      </c>
      <c r="BA154" s="272">
        <f>IF(ISNUMBER(BA142),BA142+BA146+BA147,"")</f>
        <v>8358</v>
      </c>
      <c r="BB154" s="272">
        <f>IF(ISNUMBER(BB142),BB142+BB146+BB147,"")</f>
        <v>6077</v>
      </c>
      <c r="BC154" s="272">
        <f>IF(ISNUMBER(BC142),BC142+BC146+BC147,"")</f>
        <v>10597</v>
      </c>
      <c r="BD154" s="272">
        <f>IF(ISNUMBER(BD142),BD142+BD146+BD147,"")</f>
        <v>33555</v>
      </c>
      <c r="BE154" s="272">
        <f>IF(ISNUMBER(BE142),BE142+BE146+BE147,"")</f>
        <v>8371</v>
      </c>
      <c r="BF154" s="272">
        <f>IF(ISNUMBER(BF142),BF142+BF146+BF147,"")</f>
        <v>12042</v>
      </c>
      <c r="BG154" s="272">
        <f>IF(ISNUMBER(BG142),BG142+BG146+BG147,"")</f>
        <v>14128</v>
      </c>
      <c r="BH154" s="272">
        <f>IF(ISNUMBER(BH142),BH142+BH146+BH147,"")</f>
        <v>17534</v>
      </c>
      <c r="BI154" s="272">
        <f>IF(ISNUMBER(BI142),BI142+BI146+BI147,"")</f>
        <v>52075</v>
      </c>
      <c r="BJ154" s="272">
        <f>IF(ISNUMBER(BJ142),BJ142+BJ146+BJ147,"")</f>
        <v>13818</v>
      </c>
      <c r="BK154" s="272">
        <f>IF(ISNUMBER(BK142),BK142+BK146+BK147,"")</f>
        <v>14847</v>
      </c>
      <c r="BL154" s="272">
        <f>IF(ISNUMBER(BL142),BL142+BL146+BL147,"")</f>
        <v>17350</v>
      </c>
      <c r="BM154" s="272">
        <f>IF(ISNUMBER(BM142),BM142+BM146+BM147,"")</f>
        <v>21815</v>
      </c>
      <c r="BN154" s="272">
        <f>IF(ISNUMBER(BN142),BN142+BN146+BN147,"")</f>
        <v>67830</v>
      </c>
      <c r="BO154" s="272">
        <f>IF(ISNUMBER(BO142),BO142+BO146+BO147,"")</f>
        <v>17555</v>
      </c>
      <c r="BP154" s="272">
        <f>IF(ISNUMBER(BP142),BP142+BP146+BP147,"")</f>
        <v>20441</v>
      </c>
      <c r="BQ154" s="272">
        <f>IF(ISNUMBER(BQ142),BQ142+BQ146+BQ147,"")</f>
        <v>20535</v>
      </c>
      <c r="BR154" s="272">
        <f>IF(ISNUMBER(BR142),BR142+BR146+BR147,"")</f>
        <v>24745</v>
      </c>
      <c r="BS154" s="272">
        <f>IF(ISNUMBER(BS142),BS142+BS146+BS147,"")</f>
        <v>83276</v>
      </c>
      <c r="BT154" s="272">
        <f>IF(ISNUMBER(BT142),BT142+BT146+BT147,"")</f>
        <v>22872</v>
      </c>
      <c r="BU154" s="272">
        <f>IF(ISNUMBER(BU142),BU142+BU146+BU147,"")</f>
        <v>22355</v>
      </c>
      <c r="BV154" s="272">
        <f>IF(ISNUMBER(BV142),BV142+BV146+BV147,"")</f>
        <v>19818.8786728419</v>
      </c>
      <c r="BW154" s="272">
        <f>IF(ISNUMBER(BW142),BW142+BW146+BW147,"")</f>
        <v>24134.5328583236</v>
      </c>
      <c r="BX154" s="272">
        <f>IF(ISNUMBER(BX142),BX142+BX146+BX147,"")</f>
        <v>89180.4115311655</v>
      </c>
      <c r="BY154" s="272">
        <f>IF(ISNUMBER(BY142),BY142+BY146+BY147,"")</f>
        <v>102233.462145683</v>
      </c>
      <c r="BZ154" s="272">
        <f>IF(ISNUMBER(BZ142),BZ142+BZ146+BZ147,"")</f>
        <v>119115.078596139</v>
      </c>
      <c r="CA154" s="272">
        <f>IF(ISNUMBER(CA142),CA142+CA146+CA147,"")</f>
        <v>134765.024787283</v>
      </c>
      <c r="CB154" s="272">
        <f>IF(ISNUMBER(CB142),CB142+CB146+CB147,"")</f>
        <v>155014.506147673</v>
      </c>
      <c r="CC154" s="272">
        <f>IF(ISNUMBER(CC142),CC142+CC146+CC147,"")</f>
        <v>175281.06846433</v>
      </c>
      <c r="CD154" s="153" t="n"/>
      <c r="CF154" s="20">
        <f>IFERROR((CC154/BX154)^(1/5)-1,"n/m")</f>
        <v>0.144703756342183</v>
      </c>
      <c r="CG154" s="20">
        <f>IFERROR((BS154/AT154)^(1/5)-1,"n/m")</f>
        <v>0.205789466848026</v>
      </c>
      <c r="CH154" s="20">
        <f>IFERROR((BS154/U154)^(1/10)-1,"n/m")</f>
        <v>0.296098625563257</v>
      </c>
      <c r="CI154" s="20">
        <f>IFERROR((BS154/C154)^(1/16)-1,"n/m")</f>
        <v>0.433470171520366</v>
      </c>
    </row>
    <row r="155" ht="15" customHeight="1" s="251">
      <c r="B155" s="25" t="inlineStr">
        <is>
          <t xml:space="preserve">  Adjusted operating margin (current definition) %</t>
        </is>
      </c>
      <c r="C155" s="215">
        <f>IF(AND(ISNUMBER(C154),ISNUMBER(C109)),IFERROR(C154/C109,""),"")</f>
        <v>0.337194337194337</v>
      </c>
      <c r="D155" s="215">
        <f>IF(AND(ISNUMBER(D154),ISNUMBER(D109)),IFERROR(D154/D109,""),"")</f>
        <v>0.522796352583587</v>
      </c>
      <c r="E155" s="215">
        <f>IF(AND(ISNUMBER(E154),ISNUMBER(E109)),IFERROR(E154/E109,""),"")</f>
        <v>0.473187819994611</v>
      </c>
      <c r="F155" s="215">
        <f>IF(AND(ISNUMBER(F154),ISNUMBER(F109)),IFERROR(F154/F109,""),"")</f>
        <v>0.105718215759481</v>
      </c>
      <c r="G155" s="215">
        <f>IF(AND(ISNUMBER(G154),ISNUMBER(G109)),IFERROR(G154/G109,""),"")</f>
        <v>0.255829903978052</v>
      </c>
      <c r="H155" s="215">
        <f>IF(AND(ISNUMBER(H154),ISNUMBER(H109)),IFERROR(H154/H109,""),"")</f>
        <v>0.309983452840596</v>
      </c>
      <c r="I155" s="215">
        <f>IF(AND(ISNUMBER(I154),ISNUMBER(I109)),IFERROR(I154/I109,""),"")</f>
        <v>0.365079365079365</v>
      </c>
      <c r="J155" s="215">
        <f>IF(AND(ISNUMBER(J154),ISNUMBER(J109)),IFERROR(J154/J109,""),"")</f>
        <v>0.438297872340426</v>
      </c>
      <c r="K155" s="215">
        <f>IF(AND(ISNUMBER(K154),ISNUMBER(K109)),IFERROR(K154/K109,""),"")</f>
        <v>0.35619918699187</v>
      </c>
      <c r="L155" s="215">
        <f>IF(AND(ISNUMBER(L154),ISNUMBER(L109)),IFERROR(L154/L109,""),"")</f>
        <v>0.429656274980016</v>
      </c>
      <c r="M155" s="215">
        <f>IF(AND(ISNUMBER(M154),ISNUMBER(M109)),IFERROR(M154/M109,""),"")</f>
        <v>0.47766323024055</v>
      </c>
      <c r="N155" s="215">
        <f>IF(AND(ISNUMBER(N154),ISNUMBER(N109)),IFERROR(N154/N109,""),"")</f>
        <v>0.43615360599438</v>
      </c>
      <c r="O155" s="215">
        <f>IF(AND(ISNUMBER(O154),ISNUMBER(O109)),IFERROR(O154/O109,""),"")</f>
        <v>0.294209296286679</v>
      </c>
      <c r="P155" s="215">
        <f>IF(AND(ISNUMBER(P154),ISNUMBER(P109)),IFERROR(P154/P109,""),"")</f>
        <v>0.400609658270496</v>
      </c>
      <c r="Q155" s="215">
        <f>IF(AND(ISNUMBER(Q154),ISNUMBER(Q109)),IFERROR(Q154/Q109,""),"")</f>
        <v>0.263336155800169</v>
      </c>
      <c r="R155" s="215">
        <f>IF(AND(ISNUMBER(R154),ISNUMBER(R109)),IFERROR(R154/R109,""),"")</f>
        <v>0.314943097476497</v>
      </c>
      <c r="S155" s="215">
        <f>IF(AND(ISNUMBER(S154),ISNUMBER(S109)),IFERROR(S154/S109,""),"")</f>
        <v>0.324150188846923</v>
      </c>
      <c r="T155" s="215">
        <f>IF(AND(ISNUMBER(T154),ISNUMBER(T109)),IFERROR(T154/T109,""),"")</f>
        <v>0.438281116247218</v>
      </c>
      <c r="U155" s="215">
        <f>IF(AND(ISNUMBER(U154),ISNUMBER(U109)),IFERROR(U154/U109,""),"")</f>
        <v>0.347222222222222</v>
      </c>
      <c r="V155" s="215">
        <f>IF(AND(ISNUMBER(V154),ISNUMBER(V109)),IFERROR(V154/V109,""),"")</f>
        <v>0.373281308063917</v>
      </c>
      <c r="W155" s="215">
        <f>IF(AND(ISNUMBER(W154),ISNUMBER(W109)),IFERROR(W154/W109,""),"")</f>
        <v>0.426662523306402</v>
      </c>
      <c r="X155" s="215">
        <f>IF(AND(ISNUMBER(X154),ISNUMBER(X109)),IFERROR(X154/X109,""),"")</f>
        <v>0.445300242476109</v>
      </c>
      <c r="Y155" s="215">
        <f>IF(AND(ISNUMBER(Y154),ISNUMBER(Y109)),IFERROR(Y154/Y109,""),"")</f>
        <v>0.518333522533772</v>
      </c>
      <c r="Z155" s="215">
        <f>IF(AND(ISNUMBER(Z154),ISNUMBER(Z109)),IFERROR(Z154/Z109,""),"")</f>
        <v>0.449634561111513</v>
      </c>
      <c r="AA155" s="215">
        <f>IF(AND(ISNUMBER(AA154),ISNUMBER(AA109)),IFERROR(AA154/AA109,""),"")</f>
        <v>0.41421812749004</v>
      </c>
      <c r="AB155" s="215">
        <f>IF(AND(ISNUMBER(AB154),ISNUMBER(AB109)),IFERROR(AB154/AB109,""),"")</f>
        <v>0.472159639523656</v>
      </c>
      <c r="AC155" s="215">
        <f>IF(AND(ISNUMBER(AC154),ISNUMBER(AC109)),IFERROR(AC154/AC109,""),"")</f>
        <v>0.495933384972889</v>
      </c>
      <c r="AD155" s="215">
        <f>IF(AND(ISNUMBER(AD154),ISNUMBER(AD109)),IFERROR(AD154/AD109,""),"")</f>
        <v>0.566759173604687</v>
      </c>
      <c r="AE155" s="215">
        <f>IF(AND(ISNUMBER(AE154),ISNUMBER(AE109)),IFERROR(AE154/AE109,""),"")</f>
        <v>0.496962093818414</v>
      </c>
      <c r="AF155" s="215">
        <f>IF(AND(ISNUMBER(AF154),ISNUMBER(AF109)),IFERROR(AF154/AF109,""),"")</f>
        <v>0.455373558415511</v>
      </c>
      <c r="AG155" s="215">
        <f>IF(AND(ISNUMBER(AG154),ISNUMBER(AG109)),IFERROR(AG154/AG109,""),"")</f>
        <v>0.443125991988512</v>
      </c>
      <c r="AH155" s="215">
        <f>IF(AND(ISNUMBER(AH154),ISNUMBER(AH109)),IFERROR(AH154/AH109,""),"")</f>
        <v>0.421140817367232</v>
      </c>
      <c r="AI155" s="215">
        <f>IF(AND(ISNUMBER(AI154),ISNUMBER(AI109)),IFERROR(AI154/AI109,""),"")</f>
        <v>0.462338890859643</v>
      </c>
      <c r="AJ155" s="215">
        <f>IF(AND(ISNUMBER(AJ154),ISNUMBER(AJ109)),IFERROR(AJ154/AJ109,""),"")</f>
        <v>0.446165693613668</v>
      </c>
      <c r="AK155" s="215">
        <f>IF(AND(ISNUMBER(AK154),ISNUMBER(AK109)),IFERROR(AK154/AK109,""),"")</f>
        <v>0.418982556211448</v>
      </c>
      <c r="AL155" s="215">
        <f>IF(AND(ISNUMBER(AL154),ISNUMBER(AL109)),IFERROR(AL154/AL109,""),"")</f>
        <v>0.392396067748431</v>
      </c>
      <c r="AM155" s="215">
        <f>IF(AND(ISNUMBER(AM154),ISNUMBER(AM109)),IFERROR(AM154/AM109,""),"")</f>
        <v>0.407036029911625</v>
      </c>
      <c r="AN155" s="215">
        <f>IF(AND(ISNUMBER(AN154),ISNUMBER(AN109)),IFERROR(AN154/AN109,""),"")</f>
        <v>0.420168864434114</v>
      </c>
      <c r="AO155" s="215">
        <f>IF(AND(ISNUMBER(AO154),ISNUMBER(AO109)),IFERROR(AO154/AO109,""),"")</f>
        <v>0.410003253320509</v>
      </c>
      <c r="AP155" s="215">
        <f>IF(AND(ISNUMBER(AP154),ISNUMBER(AP109)),IFERROR(AP154/AP109,""),"")</f>
        <v>0.332243333145402</v>
      </c>
      <c r="AQ155" s="215">
        <f>IF(AND(ISNUMBER(AQ154),ISNUMBER(AQ109)),IFERROR(AQ154/AQ109,""),"")</f>
        <v>0.319098838764917</v>
      </c>
      <c r="AR155" s="215">
        <f>IF(AND(ISNUMBER(AR154),ISNUMBER(AR109)),IFERROR(AR154/AR109,""),"")</f>
        <v>0.374476013041453</v>
      </c>
      <c r="AS155" s="215">
        <f>IF(AND(ISNUMBER(AS154),ISNUMBER(AS109)),IFERROR(AS154/AS109,""),"")</f>
        <v>0.455079794813337</v>
      </c>
      <c r="AT155" s="215">
        <f>IF(AND(ISNUMBER(AT154),ISNUMBER(AT109)),IFERROR(AT154/AT109,""),"")</f>
        <v>0.380050020357122</v>
      </c>
      <c r="AU155" s="215">
        <f>IF(AND(ISNUMBER(AU154),ISNUMBER(AU109)),IFERROR(AU154/AU109,""),"")</f>
        <v>0.434756027664208</v>
      </c>
      <c r="AV155" s="215">
        <f>IF(AND(ISNUMBER(AV154),ISNUMBER(AV109)),IFERROR(AV154/AV109,""),"")</f>
        <v>0.425318980637617</v>
      </c>
      <c r="AW155" s="215">
        <f>IF(AND(ISNUMBER(AW154),ISNUMBER(AW109)),IFERROR(AW154/AW109,""),"")</f>
        <v>0.359289900034471</v>
      </c>
      <c r="AX155" s="215">
        <f>IF(AND(ISNUMBER(AX154),ISNUMBER(AX109)),IFERROR(AX154/AX109,""),"")</f>
        <v>0.373763772979715</v>
      </c>
      <c r="AY155" s="215">
        <f>IF(AND(ISNUMBER(AY154),ISNUMBER(AY109)),IFERROR(AY154/AY109,""),"")</f>
        <v>0.396450406600582</v>
      </c>
      <c r="AZ155" s="215">
        <f>IF(AND(ISNUMBER(AZ154),ISNUMBER(AZ109)),IFERROR(AZ154/AZ109,""),"")</f>
        <v>0.305432134155081</v>
      </c>
      <c r="BA155" s="215">
        <f>IF(AND(ISNUMBER(BA154),ISNUMBER(BA109)),IFERROR(BA154/BA109,""),"")</f>
        <v>0.289986815626952</v>
      </c>
      <c r="BB155" s="215">
        <f>IF(AND(ISNUMBER(BB154),ISNUMBER(BB109)),IFERROR(BB154/BB109,""),"")</f>
        <v>0.219275456448005</v>
      </c>
      <c r="BC155" s="215">
        <f>IF(AND(ISNUMBER(BC154),ISNUMBER(BC109)),IFERROR(BC154/BC109,""),"")</f>
        <v>0.329457484843774</v>
      </c>
      <c r="BD155" s="215">
        <f>IF(AND(ISNUMBER(BD154),ISNUMBER(BD109)),IFERROR(BD154/BD109,""),"")</f>
        <v>0.287756519651142</v>
      </c>
      <c r="BE155" s="215">
        <f>IF(AND(ISNUMBER(BE154),ISNUMBER(BE109)),IFERROR(BE154/BE109,""),"")</f>
        <v>0.292232501309129</v>
      </c>
      <c r="BF155" s="215">
        <f>IF(AND(ISNUMBER(BF154),ISNUMBER(BF109)),IFERROR(BF154/BF109,""),"")</f>
        <v>0.376324260133129</v>
      </c>
      <c r="BG155" s="215">
        <f>IF(AND(ISNUMBER(BG154),ISNUMBER(BG109)),IFERROR(BG154/BG109,""),"")</f>
        <v>0.413752708955661</v>
      </c>
      <c r="BH155" s="215">
        <f>IF(AND(ISNUMBER(BH154),ISNUMBER(BH109)),IFERROR(BH154/BH109,""),"")</f>
        <v>0.437136944977687</v>
      </c>
      <c r="BI155" s="215">
        <f>IF(AND(ISNUMBER(BI154),ISNUMBER(BI109)),IFERROR(BI154/BI109,""),"")</f>
        <v>0.386020963365999</v>
      </c>
      <c r="BJ155" s="215">
        <f>IF(AND(ISNUMBER(BJ154),ISNUMBER(BJ109)),IFERROR(BJ154/BJ109,""),"")</f>
        <v>0.379042655328487</v>
      </c>
      <c r="BK155" s="215">
        <f>IF(AND(ISNUMBER(BK154),ISNUMBER(BK109)),IFERROR(BK154/BK109,""),"")</f>
        <v>0.380000511888613</v>
      </c>
      <c r="BL155" s="215">
        <f>IF(AND(ISNUMBER(BL154),ISNUMBER(BL109)),IFERROR(BL154/BL109,""),"")</f>
        <v>0.427455714602479</v>
      </c>
      <c r="BM155" s="215">
        <f>IF(AND(ISNUMBER(BM154),ISNUMBER(BM109)),IFERROR(BM154/BM109,""),"")</f>
        <v>0.450862870724398</v>
      </c>
      <c r="BN155" s="215">
        <f>IF(AND(ISNUMBER(BN154),ISNUMBER(BN109)),IFERROR(BN154/BN109,""),"")</f>
        <v>0.412337918918426</v>
      </c>
      <c r="BO155" s="215">
        <f>IF(AND(ISNUMBER(BO154),ISNUMBER(BO109)),IFERROR(BO154/BO109,""),"")</f>
        <v>0.414874509618566</v>
      </c>
      <c r="BP155" s="215">
        <f>IF(AND(ISNUMBER(BP154),ISNUMBER(BP109)),IFERROR(BP154/BP109,""),"")</f>
        <v>0.430191935348093</v>
      </c>
      <c r="BQ155" s="215">
        <f>IF(AND(ISNUMBER(BQ154),ISNUMBER(BQ109)),IFERROR(BQ154/BQ109,""),"")</f>
        <v>0.400745482221615</v>
      </c>
      <c r="BR155" s="215">
        <f>IF(AND(ISNUMBER(BR154),ISNUMBER(BR109)),IFERROR(BR154/BR109,""),"")</f>
        <v>0.413153456998314</v>
      </c>
      <c r="BS155" s="215">
        <f>IF(AND(ISNUMBER(BS154),ISNUMBER(BS109)),IFERROR(BS154/BS109,""),"")</f>
        <v>0.414378551595792</v>
      </c>
      <c r="BT155" s="215">
        <f>IF(AND(ISNUMBER(BT154),ISNUMBER(BT109)),IFERROR(BT154/BT109,""),"")</f>
        <v>0.406172861430271</v>
      </c>
      <c r="BU155" s="215">
        <f>IF(AND(ISNUMBER(BU154),ISNUMBER(BU109)),IFERROR(BU154/BU109,""),"")</f>
        <v>0.367674873768524</v>
      </c>
      <c r="BV155" s="256">
        <f>IF(AND(ISNUMBER(BV154),ISNUMBER(BV109)),IFERROR(BV154/BV109,""),"")</f>
        <v>0.31710205876547</v>
      </c>
      <c r="BW155" s="256">
        <f>IF(AND(ISNUMBER(BW154),ISNUMBER(BW109)),IFERROR(BW154/BW109,""),"")</f>
        <v>0.330662530558271</v>
      </c>
      <c r="BX155" s="256">
        <f>IF(AND(ISNUMBER(BX154),ISNUMBER(BX109)),IFERROR(BX154/BX109,""),"")</f>
        <v>0.353049351703699</v>
      </c>
      <c r="BY155" s="256">
        <f>IF(AND(ISNUMBER(BY154),ISNUMBER(BY109)),IFERROR(BY154/BY109,""),"")</f>
        <v>0.339837230929959</v>
      </c>
      <c r="BZ155" s="256">
        <f>IF(AND(ISNUMBER(BZ154),ISNUMBER(BZ109)),IFERROR(BZ154/BZ109,""),"")</f>
        <v>0.341948661602544</v>
      </c>
      <c r="CA155" s="256">
        <f>IF(AND(ISNUMBER(CA154),ISNUMBER(CA109)),IFERROR(CA154/CA109,""),"")</f>
        <v>0.340429684349631</v>
      </c>
      <c r="CB155" s="256">
        <f>IF(AND(ISNUMBER(CB154),ISNUMBER(CB109)),IFERROR(CB154/CB109,""),"")</f>
        <v>0.351213288237734</v>
      </c>
      <c r="CC155" s="256">
        <f>IF(AND(ISNUMBER(CC154),ISNUMBER(CC109)),IFERROR(CC154/CC109,""),"")</f>
        <v>0.359818320091148</v>
      </c>
      <c r="CD155" s="153" t="n"/>
      <c r="CF155" s="37">
        <f>IFERROR(AVERAGE(BY155,BZ155,CA155,CB155,CC155),"n/m")</f>
        <v>0.346649437042203</v>
      </c>
      <c r="CG155" s="37">
        <f>IFERROR(AVERAGE(AY155,BD155,BI155,BN155,BS155),"n/m")</f>
        <v>0.379388872026388</v>
      </c>
      <c r="CH155" s="37">
        <f>IFERROR(AVERAGE(Z155,AE155,AJ155,AO155,AT155,AY155,BD155,BI155,BN155,BS155),"n/m")</f>
        <v>0.407975998235317</v>
      </c>
      <c r="CI155" s="37">
        <f>IFERROR(AVERAGE(C155,D155,E155,F155,K155,P155,U155,Z155,AE155,AJ155,AO155,AT155,AY155,BD155,BI155,BN155,BS155),"n/m")</f>
        <v>0.389569869139398</v>
      </c>
    </row>
    <row r="156" collapsed="1" ht="15" customHeight="1" s="251">
      <c r="B156" s="22" t="inlineStr">
        <is>
          <t xml:space="preserve">  Adjusted income from operations (current definition) y/y %</t>
        </is>
      </c>
      <c r="C156" s="23" t="n"/>
      <c r="D156" s="255">
        <f>IF(AND(ISNUMBER(D154),ISNUMBER(C154)),IFERROR(D154/C154-1,""),"")</f>
        <v>2.93893129770992</v>
      </c>
      <c r="E156" s="255">
        <f>IF(AND(ISNUMBER(E154),ISNUMBER(D154)),IFERROR(E154/D154-1,""),"")</f>
        <v>0.701550387596899</v>
      </c>
      <c r="F156" s="255">
        <f>IF(AND(ISNUMBER(F154),ISNUMBER(E154)),IFERROR(F154/E154-1,""),"")</f>
        <v>-0.693621867881549</v>
      </c>
      <c r="G156" s="23" t="n"/>
      <c r="H156" s="23" t="n"/>
      <c r="I156" s="23" t="n"/>
      <c r="J156" s="23" t="n"/>
      <c r="K156" s="255">
        <f>IF(AND(ISNUMBER(K154),ISNUMBER(F154)),IFERROR(K154/F154-1,""),"")</f>
        <v>4.21189591078067</v>
      </c>
      <c r="L156" s="255">
        <f>IF(AND(ISNUMBER(L154),ISNUMBER(G154)),IFERROR(L154/G154-1,""),"")</f>
        <v>1.88203753351206</v>
      </c>
      <c r="M156" s="255">
        <f>IF(AND(ISNUMBER(M154),ISNUMBER(H154)),IFERROR(M154/H154-1,""),"")</f>
        <v>1.47330960854093</v>
      </c>
      <c r="N156" s="255">
        <f>IF(AND(ISNUMBER(N154),ISNUMBER(I154)),IFERROR(N154/I154-1,""),"")</f>
        <v>0.898097826086957</v>
      </c>
      <c r="O156" s="255">
        <f>IF(AND(ISNUMBER(O154),ISNUMBER(J154)),IFERROR(O154/J154-1,""),"")</f>
        <v>0</v>
      </c>
      <c r="P156" s="255">
        <f>IF(AND(ISNUMBER(P154),ISNUMBER(K154)),IFERROR(P154/K154-1,""),"")</f>
        <v>0.781027104136947</v>
      </c>
      <c r="Q156" s="255">
        <f>IF(AND(ISNUMBER(Q154),ISNUMBER(L154)),IFERROR(Q154/L154-1,""),"")</f>
        <v>-0.132093023255814</v>
      </c>
      <c r="R156" s="255">
        <f>IF(AND(ISNUMBER(R154),ISNUMBER(M154)),IFERROR(R154/M154-1,""),"")</f>
        <v>-0.0841726618705037</v>
      </c>
      <c r="S156" s="255">
        <f>IF(AND(ISNUMBER(S154),ISNUMBER(N154)),IFERROR(S154/N154-1,""),"")</f>
        <v>0.0443808160343593</v>
      </c>
      <c r="T156" s="255">
        <f>IF(AND(ISNUMBER(T154),ISNUMBER(O154)),IFERROR(T154/O154-1,""),"")</f>
        <v>1.2594880847308</v>
      </c>
      <c r="U156" s="255">
        <f>IF(AND(ISNUMBER(U154),ISNUMBER(P154)),IFERROR(U154/P154-1,""),"")</f>
        <v>0.246495794953945</v>
      </c>
      <c r="V156" s="255">
        <f>IF(AND(ISNUMBER(V154),ISNUMBER(Q154)),IFERROR(V154/Q154-1,""),"")</f>
        <v>1.15326902465166</v>
      </c>
      <c r="W156" s="255">
        <f>IF(AND(ISNUMBER(W154),ISNUMBER(R154)),IFERROR(W154/R154-1,""),"")</f>
        <v>1.15710919088767</v>
      </c>
      <c r="X156" s="255">
        <f>IF(AND(ISNUMBER(X154),ISNUMBER(S154)),IFERROR(X154/S154-1,""),"")</f>
        <v>1.13982179575051</v>
      </c>
      <c r="Y156" s="255">
        <f>IF(AND(ISNUMBER(Y154),ISNUMBER(T154)),IFERROR(Y154/T154-1,""),"")</f>
        <v>0.78359375</v>
      </c>
      <c r="Z156" s="255">
        <f>IF(AND(ISNUMBER(Z154),ISNUMBER(U154)),IFERROR(Z154/U154-1,""),"")</f>
        <v>0.996305220883534</v>
      </c>
      <c r="AA156" s="255">
        <f>IF(AND(ISNUMBER(AA154),ISNUMBER(V154)),IFERROR(AA154/V154-1,""),"")</f>
        <v>0.656047784967646</v>
      </c>
      <c r="AB156" s="255">
        <f>IF(AND(ISNUMBER(AB154),ISNUMBER(W154)),IFERROR(AB154/W154-1,""),"")</f>
        <v>0.602694828841952</v>
      </c>
      <c r="AC156" s="255">
        <f>IF(AND(ISNUMBER(AC154),ISNUMBER(X154)),IFERROR(AC154/X154-1,""),"")</f>
        <v>0.640614990390775</v>
      </c>
      <c r="AD156" s="255">
        <f>IF(AND(ISNUMBER(AD154),ISNUMBER(Y154)),IFERROR(AD154/Y154-1,""),"")</f>
        <v>0.610162067455103</v>
      </c>
      <c r="AE156" s="255">
        <f>IF(AND(ISNUMBER(AE154),ISNUMBER(Z154)),IFERROR(AE154/Z154-1,""),"")</f>
        <v>0.625734288243341</v>
      </c>
      <c r="AF156" s="255">
        <f>IF(AND(ISNUMBER(AF154),ISNUMBER(AA154)),IFERROR(AF154/AA154-1,""),"")</f>
        <v>0.637811842500752</v>
      </c>
      <c r="AG156" s="255">
        <f>IF(AND(ISNUMBER(AG154),ISNUMBER(AB154)),IFERROR(AG154/AB154-1,""),"")</f>
        <v>0.332197227902749</v>
      </c>
      <c r="AH156" s="255">
        <f>IF(AND(ISNUMBER(AH154),ISNUMBER(AC154)),IFERROR(AH154/AC154-1,""),"")</f>
        <v>0.128660679422101</v>
      </c>
      <c r="AI156" s="255">
        <f>IF(AND(ISNUMBER(AI154),ISNUMBER(AD154)),IFERROR(AI154/AD154-1,""),"")</f>
        <v>0.0636561479869424</v>
      </c>
      <c r="AJ156" s="255">
        <f>IF(AND(ISNUMBER(AJ154),ISNUMBER(AE154)),IFERROR(AJ154/AE154-1,""),"")</f>
        <v>0.233133693015889</v>
      </c>
      <c r="AK156" s="255">
        <f>IF(AND(ISNUMBER(AK154),ISNUMBER(AF154)),IFERROR(AK154/AF154-1,""),"")</f>
        <v>0.159295283538264</v>
      </c>
      <c r="AL156" s="255">
        <f>IF(AND(ISNUMBER(AL154),ISNUMBER(AG154)),IFERROR(AL154/AG154-1,""),"")</f>
        <v>0.130138154528398</v>
      </c>
      <c r="AM156" s="255">
        <f>IF(AND(ISNUMBER(AM154),ISNUMBER(AH154)),IFERROR(AM154/AH154-1,""),"")</f>
        <v>0.242864556305137</v>
      </c>
      <c r="AN156" s="255">
        <f>IF(AND(ISNUMBER(AN154),ISNUMBER(AI154)),IFERROR(AN154/AI154-1,""),"")</f>
        <v>0.132736572890026</v>
      </c>
      <c r="AO156" s="255">
        <f>IF(AND(ISNUMBER(AO154),ISNUMBER(AJ154)),IFERROR(AO154/AJ154-1,""),"")</f>
        <v>0.163488941516477</v>
      </c>
      <c r="AP156" s="255">
        <f>IF(AND(ISNUMBER(AP154),ISNUMBER(AK154)),IFERROR(AP154/AK154-1,""),"")</f>
        <v>-0.0671204685768561</v>
      </c>
      <c r="AQ156" s="255">
        <f>IF(AND(ISNUMBER(AQ154),ISNUMBER(AL154)),IFERROR(AQ154/AL154-1,""),"")</f>
        <v>-0.100060368246302</v>
      </c>
      <c r="AR156" s="255">
        <f>IF(AND(ISNUMBER(AR154),ISNUMBER(AM154)),IFERROR(AR154/AM154-1,""),"")</f>
        <v>0.118997912317328</v>
      </c>
      <c r="AS156" s="255">
        <f>IF(AND(ISNUMBER(AS154),ISNUMBER(AN154)),IFERROR(AS154/AN154-1,""),"")</f>
        <v>0.442199142018514</v>
      </c>
      <c r="AT156" s="255">
        <f>IF(AND(ISNUMBER(AT154),ISNUMBER(AO154)),IFERROR(AT154/AO154-1,""),"")</f>
        <v>0.127130338784241</v>
      </c>
      <c r="AU156" s="255">
        <f>IF(AND(ISNUMBER(AU154),ISNUMBER(AP154)),IFERROR(AU154/AP154-1,""),"")</f>
        <v>0.930765314780248</v>
      </c>
      <c r="AV156" s="255">
        <f>IF(AND(ISNUMBER(AV154),ISNUMBER(AQ154)),IFERROR(AV154/AQ154-1,""),"")</f>
        <v>1.07395606238471</v>
      </c>
      <c r="AW156" s="255">
        <f>IF(AND(ISNUMBER(AW154),ISNUMBER(AR154)),IFERROR(AW154/AR154-1,""),"")</f>
        <v>0.296393034825871</v>
      </c>
      <c r="AX156" s="255">
        <f>IF(AND(ISNUMBER(AX154),ISNUMBER(AS154)),IFERROR(AX154/AS154-1,""),"")</f>
        <v>-0.0148727984344422</v>
      </c>
      <c r="AY156" s="255">
        <f>IF(AND(ISNUMBER(AY154),ISNUMBER(AT154)),IFERROR(AY154/AT154-1,""),"")</f>
        <v>0.431024455939518</v>
      </c>
      <c r="AZ156" s="255">
        <f>IF(AND(ISNUMBER(AZ154),ISNUMBER(AU154)),IFERROR(AZ154/AU154-1,""),"")</f>
        <v>-0.250834944629988</v>
      </c>
      <c r="BA156" s="255">
        <f>IF(AND(ISNUMBER(BA154),ISNUMBER(AV154)),IFERROR(BA154/AV154-1,""),"")</f>
        <v>-0.32416915986092</v>
      </c>
      <c r="BB156" s="255">
        <f>IF(AND(ISNUMBER(BB154),ISNUMBER(AW154)),IFERROR(BB154/AW154-1,""),"")</f>
        <v>-0.416962486808021</v>
      </c>
      <c r="BC156" s="255">
        <f>IF(AND(ISNUMBER(BC154),ISNUMBER(AX154)),IFERROR(BC154/AX154-1,""),"")</f>
        <v>-0.157965832340087</v>
      </c>
      <c r="BD156" s="255">
        <f>IF(AND(ISNUMBER(BD154),ISNUMBER(AY154)),IFERROR(BD154/AY154-1,""),"")</f>
        <v>-0.28229204543024</v>
      </c>
      <c r="BE156" s="255">
        <f>IF(AND(ISNUMBER(BE154),ISNUMBER(AZ154)),IFERROR(BE154/AZ154-1,""),"")</f>
        <v>-0.0179493195682778</v>
      </c>
      <c r="BF156" s="255">
        <f>IF(AND(ISNUMBER(BF154),ISNUMBER(BA154)),IFERROR(BF154/BA154-1,""),"")</f>
        <v>0.440775305096913</v>
      </c>
      <c r="BG156" s="255">
        <f>IF(AND(ISNUMBER(BG154),ISNUMBER(BB154)),IFERROR(BG154/BB154-1,""),"")</f>
        <v>1.32483133124897</v>
      </c>
      <c r="BH156" s="255">
        <f>IF(AND(ISNUMBER(BH154),ISNUMBER(BC154)),IFERROR(BH154/BC154-1,""),"")</f>
        <v>0.654619231858073</v>
      </c>
      <c r="BI156" s="255">
        <f>IF(AND(ISNUMBER(BI154),ISNUMBER(BD154)),IFERROR(BI154/BD154-1,""),"")</f>
        <v>0.55192966770973</v>
      </c>
      <c r="BJ156" s="255">
        <f>IF(AND(ISNUMBER(BJ154),ISNUMBER(BE154)),IFERROR(BJ154/BE154-1,""),"")</f>
        <v>0.650698841237606</v>
      </c>
      <c r="BK156" s="255">
        <f>IF(AND(ISNUMBER(BK154),ISNUMBER(BF154)),IFERROR(BK154/BF154-1,""),"")</f>
        <v>0.232934728450424</v>
      </c>
      <c r="BL156" s="255">
        <f>IF(AND(ISNUMBER(BL154),ISNUMBER(BG154)),IFERROR(BL154/BG154-1,""),"")</f>
        <v>0.228057757644394</v>
      </c>
      <c r="BM156" s="255">
        <f>IF(AND(ISNUMBER(BM154),ISNUMBER(BH154)),IFERROR(BM154/BH154-1,""),"")</f>
        <v>0.244154214668644</v>
      </c>
      <c r="BN156" s="255">
        <f>IF(AND(ISNUMBER(BN154),ISNUMBER(BI154)),IFERROR(BN154/BI154-1,""),"")</f>
        <v>0.302544407105137</v>
      </c>
      <c r="BO156" s="255">
        <f>IF(AND(ISNUMBER(BO154),ISNUMBER(BJ154)),IFERROR(BO154/BJ154-1,""),"")</f>
        <v>0.270444347951947</v>
      </c>
      <c r="BP156" s="255">
        <f>IF(AND(ISNUMBER(BP154),ISNUMBER(BK154)),IFERROR(BP154/BK154-1,""),"")</f>
        <v>0.37677645315552</v>
      </c>
      <c r="BQ156" s="255">
        <f>IF(AND(ISNUMBER(BQ154),ISNUMBER(BL154)),IFERROR(BQ154/BL154-1,""),"")</f>
        <v>0.1835734870317</v>
      </c>
      <c r="BR156" s="255">
        <f>IF(AND(ISNUMBER(BR154),ISNUMBER(BM154)),IFERROR(BR154/BM154-1,""),"")</f>
        <v>0.134311253724501</v>
      </c>
      <c r="BS156" s="255">
        <f>IF(AND(ISNUMBER(BS154),ISNUMBER(BN154)),IFERROR(BS154/BN154-1,""),"")</f>
        <v>0.227716349697774</v>
      </c>
      <c r="BT156" s="255">
        <f>IF(AND(ISNUMBER(BT154),ISNUMBER(BO154)),IFERROR(BT154/BO154-1,""),"")</f>
        <v>0.302876673312447</v>
      </c>
      <c r="BU156" s="255">
        <f>IF(AND(ISNUMBER(BU154),ISNUMBER(BP154)),IFERROR(BU154/BP154-1,""),"")</f>
        <v>0.0936353407367545</v>
      </c>
      <c r="BV156" s="256">
        <f>IF(AND(ISNUMBER(BV154),ISNUMBER(BQ154)),IFERROR(BV154/BQ154-1,""),"")</f>
        <v>-0.0348732080427633</v>
      </c>
      <c r="BW156" s="256">
        <f>IF(AND(ISNUMBER(BW154),ISNUMBER(BR154)),IFERROR(BW154/BR154-1,""),"")</f>
        <v>-0.0246703229612589</v>
      </c>
      <c r="BX156" s="256">
        <f>IF(AND(ISNUMBER(BX154),ISNUMBER(BS154)),IFERROR(BX154/BS154-1,""),"")</f>
        <v>0.0709017187564904</v>
      </c>
      <c r="BY156" s="256">
        <f>IF(AND(ISNUMBER(BY154),ISNUMBER(BX154)),IFERROR(BY154/BX154-1,""),"")</f>
        <v>0.146366790536233</v>
      </c>
      <c r="BZ156" s="256">
        <f>IF(AND(ISNUMBER(BZ154),ISNUMBER(BY154)),IFERROR(BZ154/BY154-1,""),"")</f>
        <v>0.165128091098003</v>
      </c>
      <c r="CA156" s="256">
        <f>IF(AND(ISNUMBER(CA154),ISNUMBER(BZ154)),IFERROR(CA154/BZ154-1,""),"")</f>
        <v>0.131385097299098</v>
      </c>
      <c r="CB156" s="256">
        <f>IF(AND(ISNUMBER(CB154),ISNUMBER(CA154)),IFERROR(CB154/CA154-1,""),"")</f>
        <v>0.150257690319527</v>
      </c>
      <c r="CC156" s="256">
        <f>IF(AND(ISNUMBER(CC154),ISNUMBER(CB154)),IFERROR(CC154/CB154-1,""),"")</f>
        <v>0.130739779265239</v>
      </c>
      <c r="CD156" s="153" t="n"/>
    </row>
    <row r="157" ht="15" customHeight="1" s="251">
      <c r="B157" s="25" t="inlineStr">
        <is>
          <t xml:space="preserve">  Incremental margin (Δ adjusted OI, current definition / Δ revenue)</t>
        </is>
      </c>
      <c r="C157" s="36" t="n"/>
      <c r="D157" s="215">
        <f>IFERROR((D154-C154)/(D109-C109),"")</f>
        <v>0.64327485380117</v>
      </c>
      <c r="E157" s="215">
        <f>IFERROR((E154-D154)/(E109-D109),"")</f>
        <v>0.416810592976396</v>
      </c>
      <c r="F157" s="215">
        <f>IFERROR((F154-E154)/(F109-E109),"")</f>
        <v>-0.88388969521045</v>
      </c>
      <c r="G157" s="36" t="n"/>
      <c r="H157" s="36" t="n"/>
      <c r="I157" s="36" t="n"/>
      <c r="J157" s="36" t="n"/>
      <c r="K157" s="215">
        <f>IFERROR((K154-F154)/(K109-F109),"")</f>
        <v>0.814229249011858</v>
      </c>
      <c r="L157" s="215">
        <f>IFERROR((L154-G154)/(L109-G109),"")</f>
        <v>0.672413793103448</v>
      </c>
      <c r="M157" s="215">
        <f>IFERROR((M154-H154)/(M109-H109),"")</f>
        <v>0.754785779398359</v>
      </c>
      <c r="N157" s="215">
        <f>IFERROR((N154-I154)/(N109-I109),"")</f>
        <v>0.556866048862679</v>
      </c>
      <c r="O157" s="215">
        <f>IFERROR((O154-J154)/(O109-J109),"")</f>
        <v>0</v>
      </c>
      <c r="P157" s="215">
        <f>IFERROR((P154-K154)/(P109-K109),"")</f>
        <v>0.476708750544188</v>
      </c>
      <c r="Q157" s="215">
        <f>IFERROR((Q154-L154)/(Q109-L109),"")</f>
        <v>-0.13640730067243</v>
      </c>
      <c r="R157" s="215">
        <f>IFERROR((R154-M154)/(R109-M109),"")</f>
        <v>-0.103356890459364</v>
      </c>
      <c r="S157" s="215">
        <f>IFERROR((S154-N154)/(S109-N109),"")</f>
        <v>0.0477657935285054</v>
      </c>
      <c r="T157" s="215">
        <f>IFERROR((T154-O154)/(T109-O109),"")</f>
        <v>0.717085427135678</v>
      </c>
      <c r="U157" s="215">
        <f>IFERROR((U154-P154)/(U109-P109),"")</f>
        <v>0.22537532039546</v>
      </c>
      <c r="V157" s="215">
        <f>IFERROR((V154-Q154)/(V109-Q109),"")</f>
        <v>0.585100598151169</v>
      </c>
      <c r="W157" s="215">
        <f>IFERROR((W154-R154)/(W109-R109),"")</f>
        <v>0.615288220551378</v>
      </c>
      <c r="X157" s="215">
        <f>IFERROR((X154-S154)/(X109-S109),"")</f>
        <v>0.662549800796813</v>
      </c>
      <c r="Y157" s="215">
        <f>IFERROR((Y154-T154)/(Y109-T109),"")</f>
        <v>0.675876010781671</v>
      </c>
      <c r="Z157" s="215">
        <f>IFERROR((Z154-U154)/(Z109-U109),"")</f>
        <v>0.638722966014418</v>
      </c>
      <c r="AA157" s="215">
        <f>IFERROR((AA154-V154)/(AA109-V109),"")</f>
        <v>0.497358490566038</v>
      </c>
      <c r="AB157" s="215">
        <f>IFERROR((AB154-W154)/(AB109-W109),"")</f>
        <v>0.5736568457539</v>
      </c>
      <c r="AC157" s="215">
        <f>IFERROR((AC154-X154)/(AC109-X109),"")</f>
        <v>0.602954476936991</v>
      </c>
      <c r="AD157" s="215">
        <f>IFERROR((AD154-Y154)/(AD109-Y109),"")</f>
        <v>0.669228921450877</v>
      </c>
      <c r="AE157" s="215">
        <f>IFERROR((AE154-Z154)/(AE109-Z109),"")</f>
        <v>0.597464464079908</v>
      </c>
      <c r="AF157" s="215">
        <f>IFERROR((AF154-AA154)/(AF109-AA109),"")</f>
        <v>0.539400101677682</v>
      </c>
      <c r="AG157" s="215">
        <f>IFERROR((AG154-AB154)/(AG109-AB109),"")</f>
        <v>0.373913043478261</v>
      </c>
      <c r="AH157" s="215">
        <f>IFERROR((AH154-AC154)/(AH109-AC109),"")</f>
        <v>0.193880553103854</v>
      </c>
      <c r="AI157" s="215">
        <f>IFERROR((AI154-AD154)/(AI109-AD109),"")</f>
        <v>0.118721461187215</v>
      </c>
      <c r="AJ157" s="215">
        <f>IFERROR((AJ154-AE154)/(AJ109-AE109),"")</f>
        <v>0.310174514323345</v>
      </c>
      <c r="AK157" s="215">
        <f>IFERROR((AK154-AF154)/(AK109-AF109),"")</f>
        <v>0.279009964641594</v>
      </c>
      <c r="AL157" s="215">
        <f>IFERROR((AL154-AG154)/(AL109-AG109),"")</f>
        <v>0.20875512995896</v>
      </c>
      <c r="AM157" s="215">
        <f>IFERROR((AM154-AH154)/(AM109-AH109),"")</f>
        <v>0.357707006369427</v>
      </c>
      <c r="AN157" s="215">
        <f>IFERROR((AN154-AI154)/(AN109-AI109),"")</f>
        <v>0.249040307101727</v>
      </c>
      <c r="AO157" s="215">
        <f>IFERROR((AO154-AJ154)/(AO109-AJ109),"")</f>
        <v>0.274109967023353</v>
      </c>
      <c r="AP157" s="215">
        <f>IFERROR((AP154-AK154)/(AP109-AK109),"")</f>
        <v>-0.159398496240602</v>
      </c>
      <c r="AQ157" s="215">
        <f>IFERROR((AQ154-AL154)/(AQ109-AL109),"")</f>
        <v>-0.368128817323709</v>
      </c>
      <c r="AR157" s="215">
        <f>IFERROR((AR154-AM154)/(AR109-AM109),"")</f>
        <v>0.223939235201676</v>
      </c>
      <c r="AS157" s="215">
        <f>IFERROR((AS154-AN154)/(AS109-AN109),"")</f>
        <v>0.560371959942775</v>
      </c>
      <c r="AT157" s="215">
        <f>IFERROR((AT154-AO154)/(AT109-AO109),"")</f>
        <v>0.24135446685879</v>
      </c>
      <c r="AU157" s="215">
        <f>IFERROR((AU154-AP154)/(AU109-AP109),"")</f>
        <v>0.650343846336258</v>
      </c>
      <c r="AV157" s="215">
        <f>IFERROR((AV154-AQ154)/(AV109-AQ109),"")</f>
        <v>0.616361886429259</v>
      </c>
      <c r="AW157" s="215">
        <f>IFERROR((AW154-AR154)/(AW109-AR109),"")</f>
        <v>0.31604774535809</v>
      </c>
      <c r="AX157" s="215">
        <f>IFERROR((AX154-AS154)/(AX109-AS109),"")</f>
        <v>-0.03393463118414</v>
      </c>
      <c r="AY157" s="215">
        <f>IFERROR((AY154-AT154)/(AY109-AT109),"")</f>
        <v>0.440558127893881</v>
      </c>
      <c r="AZ157" s="215">
        <f>IFERROR((AZ154-AU154)/(AZ109-AU109),"")</f>
        <v>-1.64306275187104</v>
      </c>
      <c r="BA157" s="215">
        <f>IFERROR((BA154-AV154)/(BA109-AV109),"")</f>
        <v>15.721568627451</v>
      </c>
      <c r="BB157" s="215">
        <f>IFERROR((BB154-AW154)/(BB109-AW109),"")</f>
        <v>3.3533950617284</v>
      </c>
      <c r="BC157" s="215">
        <f>IFERROR((BC154-AX154)/(BC109-AX109),"")</f>
        <v>1.32005312084993</v>
      </c>
      <c r="BD157" s="215">
        <f>IFERROR((BD154-AY154)/(BD109-AY109),"")</f>
        <v>9.99848484848485</v>
      </c>
      <c r="BE157" s="215">
        <f>IFERROR((BE154-AZ154)/(BE109-AZ109),"")</f>
        <v>-0.207598371777476</v>
      </c>
      <c r="BF157" s="215">
        <f>IFERROR((BF154-BA154)/(BF109-BA109),"")</f>
        <v>1.15958451369216</v>
      </c>
      <c r="BG157" s="215">
        <f>IFERROR((BG154-BB154)/(BG109-BB109),"")</f>
        <v>1.25171019900498</v>
      </c>
      <c r="BH157" s="215">
        <f>IFERROR((BH154-BC154)/(BH109-BC109),"")</f>
        <v>0.87301787062673</v>
      </c>
      <c r="BI157" s="215">
        <f>IFERROR((BI154-BD154)/(BI109-BD109),"")</f>
        <v>1.01240911824195</v>
      </c>
      <c r="BJ157" s="215">
        <f>IFERROR((BJ154-BE154)/(BJ109-BE109),"")</f>
        <v>0.697439180537772</v>
      </c>
      <c r="BK157" s="215">
        <f>IFERROR((BK154-BF154)/(BK109-BF109),"")</f>
        <v>0.396634615384615</v>
      </c>
      <c r="BL157" s="215">
        <f>IFERROR((BL154-BG154)/(BL109-BG109),"")</f>
        <v>0.500077603600807</v>
      </c>
      <c r="BM157" s="215">
        <f>IFERROR((BM154-BH154)/(BM109-BH109),"")</f>
        <v>0.517403915881073</v>
      </c>
      <c r="BN157" s="215">
        <f>IFERROR((BN154-BI154)/(BN109-BI109),"")</f>
        <v>0.532281495996486</v>
      </c>
      <c r="BO157" s="215">
        <f>IFERROR((BO154-BJ154)/(BO109-BJ109),"")</f>
        <v>0.637822153951186</v>
      </c>
      <c r="BP157" s="215">
        <f>IFERROR((BP154-BK154)/(BP109-BK109),"")</f>
        <v>0.662403789224393</v>
      </c>
      <c r="BQ157" s="215">
        <f>IFERROR((BQ154-BL154)/(BQ109-BL109),"")</f>
        <v>0.298976814042993</v>
      </c>
      <c r="BR157" s="215">
        <f>IFERROR((BR154-BM154)/(BR109-BM109),"")</f>
        <v>0.254605491831769</v>
      </c>
      <c r="BS157" s="215">
        <f>IFERROR((BS154-BN154)/(BS109-BN109),"")</f>
        <v>0.423584258878377</v>
      </c>
      <c r="BT157" s="215">
        <f>IFERROR((BT154-BO154)/(BT109-BO109),"")</f>
        <v>0.379867114381653</v>
      </c>
      <c r="BU157" s="215">
        <f>IFERROR((BU154-BP154)/(BU109-BP109),"")</f>
        <v>0.144072261949567</v>
      </c>
      <c r="BV157" s="256">
        <f>IFERROR((BV154-BQ154)/(BV109-BQ109),"")</f>
        <v>-0.0636099953062838</v>
      </c>
      <c r="BW157" s="256">
        <f>IFERROR((BW154-BR154)/(BW109-BR109),"")</f>
        <v>-0.0466168734158154</v>
      </c>
      <c r="BX157" s="256">
        <f>IFERROR((BX154-BS154)/(BX109-BS109),"")</f>
        <v>0.114350320959923</v>
      </c>
      <c r="BY157" s="256">
        <f>IFERROR((BY154-BX154)/(BY109-BX109),"")</f>
        <v>0.270640274604389</v>
      </c>
      <c r="BZ157" s="256">
        <f>IFERROR((BZ154-BY154)/(BZ109-BY109),"")</f>
        <v>0.355317750572431</v>
      </c>
      <c r="CA157" s="256">
        <f>IFERROR((CA154-BZ154)/(CA109-BZ109),"")</f>
        <v>0.329296203196359</v>
      </c>
      <c r="CB157" s="256">
        <f>IFERROR((CB154-CA154)/(CB109-CA109),"")</f>
        <v>0.445032429879271</v>
      </c>
      <c r="CC157" s="256">
        <f>IFERROR((CC154-CB154)/(CC109-CB109),"")</f>
        <v>0.442799808447034</v>
      </c>
      <c r="CD157" s="153" t="n"/>
    </row>
    <row r="158" ht="15" customHeight="1" s="251">
      <c r="CL158" s="11" t="n"/>
      <c r="CM158" s="12" t="n"/>
      <c r="CN158" s="12" t="n"/>
      <c r="CO158" s="12" t="n"/>
      <c r="CP158" s="13" t="n"/>
    </row>
    <row r="159" ht="15" customHeight="1" s="251">
      <c r="B159" s="10" t="inlineStr">
        <is>
          <t>RECONCILIATION: NET INCOME → EBIT → EBITDA → ADJUSTED EBITDA (model definitions — Meta publishes no EBITDA)</t>
        </is>
      </c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n"/>
      <c r="AN159" s="10" t="n"/>
      <c r="AO159" s="10" t="n"/>
      <c r="AP159" s="10" t="n"/>
      <c r="AQ159" s="10" t="n"/>
      <c r="AR159" s="10" t="n"/>
      <c r="AS159" s="10" t="n"/>
      <c r="AT159" s="10" t="n"/>
      <c r="AU159" s="10" t="n"/>
      <c r="AV159" s="10" t="n"/>
      <c r="AW159" s="10" t="n"/>
      <c r="AX159" s="10" t="n"/>
      <c r="AY159" s="10" t="n"/>
      <c r="AZ159" s="10" t="n"/>
      <c r="BA159" s="10" t="n"/>
      <c r="BB159" s="10" t="n"/>
      <c r="BC159" s="10" t="n"/>
      <c r="BD159" s="10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inlineStr">
        <is>
          <t>EBITDA (model) — net income + tax − interest and other income (net) = income from operations; + D&amp;A = EBITDA; + company-quantified one-offs = adjusted EBITDA (SBC expensed)</t>
        </is>
      </c>
    </row>
    <row r="160" ht="15" customHeight="1" s="251">
      <c r="B160" s="16" t="inlineStr">
        <is>
          <t>Net income (GAAP)</t>
        </is>
      </c>
      <c r="C160" s="266">
        <f>C123</f>
        <v>229</v>
      </c>
      <c r="D160" s="266">
        <f>D123</f>
        <v>606</v>
      </c>
      <c r="E160" s="266">
        <f>E123</f>
        <v>1000</v>
      </c>
      <c r="F160" s="266">
        <f>F123</f>
        <v>53</v>
      </c>
      <c r="G160" s="266">
        <f>G123</f>
        <v>219</v>
      </c>
      <c r="H160" s="266">
        <f>H123</f>
        <v>333</v>
      </c>
      <c r="I160" s="266">
        <f>I123</f>
        <v>425</v>
      </c>
      <c r="J160" s="266">
        <f>J123</f>
        <v>523</v>
      </c>
      <c r="K160" s="266">
        <f>K123</f>
        <v>1500</v>
      </c>
      <c r="L160" s="266">
        <f>L123</f>
        <v>642</v>
      </c>
      <c r="M160" s="266">
        <f>M123</f>
        <v>791</v>
      </c>
      <c r="N160" s="266">
        <f>N123</f>
        <v>806</v>
      </c>
      <c r="O160" s="266">
        <f>O123</f>
        <v>701</v>
      </c>
      <c r="P160" s="266">
        <f>P123</f>
        <v>2940</v>
      </c>
      <c r="Q160" s="266">
        <f>Q123</f>
        <v>512</v>
      </c>
      <c r="R160" s="266">
        <f>R123</f>
        <v>719</v>
      </c>
      <c r="S160" s="266">
        <f>S123</f>
        <v>896</v>
      </c>
      <c r="T160" s="266">
        <f>T123</f>
        <v>1562</v>
      </c>
      <c r="U160" s="266">
        <f>U123</f>
        <v>3688</v>
      </c>
      <c r="V160" s="266">
        <f>V123</f>
        <v>1510</v>
      </c>
      <c r="W160" s="266">
        <f>W123</f>
        <v>2055</v>
      </c>
      <c r="X160" s="266">
        <f>X123</f>
        <v>2379</v>
      </c>
      <c r="Y160" s="266">
        <f>Y123</f>
        <v>3568</v>
      </c>
      <c r="Z160" s="266">
        <f>Z123</f>
        <v>10217</v>
      </c>
      <c r="AA160" s="266">
        <f>AA123</f>
        <v>3064</v>
      </c>
      <c r="AB160" s="266">
        <f>AB123</f>
        <v>3894</v>
      </c>
      <c r="AC160" s="266">
        <f>AC123</f>
        <v>4707</v>
      </c>
      <c r="AD160" s="266">
        <f>AD123</f>
        <v>4268</v>
      </c>
      <c r="AE160" s="266">
        <f>AE123</f>
        <v>15934</v>
      </c>
      <c r="AF160" s="266">
        <f>AF123</f>
        <v>4988</v>
      </c>
      <c r="AG160" s="266">
        <f>AG123</f>
        <v>5106</v>
      </c>
      <c r="AH160" s="266">
        <f>AH123</f>
        <v>5137</v>
      </c>
      <c r="AI160" s="266">
        <f>AI123</f>
        <v>6882</v>
      </c>
      <c r="AJ160" s="266">
        <f>AJ123</f>
        <v>22112</v>
      </c>
      <c r="AK160" s="266">
        <f>AK123</f>
        <v>2429</v>
      </c>
      <c r="AL160" s="266">
        <f>AL123</f>
        <v>2616</v>
      </c>
      <c r="AM160" s="266">
        <f>AM123</f>
        <v>6091</v>
      </c>
      <c r="AN160" s="266">
        <f>AN123</f>
        <v>7349</v>
      </c>
      <c r="AO160" s="266">
        <f>AO123</f>
        <v>18485</v>
      </c>
      <c r="AP160" s="266">
        <f>AP123</f>
        <v>4902</v>
      </c>
      <c r="AQ160" s="266">
        <f>AQ123</f>
        <v>5178</v>
      </c>
      <c r="AR160" s="266">
        <f>AR123</f>
        <v>7846</v>
      </c>
      <c r="AS160" s="266">
        <f>AS123</f>
        <v>11219</v>
      </c>
      <c r="AT160" s="266">
        <f>AT123</f>
        <v>29146</v>
      </c>
      <c r="AU160" s="266">
        <f>AU123</f>
        <v>9497</v>
      </c>
      <c r="AV160" s="266">
        <f>AV123</f>
        <v>10394</v>
      </c>
      <c r="AW160" s="266">
        <f>AW123</f>
        <v>9194</v>
      </c>
      <c r="AX160" s="266">
        <f>AX123</f>
        <v>10285</v>
      </c>
      <c r="AY160" s="266">
        <f>AY123</f>
        <v>39370</v>
      </c>
      <c r="AZ160" s="266">
        <f>AZ123</f>
        <v>7465</v>
      </c>
      <c r="BA160" s="266">
        <f>BA123</f>
        <v>6687</v>
      </c>
      <c r="BB160" s="266">
        <f>BB123</f>
        <v>4395</v>
      </c>
      <c r="BC160" s="266">
        <f>BC123</f>
        <v>4652</v>
      </c>
      <c r="BD160" s="266">
        <f>BD123</f>
        <v>23200</v>
      </c>
      <c r="BE160" s="266">
        <f>BE123</f>
        <v>5709</v>
      </c>
      <c r="BF160" s="266">
        <f>BF123</f>
        <v>7788</v>
      </c>
      <c r="BG160" s="266">
        <f>BG123</f>
        <v>11583</v>
      </c>
      <c r="BH160" s="266">
        <f>BH123</f>
        <v>14017</v>
      </c>
      <c r="BI160" s="266">
        <f>BI123</f>
        <v>39098</v>
      </c>
      <c r="BJ160" s="266">
        <f>BJ123</f>
        <v>12369</v>
      </c>
      <c r="BK160" s="266">
        <f>BK123</f>
        <v>13465</v>
      </c>
      <c r="BL160" s="266">
        <f>BL123</f>
        <v>15688</v>
      </c>
      <c r="BM160" s="266">
        <f>BM123</f>
        <v>20838</v>
      </c>
      <c r="BN160" s="266">
        <f>BN123</f>
        <v>62360</v>
      </c>
      <c r="BO160" s="266">
        <f>BO123</f>
        <v>16644</v>
      </c>
      <c r="BP160" s="266">
        <f>BP123</f>
        <v>18337</v>
      </c>
      <c r="BQ160" s="266">
        <f>BQ123</f>
        <v>2709</v>
      </c>
      <c r="BR160" s="266">
        <f>BR123</f>
        <v>22768</v>
      </c>
      <c r="BS160" s="266">
        <f>BS123</f>
        <v>60458</v>
      </c>
      <c r="BT160" s="266">
        <f>BT123</f>
        <v>26773</v>
      </c>
      <c r="BU160" s="266">
        <f>BU123</f>
        <v>15848</v>
      </c>
      <c r="BV160" s="254">
        <f>BV123</f>
        <v>16668.1256051872</v>
      </c>
      <c r="BW160" s="254">
        <f>BW123</f>
        <v>20293.2751209919</v>
      </c>
      <c r="BX160" s="254">
        <f>BX123</f>
        <v>79582.400726179</v>
      </c>
      <c r="BY160" s="254">
        <f>BY123</f>
        <v>84127.3640086451</v>
      </c>
      <c r="BZ160" s="254">
        <f>BZ123</f>
        <v>97359.2468047338</v>
      </c>
      <c r="CA160" s="254">
        <f>CA123</f>
        <v>110612.770596189</v>
      </c>
      <c r="CB160" s="254">
        <f>CB123</f>
        <v>126479.059510941</v>
      </c>
      <c r="CC160" s="254">
        <f>CC123</f>
        <v>143129.453220713</v>
      </c>
      <c r="CD160" s="153" t="n"/>
    </row>
    <row r="161" ht="15" customHeight="1" s="251">
      <c r="B161" s="25" t="inlineStr">
        <is>
          <t xml:space="preserve">  (+) Provision for income taxes</t>
        </is>
      </c>
      <c r="C161" s="211">
        <f>C121</f>
        <v>25</v>
      </c>
      <c r="D161" s="211">
        <f>D121</f>
        <v>402</v>
      </c>
      <c r="E161" s="211">
        <f>E121</f>
        <v>695</v>
      </c>
      <c r="F161" s="211">
        <f>F121</f>
        <v>441</v>
      </c>
      <c r="G161" s="211">
        <f>G121</f>
        <v>134</v>
      </c>
      <c r="H161" s="211">
        <f>H121</f>
        <v>212</v>
      </c>
      <c r="I161" s="211">
        <f>I121</f>
        <v>301</v>
      </c>
      <c r="J161" s="211">
        <f>J121</f>
        <v>607</v>
      </c>
      <c r="K161" s="211">
        <f>K121</f>
        <v>1254</v>
      </c>
      <c r="L161" s="211">
        <f>L121</f>
        <v>433</v>
      </c>
      <c r="M161" s="211">
        <f>M121</f>
        <v>595</v>
      </c>
      <c r="N161" s="211">
        <f>N121</f>
        <v>530</v>
      </c>
      <c r="O161" s="211">
        <f>O121</f>
        <v>413</v>
      </c>
      <c r="P161" s="211">
        <f>P121</f>
        <v>1970</v>
      </c>
      <c r="Q161" s="211">
        <f>Q121</f>
        <v>420</v>
      </c>
      <c r="R161" s="211">
        <f>R121</f>
        <v>554</v>
      </c>
      <c r="S161" s="211">
        <f>S121</f>
        <v>536</v>
      </c>
      <c r="T161" s="211">
        <f>T121</f>
        <v>995</v>
      </c>
      <c r="U161" s="211">
        <f>U121</f>
        <v>2506</v>
      </c>
      <c r="V161" s="211">
        <f>V121</f>
        <v>555</v>
      </c>
      <c r="W161" s="211">
        <f>W121</f>
        <v>711</v>
      </c>
      <c r="X161" s="211">
        <f>X121</f>
        <v>790</v>
      </c>
      <c r="Y161" s="211">
        <f>Y121</f>
        <v>965</v>
      </c>
      <c r="Z161" s="211">
        <f>Z121</f>
        <v>2301</v>
      </c>
      <c r="AA161" s="211">
        <f>AA121</f>
        <v>344</v>
      </c>
      <c r="AB161" s="211">
        <f>AB121</f>
        <v>594</v>
      </c>
      <c r="AC161" s="211">
        <f>AC121</f>
        <v>529</v>
      </c>
      <c r="AD161" s="211">
        <f>AD121</f>
        <v>3194</v>
      </c>
      <c r="AE161" s="211">
        <f>AE121</f>
        <v>4660</v>
      </c>
      <c r="AF161" s="211">
        <f>AF121</f>
        <v>622</v>
      </c>
      <c r="AG161" s="211">
        <f>AG121</f>
        <v>762</v>
      </c>
      <c r="AH161" s="211">
        <f>AH121</f>
        <v>775</v>
      </c>
      <c r="AI161" s="211">
        <f>AI121</f>
        <v>1089</v>
      </c>
      <c r="AJ161" s="211">
        <f>AJ121</f>
        <v>3249</v>
      </c>
      <c r="AK161" s="211">
        <f>AK121</f>
        <v>1053</v>
      </c>
      <c r="AL161" s="211">
        <f>AL121</f>
        <v>2216</v>
      </c>
      <c r="AM161" s="211">
        <f>AM121</f>
        <v>1238</v>
      </c>
      <c r="AN161" s="211">
        <f>AN121</f>
        <v>1820</v>
      </c>
      <c r="AO161" s="211">
        <f>AO121</f>
        <v>6327</v>
      </c>
      <c r="AP161" s="211">
        <f>AP121</f>
        <v>959</v>
      </c>
      <c r="AQ161" s="211">
        <f>AQ121</f>
        <v>953</v>
      </c>
      <c r="AR161" s="211">
        <f>AR121</f>
        <v>287</v>
      </c>
      <c r="AS161" s="211">
        <f>AS121</f>
        <v>1836</v>
      </c>
      <c r="AT161" s="211">
        <f>AT121</f>
        <v>4034</v>
      </c>
      <c r="AU161" s="211">
        <f>AU121</f>
        <v>2006</v>
      </c>
      <c r="AV161" s="211">
        <f>AV121</f>
        <v>2119</v>
      </c>
      <c r="AW161" s="211">
        <f>AW121</f>
        <v>1371</v>
      </c>
      <c r="AX161" s="211">
        <f>AX121</f>
        <v>2417</v>
      </c>
      <c r="AY161" s="211">
        <f>AY121</f>
        <v>7914</v>
      </c>
      <c r="AZ161" s="211">
        <f>AZ121</f>
        <v>1443</v>
      </c>
      <c r="BA161" s="211">
        <f>BA121</f>
        <v>1499</v>
      </c>
      <c r="BB161" s="211">
        <f>BB121</f>
        <v>1181</v>
      </c>
      <c r="BC161" s="211">
        <f>BC121</f>
        <v>1497</v>
      </c>
      <c r="BD161" s="211">
        <f>BD121</f>
        <v>5619</v>
      </c>
      <c r="BE161" s="211">
        <f>BE121</f>
        <v>1598</v>
      </c>
      <c r="BF161" s="211">
        <f>BF121</f>
        <v>1505</v>
      </c>
      <c r="BG161" s="211">
        <f>BG121</f>
        <v>2437</v>
      </c>
      <c r="BH161" s="211">
        <f>BH121</f>
        <v>2791</v>
      </c>
      <c r="BI161" s="211">
        <f>BI121</f>
        <v>8330</v>
      </c>
      <c r="BJ161" s="211">
        <f>BJ121</f>
        <v>1814</v>
      </c>
      <c r="BK161" s="211">
        <f>BK121</f>
        <v>1641</v>
      </c>
      <c r="BL161" s="211">
        <f>BL121</f>
        <v>2134</v>
      </c>
      <c r="BM161" s="211">
        <f>BM121</f>
        <v>2715</v>
      </c>
      <c r="BN161" s="211">
        <f>BN121</f>
        <v>8303</v>
      </c>
      <c r="BO161" s="211">
        <f>BO121</f>
        <v>1738</v>
      </c>
      <c r="BP161" s="211">
        <f>BP121</f>
        <v>2197</v>
      </c>
      <c r="BQ161" s="211">
        <f>BQ121</f>
        <v>18954</v>
      </c>
      <c r="BR161" s="211">
        <f>BR121</f>
        <v>2586</v>
      </c>
      <c r="BS161" s="211">
        <f>BS121</f>
        <v>25474</v>
      </c>
      <c r="BT161" s="211">
        <f>BT121</f>
        <v>-5021</v>
      </c>
      <c r="BU161" s="211">
        <f>BU121</f>
        <v>2908</v>
      </c>
      <c r="BV161" s="263">
        <f>BV121</f>
        <v>3174.8810676547</v>
      </c>
      <c r="BW161" s="263">
        <f>BW121</f>
        <v>3865.38573733178</v>
      </c>
      <c r="BX161" s="263">
        <f>BX121</f>
        <v>4927.26680498648</v>
      </c>
      <c r="BY161" s="263">
        <f>BY121</f>
        <v>16024.2598111705</v>
      </c>
      <c r="BZ161" s="263">
        <f>BZ121</f>
        <v>18544.6184389969</v>
      </c>
      <c r="CA161" s="263">
        <f>CA121</f>
        <v>21069.099161179</v>
      </c>
      <c r="CB161" s="263">
        <f>CB121</f>
        <v>24992.8680470722</v>
      </c>
      <c r="CC161" s="263">
        <f>CC121</f>
        <v>28283.0656064882</v>
      </c>
      <c r="CD161" s="19" t="n"/>
    </row>
    <row r="162" ht="15" customHeight="1" s="251">
      <c r="B162" s="25" t="inlineStr">
        <is>
          <t xml:space="preserve">  (−) Interest and other income (expense), net</t>
        </is>
      </c>
      <c r="C162" s="211">
        <f>-C119</f>
        <v>8</v>
      </c>
      <c r="D162" s="211">
        <f>-D119</f>
        <v>24</v>
      </c>
      <c r="E162" s="211">
        <f>-E119</f>
        <v>61</v>
      </c>
      <c r="F162" s="211">
        <f>-F119</f>
        <v>44</v>
      </c>
      <c r="G162" s="211">
        <f>-G119</f>
        <v>20</v>
      </c>
      <c r="H162" s="211">
        <f>-H119</f>
        <v>17</v>
      </c>
      <c r="I162" s="211">
        <f>-I119</f>
        <v>10</v>
      </c>
      <c r="J162" s="211">
        <f>-J119</f>
        <v>3</v>
      </c>
      <c r="K162" s="211">
        <f>-K119</f>
        <v>50</v>
      </c>
      <c r="L162" s="211">
        <f>-L119</f>
        <v>0</v>
      </c>
      <c r="M162" s="211">
        <f>-M119</f>
        <v>4</v>
      </c>
      <c r="N162" s="211">
        <f>-N119</f>
        <v>61</v>
      </c>
      <c r="O162" s="211">
        <f>-O119</f>
        <v>19</v>
      </c>
      <c r="P162" s="211">
        <f>-P119</f>
        <v>84</v>
      </c>
      <c r="Q162" s="211">
        <f>-Q119</f>
        <v>1</v>
      </c>
      <c r="R162" s="211">
        <f>-R119</f>
        <v>0</v>
      </c>
      <c r="S162" s="211">
        <f>-S119</f>
        <v>27</v>
      </c>
      <c r="T162" s="211">
        <f>-T119</f>
        <v>3</v>
      </c>
      <c r="U162" s="211">
        <f>-U119</f>
        <v>31</v>
      </c>
      <c r="V162" s="211">
        <f>-V119</f>
        <v>-56</v>
      </c>
      <c r="W162" s="211">
        <f>-W119</f>
        <v>-20</v>
      </c>
      <c r="X162" s="211">
        <f>-X119</f>
        <v>-47</v>
      </c>
      <c r="Y162" s="211">
        <f>-Y119</f>
        <v>33</v>
      </c>
      <c r="Z162" s="211">
        <f>-Z119</f>
        <v>-91</v>
      </c>
      <c r="AA162" s="211">
        <f>-AA119</f>
        <v>-81</v>
      </c>
      <c r="AB162" s="211">
        <f>-AB119</f>
        <v>-87</v>
      </c>
      <c r="AC162" s="211">
        <f>-AC119</f>
        <v>-114</v>
      </c>
      <c r="AD162" s="211">
        <f>-AD119</f>
        <v>-110</v>
      </c>
      <c r="AE162" s="211">
        <f>-AE119</f>
        <v>-391</v>
      </c>
      <c r="AF162" s="211">
        <f>-AF119</f>
        <v>-161</v>
      </c>
      <c r="AG162" s="211">
        <f>-AG119</f>
        <v>-5</v>
      </c>
      <c r="AH162" s="211">
        <f>-AH119</f>
        <v>-131</v>
      </c>
      <c r="AI162" s="211">
        <f>-AI119</f>
        <v>-151</v>
      </c>
      <c r="AJ162" s="211">
        <f>-AJ119</f>
        <v>-448</v>
      </c>
      <c r="AK162" s="211">
        <f>-AK119</f>
        <v>-165</v>
      </c>
      <c r="AL162" s="211">
        <f>-AL119</f>
        <v>-206</v>
      </c>
      <c r="AM162" s="211">
        <f>-AM119</f>
        <v>-144</v>
      </c>
      <c r="AN162" s="211">
        <f>-AN119</f>
        <v>-311</v>
      </c>
      <c r="AO162" s="211">
        <f>-AO119</f>
        <v>-826</v>
      </c>
      <c r="AP162" s="211">
        <f>-AP119</f>
        <v>32</v>
      </c>
      <c r="AQ162" s="211">
        <f>-AQ119</f>
        <v>-168</v>
      </c>
      <c r="AR162" s="211">
        <f>-AR119</f>
        <v>-93</v>
      </c>
      <c r="AS162" s="211">
        <f>-AS119</f>
        <v>-280</v>
      </c>
      <c r="AT162" s="211">
        <f>-AT119</f>
        <v>-509</v>
      </c>
      <c r="AU162" s="211">
        <f>-AU119</f>
        <v>-125</v>
      </c>
      <c r="AV162" s="211">
        <f>-AV119</f>
        <v>-146</v>
      </c>
      <c r="AW162" s="211">
        <f>-AW119</f>
        <v>-142</v>
      </c>
      <c r="AX162" s="211">
        <f>-AX119</f>
        <v>-117</v>
      </c>
      <c r="AY162" s="211">
        <f>-AY119</f>
        <v>-531</v>
      </c>
      <c r="AZ162" s="211">
        <f>-AZ119</f>
        <v>-384</v>
      </c>
      <c r="BA162" s="211">
        <f>-BA119</f>
        <v>172</v>
      </c>
      <c r="BB162" s="211">
        <f>-BB119</f>
        <v>88</v>
      </c>
      <c r="BC162" s="211">
        <f>-BC119</f>
        <v>250</v>
      </c>
      <c r="BD162" s="211">
        <f>-BD119</f>
        <v>125</v>
      </c>
      <c r="BE162" s="211">
        <f>-BE119</f>
        <v>-80</v>
      </c>
      <c r="BF162" s="211">
        <f>-BF119</f>
        <v>99</v>
      </c>
      <c r="BG162" s="211">
        <f>-BG119</f>
        <v>-272</v>
      </c>
      <c r="BH162" s="211">
        <f>-BH119</f>
        <v>-424</v>
      </c>
      <c r="BI162" s="211">
        <f>-BI119</f>
        <v>-677</v>
      </c>
      <c r="BJ162" s="211">
        <f>-BJ119</f>
        <v>-365</v>
      </c>
      <c r="BK162" s="211">
        <f>-BK119</f>
        <v>-259</v>
      </c>
      <c r="BL162" s="211">
        <f>-BL119</f>
        <v>-472</v>
      </c>
      <c r="BM162" s="211">
        <f>-BM119</f>
        <v>-188</v>
      </c>
      <c r="BN162" s="211">
        <f>-BN119</f>
        <v>-1283</v>
      </c>
      <c r="BO162" s="211">
        <f>-BO119</f>
        <v>-827</v>
      </c>
      <c r="BP162" s="211">
        <f>-BP119</f>
        <v>-93</v>
      </c>
      <c r="BQ162" s="211">
        <f>-BQ119</f>
        <v>-1128</v>
      </c>
      <c r="BR162" s="211">
        <f>-BR119</f>
        <v>-609</v>
      </c>
      <c r="BS162" s="211">
        <f>-BS119</f>
        <v>-2656</v>
      </c>
      <c r="BT162" s="211">
        <f>-BT119</f>
        <v>1120</v>
      </c>
      <c r="BU162" s="211">
        <f>-BU119</f>
        <v>19</v>
      </c>
      <c r="BV162" s="263">
        <f>-BV119</f>
        <v>-24.1279999999999</v>
      </c>
      <c r="BW162" s="263">
        <f>-BW119</f>
        <v>-24.1279999999999</v>
      </c>
      <c r="BX162" s="263">
        <f>-BX119</f>
        <v>1090.744</v>
      </c>
      <c r="BY162" s="263">
        <f>-BY119</f>
        <v>2081.83832586712</v>
      </c>
      <c r="BZ162" s="263">
        <f>-BZ119</f>
        <v>3211.21335240848</v>
      </c>
      <c r="CA162" s="263">
        <f>-CA119</f>
        <v>3083.15502991415</v>
      </c>
      <c r="CB162" s="263">
        <f>-CB119</f>
        <v>3542.57858965984</v>
      </c>
      <c r="CC162" s="263">
        <f>-CC119</f>
        <v>3868.54963712908</v>
      </c>
      <c r="CD162" s="19" t="n"/>
    </row>
    <row r="163" ht="15" customHeight="1" s="251">
      <c r="B163" s="16" t="inlineStr">
        <is>
          <t xml:space="preserve">  = EBIT (= income from operations)</t>
        </is>
      </c>
      <c r="C163" s="266">
        <f>IF(ISNUMBER(C160),C160+C161+C162,"")</f>
        <v>262</v>
      </c>
      <c r="D163" s="266">
        <f>IF(ISNUMBER(D160),D160+D161+D162,"")</f>
        <v>1032</v>
      </c>
      <c r="E163" s="266">
        <f>IF(ISNUMBER(E160),E160+E161+E162,"")</f>
        <v>1756</v>
      </c>
      <c r="F163" s="266">
        <f>IF(ISNUMBER(F160),F160+F161+F162,"")</f>
        <v>538</v>
      </c>
      <c r="G163" s="266">
        <f>IF(ISNUMBER(G160),G160+G161+G162,"")</f>
        <v>373</v>
      </c>
      <c r="H163" s="266">
        <f>IF(ISNUMBER(H160),H160+H161+H162,"")</f>
        <v>562</v>
      </c>
      <c r="I163" s="266">
        <f>IF(ISNUMBER(I160),I160+I161+I162,"")</f>
        <v>736</v>
      </c>
      <c r="J163" s="266">
        <f>IF(ISNUMBER(J160),J160+J161+J162,"")</f>
        <v>1133</v>
      </c>
      <c r="K163" s="266">
        <f>IF(ISNUMBER(K160),K160+K161+K162,"")</f>
        <v>2804</v>
      </c>
      <c r="L163" s="266">
        <f>IF(ISNUMBER(L160),L160+L161+L162,"")</f>
        <v>1075</v>
      </c>
      <c r="M163" s="266">
        <f>IF(ISNUMBER(M160),M160+M161+M162,"")</f>
        <v>1390</v>
      </c>
      <c r="N163" s="266">
        <f>IF(ISNUMBER(N160),N160+N161+N162,"")</f>
        <v>1397</v>
      </c>
      <c r="O163" s="266">
        <f>IF(ISNUMBER(O160),O160+O161+O162,"")</f>
        <v>1133</v>
      </c>
      <c r="P163" s="266">
        <f>IF(ISNUMBER(P160),P160+P161+P162,"")</f>
        <v>4994</v>
      </c>
      <c r="Q163" s="266">
        <f>IF(ISNUMBER(Q160),Q160+Q161+Q162,"")</f>
        <v>933</v>
      </c>
      <c r="R163" s="266">
        <f>IF(ISNUMBER(R160),R160+R161+R162,"")</f>
        <v>1273</v>
      </c>
      <c r="S163" s="266">
        <f>IF(ISNUMBER(S160),S160+S161+S162,"")</f>
        <v>1459</v>
      </c>
      <c r="T163" s="266">
        <f>IF(ISNUMBER(T160),T160+T161+T162,"")</f>
        <v>2560</v>
      </c>
      <c r="U163" s="266">
        <f>IF(ISNUMBER(U160),U160+U161+U162,"")</f>
        <v>6225</v>
      </c>
      <c r="V163" s="266">
        <f>IF(ISNUMBER(V160),V160+V161+V162,"")</f>
        <v>2009</v>
      </c>
      <c r="W163" s="266">
        <f>IF(ISNUMBER(W160),W160+W161+W162,"")</f>
        <v>2746</v>
      </c>
      <c r="X163" s="266">
        <f>IF(ISNUMBER(X160),X160+X161+X162,"")</f>
        <v>3122</v>
      </c>
      <c r="Y163" s="266">
        <f>IF(ISNUMBER(Y160),Y160+Y161+Y162,"")</f>
        <v>4566</v>
      </c>
      <c r="Z163" s="266">
        <f>IF(ISNUMBER(Z160),Z160+Z161+Z162,"")</f>
        <v>12427</v>
      </c>
      <c r="AA163" s="266">
        <f>IF(ISNUMBER(AA160),AA160+AA161+AA162,"")</f>
        <v>3327</v>
      </c>
      <c r="AB163" s="266">
        <f>IF(ISNUMBER(AB160),AB160+AB161+AB162,"")</f>
        <v>4401</v>
      </c>
      <c r="AC163" s="266">
        <f>IF(ISNUMBER(AC160),AC160+AC161+AC162,"")</f>
        <v>5122</v>
      </c>
      <c r="AD163" s="266">
        <f>IF(ISNUMBER(AD160),AD160+AD161+AD162,"")</f>
        <v>7352</v>
      </c>
      <c r="AE163" s="266">
        <f>IF(ISNUMBER(AE160),AE160+AE161+AE162,"")</f>
        <v>20203</v>
      </c>
      <c r="AF163" s="266">
        <f>IF(ISNUMBER(AF160),AF160+AF161+AF162,"")</f>
        <v>5449</v>
      </c>
      <c r="AG163" s="266">
        <f>IF(ISNUMBER(AG160),AG160+AG161+AG162,"")</f>
        <v>5863</v>
      </c>
      <c r="AH163" s="266">
        <f>IF(ISNUMBER(AH160),AH160+AH161+AH162,"")</f>
        <v>5781</v>
      </c>
      <c r="AI163" s="266">
        <f>IF(ISNUMBER(AI160),AI160+AI161+AI162,"")</f>
        <v>7820</v>
      </c>
      <c r="AJ163" s="266">
        <f>IF(ISNUMBER(AJ160),AJ160+AJ161+AJ162,"")</f>
        <v>24913</v>
      </c>
      <c r="AK163" s="266">
        <f>IF(ISNUMBER(AK160),AK160+AK161+AK162,"")</f>
        <v>3317</v>
      </c>
      <c r="AL163" s="266">
        <f>IF(ISNUMBER(AL160),AL160+AL161+AL162,"")</f>
        <v>4626</v>
      </c>
      <c r="AM163" s="266">
        <f>IF(ISNUMBER(AM160),AM160+AM161+AM162,"")</f>
        <v>7185</v>
      </c>
      <c r="AN163" s="266">
        <f>IF(ISNUMBER(AN160),AN160+AN161+AN162,"")</f>
        <v>8858</v>
      </c>
      <c r="AO163" s="266">
        <f>IF(ISNUMBER(AO160),AO160+AO161+AO162,"")</f>
        <v>23986</v>
      </c>
      <c r="AP163" s="266">
        <f>IF(ISNUMBER(AP160),AP160+AP161+AP162,"")</f>
        <v>5893</v>
      </c>
      <c r="AQ163" s="266">
        <f>IF(ISNUMBER(AQ160),AQ160+AQ161+AQ162,"")</f>
        <v>5963</v>
      </c>
      <c r="AR163" s="266">
        <f>IF(ISNUMBER(AR160),AR160+AR161+AR162,"")</f>
        <v>8040</v>
      </c>
      <c r="AS163" s="266">
        <f>IF(ISNUMBER(AS160),AS160+AS161+AS162,"")</f>
        <v>12775</v>
      </c>
      <c r="AT163" s="266">
        <f>IF(ISNUMBER(AT160),AT160+AT161+AT162,"")</f>
        <v>32671</v>
      </c>
      <c r="AU163" s="266">
        <f>IF(ISNUMBER(AU160),AU160+AU161+AU162,"")</f>
        <v>11378</v>
      </c>
      <c r="AV163" s="266">
        <f>IF(ISNUMBER(AV160),AV160+AV161+AV162,"")</f>
        <v>12367</v>
      </c>
      <c r="AW163" s="266">
        <f>IF(ISNUMBER(AW160),AW160+AW161+AW162,"")</f>
        <v>10423</v>
      </c>
      <c r="AX163" s="266">
        <f>IF(ISNUMBER(AX160),AX160+AX161+AX162,"")</f>
        <v>12585</v>
      </c>
      <c r="AY163" s="266">
        <f>IF(ISNUMBER(AY160),AY160+AY161+AY162,"")</f>
        <v>46753</v>
      </c>
      <c r="AZ163" s="266">
        <f>IF(ISNUMBER(AZ160),AZ160+AZ161+AZ162,"")</f>
        <v>8524</v>
      </c>
      <c r="BA163" s="266">
        <f>IF(ISNUMBER(BA160),BA160+BA161+BA162,"")</f>
        <v>8358</v>
      </c>
      <c r="BB163" s="266">
        <f>IF(ISNUMBER(BB160),BB160+BB161+BB162,"")</f>
        <v>5664</v>
      </c>
      <c r="BC163" s="266">
        <f>IF(ISNUMBER(BC160),BC160+BC161+BC162,"")</f>
        <v>6399</v>
      </c>
      <c r="BD163" s="266">
        <f>IF(ISNUMBER(BD160),BD160+BD161+BD162,"")</f>
        <v>28944</v>
      </c>
      <c r="BE163" s="266">
        <f>IF(ISNUMBER(BE160),BE160+BE161+BE162,"")</f>
        <v>7227</v>
      </c>
      <c r="BF163" s="266">
        <f>IF(ISNUMBER(BF160),BF160+BF161+BF162,"")</f>
        <v>9392</v>
      </c>
      <c r="BG163" s="266">
        <f>IF(ISNUMBER(BG160),BG160+BG161+BG162,"")</f>
        <v>13748</v>
      </c>
      <c r="BH163" s="266">
        <f>IF(ISNUMBER(BH160),BH160+BH161+BH162,"")</f>
        <v>16384</v>
      </c>
      <c r="BI163" s="266">
        <f>IF(ISNUMBER(BI160),BI160+BI161+BI162,"")</f>
        <v>46751</v>
      </c>
      <c r="BJ163" s="266">
        <f>IF(ISNUMBER(BJ160),BJ160+BJ161+BJ162,"")</f>
        <v>13818</v>
      </c>
      <c r="BK163" s="266">
        <f>IF(ISNUMBER(BK160),BK160+BK161+BK162,"")</f>
        <v>14847</v>
      </c>
      <c r="BL163" s="266">
        <f>IF(ISNUMBER(BL160),BL160+BL161+BL162,"")</f>
        <v>17350</v>
      </c>
      <c r="BM163" s="266">
        <f>IF(ISNUMBER(BM160),BM160+BM161+BM162,"")</f>
        <v>23365</v>
      </c>
      <c r="BN163" s="266">
        <f>IF(ISNUMBER(BN160),BN160+BN161+BN162,"")</f>
        <v>69380</v>
      </c>
      <c r="BO163" s="266">
        <f>IF(ISNUMBER(BO160),BO160+BO161+BO162,"")</f>
        <v>17555</v>
      </c>
      <c r="BP163" s="266">
        <f>IF(ISNUMBER(BP160),BP160+BP161+BP162,"")</f>
        <v>20441</v>
      </c>
      <c r="BQ163" s="266">
        <f>IF(ISNUMBER(BQ160),BQ160+BQ161+BQ162,"")</f>
        <v>20535</v>
      </c>
      <c r="BR163" s="266">
        <f>IF(ISNUMBER(BR160),BR160+BR161+BR162,"")</f>
        <v>24745</v>
      </c>
      <c r="BS163" s="266">
        <f>IF(ISNUMBER(BS160),BS160+BS161+BS162,"")</f>
        <v>83276</v>
      </c>
      <c r="BT163" s="266">
        <f>IF(ISNUMBER(BT160),BT160+BT161+BT162,"")</f>
        <v>22872</v>
      </c>
      <c r="BU163" s="266">
        <f>IF(ISNUMBER(BU160),BU160+BU161+BU162,"")</f>
        <v>18775</v>
      </c>
      <c r="BV163" s="254">
        <f>IF(ISNUMBER(BV160),BV160+BV161+BV162,"")</f>
        <v>19818.8786728419</v>
      </c>
      <c r="BW163" s="254">
        <f>IF(ISNUMBER(BW160),BW160+BW161+BW162,"")</f>
        <v>24134.5328583236</v>
      </c>
      <c r="BX163" s="254">
        <f>IF(ISNUMBER(BX160),BX160+BX161+BX162,"")</f>
        <v>85600.4115311655</v>
      </c>
      <c r="BY163" s="254">
        <f>IF(ISNUMBER(BY160),BY160+BY161+BY162,"")</f>
        <v>102233.462145683</v>
      </c>
      <c r="BZ163" s="254">
        <f>IF(ISNUMBER(BZ160),BZ160+BZ161+BZ162,"")</f>
        <v>119115.078596139</v>
      </c>
      <c r="CA163" s="254">
        <f>IF(ISNUMBER(CA160),CA160+CA161+CA162,"")</f>
        <v>134765.024787283</v>
      </c>
      <c r="CB163" s="254">
        <f>IF(ISNUMBER(CB160),CB160+CB161+CB162,"")</f>
        <v>155014.506147673</v>
      </c>
      <c r="CC163" s="254">
        <f>IF(ISNUMBER(CC160),CC160+CC161+CC162,"")</f>
        <v>175281.06846433</v>
      </c>
      <c r="CD163" s="153" t="n"/>
    </row>
    <row r="164" ht="15" customHeight="1" s="251">
      <c r="B164" s="57" t="inlineStr">
        <is>
          <t xml:space="preserve">  Check: EBIT vs income from operations (should be 0)</t>
        </is>
      </c>
      <c r="C164" s="211">
        <f>IF(ISNUMBER(C163),ROUND(C163-C116,1),"")</f>
        <v>0</v>
      </c>
      <c r="D164" s="211">
        <f>IF(ISNUMBER(D163),ROUND(D163-D116,1),"")</f>
        <v>0</v>
      </c>
      <c r="E164" s="211">
        <f>IF(ISNUMBER(E163),ROUND(E163-E116,1),"")</f>
        <v>0</v>
      </c>
      <c r="F164" s="211">
        <f>IF(ISNUMBER(F163),ROUND(F163-F116,1),"")</f>
        <v>0</v>
      </c>
      <c r="G164" s="211">
        <f>IF(ISNUMBER(G163),ROUND(G163-G116,1),"")</f>
        <v>0</v>
      </c>
      <c r="H164" s="211">
        <f>IF(ISNUMBER(H163),ROUND(H163-H116,1),"")</f>
        <v>0</v>
      </c>
      <c r="I164" s="211">
        <f>IF(ISNUMBER(I163),ROUND(I163-I116,1),"")</f>
        <v>0</v>
      </c>
      <c r="J164" s="211">
        <f>IF(ISNUMBER(J163),ROUND(J163-J116,1),"")</f>
        <v>0</v>
      </c>
      <c r="K164" s="211">
        <f>IF(ISNUMBER(K163),ROUND(K163-K116,1),"")</f>
        <v>0</v>
      </c>
      <c r="L164" s="211">
        <f>IF(ISNUMBER(L163),ROUND(L163-L116,1),"")</f>
        <v>0</v>
      </c>
      <c r="M164" s="211">
        <f>IF(ISNUMBER(M163),ROUND(M163-M116,1),"")</f>
        <v>0</v>
      </c>
      <c r="N164" s="211">
        <f>IF(ISNUMBER(N163),ROUND(N163-N116,1),"")</f>
        <v>0</v>
      </c>
      <c r="O164" s="211">
        <f>IF(ISNUMBER(O163),ROUND(O163-O116,1),"")</f>
        <v>0</v>
      </c>
      <c r="P164" s="211">
        <f>IF(ISNUMBER(P163),ROUND(P163-P116,1),"")</f>
        <v>0</v>
      </c>
      <c r="Q164" s="211">
        <f>IF(ISNUMBER(Q163),ROUND(Q163-Q116,1),"")</f>
        <v>0</v>
      </c>
      <c r="R164" s="211">
        <f>IF(ISNUMBER(R163),ROUND(R163-R116,1),"")</f>
        <v>0</v>
      </c>
      <c r="S164" s="211">
        <f>IF(ISNUMBER(S163),ROUND(S163-S116,1),"")</f>
        <v>0</v>
      </c>
      <c r="T164" s="211">
        <f>IF(ISNUMBER(T163),ROUND(T163-T116,1),"")</f>
        <v>0</v>
      </c>
      <c r="U164" s="211">
        <f>IF(ISNUMBER(U163),ROUND(U163-U116,1),"")</f>
        <v>0</v>
      </c>
      <c r="V164" s="211">
        <f>IF(ISNUMBER(V163),ROUND(V163-V116,1),"")</f>
        <v>0</v>
      </c>
      <c r="W164" s="211">
        <f>IF(ISNUMBER(W163),ROUND(W163-W116,1),"")</f>
        <v>0</v>
      </c>
      <c r="X164" s="211">
        <f>IF(ISNUMBER(X163),ROUND(X163-X116,1),"")</f>
        <v>0</v>
      </c>
      <c r="Y164" s="211">
        <f>IF(ISNUMBER(Y163),ROUND(Y163-Y116,1),"")</f>
        <v>0</v>
      </c>
      <c r="Z164" s="211">
        <f>IF(ISNUMBER(Z163),ROUND(Z163-Z116,1),"")</f>
        <v>0</v>
      </c>
      <c r="AA164" s="211">
        <f>IF(ISNUMBER(AA163),ROUND(AA163-AA116,1),"")</f>
        <v>0</v>
      </c>
      <c r="AB164" s="211">
        <f>IF(ISNUMBER(AB163),ROUND(AB163-AB116,1),"")</f>
        <v>0</v>
      </c>
      <c r="AC164" s="211">
        <f>IF(ISNUMBER(AC163),ROUND(AC163-AC116,1),"")</f>
        <v>0</v>
      </c>
      <c r="AD164" s="211">
        <f>IF(ISNUMBER(AD163),ROUND(AD163-AD116,1),"")</f>
        <v>0</v>
      </c>
      <c r="AE164" s="211">
        <f>IF(ISNUMBER(AE163),ROUND(AE163-AE116,1),"")</f>
        <v>0</v>
      </c>
      <c r="AF164" s="211">
        <f>IF(ISNUMBER(AF163),ROUND(AF163-AF116,1),"")</f>
        <v>0</v>
      </c>
      <c r="AG164" s="211">
        <f>IF(ISNUMBER(AG163),ROUND(AG163-AG116,1),"")</f>
        <v>0</v>
      </c>
      <c r="AH164" s="211">
        <f>IF(ISNUMBER(AH163),ROUND(AH163-AH116,1),"")</f>
        <v>0</v>
      </c>
      <c r="AI164" s="211">
        <f>IF(ISNUMBER(AI163),ROUND(AI163-AI116,1),"")</f>
        <v>0</v>
      </c>
      <c r="AJ164" s="211">
        <f>IF(ISNUMBER(AJ163),ROUND(AJ163-AJ116,1),"")</f>
        <v>0</v>
      </c>
      <c r="AK164" s="211">
        <f>IF(ISNUMBER(AK163),ROUND(AK163-AK116,1),"")</f>
        <v>0</v>
      </c>
      <c r="AL164" s="211">
        <f>IF(ISNUMBER(AL163),ROUND(AL163-AL116,1),"")</f>
        <v>0</v>
      </c>
      <c r="AM164" s="211">
        <f>IF(ISNUMBER(AM163),ROUND(AM163-AM116,1),"")</f>
        <v>0</v>
      </c>
      <c r="AN164" s="211">
        <f>IF(ISNUMBER(AN163),ROUND(AN163-AN116,1),"")</f>
        <v>0</v>
      </c>
      <c r="AO164" s="211">
        <f>IF(ISNUMBER(AO163),ROUND(AO163-AO116,1),"")</f>
        <v>0</v>
      </c>
      <c r="AP164" s="211">
        <f>IF(ISNUMBER(AP163),ROUND(AP163-AP116,1),"")</f>
        <v>0</v>
      </c>
      <c r="AQ164" s="211">
        <f>IF(ISNUMBER(AQ163),ROUND(AQ163-AQ116,1),"")</f>
        <v>0</v>
      </c>
      <c r="AR164" s="211">
        <f>IF(ISNUMBER(AR163),ROUND(AR163-AR116,1),"")</f>
        <v>0</v>
      </c>
      <c r="AS164" s="211">
        <f>IF(ISNUMBER(AS163),ROUND(AS163-AS116,1),"")</f>
        <v>0</v>
      </c>
      <c r="AT164" s="211">
        <f>IF(ISNUMBER(AT163),ROUND(AT163-AT116,1),"")</f>
        <v>0</v>
      </c>
      <c r="AU164" s="211">
        <f>IF(ISNUMBER(AU163),ROUND(AU163-AU116,1),"")</f>
        <v>0</v>
      </c>
      <c r="AV164" s="211">
        <f>IF(ISNUMBER(AV163),ROUND(AV163-AV116,1),"")</f>
        <v>0</v>
      </c>
      <c r="AW164" s="211">
        <f>IF(ISNUMBER(AW163),ROUND(AW163-AW116,1),"")</f>
        <v>0</v>
      </c>
      <c r="AX164" s="211">
        <f>IF(ISNUMBER(AX163),ROUND(AX163-AX116,1),"")</f>
        <v>0</v>
      </c>
      <c r="AY164" s="211">
        <f>IF(ISNUMBER(AY163),ROUND(AY163-AY116,1),"")</f>
        <v>0</v>
      </c>
      <c r="AZ164" s="211">
        <f>IF(ISNUMBER(AZ163),ROUND(AZ163-AZ116,1),"")</f>
        <v>0</v>
      </c>
      <c r="BA164" s="211">
        <f>IF(ISNUMBER(BA163),ROUND(BA163-BA116,1),"")</f>
        <v>0</v>
      </c>
      <c r="BB164" s="211">
        <f>IF(ISNUMBER(BB163),ROUND(BB163-BB116,1),"")</f>
        <v>0</v>
      </c>
      <c r="BC164" s="211">
        <f>IF(ISNUMBER(BC163),ROUND(BC163-BC116,1),"")</f>
        <v>0</v>
      </c>
      <c r="BD164" s="211">
        <f>IF(ISNUMBER(BD163),ROUND(BD163-BD116,1),"")</f>
        <v>0</v>
      </c>
      <c r="BE164" s="211">
        <f>IF(ISNUMBER(BE163),ROUND(BE163-BE116,1),"")</f>
        <v>0</v>
      </c>
      <c r="BF164" s="211">
        <f>IF(ISNUMBER(BF163),ROUND(BF163-BF116,1),"")</f>
        <v>0</v>
      </c>
      <c r="BG164" s="211">
        <f>IF(ISNUMBER(BG163),ROUND(BG163-BG116,1),"")</f>
        <v>0</v>
      </c>
      <c r="BH164" s="211">
        <f>IF(ISNUMBER(BH163),ROUND(BH163-BH116,1),"")</f>
        <v>0</v>
      </c>
      <c r="BI164" s="211">
        <f>IF(ISNUMBER(BI163),ROUND(BI163-BI116,1),"")</f>
        <v>0</v>
      </c>
      <c r="BJ164" s="211">
        <f>IF(ISNUMBER(BJ163),ROUND(BJ163-BJ116,1),"")</f>
        <v>0</v>
      </c>
      <c r="BK164" s="211">
        <f>IF(ISNUMBER(BK163),ROUND(BK163-BK116,1),"")</f>
        <v>0</v>
      </c>
      <c r="BL164" s="211">
        <f>IF(ISNUMBER(BL163),ROUND(BL163-BL116,1),"")</f>
        <v>0</v>
      </c>
      <c r="BM164" s="211">
        <f>IF(ISNUMBER(BM163),ROUND(BM163-BM116,1),"")</f>
        <v>0</v>
      </c>
      <c r="BN164" s="211">
        <f>IF(ISNUMBER(BN163),ROUND(BN163-BN116,1),"")</f>
        <v>0</v>
      </c>
      <c r="BO164" s="211">
        <f>IF(ISNUMBER(BO163),ROUND(BO163-BO116,1),"")</f>
        <v>0</v>
      </c>
      <c r="BP164" s="211">
        <f>IF(ISNUMBER(BP163),ROUND(BP163-BP116,1),"")</f>
        <v>0</v>
      </c>
      <c r="BQ164" s="211">
        <f>IF(ISNUMBER(BQ163),ROUND(BQ163-BQ116,1),"")</f>
        <v>0</v>
      </c>
      <c r="BR164" s="211">
        <f>IF(ISNUMBER(BR163),ROUND(BR163-BR116,1),"")</f>
        <v>0</v>
      </c>
      <c r="BS164" s="211">
        <f>IF(ISNUMBER(BS163),ROUND(BS163-BS116,1),"")</f>
        <v>0</v>
      </c>
      <c r="BT164" s="211">
        <f>IF(ISNUMBER(BT163),ROUND(BT163-BT116,1),"")</f>
        <v>0</v>
      </c>
      <c r="BU164" s="211">
        <f>IF(ISNUMBER(BU163),ROUND(BU163-BU116,1),"")</f>
        <v>0</v>
      </c>
      <c r="BV164" s="153" t="n"/>
      <c r="BW164" s="153" t="n"/>
      <c r="BX164" s="153" t="n"/>
      <c r="BY164" s="153" t="n"/>
      <c r="BZ164" s="153" t="n"/>
      <c r="CA164" s="153" t="n"/>
      <c r="CB164" s="153" t="n"/>
      <c r="CC164" s="153" t="n"/>
      <c r="CD164" s="153" t="n"/>
    </row>
    <row r="165" ht="15" customHeight="1" s="251">
      <c r="B165" s="25" t="inlineStr">
        <is>
          <t xml:space="preserve">  (+) Depreciation &amp; amortization</t>
        </is>
      </c>
      <c r="C165" s="211">
        <f>C89</f>
        <v>78</v>
      </c>
      <c r="D165" s="211">
        <f>D89</f>
        <v>139</v>
      </c>
      <c r="E165" s="211">
        <f>E89</f>
        <v>323</v>
      </c>
      <c r="F165" s="211">
        <f>F89</f>
        <v>649</v>
      </c>
      <c r="G165" s="211">
        <f>G89</f>
        <v>241</v>
      </c>
      <c r="H165" s="211">
        <f>H89</f>
        <v>230</v>
      </c>
      <c r="I165" s="211">
        <f>I89</f>
        <v>274</v>
      </c>
      <c r="J165" s="211">
        <f>J89</f>
        <v>274</v>
      </c>
      <c r="K165" s="211">
        <f>K89</f>
        <v>1011</v>
      </c>
      <c r="L165" s="211">
        <f>L89</f>
        <v>264</v>
      </c>
      <c r="M165" s="211">
        <f>M89</f>
        <v>257</v>
      </c>
      <c r="N165" s="211">
        <f>N89</f>
        <v>289</v>
      </c>
      <c r="O165" s="211">
        <f>O89</f>
        <v>433</v>
      </c>
      <c r="P165" s="211">
        <f>P89</f>
        <v>1243</v>
      </c>
      <c r="Q165" s="211">
        <f>Q89</f>
        <v>457</v>
      </c>
      <c r="R165" s="211">
        <f>R89</f>
        <v>459</v>
      </c>
      <c r="S165" s="211">
        <f>S89</f>
        <v>486</v>
      </c>
      <c r="T165" s="211">
        <f>T89</f>
        <v>543</v>
      </c>
      <c r="U165" s="211">
        <f>U89</f>
        <v>1945</v>
      </c>
      <c r="V165" s="211">
        <f>V89</f>
        <v>552</v>
      </c>
      <c r="W165" s="211">
        <f>W89</f>
        <v>585</v>
      </c>
      <c r="X165" s="211">
        <f>X89</f>
        <v>591</v>
      </c>
      <c r="Y165" s="211">
        <f>Y89</f>
        <v>614</v>
      </c>
      <c r="Z165" s="211">
        <f>Z89</f>
        <v>2342</v>
      </c>
      <c r="AA165" s="211">
        <f>AA89</f>
        <v>671</v>
      </c>
      <c r="AB165" s="211">
        <f>AB89</f>
        <v>728</v>
      </c>
      <c r="AC165" s="211">
        <f>AC89</f>
        <v>773</v>
      </c>
      <c r="AD165" s="211">
        <f>AD89</f>
        <v>853</v>
      </c>
      <c r="AE165" s="211">
        <f>AE89</f>
        <v>3025</v>
      </c>
      <c r="AF165" s="211">
        <f>AF89</f>
        <v>949</v>
      </c>
      <c r="AG165" s="211">
        <f>AG89</f>
        <v>1034</v>
      </c>
      <c r="AH165" s="211">
        <f>AH89</f>
        <v>1107</v>
      </c>
      <c r="AI165" s="211">
        <f>AI89</f>
        <v>1225</v>
      </c>
      <c r="AJ165" s="211">
        <f>AJ89</f>
        <v>4315</v>
      </c>
      <c r="AK165" s="211">
        <f>AK89</f>
        <v>1355</v>
      </c>
      <c r="AL165" s="211">
        <f>AL89</f>
        <v>1502</v>
      </c>
      <c r="AM165" s="211">
        <f>AM89</f>
        <v>1416</v>
      </c>
      <c r="AN165" s="211">
        <f>AN89</f>
        <v>1468</v>
      </c>
      <c r="AO165" s="211">
        <f>AO89</f>
        <v>5741</v>
      </c>
      <c r="AP165" s="211">
        <f>AP89</f>
        <v>1597</v>
      </c>
      <c r="AQ165" s="211">
        <f>AQ89</f>
        <v>1704</v>
      </c>
      <c r="AR165" s="211">
        <f>AR89</f>
        <v>1698</v>
      </c>
      <c r="AS165" s="211">
        <f>AS89</f>
        <v>1863</v>
      </c>
      <c r="AT165" s="211">
        <f>AT89</f>
        <v>6862</v>
      </c>
      <c r="AU165" s="211">
        <f>AU89</f>
        <v>1972</v>
      </c>
      <c r="AV165" s="211">
        <f>AV89</f>
        <v>1985</v>
      </c>
      <c r="AW165" s="211">
        <f>AW89</f>
        <v>1995</v>
      </c>
      <c r="AX165" s="211">
        <f>AX89</f>
        <v>2014</v>
      </c>
      <c r="AY165" s="211">
        <f>AY89</f>
        <v>7967</v>
      </c>
      <c r="AZ165" s="211">
        <f>AZ89</f>
        <v>2156</v>
      </c>
      <c r="BA165" s="211">
        <f>BA89</f>
        <v>1979</v>
      </c>
      <c r="BB165" s="211">
        <f>BB89</f>
        <v>2175</v>
      </c>
      <c r="BC165" s="211">
        <f>BC89</f>
        <v>2376</v>
      </c>
      <c r="BD165" s="211">
        <f>BD89</f>
        <v>8686</v>
      </c>
      <c r="BE165" s="211">
        <f>BE89</f>
        <v>2524</v>
      </c>
      <c r="BF165" s="211">
        <f>BF89</f>
        <v>2623</v>
      </c>
      <c r="BG165" s="211">
        <f>BG89</f>
        <v>2858</v>
      </c>
      <c r="BH165" s="211">
        <f>BH89</f>
        <v>3172</v>
      </c>
      <c r="BI165" s="211">
        <f>BI89</f>
        <v>11178</v>
      </c>
      <c r="BJ165" s="211">
        <f>BJ89</f>
        <v>3374</v>
      </c>
      <c r="BK165" s="211">
        <f>BK89</f>
        <v>3637</v>
      </c>
      <c r="BL165" s="211">
        <f>BL89</f>
        <v>4027</v>
      </c>
      <c r="BM165" s="211">
        <f>BM89</f>
        <v>4460</v>
      </c>
      <c r="BN165" s="211">
        <f>BN89</f>
        <v>15498</v>
      </c>
      <c r="BO165" s="211">
        <f>BO89</f>
        <v>3900</v>
      </c>
      <c r="BP165" s="211">
        <f>BP89</f>
        <v>4342</v>
      </c>
      <c r="BQ165" s="211">
        <f>BQ89</f>
        <v>4963</v>
      </c>
      <c r="BR165" s="211">
        <f>BR89</f>
        <v>5411</v>
      </c>
      <c r="BS165" s="211">
        <f>BS89</f>
        <v>18616</v>
      </c>
      <c r="BT165" s="211">
        <f>BT89</f>
        <v>5999</v>
      </c>
      <c r="BU165" s="211">
        <f>BU89</f>
        <v>6356</v>
      </c>
      <c r="BV165" s="263">
        <f>BV89</f>
        <v>6800.92</v>
      </c>
      <c r="BW165" s="263">
        <f>BW89</f>
        <v>7276.9844</v>
      </c>
      <c r="BX165" s="263">
        <f>BX89</f>
        <v>26432.9044</v>
      </c>
      <c r="BY165" s="263">
        <f>BY89</f>
        <v>40661.1064874044</v>
      </c>
      <c r="BZ165" s="263">
        <f>BZ89</f>
        <v>51572.4984178311</v>
      </c>
      <c r="CA165" s="263">
        <f>CA89</f>
        <v>63168.6910177044</v>
      </c>
      <c r="CB165" s="263">
        <f>CB89</f>
        <v>70083.4636130835</v>
      </c>
      <c r="CC165" s="263">
        <f>CC89</f>
        <v>75594.8464592438</v>
      </c>
      <c r="CD165" s="19" t="n"/>
    </row>
    <row r="166" ht="15" customHeight="1" s="251">
      <c r="B166" s="55" t="inlineStr">
        <is>
          <t xml:space="preserve">  = EBITDA (model)</t>
        </is>
      </c>
      <c r="C166" s="272">
        <f>IF(AND(ISNUMBER(C163),ISNUMBER(C165)),C163+C165,"")</f>
        <v>340</v>
      </c>
      <c r="D166" s="272">
        <f>IF(AND(ISNUMBER(D163),ISNUMBER(D165)),D163+D165,"")</f>
        <v>1171</v>
      </c>
      <c r="E166" s="272">
        <f>IF(AND(ISNUMBER(E163),ISNUMBER(E165)),E163+E165,"")</f>
        <v>2079</v>
      </c>
      <c r="F166" s="272">
        <f>IF(AND(ISNUMBER(F163),ISNUMBER(F165)),F163+F165,"")</f>
        <v>1187</v>
      </c>
      <c r="G166" s="272">
        <f>IF(AND(ISNUMBER(G163),ISNUMBER(G165)),G163+G165,"")</f>
        <v>614</v>
      </c>
      <c r="H166" s="272">
        <f>IF(AND(ISNUMBER(H163),ISNUMBER(H165)),H163+H165,"")</f>
        <v>792</v>
      </c>
      <c r="I166" s="272">
        <f>IF(AND(ISNUMBER(I163),ISNUMBER(I165)),I163+I165,"")</f>
        <v>1010</v>
      </c>
      <c r="J166" s="272">
        <f>IF(AND(ISNUMBER(J163),ISNUMBER(J165)),J163+J165,"")</f>
        <v>1407</v>
      </c>
      <c r="K166" s="272">
        <f>IF(AND(ISNUMBER(K163),ISNUMBER(K165)),K163+K165,"")</f>
        <v>3815</v>
      </c>
      <c r="L166" s="272">
        <f>IF(AND(ISNUMBER(L163),ISNUMBER(L165)),L163+L165,"")</f>
        <v>1339</v>
      </c>
      <c r="M166" s="272">
        <f>IF(AND(ISNUMBER(M163),ISNUMBER(M165)),M163+M165,"")</f>
        <v>1647</v>
      </c>
      <c r="N166" s="272">
        <f>IF(AND(ISNUMBER(N163),ISNUMBER(N165)),N163+N165,"")</f>
        <v>1686</v>
      </c>
      <c r="O166" s="272">
        <f>IF(AND(ISNUMBER(O163),ISNUMBER(O165)),O163+O165,"")</f>
        <v>1566</v>
      </c>
      <c r="P166" s="272">
        <f>IF(AND(ISNUMBER(P163),ISNUMBER(P165)),P163+P165,"")</f>
        <v>6237</v>
      </c>
      <c r="Q166" s="272">
        <f>IF(AND(ISNUMBER(Q163),ISNUMBER(Q165)),Q163+Q165,"")</f>
        <v>1390</v>
      </c>
      <c r="R166" s="272">
        <f>IF(AND(ISNUMBER(R163),ISNUMBER(R165)),R163+R165,"")</f>
        <v>1732</v>
      </c>
      <c r="S166" s="272">
        <f>IF(AND(ISNUMBER(S163),ISNUMBER(S165)),S163+S165,"")</f>
        <v>1945</v>
      </c>
      <c r="T166" s="272">
        <f>IF(AND(ISNUMBER(T163),ISNUMBER(T165)),T163+T165,"")</f>
        <v>3103</v>
      </c>
      <c r="U166" s="272">
        <f>IF(AND(ISNUMBER(U163),ISNUMBER(U165)),U163+U165,"")</f>
        <v>8170</v>
      </c>
      <c r="V166" s="272">
        <f>IF(AND(ISNUMBER(V163),ISNUMBER(V165)),V163+V165,"")</f>
        <v>2561</v>
      </c>
      <c r="W166" s="272">
        <f>IF(AND(ISNUMBER(W163),ISNUMBER(W165)),W163+W165,"")</f>
        <v>3331</v>
      </c>
      <c r="X166" s="272">
        <f>IF(AND(ISNUMBER(X163),ISNUMBER(X165)),X163+X165,"")</f>
        <v>3713</v>
      </c>
      <c r="Y166" s="272">
        <f>IF(AND(ISNUMBER(Y163),ISNUMBER(Y165)),Y163+Y165,"")</f>
        <v>5180</v>
      </c>
      <c r="Z166" s="272">
        <f>IF(AND(ISNUMBER(Z163),ISNUMBER(Z165)),Z163+Z165,"")</f>
        <v>14769</v>
      </c>
      <c r="AA166" s="272">
        <f>IF(AND(ISNUMBER(AA163),ISNUMBER(AA165)),AA163+AA165,"")</f>
        <v>3998</v>
      </c>
      <c r="AB166" s="272">
        <f>IF(AND(ISNUMBER(AB163),ISNUMBER(AB165)),AB163+AB165,"")</f>
        <v>5129</v>
      </c>
      <c r="AC166" s="272">
        <f>IF(AND(ISNUMBER(AC163),ISNUMBER(AC165)),AC163+AC165,"")</f>
        <v>5895</v>
      </c>
      <c r="AD166" s="272">
        <f>IF(AND(ISNUMBER(AD163),ISNUMBER(AD165)),AD163+AD165,"")</f>
        <v>8205</v>
      </c>
      <c r="AE166" s="272">
        <f>IF(AND(ISNUMBER(AE163),ISNUMBER(AE165)),AE163+AE165,"")</f>
        <v>23228</v>
      </c>
      <c r="AF166" s="272">
        <f>IF(AND(ISNUMBER(AF163),ISNUMBER(AF165)),AF163+AF165,"")</f>
        <v>6398</v>
      </c>
      <c r="AG166" s="272">
        <f>IF(AND(ISNUMBER(AG163),ISNUMBER(AG165)),AG163+AG165,"")</f>
        <v>6897</v>
      </c>
      <c r="AH166" s="272">
        <f>IF(AND(ISNUMBER(AH163),ISNUMBER(AH165)),AH163+AH165,"")</f>
        <v>6888</v>
      </c>
      <c r="AI166" s="272">
        <f>IF(AND(ISNUMBER(AI163),ISNUMBER(AI165)),AI163+AI165,"")</f>
        <v>9045</v>
      </c>
      <c r="AJ166" s="272">
        <f>IF(AND(ISNUMBER(AJ163),ISNUMBER(AJ165)),AJ163+AJ165,"")</f>
        <v>29228</v>
      </c>
      <c r="AK166" s="272">
        <f>IF(AND(ISNUMBER(AK163),ISNUMBER(AK165)),AK163+AK165,"")</f>
        <v>4672</v>
      </c>
      <c r="AL166" s="272">
        <f>IF(AND(ISNUMBER(AL163),ISNUMBER(AL165)),AL163+AL165,"")</f>
        <v>6128</v>
      </c>
      <c r="AM166" s="272">
        <f>IF(AND(ISNUMBER(AM163),ISNUMBER(AM165)),AM163+AM165,"")</f>
        <v>8601</v>
      </c>
      <c r="AN166" s="272">
        <f>IF(AND(ISNUMBER(AN163),ISNUMBER(AN165)),AN163+AN165,"")</f>
        <v>10326</v>
      </c>
      <c r="AO166" s="272">
        <f>IF(AND(ISNUMBER(AO163),ISNUMBER(AO165)),AO163+AO165,"")</f>
        <v>29727</v>
      </c>
      <c r="AP166" s="272">
        <f>IF(AND(ISNUMBER(AP163),ISNUMBER(AP165)),AP163+AP165,"")</f>
        <v>7490</v>
      </c>
      <c r="AQ166" s="272">
        <f>IF(AND(ISNUMBER(AQ163),ISNUMBER(AQ165)),AQ163+AQ165,"")</f>
        <v>7667</v>
      </c>
      <c r="AR166" s="272">
        <f>IF(AND(ISNUMBER(AR163),ISNUMBER(AR165)),AR163+AR165,"")</f>
        <v>9738</v>
      </c>
      <c r="AS166" s="272">
        <f>IF(AND(ISNUMBER(AS163),ISNUMBER(AS165)),AS163+AS165,"")</f>
        <v>14638</v>
      </c>
      <c r="AT166" s="272">
        <f>IF(AND(ISNUMBER(AT163),ISNUMBER(AT165)),AT163+AT165,"")</f>
        <v>39533</v>
      </c>
      <c r="AU166" s="272">
        <f>IF(AND(ISNUMBER(AU163),ISNUMBER(AU165)),AU163+AU165,"")</f>
        <v>13350</v>
      </c>
      <c r="AV166" s="272">
        <f>IF(AND(ISNUMBER(AV163),ISNUMBER(AV165)),AV163+AV165,"")</f>
        <v>14352</v>
      </c>
      <c r="AW166" s="272">
        <f>IF(AND(ISNUMBER(AW163),ISNUMBER(AW165)),AW163+AW165,"")</f>
        <v>12418</v>
      </c>
      <c r="AX166" s="272">
        <f>IF(AND(ISNUMBER(AX163),ISNUMBER(AX165)),AX163+AX165,"")</f>
        <v>14599</v>
      </c>
      <c r="AY166" s="272">
        <f>IF(AND(ISNUMBER(AY163),ISNUMBER(AY165)),AY163+AY165,"")</f>
        <v>54720</v>
      </c>
      <c r="AZ166" s="272">
        <f>IF(AND(ISNUMBER(AZ163),ISNUMBER(AZ165)),AZ163+AZ165,"")</f>
        <v>10680</v>
      </c>
      <c r="BA166" s="272">
        <f>IF(AND(ISNUMBER(BA163),ISNUMBER(BA165)),BA163+BA165,"")</f>
        <v>10337</v>
      </c>
      <c r="BB166" s="272">
        <f>IF(AND(ISNUMBER(BB163),ISNUMBER(BB165)),BB163+BB165,"")</f>
        <v>7839</v>
      </c>
      <c r="BC166" s="272">
        <f>IF(AND(ISNUMBER(BC163),ISNUMBER(BC165)),BC163+BC165,"")</f>
        <v>8775</v>
      </c>
      <c r="BD166" s="272">
        <f>IF(AND(ISNUMBER(BD163),ISNUMBER(BD165)),BD163+BD165,"")</f>
        <v>37630</v>
      </c>
      <c r="BE166" s="272">
        <f>IF(AND(ISNUMBER(BE163),ISNUMBER(BE165)),BE163+BE165,"")</f>
        <v>9751</v>
      </c>
      <c r="BF166" s="272">
        <f>IF(AND(ISNUMBER(BF163),ISNUMBER(BF165)),BF163+BF165,"")</f>
        <v>12015</v>
      </c>
      <c r="BG166" s="272">
        <f>IF(AND(ISNUMBER(BG163),ISNUMBER(BG165)),BG163+BG165,"")</f>
        <v>16606</v>
      </c>
      <c r="BH166" s="272">
        <f>IF(AND(ISNUMBER(BH163),ISNUMBER(BH165)),BH163+BH165,"")</f>
        <v>19556</v>
      </c>
      <c r="BI166" s="272">
        <f>IF(AND(ISNUMBER(BI163),ISNUMBER(BI165)),BI163+BI165,"")</f>
        <v>57929</v>
      </c>
      <c r="BJ166" s="272">
        <f>IF(AND(ISNUMBER(BJ163),ISNUMBER(BJ165)),BJ163+BJ165,"")</f>
        <v>17192</v>
      </c>
      <c r="BK166" s="272">
        <f>IF(AND(ISNUMBER(BK163),ISNUMBER(BK165)),BK163+BK165,"")</f>
        <v>18484</v>
      </c>
      <c r="BL166" s="272">
        <f>IF(AND(ISNUMBER(BL163),ISNUMBER(BL165)),BL163+BL165,"")</f>
        <v>21377</v>
      </c>
      <c r="BM166" s="272">
        <f>IF(AND(ISNUMBER(BM163),ISNUMBER(BM165)),BM163+BM165,"")</f>
        <v>27825</v>
      </c>
      <c r="BN166" s="272">
        <f>IF(AND(ISNUMBER(BN163),ISNUMBER(BN165)),BN163+BN165,"")</f>
        <v>84878</v>
      </c>
      <c r="BO166" s="272">
        <f>IF(AND(ISNUMBER(BO163),ISNUMBER(BO165)),BO163+BO165,"")</f>
        <v>21455</v>
      </c>
      <c r="BP166" s="272">
        <f>IF(AND(ISNUMBER(BP163),ISNUMBER(BP165)),BP163+BP165,"")</f>
        <v>24783</v>
      </c>
      <c r="BQ166" s="272">
        <f>IF(AND(ISNUMBER(BQ163),ISNUMBER(BQ165)),BQ163+BQ165,"")</f>
        <v>25498</v>
      </c>
      <c r="BR166" s="272">
        <f>IF(AND(ISNUMBER(BR163),ISNUMBER(BR165)),BR163+BR165,"")</f>
        <v>30156</v>
      </c>
      <c r="BS166" s="272">
        <f>IF(AND(ISNUMBER(BS163),ISNUMBER(BS165)),BS163+BS165,"")</f>
        <v>101892</v>
      </c>
      <c r="BT166" s="272">
        <f>IF(AND(ISNUMBER(BT163),ISNUMBER(BT165)),BT163+BT165,"")</f>
        <v>28871</v>
      </c>
      <c r="BU166" s="272">
        <f>IF(AND(ISNUMBER(BU163),ISNUMBER(BU165)),BU163+BU165,"")</f>
        <v>25131</v>
      </c>
      <c r="BV166" s="272">
        <f>IF(AND(ISNUMBER(BV163),ISNUMBER(BV165)),BV163+BV165,"")</f>
        <v>26619.7986728419</v>
      </c>
      <c r="BW166" s="272">
        <f>IF(AND(ISNUMBER(BW163),ISNUMBER(BW165)),BW163+BW165,"")</f>
        <v>31411.5172583237</v>
      </c>
      <c r="BX166" s="272">
        <f>IF(AND(ISNUMBER(BX163),ISNUMBER(BX165)),BX163+BX165,"")</f>
        <v>112033.315931166</v>
      </c>
      <c r="BY166" s="272">
        <f>IF(AND(ISNUMBER(BY163),ISNUMBER(BY165)),BY163+BY165,"")</f>
        <v>142894.568633087</v>
      </c>
      <c r="BZ166" s="272">
        <f>IF(AND(ISNUMBER(BZ163),ISNUMBER(BZ165)),BZ163+BZ165,"")</f>
        <v>170687.57701397</v>
      </c>
      <c r="CA166" s="272">
        <f>IF(AND(ISNUMBER(CA163),ISNUMBER(CA165)),CA163+CA165,"")</f>
        <v>197933.715804987</v>
      </c>
      <c r="CB166" s="272">
        <f>IF(AND(ISNUMBER(CB163),ISNUMBER(CB165)),CB163+CB165,"")</f>
        <v>225097.969760757</v>
      </c>
      <c r="CC166" s="272">
        <f>IF(AND(ISNUMBER(CC163),ISNUMBER(CC165)),CC163+CC165,"")</f>
        <v>250875.914923574</v>
      </c>
      <c r="CD166" s="153" t="n"/>
      <c r="CF166" s="20">
        <f>IFERROR((CC166/BX166)^(1/5)-1,"n/m")</f>
        <v>0.174958035701135</v>
      </c>
      <c r="CG166" s="20">
        <f>IFERROR((BS166/AT166)^(1/5)-1,"n/m")</f>
        <v>0.208470526697989</v>
      </c>
      <c r="CH166" s="20">
        <f>IFERROR((BS166/U166)^(1/10)-1,"n/m")</f>
        <v>0.287039284188753</v>
      </c>
      <c r="CI166" s="20">
        <f>IFERROR((BS166/C166)^(1/16)-1,"n/m")</f>
        <v>0.4282075452051</v>
      </c>
    </row>
    <row r="167" ht="15" customHeight="1" s="251">
      <c r="B167" s="25" t="inlineStr">
        <is>
          <t xml:space="preserve">  (+) Company-quantified one-offs (legal accruals and settlements; restructuring and severance)</t>
        </is>
      </c>
      <c r="C167" s="211">
        <f>N(C146)+N(C147)</f>
        <v>0</v>
      </c>
      <c r="D167" s="211">
        <f>N(D146)+N(D147)</f>
        <v>0</v>
      </c>
      <c r="E167" s="211">
        <f>N(E146)+N(E147)</f>
        <v>0</v>
      </c>
      <c r="F167" s="211">
        <f>N(F146)+N(F147)</f>
        <v>0</v>
      </c>
      <c r="G167" s="211">
        <f>N(G146)+N(G147)</f>
        <v>0</v>
      </c>
      <c r="H167" s="211">
        <f>N(H146)+N(H147)</f>
        <v>0</v>
      </c>
      <c r="I167" s="211">
        <f>N(I146)+N(I147)</f>
        <v>0</v>
      </c>
      <c r="J167" s="211">
        <f>N(J146)+N(J147)</f>
        <v>0</v>
      </c>
      <c r="K167" s="211">
        <f>N(K146)+N(K147)</f>
        <v>0</v>
      </c>
      <c r="L167" s="211">
        <f>N(L146)+N(L147)</f>
        <v>0</v>
      </c>
      <c r="M167" s="211">
        <f>N(M146)+N(M147)</f>
        <v>0</v>
      </c>
      <c r="N167" s="211">
        <f>N(N146)+N(N147)</f>
        <v>0</v>
      </c>
      <c r="O167" s="211">
        <f>N(O146)+N(O147)</f>
        <v>0</v>
      </c>
      <c r="P167" s="211">
        <f>N(P146)+N(P147)</f>
        <v>0</v>
      </c>
      <c r="Q167" s="211">
        <f>N(Q146)+N(Q147)</f>
        <v>0</v>
      </c>
      <c r="R167" s="211">
        <f>N(R146)+N(R147)</f>
        <v>0</v>
      </c>
      <c r="S167" s="211">
        <f>N(S146)+N(S147)</f>
        <v>0</v>
      </c>
      <c r="T167" s="211">
        <f>N(T146)+N(T147)</f>
        <v>0</v>
      </c>
      <c r="U167" s="211">
        <f>N(U146)+N(U147)</f>
        <v>0</v>
      </c>
      <c r="V167" s="211">
        <f>N(V146)+N(V147)</f>
        <v>0</v>
      </c>
      <c r="W167" s="211">
        <f>N(W146)+N(W147)</f>
        <v>0</v>
      </c>
      <c r="X167" s="211">
        <f>N(X146)+N(X147)</f>
        <v>0</v>
      </c>
      <c r="Y167" s="211">
        <f>N(Y146)+N(Y147)</f>
        <v>0</v>
      </c>
      <c r="Z167" s="211">
        <f>N(Z146)+N(Z147)</f>
        <v>0</v>
      </c>
      <c r="AA167" s="211">
        <f>N(AA146)+N(AA147)</f>
        <v>0</v>
      </c>
      <c r="AB167" s="211">
        <f>N(AB146)+N(AB147)</f>
        <v>0</v>
      </c>
      <c r="AC167" s="211">
        <f>N(AC146)+N(AC147)</f>
        <v>0</v>
      </c>
      <c r="AD167" s="211">
        <f>N(AD146)+N(AD147)</f>
        <v>0</v>
      </c>
      <c r="AE167" s="211">
        <f>N(AE146)+N(AE147)</f>
        <v>0</v>
      </c>
      <c r="AF167" s="211">
        <f>N(AF146)+N(AF147)</f>
        <v>0</v>
      </c>
      <c r="AG167" s="211">
        <f>N(AG146)+N(AG147)</f>
        <v>0</v>
      </c>
      <c r="AH167" s="211">
        <f>N(AH146)+N(AH147)</f>
        <v>0</v>
      </c>
      <c r="AI167" s="211">
        <f>N(AI146)+N(AI147)</f>
        <v>0</v>
      </c>
      <c r="AJ167" s="211">
        <f>N(AJ146)+N(AJ147)</f>
        <v>0</v>
      </c>
      <c r="AK167" s="211">
        <f>N(AK146)+N(AK147)</f>
        <v>3000</v>
      </c>
      <c r="AL167" s="211">
        <f>N(AL146)+N(AL147)</f>
        <v>2000</v>
      </c>
      <c r="AM167" s="211">
        <f>N(AM146)+N(AM147)</f>
        <v>0</v>
      </c>
      <c r="AN167" s="211">
        <f>N(AN146)+N(AN147)</f>
        <v>0</v>
      </c>
      <c r="AO167" s="211">
        <f>N(AO146)+N(AO147)</f>
        <v>5000</v>
      </c>
      <c r="AP167" s="211">
        <f>N(AP146)+N(AP147)</f>
        <v>0</v>
      </c>
      <c r="AQ167" s="211">
        <f>N(AQ146)+N(AQ147)</f>
        <v>0</v>
      </c>
      <c r="AR167" s="211">
        <f>N(AR146)+N(AR147)</f>
        <v>0</v>
      </c>
      <c r="AS167" s="211">
        <f>N(AS146)+N(AS147)</f>
        <v>0</v>
      </c>
      <c r="AT167" s="211">
        <f>N(AT146)+N(AT147)</f>
        <v>0</v>
      </c>
      <c r="AU167" s="211">
        <f>N(AU146)+N(AU147)</f>
        <v>0</v>
      </c>
      <c r="AV167" s="211">
        <f>N(AV146)+N(AV147)</f>
        <v>0</v>
      </c>
      <c r="AW167" s="211">
        <f>N(AW146)+N(AW147)</f>
        <v>0</v>
      </c>
      <c r="AX167" s="211">
        <f>N(AX146)+N(AX147)</f>
        <v>0</v>
      </c>
      <c r="AY167" s="211">
        <f>N(AY146)+N(AY147)</f>
        <v>0</v>
      </c>
      <c r="AZ167" s="211">
        <f>N(AZ146)+N(AZ147)</f>
        <v>0</v>
      </c>
      <c r="BA167" s="211">
        <f>N(BA146)+N(BA147)</f>
        <v>0</v>
      </c>
      <c r="BB167" s="211">
        <f>N(BB146)+N(BB147)</f>
        <v>413</v>
      </c>
      <c r="BC167" s="211">
        <f>N(BC146)+N(BC147)</f>
        <v>4198</v>
      </c>
      <c r="BD167" s="211">
        <f>N(BD146)+N(BD147)</f>
        <v>4611</v>
      </c>
      <c r="BE167" s="211">
        <f>N(BE146)+N(BE147)</f>
        <v>1144</v>
      </c>
      <c r="BF167" s="211">
        <f>N(BF146)+N(BF147)</f>
        <v>2650</v>
      </c>
      <c r="BG167" s="211">
        <f>N(BG146)+N(BG147)</f>
        <v>380</v>
      </c>
      <c r="BH167" s="211">
        <f>N(BH146)+N(BH147)</f>
        <v>1150</v>
      </c>
      <c r="BI167" s="211">
        <f>N(BI146)+N(BI147)</f>
        <v>5324</v>
      </c>
      <c r="BJ167" s="211">
        <f>N(BJ146)+N(BJ147)</f>
        <v>0</v>
      </c>
      <c r="BK167" s="211">
        <f>N(BK146)+N(BK147)</f>
        <v>0</v>
      </c>
      <c r="BL167" s="211">
        <f>N(BL146)+N(BL147)</f>
        <v>0</v>
      </c>
      <c r="BM167" s="211">
        <f>N(BM146)+N(BM147)</f>
        <v>-1550</v>
      </c>
      <c r="BN167" s="211">
        <f>N(BN146)+N(BN147)</f>
        <v>-1550</v>
      </c>
      <c r="BO167" s="211">
        <f>N(BO146)+N(BO147)</f>
        <v>0</v>
      </c>
      <c r="BP167" s="211">
        <f>N(BP146)+N(BP147)</f>
        <v>0</v>
      </c>
      <c r="BQ167" s="211">
        <f>N(BQ146)+N(BQ147)</f>
        <v>0</v>
      </c>
      <c r="BR167" s="211">
        <f>N(BR146)+N(BR147)</f>
        <v>0</v>
      </c>
      <c r="BS167" s="211">
        <f>N(BS146)+N(BS147)</f>
        <v>0</v>
      </c>
      <c r="BT167" s="211">
        <f>N(BT146)+N(BT147)</f>
        <v>0</v>
      </c>
      <c r="BU167" s="211">
        <f>N(BU146)+N(BU147)</f>
        <v>3580</v>
      </c>
      <c r="BV167" s="263">
        <f>N(BV146)+N(BV147)</f>
        <v>0</v>
      </c>
      <c r="BW167" s="263">
        <f>N(BW146)+N(BW147)</f>
        <v>0</v>
      </c>
      <c r="BX167" s="263">
        <f>N(BX146)+N(BX147)</f>
        <v>3580</v>
      </c>
      <c r="BY167" s="263">
        <f>N(BY146)+N(BY147)</f>
        <v>0</v>
      </c>
      <c r="BZ167" s="263">
        <f>N(BZ146)+N(BZ147)</f>
        <v>0</v>
      </c>
      <c r="CA167" s="263">
        <f>N(CA146)+N(CA147)</f>
        <v>0</v>
      </c>
      <c r="CB167" s="263">
        <f>N(CB146)+N(CB147)</f>
        <v>0</v>
      </c>
      <c r="CC167" s="263">
        <f>N(CC146)+N(CC147)</f>
        <v>0</v>
      </c>
      <c r="CD167" s="19" t="n"/>
    </row>
    <row r="168" ht="15" customHeight="1" s="251">
      <c r="B168" s="55" t="inlineStr">
        <is>
          <t xml:space="preserve">  = Adjusted EBITDA (model definition; share-based compensation expensed)</t>
        </is>
      </c>
      <c r="C168" s="272">
        <f>IF(ISNUMBER(C166),C166+C167,"")</f>
        <v>340</v>
      </c>
      <c r="D168" s="272">
        <f>IF(ISNUMBER(D166),D166+D167,"")</f>
        <v>1171</v>
      </c>
      <c r="E168" s="272">
        <f>IF(ISNUMBER(E166),E166+E167,"")</f>
        <v>2079</v>
      </c>
      <c r="F168" s="272">
        <f>IF(ISNUMBER(F166),F166+F167,"")</f>
        <v>1187</v>
      </c>
      <c r="G168" s="272">
        <f>IF(ISNUMBER(G166),G166+G167,"")</f>
        <v>614</v>
      </c>
      <c r="H168" s="272">
        <f>IF(ISNUMBER(H166),H166+H167,"")</f>
        <v>792</v>
      </c>
      <c r="I168" s="272">
        <f>IF(ISNUMBER(I166),I166+I167,"")</f>
        <v>1010</v>
      </c>
      <c r="J168" s="272">
        <f>IF(ISNUMBER(J166),J166+J167,"")</f>
        <v>1407</v>
      </c>
      <c r="K168" s="272">
        <f>IF(ISNUMBER(K166),K166+K167,"")</f>
        <v>3815</v>
      </c>
      <c r="L168" s="272">
        <f>IF(ISNUMBER(L166),L166+L167,"")</f>
        <v>1339</v>
      </c>
      <c r="M168" s="272">
        <f>IF(ISNUMBER(M166),M166+M167,"")</f>
        <v>1647</v>
      </c>
      <c r="N168" s="272">
        <f>IF(ISNUMBER(N166),N166+N167,"")</f>
        <v>1686</v>
      </c>
      <c r="O168" s="272">
        <f>IF(ISNUMBER(O166),O166+O167,"")</f>
        <v>1566</v>
      </c>
      <c r="P168" s="272">
        <f>IF(ISNUMBER(P166),P166+P167,"")</f>
        <v>6237</v>
      </c>
      <c r="Q168" s="272">
        <f>IF(ISNUMBER(Q166),Q166+Q167,"")</f>
        <v>1390</v>
      </c>
      <c r="R168" s="272">
        <f>IF(ISNUMBER(R166),R166+R167,"")</f>
        <v>1732</v>
      </c>
      <c r="S168" s="272">
        <f>IF(ISNUMBER(S166),S166+S167,"")</f>
        <v>1945</v>
      </c>
      <c r="T168" s="272">
        <f>IF(ISNUMBER(T166),T166+T167,"")</f>
        <v>3103</v>
      </c>
      <c r="U168" s="272">
        <f>IF(ISNUMBER(U166),U166+U167,"")</f>
        <v>8170</v>
      </c>
      <c r="V168" s="272">
        <f>IF(ISNUMBER(V166),V166+V167,"")</f>
        <v>2561</v>
      </c>
      <c r="W168" s="272">
        <f>IF(ISNUMBER(W166),W166+W167,"")</f>
        <v>3331</v>
      </c>
      <c r="X168" s="272">
        <f>IF(ISNUMBER(X166),X166+X167,"")</f>
        <v>3713</v>
      </c>
      <c r="Y168" s="272">
        <f>IF(ISNUMBER(Y166),Y166+Y167,"")</f>
        <v>5180</v>
      </c>
      <c r="Z168" s="272">
        <f>IF(ISNUMBER(Z166),Z166+Z167,"")</f>
        <v>14769</v>
      </c>
      <c r="AA168" s="272">
        <f>IF(ISNUMBER(AA166),AA166+AA167,"")</f>
        <v>3998</v>
      </c>
      <c r="AB168" s="272">
        <f>IF(ISNUMBER(AB166),AB166+AB167,"")</f>
        <v>5129</v>
      </c>
      <c r="AC168" s="272">
        <f>IF(ISNUMBER(AC166),AC166+AC167,"")</f>
        <v>5895</v>
      </c>
      <c r="AD168" s="272">
        <f>IF(ISNUMBER(AD166),AD166+AD167,"")</f>
        <v>8205</v>
      </c>
      <c r="AE168" s="272">
        <f>IF(ISNUMBER(AE166),AE166+AE167,"")</f>
        <v>23228</v>
      </c>
      <c r="AF168" s="272">
        <f>IF(ISNUMBER(AF166),AF166+AF167,"")</f>
        <v>6398</v>
      </c>
      <c r="AG168" s="272">
        <f>IF(ISNUMBER(AG166),AG166+AG167,"")</f>
        <v>6897</v>
      </c>
      <c r="AH168" s="272">
        <f>IF(ISNUMBER(AH166),AH166+AH167,"")</f>
        <v>6888</v>
      </c>
      <c r="AI168" s="272">
        <f>IF(ISNUMBER(AI166),AI166+AI167,"")</f>
        <v>9045</v>
      </c>
      <c r="AJ168" s="272">
        <f>IF(ISNUMBER(AJ166),AJ166+AJ167,"")</f>
        <v>29228</v>
      </c>
      <c r="AK168" s="272">
        <f>IF(ISNUMBER(AK166),AK166+AK167,"")</f>
        <v>7672</v>
      </c>
      <c r="AL168" s="272">
        <f>IF(ISNUMBER(AL166),AL166+AL167,"")</f>
        <v>8128</v>
      </c>
      <c r="AM168" s="272">
        <f>IF(ISNUMBER(AM166),AM166+AM167,"")</f>
        <v>8601</v>
      </c>
      <c r="AN168" s="272">
        <f>IF(ISNUMBER(AN166),AN166+AN167,"")</f>
        <v>10326</v>
      </c>
      <c r="AO168" s="272">
        <f>IF(ISNUMBER(AO166),AO166+AO167,"")</f>
        <v>34727</v>
      </c>
      <c r="AP168" s="272">
        <f>IF(ISNUMBER(AP166),AP166+AP167,"")</f>
        <v>7490</v>
      </c>
      <c r="AQ168" s="272">
        <f>IF(ISNUMBER(AQ166),AQ166+AQ167,"")</f>
        <v>7667</v>
      </c>
      <c r="AR168" s="272">
        <f>IF(ISNUMBER(AR166),AR166+AR167,"")</f>
        <v>9738</v>
      </c>
      <c r="AS168" s="272">
        <f>IF(ISNUMBER(AS166),AS166+AS167,"")</f>
        <v>14638</v>
      </c>
      <c r="AT168" s="272">
        <f>IF(ISNUMBER(AT166),AT166+AT167,"")</f>
        <v>39533</v>
      </c>
      <c r="AU168" s="272">
        <f>IF(ISNUMBER(AU166),AU166+AU167,"")</f>
        <v>13350</v>
      </c>
      <c r="AV168" s="272">
        <f>IF(ISNUMBER(AV166),AV166+AV167,"")</f>
        <v>14352</v>
      </c>
      <c r="AW168" s="272">
        <f>IF(ISNUMBER(AW166),AW166+AW167,"")</f>
        <v>12418</v>
      </c>
      <c r="AX168" s="272">
        <f>IF(ISNUMBER(AX166),AX166+AX167,"")</f>
        <v>14599</v>
      </c>
      <c r="AY168" s="272">
        <f>IF(ISNUMBER(AY166),AY166+AY167,"")</f>
        <v>54720</v>
      </c>
      <c r="AZ168" s="272">
        <f>IF(ISNUMBER(AZ166),AZ166+AZ167,"")</f>
        <v>10680</v>
      </c>
      <c r="BA168" s="272">
        <f>IF(ISNUMBER(BA166),BA166+BA167,"")</f>
        <v>10337</v>
      </c>
      <c r="BB168" s="272">
        <f>IF(ISNUMBER(BB166),BB166+BB167,"")</f>
        <v>8252</v>
      </c>
      <c r="BC168" s="272">
        <f>IF(ISNUMBER(BC166),BC166+BC167,"")</f>
        <v>12973</v>
      </c>
      <c r="BD168" s="272">
        <f>IF(ISNUMBER(BD166),BD166+BD167,"")</f>
        <v>42241</v>
      </c>
      <c r="BE168" s="272">
        <f>IF(ISNUMBER(BE166),BE166+BE167,"")</f>
        <v>10895</v>
      </c>
      <c r="BF168" s="272">
        <f>IF(ISNUMBER(BF166),BF166+BF167,"")</f>
        <v>14665</v>
      </c>
      <c r="BG168" s="272">
        <f>IF(ISNUMBER(BG166),BG166+BG167,"")</f>
        <v>16986</v>
      </c>
      <c r="BH168" s="272">
        <f>IF(ISNUMBER(BH166),BH166+BH167,"")</f>
        <v>20706</v>
      </c>
      <c r="BI168" s="272">
        <f>IF(ISNUMBER(BI166),BI166+BI167,"")</f>
        <v>63253</v>
      </c>
      <c r="BJ168" s="272">
        <f>IF(ISNUMBER(BJ166),BJ166+BJ167,"")</f>
        <v>17192</v>
      </c>
      <c r="BK168" s="272">
        <f>IF(ISNUMBER(BK166),BK166+BK167,"")</f>
        <v>18484</v>
      </c>
      <c r="BL168" s="272">
        <f>IF(ISNUMBER(BL166),BL166+BL167,"")</f>
        <v>21377</v>
      </c>
      <c r="BM168" s="272">
        <f>IF(ISNUMBER(BM166),BM166+BM167,"")</f>
        <v>26275</v>
      </c>
      <c r="BN168" s="272">
        <f>IF(ISNUMBER(BN166),BN166+BN167,"")</f>
        <v>83328</v>
      </c>
      <c r="BO168" s="272">
        <f>IF(ISNUMBER(BO166),BO166+BO167,"")</f>
        <v>21455</v>
      </c>
      <c r="BP168" s="272">
        <f>IF(ISNUMBER(BP166),BP166+BP167,"")</f>
        <v>24783</v>
      </c>
      <c r="BQ168" s="272">
        <f>IF(ISNUMBER(BQ166),BQ166+BQ167,"")</f>
        <v>25498</v>
      </c>
      <c r="BR168" s="272">
        <f>IF(ISNUMBER(BR166),BR166+BR167,"")</f>
        <v>30156</v>
      </c>
      <c r="BS168" s="272">
        <f>IF(ISNUMBER(BS166),BS166+BS167,"")</f>
        <v>101892</v>
      </c>
      <c r="BT168" s="272">
        <f>IF(ISNUMBER(BT166),BT166+BT167,"")</f>
        <v>28871</v>
      </c>
      <c r="BU168" s="272">
        <f>IF(ISNUMBER(BU166),BU166+BU167,"")</f>
        <v>28711</v>
      </c>
      <c r="BV168" s="272">
        <f>IF(ISNUMBER(BV166),BV166+BV167,"")</f>
        <v>26619.7986728419</v>
      </c>
      <c r="BW168" s="272">
        <f>IF(ISNUMBER(BW166),BW166+BW167,"")</f>
        <v>31411.5172583237</v>
      </c>
      <c r="BX168" s="272">
        <f>IF(ISNUMBER(BX166),BX166+BX167,"")</f>
        <v>115613.315931166</v>
      </c>
      <c r="BY168" s="272">
        <f>IF(ISNUMBER(BY166),BY166+BY167,"")</f>
        <v>142894.568633087</v>
      </c>
      <c r="BZ168" s="272">
        <f>IF(ISNUMBER(BZ166),BZ166+BZ167,"")</f>
        <v>170687.57701397</v>
      </c>
      <c r="CA168" s="272">
        <f>IF(ISNUMBER(CA166),CA166+CA167,"")</f>
        <v>197933.715804987</v>
      </c>
      <c r="CB168" s="272">
        <f>IF(ISNUMBER(CB166),CB166+CB167,"")</f>
        <v>225097.969760757</v>
      </c>
      <c r="CC168" s="272">
        <f>IF(ISNUMBER(CC166),CC166+CC167,"")</f>
        <v>250875.914923574</v>
      </c>
      <c r="CD168" s="153" t="inlineStr">
        <is>
          <t>Model definition (labelled; Meta publishes no EBITDA). Used for leverage (net debt / adjusted EBITDA) and EV / EBITDA.</t>
        </is>
      </c>
      <c r="CF168" s="20">
        <f>IFERROR((CC168/BX168)^(1/5)-1,"n/m")</f>
        <v>0.167589611846047</v>
      </c>
      <c r="CG168" s="20">
        <f>IFERROR((BS168/AT168)^(1/5)-1,"n/m")</f>
        <v>0.208470526697989</v>
      </c>
      <c r="CH168" s="20">
        <f>IFERROR((BS168/U168)^(1/10)-1,"n/m")</f>
        <v>0.287039284188753</v>
      </c>
      <c r="CI168" s="20">
        <f>IFERROR((BS168/C168)^(1/16)-1,"n/m")</f>
        <v>0.4282075452051</v>
      </c>
    </row>
    <row r="169" ht="15" customHeight="1" s="251">
      <c r="B169" s="25" t="inlineStr">
        <is>
          <t xml:space="preserve">  Adjusted EBITDA margin %</t>
        </is>
      </c>
      <c r="C169" s="215">
        <f>IF(AND(ISNUMBER(C168),ISNUMBER(C109)),IFERROR(C168/C109,""),"")</f>
        <v>0.437580437580438</v>
      </c>
      <c r="D169" s="215">
        <f>IF(AND(ISNUMBER(D168),ISNUMBER(D109)),IFERROR(D168/D109,""),"")</f>
        <v>0.593211752786221</v>
      </c>
      <c r="E169" s="215">
        <f>IF(AND(ISNUMBER(E168),ISNUMBER(E109)),IFERROR(E168/E109,""),"")</f>
        <v>0.560226354082458</v>
      </c>
      <c r="F169" s="215">
        <f>IF(AND(ISNUMBER(F168),ISNUMBER(F109)),IFERROR(F168/F109,""),"")</f>
        <v>0.233248182354097</v>
      </c>
      <c r="G169" s="215">
        <f>IF(AND(ISNUMBER(G168),ISNUMBER(G109)),IFERROR(G168/G109,""),"")</f>
        <v>0.421124828532236</v>
      </c>
      <c r="H169" s="215">
        <f>IF(AND(ISNUMBER(H168),ISNUMBER(H109)),IFERROR(H168/H109,""),"")</f>
        <v>0.43684500827358</v>
      </c>
      <c r="I169" s="215">
        <f>IF(AND(ISNUMBER(I168),ISNUMBER(I109)),IFERROR(I168/I109,""),"")</f>
        <v>0.500992063492064</v>
      </c>
      <c r="J169" s="215">
        <f>IF(AND(ISNUMBER(J168),ISNUMBER(J109)),IFERROR(J168/J109,""),"")</f>
        <v>0.544294003868472</v>
      </c>
      <c r="K169" s="215">
        <f>IF(AND(ISNUMBER(K168),ISNUMBER(K109)),IFERROR(K168/K109,""),"")</f>
        <v>0.48462906504065</v>
      </c>
      <c r="L169" s="215">
        <f>IF(AND(ISNUMBER(L168),ISNUMBER(L109)),IFERROR(L168/L109,""),"")</f>
        <v>0.535171862509992</v>
      </c>
      <c r="M169" s="215">
        <f>IF(AND(ISNUMBER(M168),ISNUMBER(M109)),IFERROR(M168/M109,""),"")</f>
        <v>0.565979381443299</v>
      </c>
      <c r="N169" s="215">
        <f>IF(AND(ISNUMBER(N168),ISNUMBER(N109)),IFERROR(N168/N109,""),"")</f>
        <v>0.526381517327506</v>
      </c>
      <c r="O169" s="215">
        <f>IF(AND(ISNUMBER(O168),ISNUMBER(O109)),IFERROR(O168/O109,""),"")</f>
        <v>0.406647623993768</v>
      </c>
      <c r="P169" s="215">
        <f>IF(AND(ISNUMBER(P168),ISNUMBER(P109)),IFERROR(P168/P109,""),"")</f>
        <v>0.500320872773945</v>
      </c>
      <c r="Q169" s="215">
        <f>IF(AND(ISNUMBER(Q168),ISNUMBER(Q109)),IFERROR(Q168/Q109,""),"")</f>
        <v>0.39232289020604</v>
      </c>
      <c r="R169" s="215">
        <f>IF(AND(ISNUMBER(R168),ISNUMBER(R109)),IFERROR(R168/R109,""),"")</f>
        <v>0.428500742206828</v>
      </c>
      <c r="S169" s="215">
        <f>IF(AND(ISNUMBER(S168),ISNUMBER(S109)),IFERROR(S168/S109,""),"")</f>
        <v>0.432126194179071</v>
      </c>
      <c r="T169" s="215">
        <f>IF(AND(ISNUMBER(T168),ISNUMBER(T109)),IFERROR(T168/T109,""),"")</f>
        <v>0.531244649888718</v>
      </c>
      <c r="U169" s="215">
        <f>IF(AND(ISNUMBER(U168),ISNUMBER(U109)),IFERROR(U168/U109,""),"")</f>
        <v>0.455711735832218</v>
      </c>
      <c r="V169" s="215">
        <f>IF(AND(ISNUMBER(V168),ISNUMBER(V109)),IFERROR(V168/V109,""),"")</f>
        <v>0.475845410628019</v>
      </c>
      <c r="W169" s="215">
        <f>IF(AND(ISNUMBER(W168),ISNUMBER(W109)),IFERROR(W168/W109,""),"")</f>
        <v>0.517557489123679</v>
      </c>
      <c r="X169" s="215">
        <f>IF(AND(ISNUMBER(X168),ISNUMBER(X109)),IFERROR(X168/X109,""),"")</f>
        <v>0.529596348595065</v>
      </c>
      <c r="Y169" s="215">
        <f>IF(AND(ISNUMBER(Y168),ISNUMBER(Y109)),IFERROR(Y168/Y109,""),"")</f>
        <v>0.588034964241117</v>
      </c>
      <c r="Z169" s="215">
        <f>IF(AND(ISNUMBER(Z168),ISNUMBER(Z109)),IFERROR(Z168/Z109,""),"")</f>
        <v>0.534372964758666</v>
      </c>
      <c r="AA169" s="215">
        <f>IF(AND(ISNUMBER(AA168),ISNUMBER(AA109)),IFERROR(AA168/AA109,""),"")</f>
        <v>0.497758964143426</v>
      </c>
      <c r="AB169" s="215">
        <f>IF(AND(ISNUMBER(AB168),ISNUMBER(AB109)),IFERROR(AB168/AB109,""),"")</f>
        <v>0.550262847333977</v>
      </c>
      <c r="AC169" s="215">
        <f>IF(AND(ISNUMBER(AC168),ISNUMBER(AC109)),IFERROR(AC168/AC109,""),"")</f>
        <v>0.57077846630519</v>
      </c>
      <c r="AD169" s="215">
        <f>IF(AND(ISNUMBER(AD168),ISNUMBER(AD109)),IFERROR(AD168/AD109,""),"")</f>
        <v>0.632516188714154</v>
      </c>
      <c r="AE169" s="215">
        <f>IF(AND(ISNUMBER(AE168),ISNUMBER(AE109)),IFERROR(AE168/AE109,""),"")</f>
        <v>0.571372346444297</v>
      </c>
      <c r="AF169" s="215">
        <f>IF(AND(ISNUMBER(AF168),ISNUMBER(AF109)),IFERROR(AF168/AF109,""),"")</f>
        <v>0.534681597860605</v>
      </c>
      <c r="AG169" s="215">
        <f>IF(AND(ISNUMBER(AG168),ISNUMBER(AG109)),IFERROR(AG168/AG109,""),"")</f>
        <v>0.521275791701308</v>
      </c>
      <c r="AH169" s="215">
        <f>IF(AND(ISNUMBER(AH168),ISNUMBER(AH109)),IFERROR(AH168/AH109,""),"")</f>
        <v>0.501784803671596</v>
      </c>
      <c r="AI169" s="215">
        <f>IF(AND(ISNUMBER(AI168),ISNUMBER(AI109)),IFERROR(AI168/AI109,""),"")</f>
        <v>0.534764100744945</v>
      </c>
      <c r="AJ169" s="215">
        <f>IF(AND(ISNUMBER(AJ168),ISNUMBER(AJ109)),IFERROR(AJ168/AJ109,""),"")</f>
        <v>0.523442816719797</v>
      </c>
      <c r="AK169" s="215">
        <f>IF(AND(ISNUMBER(AK168),ISNUMBER(AK109)),IFERROR(AK168/AK109,""),"")</f>
        <v>0.508854546660476</v>
      </c>
      <c r="AL169" s="215">
        <f>IF(AND(ISNUMBER(AL168),ISNUMBER(AL109)),IFERROR(AL168/AL109,""),"")</f>
        <v>0.481345493308066</v>
      </c>
      <c r="AM169" s="215">
        <f>IF(AND(ISNUMBER(AM168),ISNUMBER(AM109)),IFERROR(AM168/AM109,""),"")</f>
        <v>0.48725356900068</v>
      </c>
      <c r="AN169" s="215">
        <f>IF(AND(ISNUMBER(AN168),ISNUMBER(AN109)),IFERROR(AN168/AN109,""),"")</f>
        <v>0.489801726591405</v>
      </c>
      <c r="AO169" s="215">
        <f>IF(AND(ISNUMBER(AO168),ISNUMBER(AO109)),IFERROR(AO168/AO109,""),"")</f>
        <v>0.491208962190758</v>
      </c>
      <c r="AP169" s="215">
        <f>IF(AND(ISNUMBER(AP168),ISNUMBER(AP109)),IFERROR(AP168/AP109,""),"")</f>
        <v>0.422281107289846</v>
      </c>
      <c r="AQ169" s="215">
        <f>IF(AND(ISNUMBER(AQ168),ISNUMBER(AQ109)),IFERROR(AQ168/AQ109,""),"")</f>
        <v>0.410285225022743</v>
      </c>
      <c r="AR169" s="215">
        <f>IF(AND(ISNUMBER(AR168),ISNUMBER(AR109)),IFERROR(AR168/AR109,""),"")</f>
        <v>0.453563111318118</v>
      </c>
      <c r="AS169" s="215">
        <f>IF(AND(ISNUMBER(AS168),ISNUMBER(AS109)),IFERROR(AS168/AS109,""),"")</f>
        <v>0.521444856084355</v>
      </c>
      <c r="AT169" s="215">
        <f>IF(AND(ISNUMBER(AT168),ISNUMBER(AT109)),IFERROR(AT168/AT109,""),"")</f>
        <v>0.459873204211016</v>
      </c>
      <c r="AU169" s="215">
        <f>IF(AND(ISNUMBER(AU168),ISNUMBER(AU109)),IFERROR(AU168/AU109,""),"")</f>
        <v>0.510106606549234</v>
      </c>
      <c r="AV169" s="215">
        <f>IF(AND(ISNUMBER(AV168),ISNUMBER(AV109)),IFERROR(AV168/AV109,""),"")</f>
        <v>0.493585995804244</v>
      </c>
      <c r="AW169" s="215">
        <f>IF(AND(ISNUMBER(AW168),ISNUMBER(AW109)),IFERROR(AW168/AW109,""),"")</f>
        <v>0.428059289900034</v>
      </c>
      <c r="AX169" s="215">
        <f>IF(AND(ISNUMBER(AX168),ISNUMBER(AX109)),IFERROR(AX168/AX109,""),"")</f>
        <v>0.433577856315524</v>
      </c>
      <c r="AY169" s="215">
        <f>IF(AND(ISNUMBER(AY168),ISNUMBER(AY109)),IFERROR(AY168/AY109,""),"")</f>
        <v>0.464008004816457</v>
      </c>
      <c r="AZ169" s="215">
        <f>IF(AND(ISNUMBER(AZ168),ISNUMBER(AZ109)),IFERROR(AZ168/AZ109,""),"")</f>
        <v>0.382685968181167</v>
      </c>
      <c r="BA169" s="215">
        <f>IF(AND(ISNUMBER(BA168),ISNUMBER(BA109)),IFERROR(BA168/BA109,""),"")</f>
        <v>0.358649642634099</v>
      </c>
      <c r="BB169" s="215">
        <f>IF(AND(ISNUMBER(BB168),ISNUMBER(BB109)),IFERROR(BB168/BB109,""),"")</f>
        <v>0.297755646965433</v>
      </c>
      <c r="BC169" s="215">
        <f>IF(AND(ISNUMBER(BC168),ISNUMBER(BC109)),IFERROR(BC168/BC109,""),"")</f>
        <v>0.403326597233017</v>
      </c>
      <c r="BD169" s="215">
        <f>IF(AND(ISNUMBER(BD168),ISNUMBER(BD109)),IFERROR(BD168/BD109,""),"")</f>
        <v>0.362244766698968</v>
      </c>
      <c r="BE169" s="215">
        <f>IF(AND(ISNUMBER(BE168),ISNUMBER(BE109)),IFERROR(BE168/BE109,""),"")</f>
        <v>0.380345610054111</v>
      </c>
      <c r="BF169" s="215">
        <f>IF(AND(ISNUMBER(BF168),ISNUMBER(BF109)),IFERROR(BF168/BF109,""),"")</f>
        <v>0.458295571736617</v>
      </c>
      <c r="BG169" s="215">
        <f>IF(AND(ISNUMBER(BG168),ISNUMBER(BG109)),IFERROR(BG168/BG109,""),"")</f>
        <v>0.497452117378317</v>
      </c>
      <c r="BH169" s="215">
        <f>IF(AND(ISNUMBER(BH168),ISNUMBER(BH109)),IFERROR(BH168/BH109,""),"")</f>
        <v>0.516217496447359</v>
      </c>
      <c r="BI169" s="215">
        <f>IF(AND(ISNUMBER(BI168),ISNUMBER(BI109)),IFERROR(BI168/BI109,""),"")</f>
        <v>0.468881113697351</v>
      </c>
      <c r="BJ169" s="215">
        <f>IF(AND(ISNUMBER(BJ168),ISNUMBER(BJ109)),IFERROR(BJ168/BJ109,""),"")</f>
        <v>0.471595117267865</v>
      </c>
      <c r="BK169" s="215">
        <f>IF(AND(ISNUMBER(BK168),ISNUMBER(BK109)),IFERROR(BK168/BK109,""),"")</f>
        <v>0.473087456169538</v>
      </c>
      <c r="BL169" s="215">
        <f>IF(AND(ISNUMBER(BL168),ISNUMBER(BL109)),IFERROR(BL168/BL109,""),"")</f>
        <v>0.526669787380818</v>
      </c>
      <c r="BM169" s="215">
        <f>IF(AND(ISNUMBER(BM168),ISNUMBER(BM109)),IFERROR(BM168/BM109,""),"")</f>
        <v>0.543040198408598</v>
      </c>
      <c r="BN169" s="215">
        <f>IF(AND(ISNUMBER(BN168),ISNUMBER(BN109)),IFERROR(BN168/BN109,""),"")</f>
        <v>0.506550112157373</v>
      </c>
      <c r="BO169" s="215">
        <f>IF(AND(ISNUMBER(BO168),ISNUMBER(BO109)),IFERROR(BO168/BO109,""),"")</f>
        <v>0.507042586378031</v>
      </c>
      <c r="BP169" s="215">
        <f>IF(AND(ISNUMBER(BP168),ISNUMBER(BP109)),IFERROR(BP168/BP109,""),"")</f>
        <v>0.521571681117939</v>
      </c>
      <c r="BQ169" s="215">
        <f>IF(AND(ISNUMBER(BQ168),ISNUMBER(BQ109)),IFERROR(BQ168/BQ109,""),"")</f>
        <v>0.497599625307365</v>
      </c>
      <c r="BR169" s="215">
        <f>IF(AND(ISNUMBER(BR168),ISNUMBER(BR109)),IFERROR(BR168/BR109,""),"")</f>
        <v>0.50349790459653</v>
      </c>
      <c r="BS169" s="215">
        <f>IF(AND(ISNUMBER(BS168),ISNUMBER(BS109)),IFERROR(BS168/BS109,""),"")</f>
        <v>0.507011136212096</v>
      </c>
      <c r="BT169" s="215">
        <f>IF(AND(ISNUMBER(BT168),ISNUMBER(BT109)),IFERROR(BT168/BT109,""),"")</f>
        <v>0.512706220809433</v>
      </c>
      <c r="BU169" s="215">
        <f>IF(AND(ISNUMBER(BU168),ISNUMBER(BU109)),IFERROR(BU168/BU109,""),"")</f>
        <v>0.472212628081775</v>
      </c>
      <c r="BV169" s="256">
        <f>IF(AND(ISNUMBER(BV168),ISNUMBER(BV109)),IFERROR(BV168/BV109,""),"")</f>
        <v>0.42591677876547</v>
      </c>
      <c r="BW169" s="256">
        <f>IF(AND(ISNUMBER(BW168),ISNUMBER(BW109)),IFERROR(BW168/BW109,""),"")</f>
        <v>0.430363075443986</v>
      </c>
      <c r="BX169" s="256">
        <f>IF(AND(ISNUMBER(BX168),ISNUMBER(BX109)),IFERROR(BX168/BX109,""),"")</f>
        <v>0.457692508220246</v>
      </c>
      <c r="BY169" s="256">
        <f>IF(AND(ISNUMBER(BY168),ISNUMBER(BY109)),IFERROR(BY168/BY109,""),"")</f>
        <v>0.475</v>
      </c>
      <c r="BZ169" s="256">
        <f>IF(AND(ISNUMBER(BZ168),ISNUMBER(BZ109)),IFERROR(BZ168/BZ109,""),"")</f>
        <v>0.49</v>
      </c>
      <c r="CA169" s="256">
        <f>IF(AND(ISNUMBER(CA168),ISNUMBER(CA109)),IFERROR(CA168/CA109,""),"")</f>
        <v>0.5</v>
      </c>
      <c r="CB169" s="256">
        <f>IF(AND(ISNUMBER(CB168),ISNUMBER(CB109)),IFERROR(CB168/CB109,""),"")</f>
        <v>0.51</v>
      </c>
      <c r="CC169" s="256">
        <f>IF(AND(ISNUMBER(CC168),ISNUMBER(CC109)),IFERROR(CC168/CC109,""),"")</f>
        <v>0.515</v>
      </c>
      <c r="CD169" s="153" t="n"/>
      <c r="CF169" s="37">
        <f>IFERROR(AVERAGE(BY169,BZ169,CA169,CB169,CC169),"n/m")</f>
        <v>0.498</v>
      </c>
      <c r="CG169" s="37">
        <f>IFERROR(AVERAGE(AY169,BD169,BI169,BN169,BS169),"n/m")</f>
        <v>0.461739026716449</v>
      </c>
      <c r="CH169" s="37">
        <f>IFERROR(AVERAGE(Z169,AE169,AJ169,AO169,AT169,AY169,BD169,BI169,BN169,BS169),"n/m")</f>
        <v>0.488896542790678</v>
      </c>
      <c r="CI169" s="37">
        <f>IFERROR(AVERAGE(C169,D169,E169,F169,K169,P169,U169,Z169,AE169,AJ169,AO169,AT169,AY169,BD169,BI169,BN169,BS169),"n/m")</f>
        <v>0.479640813432753</v>
      </c>
    </row>
    <row r="170" ht="15" customHeight="1" s="251">
      <c r="B170" s="156" t="inlineStr">
        <is>
          <t xml:space="preserve">  Memo: adjusted EBITDA excluding share-based compensation (peer comparison only)</t>
        </is>
      </c>
      <c r="C170" s="211">
        <f>IF(ISNUMBER(C168),C168+C91,"")</f>
        <v>367</v>
      </c>
      <c r="D170" s="211">
        <f>IF(ISNUMBER(D168),D168+D91,"")</f>
        <v>1191</v>
      </c>
      <c r="E170" s="211">
        <f>IF(ISNUMBER(E168),E168+E91,"")</f>
        <v>2296</v>
      </c>
      <c r="F170" s="211">
        <f>IF(ISNUMBER(F168),F168+F91,"")</f>
        <v>2759</v>
      </c>
      <c r="G170" s="211">
        <f>IF(ISNUMBER(G168),G168+G91,"")</f>
        <v>784</v>
      </c>
      <c r="H170" s="211">
        <f>IF(ISNUMBER(H168),H168+H91,"")</f>
        <v>1016</v>
      </c>
      <c r="I170" s="211">
        <f>IF(ISNUMBER(I168),I168+I91,"")</f>
        <v>1249</v>
      </c>
      <c r="J170" s="211">
        <f>IF(ISNUMBER(J168),J168+J91,"")</f>
        <v>1680</v>
      </c>
      <c r="K170" s="211">
        <f>IF(ISNUMBER(K168),K168+K91,"")</f>
        <v>4721</v>
      </c>
      <c r="L170" s="211">
        <f>IF(ISNUMBER(L168),L168+L91,"")</f>
        <v>1613</v>
      </c>
      <c r="M170" s="211">
        <f>IF(ISNUMBER(M168),M168+M91,"")</f>
        <v>1961</v>
      </c>
      <c r="N170" s="211">
        <f>IF(ISNUMBER(N168),N168+N91,"")</f>
        <v>2039</v>
      </c>
      <c r="O170" s="211">
        <f>IF(ISNUMBER(O168),O168+O91,"")</f>
        <v>2411</v>
      </c>
      <c r="P170" s="211">
        <f>IF(ISNUMBER(P168),P168+P91,"")</f>
        <v>8023</v>
      </c>
      <c r="Q170" s="211">
        <f>IF(ISNUMBER(Q168),Q168+Q91,"")</f>
        <v>2084</v>
      </c>
      <c r="R170" s="211">
        <f>IF(ISNUMBER(R168),R168+R91,"")</f>
        <v>2495</v>
      </c>
      <c r="S170" s="211">
        <f>IF(ISNUMBER(S168),S168+S91,"")</f>
        <v>2702</v>
      </c>
      <c r="T170" s="211">
        <f>IF(ISNUMBER(T168),T168+T91,"")</f>
        <v>3849</v>
      </c>
      <c r="U170" s="211">
        <f>IF(ISNUMBER(U168),U168+U91,"")</f>
        <v>11130</v>
      </c>
      <c r="V170" s="211">
        <f>IF(ISNUMBER(V168),V168+V91,"")</f>
        <v>3308</v>
      </c>
      <c r="W170" s="211">
        <f>IF(ISNUMBER(W168),W168+W91,"")</f>
        <v>4136</v>
      </c>
      <c r="X170" s="211">
        <f>IF(ISNUMBER(X168),X168+X91,"")</f>
        <v>4532</v>
      </c>
      <c r="Y170" s="211">
        <f>IF(ISNUMBER(Y168),Y168+Y91,"")</f>
        <v>6011</v>
      </c>
      <c r="Z170" s="211">
        <f>IF(ISNUMBER(Z168),Z168+Z91,"")</f>
        <v>17987</v>
      </c>
      <c r="AA170" s="211">
        <f>IF(ISNUMBER(AA168),AA168+AA91,"")</f>
        <v>4865</v>
      </c>
      <c r="AB170" s="211">
        <f>IF(ISNUMBER(AB168),AB168+AB91,"")</f>
        <v>6161</v>
      </c>
      <c r="AC170" s="211">
        <f>IF(ISNUMBER(AC168),AC168+AC91,"")</f>
        <v>6905</v>
      </c>
      <c r="AD170" s="211">
        <f>IF(ISNUMBER(AD168),AD168+AD91,"")</f>
        <v>9019</v>
      </c>
      <c r="AE170" s="211">
        <f>IF(ISNUMBER(AE168),AE168+AE91,"")</f>
        <v>26951</v>
      </c>
      <c r="AF170" s="211">
        <f>IF(ISNUMBER(AF168),AF168+AF91,"")</f>
        <v>7353</v>
      </c>
      <c r="AG170" s="211">
        <f>IF(ISNUMBER(AG168),AG168+AG91,"")</f>
        <v>8083</v>
      </c>
      <c r="AH170" s="211">
        <f>IF(ISNUMBER(AH168),AH168+AH91,"")</f>
        <v>7928</v>
      </c>
      <c r="AI170" s="211">
        <f>IF(ISNUMBER(AI168),AI168+AI91,"")</f>
        <v>10016</v>
      </c>
      <c r="AJ170" s="211">
        <f>IF(ISNUMBER(AJ168),AJ168+AJ91,"")</f>
        <v>33380</v>
      </c>
      <c r="AK170" s="211">
        <f>IF(ISNUMBER(AK168),AK168+AK91,"")</f>
        <v>8682</v>
      </c>
      <c r="AL170" s="211">
        <f>IF(ISNUMBER(AL168),AL168+AL91,"")</f>
        <v>9431</v>
      </c>
      <c r="AM170" s="211">
        <f>IF(ISNUMBER(AM168),AM168+AM91,"")</f>
        <v>9850</v>
      </c>
      <c r="AN170" s="211">
        <f>IF(ISNUMBER(AN168),AN168+AN91,"")</f>
        <v>11599</v>
      </c>
      <c r="AO170" s="211">
        <f>IF(ISNUMBER(AO168),AO168+AO91,"")</f>
        <v>39563</v>
      </c>
      <c r="AP170" s="211">
        <f>IF(ISNUMBER(AP168),AP168+AP91,"")</f>
        <v>8825</v>
      </c>
      <c r="AQ170" s="211">
        <f>IF(ISNUMBER(AQ168),AQ168+AQ91,"")</f>
        <v>9362</v>
      </c>
      <c r="AR170" s="211">
        <f>IF(ISNUMBER(AR168),AR168+AR91,"")</f>
        <v>11460</v>
      </c>
      <c r="AS170" s="211">
        <f>IF(ISNUMBER(AS168),AS168+AS91,"")</f>
        <v>16422</v>
      </c>
      <c r="AT170" s="211">
        <f>IF(ISNUMBER(AT168),AT168+AT91,"")</f>
        <v>46069</v>
      </c>
      <c r="AU170" s="211">
        <f>IF(ISNUMBER(AU168),AU168+AU91,"")</f>
        <v>15180</v>
      </c>
      <c r="AV170" s="211">
        <f>IF(ISNUMBER(AV168),AV168+AV91,"")</f>
        <v>16900</v>
      </c>
      <c r="AW170" s="211">
        <f>IF(ISNUMBER(AW168),AW168+AW91,"")</f>
        <v>14797</v>
      </c>
      <c r="AX170" s="211">
        <f>IF(ISNUMBER(AX168),AX168+AX91,"")</f>
        <v>17005</v>
      </c>
      <c r="AY170" s="211">
        <f>IF(ISNUMBER(AY168),AY168+AY91,"")</f>
        <v>63884</v>
      </c>
      <c r="AZ170" s="211">
        <f>IF(ISNUMBER(AZ168),AZ168+AZ91,"")</f>
        <v>13178</v>
      </c>
      <c r="BA170" s="211">
        <f>IF(ISNUMBER(BA168),BA168+BA91,"")</f>
        <v>13688</v>
      </c>
      <c r="BB170" s="211">
        <f>IF(ISNUMBER(BB168),BB168+BB91,"")</f>
        <v>11386</v>
      </c>
      <c r="BC170" s="211">
        <f>IF(ISNUMBER(BC168),BC168+BC91,"")</f>
        <v>15981</v>
      </c>
      <c r="BD170" s="211">
        <f>IF(ISNUMBER(BD168),BD168+BD91,"")</f>
        <v>54233</v>
      </c>
      <c r="BE170" s="211">
        <f>IF(ISNUMBER(BE168),BE168+BE91,"")</f>
        <v>13946</v>
      </c>
      <c r="BF170" s="211">
        <f>IF(ISNUMBER(BF168),BF168+BF91,"")</f>
        <v>18725</v>
      </c>
      <c r="BG170" s="211">
        <f>IF(ISNUMBER(BG168),BG168+BG91,"")</f>
        <v>20478</v>
      </c>
      <c r="BH170" s="211">
        <f>IF(ISNUMBER(BH168),BH168+BH91,"")</f>
        <v>24130</v>
      </c>
      <c r="BI170" s="211">
        <f>IF(ISNUMBER(BI168),BI168+BI91,"")</f>
        <v>77280</v>
      </c>
      <c r="BJ170" s="211">
        <f>IF(ISNUMBER(BJ168),BJ168+BJ91,"")</f>
        <v>20754</v>
      </c>
      <c r="BK170" s="211">
        <f>IF(ISNUMBER(BK168),BK168+BK91,"")</f>
        <v>23100</v>
      </c>
      <c r="BL170" s="211">
        <f>IF(ISNUMBER(BL168),BL168+BL91,"")</f>
        <v>25627</v>
      </c>
      <c r="BM170" s="211">
        <f>IF(ISNUMBER(BM168),BM168+BM91,"")</f>
        <v>30537</v>
      </c>
      <c r="BN170" s="211">
        <f>IF(ISNUMBER(BN168),BN168+BN91,"")</f>
        <v>100018</v>
      </c>
      <c r="BO170" s="211">
        <f>IF(ISNUMBER(BO168),BO168+BO91,"")</f>
        <v>25602</v>
      </c>
      <c r="BP170" s="211">
        <f>IF(ISNUMBER(BP168),BP168+BP91,"")</f>
        <v>29617</v>
      </c>
      <c r="BQ170" s="211">
        <f>IF(ISNUMBER(BQ168),BQ168+BQ91,"")</f>
        <v>31053</v>
      </c>
      <c r="BR170" s="211">
        <f>IF(ISNUMBER(BR168),BR168+BR91,"")</f>
        <v>36046</v>
      </c>
      <c r="BS170" s="211">
        <f>IF(ISNUMBER(BS168),BS168+BS91,"")</f>
        <v>122319</v>
      </c>
      <c r="BT170" s="211">
        <f>IF(ISNUMBER(BT168),BT168+BT91,"")</f>
        <v>34903</v>
      </c>
      <c r="BU170" s="211">
        <f>IF(ISNUMBER(BU168),BU168+BU91,"")</f>
        <v>36369</v>
      </c>
      <c r="BV170" s="263">
        <f>IF(ISNUMBER(BV168),BV168+BV91,"")</f>
        <v>34277.7986728419</v>
      </c>
      <c r="BW170" s="263">
        <f>IF(ISNUMBER(BW168),BW168+BW91,"")</f>
        <v>39069.5172583237</v>
      </c>
      <c r="BX170" s="263">
        <f>IF(ISNUMBER(BX168),BX168+BX91,"")</f>
        <v>144619.315931166</v>
      </c>
      <c r="BY170" s="263">
        <f>IF(ISNUMBER(BY168),BY168+BY91,"")</f>
        <v>177490.095775835</v>
      </c>
      <c r="BZ170" s="263">
        <f>IF(ISNUMBER(BZ168),BZ168+BZ91,"")</f>
        <v>209005.196343637</v>
      </c>
      <c r="CA170" s="263">
        <f>IF(ISNUMBER(CA168),CA168+CA91,"")</f>
        <v>241479.133282084</v>
      </c>
      <c r="CB170" s="263">
        <f>IF(ISNUMBER(CB168),CB168+CB91,"")</f>
        <v>271441.669417383</v>
      </c>
      <c r="CC170" s="263">
        <f>IF(ISNUMBER(CC168),CC168+CC91,"")</f>
        <v>302025.37330605</v>
      </c>
      <c r="CD170" s="153" t="n"/>
    </row>
    <row r="171" ht="15" customHeight="1" s="251">
      <c r="B171" s="25" t="inlineStr">
        <is>
          <t>To adjusted EBIT, full-cost (for NOPAT, ROIC and the DCF):</t>
        </is>
      </c>
      <c r="CD171" s="153" t="n"/>
    </row>
    <row r="172" ht="15" customHeight="1" s="251">
      <c r="B172" s="25" t="inlineStr">
        <is>
          <t xml:space="preserve">  (−) Depreciation &amp; amortization</t>
        </is>
      </c>
      <c r="C172" s="211">
        <f>IF(ISNUMBER(C89),-C89,"")</f>
        <v>-78</v>
      </c>
      <c r="D172" s="211">
        <f>IF(ISNUMBER(D89),-D89,"")</f>
        <v>-139</v>
      </c>
      <c r="E172" s="211">
        <f>IF(ISNUMBER(E89),-E89,"")</f>
        <v>-323</v>
      </c>
      <c r="F172" s="211">
        <f>IF(ISNUMBER(F89),-F89,"")</f>
        <v>-649</v>
      </c>
      <c r="G172" s="211">
        <f>IF(ISNUMBER(G89),-G89,"")</f>
        <v>-241</v>
      </c>
      <c r="H172" s="211">
        <f>IF(ISNUMBER(H89),-H89,"")</f>
        <v>-230</v>
      </c>
      <c r="I172" s="211">
        <f>IF(ISNUMBER(I89),-I89,"")</f>
        <v>-274</v>
      </c>
      <c r="J172" s="211">
        <f>IF(ISNUMBER(J89),-J89,"")</f>
        <v>-274</v>
      </c>
      <c r="K172" s="211">
        <f>IF(ISNUMBER(K89),-K89,"")</f>
        <v>-1011</v>
      </c>
      <c r="L172" s="211">
        <f>IF(ISNUMBER(L89),-L89,"")</f>
        <v>-264</v>
      </c>
      <c r="M172" s="211">
        <f>IF(ISNUMBER(M89),-M89,"")</f>
        <v>-257</v>
      </c>
      <c r="N172" s="211">
        <f>IF(ISNUMBER(N89),-N89,"")</f>
        <v>-289</v>
      </c>
      <c r="O172" s="211">
        <f>IF(ISNUMBER(O89),-O89,"")</f>
        <v>-433</v>
      </c>
      <c r="P172" s="211">
        <f>IF(ISNUMBER(P89),-P89,"")</f>
        <v>-1243</v>
      </c>
      <c r="Q172" s="211">
        <f>IF(ISNUMBER(Q89),-Q89,"")</f>
        <v>-457</v>
      </c>
      <c r="R172" s="211">
        <f>IF(ISNUMBER(R89),-R89,"")</f>
        <v>-459</v>
      </c>
      <c r="S172" s="211">
        <f>IF(ISNUMBER(S89),-S89,"")</f>
        <v>-486</v>
      </c>
      <c r="T172" s="211">
        <f>IF(ISNUMBER(T89),-T89,"")</f>
        <v>-543</v>
      </c>
      <c r="U172" s="211">
        <f>IF(ISNUMBER(U89),-U89,"")</f>
        <v>-1945</v>
      </c>
      <c r="V172" s="211">
        <f>IF(ISNUMBER(V89),-V89,"")</f>
        <v>-552</v>
      </c>
      <c r="W172" s="211">
        <f>IF(ISNUMBER(W89),-W89,"")</f>
        <v>-585</v>
      </c>
      <c r="X172" s="211">
        <f>IF(ISNUMBER(X89),-X89,"")</f>
        <v>-591</v>
      </c>
      <c r="Y172" s="211">
        <f>IF(ISNUMBER(Y89),-Y89,"")</f>
        <v>-614</v>
      </c>
      <c r="Z172" s="211">
        <f>IF(ISNUMBER(Z89),-Z89,"")</f>
        <v>-2342</v>
      </c>
      <c r="AA172" s="211">
        <f>IF(ISNUMBER(AA89),-AA89,"")</f>
        <v>-671</v>
      </c>
      <c r="AB172" s="211">
        <f>IF(ISNUMBER(AB89),-AB89,"")</f>
        <v>-728</v>
      </c>
      <c r="AC172" s="211">
        <f>IF(ISNUMBER(AC89),-AC89,"")</f>
        <v>-773</v>
      </c>
      <c r="AD172" s="211">
        <f>IF(ISNUMBER(AD89),-AD89,"")</f>
        <v>-853</v>
      </c>
      <c r="AE172" s="211">
        <f>IF(ISNUMBER(AE89),-AE89,"")</f>
        <v>-3025</v>
      </c>
      <c r="AF172" s="211">
        <f>IF(ISNUMBER(AF89),-AF89,"")</f>
        <v>-949</v>
      </c>
      <c r="AG172" s="211">
        <f>IF(ISNUMBER(AG89),-AG89,"")</f>
        <v>-1034</v>
      </c>
      <c r="AH172" s="211">
        <f>IF(ISNUMBER(AH89),-AH89,"")</f>
        <v>-1107</v>
      </c>
      <c r="AI172" s="211">
        <f>IF(ISNUMBER(AI89),-AI89,"")</f>
        <v>-1225</v>
      </c>
      <c r="AJ172" s="211">
        <f>IF(ISNUMBER(AJ89),-AJ89,"")</f>
        <v>-4315</v>
      </c>
      <c r="AK172" s="211">
        <f>IF(ISNUMBER(AK89),-AK89,"")</f>
        <v>-1355</v>
      </c>
      <c r="AL172" s="211">
        <f>IF(ISNUMBER(AL89),-AL89,"")</f>
        <v>-1502</v>
      </c>
      <c r="AM172" s="211">
        <f>IF(ISNUMBER(AM89),-AM89,"")</f>
        <v>-1416</v>
      </c>
      <c r="AN172" s="211">
        <f>IF(ISNUMBER(AN89),-AN89,"")</f>
        <v>-1468</v>
      </c>
      <c r="AO172" s="211">
        <f>IF(ISNUMBER(AO89),-AO89,"")</f>
        <v>-5741</v>
      </c>
      <c r="AP172" s="211">
        <f>IF(ISNUMBER(AP89),-AP89,"")</f>
        <v>-1597</v>
      </c>
      <c r="AQ172" s="211">
        <f>IF(ISNUMBER(AQ89),-AQ89,"")</f>
        <v>-1704</v>
      </c>
      <c r="AR172" s="211">
        <f>IF(ISNUMBER(AR89),-AR89,"")</f>
        <v>-1698</v>
      </c>
      <c r="AS172" s="211">
        <f>IF(ISNUMBER(AS89),-AS89,"")</f>
        <v>-1863</v>
      </c>
      <c r="AT172" s="211">
        <f>IF(ISNUMBER(AT89),-AT89,"")</f>
        <v>-6862</v>
      </c>
      <c r="AU172" s="211">
        <f>IF(ISNUMBER(AU89),-AU89,"")</f>
        <v>-1972</v>
      </c>
      <c r="AV172" s="211">
        <f>IF(ISNUMBER(AV89),-AV89,"")</f>
        <v>-1985</v>
      </c>
      <c r="AW172" s="211">
        <f>IF(ISNUMBER(AW89),-AW89,"")</f>
        <v>-1995</v>
      </c>
      <c r="AX172" s="211">
        <f>IF(ISNUMBER(AX89),-AX89,"")</f>
        <v>-2014</v>
      </c>
      <c r="AY172" s="211">
        <f>IF(ISNUMBER(AY89),-AY89,"")</f>
        <v>-7967</v>
      </c>
      <c r="AZ172" s="211">
        <f>IF(ISNUMBER(AZ89),-AZ89,"")</f>
        <v>-2156</v>
      </c>
      <c r="BA172" s="211">
        <f>IF(ISNUMBER(BA89),-BA89,"")</f>
        <v>-1979</v>
      </c>
      <c r="BB172" s="211">
        <f>IF(ISNUMBER(BB89),-BB89,"")</f>
        <v>-2175</v>
      </c>
      <c r="BC172" s="211">
        <f>IF(ISNUMBER(BC89),-BC89,"")</f>
        <v>-2376</v>
      </c>
      <c r="BD172" s="211">
        <f>IF(ISNUMBER(BD89),-BD89,"")</f>
        <v>-8686</v>
      </c>
      <c r="BE172" s="211">
        <f>IF(ISNUMBER(BE89),-BE89,"")</f>
        <v>-2524</v>
      </c>
      <c r="BF172" s="211">
        <f>IF(ISNUMBER(BF89),-BF89,"")</f>
        <v>-2623</v>
      </c>
      <c r="BG172" s="211">
        <f>IF(ISNUMBER(BG89),-BG89,"")</f>
        <v>-2858</v>
      </c>
      <c r="BH172" s="211">
        <f>IF(ISNUMBER(BH89),-BH89,"")</f>
        <v>-3172</v>
      </c>
      <c r="BI172" s="211">
        <f>IF(ISNUMBER(BI89),-BI89,"")</f>
        <v>-11178</v>
      </c>
      <c r="BJ172" s="211">
        <f>IF(ISNUMBER(BJ89),-BJ89,"")</f>
        <v>-3374</v>
      </c>
      <c r="BK172" s="211">
        <f>IF(ISNUMBER(BK89),-BK89,"")</f>
        <v>-3637</v>
      </c>
      <c r="BL172" s="211">
        <f>IF(ISNUMBER(BL89),-BL89,"")</f>
        <v>-4027</v>
      </c>
      <c r="BM172" s="211">
        <f>IF(ISNUMBER(BM89),-BM89,"")</f>
        <v>-4460</v>
      </c>
      <c r="BN172" s="211">
        <f>IF(ISNUMBER(BN89),-BN89,"")</f>
        <v>-15498</v>
      </c>
      <c r="BO172" s="211">
        <f>IF(ISNUMBER(BO89),-BO89,"")</f>
        <v>-3900</v>
      </c>
      <c r="BP172" s="211">
        <f>IF(ISNUMBER(BP89),-BP89,"")</f>
        <v>-4342</v>
      </c>
      <c r="BQ172" s="211">
        <f>IF(ISNUMBER(BQ89),-BQ89,"")</f>
        <v>-4963</v>
      </c>
      <c r="BR172" s="211">
        <f>IF(ISNUMBER(BR89),-BR89,"")</f>
        <v>-5411</v>
      </c>
      <c r="BS172" s="211">
        <f>IF(ISNUMBER(BS89),-BS89,"")</f>
        <v>-18616</v>
      </c>
      <c r="BT172" s="211">
        <f>IF(ISNUMBER(BT89),-BT89,"")</f>
        <v>-5999</v>
      </c>
      <c r="BU172" s="211">
        <f>IF(ISNUMBER(BU89),-BU89,"")</f>
        <v>-6356</v>
      </c>
      <c r="BV172" s="263">
        <f>IF(ISNUMBER(BV89),-BV89,"")</f>
        <v>-6800.92</v>
      </c>
      <c r="BW172" s="263">
        <f>IF(ISNUMBER(BW89),-BW89,"")</f>
        <v>-7276.9844</v>
      </c>
      <c r="BX172" s="263">
        <f>IF(ISNUMBER(BX89),-BX89,"")</f>
        <v>-26432.9044</v>
      </c>
      <c r="BY172" s="263">
        <f>IF(ISNUMBER(BY89),-BY89,"")</f>
        <v>-40661.1064874044</v>
      </c>
      <c r="BZ172" s="263">
        <f>IF(ISNUMBER(BZ89),-BZ89,"")</f>
        <v>-51572.4984178311</v>
      </c>
      <c r="CA172" s="263">
        <f>IF(ISNUMBER(CA89),-CA89,"")</f>
        <v>-63168.6910177044</v>
      </c>
      <c r="CB172" s="263">
        <f>IF(ISNUMBER(CB89),-CB89,"")</f>
        <v>-70083.4636130835</v>
      </c>
      <c r="CC172" s="263">
        <f>IF(ISNUMBER(CC89),-CC89,"")</f>
        <v>-75594.8464592438</v>
      </c>
      <c r="CD172" s="19" t="n"/>
    </row>
    <row r="173" ht="15" customHeight="1" s="251">
      <c r="B173" s="55" t="inlineStr">
        <is>
          <t xml:space="preserve">  = Adjusted EBIT, full-cost (= adjusted income from operations, current definition)</t>
        </is>
      </c>
      <c r="C173" s="272">
        <f>IF(ISNUMBER(C168),C168+C172,"")</f>
        <v>262</v>
      </c>
      <c r="D173" s="272">
        <f>IF(ISNUMBER(D168),D168+D172,"")</f>
        <v>1032</v>
      </c>
      <c r="E173" s="272">
        <f>IF(ISNUMBER(E168),E168+E172,"")</f>
        <v>1756</v>
      </c>
      <c r="F173" s="272">
        <f>IF(ISNUMBER(F168),F168+F172,"")</f>
        <v>538</v>
      </c>
      <c r="G173" s="272">
        <f>IF(ISNUMBER(G168),G168+G172,"")</f>
        <v>373</v>
      </c>
      <c r="H173" s="272">
        <f>IF(ISNUMBER(H168),H168+H172,"")</f>
        <v>562</v>
      </c>
      <c r="I173" s="272">
        <f>IF(ISNUMBER(I168),I168+I172,"")</f>
        <v>736</v>
      </c>
      <c r="J173" s="272">
        <f>IF(ISNUMBER(J168),J168+J172,"")</f>
        <v>1133</v>
      </c>
      <c r="K173" s="272">
        <f>IF(ISNUMBER(K168),K168+K172,"")</f>
        <v>2804</v>
      </c>
      <c r="L173" s="272">
        <f>IF(ISNUMBER(L168),L168+L172,"")</f>
        <v>1075</v>
      </c>
      <c r="M173" s="272">
        <f>IF(ISNUMBER(M168),M168+M172,"")</f>
        <v>1390</v>
      </c>
      <c r="N173" s="272">
        <f>IF(ISNUMBER(N168),N168+N172,"")</f>
        <v>1397</v>
      </c>
      <c r="O173" s="272">
        <f>IF(ISNUMBER(O168),O168+O172,"")</f>
        <v>1133</v>
      </c>
      <c r="P173" s="272">
        <f>IF(ISNUMBER(P168),P168+P172,"")</f>
        <v>4994</v>
      </c>
      <c r="Q173" s="272">
        <f>IF(ISNUMBER(Q168),Q168+Q172,"")</f>
        <v>933</v>
      </c>
      <c r="R173" s="272">
        <f>IF(ISNUMBER(R168),R168+R172,"")</f>
        <v>1273</v>
      </c>
      <c r="S173" s="272">
        <f>IF(ISNUMBER(S168),S168+S172,"")</f>
        <v>1459</v>
      </c>
      <c r="T173" s="272">
        <f>IF(ISNUMBER(T168),T168+T172,"")</f>
        <v>2560</v>
      </c>
      <c r="U173" s="272">
        <f>IF(ISNUMBER(U168),U168+U172,"")</f>
        <v>6225</v>
      </c>
      <c r="V173" s="272">
        <f>IF(ISNUMBER(V168),V168+V172,"")</f>
        <v>2009</v>
      </c>
      <c r="W173" s="272">
        <f>IF(ISNUMBER(W168),W168+W172,"")</f>
        <v>2746</v>
      </c>
      <c r="X173" s="272">
        <f>IF(ISNUMBER(X168),X168+X172,"")</f>
        <v>3122</v>
      </c>
      <c r="Y173" s="272">
        <f>IF(ISNUMBER(Y168),Y168+Y172,"")</f>
        <v>4566</v>
      </c>
      <c r="Z173" s="272">
        <f>IF(ISNUMBER(Z168),Z168+Z172,"")</f>
        <v>12427</v>
      </c>
      <c r="AA173" s="272">
        <f>IF(ISNUMBER(AA168),AA168+AA172,"")</f>
        <v>3327</v>
      </c>
      <c r="AB173" s="272">
        <f>IF(ISNUMBER(AB168),AB168+AB172,"")</f>
        <v>4401</v>
      </c>
      <c r="AC173" s="272">
        <f>IF(ISNUMBER(AC168),AC168+AC172,"")</f>
        <v>5122</v>
      </c>
      <c r="AD173" s="272">
        <f>IF(ISNUMBER(AD168),AD168+AD172,"")</f>
        <v>7352</v>
      </c>
      <c r="AE173" s="272">
        <f>IF(ISNUMBER(AE168),AE168+AE172,"")</f>
        <v>20203</v>
      </c>
      <c r="AF173" s="272">
        <f>IF(ISNUMBER(AF168),AF168+AF172,"")</f>
        <v>5449</v>
      </c>
      <c r="AG173" s="272">
        <f>IF(ISNUMBER(AG168),AG168+AG172,"")</f>
        <v>5863</v>
      </c>
      <c r="AH173" s="272">
        <f>IF(ISNUMBER(AH168),AH168+AH172,"")</f>
        <v>5781</v>
      </c>
      <c r="AI173" s="272">
        <f>IF(ISNUMBER(AI168),AI168+AI172,"")</f>
        <v>7820</v>
      </c>
      <c r="AJ173" s="272">
        <f>IF(ISNUMBER(AJ168),AJ168+AJ172,"")</f>
        <v>24913</v>
      </c>
      <c r="AK173" s="272">
        <f>IF(ISNUMBER(AK168),AK168+AK172,"")</f>
        <v>6317</v>
      </c>
      <c r="AL173" s="272">
        <f>IF(ISNUMBER(AL168),AL168+AL172,"")</f>
        <v>6626</v>
      </c>
      <c r="AM173" s="272">
        <f>IF(ISNUMBER(AM168),AM168+AM172,"")</f>
        <v>7185</v>
      </c>
      <c r="AN173" s="272">
        <f>IF(ISNUMBER(AN168),AN168+AN172,"")</f>
        <v>8858</v>
      </c>
      <c r="AO173" s="272">
        <f>IF(ISNUMBER(AO168),AO168+AO172,"")</f>
        <v>28986</v>
      </c>
      <c r="AP173" s="272">
        <f>IF(ISNUMBER(AP168),AP168+AP172,"")</f>
        <v>5893</v>
      </c>
      <c r="AQ173" s="272">
        <f>IF(ISNUMBER(AQ168),AQ168+AQ172,"")</f>
        <v>5963</v>
      </c>
      <c r="AR173" s="272">
        <f>IF(ISNUMBER(AR168),AR168+AR172,"")</f>
        <v>8040</v>
      </c>
      <c r="AS173" s="272">
        <f>IF(ISNUMBER(AS168),AS168+AS172,"")</f>
        <v>12775</v>
      </c>
      <c r="AT173" s="272">
        <f>IF(ISNUMBER(AT168),AT168+AT172,"")</f>
        <v>32671</v>
      </c>
      <c r="AU173" s="272">
        <f>IF(ISNUMBER(AU168),AU168+AU172,"")</f>
        <v>11378</v>
      </c>
      <c r="AV173" s="272">
        <f>IF(ISNUMBER(AV168),AV168+AV172,"")</f>
        <v>12367</v>
      </c>
      <c r="AW173" s="272">
        <f>IF(ISNUMBER(AW168),AW168+AW172,"")</f>
        <v>10423</v>
      </c>
      <c r="AX173" s="272">
        <f>IF(ISNUMBER(AX168),AX168+AX172,"")</f>
        <v>12585</v>
      </c>
      <c r="AY173" s="272">
        <f>IF(ISNUMBER(AY168),AY168+AY172,"")</f>
        <v>46753</v>
      </c>
      <c r="AZ173" s="272">
        <f>IF(ISNUMBER(AZ168),AZ168+AZ172,"")</f>
        <v>8524</v>
      </c>
      <c r="BA173" s="272">
        <f>IF(ISNUMBER(BA168),BA168+BA172,"")</f>
        <v>8358</v>
      </c>
      <c r="BB173" s="272">
        <f>IF(ISNUMBER(BB168),BB168+BB172,"")</f>
        <v>6077</v>
      </c>
      <c r="BC173" s="272">
        <f>IF(ISNUMBER(BC168),BC168+BC172,"")</f>
        <v>10597</v>
      </c>
      <c r="BD173" s="272">
        <f>IF(ISNUMBER(BD168),BD168+BD172,"")</f>
        <v>33555</v>
      </c>
      <c r="BE173" s="272">
        <f>IF(ISNUMBER(BE168),BE168+BE172,"")</f>
        <v>8371</v>
      </c>
      <c r="BF173" s="272">
        <f>IF(ISNUMBER(BF168),BF168+BF172,"")</f>
        <v>12042</v>
      </c>
      <c r="BG173" s="272">
        <f>IF(ISNUMBER(BG168),BG168+BG172,"")</f>
        <v>14128</v>
      </c>
      <c r="BH173" s="272">
        <f>IF(ISNUMBER(BH168),BH168+BH172,"")</f>
        <v>17534</v>
      </c>
      <c r="BI173" s="272">
        <f>IF(ISNUMBER(BI168),BI168+BI172,"")</f>
        <v>52075</v>
      </c>
      <c r="BJ173" s="272">
        <f>IF(ISNUMBER(BJ168),BJ168+BJ172,"")</f>
        <v>13818</v>
      </c>
      <c r="BK173" s="272">
        <f>IF(ISNUMBER(BK168),BK168+BK172,"")</f>
        <v>14847</v>
      </c>
      <c r="BL173" s="272">
        <f>IF(ISNUMBER(BL168),BL168+BL172,"")</f>
        <v>17350</v>
      </c>
      <c r="BM173" s="272">
        <f>IF(ISNUMBER(BM168),BM168+BM172,"")</f>
        <v>21815</v>
      </c>
      <c r="BN173" s="272">
        <f>IF(ISNUMBER(BN168),BN168+BN172,"")</f>
        <v>67830</v>
      </c>
      <c r="BO173" s="272">
        <f>IF(ISNUMBER(BO168),BO168+BO172,"")</f>
        <v>17555</v>
      </c>
      <c r="BP173" s="272">
        <f>IF(ISNUMBER(BP168),BP168+BP172,"")</f>
        <v>20441</v>
      </c>
      <c r="BQ173" s="272">
        <f>IF(ISNUMBER(BQ168),BQ168+BQ172,"")</f>
        <v>20535</v>
      </c>
      <c r="BR173" s="272">
        <f>IF(ISNUMBER(BR168),BR168+BR172,"")</f>
        <v>24745</v>
      </c>
      <c r="BS173" s="272">
        <f>IF(ISNUMBER(BS168),BS168+BS172,"")</f>
        <v>83276</v>
      </c>
      <c r="BT173" s="272">
        <f>IF(ISNUMBER(BT168),BT168+BT172,"")</f>
        <v>22872</v>
      </c>
      <c r="BU173" s="272">
        <f>IF(ISNUMBER(BU168),BU168+BU172,"")</f>
        <v>22355</v>
      </c>
      <c r="BV173" s="272">
        <f>IF(ISNUMBER(BV168),BV168+BV172,"")</f>
        <v>19818.8786728419</v>
      </c>
      <c r="BW173" s="272">
        <f>IF(ISNUMBER(BW168),BW168+BW172,"")</f>
        <v>24134.5328583236</v>
      </c>
      <c r="BX173" s="272">
        <f>IF(ISNUMBER(BX168),BX168+BX172,"")</f>
        <v>89180.4115311655</v>
      </c>
      <c r="BY173" s="272">
        <f>IF(ISNUMBER(BY168),BY168+BY172,"")</f>
        <v>102233.462145683</v>
      </c>
      <c r="BZ173" s="272">
        <f>IF(ISNUMBER(BZ168),BZ168+BZ172,"")</f>
        <v>119115.078596139</v>
      </c>
      <c r="CA173" s="272">
        <f>IF(ISNUMBER(CA168),CA168+CA172,"")</f>
        <v>134765.024787283</v>
      </c>
      <c r="CB173" s="272">
        <f>IF(ISNUMBER(CB168),CB168+CB172,"")</f>
        <v>155014.506147673</v>
      </c>
      <c r="CC173" s="272">
        <f>IF(ISNUMBER(CC168),CC168+CC172,"")</f>
        <v>175281.06846433</v>
      </c>
      <c r="CD173" s="153" t="n"/>
    </row>
    <row r="174" ht="15" customHeight="1" s="251">
      <c r="B174" s="25" t="inlineStr">
        <is>
          <t xml:space="preserve">  Adjusted EBIT (full-cost) margin %</t>
        </is>
      </c>
      <c r="C174" s="215">
        <f>IF(AND(ISNUMBER(C173),ISNUMBER(C109)),IFERROR(C173/C109,""),"")</f>
        <v>0.337194337194337</v>
      </c>
      <c r="D174" s="215">
        <f>IF(AND(ISNUMBER(D173),ISNUMBER(D109)),IFERROR(D173/D109,""),"")</f>
        <v>0.522796352583587</v>
      </c>
      <c r="E174" s="215">
        <f>IF(AND(ISNUMBER(E173),ISNUMBER(E109)),IFERROR(E173/E109,""),"")</f>
        <v>0.473187819994611</v>
      </c>
      <c r="F174" s="215">
        <f>IF(AND(ISNUMBER(F173),ISNUMBER(F109)),IFERROR(F173/F109,""),"")</f>
        <v>0.105718215759481</v>
      </c>
      <c r="G174" s="215">
        <f>IF(AND(ISNUMBER(G173),ISNUMBER(G109)),IFERROR(G173/G109,""),"")</f>
        <v>0.255829903978052</v>
      </c>
      <c r="H174" s="215">
        <f>IF(AND(ISNUMBER(H173),ISNUMBER(H109)),IFERROR(H173/H109,""),"")</f>
        <v>0.309983452840596</v>
      </c>
      <c r="I174" s="215">
        <f>IF(AND(ISNUMBER(I173),ISNUMBER(I109)),IFERROR(I173/I109,""),"")</f>
        <v>0.365079365079365</v>
      </c>
      <c r="J174" s="215">
        <f>IF(AND(ISNUMBER(J173),ISNUMBER(J109)),IFERROR(J173/J109,""),"")</f>
        <v>0.438297872340426</v>
      </c>
      <c r="K174" s="215">
        <f>IF(AND(ISNUMBER(K173),ISNUMBER(K109)),IFERROR(K173/K109,""),"")</f>
        <v>0.35619918699187</v>
      </c>
      <c r="L174" s="215">
        <f>IF(AND(ISNUMBER(L173),ISNUMBER(L109)),IFERROR(L173/L109,""),"")</f>
        <v>0.429656274980016</v>
      </c>
      <c r="M174" s="215">
        <f>IF(AND(ISNUMBER(M173),ISNUMBER(M109)),IFERROR(M173/M109,""),"")</f>
        <v>0.47766323024055</v>
      </c>
      <c r="N174" s="215">
        <f>IF(AND(ISNUMBER(N173),ISNUMBER(N109)),IFERROR(N173/N109,""),"")</f>
        <v>0.43615360599438</v>
      </c>
      <c r="O174" s="215">
        <f>IF(AND(ISNUMBER(O173),ISNUMBER(O109)),IFERROR(O173/O109,""),"")</f>
        <v>0.294209296286679</v>
      </c>
      <c r="P174" s="215">
        <f>IF(AND(ISNUMBER(P173),ISNUMBER(P109)),IFERROR(P173/P109,""),"")</f>
        <v>0.400609658270496</v>
      </c>
      <c r="Q174" s="215">
        <f>IF(AND(ISNUMBER(Q173),ISNUMBER(Q109)),IFERROR(Q173/Q109,""),"")</f>
        <v>0.263336155800169</v>
      </c>
      <c r="R174" s="215">
        <f>IF(AND(ISNUMBER(R173),ISNUMBER(R109)),IFERROR(R173/R109,""),"")</f>
        <v>0.314943097476497</v>
      </c>
      <c r="S174" s="215">
        <f>IF(AND(ISNUMBER(S173),ISNUMBER(S109)),IFERROR(S173/S109,""),"")</f>
        <v>0.324150188846923</v>
      </c>
      <c r="T174" s="215">
        <f>IF(AND(ISNUMBER(T173),ISNUMBER(T109)),IFERROR(T173/T109,""),"")</f>
        <v>0.438281116247218</v>
      </c>
      <c r="U174" s="215">
        <f>IF(AND(ISNUMBER(U173),ISNUMBER(U109)),IFERROR(U173/U109,""),"")</f>
        <v>0.347222222222222</v>
      </c>
      <c r="V174" s="215">
        <f>IF(AND(ISNUMBER(V173),ISNUMBER(V109)),IFERROR(V173/V109,""),"")</f>
        <v>0.373281308063917</v>
      </c>
      <c r="W174" s="215">
        <f>IF(AND(ISNUMBER(W173),ISNUMBER(W109)),IFERROR(W173/W109,""),"")</f>
        <v>0.426662523306402</v>
      </c>
      <c r="X174" s="215">
        <f>IF(AND(ISNUMBER(X173),ISNUMBER(X109)),IFERROR(X173/X109,""),"")</f>
        <v>0.445300242476109</v>
      </c>
      <c r="Y174" s="215">
        <f>IF(AND(ISNUMBER(Y173),ISNUMBER(Y109)),IFERROR(Y173/Y109,""),"")</f>
        <v>0.518333522533772</v>
      </c>
      <c r="Z174" s="215">
        <f>IF(AND(ISNUMBER(Z173),ISNUMBER(Z109)),IFERROR(Z173/Z109,""),"")</f>
        <v>0.449634561111513</v>
      </c>
      <c r="AA174" s="215">
        <f>IF(AND(ISNUMBER(AA173),ISNUMBER(AA109)),IFERROR(AA173/AA109,""),"")</f>
        <v>0.41421812749004</v>
      </c>
      <c r="AB174" s="215">
        <f>IF(AND(ISNUMBER(AB173),ISNUMBER(AB109)),IFERROR(AB173/AB109,""),"")</f>
        <v>0.472159639523656</v>
      </c>
      <c r="AC174" s="215">
        <f>IF(AND(ISNUMBER(AC173),ISNUMBER(AC109)),IFERROR(AC173/AC109,""),"")</f>
        <v>0.495933384972889</v>
      </c>
      <c r="AD174" s="215">
        <f>IF(AND(ISNUMBER(AD173),ISNUMBER(AD109)),IFERROR(AD173/AD109,""),"")</f>
        <v>0.566759173604687</v>
      </c>
      <c r="AE174" s="215">
        <f>IF(AND(ISNUMBER(AE173),ISNUMBER(AE109)),IFERROR(AE173/AE109,""),"")</f>
        <v>0.496962093818414</v>
      </c>
      <c r="AF174" s="215">
        <f>IF(AND(ISNUMBER(AF173),ISNUMBER(AF109)),IFERROR(AF173/AF109,""),"")</f>
        <v>0.455373558415511</v>
      </c>
      <c r="AG174" s="215">
        <f>IF(AND(ISNUMBER(AG173),ISNUMBER(AG109)),IFERROR(AG173/AG109,""),"")</f>
        <v>0.443125991988512</v>
      </c>
      <c r="AH174" s="215">
        <f>IF(AND(ISNUMBER(AH173),ISNUMBER(AH109)),IFERROR(AH173/AH109,""),"")</f>
        <v>0.421140817367232</v>
      </c>
      <c r="AI174" s="215">
        <f>IF(AND(ISNUMBER(AI173),ISNUMBER(AI109)),IFERROR(AI173/AI109,""),"")</f>
        <v>0.462338890859643</v>
      </c>
      <c r="AJ174" s="215">
        <f>IF(AND(ISNUMBER(AJ173),ISNUMBER(AJ109)),IFERROR(AJ173/AJ109,""),"")</f>
        <v>0.446165693613668</v>
      </c>
      <c r="AK174" s="215">
        <f>IF(AND(ISNUMBER(AK173),ISNUMBER(AK109)),IFERROR(AK173/AK109,""),"")</f>
        <v>0.418982556211448</v>
      </c>
      <c r="AL174" s="215">
        <f>IF(AND(ISNUMBER(AL173),ISNUMBER(AL109)),IFERROR(AL173/AL109,""),"")</f>
        <v>0.392396067748431</v>
      </c>
      <c r="AM174" s="215">
        <f>IF(AND(ISNUMBER(AM173),ISNUMBER(AM109)),IFERROR(AM173/AM109,""),"")</f>
        <v>0.407036029911625</v>
      </c>
      <c r="AN174" s="215">
        <f>IF(AND(ISNUMBER(AN173),ISNUMBER(AN109)),IFERROR(AN173/AN109,""),"")</f>
        <v>0.420168864434114</v>
      </c>
      <c r="AO174" s="215">
        <f>IF(AND(ISNUMBER(AO173),ISNUMBER(AO109)),IFERROR(AO173/AO109,""),"")</f>
        <v>0.410003253320509</v>
      </c>
      <c r="AP174" s="215">
        <f>IF(AND(ISNUMBER(AP173),ISNUMBER(AP109)),IFERROR(AP173/AP109,""),"")</f>
        <v>0.332243333145402</v>
      </c>
      <c r="AQ174" s="215">
        <f>IF(AND(ISNUMBER(AQ173),ISNUMBER(AQ109)),IFERROR(AQ173/AQ109,""),"")</f>
        <v>0.319098838764917</v>
      </c>
      <c r="AR174" s="215">
        <f>IF(AND(ISNUMBER(AR173),ISNUMBER(AR109)),IFERROR(AR173/AR109,""),"")</f>
        <v>0.374476013041453</v>
      </c>
      <c r="AS174" s="215">
        <f>IF(AND(ISNUMBER(AS173),ISNUMBER(AS109)),IFERROR(AS173/AS109,""),"")</f>
        <v>0.455079794813337</v>
      </c>
      <c r="AT174" s="215">
        <f>IF(AND(ISNUMBER(AT173),ISNUMBER(AT109)),IFERROR(AT173/AT109,""),"")</f>
        <v>0.380050020357122</v>
      </c>
      <c r="AU174" s="215">
        <f>IF(AND(ISNUMBER(AU173),ISNUMBER(AU109)),IFERROR(AU173/AU109,""),"")</f>
        <v>0.434756027664208</v>
      </c>
      <c r="AV174" s="215">
        <f>IF(AND(ISNUMBER(AV173),ISNUMBER(AV109)),IFERROR(AV173/AV109,""),"")</f>
        <v>0.425318980637617</v>
      </c>
      <c r="AW174" s="215">
        <f>IF(AND(ISNUMBER(AW173),ISNUMBER(AW109)),IFERROR(AW173/AW109,""),"")</f>
        <v>0.359289900034471</v>
      </c>
      <c r="AX174" s="215">
        <f>IF(AND(ISNUMBER(AX173),ISNUMBER(AX109)),IFERROR(AX173/AX109,""),"")</f>
        <v>0.373763772979715</v>
      </c>
      <c r="AY174" s="215">
        <f>IF(AND(ISNUMBER(AY173),ISNUMBER(AY109)),IFERROR(AY173/AY109,""),"")</f>
        <v>0.396450406600582</v>
      </c>
      <c r="AZ174" s="215">
        <f>IF(AND(ISNUMBER(AZ173),ISNUMBER(AZ109)),IFERROR(AZ173/AZ109,""),"")</f>
        <v>0.305432134155081</v>
      </c>
      <c r="BA174" s="215">
        <f>IF(AND(ISNUMBER(BA173),ISNUMBER(BA109)),IFERROR(BA173/BA109,""),"")</f>
        <v>0.289986815626952</v>
      </c>
      <c r="BB174" s="215">
        <f>IF(AND(ISNUMBER(BB173),ISNUMBER(BB109)),IFERROR(BB173/BB109,""),"")</f>
        <v>0.219275456448005</v>
      </c>
      <c r="BC174" s="215">
        <f>IF(AND(ISNUMBER(BC173),ISNUMBER(BC109)),IFERROR(BC173/BC109,""),"")</f>
        <v>0.329457484843774</v>
      </c>
      <c r="BD174" s="215">
        <f>IF(AND(ISNUMBER(BD173),ISNUMBER(BD109)),IFERROR(BD173/BD109,""),"")</f>
        <v>0.287756519651142</v>
      </c>
      <c r="BE174" s="215">
        <f>IF(AND(ISNUMBER(BE173),ISNUMBER(BE109)),IFERROR(BE173/BE109,""),"")</f>
        <v>0.292232501309129</v>
      </c>
      <c r="BF174" s="215">
        <f>IF(AND(ISNUMBER(BF173),ISNUMBER(BF109)),IFERROR(BF173/BF109,""),"")</f>
        <v>0.376324260133129</v>
      </c>
      <c r="BG174" s="215">
        <f>IF(AND(ISNUMBER(BG173),ISNUMBER(BG109)),IFERROR(BG173/BG109,""),"")</f>
        <v>0.413752708955661</v>
      </c>
      <c r="BH174" s="215">
        <f>IF(AND(ISNUMBER(BH173),ISNUMBER(BH109)),IFERROR(BH173/BH109,""),"")</f>
        <v>0.437136944977687</v>
      </c>
      <c r="BI174" s="215">
        <f>IF(AND(ISNUMBER(BI173),ISNUMBER(BI109)),IFERROR(BI173/BI109,""),"")</f>
        <v>0.386020963365999</v>
      </c>
      <c r="BJ174" s="215">
        <f>IF(AND(ISNUMBER(BJ173),ISNUMBER(BJ109)),IFERROR(BJ173/BJ109,""),"")</f>
        <v>0.379042655328487</v>
      </c>
      <c r="BK174" s="215">
        <f>IF(AND(ISNUMBER(BK173),ISNUMBER(BK109)),IFERROR(BK173/BK109,""),"")</f>
        <v>0.380000511888613</v>
      </c>
      <c r="BL174" s="215">
        <f>IF(AND(ISNUMBER(BL173),ISNUMBER(BL109)),IFERROR(BL173/BL109,""),"")</f>
        <v>0.427455714602479</v>
      </c>
      <c r="BM174" s="215">
        <f>IF(AND(ISNUMBER(BM173),ISNUMBER(BM109)),IFERROR(BM173/BM109,""),"")</f>
        <v>0.450862870724398</v>
      </c>
      <c r="BN174" s="215">
        <f>IF(AND(ISNUMBER(BN173),ISNUMBER(BN109)),IFERROR(BN173/BN109,""),"")</f>
        <v>0.412337918918426</v>
      </c>
      <c r="BO174" s="215">
        <f>IF(AND(ISNUMBER(BO173),ISNUMBER(BO109)),IFERROR(BO173/BO109,""),"")</f>
        <v>0.414874509618566</v>
      </c>
      <c r="BP174" s="215">
        <f>IF(AND(ISNUMBER(BP173),ISNUMBER(BP109)),IFERROR(BP173/BP109,""),"")</f>
        <v>0.430191935348093</v>
      </c>
      <c r="BQ174" s="215">
        <f>IF(AND(ISNUMBER(BQ173),ISNUMBER(BQ109)),IFERROR(BQ173/BQ109,""),"")</f>
        <v>0.400745482221615</v>
      </c>
      <c r="BR174" s="215">
        <f>IF(AND(ISNUMBER(BR173),ISNUMBER(BR109)),IFERROR(BR173/BR109,""),"")</f>
        <v>0.413153456998314</v>
      </c>
      <c r="BS174" s="215">
        <f>IF(AND(ISNUMBER(BS173),ISNUMBER(BS109)),IFERROR(BS173/BS109,""),"")</f>
        <v>0.414378551595792</v>
      </c>
      <c r="BT174" s="215">
        <f>IF(AND(ISNUMBER(BT173),ISNUMBER(BT109)),IFERROR(BT173/BT109,""),"")</f>
        <v>0.406172861430271</v>
      </c>
      <c r="BU174" s="215">
        <f>IF(AND(ISNUMBER(BU173),ISNUMBER(BU109)),IFERROR(BU173/BU109,""),"")</f>
        <v>0.367674873768524</v>
      </c>
      <c r="BV174" s="256">
        <f>IF(AND(ISNUMBER(BV173),ISNUMBER(BV109)),IFERROR(BV173/BV109,""),"")</f>
        <v>0.31710205876547</v>
      </c>
      <c r="BW174" s="256">
        <f>IF(AND(ISNUMBER(BW173),ISNUMBER(BW109)),IFERROR(BW173/BW109,""),"")</f>
        <v>0.330662530558271</v>
      </c>
      <c r="BX174" s="256">
        <f>IF(AND(ISNUMBER(BX173),ISNUMBER(BX109)),IFERROR(BX173/BX109,""),"")</f>
        <v>0.353049351703699</v>
      </c>
      <c r="BY174" s="256">
        <f>IF(AND(ISNUMBER(BY173),ISNUMBER(BY109)),IFERROR(BY173/BY109,""),"")</f>
        <v>0.339837230929959</v>
      </c>
      <c r="BZ174" s="256">
        <f>IF(AND(ISNUMBER(BZ173),ISNUMBER(BZ109)),IFERROR(BZ173/BZ109,""),"")</f>
        <v>0.341948661602544</v>
      </c>
      <c r="CA174" s="256">
        <f>IF(AND(ISNUMBER(CA173),ISNUMBER(CA109)),IFERROR(CA173/CA109,""),"")</f>
        <v>0.340429684349631</v>
      </c>
      <c r="CB174" s="256">
        <f>IF(AND(ISNUMBER(CB173),ISNUMBER(CB109)),IFERROR(CB173/CB109,""),"")</f>
        <v>0.351213288237734</v>
      </c>
      <c r="CC174" s="256">
        <f>IF(AND(ISNUMBER(CC173),ISNUMBER(CC109)),IFERROR(CC173/CC109,""),"")</f>
        <v>0.359818320091148</v>
      </c>
      <c r="CD174" s="153" t="n"/>
      <c r="CF174" s="37">
        <f>IFERROR(AVERAGE(BY174,BZ174,CA174,CB174,CC174),"n/m")</f>
        <v>0.346649437042203</v>
      </c>
      <c r="CG174" s="37">
        <f>IFERROR(AVERAGE(AY174,BD174,BI174,BN174,BS174),"n/m")</f>
        <v>0.379388872026388</v>
      </c>
      <c r="CH174" s="37">
        <f>IFERROR(AVERAGE(Z174,AE174,AJ174,AO174,AT174,AY174,BD174,BI174,BN174,BS174),"n/m")</f>
        <v>0.407975998235317</v>
      </c>
      <c r="CI174" s="37">
        <f>IFERROR(AVERAGE(C174,D174,E174,F174,K174,P174,U174,Z174,AE174,AJ174,AO174,AT174,AY174,BD174,BI174,BN174,BS174),"n/m")</f>
        <v>0.389569869139398</v>
      </c>
    </row>
    <row r="175" ht="15" customHeight="1" s="251">
      <c r="B175" s="156" t="inlineStr">
        <is>
          <t xml:space="preserve">  Memo: one-off items adjusted out that are cash costs (legal settlements, severance, facilities; deducted in the DCF)</t>
        </is>
      </c>
      <c r="C175" s="211">
        <f>N(C146)+N(C147)</f>
        <v>0</v>
      </c>
      <c r="D175" s="211">
        <f>N(D146)+N(D147)</f>
        <v>0</v>
      </c>
      <c r="E175" s="211">
        <f>N(E146)+N(E147)</f>
        <v>0</v>
      </c>
      <c r="F175" s="211">
        <f>N(F146)+N(F147)</f>
        <v>0</v>
      </c>
      <c r="G175" s="211">
        <f>N(G146)+N(G147)</f>
        <v>0</v>
      </c>
      <c r="H175" s="211">
        <f>N(H146)+N(H147)</f>
        <v>0</v>
      </c>
      <c r="I175" s="211">
        <f>N(I146)+N(I147)</f>
        <v>0</v>
      </c>
      <c r="J175" s="211">
        <f>N(J146)+N(J147)</f>
        <v>0</v>
      </c>
      <c r="K175" s="211">
        <f>N(K146)+N(K147)</f>
        <v>0</v>
      </c>
      <c r="L175" s="211">
        <f>N(L146)+N(L147)</f>
        <v>0</v>
      </c>
      <c r="M175" s="211">
        <f>N(M146)+N(M147)</f>
        <v>0</v>
      </c>
      <c r="N175" s="211">
        <f>N(N146)+N(N147)</f>
        <v>0</v>
      </c>
      <c r="O175" s="211">
        <f>N(O146)+N(O147)</f>
        <v>0</v>
      </c>
      <c r="P175" s="211">
        <f>N(P146)+N(P147)</f>
        <v>0</v>
      </c>
      <c r="Q175" s="211">
        <f>N(Q146)+N(Q147)</f>
        <v>0</v>
      </c>
      <c r="R175" s="211">
        <f>N(R146)+N(R147)</f>
        <v>0</v>
      </c>
      <c r="S175" s="211">
        <f>N(S146)+N(S147)</f>
        <v>0</v>
      </c>
      <c r="T175" s="211">
        <f>N(T146)+N(T147)</f>
        <v>0</v>
      </c>
      <c r="U175" s="211">
        <f>N(U146)+N(U147)</f>
        <v>0</v>
      </c>
      <c r="V175" s="211">
        <f>N(V146)+N(V147)</f>
        <v>0</v>
      </c>
      <c r="W175" s="211">
        <f>N(W146)+N(W147)</f>
        <v>0</v>
      </c>
      <c r="X175" s="211">
        <f>N(X146)+N(X147)</f>
        <v>0</v>
      </c>
      <c r="Y175" s="211">
        <f>N(Y146)+N(Y147)</f>
        <v>0</v>
      </c>
      <c r="Z175" s="211">
        <f>N(Z146)+N(Z147)</f>
        <v>0</v>
      </c>
      <c r="AA175" s="211">
        <f>N(AA146)+N(AA147)</f>
        <v>0</v>
      </c>
      <c r="AB175" s="211">
        <f>N(AB146)+N(AB147)</f>
        <v>0</v>
      </c>
      <c r="AC175" s="211">
        <f>N(AC146)+N(AC147)</f>
        <v>0</v>
      </c>
      <c r="AD175" s="211">
        <f>N(AD146)+N(AD147)</f>
        <v>0</v>
      </c>
      <c r="AE175" s="211">
        <f>N(AE146)+N(AE147)</f>
        <v>0</v>
      </c>
      <c r="AF175" s="211">
        <f>N(AF146)+N(AF147)</f>
        <v>0</v>
      </c>
      <c r="AG175" s="211">
        <f>N(AG146)+N(AG147)</f>
        <v>0</v>
      </c>
      <c r="AH175" s="211">
        <f>N(AH146)+N(AH147)</f>
        <v>0</v>
      </c>
      <c r="AI175" s="211">
        <f>N(AI146)+N(AI147)</f>
        <v>0</v>
      </c>
      <c r="AJ175" s="211">
        <f>N(AJ146)+N(AJ147)</f>
        <v>0</v>
      </c>
      <c r="AK175" s="211">
        <f>N(AK146)+N(AK147)</f>
        <v>3000</v>
      </c>
      <c r="AL175" s="211">
        <f>N(AL146)+N(AL147)</f>
        <v>2000</v>
      </c>
      <c r="AM175" s="211">
        <f>N(AM146)+N(AM147)</f>
        <v>0</v>
      </c>
      <c r="AN175" s="211">
        <f>N(AN146)+N(AN147)</f>
        <v>0</v>
      </c>
      <c r="AO175" s="211">
        <f>N(AO146)+N(AO147)</f>
        <v>5000</v>
      </c>
      <c r="AP175" s="211">
        <f>N(AP146)+N(AP147)</f>
        <v>0</v>
      </c>
      <c r="AQ175" s="211">
        <f>N(AQ146)+N(AQ147)</f>
        <v>0</v>
      </c>
      <c r="AR175" s="211">
        <f>N(AR146)+N(AR147)</f>
        <v>0</v>
      </c>
      <c r="AS175" s="211">
        <f>N(AS146)+N(AS147)</f>
        <v>0</v>
      </c>
      <c r="AT175" s="211">
        <f>N(AT146)+N(AT147)</f>
        <v>0</v>
      </c>
      <c r="AU175" s="211">
        <f>N(AU146)+N(AU147)</f>
        <v>0</v>
      </c>
      <c r="AV175" s="211">
        <f>N(AV146)+N(AV147)</f>
        <v>0</v>
      </c>
      <c r="AW175" s="211">
        <f>N(AW146)+N(AW147)</f>
        <v>0</v>
      </c>
      <c r="AX175" s="211">
        <f>N(AX146)+N(AX147)</f>
        <v>0</v>
      </c>
      <c r="AY175" s="211">
        <f>N(AY146)+N(AY147)</f>
        <v>0</v>
      </c>
      <c r="AZ175" s="211">
        <f>N(AZ146)+N(AZ147)</f>
        <v>0</v>
      </c>
      <c r="BA175" s="211">
        <f>N(BA146)+N(BA147)</f>
        <v>0</v>
      </c>
      <c r="BB175" s="211">
        <f>N(BB146)+N(BB147)</f>
        <v>413</v>
      </c>
      <c r="BC175" s="211">
        <f>N(BC146)+N(BC147)</f>
        <v>4198</v>
      </c>
      <c r="BD175" s="211">
        <f>N(BD146)+N(BD147)</f>
        <v>4611</v>
      </c>
      <c r="BE175" s="211">
        <f>N(BE146)+N(BE147)</f>
        <v>1144</v>
      </c>
      <c r="BF175" s="211">
        <f>N(BF146)+N(BF147)</f>
        <v>2650</v>
      </c>
      <c r="BG175" s="211">
        <f>N(BG146)+N(BG147)</f>
        <v>380</v>
      </c>
      <c r="BH175" s="211">
        <f>N(BH146)+N(BH147)</f>
        <v>1150</v>
      </c>
      <c r="BI175" s="211">
        <f>N(BI146)+N(BI147)</f>
        <v>5324</v>
      </c>
      <c r="BJ175" s="211">
        <f>N(BJ146)+N(BJ147)</f>
        <v>0</v>
      </c>
      <c r="BK175" s="211">
        <f>N(BK146)+N(BK147)</f>
        <v>0</v>
      </c>
      <c r="BL175" s="211">
        <f>N(BL146)+N(BL147)</f>
        <v>0</v>
      </c>
      <c r="BM175" s="211">
        <f>N(BM146)+N(BM147)</f>
        <v>-1550</v>
      </c>
      <c r="BN175" s="211">
        <f>N(BN146)+N(BN147)</f>
        <v>-1550</v>
      </c>
      <c r="BO175" s="211">
        <f>N(BO146)+N(BO147)</f>
        <v>0</v>
      </c>
      <c r="BP175" s="211">
        <f>N(BP146)+N(BP147)</f>
        <v>0</v>
      </c>
      <c r="BQ175" s="211">
        <f>N(BQ146)+N(BQ147)</f>
        <v>0</v>
      </c>
      <c r="BR175" s="211">
        <f>N(BR146)+N(BR147)</f>
        <v>0</v>
      </c>
      <c r="BS175" s="211">
        <f>N(BS146)+N(BS147)</f>
        <v>0</v>
      </c>
      <c r="BT175" s="211">
        <f>N(BT146)+N(BT147)</f>
        <v>0</v>
      </c>
      <c r="BU175" s="211">
        <f>N(BU146)+N(BU147)</f>
        <v>3580</v>
      </c>
      <c r="BV175" s="263">
        <f>N(BV146)+N(BV147)</f>
        <v>0</v>
      </c>
      <c r="BW175" s="263">
        <f>N(BW146)+N(BW147)</f>
        <v>0</v>
      </c>
      <c r="BX175" s="263">
        <f>N(BX146)+N(BX147)</f>
        <v>3580</v>
      </c>
      <c r="BY175" s="263">
        <f>N(BY146)+N(BY147)</f>
        <v>0</v>
      </c>
      <c r="BZ175" s="263">
        <f>N(BZ146)+N(BZ147)</f>
        <v>0</v>
      </c>
      <c r="CA175" s="263">
        <f>N(CA146)+N(CA147)</f>
        <v>0</v>
      </c>
      <c r="CB175" s="263">
        <f>N(CB146)+N(CB147)</f>
        <v>0</v>
      </c>
      <c r="CC175" s="263">
        <f>N(CC146)+N(CC147)</f>
        <v>0</v>
      </c>
      <c r="CD175" s="153" t="n"/>
    </row>
    <row r="176" ht="15" customHeight="1" s="251">
      <c r="CL176" s="11" t="n"/>
      <c r="CM176" s="12" t="n"/>
      <c r="CN176" s="12" t="n"/>
      <c r="CO176" s="12" t="n"/>
      <c r="CP176" s="13" t="n"/>
    </row>
    <row r="177" ht="15" customHeight="1" s="251">
      <c r="B177" s="10" t="inlineStr">
        <is>
          <t>RECONCILIATION: NET INCOME / DILUTED EPS → ADJUSTED NET INCOME → ADJUSTED EPS</t>
        </is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n"/>
      <c r="AN177" s="10" t="n"/>
      <c r="AO177" s="10" t="n"/>
      <c r="AP177" s="10" t="n"/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0" t="n"/>
      <c r="BC177" s="10" t="n"/>
      <c r="BD177" s="10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inlineStr">
        <is>
          <t>ADJUSTED EPS — company non-GAAP IPO–2016; 2017+: GAAP + company-quantified one-offs and discrete tax items (the company stated "excluding" EPS for each)</t>
        </is>
      </c>
    </row>
    <row r="178" ht="15" customHeight="1" s="251">
      <c r="B178" s="16" t="inlineStr">
        <is>
          <t>Net income attributable to common stockholders (GAAP; diluted EPS numerator)</t>
        </is>
      </c>
      <c r="C178" s="266">
        <f>C128</f>
        <v>134</v>
      </c>
      <c r="D178" s="266">
        <f>D128</f>
        <v>402</v>
      </c>
      <c r="E178" s="266">
        <f>E128</f>
        <v>699</v>
      </c>
      <c r="F178" s="266">
        <f>F128</f>
        <v>32</v>
      </c>
      <c r="G178" s="266">
        <f>G128</f>
        <v>217</v>
      </c>
      <c r="H178" s="266">
        <f>H128</f>
        <v>331</v>
      </c>
      <c r="I178" s="266">
        <f>I128</f>
        <v>422</v>
      </c>
      <c r="J178" s="266">
        <f>J128</f>
        <v>520</v>
      </c>
      <c r="K178" s="266">
        <f>K128</f>
        <v>1491</v>
      </c>
      <c r="L178" s="266">
        <f>L128</f>
        <v>639</v>
      </c>
      <c r="M178" s="266">
        <f>M128</f>
        <v>788</v>
      </c>
      <c r="N178" s="266">
        <f>N128</f>
        <v>802</v>
      </c>
      <c r="O178" s="266">
        <f>O128</f>
        <v>696</v>
      </c>
      <c r="P178" s="266">
        <f>P128</f>
        <v>2925</v>
      </c>
      <c r="Q178" s="266">
        <f>Q128</f>
        <v>509</v>
      </c>
      <c r="R178" s="266">
        <f>R128</f>
        <v>715</v>
      </c>
      <c r="S178" s="266">
        <f>S128</f>
        <v>891</v>
      </c>
      <c r="T178" s="266">
        <f>T128</f>
        <v>1555</v>
      </c>
      <c r="U178" s="266">
        <f>U128</f>
        <v>3669</v>
      </c>
      <c r="V178" s="266">
        <f>V128</f>
        <v>1505</v>
      </c>
      <c r="W178" s="266">
        <f>W128</f>
        <v>2048</v>
      </c>
      <c r="X178" s="266">
        <f>X128</f>
        <v>2373</v>
      </c>
      <c r="Y178" s="266">
        <f>Y128</f>
        <v>3561</v>
      </c>
      <c r="Z178" s="266">
        <f>Z128</f>
        <v>10188</v>
      </c>
      <c r="AA178" s="266">
        <f>AA128</f>
        <v>3059</v>
      </c>
      <c r="AB178" s="266">
        <f>AB128</f>
        <v>3890</v>
      </c>
      <c r="AC178" s="266">
        <f>AC128</f>
        <v>4704</v>
      </c>
      <c r="AD178" s="266">
        <f>AD128</f>
        <v>4266</v>
      </c>
      <c r="AE178" s="266">
        <f>AE128</f>
        <v>15920</v>
      </c>
      <c r="AF178" s="266">
        <f>AF128</f>
        <v>4987</v>
      </c>
      <c r="AG178" s="266">
        <f>AG128</f>
        <v>5106</v>
      </c>
      <c r="AH178" s="266">
        <f>AH128</f>
        <v>5137</v>
      </c>
      <c r="AI178" s="266">
        <f>AI128</f>
        <v>6882</v>
      </c>
      <c r="AJ178" s="266">
        <f>AJ128</f>
        <v>22111</v>
      </c>
      <c r="AK178" s="266">
        <f>AK128</f>
        <v>2429</v>
      </c>
      <c r="AL178" s="266">
        <f>AL128</f>
        <v>2616</v>
      </c>
      <c r="AM178" s="266">
        <f>AM128</f>
        <v>6091</v>
      </c>
      <c r="AN178" s="266">
        <f>AN128</f>
        <v>7349</v>
      </c>
      <c r="AO178" s="266">
        <f>AO128</f>
        <v>18485</v>
      </c>
      <c r="AP178" s="266">
        <f>AP128</f>
        <v>4902</v>
      </c>
      <c r="AQ178" s="266">
        <f>AQ128</f>
        <v>5178</v>
      </c>
      <c r="AR178" s="266">
        <f>AR128</f>
        <v>7846</v>
      </c>
      <c r="AS178" s="266">
        <f>AS128</f>
        <v>11219</v>
      </c>
      <c r="AT178" s="266">
        <f>AT128</f>
        <v>29146</v>
      </c>
      <c r="AU178" s="266">
        <f>AU128</f>
        <v>9497</v>
      </c>
      <c r="AV178" s="266">
        <f>AV128</f>
        <v>10394</v>
      </c>
      <c r="AW178" s="266">
        <f>AW128</f>
        <v>9194</v>
      </c>
      <c r="AX178" s="266">
        <f>AX128</f>
        <v>10285</v>
      </c>
      <c r="AY178" s="266">
        <f>AY128</f>
        <v>39370</v>
      </c>
      <c r="AZ178" s="266">
        <f>AZ128</f>
        <v>7465</v>
      </c>
      <c r="BA178" s="266">
        <f>BA128</f>
        <v>6687</v>
      </c>
      <c r="BB178" s="266">
        <f>BB128</f>
        <v>4395</v>
      </c>
      <c r="BC178" s="266">
        <f>BC128</f>
        <v>4652</v>
      </c>
      <c r="BD178" s="266">
        <f>BD128</f>
        <v>23200</v>
      </c>
      <c r="BE178" s="266">
        <f>BE128</f>
        <v>5709</v>
      </c>
      <c r="BF178" s="266">
        <f>BF128</f>
        <v>7788</v>
      </c>
      <c r="BG178" s="266">
        <f>BG128</f>
        <v>11583</v>
      </c>
      <c r="BH178" s="266">
        <f>BH128</f>
        <v>14017</v>
      </c>
      <c r="BI178" s="266">
        <f>BI128</f>
        <v>39098</v>
      </c>
      <c r="BJ178" s="266">
        <f>BJ128</f>
        <v>12369</v>
      </c>
      <c r="BK178" s="266">
        <f>BK128</f>
        <v>13465</v>
      </c>
      <c r="BL178" s="266">
        <f>BL128</f>
        <v>15688</v>
      </c>
      <c r="BM178" s="266">
        <f>BM128</f>
        <v>20838</v>
      </c>
      <c r="BN178" s="266">
        <f>BN128</f>
        <v>62360</v>
      </c>
      <c r="BO178" s="266">
        <f>BO128</f>
        <v>16644</v>
      </c>
      <c r="BP178" s="266">
        <f>BP128</f>
        <v>18337</v>
      </c>
      <c r="BQ178" s="266">
        <f>BQ128</f>
        <v>2709</v>
      </c>
      <c r="BR178" s="266">
        <f>BR128</f>
        <v>22768</v>
      </c>
      <c r="BS178" s="266">
        <f>BS128</f>
        <v>60458</v>
      </c>
      <c r="BT178" s="266">
        <f>BT128</f>
        <v>26773</v>
      </c>
      <c r="BU178" s="266">
        <f>BU128</f>
        <v>15848</v>
      </c>
      <c r="BV178" s="254">
        <f>BV128</f>
        <v>16668.1256051872</v>
      </c>
      <c r="BW178" s="254">
        <f>BW128</f>
        <v>20293.2751209919</v>
      </c>
      <c r="BX178" s="254">
        <f>BX128</f>
        <v>79582.400726179</v>
      </c>
      <c r="BY178" s="254">
        <f>BY128</f>
        <v>84127.3640086451</v>
      </c>
      <c r="BZ178" s="254">
        <f>BZ128</f>
        <v>97359.2468047338</v>
      </c>
      <c r="CA178" s="254">
        <f>CA128</f>
        <v>110612.770596189</v>
      </c>
      <c r="CB178" s="254">
        <f>CB128</f>
        <v>126479.059510941</v>
      </c>
      <c r="CC178" s="254">
        <f>CC128</f>
        <v>143129.453220713</v>
      </c>
      <c r="CD178" s="153" t="n"/>
    </row>
    <row r="179" ht="15" customHeight="1" s="251">
      <c r="B179" s="25" t="inlineStr">
        <is>
          <t xml:space="preserve">  (+) Participating-securities allocation (added back in the company non-GAAP definition, 2012–13)</t>
        </is>
      </c>
      <c r="C179" s="211">
        <f>0</f>
        <v>0</v>
      </c>
      <c r="D179" s="211">
        <f>0</f>
        <v>0</v>
      </c>
      <c r="E179" s="211">
        <f>0</f>
        <v>0</v>
      </c>
      <c r="F179" s="211">
        <f>N(F126)-N(F127)</f>
        <v>21</v>
      </c>
      <c r="G179" s="211">
        <f>N(G126)-N(G127)</f>
        <v>2</v>
      </c>
      <c r="H179" s="211">
        <f>N(H126)-N(H127)</f>
        <v>2</v>
      </c>
      <c r="I179" s="211">
        <f>N(I126)-N(I127)</f>
        <v>3</v>
      </c>
      <c r="J179" s="211">
        <f>N(J126)-N(J127)</f>
        <v>3</v>
      </c>
      <c r="K179" s="211">
        <f>N(K126)-N(K127)</f>
        <v>9</v>
      </c>
      <c r="L179" s="211">
        <f>N(L126)-N(L127)</f>
        <v>3</v>
      </c>
      <c r="M179" s="211">
        <f>N(M126)-N(M127)</f>
        <v>3</v>
      </c>
      <c r="N179" s="211">
        <f>N(N126)-N(N127)</f>
        <v>4</v>
      </c>
      <c r="O179" s="211">
        <f>N(O126)-N(O127)</f>
        <v>5</v>
      </c>
      <c r="P179" s="211">
        <f>N(P126)-N(P127)</f>
        <v>15</v>
      </c>
      <c r="Q179" s="211">
        <f>N(Q126)-N(Q127)</f>
        <v>3</v>
      </c>
      <c r="R179" s="211">
        <f>N(R126)-N(R127)</f>
        <v>4</v>
      </c>
      <c r="S179" s="211">
        <f>N(S126)-N(S127)</f>
        <v>5</v>
      </c>
      <c r="T179" s="211">
        <f>N(T126)-N(T127)</f>
        <v>7</v>
      </c>
      <c r="U179" s="211">
        <f>N(U126)-N(U127)</f>
        <v>19</v>
      </c>
      <c r="V179" s="211">
        <f>N(V126)-N(V127)</f>
        <v>5</v>
      </c>
      <c r="W179" s="211">
        <f>N(W126)-N(W127)</f>
        <v>7</v>
      </c>
      <c r="X179" s="211">
        <f>N(X126)-N(X127)</f>
        <v>6</v>
      </c>
      <c r="Y179" s="211">
        <f>N(Y126)-N(Y127)</f>
        <v>7</v>
      </c>
      <c r="Z179" s="211">
        <f>N(Z126)-N(Z127)</f>
        <v>29</v>
      </c>
      <c r="AA179" s="211">
        <f>0</f>
        <v>0</v>
      </c>
      <c r="AB179" s="211">
        <f>0</f>
        <v>0</v>
      </c>
      <c r="AC179" s="211">
        <f>0</f>
        <v>0</v>
      </c>
      <c r="AD179" s="211">
        <f>0</f>
        <v>0</v>
      </c>
      <c r="AE179" s="211">
        <f>0</f>
        <v>0</v>
      </c>
      <c r="AF179" s="211">
        <f>0</f>
        <v>0</v>
      </c>
      <c r="AG179" s="211">
        <f>0</f>
        <v>0</v>
      </c>
      <c r="AH179" s="211">
        <f>0</f>
        <v>0</v>
      </c>
      <c r="AI179" s="211">
        <f>0</f>
        <v>0</v>
      </c>
      <c r="AJ179" s="211">
        <f>0</f>
        <v>0</v>
      </c>
      <c r="AK179" s="211">
        <f>0</f>
        <v>0</v>
      </c>
      <c r="AL179" s="211">
        <f>0</f>
        <v>0</v>
      </c>
      <c r="AM179" s="211">
        <f>0</f>
        <v>0</v>
      </c>
      <c r="AN179" s="211">
        <f>0</f>
        <v>0</v>
      </c>
      <c r="AO179" s="211">
        <f>0</f>
        <v>0</v>
      </c>
      <c r="AP179" s="211">
        <f>0</f>
        <v>0</v>
      </c>
      <c r="AQ179" s="211">
        <f>0</f>
        <v>0</v>
      </c>
      <c r="AR179" s="211">
        <f>0</f>
        <v>0</v>
      </c>
      <c r="AS179" s="211">
        <f>0</f>
        <v>0</v>
      </c>
      <c r="AT179" s="211">
        <f>0</f>
        <v>0</v>
      </c>
      <c r="AU179" s="211">
        <f>0</f>
        <v>0</v>
      </c>
      <c r="AV179" s="211">
        <f>0</f>
        <v>0</v>
      </c>
      <c r="AW179" s="211">
        <f>0</f>
        <v>0</v>
      </c>
      <c r="AX179" s="211">
        <f>0</f>
        <v>0</v>
      </c>
      <c r="AY179" s="211">
        <f>0</f>
        <v>0</v>
      </c>
      <c r="AZ179" s="211">
        <f>0</f>
        <v>0</v>
      </c>
      <c r="BA179" s="211">
        <f>0</f>
        <v>0</v>
      </c>
      <c r="BB179" s="211">
        <f>0</f>
        <v>0</v>
      </c>
      <c r="BC179" s="211">
        <f>0</f>
        <v>0</v>
      </c>
      <c r="BD179" s="211">
        <f>0</f>
        <v>0</v>
      </c>
      <c r="BE179" s="211">
        <f>0</f>
        <v>0</v>
      </c>
      <c r="BF179" s="211">
        <f>0</f>
        <v>0</v>
      </c>
      <c r="BG179" s="211">
        <f>0</f>
        <v>0</v>
      </c>
      <c r="BH179" s="211">
        <f>0</f>
        <v>0</v>
      </c>
      <c r="BI179" s="211">
        <f>0</f>
        <v>0</v>
      </c>
      <c r="BJ179" s="211">
        <f>0</f>
        <v>0</v>
      </c>
      <c r="BK179" s="211">
        <f>0</f>
        <v>0</v>
      </c>
      <c r="BL179" s="211">
        <f>0</f>
        <v>0</v>
      </c>
      <c r="BM179" s="211">
        <f>0</f>
        <v>0</v>
      </c>
      <c r="BN179" s="211">
        <f>0</f>
        <v>0</v>
      </c>
      <c r="BO179" s="211">
        <f>0</f>
        <v>0</v>
      </c>
      <c r="BP179" s="211">
        <f>0</f>
        <v>0</v>
      </c>
      <c r="BQ179" s="211">
        <f>0</f>
        <v>0</v>
      </c>
      <c r="BR179" s="211">
        <f>0</f>
        <v>0</v>
      </c>
      <c r="BS179" s="211">
        <f>0</f>
        <v>0</v>
      </c>
      <c r="BT179" s="211">
        <f>0</f>
        <v>0</v>
      </c>
      <c r="BU179" s="211">
        <f>0</f>
        <v>0</v>
      </c>
      <c r="BV179" s="263">
        <f>0</f>
        <v>0</v>
      </c>
      <c r="BW179" s="263">
        <f>0</f>
        <v>0</v>
      </c>
      <c r="BX179" s="263">
        <f>0</f>
        <v>0</v>
      </c>
      <c r="BY179" s="263">
        <f>0</f>
        <v>0</v>
      </c>
      <c r="BZ179" s="263">
        <f>0</f>
        <v>0</v>
      </c>
      <c r="CA179" s="263">
        <f>0</f>
        <v>0</v>
      </c>
      <c r="CB179" s="263">
        <f>0</f>
        <v>0</v>
      </c>
      <c r="CC179" s="263">
        <f>0</f>
        <v>0</v>
      </c>
      <c r="CD179" s="19" t="n"/>
    </row>
    <row r="180" ht="15" customHeight="1" s="251">
      <c r="B180" s="25" t="inlineStr">
        <is>
          <t xml:space="preserve">  (+) Pre-tax adjusting items (bridge above)</t>
        </is>
      </c>
      <c r="C180" s="211">
        <f>C148</f>
        <v>0</v>
      </c>
      <c r="D180" s="211">
        <f>D148</f>
        <v>0</v>
      </c>
      <c r="E180" s="211">
        <f>E148</f>
        <v>0</v>
      </c>
      <c r="F180" s="211">
        <f>F148</f>
        <v>1723</v>
      </c>
      <c r="G180" s="211">
        <f>G148</f>
        <v>190</v>
      </c>
      <c r="H180" s="211">
        <f>H148</f>
        <v>232</v>
      </c>
      <c r="I180" s="211">
        <f>I148</f>
        <v>251</v>
      </c>
      <c r="J180" s="211">
        <f>J148</f>
        <v>326</v>
      </c>
      <c r="K180" s="211">
        <f>K148</f>
        <v>999</v>
      </c>
      <c r="L180" s="211">
        <f>L148</f>
        <v>299</v>
      </c>
      <c r="M180" s="211">
        <f>M148</f>
        <v>322</v>
      </c>
      <c r="N180" s="211">
        <f>N148</f>
        <v>423</v>
      </c>
      <c r="O180" s="211">
        <f>O148</f>
        <v>1086</v>
      </c>
      <c r="P180" s="211">
        <f>P148</f>
        <v>2213</v>
      </c>
      <c r="Q180" s="211">
        <f>Q148</f>
        <v>907</v>
      </c>
      <c r="R180" s="211">
        <f>R148</f>
        <v>955</v>
      </c>
      <c r="S180" s="211">
        <f>S148</f>
        <v>951</v>
      </c>
      <c r="T180" s="211">
        <f>T148</f>
        <v>963</v>
      </c>
      <c r="U180" s="211">
        <f>U148</f>
        <v>3776</v>
      </c>
      <c r="V180" s="211">
        <f>V148</f>
        <v>968</v>
      </c>
      <c r="W180" s="211">
        <f>W148</f>
        <v>1018</v>
      </c>
      <c r="X180" s="211">
        <f>X148</f>
        <v>1034</v>
      </c>
      <c r="Y180" s="211">
        <f>Y148</f>
        <v>1031</v>
      </c>
      <c r="Z180" s="211">
        <f>Z148</f>
        <v>4067</v>
      </c>
      <c r="AA180" s="211">
        <f>AA148</f>
        <v>0</v>
      </c>
      <c r="AB180" s="211">
        <f>AB148</f>
        <v>0</v>
      </c>
      <c r="AC180" s="211">
        <f>AC148</f>
        <v>0</v>
      </c>
      <c r="AD180" s="211">
        <f>AD148</f>
        <v>0</v>
      </c>
      <c r="AE180" s="211">
        <f>AE148</f>
        <v>0</v>
      </c>
      <c r="AF180" s="211">
        <f>AF148</f>
        <v>0</v>
      </c>
      <c r="AG180" s="211">
        <f>AG148</f>
        <v>0</v>
      </c>
      <c r="AH180" s="211">
        <f>AH148</f>
        <v>0</v>
      </c>
      <c r="AI180" s="211">
        <f>AI148</f>
        <v>0</v>
      </c>
      <c r="AJ180" s="211">
        <f>AJ148</f>
        <v>0</v>
      </c>
      <c r="AK180" s="211">
        <f>AK148</f>
        <v>3000</v>
      </c>
      <c r="AL180" s="211">
        <f>AL148</f>
        <v>2000</v>
      </c>
      <c r="AM180" s="211">
        <f>AM148</f>
        <v>0</v>
      </c>
      <c r="AN180" s="211">
        <f>AN148</f>
        <v>0</v>
      </c>
      <c r="AO180" s="211">
        <f>AO148</f>
        <v>5000</v>
      </c>
      <c r="AP180" s="211">
        <f>AP148</f>
        <v>0</v>
      </c>
      <c r="AQ180" s="211">
        <f>AQ148</f>
        <v>0</v>
      </c>
      <c r="AR180" s="211">
        <f>AR148</f>
        <v>0</v>
      </c>
      <c r="AS180" s="211">
        <f>AS148</f>
        <v>0</v>
      </c>
      <c r="AT180" s="211">
        <f>AT148</f>
        <v>0</v>
      </c>
      <c r="AU180" s="211">
        <f>AU148</f>
        <v>0</v>
      </c>
      <c r="AV180" s="211">
        <f>AV148</f>
        <v>0</v>
      </c>
      <c r="AW180" s="211">
        <f>AW148</f>
        <v>0</v>
      </c>
      <c r="AX180" s="211">
        <f>AX148</f>
        <v>0</v>
      </c>
      <c r="AY180" s="211">
        <f>AY148</f>
        <v>0</v>
      </c>
      <c r="AZ180" s="211">
        <f>AZ148</f>
        <v>0</v>
      </c>
      <c r="BA180" s="211">
        <f>BA148</f>
        <v>0</v>
      </c>
      <c r="BB180" s="211">
        <f>BB148</f>
        <v>413</v>
      </c>
      <c r="BC180" s="211">
        <f>BC148</f>
        <v>4198</v>
      </c>
      <c r="BD180" s="211">
        <f>BD148</f>
        <v>4611</v>
      </c>
      <c r="BE180" s="211">
        <f>BE148</f>
        <v>1144</v>
      </c>
      <c r="BF180" s="211">
        <f>BF148</f>
        <v>2650</v>
      </c>
      <c r="BG180" s="211">
        <f>BG148</f>
        <v>380</v>
      </c>
      <c r="BH180" s="211">
        <f>BH148</f>
        <v>1150</v>
      </c>
      <c r="BI180" s="211">
        <f>BI148</f>
        <v>5324</v>
      </c>
      <c r="BJ180" s="211">
        <f>BJ148</f>
        <v>0</v>
      </c>
      <c r="BK180" s="211">
        <f>BK148</f>
        <v>0</v>
      </c>
      <c r="BL180" s="211">
        <f>BL148</f>
        <v>0</v>
      </c>
      <c r="BM180" s="211">
        <f>BM148</f>
        <v>-1550</v>
      </c>
      <c r="BN180" s="211">
        <f>BN148</f>
        <v>-1550</v>
      </c>
      <c r="BO180" s="211">
        <f>BO148</f>
        <v>0</v>
      </c>
      <c r="BP180" s="211">
        <f>BP148</f>
        <v>0</v>
      </c>
      <c r="BQ180" s="211">
        <f>BQ148</f>
        <v>0</v>
      </c>
      <c r="BR180" s="211">
        <f>BR148</f>
        <v>0</v>
      </c>
      <c r="BS180" s="211">
        <f>BS148</f>
        <v>0</v>
      </c>
      <c r="BT180" s="211">
        <f>BT148</f>
        <v>0</v>
      </c>
      <c r="BU180" s="211">
        <f>BU148</f>
        <v>3580</v>
      </c>
      <c r="BV180" s="263">
        <f>BV148</f>
        <v>0</v>
      </c>
      <c r="BW180" s="263">
        <f>BW148</f>
        <v>0</v>
      </c>
      <c r="BX180" s="263">
        <f>BX148</f>
        <v>3580</v>
      </c>
      <c r="BY180" s="263">
        <f>BY148</f>
        <v>0</v>
      </c>
      <c r="BZ180" s="263">
        <f>BZ148</f>
        <v>0</v>
      </c>
      <c r="CA180" s="263">
        <f>CA148</f>
        <v>0</v>
      </c>
      <c r="CB180" s="263">
        <f>CB148</f>
        <v>0</v>
      </c>
      <c r="CC180" s="263">
        <f>CC148</f>
        <v>0</v>
      </c>
      <c r="CD180" s="19" t="n"/>
    </row>
    <row r="181" ht="15" customHeight="1" s="251">
      <c r="B181" s="25" t="inlineStr">
        <is>
          <t xml:space="preserve">  (−) Tax effect of the adjusting items</t>
        </is>
      </c>
      <c r="C181" s="211">
        <f>0</f>
        <v>0</v>
      </c>
      <c r="D181" s="211">
        <f>0</f>
        <v>0</v>
      </c>
      <c r="E181" s="211">
        <f>0</f>
        <v>0</v>
      </c>
      <c r="F181" s="211">
        <f>-459.0</f>
        <v>-459</v>
      </c>
      <c r="G181" s="211">
        <f>-97.0</f>
        <v>-97</v>
      </c>
      <c r="H181" s="211">
        <f>-77.0</f>
        <v>-77</v>
      </c>
      <c r="I181" s="211">
        <f>-55.0</f>
        <v>-55</v>
      </c>
      <c r="J181" s="211">
        <f>-69.0</f>
        <v>-69</v>
      </c>
      <c r="K181" s="211">
        <f>-297.0</f>
        <v>-297</v>
      </c>
      <c r="L181" s="211">
        <f>-56.0</f>
        <v>-56</v>
      </c>
      <c r="M181" s="211">
        <f>-22.0</f>
        <v>-22</v>
      </c>
      <c r="N181" s="211">
        <f>-80.0</f>
        <v>-80</v>
      </c>
      <c r="O181" s="211">
        <f>-269.0</f>
        <v>-269</v>
      </c>
      <c r="P181" s="211">
        <f>-440.0</f>
        <v>-440</v>
      </c>
      <c r="Q181" s="211">
        <f>-230.0</f>
        <v>-230</v>
      </c>
      <c r="R181" s="211">
        <f>-237.0</f>
        <v>-237</v>
      </c>
      <c r="S181" s="211">
        <f>-219.0</f>
        <v>-219</v>
      </c>
      <c r="T181" s="211">
        <f>-260.0</f>
        <v>-260</v>
      </c>
      <c r="U181" s="211">
        <f>-946.0</f>
        <v>-946</v>
      </c>
      <c r="V181" s="211">
        <f>-249.0</f>
        <v>-249</v>
      </c>
      <c r="W181" s="211">
        <f>-252.0</f>
        <v>-252</v>
      </c>
      <c r="X181" s="211">
        <f>-245.0</f>
        <v>-245</v>
      </c>
      <c r="Y181" s="211">
        <f>-449.0</f>
        <v>-449</v>
      </c>
      <c r="Z181" s="211">
        <f>-1916.0</f>
        <v>-1916</v>
      </c>
      <c r="AA181" s="211">
        <f>0</f>
        <v>0</v>
      </c>
      <c r="AB181" s="211">
        <f>0</f>
        <v>0</v>
      </c>
      <c r="AC181" s="211">
        <f>0</f>
        <v>0</v>
      </c>
      <c r="AD181" s="211">
        <f>0</f>
        <v>0</v>
      </c>
      <c r="AE181" s="211">
        <f>0</f>
        <v>0</v>
      </c>
      <c r="AF181" s="211">
        <f>0</f>
        <v>0</v>
      </c>
      <c r="AG181" s="211">
        <f>0</f>
        <v>0</v>
      </c>
      <c r="AH181" s="211">
        <f>0</f>
        <v>0</v>
      </c>
      <c r="AI181" s="211">
        <f>0</f>
        <v>0</v>
      </c>
      <c r="AJ181" s="211">
        <f>0</f>
        <v>0</v>
      </c>
      <c r="AK181" s="211">
        <f>0</f>
        <v>0</v>
      </c>
      <c r="AL181" s="211">
        <f>0</f>
        <v>0</v>
      </c>
      <c r="AM181" s="211">
        <f>0</f>
        <v>0</v>
      </c>
      <c r="AN181" s="211">
        <f>0</f>
        <v>0</v>
      </c>
      <c r="AO181" s="211">
        <f>0</f>
        <v>0</v>
      </c>
      <c r="AP181" s="211">
        <f>0</f>
        <v>0</v>
      </c>
      <c r="AQ181" s="211">
        <f>0</f>
        <v>0</v>
      </c>
      <c r="AR181" s="211">
        <f>0</f>
        <v>0</v>
      </c>
      <c r="AS181" s="211">
        <f>0</f>
        <v>0</v>
      </c>
      <c r="AT181" s="211">
        <f>0</f>
        <v>0</v>
      </c>
      <c r="AU181" s="211">
        <f>0</f>
        <v>0</v>
      </c>
      <c r="AV181" s="211">
        <f>0</f>
        <v>0</v>
      </c>
      <c r="AW181" s="211">
        <f>0</f>
        <v>0</v>
      </c>
      <c r="AX181" s="211">
        <f>0</f>
        <v>0</v>
      </c>
      <c r="AY181" s="211">
        <f>0</f>
        <v>0</v>
      </c>
      <c r="AZ181" s="211">
        <f>0</f>
        <v>0</v>
      </c>
      <c r="BA181" s="211">
        <f>0</f>
        <v>0</v>
      </c>
      <c r="BB181" s="211">
        <f>-BB180*MIN(0.4,MAX(0.15,IFERROR(BB121/BB120,0.21)))</f>
        <v>-87.4736370157819</v>
      </c>
      <c r="BC181" s="211">
        <f>BC188*BC186-BC178-BC179-BC180-BC182</f>
        <v>-930</v>
      </c>
      <c r="BD181" s="211">
        <f>-BD180*MIN(0.4,MAX(0.15,IFERROR(BD121/BD120,0.21)))</f>
        <v>-899.032200978521</v>
      </c>
      <c r="BE181" s="211">
        <f>-BE180*MIN(0.4,MAX(0.15,IFERROR(BE121/BE120,0.21)))</f>
        <v>-250.186396605994</v>
      </c>
      <c r="BF181" s="211">
        <f>-BF180*MIN(0.4,MAX(0.15,IFERROR(BF121/BF120,0.21)))</f>
        <v>-429.16711503282</v>
      </c>
      <c r="BG181" s="211">
        <f>-BG180*MIN(0.4,MAX(0.15,IFERROR(BG121/BG120,0.21)))</f>
        <v>-66.0527817403709</v>
      </c>
      <c r="BH181" s="211">
        <f>-BH180*MIN(0.4,MAX(0.15,IFERROR(BH121/BH120,0.21)))</f>
        <v>-190.959662065683</v>
      </c>
      <c r="BI181" s="211">
        <f>-BI180*MIN(0.4,MAX(0.15,IFERROR(BI121/BI120,0.21)))</f>
        <v>-935.078856371764</v>
      </c>
      <c r="BJ181" s="211">
        <f>0</f>
        <v>0</v>
      </c>
      <c r="BK181" s="211">
        <f>0</f>
        <v>0</v>
      </c>
      <c r="BL181" s="211">
        <f>0</f>
        <v>0</v>
      </c>
      <c r="BM181" s="211">
        <f>-BM180*MIN(0.4,MAX(0.15,IFERROR(BM121/BM120,0.21)))</f>
        <v>232.5</v>
      </c>
      <c r="BN181" s="211">
        <f>-BN180*MIN(0.4,MAX(0.15,IFERROR(BN121/BN120,0.21)))</f>
        <v>232.5</v>
      </c>
      <c r="BO181" s="211">
        <f>0</f>
        <v>0</v>
      </c>
      <c r="BP181" s="211">
        <f>0</f>
        <v>0</v>
      </c>
      <c r="BQ181" s="211">
        <f>0</f>
        <v>0</v>
      </c>
      <c r="BR181" s="211">
        <f>0</f>
        <v>0</v>
      </c>
      <c r="BS181" s="211">
        <f>0</f>
        <v>0</v>
      </c>
      <c r="BT181" s="211">
        <f>0</f>
        <v>0</v>
      </c>
      <c r="BU181" s="211">
        <f>-BU180*MIN(0.4,MAX(0.15,IFERROR(BU121/BU120,0.21)))</f>
        <v>-555.056515248454</v>
      </c>
      <c r="BV181" s="263">
        <f>-(BV146+BV147)*BV122</f>
        <v>0</v>
      </c>
      <c r="BW181" s="263">
        <f>-(BW146+BW147)*BW122</f>
        <v>0</v>
      </c>
      <c r="BX181" s="263">
        <f>SUM(BT181:BW181)</f>
        <v>-555.056515248454</v>
      </c>
      <c r="BY181" s="263">
        <f>-(BY146+BY147)*BY122</f>
        <v>0</v>
      </c>
      <c r="BZ181" s="263">
        <f>-(BZ146+BZ147)*BZ122</f>
        <v>0</v>
      </c>
      <c r="CA181" s="263">
        <f>-(CA146+CA147)*CA122</f>
        <v>0</v>
      </c>
      <c r="CB181" s="263">
        <f>-(CB146+CB147)*CB122</f>
        <v>0</v>
      </c>
      <c r="CC181" s="263">
        <f>-(CC146+CC147)*CC122</f>
        <v>0</v>
      </c>
      <c r="CD181" s="19" t="inlineStr">
        <is>
          <t>Historical: company "income tax adjustments" (IPO–2016); where the company stated an "excluding" EPS, derived as published EPS × diluted shares − GAAP − items − discrete tax; FTC accruals non-deductible (company); otherwise imputed at the period effective tax rate bounded 15–40% (cell comments). Forecast: items × tax rate.</t>
        </is>
      </c>
    </row>
    <row r="182" ht="15" customHeight="1" s="251">
      <c r="B182" s="25" t="inlineStr">
        <is>
          <t xml:space="preserve">  (+/−) Discrete tax items the company quantified (2017 Tax Act; 2019 Altera; 2020 R&amp;D election; 2025 OBBBA valuation allowance; 2026 partial release)</t>
        </is>
      </c>
      <c r="C182" s="261" t="n">
        <v>0</v>
      </c>
      <c r="D182" s="261" t="n">
        <v>0</v>
      </c>
      <c r="E182" s="261" t="n">
        <v>0</v>
      </c>
      <c r="F182" s="261" t="n">
        <v>0</v>
      </c>
      <c r="G182" s="261" t="n">
        <v>0</v>
      </c>
      <c r="H182" s="261" t="n">
        <v>0</v>
      </c>
      <c r="I182" s="261" t="n">
        <v>0</v>
      </c>
      <c r="J182" s="261" t="n">
        <v>0</v>
      </c>
      <c r="K182" s="261" t="n">
        <v>0</v>
      </c>
      <c r="L182" s="261" t="n">
        <v>0</v>
      </c>
      <c r="M182" s="261" t="n">
        <v>0</v>
      </c>
      <c r="N182" s="261" t="n">
        <v>0</v>
      </c>
      <c r="O182" s="261" t="n">
        <v>0</v>
      </c>
      <c r="P182" s="261" t="n">
        <v>0</v>
      </c>
      <c r="Q182" s="261" t="n">
        <v>0</v>
      </c>
      <c r="R182" s="261" t="n">
        <v>0</v>
      </c>
      <c r="S182" s="261" t="n">
        <v>0</v>
      </c>
      <c r="T182" s="261" t="n">
        <v>0</v>
      </c>
      <c r="U182" s="261" t="n">
        <v>0</v>
      </c>
      <c r="V182" s="261" t="n">
        <v>0</v>
      </c>
      <c r="W182" s="261" t="n">
        <v>0</v>
      </c>
      <c r="X182" s="261" t="n">
        <v>0</v>
      </c>
      <c r="Y182" s="261" t="n">
        <v>0</v>
      </c>
      <c r="Z182" s="261" t="n">
        <v>0</v>
      </c>
      <c r="AA182" s="261" t="n">
        <v>0</v>
      </c>
      <c r="AB182" s="261" t="n">
        <v>0</v>
      </c>
      <c r="AC182" s="261" t="n">
        <v>0</v>
      </c>
      <c r="AD182" s="261" t="n">
        <v>2270</v>
      </c>
      <c r="AE182" s="261" t="n">
        <v>2270</v>
      </c>
      <c r="AF182" s="261" t="n">
        <v>0</v>
      </c>
      <c r="AG182" s="261" t="n">
        <v>0</v>
      </c>
      <c r="AH182" s="261" t="n">
        <v>0</v>
      </c>
      <c r="AI182" s="261" t="n">
        <v>0</v>
      </c>
      <c r="AJ182" s="261" t="n">
        <v>0</v>
      </c>
      <c r="AK182" s="261" t="n">
        <v>0</v>
      </c>
      <c r="AL182" s="261" t="n">
        <v>1110</v>
      </c>
      <c r="AM182" s="261" t="n">
        <v>0</v>
      </c>
      <c r="AN182" s="261" t="n">
        <v>0</v>
      </c>
      <c r="AO182" s="261" t="n">
        <v>1110</v>
      </c>
      <c r="AP182" s="261" t="n">
        <v>0</v>
      </c>
      <c r="AQ182" s="261" t="n">
        <v>0</v>
      </c>
      <c r="AR182" s="261" t="n">
        <v>-913</v>
      </c>
      <c r="AS182" s="261" t="n">
        <v>0</v>
      </c>
      <c r="AT182" s="261" t="n">
        <v>-913</v>
      </c>
      <c r="AU182" s="261" t="n">
        <v>0</v>
      </c>
      <c r="AV182" s="261" t="n">
        <v>0</v>
      </c>
      <c r="AW182" s="261" t="n">
        <v>0</v>
      </c>
      <c r="AX182" s="261" t="n">
        <v>0</v>
      </c>
      <c r="AY182" s="261" t="n">
        <v>0</v>
      </c>
      <c r="AZ182" s="261" t="n">
        <v>0</v>
      </c>
      <c r="BA182" s="261" t="n">
        <v>0</v>
      </c>
      <c r="BB182" s="261" t="n">
        <v>0</v>
      </c>
      <c r="BC182" s="261" t="n">
        <v>0</v>
      </c>
      <c r="BD182" s="261" t="n">
        <v>0</v>
      </c>
      <c r="BE182" s="261" t="n">
        <v>0</v>
      </c>
      <c r="BF182" s="261" t="n">
        <v>0</v>
      </c>
      <c r="BG182" s="261" t="n">
        <v>0</v>
      </c>
      <c r="BH182" s="261" t="n">
        <v>0</v>
      </c>
      <c r="BI182" s="261" t="n">
        <v>0</v>
      </c>
      <c r="BJ182" s="261" t="n">
        <v>0</v>
      </c>
      <c r="BK182" s="261" t="n">
        <v>0</v>
      </c>
      <c r="BL182" s="261" t="n">
        <v>0</v>
      </c>
      <c r="BM182" s="261" t="n">
        <v>0</v>
      </c>
      <c r="BN182" s="261" t="n">
        <v>0</v>
      </c>
      <c r="BO182" s="261" t="n">
        <v>0</v>
      </c>
      <c r="BP182" s="261" t="n">
        <v>0</v>
      </c>
      <c r="BQ182" s="261" t="n">
        <v>15930</v>
      </c>
      <c r="BR182" s="261" t="n">
        <v>0</v>
      </c>
      <c r="BS182" s="261" t="n">
        <v>15930</v>
      </c>
      <c r="BT182" s="261" t="n">
        <v>-8030</v>
      </c>
      <c r="BU182" s="261" t="n">
        <v>0</v>
      </c>
      <c r="BV182" s="263">
        <f>0</f>
        <v>0</v>
      </c>
      <c r="BW182" s="263">
        <f>0</f>
        <v>0</v>
      </c>
      <c r="BX182" s="263">
        <f>SUM(BT182:BW182)</f>
        <v>-8030</v>
      </c>
      <c r="BY182" s="263">
        <f>0</f>
        <v>0</v>
      </c>
      <c r="BZ182" s="263">
        <f>0</f>
        <v>0</v>
      </c>
      <c r="CA182" s="263">
        <f>0</f>
        <v>0</v>
      </c>
      <c r="CB182" s="263">
        <f>0</f>
        <v>0</v>
      </c>
      <c r="CC182" s="263">
        <f>0</f>
        <v>0</v>
      </c>
      <c r="CD182" s="19" t="n"/>
    </row>
    <row r="183" ht="15" customHeight="1" s="251">
      <c r="B183" s="55" t="inlineStr">
        <is>
          <t xml:space="preserve">  = Adjusted net income (definition in force)</t>
        </is>
      </c>
      <c r="C183" s="272">
        <f>IF(ISNUMBER(C178),C178+C179+C180+C181+C182,"")</f>
        <v>134</v>
      </c>
      <c r="D183" s="272">
        <f>IF(ISNUMBER(D178),D178+D179+D180+D181+D182,"")</f>
        <v>402</v>
      </c>
      <c r="E183" s="272">
        <f>IF(ISNUMBER(E178),E178+E179+E180+E181+E182,"")</f>
        <v>699</v>
      </c>
      <c r="F183" s="272">
        <f>IF(ISNUMBER(F178),F178+F179+F180+F181+F182,"")</f>
        <v>1317</v>
      </c>
      <c r="G183" s="272">
        <f>IF(ISNUMBER(G178),G178+G179+G180+G181+G182,"")</f>
        <v>312</v>
      </c>
      <c r="H183" s="272">
        <f>IF(ISNUMBER(H178),H178+H179+H180+H181+H182,"")</f>
        <v>488</v>
      </c>
      <c r="I183" s="272">
        <f>IF(ISNUMBER(I178),I178+I179+I180+I181+I182,"")</f>
        <v>621</v>
      </c>
      <c r="J183" s="272">
        <f>IF(ISNUMBER(J178),J178+J179+J180+J181+J182,"")</f>
        <v>780</v>
      </c>
      <c r="K183" s="272">
        <f>IF(ISNUMBER(K178),K178+K179+K180+K181+K182,"")</f>
        <v>2202</v>
      </c>
      <c r="L183" s="272">
        <f>IF(ISNUMBER(L178),L178+L179+L180+L181+L182,"")</f>
        <v>885</v>
      </c>
      <c r="M183" s="272">
        <f>IF(ISNUMBER(M178),M178+M179+M180+M181+M182,"")</f>
        <v>1091</v>
      </c>
      <c r="N183" s="272">
        <f>IF(ISNUMBER(N178),N178+N179+N180+N181+N182,"")</f>
        <v>1149</v>
      </c>
      <c r="O183" s="272">
        <f>IF(ISNUMBER(O178),O178+O179+O180+O181+O182,"")</f>
        <v>1518</v>
      </c>
      <c r="P183" s="272">
        <f>IF(ISNUMBER(P178),P178+P179+P180+P181+P182,"")</f>
        <v>4713</v>
      </c>
      <c r="Q183" s="272">
        <f>IF(ISNUMBER(Q178),Q178+Q179+Q180+Q181+Q182,"")</f>
        <v>1189</v>
      </c>
      <c r="R183" s="272">
        <f>IF(ISNUMBER(R178),R178+R179+R180+R181+R182,"")</f>
        <v>1437</v>
      </c>
      <c r="S183" s="272">
        <f>IF(ISNUMBER(S178),S178+S179+S180+S181+S182,"")</f>
        <v>1628</v>
      </c>
      <c r="T183" s="272">
        <f>IF(ISNUMBER(T178),T178+T179+T180+T181+T182,"")</f>
        <v>2265</v>
      </c>
      <c r="U183" s="272">
        <f>IF(ISNUMBER(U178),U178+U179+U180+U181+U182,"")</f>
        <v>6518</v>
      </c>
      <c r="V183" s="272">
        <f>IF(ISNUMBER(V178),V178+V179+V180+V181+V182,"")</f>
        <v>2229</v>
      </c>
      <c r="W183" s="272">
        <f>IF(ISNUMBER(W178),W178+W179+W180+W181+W182,"")</f>
        <v>2821</v>
      </c>
      <c r="X183" s="272">
        <f>IF(ISNUMBER(X178),X178+X179+X180+X181+X182,"")</f>
        <v>3168</v>
      </c>
      <c r="Y183" s="272">
        <f>IF(ISNUMBER(Y178),Y178+Y179+Y180+Y181+Y182,"")</f>
        <v>4150</v>
      </c>
      <c r="Z183" s="272">
        <f>IF(ISNUMBER(Z178),Z178+Z179+Z180+Z181+Z182,"")</f>
        <v>12368</v>
      </c>
      <c r="AA183" s="272">
        <f>IF(ISNUMBER(AA178),AA178+AA179+AA180+AA181+AA182,"")</f>
        <v>3059</v>
      </c>
      <c r="AB183" s="272">
        <f>IF(ISNUMBER(AB178),AB178+AB179+AB180+AB181+AB182,"")</f>
        <v>3890</v>
      </c>
      <c r="AC183" s="272">
        <f>IF(ISNUMBER(AC178),AC178+AC179+AC180+AC181+AC182,"")</f>
        <v>4704</v>
      </c>
      <c r="AD183" s="272">
        <f>IF(ISNUMBER(AD178),AD178+AD179+AD180+AD181+AD182,"")</f>
        <v>6536</v>
      </c>
      <c r="AE183" s="272">
        <f>IF(ISNUMBER(AE178),AE178+AE179+AE180+AE181+AE182,"")</f>
        <v>18190</v>
      </c>
      <c r="AF183" s="272">
        <f>IF(ISNUMBER(AF178),AF178+AF179+AF180+AF181+AF182,"")</f>
        <v>4987</v>
      </c>
      <c r="AG183" s="272">
        <f>IF(ISNUMBER(AG178),AG178+AG179+AG180+AG181+AG182,"")</f>
        <v>5106</v>
      </c>
      <c r="AH183" s="272">
        <f>IF(ISNUMBER(AH178),AH178+AH179+AH180+AH181+AH182,"")</f>
        <v>5137</v>
      </c>
      <c r="AI183" s="272">
        <f>IF(ISNUMBER(AI178),AI178+AI179+AI180+AI181+AI182,"")</f>
        <v>6882</v>
      </c>
      <c r="AJ183" s="272">
        <f>IF(ISNUMBER(AJ178),AJ178+AJ179+AJ180+AJ181+AJ182,"")</f>
        <v>22111</v>
      </c>
      <c r="AK183" s="272">
        <f>IF(ISNUMBER(AK178),AK178+AK179+AK180+AK181+AK182,"")</f>
        <v>5429</v>
      </c>
      <c r="AL183" s="272">
        <f>IF(ISNUMBER(AL178),AL178+AL179+AL180+AL181+AL182,"")</f>
        <v>5726</v>
      </c>
      <c r="AM183" s="272">
        <f>IF(ISNUMBER(AM178),AM178+AM179+AM180+AM181+AM182,"")</f>
        <v>6091</v>
      </c>
      <c r="AN183" s="272">
        <f>IF(ISNUMBER(AN178),AN178+AN179+AN180+AN181+AN182,"")</f>
        <v>7349</v>
      </c>
      <c r="AO183" s="272">
        <f>IF(ISNUMBER(AO178),AO178+AO179+AO180+AO181+AO182,"")</f>
        <v>24595</v>
      </c>
      <c r="AP183" s="272">
        <f>IF(ISNUMBER(AP178),AP178+AP179+AP180+AP181+AP182,"")</f>
        <v>4902</v>
      </c>
      <c r="AQ183" s="272">
        <f>IF(ISNUMBER(AQ178),AQ178+AQ179+AQ180+AQ181+AQ182,"")</f>
        <v>5178</v>
      </c>
      <c r="AR183" s="272">
        <f>IF(ISNUMBER(AR178),AR178+AR179+AR180+AR181+AR182,"")</f>
        <v>6933</v>
      </c>
      <c r="AS183" s="272">
        <f>IF(ISNUMBER(AS178),AS178+AS179+AS180+AS181+AS182,"")</f>
        <v>11219</v>
      </c>
      <c r="AT183" s="272">
        <f>IF(ISNUMBER(AT178),AT178+AT179+AT180+AT181+AT182,"")</f>
        <v>28233</v>
      </c>
      <c r="AU183" s="272">
        <f>IF(ISNUMBER(AU178),AU178+AU179+AU180+AU181+AU182,"")</f>
        <v>9497</v>
      </c>
      <c r="AV183" s="272">
        <f>IF(ISNUMBER(AV178),AV178+AV179+AV180+AV181+AV182,"")</f>
        <v>10394</v>
      </c>
      <c r="AW183" s="272">
        <f>IF(ISNUMBER(AW178),AW178+AW179+AW180+AW181+AW182,"")</f>
        <v>9194</v>
      </c>
      <c r="AX183" s="272">
        <f>IF(ISNUMBER(AX178),AX178+AX179+AX180+AX181+AX182,"")</f>
        <v>10285</v>
      </c>
      <c r="AY183" s="272">
        <f>IF(ISNUMBER(AY178),AY178+AY179+AY180+AY181+AY182,"")</f>
        <v>39370</v>
      </c>
      <c r="AZ183" s="272">
        <f>IF(ISNUMBER(AZ178),AZ178+AZ179+AZ180+AZ181+AZ182,"")</f>
        <v>7465</v>
      </c>
      <c r="BA183" s="272">
        <f>IF(ISNUMBER(BA178),BA178+BA179+BA180+BA181+BA182,"")</f>
        <v>6687</v>
      </c>
      <c r="BB183" s="272">
        <f>IF(ISNUMBER(BB178),BB178+BB179+BB180+BB181+BB182,"")</f>
        <v>4720.52636298422</v>
      </c>
      <c r="BC183" s="272">
        <f>IF(ISNUMBER(BC178),BC178+BC179+BC180+BC181+BC182,"")</f>
        <v>7920</v>
      </c>
      <c r="BD183" s="272">
        <f>IF(ISNUMBER(BD178),BD178+BD179+BD180+BD181+BD182,"")</f>
        <v>26911.9677990215</v>
      </c>
      <c r="BE183" s="272">
        <f>IF(ISNUMBER(BE178),BE178+BE179+BE180+BE181+BE182,"")</f>
        <v>6602.81360339401</v>
      </c>
      <c r="BF183" s="272">
        <f>IF(ISNUMBER(BF178),BF178+BF179+BF180+BF181+BF182,"")</f>
        <v>10008.8328849672</v>
      </c>
      <c r="BG183" s="272">
        <f>IF(ISNUMBER(BG178),BG178+BG179+BG180+BG181+BG182,"")</f>
        <v>11896.9472182596</v>
      </c>
      <c r="BH183" s="272">
        <f>IF(ISNUMBER(BH178),BH178+BH179+BH180+BH181+BH182,"")</f>
        <v>14976.0403379343</v>
      </c>
      <c r="BI183" s="272">
        <f>IF(ISNUMBER(BI178),BI178+BI179+BI180+BI181+BI182,"")</f>
        <v>43486.9211436282</v>
      </c>
      <c r="BJ183" s="272">
        <f>IF(ISNUMBER(BJ178),BJ178+BJ179+BJ180+BJ181+BJ182,"")</f>
        <v>12369</v>
      </c>
      <c r="BK183" s="272">
        <f>IF(ISNUMBER(BK178),BK178+BK179+BK180+BK181+BK182,"")</f>
        <v>13465</v>
      </c>
      <c r="BL183" s="272">
        <f>IF(ISNUMBER(BL178),BL178+BL179+BL180+BL181+BL182,"")</f>
        <v>15688</v>
      </c>
      <c r="BM183" s="272">
        <f>IF(ISNUMBER(BM178),BM178+BM179+BM180+BM181+BM182,"")</f>
        <v>19520.5</v>
      </c>
      <c r="BN183" s="272">
        <f>IF(ISNUMBER(BN178),BN178+BN179+BN180+BN181+BN182,"")</f>
        <v>61042.5</v>
      </c>
      <c r="BO183" s="272">
        <f>IF(ISNUMBER(BO178),BO178+BO179+BO180+BO181+BO182,"")</f>
        <v>16644</v>
      </c>
      <c r="BP183" s="272">
        <f>IF(ISNUMBER(BP178),BP178+BP179+BP180+BP181+BP182,"")</f>
        <v>18337</v>
      </c>
      <c r="BQ183" s="272">
        <f>IF(ISNUMBER(BQ178),BQ178+BQ179+BQ180+BQ181+BQ182,"")</f>
        <v>18639</v>
      </c>
      <c r="BR183" s="272">
        <f>IF(ISNUMBER(BR178),BR178+BR179+BR180+BR181+BR182,"")</f>
        <v>22768</v>
      </c>
      <c r="BS183" s="272">
        <f>IF(ISNUMBER(BS178),BS178+BS179+BS180+BS181+BS182,"")</f>
        <v>76388</v>
      </c>
      <c r="BT183" s="272">
        <f>IF(ISNUMBER(BT178),BT178+BT179+BT180+BT181+BT182,"")</f>
        <v>18743</v>
      </c>
      <c r="BU183" s="272">
        <f>IF(ISNUMBER(BU178),BU178+BU179+BU180+BU181+BU182,"")</f>
        <v>18872.9434847515</v>
      </c>
      <c r="BV183" s="272">
        <f>IF(ISNUMBER(BV178),BV178+BV179+BV180+BV181+BV182,"")</f>
        <v>16668.1256051872</v>
      </c>
      <c r="BW183" s="272">
        <f>IF(ISNUMBER(BW178),BW178+BW179+BW180+BW181+BW182,"")</f>
        <v>20293.2751209919</v>
      </c>
      <c r="BX183" s="272">
        <f>IF(ISNUMBER(BX178),BX178+BX179+BX180+BX181+BX182,"")</f>
        <v>74577.3442109306</v>
      </c>
      <c r="BY183" s="272">
        <f>IF(ISNUMBER(BY178),BY178+BY179+BY180+BY181+BY182,"")</f>
        <v>84127.3640086451</v>
      </c>
      <c r="BZ183" s="272">
        <f>IF(ISNUMBER(BZ178),BZ178+BZ179+BZ180+BZ181+BZ182,"")</f>
        <v>97359.2468047338</v>
      </c>
      <c r="CA183" s="272">
        <f>IF(ISNUMBER(CA178),CA178+CA179+CA180+CA181+CA182,"")</f>
        <v>110612.770596189</v>
      </c>
      <c r="CB183" s="272">
        <f>IF(ISNUMBER(CB178),CB178+CB179+CB180+CB181+CB182,"")</f>
        <v>126479.059510941</v>
      </c>
      <c r="CC183" s="272">
        <f>IF(ISNUMBER(CC178),CC178+CC179+CC180+CC181+CC182,"")</f>
        <v>143129.453220713</v>
      </c>
      <c r="CD183" s="153" t="n"/>
    </row>
    <row r="184" ht="15" customHeight="1" s="251">
      <c r="B184" s="156" t="inlineStr">
        <is>
          <t xml:space="preserve">  Company-published non-GAAP net income (IPO–2016)</t>
        </is>
      </c>
      <c r="C184" s="34" t="n"/>
      <c r="D184" s="34" t="n"/>
      <c r="E184" s="34" t="n"/>
      <c r="F184" s="261" t="n">
        <v>1317</v>
      </c>
      <c r="G184" s="261" t="n">
        <v>312</v>
      </c>
      <c r="H184" s="261" t="n">
        <v>488</v>
      </c>
      <c r="I184" s="261" t="n">
        <v>621</v>
      </c>
      <c r="J184" s="261" t="n">
        <v>780</v>
      </c>
      <c r="K184" s="261" t="n">
        <v>2202</v>
      </c>
      <c r="L184" s="261" t="n">
        <v>885</v>
      </c>
      <c r="M184" s="261" t="n">
        <v>1091</v>
      </c>
      <c r="N184" s="261" t="n">
        <v>1149</v>
      </c>
      <c r="O184" s="261" t="n">
        <v>1518</v>
      </c>
      <c r="P184" s="261" t="n">
        <v>4713</v>
      </c>
      <c r="Q184" s="261" t="n">
        <v>1189</v>
      </c>
      <c r="R184" s="261" t="n">
        <v>1437</v>
      </c>
      <c r="S184" s="261" t="n">
        <v>1628</v>
      </c>
      <c r="T184" s="261" t="n">
        <v>2265</v>
      </c>
      <c r="U184" s="261" t="n">
        <v>6518</v>
      </c>
      <c r="V184" s="261" t="n">
        <v>2229</v>
      </c>
      <c r="W184" s="261" t="n">
        <v>2821</v>
      </c>
      <c r="X184" s="261" t="n">
        <v>3168</v>
      </c>
      <c r="Y184" s="261" t="n">
        <v>4150</v>
      </c>
      <c r="Z184" s="261" t="n">
        <v>12368</v>
      </c>
      <c r="AA184" s="34" t="n"/>
      <c r="AB184" s="34" t="n"/>
      <c r="AC184" s="34" t="n"/>
      <c r="AD184" s="34" t="n"/>
      <c r="AE184" s="34" t="n"/>
      <c r="AF184" s="34" t="n"/>
      <c r="AG184" s="34" t="n"/>
      <c r="AH184" s="34" t="n"/>
      <c r="AI184" s="34" t="n"/>
      <c r="AJ184" s="34" t="n"/>
      <c r="AK184" s="34" t="n"/>
      <c r="AL184" s="34" t="n"/>
      <c r="AM184" s="34" t="n"/>
      <c r="AN184" s="34" t="n"/>
      <c r="AO184" s="34" t="n"/>
      <c r="AP184" s="34" t="n"/>
      <c r="AQ184" s="34" t="n"/>
      <c r="AR184" s="34" t="n"/>
      <c r="AS184" s="34" t="n"/>
      <c r="AT184" s="34" t="n"/>
      <c r="AU184" s="34" t="n"/>
      <c r="AV184" s="34" t="n"/>
      <c r="AW184" s="34" t="n"/>
      <c r="AX184" s="34" t="n"/>
      <c r="AY184" s="34" t="n"/>
      <c r="AZ184" s="34" t="n"/>
      <c r="BA184" s="34" t="n"/>
      <c r="BB184" s="34" t="n"/>
      <c r="BC184" s="34" t="n"/>
      <c r="BD184" s="34" t="n"/>
      <c r="BE184" s="34" t="n"/>
      <c r="BF184" s="34" t="n"/>
      <c r="BG184" s="34" t="n"/>
      <c r="BH184" s="34" t="n"/>
      <c r="BI184" s="34" t="n"/>
      <c r="BJ184" s="34" t="n"/>
      <c r="BK184" s="34" t="n"/>
      <c r="BL184" s="34" t="n"/>
      <c r="BM184" s="34" t="n"/>
      <c r="BN184" s="34" t="n"/>
      <c r="BO184" s="34" t="n"/>
      <c r="BP184" s="34" t="n"/>
      <c r="BQ184" s="34" t="n"/>
      <c r="BR184" s="34" t="n"/>
      <c r="BS184" s="34" t="n"/>
      <c r="BT184" s="34" t="n"/>
      <c r="BU184" s="34" t="n"/>
      <c r="BV184" s="153" t="n"/>
      <c r="BW184" s="153" t="n"/>
      <c r="BX184" s="153" t="n"/>
      <c r="BY184" s="153" t="n"/>
      <c r="BZ184" s="153" t="n"/>
      <c r="CA184" s="153" t="n"/>
      <c r="CB184" s="153" t="n"/>
      <c r="CC184" s="153" t="n"/>
      <c r="CD184" s="153" t="n"/>
    </row>
    <row r="185" ht="15" customHeight="1" s="251">
      <c r="B185" s="156" t="inlineStr">
        <is>
          <t xml:space="preserve">  Memo: company non-GAAP diluted shares (IPO–2016; incl. assumed preferred conversion pre-IPO)</t>
        </is>
      </c>
      <c r="C185" s="34" t="n"/>
      <c r="D185" s="34" t="n"/>
      <c r="E185" s="34" t="n"/>
      <c r="F185" s="261" t="n">
        <v>2479</v>
      </c>
      <c r="G185" s="261" t="n">
        <v>2499</v>
      </c>
      <c r="H185" s="261" t="n">
        <v>2502</v>
      </c>
      <c r="I185" s="261" t="n">
        <v>2528</v>
      </c>
      <c r="J185" s="261" t="n">
        <v>2558</v>
      </c>
      <c r="K185" s="261" t="n">
        <v>2517</v>
      </c>
      <c r="L185" s="261" t="n">
        <v>2609</v>
      </c>
      <c r="M185" s="261" t="n">
        <v>2615</v>
      </c>
      <c r="N185" s="261" t="n">
        <v>2644</v>
      </c>
      <c r="O185" s="261" t="n">
        <v>2816</v>
      </c>
      <c r="P185" s="261" t="n">
        <v>2664</v>
      </c>
      <c r="Q185" s="261" t="n">
        <v>2836</v>
      </c>
      <c r="R185" s="261" t="n">
        <v>2850</v>
      </c>
      <c r="S185" s="261" t="n">
        <v>2863</v>
      </c>
      <c r="T185" s="261" t="n">
        <v>2878</v>
      </c>
      <c r="U185" s="261" t="n">
        <v>2853</v>
      </c>
      <c r="V185" s="261" t="n">
        <v>2888</v>
      </c>
      <c r="W185" s="261" t="n">
        <v>2904</v>
      </c>
      <c r="X185" s="261" t="n">
        <v>2915</v>
      </c>
      <c r="Y185" s="261" t="n">
        <v>2938</v>
      </c>
      <c r="Z185" s="261" t="n">
        <v>2925</v>
      </c>
      <c r="AA185" s="34" t="n"/>
      <c r="AB185" s="34" t="n"/>
      <c r="AC185" s="34" t="n"/>
      <c r="AD185" s="34" t="n"/>
      <c r="AE185" s="34" t="n"/>
      <c r="AF185" s="34" t="n"/>
      <c r="AG185" s="34" t="n"/>
      <c r="AH185" s="34" t="n"/>
      <c r="AI185" s="34" t="n"/>
      <c r="AJ185" s="34" t="n"/>
      <c r="AK185" s="34" t="n"/>
      <c r="AL185" s="34" t="n"/>
      <c r="AM185" s="34" t="n"/>
      <c r="AN185" s="34" t="n"/>
      <c r="AO185" s="34" t="n"/>
      <c r="AP185" s="34" t="n"/>
      <c r="AQ185" s="34" t="n"/>
      <c r="AR185" s="34" t="n"/>
      <c r="AS185" s="34" t="n"/>
      <c r="AT185" s="34" t="n"/>
      <c r="AU185" s="34" t="n"/>
      <c r="AV185" s="34" t="n"/>
      <c r="AW185" s="34" t="n"/>
      <c r="AX185" s="34" t="n"/>
      <c r="AY185" s="34" t="n"/>
      <c r="AZ185" s="34" t="n"/>
      <c r="BA185" s="34" t="n"/>
      <c r="BB185" s="34" t="n"/>
      <c r="BC185" s="34" t="n"/>
      <c r="BD185" s="34" t="n"/>
      <c r="BE185" s="34" t="n"/>
      <c r="BF185" s="34" t="n"/>
      <c r="BG185" s="34" t="n"/>
      <c r="BH185" s="34" t="n"/>
      <c r="BI185" s="34" t="n"/>
      <c r="BJ185" s="34" t="n"/>
      <c r="BK185" s="34" t="n"/>
      <c r="BL185" s="34" t="n"/>
      <c r="BM185" s="34" t="n"/>
      <c r="BN185" s="34" t="n"/>
      <c r="BO185" s="34" t="n"/>
      <c r="BP185" s="34" t="n"/>
      <c r="BQ185" s="34" t="n"/>
      <c r="BR185" s="34" t="n"/>
      <c r="BS185" s="34" t="n"/>
      <c r="BT185" s="34" t="n"/>
      <c r="BU185" s="34" t="n"/>
      <c r="BV185" s="153" t="n"/>
      <c r="BW185" s="153" t="n"/>
      <c r="BX185" s="153" t="n"/>
      <c r="BY185" s="153" t="n"/>
      <c r="BZ185" s="153" t="n"/>
      <c r="CA185" s="153" t="n"/>
      <c r="CB185" s="153" t="n"/>
      <c r="CC185" s="153" t="n"/>
      <c r="CD185" s="153" t="n"/>
    </row>
    <row r="186" ht="15" customHeight="1" s="251">
      <c r="B186" s="25" t="inlineStr">
        <is>
          <t xml:space="preserve">  Diluted shares for adjusted EPS (m)</t>
        </is>
      </c>
      <c r="C186" s="211">
        <f>IF(ISNUMBER(C185),C185,C133)</f>
        <v>1366</v>
      </c>
      <c r="D186" s="211">
        <f>IF(ISNUMBER(D185),D185,D133)</f>
        <v>1414</v>
      </c>
      <c r="E186" s="211">
        <f>IF(ISNUMBER(E185),E185,E133)</f>
        <v>1508</v>
      </c>
      <c r="F186" s="211">
        <f>IF(ISNUMBER(F185),F185,F133)</f>
        <v>2479</v>
      </c>
      <c r="G186" s="211">
        <f>IF(ISNUMBER(G185),G185,G133)</f>
        <v>2499</v>
      </c>
      <c r="H186" s="211">
        <f>IF(ISNUMBER(H185),H185,H133)</f>
        <v>2502</v>
      </c>
      <c r="I186" s="211">
        <f>IF(ISNUMBER(I185),I185,I133)</f>
        <v>2528</v>
      </c>
      <c r="J186" s="211">
        <f>IF(ISNUMBER(J185),J185,J133)</f>
        <v>2558</v>
      </c>
      <c r="K186" s="211">
        <f>IF(ISNUMBER(K185),K185,K133)</f>
        <v>2517</v>
      </c>
      <c r="L186" s="211">
        <f>IF(ISNUMBER(L185),L185,L133)</f>
        <v>2609</v>
      </c>
      <c r="M186" s="211">
        <f>IF(ISNUMBER(M185),M185,M133)</f>
        <v>2615</v>
      </c>
      <c r="N186" s="211">
        <f>IF(ISNUMBER(N185),N185,N133)</f>
        <v>2644</v>
      </c>
      <c r="O186" s="211">
        <f>IF(ISNUMBER(O185),O185,O133)</f>
        <v>2816</v>
      </c>
      <c r="P186" s="211">
        <f>IF(ISNUMBER(P185),P185,P133)</f>
        <v>2664</v>
      </c>
      <c r="Q186" s="211">
        <f>IF(ISNUMBER(Q185),Q185,Q133)</f>
        <v>2836</v>
      </c>
      <c r="R186" s="211">
        <f>IF(ISNUMBER(R185),R185,R133)</f>
        <v>2850</v>
      </c>
      <c r="S186" s="211">
        <f>IF(ISNUMBER(S185),S185,S133)</f>
        <v>2863</v>
      </c>
      <c r="T186" s="211">
        <f>IF(ISNUMBER(T185),T185,T133)</f>
        <v>2878</v>
      </c>
      <c r="U186" s="211">
        <f>IF(ISNUMBER(U185),U185,U133)</f>
        <v>2853</v>
      </c>
      <c r="V186" s="211">
        <f>IF(ISNUMBER(V185),V185,V133)</f>
        <v>2888</v>
      </c>
      <c r="W186" s="211">
        <f>IF(ISNUMBER(W185),W185,W133)</f>
        <v>2904</v>
      </c>
      <c r="X186" s="211">
        <f>IF(ISNUMBER(X185),X185,X133)</f>
        <v>2915</v>
      </c>
      <c r="Y186" s="211">
        <f>IF(ISNUMBER(Y185),Y185,Y133)</f>
        <v>2938</v>
      </c>
      <c r="Z186" s="211">
        <f>IF(ISNUMBER(Z185),Z185,Z133)</f>
        <v>2925</v>
      </c>
      <c r="AA186" s="211">
        <f>IF(ISNUMBER(AA185),AA185,AA133)</f>
        <v>2944</v>
      </c>
      <c r="AB186" s="211">
        <f>IF(ISNUMBER(AB185),AB185,AB133)</f>
        <v>2951</v>
      </c>
      <c r="AC186" s="211">
        <f>IF(ISNUMBER(AC185),AC185,AC133)</f>
        <v>2956</v>
      </c>
      <c r="AD186" s="211">
        <f>IF(ISNUMBER(AD185),AD185,AD133)</f>
        <v>2954</v>
      </c>
      <c r="AE186" s="211">
        <f>IF(ISNUMBER(AE185),AE185,AE133)</f>
        <v>2956</v>
      </c>
      <c r="AF186" s="211">
        <f>IF(ISNUMBER(AF185),AF185,AF133)</f>
        <v>2945</v>
      </c>
      <c r="AG186" s="211">
        <f>IF(ISNUMBER(AG185),AG185,AG133)</f>
        <v>2930</v>
      </c>
      <c r="AH186" s="211">
        <f>IF(ISNUMBER(AH185),AH185,AH133)</f>
        <v>2913</v>
      </c>
      <c r="AI186" s="211">
        <f>IF(ISNUMBER(AI185),AI185,AI133)</f>
        <v>2886</v>
      </c>
      <c r="AJ186" s="211">
        <f>IF(ISNUMBER(AJ185),AJ185,AJ133)</f>
        <v>2921</v>
      </c>
      <c r="AK186" s="211">
        <f>IF(ISNUMBER(AK185),AK185,AK133)</f>
        <v>2869</v>
      </c>
      <c r="AL186" s="211">
        <f>IF(ISNUMBER(AL185),AL185,AL133)</f>
        <v>2875</v>
      </c>
      <c r="AM186" s="211">
        <f>IF(ISNUMBER(AM185),AM185,AM133)</f>
        <v>2874</v>
      </c>
      <c r="AN186" s="211">
        <f>IF(ISNUMBER(AN185),AN185,AN133)</f>
        <v>2871</v>
      </c>
      <c r="AO186" s="211">
        <f>IF(ISNUMBER(AO185),AO185,AO133)</f>
        <v>2876</v>
      </c>
      <c r="AP186" s="211">
        <f>IF(ISNUMBER(AP185),AP185,AP133)</f>
        <v>2868</v>
      </c>
      <c r="AQ186" s="211">
        <f>IF(ISNUMBER(AQ185),AQ185,AQ133)</f>
        <v>2879</v>
      </c>
      <c r="AR186" s="211">
        <f>IF(ISNUMBER(AR185),AR185,AR133)</f>
        <v>2891</v>
      </c>
      <c r="AS186" s="211">
        <f>IF(ISNUMBER(AS185),AS185,AS133)</f>
        <v>2890</v>
      </c>
      <c r="AT186" s="211">
        <f>IF(ISNUMBER(AT185),AT185,AT133)</f>
        <v>2888</v>
      </c>
      <c r="AU186" s="211">
        <f>IF(ISNUMBER(AU185),AU185,AU133)</f>
        <v>2882</v>
      </c>
      <c r="AV186" s="211">
        <f>IF(ISNUMBER(AV185),AV185,AV133)</f>
        <v>2877</v>
      </c>
      <c r="AW186" s="211">
        <f>IF(ISNUMBER(AW185),AW185,AW133)</f>
        <v>2859</v>
      </c>
      <c r="AX186" s="211">
        <f>IF(ISNUMBER(AX185),AX185,AX133)</f>
        <v>2799</v>
      </c>
      <c r="AY186" s="211">
        <f>IF(ISNUMBER(AY185),AY185,AY133)</f>
        <v>2859</v>
      </c>
      <c r="AZ186" s="211">
        <f>IF(ISNUMBER(AZ185),AZ185,AZ133)</f>
        <v>2742</v>
      </c>
      <c r="BA186" s="211">
        <f>IF(ISNUMBER(BA185),BA185,BA133)</f>
        <v>2713</v>
      </c>
      <c r="BB186" s="211">
        <f>IF(ISNUMBER(BB185),BB185,BB133)</f>
        <v>2687</v>
      </c>
      <c r="BC186" s="211">
        <f>IF(ISNUMBER(BC185),BC185,BC133)</f>
        <v>2640</v>
      </c>
      <c r="BD186" s="211">
        <f>IF(ISNUMBER(BD185),BD185,BD133)</f>
        <v>2702</v>
      </c>
      <c r="BE186" s="211">
        <f>IF(ISNUMBER(BE185),BE185,BE133)</f>
        <v>2596</v>
      </c>
      <c r="BF186" s="211">
        <f>IF(ISNUMBER(BF185),BF185,BF133)</f>
        <v>2612</v>
      </c>
      <c r="BG186" s="211">
        <f>IF(ISNUMBER(BG185),BG185,BG133)</f>
        <v>2641</v>
      </c>
      <c r="BH186" s="211">
        <f>IF(ISNUMBER(BH185),BH185,BH133)</f>
        <v>2630</v>
      </c>
      <c r="BI186" s="211">
        <f>IF(ISNUMBER(BI185),BI185,BI133)</f>
        <v>2629</v>
      </c>
      <c r="BJ186" s="211">
        <f>IF(ISNUMBER(BJ185),BJ185,BJ133)</f>
        <v>2625</v>
      </c>
      <c r="BK186" s="211">
        <f>IF(ISNUMBER(BK185),BK185,BK133)</f>
        <v>2610</v>
      </c>
      <c r="BL186" s="211">
        <f>IF(ISNUMBER(BL185),BL185,BL133)</f>
        <v>2600</v>
      </c>
      <c r="BM186" s="211">
        <f>IF(ISNUMBER(BM185),BM185,BM133)</f>
        <v>2599</v>
      </c>
      <c r="BN186" s="211">
        <f>IF(ISNUMBER(BN185),BN185,BN133)</f>
        <v>2614</v>
      </c>
      <c r="BO186" s="211">
        <f>IF(ISNUMBER(BO185),BO185,BO133)</f>
        <v>2590</v>
      </c>
      <c r="BP186" s="211">
        <f>IF(ISNUMBER(BP185),BP185,BP133)</f>
        <v>2570</v>
      </c>
      <c r="BQ186" s="211">
        <f>IF(ISNUMBER(BQ185),BQ185,BQ133)</f>
        <v>2572</v>
      </c>
      <c r="BR186" s="211">
        <f>IF(ISNUMBER(BR185),BR185,BR133)</f>
        <v>2565</v>
      </c>
      <c r="BS186" s="211">
        <f>IF(ISNUMBER(BS185),BS185,BS133)</f>
        <v>2574</v>
      </c>
      <c r="BT186" s="211">
        <f>IF(ISNUMBER(BT185),BT185,BT133)</f>
        <v>2564</v>
      </c>
      <c r="BU186" s="211">
        <f>IF(ISNUMBER(BU185),BU185,BU133)</f>
        <v>2566</v>
      </c>
      <c r="BV186" s="263">
        <f>IF(ISNUMBER(BV185),BV185,BV133)</f>
        <v>2570.5</v>
      </c>
      <c r="BW186" s="263">
        <f>IF(ISNUMBER(BW185),BW185,BW133)</f>
        <v>2579.5</v>
      </c>
      <c r="BX186" s="263">
        <f>IF(ISNUMBER(BX185),BX185,BX133)</f>
        <v>2570</v>
      </c>
      <c r="BY186" s="263">
        <f>IF(ISNUMBER(BY185),BY185,BY133)</f>
        <v>2604</v>
      </c>
      <c r="BZ186" s="263">
        <f>IF(ISNUMBER(BZ185),BZ185,BZ133)</f>
        <v>2630.49824981532</v>
      </c>
      <c r="CA186" s="263">
        <f>IF(ISNUMBER(CA185),CA185,CA133)</f>
        <v>2628.87593936031</v>
      </c>
      <c r="CB186" s="263">
        <f>IF(ISNUMBER(CB185),CB185,CB133)</f>
        <v>2589.51038662332</v>
      </c>
      <c r="CC186" s="263">
        <f>IF(ISNUMBER(CC185),CC185,CC133)</f>
        <v>2528.43585846864</v>
      </c>
      <c r="CD186" s="19" t="n"/>
    </row>
    <row r="187" ht="15" customHeight="1" s="251">
      <c r="B187" s="55" t="inlineStr">
        <is>
          <t>Adjusted EPS — diluted ($) (definition in force)</t>
        </is>
      </c>
      <c r="C187" s="275">
        <f>IF(AND(ISNUMBER(C183),ISNUMBER(C186)),IFERROR(C183/C186,""),"")</f>
        <v>0.0980966325036603</v>
      </c>
      <c r="D187" s="275">
        <f>IF(AND(ISNUMBER(D183),ISNUMBER(D186)),IFERROR(D183/D186,""),"")</f>
        <v>0.284299858557284</v>
      </c>
      <c r="E187" s="275">
        <f>IF(AND(ISNUMBER(E183),ISNUMBER(E186)),IFERROR(E183/E186,""),"")</f>
        <v>0.463527851458886</v>
      </c>
      <c r="F187" s="275">
        <f>IF(AND(ISNUMBER(F183),ISNUMBER(F186)),IFERROR(F183/F186,""),"")</f>
        <v>0.531262605889472</v>
      </c>
      <c r="G187" s="275">
        <f>IF(AND(ISNUMBER(G183),ISNUMBER(G186)),IFERROR(G183/G186,""),"")</f>
        <v>0.12484993997599</v>
      </c>
      <c r="H187" s="275">
        <f>IF(AND(ISNUMBER(H183),ISNUMBER(H186)),IFERROR(H183/H186,""),"")</f>
        <v>0.195043964828138</v>
      </c>
      <c r="I187" s="275">
        <f>IF(AND(ISNUMBER(I183),ISNUMBER(I186)),IFERROR(I183/I186,""),"")</f>
        <v>0.245648734177215</v>
      </c>
      <c r="J187" s="275">
        <f>IF(AND(ISNUMBER(J183),ISNUMBER(J186)),IFERROR(J183/J186,""),"")</f>
        <v>0.304925723221267</v>
      </c>
      <c r="K187" s="275">
        <f>IF(AND(ISNUMBER(K183),ISNUMBER(K186)),IFERROR(K183/K186,""),"")</f>
        <v>0.874851013110846</v>
      </c>
      <c r="L187" s="275">
        <f>IF(AND(ISNUMBER(L183),ISNUMBER(L186)),IFERROR(L183/L186,""),"")</f>
        <v>0.339210425450364</v>
      </c>
      <c r="M187" s="275">
        <f>IF(AND(ISNUMBER(M183),ISNUMBER(M186)),IFERROR(M183/M186,""),"")</f>
        <v>0.417208413001912</v>
      </c>
      <c r="N187" s="275">
        <f>IF(AND(ISNUMBER(N183),ISNUMBER(N186)),IFERROR(N183/N186,""),"")</f>
        <v>0.434568835098336</v>
      </c>
      <c r="O187" s="275">
        <f>IF(AND(ISNUMBER(O183),ISNUMBER(O186)),IFERROR(O183/O186,""),"")</f>
        <v>0.5390625</v>
      </c>
      <c r="P187" s="275">
        <f>IF(AND(ISNUMBER(P183),ISNUMBER(P186)),IFERROR(P183/P186,""),"")</f>
        <v>1.76914414414414</v>
      </c>
      <c r="Q187" s="275">
        <f>IF(AND(ISNUMBER(Q183),ISNUMBER(Q186)),IFERROR(Q183/Q186,""),"")</f>
        <v>0.419252468265162</v>
      </c>
      <c r="R187" s="275">
        <f>IF(AND(ISNUMBER(R183),ISNUMBER(R186)),IFERROR(R183/R186,""),"")</f>
        <v>0.504210526315789</v>
      </c>
      <c r="S187" s="275">
        <f>IF(AND(ISNUMBER(S183),ISNUMBER(S186)),IFERROR(S183/S186,""),"")</f>
        <v>0.568634299685644</v>
      </c>
      <c r="T187" s="275">
        <f>IF(AND(ISNUMBER(T183),ISNUMBER(T186)),IFERROR(T183/T186,""),"")</f>
        <v>0.787004864489229</v>
      </c>
      <c r="U187" s="275">
        <f>IF(AND(ISNUMBER(U183),ISNUMBER(U186)),IFERROR(U183/U186,""),"")</f>
        <v>2.28461268839818</v>
      </c>
      <c r="V187" s="275">
        <f>IF(AND(ISNUMBER(V183),ISNUMBER(V186)),IFERROR(V183/V186,""),"")</f>
        <v>0.771814404432133</v>
      </c>
      <c r="W187" s="275">
        <f>IF(AND(ISNUMBER(W183),ISNUMBER(W186)),IFERROR(W183/W186,""),"")</f>
        <v>0.971418732782369</v>
      </c>
      <c r="X187" s="275">
        <f>IF(AND(ISNUMBER(X183),ISNUMBER(X186)),IFERROR(X183/X186,""),"")</f>
        <v>1.08679245283019</v>
      </c>
      <c r="Y187" s="275">
        <f>IF(AND(ISNUMBER(Y183),ISNUMBER(Y186)),IFERROR(Y183/Y186,""),"")</f>
        <v>1.41252552756978</v>
      </c>
      <c r="Z187" s="275">
        <f>IF(AND(ISNUMBER(Z183),ISNUMBER(Z186)),IFERROR(Z183/Z186,""),"")</f>
        <v>4.22837606837607</v>
      </c>
      <c r="AA187" s="275">
        <f>IF(AND(ISNUMBER(AA183),ISNUMBER(AA186)),IFERROR(AA183/AA186,""),"")</f>
        <v>1.0390625</v>
      </c>
      <c r="AB187" s="275">
        <f>IF(AND(ISNUMBER(AB183),ISNUMBER(AB186)),IFERROR(AB183/AB186,""),"")</f>
        <v>1.31819722128092</v>
      </c>
      <c r="AC187" s="275">
        <f>IF(AND(ISNUMBER(AC183),ISNUMBER(AC186)),IFERROR(AC183/AC186,""),"")</f>
        <v>1.59133964817321</v>
      </c>
      <c r="AD187" s="275">
        <f>IF(AND(ISNUMBER(AD183),ISNUMBER(AD186)),IFERROR(AD183/AD186,""),"")</f>
        <v>2.21259309410968</v>
      </c>
      <c r="AE187" s="275">
        <f>IF(AND(ISNUMBER(AE183),ISNUMBER(AE186)),IFERROR(AE183/AE186,""),"")</f>
        <v>6.15358592692828</v>
      </c>
      <c r="AF187" s="275">
        <f>IF(AND(ISNUMBER(AF183),ISNUMBER(AF186)),IFERROR(AF183/AF186,""),"")</f>
        <v>1.69337860780985</v>
      </c>
      <c r="AG187" s="275">
        <f>IF(AND(ISNUMBER(AG183),ISNUMBER(AG186)),IFERROR(AG183/AG186,""),"")</f>
        <v>1.74266211604096</v>
      </c>
      <c r="AH187" s="275">
        <f>IF(AND(ISNUMBER(AH183),ISNUMBER(AH186)),IFERROR(AH183/AH186,""),"")</f>
        <v>1.76347408170271</v>
      </c>
      <c r="AI187" s="275">
        <f>IF(AND(ISNUMBER(AI183),ISNUMBER(AI186)),IFERROR(AI183/AI186,""),"")</f>
        <v>2.38461538461538</v>
      </c>
      <c r="AJ187" s="275">
        <f>IF(AND(ISNUMBER(AJ183),ISNUMBER(AJ186)),IFERROR(AJ183/AJ186,""),"")</f>
        <v>7.56966792194454</v>
      </c>
      <c r="AK187" s="275">
        <f>IF(AND(ISNUMBER(AK183),ISNUMBER(AK186)),IFERROR(AK183/AK186,""),"")</f>
        <v>1.89229696758452</v>
      </c>
      <c r="AL187" s="275">
        <f>IF(AND(ISNUMBER(AL183),ISNUMBER(AL186)),IFERROR(AL183/AL186,""),"")</f>
        <v>1.99165217391304</v>
      </c>
      <c r="AM187" s="275">
        <f>IF(AND(ISNUMBER(AM183),ISNUMBER(AM186)),IFERROR(AM183/AM186,""),"")</f>
        <v>2.11934585942937</v>
      </c>
      <c r="AN187" s="275">
        <f>IF(AND(ISNUMBER(AN183),ISNUMBER(AN186)),IFERROR(AN183/AN186,""),"")</f>
        <v>2.55973528387322</v>
      </c>
      <c r="AO187" s="275">
        <f>IF(AND(ISNUMBER(AO183),ISNUMBER(AO186)),IFERROR(AO183/AO186,""),"")</f>
        <v>8.55180806675939</v>
      </c>
      <c r="AP187" s="275">
        <f>IF(AND(ISNUMBER(AP183),ISNUMBER(AP186)),IFERROR(AP183/AP186,""),"")</f>
        <v>1.7092050209205</v>
      </c>
      <c r="AQ187" s="275">
        <f>IF(AND(ISNUMBER(AQ183),ISNUMBER(AQ186)),IFERROR(AQ183/AQ186,""),"")</f>
        <v>1.79854116012504</v>
      </c>
      <c r="AR187" s="275">
        <f>IF(AND(ISNUMBER(AR183),ISNUMBER(AR186)),IFERROR(AR183/AR186,""),"")</f>
        <v>2.39813213420962</v>
      </c>
      <c r="AS187" s="275">
        <f>IF(AND(ISNUMBER(AS183),ISNUMBER(AS186)),IFERROR(AS183/AS186,""),"")</f>
        <v>3.88200692041523</v>
      </c>
      <c r="AT187" s="275">
        <f>IF(AND(ISNUMBER(AT183),ISNUMBER(AT186)),IFERROR(AT183/AT186,""),"")</f>
        <v>9.77596952908587</v>
      </c>
      <c r="AU187" s="275">
        <f>IF(AND(ISNUMBER(AU183),ISNUMBER(AU186)),IFERROR(AU183/AU186,""),"")</f>
        <v>3.29528105482304</v>
      </c>
      <c r="AV187" s="275">
        <f>IF(AND(ISNUMBER(AV183),ISNUMBER(AV186)),IFERROR(AV183/AV186,""),"")</f>
        <v>3.6127911018422</v>
      </c>
      <c r="AW187" s="275">
        <f>IF(AND(ISNUMBER(AW183),ISNUMBER(AW186)),IFERROR(AW183/AW186,""),"")</f>
        <v>3.21580972367961</v>
      </c>
      <c r="AX187" s="275">
        <f>IF(AND(ISNUMBER(AX183),ISNUMBER(AX186)),IFERROR(AX183/AX186,""),"")</f>
        <v>3.6745266166488</v>
      </c>
      <c r="AY187" s="275">
        <f>IF(AND(ISNUMBER(AY183),ISNUMBER(AY186)),IFERROR(AY183/AY186,""),"")</f>
        <v>13.770549143057</v>
      </c>
      <c r="AZ187" s="275">
        <f>IF(AND(ISNUMBER(AZ183),ISNUMBER(AZ186)),IFERROR(AZ183/AZ186,""),"")</f>
        <v>2.72246535375638</v>
      </c>
      <c r="BA187" s="275">
        <f>IF(AND(ISNUMBER(BA183),ISNUMBER(BA186)),IFERROR(BA183/BA186,""),"")</f>
        <v>2.46479911537044</v>
      </c>
      <c r="BB187" s="275">
        <f>IF(AND(ISNUMBER(BB183),ISNUMBER(BB186)),IFERROR(BB183/BB186,""),"")</f>
        <v>1.75680177260298</v>
      </c>
      <c r="BC187" s="275">
        <f>IF(AND(ISNUMBER(BC183),ISNUMBER(BC186)),IFERROR(BC183/BC186,""),"")</f>
        <v>3</v>
      </c>
      <c r="BD187" s="275">
        <f>IF(AND(ISNUMBER(BD183),ISNUMBER(BD186)),IFERROR(BD183/BD186,""),"")</f>
        <v>9.96001769023741</v>
      </c>
      <c r="BE187" s="275">
        <f>IF(AND(ISNUMBER(BE183),ISNUMBER(BE186)),IFERROR(BE183/BE186,""),"")</f>
        <v>2.54345670392681</v>
      </c>
      <c r="BF187" s="275">
        <f>IF(AND(ISNUMBER(BF183),ISNUMBER(BF186)),IFERROR(BF183/BF186,""),"")</f>
        <v>3.83186557617427</v>
      </c>
      <c r="BG187" s="275">
        <f>IF(AND(ISNUMBER(BG183),ISNUMBER(BG186)),IFERROR(BG183/BG186,""),"")</f>
        <v>4.50471307014753</v>
      </c>
      <c r="BH187" s="275">
        <f>IF(AND(ISNUMBER(BH183),ISNUMBER(BH186)),IFERROR(BH183/BH186,""),"")</f>
        <v>5.69431191556438</v>
      </c>
      <c r="BI187" s="275">
        <f>IF(AND(ISNUMBER(BI183),ISNUMBER(BI186)),IFERROR(BI183/BI186,""),"")</f>
        <v>16.5412404502199</v>
      </c>
      <c r="BJ187" s="275">
        <f>IF(AND(ISNUMBER(BJ183),ISNUMBER(BJ186)),IFERROR(BJ183/BJ186,""),"")</f>
        <v>4.712</v>
      </c>
      <c r="BK187" s="275">
        <f>IF(AND(ISNUMBER(BK183),ISNUMBER(BK186)),IFERROR(BK183/BK186,""),"")</f>
        <v>5.15900383141763</v>
      </c>
      <c r="BL187" s="275">
        <f>IF(AND(ISNUMBER(BL183),ISNUMBER(BL186)),IFERROR(BL183/BL186,""),"")</f>
        <v>6.03384615384615</v>
      </c>
      <c r="BM187" s="275">
        <f>IF(AND(ISNUMBER(BM183),ISNUMBER(BM186)),IFERROR(BM183/BM186,""),"")</f>
        <v>7.51077337437476</v>
      </c>
      <c r="BN187" s="275">
        <f>IF(AND(ISNUMBER(BN183),ISNUMBER(BN186)),IFERROR(BN183/BN186,""),"")</f>
        <v>23.352142310635</v>
      </c>
      <c r="BO187" s="275">
        <f>IF(AND(ISNUMBER(BO183),ISNUMBER(BO186)),IFERROR(BO183/BO186,""),"")</f>
        <v>6.42625482625483</v>
      </c>
      <c r="BP187" s="275">
        <f>IF(AND(ISNUMBER(BP183),ISNUMBER(BP186)),IFERROR(BP183/BP186,""),"")</f>
        <v>7.13501945525292</v>
      </c>
      <c r="BQ187" s="275">
        <f>IF(AND(ISNUMBER(BQ183),ISNUMBER(BQ186)),IFERROR(BQ183/BQ186,""),"")</f>
        <v>7.24688958009331</v>
      </c>
      <c r="BR187" s="275">
        <f>IF(AND(ISNUMBER(BR183),ISNUMBER(BR186)),IFERROR(BR183/BR186,""),"")</f>
        <v>8.87641325536063</v>
      </c>
      <c r="BS187" s="275">
        <f>IF(AND(ISNUMBER(BS183),ISNUMBER(BS186)),IFERROR(BS183/BS186,""),"")</f>
        <v>29.6767676767677</v>
      </c>
      <c r="BT187" s="275">
        <f>IF(AND(ISNUMBER(BT183),ISNUMBER(BT186)),IFERROR(BT183/BT186,""),"")</f>
        <v>7.3100624024961</v>
      </c>
      <c r="BU187" s="275">
        <f>IF(AND(ISNUMBER(BU183),ISNUMBER(BU186)),IFERROR(BU183/BU186,""),"")</f>
        <v>7.35500525516428</v>
      </c>
      <c r="BV187" s="275">
        <f>IF(AND(ISNUMBER(BV183),ISNUMBER(BV186)),IFERROR(BV183/BV186,""),"")</f>
        <v>6.48439043189541</v>
      </c>
      <c r="BW187" s="275">
        <f>IF(AND(ISNUMBER(BW183),ISNUMBER(BW186)),IFERROR(BW183/BW186,""),"")</f>
        <v>7.86713515060743</v>
      </c>
      <c r="BX187" s="275">
        <f>IF(AND(ISNUMBER(BX183),ISNUMBER(BX186)),IFERROR(BX183/BX186,""),"")</f>
        <v>29.0184218719574</v>
      </c>
      <c r="BY187" s="275">
        <f>IF(AND(ISNUMBER(BY183),ISNUMBER(BY186)),IFERROR(BY183/BY186,""),"")</f>
        <v>32.306975425747</v>
      </c>
      <c r="BZ187" s="275">
        <f>IF(AND(ISNUMBER(BZ183),ISNUMBER(BZ186)),IFERROR(BZ183/BZ186,""),"")</f>
        <v>37.011713203599</v>
      </c>
      <c r="CA187" s="275">
        <f>IF(AND(ISNUMBER(CA183),ISNUMBER(CA186)),IFERROR(CA183/CA186,""),"")</f>
        <v>42.0760709701292</v>
      </c>
      <c r="CB187" s="275">
        <f>IF(AND(ISNUMBER(CB183),ISNUMBER(CB186)),IFERROR(CB183/CB186,""),"")</f>
        <v>48.8428469583658</v>
      </c>
      <c r="CC187" s="275">
        <f>IF(AND(ISNUMBER(CC183),ISNUMBER(CC186)),IFERROR(CC183/CC186,""),"")</f>
        <v>56.6079035548089</v>
      </c>
      <c r="CD187" s="19" t="n"/>
    </row>
    <row r="188" ht="15" customHeight="1" s="251">
      <c r="B188" s="156" t="inlineStr">
        <is>
          <t xml:space="preserve">  Company-published adjusted / "excluding" EPS ($)</t>
        </is>
      </c>
      <c r="C188" s="27" t="n"/>
      <c r="D188" s="27" t="n"/>
      <c r="E188" s="27" t="n"/>
      <c r="F188" s="276" t="n">
        <v>0.53</v>
      </c>
      <c r="G188" s="276" t="n">
        <v>0.12</v>
      </c>
      <c r="H188" s="276" t="n">
        <v>0.19</v>
      </c>
      <c r="I188" s="276" t="n">
        <v>0.25</v>
      </c>
      <c r="J188" s="276" t="n">
        <v>0.31</v>
      </c>
      <c r="K188" s="276" t="n">
        <v>0.88</v>
      </c>
      <c r="L188" s="276" t="n">
        <v>0.34</v>
      </c>
      <c r="M188" s="276" t="n">
        <v>0.42</v>
      </c>
      <c r="N188" s="276" t="n">
        <v>0.43</v>
      </c>
      <c r="O188" s="276" t="n">
        <v>0.54</v>
      </c>
      <c r="P188" s="276" t="n">
        <v>1.77</v>
      </c>
      <c r="Q188" s="276" t="n">
        <v>0.42</v>
      </c>
      <c r="R188" s="276" t="n">
        <v>0.5</v>
      </c>
      <c r="S188" s="276" t="n">
        <v>0.57</v>
      </c>
      <c r="T188" s="276" t="n">
        <v>0.79</v>
      </c>
      <c r="U188" s="276" t="n">
        <v>2.28</v>
      </c>
      <c r="V188" s="276" t="n">
        <v>0.77</v>
      </c>
      <c r="W188" s="276" t="n">
        <v>0.97</v>
      </c>
      <c r="X188" s="276" t="n">
        <v>1.09</v>
      </c>
      <c r="Y188" s="276" t="n">
        <v>1.41</v>
      </c>
      <c r="Z188" s="276" t="n">
        <v>4.23</v>
      </c>
      <c r="AA188" s="27" t="n"/>
      <c r="AB188" s="27" t="n"/>
      <c r="AC188" s="27" t="n"/>
      <c r="AD188" s="276" t="n">
        <v>2.21</v>
      </c>
      <c r="AE188" s="276" t="n">
        <v>6.16</v>
      </c>
      <c r="AF188" s="27" t="n"/>
      <c r="AG188" s="27" t="n"/>
      <c r="AH188" s="27" t="n"/>
      <c r="AI188" s="27" t="n"/>
      <c r="AJ188" s="27" t="n"/>
      <c r="AK188" s="276" t="n">
        <v>1.89</v>
      </c>
      <c r="AL188" s="276" t="n">
        <v>1.99</v>
      </c>
      <c r="AM188" s="27" t="n"/>
      <c r="AN188" s="27" t="n"/>
      <c r="AO188" s="27" t="n"/>
      <c r="AP188" s="27" t="n"/>
      <c r="AQ188" s="27" t="n"/>
      <c r="AR188" s="276" t="n">
        <v>2.4</v>
      </c>
      <c r="AS188" s="27" t="n"/>
      <c r="AT188" s="27" t="n"/>
      <c r="AU188" s="27" t="n"/>
      <c r="AV188" s="27" t="n"/>
      <c r="AW188" s="27" t="n"/>
      <c r="AX188" s="27" t="n"/>
      <c r="AY188" s="27" t="n"/>
      <c r="AZ188" s="27" t="n"/>
      <c r="BA188" s="27" t="n"/>
      <c r="BB188" s="27" t="n"/>
      <c r="BC188" s="276" t="n">
        <v>3</v>
      </c>
      <c r="BD188" s="27" t="n"/>
      <c r="BE188" s="27" t="n"/>
      <c r="BF188" s="27" t="n"/>
      <c r="BG188" s="27" t="n"/>
      <c r="BH188" s="27" t="n"/>
      <c r="BI188" s="27" t="n"/>
      <c r="BJ188" s="27" t="n"/>
      <c r="BK188" s="27" t="n"/>
      <c r="BL188" s="27" t="n"/>
      <c r="BM188" s="27" t="n"/>
      <c r="BN188" s="27" t="n"/>
      <c r="BO188" s="27" t="n"/>
      <c r="BP188" s="27" t="n"/>
      <c r="BQ188" s="276" t="n">
        <v>7.25</v>
      </c>
      <c r="BR188" s="27" t="n"/>
      <c r="BS188" s="27" t="n"/>
      <c r="BT188" s="276" t="n">
        <v>7.31</v>
      </c>
      <c r="BU188" s="27" t="n"/>
      <c r="BV188" s="153" t="n"/>
      <c r="BW188" s="153" t="n"/>
      <c r="BX188" s="153" t="n"/>
      <c r="BY188" s="153" t="n"/>
      <c r="BZ188" s="153" t="n"/>
      <c r="CA188" s="153" t="n"/>
      <c r="CB188" s="153" t="n"/>
      <c r="CC188" s="153" t="n"/>
      <c r="CD188" s="153" t="n"/>
    </row>
    <row r="189" ht="15" customHeight="1" s="251">
      <c r="B189" s="57" t="inlineStr">
        <is>
          <t xml:space="preserve">  Check: model vs company-published (should be 0.00; ±0.01 rounding)</t>
        </is>
      </c>
      <c r="C189" s="267" t="str">
        <f>IF(AND(ISNUMBER(C188),ISNUMBER(C187)),IF(ABS(C187-C188)&lt;=0.0101,0,ROUND(C187-C188,2)),"n/p")</f>
        <v>n/p</v>
      </c>
      <c r="D189" s="267" t="str">
        <f>IF(AND(ISNUMBER(D188),ISNUMBER(D187)),IF(ABS(D187-D188)&lt;=0.0101,0,ROUND(D187-D188,2)),"n/p")</f>
        <v>n/p</v>
      </c>
      <c r="E189" s="267" t="str">
        <f>IF(AND(ISNUMBER(E188),ISNUMBER(E187)),IF(ABS(E187-E188)&lt;=0.0101,0,ROUND(E187-E188,2)),"n/p")</f>
        <v>n/p</v>
      </c>
      <c r="F189" s="267">
        <f>IF(AND(ISNUMBER(F188),ISNUMBER(F187)),IF(ABS(F187-F188)&lt;=0.0101,0,ROUND(F187-F188,2)),"n/p")</f>
        <v>0</v>
      </c>
      <c r="G189" s="267">
        <f>IF(AND(ISNUMBER(G188),ISNUMBER(G187)),IF(ABS(G187-G188)&lt;=0.0101,0,ROUND(G187-G188,2)),"n/p")</f>
        <v>0</v>
      </c>
      <c r="H189" s="267">
        <f>IF(AND(ISNUMBER(H188),ISNUMBER(H187)),IF(ABS(H187-H188)&lt;=0.0101,0,ROUND(H187-H188,2)),"n/p")</f>
        <v>0</v>
      </c>
      <c r="I189" s="267">
        <f>IF(AND(ISNUMBER(I188),ISNUMBER(I187)),IF(ABS(I187-I188)&lt;=0.0101,0,ROUND(I187-I188,2)),"n/p")</f>
        <v>0</v>
      </c>
      <c r="J189" s="267">
        <f>IF(AND(ISNUMBER(J188),ISNUMBER(J187)),IF(ABS(J187-J188)&lt;=0.0101,0,ROUND(J187-J188,2)),"n/p")</f>
        <v>0</v>
      </c>
      <c r="K189" s="267">
        <f>IF(AND(ISNUMBER(K188),ISNUMBER(K187)),IF(ABS(K187-K188)&lt;=0.0101,0,ROUND(K187-K188,2)),"n/p")</f>
        <v>0</v>
      </c>
      <c r="L189" s="267">
        <f>IF(AND(ISNUMBER(L188),ISNUMBER(L187)),IF(ABS(L187-L188)&lt;=0.0101,0,ROUND(L187-L188,2)),"n/p")</f>
        <v>0</v>
      </c>
      <c r="M189" s="267">
        <f>IF(AND(ISNUMBER(M188),ISNUMBER(M187)),IF(ABS(M187-M188)&lt;=0.0101,0,ROUND(M187-M188,2)),"n/p")</f>
        <v>0</v>
      </c>
      <c r="N189" s="267">
        <f>IF(AND(ISNUMBER(N188),ISNUMBER(N187)),IF(ABS(N187-N188)&lt;=0.0101,0,ROUND(N187-N188,2)),"n/p")</f>
        <v>0</v>
      </c>
      <c r="O189" s="267">
        <f>IF(AND(ISNUMBER(O188),ISNUMBER(O187)),IF(ABS(O187-O188)&lt;=0.0101,0,ROUND(O187-O188,2)),"n/p")</f>
        <v>0</v>
      </c>
      <c r="P189" s="267">
        <f>IF(AND(ISNUMBER(P188),ISNUMBER(P187)),IF(ABS(P187-P188)&lt;=0.0101,0,ROUND(P187-P188,2)),"n/p")</f>
        <v>0</v>
      </c>
      <c r="Q189" s="267">
        <f>IF(AND(ISNUMBER(Q188),ISNUMBER(Q187)),IF(ABS(Q187-Q188)&lt;=0.0101,0,ROUND(Q187-Q188,2)),"n/p")</f>
        <v>0</v>
      </c>
      <c r="R189" s="267">
        <f>IF(AND(ISNUMBER(R188),ISNUMBER(R187)),IF(ABS(R187-R188)&lt;=0.0101,0,ROUND(R187-R188,2)),"n/p")</f>
        <v>0</v>
      </c>
      <c r="S189" s="267">
        <f>IF(AND(ISNUMBER(S188),ISNUMBER(S187)),IF(ABS(S187-S188)&lt;=0.0101,0,ROUND(S187-S188,2)),"n/p")</f>
        <v>0</v>
      </c>
      <c r="T189" s="267">
        <f>IF(AND(ISNUMBER(T188),ISNUMBER(T187)),IF(ABS(T187-T188)&lt;=0.0101,0,ROUND(T187-T188,2)),"n/p")</f>
        <v>0</v>
      </c>
      <c r="U189" s="267">
        <f>IF(AND(ISNUMBER(U188),ISNUMBER(U187)),IF(ABS(U187-U188)&lt;=0.0101,0,ROUND(U187-U188,2)),"n/p")</f>
        <v>0</v>
      </c>
      <c r="V189" s="267">
        <f>IF(AND(ISNUMBER(V188),ISNUMBER(V187)),IF(ABS(V187-V188)&lt;=0.0101,0,ROUND(V187-V188,2)),"n/p")</f>
        <v>0</v>
      </c>
      <c r="W189" s="267">
        <f>IF(AND(ISNUMBER(W188),ISNUMBER(W187)),IF(ABS(W187-W188)&lt;=0.0101,0,ROUND(W187-W188,2)),"n/p")</f>
        <v>0</v>
      </c>
      <c r="X189" s="267">
        <f>IF(AND(ISNUMBER(X188),ISNUMBER(X187)),IF(ABS(X187-X188)&lt;=0.0101,0,ROUND(X187-X188,2)),"n/p")</f>
        <v>0</v>
      </c>
      <c r="Y189" s="267">
        <f>IF(AND(ISNUMBER(Y188),ISNUMBER(Y187)),IF(ABS(Y187-Y188)&lt;=0.0101,0,ROUND(Y187-Y188,2)),"n/p")</f>
        <v>0</v>
      </c>
      <c r="Z189" s="267">
        <f>IF(AND(ISNUMBER(Z188),ISNUMBER(Z187)),IF(ABS(Z187-Z188)&lt;=0.0101,0,ROUND(Z187-Z188,2)),"n/p")</f>
        <v>0</v>
      </c>
      <c r="AA189" s="267" t="str">
        <f>IF(AND(ISNUMBER(AA188),ISNUMBER(AA187)),IF(ABS(AA187-AA188)&lt;=0.0101,0,ROUND(AA187-AA188,2)),"n/p")</f>
        <v>n/p</v>
      </c>
      <c r="AB189" s="267" t="str">
        <f>IF(AND(ISNUMBER(AB188),ISNUMBER(AB187)),IF(ABS(AB187-AB188)&lt;=0.0101,0,ROUND(AB187-AB188,2)),"n/p")</f>
        <v>n/p</v>
      </c>
      <c r="AC189" s="267" t="str">
        <f>IF(AND(ISNUMBER(AC188),ISNUMBER(AC187)),IF(ABS(AC187-AC188)&lt;=0.0101,0,ROUND(AC187-AC188,2)),"n/p")</f>
        <v>n/p</v>
      </c>
      <c r="AD189" s="267">
        <f>IF(AND(ISNUMBER(AD188),ISNUMBER(AD187)),IF(ABS(AD187-AD188)&lt;=0.0101,0,ROUND(AD187-AD188,2)),"n/p")</f>
        <v>0</v>
      </c>
      <c r="AE189" s="267">
        <f>IF(AND(ISNUMBER(AE188),ISNUMBER(AE187)),IF(ABS(AE187-AE188)&lt;=0.0101,0,ROUND(AE187-AE188,2)),"n/p")</f>
        <v>0</v>
      </c>
      <c r="AF189" s="267" t="str">
        <f>IF(AND(ISNUMBER(AF188),ISNUMBER(AF187)),IF(ABS(AF187-AF188)&lt;=0.0101,0,ROUND(AF187-AF188,2)),"n/p")</f>
        <v>n/p</v>
      </c>
      <c r="AG189" s="267" t="str">
        <f>IF(AND(ISNUMBER(AG188),ISNUMBER(AG187)),IF(ABS(AG187-AG188)&lt;=0.0101,0,ROUND(AG187-AG188,2)),"n/p")</f>
        <v>n/p</v>
      </c>
      <c r="AH189" s="267" t="str">
        <f>IF(AND(ISNUMBER(AH188),ISNUMBER(AH187)),IF(ABS(AH187-AH188)&lt;=0.0101,0,ROUND(AH187-AH188,2)),"n/p")</f>
        <v>n/p</v>
      </c>
      <c r="AI189" s="267" t="str">
        <f>IF(AND(ISNUMBER(AI188),ISNUMBER(AI187)),IF(ABS(AI187-AI188)&lt;=0.0101,0,ROUND(AI187-AI188,2)),"n/p")</f>
        <v>n/p</v>
      </c>
      <c r="AJ189" s="267" t="str">
        <f>IF(AND(ISNUMBER(AJ188),ISNUMBER(AJ187)),IF(ABS(AJ187-AJ188)&lt;=0.0101,0,ROUND(AJ187-AJ188,2)),"n/p")</f>
        <v>n/p</v>
      </c>
      <c r="AK189" s="267">
        <f>IF(AND(ISNUMBER(AK188),ISNUMBER(AK187)),IF(ABS(AK187-AK188)&lt;=0.0101,0,ROUND(AK187-AK188,2)),"n/p")</f>
        <v>0</v>
      </c>
      <c r="AL189" s="267">
        <f>IF(AND(ISNUMBER(AL188),ISNUMBER(AL187)),IF(ABS(AL187-AL188)&lt;=0.0101,0,ROUND(AL187-AL188,2)),"n/p")</f>
        <v>0</v>
      </c>
      <c r="AM189" s="267" t="str">
        <f>IF(AND(ISNUMBER(AM188),ISNUMBER(AM187)),IF(ABS(AM187-AM188)&lt;=0.0101,0,ROUND(AM187-AM188,2)),"n/p")</f>
        <v>n/p</v>
      </c>
      <c r="AN189" s="267" t="str">
        <f>IF(AND(ISNUMBER(AN188),ISNUMBER(AN187)),IF(ABS(AN187-AN188)&lt;=0.0101,0,ROUND(AN187-AN188,2)),"n/p")</f>
        <v>n/p</v>
      </c>
      <c r="AO189" s="267" t="str">
        <f>IF(AND(ISNUMBER(AO188),ISNUMBER(AO187)),IF(ABS(AO187-AO188)&lt;=0.0101,0,ROUND(AO187-AO188,2)),"n/p")</f>
        <v>n/p</v>
      </c>
      <c r="AP189" s="267" t="str">
        <f>IF(AND(ISNUMBER(AP188),ISNUMBER(AP187)),IF(ABS(AP187-AP188)&lt;=0.0101,0,ROUND(AP187-AP188,2)),"n/p")</f>
        <v>n/p</v>
      </c>
      <c r="AQ189" s="267" t="str">
        <f>IF(AND(ISNUMBER(AQ188),ISNUMBER(AQ187)),IF(ABS(AQ187-AQ188)&lt;=0.0101,0,ROUND(AQ187-AQ188,2)),"n/p")</f>
        <v>n/p</v>
      </c>
      <c r="AR189" s="267">
        <f>IF(AND(ISNUMBER(AR188),ISNUMBER(AR187)),IF(ABS(AR187-AR188)&lt;=0.0101,0,ROUND(AR187-AR188,2)),"n/p")</f>
        <v>0</v>
      </c>
      <c r="AS189" s="267" t="str">
        <f>IF(AND(ISNUMBER(AS188),ISNUMBER(AS187)),IF(ABS(AS187-AS188)&lt;=0.0101,0,ROUND(AS187-AS188,2)),"n/p")</f>
        <v>n/p</v>
      </c>
      <c r="AT189" s="267" t="str">
        <f>IF(AND(ISNUMBER(AT188),ISNUMBER(AT187)),IF(ABS(AT187-AT188)&lt;=0.0101,0,ROUND(AT187-AT188,2)),"n/p")</f>
        <v>n/p</v>
      </c>
      <c r="AU189" s="267" t="str">
        <f>IF(AND(ISNUMBER(AU188),ISNUMBER(AU187)),IF(ABS(AU187-AU188)&lt;=0.0101,0,ROUND(AU187-AU188,2)),"n/p")</f>
        <v>n/p</v>
      </c>
      <c r="AV189" s="267" t="str">
        <f>IF(AND(ISNUMBER(AV188),ISNUMBER(AV187)),IF(ABS(AV187-AV188)&lt;=0.0101,0,ROUND(AV187-AV188,2)),"n/p")</f>
        <v>n/p</v>
      </c>
      <c r="AW189" s="267" t="str">
        <f>IF(AND(ISNUMBER(AW188),ISNUMBER(AW187)),IF(ABS(AW187-AW188)&lt;=0.0101,0,ROUND(AW187-AW188,2)),"n/p")</f>
        <v>n/p</v>
      </c>
      <c r="AX189" s="267" t="str">
        <f>IF(AND(ISNUMBER(AX188),ISNUMBER(AX187)),IF(ABS(AX187-AX188)&lt;=0.0101,0,ROUND(AX187-AX188,2)),"n/p")</f>
        <v>n/p</v>
      </c>
      <c r="AY189" s="267" t="str">
        <f>IF(AND(ISNUMBER(AY188),ISNUMBER(AY187)),IF(ABS(AY187-AY188)&lt;=0.0101,0,ROUND(AY187-AY188,2)),"n/p")</f>
        <v>n/p</v>
      </c>
      <c r="AZ189" s="267" t="str">
        <f>IF(AND(ISNUMBER(AZ188),ISNUMBER(AZ187)),IF(ABS(AZ187-AZ188)&lt;=0.0101,0,ROUND(AZ187-AZ188,2)),"n/p")</f>
        <v>n/p</v>
      </c>
      <c r="BA189" s="267" t="str">
        <f>IF(AND(ISNUMBER(BA188),ISNUMBER(BA187)),IF(ABS(BA187-BA188)&lt;=0.0101,0,ROUND(BA187-BA188,2)),"n/p")</f>
        <v>n/p</v>
      </c>
      <c r="BB189" s="267" t="str">
        <f>IF(AND(ISNUMBER(BB188),ISNUMBER(BB187)),IF(ABS(BB187-BB188)&lt;=0.0101,0,ROUND(BB187-BB188,2)),"n/p")</f>
        <v>n/p</v>
      </c>
      <c r="BC189" s="267">
        <f>IF(AND(ISNUMBER(BC188),ISNUMBER(BC187)),IF(ABS(BC187-BC188)&lt;=0.0101,0,ROUND(BC187-BC188,2)),"n/p")</f>
        <v>0</v>
      </c>
      <c r="BD189" s="267" t="str">
        <f>IF(AND(ISNUMBER(BD188),ISNUMBER(BD187)),IF(ABS(BD187-BD188)&lt;=0.0101,0,ROUND(BD187-BD188,2)),"n/p")</f>
        <v>n/p</v>
      </c>
      <c r="BE189" s="267" t="str">
        <f>IF(AND(ISNUMBER(BE188),ISNUMBER(BE187)),IF(ABS(BE187-BE188)&lt;=0.0101,0,ROUND(BE187-BE188,2)),"n/p")</f>
        <v>n/p</v>
      </c>
      <c r="BF189" s="267" t="str">
        <f>IF(AND(ISNUMBER(BF188),ISNUMBER(BF187)),IF(ABS(BF187-BF188)&lt;=0.0101,0,ROUND(BF187-BF188,2)),"n/p")</f>
        <v>n/p</v>
      </c>
      <c r="BG189" s="267" t="str">
        <f>IF(AND(ISNUMBER(BG188),ISNUMBER(BG187)),IF(ABS(BG187-BG188)&lt;=0.0101,0,ROUND(BG187-BG188,2)),"n/p")</f>
        <v>n/p</v>
      </c>
      <c r="BH189" s="267" t="str">
        <f>IF(AND(ISNUMBER(BH188),ISNUMBER(BH187)),IF(ABS(BH187-BH188)&lt;=0.0101,0,ROUND(BH187-BH188,2)),"n/p")</f>
        <v>n/p</v>
      </c>
      <c r="BI189" s="267" t="str">
        <f>IF(AND(ISNUMBER(BI188),ISNUMBER(BI187)),IF(ABS(BI187-BI188)&lt;=0.0101,0,ROUND(BI187-BI188,2)),"n/p")</f>
        <v>n/p</v>
      </c>
      <c r="BJ189" s="267" t="str">
        <f>IF(AND(ISNUMBER(BJ188),ISNUMBER(BJ187)),IF(ABS(BJ187-BJ188)&lt;=0.0101,0,ROUND(BJ187-BJ188,2)),"n/p")</f>
        <v>n/p</v>
      </c>
      <c r="BK189" s="267" t="str">
        <f>IF(AND(ISNUMBER(BK188),ISNUMBER(BK187)),IF(ABS(BK187-BK188)&lt;=0.0101,0,ROUND(BK187-BK188,2)),"n/p")</f>
        <v>n/p</v>
      </c>
      <c r="BL189" s="267" t="str">
        <f>IF(AND(ISNUMBER(BL188),ISNUMBER(BL187)),IF(ABS(BL187-BL188)&lt;=0.0101,0,ROUND(BL187-BL188,2)),"n/p")</f>
        <v>n/p</v>
      </c>
      <c r="BM189" s="267" t="str">
        <f>IF(AND(ISNUMBER(BM188),ISNUMBER(BM187)),IF(ABS(BM187-BM188)&lt;=0.0101,0,ROUND(BM187-BM188,2)),"n/p")</f>
        <v>n/p</v>
      </c>
      <c r="BN189" s="267" t="str">
        <f>IF(AND(ISNUMBER(BN188),ISNUMBER(BN187)),IF(ABS(BN187-BN188)&lt;=0.0101,0,ROUND(BN187-BN188,2)),"n/p")</f>
        <v>n/p</v>
      </c>
      <c r="BO189" s="267" t="str">
        <f>IF(AND(ISNUMBER(BO188),ISNUMBER(BO187)),IF(ABS(BO187-BO188)&lt;=0.0101,0,ROUND(BO187-BO188,2)),"n/p")</f>
        <v>n/p</v>
      </c>
      <c r="BP189" s="267" t="str">
        <f>IF(AND(ISNUMBER(BP188),ISNUMBER(BP187)),IF(ABS(BP187-BP188)&lt;=0.0101,0,ROUND(BP187-BP188,2)),"n/p")</f>
        <v>n/p</v>
      </c>
      <c r="BQ189" s="267">
        <f>IF(AND(ISNUMBER(BQ188),ISNUMBER(BQ187)),IF(ABS(BQ187-BQ188)&lt;=0.0101,0,ROUND(BQ187-BQ188,2)),"n/p")</f>
        <v>0</v>
      </c>
      <c r="BR189" s="267" t="str">
        <f>IF(AND(ISNUMBER(BR188),ISNUMBER(BR187)),IF(ABS(BR187-BR188)&lt;=0.0101,0,ROUND(BR187-BR188,2)),"n/p")</f>
        <v>n/p</v>
      </c>
      <c r="BS189" s="267" t="str">
        <f>IF(AND(ISNUMBER(BS188),ISNUMBER(BS187)),IF(ABS(BS187-BS188)&lt;=0.0101,0,ROUND(BS187-BS188,2)),"n/p")</f>
        <v>n/p</v>
      </c>
      <c r="BT189" s="267">
        <f>IF(AND(ISNUMBER(BT188),ISNUMBER(BT187)),IF(ABS(BT187-BT188)&lt;=0.0101,0,ROUND(BT187-BT188,2)),"n/p")</f>
        <v>0</v>
      </c>
      <c r="BU189" s="267" t="str">
        <f>IF(AND(ISNUMBER(BU188),ISNUMBER(BU187)),IF(ABS(BU187-BU188)&lt;=0.0101,0,ROUND(BU187-BU188,2)),"n/p")</f>
        <v>n/p</v>
      </c>
      <c r="BV189" s="153" t="n"/>
      <c r="BW189" s="153" t="n"/>
      <c r="BX189" s="153" t="n"/>
      <c r="BY189" s="153" t="n"/>
      <c r="BZ189" s="153" t="n"/>
      <c r="CA189" s="153" t="n"/>
      <c r="CB189" s="153" t="n"/>
      <c r="CC189" s="153" t="n"/>
      <c r="CD189" s="153" t="n"/>
    </row>
    <row r="190" ht="15" customHeight="1" s="251">
      <c r="B190" s="158" t="inlineStr">
        <is>
          <t xml:space="preserve">  Definition / basis (adjusted EPS definition in force)</t>
        </is>
      </c>
      <c r="C190" s="278" t="inlineStr">
        <is>
          <t>FY2009–11: no non-GAAP EPS published (pre-IPO two-class EPS) — model = GAAP</t>
        </is>
      </c>
      <c r="F190" s="278" t="inlineStr">
        <is>
          <t>IPO–2016: company non-GAAP EPS (excl. SBC, payroll tax, amortization from Q3-14, and their tax effects; preferred conversion assumed pre-IPO)</t>
        </is>
      </c>
      <c r="AA190" s="278" t="inlineStr">
        <is>
          <t>2017+: model = GAAP + company-quantified one-offs and discrete tax items; checked against the company's stated "excluding" EPS</t>
        </is>
      </c>
      <c r="AD190" s="278" t="inlineStr">
        <is>
          <t>Q4-17 Tax Act charge $2.27bn excluded (company: EPS −$0.77)</t>
        </is>
      </c>
      <c r="AL190" s="278" t="inlineStr">
        <is>
          <t>Q2-19 Altera tax charge $1.11bn excluded (with the FTC accrual)</t>
        </is>
      </c>
      <c r="AR190" s="278" t="inlineStr">
        <is>
          <t>Q3-20 R&amp;D tax-election benefit $913m excluded</t>
        </is>
      </c>
      <c r="BQ190" s="278" t="inlineStr">
        <is>
          <t>Q3-25 OBBBA valuation-allowance charge $15.93bn excluded (company: EPS $7.25)</t>
        </is>
      </c>
      <c r="BT190" s="278" t="inlineStr">
        <is>
          <t>Q1-26 tax benefit $8.03bn excluded (company: EPS $3.13 lower)</t>
        </is>
      </c>
      <c r="BV190" s="153" t="n"/>
      <c r="BW190" s="153" t="n"/>
      <c r="BX190" s="153" t="n"/>
      <c r="BY190" s="153" t="n"/>
      <c r="BZ190" s="153" t="n"/>
      <c r="CA190" s="153" t="n"/>
      <c r="CB190" s="153" t="n"/>
      <c r="CC190" s="153" t="n"/>
      <c r="CD190" s="19" t="n"/>
    </row>
    <row r="191" ht="15" customHeight="1" s="251">
      <c r="B191" s="22" t="inlineStr">
        <is>
          <t xml:space="preserve">  Adjusted EPS y/y %</t>
        </is>
      </c>
      <c r="C191" s="23" t="n"/>
      <c r="D191" s="255">
        <f>IF(AND(ISNUMBER(D187),ISNUMBER(C187)),IFERROR(D187/C187-1,""),"")</f>
        <v>1.8981612446959</v>
      </c>
      <c r="E191" s="255">
        <f>IF(AND(ISNUMBER(E187),ISNUMBER(D187)),IFERROR(E187/D187-1,""),"")</f>
        <v>0.630418860604141</v>
      </c>
      <c r="F191" s="255">
        <f>IF(AND(ISNUMBER(F187),ISNUMBER(E187)),IFERROR(F187/E187-1,""),"")</f>
        <v>0.146128769215055</v>
      </c>
      <c r="G191" s="23" t="n"/>
      <c r="H191" s="23" t="n"/>
      <c r="I191" s="23" t="n"/>
      <c r="J191" s="23" t="n"/>
      <c r="K191" s="255">
        <f>IF(AND(ISNUMBER(K187),ISNUMBER(F187)),IFERROR(K187/F187-1,""),"")</f>
        <v>0.646739302582982</v>
      </c>
      <c r="L191" s="255">
        <f>IF(AND(ISNUMBER(L187),ISNUMBER(G187)),IFERROR(L187/G187-1,""),"")</f>
        <v>1.71694504230917</v>
      </c>
      <c r="M191" s="255">
        <f>IF(AND(ISNUMBER(M187),ISNUMBER(H187)),IFERROR(M187/H187-1,""),"")</f>
        <v>1.13904805190734</v>
      </c>
      <c r="N191" s="255">
        <f>IF(AND(ISNUMBER(N187),ISNUMBER(I187)),IFERROR(N187/I187-1,""),"")</f>
        <v>0.769066046905947</v>
      </c>
      <c r="O191" s="255">
        <f>IF(AND(ISNUMBER(O187),ISNUMBER(J187)),IFERROR(O187/J187-1,""),"")</f>
        <v>0.767848557692308</v>
      </c>
      <c r="P191" s="255">
        <f>IF(AND(ISNUMBER(P187),ISNUMBER(K187)),IFERROR(P187/K187-1,""),"")</f>
        <v>1.02222334732553</v>
      </c>
      <c r="Q191" s="255">
        <f>IF(AND(ISNUMBER(Q187),ISNUMBER(L187)),IFERROR(Q187/L187-1,""),"")</f>
        <v>0.23596575107775</v>
      </c>
      <c r="R191" s="255">
        <f>IF(AND(ISNUMBER(R187),ISNUMBER(M187)),IFERROR(R187/M187-1,""),"")</f>
        <v>0.20853393796131</v>
      </c>
      <c r="S191" s="255">
        <f>IF(AND(ISNUMBER(S187),ISNUMBER(N187)),IFERROR(S187/N187-1,""),"")</f>
        <v>0.308502252714398</v>
      </c>
      <c r="T191" s="255">
        <f>IF(AND(ISNUMBER(T187),ISNUMBER(O187)),IFERROR(T187/O187-1,""),"")</f>
        <v>0.459951052965526</v>
      </c>
      <c r="U191" s="255">
        <f>IF(AND(ISNUMBER(U187),ISNUMBER(P187)),IFERROR(U187/P187-1,""),"")</f>
        <v>0.291366051748938</v>
      </c>
      <c r="V191" s="255">
        <f>IF(AND(ISNUMBER(V187),ISNUMBER(Q187)),IFERROR(V187/Q187-1,""),"")</f>
        <v>0.840929899890268</v>
      </c>
      <c r="W191" s="255">
        <f>IF(AND(ISNUMBER(W187),ISNUMBER(R187)),IFERROR(W187/R187-1,""),"")</f>
        <v>0.926613353117434</v>
      </c>
      <c r="X191" s="255">
        <f>IF(AND(ISNUMBER(X187),ISNUMBER(S187)),IFERROR(X187/S187-1,""),"")</f>
        <v>0.911232673496825</v>
      </c>
      <c r="Y191" s="255">
        <f>IF(AND(ISNUMBER(Y187),ISNUMBER(T187)),IFERROR(Y187/T187-1,""),"")</f>
        <v>0.794811685803891</v>
      </c>
      <c r="Z191" s="255">
        <f>IF(AND(ISNUMBER(Z187),ISNUMBER(U187)),IFERROR(Z187/U187-1,""),"")</f>
        <v>0.850806523945524</v>
      </c>
      <c r="AA191" s="255">
        <f>IF(AND(ISNUMBER(AA187),ISNUMBER(V187)),IFERROR(AA187/V187-1,""),"")</f>
        <v>0.34625953342306</v>
      </c>
      <c r="AB191" s="255">
        <f>IF(AND(ISNUMBER(AB187),ISNUMBER(W187)),IFERROR(AB187/W187-1,""),"")</f>
        <v>0.356981471322154</v>
      </c>
      <c r="AC191" s="255">
        <f>IF(AND(ISNUMBER(AC187),ISNUMBER(X187)),IFERROR(AC187/X187-1,""),"")</f>
        <v>0.46425349571493</v>
      </c>
      <c r="AD191" s="255">
        <f>IF(AND(ISNUMBER(AD187),ISNUMBER(Y187)),IFERROR(AD187/Y187-1,""),"")</f>
        <v>0.566409279637167</v>
      </c>
      <c r="AE191" s="255">
        <f>IF(AND(ISNUMBER(AE187),ISNUMBER(Z187)),IFERROR(AE187/Z187-1,""),"")</f>
        <v>0.455307150409543</v>
      </c>
      <c r="AF191" s="255">
        <f>IF(AND(ISNUMBER(AF187),ISNUMBER(AA187)),IFERROR(AF187/AA187-1,""),"")</f>
        <v>0.629717757892184</v>
      </c>
      <c r="AG191" s="255">
        <f>IF(AND(ISNUMBER(AG187),ISNUMBER(AB187)),IFERROR(AG187/AB187-1,""),"")</f>
        <v>0.32200408854418</v>
      </c>
      <c r="AH191" s="255">
        <f>IF(AND(ISNUMBER(AH187),ISNUMBER(AC187)),IFERROR(AH187/AC187-1,""),"")</f>
        <v>0.108169512226449</v>
      </c>
      <c r="AI191" s="255">
        <f>IF(AND(ISNUMBER(AI187),ISNUMBER(AD187)),IFERROR(AI187/AD187-1,""),"")</f>
        <v>0.0777469164862066</v>
      </c>
      <c r="AJ191" s="255">
        <f>IF(AND(ISNUMBER(AJ187),ISNUMBER(AE187)),IFERROR(AJ187/AE187-1,""),"")</f>
        <v>0.230123055374825</v>
      </c>
      <c r="AK191" s="255">
        <f>IF(AND(ISNUMBER(AK187),ISNUMBER(AF187)),IFERROR(AK187/AF187-1,""),"")</f>
        <v>0.117468331569365</v>
      </c>
      <c r="AL191" s="255">
        <f>IF(AND(ISNUMBER(AL187),ISNUMBER(AG187)),IFERROR(AL187/AG187-1,""),"")</f>
        <v>0.142879136225072</v>
      </c>
      <c r="AM191" s="255">
        <f>IF(AND(ISNUMBER(AM187),ISNUMBER(AH187)),IFERROR(AM187/AH187-1,""),"")</f>
        <v>0.201801535627359</v>
      </c>
      <c r="AN191" s="255">
        <f>IF(AND(ISNUMBER(AN187),ISNUMBER(AI187)),IFERROR(AN187/AI187-1,""),"")</f>
        <v>0.0734373771081225</v>
      </c>
      <c r="AO191" s="255">
        <f>IF(AND(ISNUMBER(AO187),ISNUMBER(AJ187)),IFERROR(AO187/AJ187-1,""),"")</f>
        <v>0.129746794039355</v>
      </c>
      <c r="AP191" s="255">
        <f>IF(AND(ISNUMBER(AP187),ISNUMBER(AK187)),IFERROR(AP187/AK187-1,""),"")</f>
        <v>-0.0967564551444243</v>
      </c>
      <c r="AQ191" s="255">
        <f>IF(AND(ISNUMBER(AQ187),ISNUMBER(AL187)),IFERROR(AQ187/AL187-1,""),"")</f>
        <v>-0.0969602103808069</v>
      </c>
      <c r="AR191" s="255">
        <f>IF(AND(ISNUMBER(AR187),ISNUMBER(AM187)),IFERROR(AR187/AM187-1,""),"")</f>
        <v>0.131543548467975</v>
      </c>
      <c r="AS191" s="255">
        <f>IF(AND(ISNUMBER(AS187),ISNUMBER(AN187)),IFERROR(AS187/AN187-1,""),"")</f>
        <v>0.516565773372175</v>
      </c>
      <c r="AT191" s="255">
        <f>IF(AND(ISNUMBER(AT187),ISNUMBER(AO187)),IFERROR(AT187/AO187-1,""),"")</f>
        <v>0.143146508056555</v>
      </c>
      <c r="AU191" s="255">
        <f>IF(AND(ISNUMBER(AU187),ISNUMBER(AP187)),IFERROR(AU187/AP187-1,""),"")</f>
        <v>0.927961253617397</v>
      </c>
      <c r="AV191" s="255">
        <f>IF(AND(ISNUMBER(AV187),ISNUMBER(AQ187)),IFERROR(AV187/AQ187-1,""),"")</f>
        <v>1.00873417964536</v>
      </c>
      <c r="AW191" s="255">
        <f>IF(AND(ISNUMBER(AW187),ISNUMBER(AR187)),IFERROR(AW187/AR187-1,""),"")</f>
        <v>0.340964360472775</v>
      </c>
      <c r="AX191" s="255">
        <f>IF(AND(ISNUMBER(AX187),ISNUMBER(AS187)),IFERROR(AX187/AS187-1,""),"")</f>
        <v>-0.0534466599416132</v>
      </c>
      <c r="AY191" s="255">
        <f>IF(AND(ISNUMBER(AY187),ISNUMBER(AT187)),IFERROR(AY187/AT187-1,""),"")</f>
        <v>0.408612117916929</v>
      </c>
      <c r="AZ191" s="255">
        <f>IF(AND(ISNUMBER(AZ187),ISNUMBER(AU187)),IFERROR(AZ187/AU187-1,""),"")</f>
        <v>-0.173829088183016</v>
      </c>
      <c r="BA191" s="255">
        <f>IF(AND(ISNUMBER(BA187),ISNUMBER(AV187)),IFERROR(BA187/AV187-1,""),"")</f>
        <v>-0.317757643359558</v>
      </c>
      <c r="BB191" s="255">
        <f>IF(AND(ISNUMBER(BB187),ISNUMBER(AW187)),IFERROR(BB187/AW187-1,""),"")</f>
        <v>-0.453698469885585</v>
      </c>
      <c r="BC191" s="255">
        <f>IF(AND(ISNUMBER(BC187),ISNUMBER(AX187)),IFERROR(BC187/AX187-1,""),"")</f>
        <v>-0.1835683033544</v>
      </c>
      <c r="BD191" s="255">
        <f>IF(AND(ISNUMBER(BD187),ISNUMBER(AY187)),IFERROR(BD187/AY187-1,""),"")</f>
        <v>-0.276716012791751</v>
      </c>
      <c r="BE191" s="255">
        <f>IF(AND(ISNUMBER(BE187),ISNUMBER(AZ187)),IFERROR(BE187/AZ187-1,""),"")</f>
        <v>-0.0657524069434265</v>
      </c>
      <c r="BF191" s="255">
        <f>IF(AND(ISNUMBER(BF187),ISNUMBER(BA187)),IFERROR(BF187/BA187-1,""),"")</f>
        <v>0.554636056252547</v>
      </c>
      <c r="BG191" s="255">
        <f>IF(AND(ISNUMBER(BG187),ISNUMBER(BB187)),IFERROR(BG187/BB187-1,""),"")</f>
        <v>1.56415558112346</v>
      </c>
      <c r="BH191" s="255">
        <f>IF(AND(ISNUMBER(BH187),ISNUMBER(BC187)),IFERROR(BH187/BC187-1,""),"")</f>
        <v>0.898103971854793</v>
      </c>
      <c r="BI191" s="255">
        <f>IF(AND(ISNUMBER(BI187),ISNUMBER(BD187)),IFERROR(BI187/BD187-1,""),"")</f>
        <v>0.660764163745744</v>
      </c>
      <c r="BJ191" s="255">
        <f>IF(AND(ISNUMBER(BJ187),ISNUMBER(BE187)),IFERROR(BJ187/BE187-1,""),"")</f>
        <v>0.852596898042416</v>
      </c>
      <c r="BK191" s="255">
        <f>IF(AND(ISNUMBER(BK187),ISNUMBER(BF187)),IFERROR(BK187/BF187-1,""),"")</f>
        <v>0.346342591842268</v>
      </c>
      <c r="BL191" s="255">
        <f>IF(AND(ISNUMBER(BL187),ISNUMBER(BG187)),IFERROR(BL187/BG187-1,""),"")</f>
        <v>0.339451827427611</v>
      </c>
      <c r="BM191" s="255">
        <f>IF(AND(ISNUMBER(BM187),ISNUMBER(BH187)),IFERROR(BM187/BH187-1,""),"")</f>
        <v>0.31899577784726</v>
      </c>
      <c r="BN191" s="255">
        <f>IF(AND(ISNUMBER(BN187),ISNUMBER(BI187)),IFERROR(BN187/BI187-1,""),"")</f>
        <v>0.411752787278087</v>
      </c>
      <c r="BO191" s="255">
        <f>IF(AND(ISNUMBER(BO187),ISNUMBER(BJ187)),IFERROR(BO187/BJ187-1,""),"")</f>
        <v>0.36380620251588</v>
      </c>
      <c r="BP191" s="255">
        <f>IF(AND(ISNUMBER(BP187),ISNUMBER(BK187)),IFERROR(BP187/BK187-1,""),"")</f>
        <v>0.383022709113265</v>
      </c>
      <c r="BQ191" s="255">
        <f>IF(AND(ISNUMBER(BQ187),ISNUMBER(BL187)),IFERROR(BQ187/BL187-1,""),"")</f>
        <v>0.20103983351878</v>
      </c>
      <c r="BR191" s="255">
        <f>IF(AND(ISNUMBER(BR187),ISNUMBER(BM187)),IFERROR(BR187/BM187-1,""),"")</f>
        <v>0.181824136199496</v>
      </c>
      <c r="BS191" s="255">
        <f>IF(AND(ISNUMBER(BS187),ISNUMBER(BN187)),IFERROR(BS187/BN187-1,""),"")</f>
        <v>0.270837051350628</v>
      </c>
      <c r="BT191" s="255">
        <f>IF(AND(ISNUMBER(BT187),ISNUMBER(BO187)),IFERROR(BT187/BO187-1,""),"")</f>
        <v>0.137530739153142</v>
      </c>
      <c r="BU191" s="255">
        <f>IF(AND(ISNUMBER(BU187),ISNUMBER(BP187)),IFERROR(BU187/BP187-1,""),"")</f>
        <v>0.030831843037149</v>
      </c>
      <c r="BV191" s="256">
        <f>IF(AND(ISNUMBER(BV187),ISNUMBER(BQ187)),IFERROR(BV187/BQ187-1,""),"")</f>
        <v>-0.105217437049466</v>
      </c>
      <c r="BW191" s="256">
        <f>IF(AND(ISNUMBER(BW187),ISNUMBER(BR187)),IFERROR(BW187/BR187-1,""),"")</f>
        <v>-0.113703370462577</v>
      </c>
      <c r="BX191" s="256">
        <f>IF(AND(ISNUMBER(BX187),ISNUMBER(BS187)),IFERROR(BX187/BS187-1,""),"")</f>
        <v>-0.0221838783785622</v>
      </c>
      <c r="BY191" s="256">
        <f>IF(AND(ISNUMBER(BY187),ISNUMBER(BX187)),IFERROR(BY187/BX187-1,""),"")</f>
        <v>0.113326409282356</v>
      </c>
      <c r="BZ191" s="256">
        <f>IF(AND(ISNUMBER(BZ187),ISNUMBER(BY187)),IFERROR(BZ187/BY187-1,""),"")</f>
        <v>0.145626067307515</v>
      </c>
      <c r="CA191" s="256">
        <f>IF(AND(ISNUMBER(CA187),ISNUMBER(BZ187)),IFERROR(CA187/BZ187-1,""),"")</f>
        <v>0.136831217152027</v>
      </c>
      <c r="CB191" s="256">
        <f>IF(AND(ISNUMBER(CB187),ISNUMBER(CA187)),IFERROR(CB187/CA187-1,""),"")</f>
        <v>0.160822430236903</v>
      </c>
      <c r="CC191" s="256">
        <f>IF(AND(ISNUMBER(CC187),ISNUMBER(CB187)),IFERROR(CC187/CB187-1,""),"")</f>
        <v>0.158980425589486</v>
      </c>
      <c r="CD191" s="153" t="n"/>
    </row>
    <row r="192" ht="15" customHeight="1" s="251">
      <c r="B192" s="55" t="inlineStr">
        <is>
          <t xml:space="preserve">  Memo: adjusted net income — current definition (SBC expensed; one-offs and discrete tax only) — drives P/E and valuation</t>
        </is>
      </c>
      <c r="C192" s="272">
        <f>IF(ISNUMBER(C183),C183-C179,"")</f>
        <v>134</v>
      </c>
      <c r="D192" s="272">
        <f>IF(ISNUMBER(D183),D183-D179,"")</f>
        <v>402</v>
      </c>
      <c r="E192" s="272">
        <f>IF(ISNUMBER(E183),E183-E179,"")</f>
        <v>699</v>
      </c>
      <c r="F192" s="272">
        <f>F128</f>
        <v>32</v>
      </c>
      <c r="G192" s="272">
        <f>G128</f>
        <v>217</v>
      </c>
      <c r="H192" s="272">
        <f>H128</f>
        <v>331</v>
      </c>
      <c r="I192" s="272">
        <f>I128</f>
        <v>422</v>
      </c>
      <c r="J192" s="272">
        <f>J128</f>
        <v>520</v>
      </c>
      <c r="K192" s="272">
        <f>K128</f>
        <v>1491</v>
      </c>
      <c r="L192" s="272">
        <f>L128</f>
        <v>639</v>
      </c>
      <c r="M192" s="272">
        <f>M128</f>
        <v>788</v>
      </c>
      <c r="N192" s="272">
        <f>N128</f>
        <v>802</v>
      </c>
      <c r="O192" s="272">
        <f>O128</f>
        <v>696</v>
      </c>
      <c r="P192" s="272">
        <f>P128</f>
        <v>2925</v>
      </c>
      <c r="Q192" s="272">
        <f>Q128</f>
        <v>509</v>
      </c>
      <c r="R192" s="272">
        <f>R128</f>
        <v>715</v>
      </c>
      <c r="S192" s="272">
        <f>S128</f>
        <v>891</v>
      </c>
      <c r="T192" s="272">
        <f>T128</f>
        <v>1555</v>
      </c>
      <c r="U192" s="272">
        <f>U128</f>
        <v>3669</v>
      </c>
      <c r="V192" s="272">
        <f>V128</f>
        <v>1505</v>
      </c>
      <c r="W192" s="272">
        <f>W128</f>
        <v>2048</v>
      </c>
      <c r="X192" s="272">
        <f>X128</f>
        <v>2373</v>
      </c>
      <c r="Y192" s="272">
        <f>Y128</f>
        <v>3561</v>
      </c>
      <c r="Z192" s="272">
        <f>Z128</f>
        <v>10188</v>
      </c>
      <c r="AA192" s="272">
        <f>IF(ISNUMBER(AA183),AA183-AA179,"")</f>
        <v>3059</v>
      </c>
      <c r="AB192" s="272">
        <f>IF(ISNUMBER(AB183),AB183-AB179,"")</f>
        <v>3890</v>
      </c>
      <c r="AC192" s="272">
        <f>IF(ISNUMBER(AC183),AC183-AC179,"")</f>
        <v>4704</v>
      </c>
      <c r="AD192" s="272">
        <f>IF(ISNUMBER(AD183),AD183-AD179,"")</f>
        <v>6536</v>
      </c>
      <c r="AE192" s="272">
        <f>IF(ISNUMBER(AE183),AE183-AE179,"")</f>
        <v>18190</v>
      </c>
      <c r="AF192" s="272">
        <f>IF(ISNUMBER(AF183),AF183-AF179,"")</f>
        <v>4987</v>
      </c>
      <c r="AG192" s="272">
        <f>IF(ISNUMBER(AG183),AG183-AG179,"")</f>
        <v>5106</v>
      </c>
      <c r="AH192" s="272">
        <f>IF(ISNUMBER(AH183),AH183-AH179,"")</f>
        <v>5137</v>
      </c>
      <c r="AI192" s="272">
        <f>IF(ISNUMBER(AI183),AI183-AI179,"")</f>
        <v>6882</v>
      </c>
      <c r="AJ192" s="272">
        <f>IF(ISNUMBER(AJ183),AJ183-AJ179,"")</f>
        <v>22111</v>
      </c>
      <c r="AK192" s="272">
        <f>IF(ISNUMBER(AK183),AK183-AK179,"")</f>
        <v>5429</v>
      </c>
      <c r="AL192" s="272">
        <f>IF(ISNUMBER(AL183),AL183-AL179,"")</f>
        <v>5726</v>
      </c>
      <c r="AM192" s="272">
        <f>IF(ISNUMBER(AM183),AM183-AM179,"")</f>
        <v>6091</v>
      </c>
      <c r="AN192" s="272">
        <f>IF(ISNUMBER(AN183),AN183-AN179,"")</f>
        <v>7349</v>
      </c>
      <c r="AO192" s="272">
        <f>IF(ISNUMBER(AO183),AO183-AO179,"")</f>
        <v>24595</v>
      </c>
      <c r="AP192" s="272">
        <f>IF(ISNUMBER(AP183),AP183-AP179,"")</f>
        <v>4902</v>
      </c>
      <c r="AQ192" s="272">
        <f>IF(ISNUMBER(AQ183),AQ183-AQ179,"")</f>
        <v>5178</v>
      </c>
      <c r="AR192" s="272">
        <f>IF(ISNUMBER(AR183),AR183-AR179,"")</f>
        <v>6933</v>
      </c>
      <c r="AS192" s="272">
        <f>IF(ISNUMBER(AS183),AS183-AS179,"")</f>
        <v>11219</v>
      </c>
      <c r="AT192" s="272">
        <f>IF(ISNUMBER(AT183),AT183-AT179,"")</f>
        <v>28233</v>
      </c>
      <c r="AU192" s="272">
        <f>IF(ISNUMBER(AU183),AU183-AU179,"")</f>
        <v>9497</v>
      </c>
      <c r="AV192" s="272">
        <f>IF(ISNUMBER(AV183),AV183-AV179,"")</f>
        <v>10394</v>
      </c>
      <c r="AW192" s="272">
        <f>IF(ISNUMBER(AW183),AW183-AW179,"")</f>
        <v>9194</v>
      </c>
      <c r="AX192" s="272">
        <f>IF(ISNUMBER(AX183),AX183-AX179,"")</f>
        <v>10285</v>
      </c>
      <c r="AY192" s="272">
        <f>IF(ISNUMBER(AY183),AY183-AY179,"")</f>
        <v>39370</v>
      </c>
      <c r="AZ192" s="272">
        <f>IF(ISNUMBER(AZ183),AZ183-AZ179,"")</f>
        <v>7465</v>
      </c>
      <c r="BA192" s="272">
        <f>IF(ISNUMBER(BA183),BA183-BA179,"")</f>
        <v>6687</v>
      </c>
      <c r="BB192" s="272">
        <f>IF(ISNUMBER(BB183),BB183-BB179,"")</f>
        <v>4720.52636298422</v>
      </c>
      <c r="BC192" s="272">
        <f>IF(ISNUMBER(BC183),BC183-BC179,"")</f>
        <v>7920</v>
      </c>
      <c r="BD192" s="272">
        <f>IF(ISNUMBER(BD183),BD183-BD179,"")</f>
        <v>26911.9677990215</v>
      </c>
      <c r="BE192" s="272">
        <f>IF(ISNUMBER(BE183),BE183-BE179,"")</f>
        <v>6602.81360339401</v>
      </c>
      <c r="BF192" s="272">
        <f>IF(ISNUMBER(BF183),BF183-BF179,"")</f>
        <v>10008.8328849672</v>
      </c>
      <c r="BG192" s="272">
        <f>IF(ISNUMBER(BG183),BG183-BG179,"")</f>
        <v>11896.9472182596</v>
      </c>
      <c r="BH192" s="272">
        <f>IF(ISNUMBER(BH183),BH183-BH179,"")</f>
        <v>14976.0403379343</v>
      </c>
      <c r="BI192" s="272">
        <f>IF(ISNUMBER(BI183),BI183-BI179,"")</f>
        <v>43486.9211436282</v>
      </c>
      <c r="BJ192" s="272">
        <f>IF(ISNUMBER(BJ183),BJ183-BJ179,"")</f>
        <v>12369</v>
      </c>
      <c r="BK192" s="272">
        <f>IF(ISNUMBER(BK183),BK183-BK179,"")</f>
        <v>13465</v>
      </c>
      <c r="BL192" s="272">
        <f>IF(ISNUMBER(BL183),BL183-BL179,"")</f>
        <v>15688</v>
      </c>
      <c r="BM192" s="272">
        <f>IF(ISNUMBER(BM183),BM183-BM179,"")</f>
        <v>19520.5</v>
      </c>
      <c r="BN192" s="272">
        <f>IF(ISNUMBER(BN183),BN183-BN179,"")</f>
        <v>61042.5</v>
      </c>
      <c r="BO192" s="272">
        <f>IF(ISNUMBER(BO183),BO183-BO179,"")</f>
        <v>16644</v>
      </c>
      <c r="BP192" s="272">
        <f>IF(ISNUMBER(BP183),BP183-BP179,"")</f>
        <v>18337</v>
      </c>
      <c r="BQ192" s="272">
        <f>IF(ISNUMBER(BQ183),BQ183-BQ179,"")</f>
        <v>18639</v>
      </c>
      <c r="BR192" s="272">
        <f>IF(ISNUMBER(BR183),BR183-BR179,"")</f>
        <v>22768</v>
      </c>
      <c r="BS192" s="272">
        <f>IF(ISNUMBER(BS183),BS183-BS179,"")</f>
        <v>76388</v>
      </c>
      <c r="BT192" s="272">
        <f>IF(ISNUMBER(BT183),BT183-BT179,"")</f>
        <v>18743</v>
      </c>
      <c r="BU192" s="272">
        <f>IF(ISNUMBER(BU183),BU183-BU179,"")</f>
        <v>18872.9434847515</v>
      </c>
      <c r="BV192" s="272">
        <f>IF(ISNUMBER(BV183),BV183-BV179,"")</f>
        <v>16668.1256051872</v>
      </c>
      <c r="BW192" s="272">
        <f>IF(ISNUMBER(BW183),BW183-BW179,"")</f>
        <v>20293.2751209919</v>
      </c>
      <c r="BX192" s="272">
        <f>IF(ISNUMBER(BX183),BX183-BX179,"")</f>
        <v>74577.3442109306</v>
      </c>
      <c r="BY192" s="272">
        <f>IF(ISNUMBER(BY183),BY183-BY179,"")</f>
        <v>84127.3640086451</v>
      </c>
      <c r="BZ192" s="272">
        <f>IF(ISNUMBER(BZ183),BZ183-BZ179,"")</f>
        <v>97359.2468047338</v>
      </c>
      <c r="CA192" s="272">
        <f>IF(ISNUMBER(CA183),CA183-CA179,"")</f>
        <v>110612.770596189</v>
      </c>
      <c r="CB192" s="272">
        <f>IF(ISNUMBER(CB183),CB183-CB179,"")</f>
        <v>126479.059510941</v>
      </c>
      <c r="CC192" s="272">
        <f>IF(ISNUMBER(CC183),CC183-CC179,"")</f>
        <v>143129.453220713</v>
      </c>
      <c r="CD192" s="153" t="n"/>
      <c r="CF192" s="20">
        <f>IFERROR((CC192/BX192)^(1/5)-1,"n/m")</f>
        <v>0.139264119505636</v>
      </c>
      <c r="CG192" s="20">
        <f>IFERROR((BS192/AT192)^(1/5)-1,"n/m")</f>
        <v>0.220263503435115</v>
      </c>
      <c r="CH192" s="20">
        <f>IFERROR((BS192/U192)^(1/10)-1,"n/m")</f>
        <v>0.354714386225589</v>
      </c>
      <c r="CI192" s="20">
        <f>IFERROR((BS192/C192)^(1/16)-1,"n/m")</f>
        <v>0.486774217601426</v>
      </c>
    </row>
    <row r="193" ht="15" customHeight="1" s="251">
      <c r="B193" s="55" t="inlineStr">
        <is>
          <t xml:space="preserve">  Memo: adjusted EPS — current definition ($)</t>
        </is>
      </c>
      <c r="C193" s="275">
        <f>IF(AND(ISNUMBER(C192),ISNUMBER(C133)),IFERROR(C192/C133,""),"")</f>
        <v>0.0980966325036603</v>
      </c>
      <c r="D193" s="275">
        <f>IF(AND(ISNUMBER(D192),ISNUMBER(D133)),IFERROR(D192/D133,""),"")</f>
        <v>0.284299858557284</v>
      </c>
      <c r="E193" s="275">
        <f>IF(AND(ISNUMBER(E192),ISNUMBER(E133)),IFERROR(E192/E133,""),"")</f>
        <v>0.463527851458886</v>
      </c>
      <c r="F193" s="275">
        <f>IF(AND(ISNUMBER(F192),ISNUMBER(F133)),IFERROR(F192/F133,""),"")</f>
        <v>0.0147737765466297</v>
      </c>
      <c r="G193" s="275">
        <f>IF(AND(ISNUMBER(G192),ISNUMBER(G133)),IFERROR(G192/G133,""),"")</f>
        <v>0.0868347338935574</v>
      </c>
      <c r="H193" s="275">
        <f>IF(AND(ISNUMBER(H192),ISNUMBER(H133)),IFERROR(H192/H133,""),"")</f>
        <v>0.132294164668265</v>
      </c>
      <c r="I193" s="275">
        <f>IF(AND(ISNUMBER(I192),ISNUMBER(I133)),IFERROR(I192/I133,""),"")</f>
        <v>0.166930379746835</v>
      </c>
      <c r="J193" s="275">
        <f>IF(AND(ISNUMBER(J192),ISNUMBER(J133)),IFERROR(J192/J133,""),"")</f>
        <v>0.203283815480844</v>
      </c>
      <c r="K193" s="275">
        <f>IF(AND(ISNUMBER(K192),ISNUMBER(K133)),IFERROR(K192/K133,""),"")</f>
        <v>0.592371871275328</v>
      </c>
      <c r="L193" s="275">
        <f>IF(AND(ISNUMBER(L192),ISNUMBER(L133)),IFERROR(L192/L133,""),"")</f>
        <v>0.244921425833653</v>
      </c>
      <c r="M193" s="275">
        <f>IF(AND(ISNUMBER(M192),ISNUMBER(M133)),IFERROR(M192/M133,""),"")</f>
        <v>0.301338432122371</v>
      </c>
      <c r="N193" s="275">
        <f>IF(AND(ISNUMBER(N192),ISNUMBER(N133)),IFERROR(N192/N133,""),"")</f>
        <v>0.303328290468986</v>
      </c>
      <c r="O193" s="275">
        <f>IF(AND(ISNUMBER(O192),ISNUMBER(O133)),IFERROR(O192/O133,""),"")</f>
        <v>0.247159090909091</v>
      </c>
      <c r="P193" s="275">
        <f>IF(AND(ISNUMBER(P192),ISNUMBER(P133)),IFERROR(P192/P133,""),"")</f>
        <v>1.09797297297297</v>
      </c>
      <c r="Q193" s="275">
        <f>IF(AND(ISNUMBER(Q192),ISNUMBER(Q133)),IFERROR(Q192/Q133,""),"")</f>
        <v>0.179478138222849</v>
      </c>
      <c r="R193" s="275">
        <f>IF(AND(ISNUMBER(R192),ISNUMBER(R133)),IFERROR(R192/R133,""),"")</f>
        <v>0.250877192982456</v>
      </c>
      <c r="S193" s="275">
        <f>IF(AND(ISNUMBER(S192),ISNUMBER(S133)),IFERROR(S192/S133,""),"")</f>
        <v>0.311212015368495</v>
      </c>
      <c r="T193" s="275">
        <f>IF(AND(ISNUMBER(T192),ISNUMBER(T133)),IFERROR(T192/T133,""),"")</f>
        <v>0.540305767894371</v>
      </c>
      <c r="U193" s="275">
        <f>IF(AND(ISNUMBER(U192),ISNUMBER(U133)),IFERROR(U192/U133,""),"")</f>
        <v>1.28601472134595</v>
      </c>
      <c r="V193" s="275">
        <f>IF(AND(ISNUMBER(V192),ISNUMBER(V133)),IFERROR(V192/V133,""),"")</f>
        <v>0.52112188365651</v>
      </c>
      <c r="W193" s="275">
        <f>IF(AND(ISNUMBER(W192),ISNUMBER(W133)),IFERROR(W192/W133,""),"")</f>
        <v>0.705234159779614</v>
      </c>
      <c r="X193" s="275">
        <f>IF(AND(ISNUMBER(X192),ISNUMBER(X133)),IFERROR(X192/X133,""),"")</f>
        <v>0.814065180102916</v>
      </c>
      <c r="Y193" s="275">
        <f>IF(AND(ISNUMBER(Y192),ISNUMBER(Y133)),IFERROR(Y192/Y133,""),"")</f>
        <v>1.21204901293397</v>
      </c>
      <c r="Z193" s="275">
        <f>IF(AND(ISNUMBER(Z192),ISNUMBER(Z133)),IFERROR(Z192/Z133,""),"")</f>
        <v>3.48307692307692</v>
      </c>
      <c r="AA193" s="275">
        <f>IF(AND(ISNUMBER(AA192),ISNUMBER(AA133)),IFERROR(AA192/AA133,""),"")</f>
        <v>1.0390625</v>
      </c>
      <c r="AB193" s="275">
        <f>IF(AND(ISNUMBER(AB192),ISNUMBER(AB133)),IFERROR(AB192/AB133,""),"")</f>
        <v>1.31819722128092</v>
      </c>
      <c r="AC193" s="275">
        <f>IF(AND(ISNUMBER(AC192),ISNUMBER(AC133)),IFERROR(AC192/AC133,""),"")</f>
        <v>1.59133964817321</v>
      </c>
      <c r="AD193" s="275">
        <f>IF(AND(ISNUMBER(AD192),ISNUMBER(AD133)),IFERROR(AD192/AD133,""),"")</f>
        <v>2.21259309410968</v>
      </c>
      <c r="AE193" s="275">
        <f>IF(AND(ISNUMBER(AE192),ISNUMBER(AE133)),IFERROR(AE192/AE133,""),"")</f>
        <v>6.15358592692828</v>
      </c>
      <c r="AF193" s="275">
        <f>IF(AND(ISNUMBER(AF192),ISNUMBER(AF133)),IFERROR(AF192/AF133,""),"")</f>
        <v>1.69337860780985</v>
      </c>
      <c r="AG193" s="275">
        <f>IF(AND(ISNUMBER(AG192),ISNUMBER(AG133)),IFERROR(AG192/AG133,""),"")</f>
        <v>1.74266211604096</v>
      </c>
      <c r="AH193" s="275">
        <f>IF(AND(ISNUMBER(AH192),ISNUMBER(AH133)),IFERROR(AH192/AH133,""),"")</f>
        <v>1.76347408170271</v>
      </c>
      <c r="AI193" s="275">
        <f>IF(AND(ISNUMBER(AI192),ISNUMBER(AI133)),IFERROR(AI192/AI133,""),"")</f>
        <v>2.38461538461538</v>
      </c>
      <c r="AJ193" s="275">
        <f>IF(AND(ISNUMBER(AJ192),ISNUMBER(AJ133)),IFERROR(AJ192/AJ133,""),"")</f>
        <v>7.56966792194454</v>
      </c>
      <c r="AK193" s="275">
        <f>IF(AND(ISNUMBER(AK192),ISNUMBER(AK133)),IFERROR(AK192/AK133,""),"")</f>
        <v>1.89229696758452</v>
      </c>
      <c r="AL193" s="275">
        <f>IF(AND(ISNUMBER(AL192),ISNUMBER(AL133)),IFERROR(AL192/AL133,""),"")</f>
        <v>1.99165217391304</v>
      </c>
      <c r="AM193" s="275">
        <f>IF(AND(ISNUMBER(AM192),ISNUMBER(AM133)),IFERROR(AM192/AM133,""),"")</f>
        <v>2.11934585942937</v>
      </c>
      <c r="AN193" s="275">
        <f>IF(AND(ISNUMBER(AN192),ISNUMBER(AN133)),IFERROR(AN192/AN133,""),"")</f>
        <v>2.55973528387322</v>
      </c>
      <c r="AO193" s="275">
        <f>IF(AND(ISNUMBER(AO192),ISNUMBER(AO133)),IFERROR(AO192/AO133,""),"")</f>
        <v>8.55180806675939</v>
      </c>
      <c r="AP193" s="275">
        <f>IF(AND(ISNUMBER(AP192),ISNUMBER(AP133)),IFERROR(AP192/AP133,""),"")</f>
        <v>1.7092050209205</v>
      </c>
      <c r="AQ193" s="275">
        <f>IF(AND(ISNUMBER(AQ192),ISNUMBER(AQ133)),IFERROR(AQ192/AQ133,""),"")</f>
        <v>1.79854116012504</v>
      </c>
      <c r="AR193" s="275">
        <f>IF(AND(ISNUMBER(AR192),ISNUMBER(AR133)),IFERROR(AR192/AR133,""),"")</f>
        <v>2.39813213420962</v>
      </c>
      <c r="AS193" s="275">
        <f>IF(AND(ISNUMBER(AS192),ISNUMBER(AS133)),IFERROR(AS192/AS133,""),"")</f>
        <v>3.88200692041523</v>
      </c>
      <c r="AT193" s="275">
        <f>IF(AND(ISNUMBER(AT192),ISNUMBER(AT133)),IFERROR(AT192/AT133,""),"")</f>
        <v>9.77596952908587</v>
      </c>
      <c r="AU193" s="275">
        <f>IF(AND(ISNUMBER(AU192),ISNUMBER(AU133)),IFERROR(AU192/AU133,""),"")</f>
        <v>3.29528105482304</v>
      </c>
      <c r="AV193" s="275">
        <f>IF(AND(ISNUMBER(AV192),ISNUMBER(AV133)),IFERROR(AV192/AV133,""),"")</f>
        <v>3.6127911018422</v>
      </c>
      <c r="AW193" s="275">
        <f>IF(AND(ISNUMBER(AW192),ISNUMBER(AW133)),IFERROR(AW192/AW133,""),"")</f>
        <v>3.21580972367961</v>
      </c>
      <c r="AX193" s="275">
        <f>IF(AND(ISNUMBER(AX192),ISNUMBER(AX133)),IFERROR(AX192/AX133,""),"")</f>
        <v>3.6745266166488</v>
      </c>
      <c r="AY193" s="275">
        <f>IF(AND(ISNUMBER(AY192),ISNUMBER(AY133)),IFERROR(AY192/AY133,""),"")</f>
        <v>13.770549143057</v>
      </c>
      <c r="AZ193" s="275">
        <f>IF(AND(ISNUMBER(AZ192),ISNUMBER(AZ133)),IFERROR(AZ192/AZ133,""),"")</f>
        <v>2.72246535375638</v>
      </c>
      <c r="BA193" s="275">
        <f>IF(AND(ISNUMBER(BA192),ISNUMBER(BA133)),IFERROR(BA192/BA133,""),"")</f>
        <v>2.46479911537044</v>
      </c>
      <c r="BB193" s="275">
        <f>IF(AND(ISNUMBER(BB192),ISNUMBER(BB133)),IFERROR(BB192/BB133,""),"")</f>
        <v>1.75680177260298</v>
      </c>
      <c r="BC193" s="275">
        <f>IF(AND(ISNUMBER(BC192),ISNUMBER(BC133)),IFERROR(BC192/BC133,""),"")</f>
        <v>3</v>
      </c>
      <c r="BD193" s="275">
        <f>IF(AND(ISNUMBER(BD192),ISNUMBER(BD133)),IFERROR(BD192/BD133,""),"")</f>
        <v>9.96001769023741</v>
      </c>
      <c r="BE193" s="275">
        <f>IF(AND(ISNUMBER(BE192),ISNUMBER(BE133)),IFERROR(BE192/BE133,""),"")</f>
        <v>2.54345670392681</v>
      </c>
      <c r="BF193" s="275">
        <f>IF(AND(ISNUMBER(BF192),ISNUMBER(BF133)),IFERROR(BF192/BF133,""),"")</f>
        <v>3.83186557617427</v>
      </c>
      <c r="BG193" s="275">
        <f>IF(AND(ISNUMBER(BG192),ISNUMBER(BG133)),IFERROR(BG192/BG133,""),"")</f>
        <v>4.50471307014753</v>
      </c>
      <c r="BH193" s="275">
        <f>IF(AND(ISNUMBER(BH192),ISNUMBER(BH133)),IFERROR(BH192/BH133,""),"")</f>
        <v>5.69431191556438</v>
      </c>
      <c r="BI193" s="275">
        <f>IF(AND(ISNUMBER(BI192),ISNUMBER(BI133)),IFERROR(BI192/BI133,""),"")</f>
        <v>16.5412404502199</v>
      </c>
      <c r="BJ193" s="275">
        <f>IF(AND(ISNUMBER(BJ192),ISNUMBER(BJ133)),IFERROR(BJ192/BJ133,""),"")</f>
        <v>4.712</v>
      </c>
      <c r="BK193" s="275">
        <f>IF(AND(ISNUMBER(BK192),ISNUMBER(BK133)),IFERROR(BK192/BK133,""),"")</f>
        <v>5.15900383141763</v>
      </c>
      <c r="BL193" s="275">
        <f>IF(AND(ISNUMBER(BL192),ISNUMBER(BL133)),IFERROR(BL192/BL133,""),"")</f>
        <v>6.03384615384615</v>
      </c>
      <c r="BM193" s="275">
        <f>IF(AND(ISNUMBER(BM192),ISNUMBER(BM133)),IFERROR(BM192/BM133,""),"")</f>
        <v>7.51077337437476</v>
      </c>
      <c r="BN193" s="275">
        <f>IF(AND(ISNUMBER(BN192),ISNUMBER(BN133)),IFERROR(BN192/BN133,""),"")</f>
        <v>23.352142310635</v>
      </c>
      <c r="BO193" s="275">
        <f>IF(AND(ISNUMBER(BO192),ISNUMBER(BO133)),IFERROR(BO192/BO133,""),"")</f>
        <v>6.42625482625483</v>
      </c>
      <c r="BP193" s="275">
        <f>IF(AND(ISNUMBER(BP192),ISNUMBER(BP133)),IFERROR(BP192/BP133,""),"")</f>
        <v>7.13501945525292</v>
      </c>
      <c r="BQ193" s="275">
        <f>IF(AND(ISNUMBER(BQ192),ISNUMBER(BQ133)),IFERROR(BQ192/BQ133,""),"")</f>
        <v>7.24688958009331</v>
      </c>
      <c r="BR193" s="275">
        <f>IF(AND(ISNUMBER(BR192),ISNUMBER(BR133)),IFERROR(BR192/BR133,""),"")</f>
        <v>8.87641325536063</v>
      </c>
      <c r="BS193" s="275">
        <f>IF(AND(ISNUMBER(BS192),ISNUMBER(BS133)),IFERROR(BS192/BS133,""),"")</f>
        <v>29.6767676767677</v>
      </c>
      <c r="BT193" s="275">
        <f>IF(AND(ISNUMBER(BT192),ISNUMBER(BT133)),IFERROR(BT192/BT133,""),"")</f>
        <v>7.3100624024961</v>
      </c>
      <c r="BU193" s="275">
        <f>IF(AND(ISNUMBER(BU192),ISNUMBER(BU133)),IFERROR(BU192/BU133,""),"")</f>
        <v>7.35500525516428</v>
      </c>
      <c r="BV193" s="275">
        <f>IF(AND(ISNUMBER(BV192),ISNUMBER(BV133)),IFERROR(BV192/BV133,""),"")</f>
        <v>6.48439043189541</v>
      </c>
      <c r="BW193" s="275">
        <f>IF(AND(ISNUMBER(BW192),ISNUMBER(BW133)),IFERROR(BW192/BW133,""),"")</f>
        <v>7.86713515060743</v>
      </c>
      <c r="BX193" s="275">
        <f>IF(AND(ISNUMBER(BX192),ISNUMBER(BX133)),IFERROR(BX192/BX133,""),"")</f>
        <v>29.0184218719574</v>
      </c>
      <c r="BY193" s="275">
        <f>IF(AND(ISNUMBER(BY192),ISNUMBER(BY133)),IFERROR(BY192/BY133,""),"")</f>
        <v>32.306975425747</v>
      </c>
      <c r="BZ193" s="275">
        <f>IF(AND(ISNUMBER(BZ192),ISNUMBER(BZ133)),IFERROR(BZ192/BZ133,""),"")</f>
        <v>37.011713203599</v>
      </c>
      <c r="CA193" s="275">
        <f>IF(AND(ISNUMBER(CA192),ISNUMBER(CA133)),IFERROR(CA192/CA133,""),"")</f>
        <v>42.0760709701292</v>
      </c>
      <c r="CB193" s="275">
        <f>IF(AND(ISNUMBER(CB192),ISNUMBER(CB133)),IFERROR(CB192/CB133,""),"")</f>
        <v>48.8428469583658</v>
      </c>
      <c r="CC193" s="275">
        <f>IF(AND(ISNUMBER(CC192),ISNUMBER(CC133)),IFERROR(CC192/CC133,""),"")</f>
        <v>56.6079035548089</v>
      </c>
      <c r="CD193" s="19" t="n"/>
      <c r="CF193" s="20">
        <f>IFERROR((CC193/BX193)^(1/5)-1,"n/m")</f>
        <v>0.142985329666698</v>
      </c>
      <c r="CG193" s="20">
        <f>IFERROR((BS193/AT193)^(1/5)-1,"n/m")</f>
        <v>0.248680562984537</v>
      </c>
      <c r="CH193" s="20">
        <f>IFERROR((BS193/U193)^(1/10)-1,"n/m")</f>
        <v>0.368727728925643</v>
      </c>
      <c r="CI193" s="20">
        <f>IFERROR((BS193/C193)^(1/16)-1,"n/m")</f>
        <v>0.42905076287701</v>
      </c>
    </row>
    <row r="194" ht="15" customHeight="1" s="251">
      <c r="B194" s="22" t="inlineStr">
        <is>
          <t xml:space="preserve">    y/y %</t>
        </is>
      </c>
      <c r="C194" s="23" t="n"/>
      <c r="D194" s="255">
        <f>IF(AND(ISNUMBER(D193),ISNUMBER(C193)),IFERROR(D193/C193-1,""),"")</f>
        <v>1.8981612446959</v>
      </c>
      <c r="E194" s="255">
        <f>IF(AND(ISNUMBER(E193),ISNUMBER(D193)),IFERROR(E193/D193-1,""),"")</f>
        <v>0.630418860604141</v>
      </c>
      <c r="F194" s="255">
        <f>IF(AND(ISNUMBER(F193),ISNUMBER(E193)),IFERROR(F193/E193-1,""),"")</f>
        <v>-0.968127532142607</v>
      </c>
      <c r="G194" s="23" t="n"/>
      <c r="H194" s="23" t="n"/>
      <c r="I194" s="23" t="n"/>
      <c r="J194" s="23" t="n"/>
      <c r="K194" s="255">
        <f>IF(AND(ISNUMBER(K193),ISNUMBER(F193)),IFERROR(K193/F193-1,""),"")</f>
        <v>39.0961710369487</v>
      </c>
      <c r="L194" s="255">
        <f>IF(AND(ISNUMBER(L193),ISNUMBER(G193)),IFERROR(L193/G193-1,""),"")</f>
        <v>1.82054674266497</v>
      </c>
      <c r="M194" s="255">
        <f>IF(AND(ISNUMBER(M193),ISNUMBER(H193)),IFERROR(M193/H193-1,""),"")</f>
        <v>1.27779080716064</v>
      </c>
      <c r="N194" s="255">
        <f>IF(AND(ISNUMBER(N193),ISNUMBER(I193)),IFERROR(N193/I193-1,""),"")</f>
        <v>0.817094593141227</v>
      </c>
      <c r="O194" s="255">
        <f>IF(AND(ISNUMBER(O193),ISNUMBER(J193)),IFERROR(O193/J193-1,""),"")</f>
        <v>0.215832604895105</v>
      </c>
      <c r="P194" s="255">
        <f>IF(AND(ISNUMBER(P193),ISNUMBER(K193)),IFERROR(P193/K193-1,""),"")</f>
        <v>0.853519767252162</v>
      </c>
      <c r="Q194" s="255">
        <f>IF(AND(ISNUMBER(Q193),ISNUMBER(L193)),IFERROR(Q193/L193-1,""),"")</f>
        <v>-0.26720115395397</v>
      </c>
      <c r="R194" s="255">
        <f>IF(AND(ISNUMBER(R193),ISNUMBER(M193)),IFERROR(R193/M193-1,""),"")</f>
        <v>-0.167457030902128</v>
      </c>
      <c r="S194" s="255">
        <f>IF(AND(ISNUMBER(S193),ISNUMBER(N193)),IFERROR(S193/N193-1,""),"")</f>
        <v>0.0259907339579795</v>
      </c>
      <c r="T194" s="255">
        <f>IF(AND(ISNUMBER(T193),ISNUMBER(O193)),IFERROR(T193/O193-1,""),"")</f>
        <v>1.18606471607838</v>
      </c>
      <c r="U194" s="255">
        <f>IF(AND(ISNUMBER(U193),ISNUMBER(P193)),IFERROR(U193/P193-1,""),"")</f>
        <v>0.171262638518159</v>
      </c>
      <c r="V194" s="255">
        <f>IF(AND(ISNUMBER(V193),ISNUMBER(Q193)),IFERROR(V193/Q193-1,""),"")</f>
        <v>1.90353961109992</v>
      </c>
      <c r="W194" s="255">
        <f>IF(AND(ISNUMBER(W193),ISNUMBER(R193)),IFERROR(W193/R193-1,""),"")</f>
        <v>1.81107322429637</v>
      </c>
      <c r="X194" s="255">
        <f>IF(AND(ISNUMBER(X193),ISNUMBER(S193)),IFERROR(X193/S193-1,""),"")</f>
        <v>1.61578968645864</v>
      </c>
      <c r="Y194" s="255">
        <f>IF(AND(ISNUMBER(Y193),ISNUMBER(T193)),IFERROR(Y193/T193-1,""),"")</f>
        <v>1.24326498985464</v>
      </c>
      <c r="Z194" s="255">
        <f>IF(AND(ISNUMBER(Z193),ISNUMBER(U193)),IFERROR(Z193/U193-1,""),"")</f>
        <v>1.70842694509089</v>
      </c>
      <c r="AA194" s="255">
        <f>IF(AND(ISNUMBER(AA193),ISNUMBER(V193)),IFERROR(AA193/V193-1,""),"")</f>
        <v>0.993895348837209</v>
      </c>
      <c r="AB194" s="255">
        <f>IF(AND(ISNUMBER(AB193),ISNUMBER(W193)),IFERROR(AB193/W193-1,""),"")</f>
        <v>0.869162466113182</v>
      </c>
      <c r="AC194" s="255">
        <f>IF(AND(ISNUMBER(AC193),ISNUMBER(X193)),IFERROR(AC193/X193-1,""),"")</f>
        <v>0.954806183912726</v>
      </c>
      <c r="AD194" s="255">
        <f>IF(AND(ISNUMBER(AD193),ISNUMBER(Y193)),IFERROR(AD193/Y193-1,""),"")</f>
        <v>0.825498037207033</v>
      </c>
      <c r="AE194" s="255">
        <f>IF(AND(ISNUMBER(AE193),ISNUMBER(Z193)),IFERROR(AE193/Z193-1,""),"")</f>
        <v>0.766709740505028</v>
      </c>
      <c r="AF194" s="255">
        <f>IF(AND(ISNUMBER(AF193),ISNUMBER(AA193)),IFERROR(AF193/AA193-1,""),"")</f>
        <v>0.629717757892184</v>
      </c>
      <c r="AG194" s="255">
        <f>IF(AND(ISNUMBER(AG193),ISNUMBER(AB193)),IFERROR(AG193/AB193-1,""),"")</f>
        <v>0.32200408854418</v>
      </c>
      <c r="AH194" s="255">
        <f>IF(AND(ISNUMBER(AH193),ISNUMBER(AC193)),IFERROR(AH193/AC193-1,""),"")</f>
        <v>0.108169512226449</v>
      </c>
      <c r="AI194" s="255">
        <f>IF(AND(ISNUMBER(AI193),ISNUMBER(AD193)),IFERROR(AI193/AD193-1,""),"")</f>
        <v>0.0777469164862066</v>
      </c>
      <c r="AJ194" s="255">
        <f>IF(AND(ISNUMBER(AJ193),ISNUMBER(AE193)),IFERROR(AJ193/AE193-1,""),"")</f>
        <v>0.230123055374825</v>
      </c>
      <c r="AK194" s="255">
        <f>IF(AND(ISNUMBER(AK193),ISNUMBER(AF193)),IFERROR(AK193/AF193-1,""),"")</f>
        <v>0.117468331569365</v>
      </c>
      <c r="AL194" s="255">
        <f>IF(AND(ISNUMBER(AL193),ISNUMBER(AG193)),IFERROR(AL193/AG193-1,""),"")</f>
        <v>0.142879136225072</v>
      </c>
      <c r="AM194" s="255">
        <f>IF(AND(ISNUMBER(AM193),ISNUMBER(AH193)),IFERROR(AM193/AH193-1,""),"")</f>
        <v>0.201801535627359</v>
      </c>
      <c r="AN194" s="255">
        <f>IF(AND(ISNUMBER(AN193),ISNUMBER(AI193)),IFERROR(AN193/AI193-1,""),"")</f>
        <v>0.0734373771081225</v>
      </c>
      <c r="AO194" s="255">
        <f>IF(AND(ISNUMBER(AO193),ISNUMBER(AJ193)),IFERROR(AO193/AJ193-1,""),"")</f>
        <v>0.129746794039355</v>
      </c>
      <c r="AP194" s="255">
        <f>IF(AND(ISNUMBER(AP193),ISNUMBER(AK193)),IFERROR(AP193/AK193-1,""),"")</f>
        <v>-0.0967564551444243</v>
      </c>
      <c r="AQ194" s="255">
        <f>IF(AND(ISNUMBER(AQ193),ISNUMBER(AL193)),IFERROR(AQ193/AL193-1,""),"")</f>
        <v>-0.0969602103808069</v>
      </c>
      <c r="AR194" s="255">
        <f>IF(AND(ISNUMBER(AR193),ISNUMBER(AM193)),IFERROR(AR193/AM193-1,""),"")</f>
        <v>0.131543548467975</v>
      </c>
      <c r="AS194" s="255">
        <f>IF(AND(ISNUMBER(AS193),ISNUMBER(AN193)),IFERROR(AS193/AN193-1,""),"")</f>
        <v>0.516565773372175</v>
      </c>
      <c r="AT194" s="255">
        <f>IF(AND(ISNUMBER(AT193),ISNUMBER(AO193)),IFERROR(AT193/AO193-1,""),"")</f>
        <v>0.143146508056555</v>
      </c>
      <c r="AU194" s="255">
        <f>IF(AND(ISNUMBER(AU193),ISNUMBER(AP193)),IFERROR(AU193/AP193-1,""),"")</f>
        <v>0.927961253617397</v>
      </c>
      <c r="AV194" s="255">
        <f>IF(AND(ISNUMBER(AV193),ISNUMBER(AQ193)),IFERROR(AV193/AQ193-1,""),"")</f>
        <v>1.00873417964536</v>
      </c>
      <c r="AW194" s="255">
        <f>IF(AND(ISNUMBER(AW193),ISNUMBER(AR193)),IFERROR(AW193/AR193-1,""),"")</f>
        <v>0.340964360472775</v>
      </c>
      <c r="AX194" s="255">
        <f>IF(AND(ISNUMBER(AX193),ISNUMBER(AS193)),IFERROR(AX193/AS193-1,""),"")</f>
        <v>-0.0534466599416132</v>
      </c>
      <c r="AY194" s="255">
        <f>IF(AND(ISNUMBER(AY193),ISNUMBER(AT193)),IFERROR(AY193/AT193-1,""),"")</f>
        <v>0.408612117916929</v>
      </c>
      <c r="AZ194" s="255">
        <f>IF(AND(ISNUMBER(AZ193),ISNUMBER(AU193)),IFERROR(AZ193/AU193-1,""),"")</f>
        <v>-0.173829088183016</v>
      </c>
      <c r="BA194" s="255">
        <f>IF(AND(ISNUMBER(BA193),ISNUMBER(AV193)),IFERROR(BA193/AV193-1,""),"")</f>
        <v>-0.317757643359558</v>
      </c>
      <c r="BB194" s="255">
        <f>IF(AND(ISNUMBER(BB193),ISNUMBER(AW193)),IFERROR(BB193/AW193-1,""),"")</f>
        <v>-0.453698469885585</v>
      </c>
      <c r="BC194" s="255">
        <f>IF(AND(ISNUMBER(BC193),ISNUMBER(AX193)),IFERROR(BC193/AX193-1,""),"")</f>
        <v>-0.1835683033544</v>
      </c>
      <c r="BD194" s="255">
        <f>IF(AND(ISNUMBER(BD193),ISNUMBER(AY193)),IFERROR(BD193/AY193-1,""),"")</f>
        <v>-0.276716012791751</v>
      </c>
      <c r="BE194" s="255">
        <f>IF(AND(ISNUMBER(BE193),ISNUMBER(AZ193)),IFERROR(BE193/AZ193-1,""),"")</f>
        <v>-0.0657524069434265</v>
      </c>
      <c r="BF194" s="255">
        <f>IF(AND(ISNUMBER(BF193),ISNUMBER(BA193)),IFERROR(BF193/BA193-1,""),"")</f>
        <v>0.554636056252547</v>
      </c>
      <c r="BG194" s="255">
        <f>IF(AND(ISNUMBER(BG193),ISNUMBER(BB193)),IFERROR(BG193/BB193-1,""),"")</f>
        <v>1.56415558112346</v>
      </c>
      <c r="BH194" s="255">
        <f>IF(AND(ISNUMBER(BH193),ISNUMBER(BC193)),IFERROR(BH193/BC193-1,""),"")</f>
        <v>0.898103971854793</v>
      </c>
      <c r="BI194" s="255">
        <f>IF(AND(ISNUMBER(BI193),ISNUMBER(BD193)),IFERROR(BI193/BD193-1,""),"")</f>
        <v>0.660764163745744</v>
      </c>
      <c r="BJ194" s="255">
        <f>IF(AND(ISNUMBER(BJ193),ISNUMBER(BE193)),IFERROR(BJ193/BE193-1,""),"")</f>
        <v>0.852596898042416</v>
      </c>
      <c r="BK194" s="255">
        <f>IF(AND(ISNUMBER(BK193),ISNUMBER(BF193)),IFERROR(BK193/BF193-1,""),"")</f>
        <v>0.346342591842268</v>
      </c>
      <c r="BL194" s="255">
        <f>IF(AND(ISNUMBER(BL193),ISNUMBER(BG193)),IFERROR(BL193/BG193-1,""),"")</f>
        <v>0.339451827427611</v>
      </c>
      <c r="BM194" s="255">
        <f>IF(AND(ISNUMBER(BM193),ISNUMBER(BH193)),IFERROR(BM193/BH193-1,""),"")</f>
        <v>0.31899577784726</v>
      </c>
      <c r="BN194" s="255">
        <f>IF(AND(ISNUMBER(BN193),ISNUMBER(BI193)),IFERROR(BN193/BI193-1,""),"")</f>
        <v>0.411752787278087</v>
      </c>
      <c r="BO194" s="255">
        <f>IF(AND(ISNUMBER(BO193),ISNUMBER(BJ193)),IFERROR(BO193/BJ193-1,""),"")</f>
        <v>0.36380620251588</v>
      </c>
      <c r="BP194" s="255">
        <f>IF(AND(ISNUMBER(BP193),ISNUMBER(BK193)),IFERROR(BP193/BK193-1,""),"")</f>
        <v>0.383022709113265</v>
      </c>
      <c r="BQ194" s="255">
        <f>IF(AND(ISNUMBER(BQ193),ISNUMBER(BL193)),IFERROR(BQ193/BL193-1,""),"")</f>
        <v>0.20103983351878</v>
      </c>
      <c r="BR194" s="255">
        <f>IF(AND(ISNUMBER(BR193),ISNUMBER(BM193)),IFERROR(BR193/BM193-1,""),"")</f>
        <v>0.181824136199496</v>
      </c>
      <c r="BS194" s="255">
        <f>IF(AND(ISNUMBER(BS193),ISNUMBER(BN193)),IFERROR(BS193/BN193-1,""),"")</f>
        <v>0.270837051350628</v>
      </c>
      <c r="BT194" s="255">
        <f>IF(AND(ISNUMBER(BT193),ISNUMBER(BO193)),IFERROR(BT193/BO193-1,""),"")</f>
        <v>0.137530739153142</v>
      </c>
      <c r="BU194" s="255">
        <f>IF(AND(ISNUMBER(BU193),ISNUMBER(BP193)),IFERROR(BU193/BP193-1,""),"")</f>
        <v>0.030831843037149</v>
      </c>
      <c r="BV194" s="256">
        <f>IF(AND(ISNUMBER(BV193),ISNUMBER(BQ193)),IFERROR(BV193/BQ193-1,""),"")</f>
        <v>-0.105217437049466</v>
      </c>
      <c r="BW194" s="256">
        <f>IF(AND(ISNUMBER(BW193),ISNUMBER(BR193)),IFERROR(BW193/BR193-1,""),"")</f>
        <v>-0.113703370462577</v>
      </c>
      <c r="BX194" s="256">
        <f>IF(AND(ISNUMBER(BX193),ISNUMBER(BS193)),IFERROR(BX193/BS193-1,""),"")</f>
        <v>-0.0221838783785622</v>
      </c>
      <c r="BY194" s="256">
        <f>IF(AND(ISNUMBER(BY193),ISNUMBER(BX193)),IFERROR(BY193/BX193-1,""),"")</f>
        <v>0.113326409282356</v>
      </c>
      <c r="BZ194" s="256">
        <f>IF(AND(ISNUMBER(BZ193),ISNUMBER(BY193)),IFERROR(BZ193/BY193-1,""),"")</f>
        <v>0.145626067307515</v>
      </c>
      <c r="CA194" s="256">
        <f>IF(AND(ISNUMBER(CA193),ISNUMBER(BZ193)),IFERROR(CA193/BZ193-1,""),"")</f>
        <v>0.136831217152027</v>
      </c>
      <c r="CB194" s="256">
        <f>IF(AND(ISNUMBER(CB193),ISNUMBER(CA193)),IFERROR(CB193/CA193-1,""),"")</f>
        <v>0.160822430236903</v>
      </c>
      <c r="CC194" s="256">
        <f>IF(AND(ISNUMBER(CC193),ISNUMBER(CB193)),IFERROR(CC193/CB193-1,""),"")</f>
        <v>0.158980425589486</v>
      </c>
      <c r="CD194" s="153" t="n"/>
    </row>
    <row r="195" ht="15" customHeight="1" s="251">
      <c r="B195" s="25" t="inlineStr">
        <is>
          <t xml:space="preserve">  Adjusted income before taxes (current definition: adjusted OI + interest and other)</t>
        </is>
      </c>
      <c r="C195" s="211">
        <f>IF(ISNUMBER(C154),C154+C119,"")</f>
        <v>254</v>
      </c>
      <c r="D195" s="211">
        <f>IF(ISNUMBER(D154),D154+D119,"")</f>
        <v>1008</v>
      </c>
      <c r="E195" s="211">
        <f>IF(ISNUMBER(E154),E154+E119,"")</f>
        <v>1695</v>
      </c>
      <c r="F195" s="211">
        <f>IF(ISNUMBER(F154),F154+F119,"")</f>
        <v>494</v>
      </c>
      <c r="G195" s="211">
        <f>IF(ISNUMBER(G154),G154+G119,"")</f>
        <v>353</v>
      </c>
      <c r="H195" s="211">
        <f>IF(ISNUMBER(H154),H154+H119,"")</f>
        <v>545</v>
      </c>
      <c r="I195" s="211">
        <f>IF(ISNUMBER(I154),I154+I119,"")</f>
        <v>726</v>
      </c>
      <c r="J195" s="211">
        <f>IF(ISNUMBER(J154),J154+J119,"")</f>
        <v>1130</v>
      </c>
      <c r="K195" s="211">
        <f>IF(ISNUMBER(K154),K154+K119,"")</f>
        <v>2754</v>
      </c>
      <c r="L195" s="211">
        <f>IF(ISNUMBER(L154),L154+L119,"")</f>
        <v>1075</v>
      </c>
      <c r="M195" s="211">
        <f>IF(ISNUMBER(M154),M154+M119,"")</f>
        <v>1386</v>
      </c>
      <c r="N195" s="211">
        <f>IF(ISNUMBER(N154),N154+N119,"")</f>
        <v>1336</v>
      </c>
      <c r="O195" s="211">
        <f>IF(ISNUMBER(O154),O154+O119,"")</f>
        <v>1114</v>
      </c>
      <c r="P195" s="211">
        <f>IF(ISNUMBER(P154),P154+P119,"")</f>
        <v>4910</v>
      </c>
      <c r="Q195" s="211">
        <f>IF(ISNUMBER(Q154),Q154+Q119,"")</f>
        <v>932</v>
      </c>
      <c r="R195" s="211">
        <f>IF(ISNUMBER(R154),R154+R119,"")</f>
        <v>1273</v>
      </c>
      <c r="S195" s="211">
        <f>IF(ISNUMBER(S154),S154+S119,"")</f>
        <v>1432</v>
      </c>
      <c r="T195" s="211">
        <f>IF(ISNUMBER(T154),T154+T119,"")</f>
        <v>2557</v>
      </c>
      <c r="U195" s="211">
        <f>IF(ISNUMBER(U154),U154+U119,"")</f>
        <v>6194</v>
      </c>
      <c r="V195" s="211">
        <f>IF(ISNUMBER(V154),V154+V119,"")</f>
        <v>2065</v>
      </c>
      <c r="W195" s="211">
        <f>IF(ISNUMBER(W154),W154+W119,"")</f>
        <v>2766</v>
      </c>
      <c r="X195" s="211">
        <f>IF(ISNUMBER(X154),X154+X119,"")</f>
        <v>3169</v>
      </c>
      <c r="Y195" s="211">
        <f>IF(ISNUMBER(Y154),Y154+Y119,"")</f>
        <v>4533</v>
      </c>
      <c r="Z195" s="211">
        <f>IF(ISNUMBER(Z154),Z154+Z119,"")</f>
        <v>12518</v>
      </c>
      <c r="AA195" s="211">
        <f>IF(ISNUMBER(AA154),AA154+AA119,"")</f>
        <v>3408</v>
      </c>
      <c r="AB195" s="211">
        <f>IF(ISNUMBER(AB154),AB154+AB119,"")</f>
        <v>4488</v>
      </c>
      <c r="AC195" s="211">
        <f>IF(ISNUMBER(AC154),AC154+AC119,"")</f>
        <v>5236</v>
      </c>
      <c r="AD195" s="211">
        <f>IF(ISNUMBER(AD154),AD154+AD119,"")</f>
        <v>7462</v>
      </c>
      <c r="AE195" s="211">
        <f>IF(ISNUMBER(AE154),AE154+AE119,"")</f>
        <v>20594</v>
      </c>
      <c r="AF195" s="211">
        <f>IF(ISNUMBER(AF154),AF154+AF119,"")</f>
        <v>5610</v>
      </c>
      <c r="AG195" s="211">
        <f>IF(ISNUMBER(AG154),AG154+AG119,"")</f>
        <v>5868</v>
      </c>
      <c r="AH195" s="211">
        <f>IF(ISNUMBER(AH154),AH154+AH119,"")</f>
        <v>5912</v>
      </c>
      <c r="AI195" s="211">
        <f>IF(ISNUMBER(AI154),AI154+AI119,"")</f>
        <v>7971</v>
      </c>
      <c r="AJ195" s="211">
        <f>IF(ISNUMBER(AJ154),AJ154+AJ119,"")</f>
        <v>25361</v>
      </c>
      <c r="AK195" s="211">
        <f>IF(ISNUMBER(AK154),AK154+AK119,"")</f>
        <v>6482</v>
      </c>
      <c r="AL195" s="211">
        <f>IF(ISNUMBER(AL154),AL154+AL119,"")</f>
        <v>6832</v>
      </c>
      <c r="AM195" s="211">
        <f>IF(ISNUMBER(AM154),AM154+AM119,"")</f>
        <v>7329</v>
      </c>
      <c r="AN195" s="211">
        <f>IF(ISNUMBER(AN154),AN154+AN119,"")</f>
        <v>9169</v>
      </c>
      <c r="AO195" s="211">
        <f>IF(ISNUMBER(AO154),AO154+AO119,"")</f>
        <v>29812</v>
      </c>
      <c r="AP195" s="211">
        <f>IF(ISNUMBER(AP154),AP154+AP119,"")</f>
        <v>5861</v>
      </c>
      <c r="AQ195" s="211">
        <f>IF(ISNUMBER(AQ154),AQ154+AQ119,"")</f>
        <v>6131</v>
      </c>
      <c r="AR195" s="211">
        <f>IF(ISNUMBER(AR154),AR154+AR119,"")</f>
        <v>8133</v>
      </c>
      <c r="AS195" s="211">
        <f>IF(ISNUMBER(AS154),AS154+AS119,"")</f>
        <v>13055</v>
      </c>
      <c r="AT195" s="211">
        <f>IF(ISNUMBER(AT154),AT154+AT119,"")</f>
        <v>33180</v>
      </c>
      <c r="AU195" s="211">
        <f>IF(ISNUMBER(AU154),AU154+AU119,"")</f>
        <v>11503</v>
      </c>
      <c r="AV195" s="211">
        <f>IF(ISNUMBER(AV154),AV154+AV119,"")</f>
        <v>12513</v>
      </c>
      <c r="AW195" s="211">
        <f>IF(ISNUMBER(AW154),AW154+AW119,"")</f>
        <v>10565</v>
      </c>
      <c r="AX195" s="211">
        <f>IF(ISNUMBER(AX154),AX154+AX119,"")</f>
        <v>12702</v>
      </c>
      <c r="AY195" s="211">
        <f>IF(ISNUMBER(AY154),AY154+AY119,"")</f>
        <v>47284</v>
      </c>
      <c r="AZ195" s="211">
        <f>IF(ISNUMBER(AZ154),AZ154+AZ119,"")</f>
        <v>8908</v>
      </c>
      <c r="BA195" s="211">
        <f>IF(ISNUMBER(BA154),BA154+BA119,"")</f>
        <v>8186</v>
      </c>
      <c r="BB195" s="211">
        <f>IF(ISNUMBER(BB154),BB154+BB119,"")</f>
        <v>5989</v>
      </c>
      <c r="BC195" s="211">
        <f>IF(ISNUMBER(BC154),BC154+BC119,"")</f>
        <v>10347</v>
      </c>
      <c r="BD195" s="211">
        <f>IF(ISNUMBER(BD154),BD154+BD119,"")</f>
        <v>33430</v>
      </c>
      <c r="BE195" s="211">
        <f>IF(ISNUMBER(BE154),BE154+BE119,"")</f>
        <v>8451</v>
      </c>
      <c r="BF195" s="211">
        <f>IF(ISNUMBER(BF154),BF154+BF119,"")</f>
        <v>11943</v>
      </c>
      <c r="BG195" s="211">
        <f>IF(ISNUMBER(BG154),BG154+BG119,"")</f>
        <v>14400</v>
      </c>
      <c r="BH195" s="211">
        <f>IF(ISNUMBER(BH154),BH154+BH119,"")</f>
        <v>17958</v>
      </c>
      <c r="BI195" s="211">
        <f>IF(ISNUMBER(BI154),BI154+BI119,"")</f>
        <v>52752</v>
      </c>
      <c r="BJ195" s="211">
        <f>IF(ISNUMBER(BJ154),BJ154+BJ119,"")</f>
        <v>14183</v>
      </c>
      <c r="BK195" s="211">
        <f>IF(ISNUMBER(BK154),BK154+BK119,"")</f>
        <v>15106</v>
      </c>
      <c r="BL195" s="211">
        <f>IF(ISNUMBER(BL154),BL154+BL119,"")</f>
        <v>17822</v>
      </c>
      <c r="BM195" s="211">
        <f>IF(ISNUMBER(BM154),BM154+BM119,"")</f>
        <v>22003</v>
      </c>
      <c r="BN195" s="211">
        <f>IF(ISNUMBER(BN154),BN154+BN119,"")</f>
        <v>69113</v>
      </c>
      <c r="BO195" s="211">
        <f>IF(ISNUMBER(BO154),BO154+BO119,"")</f>
        <v>18382</v>
      </c>
      <c r="BP195" s="211">
        <f>IF(ISNUMBER(BP154),BP154+BP119,"")</f>
        <v>20534</v>
      </c>
      <c r="BQ195" s="211">
        <f>IF(ISNUMBER(BQ154),BQ154+BQ119,"")</f>
        <v>21663</v>
      </c>
      <c r="BR195" s="211">
        <f>IF(ISNUMBER(BR154),BR154+BR119,"")</f>
        <v>25354</v>
      </c>
      <c r="BS195" s="211">
        <f>IF(ISNUMBER(BS154),BS154+BS119,"")</f>
        <v>85932</v>
      </c>
      <c r="BT195" s="211">
        <f>IF(ISNUMBER(BT154),BT154+BT119,"")</f>
        <v>21752</v>
      </c>
      <c r="BU195" s="211">
        <f>IF(ISNUMBER(BU154),BU154+BU119,"")</f>
        <v>22336</v>
      </c>
      <c r="BV195" s="263">
        <f>IF(ISNUMBER(BV154),BV154+BV119,"")</f>
        <v>19843.0066728419</v>
      </c>
      <c r="BW195" s="263">
        <f>IF(ISNUMBER(BW154),BW154+BW119,"")</f>
        <v>24158.6608583237</v>
      </c>
      <c r="BX195" s="263">
        <f>IF(ISNUMBER(BX154),BX154+BX119,"")</f>
        <v>88089.6675311655</v>
      </c>
      <c r="BY195" s="263">
        <f>IF(ISNUMBER(BY154),BY154+BY119,"")</f>
        <v>100151.623819816</v>
      </c>
      <c r="BZ195" s="263">
        <f>IF(ISNUMBER(BZ154),BZ154+BZ119,"")</f>
        <v>115903.865243731</v>
      </c>
      <c r="CA195" s="263">
        <f>IF(ISNUMBER(CA154),CA154+CA119,"")</f>
        <v>131681.869757368</v>
      </c>
      <c r="CB195" s="263">
        <f>IF(ISNUMBER(CB154),CB154+CB119,"")</f>
        <v>151471.927558014</v>
      </c>
      <c r="CC195" s="263">
        <f>IF(ISNUMBER(CC154),CC154+CC119,"")</f>
        <v>171412.518827201</v>
      </c>
      <c r="CD195" s="19" t="n"/>
    </row>
    <row r="196" ht="15" customHeight="1" s="251">
      <c r="B196" s="25" t="inlineStr">
        <is>
          <t xml:space="preserve">  Adjusted income tax (adjusted income before taxes − adjusted net income, current definition)</t>
        </is>
      </c>
      <c r="C196" s="211">
        <f>IF(AND(ISNUMBER(C192),ISNUMBER(C195)),C195-C192-N(C126)+N(C127),"")</f>
        <v>25</v>
      </c>
      <c r="D196" s="211">
        <f>IF(AND(ISNUMBER(D192),ISNUMBER(D195)),D195-D192-N(D126)+N(D127),"")</f>
        <v>402</v>
      </c>
      <c r="E196" s="211">
        <f>IF(AND(ISNUMBER(E192),ISNUMBER(E195)),E195-E192-N(E126)+N(E127),"")</f>
        <v>695</v>
      </c>
      <c r="F196" s="211">
        <f>IF(AND(ISNUMBER(F192),ISNUMBER(F195)),F195-F192-N(F126)+N(F127),"")</f>
        <v>441</v>
      </c>
      <c r="G196" s="211">
        <f>IF(AND(ISNUMBER(G192),ISNUMBER(G195)),G195-G192-N(G126)+N(G127),"")</f>
        <v>134</v>
      </c>
      <c r="H196" s="211">
        <f>IF(AND(ISNUMBER(H192),ISNUMBER(H195)),H195-H192-N(H126)+N(H127),"")</f>
        <v>212</v>
      </c>
      <c r="I196" s="211">
        <f>IF(AND(ISNUMBER(I192),ISNUMBER(I195)),I195-I192-N(I126)+N(I127),"")</f>
        <v>301</v>
      </c>
      <c r="J196" s="211">
        <f>IF(AND(ISNUMBER(J192),ISNUMBER(J195)),J195-J192-N(J126)+N(J127),"")</f>
        <v>607</v>
      </c>
      <c r="K196" s="211">
        <f>IF(AND(ISNUMBER(K192),ISNUMBER(K195)),K195-K192-N(K126)+N(K127),"")</f>
        <v>1254</v>
      </c>
      <c r="L196" s="211">
        <f>IF(AND(ISNUMBER(L192),ISNUMBER(L195)),L195-L192-N(L126)+N(L127),"")</f>
        <v>433</v>
      </c>
      <c r="M196" s="211">
        <f>IF(AND(ISNUMBER(M192),ISNUMBER(M195)),M195-M192-N(M126)+N(M127),"")</f>
        <v>595</v>
      </c>
      <c r="N196" s="211">
        <f>IF(AND(ISNUMBER(N192),ISNUMBER(N195)),N195-N192-N(N126)+N(N127),"")</f>
        <v>530</v>
      </c>
      <c r="O196" s="211">
        <f>IF(AND(ISNUMBER(O192),ISNUMBER(O195)),O195-O192-N(O126)+N(O127),"")</f>
        <v>413</v>
      </c>
      <c r="P196" s="211">
        <f>IF(AND(ISNUMBER(P192),ISNUMBER(P195)),P195-P192-N(P126)+N(P127),"")</f>
        <v>1970</v>
      </c>
      <c r="Q196" s="211">
        <f>IF(AND(ISNUMBER(Q192),ISNUMBER(Q195)),Q195-Q192-N(Q126)+N(Q127),"")</f>
        <v>420</v>
      </c>
      <c r="R196" s="211">
        <f>IF(AND(ISNUMBER(R192),ISNUMBER(R195)),R195-R192-N(R126)+N(R127),"")</f>
        <v>554</v>
      </c>
      <c r="S196" s="211">
        <f>IF(AND(ISNUMBER(S192),ISNUMBER(S195)),S195-S192-N(S126)+N(S127),"")</f>
        <v>536</v>
      </c>
      <c r="T196" s="211">
        <f>IF(AND(ISNUMBER(T192),ISNUMBER(T195)),T195-T192-N(T126)+N(T127),"")</f>
        <v>995</v>
      </c>
      <c r="U196" s="211">
        <f>IF(AND(ISNUMBER(U192),ISNUMBER(U195)),U195-U192-N(U126)+N(U127),"")</f>
        <v>2506</v>
      </c>
      <c r="V196" s="211">
        <f>IF(AND(ISNUMBER(V192),ISNUMBER(V195)),V195-V192-N(V126)+N(V127),"")</f>
        <v>555</v>
      </c>
      <c r="W196" s="211">
        <f>IF(AND(ISNUMBER(W192),ISNUMBER(W195)),W195-W192-N(W126)+N(W127),"")</f>
        <v>711</v>
      </c>
      <c r="X196" s="211">
        <f>IF(AND(ISNUMBER(X192),ISNUMBER(X195)),X195-X192-N(X126)+N(X127),"")</f>
        <v>790</v>
      </c>
      <c r="Y196" s="211">
        <f>IF(AND(ISNUMBER(Y192),ISNUMBER(Y195)),Y195-Y192-N(Y126)+N(Y127),"")</f>
        <v>965</v>
      </c>
      <c r="Z196" s="211">
        <f>IF(AND(ISNUMBER(Z192),ISNUMBER(Z195)),Z195-Z192-N(Z126)+N(Z127),"")</f>
        <v>2301</v>
      </c>
      <c r="AA196" s="211">
        <f>IF(AND(ISNUMBER(AA192),ISNUMBER(AA195)),AA195-AA192-N(AA126)+N(AA127),"")</f>
        <v>344</v>
      </c>
      <c r="AB196" s="211">
        <f>IF(AND(ISNUMBER(AB192),ISNUMBER(AB195)),AB195-AB192-N(AB126)+N(AB127),"")</f>
        <v>594</v>
      </c>
      <c r="AC196" s="211">
        <f>IF(AND(ISNUMBER(AC192),ISNUMBER(AC195)),AC195-AC192-N(AC126)+N(AC127),"")</f>
        <v>529</v>
      </c>
      <c r="AD196" s="211">
        <f>IF(AND(ISNUMBER(AD192),ISNUMBER(AD195)),AD195-AD192-N(AD126)+N(AD127),"")</f>
        <v>924</v>
      </c>
      <c r="AE196" s="211">
        <f>IF(AND(ISNUMBER(AE192),ISNUMBER(AE195)),AE195-AE192-N(AE126)+N(AE127),"")</f>
        <v>2390</v>
      </c>
      <c r="AF196" s="211">
        <f>IF(AND(ISNUMBER(AF192),ISNUMBER(AF195)),AF195-AF192-N(AF126)+N(AF127),"")</f>
        <v>622</v>
      </c>
      <c r="AG196" s="211">
        <f>IF(AND(ISNUMBER(AG192),ISNUMBER(AG195)),AG195-AG192-N(AG126)+N(AG127),"")</f>
        <v>762</v>
      </c>
      <c r="AH196" s="211">
        <f>IF(AND(ISNUMBER(AH192),ISNUMBER(AH195)),AH195-AH192-N(AH126)+N(AH127),"")</f>
        <v>775</v>
      </c>
      <c r="AI196" s="211">
        <f>IF(AND(ISNUMBER(AI192),ISNUMBER(AI195)),AI195-AI192-N(AI126)+N(AI127),"")</f>
        <v>1089</v>
      </c>
      <c r="AJ196" s="211">
        <f>IF(AND(ISNUMBER(AJ192),ISNUMBER(AJ195)),AJ195-AJ192-N(AJ126)+N(AJ127),"")</f>
        <v>3249</v>
      </c>
      <c r="AK196" s="211">
        <f>IF(AND(ISNUMBER(AK192),ISNUMBER(AK195)),AK195-AK192-N(AK126)+N(AK127),"")</f>
        <v>1053</v>
      </c>
      <c r="AL196" s="211">
        <f>IF(AND(ISNUMBER(AL192),ISNUMBER(AL195)),AL195-AL192-N(AL126)+N(AL127),"")</f>
        <v>1106</v>
      </c>
      <c r="AM196" s="211">
        <f>IF(AND(ISNUMBER(AM192),ISNUMBER(AM195)),AM195-AM192-N(AM126)+N(AM127),"")</f>
        <v>1238</v>
      </c>
      <c r="AN196" s="211">
        <f>IF(AND(ISNUMBER(AN192),ISNUMBER(AN195)),AN195-AN192-N(AN126)+N(AN127),"")</f>
        <v>1820</v>
      </c>
      <c r="AO196" s="211">
        <f>IF(AND(ISNUMBER(AO192),ISNUMBER(AO195)),AO195-AO192-N(AO126)+N(AO127),"")</f>
        <v>5217</v>
      </c>
      <c r="AP196" s="211">
        <f>IF(AND(ISNUMBER(AP192),ISNUMBER(AP195)),AP195-AP192-N(AP126)+N(AP127),"")</f>
        <v>959</v>
      </c>
      <c r="AQ196" s="211">
        <f>IF(AND(ISNUMBER(AQ192),ISNUMBER(AQ195)),AQ195-AQ192-N(AQ126)+N(AQ127),"")</f>
        <v>953</v>
      </c>
      <c r="AR196" s="211">
        <f>IF(AND(ISNUMBER(AR192),ISNUMBER(AR195)),AR195-AR192-N(AR126)+N(AR127),"")</f>
        <v>1200</v>
      </c>
      <c r="AS196" s="211">
        <f>IF(AND(ISNUMBER(AS192),ISNUMBER(AS195)),AS195-AS192-N(AS126)+N(AS127),"")</f>
        <v>1836</v>
      </c>
      <c r="AT196" s="211">
        <f>IF(AND(ISNUMBER(AT192),ISNUMBER(AT195)),AT195-AT192-N(AT126)+N(AT127),"")</f>
        <v>4947</v>
      </c>
      <c r="AU196" s="211">
        <f>IF(AND(ISNUMBER(AU192),ISNUMBER(AU195)),AU195-AU192-N(AU126)+N(AU127),"")</f>
        <v>2006</v>
      </c>
      <c r="AV196" s="211">
        <f>IF(AND(ISNUMBER(AV192),ISNUMBER(AV195)),AV195-AV192-N(AV126)+N(AV127),"")</f>
        <v>2119</v>
      </c>
      <c r="AW196" s="211">
        <f>IF(AND(ISNUMBER(AW192),ISNUMBER(AW195)),AW195-AW192-N(AW126)+N(AW127),"")</f>
        <v>1371</v>
      </c>
      <c r="AX196" s="211">
        <f>IF(AND(ISNUMBER(AX192),ISNUMBER(AX195)),AX195-AX192-N(AX126)+N(AX127),"")</f>
        <v>2417</v>
      </c>
      <c r="AY196" s="211">
        <f>IF(AND(ISNUMBER(AY192),ISNUMBER(AY195)),AY195-AY192-N(AY126)+N(AY127),"")</f>
        <v>7914</v>
      </c>
      <c r="AZ196" s="211">
        <f>IF(AND(ISNUMBER(AZ192),ISNUMBER(AZ195)),AZ195-AZ192-N(AZ126)+N(AZ127),"")</f>
        <v>1443</v>
      </c>
      <c r="BA196" s="211">
        <f>IF(AND(ISNUMBER(BA192),ISNUMBER(BA195)),BA195-BA192-N(BA126)+N(BA127),"")</f>
        <v>1499</v>
      </c>
      <c r="BB196" s="211">
        <f>IF(AND(ISNUMBER(BB192),ISNUMBER(BB195)),BB195-BB192-N(BB126)+N(BB127),"")</f>
        <v>1268.47363701578</v>
      </c>
      <c r="BC196" s="211">
        <f>IF(AND(ISNUMBER(BC192),ISNUMBER(BC195)),BC195-BC192-N(BC126)+N(BC127),"")</f>
        <v>2427</v>
      </c>
      <c r="BD196" s="211">
        <f>IF(AND(ISNUMBER(BD192),ISNUMBER(BD195)),BD195-BD192-N(BD126)+N(BD127),"")</f>
        <v>6518.03220097852</v>
      </c>
      <c r="BE196" s="211">
        <f>IF(AND(ISNUMBER(BE192),ISNUMBER(BE195)),BE195-BE192-N(BE126)+N(BE127),"")</f>
        <v>1848.18639660599</v>
      </c>
      <c r="BF196" s="211">
        <f>IF(AND(ISNUMBER(BF192),ISNUMBER(BF195)),BF195-BF192-N(BF126)+N(BF127),"")</f>
        <v>1934.16711503282</v>
      </c>
      <c r="BG196" s="211">
        <f>IF(AND(ISNUMBER(BG192),ISNUMBER(BG195)),BG195-BG192-N(BG126)+N(BG127),"")</f>
        <v>2503.05278174037</v>
      </c>
      <c r="BH196" s="211">
        <f>IF(AND(ISNUMBER(BH192),ISNUMBER(BH195)),BH195-BH192-N(BH126)+N(BH127),"")</f>
        <v>2981.95966206568</v>
      </c>
      <c r="BI196" s="211">
        <f>IF(AND(ISNUMBER(BI192),ISNUMBER(BI195)),BI195-BI192-N(BI126)+N(BI127),"")</f>
        <v>9265.07885637177</v>
      </c>
      <c r="BJ196" s="211">
        <f>IF(AND(ISNUMBER(BJ192),ISNUMBER(BJ195)),BJ195-BJ192-N(BJ126)+N(BJ127),"")</f>
        <v>1814</v>
      </c>
      <c r="BK196" s="211">
        <f>IF(AND(ISNUMBER(BK192),ISNUMBER(BK195)),BK195-BK192-N(BK126)+N(BK127),"")</f>
        <v>1641</v>
      </c>
      <c r="BL196" s="211">
        <f>IF(AND(ISNUMBER(BL192),ISNUMBER(BL195)),BL195-BL192-N(BL126)+N(BL127),"")</f>
        <v>2134</v>
      </c>
      <c r="BM196" s="211">
        <f>IF(AND(ISNUMBER(BM192),ISNUMBER(BM195)),BM195-BM192-N(BM126)+N(BM127),"")</f>
        <v>2482.5</v>
      </c>
      <c r="BN196" s="211">
        <f>IF(AND(ISNUMBER(BN192),ISNUMBER(BN195)),BN195-BN192-N(BN126)+N(BN127),"")</f>
        <v>8070.5</v>
      </c>
      <c r="BO196" s="211">
        <f>IF(AND(ISNUMBER(BO192),ISNUMBER(BO195)),BO195-BO192-N(BO126)+N(BO127),"")</f>
        <v>1738</v>
      </c>
      <c r="BP196" s="211">
        <f>IF(AND(ISNUMBER(BP192),ISNUMBER(BP195)),BP195-BP192-N(BP126)+N(BP127),"")</f>
        <v>2197</v>
      </c>
      <c r="BQ196" s="211">
        <f>IF(AND(ISNUMBER(BQ192),ISNUMBER(BQ195)),BQ195-BQ192-N(BQ126)+N(BQ127),"")</f>
        <v>3024</v>
      </c>
      <c r="BR196" s="211">
        <f>IF(AND(ISNUMBER(BR192),ISNUMBER(BR195)),BR195-BR192-N(BR126)+N(BR127),"")</f>
        <v>2586</v>
      </c>
      <c r="BS196" s="211">
        <f>IF(AND(ISNUMBER(BS192),ISNUMBER(BS195)),BS195-BS192-N(BS126)+N(BS127),"")</f>
        <v>9544</v>
      </c>
      <c r="BT196" s="211">
        <f>IF(AND(ISNUMBER(BT192),ISNUMBER(BT195)),BT195-BT192-N(BT126)+N(BT127),"")</f>
        <v>3009</v>
      </c>
      <c r="BU196" s="211">
        <f>IF(AND(ISNUMBER(BU192),ISNUMBER(BU195)),BU195-BU192-N(BU126)+N(BU127),"")</f>
        <v>3463.05651524845</v>
      </c>
      <c r="BV196" s="263">
        <f>IF(AND(ISNUMBER(BV192),ISNUMBER(BV195)),BV195-BV192-N(BV126)+N(BV127),"")</f>
        <v>3174.8810676547</v>
      </c>
      <c r="BW196" s="263">
        <f>IF(AND(ISNUMBER(BW192),ISNUMBER(BW195)),BW195-BW192-N(BW126)+N(BW127),"")</f>
        <v>3865.38573733178</v>
      </c>
      <c r="BX196" s="263">
        <f>IF(AND(ISNUMBER(BX192),ISNUMBER(BX195)),BX195-BX192-N(BX126)+N(BX127),"")</f>
        <v>13512.3233202349</v>
      </c>
      <c r="BY196" s="263">
        <f>IF(AND(ISNUMBER(BY192),ISNUMBER(BY195)),BY195-BY192-N(BY126)+N(BY127),"")</f>
        <v>16024.2598111705</v>
      </c>
      <c r="BZ196" s="263">
        <f>IF(AND(ISNUMBER(BZ192),ISNUMBER(BZ195)),BZ195-BZ192-N(BZ126)+N(BZ127),"")</f>
        <v>18544.6184389969</v>
      </c>
      <c r="CA196" s="263">
        <f>IF(AND(ISNUMBER(CA192),ISNUMBER(CA195)),CA195-CA192-N(CA126)+N(CA127),"")</f>
        <v>21069.099161179</v>
      </c>
      <c r="CB196" s="263">
        <f>IF(AND(ISNUMBER(CB192),ISNUMBER(CB195)),CB195-CB192-N(CB126)+N(CB127),"")</f>
        <v>24992.8680470722</v>
      </c>
      <c r="CC196" s="263">
        <f>IF(AND(ISNUMBER(CC192),ISNUMBER(CC195)),CC195-CC192-N(CC126)+N(CC127),"")</f>
        <v>28283.0656064882</v>
      </c>
      <c r="CD196" s="19" t="n"/>
    </row>
    <row r="197" ht="15" customHeight="1" s="251">
      <c r="B197" s="25" t="inlineStr">
        <is>
          <t xml:space="preserve">  Adjusted effective tax rate (current definition)</t>
        </is>
      </c>
      <c r="C197" s="215">
        <f>IF(AND(ISNUMBER(C196),ISNUMBER(C195)),IFERROR(C196/C195,""),"")</f>
        <v>0.0984251968503937</v>
      </c>
      <c r="D197" s="215">
        <f>IF(AND(ISNUMBER(D196),ISNUMBER(D195)),IFERROR(D196/D195,""),"")</f>
        <v>0.398809523809524</v>
      </c>
      <c r="E197" s="215">
        <f>IF(AND(ISNUMBER(E196),ISNUMBER(E195)),IFERROR(E196/E195,""),"")</f>
        <v>0.410029498525074</v>
      </c>
      <c r="F197" s="215">
        <f>IF(AND(ISNUMBER(F196),ISNUMBER(F195)),IFERROR(F196/F195,""),"")</f>
        <v>0.892712550607288</v>
      </c>
      <c r="G197" s="215">
        <f>IF(AND(ISNUMBER(G196),ISNUMBER(G195)),IFERROR(G196/G195,""),"")</f>
        <v>0.379603399433428</v>
      </c>
      <c r="H197" s="215">
        <f>IF(AND(ISNUMBER(H196),ISNUMBER(H195)),IFERROR(H196/H195,""),"")</f>
        <v>0.388990825688073</v>
      </c>
      <c r="I197" s="215">
        <f>IF(AND(ISNUMBER(I196),ISNUMBER(I195)),IFERROR(I196/I195,""),"")</f>
        <v>0.414600550964187</v>
      </c>
      <c r="J197" s="215">
        <f>IF(AND(ISNUMBER(J196),ISNUMBER(J195)),IFERROR(J196/J195,""),"")</f>
        <v>0.53716814159292</v>
      </c>
      <c r="K197" s="215">
        <f>IF(AND(ISNUMBER(K196),ISNUMBER(K195)),IFERROR(K196/K195,""),"")</f>
        <v>0.455337690631808</v>
      </c>
      <c r="L197" s="215">
        <f>IF(AND(ISNUMBER(L196),ISNUMBER(L195)),IFERROR(L196/L195,""),"")</f>
        <v>0.402790697674419</v>
      </c>
      <c r="M197" s="215">
        <f>IF(AND(ISNUMBER(M196),ISNUMBER(M195)),IFERROR(M196/M195,""),"")</f>
        <v>0.429292929292929</v>
      </c>
      <c r="N197" s="215">
        <f>IF(AND(ISNUMBER(N196),ISNUMBER(N195)),IFERROR(N196/N195,""),"")</f>
        <v>0.396706586826347</v>
      </c>
      <c r="O197" s="215">
        <f>IF(AND(ISNUMBER(O196),ISNUMBER(O195)),IFERROR(O196/O195,""),"")</f>
        <v>0.370736086175943</v>
      </c>
      <c r="P197" s="215">
        <f>IF(AND(ISNUMBER(P196),ISNUMBER(P195)),IFERROR(P196/P195,""),"")</f>
        <v>0.40122199592668</v>
      </c>
      <c r="Q197" s="215">
        <f>IF(AND(ISNUMBER(Q196),ISNUMBER(Q195)),IFERROR(Q196/Q195,""),"")</f>
        <v>0.450643776824034</v>
      </c>
      <c r="R197" s="215">
        <f>IF(AND(ISNUMBER(R196),ISNUMBER(R195)),IFERROR(R196/R195,""),"")</f>
        <v>0.435192458758837</v>
      </c>
      <c r="S197" s="215">
        <f>IF(AND(ISNUMBER(S196),ISNUMBER(S195)),IFERROR(S196/S195,""),"")</f>
        <v>0.374301675977654</v>
      </c>
      <c r="T197" s="215">
        <f>IF(AND(ISNUMBER(T196),ISNUMBER(T195)),IFERROR(T196/T195,""),"")</f>
        <v>0.389127884239343</v>
      </c>
      <c r="U197" s="215">
        <f>IF(AND(ISNUMBER(U196),ISNUMBER(U195)),IFERROR(U196/U195,""),"")</f>
        <v>0.404585082337746</v>
      </c>
      <c r="V197" s="215">
        <f>IF(AND(ISNUMBER(V196),ISNUMBER(V195)),IFERROR(V196/V195,""),"")</f>
        <v>0.268765133171913</v>
      </c>
      <c r="W197" s="215">
        <f>IF(AND(ISNUMBER(W196),ISNUMBER(W195)),IFERROR(W196/W195,""),"")</f>
        <v>0.25704989154013</v>
      </c>
      <c r="X197" s="215">
        <f>IF(AND(ISNUMBER(X196),ISNUMBER(X195)),IFERROR(X196/X195,""),"")</f>
        <v>0.24928999684443</v>
      </c>
      <c r="Y197" s="215">
        <f>IF(AND(ISNUMBER(Y196),ISNUMBER(Y195)),IFERROR(Y196/Y195,""),"")</f>
        <v>0.212883300242665</v>
      </c>
      <c r="Z197" s="215">
        <f>IF(AND(ISNUMBER(Z196),ISNUMBER(Z195)),IFERROR(Z196/Z195,""),"")</f>
        <v>0.183815305959418</v>
      </c>
      <c r="AA197" s="215">
        <f>IF(AND(ISNUMBER(AA196),ISNUMBER(AA195)),IFERROR(AA196/AA195,""),"")</f>
        <v>0.10093896713615</v>
      </c>
      <c r="AB197" s="215">
        <f>IF(AND(ISNUMBER(AB196),ISNUMBER(AB195)),IFERROR(AB196/AB195,""),"")</f>
        <v>0.132352941176471</v>
      </c>
      <c r="AC197" s="215">
        <f>IF(AND(ISNUMBER(AC196),ISNUMBER(AC195)),IFERROR(AC196/AC195,""),"")</f>
        <v>0.101031321619557</v>
      </c>
      <c r="AD197" s="215">
        <f>IF(AND(ISNUMBER(AD196),ISNUMBER(AD195)),IFERROR(AD196/AD195,""),"")</f>
        <v>0.123827392120075</v>
      </c>
      <c r="AE197" s="215">
        <f>IF(AND(ISNUMBER(AE196),ISNUMBER(AE195)),IFERROR(AE196/AE195,""),"")</f>
        <v>0.116053219384287</v>
      </c>
      <c r="AF197" s="215">
        <f>IF(AND(ISNUMBER(AF196),ISNUMBER(AF195)),IFERROR(AF196/AF195,""),"")</f>
        <v>0.110873440285205</v>
      </c>
      <c r="AG197" s="215">
        <f>IF(AND(ISNUMBER(AG196),ISNUMBER(AG195)),IFERROR(AG196/AG195,""),"")</f>
        <v>0.129856850715746</v>
      </c>
      <c r="AH197" s="215">
        <f>IF(AND(ISNUMBER(AH196),ISNUMBER(AH195)),IFERROR(AH196/AH195,""),"")</f>
        <v>0.131089309878214</v>
      </c>
      <c r="AI197" s="215">
        <f>IF(AND(ISNUMBER(AI196),ISNUMBER(AI195)),IFERROR(AI196/AI195,""),"")</f>
        <v>0.136620248400452</v>
      </c>
      <c r="AJ197" s="215">
        <f>IF(AND(ISNUMBER(AJ196),ISNUMBER(AJ195)),IFERROR(AJ196/AJ195,""),"")</f>
        <v>0.128110090296124</v>
      </c>
      <c r="AK197" s="215">
        <f>IF(AND(ISNUMBER(AK196),ISNUMBER(AK195)),IFERROR(AK196/AK195,""),"")</f>
        <v>0.162449861153965</v>
      </c>
      <c r="AL197" s="215">
        <f>IF(AND(ISNUMBER(AL196),ISNUMBER(AL195)),IFERROR(AL196/AL195,""),"")</f>
        <v>0.161885245901639</v>
      </c>
      <c r="AM197" s="215">
        <f>IF(AND(ISNUMBER(AM196),ISNUMBER(AM195)),IFERROR(AM196/AM195,""),"")</f>
        <v>0.168917996998226</v>
      </c>
      <c r="AN197" s="215">
        <f>IF(AND(ISNUMBER(AN196),ISNUMBER(AN195)),IFERROR(AN196/AN195,""),"")</f>
        <v>0.198494928563638</v>
      </c>
      <c r="AO197" s="215">
        <f>IF(AND(ISNUMBER(AO196),ISNUMBER(AO195)),IFERROR(AO196/AO195,""),"")</f>
        <v>0.174996645646049</v>
      </c>
      <c r="AP197" s="215">
        <f>IF(AND(ISNUMBER(AP196),ISNUMBER(AP195)),IFERROR(AP196/AP195,""),"")</f>
        <v>0.163623954956492</v>
      </c>
      <c r="AQ197" s="215">
        <f>IF(AND(ISNUMBER(AQ196),ISNUMBER(AQ195)),IFERROR(AQ196/AQ195,""),"")</f>
        <v>0.155439569401403</v>
      </c>
      <c r="AR197" s="215">
        <f>IF(AND(ISNUMBER(AR196),ISNUMBER(AR195)),IFERROR(AR196/AR195,""),"")</f>
        <v>0.147547030616009</v>
      </c>
      <c r="AS197" s="215">
        <f>IF(AND(ISNUMBER(AS196),ISNUMBER(AS195)),IFERROR(AS196/AS195,""),"")</f>
        <v>0.140635771734967</v>
      </c>
      <c r="AT197" s="215">
        <f>IF(AND(ISNUMBER(AT196),ISNUMBER(AT195)),IFERROR(AT196/AT195,""),"")</f>
        <v>0.149095840867993</v>
      </c>
      <c r="AU197" s="215">
        <f>IF(AND(ISNUMBER(AU196),ISNUMBER(AU195)),IFERROR(AU196/AU195,""),"")</f>
        <v>0.1743892897505</v>
      </c>
      <c r="AV197" s="215">
        <f>IF(AND(ISNUMBER(AV196),ISNUMBER(AV195)),IFERROR(AV196/AV195,""),"")</f>
        <v>0.169343882362343</v>
      </c>
      <c r="AW197" s="215">
        <f>IF(AND(ISNUMBER(AW196),ISNUMBER(AW195)),IFERROR(AW196/AW195,""),"")</f>
        <v>0.129768102224326</v>
      </c>
      <c r="AX197" s="215">
        <f>IF(AND(ISNUMBER(AX196),ISNUMBER(AX195)),IFERROR(AX196/AX195,""),"")</f>
        <v>0.190284994489057</v>
      </c>
      <c r="AY197" s="215">
        <f>IF(AND(ISNUMBER(AY196),ISNUMBER(AY195)),IFERROR(AY196/AY195,""),"")</f>
        <v>0.167371626765925</v>
      </c>
      <c r="AZ197" s="215">
        <f>IF(AND(ISNUMBER(AZ196),ISNUMBER(AZ195)),IFERROR(AZ196/AZ195,""),"")</f>
        <v>0.161989223170184</v>
      </c>
      <c r="BA197" s="215">
        <f>IF(AND(ISNUMBER(BA196),ISNUMBER(BA195)),IFERROR(BA196/BA195,""),"")</f>
        <v>0.183117517713169</v>
      </c>
      <c r="BB197" s="215">
        <f>IF(AND(ISNUMBER(BB196),ISNUMBER(BB195)),IFERROR(BB196/BB195,""),"")</f>
        <v>0.211800573888092</v>
      </c>
      <c r="BC197" s="215">
        <f>IF(AND(ISNUMBER(BC196),ISNUMBER(BC195)),IFERROR(BC196/BC195,""),"")</f>
        <v>0.234560742244129</v>
      </c>
      <c r="BD197" s="215">
        <f>IF(AND(ISNUMBER(BD196),ISNUMBER(BD195)),IFERROR(BD196/BD195,""),"")</f>
        <v>0.194975536972136</v>
      </c>
      <c r="BE197" s="215">
        <f>IF(AND(ISNUMBER(BE196),ISNUMBER(BE195)),IFERROR(BE196/BE195,""),"")</f>
        <v>0.218694402627617</v>
      </c>
      <c r="BF197" s="215">
        <f>IF(AND(ISNUMBER(BF196),ISNUMBER(BF195)),IFERROR(BF196/BF195,""),"")</f>
        <v>0.161949854729366</v>
      </c>
      <c r="BG197" s="215">
        <f>IF(AND(ISNUMBER(BG196),ISNUMBER(BG195)),IFERROR(BG196/BG195,""),"")</f>
        <v>0.173823109843081</v>
      </c>
      <c r="BH197" s="215">
        <f>IF(AND(ISNUMBER(BH196),ISNUMBER(BH195)),IFERROR(BH196/BH195,""),"")</f>
        <v>0.166051880057116</v>
      </c>
      <c r="BI197" s="215">
        <f>IF(AND(ISNUMBER(BI196),ISNUMBER(BI195)),IFERROR(BI196/BI195,""),"")</f>
        <v>0.175634646200557</v>
      </c>
      <c r="BJ197" s="215">
        <f>IF(AND(ISNUMBER(BJ196),ISNUMBER(BJ195)),IFERROR(BJ196/BJ195,""),"")</f>
        <v>0.127899598110414</v>
      </c>
      <c r="BK197" s="215">
        <f>IF(AND(ISNUMBER(BK196),ISNUMBER(BK195)),IFERROR(BK196/BK195,""),"")</f>
        <v>0.108632331523898</v>
      </c>
      <c r="BL197" s="215">
        <f>IF(AND(ISNUMBER(BL196),ISNUMBER(BL195)),IFERROR(BL196/BL195,""),"")</f>
        <v>0.119739647626529</v>
      </c>
      <c r="BM197" s="215">
        <f>IF(AND(ISNUMBER(BM196),ISNUMBER(BM195)),IFERROR(BM196/BM195,""),"")</f>
        <v>0.11282552379221</v>
      </c>
      <c r="BN197" s="215">
        <f>IF(AND(ISNUMBER(BN196),ISNUMBER(BN195)),IFERROR(BN196/BN195,""),"")</f>
        <v>0.116772531940445</v>
      </c>
      <c r="BO197" s="215">
        <f>IF(AND(ISNUMBER(BO196),ISNUMBER(BO195)),IFERROR(BO196/BO195,""),"")</f>
        <v>0.0945490153410946</v>
      </c>
      <c r="BP197" s="215">
        <f>IF(AND(ISNUMBER(BP196),ISNUMBER(BP195)),IFERROR(BP196/BP195,""),"")</f>
        <v>0.106993279438979</v>
      </c>
      <c r="BQ197" s="215">
        <f>IF(AND(ISNUMBER(BQ196),ISNUMBER(BQ195)),IFERROR(BQ196/BQ195,""),"")</f>
        <v>0.139592854175322</v>
      </c>
      <c r="BR197" s="215">
        <f>IF(AND(ISNUMBER(BR196),ISNUMBER(BR195)),IFERROR(BR196/BR195,""),"")</f>
        <v>0.10199574031711</v>
      </c>
      <c r="BS197" s="215">
        <f>IF(AND(ISNUMBER(BS196),ISNUMBER(BS195)),IFERROR(BS196/BS195,""),"")</f>
        <v>0.111064562677466</v>
      </c>
      <c r="BT197" s="215">
        <f>IF(AND(ISNUMBER(BT196),ISNUMBER(BT195)),IFERROR(BT196/BT195,""),"")</f>
        <v>0.138332107392424</v>
      </c>
      <c r="BU197" s="215">
        <f>IF(AND(ISNUMBER(BU196),ISNUMBER(BU195)),IFERROR(BU196/BU195,""),"")</f>
        <v>0.155043719343143</v>
      </c>
      <c r="BV197" s="256">
        <f>IF(AND(ISNUMBER(BV196),ISNUMBER(BV195)),IFERROR(BV196/BV195,""),"")</f>
        <v>0.16</v>
      </c>
      <c r="BW197" s="256">
        <f>IF(AND(ISNUMBER(BW196),ISNUMBER(BW195)),IFERROR(BW196/BW195,""),"")</f>
        <v>0.16</v>
      </c>
      <c r="BX197" s="256">
        <f>IF(AND(ISNUMBER(BX196),ISNUMBER(BX195)),IFERROR(BX196/BX195,""),"")</f>
        <v>0.153392829135771</v>
      </c>
      <c r="BY197" s="256">
        <f>IF(AND(ISNUMBER(BY196),ISNUMBER(BY195)),IFERROR(BY196/BY195,""),"")</f>
        <v>0.16</v>
      </c>
      <c r="BZ197" s="256">
        <f>IF(AND(ISNUMBER(BZ196),ISNUMBER(BZ195)),IFERROR(BZ196/BZ195,""),"")</f>
        <v>0.16</v>
      </c>
      <c r="CA197" s="256">
        <f>IF(AND(ISNUMBER(CA196),ISNUMBER(CA195)),IFERROR(CA196/CA195,""),"")</f>
        <v>0.16</v>
      </c>
      <c r="CB197" s="256">
        <f>IF(AND(ISNUMBER(CB196),ISNUMBER(CB195)),IFERROR(CB196/CB195,""),"")</f>
        <v>0.165</v>
      </c>
      <c r="CC197" s="256">
        <f>IF(AND(ISNUMBER(CC196),ISNUMBER(CC195)),IFERROR(CC196/CC195,""),"")</f>
        <v>0.165</v>
      </c>
      <c r="CD197" s="153" t="n"/>
      <c r="CF197" s="37">
        <f>IFERROR(AVERAGE(BY197,BZ197,CA197,CB197,CC197),"n/m")</f>
        <v>0.162</v>
      </c>
      <c r="CG197" s="37">
        <f>IFERROR(AVERAGE(AY197,BD197,BI197,BN197,BS197),"n/m")</f>
        <v>0.153163780911306</v>
      </c>
      <c r="CH197" s="37">
        <f>IFERROR(AVERAGE(Z197,AE197,AJ197,AO197,AT197,AY197,BD197,BI197,BN197,BS197),"n/m")</f>
        <v>0.15178900067104</v>
      </c>
      <c r="CI197" s="37">
        <f>IFERROR(AVERAGE(C197,D197,E197,F197,K197,P197,U197,Z197,AE197,AJ197,AO197,AT197,AY197,BD197,BI197,BN197,BS197),"n/m")</f>
        <v>0.269353620317583</v>
      </c>
    </row>
    <row r="198" ht="15" customHeight="1" s="251">
      <c r="CL198" s="11" t="n"/>
      <c r="CM198" s="12" t="n"/>
      <c r="CN198" s="12" t="n"/>
      <c r="CO198" s="12" t="n"/>
      <c r="CP198" s="13" t="n"/>
    </row>
    <row r="199" ht="15" customHeight="1" s="251">
      <c r="B199" s="10" t="inlineStr">
        <is>
          <t>GROWTH &amp; MARGINS</t>
        </is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n"/>
      <c r="AN199" s="10" t="n"/>
      <c r="AO199" s="10" t="n"/>
      <c r="AP199" s="10" t="n"/>
      <c r="AQ199" s="10" t="n"/>
      <c r="AR199" s="10" t="n"/>
      <c r="AS199" s="10" t="n"/>
      <c r="AT199" s="10" t="n"/>
      <c r="AU199" s="10" t="n"/>
      <c r="AV199" s="10" t="n"/>
      <c r="AW199" s="10" t="n"/>
      <c r="AX199" s="10" t="n"/>
      <c r="AY199" s="10" t="n"/>
      <c r="AZ199" s="10" t="n"/>
      <c r="BA199" s="10" t="n"/>
      <c r="BB199" s="10" t="n"/>
      <c r="BC199" s="10" t="n"/>
      <c r="BD199" s="10" t="n"/>
      <c r="BE199" s="10" t="n"/>
      <c r="BF199" s="10" t="n"/>
      <c r="BG199" s="10" t="n"/>
      <c r="BH199" s="10" t="n"/>
      <c r="BI199" s="10" t="n"/>
      <c r="BJ199" s="10" t="n"/>
      <c r="BK199" s="10" t="n"/>
      <c r="BL199" s="10" t="n"/>
      <c r="BM199" s="10" t="n"/>
      <c r="BN199" s="10" t="n"/>
      <c r="BO199" s="10" t="n"/>
      <c r="BP199" s="10" t="n"/>
      <c r="BQ199" s="10" t="n"/>
      <c r="BR199" s="10" t="n"/>
      <c r="BS199" s="10" t="n"/>
      <c r="BT199" s="10" t="n"/>
      <c r="BU199" s="10" t="n"/>
      <c r="BV199" s="10" t="n"/>
      <c r="BW199" s="10" t="n"/>
      <c r="BX199" s="10" t="n"/>
      <c r="BY199" s="10" t="n"/>
      <c r="BZ199" s="10" t="n"/>
      <c r="CA199" s="10" t="n"/>
      <c r="CB199" s="10" t="n"/>
      <c r="CC199" s="10" t="n"/>
      <c r="CD199" s="10" t="inlineStr">
        <is>
          <t>GROWTH &amp; MARGINS (consolidated) — forecast outputs</t>
        </is>
      </c>
    </row>
    <row r="200" ht="15" customHeight="1" s="251">
      <c r="B200" s="22" t="inlineStr">
        <is>
          <t xml:space="preserve">  Revenue y/y %</t>
        </is>
      </c>
      <c r="C200" s="23" t="n"/>
      <c r="D200" s="255">
        <f>IF(AND(ISNUMBER(D109),ISNUMBER(C109)),IFERROR(D109/C109-1,""),"")</f>
        <v>1.54054054054054</v>
      </c>
      <c r="E200" s="255">
        <f>IF(AND(ISNUMBER(E109),ISNUMBER(D109)),IFERROR(E109/D109-1,""),"")</f>
        <v>0.879939209726444</v>
      </c>
      <c r="F200" s="255">
        <f>IF(AND(ISNUMBER(F109),ISNUMBER(E109)),IFERROR(F109/E109-1,""),"")</f>
        <v>0.371328482888709</v>
      </c>
      <c r="G200" s="23" t="n"/>
      <c r="H200" s="23" t="n"/>
      <c r="I200" s="23" t="n"/>
      <c r="J200" s="23" t="n"/>
      <c r="K200" s="255">
        <f>IF(AND(ISNUMBER(K109),ISNUMBER(F109)),IFERROR(K109/F109-1,""),"")</f>
        <v>0.546865788956573</v>
      </c>
      <c r="L200" s="255">
        <f>IF(AND(ISNUMBER(L109),ISNUMBER(G109)),IFERROR(L109/G109-1,""),"")</f>
        <v>0.71604938271605</v>
      </c>
      <c r="M200" s="255">
        <f>IF(AND(ISNUMBER(M109),ISNUMBER(H109)),IFERROR(M109/H109-1,""),"")</f>
        <v>0.605074462217319</v>
      </c>
      <c r="N200" s="255">
        <f>IF(AND(ISNUMBER(N109),ISNUMBER(I109)),IFERROR(N109/I109-1,""),"")</f>
        <v>0.588789682539683</v>
      </c>
      <c r="O200" s="255">
        <f>IF(AND(ISNUMBER(O109),ISNUMBER(J109)),IFERROR(O109/J109-1,""),"")</f>
        <v>0.489748549323017</v>
      </c>
      <c r="P200" s="255">
        <f>IF(AND(ISNUMBER(P109),ISNUMBER(K109)),IFERROR(P109/K109-1,""),"")</f>
        <v>0.583587398373984</v>
      </c>
      <c r="Q200" s="255">
        <f>IF(AND(ISNUMBER(Q109),ISNUMBER(L109)),IFERROR(Q109/L109-1,""),"")</f>
        <v>0.416067146282974</v>
      </c>
      <c r="R200" s="255">
        <f>IF(AND(ISNUMBER(R109),ISNUMBER(M109)),IFERROR(R109/M109-1,""),"")</f>
        <v>0.389003436426117</v>
      </c>
      <c r="S200" s="255">
        <f>IF(AND(ISNUMBER(S109),ISNUMBER(N109)),IFERROR(S109/N109-1,""),"")</f>
        <v>0.405245082734936</v>
      </c>
      <c r="T200" s="255">
        <f>IF(AND(ISNUMBER(T109),ISNUMBER(O109)),IFERROR(T109/O109-1,""),"")</f>
        <v>0.516748896390548</v>
      </c>
      <c r="U200" s="255">
        <f>IF(AND(ISNUMBER(U109),ISNUMBER(P109)),IFERROR(U109/P109-1,""),"")</f>
        <v>0.438151772822076</v>
      </c>
      <c r="V200" s="255">
        <f>IF(AND(ISNUMBER(V109),ISNUMBER(Q109)),IFERROR(V109/Q109-1,""),"")</f>
        <v>0.519051651143099</v>
      </c>
      <c r="W200" s="255">
        <f>IF(AND(ISNUMBER(W109),ISNUMBER(R109)),IFERROR(W109/R109-1,""),"")</f>
        <v>0.592281048985651</v>
      </c>
      <c r="X200" s="255">
        <f>IF(AND(ISNUMBER(X109),ISNUMBER(S109)),IFERROR(X109/S109-1,""),"")</f>
        <v>0.557653854698956</v>
      </c>
      <c r="Y200" s="255">
        <f>IF(AND(ISNUMBER(Y109),ISNUMBER(T109)),IFERROR(Y109/T109-1,""),"")</f>
        <v>0.508132169149118</v>
      </c>
      <c r="Z200" s="255">
        <f>IF(AND(ISNUMBER(Z109),ISNUMBER(U109)),IFERROR(Z109/U109-1,""),"")</f>
        <v>0.54161088799643</v>
      </c>
      <c r="AA200" s="255">
        <f>IF(AND(ISNUMBER(AA109),ISNUMBER(V109)),IFERROR(AA109/V109-1,""),"")</f>
        <v>0.492382014121145</v>
      </c>
      <c r="AB200" s="255">
        <f>IF(AND(ISNUMBER(AB109),ISNUMBER(W109)),IFERROR(AB109/W109-1,""),"")</f>
        <v>0.448259788688626</v>
      </c>
      <c r="AC200" s="255">
        <f>IF(AND(ISNUMBER(AC109),ISNUMBER(X109)),IFERROR(AC109/X109-1,""),"")</f>
        <v>0.473113678505206</v>
      </c>
      <c r="AD200" s="255">
        <f>IF(AND(ISNUMBER(AD109),ISNUMBER(Y109)),IFERROR(AD109/Y109-1,""),"")</f>
        <v>0.472584856396867</v>
      </c>
      <c r="AE200" s="255">
        <f>IF(AND(ISNUMBER(AE109),ISNUMBER(Z109)),IFERROR(AE109/Z109-1,""),"")</f>
        <v>0.470909617193719</v>
      </c>
      <c r="AF200" s="255">
        <f>IF(AND(ISNUMBER(AF109),ISNUMBER(AA109)),IFERROR(AF109/AA109-1,""),"")</f>
        <v>0.489790836653387</v>
      </c>
      <c r="AG200" s="255">
        <f>IF(AND(ISNUMBER(AG109),ISNUMBER(AB109)),IFERROR(AG109/AB109-1,""),"")</f>
        <v>0.419482888102135</v>
      </c>
      <c r="AH200" s="255">
        <f>IF(AND(ISNUMBER(AH109),ISNUMBER(AC109)),IFERROR(AH109/AC109-1,""),"")</f>
        <v>0.329105344694036</v>
      </c>
      <c r="AI200" s="255">
        <f>IF(AND(ISNUMBER(AI109),ISNUMBER(AD109)),IFERROR(AI109/AD109-1,""),"")</f>
        <v>0.303885291396855</v>
      </c>
      <c r="AJ200" s="255">
        <f>IF(AND(ISNUMBER(AJ109),ISNUMBER(AE109)),IFERROR(AJ109/AE109-1,""),"")</f>
        <v>0.37352716896662</v>
      </c>
      <c r="AK200" s="255">
        <f>IF(AND(ISNUMBER(AK109),ISNUMBER(AF109)),IFERROR(AK109/AF109-1,""),"")</f>
        <v>0.259986628781548</v>
      </c>
      <c r="AL200" s="255">
        <f>IF(AND(ISNUMBER(AL109),ISNUMBER(AG109)),IFERROR(AL109/AG109-1,""),"")</f>
        <v>0.276245181770086</v>
      </c>
      <c r="AM200" s="255">
        <f>IF(AND(ISNUMBER(AM109),ISNUMBER(AH109)),IFERROR(AM109/AH109-1,""),"")</f>
        <v>0.285932833102645</v>
      </c>
      <c r="AN200" s="255">
        <f>IF(AND(ISNUMBER(AN109),ISNUMBER(AI109)),IFERROR(AN109/AI109-1,""),"")</f>
        <v>0.246423081470971</v>
      </c>
      <c r="AO200" s="255">
        <f>IF(AND(ISNUMBER(AO109),ISNUMBER(AJ109)),IFERROR(AO109/AJ109-1,""),"")</f>
        <v>0.266109101328844</v>
      </c>
      <c r="AP200" s="255">
        <f>IF(AND(ISNUMBER(AP109),ISNUMBER(AK109)),IFERROR(AP109/AK109-1,""),"")</f>
        <v>0.176427671287391</v>
      </c>
      <c r="AQ200" s="255">
        <f>IF(AND(ISNUMBER(AQ109),ISNUMBER(AL109)),IFERROR(AQ109/AL109-1,""),"")</f>
        <v>0.106656401752931</v>
      </c>
      <c r="AR200" s="255">
        <f>IF(AND(ISNUMBER(AR109),ISNUMBER(AM109)),IFERROR(AR109/AM109-1,""),"")</f>
        <v>0.216292771357353</v>
      </c>
      <c r="AS200" s="255">
        <f>IF(AND(ISNUMBER(AS109),ISNUMBER(AN109)),IFERROR(AS109/AN109-1,""),"")</f>
        <v>0.331562470353856</v>
      </c>
      <c r="AT200" s="255">
        <f>IF(AND(ISNUMBER(AT109),ISNUMBER(AO109)),IFERROR(AT109/AO109-1,""),"")</f>
        <v>0.215963902287226</v>
      </c>
      <c r="AU200" s="255">
        <f>IF(AND(ISNUMBER(AU109),ISNUMBER(AP109)),IFERROR(AU109/AP109-1,""),"")</f>
        <v>0.475503185431584</v>
      </c>
      <c r="AV200" s="255">
        <f>IF(AND(ISNUMBER(AV109),ISNUMBER(AQ109)),IFERROR(AV109/AQ109-1,""),"")</f>
        <v>0.556001498367849</v>
      </c>
      <c r="AW200" s="255">
        <f>IF(AND(ISNUMBER(AW109),ISNUMBER(AR109)),IFERROR(AW109/AR109-1,""),"")</f>
        <v>0.351187703772706</v>
      </c>
      <c r="AX200" s="255">
        <f>IF(AND(ISNUMBER(AX109),ISNUMBER(AS109)),IFERROR(AX109/AS109-1,""),"")</f>
        <v>0.199451410658307</v>
      </c>
      <c r="AY200" s="255">
        <f>IF(AND(ISNUMBER(AY109),ISNUMBER(AT109)),IFERROR(AY109/AT109-1,""),"")</f>
        <v>0.371825743034956</v>
      </c>
      <c r="AZ200" s="255">
        <f>IF(AND(ISNUMBER(AZ109),ISNUMBER(AU109)),IFERROR(AZ109/AU109-1,""),"")</f>
        <v>0.0663711742004509</v>
      </c>
      <c r="BA200" s="255">
        <f>IF(AND(ISNUMBER(BA109),ISNUMBER(AV109)),IFERROR(BA109/AV109-1,""),"")</f>
        <v>-0.00876981806926436</v>
      </c>
      <c r="BB200" s="255">
        <f>IF(AND(ISNUMBER(BB109),ISNUMBER(AW109)),IFERROR(BB109/AW109-1,""),"")</f>
        <v>-0.0446742502585316</v>
      </c>
      <c r="BC200" s="255">
        <f>IF(AND(ISNUMBER(BC109),ISNUMBER(AX109)),IFERROR(BC109/AX109-1,""),"")</f>
        <v>-0.0447269163375011</v>
      </c>
      <c r="BD200" s="255">
        <f>IF(AND(ISNUMBER(BD109),ISNUMBER(AY109)),IFERROR(BD109/AY109-1,""),"")</f>
        <v>-0.0111931755547829</v>
      </c>
      <c r="BE200" s="255">
        <f>IF(AND(ISNUMBER(BE109),ISNUMBER(AZ109)),IFERROR(BE109/AZ109-1,""),"")</f>
        <v>0.02640819836606</v>
      </c>
      <c r="BF200" s="255">
        <f>IF(AND(ISNUMBER(BF109),ISNUMBER(BA109)),IFERROR(BF109/BA109-1,""),"")</f>
        <v>0.110228297828048</v>
      </c>
      <c r="BG200" s="255">
        <f>IF(AND(ISNUMBER(BG109),ISNUMBER(BB109)),IFERROR(BG109/BB109-1,""),"")</f>
        <v>0.232084866854297</v>
      </c>
      <c r="BH200" s="255">
        <f>IF(AND(ISNUMBER(BH109),ISNUMBER(BC109)),IFERROR(BH109/BC109-1,""),"")</f>
        <v>0.247038706668739</v>
      </c>
      <c r="BI200" s="255">
        <f>IF(AND(ISNUMBER(BI109),ISNUMBER(BD109)),IFERROR(BI109/BD109-1,""),"")</f>
        <v>0.156874683772265</v>
      </c>
      <c r="BJ200" s="255">
        <f>IF(AND(ISNUMBER(BJ109),ISNUMBER(BE109)),IFERROR(BJ109/BE109-1,""),"")</f>
        <v>0.272647931576191</v>
      </c>
      <c r="BK200" s="255">
        <f>IF(AND(ISNUMBER(BK109),ISNUMBER(BF109)),IFERROR(BK109/BF109-1,""),"")</f>
        <v>0.221006906465827</v>
      </c>
      <c r="BL200" s="255">
        <f>IF(AND(ISNUMBER(BL109),ISNUMBER(BG109)),IFERROR(BL109/BG109-1,""),"")</f>
        <v>0.188689744040297</v>
      </c>
      <c r="BM200" s="255">
        <f>IF(AND(ISNUMBER(BM109),ISNUMBER(BH109)),IFERROR(BM109/BH109-1,""),"")</f>
        <v>0.206277579716287</v>
      </c>
      <c r="BN200" s="255">
        <f>IF(AND(ISNUMBER(BN109),ISNUMBER(BI109)),IFERROR(BN109/BI109-1,""),"")</f>
        <v>0.219411128078161</v>
      </c>
      <c r="BO200" s="255">
        <f>IF(AND(ISNUMBER(BO109),ISNUMBER(BJ109)),IFERROR(BO109/BJ109-1,""),"")</f>
        <v>0.16071869428062</v>
      </c>
      <c r="BP200" s="255">
        <f>IF(AND(ISNUMBER(BP109),ISNUMBER(BK109)),IFERROR(BP109/BK109-1,""),"")</f>
        <v>0.216144966855212</v>
      </c>
      <c r="BQ200" s="255">
        <f>IF(AND(ISNUMBER(BQ109),ISNUMBER(BL109)),IFERROR(BQ109/BL109-1,""),"")</f>
        <v>0.26246027248762</v>
      </c>
      <c r="BR200" s="255">
        <f>IF(AND(ISNUMBER(BR109),ISNUMBER(BM109)),IFERROR(BR109/BM109-1,""),"")</f>
        <v>0.237842306499948</v>
      </c>
      <c r="BS200" s="255">
        <f>IF(AND(ISNUMBER(BS109),ISNUMBER(BN109)),IFERROR(BS109/BN109-1,""),"")</f>
        <v>0.221670384982462</v>
      </c>
      <c r="BT200" s="255">
        <f>IF(AND(ISNUMBER(BT109),ISNUMBER(BO109)),IFERROR(BT109/BO109-1,""),"")</f>
        <v>0.3307888642057</v>
      </c>
      <c r="BU200" s="255">
        <f>IF(AND(ISNUMBER(BU109),ISNUMBER(BP109)),IFERROR(BU109/BP109-1,""),"")</f>
        <v>0.279590032831046</v>
      </c>
      <c r="BV200" s="256">
        <f>IF(AND(ISNUMBER(BV109),ISNUMBER(BQ109)),IFERROR(BV109/BQ109-1,""),"")</f>
        <v>0.21970258772101</v>
      </c>
      <c r="BW200" s="256">
        <f>IF(AND(ISNUMBER(BW109),ISNUMBER(BR109)),IFERROR(BW109/BR109-1,""),"")</f>
        <v>0.218646778941871</v>
      </c>
      <c r="BX200" s="256">
        <f>IF(AND(ISNUMBER(BX109),ISNUMBER(BS109)),IFERROR(BX109/BS109-1,""),"")</f>
        <v>0.256931080536835</v>
      </c>
      <c r="BY200" s="256">
        <f>IF(AND(ISNUMBER(BY109),ISNUMBER(BX109)),IFERROR(BY109/BX109-1,""),"")</f>
        <v>0.190934998810891</v>
      </c>
      <c r="BZ200" s="256">
        <f>IF(AND(ISNUMBER(BZ109),ISNUMBER(BY109)),IFERROR(BZ109/BY109-1,""),"")</f>
        <v>0.157933773747833</v>
      </c>
      <c r="CA200" s="256">
        <f>IF(AND(ISNUMBER(CA109),ISNUMBER(BZ109)),IFERROR(CA109/BZ109-1,""),"")</f>
        <v>0.136433271139651</v>
      </c>
      <c r="CB200" s="256">
        <f>IF(AND(ISNUMBER(CB109),ISNUMBER(CA109)),IFERROR(CB109/CA109-1,""),"")</f>
        <v>0.114940338393896</v>
      </c>
      <c r="CC200" s="256">
        <f>IF(AND(ISNUMBER(CC109),ISNUMBER(CB109)),IFERROR(CC109/CB109-1,""),"")</f>
        <v>0.1036982105757</v>
      </c>
      <c r="CD200" s="153" t="n"/>
      <c r="CF200" s="37">
        <f>IFERROR(AVERAGE(BY200,BZ200,CA200,CB200,CC200),"n/m")</f>
        <v>0.140788118533594</v>
      </c>
      <c r="CG200" s="37">
        <f>IFERROR(AVERAGE(AY200,BD200,BI200,BN200,BS200),"n/m")</f>
        <v>0.191717752862612</v>
      </c>
      <c r="CH200" s="37">
        <f>IFERROR(AVERAGE(Z200,AE200,AJ200,AO200,AT200,AY200,BD200,BI200,BN200,BS200),"n/m")</f>
        <v>0.28267094420859</v>
      </c>
      <c r="CI200" s="37">
        <f>IFERROR(AVERAGE(C200,D200,E200,F200,K200,P200,U200,Z200,AE200,AJ200,AO200,AT200,AY200,BD200,BI200,BN200,BS200),"n/m")</f>
        <v>0.449195164712139</v>
      </c>
    </row>
    <row r="201" ht="15" customHeight="1" s="251">
      <c r="B201" s="22" t="inlineStr">
        <is>
          <t xml:space="preserve">  Advertising revenue y/y %</t>
        </is>
      </c>
      <c r="C201" s="23" t="n"/>
      <c r="D201" s="255">
        <f>IF(AND(ISNUMBER(D11),ISNUMBER(C11)),IFERROR(D11/C11-1,""),"")</f>
        <v>1.44502617801047</v>
      </c>
      <c r="E201" s="255">
        <f>IF(AND(ISNUMBER(E11),ISNUMBER(D11)),IFERROR(E11/D11-1,""),"")</f>
        <v>0.688436830835118</v>
      </c>
      <c r="F201" s="255">
        <f>IF(AND(ISNUMBER(F11),ISNUMBER(E11)),IFERROR(F11/E11-1,""),"")</f>
        <v>0.356689917564997</v>
      </c>
      <c r="G201" s="23" t="n"/>
      <c r="H201" s="23" t="n"/>
      <c r="I201" s="23" t="n"/>
      <c r="J201" s="23" t="n"/>
      <c r="K201" s="255">
        <f>IF(AND(ISNUMBER(K11),ISNUMBER(F11)),IFERROR(K11/F11-1,""),"")</f>
        <v>0.632624444963777</v>
      </c>
      <c r="L201" s="255">
        <f>IF(AND(ISNUMBER(L11),ISNUMBER(G11)),IFERROR(L11/G11-1,""),"")</f>
        <v>0.819277108433735</v>
      </c>
      <c r="M201" s="255">
        <f>IF(AND(ISNUMBER(M11),ISNUMBER(H11)),IFERROR(M11/H11-1,""),"")</f>
        <v>0.673545966228893</v>
      </c>
      <c r="N201" s="255">
        <f>IF(AND(ISNUMBER(N11),ISNUMBER(I11)),IFERROR(N11/I11-1,""),"")</f>
        <v>0.64460511679644</v>
      </c>
      <c r="O201" s="255">
        <f>IF(AND(ISNUMBER(O11),ISNUMBER(J11)),IFERROR(O11/J11-1,""),"")</f>
        <v>0.533276450511945</v>
      </c>
      <c r="P201" s="255">
        <f>IF(AND(ISNUMBER(P11),ISNUMBER(K11)),IFERROR(P11/K11-1,""),"")</f>
        <v>0.645004294302892</v>
      </c>
      <c r="Q201" s="255">
        <f>IF(AND(ISNUMBER(Q11),ISNUMBER(L11)),IFERROR(Q11/L11-1,""),"")</f>
        <v>0.464459161147903</v>
      </c>
      <c r="R201" s="255">
        <f>IF(AND(ISNUMBER(R11),ISNUMBER(M11)),IFERROR(R11/M11-1,""),"")</f>
        <v>0.430119581464873</v>
      </c>
      <c r="S201" s="255">
        <f>IF(AND(ISNUMBER(S11),ISNUMBER(N11)),IFERROR(S11/N11-1,""),"")</f>
        <v>0.453838349678728</v>
      </c>
      <c r="T201" s="255">
        <f>IF(AND(ISNUMBER(T11),ISNUMBER(O11)),IFERROR(T11/O11-1,""),"")</f>
        <v>0.568447412353923</v>
      </c>
      <c r="U201" s="255">
        <f>IF(AND(ISNUMBER(U11),ISNUMBER(P11)),IFERROR(U11/P11-1,""),"")</f>
        <v>0.486164288200487</v>
      </c>
      <c r="V201" s="255">
        <f>IF(AND(ISNUMBER(V11),ISNUMBER(Q11)),IFERROR(V11/Q11-1,""),"")</f>
        <v>0.567983117274646</v>
      </c>
      <c r="W201" s="255">
        <f>IF(AND(ISNUMBER(W11),ISNUMBER(R11)),IFERROR(W11/R11-1,""),"")</f>
        <v>0.630258688267573</v>
      </c>
      <c r="X201" s="255">
        <f>IF(AND(ISNUMBER(X11),ISNUMBER(S11)),IFERROR(X11/S11-1,""),"")</f>
        <v>0.585484996510816</v>
      </c>
      <c r="Y201" s="255">
        <f>IF(AND(ISNUMBER(Y11),ISNUMBER(T11)),IFERROR(Y11/T11-1,""),"")</f>
        <v>0.530778783040625</v>
      </c>
      <c r="Z201" s="255">
        <f>IF(AND(ISNUMBER(Z11),ISNUMBER(U11)),IFERROR(Z11/U11-1,""),"")</f>
        <v>0.57415539551496</v>
      </c>
      <c r="AA201" s="255">
        <f>IF(AND(ISNUMBER(AA11),ISNUMBER(V11)),IFERROR(AA11/V11-1,""),"")</f>
        <v>0.510671024802923</v>
      </c>
      <c r="AB201" s="255">
        <f>IF(AND(ISNUMBER(AB11),ISNUMBER(W11)),IFERROR(AB11/W11-1,""),"")</f>
        <v>0.46882513223273</v>
      </c>
      <c r="AC201" s="255">
        <f>IF(AND(ISNUMBER(AC11),ISNUMBER(X11)),IFERROR(AC11/X11-1,""),"")</f>
        <v>0.487969483568075</v>
      </c>
      <c r="AD201" s="255">
        <f>IF(AND(ISNUMBER(AD11),ISNUMBER(Y11)),IFERROR(AD11/Y11-1,""),"")</f>
        <v>0.480936377332252</v>
      </c>
      <c r="AE201" s="255">
        <f>IF(AND(ISNUMBER(AE11),ISNUMBER(Z11)),IFERROR(AE11/Z11-1,""),"")</f>
        <v>0.48566114933978</v>
      </c>
      <c r="AF201" s="255">
        <f>IF(AND(ISNUMBER(AF11),ISNUMBER(AA11)),IFERROR(AF11/AA11-1,""),"")</f>
        <v>0.501209112892962</v>
      </c>
      <c r="AG201" s="255">
        <f>IF(AND(ISNUMBER(AG11),ISNUMBER(AB11)),IFERROR(AG11/AB11-1,""),"")</f>
        <v>0.422741161065037</v>
      </c>
      <c r="AH201" s="255">
        <f>IF(AND(ISNUMBER(AH11),ISNUMBER(AC11)),IFERROR(AH11/AC11-1,""),"")</f>
        <v>0.334943798067442</v>
      </c>
      <c r="AI201" s="255">
        <f>IF(AND(ISNUMBER(AI11),ISNUMBER(AD11)),IFERROR(AI11/AD11-1,""),"")</f>
        <v>0.302136317395727</v>
      </c>
      <c r="AJ201" s="255">
        <f>IF(AND(ISNUMBER(AJ11),ISNUMBER(AE11)),IFERROR(AJ11/AE11-1,""),"")</f>
        <v>0.377322117069751</v>
      </c>
      <c r="AK201" s="255">
        <f>IF(AND(ISNUMBER(AK11),ISNUMBER(AF11)),IFERROR(AK11/AF11-1,""),"")</f>
        <v>0.264264518863925</v>
      </c>
      <c r="AL201" s="255">
        <f>IF(AND(ISNUMBER(AL11),ISNUMBER(AG11)),IFERROR(AL11/AG11-1,""),"")</f>
        <v>0.275042184384108</v>
      </c>
      <c r="AM201" s="255">
        <f>IF(AND(ISNUMBER(AM11),ISNUMBER(AH11)),IFERROR(AM11/AH11-1,""),"")</f>
        <v>0.283920525888175</v>
      </c>
      <c r="AN201" s="255">
        <f>IF(AND(ISNUMBER(AN11),ISNUMBER(AI11)),IFERROR(AN11/AI11-1,""),"")</f>
        <v>0.246153846153846</v>
      </c>
      <c r="AO201" s="255">
        <f>IF(AND(ISNUMBER(AO11),ISNUMBER(AJ11)),IFERROR(AO11/AJ11-1,""),"")</f>
        <v>0.266155272390162</v>
      </c>
      <c r="AP201" s="255">
        <f>IF(AND(ISNUMBER(AP11),ISNUMBER(AK11)),IFERROR(AP11/AK11-1,""),"")</f>
        <v>0.169527896995708</v>
      </c>
      <c r="AQ201" s="255">
        <f>IF(AND(ISNUMBER(AQ11),ISNUMBER(AL11)),IFERROR(AQ11/AL11-1,""),"")</f>
        <v>0.102081328200192</v>
      </c>
      <c r="AR201" s="255">
        <f>IF(AND(ISNUMBER(AR11),ISNUMBER(AM11)),IFERROR(AR11/AM11-1,""),"")</f>
        <v>0.220790427429098</v>
      </c>
      <c r="AS201" s="255">
        <f>IF(AND(ISNUMBER(AS11),ISNUMBER(AN11)),IFERROR(AS11/AN11-1,""),"")</f>
        <v>0.311101466049383</v>
      </c>
      <c r="AT201" s="255">
        <f>IF(AND(ISNUMBER(AT11),ISNUMBER(AO11)),IFERROR(AT11/AO11-1,""),"")</f>
        <v>0.208369822697581</v>
      </c>
      <c r="AU201" s="255">
        <f>IF(AND(ISNUMBER(AU11),ISNUMBER(AP11)),IFERROR(AU11/AP11-1,""),"")</f>
        <v>0.458658256880734</v>
      </c>
      <c r="AV201" s="255">
        <f>IF(AND(ISNUMBER(AV11),ISNUMBER(AQ11)),IFERROR(AV11/AQ11-1,""),"")</f>
        <v>0.559958517548169</v>
      </c>
      <c r="AW201" s="255">
        <f>IF(AND(ISNUMBER(AW11),ISNUMBER(AR11)),IFERROR(AW11/AR11-1,""),"")</f>
        <v>0.332453701522077</v>
      </c>
      <c r="AX201" s="255">
        <f>IF(AND(ISNUMBER(AX11),ISNUMBER(AS11)),IFERROR(AX11/AS11-1,""),"")</f>
        <v>0.200537021370508</v>
      </c>
      <c r="AY201" s="255">
        <f>IF(AND(ISNUMBER(AY11),ISNUMBER(AT11)),IFERROR(AY11/AT11-1,""),"")</f>
        <v>0.36551461939669</v>
      </c>
      <c r="AZ201" s="255">
        <f>IF(AND(ISNUMBER(AZ11),ISNUMBER(AU11)),IFERROR(AZ11/AU11-1,""),"")</f>
        <v>0.0612838554974646</v>
      </c>
      <c r="BA201" s="255">
        <f>IF(AND(ISNUMBER(BA11),ISNUMBER(AV11)),IFERROR(BA11/AV11-1,""),"")</f>
        <v>-0.0149755073477956</v>
      </c>
      <c r="BB201" s="255">
        <f>IF(AND(ISNUMBER(BB11),ISNUMBER(AW11)),IFERROR(BB11/AW11-1,""),"")</f>
        <v>-0.0367449427075965</v>
      </c>
      <c r="BC201" s="255">
        <f>IF(AND(ISNUMBER(BC11),ISNUMBER(AX11)),IFERROR(BC11/AX11-1,""),"")</f>
        <v>-0.0424338980973682</v>
      </c>
      <c r="BD201" s="255">
        <f>IF(AND(ISNUMBER(BD11),ISNUMBER(AY11)),IFERROR(BD11/AY11-1,""),"")</f>
        <v>-0.0112412340995702</v>
      </c>
      <c r="BE201" s="255">
        <f>IF(AND(ISNUMBER(BE11),ISNUMBER(AZ11)),IFERROR(BE11/AZ11-1,""),"")</f>
        <v>0.0408548781391214</v>
      </c>
      <c r="BF201" s="255">
        <f>IF(AND(ISNUMBER(BF11),ISNUMBER(BA11)),IFERROR(BF11/BA11-1,""),"")</f>
        <v>0.118854788292128</v>
      </c>
      <c r="BG201" s="255">
        <f>IF(AND(ISNUMBER(BG11),ISNUMBER(BB11)),IFERROR(BG11/BB11-1,""),"")</f>
        <v>0.235194771817748</v>
      </c>
      <c r="BH201" s="255">
        <f>IF(AND(ISNUMBER(BH11),ISNUMBER(BC11)),IFERROR(BH11/BC11-1,""),"")</f>
        <v>0.238433480514494</v>
      </c>
      <c r="BI201" s="255">
        <f>IF(AND(ISNUMBER(BI11),ISNUMBER(BD11)),IFERROR(BI11/BD11-1,""),"")</f>
        <v>0.161084810193414</v>
      </c>
      <c r="BJ201" s="255">
        <f>IF(AND(ISNUMBER(BJ11),ISNUMBER(BE11)),IFERROR(BJ11/BE11-1,""),"")</f>
        <v>0.268104337923917</v>
      </c>
      <c r="BK201" s="255">
        <f>IF(AND(ISNUMBER(BK11),ISNUMBER(BF11)),IFERROR(BK11/BF11-1,""),"")</f>
        <v>0.216870912438885</v>
      </c>
      <c r="BL201" s="255">
        <f>IF(AND(ISNUMBER(BL11),ISNUMBER(BG11)),IFERROR(BL11/BG11-1,""),"")</f>
        <v>0.185536367149184</v>
      </c>
      <c r="BM201" s="255">
        <f>IF(AND(ISNUMBER(BM11),ISNUMBER(BH11)),IFERROR(BM11/BH11-1,""),"")</f>
        <v>0.208675657520798</v>
      </c>
      <c r="BN201" s="255">
        <f>IF(AND(ISNUMBER(BN11),ISNUMBER(BI11)),IFERROR(BN11/BI11-1,""),"")</f>
        <v>0.217396247006396</v>
      </c>
      <c r="BO201" s="255">
        <f>IF(AND(ISNUMBER(BO11),ISNUMBER(BJ11)),IFERROR(BO11/BJ11-1,""),"")</f>
        <v>0.161554651325944</v>
      </c>
      <c r="BP201" s="255">
        <f>IF(AND(ISNUMBER(BP11),ISNUMBER(BK11)),IFERROR(BP11/BK11-1,""),"")</f>
        <v>0.214824284484333</v>
      </c>
      <c r="BQ201" s="255">
        <f>IF(AND(ISNUMBER(BQ11),ISNUMBER(BL11)),IFERROR(BQ11/BL11-1,""),"")</f>
        <v>0.255660022564874</v>
      </c>
      <c r="BR201" s="255">
        <f>IF(AND(ISNUMBER(BR11),ISNUMBER(BM11)),IFERROR(BR11/BM11-1,""),"")</f>
        <v>0.242694996045572</v>
      </c>
      <c r="BS201" s="255">
        <f>IF(AND(ISNUMBER(BS11),ISNUMBER(BN11)),IFERROR(BS11/BN11-1,""),"")</f>
        <v>0.221262131691496</v>
      </c>
      <c r="BT201" s="255">
        <f>IF(AND(ISNUMBER(BT11),ISNUMBER(BO11)),IFERROR(BT11/BO11-1,""),"")</f>
        <v>0.329339002705837</v>
      </c>
      <c r="BU201" s="255">
        <f>IF(AND(ISNUMBER(BU11),ISNUMBER(BP11)),IFERROR(BU11/BP11-1,""),"")</f>
        <v>0.274896376951657</v>
      </c>
      <c r="BV201" s="256">
        <f>IF(AND(ISNUMBER(BV11),ISNUMBER(BQ11)),IFERROR(BV11/BQ11-1,""),"")</f>
        <v>0.214107805082794</v>
      </c>
      <c r="BW201" s="256">
        <f>IF(AND(ISNUMBER(BW11),ISNUMBER(BR11)),IFERROR(BW11/BR11-1,""),"")</f>
        <v>0.214107805082794</v>
      </c>
      <c r="BX201" s="256">
        <f>IF(AND(ISNUMBER(BX11),ISNUMBER(BS11)),IFERROR(BX11/BS11-1,""),"")</f>
        <v>0.252843290726417</v>
      </c>
      <c r="BY201" s="256">
        <f>IF(AND(ISNUMBER(BY11),ISNUMBER(BX11)),IFERROR(BY11/BX11-1,""),"")</f>
        <v>0.188</v>
      </c>
      <c r="BZ201" s="256">
        <f>IF(AND(ISNUMBER(BZ11),ISNUMBER(BY11)),IFERROR(BZ11/BY11-1,""),"")</f>
        <v>0.1554</v>
      </c>
      <c r="CA201" s="256">
        <f>IF(AND(ISNUMBER(CA11),ISNUMBER(BZ11)),IFERROR(CA11/BZ11-1,""),"")</f>
        <v>0.134</v>
      </c>
      <c r="CB201" s="256">
        <f>IF(AND(ISNUMBER(CB11),ISNUMBER(CA11)),IFERROR(CB11/CA11-1,""),"")</f>
        <v>0.1128</v>
      </c>
      <c r="CC201" s="256">
        <f>IF(AND(ISNUMBER(CC11),ISNUMBER(CB11)),IFERROR(CC11/CB11-1,""),"")</f>
        <v>0.1024</v>
      </c>
      <c r="CD201" s="153" t="n"/>
      <c r="CF201" s="37">
        <f>IFERROR(AVERAGE(BY201,BZ201,CA201,CB201,CC201),"n/m")</f>
        <v>0.13852</v>
      </c>
      <c r="CG201" s="37">
        <f>IFERROR(AVERAGE(AY201,BD201,BI201,BN201,BS201),"n/m")</f>
        <v>0.190803314837685</v>
      </c>
      <c r="CH201" s="37">
        <f>IFERROR(AVERAGE(Z201,AE201,AJ201,AO201,AT201,AY201,BD201,BI201,BN201,BS201),"n/m")</f>
        <v>0.286568033120066</v>
      </c>
      <c r="CI201" s="37">
        <f>IFERROR(AVERAGE(C201,D201,E201,F201,K201,P201,U201,Z201,AE201,AJ201,AO201,AT201,AY201,BD201,BI201,BN201,BS201),"n/m")</f>
        <v>0.4449766428174</v>
      </c>
    </row>
    <row r="202" ht="15" customHeight="1" s="251">
      <c r="B202" s="22" t="inlineStr">
        <is>
          <t xml:space="preserve">  Total costs and expenses y/y %</t>
        </is>
      </c>
      <c r="C202" s="23" t="n"/>
      <c r="D202" s="255">
        <f>IF(AND(ISNUMBER(D114),ISNUMBER(C114)),IFERROR(D114/C114-1,""),"")</f>
        <v>0.829126213592233</v>
      </c>
      <c r="E202" s="255">
        <f>IF(AND(ISNUMBER(E114),ISNUMBER(D114)),IFERROR(E114/D114-1,""),"")</f>
        <v>1.07537154989384</v>
      </c>
      <c r="F202" s="255">
        <f>IF(AND(ISNUMBER(F114),ISNUMBER(E114)),IFERROR(F114/E114-1,""),"")</f>
        <v>1.32787723785166</v>
      </c>
      <c r="G202" s="23" t="n"/>
      <c r="H202" s="23" t="n"/>
      <c r="I202" s="23" t="n"/>
      <c r="J202" s="23" t="n"/>
      <c r="K202" s="255">
        <f>IF(AND(ISNUMBER(K114),ISNUMBER(F114)),IFERROR(K114/F114-1,""),"")</f>
        <v>0.113601406284333</v>
      </c>
      <c r="L202" s="255">
        <f>IF(AND(ISNUMBER(L114),ISNUMBER(G114)),IFERROR(L114/G114-1,""),"")</f>
        <v>0.315207373271889</v>
      </c>
      <c r="M202" s="255">
        <f>IF(AND(ISNUMBER(M114),ISNUMBER(H114)),IFERROR(M114/H114-1,""),"")</f>
        <v>0.215027977617906</v>
      </c>
      <c r="N202" s="255">
        <f>IF(AND(ISNUMBER(N114),ISNUMBER(I114)),IFERROR(N114/I114-1,""),"")</f>
        <v>0.4109375</v>
      </c>
      <c r="O202" s="255">
        <f>IF(AND(ISNUMBER(O114),ISNUMBER(J114)),IFERROR(O114/J114-1,""),"")</f>
        <v>0.871900826446281</v>
      </c>
      <c r="P202" s="255">
        <f>IF(AND(ISNUMBER(P114),ISNUMBER(K114)),IFERROR(P114/K114-1,""),"")</f>
        <v>0.474348855564325</v>
      </c>
      <c r="Q202" s="255">
        <f>IF(AND(ISNUMBER(Q114),ISNUMBER(L114)),IFERROR(Q114/L114-1,""),"")</f>
        <v>0.829011913104415</v>
      </c>
      <c r="R202" s="255">
        <f>IF(AND(ISNUMBER(R114),ISNUMBER(M114)),IFERROR(R114/M114-1,""),"")</f>
        <v>0.82171052631579</v>
      </c>
      <c r="S202" s="255">
        <f>IF(AND(ISNUMBER(S114),ISNUMBER(N114)),IFERROR(S114/N114-1,""),"")</f>
        <v>0.684385382059801</v>
      </c>
      <c r="T202" s="255">
        <f>IF(AND(ISNUMBER(T114),ISNUMBER(O114)),IFERROR(T114/O114-1,""),"")</f>
        <v>0.207137601177336</v>
      </c>
      <c r="U202" s="255">
        <f>IF(AND(ISNUMBER(U114),ISNUMBER(P114)),IFERROR(U114/P114-1,""),"")</f>
        <v>0.566247323340471</v>
      </c>
      <c r="V202" s="255">
        <f>IF(AND(ISNUMBER(V114),ISNUMBER(Q114)),IFERROR(V114/Q114-1,""),"")</f>
        <v>0.292337164750958</v>
      </c>
      <c r="W202" s="255">
        <f>IF(AND(ISNUMBER(W114),ISNUMBER(R114)),IFERROR(W114/R114-1,""),"")</f>
        <v>0.33261105092091</v>
      </c>
      <c r="X202" s="255">
        <f>IF(AND(ISNUMBER(X114),ISNUMBER(S114)),IFERROR(X114/S114-1,""),"")</f>
        <v>0.278435239973702</v>
      </c>
      <c r="Y202" s="255">
        <f>IF(AND(ISNUMBER(Y114),ISNUMBER(T114)),IFERROR(Y114/T114-1,""),"")</f>
        <v>0.293203291679366</v>
      </c>
      <c r="Z202" s="255">
        <f>IF(AND(ISNUMBER(Z114),ISNUMBER(U114)),IFERROR(Z114/U114-1,""),"")</f>
        <v>0.299752200290524</v>
      </c>
      <c r="AA202" s="255">
        <f>IF(AND(ISNUMBER(AA114),ISNUMBER(V114)),IFERROR(AA114/V114-1,""),"")</f>
        <v>0.394900681885562</v>
      </c>
      <c r="AB202" s="255">
        <f>IF(AND(ISNUMBER(AB114),ISNUMBER(W114)),IFERROR(AB114/W114-1,""),"")</f>
        <v>0.333333333333333</v>
      </c>
      <c r="AC202" s="255">
        <f>IF(AND(ISNUMBER(AC114),ISNUMBER(X114)),IFERROR(AC114/X114-1,""),"")</f>
        <v>0.338647467215222</v>
      </c>
      <c r="AD202" s="255">
        <f>IF(AND(ISNUMBER(AD114),ISNUMBER(Y114)),IFERROR(AD114/Y114-1,""),"")</f>
        <v>0.324534527456988</v>
      </c>
      <c r="AE202" s="255">
        <f>IF(AND(ISNUMBER(AE114),ISNUMBER(Z114)),IFERROR(AE114/Z114-1,""),"")</f>
        <v>0.344421800013149</v>
      </c>
      <c r="AF202" s="255">
        <f>IF(AND(ISNUMBER(AF114),ISNUMBER(AA114)),IFERROR(AF114/AA114-1,""),"")</f>
        <v>0.385122210414453</v>
      </c>
      <c r="AG202" s="255">
        <f>IF(AND(ISNUMBER(AG114),ISNUMBER(AB114)),IFERROR(AG114/AB114-1,""),"")</f>
        <v>0.497560975609756</v>
      </c>
      <c r="AH202" s="255">
        <f>IF(AND(ISNUMBER(AH114),ISNUMBER(AC114)),IFERROR(AH114/AC114-1,""),"")</f>
        <v>0.526315789473684</v>
      </c>
      <c r="AI202" s="255">
        <f>IF(AND(ISNUMBER(AI114),ISNUMBER(AD114)),IFERROR(AI114/AD114-1,""),"")</f>
        <v>0.618149466192171</v>
      </c>
      <c r="AJ202" s="255">
        <f>IF(AND(ISNUMBER(AJ114),ISNUMBER(AE114)),IFERROR(AJ114/AE114-1,""),"")</f>
        <v>0.512224938875306</v>
      </c>
      <c r="AK202" s="255">
        <f>IF(AND(ISNUMBER(AK114),ISNUMBER(AF114)),IFERROR(AK114/AF114-1,""),"")</f>
        <v>0.804511278195489</v>
      </c>
      <c r="AL202" s="255">
        <f>IF(AND(ISNUMBER(AL114),ISNUMBER(AG114)),IFERROR(AL114/AG114-1,""),"")</f>
        <v>0.663952225841477</v>
      </c>
      <c r="AM202" s="255">
        <f>IF(AND(ISNUMBER(AM114),ISNUMBER(AH114)),IFERROR(AM114/AH114-1,""),"")</f>
        <v>0.317266549207148</v>
      </c>
      <c r="AN202" s="255">
        <f>IF(AND(ISNUMBER(AN114),ISNUMBER(AI114)),IFERROR(AN114/AI114-1,""),"")</f>
        <v>0.344182977787552</v>
      </c>
      <c r="AO202" s="255">
        <f>IF(AND(ISNUMBER(AO114),ISNUMBER(AJ114)),IFERROR(AO114/AJ114-1,""),"")</f>
        <v>0.510460792239289</v>
      </c>
      <c r="AP202" s="255">
        <f>IF(AND(ISNUMBER(AP114),ISNUMBER(AK114)),IFERROR(AP114/AK114-1,""),"")</f>
        <v>0.00714285714285712</v>
      </c>
      <c r="AQ202" s="255">
        <f>IF(AND(ISNUMBER(AQ114),ISNUMBER(AL114)),IFERROR(AQ114/AL114-1,""),"")</f>
        <v>0.037846655791191</v>
      </c>
      <c r="AR202" s="255">
        <f>IF(AND(ISNUMBER(AR114),ISNUMBER(AM114)),IFERROR(AR114/AM114-1,""),"")</f>
        <v>0.283080156682908</v>
      </c>
      <c r="AS202" s="255">
        <f>IF(AND(ISNUMBER(AS114),ISNUMBER(AN114)),IFERROR(AS114/AN114-1,""),"")</f>
        <v>0.251390706806283</v>
      </c>
      <c r="AT202" s="255">
        <f>IF(AND(ISNUMBER(AT114),ISNUMBER(AO114)),IFERROR(AT114/AO114-1,""),"")</f>
        <v>0.140930401832545</v>
      </c>
      <c r="AU202" s="255">
        <f>IF(AND(ISNUMBER(AU114),ISNUMBER(AP114)),IFERROR(AU114/AP114-1,""),"")</f>
        <v>0.248986828774063</v>
      </c>
      <c r="AV202" s="255">
        <f>IF(AND(ISNUMBER(AV114),ISNUMBER(AQ114)),IFERROR(AV114/AQ114-1,""),"")</f>
        <v>0.313266268469035</v>
      </c>
      <c r="AW202" s="255">
        <f>IF(AND(ISNUMBER(AW114),ISNUMBER(AR114)),IFERROR(AW114/AR114-1,""),"")</f>
        <v>0.383991064780343</v>
      </c>
      <c r="AX202" s="255">
        <f>IF(AND(ISNUMBER(AX114),ISNUMBER(AS114)),IFERROR(AX114/AS114-1,""),"")</f>
        <v>0.37844021703602</v>
      </c>
      <c r="AY202" s="255">
        <f>IF(AND(ISNUMBER(AY114),ISNUMBER(AT114)),IFERROR(AY114/AT114-1,""),"")</f>
        <v>0.33553495703081</v>
      </c>
      <c r="AZ202" s="255">
        <f>IF(AND(ISNUMBER(AZ114),ISNUMBER(AU114)),IFERROR(AZ114/AU114-1,""),"")</f>
        <v>0.310349489623471</v>
      </c>
      <c r="BA202" s="255">
        <f>IF(AND(ISNUMBER(BA114),ISNUMBER(AV114)),IFERROR(BA114/AV114-1,""),"")</f>
        <v>0.224655894673848</v>
      </c>
      <c r="BB202" s="255">
        <f>IF(AND(ISNUMBER(BB114),ISNUMBER(AW114)),IFERROR(BB114/AW114-1,""),"")</f>
        <v>0.186313014472481</v>
      </c>
      <c r="BC202" s="255">
        <f>IF(AND(ISNUMBER(BC114),ISNUMBER(AX114)),IFERROR(BC114/AX114-1,""),"")</f>
        <v>0.221948212083847</v>
      </c>
      <c r="BD202" s="255">
        <f>IF(AND(ISNUMBER(BD114),ISNUMBER(AY114)),IFERROR(BD114/AY114-1,""),"")</f>
        <v>0.231665168034169</v>
      </c>
      <c r="BE202" s="255">
        <f>IF(AND(ISNUMBER(BE114),ISNUMBER(AZ114)),IFERROR(BE114/AZ114-1,""),"")</f>
        <v>0.104931902600083</v>
      </c>
      <c r="BF202" s="255">
        <f>IF(AND(ISNUMBER(BF114),ISNUMBER(BA114)),IFERROR(BF114/BA114-1,""),"")</f>
        <v>0.104720484753714</v>
      </c>
      <c r="BG202" s="255">
        <f>IF(AND(ISNUMBER(BG114),ISNUMBER(BB114)),IFERROR(BG114/BB114-1,""),"")</f>
        <v>-0.0749206349206349</v>
      </c>
      <c r="BH202" s="255">
        <f>IF(AND(ISNUMBER(BH114),ISNUMBER(BC114)),IFERROR(BH114/BC114-1,""),"")</f>
        <v>-0.0791352945742452</v>
      </c>
      <c r="BI202" s="255">
        <f>IF(AND(ISNUMBER(BI114),ISNUMBER(BD114)),IFERROR(BI114/BD114-1,""),"")</f>
        <v>0.00554383163178018</v>
      </c>
      <c r="BJ202" s="255">
        <f>IF(AND(ISNUMBER(BJ114),ISNUMBER(BE114)),IFERROR(BJ114/BE114-1,""),"")</f>
        <v>0.0569147446073397</v>
      </c>
      <c r="BK202" s="255">
        <f>IF(AND(ISNUMBER(BK114),ISNUMBER(BF114)),IFERROR(BK114/BF114-1,""),"")</f>
        <v>0.0715265183350289</v>
      </c>
      <c r="BL202" s="255">
        <f>IF(AND(ISNUMBER(BL114),ISNUMBER(BG114)),IFERROR(BL114/BG114-1,""),"")</f>
        <v>0.139278360623591</v>
      </c>
      <c r="BM202" s="255">
        <f>IF(AND(ISNUMBER(BM114),ISNUMBER(BH114)),IFERROR(BM114/BH114-1,""),"")</f>
        <v>0.0544948792514857</v>
      </c>
      <c r="BN202" s="255">
        <f>IF(AND(ISNUMBER(BN114),ISNUMBER(BI114)),IFERROR(BN114/BI114-1,""),"")</f>
        <v>0.0790688704609137</v>
      </c>
      <c r="BO202" s="255">
        <f>IF(AND(ISNUMBER(BO114),ISNUMBER(BJ114)),IFERROR(BO114/BJ114-1,""),"")</f>
        <v>0.0937403366170428</v>
      </c>
      <c r="BP202" s="255">
        <f>IF(AND(ISNUMBER(BP114),ISNUMBER(BK114)),IFERROR(BP114/BK114-1,""),"")</f>
        <v>0.11769319682959</v>
      </c>
      <c r="BQ202" s="255">
        <f>IF(AND(ISNUMBER(BQ114),ISNUMBER(BL114)),IFERROR(BQ114/BL114-1,""),"")</f>
        <v>0.321356340634279</v>
      </c>
      <c r="BR202" s="255">
        <f>IF(AND(ISNUMBER(BR114),ISNUMBER(BM114)),IFERROR(BR114/BM114-1,""),"")</f>
        <v>0.404796163069544</v>
      </c>
      <c r="BS202" s="255">
        <f>IF(AND(ISNUMBER(BS114),ISNUMBER(BN114)),IFERROR(BS114/BN114-1,""),"")</f>
        <v>0.237266218816034</v>
      </c>
      <c r="BT202" s="255">
        <f>IF(AND(ISNUMBER(BT114),ISNUMBER(BO114)),IFERROR(BT114/BO114-1,""),"")</f>
        <v>0.350579587220809</v>
      </c>
      <c r="BU202" s="255">
        <f>IF(AND(ISNUMBER(BU114),ISNUMBER(BP114)),IFERROR(BU114/BP114-1,""),"")</f>
        <v>0.552206832871653</v>
      </c>
      <c r="BV202" s="256">
        <f>IF(AND(ISNUMBER(BV114),ISNUMBER(BQ114)),IFERROR(BV114/BQ114-1,""),"")</f>
        <v>0.389947612178271</v>
      </c>
      <c r="BW202" s="256">
        <f>IF(AND(ISNUMBER(BW114),ISNUMBER(BR114)),IFERROR(BW114/BR114-1,""),"")</f>
        <v>0.389947612178271</v>
      </c>
      <c r="BX202" s="256">
        <f>IF(AND(ISNUMBER(BX114),ISNUMBER(BS114)),IFERROR(BX114/BS114-1,""),"")</f>
        <v>0.418982071543887</v>
      </c>
      <c r="BY202" s="256">
        <f>IF(AND(ISNUMBER(BY114),ISNUMBER(BX114)),IFERROR(BY114/BX114-1,""),"")</f>
        <v>0.189204842280338</v>
      </c>
      <c r="BZ202" s="256">
        <f>IF(AND(ISNUMBER(BZ114),ISNUMBER(BY114)),IFERROR(BZ114/BY114-1,""),"")</f>
        <v>0.154230297876031</v>
      </c>
      <c r="CA202" s="256">
        <f>IF(AND(ISNUMBER(CA114),ISNUMBER(BZ114)),IFERROR(CA114/BZ114-1,""),"")</f>
        <v>0.139056495480351</v>
      </c>
      <c r="CB202" s="256">
        <f>IF(AND(ISNUMBER(CB114),ISNUMBER(CA114)),IFERROR(CB114/CA114-1,""),"")</f>
        <v>0.0967116906169685</v>
      </c>
      <c r="CC202" s="256">
        <f>IF(AND(ISNUMBER(CC114),ISNUMBER(CB114)),IFERROR(CC114/CB114-1,""),"")</f>
        <v>0.0890595657231226</v>
      </c>
      <c r="CD202" s="153" t="n"/>
    </row>
    <row r="203" ht="15" customHeight="1" s="251">
      <c r="B203" s="22" t="inlineStr">
        <is>
          <t xml:space="preserve">  Adjusted income from operations (current definition) y/y %</t>
        </is>
      </c>
      <c r="C203" s="23" t="n"/>
      <c r="D203" s="255">
        <f>IF(AND(ISNUMBER(D154),ISNUMBER(C154)),IFERROR(D154/C154-1,""),"")</f>
        <v>2.93893129770992</v>
      </c>
      <c r="E203" s="255">
        <f>IF(AND(ISNUMBER(E154),ISNUMBER(D154)),IFERROR(E154/D154-1,""),"")</f>
        <v>0.701550387596899</v>
      </c>
      <c r="F203" s="255">
        <f>IF(AND(ISNUMBER(F154),ISNUMBER(E154)),IFERROR(F154/E154-1,""),"")</f>
        <v>-0.693621867881549</v>
      </c>
      <c r="G203" s="23" t="n"/>
      <c r="H203" s="23" t="n"/>
      <c r="I203" s="23" t="n"/>
      <c r="J203" s="23" t="n"/>
      <c r="K203" s="255">
        <f>IF(AND(ISNUMBER(K154),ISNUMBER(F154)),IFERROR(K154/F154-1,""),"")</f>
        <v>4.21189591078067</v>
      </c>
      <c r="L203" s="255">
        <f>IF(AND(ISNUMBER(L154),ISNUMBER(G154)),IFERROR(L154/G154-1,""),"")</f>
        <v>1.88203753351206</v>
      </c>
      <c r="M203" s="255">
        <f>IF(AND(ISNUMBER(M154),ISNUMBER(H154)),IFERROR(M154/H154-1,""),"")</f>
        <v>1.47330960854093</v>
      </c>
      <c r="N203" s="255">
        <f>IF(AND(ISNUMBER(N154),ISNUMBER(I154)),IFERROR(N154/I154-1,""),"")</f>
        <v>0.898097826086957</v>
      </c>
      <c r="O203" s="255">
        <f>IF(AND(ISNUMBER(O154),ISNUMBER(J154)),IFERROR(O154/J154-1,""),"")</f>
        <v>0</v>
      </c>
      <c r="P203" s="255">
        <f>IF(AND(ISNUMBER(P154),ISNUMBER(K154)),IFERROR(P154/K154-1,""),"")</f>
        <v>0.781027104136947</v>
      </c>
      <c r="Q203" s="255">
        <f>IF(AND(ISNUMBER(Q154),ISNUMBER(L154)),IFERROR(Q154/L154-1,""),"")</f>
        <v>-0.132093023255814</v>
      </c>
      <c r="R203" s="255">
        <f>IF(AND(ISNUMBER(R154),ISNUMBER(M154)),IFERROR(R154/M154-1,""),"")</f>
        <v>-0.0841726618705037</v>
      </c>
      <c r="S203" s="255">
        <f>IF(AND(ISNUMBER(S154),ISNUMBER(N154)),IFERROR(S154/N154-1,""),"")</f>
        <v>0.0443808160343593</v>
      </c>
      <c r="T203" s="255">
        <f>IF(AND(ISNUMBER(T154),ISNUMBER(O154)),IFERROR(T154/O154-1,""),"")</f>
        <v>1.2594880847308</v>
      </c>
      <c r="U203" s="255">
        <f>IF(AND(ISNUMBER(U154),ISNUMBER(P154)),IFERROR(U154/P154-1,""),"")</f>
        <v>0.246495794953945</v>
      </c>
      <c r="V203" s="255">
        <f>IF(AND(ISNUMBER(V154),ISNUMBER(Q154)),IFERROR(V154/Q154-1,""),"")</f>
        <v>1.15326902465166</v>
      </c>
      <c r="W203" s="255">
        <f>IF(AND(ISNUMBER(W154),ISNUMBER(R154)),IFERROR(W154/R154-1,""),"")</f>
        <v>1.15710919088767</v>
      </c>
      <c r="X203" s="255">
        <f>IF(AND(ISNUMBER(X154),ISNUMBER(S154)),IFERROR(X154/S154-1,""),"")</f>
        <v>1.13982179575051</v>
      </c>
      <c r="Y203" s="255">
        <f>IF(AND(ISNUMBER(Y154),ISNUMBER(T154)),IFERROR(Y154/T154-1,""),"")</f>
        <v>0.78359375</v>
      </c>
      <c r="Z203" s="255">
        <f>IF(AND(ISNUMBER(Z154),ISNUMBER(U154)),IFERROR(Z154/U154-1,""),"")</f>
        <v>0.996305220883534</v>
      </c>
      <c r="AA203" s="255">
        <f>IF(AND(ISNUMBER(AA154),ISNUMBER(V154)),IFERROR(AA154/V154-1,""),"")</f>
        <v>0.656047784967646</v>
      </c>
      <c r="AB203" s="255">
        <f>IF(AND(ISNUMBER(AB154),ISNUMBER(W154)),IFERROR(AB154/W154-1,""),"")</f>
        <v>0.602694828841952</v>
      </c>
      <c r="AC203" s="255">
        <f>IF(AND(ISNUMBER(AC154),ISNUMBER(X154)),IFERROR(AC154/X154-1,""),"")</f>
        <v>0.640614990390775</v>
      </c>
      <c r="AD203" s="255">
        <f>IF(AND(ISNUMBER(AD154),ISNUMBER(Y154)),IFERROR(AD154/Y154-1,""),"")</f>
        <v>0.610162067455103</v>
      </c>
      <c r="AE203" s="255">
        <f>IF(AND(ISNUMBER(AE154),ISNUMBER(Z154)),IFERROR(AE154/Z154-1,""),"")</f>
        <v>0.625734288243341</v>
      </c>
      <c r="AF203" s="255">
        <f>IF(AND(ISNUMBER(AF154),ISNUMBER(AA154)),IFERROR(AF154/AA154-1,""),"")</f>
        <v>0.637811842500752</v>
      </c>
      <c r="AG203" s="255">
        <f>IF(AND(ISNUMBER(AG154),ISNUMBER(AB154)),IFERROR(AG154/AB154-1,""),"")</f>
        <v>0.332197227902749</v>
      </c>
      <c r="AH203" s="255">
        <f>IF(AND(ISNUMBER(AH154),ISNUMBER(AC154)),IFERROR(AH154/AC154-1,""),"")</f>
        <v>0.128660679422101</v>
      </c>
      <c r="AI203" s="255">
        <f>IF(AND(ISNUMBER(AI154),ISNUMBER(AD154)),IFERROR(AI154/AD154-1,""),"")</f>
        <v>0.0636561479869424</v>
      </c>
      <c r="AJ203" s="255">
        <f>IF(AND(ISNUMBER(AJ154),ISNUMBER(AE154)),IFERROR(AJ154/AE154-1,""),"")</f>
        <v>0.233133693015889</v>
      </c>
      <c r="AK203" s="255">
        <f>IF(AND(ISNUMBER(AK154),ISNUMBER(AF154)),IFERROR(AK154/AF154-1,""),"")</f>
        <v>0.159295283538264</v>
      </c>
      <c r="AL203" s="255">
        <f>IF(AND(ISNUMBER(AL154),ISNUMBER(AG154)),IFERROR(AL154/AG154-1,""),"")</f>
        <v>0.130138154528398</v>
      </c>
      <c r="AM203" s="255">
        <f>IF(AND(ISNUMBER(AM154),ISNUMBER(AH154)),IFERROR(AM154/AH154-1,""),"")</f>
        <v>0.242864556305137</v>
      </c>
      <c r="AN203" s="255">
        <f>IF(AND(ISNUMBER(AN154),ISNUMBER(AI154)),IFERROR(AN154/AI154-1,""),"")</f>
        <v>0.132736572890026</v>
      </c>
      <c r="AO203" s="255">
        <f>IF(AND(ISNUMBER(AO154),ISNUMBER(AJ154)),IFERROR(AO154/AJ154-1,""),"")</f>
        <v>0.163488941516477</v>
      </c>
      <c r="AP203" s="255">
        <f>IF(AND(ISNUMBER(AP154),ISNUMBER(AK154)),IFERROR(AP154/AK154-1,""),"")</f>
        <v>-0.0671204685768561</v>
      </c>
      <c r="AQ203" s="255">
        <f>IF(AND(ISNUMBER(AQ154),ISNUMBER(AL154)),IFERROR(AQ154/AL154-1,""),"")</f>
        <v>-0.100060368246302</v>
      </c>
      <c r="AR203" s="255">
        <f>IF(AND(ISNUMBER(AR154),ISNUMBER(AM154)),IFERROR(AR154/AM154-1,""),"")</f>
        <v>0.118997912317328</v>
      </c>
      <c r="AS203" s="255">
        <f>IF(AND(ISNUMBER(AS154),ISNUMBER(AN154)),IFERROR(AS154/AN154-1,""),"")</f>
        <v>0.442199142018514</v>
      </c>
      <c r="AT203" s="255">
        <f>IF(AND(ISNUMBER(AT154),ISNUMBER(AO154)),IFERROR(AT154/AO154-1,""),"")</f>
        <v>0.127130338784241</v>
      </c>
      <c r="AU203" s="255">
        <f>IF(AND(ISNUMBER(AU154),ISNUMBER(AP154)),IFERROR(AU154/AP154-1,""),"")</f>
        <v>0.930765314780248</v>
      </c>
      <c r="AV203" s="255">
        <f>IF(AND(ISNUMBER(AV154),ISNUMBER(AQ154)),IFERROR(AV154/AQ154-1,""),"")</f>
        <v>1.07395606238471</v>
      </c>
      <c r="AW203" s="255">
        <f>IF(AND(ISNUMBER(AW154),ISNUMBER(AR154)),IFERROR(AW154/AR154-1,""),"")</f>
        <v>0.296393034825871</v>
      </c>
      <c r="AX203" s="255">
        <f>IF(AND(ISNUMBER(AX154),ISNUMBER(AS154)),IFERROR(AX154/AS154-1,""),"")</f>
        <v>-0.0148727984344422</v>
      </c>
      <c r="AY203" s="255">
        <f>IF(AND(ISNUMBER(AY154),ISNUMBER(AT154)),IFERROR(AY154/AT154-1,""),"")</f>
        <v>0.431024455939518</v>
      </c>
      <c r="AZ203" s="255">
        <f>IF(AND(ISNUMBER(AZ154),ISNUMBER(AU154)),IFERROR(AZ154/AU154-1,""),"")</f>
        <v>-0.250834944629988</v>
      </c>
      <c r="BA203" s="255">
        <f>IF(AND(ISNUMBER(BA154),ISNUMBER(AV154)),IFERROR(BA154/AV154-1,""),"")</f>
        <v>-0.32416915986092</v>
      </c>
      <c r="BB203" s="255">
        <f>IF(AND(ISNUMBER(BB154),ISNUMBER(AW154)),IFERROR(BB154/AW154-1,""),"")</f>
        <v>-0.416962486808021</v>
      </c>
      <c r="BC203" s="255">
        <f>IF(AND(ISNUMBER(BC154),ISNUMBER(AX154)),IFERROR(BC154/AX154-1,""),"")</f>
        <v>-0.157965832340087</v>
      </c>
      <c r="BD203" s="255">
        <f>IF(AND(ISNUMBER(BD154),ISNUMBER(AY154)),IFERROR(BD154/AY154-1,""),"")</f>
        <v>-0.28229204543024</v>
      </c>
      <c r="BE203" s="255">
        <f>IF(AND(ISNUMBER(BE154),ISNUMBER(AZ154)),IFERROR(BE154/AZ154-1,""),"")</f>
        <v>-0.0179493195682778</v>
      </c>
      <c r="BF203" s="255">
        <f>IF(AND(ISNUMBER(BF154),ISNUMBER(BA154)),IFERROR(BF154/BA154-1,""),"")</f>
        <v>0.440775305096913</v>
      </c>
      <c r="BG203" s="255">
        <f>IF(AND(ISNUMBER(BG154),ISNUMBER(BB154)),IFERROR(BG154/BB154-1,""),"")</f>
        <v>1.32483133124897</v>
      </c>
      <c r="BH203" s="255">
        <f>IF(AND(ISNUMBER(BH154),ISNUMBER(BC154)),IFERROR(BH154/BC154-1,""),"")</f>
        <v>0.654619231858073</v>
      </c>
      <c r="BI203" s="255">
        <f>IF(AND(ISNUMBER(BI154),ISNUMBER(BD154)),IFERROR(BI154/BD154-1,""),"")</f>
        <v>0.55192966770973</v>
      </c>
      <c r="BJ203" s="255">
        <f>IF(AND(ISNUMBER(BJ154),ISNUMBER(BE154)),IFERROR(BJ154/BE154-1,""),"")</f>
        <v>0.650698841237606</v>
      </c>
      <c r="BK203" s="255">
        <f>IF(AND(ISNUMBER(BK154),ISNUMBER(BF154)),IFERROR(BK154/BF154-1,""),"")</f>
        <v>0.232934728450424</v>
      </c>
      <c r="BL203" s="255">
        <f>IF(AND(ISNUMBER(BL154),ISNUMBER(BG154)),IFERROR(BL154/BG154-1,""),"")</f>
        <v>0.228057757644394</v>
      </c>
      <c r="BM203" s="255">
        <f>IF(AND(ISNUMBER(BM154),ISNUMBER(BH154)),IFERROR(BM154/BH154-1,""),"")</f>
        <v>0.244154214668644</v>
      </c>
      <c r="BN203" s="255">
        <f>IF(AND(ISNUMBER(BN154),ISNUMBER(BI154)),IFERROR(BN154/BI154-1,""),"")</f>
        <v>0.302544407105137</v>
      </c>
      <c r="BO203" s="255">
        <f>IF(AND(ISNUMBER(BO154),ISNUMBER(BJ154)),IFERROR(BO154/BJ154-1,""),"")</f>
        <v>0.270444347951947</v>
      </c>
      <c r="BP203" s="255">
        <f>IF(AND(ISNUMBER(BP154),ISNUMBER(BK154)),IFERROR(BP154/BK154-1,""),"")</f>
        <v>0.37677645315552</v>
      </c>
      <c r="BQ203" s="255">
        <f>IF(AND(ISNUMBER(BQ154),ISNUMBER(BL154)),IFERROR(BQ154/BL154-1,""),"")</f>
        <v>0.1835734870317</v>
      </c>
      <c r="BR203" s="255">
        <f>IF(AND(ISNUMBER(BR154),ISNUMBER(BM154)),IFERROR(BR154/BM154-1,""),"")</f>
        <v>0.134311253724501</v>
      </c>
      <c r="BS203" s="255">
        <f>IF(AND(ISNUMBER(BS154),ISNUMBER(BN154)),IFERROR(BS154/BN154-1,""),"")</f>
        <v>0.227716349697774</v>
      </c>
      <c r="BT203" s="255">
        <f>IF(AND(ISNUMBER(BT154),ISNUMBER(BO154)),IFERROR(BT154/BO154-1,""),"")</f>
        <v>0.302876673312447</v>
      </c>
      <c r="BU203" s="255">
        <f>IF(AND(ISNUMBER(BU154),ISNUMBER(BP154)),IFERROR(BU154/BP154-1,""),"")</f>
        <v>0.0936353407367545</v>
      </c>
      <c r="BV203" s="256">
        <f>IF(AND(ISNUMBER(BV154),ISNUMBER(BQ154)),IFERROR(BV154/BQ154-1,""),"")</f>
        <v>-0.0348732080427633</v>
      </c>
      <c r="BW203" s="256">
        <f>IF(AND(ISNUMBER(BW154),ISNUMBER(BR154)),IFERROR(BW154/BR154-1,""),"")</f>
        <v>-0.0246703229612589</v>
      </c>
      <c r="BX203" s="256">
        <f>IF(AND(ISNUMBER(BX154),ISNUMBER(BS154)),IFERROR(BX154/BS154-1,""),"")</f>
        <v>0.0709017187564904</v>
      </c>
      <c r="BY203" s="256">
        <f>IF(AND(ISNUMBER(BY154),ISNUMBER(BX154)),IFERROR(BY154/BX154-1,""),"")</f>
        <v>0.146366790536233</v>
      </c>
      <c r="BZ203" s="256">
        <f>IF(AND(ISNUMBER(BZ154),ISNUMBER(BY154)),IFERROR(BZ154/BY154-1,""),"")</f>
        <v>0.165128091098003</v>
      </c>
      <c r="CA203" s="256">
        <f>IF(AND(ISNUMBER(CA154),ISNUMBER(BZ154)),IFERROR(CA154/BZ154-1,""),"")</f>
        <v>0.131385097299098</v>
      </c>
      <c r="CB203" s="256">
        <f>IF(AND(ISNUMBER(CB154),ISNUMBER(CA154)),IFERROR(CB154/CA154-1,""),"")</f>
        <v>0.150257690319527</v>
      </c>
      <c r="CC203" s="256">
        <f>IF(AND(ISNUMBER(CC154),ISNUMBER(CB154)),IFERROR(CC154/CB154-1,""),"")</f>
        <v>0.130739779265239</v>
      </c>
      <c r="CD203" s="153" t="n"/>
    </row>
    <row r="204" ht="15" customHeight="1" s="251">
      <c r="B204" s="22" t="inlineStr">
        <is>
          <t xml:space="preserve">  Adjusted EBITDA y/y %</t>
        </is>
      </c>
      <c r="C204" s="23" t="n"/>
      <c r="D204" s="255">
        <f>IF(AND(ISNUMBER(D168),ISNUMBER(C168)),IFERROR(D168/C168-1,""),"")</f>
        <v>2.44411764705882</v>
      </c>
      <c r="E204" s="255">
        <f>IF(AND(ISNUMBER(E168),ISNUMBER(D168)),IFERROR(E168/D168-1,""),"")</f>
        <v>0.775405636208369</v>
      </c>
      <c r="F204" s="255">
        <f>IF(AND(ISNUMBER(F168),ISNUMBER(E168)),IFERROR(F168/E168-1,""),"")</f>
        <v>-0.429052429052429</v>
      </c>
      <c r="G204" s="23" t="n"/>
      <c r="H204" s="23" t="n"/>
      <c r="I204" s="23" t="n"/>
      <c r="J204" s="23" t="n"/>
      <c r="K204" s="255">
        <f>IF(AND(ISNUMBER(K168),ISNUMBER(F168)),IFERROR(K168/F168-1,""),"")</f>
        <v>2.2139848357203</v>
      </c>
      <c r="L204" s="255">
        <f>IF(AND(ISNUMBER(L168),ISNUMBER(G168)),IFERROR(L168/G168-1,""),"")</f>
        <v>1.18078175895765</v>
      </c>
      <c r="M204" s="255">
        <f>IF(AND(ISNUMBER(M168),ISNUMBER(H168)),IFERROR(M168/H168-1,""),"")</f>
        <v>1.07954545454545</v>
      </c>
      <c r="N204" s="255">
        <f>IF(AND(ISNUMBER(N168),ISNUMBER(I168)),IFERROR(N168/I168-1,""),"")</f>
        <v>0.669306930693069</v>
      </c>
      <c r="O204" s="255">
        <f>IF(AND(ISNUMBER(O168),ISNUMBER(J168)),IFERROR(O168/J168-1,""),"")</f>
        <v>0.113006396588486</v>
      </c>
      <c r="P204" s="255">
        <f>IF(AND(ISNUMBER(P168),ISNUMBER(K168)),IFERROR(P168/K168-1,""),"")</f>
        <v>0.634862385321101</v>
      </c>
      <c r="Q204" s="255">
        <f>IF(AND(ISNUMBER(Q168),ISNUMBER(L168)),IFERROR(Q168/L168-1,""),"")</f>
        <v>0.0380881254667662</v>
      </c>
      <c r="R204" s="255">
        <f>IF(AND(ISNUMBER(R168),ISNUMBER(M168)),IFERROR(R168/M168-1,""),"")</f>
        <v>0.0516089860352156</v>
      </c>
      <c r="S204" s="255">
        <f>IF(AND(ISNUMBER(S168),ISNUMBER(N168)),IFERROR(S168/N168-1,""),"")</f>
        <v>0.15361803084223</v>
      </c>
      <c r="T204" s="255">
        <f>IF(AND(ISNUMBER(T168),ISNUMBER(O168)),IFERROR(T168/O168-1,""),"")</f>
        <v>0.981481481481481</v>
      </c>
      <c r="U204" s="255">
        <f>IF(AND(ISNUMBER(U168),ISNUMBER(P168)),IFERROR(U168/P168-1,""),"")</f>
        <v>0.309924643257977</v>
      </c>
      <c r="V204" s="255">
        <f>IF(AND(ISNUMBER(V168),ISNUMBER(Q168)),IFERROR(V168/Q168-1,""),"")</f>
        <v>0.842446043165468</v>
      </c>
      <c r="W204" s="255">
        <f>IF(AND(ISNUMBER(W168),ISNUMBER(R168)),IFERROR(W168/R168-1,""),"")</f>
        <v>0.923210161662817</v>
      </c>
      <c r="X204" s="255">
        <f>IF(AND(ISNUMBER(X168),ISNUMBER(S168)),IFERROR(X168/S168-1,""),"")</f>
        <v>0.908997429305913</v>
      </c>
      <c r="Y204" s="255">
        <f>IF(AND(ISNUMBER(Y168),ISNUMBER(T168)),IFERROR(Y168/T168-1,""),"")</f>
        <v>0.669352239767967</v>
      </c>
      <c r="Z204" s="255">
        <f>IF(AND(ISNUMBER(Z168),ISNUMBER(U168)),IFERROR(Z168/U168-1,""),"")</f>
        <v>0.807711138310894</v>
      </c>
      <c r="AA204" s="255">
        <f>IF(AND(ISNUMBER(AA168),ISNUMBER(V168)),IFERROR(AA168/V168-1,""),"")</f>
        <v>0.561108941819602</v>
      </c>
      <c r="AB204" s="255">
        <f>IF(AND(ISNUMBER(AB168),ISNUMBER(W168)),IFERROR(AB168/W168-1,""),"")</f>
        <v>0.539777844491144</v>
      </c>
      <c r="AC204" s="255">
        <f>IF(AND(ISNUMBER(AC168),ISNUMBER(X168)),IFERROR(AC168/X168-1,""),"")</f>
        <v>0.587664960948021</v>
      </c>
      <c r="AD204" s="255">
        <f>IF(AND(ISNUMBER(AD168),ISNUMBER(Y168)),IFERROR(AD168/Y168-1,""),"")</f>
        <v>0.583976833976834</v>
      </c>
      <c r="AE204" s="255">
        <f>IF(AND(ISNUMBER(AE168),ISNUMBER(Z168)),IFERROR(AE168/Z168-1,""),"")</f>
        <v>0.572753740943869</v>
      </c>
      <c r="AF204" s="255">
        <f>IF(AND(ISNUMBER(AF168),ISNUMBER(AA168)),IFERROR(AF168/AA168-1,""),"")</f>
        <v>0.600300150075038</v>
      </c>
      <c r="AG204" s="255">
        <f>IF(AND(ISNUMBER(AG168),ISNUMBER(AB168)),IFERROR(AG168/AB168-1,""),"")</f>
        <v>0.344706570481575</v>
      </c>
      <c r="AH204" s="255">
        <f>IF(AND(ISNUMBER(AH168),ISNUMBER(AC168)),IFERROR(AH168/AC168-1,""),"")</f>
        <v>0.168447837150127</v>
      </c>
      <c r="AI204" s="255">
        <f>IF(AND(ISNUMBER(AI168),ISNUMBER(AD168)),IFERROR(AI168/AD168-1,""),"")</f>
        <v>0.102376599634369</v>
      </c>
      <c r="AJ204" s="255">
        <f>IF(AND(ISNUMBER(AJ168),ISNUMBER(AE168)),IFERROR(AJ168/AE168-1,""),"")</f>
        <v>0.258308937489237</v>
      </c>
      <c r="AK204" s="255">
        <f>IF(AND(ISNUMBER(AK168),ISNUMBER(AF168)),IFERROR(AK168/AF168-1,""),"")</f>
        <v>0.199124726477024</v>
      </c>
      <c r="AL204" s="255">
        <f>IF(AND(ISNUMBER(AL168),ISNUMBER(AG168)),IFERROR(AL168/AG168-1,""),"")</f>
        <v>0.178483398579092</v>
      </c>
      <c r="AM204" s="255">
        <f>IF(AND(ISNUMBER(AM168),ISNUMBER(AH168)),IFERROR(AM168/AH168-1,""),"")</f>
        <v>0.248693379790941</v>
      </c>
      <c r="AN204" s="255">
        <f>IF(AND(ISNUMBER(AN168),ISNUMBER(AI168)),IFERROR(AN168/AI168-1,""),"")</f>
        <v>0.141625207296849</v>
      </c>
      <c r="AO204" s="255">
        <f>IF(AND(ISNUMBER(AO168),ISNUMBER(AJ168)),IFERROR(AO168/AJ168-1,""),"")</f>
        <v>0.188141508142877</v>
      </c>
      <c r="AP204" s="255">
        <f>IF(AND(ISNUMBER(AP168),ISNUMBER(AK168)),IFERROR(AP168/AK168-1,""),"")</f>
        <v>-0.0237226277372263</v>
      </c>
      <c r="AQ204" s="255">
        <f>IF(AND(ISNUMBER(AQ168),ISNUMBER(AL168)),IFERROR(AQ168/AL168-1,""),"")</f>
        <v>-0.0567175196850394</v>
      </c>
      <c r="AR204" s="255">
        <f>IF(AND(ISNUMBER(AR168),ISNUMBER(AM168)),IFERROR(AR168/AM168-1,""),"")</f>
        <v>0.132193930938263</v>
      </c>
      <c r="AS204" s="255">
        <f>IF(AND(ISNUMBER(AS168),ISNUMBER(AN168)),IFERROR(AS168/AN168-1,""),"")</f>
        <v>0.4175866744141</v>
      </c>
      <c r="AT204" s="255">
        <f>IF(AND(ISNUMBER(AT168),ISNUMBER(AO168)),IFERROR(AT168/AO168-1,""),"")</f>
        <v>0.138393757019034</v>
      </c>
      <c r="AU204" s="255">
        <f>IF(AND(ISNUMBER(AU168),ISNUMBER(AP168)),IFERROR(AU168/AP168-1,""),"")</f>
        <v>0.78237650200267</v>
      </c>
      <c r="AV204" s="255">
        <f>IF(AND(ISNUMBER(AV168),ISNUMBER(AQ168)),IFERROR(AV168/AQ168-1,""),"")</f>
        <v>0.871918612234251</v>
      </c>
      <c r="AW204" s="255">
        <f>IF(AND(ISNUMBER(AW168),ISNUMBER(AR168)),IFERROR(AW168/AR168-1,""),"")</f>
        <v>0.275210515506264</v>
      </c>
      <c r="AX204" s="255">
        <f>IF(AND(ISNUMBER(AX168),ISNUMBER(AS168)),IFERROR(AX168/AS168-1,""),"")</f>
        <v>-0.00266429840142091</v>
      </c>
      <c r="AY204" s="255">
        <f>IF(AND(ISNUMBER(AY168),ISNUMBER(AT168)),IFERROR(AY168/AT168-1,""),"")</f>
        <v>0.384160068803278</v>
      </c>
      <c r="AZ204" s="255">
        <f>IF(AND(ISNUMBER(AZ168),ISNUMBER(AU168)),IFERROR(AZ168/AU168-1,""),"")</f>
        <v>-0.2</v>
      </c>
      <c r="BA204" s="255">
        <f>IF(AND(ISNUMBER(BA168),ISNUMBER(AV168)),IFERROR(BA168/AV168-1,""),"")</f>
        <v>-0.279751950947603</v>
      </c>
      <c r="BB204" s="255">
        <f>IF(AND(ISNUMBER(BB168),ISNUMBER(AW168)),IFERROR(BB168/AW168-1,""),"")</f>
        <v>-0.335480753744564</v>
      </c>
      <c r="BC204" s="255">
        <f>IF(AND(ISNUMBER(BC168),ISNUMBER(AX168)),IFERROR(BC168/AX168-1,""),"")</f>
        <v>-0.111377491609014</v>
      </c>
      <c r="BD204" s="255">
        <f>IF(AND(ISNUMBER(BD168),ISNUMBER(AY168)),IFERROR(BD168/AY168-1,""),"")</f>
        <v>-0.228051900584795</v>
      </c>
      <c r="BE204" s="255">
        <f>IF(AND(ISNUMBER(BE168),ISNUMBER(AZ168)),IFERROR(BE168/AZ168-1,""),"")</f>
        <v>0.0201310861423221</v>
      </c>
      <c r="BF204" s="255">
        <f>IF(AND(ISNUMBER(BF168),ISNUMBER(BA168)),IFERROR(BF168/BA168-1,""),"")</f>
        <v>0.418690142207604</v>
      </c>
      <c r="BG204" s="255">
        <f>IF(AND(ISNUMBER(BG168),ISNUMBER(BB168)),IFERROR(BG168/BB168-1,""),"")</f>
        <v>1.05841008240427</v>
      </c>
      <c r="BH204" s="255">
        <f>IF(AND(ISNUMBER(BH168),ISNUMBER(BC168)),IFERROR(BH168/BC168-1,""),"")</f>
        <v>0.596084174824636</v>
      </c>
      <c r="BI204" s="255">
        <f>IF(AND(ISNUMBER(BI168),ISNUMBER(BD168)),IFERROR(BI168/BD168-1,""),"")</f>
        <v>0.497431405506498</v>
      </c>
      <c r="BJ204" s="255">
        <f>IF(AND(ISNUMBER(BJ168),ISNUMBER(BE168)),IFERROR(BJ168/BE168-1,""),"")</f>
        <v>0.577971546581001</v>
      </c>
      <c r="BK204" s="255">
        <f>IF(AND(ISNUMBER(BK168),ISNUMBER(BF168)),IFERROR(BK168/BF168-1,""),"")</f>
        <v>0.260415956358677</v>
      </c>
      <c r="BL204" s="255">
        <f>IF(AND(ISNUMBER(BL168),ISNUMBER(BG168)),IFERROR(BL168/BG168-1,""),"")</f>
        <v>0.258507005769457</v>
      </c>
      <c r="BM204" s="255">
        <f>IF(AND(ISNUMBER(BM168),ISNUMBER(BH168)),IFERROR(BM168/BH168-1,""),"")</f>
        <v>0.268955858205351</v>
      </c>
      <c r="BN204" s="255">
        <f>IF(AND(ISNUMBER(BN168),ISNUMBER(BI168)),IFERROR(BN168/BI168-1,""),"")</f>
        <v>0.31737625092881</v>
      </c>
      <c r="BO204" s="255">
        <f>IF(AND(ISNUMBER(BO168),ISNUMBER(BJ168)),IFERROR(BO168/BJ168-1,""),"")</f>
        <v>0.247964169381107</v>
      </c>
      <c r="BP204" s="255">
        <f>IF(AND(ISNUMBER(BP168),ISNUMBER(BK168)),IFERROR(BP168/BK168-1,""),"")</f>
        <v>0.340781216186973</v>
      </c>
      <c r="BQ204" s="255">
        <f>IF(AND(ISNUMBER(BQ168),ISNUMBER(BL168)),IFERROR(BQ168/BL168-1,""),"")</f>
        <v>0.192777283996819</v>
      </c>
      <c r="BR204" s="255">
        <f>IF(AND(ISNUMBER(BR168),ISNUMBER(BM168)),IFERROR(BR168/BM168-1,""),"")</f>
        <v>0.147706945765937</v>
      </c>
      <c r="BS204" s="255">
        <f>IF(AND(ISNUMBER(BS168),ISNUMBER(BN168)),IFERROR(BS168/BN168-1,""),"")</f>
        <v>0.222782258064516</v>
      </c>
      <c r="BT204" s="255">
        <f>IF(AND(ISNUMBER(BT168),ISNUMBER(BO168)),IFERROR(BT168/BO168-1,""),"")</f>
        <v>0.345653693777674</v>
      </c>
      <c r="BU204" s="255">
        <f>IF(AND(ISNUMBER(BU168),ISNUMBER(BP168)),IFERROR(BU168/BP168-1,""),"")</f>
        <v>0.158495743049671</v>
      </c>
      <c r="BV204" s="256">
        <f>IF(AND(ISNUMBER(BV168),ISNUMBER(BQ168)),IFERROR(BV168/BQ168-1,""),"")</f>
        <v>0.0439955554491276</v>
      </c>
      <c r="BW204" s="256">
        <f>IF(AND(ISNUMBER(BW168),ISNUMBER(BR168)),IFERROR(BW168/BR168-1,""),"")</f>
        <v>0.0416340780714832</v>
      </c>
      <c r="BX204" s="256">
        <f>IF(AND(ISNUMBER(BX168),ISNUMBER(BS168)),IFERROR(BX168/BS168-1,""),"")</f>
        <v>0.134665291987256</v>
      </c>
      <c r="BY204" s="256">
        <f>IF(AND(ISNUMBER(BY168),ISNUMBER(BX168)),IFERROR(BY168/BX168-1,""),"")</f>
        <v>0.235969814395467</v>
      </c>
      <c r="BZ204" s="256">
        <f>IF(AND(ISNUMBER(BZ168),ISNUMBER(BY168)),IFERROR(BZ168/BY168-1,""),"")</f>
        <v>0.194500103445133</v>
      </c>
      <c r="CA204" s="256">
        <f>IF(AND(ISNUMBER(CA168),ISNUMBER(BZ168)),IFERROR(CA168/BZ168-1,""),"")</f>
        <v>0.159625786877194</v>
      </c>
      <c r="CB204" s="256">
        <f>IF(AND(ISNUMBER(CB168),ISNUMBER(CA168)),IFERROR(CB168/CA168-1,""),"")</f>
        <v>0.137239145161774</v>
      </c>
      <c r="CC204" s="256">
        <f>IF(AND(ISNUMBER(CC168),ISNUMBER(CB168)),IFERROR(CC168/CB168-1,""),"")</f>
        <v>0.114518781267619</v>
      </c>
      <c r="CD204" s="153" t="n"/>
    </row>
    <row r="205" ht="15" customHeight="1" s="251">
      <c r="B205" s="22" t="inlineStr">
        <is>
          <t xml:space="preserve">  Net income y/y %</t>
        </is>
      </c>
      <c r="C205" s="23" t="n"/>
      <c r="D205" s="255">
        <f>IF(AND(ISNUMBER(D123),ISNUMBER(C123)),IFERROR(D123/C123-1,""),"")</f>
        <v>1.64628820960699</v>
      </c>
      <c r="E205" s="255">
        <f>IF(AND(ISNUMBER(E123),ISNUMBER(D123)),IFERROR(E123/D123-1,""),"")</f>
        <v>0.65016501650165</v>
      </c>
      <c r="F205" s="255">
        <f>IF(AND(ISNUMBER(F123),ISNUMBER(E123)),IFERROR(F123/E123-1,""),"")</f>
        <v>-0.947</v>
      </c>
      <c r="G205" s="23" t="n"/>
      <c r="H205" s="23" t="n"/>
      <c r="I205" s="23" t="n"/>
      <c r="J205" s="23" t="n"/>
      <c r="K205" s="255">
        <f>IF(AND(ISNUMBER(K123),ISNUMBER(F123)),IFERROR(K123/F123-1,""),"")</f>
        <v>27.3018867924528</v>
      </c>
      <c r="L205" s="255">
        <f>IF(AND(ISNUMBER(L123),ISNUMBER(G123)),IFERROR(L123/G123-1,""),"")</f>
        <v>1.93150684931507</v>
      </c>
      <c r="M205" s="255">
        <f>IF(AND(ISNUMBER(M123),ISNUMBER(H123)),IFERROR(M123/H123-1,""),"")</f>
        <v>1.37537537537538</v>
      </c>
      <c r="N205" s="255">
        <f>IF(AND(ISNUMBER(N123),ISNUMBER(I123)),IFERROR(N123/I123-1,""),"")</f>
        <v>0.896470588235294</v>
      </c>
      <c r="O205" s="255">
        <f>IF(AND(ISNUMBER(O123),ISNUMBER(J123)),IFERROR(O123/J123-1,""),"")</f>
        <v>0.340344168260038</v>
      </c>
      <c r="P205" s="255">
        <f>IF(AND(ISNUMBER(P123),ISNUMBER(K123)),IFERROR(P123/K123-1,""),"")</f>
        <v>0.96</v>
      </c>
      <c r="Q205" s="255">
        <f>IF(AND(ISNUMBER(Q123),ISNUMBER(L123)),IFERROR(Q123/L123-1,""),"")</f>
        <v>-0.202492211838006</v>
      </c>
      <c r="R205" s="255">
        <f>IF(AND(ISNUMBER(R123),ISNUMBER(M123)),IFERROR(R123/M123-1,""),"")</f>
        <v>-0.0910240202275601</v>
      </c>
      <c r="S205" s="255">
        <f>IF(AND(ISNUMBER(S123),ISNUMBER(N123)),IFERROR(S123/N123-1,""),"")</f>
        <v>0.11166253101737</v>
      </c>
      <c r="T205" s="255">
        <f>IF(AND(ISNUMBER(T123),ISNUMBER(O123)),IFERROR(T123/O123-1,""),"")</f>
        <v>1.22824536376605</v>
      </c>
      <c r="U205" s="255">
        <f>IF(AND(ISNUMBER(U123),ISNUMBER(P123)),IFERROR(U123/P123-1,""),"")</f>
        <v>0.254421768707483</v>
      </c>
      <c r="V205" s="255">
        <f>IF(AND(ISNUMBER(V123),ISNUMBER(Q123)),IFERROR(V123/Q123-1,""),"")</f>
        <v>1.94921875</v>
      </c>
      <c r="W205" s="255">
        <f>IF(AND(ISNUMBER(W123),ISNUMBER(R123)),IFERROR(W123/R123-1,""),"")</f>
        <v>1.85813630041725</v>
      </c>
      <c r="X205" s="255">
        <f>IF(AND(ISNUMBER(X123),ISNUMBER(S123)),IFERROR(X123/S123-1,""),"")</f>
        <v>1.65513392857143</v>
      </c>
      <c r="Y205" s="255">
        <f>IF(AND(ISNUMBER(Y123),ISNUMBER(T123)),IFERROR(Y123/T123-1,""),"")</f>
        <v>1.2842509603073</v>
      </c>
      <c r="Z205" s="255">
        <f>IF(AND(ISNUMBER(Z123),ISNUMBER(U123)),IFERROR(Z123/U123-1,""),"")</f>
        <v>1.77033622559653</v>
      </c>
      <c r="AA205" s="255">
        <f>IF(AND(ISNUMBER(AA123),ISNUMBER(V123)),IFERROR(AA123/V123-1,""),"")</f>
        <v>1.02913907284768</v>
      </c>
      <c r="AB205" s="255">
        <f>IF(AND(ISNUMBER(AB123),ISNUMBER(W123)),IFERROR(AB123/W123-1,""),"")</f>
        <v>0.894890510948905</v>
      </c>
      <c r="AC205" s="255">
        <f>IF(AND(ISNUMBER(AC123),ISNUMBER(X123)),IFERROR(AC123/X123-1,""),"")</f>
        <v>0.978562421185372</v>
      </c>
      <c r="AD205" s="255">
        <f>IF(AND(ISNUMBER(AD123),ISNUMBER(Y123)),IFERROR(AD123/Y123-1,""),"")</f>
        <v>0.196188340807175</v>
      </c>
      <c r="AE205" s="255">
        <f>IF(AND(ISNUMBER(AE123),ISNUMBER(Z123)),IFERROR(AE123/Z123-1,""),"")</f>
        <v>0.559557600078301</v>
      </c>
      <c r="AF205" s="255">
        <f>IF(AND(ISNUMBER(AF123),ISNUMBER(AA123)),IFERROR(AF123/AA123-1,""),"")</f>
        <v>0.627937336814622</v>
      </c>
      <c r="AG205" s="255">
        <f>IF(AND(ISNUMBER(AG123),ISNUMBER(AB123)),IFERROR(AG123/AB123-1,""),"")</f>
        <v>0.311248073959938</v>
      </c>
      <c r="AH205" s="255">
        <f>IF(AND(ISNUMBER(AH123),ISNUMBER(AC123)),IFERROR(AH123/AC123-1,""),"")</f>
        <v>0.0913533035903973</v>
      </c>
      <c r="AI205" s="255">
        <f>IF(AND(ISNUMBER(AI123),ISNUMBER(AD123)),IFERROR(AI123/AD123-1,""),"")</f>
        <v>0.612464854732896</v>
      </c>
      <c r="AJ205" s="255">
        <f>IF(AND(ISNUMBER(AJ123),ISNUMBER(AE123)),IFERROR(AJ123/AE123-1,""),"")</f>
        <v>0.387724362997364</v>
      </c>
      <c r="AK205" s="255">
        <f>IF(AND(ISNUMBER(AK123),ISNUMBER(AF123)),IFERROR(AK123/AF123-1,""),"")</f>
        <v>-0.513031275060144</v>
      </c>
      <c r="AL205" s="255">
        <f>IF(AND(ISNUMBER(AL123),ISNUMBER(AG123)),IFERROR(AL123/AG123-1,""),"")</f>
        <v>-0.487661574618096</v>
      </c>
      <c r="AM205" s="255">
        <f>IF(AND(ISNUMBER(AM123),ISNUMBER(AH123)),IFERROR(AM123/AH123-1,""),"")</f>
        <v>0.185711504769321</v>
      </c>
      <c r="AN205" s="255">
        <f>IF(AND(ISNUMBER(AN123),ISNUMBER(AI123)),IFERROR(AN123/AI123-1,""),"")</f>
        <v>0.0678581807614065</v>
      </c>
      <c r="AO205" s="255">
        <f>IF(AND(ISNUMBER(AO123),ISNUMBER(AJ123)),IFERROR(AO123/AJ123-1,""),"")</f>
        <v>-0.164028581765557</v>
      </c>
      <c r="AP205" s="255">
        <f>IF(AND(ISNUMBER(AP123),ISNUMBER(AK123)),IFERROR(AP123/AK123-1,""),"")</f>
        <v>1.01811445039111</v>
      </c>
      <c r="AQ205" s="255">
        <f>IF(AND(ISNUMBER(AQ123),ISNUMBER(AL123)),IFERROR(AQ123/AL123-1,""),"")</f>
        <v>0.979357798165138</v>
      </c>
      <c r="AR205" s="255">
        <f>IF(AND(ISNUMBER(AR123),ISNUMBER(AM123)),IFERROR(AR123/AM123-1,""),"")</f>
        <v>0.288130027910031</v>
      </c>
      <c r="AS205" s="255">
        <f>IF(AND(ISNUMBER(AS123),ISNUMBER(AN123)),IFERROR(AS123/AN123-1,""),"")</f>
        <v>0.526602258810723</v>
      </c>
      <c r="AT205" s="255">
        <f>IF(AND(ISNUMBER(AT123),ISNUMBER(AO123)),IFERROR(AT123/AO123-1,""),"")</f>
        <v>0.57673789559102</v>
      </c>
      <c r="AU205" s="255">
        <f>IF(AND(ISNUMBER(AU123),ISNUMBER(AP123)),IFERROR(AU123/AP123-1,""),"")</f>
        <v>0.937372501019992</v>
      </c>
      <c r="AV205" s="255">
        <f>IF(AND(ISNUMBER(AV123),ISNUMBER(AQ123)),IFERROR(AV123/AQ123-1,""),"")</f>
        <v>1.00733874082657</v>
      </c>
      <c r="AW205" s="255">
        <f>IF(AND(ISNUMBER(AW123),ISNUMBER(AR123)),IFERROR(AW123/AR123-1,""),"")</f>
        <v>0.171807290339026</v>
      </c>
      <c r="AX205" s="255">
        <f>IF(AND(ISNUMBER(AX123),ISNUMBER(AS123)),IFERROR(AX123/AS123-1,""),"")</f>
        <v>-0.0832516267046974</v>
      </c>
      <c r="AY205" s="255">
        <f>IF(AND(ISNUMBER(AY123),ISNUMBER(AT123)),IFERROR(AY123/AT123-1,""),"")</f>
        <v>0.350785699581418</v>
      </c>
      <c r="AZ205" s="255">
        <f>IF(AND(ISNUMBER(AZ123),ISNUMBER(AU123)),IFERROR(AZ123/AU123-1,""),"")</f>
        <v>-0.213962303885437</v>
      </c>
      <c r="BA205" s="255">
        <f>IF(AND(ISNUMBER(BA123),ISNUMBER(AV123)),IFERROR(BA123/AV123-1,""),"")</f>
        <v>-0.356648066192034</v>
      </c>
      <c r="BB205" s="255">
        <f>IF(AND(ISNUMBER(BB123),ISNUMBER(AW123)),IFERROR(BB123/AW123-1,""),"")</f>
        <v>-0.52197085055471</v>
      </c>
      <c r="BC205" s="255">
        <f>IF(AND(ISNUMBER(BC123),ISNUMBER(AX123)),IFERROR(BC123/AX123-1,""),"")</f>
        <v>-0.547690811861935</v>
      </c>
      <c r="BD205" s="255">
        <f>IF(AND(ISNUMBER(BD123),ISNUMBER(AY123)),IFERROR(BD123/AY123-1,""),"")</f>
        <v>-0.410718821437643</v>
      </c>
      <c r="BE205" s="255">
        <f>IF(AND(ISNUMBER(BE123),ISNUMBER(AZ123)),IFERROR(BE123/AZ123-1,""),"")</f>
        <v>-0.235231078365707</v>
      </c>
      <c r="BF205" s="255">
        <f>IF(AND(ISNUMBER(BF123),ISNUMBER(BA123)),IFERROR(BF123/BA123-1,""),"")</f>
        <v>0.164647824136384</v>
      </c>
      <c r="BG205" s="255">
        <f>IF(AND(ISNUMBER(BG123),ISNUMBER(BB123)),IFERROR(BG123/BB123-1,""),"")</f>
        <v>1.63549488054608</v>
      </c>
      <c r="BH205" s="255">
        <f>IF(AND(ISNUMBER(BH123),ISNUMBER(BC123)),IFERROR(BH123/BC123-1,""),"")</f>
        <v>2.01311263972485</v>
      </c>
      <c r="BI205" s="255">
        <f>IF(AND(ISNUMBER(BI123),ISNUMBER(BD123)),IFERROR(BI123/BD123-1,""),"")</f>
        <v>0.685258620689655</v>
      </c>
      <c r="BJ205" s="255">
        <f>IF(AND(ISNUMBER(BJ123),ISNUMBER(BE123)),IFERROR(BJ123/BE123-1,""),"")</f>
        <v>1.16657908565423</v>
      </c>
      <c r="BK205" s="255">
        <f>IF(AND(ISNUMBER(BK123),ISNUMBER(BF123)),IFERROR(BK123/BF123-1,""),"")</f>
        <v>0.72894196199281</v>
      </c>
      <c r="BL205" s="255">
        <f>IF(AND(ISNUMBER(BL123),ISNUMBER(BG123)),IFERROR(BL123/BG123-1,""),"")</f>
        <v>0.354398687732021</v>
      </c>
      <c r="BM205" s="255">
        <f>IF(AND(ISNUMBER(BM123),ISNUMBER(BH123)),IFERROR(BM123/BH123-1,""),"")</f>
        <v>0.486623385888564</v>
      </c>
      <c r="BN205" s="255">
        <f>IF(AND(ISNUMBER(BN123),ISNUMBER(BI123)),IFERROR(BN123/BI123-1,""),"")</f>
        <v>0.594966494449844</v>
      </c>
      <c r="BO205" s="255">
        <f>IF(AND(ISNUMBER(BO123),ISNUMBER(BJ123)),IFERROR(BO123/BJ123-1,""),"")</f>
        <v>0.345622119815668</v>
      </c>
      <c r="BP205" s="255">
        <f>IF(AND(ISNUMBER(BP123),ISNUMBER(BK123)),IFERROR(BP123/BK123-1,""),"")</f>
        <v>0.361826958782028</v>
      </c>
      <c r="BQ205" s="255">
        <f>IF(AND(ISNUMBER(BQ123),ISNUMBER(BL123)),IFERROR(BQ123/BL123-1,""),"")</f>
        <v>-0.827320244773075</v>
      </c>
      <c r="BR205" s="255">
        <f>IF(AND(ISNUMBER(BR123),ISNUMBER(BM123)),IFERROR(BR123/BM123-1,""),"")</f>
        <v>0.0926192532872636</v>
      </c>
      <c r="BS205" s="255">
        <f>IF(AND(ISNUMBER(BS123),ISNUMBER(BN123)),IFERROR(BS123/BN123-1,""),"")</f>
        <v>-0.0305003207184092</v>
      </c>
      <c r="BT205" s="255">
        <f>IF(AND(ISNUMBER(BT123),ISNUMBER(BO123)),IFERROR(BT123/BO123-1,""),"")</f>
        <v>0.608567652006729</v>
      </c>
      <c r="BU205" s="255">
        <f>IF(AND(ISNUMBER(BU123),ISNUMBER(BP123)),IFERROR(BU123/BP123-1,""),"")</f>
        <v>-0.135736489065823</v>
      </c>
      <c r="BV205" s="256">
        <f>IF(AND(ISNUMBER(BV123),ISNUMBER(BQ123)),IFERROR(BV123/BQ123-1,""),"")</f>
        <v>5.15287028615251</v>
      </c>
      <c r="BW205" s="256">
        <f>IF(AND(ISNUMBER(BW123),ISNUMBER(BR123)),IFERROR(BW123/BR123-1,""),"")</f>
        <v>-0.10869311661139</v>
      </c>
      <c r="BX205" s="256">
        <f>IF(AND(ISNUMBER(BX123),ISNUMBER(BS123)),IFERROR(BX123/BS123-1,""),"")</f>
        <v>0.316325394921748</v>
      </c>
      <c r="BY205" s="256">
        <f>IF(AND(ISNUMBER(BY123),ISNUMBER(BX123)),IFERROR(BY123/BX123-1,""),"")</f>
        <v>0.0571101555242599</v>
      </c>
      <c r="BZ205" s="256">
        <f>IF(AND(ISNUMBER(BZ123),ISNUMBER(BY123)),IFERROR(BZ123/BY123-1,""),"")</f>
        <v>0.157283934329964</v>
      </c>
      <c r="CA205" s="256">
        <f>IF(AND(ISNUMBER(CA123),ISNUMBER(BZ123)),IFERROR(CA123/BZ123-1,""),"")</f>
        <v>0.136130097822524</v>
      </c>
      <c r="CB205" s="256">
        <f>IF(AND(ISNUMBER(CB123),ISNUMBER(CA123)),IFERROR(CB123/CA123-1,""),"")</f>
        <v>0.14343993762415</v>
      </c>
      <c r="CC205" s="256">
        <f>IF(AND(ISNUMBER(CC123),ISNUMBER(CB123)),IFERROR(CC123/CB123-1,""),"")</f>
        <v>0.131645457945007</v>
      </c>
      <c r="CD205" s="153" t="n"/>
    </row>
    <row r="206" ht="15" customHeight="1" s="251">
      <c r="B206" s="22" t="inlineStr">
        <is>
          <t xml:space="preserve">  Adjusted EPS (current definition) y/y %</t>
        </is>
      </c>
      <c r="C206" s="23" t="n"/>
      <c r="D206" s="255">
        <f>IF(AND(ISNUMBER(D193),ISNUMBER(C193)),IFERROR(D193/C193-1,""),"")</f>
        <v>1.8981612446959</v>
      </c>
      <c r="E206" s="255">
        <f>IF(AND(ISNUMBER(E193),ISNUMBER(D193)),IFERROR(E193/D193-1,""),"")</f>
        <v>0.630418860604141</v>
      </c>
      <c r="F206" s="255">
        <f>IF(AND(ISNUMBER(F193),ISNUMBER(E193)),IFERROR(F193/E193-1,""),"")</f>
        <v>-0.968127532142607</v>
      </c>
      <c r="G206" s="23" t="n"/>
      <c r="H206" s="23" t="n"/>
      <c r="I206" s="23" t="n"/>
      <c r="J206" s="23" t="n"/>
      <c r="K206" s="255">
        <f>IF(AND(ISNUMBER(K193),ISNUMBER(F193)),IFERROR(K193/F193-1,""),"")</f>
        <v>39.0961710369487</v>
      </c>
      <c r="L206" s="255">
        <f>IF(AND(ISNUMBER(L193),ISNUMBER(G193)),IFERROR(L193/G193-1,""),"")</f>
        <v>1.82054674266497</v>
      </c>
      <c r="M206" s="255">
        <f>IF(AND(ISNUMBER(M193),ISNUMBER(H193)),IFERROR(M193/H193-1,""),"")</f>
        <v>1.27779080716064</v>
      </c>
      <c r="N206" s="255">
        <f>IF(AND(ISNUMBER(N193),ISNUMBER(I193)),IFERROR(N193/I193-1,""),"")</f>
        <v>0.817094593141227</v>
      </c>
      <c r="O206" s="255">
        <f>IF(AND(ISNUMBER(O193),ISNUMBER(J193)),IFERROR(O193/J193-1,""),"")</f>
        <v>0.215832604895105</v>
      </c>
      <c r="P206" s="255">
        <f>IF(AND(ISNUMBER(P193),ISNUMBER(K193)),IFERROR(P193/K193-1,""),"")</f>
        <v>0.853519767252162</v>
      </c>
      <c r="Q206" s="255">
        <f>IF(AND(ISNUMBER(Q193),ISNUMBER(L193)),IFERROR(Q193/L193-1,""),"")</f>
        <v>-0.26720115395397</v>
      </c>
      <c r="R206" s="255">
        <f>IF(AND(ISNUMBER(R193),ISNUMBER(M193)),IFERROR(R193/M193-1,""),"")</f>
        <v>-0.167457030902128</v>
      </c>
      <c r="S206" s="255">
        <f>IF(AND(ISNUMBER(S193),ISNUMBER(N193)),IFERROR(S193/N193-1,""),"")</f>
        <v>0.0259907339579795</v>
      </c>
      <c r="T206" s="255">
        <f>IF(AND(ISNUMBER(T193),ISNUMBER(O193)),IFERROR(T193/O193-1,""),"")</f>
        <v>1.18606471607838</v>
      </c>
      <c r="U206" s="255">
        <f>IF(AND(ISNUMBER(U193),ISNUMBER(P193)),IFERROR(U193/P193-1,""),"")</f>
        <v>0.171262638518159</v>
      </c>
      <c r="V206" s="255">
        <f>IF(AND(ISNUMBER(V193),ISNUMBER(Q193)),IFERROR(V193/Q193-1,""),"")</f>
        <v>1.90353961109992</v>
      </c>
      <c r="W206" s="255">
        <f>IF(AND(ISNUMBER(W193),ISNUMBER(R193)),IFERROR(W193/R193-1,""),"")</f>
        <v>1.81107322429637</v>
      </c>
      <c r="X206" s="255">
        <f>IF(AND(ISNUMBER(X193),ISNUMBER(S193)),IFERROR(X193/S193-1,""),"")</f>
        <v>1.61578968645864</v>
      </c>
      <c r="Y206" s="255">
        <f>IF(AND(ISNUMBER(Y193),ISNUMBER(T193)),IFERROR(Y193/T193-1,""),"")</f>
        <v>1.24326498985464</v>
      </c>
      <c r="Z206" s="255">
        <f>IF(AND(ISNUMBER(Z193),ISNUMBER(U193)),IFERROR(Z193/U193-1,""),"")</f>
        <v>1.70842694509089</v>
      </c>
      <c r="AA206" s="255">
        <f>IF(AND(ISNUMBER(AA193),ISNUMBER(V193)),IFERROR(AA193/V193-1,""),"")</f>
        <v>0.993895348837209</v>
      </c>
      <c r="AB206" s="255">
        <f>IF(AND(ISNUMBER(AB193),ISNUMBER(W193)),IFERROR(AB193/W193-1,""),"")</f>
        <v>0.869162466113182</v>
      </c>
      <c r="AC206" s="255">
        <f>IF(AND(ISNUMBER(AC193),ISNUMBER(X193)),IFERROR(AC193/X193-1,""),"")</f>
        <v>0.954806183912726</v>
      </c>
      <c r="AD206" s="255">
        <f>IF(AND(ISNUMBER(AD193),ISNUMBER(Y193)),IFERROR(AD193/Y193-1,""),"")</f>
        <v>0.825498037207033</v>
      </c>
      <c r="AE206" s="255">
        <f>IF(AND(ISNUMBER(AE193),ISNUMBER(Z193)),IFERROR(AE193/Z193-1,""),"")</f>
        <v>0.766709740505028</v>
      </c>
      <c r="AF206" s="255">
        <f>IF(AND(ISNUMBER(AF193),ISNUMBER(AA193)),IFERROR(AF193/AA193-1,""),"")</f>
        <v>0.629717757892184</v>
      </c>
      <c r="AG206" s="255">
        <f>IF(AND(ISNUMBER(AG193),ISNUMBER(AB193)),IFERROR(AG193/AB193-1,""),"")</f>
        <v>0.32200408854418</v>
      </c>
      <c r="AH206" s="255">
        <f>IF(AND(ISNUMBER(AH193),ISNUMBER(AC193)),IFERROR(AH193/AC193-1,""),"")</f>
        <v>0.108169512226449</v>
      </c>
      <c r="AI206" s="255">
        <f>IF(AND(ISNUMBER(AI193),ISNUMBER(AD193)),IFERROR(AI193/AD193-1,""),"")</f>
        <v>0.0777469164862066</v>
      </c>
      <c r="AJ206" s="255">
        <f>IF(AND(ISNUMBER(AJ193),ISNUMBER(AE193)),IFERROR(AJ193/AE193-1,""),"")</f>
        <v>0.230123055374825</v>
      </c>
      <c r="AK206" s="255">
        <f>IF(AND(ISNUMBER(AK193),ISNUMBER(AF193)),IFERROR(AK193/AF193-1,""),"")</f>
        <v>0.117468331569365</v>
      </c>
      <c r="AL206" s="255">
        <f>IF(AND(ISNUMBER(AL193),ISNUMBER(AG193)),IFERROR(AL193/AG193-1,""),"")</f>
        <v>0.142879136225072</v>
      </c>
      <c r="AM206" s="255">
        <f>IF(AND(ISNUMBER(AM193),ISNUMBER(AH193)),IFERROR(AM193/AH193-1,""),"")</f>
        <v>0.201801535627359</v>
      </c>
      <c r="AN206" s="255">
        <f>IF(AND(ISNUMBER(AN193),ISNUMBER(AI193)),IFERROR(AN193/AI193-1,""),"")</f>
        <v>0.0734373771081225</v>
      </c>
      <c r="AO206" s="255">
        <f>IF(AND(ISNUMBER(AO193),ISNUMBER(AJ193)),IFERROR(AO193/AJ193-1,""),"")</f>
        <v>0.129746794039355</v>
      </c>
      <c r="AP206" s="255">
        <f>IF(AND(ISNUMBER(AP193),ISNUMBER(AK193)),IFERROR(AP193/AK193-1,""),"")</f>
        <v>-0.0967564551444243</v>
      </c>
      <c r="AQ206" s="255">
        <f>IF(AND(ISNUMBER(AQ193),ISNUMBER(AL193)),IFERROR(AQ193/AL193-1,""),"")</f>
        <v>-0.0969602103808069</v>
      </c>
      <c r="AR206" s="255">
        <f>IF(AND(ISNUMBER(AR193),ISNUMBER(AM193)),IFERROR(AR193/AM193-1,""),"")</f>
        <v>0.131543548467975</v>
      </c>
      <c r="AS206" s="255">
        <f>IF(AND(ISNUMBER(AS193),ISNUMBER(AN193)),IFERROR(AS193/AN193-1,""),"")</f>
        <v>0.516565773372175</v>
      </c>
      <c r="AT206" s="255">
        <f>IF(AND(ISNUMBER(AT193),ISNUMBER(AO193)),IFERROR(AT193/AO193-1,""),"")</f>
        <v>0.143146508056555</v>
      </c>
      <c r="AU206" s="255">
        <f>IF(AND(ISNUMBER(AU193),ISNUMBER(AP193)),IFERROR(AU193/AP193-1,""),"")</f>
        <v>0.927961253617397</v>
      </c>
      <c r="AV206" s="255">
        <f>IF(AND(ISNUMBER(AV193),ISNUMBER(AQ193)),IFERROR(AV193/AQ193-1,""),"")</f>
        <v>1.00873417964536</v>
      </c>
      <c r="AW206" s="255">
        <f>IF(AND(ISNUMBER(AW193),ISNUMBER(AR193)),IFERROR(AW193/AR193-1,""),"")</f>
        <v>0.340964360472775</v>
      </c>
      <c r="AX206" s="255">
        <f>IF(AND(ISNUMBER(AX193),ISNUMBER(AS193)),IFERROR(AX193/AS193-1,""),"")</f>
        <v>-0.0534466599416132</v>
      </c>
      <c r="AY206" s="255">
        <f>IF(AND(ISNUMBER(AY193),ISNUMBER(AT193)),IFERROR(AY193/AT193-1,""),"")</f>
        <v>0.408612117916929</v>
      </c>
      <c r="AZ206" s="255">
        <f>IF(AND(ISNUMBER(AZ193),ISNUMBER(AU193)),IFERROR(AZ193/AU193-1,""),"")</f>
        <v>-0.173829088183016</v>
      </c>
      <c r="BA206" s="255">
        <f>IF(AND(ISNUMBER(BA193),ISNUMBER(AV193)),IFERROR(BA193/AV193-1,""),"")</f>
        <v>-0.317757643359558</v>
      </c>
      <c r="BB206" s="255">
        <f>IF(AND(ISNUMBER(BB193),ISNUMBER(AW193)),IFERROR(BB193/AW193-1,""),"")</f>
        <v>-0.453698469885585</v>
      </c>
      <c r="BC206" s="255">
        <f>IF(AND(ISNUMBER(BC193),ISNUMBER(AX193)),IFERROR(BC193/AX193-1,""),"")</f>
        <v>-0.1835683033544</v>
      </c>
      <c r="BD206" s="255">
        <f>IF(AND(ISNUMBER(BD193),ISNUMBER(AY193)),IFERROR(BD193/AY193-1,""),"")</f>
        <v>-0.276716012791751</v>
      </c>
      <c r="BE206" s="255">
        <f>IF(AND(ISNUMBER(BE193),ISNUMBER(AZ193)),IFERROR(BE193/AZ193-1,""),"")</f>
        <v>-0.0657524069434265</v>
      </c>
      <c r="BF206" s="255">
        <f>IF(AND(ISNUMBER(BF193),ISNUMBER(BA193)),IFERROR(BF193/BA193-1,""),"")</f>
        <v>0.554636056252547</v>
      </c>
      <c r="BG206" s="255">
        <f>IF(AND(ISNUMBER(BG193),ISNUMBER(BB193)),IFERROR(BG193/BB193-1,""),"")</f>
        <v>1.56415558112346</v>
      </c>
      <c r="BH206" s="255">
        <f>IF(AND(ISNUMBER(BH193),ISNUMBER(BC193)),IFERROR(BH193/BC193-1,""),"")</f>
        <v>0.898103971854793</v>
      </c>
      <c r="BI206" s="255">
        <f>IF(AND(ISNUMBER(BI193),ISNUMBER(BD193)),IFERROR(BI193/BD193-1,""),"")</f>
        <v>0.660764163745744</v>
      </c>
      <c r="BJ206" s="255">
        <f>IF(AND(ISNUMBER(BJ193),ISNUMBER(BE193)),IFERROR(BJ193/BE193-1,""),"")</f>
        <v>0.852596898042416</v>
      </c>
      <c r="BK206" s="255">
        <f>IF(AND(ISNUMBER(BK193),ISNUMBER(BF193)),IFERROR(BK193/BF193-1,""),"")</f>
        <v>0.346342591842268</v>
      </c>
      <c r="BL206" s="255">
        <f>IF(AND(ISNUMBER(BL193),ISNUMBER(BG193)),IFERROR(BL193/BG193-1,""),"")</f>
        <v>0.339451827427611</v>
      </c>
      <c r="BM206" s="255">
        <f>IF(AND(ISNUMBER(BM193),ISNUMBER(BH193)),IFERROR(BM193/BH193-1,""),"")</f>
        <v>0.31899577784726</v>
      </c>
      <c r="BN206" s="255">
        <f>IF(AND(ISNUMBER(BN193),ISNUMBER(BI193)),IFERROR(BN193/BI193-1,""),"")</f>
        <v>0.411752787278087</v>
      </c>
      <c r="BO206" s="255">
        <f>IF(AND(ISNUMBER(BO193),ISNUMBER(BJ193)),IFERROR(BO193/BJ193-1,""),"")</f>
        <v>0.36380620251588</v>
      </c>
      <c r="BP206" s="255">
        <f>IF(AND(ISNUMBER(BP193),ISNUMBER(BK193)),IFERROR(BP193/BK193-1,""),"")</f>
        <v>0.383022709113265</v>
      </c>
      <c r="BQ206" s="255">
        <f>IF(AND(ISNUMBER(BQ193),ISNUMBER(BL193)),IFERROR(BQ193/BL193-1,""),"")</f>
        <v>0.20103983351878</v>
      </c>
      <c r="BR206" s="255">
        <f>IF(AND(ISNUMBER(BR193),ISNUMBER(BM193)),IFERROR(BR193/BM193-1,""),"")</f>
        <v>0.181824136199496</v>
      </c>
      <c r="BS206" s="255">
        <f>IF(AND(ISNUMBER(BS193),ISNUMBER(BN193)),IFERROR(BS193/BN193-1,""),"")</f>
        <v>0.270837051350628</v>
      </c>
      <c r="BT206" s="255">
        <f>IF(AND(ISNUMBER(BT193),ISNUMBER(BO193)),IFERROR(BT193/BO193-1,""),"")</f>
        <v>0.137530739153142</v>
      </c>
      <c r="BU206" s="255">
        <f>IF(AND(ISNUMBER(BU193),ISNUMBER(BP193)),IFERROR(BU193/BP193-1,""),"")</f>
        <v>0.030831843037149</v>
      </c>
      <c r="BV206" s="256">
        <f>IF(AND(ISNUMBER(BV193),ISNUMBER(BQ193)),IFERROR(BV193/BQ193-1,""),"")</f>
        <v>-0.105217437049466</v>
      </c>
      <c r="BW206" s="256">
        <f>IF(AND(ISNUMBER(BW193),ISNUMBER(BR193)),IFERROR(BW193/BR193-1,""),"")</f>
        <v>-0.113703370462577</v>
      </c>
      <c r="BX206" s="256">
        <f>IF(AND(ISNUMBER(BX193),ISNUMBER(BS193)),IFERROR(BX193/BS193-1,""),"")</f>
        <v>-0.0221838783785622</v>
      </c>
      <c r="BY206" s="256">
        <f>IF(AND(ISNUMBER(BY193),ISNUMBER(BX193)),IFERROR(BY193/BX193-1,""),"")</f>
        <v>0.113326409282356</v>
      </c>
      <c r="BZ206" s="256">
        <f>IF(AND(ISNUMBER(BZ193),ISNUMBER(BY193)),IFERROR(BZ193/BY193-1,""),"")</f>
        <v>0.145626067307515</v>
      </c>
      <c r="CA206" s="256">
        <f>IF(AND(ISNUMBER(CA193),ISNUMBER(BZ193)),IFERROR(CA193/BZ193-1,""),"")</f>
        <v>0.136831217152027</v>
      </c>
      <c r="CB206" s="256">
        <f>IF(AND(ISNUMBER(CB193),ISNUMBER(CA193)),IFERROR(CB193/CA193-1,""),"")</f>
        <v>0.160822430236903</v>
      </c>
      <c r="CC206" s="256">
        <f>IF(AND(ISNUMBER(CC193),ISNUMBER(CB193)),IFERROR(CC193/CB193-1,""),"")</f>
        <v>0.158980425589486</v>
      </c>
      <c r="CD206" s="153" t="n"/>
    </row>
    <row r="207" ht="15" customHeight="1" s="251">
      <c r="B207" s="25" t="inlineStr">
        <is>
          <t xml:space="preserve">  Cost of revenue % of revenue</t>
        </is>
      </c>
      <c r="C207" s="215">
        <f>IF(AND(ISNUMBER(C110),ISNUMBER(C109)),IFERROR(C110/C109,""),"")</f>
        <v>0.287001287001287</v>
      </c>
      <c r="D207" s="215">
        <f>IF(AND(ISNUMBER(D110),ISNUMBER(D109)),IFERROR(D110/D109,""),"")</f>
        <v>0.249746707193516</v>
      </c>
      <c r="E207" s="215">
        <f>IF(AND(ISNUMBER(E110),ISNUMBER(E109)),IFERROR(E110/E109,""),"")</f>
        <v>0.231743465373215</v>
      </c>
      <c r="F207" s="215">
        <f>IF(AND(ISNUMBER(F110),ISNUMBER(F109)),IFERROR(F110/F109,""),"")</f>
        <v>0.268029082334447</v>
      </c>
      <c r="G207" s="215">
        <f>IF(AND(ISNUMBER(G110),ISNUMBER(G109)),IFERROR(G110/G109,""),"")</f>
        <v>0.283264746227709</v>
      </c>
      <c r="H207" s="215">
        <f>IF(AND(ISNUMBER(H110),ISNUMBER(H109)),IFERROR(H110/H109,""),"")</f>
        <v>0.256480970766685</v>
      </c>
      <c r="I207" s="215">
        <f>IF(AND(ISNUMBER(I110),ISNUMBER(I109)),IFERROR(I110/I109,""),"")</f>
        <v>0.251488095238095</v>
      </c>
      <c r="J207" s="215">
        <f>IF(AND(ISNUMBER(J110),ISNUMBER(J109)),IFERROR(J110/J109,""),"")</f>
        <v>0.189941972920696</v>
      </c>
      <c r="K207" s="215">
        <f>IF(AND(ISNUMBER(K110),ISNUMBER(K109)),IFERROR(K110/K109,""),"")</f>
        <v>0.238185975609756</v>
      </c>
      <c r="L207" s="215">
        <f>IF(AND(ISNUMBER(L110),ISNUMBER(L109)),IFERROR(L110/L109,""),"")</f>
        <v>0.184652278177458</v>
      </c>
      <c r="M207" s="215">
        <f>IF(AND(ISNUMBER(M110),ISNUMBER(M109)),IFERROR(M110/M109,""),"")</f>
        <v>0.162542955326461</v>
      </c>
      <c r="N207" s="215">
        <f>IF(AND(ISNUMBER(N110),ISNUMBER(N109)),IFERROR(N110/N109,""),"")</f>
        <v>0.176397127692788</v>
      </c>
      <c r="O207" s="215">
        <f>IF(AND(ISNUMBER(O110),ISNUMBER(O109)),IFERROR(O110/O109,""),"")</f>
        <v>0.169566346403532</v>
      </c>
      <c r="P207" s="215">
        <f>IF(AND(ISNUMBER(P110),ISNUMBER(P109)),IFERROR(P110/P109,""),"")</f>
        <v>0.172709770575967</v>
      </c>
      <c r="Q207" s="215">
        <f>IF(AND(ISNUMBER(Q110),ISNUMBER(Q109)),IFERROR(Q110/Q109,""),"")</f>
        <v>0.18458933107536</v>
      </c>
      <c r="R207" s="215">
        <f>IF(AND(ISNUMBER(R110),ISNUMBER(R109)),IFERROR(R110/R109,""),"")</f>
        <v>0.165264720435428</v>
      </c>
      <c r="S207" s="215">
        <f>IF(AND(ISNUMBER(S110),ISNUMBER(S109)),IFERROR(S110/S109,""),"")</f>
        <v>0.159964452343924</v>
      </c>
      <c r="T207" s="215">
        <f>IF(AND(ISNUMBER(T110),ISNUMBER(T109)),IFERROR(T110/T109,""),"")</f>
        <v>0.141071734292073</v>
      </c>
      <c r="U207" s="215">
        <f>IF(AND(ISNUMBER(U110),ISNUMBER(U109)),IFERROR(U110/U109,""),"")</f>
        <v>0.15991744756805</v>
      </c>
      <c r="V207" s="215">
        <f>IF(AND(ISNUMBER(V110),ISNUMBER(V109)),IFERROR(V110/V109,""),"")</f>
        <v>0.15570419918246</v>
      </c>
      <c r="W207" s="215">
        <f>IF(AND(ISNUMBER(W110),ISNUMBER(W109)),IFERROR(W110/W109,""),"")</f>
        <v>0.142324425108763</v>
      </c>
      <c r="X207" s="215">
        <f>IF(AND(ISNUMBER(X110),ISNUMBER(X109)),IFERROR(X110/X109,""),"")</f>
        <v>0.140778776208815</v>
      </c>
      <c r="Y207" s="215">
        <f>IF(AND(ISNUMBER(Y110),ISNUMBER(Y109)),IFERROR(Y110/Y109,""),"")</f>
        <v>0.118855715745261</v>
      </c>
      <c r="Z207" s="215">
        <f>IF(AND(ISNUMBER(Z110),ISNUMBER(Z109)),IFERROR(Z110/Z109,""),"")</f>
        <v>0.137093856284825</v>
      </c>
      <c r="AA207" s="215">
        <f>IF(AND(ISNUMBER(AA110),ISNUMBER(AA109)),IFERROR(AA110/AA109,""),"")</f>
        <v>0.14429780876494</v>
      </c>
      <c r="AB207" s="215">
        <f>IF(AND(ISNUMBER(AB110),ISNUMBER(AB109)),IFERROR(AB110/AB109,""),"")</f>
        <v>0.132711082501878</v>
      </c>
      <c r="AC207" s="215">
        <f>IF(AND(ISNUMBER(AC110),ISNUMBER(AC109)),IFERROR(AC110/AC109,""),"")</f>
        <v>0.140201394268009</v>
      </c>
      <c r="AD207" s="215">
        <f>IF(AND(ISNUMBER(AD110),ISNUMBER(AD109)),IFERROR(AD110/AD109,""),"")</f>
        <v>0.124190564292322</v>
      </c>
      <c r="AE207" s="215">
        <f>IF(AND(ISNUMBER(AE110),ISNUMBER(AE109)),IFERROR(AE110/AE109,""),"")</f>
        <v>0.13415984060217</v>
      </c>
      <c r="AF207" s="215">
        <f>IF(AND(ISNUMBER(AF110),ISNUMBER(AF109)),IFERROR(AF110/AF109,""),"")</f>
        <v>0.161039612234665</v>
      </c>
      <c r="AG207" s="215">
        <f>IF(AND(ISNUMBER(AG110),ISNUMBER(AG109)),IFERROR(AG110/AG109,""),"")</f>
        <v>0.167334290680977</v>
      </c>
      <c r="AH207" s="215">
        <f>IF(AND(ISNUMBER(AH110),ISNUMBER(AH109)),IFERROR(AH110/AH109,""),"")</f>
        <v>0.17614919501712</v>
      </c>
      <c r="AI207" s="215">
        <f>IF(AND(ISNUMBER(AI110),ISNUMBER(AI109)),IFERROR(AI110/AI109,""),"")</f>
        <v>0.165306846399432</v>
      </c>
      <c r="AJ207" s="215">
        <f>IF(AND(ISNUMBER(AJ110),ISNUMBER(AJ109)),IFERROR(AJ110/AJ109,""),"")</f>
        <v>0.167538235610158</v>
      </c>
      <c r="AK207" s="215">
        <f>IF(AND(ISNUMBER(AK110),ISNUMBER(AK109)),IFERROR(AK110/AK109,""),"")</f>
        <v>0.186774557272667</v>
      </c>
      <c r="AL207" s="215">
        <f>IF(AND(ISNUMBER(AL110),ISNUMBER(AL109)),IFERROR(AL110/AL109,""),"")</f>
        <v>0.195842709937226</v>
      </c>
      <c r="AM207" s="215">
        <f>IF(AND(ISNUMBER(AM110),ISNUMBER(AM109)),IFERROR(AM110/AM109,""),"")</f>
        <v>0.17873328801269</v>
      </c>
      <c r="AN207" s="215">
        <f>IF(AND(ISNUMBER(AN110),ISNUMBER(AN109)),IFERROR(AN110/AN109,""),"")</f>
        <v>0.165638933687506</v>
      </c>
      <c r="AO207" s="215">
        <f>IF(AND(ISNUMBER(AO110),ISNUMBER(AO109)),IFERROR(AO110/AO109,""),"")</f>
        <v>0.180630012588936</v>
      </c>
      <c r="AP207" s="215">
        <f>IF(AND(ISNUMBER(AP110),ISNUMBER(AP109)),IFERROR(AP110/AP109,""),"")</f>
        <v>0.195016068106219</v>
      </c>
      <c r="AQ207" s="215">
        <f>IF(AND(ISNUMBER(AQ110),ISNUMBER(AQ109)),IFERROR(AQ110/AQ109,""),"")</f>
        <v>0.204901803392733</v>
      </c>
      <c r="AR207" s="215">
        <f>IF(AND(ISNUMBER(AR110),ISNUMBER(AR109)),IFERROR(AR110/AR109,""),"")</f>
        <v>0.195342338146251</v>
      </c>
      <c r="AS207" s="215">
        <f>IF(AND(ISNUMBER(AS110),ISNUMBER(AS109)),IFERROR(AS110/AS109,""),"")</f>
        <v>0.185594186377885</v>
      </c>
      <c r="AT207" s="215">
        <f>IF(AND(ISNUMBER(AT110),ISNUMBER(AT109)),IFERROR(AT110/AT109,""),"")</f>
        <v>0.194172046763218</v>
      </c>
      <c r="AU207" s="215">
        <f>IF(AND(ISNUMBER(AU110),ISNUMBER(AU109)),IFERROR(AU110/AU109,""),"")</f>
        <v>0.196056703985327</v>
      </c>
      <c r="AV207" s="215">
        <f>IF(AND(ISNUMBER(AV110),ISNUMBER(AV109)),IFERROR(AV110/AV109,""),"")</f>
        <v>0.185679402964542</v>
      </c>
      <c r="AW207" s="215">
        <f>IF(AND(ISNUMBER(AW110),ISNUMBER(AW109)),IFERROR(AW110/AW109,""),"")</f>
        <v>0.198931402964495</v>
      </c>
      <c r="AX207" s="215">
        <f>IF(AND(ISNUMBER(AX110),ISNUMBER(AX109)),IFERROR(AX110/AX109,""),"")</f>
        <v>0.18853018918357</v>
      </c>
      <c r="AY207" s="215">
        <f>IF(AND(ISNUMBER(AY110),ISNUMBER(AY109)),IFERROR(AY110/AY109,""),"")</f>
        <v>0.192056237227484</v>
      </c>
      <c r="AZ207" s="215">
        <f>IF(AND(ISNUMBER(AZ110),ISNUMBER(AZ109)),IFERROR(AZ110/AZ109,""),"")</f>
        <v>0.215171277053175</v>
      </c>
      <c r="BA207" s="215">
        <f>IF(AND(ISNUMBER(BA110),ISNUMBER(BA109)),IFERROR(BA110/BA109,""),"")</f>
        <v>0.180140170702935</v>
      </c>
      <c r="BB207" s="215">
        <f>IF(AND(ISNUMBER(BB110),ISNUMBER(BB109)),IFERROR(BB110/BB109,""),"")</f>
        <v>0.206249548964422</v>
      </c>
      <c r="BC207" s="215">
        <f>IF(AND(ISNUMBER(BC110),ISNUMBER(BC109)),IFERROR(BC110/BC109,""),"")</f>
        <v>0.259163687237681</v>
      </c>
      <c r="BD207" s="215">
        <f>IF(AND(ISNUMBER(BD110),ISNUMBER(BD109)),IFERROR(BD110/BD109,""),"")</f>
        <v>0.216527026215815</v>
      </c>
      <c r="BE207" s="215">
        <f>IF(AND(ISNUMBER(BE110),ISNUMBER(BE109)),IFERROR(BE110/BE109,""),"")</f>
        <v>0.213230930354338</v>
      </c>
      <c r="BF207" s="215">
        <f>IF(AND(ISNUMBER(BF110),ISNUMBER(BF109)),IFERROR(BF110/BF109,""),"")</f>
        <v>0.185787055845495</v>
      </c>
      <c r="BG207" s="215">
        <f>IF(AND(ISNUMBER(BG110),ISNUMBER(BG109)),IFERROR(BG110/BG109,""),"")</f>
        <v>0.181866104375329</v>
      </c>
      <c r="BH207" s="215">
        <f>IF(AND(ISNUMBER(BH110),ISNUMBER(BH109)),IFERROR(BH110/BH109,""),"")</f>
        <v>0.191842636683204</v>
      </c>
      <c r="BI207" s="215">
        <f>IF(AND(ISNUMBER(BI110),ISNUMBER(BI109)),IFERROR(BI110/BI109,""),"")</f>
        <v>0.19242857778239</v>
      </c>
      <c r="BJ207" s="215">
        <f>IF(AND(ISNUMBER(BJ110),ISNUMBER(BJ109)),IFERROR(BJ110/BJ109,""),"")</f>
        <v>0.182142367302153</v>
      </c>
      <c r="BK207" s="215">
        <f>IF(AND(ISNUMBER(BK110),ISNUMBER(BK109)),IFERROR(BK110/BK109,""),"")</f>
        <v>0.187044099204013</v>
      </c>
      <c r="BL207" s="215">
        <f>IF(AND(ISNUMBER(BL110),ISNUMBER(BL109)),IFERROR(BL110/BL109,""),"")</f>
        <v>0.181699475227278</v>
      </c>
      <c r="BM207" s="215">
        <f>IF(AND(ISNUMBER(BM110),ISNUMBER(BM109)),IFERROR(BM110/BM109,""),"")</f>
        <v>0.182680582825256</v>
      </c>
      <c r="BN207" s="215">
        <f>IF(AND(ISNUMBER(BN110),ISNUMBER(BN109)),IFERROR(BN110/BN109,""),"")</f>
        <v>0.18334842949283</v>
      </c>
      <c r="BO207" s="215">
        <f>IF(AND(ISNUMBER(BO110),ISNUMBER(BO109)),IFERROR(BO110/BO109,""),"")</f>
        <v>0.17894786595453</v>
      </c>
      <c r="BP207" s="215">
        <f>IF(AND(ISNUMBER(BP110),ISNUMBER(BP109)),IFERROR(BP110/BP109,""),"")</f>
        <v>0.178697701826753</v>
      </c>
      <c r="BQ207" s="215">
        <f>IF(AND(ISNUMBER(BQ110),ISNUMBER(BQ109)),IFERROR(BQ110/BQ109,""),"")</f>
        <v>0.179657312360954</v>
      </c>
      <c r="BR207" s="215">
        <f>IF(AND(ISNUMBER(BR110),ISNUMBER(BR109)),IFERROR(BR110/BR109,""),"")</f>
        <v>0.182074699881455</v>
      </c>
      <c r="BS207" s="215">
        <f>IF(AND(ISNUMBER(BS110),ISNUMBER(BS109)),IFERROR(BS110/BS109,""),"")</f>
        <v>0.180005573082014</v>
      </c>
      <c r="BT207" s="215">
        <f>IF(AND(ISNUMBER(BT110),ISNUMBER(BT109)),IFERROR(BT110/BT109,""),"")</f>
        <v>0.181456553781677</v>
      </c>
      <c r="BU207" s="215">
        <f>IF(AND(ISNUMBER(BU110),ISNUMBER(BU109)),IFERROR(BU110/BU109,""),"")</f>
        <v>0.186345619315472</v>
      </c>
      <c r="BV207" s="256">
        <f>IF(AND(ISNUMBER(BV110),ISNUMBER(BV109)),IFERROR(BV110/BV109,""),"")</f>
        <v>0.204703134697387</v>
      </c>
      <c r="BW207" s="256">
        <f>IF(AND(ISNUMBER(BW110),ISNUMBER(BW109)),IFERROR(BW110/BW109,""),"")</f>
        <v>0.200638294380335</v>
      </c>
      <c r="BX207" s="256">
        <f>IF(AND(ISNUMBER(BX110),ISNUMBER(BX109)),IFERROR(BX110/BX109,""),"")</f>
        <v>0.193927697982732</v>
      </c>
      <c r="BY207" s="256">
        <f>IF(AND(ISNUMBER(BY110),ISNUMBER(BY109)),IFERROR(BY110/BY109,""),"")</f>
        <v>0.197888117798167</v>
      </c>
      <c r="BZ207" s="256">
        <f>IF(AND(ISNUMBER(BZ110),ISNUMBER(BZ109)),IFERROR(BZ110/BZ109,""),"")</f>
        <v>0.197255202612345</v>
      </c>
      <c r="CA207" s="256">
        <f>IF(AND(ISNUMBER(CA110),ISNUMBER(CA109)),IFERROR(CA110/CA109,""),"")</f>
        <v>0.197710526001727</v>
      </c>
      <c r="CB207" s="256">
        <f>IF(AND(ISNUMBER(CB110),ISNUMBER(CB109)),IFERROR(CB110/CB109,""),"")</f>
        <v>0.19447807004317</v>
      </c>
      <c r="CC207" s="256">
        <f>IF(AND(ISNUMBER(CC110),ISNUMBER(CC109)),IFERROR(CC110/CC109,""),"")</f>
        <v>0.19189865533388</v>
      </c>
      <c r="CD207" s="153" t="n"/>
      <c r="CF207" s="37">
        <f>IFERROR(AVERAGE(BY207,BZ207,CA207,CB207,CC207),"n/m")</f>
        <v>0.195846114357858</v>
      </c>
      <c r="CG207" s="37">
        <f>IFERROR(AVERAGE(AY207,BD207,BI207,BN207,BS207),"n/m")</f>
        <v>0.192873168760107</v>
      </c>
      <c r="CH207" s="37">
        <f>IFERROR(AVERAGE(Z207,AE207,AJ207,AO207,AT207,AY207,BD207,BI207,BN207,BS207),"n/m")</f>
        <v>0.177795983564984</v>
      </c>
      <c r="CI207" s="37">
        <f>IFERROR(AVERAGE(C207,D207,E207,F207,K207,P207,U207,Z207,AE207,AJ207,AO207,AT207,AY207,BD207,BI207,BN207,BS207),"n/m")</f>
        <v>0.199134915959181</v>
      </c>
    </row>
    <row r="208" ht="15" customHeight="1" s="251">
      <c r="B208" s="25" t="inlineStr">
        <is>
          <t xml:space="preserve">  R&amp;D % of revenue</t>
        </is>
      </c>
      <c r="C208" s="215">
        <f>IF(AND(ISNUMBER(C111),ISNUMBER(C109)),IFERROR(C111/C109,""),"")</f>
        <v>0.111969111969112</v>
      </c>
      <c r="D208" s="215">
        <f>IF(AND(ISNUMBER(D111),ISNUMBER(D109)),IFERROR(D111/D109,""),"")</f>
        <v>0.0729483282674772</v>
      </c>
      <c r="E208" s="215">
        <f>IF(AND(ISNUMBER(E111),ISNUMBER(E109)),IFERROR(E111/E109,""),"")</f>
        <v>0.104554028563729</v>
      </c>
      <c r="F208" s="215">
        <f>IF(AND(ISNUMBER(F111),ISNUMBER(F109)),IFERROR(F111/F109,""),"")</f>
        <v>0.274906661426606</v>
      </c>
      <c r="G208" s="215">
        <f>IF(AND(ISNUMBER(G111),ISNUMBER(G109)),IFERROR(G111/G109,""),"")</f>
        <v>0.200960219478738</v>
      </c>
      <c r="H208" s="215">
        <f>IF(AND(ISNUMBER(H111),ISNUMBER(H109)),IFERROR(H111/H109,""),"")</f>
        <v>0.189740761169333</v>
      </c>
      <c r="I208" s="215">
        <f>IF(AND(ISNUMBER(I111),ISNUMBER(I109)),IFERROR(I111/I109,""),"")</f>
        <v>0.183035714285714</v>
      </c>
      <c r="J208" s="215">
        <f>IF(AND(ISNUMBER(J111),ISNUMBER(J109)),IFERROR(J111/J109,""),"")</f>
        <v>0.157833655705996</v>
      </c>
      <c r="K208" s="215">
        <f>IF(AND(ISNUMBER(K111),ISNUMBER(K109)),IFERROR(K111/K109,""),"")</f>
        <v>0.179751016260163</v>
      </c>
      <c r="L208" s="215">
        <f>IF(AND(ISNUMBER(L111),ISNUMBER(L109)),IFERROR(L111/L109,""),"")</f>
        <v>0.18185451638689</v>
      </c>
      <c r="M208" s="215">
        <f>IF(AND(ISNUMBER(M111),ISNUMBER(M109)),IFERROR(M111/M109,""),"")</f>
        <v>0.169072164948454</v>
      </c>
      <c r="N208" s="215">
        <f>IF(AND(ISNUMBER(N111),ISNUMBER(N109)),IFERROR(N111/N109,""),"")</f>
        <v>0.189822041835779</v>
      </c>
      <c r="O208" s="215">
        <f>IF(AND(ISNUMBER(O111),ISNUMBER(O109)),IFERROR(O111/O109,""),"")</f>
        <v>0.288496494417035</v>
      </c>
      <c r="P208" s="215">
        <f>IF(AND(ISNUMBER(P111),ISNUMBER(P109)),IFERROR(P111/P109,""),"")</f>
        <v>0.21386170383443</v>
      </c>
      <c r="Q208" s="215">
        <f>IF(AND(ISNUMBER(Q111),ISNUMBER(Q109)),IFERROR(Q111/Q109,""),"")</f>
        <v>0.299745977984759</v>
      </c>
      <c r="R208" s="215">
        <f>IF(AND(ISNUMBER(R111),ISNUMBER(R109)),IFERROR(R111/R109,""),"")</f>
        <v>0.2894606630381</v>
      </c>
      <c r="S208" s="215">
        <f>IF(AND(ISNUMBER(S111),ISNUMBER(S109)),IFERROR(S111/S109,""),"")</f>
        <v>0.282381692957121</v>
      </c>
      <c r="T208" s="215">
        <f>IF(AND(ISNUMBER(T111),ISNUMBER(T109)),IFERROR(T111/T109,""),"")</f>
        <v>0.224961479198767</v>
      </c>
      <c r="U208" s="215">
        <f>IF(AND(ISNUMBER(U111),ISNUMBER(U109)),IFERROR(U111/U109,""),"")</f>
        <v>0.268630075858992</v>
      </c>
      <c r="V208" s="215">
        <f>IF(AND(ISNUMBER(V111),ISNUMBER(V109)),IFERROR(V111/V109,""),"")</f>
        <v>0.249535488665923</v>
      </c>
      <c r="W208" s="215">
        <f>IF(AND(ISNUMBER(W111),ISNUMBER(W109)),IFERROR(W111/W109,""),"")</f>
        <v>0.227315102548167</v>
      </c>
      <c r="X208" s="215">
        <f>IF(AND(ISNUMBER(X111),ISNUMBER(X109)),IFERROR(X111/X109,""),"")</f>
        <v>0.219512195121951</v>
      </c>
      <c r="Y208" s="215">
        <f>IF(AND(ISNUMBER(Y111),ISNUMBER(Y109)),IFERROR(Y111/Y109,""),"")</f>
        <v>0.177432171642638</v>
      </c>
      <c r="Z208" s="215">
        <f>IF(AND(ISNUMBER(Z111),ISNUMBER(Z109)),IFERROR(Z111/Z109,""),"")</f>
        <v>0.21416166148057</v>
      </c>
      <c r="AA208" s="215">
        <f>IF(AND(ISNUMBER(AA111),ISNUMBER(AA109)),IFERROR(AA111/AA109,""),"")</f>
        <v>0.228336653386454</v>
      </c>
      <c r="AB208" s="215">
        <f>IF(AND(ISNUMBER(AB111),ISNUMBER(AB109)),IFERROR(AB111/AB109,""),"")</f>
        <v>0.205879197510997</v>
      </c>
      <c r="AC208" s="215">
        <f>IF(AND(ISNUMBER(AC111),ISNUMBER(AC109)),IFERROR(AC111/AC109,""),"")</f>
        <v>0.198683191324555</v>
      </c>
      <c r="AD208" s="215">
        <f>IF(AND(ISNUMBER(AD111),ISNUMBER(AD109)),IFERROR(AD111/AD109,""),"")</f>
        <v>0.150246685168054</v>
      </c>
      <c r="AE208" s="215">
        <f>IF(AND(ISNUMBER(AE111),ISNUMBER(AE109)),IFERROR(AE111/AE109,""),"")</f>
        <v>0.19073623102846</v>
      </c>
      <c r="AF208" s="215">
        <f>IF(AND(ISNUMBER(AF111),ISNUMBER(AF109)),IFERROR(AF111/AF109,""),"")</f>
        <v>0.187029918101287</v>
      </c>
      <c r="AG208" s="215">
        <f>IF(AND(ISNUMBER(AG111),ISNUMBER(AG109)),IFERROR(AG111/AG109,""),"")</f>
        <v>0.190688534502305</v>
      </c>
      <c r="AH208" s="215">
        <f>IF(AND(ISNUMBER(AH111),ISNUMBER(AH109)),IFERROR(AH111/AH109,""),"")</f>
        <v>0.193560136956363</v>
      </c>
      <c r="AI208" s="215">
        <f>IF(AND(ISNUMBER(AI111),ISNUMBER(AI109)),IFERROR(AI111/AI109,""),"")</f>
        <v>0.16879508099799</v>
      </c>
      <c r="AJ208" s="215">
        <f>IF(AND(ISNUMBER(AJ111),ISNUMBER(AJ109)),IFERROR(AJ111/AJ109,""),"")</f>
        <v>0.183978652530535</v>
      </c>
      <c r="AK208" s="215">
        <f>IF(AND(ISNUMBER(AK111),ISNUMBER(AK109)),IFERROR(AK111/AK109,""),"")</f>
        <v>0.189692909730052</v>
      </c>
      <c r="AL208" s="215">
        <f>IF(AND(ISNUMBER(AL111),ISNUMBER(AL109)),IFERROR(AL111/AL109,""),"")</f>
        <v>0.196316475186545</v>
      </c>
      <c r="AM208" s="215">
        <f>IF(AND(ISNUMBER(AM111),ISNUMBER(AM109)),IFERROR(AM111/AM109,""),"")</f>
        <v>0.200997054158169</v>
      </c>
      <c r="AN208" s="215">
        <f>IF(AND(ISNUMBER(AN111),ISNUMBER(AN109)),IFERROR(AN111/AN109,""),"")</f>
        <v>0.183900958163362</v>
      </c>
      <c r="AO208" s="215">
        <f>IF(AND(ISNUMBER(AO111),ISNUMBER(AO109)),IFERROR(AO111/AO109,""),"")</f>
        <v>0.192370256163628</v>
      </c>
      <c r="AP208" s="215">
        <f>IF(AND(ISNUMBER(AP111),ISNUMBER(AP109)),IFERROR(AP111/AP109,""),"")</f>
        <v>0.226362970062581</v>
      </c>
      <c r="AQ208" s="215">
        <f>IF(AND(ISNUMBER(AQ111),ISNUMBER(AQ109)),IFERROR(AQ111/AQ109,""),"")</f>
        <v>0.238775619414566</v>
      </c>
      <c r="AR208" s="215">
        <f>IF(AND(ISNUMBER(AR111),ISNUMBER(AR109)),IFERROR(AR111/AR109,""),"")</f>
        <v>0.221844434094085</v>
      </c>
      <c r="AS208" s="215">
        <f>IF(AND(ISNUMBER(AS111),ISNUMBER(AS109)),IFERROR(AS111/AS109,""),"")</f>
        <v>0.185522941008834</v>
      </c>
      <c r="AT208" s="215">
        <f>IF(AND(ISNUMBER(AT111),ISNUMBER(AT109)),IFERROR(AT111/AT109,""),"")</f>
        <v>0.214587332053743</v>
      </c>
      <c r="AU208" s="215">
        <f>IF(AND(ISNUMBER(AU111),ISNUMBER(AU109)),IFERROR(AU111/AU109,""),"")</f>
        <v>0.198578579343548</v>
      </c>
      <c r="AV208" s="215">
        <f>IF(AND(ISNUMBER(AV111),ISNUMBER(AV109)),IFERROR(AV111/AV109,""),"")</f>
        <v>0.209650239020532</v>
      </c>
      <c r="AW208" s="215">
        <f>IF(AND(ISNUMBER(AW111),ISNUMBER(AW109)),IFERROR(AW111/AW109,""),"")</f>
        <v>0.217718028266115</v>
      </c>
      <c r="AX208" s="215">
        <f>IF(AND(ISNUMBER(AX111),ISNUMBER(AX109)),IFERROR(AX111/AX109,""),"")</f>
        <v>0.209260194232426</v>
      </c>
      <c r="AY208" s="215">
        <f>IF(AND(ISNUMBER(AY111),ISNUMBER(AY109)),IFERROR(AY111/AY109,""),"")</f>
        <v>0.209066472199374</v>
      </c>
      <c r="AZ208" s="215">
        <f>IF(AND(ISNUMBER(AZ111),ISNUMBER(AZ109)),IFERROR(AZ111/AZ109,""),"")</f>
        <v>0.276157374229612</v>
      </c>
      <c r="BA208" s="215">
        <f>IF(AND(ISNUMBER(BA111),ISNUMBER(BA109)),IFERROR(BA111/BA109,""),"")</f>
        <v>0.301505794184998</v>
      </c>
      <c r="BB208" s="215">
        <f>IF(AND(ISNUMBER(BB111),ISNUMBER(BB109)),IFERROR(BB111/BB109,""),"")</f>
        <v>0.33087969979072</v>
      </c>
      <c r="BC208" s="215">
        <f>IF(AND(ISNUMBER(BC111),ISNUMBER(BC109)),IFERROR(BC111/BC109,""),"")</f>
        <v>0.303777397792632</v>
      </c>
      <c r="BD208" s="215">
        <f>IF(AND(ISNUMBER(BD111),ISNUMBER(BD109)),IFERROR(BD111/BD109,""),"")</f>
        <v>0.303046934627687</v>
      </c>
      <c r="BE208" s="215">
        <f>IF(AND(ISNUMBER(BE111),ISNUMBER(BE109)),IFERROR(BE111/BE109,""),"")</f>
        <v>0.327491708849712</v>
      </c>
      <c r="BF208" s="215">
        <f>IF(AND(ISNUMBER(BF111),ISNUMBER(BF109)),IFERROR(BF111/BF109,""),"")</f>
        <v>0.292009125285165</v>
      </c>
      <c r="BG208" s="215">
        <f>IF(AND(ISNUMBER(BG111),ISNUMBER(BG109)),IFERROR(BG111/BG109,""),"")</f>
        <v>0.270631992034206</v>
      </c>
      <c r="BH208" s="215">
        <f>IF(AND(ISNUMBER(BH111),ISNUMBER(BH109)),IFERROR(BH111/BH109,""),"")</f>
        <v>0.26219740220887</v>
      </c>
      <c r="BI208" s="215">
        <f>IF(AND(ISNUMBER(BI111),ISNUMBER(BI109)),IFERROR(BI111/BI109,""),"")</f>
        <v>0.285266341492343</v>
      </c>
      <c r="BJ208" s="215">
        <f>IF(AND(ISNUMBER(BJ111),ISNUMBER(BJ109)),IFERROR(BJ111/BJ109,""),"")</f>
        <v>0.273707310382664</v>
      </c>
      <c r="BK208" s="215">
        <f>IF(AND(ISNUMBER(BK111),ISNUMBER(BK109)),IFERROR(BK111/BK109,""),"")</f>
        <v>0.269688515778967</v>
      </c>
      <c r="BL208" s="215">
        <f>IF(AND(ISNUMBER(BL111),ISNUMBER(BL109)),IFERROR(BL111/BL109,""),"")</f>
        <v>0.275370174185124</v>
      </c>
      <c r="BM208" s="215">
        <f>IF(AND(ISNUMBER(BM111),ISNUMBER(BM109)),IFERROR(BM111/BM109,""),"")</f>
        <v>0.251730908339361</v>
      </c>
      <c r="BN208" s="215">
        <f>IF(AND(ISNUMBER(BN111),ISNUMBER(BN109)),IFERROR(BN111/BN109,""),"")</f>
        <v>0.266703545875101</v>
      </c>
      <c r="BO208" s="215">
        <f>IF(AND(ISNUMBER(BO111),ISNUMBER(BO109)),IFERROR(BO111/BO109,""),"")</f>
        <v>0.287139008366025</v>
      </c>
      <c r="BP208" s="215">
        <f>IF(AND(ISNUMBER(BP111),ISNUMBER(BP109)),IFERROR(BP111/BP109,""),"")</f>
        <v>0.272371411734995</v>
      </c>
      <c r="BQ208" s="215">
        <f>IF(AND(ISNUMBER(BQ111),ISNUMBER(BQ109)),IFERROR(BQ111/BQ109,""),"")</f>
        <v>0.295538815815152</v>
      </c>
      <c r="BR208" s="215">
        <f>IF(AND(ISNUMBER(BR111),ISNUMBER(BR109)),IFERROR(BR111/BR109,""),"")</f>
        <v>0.286110229910006</v>
      </c>
      <c r="BS208" s="215">
        <f>IF(AND(ISNUMBER(BS111),ISNUMBER(BS109)),IFERROR(BS111/BS109,""),"")</f>
        <v>0.285481126160644</v>
      </c>
      <c r="BT208" s="215">
        <f>IF(AND(ISNUMBER(BT111),ISNUMBER(BT109)),IFERROR(BT111/BT109,""),"")</f>
        <v>0.314308039281846</v>
      </c>
      <c r="BU208" s="215">
        <f>IF(AND(ISNUMBER(BU111),ISNUMBER(BU109)),IFERROR(BU111/BU109,""),"")</f>
        <v>0.356178352329731</v>
      </c>
      <c r="BV208" s="256">
        <f>IF(AND(ISNUMBER(BV111),ISNUMBER(BV109)),IFERROR(BV111/BV109,""),"")</f>
        <v>0.373867266846838</v>
      </c>
      <c r="BW208" s="256">
        <f>IF(AND(ISNUMBER(BW111),ISNUMBER(BW109)),IFERROR(BW111/BW109,""),"")</f>
        <v>0.3664432928967</v>
      </c>
      <c r="BX208" s="256">
        <f>IF(AND(ISNUMBER(BX111),ISNUMBER(BX109)),IFERROR(BX111/BX109,""),"")</f>
        <v>0.354187142849008</v>
      </c>
      <c r="BY208" s="256">
        <f>IF(AND(ISNUMBER(BY111),ISNUMBER(BY109)),IFERROR(BY111/BY109,""),"")</f>
        <v>0.361420404489831</v>
      </c>
      <c r="BZ208" s="256">
        <f>IF(AND(ISNUMBER(BZ111),ISNUMBER(BZ109)),IFERROR(BZ111/BZ109,""),"")</f>
        <v>0.360264456042734</v>
      </c>
      <c r="CA208" s="256">
        <f>IF(AND(ISNUMBER(CA111),ISNUMBER(CA109)),IFERROR(CA111/CA109,""),"")</f>
        <v>0.36109605303499</v>
      </c>
      <c r="CB208" s="256">
        <f>IF(AND(ISNUMBER(CB111),ISNUMBER(CB109)),IFERROR(CB111/CB109,""),"")</f>
        <v>0.355192335555456</v>
      </c>
      <c r="CC208" s="256">
        <f>IF(AND(ISNUMBER(CC111),ISNUMBER(CC109)),IFERROR(CC111/CC109,""),"")</f>
        <v>0.350481324515725</v>
      </c>
      <c r="CD208" s="153" t="n"/>
      <c r="CF208" s="37">
        <f>IFERROR(AVERAGE(BY208,BZ208,CA208,CB208,CC208),"n/m")</f>
        <v>0.357690914727747</v>
      </c>
      <c r="CG208" s="37">
        <f>IFERROR(AVERAGE(AY208,BD208,BI208,BN208,BS208),"n/m")</f>
        <v>0.26991288407103</v>
      </c>
      <c r="CH208" s="37">
        <f>IFERROR(AVERAGE(Z208,AE208,AJ208,AO208,AT208,AY208,BD208,BI208,BN208,BS208),"n/m")</f>
        <v>0.234539855361209</v>
      </c>
      <c r="CI208" s="37">
        <f>IFERROR(AVERAGE(C208,D208,E208,F208,K208,P208,U208,Z208,AE208,AJ208,AO208,AT208,AY208,BD208,BI208,BN208,BS208),"n/m")</f>
        <v>0.210118792928976</v>
      </c>
    </row>
    <row r="209" ht="15" customHeight="1" s="251">
      <c r="B209" s="25" t="inlineStr">
        <is>
          <t xml:space="preserve">  Marketing &amp; sales % of revenue</t>
        </is>
      </c>
      <c r="C209" s="215">
        <f>IF(AND(ISNUMBER(C112),ISNUMBER(C109)),IFERROR(C112/C109,""),"")</f>
        <v>0.148005148005148</v>
      </c>
      <c r="D209" s="215">
        <f>IF(AND(ISNUMBER(D112),ISNUMBER(D109)),IFERROR(D112/D109,""),"")</f>
        <v>0.0932117527862209</v>
      </c>
      <c r="E209" s="215">
        <f>IF(AND(ISNUMBER(E112),ISNUMBER(E109)),IFERROR(E112/E109,""),"")</f>
        <v>0.115063325249259</v>
      </c>
      <c r="F209" s="215">
        <f>IF(AND(ISNUMBER(F112),ISNUMBER(F109)),IFERROR(F112/F109,""),"")</f>
        <v>0.176066024759285</v>
      </c>
      <c r="G209" s="215">
        <f>IF(AND(ISNUMBER(G112),ISNUMBER(G109)),IFERROR(G112/G109,""),"")</f>
        <v>0.13923182441701</v>
      </c>
      <c r="H209" s="215">
        <f>IF(AND(ISNUMBER(H112),ISNUMBER(H109)),IFERROR(H112/H109,""),"")</f>
        <v>0.148372862658577</v>
      </c>
      <c r="I209" s="215">
        <f>IF(AND(ISNUMBER(I112),ISNUMBER(I109)),IFERROR(I112/I109,""),"")</f>
        <v>0.115575396825397</v>
      </c>
      <c r="J209" s="215">
        <f>IF(AND(ISNUMBER(J112),ISNUMBER(J109)),IFERROR(J112/J109,""),"")</f>
        <v>0.112959381044487</v>
      </c>
      <c r="K209" s="215">
        <f>IF(AND(ISNUMBER(K112),ISNUMBER(K109)),IFERROR(K112/K109,""),"")</f>
        <v>0.126651422764228</v>
      </c>
      <c r="L209" s="215">
        <f>IF(AND(ISNUMBER(L112),ISNUMBER(L109)),IFERROR(L112/L109,""),"")</f>
        <v>0.129096722621902</v>
      </c>
      <c r="M209" s="215">
        <f>IF(AND(ISNUMBER(M112),ISNUMBER(M109)),IFERROR(M112/M109,""),"")</f>
        <v>0.123024054982818</v>
      </c>
      <c r="N209" s="215">
        <f>IF(AND(ISNUMBER(N112),ISNUMBER(N109)),IFERROR(N112/N109,""),"")</f>
        <v>0.116765532313456</v>
      </c>
      <c r="O209" s="215">
        <f>IF(AND(ISNUMBER(O112),ISNUMBER(O109)),IFERROR(O112/O109,""),"")</f>
        <v>0.162035834848091</v>
      </c>
      <c r="P209" s="215">
        <f>IF(AND(ISNUMBER(P112),ISNUMBER(P109)),IFERROR(P112/P109,""),"")</f>
        <v>0.134766565056955</v>
      </c>
      <c r="Q209" s="215">
        <f>IF(AND(ISNUMBER(Q112),ISNUMBER(Q109)),IFERROR(Q112/Q109,""),"")</f>
        <v>0.17499294383291</v>
      </c>
      <c r="R209" s="215">
        <f>IF(AND(ISNUMBER(R112),ISNUMBER(R109)),IFERROR(R112/R109,""),"")</f>
        <v>0.154873824839189</v>
      </c>
      <c r="S209" s="215">
        <f>IF(AND(ISNUMBER(S112),ISNUMBER(S109)),IFERROR(S112/S109,""),"")</f>
        <v>0.156854032437236</v>
      </c>
      <c r="T209" s="215">
        <f>IF(AND(ISNUMBER(T112),ISNUMBER(T109)),IFERROR(T112/T109,""),"")</f>
        <v>0.132169149118302</v>
      </c>
      <c r="U209" s="215">
        <f>IF(AND(ISNUMBER(U112),ISNUMBER(U109)),IFERROR(U112/U109,""),"")</f>
        <v>0.151996876394467</v>
      </c>
      <c r="V209" s="215">
        <f>IF(AND(ISNUMBER(V112),ISNUMBER(V109)),IFERROR(V112/V109,""),"")</f>
        <v>0.153474544778893</v>
      </c>
      <c r="W209" s="215">
        <f>IF(AND(ISNUMBER(W112),ISNUMBER(W109)),IFERROR(W112/W109,""),"")</f>
        <v>0.139683032939714</v>
      </c>
      <c r="X209" s="215">
        <f>IF(AND(ISNUMBER(X112),ISNUMBER(X109)),IFERROR(X112/X109,""),"")</f>
        <v>0.131935529881615</v>
      </c>
      <c r="Y209" s="215">
        <f>IF(AND(ISNUMBER(Y112),ISNUMBER(Y109)),IFERROR(Y112/Y109,""),"")</f>
        <v>0.126915654444318</v>
      </c>
      <c r="Z209" s="215">
        <f>IF(AND(ISNUMBER(Z112),ISNUMBER(Z109)),IFERROR(Z112/Z109,""),"")</f>
        <v>0.136478761125986</v>
      </c>
      <c r="AA209" s="215">
        <f>IF(AND(ISNUMBER(AA112),ISNUMBER(AA109)),IFERROR(AA112/AA109,""),"")</f>
        <v>0.131598605577689</v>
      </c>
      <c r="AB209" s="215">
        <f>IF(AND(ISNUMBER(AB112),ISNUMBER(AB109)),IFERROR(AB112/AB109,""),"")</f>
        <v>0.1205879197511</v>
      </c>
      <c r="AC209" s="215">
        <f>IF(AND(ISNUMBER(AC112),ISNUMBER(AC109)),IFERROR(AC112/AC109,""),"")</f>
        <v>0.113284275755229</v>
      </c>
      <c r="AD209" s="215">
        <f>IF(AND(ISNUMBER(AD112),ISNUMBER(AD109)),IFERROR(AD112/AD109,""),"")</f>
        <v>0.105920444033303</v>
      </c>
      <c r="AE209" s="215">
        <f>IF(AND(ISNUMBER(AE112),ISNUMBER(AE109)),IFERROR(AE112/AE109,""),"")</f>
        <v>0.116227584680097</v>
      </c>
      <c r="AF209" s="215">
        <f>IF(AND(ISNUMBER(AF112),ISNUMBER(AF109)),IFERROR(AF112/AF109,""),"")</f>
        <v>0.133294333946181</v>
      </c>
      <c r="AG209" s="215">
        <f>IF(AND(ISNUMBER(AG112),ISNUMBER(AG109)),IFERROR(AG112/AG109,""),"")</f>
        <v>0.140201043005064</v>
      </c>
      <c r="AH209" s="215">
        <f>IF(AND(ISNUMBER(AH112),ISNUMBER(AH109)),IFERROR(AH112/AH109,""),"")</f>
        <v>0.140453121585197</v>
      </c>
      <c r="AI209" s="215">
        <f>IF(AND(ISNUMBER(AI112),ISNUMBER(AI109)),IFERROR(AI112/AI109,""),"")</f>
        <v>0.145855504315951</v>
      </c>
      <c r="AJ209" s="215">
        <f>IF(AND(ISNUMBER(AJ112),ISNUMBER(AJ109)),IFERROR(AJ112/AJ109,""),"")</f>
        <v>0.14051362871163</v>
      </c>
      <c r="AK209" s="215">
        <f>IF(AND(ISNUMBER(AK112),ISNUMBER(AK109)),IFERROR(AK112/AK109,""),"")</f>
        <v>0.133978908270876</v>
      </c>
      <c r="AL209" s="215">
        <f>IF(AND(ISNUMBER(AL112),ISNUMBER(AL109)),IFERROR(AL112/AL109,""),"")</f>
        <v>0.142958663981997</v>
      </c>
      <c r="AM209" s="215">
        <f>IF(AND(ISNUMBER(AM112),ISNUMBER(AM109)),IFERROR(AM112/AM109,""),"")</f>
        <v>0.136868343530478</v>
      </c>
      <c r="AN209" s="215">
        <f>IF(AND(ISNUMBER(AN112),ISNUMBER(AN109)),IFERROR(AN112/AN109,""),"")</f>
        <v>0.143534768997249</v>
      </c>
      <c r="AO209" s="215">
        <f>IF(AND(ISNUMBER(AO112),ISNUMBER(AO109)),IFERROR(AO112/AO109,""),"")</f>
        <v>0.139694753667058</v>
      </c>
      <c r="AP209" s="215">
        <f>IF(AND(ISNUMBER(AP112),ISNUMBER(AP109)),IFERROR(AP112/AP109,""),"")</f>
        <v>0.15712916502227</v>
      </c>
      <c r="AQ209" s="215">
        <f>IF(AND(ISNUMBER(AQ112),ISNUMBER(AQ109)),IFERROR(AQ112/AQ109,""),"")</f>
        <v>0.151977310429711</v>
      </c>
      <c r="AR209" s="215">
        <f>IF(AND(ISNUMBER(AR112),ISNUMBER(AR109)),IFERROR(AR112/AR109,""),"")</f>
        <v>0.124965067536097</v>
      </c>
      <c r="AS209" s="215">
        <f>IF(AND(ISNUMBER(AS112),ISNUMBER(AS109)),IFERROR(AS112/AS109,""),"")</f>
        <v>0.116842405243659</v>
      </c>
      <c r="AT209" s="215">
        <f>IF(AND(ISNUMBER(AT112),ISNUMBER(AT109)),IFERROR(AT112/AT109,""),"")</f>
        <v>0.134833944046996</v>
      </c>
      <c r="AU209" s="215">
        <f>IF(AND(ISNUMBER(AU112),ISNUMBER(AU109)),IFERROR(AU112/AU109,""),"")</f>
        <v>0.108631691567002</v>
      </c>
      <c r="AV209" s="215">
        <f>IF(AND(ISNUMBER(AV112),ISNUMBER(AV109)),IFERROR(AV112/AV109,""),"")</f>
        <v>0.11208171406954</v>
      </c>
      <c r="AW209" s="215">
        <f>IF(AND(ISNUMBER(AW112),ISNUMBER(AW109)),IFERROR(AW112/AW109,""),"")</f>
        <v>0.122509479489831</v>
      </c>
      <c r="AX209" s="215">
        <f>IF(AND(ISNUMBER(AX112),ISNUMBER(AX109)),IFERROR(AX112/AX109,""),"")</f>
        <v>0.130290160672389</v>
      </c>
      <c r="AY209" s="215">
        <f>IF(AND(ISNUMBER(AY112),ISNUMBER(AY109)),IFERROR(AY112/AY109,""),"")</f>
        <v>0.11908012448168</v>
      </c>
      <c r="AZ209" s="215">
        <f>IF(AND(ISNUMBER(AZ112),ISNUMBER(AZ109)),IFERROR(AZ112/AZ109,""),"")</f>
        <v>0.118675648559553</v>
      </c>
      <c r="BA209" s="215">
        <f>IF(AND(ISNUMBER(BA112),ISNUMBER(BA109)),IFERROR(BA112/BA109,""),"")</f>
        <v>0.12473110818125</v>
      </c>
      <c r="BB209" s="215">
        <f>IF(AND(ISNUMBER(BB112),ISNUMBER(BB109)),IFERROR(BB112/BB109,""),"")</f>
        <v>0.136393158692358</v>
      </c>
      <c r="BC209" s="215">
        <f>IF(AND(ISNUMBER(BC112),ISNUMBER(BC109)),IFERROR(BC112/BC109,""),"")</f>
        <v>0.142204259288046</v>
      </c>
      <c r="BD209" s="215">
        <f>IF(AND(ISNUMBER(BD112),ISNUMBER(BD109)),IFERROR(BD112/BD109,""),"")</f>
        <v>0.130881835878877</v>
      </c>
      <c r="BE209" s="215">
        <f>IF(AND(ISNUMBER(BE112),ISNUMBER(BE109)),IFERROR(BE112/BE109,""),"")</f>
        <v>0.106266364112411</v>
      </c>
      <c r="BF209" s="215">
        <f>IF(AND(ISNUMBER(BF112),ISNUMBER(BF109)),IFERROR(BF112/BF109,""),"")</f>
        <v>0.0985655801743805</v>
      </c>
      <c r="BG209" s="215">
        <f>IF(AND(ISNUMBER(BG112),ISNUMBER(BG109)),IFERROR(BG112/BG109,""),"")</f>
        <v>0.0842558425584256</v>
      </c>
      <c r="BH209" s="215">
        <f>IF(AND(ISNUMBER(BH112),ISNUMBER(BH109)),IFERROR(BH112/BH109,""),"")</f>
        <v>0.0804268155867468</v>
      </c>
      <c r="BI209" s="215">
        <f>IF(AND(ISNUMBER(BI112),ISNUMBER(BI109)),IFERROR(BI112/BI109,""),"")</f>
        <v>0.0911847118649093</v>
      </c>
      <c r="BJ209" s="215">
        <f>IF(AND(ISNUMBER(BJ112),ISNUMBER(BJ109)),IFERROR(BJ112/BJ109,""),"")</f>
        <v>0.0703332876148677</v>
      </c>
      <c r="BK209" s="215">
        <f>IF(AND(ISNUMBER(BK112),ISNUMBER(BK109)),IFERROR(BK112/BK109,""),"")</f>
        <v>0.0696424458037931</v>
      </c>
      <c r="BL209" s="215">
        <f>IF(AND(ISNUMBER(BL112),ISNUMBER(BL109)),IFERROR(BL112/BL109,""),"")</f>
        <v>0.0695262263174752</v>
      </c>
      <c r="BM209" s="215">
        <f>IF(AND(ISNUMBER(BM112),ISNUMBER(BM109)),IFERROR(BM112/BM109,""),"")</f>
        <v>0.0669629017257414</v>
      </c>
      <c r="BN209" s="215">
        <f>IF(AND(ISNUMBER(BN112),ISNUMBER(BN109)),IFERROR(BN112/BN109,""),"")</f>
        <v>0.0689783040832579</v>
      </c>
      <c r="BO209" s="215">
        <f>IF(AND(ISNUMBER(BO112),ISNUMBER(BO109)),IFERROR(BO112/BO109,""),"")</f>
        <v>0.0651557404168833</v>
      </c>
      <c r="BP209" s="215">
        <f>IF(AND(ISNUMBER(BP112),ISNUMBER(BP109)),IFERROR(BP112/BP109,""),"")</f>
        <v>0.0626946712686253</v>
      </c>
      <c r="BQ209" s="215">
        <f>IF(AND(ISNUMBER(BQ112),ISNUMBER(BQ109)),IFERROR(BQ112/BQ109,""),"")</f>
        <v>0.0555208617930604</v>
      </c>
      <c r="BR209" s="215">
        <f>IF(AND(ISNUMBER(BR112),ISNUMBER(BR109)),IFERROR(BR112/BR109,""),"")</f>
        <v>0.056934867179804</v>
      </c>
      <c r="BS209" s="215">
        <f>IF(AND(ISNUMBER(BS112),ISNUMBER(BS109)),IFERROR(BS112/BS109,""),"")</f>
        <v>0.0596668093110277</v>
      </c>
      <c r="BT209" s="215">
        <f>IF(AND(ISNUMBER(BT112),ISNUMBER(BT109)),IFERROR(BT112/BT109,""),"")</f>
        <v>0.0516417751416242</v>
      </c>
      <c r="BU209" s="215">
        <f>IF(AND(ISNUMBER(BU112),ISNUMBER(BU109)),IFERROR(BU112/BU109,""),"")</f>
        <v>0.0564299929277479</v>
      </c>
      <c r="BV209" s="256">
        <f>IF(AND(ISNUMBER(BV112),ISNUMBER(BV109)),IFERROR(BV112/BV109,""),"")</f>
        <v>0.0602196570840327</v>
      </c>
      <c r="BW209" s="256">
        <f>IF(AND(ISNUMBER(BW112),ISNUMBER(BW109)),IFERROR(BW112/BW109,""),"")</f>
        <v>0.0590238605938808</v>
      </c>
      <c r="BX209" s="256">
        <f>IF(AND(ISNUMBER(BX112),ISNUMBER(BX109)),IFERROR(BX112/BX109,""),"")</f>
        <v>0.0570497344306914</v>
      </c>
      <c r="BY209" s="256">
        <f>IF(AND(ISNUMBER(BY112),ISNUMBER(BY109)),IFERROR(BY112/BY109,""),"")</f>
        <v>0.0582148124523196</v>
      </c>
      <c r="BZ209" s="256">
        <f>IF(AND(ISNUMBER(BZ112),ISNUMBER(BZ109)),IFERROR(BZ112/BZ109,""),"")</f>
        <v>0.0580286211880292</v>
      </c>
      <c r="CA209" s="256">
        <f>IF(AND(ISNUMBER(CA112),ISNUMBER(CA109)),IFERROR(CA112/CA109,""),"")</f>
        <v>0.0581625684205007</v>
      </c>
      <c r="CB209" s="256">
        <f>IF(AND(ISNUMBER(CB112),ISNUMBER(CB109)),IFERROR(CB112/CB109,""),"")</f>
        <v>0.0572116431225013</v>
      </c>
      <c r="CC209" s="256">
        <f>IF(AND(ISNUMBER(CC112),ISNUMBER(CC109)),IFERROR(CC112/CC109,""),"")</f>
        <v>0.0564528297828784</v>
      </c>
      <c r="CD209" s="153" t="n"/>
      <c r="CF209" s="37">
        <f>IFERROR(AVERAGE(BY209,BZ209,CA209,CB209,CC209),"n/m")</f>
        <v>0.0576140949932458</v>
      </c>
      <c r="CG209" s="37">
        <f>IFERROR(AVERAGE(AY209,BD209,BI209,BN209,BS209),"n/m")</f>
        <v>0.0939583571239504</v>
      </c>
      <c r="CH209" s="37">
        <f>IFERROR(AVERAGE(Z209,AE209,AJ209,AO209,AT209,AY209,BD209,BI209,BN209,BS209),"n/m")</f>
        <v>0.113754045785152</v>
      </c>
      <c r="CI209" s="37">
        <f>IFERROR(AVERAGE(C209,D209,E209,F209,K209,P209,U209,Z209,AE209,AJ209,AO209,AT209,AY209,BD209,BI209,BN209,BS209),"n/m")</f>
        <v>0.122547151345122</v>
      </c>
    </row>
    <row r="210" ht="15" customHeight="1" s="251">
      <c r="B210" s="25" t="inlineStr">
        <is>
          <t xml:space="preserve">  G&amp;A % of revenue</t>
        </is>
      </c>
      <c r="C210" s="215">
        <f>IF(AND(ISNUMBER(C113),ISNUMBER(C109)),IFERROR(C113/C109,""),"")</f>
        <v>0.115830115830116</v>
      </c>
      <c r="D210" s="215">
        <f>IF(AND(ISNUMBER(D113),ISNUMBER(D109)),IFERROR(D113/D109,""),"")</f>
        <v>0.0612968591691996</v>
      </c>
      <c r="E210" s="215">
        <f>IF(AND(ISNUMBER(E113),ISNUMBER(E109)),IFERROR(E113/E109,""),"")</f>
        <v>0.0754513608191862</v>
      </c>
      <c r="F210" s="215">
        <f>IF(AND(ISNUMBER(F113),ISNUMBER(F109)),IFERROR(F113/F109,""),"")</f>
        <v>0.175280015720181</v>
      </c>
      <c r="G210" s="215">
        <f>IF(AND(ISNUMBER(G113),ISNUMBER(G109)),IFERROR(G113/G109,""),"")</f>
        <v>0.120713305898491</v>
      </c>
      <c r="H210" s="215">
        <f>IF(AND(ISNUMBER(H113),ISNUMBER(H109)),IFERROR(H113/H109,""),"")</f>
        <v>0.0954219525648097</v>
      </c>
      <c r="I210" s="215">
        <f>IF(AND(ISNUMBER(I113),ISNUMBER(I109)),IFERROR(I113/I109,""),"")</f>
        <v>0.0848214285714286</v>
      </c>
      <c r="J210" s="215">
        <f>IF(AND(ISNUMBER(J113),ISNUMBER(J109)),IFERROR(J113/J109,""),"")</f>
        <v>0.100967117988395</v>
      </c>
      <c r="K210" s="215">
        <f>IF(AND(ISNUMBER(K113),ISNUMBER(K109)),IFERROR(K113/K109,""),"")</f>
        <v>0.0992123983739837</v>
      </c>
      <c r="L210" s="215">
        <f>IF(AND(ISNUMBER(L113),ISNUMBER(L109)),IFERROR(L113/L109,""),"")</f>
        <v>0.074740207833733</v>
      </c>
      <c r="M210" s="215">
        <f>IF(AND(ISNUMBER(M113),ISNUMBER(M109)),IFERROR(M113/M109,""),"")</f>
        <v>0.0676975945017182</v>
      </c>
      <c r="N210" s="215">
        <f>IF(AND(ISNUMBER(N113),ISNUMBER(N109)),IFERROR(N113/N109,""),"")</f>
        <v>0.0808616921635966</v>
      </c>
      <c r="O210" s="215">
        <f>IF(AND(ISNUMBER(O113),ISNUMBER(O109)),IFERROR(O113/O109,""),"")</f>
        <v>0.0856920280446637</v>
      </c>
      <c r="P210" s="215">
        <f>IF(AND(ISNUMBER(P113),ISNUMBER(P109)),IFERROR(P113/P109,""),"")</f>
        <v>0.0780523022621531</v>
      </c>
      <c r="Q210" s="215">
        <f>IF(AND(ISNUMBER(Q113),ISNUMBER(Q109)),IFERROR(Q113/Q109,""),"")</f>
        <v>0.0773355913068022</v>
      </c>
      <c r="R210" s="215">
        <f>IF(AND(ISNUMBER(R113),ISNUMBER(R109)),IFERROR(R113/R109,""),"")</f>
        <v>0.0754576942107867</v>
      </c>
      <c r="S210" s="215">
        <f>IF(AND(ISNUMBER(S113),ISNUMBER(S109)),IFERROR(S113/S109,""),"")</f>
        <v>0.0766496334147967</v>
      </c>
      <c r="T210" s="215">
        <f>IF(AND(ISNUMBER(T113),ISNUMBER(T109)),IFERROR(T113/T109,""),"")</f>
        <v>0.0635165211436398</v>
      </c>
      <c r="U210" s="215">
        <f>IF(AND(ISNUMBER(U113),ISNUMBER(U109)),IFERROR(U113/U109,""),"")</f>
        <v>0.0722333779562695</v>
      </c>
      <c r="V210" s="215">
        <f>IF(AND(ISNUMBER(V113),ISNUMBER(V109)),IFERROR(V113/V109,""),"")</f>
        <v>0.0680044593088071</v>
      </c>
      <c r="W210" s="215">
        <f>IF(AND(ISNUMBER(W113),ISNUMBER(W109)),IFERROR(W113/W109,""),"")</f>
        <v>0.0640149160969546</v>
      </c>
      <c r="X210" s="215">
        <f>IF(AND(ISNUMBER(X113),ISNUMBER(X109)),IFERROR(X113/X109,""),"")</f>
        <v>0.0624732563115105</v>
      </c>
      <c r="Y210" s="215">
        <f>IF(AND(ISNUMBER(Y113),ISNUMBER(Y109)),IFERROR(Y113/Y109,""),"")</f>
        <v>0.0584629356340107</v>
      </c>
      <c r="Z210" s="215">
        <f>IF(AND(ISNUMBER(Z113),ISNUMBER(Z109)),IFERROR(Z113/Z109,""),"")</f>
        <v>0.0626311599971054</v>
      </c>
      <c r="AA210" s="215">
        <f>IF(AND(ISNUMBER(AA113),ISNUMBER(AA109)),IFERROR(AA113/AA109,""),"")</f>
        <v>0.0815488047808765</v>
      </c>
      <c r="AB210" s="215">
        <f>IF(AND(ISNUMBER(AB113),ISNUMBER(AB109)),IFERROR(AB113/AB109,""),"")</f>
        <v>0.0686621607123699</v>
      </c>
      <c r="AC210" s="215">
        <f>IF(AND(ISNUMBER(AC113),ISNUMBER(AC109)),IFERROR(AC113/AC109,""),"")</f>
        <v>0.0518977536793184</v>
      </c>
      <c r="AD210" s="215">
        <f>IF(AND(ISNUMBER(AD113),ISNUMBER(AD109)),IFERROR(AD113/AD109,""),"")</f>
        <v>0.0528831329016343</v>
      </c>
      <c r="AE210" s="215">
        <f>IF(AND(ISNUMBER(AE113),ISNUMBER(AE109)),IFERROR(AE113/AE109,""),"")</f>
        <v>0.0619142498708582</v>
      </c>
      <c r="AF210" s="215">
        <f>IF(AND(ISNUMBER(AF113),ISNUMBER(AF109)),IFERROR(AF113/AF109,""),"")</f>
        <v>0.0632625773023567</v>
      </c>
      <c r="AG210" s="215">
        <f>IF(AND(ISNUMBER(AG113),ISNUMBER(AG109)),IFERROR(AG113/AG109,""),"")</f>
        <v>0.0586501398231426</v>
      </c>
      <c r="AH210" s="215">
        <f>IF(AND(ISNUMBER(AH113),ISNUMBER(AH109)),IFERROR(AH113/AH109,""),"")</f>
        <v>0.0686967290740876</v>
      </c>
      <c r="AI210" s="215">
        <f>IF(AND(ISNUMBER(AI113),ISNUMBER(AI109)),IFERROR(AI113/AI109,""),"")</f>
        <v>0.0577036774269836</v>
      </c>
      <c r="AJ210" s="215">
        <f>IF(AND(ISNUMBER(AJ113),ISNUMBER(AJ109)),IFERROR(AJ113/AJ109,""),"")</f>
        <v>0.0618037895340091</v>
      </c>
      <c r="AK210" s="215">
        <f>IF(AND(ISNUMBER(AK113),ISNUMBER(AK109)),IFERROR(AK113/AK109,""),"")</f>
        <v>0.269549645154872</v>
      </c>
      <c r="AL210" s="215">
        <f>IF(AND(ISNUMBER(AL113),ISNUMBER(AL109)),IFERROR(AL113/AL109,""),"")</f>
        <v>0.190927395475542</v>
      </c>
      <c r="AM210" s="215">
        <f>IF(AND(ISNUMBER(AM113),ISNUMBER(AM109)),IFERROR(AM113/AM109,""),"")</f>
        <v>0.0763652843870383</v>
      </c>
      <c r="AN210" s="215">
        <f>IF(AND(ISNUMBER(AN113),ISNUMBER(AN109)),IFERROR(AN113/AN109,""),"")</f>
        <v>0.0867564747177687</v>
      </c>
      <c r="AO210" s="215">
        <f>IF(AND(ISNUMBER(AO113),ISNUMBER(AO109)),IFERROR(AO113/AO109,""),"")</f>
        <v>0.148026083143556</v>
      </c>
      <c r="AP210" s="215">
        <f>IF(AND(ISNUMBER(AP113),ISNUMBER(AP109)),IFERROR(AP113/AP109,""),"")</f>
        <v>0.0892484636635282</v>
      </c>
      <c r="AQ210" s="215">
        <f>IF(AND(ISNUMBER(AQ113),ISNUMBER(AQ109)),IFERROR(AQ113/AQ109,""),"")</f>
        <v>0.0852464279980735</v>
      </c>
      <c r="AR210" s="215">
        <f>IF(AND(ISNUMBER(AR113),ISNUMBER(AR109)),IFERROR(AR113/AR109,""),"")</f>
        <v>0.0833721471821146</v>
      </c>
      <c r="AS210" s="215">
        <f>IF(AND(ISNUMBER(AS113),ISNUMBER(AS109)),IFERROR(AS113/AS109,""),"")</f>
        <v>0.0569606725562838</v>
      </c>
      <c r="AT210" s="215">
        <f>IF(AND(ISNUMBER(AT113),ISNUMBER(AT109)),IFERROR(AT113/AT109,""),"")</f>
        <v>0.0763566567789217</v>
      </c>
      <c r="AU210" s="215">
        <f>IF(AND(ISNUMBER(AU113),ISNUMBER(AU109)),IFERROR(AU113/AU109,""),"")</f>
        <v>0.0619769974399144</v>
      </c>
      <c r="AV210" s="215">
        <f>IF(AND(ISNUMBER(AV113),ISNUMBER(AV109)),IFERROR(AV113/AV109,""),"")</f>
        <v>0.067269663307769</v>
      </c>
      <c r="AW210" s="215">
        <f>IF(AND(ISNUMBER(AW113),ISNUMBER(AW109)),IFERROR(AW113/AW109,""),"")</f>
        <v>0.101551189245088</v>
      </c>
      <c r="AX210" s="215">
        <f>IF(AND(ISNUMBER(AX113),ISNUMBER(AX109)),IFERROR(AX113/AX109,""),"")</f>
        <v>0.0981556829318999</v>
      </c>
      <c r="AY210" s="215">
        <f>IF(AND(ISNUMBER(AY113),ISNUMBER(AY109)),IFERROR(AY113/AY109,""),"")</f>
        <v>0.0833467594908801</v>
      </c>
      <c r="AZ210" s="215">
        <f>IF(AND(ISNUMBER(AZ113),ISNUMBER(AZ109)),IFERROR(AZ113/AZ109,""),"")</f>
        <v>0.0845635660025799</v>
      </c>
      <c r="BA210" s="215">
        <f>IF(AND(ISNUMBER(BA113),ISNUMBER(BA109)),IFERROR(BA113/BA109,""),"")</f>
        <v>0.103636111303865</v>
      </c>
      <c r="BB210" s="215">
        <f>IF(AND(ISNUMBER(BB113),ISNUMBER(BB109)),IFERROR(BB113/BB109,""),"")</f>
        <v>0.122104351591254</v>
      </c>
      <c r="BC210" s="215">
        <f>IF(AND(ISNUMBER(BC113),ISNUMBER(BC109)),IFERROR(BC113/BC109,""),"")</f>
        <v>0.0959117052697031</v>
      </c>
      <c r="BD210" s="215">
        <f>IF(AND(ISNUMBER(BD113),ISNUMBER(BD109)),IFERROR(BD113/BD109,""),"")</f>
        <v>0.101330086013944</v>
      </c>
      <c r="BE210" s="215">
        <f>IF(AND(ISNUMBER(BE113),ISNUMBER(BE109)),IFERROR(BE113/BE109,""),"")</f>
        <v>0.100715657182754</v>
      </c>
      <c r="BF210" s="215">
        <f>IF(AND(ISNUMBER(BF113),ISNUMBER(BF109)),IFERROR(BF113/BF109,""),"")</f>
        <v>0.130129066533329</v>
      </c>
      <c r="BG210" s="215">
        <f>IF(AND(ISNUMBER(BG113),ISNUMBER(BG109)),IFERROR(BG113/BG109,""),"")</f>
        <v>0.0606220347917765</v>
      </c>
      <c r="BH210" s="215">
        <f>IF(AND(ISNUMBER(BH113),ISNUMBER(BH109)),IFERROR(BH113/BH109,""),"")</f>
        <v>0.0570666400737952</v>
      </c>
      <c r="BI210" s="215">
        <f>IF(AND(ISNUMBER(BI113),ISNUMBER(BI109)),IFERROR(BI113/BI109,""),"")</f>
        <v>0.0845650916961943</v>
      </c>
      <c r="BJ210" s="215">
        <f>IF(AND(ISNUMBER(BJ113),ISNUMBER(BJ109)),IFERROR(BJ113/BJ109,""),"")</f>
        <v>0.0947743793718283</v>
      </c>
      <c r="BK210" s="215">
        <f>IF(AND(ISNUMBER(BK113),ISNUMBER(BK109)),IFERROR(BK113/BK109,""),"")</f>
        <v>0.0936244273246142</v>
      </c>
      <c r="BL210" s="215">
        <f>IF(AND(ISNUMBER(BL113),ISNUMBER(BL109)),IFERROR(BL113/BL109,""),"")</f>
        <v>0.0459484096676439</v>
      </c>
      <c r="BM210" s="215">
        <f>IF(AND(ISNUMBER(BM113),ISNUMBER(BM109)),IFERROR(BM113/BM109,""),"")</f>
        <v>0.0157280148806448</v>
      </c>
      <c r="BN210" s="215">
        <f>IF(AND(ISNUMBER(BN113),ISNUMBER(BN109)),IFERROR(BN113/BN109,""),"")</f>
        <v>0.0592093665084103</v>
      </c>
      <c r="BO210" s="215">
        <f>IF(AND(ISNUMBER(BO113),ISNUMBER(BO109)),IFERROR(BO113/BO109,""),"")</f>
        <v>0.0538828756439949</v>
      </c>
      <c r="BP210" s="215">
        <f>IF(AND(ISNUMBER(BP113),ISNUMBER(BP109)),IFERROR(BP113/BP109,""),"")</f>
        <v>0.0560442798215338</v>
      </c>
      <c r="BQ210" s="215">
        <f>IF(AND(ISNUMBER(BQ113),ISNUMBER(BQ109)),IFERROR(BQ113/BQ109,""),"")</f>
        <v>0.068537527809219</v>
      </c>
      <c r="BR210" s="215">
        <f>IF(AND(ISNUMBER(BR113),ISNUMBER(BR109)),IFERROR(BR113/BR109,""),"")</f>
        <v>0.0617267460304209</v>
      </c>
      <c r="BS210" s="215">
        <f>IF(AND(ISNUMBER(BS113),ISNUMBER(BS109)),IFERROR(BS113/BS109,""),"")</f>
        <v>0.060467939850522</v>
      </c>
      <c r="BT210" s="215">
        <f>IF(AND(ISNUMBER(BT113),ISNUMBER(BT109)),IFERROR(BT113/BT109,""),"")</f>
        <v>0.0464207703645824</v>
      </c>
      <c r="BU210" s="215">
        <f>IF(AND(ISNUMBER(BU113),ISNUMBER(BU109)),IFERROR(BU113/BU109,""),"")</f>
        <v>0.0922517721747998</v>
      </c>
      <c r="BV210" s="256">
        <f>IF(AND(ISNUMBER(BV113),ISNUMBER(BV109)),IFERROR(BV113/BV109,""),"")</f>
        <v>0.0441078826062729</v>
      </c>
      <c r="BW210" s="256">
        <f>IF(AND(ISNUMBER(BW113),ISNUMBER(BW109)),IFERROR(BW113/BW109,""),"")</f>
        <v>0.0432320215708138</v>
      </c>
      <c r="BX210" s="256">
        <f>IF(AND(ISNUMBER(BX113),ISNUMBER(BX109)),IFERROR(BX113/BX109,""),"")</f>
        <v>0.0559586548531132</v>
      </c>
      <c r="BY210" s="256">
        <f>IF(AND(ISNUMBER(BY113),ISNUMBER(BY109)),IFERROR(BY113/BY109,""),"")</f>
        <v>0.0426394343297239</v>
      </c>
      <c r="BZ210" s="256">
        <f>IF(AND(ISNUMBER(BZ113),ISNUMBER(BZ109)),IFERROR(BZ113/BZ109,""),"")</f>
        <v>0.0425030585543492</v>
      </c>
      <c r="CA210" s="256">
        <f>IF(AND(ISNUMBER(CA113),ISNUMBER(CA109)),IFERROR(CA113/CA109,""),"")</f>
        <v>0.0426011681931511</v>
      </c>
      <c r="CB210" s="256">
        <f>IF(AND(ISNUMBER(CB113),ISNUMBER(CB109)),IFERROR(CB113/CB109,""),"")</f>
        <v>0.0419046630411379</v>
      </c>
      <c r="CC210" s="256">
        <f>IF(AND(ISNUMBER(CC113),ISNUMBER(CC109)),IFERROR(CC113/CC109,""),"")</f>
        <v>0.0413488702763692</v>
      </c>
      <c r="CD210" s="153" t="n"/>
      <c r="CF210" s="37">
        <f>IFERROR(AVERAGE(BY210,BZ210,CA210,CB210,CC210),"n/m")</f>
        <v>0.0421994388789463</v>
      </c>
      <c r="CG210" s="37">
        <f>IFERROR(AVERAGE(AY210,BD210,BI210,BN210,BS210),"n/m")</f>
        <v>0.0777838487119901</v>
      </c>
      <c r="CH210" s="37">
        <f>IFERROR(AVERAGE(Z210,AE210,AJ210,AO210,AT210,AY210,BD210,BI210,BN210,BS210),"n/m")</f>
        <v>0.0799651182884401</v>
      </c>
      <c r="CI210" s="37">
        <f>IFERROR(AVERAGE(C210,D210,E210,F210,K210,P210,U210,Z210,AE210,AJ210,AO210,AT210,AY210,BD210,BI210,BN210,BS210),"n/m")</f>
        <v>0.0868828007656171</v>
      </c>
    </row>
    <row r="211" ht="15" customHeight="1" s="251">
      <c r="B211" s="25" t="inlineStr">
        <is>
          <t xml:space="preserve">  Adjusted operating margin (current definition) %</t>
        </is>
      </c>
      <c r="C211" s="215">
        <f>IF(AND(ISNUMBER(C154),ISNUMBER(C109)),IFERROR(C154/C109,""),"")</f>
        <v>0.337194337194337</v>
      </c>
      <c r="D211" s="215">
        <f>IF(AND(ISNUMBER(D154),ISNUMBER(D109)),IFERROR(D154/D109,""),"")</f>
        <v>0.522796352583587</v>
      </c>
      <c r="E211" s="215">
        <f>IF(AND(ISNUMBER(E154),ISNUMBER(E109)),IFERROR(E154/E109,""),"")</f>
        <v>0.473187819994611</v>
      </c>
      <c r="F211" s="215">
        <f>IF(AND(ISNUMBER(F154),ISNUMBER(F109)),IFERROR(F154/F109,""),"")</f>
        <v>0.105718215759481</v>
      </c>
      <c r="G211" s="215">
        <f>IF(AND(ISNUMBER(G154),ISNUMBER(G109)),IFERROR(G154/G109,""),"")</f>
        <v>0.255829903978052</v>
      </c>
      <c r="H211" s="215">
        <f>IF(AND(ISNUMBER(H154),ISNUMBER(H109)),IFERROR(H154/H109,""),"")</f>
        <v>0.309983452840596</v>
      </c>
      <c r="I211" s="215">
        <f>IF(AND(ISNUMBER(I154),ISNUMBER(I109)),IFERROR(I154/I109,""),"")</f>
        <v>0.365079365079365</v>
      </c>
      <c r="J211" s="215">
        <f>IF(AND(ISNUMBER(J154),ISNUMBER(J109)),IFERROR(J154/J109,""),"")</f>
        <v>0.438297872340426</v>
      </c>
      <c r="K211" s="215">
        <f>IF(AND(ISNUMBER(K154),ISNUMBER(K109)),IFERROR(K154/K109,""),"")</f>
        <v>0.35619918699187</v>
      </c>
      <c r="L211" s="215">
        <f>IF(AND(ISNUMBER(L154),ISNUMBER(L109)),IFERROR(L154/L109,""),"")</f>
        <v>0.429656274980016</v>
      </c>
      <c r="M211" s="215">
        <f>IF(AND(ISNUMBER(M154),ISNUMBER(M109)),IFERROR(M154/M109,""),"")</f>
        <v>0.47766323024055</v>
      </c>
      <c r="N211" s="215">
        <f>IF(AND(ISNUMBER(N154),ISNUMBER(N109)),IFERROR(N154/N109,""),"")</f>
        <v>0.43615360599438</v>
      </c>
      <c r="O211" s="215">
        <f>IF(AND(ISNUMBER(O154),ISNUMBER(O109)),IFERROR(O154/O109,""),"")</f>
        <v>0.294209296286679</v>
      </c>
      <c r="P211" s="215">
        <f>IF(AND(ISNUMBER(P154),ISNUMBER(P109)),IFERROR(P154/P109,""),"")</f>
        <v>0.400609658270496</v>
      </c>
      <c r="Q211" s="215">
        <f>IF(AND(ISNUMBER(Q154),ISNUMBER(Q109)),IFERROR(Q154/Q109,""),"")</f>
        <v>0.263336155800169</v>
      </c>
      <c r="R211" s="215">
        <f>IF(AND(ISNUMBER(R154),ISNUMBER(R109)),IFERROR(R154/R109,""),"")</f>
        <v>0.314943097476497</v>
      </c>
      <c r="S211" s="215">
        <f>IF(AND(ISNUMBER(S154),ISNUMBER(S109)),IFERROR(S154/S109,""),"")</f>
        <v>0.324150188846923</v>
      </c>
      <c r="T211" s="215">
        <f>IF(AND(ISNUMBER(T154),ISNUMBER(T109)),IFERROR(T154/T109,""),"")</f>
        <v>0.438281116247218</v>
      </c>
      <c r="U211" s="215">
        <f>IF(AND(ISNUMBER(U154),ISNUMBER(U109)),IFERROR(U154/U109,""),"")</f>
        <v>0.347222222222222</v>
      </c>
      <c r="V211" s="215">
        <f>IF(AND(ISNUMBER(V154),ISNUMBER(V109)),IFERROR(V154/V109,""),"")</f>
        <v>0.373281308063917</v>
      </c>
      <c r="W211" s="215">
        <f>IF(AND(ISNUMBER(W154),ISNUMBER(W109)),IFERROR(W154/W109,""),"")</f>
        <v>0.426662523306402</v>
      </c>
      <c r="X211" s="215">
        <f>IF(AND(ISNUMBER(X154),ISNUMBER(X109)),IFERROR(X154/X109,""),"")</f>
        <v>0.445300242476109</v>
      </c>
      <c r="Y211" s="215">
        <f>IF(AND(ISNUMBER(Y154),ISNUMBER(Y109)),IFERROR(Y154/Y109,""),"")</f>
        <v>0.518333522533772</v>
      </c>
      <c r="Z211" s="215">
        <f>IF(AND(ISNUMBER(Z154),ISNUMBER(Z109)),IFERROR(Z154/Z109,""),"")</f>
        <v>0.449634561111513</v>
      </c>
      <c r="AA211" s="215">
        <f>IF(AND(ISNUMBER(AA154),ISNUMBER(AA109)),IFERROR(AA154/AA109,""),"")</f>
        <v>0.41421812749004</v>
      </c>
      <c r="AB211" s="215">
        <f>IF(AND(ISNUMBER(AB154),ISNUMBER(AB109)),IFERROR(AB154/AB109,""),"")</f>
        <v>0.472159639523656</v>
      </c>
      <c r="AC211" s="215">
        <f>IF(AND(ISNUMBER(AC154),ISNUMBER(AC109)),IFERROR(AC154/AC109,""),"")</f>
        <v>0.495933384972889</v>
      </c>
      <c r="AD211" s="215">
        <f>IF(AND(ISNUMBER(AD154),ISNUMBER(AD109)),IFERROR(AD154/AD109,""),"")</f>
        <v>0.566759173604687</v>
      </c>
      <c r="AE211" s="215">
        <f>IF(AND(ISNUMBER(AE154),ISNUMBER(AE109)),IFERROR(AE154/AE109,""),"")</f>
        <v>0.496962093818414</v>
      </c>
      <c r="AF211" s="215">
        <f>IF(AND(ISNUMBER(AF154),ISNUMBER(AF109)),IFERROR(AF154/AF109,""),"")</f>
        <v>0.455373558415511</v>
      </c>
      <c r="AG211" s="215">
        <f>IF(AND(ISNUMBER(AG154),ISNUMBER(AG109)),IFERROR(AG154/AG109,""),"")</f>
        <v>0.443125991988512</v>
      </c>
      <c r="AH211" s="215">
        <f>IF(AND(ISNUMBER(AH154),ISNUMBER(AH109)),IFERROR(AH154/AH109,""),"")</f>
        <v>0.421140817367232</v>
      </c>
      <c r="AI211" s="215">
        <f>IF(AND(ISNUMBER(AI154),ISNUMBER(AI109)),IFERROR(AI154/AI109,""),"")</f>
        <v>0.462338890859643</v>
      </c>
      <c r="AJ211" s="215">
        <f>IF(AND(ISNUMBER(AJ154),ISNUMBER(AJ109)),IFERROR(AJ154/AJ109,""),"")</f>
        <v>0.446165693613668</v>
      </c>
      <c r="AK211" s="215">
        <f>IF(AND(ISNUMBER(AK154),ISNUMBER(AK109)),IFERROR(AK154/AK109,""),"")</f>
        <v>0.418982556211448</v>
      </c>
      <c r="AL211" s="215">
        <f>IF(AND(ISNUMBER(AL154),ISNUMBER(AL109)),IFERROR(AL154/AL109,""),"")</f>
        <v>0.392396067748431</v>
      </c>
      <c r="AM211" s="215">
        <f>IF(AND(ISNUMBER(AM154),ISNUMBER(AM109)),IFERROR(AM154/AM109,""),"")</f>
        <v>0.407036029911625</v>
      </c>
      <c r="AN211" s="215">
        <f>IF(AND(ISNUMBER(AN154),ISNUMBER(AN109)),IFERROR(AN154/AN109,""),"")</f>
        <v>0.420168864434114</v>
      </c>
      <c r="AO211" s="215">
        <f>IF(AND(ISNUMBER(AO154),ISNUMBER(AO109)),IFERROR(AO154/AO109,""),"")</f>
        <v>0.410003253320509</v>
      </c>
      <c r="AP211" s="215">
        <f>IF(AND(ISNUMBER(AP154),ISNUMBER(AP109)),IFERROR(AP154/AP109,""),"")</f>
        <v>0.332243333145402</v>
      </c>
      <c r="AQ211" s="215">
        <f>IF(AND(ISNUMBER(AQ154),ISNUMBER(AQ109)),IFERROR(AQ154/AQ109,""),"")</f>
        <v>0.319098838764917</v>
      </c>
      <c r="AR211" s="215">
        <f>IF(AND(ISNUMBER(AR154),ISNUMBER(AR109)),IFERROR(AR154/AR109,""),"")</f>
        <v>0.374476013041453</v>
      </c>
      <c r="AS211" s="215">
        <f>IF(AND(ISNUMBER(AS154),ISNUMBER(AS109)),IFERROR(AS154/AS109,""),"")</f>
        <v>0.455079794813337</v>
      </c>
      <c r="AT211" s="215">
        <f>IF(AND(ISNUMBER(AT154),ISNUMBER(AT109)),IFERROR(AT154/AT109,""),"")</f>
        <v>0.380050020357122</v>
      </c>
      <c r="AU211" s="215">
        <f>IF(AND(ISNUMBER(AU154),ISNUMBER(AU109)),IFERROR(AU154/AU109,""),"")</f>
        <v>0.434756027664208</v>
      </c>
      <c r="AV211" s="215">
        <f>IF(AND(ISNUMBER(AV154),ISNUMBER(AV109)),IFERROR(AV154/AV109,""),"")</f>
        <v>0.425318980637617</v>
      </c>
      <c r="AW211" s="215">
        <f>IF(AND(ISNUMBER(AW154),ISNUMBER(AW109)),IFERROR(AW154/AW109,""),"")</f>
        <v>0.359289900034471</v>
      </c>
      <c r="AX211" s="215">
        <f>IF(AND(ISNUMBER(AX154),ISNUMBER(AX109)),IFERROR(AX154/AX109,""),"")</f>
        <v>0.373763772979715</v>
      </c>
      <c r="AY211" s="215">
        <f>IF(AND(ISNUMBER(AY154),ISNUMBER(AY109)),IFERROR(AY154/AY109,""),"")</f>
        <v>0.396450406600582</v>
      </c>
      <c r="AZ211" s="215">
        <f>IF(AND(ISNUMBER(AZ154),ISNUMBER(AZ109)),IFERROR(AZ154/AZ109,""),"")</f>
        <v>0.305432134155081</v>
      </c>
      <c r="BA211" s="215">
        <f>IF(AND(ISNUMBER(BA154),ISNUMBER(BA109)),IFERROR(BA154/BA109,""),"")</f>
        <v>0.289986815626952</v>
      </c>
      <c r="BB211" s="215">
        <f>IF(AND(ISNUMBER(BB154),ISNUMBER(BB109)),IFERROR(BB154/BB109,""),"")</f>
        <v>0.219275456448005</v>
      </c>
      <c r="BC211" s="215">
        <f>IF(AND(ISNUMBER(BC154),ISNUMBER(BC109)),IFERROR(BC154/BC109,""),"")</f>
        <v>0.329457484843774</v>
      </c>
      <c r="BD211" s="215">
        <f>IF(AND(ISNUMBER(BD154),ISNUMBER(BD109)),IFERROR(BD154/BD109,""),"")</f>
        <v>0.287756519651142</v>
      </c>
      <c r="BE211" s="215">
        <f>IF(AND(ISNUMBER(BE154),ISNUMBER(BE109)),IFERROR(BE154/BE109,""),"")</f>
        <v>0.292232501309129</v>
      </c>
      <c r="BF211" s="215">
        <f>IF(AND(ISNUMBER(BF154),ISNUMBER(BF109)),IFERROR(BF154/BF109,""),"")</f>
        <v>0.376324260133129</v>
      </c>
      <c r="BG211" s="215">
        <f>IF(AND(ISNUMBER(BG154),ISNUMBER(BG109)),IFERROR(BG154/BG109,""),"")</f>
        <v>0.413752708955661</v>
      </c>
      <c r="BH211" s="215">
        <f>IF(AND(ISNUMBER(BH154),ISNUMBER(BH109)),IFERROR(BH154/BH109,""),"")</f>
        <v>0.437136944977687</v>
      </c>
      <c r="BI211" s="215">
        <f>IF(AND(ISNUMBER(BI154),ISNUMBER(BI109)),IFERROR(BI154/BI109,""),"")</f>
        <v>0.386020963365999</v>
      </c>
      <c r="BJ211" s="215">
        <f>IF(AND(ISNUMBER(BJ154),ISNUMBER(BJ109)),IFERROR(BJ154/BJ109,""),"")</f>
        <v>0.379042655328487</v>
      </c>
      <c r="BK211" s="215">
        <f>IF(AND(ISNUMBER(BK154),ISNUMBER(BK109)),IFERROR(BK154/BK109,""),"")</f>
        <v>0.380000511888613</v>
      </c>
      <c r="BL211" s="215">
        <f>IF(AND(ISNUMBER(BL154),ISNUMBER(BL109)),IFERROR(BL154/BL109,""),"")</f>
        <v>0.427455714602479</v>
      </c>
      <c r="BM211" s="215">
        <f>IF(AND(ISNUMBER(BM154),ISNUMBER(BM109)),IFERROR(BM154/BM109,""),"")</f>
        <v>0.450862870724398</v>
      </c>
      <c r="BN211" s="215">
        <f>IF(AND(ISNUMBER(BN154),ISNUMBER(BN109)),IFERROR(BN154/BN109,""),"")</f>
        <v>0.412337918918426</v>
      </c>
      <c r="BO211" s="215">
        <f>IF(AND(ISNUMBER(BO154),ISNUMBER(BO109)),IFERROR(BO154/BO109,""),"")</f>
        <v>0.414874509618566</v>
      </c>
      <c r="BP211" s="215">
        <f>IF(AND(ISNUMBER(BP154),ISNUMBER(BP109)),IFERROR(BP154/BP109,""),"")</f>
        <v>0.430191935348093</v>
      </c>
      <c r="BQ211" s="215">
        <f>IF(AND(ISNUMBER(BQ154),ISNUMBER(BQ109)),IFERROR(BQ154/BQ109,""),"")</f>
        <v>0.400745482221615</v>
      </c>
      <c r="BR211" s="215">
        <f>IF(AND(ISNUMBER(BR154),ISNUMBER(BR109)),IFERROR(BR154/BR109,""),"")</f>
        <v>0.413153456998314</v>
      </c>
      <c r="BS211" s="215">
        <f>IF(AND(ISNUMBER(BS154),ISNUMBER(BS109)),IFERROR(BS154/BS109,""),"")</f>
        <v>0.414378551595792</v>
      </c>
      <c r="BT211" s="215">
        <f>IF(AND(ISNUMBER(BT154),ISNUMBER(BT109)),IFERROR(BT154/BT109,""),"")</f>
        <v>0.406172861430271</v>
      </c>
      <c r="BU211" s="215">
        <f>IF(AND(ISNUMBER(BU154),ISNUMBER(BU109)),IFERROR(BU154/BU109,""),"")</f>
        <v>0.367674873768524</v>
      </c>
      <c r="BV211" s="256">
        <f>IF(AND(ISNUMBER(BV154),ISNUMBER(BV109)),IFERROR(BV154/BV109,""),"")</f>
        <v>0.31710205876547</v>
      </c>
      <c r="BW211" s="256">
        <f>IF(AND(ISNUMBER(BW154),ISNUMBER(BW109)),IFERROR(BW154/BW109,""),"")</f>
        <v>0.330662530558271</v>
      </c>
      <c r="BX211" s="256">
        <f>IF(AND(ISNUMBER(BX154),ISNUMBER(BX109)),IFERROR(BX154/BX109,""),"")</f>
        <v>0.353049351703699</v>
      </c>
      <c r="BY211" s="256">
        <f>IF(AND(ISNUMBER(BY154),ISNUMBER(BY109)),IFERROR(BY154/BY109,""),"")</f>
        <v>0.339837230929959</v>
      </c>
      <c r="BZ211" s="256">
        <f>IF(AND(ISNUMBER(BZ154),ISNUMBER(BZ109)),IFERROR(BZ154/BZ109,""),"")</f>
        <v>0.341948661602544</v>
      </c>
      <c r="CA211" s="256">
        <f>IF(AND(ISNUMBER(CA154),ISNUMBER(CA109)),IFERROR(CA154/CA109,""),"")</f>
        <v>0.340429684349631</v>
      </c>
      <c r="CB211" s="256">
        <f>IF(AND(ISNUMBER(CB154),ISNUMBER(CB109)),IFERROR(CB154/CB109,""),"")</f>
        <v>0.351213288237734</v>
      </c>
      <c r="CC211" s="256">
        <f>IF(AND(ISNUMBER(CC154),ISNUMBER(CC109)),IFERROR(CC154/CC109,""),"")</f>
        <v>0.359818320091148</v>
      </c>
      <c r="CD211" s="153" t="n"/>
      <c r="CF211" s="37">
        <f>IFERROR(AVERAGE(BY211,BZ211,CA211,CB211,CC211),"n/m")</f>
        <v>0.346649437042203</v>
      </c>
      <c r="CG211" s="37">
        <f>IFERROR(AVERAGE(AY211,BD211,BI211,BN211,BS211),"n/m")</f>
        <v>0.379388872026388</v>
      </c>
      <c r="CH211" s="37">
        <f>IFERROR(AVERAGE(Z211,AE211,AJ211,AO211,AT211,AY211,BD211,BI211,BN211,BS211),"n/m")</f>
        <v>0.407975998235317</v>
      </c>
      <c r="CI211" s="37">
        <f>IFERROR(AVERAGE(C211,D211,E211,F211,K211,P211,U211,Z211,AE211,AJ211,AO211,AT211,AY211,BD211,BI211,BN211,BS211),"n/m")</f>
        <v>0.389569869139398</v>
      </c>
    </row>
    <row r="212" ht="15" customHeight="1" s="251">
      <c r="B212" s="25" t="inlineStr">
        <is>
          <t xml:space="preserve">  Incremental adjusted operating margin (Δ adjusted OI / Δ revenue)</t>
        </is>
      </c>
      <c r="C212" s="36" t="n"/>
      <c r="D212" s="215">
        <f>IFERROR((D154-C154)/(D109-C109),"")</f>
        <v>0.64327485380117</v>
      </c>
      <c r="E212" s="215">
        <f>IFERROR((E154-D154)/(E109-D109),"")</f>
        <v>0.416810592976396</v>
      </c>
      <c r="F212" s="215">
        <f>IFERROR((F154-E154)/(F109-E109),"")</f>
        <v>-0.88388969521045</v>
      </c>
      <c r="G212" s="36" t="n"/>
      <c r="H212" s="36" t="n"/>
      <c r="I212" s="36" t="n"/>
      <c r="J212" s="36" t="n"/>
      <c r="K212" s="215">
        <f>IFERROR((K154-F154)/(K109-F109),"")</f>
        <v>0.814229249011858</v>
      </c>
      <c r="L212" s="215">
        <f>IFERROR((L154-G154)/(L109-G109),"")</f>
        <v>0.672413793103448</v>
      </c>
      <c r="M212" s="215">
        <f>IFERROR((M154-H154)/(M109-H109),"")</f>
        <v>0.754785779398359</v>
      </c>
      <c r="N212" s="215">
        <f>IFERROR((N154-I154)/(N109-I109),"")</f>
        <v>0.556866048862679</v>
      </c>
      <c r="O212" s="215">
        <f>IFERROR((O154-J154)/(O109-J109),"")</f>
        <v>0</v>
      </c>
      <c r="P212" s="215">
        <f>IFERROR((P154-K154)/(P109-K109),"")</f>
        <v>0.476708750544188</v>
      </c>
      <c r="Q212" s="215">
        <f>IFERROR((Q154-L154)/(Q109-L109),"")</f>
        <v>-0.13640730067243</v>
      </c>
      <c r="R212" s="215">
        <f>IFERROR((R154-M154)/(R109-M109),"")</f>
        <v>-0.103356890459364</v>
      </c>
      <c r="S212" s="215">
        <f>IFERROR((S154-N154)/(S109-N109),"")</f>
        <v>0.0477657935285054</v>
      </c>
      <c r="T212" s="215">
        <f>IFERROR((T154-O154)/(T109-O109),"")</f>
        <v>0.717085427135678</v>
      </c>
      <c r="U212" s="215">
        <f>IFERROR((U154-P154)/(U109-P109),"")</f>
        <v>0.22537532039546</v>
      </c>
      <c r="V212" s="215">
        <f>IFERROR((V154-Q154)/(V109-Q109),"")</f>
        <v>0.585100598151169</v>
      </c>
      <c r="W212" s="215">
        <f>IFERROR((W154-R154)/(W109-R109),"")</f>
        <v>0.615288220551378</v>
      </c>
      <c r="X212" s="215">
        <f>IFERROR((X154-S154)/(X109-S109),"")</f>
        <v>0.662549800796813</v>
      </c>
      <c r="Y212" s="215">
        <f>IFERROR((Y154-T154)/(Y109-T109),"")</f>
        <v>0.675876010781671</v>
      </c>
      <c r="Z212" s="215">
        <f>IFERROR((Z154-U154)/(Z109-U109),"")</f>
        <v>0.638722966014418</v>
      </c>
      <c r="AA212" s="215">
        <f>IFERROR((AA154-V154)/(AA109-V109),"")</f>
        <v>0.497358490566038</v>
      </c>
      <c r="AB212" s="215">
        <f>IFERROR((AB154-W154)/(AB109-W109),"")</f>
        <v>0.5736568457539</v>
      </c>
      <c r="AC212" s="215">
        <f>IFERROR((AC154-X154)/(AC109-X109),"")</f>
        <v>0.602954476936991</v>
      </c>
      <c r="AD212" s="215">
        <f>IFERROR((AD154-Y154)/(AD109-Y109),"")</f>
        <v>0.669228921450877</v>
      </c>
      <c r="AE212" s="215">
        <f>IFERROR((AE154-Z154)/(AE109-Z109),"")</f>
        <v>0.597464464079908</v>
      </c>
      <c r="AF212" s="215">
        <f>IFERROR((AF154-AA154)/(AF109-AA109),"")</f>
        <v>0.539400101677682</v>
      </c>
      <c r="AG212" s="215">
        <f>IFERROR((AG154-AB154)/(AG109-AB109),"")</f>
        <v>0.373913043478261</v>
      </c>
      <c r="AH212" s="215">
        <f>IFERROR((AH154-AC154)/(AH109-AC109),"")</f>
        <v>0.193880553103854</v>
      </c>
      <c r="AI212" s="215">
        <f>IFERROR((AI154-AD154)/(AI109-AD109),"")</f>
        <v>0.118721461187215</v>
      </c>
      <c r="AJ212" s="215">
        <f>IFERROR((AJ154-AE154)/(AJ109-AE109),"")</f>
        <v>0.310174514323345</v>
      </c>
      <c r="AK212" s="215">
        <f>IFERROR((AK154-AF154)/(AK109-AF109),"")</f>
        <v>0.279009964641594</v>
      </c>
      <c r="AL212" s="215">
        <f>IFERROR((AL154-AG154)/(AL109-AG109),"")</f>
        <v>0.20875512995896</v>
      </c>
      <c r="AM212" s="215">
        <f>IFERROR((AM154-AH154)/(AM109-AH109),"")</f>
        <v>0.357707006369427</v>
      </c>
      <c r="AN212" s="215">
        <f>IFERROR((AN154-AI154)/(AN109-AI109),"")</f>
        <v>0.249040307101727</v>
      </c>
      <c r="AO212" s="215">
        <f>IFERROR((AO154-AJ154)/(AO109-AJ109),"")</f>
        <v>0.274109967023353</v>
      </c>
      <c r="AP212" s="215">
        <f>IFERROR((AP154-AK154)/(AP109-AK109),"")</f>
        <v>-0.159398496240602</v>
      </c>
      <c r="AQ212" s="215">
        <f>IFERROR((AQ154-AL154)/(AQ109-AL109),"")</f>
        <v>-0.368128817323709</v>
      </c>
      <c r="AR212" s="215">
        <f>IFERROR((AR154-AM154)/(AR109-AM109),"")</f>
        <v>0.223939235201676</v>
      </c>
      <c r="AS212" s="215">
        <f>IFERROR((AS154-AN154)/(AS109-AN109),"")</f>
        <v>0.560371959942775</v>
      </c>
      <c r="AT212" s="215">
        <f>IFERROR((AT154-AO154)/(AT109-AO109),"")</f>
        <v>0.24135446685879</v>
      </c>
      <c r="AU212" s="215">
        <f>IFERROR((AU154-AP154)/(AU109-AP109),"")</f>
        <v>0.650343846336258</v>
      </c>
      <c r="AV212" s="215">
        <f>IFERROR((AV154-AQ154)/(AV109-AQ109),"")</f>
        <v>0.616361886429259</v>
      </c>
      <c r="AW212" s="215">
        <f>IFERROR((AW154-AR154)/(AW109-AR109),"")</f>
        <v>0.31604774535809</v>
      </c>
      <c r="AX212" s="215">
        <f>IFERROR((AX154-AS154)/(AX109-AS109),"")</f>
        <v>-0.03393463118414</v>
      </c>
      <c r="AY212" s="215">
        <f>IFERROR((AY154-AT154)/(AY109-AT109),"")</f>
        <v>0.440558127893881</v>
      </c>
      <c r="AZ212" s="215">
        <f>IFERROR((AZ154-AU154)/(AZ109-AU109),"")</f>
        <v>-1.64306275187104</v>
      </c>
      <c r="BA212" s="215">
        <f>IFERROR((BA154-AV154)/(BA109-AV109),"")</f>
        <v>15.721568627451</v>
      </c>
      <c r="BB212" s="215">
        <f>IFERROR((BB154-AW154)/(BB109-AW109),"")</f>
        <v>3.3533950617284</v>
      </c>
      <c r="BC212" s="215">
        <f>IFERROR((BC154-AX154)/(BC109-AX109),"")</f>
        <v>1.32005312084993</v>
      </c>
      <c r="BD212" s="215">
        <f>IFERROR((BD154-AY154)/(BD109-AY109),"")</f>
        <v>9.99848484848485</v>
      </c>
      <c r="BE212" s="215">
        <f>IFERROR((BE154-AZ154)/(BE109-AZ109),"")</f>
        <v>-0.207598371777476</v>
      </c>
      <c r="BF212" s="215">
        <f>IFERROR((BF154-BA154)/(BF109-BA109),"")</f>
        <v>1.15958451369216</v>
      </c>
      <c r="BG212" s="215">
        <f>IFERROR((BG154-BB154)/(BG109-BB109),"")</f>
        <v>1.25171019900498</v>
      </c>
      <c r="BH212" s="215">
        <f>IFERROR((BH154-BC154)/(BH109-BC109),"")</f>
        <v>0.87301787062673</v>
      </c>
      <c r="BI212" s="215">
        <f>IFERROR((BI154-BD154)/(BI109-BD109),"")</f>
        <v>1.01240911824195</v>
      </c>
      <c r="BJ212" s="215">
        <f>IFERROR((BJ154-BE154)/(BJ109-BE109),"")</f>
        <v>0.697439180537772</v>
      </c>
      <c r="BK212" s="215">
        <f>IFERROR((BK154-BF154)/(BK109-BF109),"")</f>
        <v>0.396634615384615</v>
      </c>
      <c r="BL212" s="215">
        <f>IFERROR((BL154-BG154)/(BL109-BG109),"")</f>
        <v>0.500077603600807</v>
      </c>
      <c r="BM212" s="215">
        <f>IFERROR((BM154-BH154)/(BM109-BH109),"")</f>
        <v>0.517403915881073</v>
      </c>
      <c r="BN212" s="215">
        <f>IFERROR((BN154-BI154)/(BN109-BI109),"")</f>
        <v>0.532281495996486</v>
      </c>
      <c r="BO212" s="215">
        <f>IFERROR((BO154-BJ154)/(BO109-BJ109),"")</f>
        <v>0.637822153951186</v>
      </c>
      <c r="BP212" s="215">
        <f>IFERROR((BP154-BK154)/(BP109-BK109),"")</f>
        <v>0.662403789224393</v>
      </c>
      <c r="BQ212" s="215">
        <f>IFERROR((BQ154-BL154)/(BQ109-BL109),"")</f>
        <v>0.298976814042993</v>
      </c>
      <c r="BR212" s="215">
        <f>IFERROR((BR154-BM154)/(BR109-BM109),"")</f>
        <v>0.254605491831769</v>
      </c>
      <c r="BS212" s="215">
        <f>IFERROR((BS154-BN154)/(BS109-BN109),"")</f>
        <v>0.423584258878377</v>
      </c>
      <c r="BT212" s="215">
        <f>IFERROR((BT154-BO154)/(BT109-BO109),"")</f>
        <v>0.379867114381653</v>
      </c>
      <c r="BU212" s="215">
        <f>IFERROR((BU154-BP154)/(BU109-BP109),"")</f>
        <v>0.144072261949567</v>
      </c>
      <c r="BV212" s="256">
        <f>IFERROR((BV154-BQ154)/(BV109-BQ109),"")</f>
        <v>-0.0636099953062838</v>
      </c>
      <c r="BW212" s="256">
        <f>IFERROR((BW154-BR154)/(BW109-BR109),"")</f>
        <v>-0.0466168734158154</v>
      </c>
      <c r="BX212" s="256">
        <f>IFERROR((BX154-BS154)/(BX109-BS109),"")</f>
        <v>0.114350320959923</v>
      </c>
      <c r="BY212" s="256">
        <f>IFERROR((BY154-BX154)/(BY109-BX109),"")</f>
        <v>0.270640274604389</v>
      </c>
      <c r="BZ212" s="256">
        <f>IFERROR((BZ154-BY154)/(BZ109-BY109),"")</f>
        <v>0.355317750572431</v>
      </c>
      <c r="CA212" s="256">
        <f>IFERROR((CA154-BZ154)/(CA109-BZ109),"")</f>
        <v>0.329296203196359</v>
      </c>
      <c r="CB212" s="256">
        <f>IFERROR((CB154-CA154)/(CB109-CA109),"")</f>
        <v>0.445032429879271</v>
      </c>
      <c r="CC212" s="256">
        <f>IFERROR((CC154-CB154)/(CC109-CB109),"")</f>
        <v>0.442799808447034</v>
      </c>
      <c r="CD212" s="153" t="n"/>
    </row>
    <row r="213" ht="15" customHeight="1" s="251">
      <c r="B213" s="25" t="inlineStr">
        <is>
          <t xml:space="preserve">  Adjusted EBITDA margin %</t>
        </is>
      </c>
      <c r="C213" s="215">
        <f>IF(AND(ISNUMBER(C168),ISNUMBER(C109)),IFERROR(C168/C109,""),"")</f>
        <v>0.437580437580438</v>
      </c>
      <c r="D213" s="215">
        <f>IF(AND(ISNUMBER(D168),ISNUMBER(D109)),IFERROR(D168/D109,""),"")</f>
        <v>0.593211752786221</v>
      </c>
      <c r="E213" s="215">
        <f>IF(AND(ISNUMBER(E168),ISNUMBER(E109)),IFERROR(E168/E109,""),"")</f>
        <v>0.560226354082458</v>
      </c>
      <c r="F213" s="215">
        <f>IF(AND(ISNUMBER(F168),ISNUMBER(F109)),IFERROR(F168/F109,""),"")</f>
        <v>0.233248182354097</v>
      </c>
      <c r="G213" s="215">
        <f>IF(AND(ISNUMBER(G168),ISNUMBER(G109)),IFERROR(G168/G109,""),"")</f>
        <v>0.421124828532236</v>
      </c>
      <c r="H213" s="215">
        <f>IF(AND(ISNUMBER(H168),ISNUMBER(H109)),IFERROR(H168/H109,""),"")</f>
        <v>0.43684500827358</v>
      </c>
      <c r="I213" s="215">
        <f>IF(AND(ISNUMBER(I168),ISNUMBER(I109)),IFERROR(I168/I109,""),"")</f>
        <v>0.500992063492064</v>
      </c>
      <c r="J213" s="215">
        <f>IF(AND(ISNUMBER(J168),ISNUMBER(J109)),IFERROR(J168/J109,""),"")</f>
        <v>0.544294003868472</v>
      </c>
      <c r="K213" s="215">
        <f>IF(AND(ISNUMBER(K168),ISNUMBER(K109)),IFERROR(K168/K109,""),"")</f>
        <v>0.48462906504065</v>
      </c>
      <c r="L213" s="215">
        <f>IF(AND(ISNUMBER(L168),ISNUMBER(L109)),IFERROR(L168/L109,""),"")</f>
        <v>0.535171862509992</v>
      </c>
      <c r="M213" s="215">
        <f>IF(AND(ISNUMBER(M168),ISNUMBER(M109)),IFERROR(M168/M109,""),"")</f>
        <v>0.565979381443299</v>
      </c>
      <c r="N213" s="215">
        <f>IF(AND(ISNUMBER(N168),ISNUMBER(N109)),IFERROR(N168/N109,""),"")</f>
        <v>0.526381517327506</v>
      </c>
      <c r="O213" s="215">
        <f>IF(AND(ISNUMBER(O168),ISNUMBER(O109)),IFERROR(O168/O109,""),"")</f>
        <v>0.406647623993768</v>
      </c>
      <c r="P213" s="215">
        <f>IF(AND(ISNUMBER(P168),ISNUMBER(P109)),IFERROR(P168/P109,""),"")</f>
        <v>0.500320872773945</v>
      </c>
      <c r="Q213" s="215">
        <f>IF(AND(ISNUMBER(Q168),ISNUMBER(Q109)),IFERROR(Q168/Q109,""),"")</f>
        <v>0.39232289020604</v>
      </c>
      <c r="R213" s="215">
        <f>IF(AND(ISNUMBER(R168),ISNUMBER(R109)),IFERROR(R168/R109,""),"")</f>
        <v>0.428500742206828</v>
      </c>
      <c r="S213" s="215">
        <f>IF(AND(ISNUMBER(S168),ISNUMBER(S109)),IFERROR(S168/S109,""),"")</f>
        <v>0.432126194179071</v>
      </c>
      <c r="T213" s="215">
        <f>IF(AND(ISNUMBER(T168),ISNUMBER(T109)),IFERROR(T168/T109,""),"")</f>
        <v>0.531244649888718</v>
      </c>
      <c r="U213" s="215">
        <f>IF(AND(ISNUMBER(U168),ISNUMBER(U109)),IFERROR(U168/U109,""),"")</f>
        <v>0.455711735832218</v>
      </c>
      <c r="V213" s="215">
        <f>IF(AND(ISNUMBER(V168),ISNUMBER(V109)),IFERROR(V168/V109,""),"")</f>
        <v>0.475845410628019</v>
      </c>
      <c r="W213" s="215">
        <f>IF(AND(ISNUMBER(W168),ISNUMBER(W109)),IFERROR(W168/W109,""),"")</f>
        <v>0.517557489123679</v>
      </c>
      <c r="X213" s="215">
        <f>IF(AND(ISNUMBER(X168),ISNUMBER(X109)),IFERROR(X168/X109,""),"")</f>
        <v>0.529596348595065</v>
      </c>
      <c r="Y213" s="215">
        <f>IF(AND(ISNUMBER(Y168),ISNUMBER(Y109)),IFERROR(Y168/Y109,""),"")</f>
        <v>0.588034964241117</v>
      </c>
      <c r="Z213" s="215">
        <f>IF(AND(ISNUMBER(Z168),ISNUMBER(Z109)),IFERROR(Z168/Z109,""),"")</f>
        <v>0.534372964758666</v>
      </c>
      <c r="AA213" s="215">
        <f>IF(AND(ISNUMBER(AA168),ISNUMBER(AA109)),IFERROR(AA168/AA109,""),"")</f>
        <v>0.497758964143426</v>
      </c>
      <c r="AB213" s="215">
        <f>IF(AND(ISNUMBER(AB168),ISNUMBER(AB109)),IFERROR(AB168/AB109,""),"")</f>
        <v>0.550262847333977</v>
      </c>
      <c r="AC213" s="215">
        <f>IF(AND(ISNUMBER(AC168),ISNUMBER(AC109)),IFERROR(AC168/AC109,""),"")</f>
        <v>0.57077846630519</v>
      </c>
      <c r="AD213" s="215">
        <f>IF(AND(ISNUMBER(AD168),ISNUMBER(AD109)),IFERROR(AD168/AD109,""),"")</f>
        <v>0.632516188714154</v>
      </c>
      <c r="AE213" s="215">
        <f>IF(AND(ISNUMBER(AE168),ISNUMBER(AE109)),IFERROR(AE168/AE109,""),"")</f>
        <v>0.571372346444297</v>
      </c>
      <c r="AF213" s="215">
        <f>IF(AND(ISNUMBER(AF168),ISNUMBER(AF109)),IFERROR(AF168/AF109,""),"")</f>
        <v>0.534681597860605</v>
      </c>
      <c r="AG213" s="215">
        <f>IF(AND(ISNUMBER(AG168),ISNUMBER(AG109)),IFERROR(AG168/AG109,""),"")</f>
        <v>0.521275791701308</v>
      </c>
      <c r="AH213" s="215">
        <f>IF(AND(ISNUMBER(AH168),ISNUMBER(AH109)),IFERROR(AH168/AH109,""),"")</f>
        <v>0.501784803671596</v>
      </c>
      <c r="AI213" s="215">
        <f>IF(AND(ISNUMBER(AI168),ISNUMBER(AI109)),IFERROR(AI168/AI109,""),"")</f>
        <v>0.534764100744945</v>
      </c>
      <c r="AJ213" s="215">
        <f>IF(AND(ISNUMBER(AJ168),ISNUMBER(AJ109)),IFERROR(AJ168/AJ109,""),"")</f>
        <v>0.523442816719797</v>
      </c>
      <c r="AK213" s="215">
        <f>IF(AND(ISNUMBER(AK168),ISNUMBER(AK109)),IFERROR(AK168/AK109,""),"")</f>
        <v>0.508854546660476</v>
      </c>
      <c r="AL213" s="215">
        <f>IF(AND(ISNUMBER(AL168),ISNUMBER(AL109)),IFERROR(AL168/AL109,""),"")</f>
        <v>0.481345493308066</v>
      </c>
      <c r="AM213" s="215">
        <f>IF(AND(ISNUMBER(AM168),ISNUMBER(AM109)),IFERROR(AM168/AM109,""),"")</f>
        <v>0.48725356900068</v>
      </c>
      <c r="AN213" s="215">
        <f>IF(AND(ISNUMBER(AN168),ISNUMBER(AN109)),IFERROR(AN168/AN109,""),"")</f>
        <v>0.489801726591405</v>
      </c>
      <c r="AO213" s="215">
        <f>IF(AND(ISNUMBER(AO168),ISNUMBER(AO109)),IFERROR(AO168/AO109,""),"")</f>
        <v>0.491208962190758</v>
      </c>
      <c r="AP213" s="215">
        <f>IF(AND(ISNUMBER(AP168),ISNUMBER(AP109)),IFERROR(AP168/AP109,""),"")</f>
        <v>0.422281107289846</v>
      </c>
      <c r="AQ213" s="215">
        <f>IF(AND(ISNUMBER(AQ168),ISNUMBER(AQ109)),IFERROR(AQ168/AQ109,""),"")</f>
        <v>0.410285225022743</v>
      </c>
      <c r="AR213" s="215">
        <f>IF(AND(ISNUMBER(AR168),ISNUMBER(AR109)),IFERROR(AR168/AR109,""),"")</f>
        <v>0.453563111318118</v>
      </c>
      <c r="AS213" s="215">
        <f>IF(AND(ISNUMBER(AS168),ISNUMBER(AS109)),IFERROR(AS168/AS109,""),"")</f>
        <v>0.521444856084355</v>
      </c>
      <c r="AT213" s="215">
        <f>IF(AND(ISNUMBER(AT168),ISNUMBER(AT109)),IFERROR(AT168/AT109,""),"")</f>
        <v>0.459873204211016</v>
      </c>
      <c r="AU213" s="215">
        <f>IF(AND(ISNUMBER(AU168),ISNUMBER(AU109)),IFERROR(AU168/AU109,""),"")</f>
        <v>0.510106606549234</v>
      </c>
      <c r="AV213" s="215">
        <f>IF(AND(ISNUMBER(AV168),ISNUMBER(AV109)),IFERROR(AV168/AV109,""),"")</f>
        <v>0.493585995804244</v>
      </c>
      <c r="AW213" s="215">
        <f>IF(AND(ISNUMBER(AW168),ISNUMBER(AW109)),IFERROR(AW168/AW109,""),"")</f>
        <v>0.428059289900034</v>
      </c>
      <c r="AX213" s="215">
        <f>IF(AND(ISNUMBER(AX168),ISNUMBER(AX109)),IFERROR(AX168/AX109,""),"")</f>
        <v>0.433577856315524</v>
      </c>
      <c r="AY213" s="215">
        <f>IF(AND(ISNUMBER(AY168),ISNUMBER(AY109)),IFERROR(AY168/AY109,""),"")</f>
        <v>0.464008004816457</v>
      </c>
      <c r="AZ213" s="215">
        <f>IF(AND(ISNUMBER(AZ168),ISNUMBER(AZ109)),IFERROR(AZ168/AZ109,""),"")</f>
        <v>0.382685968181167</v>
      </c>
      <c r="BA213" s="215">
        <f>IF(AND(ISNUMBER(BA168),ISNUMBER(BA109)),IFERROR(BA168/BA109,""),"")</f>
        <v>0.358649642634099</v>
      </c>
      <c r="BB213" s="215">
        <f>IF(AND(ISNUMBER(BB168),ISNUMBER(BB109)),IFERROR(BB168/BB109,""),"")</f>
        <v>0.297755646965433</v>
      </c>
      <c r="BC213" s="215">
        <f>IF(AND(ISNUMBER(BC168),ISNUMBER(BC109)),IFERROR(BC168/BC109,""),"")</f>
        <v>0.403326597233017</v>
      </c>
      <c r="BD213" s="215">
        <f>IF(AND(ISNUMBER(BD168),ISNUMBER(BD109)),IFERROR(BD168/BD109,""),"")</f>
        <v>0.362244766698968</v>
      </c>
      <c r="BE213" s="215">
        <f>IF(AND(ISNUMBER(BE168),ISNUMBER(BE109)),IFERROR(BE168/BE109,""),"")</f>
        <v>0.380345610054111</v>
      </c>
      <c r="BF213" s="215">
        <f>IF(AND(ISNUMBER(BF168),ISNUMBER(BF109)),IFERROR(BF168/BF109,""),"")</f>
        <v>0.458295571736617</v>
      </c>
      <c r="BG213" s="215">
        <f>IF(AND(ISNUMBER(BG168),ISNUMBER(BG109)),IFERROR(BG168/BG109,""),"")</f>
        <v>0.497452117378317</v>
      </c>
      <c r="BH213" s="215">
        <f>IF(AND(ISNUMBER(BH168),ISNUMBER(BH109)),IFERROR(BH168/BH109,""),"")</f>
        <v>0.516217496447359</v>
      </c>
      <c r="BI213" s="215">
        <f>IF(AND(ISNUMBER(BI168),ISNUMBER(BI109)),IFERROR(BI168/BI109,""),"")</f>
        <v>0.468881113697351</v>
      </c>
      <c r="BJ213" s="215">
        <f>IF(AND(ISNUMBER(BJ168),ISNUMBER(BJ109)),IFERROR(BJ168/BJ109,""),"")</f>
        <v>0.471595117267865</v>
      </c>
      <c r="BK213" s="215">
        <f>IF(AND(ISNUMBER(BK168),ISNUMBER(BK109)),IFERROR(BK168/BK109,""),"")</f>
        <v>0.473087456169538</v>
      </c>
      <c r="BL213" s="215">
        <f>IF(AND(ISNUMBER(BL168),ISNUMBER(BL109)),IFERROR(BL168/BL109,""),"")</f>
        <v>0.526669787380818</v>
      </c>
      <c r="BM213" s="215">
        <f>IF(AND(ISNUMBER(BM168),ISNUMBER(BM109)),IFERROR(BM168/BM109,""),"")</f>
        <v>0.543040198408598</v>
      </c>
      <c r="BN213" s="215">
        <f>IF(AND(ISNUMBER(BN168),ISNUMBER(BN109)),IFERROR(BN168/BN109,""),"")</f>
        <v>0.506550112157373</v>
      </c>
      <c r="BO213" s="215">
        <f>IF(AND(ISNUMBER(BO168),ISNUMBER(BO109)),IFERROR(BO168/BO109,""),"")</f>
        <v>0.507042586378031</v>
      </c>
      <c r="BP213" s="215">
        <f>IF(AND(ISNUMBER(BP168),ISNUMBER(BP109)),IFERROR(BP168/BP109,""),"")</f>
        <v>0.521571681117939</v>
      </c>
      <c r="BQ213" s="215">
        <f>IF(AND(ISNUMBER(BQ168),ISNUMBER(BQ109)),IFERROR(BQ168/BQ109,""),"")</f>
        <v>0.497599625307365</v>
      </c>
      <c r="BR213" s="215">
        <f>IF(AND(ISNUMBER(BR168),ISNUMBER(BR109)),IFERROR(BR168/BR109,""),"")</f>
        <v>0.50349790459653</v>
      </c>
      <c r="BS213" s="215">
        <f>IF(AND(ISNUMBER(BS168),ISNUMBER(BS109)),IFERROR(BS168/BS109,""),"")</f>
        <v>0.507011136212096</v>
      </c>
      <c r="BT213" s="215">
        <f>IF(AND(ISNUMBER(BT168),ISNUMBER(BT109)),IFERROR(BT168/BT109,""),"")</f>
        <v>0.512706220809433</v>
      </c>
      <c r="BU213" s="215">
        <f>IF(AND(ISNUMBER(BU168),ISNUMBER(BU109)),IFERROR(BU168/BU109,""),"")</f>
        <v>0.472212628081775</v>
      </c>
      <c r="BV213" s="256">
        <f>IF(AND(ISNUMBER(BV168),ISNUMBER(BV109)),IFERROR(BV168/BV109,""),"")</f>
        <v>0.42591677876547</v>
      </c>
      <c r="BW213" s="256">
        <f>IF(AND(ISNUMBER(BW168),ISNUMBER(BW109)),IFERROR(BW168/BW109,""),"")</f>
        <v>0.430363075443986</v>
      </c>
      <c r="BX213" s="256">
        <f>IF(AND(ISNUMBER(BX168),ISNUMBER(BX109)),IFERROR(BX168/BX109,""),"")</f>
        <v>0.457692508220246</v>
      </c>
      <c r="BY213" s="256">
        <f>IF(AND(ISNUMBER(BY168),ISNUMBER(BY109)),IFERROR(BY168/BY109,""),"")</f>
        <v>0.475</v>
      </c>
      <c r="BZ213" s="256">
        <f>IF(AND(ISNUMBER(BZ168),ISNUMBER(BZ109)),IFERROR(BZ168/BZ109,""),"")</f>
        <v>0.49</v>
      </c>
      <c r="CA213" s="256">
        <f>IF(AND(ISNUMBER(CA168),ISNUMBER(CA109)),IFERROR(CA168/CA109,""),"")</f>
        <v>0.5</v>
      </c>
      <c r="CB213" s="256">
        <f>IF(AND(ISNUMBER(CB168),ISNUMBER(CB109)),IFERROR(CB168/CB109,""),"")</f>
        <v>0.51</v>
      </c>
      <c r="CC213" s="256">
        <f>IF(AND(ISNUMBER(CC168),ISNUMBER(CC109)),IFERROR(CC168/CC109,""),"")</f>
        <v>0.515</v>
      </c>
      <c r="CD213" s="153" t="n"/>
      <c r="CF213" s="37">
        <f>IFERROR(AVERAGE(BY213,BZ213,CA213,CB213,CC213),"n/m")</f>
        <v>0.498</v>
      </c>
      <c r="CG213" s="37">
        <f>IFERROR(AVERAGE(AY213,BD213,BI213,BN213,BS213),"n/m")</f>
        <v>0.461739026716449</v>
      </c>
      <c r="CH213" s="37">
        <f>IFERROR(AVERAGE(Z213,AE213,AJ213,AO213,AT213,AY213,BD213,BI213,BN213,BS213),"n/m")</f>
        <v>0.488896542790678</v>
      </c>
      <c r="CI213" s="37">
        <f>IFERROR(AVERAGE(C213,D213,E213,F213,K213,P213,U213,Z213,AE213,AJ213,AO213,AT213,AY213,BD213,BI213,BN213,BS213),"n/m")</f>
        <v>0.479640813432753</v>
      </c>
    </row>
    <row r="214" ht="15" customHeight="1" s="251">
      <c r="B214" s="25" t="inlineStr">
        <is>
          <t xml:space="preserve">  Operating margin (GAAP) %</t>
        </is>
      </c>
      <c r="C214" s="215">
        <f>IF(AND(ISNUMBER(C116),ISNUMBER(C109)),IFERROR(C116/C109,""),"")</f>
        <v>0.337194337194337</v>
      </c>
      <c r="D214" s="215">
        <f>IF(AND(ISNUMBER(D116),ISNUMBER(D109)),IFERROR(D116/D109,""),"")</f>
        <v>0.522796352583587</v>
      </c>
      <c r="E214" s="215">
        <f>IF(AND(ISNUMBER(E116),ISNUMBER(E109)),IFERROR(E116/E109,""),"")</f>
        <v>0.473187819994611</v>
      </c>
      <c r="F214" s="215">
        <f>IF(AND(ISNUMBER(F116),ISNUMBER(F109)),IFERROR(F116/F109,""),"")</f>
        <v>0.105718215759481</v>
      </c>
      <c r="G214" s="215">
        <f>IF(AND(ISNUMBER(G116),ISNUMBER(G109)),IFERROR(G116/G109,""),"")</f>
        <v>0.255829903978052</v>
      </c>
      <c r="H214" s="215">
        <f>IF(AND(ISNUMBER(H116),ISNUMBER(H109)),IFERROR(H116/H109,""),"")</f>
        <v>0.309983452840596</v>
      </c>
      <c r="I214" s="215">
        <f>IF(AND(ISNUMBER(I116),ISNUMBER(I109)),IFERROR(I116/I109,""),"")</f>
        <v>0.365079365079365</v>
      </c>
      <c r="J214" s="215">
        <f>IF(AND(ISNUMBER(J116),ISNUMBER(J109)),IFERROR(J116/J109,""),"")</f>
        <v>0.438297872340426</v>
      </c>
      <c r="K214" s="215">
        <f>IF(AND(ISNUMBER(K116),ISNUMBER(K109)),IFERROR(K116/K109,""),"")</f>
        <v>0.35619918699187</v>
      </c>
      <c r="L214" s="215">
        <f>IF(AND(ISNUMBER(L116),ISNUMBER(L109)),IFERROR(L116/L109,""),"")</f>
        <v>0.429656274980016</v>
      </c>
      <c r="M214" s="215">
        <f>IF(AND(ISNUMBER(M116),ISNUMBER(M109)),IFERROR(M116/M109,""),"")</f>
        <v>0.47766323024055</v>
      </c>
      <c r="N214" s="215">
        <f>IF(AND(ISNUMBER(N116),ISNUMBER(N109)),IFERROR(N116/N109,""),"")</f>
        <v>0.43615360599438</v>
      </c>
      <c r="O214" s="215">
        <f>IF(AND(ISNUMBER(O116),ISNUMBER(O109)),IFERROR(O116/O109,""),"")</f>
        <v>0.294209296286679</v>
      </c>
      <c r="P214" s="215">
        <f>IF(AND(ISNUMBER(P116),ISNUMBER(P109)),IFERROR(P116/P109,""),"")</f>
        <v>0.400609658270496</v>
      </c>
      <c r="Q214" s="215">
        <f>IF(AND(ISNUMBER(Q116),ISNUMBER(Q109)),IFERROR(Q116/Q109,""),"")</f>
        <v>0.263336155800169</v>
      </c>
      <c r="R214" s="215">
        <f>IF(AND(ISNUMBER(R116),ISNUMBER(R109)),IFERROR(R116/R109,""),"")</f>
        <v>0.314943097476497</v>
      </c>
      <c r="S214" s="215">
        <f>IF(AND(ISNUMBER(S116),ISNUMBER(S109)),IFERROR(S116/S109,""),"")</f>
        <v>0.324150188846923</v>
      </c>
      <c r="T214" s="215">
        <f>IF(AND(ISNUMBER(T116),ISNUMBER(T109)),IFERROR(T116/T109,""),"")</f>
        <v>0.438281116247218</v>
      </c>
      <c r="U214" s="215">
        <f>IF(AND(ISNUMBER(U116),ISNUMBER(U109)),IFERROR(U116/U109,""),"")</f>
        <v>0.347222222222222</v>
      </c>
      <c r="V214" s="215">
        <f>IF(AND(ISNUMBER(V116),ISNUMBER(V109)),IFERROR(V116/V109,""),"")</f>
        <v>0.373281308063917</v>
      </c>
      <c r="W214" s="215">
        <f>IF(AND(ISNUMBER(W116),ISNUMBER(W109)),IFERROR(W116/W109,""),"")</f>
        <v>0.426662523306402</v>
      </c>
      <c r="X214" s="215">
        <f>IF(AND(ISNUMBER(X116),ISNUMBER(X109)),IFERROR(X116/X109,""),"")</f>
        <v>0.445300242476109</v>
      </c>
      <c r="Y214" s="215">
        <f>IF(AND(ISNUMBER(Y116),ISNUMBER(Y109)),IFERROR(Y116/Y109,""),"")</f>
        <v>0.518333522533772</v>
      </c>
      <c r="Z214" s="215">
        <f>IF(AND(ISNUMBER(Z116),ISNUMBER(Z109)),IFERROR(Z116/Z109,""),"")</f>
        <v>0.449634561111513</v>
      </c>
      <c r="AA214" s="215">
        <f>IF(AND(ISNUMBER(AA116),ISNUMBER(AA109)),IFERROR(AA116/AA109,""),"")</f>
        <v>0.41421812749004</v>
      </c>
      <c r="AB214" s="215">
        <f>IF(AND(ISNUMBER(AB116),ISNUMBER(AB109)),IFERROR(AB116/AB109,""),"")</f>
        <v>0.472159639523656</v>
      </c>
      <c r="AC214" s="215">
        <f>IF(AND(ISNUMBER(AC116),ISNUMBER(AC109)),IFERROR(AC116/AC109,""),"")</f>
        <v>0.495933384972889</v>
      </c>
      <c r="AD214" s="215">
        <f>IF(AND(ISNUMBER(AD116),ISNUMBER(AD109)),IFERROR(AD116/AD109,""),"")</f>
        <v>0.566759173604687</v>
      </c>
      <c r="AE214" s="215">
        <f>IF(AND(ISNUMBER(AE116),ISNUMBER(AE109)),IFERROR(AE116/AE109,""),"")</f>
        <v>0.496962093818414</v>
      </c>
      <c r="AF214" s="215">
        <f>IF(AND(ISNUMBER(AF116),ISNUMBER(AF109)),IFERROR(AF116/AF109,""),"")</f>
        <v>0.455373558415511</v>
      </c>
      <c r="AG214" s="215">
        <f>IF(AND(ISNUMBER(AG116),ISNUMBER(AG109)),IFERROR(AG116/AG109,""),"")</f>
        <v>0.443125991988512</v>
      </c>
      <c r="AH214" s="215">
        <f>IF(AND(ISNUMBER(AH116),ISNUMBER(AH109)),IFERROR(AH116/AH109,""),"")</f>
        <v>0.421140817367232</v>
      </c>
      <c r="AI214" s="215">
        <f>IF(AND(ISNUMBER(AI116),ISNUMBER(AI109)),IFERROR(AI116/AI109,""),"")</f>
        <v>0.462338890859643</v>
      </c>
      <c r="AJ214" s="215">
        <f>IF(AND(ISNUMBER(AJ116),ISNUMBER(AJ109)),IFERROR(AJ116/AJ109,""),"")</f>
        <v>0.446165693613668</v>
      </c>
      <c r="AK214" s="215">
        <f>IF(AND(ISNUMBER(AK116),ISNUMBER(AK109)),IFERROR(AK116/AK109,""),"")</f>
        <v>0.220003979571533</v>
      </c>
      <c r="AL214" s="215">
        <f>IF(AND(ISNUMBER(AL116),ISNUMBER(AL109)),IFERROR(AL116/AL109,""),"")</f>
        <v>0.27395475541869</v>
      </c>
      <c r="AM214" s="215">
        <f>IF(AND(ISNUMBER(AM116),ISNUMBER(AM109)),IFERROR(AM116/AM109,""),"")</f>
        <v>0.407036029911625</v>
      </c>
      <c r="AN214" s="215">
        <f>IF(AND(ISNUMBER(AN116),ISNUMBER(AN109)),IFERROR(AN116/AN109,""),"")</f>
        <v>0.420168864434114</v>
      </c>
      <c r="AO214" s="215">
        <f>IF(AND(ISNUMBER(AO116),ISNUMBER(AO109)),IFERROR(AO116/AO109,""),"")</f>
        <v>0.339278894436822</v>
      </c>
      <c r="AP214" s="215">
        <f>IF(AND(ISNUMBER(AP116),ISNUMBER(AP109)),IFERROR(AP116/AP109,""),"")</f>
        <v>0.332243333145402</v>
      </c>
      <c r="AQ214" s="215">
        <f>IF(AND(ISNUMBER(AQ116),ISNUMBER(AQ109)),IFERROR(AQ116/AQ109,""),"")</f>
        <v>0.319098838764917</v>
      </c>
      <c r="AR214" s="215">
        <f>IF(AND(ISNUMBER(AR116),ISNUMBER(AR109)),IFERROR(AR116/AR109,""),"")</f>
        <v>0.374476013041453</v>
      </c>
      <c r="AS214" s="215">
        <f>IF(AND(ISNUMBER(AS116),ISNUMBER(AS109)),IFERROR(AS116/AS109,""),"")</f>
        <v>0.455079794813337</v>
      </c>
      <c r="AT214" s="215">
        <f>IF(AND(ISNUMBER(AT116),ISNUMBER(AT109)),IFERROR(AT116/AT109,""),"")</f>
        <v>0.380050020357122</v>
      </c>
      <c r="AU214" s="215">
        <f>IF(AND(ISNUMBER(AU116),ISNUMBER(AU109)),IFERROR(AU116/AU109,""),"")</f>
        <v>0.434756027664208</v>
      </c>
      <c r="AV214" s="215">
        <f>IF(AND(ISNUMBER(AV116),ISNUMBER(AV109)),IFERROR(AV116/AV109,""),"")</f>
        <v>0.425318980637617</v>
      </c>
      <c r="AW214" s="215">
        <f>IF(AND(ISNUMBER(AW116),ISNUMBER(AW109)),IFERROR(AW116/AW109,""),"")</f>
        <v>0.359289900034471</v>
      </c>
      <c r="AX214" s="215">
        <f>IF(AND(ISNUMBER(AX116),ISNUMBER(AX109)),IFERROR(AX116/AX109,""),"")</f>
        <v>0.373763772979715</v>
      </c>
      <c r="AY214" s="215">
        <f>IF(AND(ISNUMBER(AY116),ISNUMBER(AY109)),IFERROR(AY116/AY109,""),"")</f>
        <v>0.396450406600582</v>
      </c>
      <c r="AZ214" s="215">
        <f>IF(AND(ISNUMBER(AZ116),ISNUMBER(AZ109)),IFERROR(AZ116/AZ109,""),"")</f>
        <v>0.305432134155081</v>
      </c>
      <c r="BA214" s="215">
        <f>IF(AND(ISNUMBER(BA116),ISNUMBER(BA109)),IFERROR(BA116/BA109,""),"")</f>
        <v>0.289986815626952</v>
      </c>
      <c r="BB214" s="215">
        <f>IF(AND(ISNUMBER(BB116),ISNUMBER(BB109)),IFERROR(BB116/BB109,""),"")</f>
        <v>0.204373240961247</v>
      </c>
      <c r="BC214" s="215">
        <f>IF(AND(ISNUMBER(BC116),ISNUMBER(BC109)),IFERROR(BC116/BC109,""),"")</f>
        <v>0.198942950411938</v>
      </c>
      <c r="BD214" s="215">
        <f>IF(AND(ISNUMBER(BD116),ISNUMBER(BD109)),IFERROR(BD116/BD109,""),"")</f>
        <v>0.248214117263676</v>
      </c>
      <c r="BE214" s="215">
        <f>IF(AND(ISNUMBER(BE116),ISNUMBER(BE109)),IFERROR(BE116/BE109,""),"")</f>
        <v>0.252295339500786</v>
      </c>
      <c r="BF214" s="215">
        <f>IF(AND(ISNUMBER(BF116),ISNUMBER(BF109)),IFERROR(BF116/BF109,""),"")</f>
        <v>0.29350917216163</v>
      </c>
      <c r="BG214" s="215">
        <f>IF(AND(ISNUMBER(BG116),ISNUMBER(BG109)),IFERROR(BG116/BG109,""),"")</f>
        <v>0.402624026240262</v>
      </c>
      <c r="BH214" s="215">
        <f>IF(AND(ISNUMBER(BH116),ISNUMBER(BH109)),IFERROR(BH116/BH109,""),"")</f>
        <v>0.408466505447384</v>
      </c>
      <c r="BI214" s="215">
        <f>IF(AND(ISNUMBER(BI116),ISNUMBER(BI109)),IFERROR(BI116/BI109,""),"")</f>
        <v>0.346555277164164</v>
      </c>
      <c r="BJ214" s="215">
        <f>IF(AND(ISNUMBER(BJ116),ISNUMBER(BJ109)),IFERROR(BJ116/BJ109,""),"")</f>
        <v>0.379042655328487</v>
      </c>
      <c r="BK214" s="215">
        <f>IF(AND(ISNUMBER(BK116),ISNUMBER(BK109)),IFERROR(BK116/BK109,""),"")</f>
        <v>0.380000511888613</v>
      </c>
      <c r="BL214" s="215">
        <f>IF(AND(ISNUMBER(BL116),ISNUMBER(BL109)),IFERROR(BL116/BL109,""),"")</f>
        <v>0.427455714602479</v>
      </c>
      <c r="BM214" s="215">
        <f>IF(AND(ISNUMBER(BM116),ISNUMBER(BM109)),IFERROR(BM116/BM109,""),"")</f>
        <v>0.482897592228997</v>
      </c>
      <c r="BN214" s="215">
        <f>IF(AND(ISNUMBER(BN116),ISNUMBER(BN109)),IFERROR(BN116/BN109,""),"")</f>
        <v>0.421760354040401</v>
      </c>
      <c r="BO214" s="215">
        <f>IF(AND(ISNUMBER(BO116),ISNUMBER(BO109)),IFERROR(BO116/BO109,""),"")</f>
        <v>0.414874509618566</v>
      </c>
      <c r="BP214" s="215">
        <f>IF(AND(ISNUMBER(BP116),ISNUMBER(BP109)),IFERROR(BP116/BP109,""),"")</f>
        <v>0.430191935348093</v>
      </c>
      <c r="BQ214" s="215">
        <f>IF(AND(ISNUMBER(BQ116),ISNUMBER(BQ109)),IFERROR(BQ116/BQ109,""),"")</f>
        <v>0.400745482221615</v>
      </c>
      <c r="BR214" s="215">
        <f>IF(AND(ISNUMBER(BR116),ISNUMBER(BR109)),IFERROR(BR116/BR109,""),"")</f>
        <v>0.413153456998314</v>
      </c>
      <c r="BS214" s="215">
        <f>IF(AND(ISNUMBER(BS116),ISNUMBER(BS109)),IFERROR(BS116/BS109,""),"")</f>
        <v>0.414378551595792</v>
      </c>
      <c r="BT214" s="215">
        <f>IF(AND(ISNUMBER(BT116),ISNUMBER(BT109)),IFERROR(BT116/BT109,""),"")</f>
        <v>0.406172861430271</v>
      </c>
      <c r="BU214" s="215">
        <f>IF(AND(ISNUMBER(BU116),ISNUMBER(BU109)),IFERROR(BU116/BU109,""),"")</f>
        <v>0.308794263252249</v>
      </c>
      <c r="BV214" s="256">
        <f>IF(AND(ISNUMBER(BV116),ISNUMBER(BV109)),IFERROR(BV116/BV109,""),"")</f>
        <v>0.31710205876547</v>
      </c>
      <c r="BW214" s="256">
        <f>IF(AND(ISNUMBER(BW116),ISNUMBER(BW109)),IFERROR(BW116/BW109,""),"")</f>
        <v>0.330662530558271</v>
      </c>
      <c r="BX214" s="256">
        <f>IF(AND(ISNUMBER(BX116),ISNUMBER(BX109)),IFERROR(BX116/BX109,""),"")</f>
        <v>0.338876769884455</v>
      </c>
      <c r="BY214" s="256">
        <f>IF(AND(ISNUMBER(BY116),ISNUMBER(BY109)),IFERROR(BY116/BY109,""),"")</f>
        <v>0.339837230929959</v>
      </c>
      <c r="BZ214" s="256">
        <f>IF(AND(ISNUMBER(BZ116),ISNUMBER(BZ109)),IFERROR(BZ116/BZ109,""),"")</f>
        <v>0.341948661602544</v>
      </c>
      <c r="CA214" s="256">
        <f>IF(AND(ISNUMBER(CA116),ISNUMBER(CA109)),IFERROR(CA116/CA109,""),"")</f>
        <v>0.340429684349631</v>
      </c>
      <c r="CB214" s="256">
        <f>IF(AND(ISNUMBER(CB116),ISNUMBER(CB109)),IFERROR(CB116/CB109,""),"")</f>
        <v>0.351213288237734</v>
      </c>
      <c r="CC214" s="256">
        <f>IF(AND(ISNUMBER(CC116),ISNUMBER(CC109)),IFERROR(CC116/CC109,""),"")</f>
        <v>0.359818320091148</v>
      </c>
      <c r="CD214" s="153" t="n"/>
      <c r="CF214" s="37">
        <f>IFERROR(AVERAGE(BY214,BZ214,CA214,CB214,CC214),"n/m")</f>
        <v>0.346649437042203</v>
      </c>
      <c r="CG214" s="37">
        <f>IFERROR(AVERAGE(AY214,BD214,BI214,BN214,BS214),"n/m")</f>
        <v>0.365471741332923</v>
      </c>
      <c r="CH214" s="37">
        <f>IFERROR(AVERAGE(Z214,AE214,AJ214,AO214,AT214,AY214,BD214,BI214,BN214,BS214),"n/m")</f>
        <v>0.393944997000215</v>
      </c>
      <c r="CI214" s="37">
        <f>IFERROR(AVERAGE(C214,D214,E214,F214,K214,P214,U214,Z214,AE214,AJ214,AO214,AT214,AY214,BD214,BI214,BN214,BS214),"n/m")</f>
        <v>0.381316339001103</v>
      </c>
    </row>
    <row r="215" ht="15" customHeight="1" s="251">
      <c r="B215" s="25" t="inlineStr">
        <is>
          <t xml:space="preserve">  Net margin %</t>
        </is>
      </c>
      <c r="C215" s="215">
        <f>IF(AND(ISNUMBER(C123),ISNUMBER(C109)),IFERROR(C123/C109,""),"")</f>
        <v>0.294723294723295</v>
      </c>
      <c r="D215" s="215">
        <f>IF(AND(ISNUMBER(D123),ISNUMBER(D109)),IFERROR(D123/D109,""),"")</f>
        <v>0.306990881458967</v>
      </c>
      <c r="E215" s="215">
        <f>IF(AND(ISNUMBER(E123),ISNUMBER(E109)),IFERROR(E123/E109,""),"")</f>
        <v>0.269469145782808</v>
      </c>
      <c r="F215" s="215">
        <f>IF(AND(ISNUMBER(F123),ISNUMBER(F109)),IFERROR(F123/F109,""),"")</f>
        <v>0.0104146197681273</v>
      </c>
      <c r="G215" s="215">
        <f>IF(AND(ISNUMBER(G123),ISNUMBER(G109)),IFERROR(G123/G109,""),"")</f>
        <v>0.150205761316872</v>
      </c>
      <c r="H215" s="215">
        <f>IF(AND(ISNUMBER(H123),ISNUMBER(H109)),IFERROR(H123/H109,""),"")</f>
        <v>0.183673469387755</v>
      </c>
      <c r="I215" s="215">
        <f>IF(AND(ISNUMBER(I123),ISNUMBER(I109)),IFERROR(I123/I109,""),"")</f>
        <v>0.210813492063492</v>
      </c>
      <c r="J215" s="215">
        <f>IF(AND(ISNUMBER(J123),ISNUMBER(J109)),IFERROR(J123/J109,""),"")</f>
        <v>0.202321083172147</v>
      </c>
      <c r="K215" s="215">
        <f>IF(AND(ISNUMBER(K123),ISNUMBER(K109)),IFERROR(K123/K109,""),"")</f>
        <v>0.190548780487805</v>
      </c>
      <c r="L215" s="215">
        <f>IF(AND(ISNUMBER(L123),ISNUMBER(L109)),IFERROR(L123/L109,""),"")</f>
        <v>0.256594724220624</v>
      </c>
      <c r="M215" s="215">
        <f>IF(AND(ISNUMBER(M123),ISNUMBER(M109)),IFERROR(M123/M109,""),"")</f>
        <v>0.271821305841924</v>
      </c>
      <c r="N215" s="215">
        <f>IF(AND(ISNUMBER(N123),ISNUMBER(N109)),IFERROR(N123/N109,""),"")</f>
        <v>0.251639088354668</v>
      </c>
      <c r="O215" s="215">
        <f>IF(AND(ISNUMBER(O123),ISNUMBER(O109)),IFERROR(O123/O109,""),"")</f>
        <v>0.182030641391846</v>
      </c>
      <c r="P215" s="215">
        <f>IF(AND(ISNUMBER(P123),ISNUMBER(P109)),IFERROR(P123/P109,""),"")</f>
        <v>0.235841488849671</v>
      </c>
      <c r="Q215" s="215">
        <f>IF(AND(ISNUMBER(Q123),ISNUMBER(Q109)),IFERROR(Q123/Q109,""),"")</f>
        <v>0.144510302003951</v>
      </c>
      <c r="R215" s="215">
        <f>IF(AND(ISNUMBER(R123),ISNUMBER(R109)),IFERROR(R123/R109,""),"")</f>
        <v>0.177882236516576</v>
      </c>
      <c r="S215" s="215">
        <f>IF(AND(ISNUMBER(S123),ISNUMBER(S109)),IFERROR(S123/S109,""),"")</f>
        <v>0.199066874027994</v>
      </c>
      <c r="T215" s="215">
        <f>IF(AND(ISNUMBER(T123),ISNUMBER(T109)),IFERROR(T123/T109,""),"")</f>
        <v>0.267419962335217</v>
      </c>
      <c r="U215" s="215">
        <f>IF(AND(ISNUMBER(U123),ISNUMBER(U109)),IFERROR(U123/U109,""),"")</f>
        <v>0.205711735832218</v>
      </c>
      <c r="V215" s="215">
        <f>IF(AND(ISNUMBER(V123),ISNUMBER(V109)),IFERROR(V123/V109,""),"")</f>
        <v>0.280564845782237</v>
      </c>
      <c r="W215" s="215">
        <f>IF(AND(ISNUMBER(W123),ISNUMBER(W109)),IFERROR(W123/W109,""),"")</f>
        <v>0.319297700435053</v>
      </c>
      <c r="X215" s="215">
        <f>IF(AND(ISNUMBER(X123),ISNUMBER(X109)),IFERROR(X123/X109,""),"")</f>
        <v>0.339323919554985</v>
      </c>
      <c r="Y215" s="215">
        <f>IF(AND(ISNUMBER(Y123),ISNUMBER(Y109)),IFERROR(Y123/Y109,""),"")</f>
        <v>0.405040299693495</v>
      </c>
      <c r="Z215" s="215">
        <f>IF(AND(ISNUMBER(Z123),ISNUMBER(Z109)),IFERROR(Z123/Z109,""),"")</f>
        <v>0.369672190462407</v>
      </c>
      <c r="AA215" s="215">
        <f>IF(AND(ISNUMBER(AA123),ISNUMBER(AA109)),IFERROR(AA123/AA109,""),"")</f>
        <v>0.381474103585657</v>
      </c>
      <c r="AB215" s="215">
        <f>IF(AND(ISNUMBER(AB123),ISNUMBER(AB109)),IFERROR(AB123/AB109,""),"")</f>
        <v>0.417766334084326</v>
      </c>
      <c r="AC215" s="215">
        <f>IF(AND(ISNUMBER(AC123),ISNUMBER(AC109)),IFERROR(AC123/AC109,""),"")</f>
        <v>0.455751355538342</v>
      </c>
      <c r="AD215" s="215">
        <f>IF(AND(ISNUMBER(AD123),ISNUMBER(AD109)),IFERROR(AD123/AD109,""),"")</f>
        <v>0.329016342892384</v>
      </c>
      <c r="AE215" s="215">
        <f>IF(AND(ISNUMBER(AE123),ISNUMBER(AE109)),IFERROR(AE123/AE109,""),"")</f>
        <v>0.391951393501095</v>
      </c>
      <c r="AF215" s="215">
        <f>IF(AND(ISNUMBER(AF123),ISNUMBER(AF109)),IFERROR(AF123/AF109,""),"")</f>
        <v>0.416847735249875</v>
      </c>
      <c r="AG215" s="215">
        <f>IF(AND(ISNUMBER(AG123),ISNUMBER(AG109)),IFERROR(AG123/AG109,""),"")</f>
        <v>0.385911873630111</v>
      </c>
      <c r="AH215" s="215">
        <f>IF(AND(ISNUMBER(AH123),ISNUMBER(AH109)),IFERROR(AH123/AH109,""),"")</f>
        <v>0.374225977999563</v>
      </c>
      <c r="AI215" s="215">
        <f>IF(AND(ISNUMBER(AI123),ISNUMBER(AI109)),IFERROR(AI123/AI109,""),"")</f>
        <v>0.406881873004612</v>
      </c>
      <c r="AJ215" s="215">
        <f>IF(AND(ISNUMBER(AJ123),ISNUMBER(AJ109)),IFERROR(AJ123/AJ109,""),"")</f>
        <v>0.396002722160536</v>
      </c>
      <c r="AK215" s="215">
        <f>IF(AND(ISNUMBER(AK123),ISNUMBER(AK109)),IFERROR(AK123/AK109,""),"")</f>
        <v>0.161106320886118</v>
      </c>
      <c r="AL215" s="215">
        <f>IF(AND(ISNUMBER(AL123),ISNUMBER(AL109)),IFERROR(AL123/AL109,""),"")</f>
        <v>0.154921236527301</v>
      </c>
      <c r="AM215" s="215">
        <f>IF(AND(ISNUMBER(AM123),ISNUMBER(AM109)),IFERROR(AM123/AM109,""),"")</f>
        <v>0.345060049852708</v>
      </c>
      <c r="AN215" s="215">
        <f>IF(AND(ISNUMBER(AN123),ISNUMBER(AN109)),IFERROR(AN123/AN109,""),"")</f>
        <v>0.34859121525472</v>
      </c>
      <c r="AO215" s="215">
        <f>IF(AND(ISNUMBER(AO123),ISNUMBER(AO109)),IFERROR(AO123/AO109,""),"")</f>
        <v>0.26146795479299</v>
      </c>
      <c r="AP215" s="215">
        <f>IF(AND(ISNUMBER(AP123),ISNUMBER(AP109)),IFERROR(AP123/AP109,""),"")</f>
        <v>0.276371426960591</v>
      </c>
      <c r="AQ215" s="215">
        <f>IF(AND(ISNUMBER(AQ123),ISNUMBER(AQ109)),IFERROR(AQ123/AQ109,""),"")</f>
        <v>0.277091025846845</v>
      </c>
      <c r="AR215" s="215">
        <f>IF(AND(ISNUMBER(AR123),ISNUMBER(AR109)),IFERROR(AR123/AR109,""),"")</f>
        <v>0.365440149045179</v>
      </c>
      <c r="AS215" s="215">
        <f>IF(AND(ISNUMBER(AS123),ISNUMBER(AS109)),IFERROR(AS123/AS109,""),"")</f>
        <v>0.39965089769165</v>
      </c>
      <c r="AT215" s="215">
        <f>IF(AND(ISNUMBER(AT123),ISNUMBER(AT109)),IFERROR(AT123/AT109,""),"")</f>
        <v>0.339044960158204</v>
      </c>
      <c r="AU215" s="215">
        <f>IF(AND(ISNUMBER(AU123),ISNUMBER(AU109)),IFERROR(AU123/AU109,""),"")</f>
        <v>0.362882579954912</v>
      </c>
      <c r="AV215" s="215">
        <f>IF(AND(ISNUMBER(AV123),ISNUMBER(AV109)),IFERROR(AV123/AV109,""),"")</f>
        <v>0.357464662791897</v>
      </c>
      <c r="AW215" s="215">
        <f>IF(AND(ISNUMBER(AW123),ISNUMBER(AW109)),IFERROR(AW123/AW109,""),"")</f>
        <v>0.316925198207515</v>
      </c>
      <c r="AX215" s="215">
        <f>IF(AND(ISNUMBER(AX123),ISNUMBER(AX109)),IFERROR(AX123/AX109,""),"")</f>
        <v>0.305455733420451</v>
      </c>
      <c r="AY215" s="215">
        <f>IF(AND(ISNUMBER(AY123),ISNUMBER(AY109)),IFERROR(AY123/AY109,""),"")</f>
        <v>0.333844940599853</v>
      </c>
      <c r="AZ215" s="215">
        <f>IF(AND(ISNUMBER(AZ123),ISNUMBER(AZ109)),IFERROR(AZ123/AZ109,""),"")</f>
        <v>0.267486025512398</v>
      </c>
      <c r="BA215" s="215">
        <f>IF(AND(ISNUMBER(BA123),ISNUMBER(BA109)),IFERROR(BA123/BA109,""),"")</f>
        <v>0.23201026993269</v>
      </c>
      <c r="BB215" s="215">
        <f>IF(AND(ISNUMBER(BB123),ISNUMBER(BB109)),IFERROR(BB123/BB109,""),"")</f>
        <v>0.158584109114527</v>
      </c>
      <c r="BC215" s="215">
        <f>IF(AND(ISNUMBER(BC123),ISNUMBER(BC109)),IFERROR(BC123/BC109,""),"")</f>
        <v>0.144629255401834</v>
      </c>
      <c r="BD215" s="215">
        <f>IF(AND(ISNUMBER(BD123),ISNUMBER(BD109)),IFERROR(BD123/BD109,""),"")</f>
        <v>0.19895548371052</v>
      </c>
      <c r="BE215" s="215">
        <f>IF(AND(ISNUMBER(BE123),ISNUMBER(BE109)),IFERROR(BE123/BE109,""),"")</f>
        <v>0.199301797870484</v>
      </c>
      <c r="BF215" s="215">
        <f>IF(AND(ISNUMBER(BF123),ISNUMBER(BF109)),IFERROR(BF123/BF109,""),"")</f>
        <v>0.243382605706428</v>
      </c>
      <c r="BG215" s="215">
        <f>IF(AND(ISNUMBER(BG123),ISNUMBER(BG109)),IFERROR(BG123/BG109,""),"")</f>
        <v>0.339219820769636</v>
      </c>
      <c r="BH215" s="215">
        <f>IF(AND(ISNUMBER(BH123),ISNUMBER(BH109)),IFERROR(BH123/BH109,""),"")</f>
        <v>0.349455261648924</v>
      </c>
      <c r="BI215" s="215">
        <f>IF(AND(ISNUMBER(BI123),ISNUMBER(BI109)),IFERROR(BI123/BI109,""),"")</f>
        <v>0.289825206446161</v>
      </c>
      <c r="BJ215" s="215">
        <f>IF(AND(ISNUMBER(BJ123),ISNUMBER(BJ109)),IFERROR(BJ123/BJ109,""),"")</f>
        <v>0.339295021259087</v>
      </c>
      <c r="BK215" s="215">
        <f>IF(AND(ISNUMBER(BK123),ISNUMBER(BK109)),IFERROR(BK123/BK109,""),"")</f>
        <v>0.344629008727701</v>
      </c>
      <c r="BL215" s="215">
        <f>IF(AND(ISNUMBER(BL123),ISNUMBER(BL109)),IFERROR(BL123/BL109,""),"")</f>
        <v>0.386508659981769</v>
      </c>
      <c r="BM215" s="215">
        <f>IF(AND(ISNUMBER(BM123),ISNUMBER(BM109)),IFERROR(BM123/BM109,""),"")</f>
        <v>0.43067066239537</v>
      </c>
      <c r="BN215" s="215">
        <f>IF(AND(ISNUMBER(BN123),ISNUMBER(BN109)),IFERROR(BN123/BN109,""),"")</f>
        <v>0.379085841423456</v>
      </c>
      <c r="BO215" s="215">
        <f>IF(AND(ISNUMBER(BO123),ISNUMBER(BO109)),IFERROR(BO123/BO109,""),"")</f>
        <v>0.393344992201163</v>
      </c>
      <c r="BP215" s="215">
        <f>IF(AND(ISNUMBER(BP123),ISNUMBER(BP109)),IFERROR(BP123/BP109,""),"")</f>
        <v>0.385912113814294</v>
      </c>
      <c r="BQ215" s="215">
        <f>IF(AND(ISNUMBER(BQ123),ISNUMBER(BQ109)),IFERROR(BQ123/BQ109,""),"")</f>
        <v>0.0528667889621795</v>
      </c>
      <c r="BR215" s="215">
        <f>IF(AND(ISNUMBER(BR123),ISNUMBER(BR109)),IFERROR(BR123/BR109,""),"")</f>
        <v>0.380144591187618</v>
      </c>
      <c r="BS215" s="215">
        <f>IF(AND(ISNUMBER(BS123),ISNUMBER(BS109)),IFERROR(BS123/BS109,""),"")</f>
        <v>0.300836957495298</v>
      </c>
      <c r="BT215" s="215">
        <f>IF(AND(ISNUMBER(BT123),ISNUMBER(BT109)),IFERROR(BT123/BT109,""),"")</f>
        <v>0.475448846584149</v>
      </c>
      <c r="BU215" s="215">
        <f>IF(AND(ISNUMBER(BU123),ISNUMBER(BU109)),IFERROR(BU123/BU109,""),"")</f>
        <v>0.260653607670927</v>
      </c>
      <c r="BV215" s="256">
        <f>IF(AND(ISNUMBER(BV123),ISNUMBER(BV109)),IFERROR(BV123/BV109,""),"")</f>
        <v>0.266690009682995</v>
      </c>
      <c r="BW215" s="256">
        <f>IF(AND(ISNUMBER(BW123),ISNUMBER(BW109)),IFERROR(BW123/BW109,""),"")</f>
        <v>0.278034207010065</v>
      </c>
      <c r="BX215" s="256">
        <f>IF(AND(ISNUMBER(BX123),ISNUMBER(BX109)),IFERROR(BX123/BX109,""),"")</f>
        <v>0.315052537894857</v>
      </c>
      <c r="BY215" s="256">
        <f>IF(AND(ISNUMBER(BY123),ISNUMBER(BY109)),IFERROR(BY123/BY109,""),"")</f>
        <v>0.27965022244277</v>
      </c>
      <c r="BZ215" s="256">
        <f>IF(AND(ISNUMBER(BZ123),ISNUMBER(BZ109)),IFERROR(BZ123/BZ109,""),"")</f>
        <v>0.279493281051233</v>
      </c>
      <c r="CA215" s="256">
        <f>IF(AND(ISNUMBER(CA123),ISNUMBER(CA109)),IFERROR(CA123/CA109,""),"")</f>
        <v>0.279418718903782</v>
      </c>
      <c r="CB215" s="256">
        <f>IF(AND(ISNUMBER(CB123),ISNUMBER(CB109)),IFERROR(CB123/CB109,""),"")</f>
        <v>0.286561093461384</v>
      </c>
      <c r="CC215" s="256">
        <f>IF(AND(ISNUMBER(CC123),ISNUMBER(CC109)),IFERROR(CC123/CC109,""),"")</f>
        <v>0.293817238020328</v>
      </c>
      <c r="CD215" s="153" t="n"/>
      <c r="CF215" s="37">
        <f>IFERROR(AVERAGE(BY215,BZ215,CA215,CB215,CC215),"n/m")</f>
        <v>0.283788110775899</v>
      </c>
      <c r="CG215" s="37">
        <f>IFERROR(AVERAGE(AY215,BD215,BI215,BN215,BS215),"n/m")</f>
        <v>0.300509685935057</v>
      </c>
      <c r="CH215" s="37">
        <f>IFERROR(AVERAGE(Z215,AE215,AJ215,AO215,AT215,AY215,BD215,BI215,BN215,BS215),"n/m")</f>
        <v>0.326068765075052</v>
      </c>
      <c r="CI215" s="37">
        <f>IFERROR(AVERAGE(C215,D215,E215,F215,K215,P215,U215,Z215,AE215,AJ215,AO215,AT215,AY215,BD215,BI215,BN215,BS215),"n/m")</f>
        <v>0.28084632927373</v>
      </c>
    </row>
    <row r="216" ht="15" customHeight="1" s="251">
      <c r="CL216" s="11" t="n"/>
      <c r="CM216" s="12" t="n"/>
      <c r="CN216" s="12" t="n"/>
      <c r="CO216" s="12" t="n"/>
      <c r="CP216" s="13" t="n"/>
    </row>
    <row r="217" ht="15" customHeight="1" s="251">
      <c r="B217" s="10" t="inlineStr">
        <is>
          <t>CONSOLIDATED STATEMENTS OF CASH FLOWS</t>
        </is>
      </c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n"/>
      <c r="AN217" s="10" t="n"/>
      <c r="AO217" s="10" t="n"/>
      <c r="AP217" s="10" t="n"/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0" t="n"/>
      <c r="BC217" s="10" t="n"/>
      <c r="BD217" s="10" t="n"/>
      <c r="BE217" s="10" t="n"/>
      <c r="BF217" s="10" t="n"/>
      <c r="BG217" s="10" t="n"/>
      <c r="BH217" s="10" t="n"/>
      <c r="BI217" s="10" t="n"/>
      <c r="BJ217" s="10" t="n"/>
      <c r="BK217" s="10" t="n"/>
      <c r="BL217" s="10" t="n"/>
      <c r="BM217" s="10" t="n"/>
      <c r="BN217" s="10" t="n"/>
      <c r="BO217" s="10" t="n"/>
      <c r="BP217" s="10" t="n"/>
      <c r="BQ217" s="10" t="n"/>
      <c r="BR217" s="10" t="n"/>
      <c r="BS217" s="10" t="n"/>
      <c r="BT217" s="10" t="n"/>
      <c r="BU217" s="10" t="n"/>
      <c r="BV217" s="10" t="n"/>
      <c r="BW217" s="10" t="n"/>
      <c r="BX217" s="10" t="n"/>
      <c r="BY217" s="10" t="n"/>
      <c r="BZ217" s="10" t="n"/>
      <c r="CA217" s="10" t="n"/>
      <c r="CB217" s="10" t="n"/>
      <c r="CC217" s="10" t="n"/>
      <c r="CD217" s="10" t="inlineStr">
        <is>
          <t>CASH FLOW — forecast logic (annual; 2026E = 1H/26 actual + 2H estimate; quarters as published — three-month statements in every release)</t>
        </is>
      </c>
    </row>
    <row r="218" ht="15" customHeight="1" s="251">
      <c r="B218" s="25" t="inlineStr">
        <is>
          <t>Net income</t>
        </is>
      </c>
      <c r="C218" s="261" t="n">
        <v>229</v>
      </c>
      <c r="D218" s="261" t="n">
        <v>606</v>
      </c>
      <c r="E218" s="261" t="n">
        <v>1000</v>
      </c>
      <c r="F218" s="261" t="n">
        <v>53</v>
      </c>
      <c r="G218" s="261" t="n">
        <v>219</v>
      </c>
      <c r="H218" s="261" t="n">
        <v>333</v>
      </c>
      <c r="I218" s="261" t="n">
        <v>425</v>
      </c>
      <c r="J218" s="261" t="n">
        <v>523</v>
      </c>
      <c r="K218" s="261" t="n">
        <v>1500</v>
      </c>
      <c r="L218" s="261" t="n">
        <v>642</v>
      </c>
      <c r="M218" s="261" t="n">
        <v>791</v>
      </c>
      <c r="N218" s="261" t="n">
        <v>806</v>
      </c>
      <c r="O218" s="261" t="n">
        <v>701</v>
      </c>
      <c r="P218" s="261" t="n">
        <v>2940</v>
      </c>
      <c r="Q218" s="261" t="n">
        <v>512</v>
      </c>
      <c r="R218" s="261" t="n">
        <v>719</v>
      </c>
      <c r="S218" s="261" t="n">
        <v>896</v>
      </c>
      <c r="T218" s="261" t="n">
        <v>1562</v>
      </c>
      <c r="U218" s="261" t="n">
        <v>3688</v>
      </c>
      <c r="V218" s="261" t="n">
        <v>1510</v>
      </c>
      <c r="W218" s="261" t="n">
        <v>2055</v>
      </c>
      <c r="X218" s="261" t="n">
        <v>2379</v>
      </c>
      <c r="Y218" s="261" t="n">
        <v>3568</v>
      </c>
      <c r="Z218" s="261" t="n">
        <v>10217</v>
      </c>
      <c r="AA218" s="261" t="n">
        <v>3064</v>
      </c>
      <c r="AB218" s="261" t="n">
        <v>3894</v>
      </c>
      <c r="AC218" s="261" t="n">
        <v>4707</v>
      </c>
      <c r="AD218" s="261" t="n">
        <v>4268</v>
      </c>
      <c r="AE218" s="261" t="n">
        <v>15934</v>
      </c>
      <c r="AF218" s="261" t="n">
        <v>4988</v>
      </c>
      <c r="AG218" s="261" t="n">
        <v>5106</v>
      </c>
      <c r="AH218" s="261" t="n">
        <v>5137</v>
      </c>
      <c r="AI218" s="261" t="n">
        <v>6882</v>
      </c>
      <c r="AJ218" s="261" t="n">
        <v>22112</v>
      </c>
      <c r="AK218" s="261" t="n">
        <v>2429</v>
      </c>
      <c r="AL218" s="261" t="n">
        <v>2616</v>
      </c>
      <c r="AM218" s="261" t="n">
        <v>6091</v>
      </c>
      <c r="AN218" s="261" t="n">
        <v>7349</v>
      </c>
      <c r="AO218" s="261" t="n">
        <v>18485</v>
      </c>
      <c r="AP218" s="261" t="n">
        <v>4902</v>
      </c>
      <c r="AQ218" s="261" t="n">
        <v>5178</v>
      </c>
      <c r="AR218" s="261" t="n">
        <v>7846</v>
      </c>
      <c r="AS218" s="261" t="n">
        <v>11219</v>
      </c>
      <c r="AT218" s="261" t="n">
        <v>29146</v>
      </c>
      <c r="AU218" s="261" t="n">
        <v>9497</v>
      </c>
      <c r="AV218" s="261" t="n">
        <v>10394</v>
      </c>
      <c r="AW218" s="261" t="n">
        <v>9194</v>
      </c>
      <c r="AX218" s="261" t="n">
        <v>10285</v>
      </c>
      <c r="AY218" s="261" t="n">
        <v>39370</v>
      </c>
      <c r="AZ218" s="261" t="n">
        <v>7465</v>
      </c>
      <c r="BA218" s="261" t="n">
        <v>6687</v>
      </c>
      <c r="BB218" s="261" t="n">
        <v>4395</v>
      </c>
      <c r="BC218" s="261" t="n">
        <v>4652</v>
      </c>
      <c r="BD218" s="261" t="n">
        <v>23200</v>
      </c>
      <c r="BE218" s="261" t="n">
        <v>5709</v>
      </c>
      <c r="BF218" s="261" t="n">
        <v>7788</v>
      </c>
      <c r="BG218" s="261" t="n">
        <v>11583</v>
      </c>
      <c r="BH218" s="261" t="n">
        <v>14017</v>
      </c>
      <c r="BI218" s="261" t="n">
        <v>39098</v>
      </c>
      <c r="BJ218" s="261" t="n">
        <v>12369</v>
      </c>
      <c r="BK218" s="261" t="n">
        <v>13465</v>
      </c>
      <c r="BL218" s="261" t="n">
        <v>15688</v>
      </c>
      <c r="BM218" s="261" t="n">
        <v>20838</v>
      </c>
      <c r="BN218" s="261" t="n">
        <v>62360</v>
      </c>
      <c r="BO218" s="261" t="n">
        <v>16644</v>
      </c>
      <c r="BP218" s="261" t="n">
        <v>18337</v>
      </c>
      <c r="BQ218" s="261" t="n">
        <v>2709</v>
      </c>
      <c r="BR218" s="261" t="n">
        <v>22768</v>
      </c>
      <c r="BS218" s="261" t="n">
        <v>60458</v>
      </c>
      <c r="BT218" s="261" t="n">
        <v>26773</v>
      </c>
      <c r="BU218" s="261" t="n">
        <v>15848</v>
      </c>
      <c r="BV218" s="35" t="n"/>
      <c r="BW218" s="35" t="n"/>
      <c r="BX218" s="263">
        <f>BX123</f>
        <v>79582.400726179</v>
      </c>
      <c r="BY218" s="263">
        <f>BY123</f>
        <v>84127.3640086451</v>
      </c>
      <c r="BZ218" s="263">
        <f>BZ123</f>
        <v>97359.2468047338</v>
      </c>
      <c r="CA218" s="263">
        <f>CA123</f>
        <v>110612.770596189</v>
      </c>
      <c r="CB218" s="263">
        <f>CB123</f>
        <v>126479.059510941</v>
      </c>
      <c r="CC218" s="263">
        <f>CC123</f>
        <v>143129.453220713</v>
      </c>
      <c r="CD218" s="19" t="n"/>
    </row>
    <row r="219" ht="15" customHeight="1" s="251">
      <c r="B219" s="25" t="inlineStr">
        <is>
          <t>Non-cash items:</t>
        </is>
      </c>
      <c r="CD219" s="153" t="n"/>
    </row>
    <row r="220" ht="15" customHeight="1" s="251">
      <c r="B220" s="25" t="inlineStr">
        <is>
          <t xml:space="preserve">  Depreciation and amortization</t>
        </is>
      </c>
      <c r="C220" s="261" t="n">
        <v>78</v>
      </c>
      <c r="D220" s="261" t="n">
        <v>139</v>
      </c>
      <c r="E220" s="261" t="n">
        <v>323</v>
      </c>
      <c r="F220" s="261" t="n">
        <v>649</v>
      </c>
      <c r="G220" s="261" t="n">
        <v>241</v>
      </c>
      <c r="H220" s="261" t="n">
        <v>230</v>
      </c>
      <c r="I220" s="261" t="n">
        <v>274</v>
      </c>
      <c r="J220" s="261" t="n">
        <v>274</v>
      </c>
      <c r="K220" s="261" t="n">
        <v>1011</v>
      </c>
      <c r="L220" s="261" t="n">
        <v>264</v>
      </c>
      <c r="M220" s="261" t="n">
        <v>257</v>
      </c>
      <c r="N220" s="261" t="n">
        <v>289</v>
      </c>
      <c r="O220" s="261" t="n">
        <v>433</v>
      </c>
      <c r="P220" s="261" t="n">
        <v>1243</v>
      </c>
      <c r="Q220" s="261" t="n">
        <v>457</v>
      </c>
      <c r="R220" s="261" t="n">
        <v>459</v>
      </c>
      <c r="S220" s="261" t="n">
        <v>486</v>
      </c>
      <c r="T220" s="261" t="n">
        <v>543</v>
      </c>
      <c r="U220" s="261" t="n">
        <v>1945</v>
      </c>
      <c r="V220" s="261" t="n">
        <v>552</v>
      </c>
      <c r="W220" s="261" t="n">
        <v>585</v>
      </c>
      <c r="X220" s="261" t="n">
        <v>591</v>
      </c>
      <c r="Y220" s="261" t="n">
        <v>614</v>
      </c>
      <c r="Z220" s="261" t="n">
        <v>2342</v>
      </c>
      <c r="AA220" s="261" t="n">
        <v>671</v>
      </c>
      <c r="AB220" s="261" t="n">
        <v>728</v>
      </c>
      <c r="AC220" s="261" t="n">
        <v>773</v>
      </c>
      <c r="AD220" s="261" t="n">
        <v>853</v>
      </c>
      <c r="AE220" s="261" t="n">
        <v>3025</v>
      </c>
      <c r="AF220" s="261" t="n">
        <v>949</v>
      </c>
      <c r="AG220" s="261" t="n">
        <v>1034</v>
      </c>
      <c r="AH220" s="261" t="n">
        <v>1107</v>
      </c>
      <c r="AI220" s="261" t="n">
        <v>1225</v>
      </c>
      <c r="AJ220" s="261" t="n">
        <v>4315</v>
      </c>
      <c r="AK220" s="261" t="n">
        <v>1355</v>
      </c>
      <c r="AL220" s="261" t="n">
        <v>1502</v>
      </c>
      <c r="AM220" s="261" t="n">
        <v>1416</v>
      </c>
      <c r="AN220" s="261" t="n">
        <v>1468</v>
      </c>
      <c r="AO220" s="261" t="n">
        <v>5741</v>
      </c>
      <c r="AP220" s="261" t="n">
        <v>1597</v>
      </c>
      <c r="AQ220" s="261" t="n">
        <v>1704</v>
      </c>
      <c r="AR220" s="261" t="n">
        <v>1698</v>
      </c>
      <c r="AS220" s="261" t="n">
        <v>1863</v>
      </c>
      <c r="AT220" s="261" t="n">
        <v>6862</v>
      </c>
      <c r="AU220" s="261" t="n">
        <v>1972</v>
      </c>
      <c r="AV220" s="261" t="n">
        <v>1985</v>
      </c>
      <c r="AW220" s="261" t="n">
        <v>1995</v>
      </c>
      <c r="AX220" s="261" t="n">
        <v>2014</v>
      </c>
      <c r="AY220" s="261" t="n">
        <v>7967</v>
      </c>
      <c r="AZ220" s="261" t="n">
        <v>2156</v>
      </c>
      <c r="BA220" s="261" t="n">
        <v>1979</v>
      </c>
      <c r="BB220" s="261" t="n">
        <v>2175</v>
      </c>
      <c r="BC220" s="261" t="n">
        <v>2376</v>
      </c>
      <c r="BD220" s="261" t="n">
        <v>8686</v>
      </c>
      <c r="BE220" s="261" t="n">
        <v>2524</v>
      </c>
      <c r="BF220" s="261" t="n">
        <v>2623</v>
      </c>
      <c r="BG220" s="261" t="n">
        <v>2858</v>
      </c>
      <c r="BH220" s="261" t="n">
        <v>3172</v>
      </c>
      <c r="BI220" s="261" t="n">
        <v>11178</v>
      </c>
      <c r="BJ220" s="261" t="n">
        <v>3374</v>
      </c>
      <c r="BK220" s="261" t="n">
        <v>3637</v>
      </c>
      <c r="BL220" s="261" t="n">
        <v>4027</v>
      </c>
      <c r="BM220" s="261" t="n">
        <v>4460</v>
      </c>
      <c r="BN220" s="261" t="n">
        <v>15498</v>
      </c>
      <c r="BO220" s="261" t="n">
        <v>3900</v>
      </c>
      <c r="BP220" s="261" t="n">
        <v>4342</v>
      </c>
      <c r="BQ220" s="261" t="n">
        <v>4963</v>
      </c>
      <c r="BR220" s="261" t="n">
        <v>5411</v>
      </c>
      <c r="BS220" s="261" t="n">
        <v>18616</v>
      </c>
      <c r="BT220" s="261" t="n">
        <v>5999</v>
      </c>
      <c r="BU220" s="261" t="n">
        <v>6356</v>
      </c>
      <c r="BV220" s="35" t="n"/>
      <c r="BW220" s="35" t="n"/>
      <c r="BX220" s="263">
        <f>BX129</f>
        <v>26432.9044</v>
      </c>
      <c r="BY220" s="263">
        <f>BY129</f>
        <v>40661.1064874044</v>
      </c>
      <c r="BZ220" s="263">
        <f>BZ129</f>
        <v>51572.4984178311</v>
      </c>
      <c r="CA220" s="263">
        <f>CA129</f>
        <v>63168.6910177044</v>
      </c>
      <c r="CB220" s="263">
        <f>CB129</f>
        <v>70083.4636130835</v>
      </c>
      <c r="CC220" s="263">
        <f>CC129</f>
        <v>75594.8464592438</v>
      </c>
      <c r="CD220" s="19" t="n"/>
    </row>
    <row r="221" ht="15" customHeight="1" s="251">
      <c r="B221" s="25" t="inlineStr">
        <is>
          <t xml:space="preserve">  Share-based compensation</t>
        </is>
      </c>
      <c r="C221" s="261" t="n">
        <v>27</v>
      </c>
      <c r="D221" s="261" t="n">
        <v>20</v>
      </c>
      <c r="E221" s="261" t="n">
        <v>217</v>
      </c>
      <c r="F221" s="261" t="n">
        <v>1572</v>
      </c>
      <c r="G221" s="261" t="n">
        <v>170</v>
      </c>
      <c r="H221" s="261" t="n">
        <v>224</v>
      </c>
      <c r="I221" s="261" t="n">
        <v>239</v>
      </c>
      <c r="J221" s="261" t="n">
        <v>273</v>
      </c>
      <c r="K221" s="261" t="n">
        <v>906</v>
      </c>
      <c r="L221" s="261" t="n">
        <v>274</v>
      </c>
      <c r="M221" s="261" t="n">
        <v>314</v>
      </c>
      <c r="N221" s="261" t="n">
        <v>353</v>
      </c>
      <c r="O221" s="261" t="n">
        <v>845</v>
      </c>
      <c r="P221" s="261" t="n">
        <v>1786</v>
      </c>
      <c r="Q221" s="261" t="n">
        <v>694</v>
      </c>
      <c r="R221" s="261" t="n">
        <v>763</v>
      </c>
      <c r="S221" s="261" t="n">
        <v>757</v>
      </c>
      <c r="T221" s="261" t="n">
        <v>746</v>
      </c>
      <c r="U221" s="261" t="n">
        <v>2960</v>
      </c>
      <c r="V221" s="261" t="n">
        <v>747</v>
      </c>
      <c r="W221" s="261" t="n">
        <v>805</v>
      </c>
      <c r="X221" s="261" t="n">
        <v>819</v>
      </c>
      <c r="Y221" s="261" t="n">
        <v>831</v>
      </c>
      <c r="Z221" s="261" t="n">
        <v>3218</v>
      </c>
      <c r="AA221" s="261" t="n">
        <v>867</v>
      </c>
      <c r="AB221" s="261" t="n">
        <v>1032</v>
      </c>
      <c r="AC221" s="261" t="n">
        <v>1010</v>
      </c>
      <c r="AD221" s="261" t="n">
        <v>814</v>
      </c>
      <c r="AE221" s="261" t="n">
        <v>3723</v>
      </c>
      <c r="AF221" s="261" t="n">
        <v>955</v>
      </c>
      <c r="AG221" s="261" t="n">
        <v>1186</v>
      </c>
      <c r="AH221" s="261" t="n">
        <v>1040</v>
      </c>
      <c r="AI221" s="261" t="n">
        <v>971</v>
      </c>
      <c r="AJ221" s="261" t="n">
        <v>4152</v>
      </c>
      <c r="AK221" s="261" t="n">
        <v>1010</v>
      </c>
      <c r="AL221" s="261" t="n">
        <v>1303</v>
      </c>
      <c r="AM221" s="261" t="n">
        <v>1249</v>
      </c>
      <c r="AN221" s="261" t="n">
        <v>1273</v>
      </c>
      <c r="AO221" s="261" t="n">
        <v>4836</v>
      </c>
      <c r="AP221" s="261" t="n">
        <v>1335</v>
      </c>
      <c r="AQ221" s="261" t="n">
        <v>1695</v>
      </c>
      <c r="AR221" s="261" t="n">
        <v>1722</v>
      </c>
      <c r="AS221" s="261" t="n">
        <v>1784</v>
      </c>
      <c r="AT221" s="261" t="n">
        <v>6536</v>
      </c>
      <c r="AU221" s="261" t="n">
        <v>1830</v>
      </c>
      <c r="AV221" s="261" t="n">
        <v>2548</v>
      </c>
      <c r="AW221" s="261" t="n">
        <v>2379</v>
      </c>
      <c r="AX221" s="261" t="n">
        <v>2406</v>
      </c>
      <c r="AY221" s="261" t="n">
        <v>9164</v>
      </c>
      <c r="AZ221" s="261" t="n">
        <v>2498</v>
      </c>
      <c r="BA221" s="261" t="n">
        <v>3351</v>
      </c>
      <c r="BB221" s="261" t="n">
        <v>3134</v>
      </c>
      <c r="BC221" s="261" t="n">
        <v>3008</v>
      </c>
      <c r="BD221" s="261" t="n">
        <v>11992</v>
      </c>
      <c r="BE221" s="261" t="n">
        <v>3051</v>
      </c>
      <c r="BF221" s="261" t="n">
        <v>4060</v>
      </c>
      <c r="BG221" s="261" t="n">
        <v>3492</v>
      </c>
      <c r="BH221" s="261" t="n">
        <v>3424</v>
      </c>
      <c r="BI221" s="261" t="n">
        <v>14027</v>
      </c>
      <c r="BJ221" s="261" t="n">
        <v>3562</v>
      </c>
      <c r="BK221" s="261" t="n">
        <v>4616</v>
      </c>
      <c r="BL221" s="261" t="n">
        <v>4250</v>
      </c>
      <c r="BM221" s="261" t="n">
        <v>4262</v>
      </c>
      <c r="BN221" s="261" t="n">
        <v>16690</v>
      </c>
      <c r="BO221" s="261" t="n">
        <v>4147</v>
      </c>
      <c r="BP221" s="261" t="n">
        <v>4834</v>
      </c>
      <c r="BQ221" s="261" t="n">
        <v>5555</v>
      </c>
      <c r="BR221" s="261" t="n">
        <v>5890</v>
      </c>
      <c r="BS221" s="261" t="n">
        <v>20427</v>
      </c>
      <c r="BT221" s="261" t="n">
        <v>6032</v>
      </c>
      <c r="BU221" s="261" t="n">
        <v>7658</v>
      </c>
      <c r="BV221" s="35" t="n"/>
      <c r="BW221" s="35" t="n"/>
      <c r="BX221" s="263">
        <f>BX130</f>
        <v>29006</v>
      </c>
      <c r="BY221" s="263">
        <f>BY130</f>
        <v>34595.5271427474</v>
      </c>
      <c r="BZ221" s="263">
        <f>BZ130</f>
        <v>38317.6193296668</v>
      </c>
      <c r="CA221" s="263">
        <f>CA130</f>
        <v>43545.4174770971</v>
      </c>
      <c r="CB221" s="263">
        <f>CB130</f>
        <v>46343.6996566264</v>
      </c>
      <c r="CC221" s="263">
        <f>CC130</f>
        <v>51149.4583824763</v>
      </c>
      <c r="CD221" s="19" t="n"/>
    </row>
    <row r="222" collapsed="1" ht="15" customHeight="1" s="251">
      <c r="B222" s="25" t="inlineStr">
        <is>
          <t xml:space="preserve">  Deferred income taxes</t>
        </is>
      </c>
      <c r="C222" s="261" t="n">
        <v>0</v>
      </c>
      <c r="D222" s="261" t="n">
        <v>0</v>
      </c>
      <c r="E222" s="261" t="n">
        <v>0</v>
      </c>
      <c r="F222" s="261" t="n">
        <v>-186</v>
      </c>
      <c r="G222" s="261" t="n">
        <v>-7</v>
      </c>
      <c r="H222" s="261" t="n">
        <v>26</v>
      </c>
      <c r="I222" s="261" t="n">
        <v>2</v>
      </c>
      <c r="J222" s="261" t="n">
        <v>-58</v>
      </c>
      <c r="K222" s="261" t="n">
        <v>-37</v>
      </c>
      <c r="L222" s="261" t="n">
        <v>-1</v>
      </c>
      <c r="M222" s="261" t="n">
        <v>-33</v>
      </c>
      <c r="N222" s="261" t="n">
        <v>4</v>
      </c>
      <c r="O222" s="261" t="n">
        <v>-180</v>
      </c>
      <c r="P222" s="261" t="n">
        <v>-210</v>
      </c>
      <c r="Q222" s="261" t="n">
        <v>-223</v>
      </c>
      <c r="R222" s="261" t="n">
        <v>-66</v>
      </c>
      <c r="S222" s="261" t="n">
        <v>-383</v>
      </c>
      <c r="T222" s="261" t="n">
        <v>-123</v>
      </c>
      <c r="U222" s="261" t="n">
        <v>-795</v>
      </c>
      <c r="V222" s="261" t="n">
        <v>-65</v>
      </c>
      <c r="W222" s="261" t="n">
        <v>-77</v>
      </c>
      <c r="X222" s="261" t="n">
        <v>19</v>
      </c>
      <c r="Y222" s="261" t="n">
        <v>-256</v>
      </c>
      <c r="Z222" s="261" t="n">
        <v>-457</v>
      </c>
      <c r="AA222" s="261" t="n">
        <v>-84</v>
      </c>
      <c r="AB222" s="261" t="n">
        <v>26</v>
      </c>
      <c r="AC222" s="261" t="n">
        <v>-94</v>
      </c>
      <c r="AD222" s="261" t="n">
        <v>-225</v>
      </c>
      <c r="AE222" s="261" t="n">
        <v>-377</v>
      </c>
      <c r="AF222" s="261" t="n">
        <v>-47</v>
      </c>
      <c r="AG222" s="261" t="n">
        <v>101</v>
      </c>
      <c r="AH222" s="261" t="n">
        <v>30</v>
      </c>
      <c r="AI222" s="261" t="n">
        <v>201</v>
      </c>
      <c r="AJ222" s="261" t="n">
        <v>286</v>
      </c>
      <c r="AK222" s="261" t="n">
        <v>183</v>
      </c>
      <c r="AL222" s="261" t="n">
        <v>1</v>
      </c>
      <c r="AM222" s="261" t="n">
        <v>175</v>
      </c>
      <c r="AN222" s="261" t="n">
        <v>-395</v>
      </c>
      <c r="AO222" s="261" t="n">
        <v>-37</v>
      </c>
      <c r="AP222" s="261" t="n">
        <v>477</v>
      </c>
      <c r="AQ222" s="261" t="n">
        <v>214</v>
      </c>
      <c r="AR222" s="261" t="n">
        <v>-1506</v>
      </c>
      <c r="AS222" s="261" t="n">
        <v>-377</v>
      </c>
      <c r="AT222" s="261" t="n">
        <v>-1192</v>
      </c>
      <c r="AU222" s="261" t="n">
        <v>418</v>
      </c>
      <c r="AV222" s="261" t="n">
        <v>229</v>
      </c>
      <c r="AW222" s="261" t="n">
        <v>-786</v>
      </c>
      <c r="AX222" s="261" t="n">
        <v>748</v>
      </c>
      <c r="AY222" s="261" t="n">
        <v>609</v>
      </c>
      <c r="AZ222" s="261" t="n">
        <v>-563</v>
      </c>
      <c r="BA222" s="261" t="n">
        <v>-453</v>
      </c>
      <c r="BB222" s="261" t="n">
        <v>-1097</v>
      </c>
      <c r="BC222" s="261" t="n">
        <v>-1173</v>
      </c>
      <c r="BD222" s="261" t="n">
        <v>-3286</v>
      </c>
      <c r="BE222" s="261" t="n">
        <v>-620</v>
      </c>
      <c r="BF222" s="261" t="n">
        <v>-1137</v>
      </c>
      <c r="BG222" s="261" t="n">
        <v>3049</v>
      </c>
      <c r="BH222" s="261" t="n">
        <v>-1161</v>
      </c>
      <c r="BI222" s="261" t="n">
        <v>131</v>
      </c>
      <c r="BJ222" s="261" t="n">
        <v>-456</v>
      </c>
      <c r="BK222" s="261" t="n">
        <v>-1643</v>
      </c>
      <c r="BL222" s="261" t="n">
        <v>-1308</v>
      </c>
      <c r="BM222" s="261" t="n">
        <v>-1332</v>
      </c>
      <c r="BN222" s="261" t="n">
        <v>-4738</v>
      </c>
      <c r="BO222" s="261" t="n">
        <v>-993</v>
      </c>
      <c r="BP222" s="261" t="n">
        <v>-1170</v>
      </c>
      <c r="BQ222" s="261" t="n">
        <v>19868</v>
      </c>
      <c r="BR222" s="261" t="n">
        <v>1033</v>
      </c>
      <c r="BS222" s="261" t="n">
        <v>18738</v>
      </c>
      <c r="BT222" s="261" t="n">
        <v>123</v>
      </c>
      <c r="BU222" s="261" t="n">
        <v>1445</v>
      </c>
      <c r="BV222" s="35" t="n"/>
      <c r="BW222" s="35" t="n"/>
      <c r="BX222" s="263">
        <f>SUM(BT222:BU222)</f>
        <v>1568</v>
      </c>
      <c r="BY222" s="269" t="n">
        <v>0</v>
      </c>
      <c r="BZ222" s="269" t="n">
        <v>0</v>
      </c>
      <c r="CA222" s="269" t="n">
        <v>0</v>
      </c>
      <c r="CB222" s="269" t="n">
        <v>0</v>
      </c>
      <c r="CC222" s="269" t="n">
        <v>0</v>
      </c>
      <c r="CD222" s="19" t="inlineStr">
        <is>
          <t>2H/26E and 2027E+: nil (assumption; the 2025-26 valuation-allowance charge and release were non-cash and are not forecast).</t>
        </is>
      </c>
    </row>
    <row r="223" ht="15" customHeight="1" s="251">
      <c r="B223" s="25" t="inlineStr">
        <is>
          <t xml:space="preserve">  Working capital and other operating items, net (derived)</t>
        </is>
      </c>
      <c r="C223" s="261" t="n">
        <v>-179</v>
      </c>
      <c r="D223" s="261" t="n">
        <v>-67</v>
      </c>
      <c r="E223" s="261" t="n">
        <v>9</v>
      </c>
      <c r="F223" s="261" t="n">
        <v>-476</v>
      </c>
      <c r="G223" s="261" t="n">
        <v>96</v>
      </c>
      <c r="H223" s="261" t="n">
        <v>509</v>
      </c>
      <c r="I223" s="261" t="n">
        <v>10</v>
      </c>
      <c r="J223" s="261" t="n">
        <v>219</v>
      </c>
      <c r="K223" s="261" t="n">
        <v>842</v>
      </c>
      <c r="L223" s="261" t="n">
        <v>106</v>
      </c>
      <c r="M223" s="261" t="n">
        <v>12</v>
      </c>
      <c r="N223" s="261" t="n">
        <v>-204</v>
      </c>
      <c r="O223" s="261" t="n">
        <v>-216</v>
      </c>
      <c r="P223" s="261" t="n">
        <v>-302</v>
      </c>
      <c r="Q223" s="261" t="n">
        <v>260</v>
      </c>
      <c r="R223" s="261" t="n">
        <v>5</v>
      </c>
      <c r="S223" s="261" t="n">
        <v>436</v>
      </c>
      <c r="T223" s="261" t="n">
        <v>99</v>
      </c>
      <c r="U223" s="261" t="n">
        <v>801</v>
      </c>
      <c r="V223" s="261" t="n">
        <v>239</v>
      </c>
      <c r="W223" s="261" t="n">
        <v>-170</v>
      </c>
      <c r="X223" s="261" t="n">
        <v>-231</v>
      </c>
      <c r="Y223" s="261" t="n">
        <v>173</v>
      </c>
      <c r="Z223" s="261" t="n">
        <v>788</v>
      </c>
      <c r="AA223" s="261" t="n">
        <v>540</v>
      </c>
      <c r="AB223" s="261" t="n">
        <v>-320</v>
      </c>
      <c r="AC223" s="261" t="n">
        <v>-268</v>
      </c>
      <c r="AD223" s="261" t="n">
        <v>1960</v>
      </c>
      <c r="AE223" s="261" t="n">
        <v>1911</v>
      </c>
      <c r="AF223" s="261" t="n">
        <v>1015</v>
      </c>
      <c r="AG223" s="261" t="n">
        <v>-1128</v>
      </c>
      <c r="AH223" s="261" t="n">
        <v>182</v>
      </c>
      <c r="AI223" s="261" t="n">
        <v>-1595</v>
      </c>
      <c r="AJ223" s="261" t="n">
        <v>-1591</v>
      </c>
      <c r="AK223" s="261" t="n">
        <v>4331</v>
      </c>
      <c r="AL223" s="261" t="n">
        <v>3193</v>
      </c>
      <c r="AM223" s="261" t="n">
        <v>376</v>
      </c>
      <c r="AN223" s="261" t="n">
        <v>-612</v>
      </c>
      <c r="AO223" s="261" t="n">
        <v>7289</v>
      </c>
      <c r="AP223" s="261" t="n">
        <v>2690</v>
      </c>
      <c r="AQ223" s="261" t="n">
        <v>-4913</v>
      </c>
      <c r="AR223" s="261" t="n">
        <v>68</v>
      </c>
      <c r="AS223" s="261" t="n">
        <v>-449</v>
      </c>
      <c r="AT223" s="261" t="n">
        <v>-2605</v>
      </c>
      <c r="AU223" s="261" t="n">
        <v>-1475</v>
      </c>
      <c r="AV223" s="261" t="n">
        <v>-1910</v>
      </c>
      <c r="AW223" s="261" t="n">
        <v>1309</v>
      </c>
      <c r="AX223" s="261" t="n">
        <v>2651</v>
      </c>
      <c r="AY223" s="261" t="n">
        <v>573</v>
      </c>
      <c r="AZ223" s="261" t="n">
        <v>2520</v>
      </c>
      <c r="BA223" s="261" t="n">
        <v>633</v>
      </c>
      <c r="BB223" s="261" t="n">
        <v>1084</v>
      </c>
      <c r="BC223" s="261" t="n">
        <v>5648</v>
      </c>
      <c r="BD223" s="261" t="n">
        <v>9883</v>
      </c>
      <c r="BE223" s="261" t="n">
        <v>3334</v>
      </c>
      <c r="BF223" s="261" t="n">
        <v>3975</v>
      </c>
      <c r="BG223" s="261" t="n">
        <v>-580</v>
      </c>
      <c r="BH223" s="261" t="n">
        <v>-48</v>
      </c>
      <c r="BI223" s="261" t="n">
        <v>6679</v>
      </c>
      <c r="BJ223" s="261" t="n">
        <v>397</v>
      </c>
      <c r="BK223" s="261" t="n">
        <v>-705</v>
      </c>
      <c r="BL223" s="261" t="n">
        <v>2067</v>
      </c>
      <c r="BM223" s="261" t="n">
        <v>-240</v>
      </c>
      <c r="BN223" s="261" t="n">
        <v>1518</v>
      </c>
      <c r="BO223" s="261" t="n">
        <v>328</v>
      </c>
      <c r="BP223" s="261" t="n">
        <v>-782</v>
      </c>
      <c r="BQ223" s="261" t="n">
        <v>-3096</v>
      </c>
      <c r="BR223" s="261" t="n">
        <v>1112</v>
      </c>
      <c r="BS223" s="261" t="n">
        <v>-2439</v>
      </c>
      <c r="BT223" s="261" t="n">
        <v>-6701</v>
      </c>
      <c r="BU223" s="261" t="n">
        <v>555</v>
      </c>
      <c r="BV223" s="35" t="n"/>
      <c r="BW223" s="35" t="n"/>
      <c r="BX223" s="263">
        <f>SUM(BT223:BU223)-(BX276-BU276)-(BX277-BU277)+(BX286-BU286)+(BX288-BU288)</f>
        <v>-7348.04570100381</v>
      </c>
      <c r="BY223" s="263">
        <f>-(BY276-BX276)-(BY277-BX277)+(BY286-BX286)+(BY288-BX288)</f>
        <v>3753.30479617545</v>
      </c>
      <c r="BZ223" s="263">
        <f>-(BZ276-BY276)-(BZ277-BY277)+(BZ286-BY286)+(BZ288-BY288)</f>
        <v>2366.31412355558</v>
      </c>
      <c r="CA223" s="263">
        <f>-(CA276-BZ276)-(CA277-BZ277)+(CA286-BZ286)+(CA288-BZ288)</f>
        <v>1919.6517244898</v>
      </c>
      <c r="CB223" s="263">
        <f>-(CB276-CA276)-(CB277-CA277)+(CB286-CA286)+(CB288-CA288)</f>
        <v>1994.94470555036</v>
      </c>
      <c r="CC223" s="263">
        <f>-(CC276-CB276)-(CC277-CB277)+(CC286-CB286)+(CC288-CB288)</f>
        <v>2658.08049720984</v>
      </c>
      <c r="CD223" s="19" t="inlineStr">
        <is>
          <t>History: net cash from operating activities − net income − D&amp;A − share-based compensation − deferred taxes (incl. unrealized investment gains / losses and other non-cash items). Forecast linked to the balance sheet: −Δ(receivables, other current assets) + Δ(payables, accrued and other current liabilities).</t>
        </is>
      </c>
    </row>
    <row r="224" ht="15" customHeight="1" s="251">
      <c r="B224" s="16" t="inlineStr">
        <is>
          <t>Net cash provided by operating activities</t>
        </is>
      </c>
      <c r="C224" s="253" t="n">
        <v>155</v>
      </c>
      <c r="D224" s="253" t="n">
        <v>698</v>
      </c>
      <c r="E224" s="253" t="n">
        <v>1549</v>
      </c>
      <c r="F224" s="253" t="n">
        <v>1612</v>
      </c>
      <c r="G224" s="253" t="n">
        <v>719</v>
      </c>
      <c r="H224" s="253" t="n">
        <v>1322</v>
      </c>
      <c r="I224" s="253" t="n">
        <v>950</v>
      </c>
      <c r="J224" s="253" t="n">
        <v>1231</v>
      </c>
      <c r="K224" s="253" t="n">
        <v>4222</v>
      </c>
      <c r="L224" s="253" t="n">
        <v>1285</v>
      </c>
      <c r="M224" s="253" t="n">
        <v>1341</v>
      </c>
      <c r="N224" s="253" t="n">
        <v>1248</v>
      </c>
      <c r="O224" s="253" t="n">
        <v>1583</v>
      </c>
      <c r="P224" s="253" t="n">
        <v>5457</v>
      </c>
      <c r="Q224" s="253" t="n">
        <v>1700</v>
      </c>
      <c r="R224" s="253" t="n">
        <v>1880</v>
      </c>
      <c r="S224" s="253" t="n">
        <v>2192</v>
      </c>
      <c r="T224" s="253" t="n">
        <v>2827</v>
      </c>
      <c r="U224" s="253" t="n">
        <v>8599</v>
      </c>
      <c r="V224" s="253" t="n">
        <v>2983</v>
      </c>
      <c r="W224" s="253" t="n">
        <v>3198</v>
      </c>
      <c r="X224" s="253" t="n">
        <v>3577</v>
      </c>
      <c r="Y224" s="253" t="n">
        <v>4930</v>
      </c>
      <c r="Z224" s="253" t="n">
        <v>16108</v>
      </c>
      <c r="AA224" s="253" t="n">
        <v>5058</v>
      </c>
      <c r="AB224" s="253" t="n">
        <v>5360</v>
      </c>
      <c r="AC224" s="253" t="n">
        <v>6128</v>
      </c>
      <c r="AD224" s="253" t="n">
        <v>7670</v>
      </c>
      <c r="AE224" s="253" t="n">
        <v>24216</v>
      </c>
      <c r="AF224" s="253" t="n">
        <v>7860</v>
      </c>
      <c r="AG224" s="253" t="n">
        <v>6299</v>
      </c>
      <c r="AH224" s="253" t="n">
        <v>7496</v>
      </c>
      <c r="AI224" s="253" t="n">
        <v>7684</v>
      </c>
      <c r="AJ224" s="253" t="n">
        <v>29274</v>
      </c>
      <c r="AK224" s="253" t="n">
        <v>9308</v>
      </c>
      <c r="AL224" s="253" t="n">
        <v>8615</v>
      </c>
      <c r="AM224" s="253" t="n">
        <v>9307</v>
      </c>
      <c r="AN224" s="253" t="n">
        <v>9083</v>
      </c>
      <c r="AO224" s="253" t="n">
        <v>36314</v>
      </c>
      <c r="AP224" s="253" t="n">
        <v>11001</v>
      </c>
      <c r="AQ224" s="253" t="n">
        <v>3878</v>
      </c>
      <c r="AR224" s="253" t="n">
        <v>9828</v>
      </c>
      <c r="AS224" s="253" t="n">
        <v>14040</v>
      </c>
      <c r="AT224" s="253" t="n">
        <v>38747</v>
      </c>
      <c r="AU224" s="253" t="n">
        <v>12242</v>
      </c>
      <c r="AV224" s="253" t="n">
        <v>13246</v>
      </c>
      <c r="AW224" s="253" t="n">
        <v>14091</v>
      </c>
      <c r="AX224" s="253" t="n">
        <v>18104</v>
      </c>
      <c r="AY224" s="253" t="n">
        <v>57683</v>
      </c>
      <c r="AZ224" s="253" t="n">
        <v>14076</v>
      </c>
      <c r="BA224" s="253" t="n">
        <v>12197</v>
      </c>
      <c r="BB224" s="253" t="n">
        <v>9691</v>
      </c>
      <c r="BC224" s="253" t="n">
        <v>14511</v>
      </c>
      <c r="BD224" s="253" t="n">
        <v>50475</v>
      </c>
      <c r="BE224" s="253" t="n">
        <v>13998</v>
      </c>
      <c r="BF224" s="253" t="n">
        <v>17309</v>
      </c>
      <c r="BG224" s="253" t="n">
        <v>20402</v>
      </c>
      <c r="BH224" s="253" t="n">
        <v>19404</v>
      </c>
      <c r="BI224" s="253" t="n">
        <v>71113</v>
      </c>
      <c r="BJ224" s="253" t="n">
        <v>19246</v>
      </c>
      <c r="BK224" s="253" t="n">
        <v>19370</v>
      </c>
      <c r="BL224" s="253" t="n">
        <v>24724</v>
      </c>
      <c r="BM224" s="253" t="n">
        <v>27988</v>
      </c>
      <c r="BN224" s="253" t="n">
        <v>91328</v>
      </c>
      <c r="BO224" s="253" t="n">
        <v>24026</v>
      </c>
      <c r="BP224" s="253" t="n">
        <v>25561</v>
      </c>
      <c r="BQ224" s="253" t="n">
        <v>29999</v>
      </c>
      <c r="BR224" s="253" t="n">
        <v>36214</v>
      </c>
      <c r="BS224" s="253" t="n">
        <v>115800</v>
      </c>
      <c r="BT224" s="253" t="n">
        <v>32226</v>
      </c>
      <c r="BU224" s="253" t="n">
        <v>31862</v>
      </c>
      <c r="BV224" s="32" t="n"/>
      <c r="BW224" s="32" t="n"/>
      <c r="BX224" s="254">
        <f>SUM(BX218:BX223)</f>
        <v>129241.259425175</v>
      </c>
      <c r="BY224" s="254">
        <f>SUM(BY218:BY223)</f>
        <v>163137.302434972</v>
      </c>
      <c r="BZ224" s="254">
        <f>SUM(BZ218:BZ223)</f>
        <v>189615.678675787</v>
      </c>
      <c r="CA224" s="254">
        <f>SUM(CA218:CA223)</f>
        <v>219246.530815481</v>
      </c>
      <c r="CB224" s="254">
        <f>SUM(CB218:CB223)</f>
        <v>244901.167486202</v>
      </c>
      <c r="CC224" s="254">
        <f>SUM(CC218:CC223)</f>
        <v>272531.838559643</v>
      </c>
      <c r="CD224" s="153" t="n"/>
      <c r="CF224" s="20">
        <f>IFERROR((CC224/BX224)^(1/5)-1,"n/m")</f>
        <v>0.160922458629965</v>
      </c>
      <c r="CG224" s="20">
        <f>IFERROR((BS224/AT224)^(1/5)-1,"n/m")</f>
        <v>0.244784280635757</v>
      </c>
      <c r="CH224" s="20">
        <f>IFERROR((BS224/U224)^(1/10)-1,"n/m")</f>
        <v>0.29695844405515</v>
      </c>
      <c r="CI224" s="20">
        <f>IFERROR((BS224/C224)^(1/16)-1,"n/m")</f>
        <v>0.51211929045698</v>
      </c>
    </row>
    <row r="225" ht="15" customHeight="1" s="251">
      <c r="B225" s="25" t="inlineStr">
        <is>
          <t>Purchases of property and equipment (net of proceeds relating to property and equipment, 2022–23)</t>
        </is>
      </c>
      <c r="C225" s="261" t="n">
        <v>-33</v>
      </c>
      <c r="D225" s="261" t="n">
        <v>-293</v>
      </c>
      <c r="E225" s="261" t="n">
        <v>-606</v>
      </c>
      <c r="F225" s="261" t="n">
        <v>-1235</v>
      </c>
      <c r="G225" s="261" t="n">
        <v>-327</v>
      </c>
      <c r="H225" s="261" t="n">
        <v>-268</v>
      </c>
      <c r="I225" s="261" t="n">
        <v>-284</v>
      </c>
      <c r="J225" s="261" t="n">
        <v>-483</v>
      </c>
      <c r="K225" s="261" t="n">
        <v>-1362</v>
      </c>
      <c r="L225" s="261" t="n">
        <v>-363</v>
      </c>
      <c r="M225" s="261" t="n">
        <v>-469</v>
      </c>
      <c r="N225" s="261" t="n">
        <v>-482</v>
      </c>
      <c r="O225" s="261" t="n">
        <v>-517</v>
      </c>
      <c r="P225" s="261" t="n">
        <v>-1831</v>
      </c>
      <c r="Q225" s="261" t="n">
        <v>-502</v>
      </c>
      <c r="R225" s="261" t="n">
        <v>-549</v>
      </c>
      <c r="S225" s="261" t="n">
        <v>-780</v>
      </c>
      <c r="T225" s="261" t="n">
        <v>-692</v>
      </c>
      <c r="U225" s="261" t="n">
        <v>-2523</v>
      </c>
      <c r="V225" s="261" t="n">
        <v>-1132</v>
      </c>
      <c r="W225" s="261" t="n">
        <v>-995</v>
      </c>
      <c r="X225" s="261" t="n">
        <v>-1095</v>
      </c>
      <c r="Y225" s="261" t="n">
        <v>-1269</v>
      </c>
      <c r="Z225" s="261" t="n">
        <v>-4491</v>
      </c>
      <c r="AA225" s="261" t="n">
        <v>-1271</v>
      </c>
      <c r="AB225" s="261" t="n">
        <v>-1444</v>
      </c>
      <c r="AC225" s="261" t="n">
        <v>-1755</v>
      </c>
      <c r="AD225" s="261" t="n">
        <v>-2262</v>
      </c>
      <c r="AE225" s="261" t="n">
        <v>-6733</v>
      </c>
      <c r="AF225" s="261" t="n">
        <v>-2812</v>
      </c>
      <c r="AG225" s="261" t="n">
        <v>-3459</v>
      </c>
      <c r="AH225" s="261" t="n">
        <v>-3343</v>
      </c>
      <c r="AI225" s="261" t="n">
        <v>-4366</v>
      </c>
      <c r="AJ225" s="261" t="n">
        <v>-13915</v>
      </c>
      <c r="AK225" s="261" t="n">
        <v>-3837</v>
      </c>
      <c r="AL225" s="261" t="n">
        <v>-3633</v>
      </c>
      <c r="AM225" s="261" t="n">
        <v>-3532</v>
      </c>
      <c r="AN225" s="261" t="n">
        <v>-4100</v>
      </c>
      <c r="AO225" s="261" t="n">
        <v>-15102</v>
      </c>
      <c r="AP225" s="261" t="n">
        <v>-3558</v>
      </c>
      <c r="AQ225" s="261" t="n">
        <v>-3255</v>
      </c>
      <c r="AR225" s="261" t="n">
        <v>-3689</v>
      </c>
      <c r="AS225" s="261" t="n">
        <v>-4613</v>
      </c>
      <c r="AT225" s="261" t="n">
        <v>-15115</v>
      </c>
      <c r="AU225" s="261" t="n">
        <v>-4272</v>
      </c>
      <c r="AV225" s="261" t="n">
        <v>-4612</v>
      </c>
      <c r="AW225" s="261" t="n">
        <v>-4313</v>
      </c>
      <c r="AX225" s="261" t="n">
        <v>-5370</v>
      </c>
      <c r="AY225" s="261" t="n">
        <v>-18567</v>
      </c>
      <c r="AZ225" s="261" t="n">
        <v>-5315</v>
      </c>
      <c r="BA225" s="261" t="n">
        <v>-7528</v>
      </c>
      <c r="BB225" s="261" t="n">
        <v>-9355</v>
      </c>
      <c r="BC225" s="261" t="n">
        <v>-8988</v>
      </c>
      <c r="BD225" s="261" t="n">
        <v>-31186</v>
      </c>
      <c r="BE225" s="261" t="n">
        <v>-6823</v>
      </c>
      <c r="BF225" s="261" t="n">
        <v>-6134</v>
      </c>
      <c r="BG225" s="261" t="n">
        <v>-6496</v>
      </c>
      <c r="BH225" s="261" t="n">
        <v>-7592</v>
      </c>
      <c r="BI225" s="261" t="n">
        <v>-27045</v>
      </c>
      <c r="BJ225" s="261" t="n">
        <v>-6400</v>
      </c>
      <c r="BK225" s="261" t="n">
        <v>-8173</v>
      </c>
      <c r="BL225" s="261" t="n">
        <v>-8258</v>
      </c>
      <c r="BM225" s="261" t="n">
        <v>-14425</v>
      </c>
      <c r="BN225" s="261" t="n">
        <v>-37256</v>
      </c>
      <c r="BO225" s="261" t="n">
        <v>-12941</v>
      </c>
      <c r="BP225" s="261" t="n">
        <v>-16538</v>
      </c>
      <c r="BQ225" s="261" t="n">
        <v>-18829</v>
      </c>
      <c r="BR225" s="261" t="n">
        <v>-21383</v>
      </c>
      <c r="BS225" s="261" t="n">
        <v>-69691</v>
      </c>
      <c r="BT225" s="261" t="n">
        <v>-18997</v>
      </c>
      <c r="BU225" s="261" t="n">
        <v>-30116</v>
      </c>
      <c r="BV225" s="35" t="n"/>
      <c r="BW225" s="35" t="n"/>
      <c r="BX225" s="263">
        <f>-($CN$20+BX235)</f>
        <v>-133890</v>
      </c>
      <c r="BY225" s="263">
        <f>-BY109*BY258</f>
        <v>-138382.10857099</v>
      </c>
      <c r="BZ225" s="263">
        <f>-BZ109*BZ258</f>
        <v>-132369.957684303</v>
      </c>
      <c r="CA225" s="263">
        <f>-CA109*CA258</f>
        <v>-122718.903799092</v>
      </c>
      <c r="CB225" s="263">
        <f>-CB109*CB258</f>
        <v>-114755.82772117</v>
      </c>
      <c r="CC225" s="263">
        <f>-CC109*CC258</f>
        <v>-112041.670742567</v>
      </c>
      <c r="CD225" s="19" t="inlineStr">
        <is>
          <t>2026E: guidance mid-point ($130–145bn, incl. principal payments on finance leases) less finance-lease principal. 2027E+: revenue × capex % (scenario lever).</t>
        </is>
      </c>
    </row>
    <row r="226" ht="15" customHeight="1" s="251">
      <c r="B226" s="25" t="inlineStr">
        <is>
          <t>Marketable securities — purchases, sales and maturities, net</t>
        </is>
      </c>
      <c r="C226" s="261" t="n">
        <v>0</v>
      </c>
      <c r="D226" s="261" t="n">
        <v>0</v>
      </c>
      <c r="E226" s="261" t="n">
        <v>-2396</v>
      </c>
      <c r="F226" s="261" t="n">
        <v>-4874</v>
      </c>
      <c r="G226" s="261" t="n">
        <v>94</v>
      </c>
      <c r="H226" s="261" t="n">
        <v>-105</v>
      </c>
      <c r="I226" s="261" t="n">
        <v>1034</v>
      </c>
      <c r="J226" s="261" t="n">
        <v>-1905</v>
      </c>
      <c r="K226" s="261" t="n">
        <v>-882</v>
      </c>
      <c r="L226" s="261" t="n">
        <v>-1508</v>
      </c>
      <c r="M226" s="261" t="n">
        <v>68</v>
      </c>
      <c r="N226" s="261" t="n">
        <v>4326</v>
      </c>
      <c r="O226" s="261" t="n">
        <v>-1643</v>
      </c>
      <c r="P226" s="261" t="n">
        <v>1243</v>
      </c>
      <c r="Q226" s="261" t="n">
        <v>-2108</v>
      </c>
      <c r="R226" s="261" t="n">
        <v>-11</v>
      </c>
      <c r="S226" s="261" t="n">
        <v>-2526</v>
      </c>
      <c r="T226" s="261" t="n">
        <v>-2055</v>
      </c>
      <c r="U226" s="261" t="n">
        <v>-6700</v>
      </c>
      <c r="V226" s="261" t="n">
        <v>-576</v>
      </c>
      <c r="W226" s="261" t="n">
        <v>-3998</v>
      </c>
      <c r="X226" s="261" t="n">
        <v>-1969</v>
      </c>
      <c r="Y226" s="261" t="n">
        <v>-644</v>
      </c>
      <c r="Z226" s="261" t="n">
        <v>-7186</v>
      </c>
      <c r="AA226" s="261" t="n">
        <v>-4631</v>
      </c>
      <c r="AB226" s="261" t="n">
        <v>-4010</v>
      </c>
      <c r="AC226" s="261" t="n">
        <v>-1892</v>
      </c>
      <c r="AD226" s="261" t="n">
        <v>-2717</v>
      </c>
      <c r="AE226" s="261" t="n">
        <v>-13250</v>
      </c>
      <c r="AF226" s="261" t="n">
        <v>1575</v>
      </c>
      <c r="AG226" s="261" t="n">
        <v>1092</v>
      </c>
      <c r="AH226" s="261" t="n">
        <v>-830</v>
      </c>
      <c r="AI226" s="261" t="n">
        <v>638</v>
      </c>
      <c r="AJ226" s="261" t="n">
        <v>2474</v>
      </c>
      <c r="AK226" s="261" t="n">
        <v>-2881</v>
      </c>
      <c r="AL226" s="261" t="n">
        <v>-313</v>
      </c>
      <c r="AM226" s="261" t="n">
        <v>-1508</v>
      </c>
      <c r="AN226" s="261" t="n">
        <v>509</v>
      </c>
      <c r="AO226" s="261" t="n">
        <v>-4193</v>
      </c>
      <c r="AP226" s="261" t="n">
        <v>-476</v>
      </c>
      <c r="AQ226" s="261" t="n">
        <v>-338</v>
      </c>
      <c r="AR226" s="261" t="n">
        <v>-6875</v>
      </c>
      <c r="AS226" s="261" t="n">
        <v>-469</v>
      </c>
      <c r="AT226" s="261" t="n">
        <v>-8159</v>
      </c>
      <c r="AU226" s="261" t="n">
        <v>-600</v>
      </c>
      <c r="AV226" s="261" t="n">
        <v>-3263</v>
      </c>
      <c r="AW226" s="261" t="n">
        <v>4198</v>
      </c>
      <c r="AX226" s="261" t="n">
        <v>11845</v>
      </c>
      <c r="AY226" s="261" t="n">
        <v>12179</v>
      </c>
      <c r="AZ226" s="261" t="n">
        <v>1399</v>
      </c>
      <c r="BA226" s="261" t="n">
        <v>939</v>
      </c>
      <c r="BB226" s="261" t="n">
        <v>-328</v>
      </c>
      <c r="BC226" s="261" t="n">
        <v>1522</v>
      </c>
      <c r="BD226" s="261" t="n">
        <v>3532</v>
      </c>
      <c r="BE226" s="261" t="n">
        <v>449</v>
      </c>
      <c r="BF226" s="261" t="n">
        <v>1099</v>
      </c>
      <c r="BG226" s="261" t="n">
        <v>467</v>
      </c>
      <c r="BH226" s="261" t="n">
        <v>1188</v>
      </c>
      <c r="BI226" s="261" t="n">
        <v>3202</v>
      </c>
      <c r="BJ226" s="261" t="n">
        <v>-2262</v>
      </c>
      <c r="BK226" s="261" t="n">
        <v>-56</v>
      </c>
      <c r="BL226" s="261" t="n">
        <v>-354</v>
      </c>
      <c r="BM226" s="261" t="n">
        <v>-7081</v>
      </c>
      <c r="BN226" s="261" t="n">
        <v>-9753</v>
      </c>
      <c r="BO226" s="261" t="n">
        <v>-6979</v>
      </c>
      <c r="BP226" s="261" t="n">
        <v>6527</v>
      </c>
      <c r="BQ226" s="261" t="n">
        <v>1864</v>
      </c>
      <c r="BR226" s="261" t="n">
        <v>-11467</v>
      </c>
      <c r="BS226" s="261" t="n">
        <v>-10055</v>
      </c>
      <c r="BT226" s="261" t="n">
        <v>-13802</v>
      </c>
      <c r="BU226" s="261" t="n">
        <v>-17755</v>
      </c>
      <c r="BV226" s="35" t="n"/>
      <c r="BW226" s="35" t="n"/>
      <c r="BX226" s="263">
        <f>SUM(BT226:BU226)</f>
        <v>-31557</v>
      </c>
      <c r="BY226" s="269" t="n">
        <v>0</v>
      </c>
      <c r="BZ226" s="269" t="n">
        <v>0</v>
      </c>
      <c r="CA226" s="269" t="n">
        <v>0</v>
      </c>
      <c r="CB226" s="269" t="n">
        <v>0</v>
      </c>
      <c r="CC226" s="269" t="n">
        <v>0</v>
      </c>
      <c r="CD226" s="19" t="inlineStr">
        <is>
          <t>Forecast: portfolio held at the 30-Jun-2026 level (assumption).</t>
        </is>
      </c>
    </row>
    <row r="227" ht="15" customHeight="1" s="251">
      <c r="B227" s="25" t="inlineStr">
        <is>
          <t>Purchases of non-marketable equity investments</t>
        </is>
      </c>
      <c r="C227" s="261" t="n">
        <v>0</v>
      </c>
      <c r="D227" s="261" t="n">
        <v>0</v>
      </c>
      <c r="E227" s="261" t="n">
        <v>-3</v>
      </c>
      <c r="F227" s="261" t="n">
        <v>-2</v>
      </c>
      <c r="G227" s="261" t="n">
        <v>0</v>
      </c>
      <c r="H227" s="261" t="n">
        <v>-1</v>
      </c>
      <c r="I227" s="261" t="n">
        <v>0</v>
      </c>
      <c r="J227" s="261" t="n">
        <v>0</v>
      </c>
      <c r="K227" s="261" t="n">
        <v>-1</v>
      </c>
      <c r="L227" s="261" t="n">
        <v>0</v>
      </c>
      <c r="M227" s="261" t="n">
        <v>0</v>
      </c>
      <c r="N227" s="261" t="n">
        <v>0</v>
      </c>
      <c r="O227" s="261" t="n">
        <v>0</v>
      </c>
      <c r="P227" s="261" t="n">
        <v>0</v>
      </c>
      <c r="Q227" s="261" t="n">
        <v>0</v>
      </c>
      <c r="R227" s="261" t="n">
        <v>0</v>
      </c>
      <c r="S227" s="261" t="n">
        <v>0</v>
      </c>
      <c r="T227" s="261" t="n">
        <v>0</v>
      </c>
      <c r="U227" s="261" t="n">
        <v>0</v>
      </c>
      <c r="V227" s="261" t="n">
        <v>0</v>
      </c>
      <c r="W227" s="261" t="n">
        <v>0</v>
      </c>
      <c r="X227" s="261" t="n">
        <v>0</v>
      </c>
      <c r="Y227" s="261" t="n">
        <v>0</v>
      </c>
      <c r="Z227" s="261" t="n">
        <v>0</v>
      </c>
      <c r="AA227" s="261" t="n">
        <v>0</v>
      </c>
      <c r="AB227" s="261" t="n">
        <v>0</v>
      </c>
      <c r="AC227" s="261" t="n">
        <v>0</v>
      </c>
      <c r="AD227" s="261" t="n">
        <v>0</v>
      </c>
      <c r="AE227" s="261" t="n">
        <v>0</v>
      </c>
      <c r="AF227" s="261" t="n">
        <v>0</v>
      </c>
      <c r="AG227" s="261" t="n">
        <v>0</v>
      </c>
      <c r="AH227" s="261" t="n">
        <v>0</v>
      </c>
      <c r="AI227" s="261" t="n">
        <v>0</v>
      </c>
      <c r="AJ227" s="261" t="n">
        <v>0</v>
      </c>
      <c r="AK227" s="261" t="n">
        <v>0</v>
      </c>
      <c r="AL227" s="261" t="n">
        <v>0</v>
      </c>
      <c r="AM227" s="261" t="n">
        <v>0</v>
      </c>
      <c r="AN227" s="261" t="n">
        <v>0</v>
      </c>
      <c r="AO227" s="261" t="n">
        <v>0</v>
      </c>
      <c r="AP227" s="261" t="n">
        <v>0</v>
      </c>
      <c r="AQ227" s="261" t="n">
        <v>0</v>
      </c>
      <c r="AR227" s="261" t="n">
        <v>-6020</v>
      </c>
      <c r="AS227" s="261" t="n">
        <v>-59</v>
      </c>
      <c r="AT227" s="261" t="n">
        <v>-6361</v>
      </c>
      <c r="AU227" s="261" t="n">
        <v>0</v>
      </c>
      <c r="AV227" s="261" t="n">
        <v>0</v>
      </c>
      <c r="AW227" s="261" t="n">
        <v>-27</v>
      </c>
      <c r="AX227" s="261" t="n">
        <v>-2</v>
      </c>
      <c r="AY227" s="261" t="n">
        <v>-47</v>
      </c>
      <c r="AZ227" s="261" t="n">
        <v>0</v>
      </c>
      <c r="BA227" s="261" t="n">
        <v>0</v>
      </c>
      <c r="BB227" s="261" t="n">
        <v>0</v>
      </c>
      <c r="BC227" s="261" t="n">
        <v>0</v>
      </c>
      <c r="BD227" s="261" t="n">
        <v>-5</v>
      </c>
      <c r="BE227" s="261" t="n">
        <v>0</v>
      </c>
      <c r="BF227" s="261" t="n">
        <v>0</v>
      </c>
      <c r="BG227" s="261" t="n">
        <v>0</v>
      </c>
      <c r="BH227" s="261" t="n">
        <v>0</v>
      </c>
      <c r="BI227" s="261" t="n">
        <v>0</v>
      </c>
      <c r="BJ227" s="261" t="n">
        <v>0</v>
      </c>
      <c r="BK227" s="261" t="n">
        <v>0</v>
      </c>
      <c r="BL227" s="261" t="n">
        <v>0</v>
      </c>
      <c r="BM227" s="261" t="n">
        <v>0</v>
      </c>
      <c r="BN227" s="261" t="n">
        <v>0</v>
      </c>
      <c r="BO227" s="261" t="n">
        <v>0</v>
      </c>
      <c r="BP227" s="261" t="n">
        <v>-15114</v>
      </c>
      <c r="BQ227" s="261" t="n">
        <v>-3046</v>
      </c>
      <c r="BR227" s="261" t="n">
        <v>-70</v>
      </c>
      <c r="BS227" s="261" t="n">
        <v>-18330</v>
      </c>
      <c r="BT227" s="261" t="n">
        <v>-544</v>
      </c>
      <c r="BU227" s="261" t="n">
        <v>-1126</v>
      </c>
      <c r="BV227" s="35" t="n"/>
      <c r="BW227" s="35" t="n"/>
      <c r="BX227" s="263">
        <f>SUM(BT227:BU227)</f>
        <v>-1670</v>
      </c>
      <c r="BY227" s="269" t="n">
        <v>0</v>
      </c>
      <c r="BZ227" s="269" t="n">
        <v>0</v>
      </c>
      <c r="CA227" s="269" t="n">
        <v>0</v>
      </c>
      <c r="CB227" s="269" t="n">
        <v>0</v>
      </c>
      <c r="CC227" s="269" t="n">
        <v>0</v>
      </c>
      <c r="CD227" s="19" t="inlineStr">
        <is>
          <t>2025: Scale AI ($14.3bn) among $18.3bn of purchases. Forecast: none assumed after 1H/26.</t>
        </is>
      </c>
    </row>
    <row r="228" ht="15" customHeight="1" s="251">
      <c r="B228" s="25" t="inlineStr">
        <is>
          <t>Acquisitions of businesses and intangible assets</t>
        </is>
      </c>
      <c r="C228" s="261" t="n">
        <v>3</v>
      </c>
      <c r="D228" s="261" t="n">
        <v>-22</v>
      </c>
      <c r="E228" s="261" t="n">
        <v>-24</v>
      </c>
      <c r="F228" s="261" t="n">
        <v>-911</v>
      </c>
      <c r="G228" s="261" t="n">
        <v>-99</v>
      </c>
      <c r="H228" s="261" t="n">
        <v>-122</v>
      </c>
      <c r="I228" s="261" t="n">
        <v>-16</v>
      </c>
      <c r="J228" s="261" t="n">
        <v>-131</v>
      </c>
      <c r="K228" s="261" t="n">
        <v>-368</v>
      </c>
      <c r="L228" s="261" t="n">
        <v>0</v>
      </c>
      <c r="M228" s="261" t="n">
        <v>-19</v>
      </c>
      <c r="N228" s="261" t="n">
        <v>-735</v>
      </c>
      <c r="O228" s="261" t="n">
        <v>-4221</v>
      </c>
      <c r="P228" s="261" t="n">
        <v>-4975</v>
      </c>
      <c r="Q228" s="261" t="n">
        <v>-257</v>
      </c>
      <c r="R228" s="261" t="n">
        <v>-25</v>
      </c>
      <c r="S228" s="261" t="n">
        <v>-27</v>
      </c>
      <c r="T228" s="261" t="n">
        <v>-4</v>
      </c>
      <c r="U228" s="261" t="n">
        <v>-313</v>
      </c>
      <c r="V228" s="261" t="n">
        <v>-1</v>
      </c>
      <c r="W228" s="261" t="n">
        <v>-19</v>
      </c>
      <c r="X228" s="261" t="n">
        <v>-61</v>
      </c>
      <c r="Y228" s="261" t="n">
        <v>-41</v>
      </c>
      <c r="Z228" s="261" t="n">
        <v>-123</v>
      </c>
      <c r="AA228" s="261" t="n">
        <v>0</v>
      </c>
      <c r="AB228" s="261" t="n">
        <v>-8</v>
      </c>
      <c r="AC228" s="261" t="n">
        <v>-98</v>
      </c>
      <c r="AD228" s="261" t="n">
        <v>-17</v>
      </c>
      <c r="AE228" s="261" t="n">
        <v>-122</v>
      </c>
      <c r="AF228" s="261" t="n">
        <v>-49</v>
      </c>
      <c r="AG228" s="261" t="n">
        <v>-16</v>
      </c>
      <c r="AH228" s="261" t="n">
        <v>-72</v>
      </c>
      <c r="AI228" s="261" t="n">
        <v>0</v>
      </c>
      <c r="AJ228" s="261" t="n">
        <v>-137</v>
      </c>
      <c r="AK228" s="261" t="n">
        <v>0</v>
      </c>
      <c r="AL228" s="261" t="n">
        <v>0</v>
      </c>
      <c r="AM228" s="261" t="n">
        <v>0</v>
      </c>
      <c r="AN228" s="261" t="n">
        <v>-445</v>
      </c>
      <c r="AO228" s="261" t="n">
        <v>-508</v>
      </c>
      <c r="AP228" s="261" t="n">
        <v>-33</v>
      </c>
      <c r="AQ228" s="261" t="n">
        <v>-339</v>
      </c>
      <c r="AR228" s="261" t="n">
        <v>-12</v>
      </c>
      <c r="AS228" s="261" t="n">
        <v>-5</v>
      </c>
      <c r="AT228" s="261" t="n">
        <v>-388</v>
      </c>
      <c r="AU228" s="261" t="n">
        <v>118</v>
      </c>
      <c r="AV228" s="261" t="n">
        <v>-259</v>
      </c>
      <c r="AW228" s="261" t="n">
        <v>-71</v>
      </c>
      <c r="AX228" s="261" t="n">
        <v>-521</v>
      </c>
      <c r="AY228" s="261" t="n">
        <v>-851</v>
      </c>
      <c r="AZ228" s="261" t="n">
        <v>-853</v>
      </c>
      <c r="BA228" s="261" t="n">
        <v>-363</v>
      </c>
      <c r="BB228" s="261" t="n">
        <v>-34</v>
      </c>
      <c r="BC228" s="261" t="n">
        <v>-62</v>
      </c>
      <c r="BD228" s="261" t="n">
        <v>-1312</v>
      </c>
      <c r="BE228" s="261" t="n">
        <v>-444</v>
      </c>
      <c r="BF228" s="261" t="n">
        <v>-83</v>
      </c>
      <c r="BG228" s="261" t="n">
        <v>-38</v>
      </c>
      <c r="BH228" s="261" t="n">
        <v>-64</v>
      </c>
      <c r="BI228" s="261" t="n">
        <v>-629</v>
      </c>
      <c r="BJ228" s="261" t="n">
        <v>-72</v>
      </c>
      <c r="BK228" s="261" t="n">
        <v>-57</v>
      </c>
      <c r="BL228" s="261" t="n">
        <v>-132</v>
      </c>
      <c r="BM228" s="261" t="n">
        <v>-9</v>
      </c>
      <c r="BN228" s="261" t="n">
        <v>-270</v>
      </c>
      <c r="BO228" s="261" t="n">
        <v>0</v>
      </c>
      <c r="BP228" s="261" t="n">
        <v>-61</v>
      </c>
      <c r="BQ228" s="261" t="n">
        <v>-753</v>
      </c>
      <c r="BR228" s="261" t="n">
        <v>-3415</v>
      </c>
      <c r="BS228" s="261" t="n">
        <v>-4231</v>
      </c>
      <c r="BT228" s="261" t="n">
        <v>-372</v>
      </c>
      <c r="BU228" s="261" t="n">
        <v>-101</v>
      </c>
      <c r="BV228" s="35" t="n"/>
      <c r="BW228" s="35" t="n"/>
      <c r="BX228" s="263">
        <f>SUM(BT228:BU228)</f>
        <v>-473</v>
      </c>
      <c r="BY228" s="263">
        <f>-BY64</f>
        <v>-1000</v>
      </c>
      <c r="BZ228" s="263">
        <f>-BZ64</f>
        <v>-1000</v>
      </c>
      <c r="CA228" s="263">
        <f>-CA64</f>
        <v>-1000</v>
      </c>
      <c r="CB228" s="263">
        <f>-CB64</f>
        <v>-1000</v>
      </c>
      <c r="CC228" s="263">
        <f>-CC64</f>
        <v>-1000</v>
      </c>
      <c r="CD228" s="19" t="n"/>
    </row>
    <row r="229" ht="15" customHeight="1" s="251">
      <c r="B229" s="25" t="inlineStr">
        <is>
          <t>Other investing activities (incl. held-for-sale assets; derived)</t>
        </is>
      </c>
      <c r="C229" s="261" t="n">
        <v>-32</v>
      </c>
      <c r="D229" s="261" t="n">
        <v>-9</v>
      </c>
      <c r="E229" s="261" t="n">
        <v>6</v>
      </c>
      <c r="F229" s="261" t="n">
        <v>-2</v>
      </c>
      <c r="G229" s="261" t="n">
        <v>6</v>
      </c>
      <c r="H229" s="261" t="n">
        <v>-2</v>
      </c>
      <c r="I229" s="261" t="n">
        <v>0</v>
      </c>
      <c r="J229" s="261" t="n">
        <v>-15</v>
      </c>
      <c r="K229" s="261" t="n">
        <v>-11</v>
      </c>
      <c r="L229" s="261" t="n">
        <v>-1</v>
      </c>
      <c r="M229" s="261" t="n">
        <v>-2</v>
      </c>
      <c r="N229" s="261" t="n">
        <v>-112</v>
      </c>
      <c r="O229" s="261" t="n">
        <v>-235</v>
      </c>
      <c r="P229" s="261" t="n">
        <v>-350</v>
      </c>
      <c r="Q229" s="261" t="n">
        <v>23</v>
      </c>
      <c r="R229" s="261" t="n">
        <v>21</v>
      </c>
      <c r="S229" s="261" t="n">
        <v>33</v>
      </c>
      <c r="T229" s="261" t="n">
        <v>25</v>
      </c>
      <c r="U229" s="261" t="n">
        <v>102</v>
      </c>
      <c r="V229" s="261" t="n">
        <v>33</v>
      </c>
      <c r="W229" s="261" t="n">
        <v>41</v>
      </c>
      <c r="X229" s="261" t="n">
        <v>8</v>
      </c>
      <c r="Y229" s="261" t="n">
        <v>-21</v>
      </c>
      <c r="Z229" s="261" t="n">
        <v>61</v>
      </c>
      <c r="AA229" s="261" t="n">
        <v>11</v>
      </c>
      <c r="AB229" s="261" t="n">
        <v>22</v>
      </c>
      <c r="AC229" s="261" t="n">
        <v>31</v>
      </c>
      <c r="AD229" s="261" t="n">
        <v>3</v>
      </c>
      <c r="AE229" s="261" t="n">
        <v>67</v>
      </c>
      <c r="AF229" s="261" t="n">
        <v>-1</v>
      </c>
      <c r="AG229" s="261" t="n">
        <v>0</v>
      </c>
      <c r="AH229" s="261" t="n">
        <v>-3</v>
      </c>
      <c r="AI229" s="261" t="n">
        <v>-21</v>
      </c>
      <c r="AJ229" s="261" t="n">
        <v>-25</v>
      </c>
      <c r="AK229" s="261" t="n">
        <v>-50</v>
      </c>
      <c r="AL229" s="261" t="n">
        <v>-64</v>
      </c>
      <c r="AM229" s="261" t="n">
        <v>-10</v>
      </c>
      <c r="AN229" s="261" t="n">
        <v>0</v>
      </c>
      <c r="AO229" s="261" t="n">
        <v>-61</v>
      </c>
      <c r="AP229" s="261" t="n">
        <v>-42</v>
      </c>
      <c r="AQ229" s="261" t="n">
        <v>-245</v>
      </c>
      <c r="AR229" s="261" t="n">
        <v>-3</v>
      </c>
      <c r="AS229" s="261" t="n">
        <v>-27</v>
      </c>
      <c r="AT229" s="261" t="n">
        <v>-36</v>
      </c>
      <c r="AU229" s="261" t="n">
        <v>-120</v>
      </c>
      <c r="AV229" s="261" t="n">
        <v>-61</v>
      </c>
      <c r="AW229" s="261" t="n">
        <v>-117</v>
      </c>
      <c r="AX229" s="261" t="n">
        <v>-123</v>
      </c>
      <c r="AY229" s="261" t="n">
        <v>-284</v>
      </c>
      <c r="AZ229" s="261" t="n">
        <v>-10</v>
      </c>
      <c r="BA229" s="261" t="n">
        <v>-7</v>
      </c>
      <c r="BB229" s="261" t="n">
        <v>16</v>
      </c>
      <c r="BC229" s="261" t="n">
        <v>-3</v>
      </c>
      <c r="BD229" s="261" t="n">
        <v>1</v>
      </c>
      <c r="BE229" s="261" t="n">
        <v>75</v>
      </c>
      <c r="BF229" s="261" t="n">
        <v>-85</v>
      </c>
      <c r="BG229" s="261" t="n">
        <v>-10</v>
      </c>
      <c r="BH229" s="261" t="n">
        <v>-4</v>
      </c>
      <c r="BI229" s="261" t="n">
        <v>-23</v>
      </c>
      <c r="BJ229" s="261" t="n">
        <v>0</v>
      </c>
      <c r="BK229" s="261" t="n">
        <v>-12</v>
      </c>
      <c r="BL229" s="261" t="n">
        <v>124</v>
      </c>
      <c r="BM229" s="261" t="n">
        <v>17</v>
      </c>
      <c r="BN229" s="261" t="n">
        <v>129</v>
      </c>
      <c r="BO229" s="261" t="n">
        <v>-90</v>
      </c>
      <c r="BP229" s="261" t="n">
        <v>-772</v>
      </c>
      <c r="BQ229" s="261" t="n">
        <v>-1084</v>
      </c>
      <c r="BR229" s="261" t="n">
        <v>2148</v>
      </c>
      <c r="BS229" s="261" t="n">
        <v>304</v>
      </c>
      <c r="BT229" s="261" t="n">
        <v>37</v>
      </c>
      <c r="BU229" s="261" t="n">
        <v>-555</v>
      </c>
      <c r="BV229" s="35" t="n"/>
      <c r="BW229" s="35" t="n"/>
      <c r="BX229" s="263">
        <f>SUM(BT229:BU229)</f>
        <v>-518</v>
      </c>
      <c r="BY229" s="269" t="n">
        <v>0</v>
      </c>
      <c r="BZ229" s="269" t="n">
        <v>0</v>
      </c>
      <c r="CA229" s="269" t="n">
        <v>0</v>
      </c>
      <c r="CB229" s="269" t="n">
        <v>0</v>
      </c>
      <c r="CC229" s="269" t="n">
        <v>0</v>
      </c>
      <c r="CD229" s="19" t="n"/>
    </row>
    <row r="230" ht="15" customHeight="1" s="251">
      <c r="B230" s="16" t="inlineStr">
        <is>
          <t>Net cash used in investing activities</t>
        </is>
      </c>
      <c r="C230" s="253" t="n">
        <v>-62</v>
      </c>
      <c r="D230" s="253" t="n">
        <v>-324</v>
      </c>
      <c r="E230" s="253" t="n">
        <v>-3023</v>
      </c>
      <c r="F230" s="253" t="n">
        <v>-7024</v>
      </c>
      <c r="G230" s="253" t="n">
        <v>-326</v>
      </c>
      <c r="H230" s="253" t="n">
        <v>-498</v>
      </c>
      <c r="I230" s="253" t="n">
        <v>734</v>
      </c>
      <c r="J230" s="253" t="n">
        <v>-2534</v>
      </c>
      <c r="K230" s="253" t="n">
        <v>-2624</v>
      </c>
      <c r="L230" s="253" t="n">
        <v>-1872</v>
      </c>
      <c r="M230" s="253" t="n">
        <v>-422</v>
      </c>
      <c r="N230" s="253" t="n">
        <v>2997</v>
      </c>
      <c r="O230" s="253" t="n">
        <v>-6616</v>
      </c>
      <c r="P230" s="253" t="n">
        <v>-5913</v>
      </c>
      <c r="Q230" s="253" t="n">
        <v>-2844</v>
      </c>
      <c r="R230" s="253" t="n">
        <v>-564</v>
      </c>
      <c r="S230" s="253" t="n">
        <v>-3300</v>
      </c>
      <c r="T230" s="253" t="n">
        <v>-2726</v>
      </c>
      <c r="U230" s="253" t="n">
        <v>-9434</v>
      </c>
      <c r="V230" s="253" t="n">
        <v>-1676</v>
      </c>
      <c r="W230" s="253" t="n">
        <v>-4971</v>
      </c>
      <c r="X230" s="253" t="n">
        <v>-3117</v>
      </c>
      <c r="Y230" s="253" t="n">
        <v>-1975</v>
      </c>
      <c r="Z230" s="253" t="n">
        <v>-11739</v>
      </c>
      <c r="AA230" s="253" t="n">
        <v>-5891</v>
      </c>
      <c r="AB230" s="253" t="n">
        <v>-5440</v>
      </c>
      <c r="AC230" s="253" t="n">
        <v>-3714</v>
      </c>
      <c r="AD230" s="253" t="n">
        <v>-4993</v>
      </c>
      <c r="AE230" s="253" t="n">
        <v>-20038</v>
      </c>
      <c r="AF230" s="253" t="n">
        <v>-1287</v>
      </c>
      <c r="AG230" s="253" t="n">
        <v>-2383</v>
      </c>
      <c r="AH230" s="253" t="n">
        <v>-4248</v>
      </c>
      <c r="AI230" s="253" t="n">
        <v>-3749</v>
      </c>
      <c r="AJ230" s="253" t="n">
        <v>-11603</v>
      </c>
      <c r="AK230" s="253" t="n">
        <v>-6768</v>
      </c>
      <c r="AL230" s="253" t="n">
        <v>-4010</v>
      </c>
      <c r="AM230" s="253" t="n">
        <v>-5050</v>
      </c>
      <c r="AN230" s="253" t="n">
        <v>-4036</v>
      </c>
      <c r="AO230" s="253" t="n">
        <v>-19864</v>
      </c>
      <c r="AP230" s="253" t="n">
        <v>-4109</v>
      </c>
      <c r="AQ230" s="253" t="n">
        <v>-4177</v>
      </c>
      <c r="AR230" s="253" t="n">
        <v>-16599</v>
      </c>
      <c r="AS230" s="253" t="n">
        <v>-5173</v>
      </c>
      <c r="AT230" s="253" t="n">
        <v>-30059</v>
      </c>
      <c r="AU230" s="253" t="n">
        <v>-4874</v>
      </c>
      <c r="AV230" s="253" t="n">
        <v>-8195</v>
      </c>
      <c r="AW230" s="253" t="n">
        <v>-330</v>
      </c>
      <c r="AX230" s="253" t="n">
        <v>5829</v>
      </c>
      <c r="AY230" s="253" t="n">
        <v>-7570</v>
      </c>
      <c r="AZ230" s="253" t="n">
        <v>-4779</v>
      </c>
      <c r="BA230" s="253" t="n">
        <v>-6959</v>
      </c>
      <c r="BB230" s="253" t="n">
        <v>-9701</v>
      </c>
      <c r="BC230" s="253" t="n">
        <v>-7531</v>
      </c>
      <c r="BD230" s="253" t="n">
        <v>-28970</v>
      </c>
      <c r="BE230" s="253" t="n">
        <v>-6743</v>
      </c>
      <c r="BF230" s="253" t="n">
        <v>-5203</v>
      </c>
      <c r="BG230" s="253" t="n">
        <v>-6077</v>
      </c>
      <c r="BH230" s="253" t="n">
        <v>-6472</v>
      </c>
      <c r="BI230" s="253" t="n">
        <v>-24495</v>
      </c>
      <c r="BJ230" s="253" t="n">
        <v>-8734</v>
      </c>
      <c r="BK230" s="253" t="n">
        <v>-8298</v>
      </c>
      <c r="BL230" s="253" t="n">
        <v>-8620</v>
      </c>
      <c r="BM230" s="253" t="n">
        <v>-21498</v>
      </c>
      <c r="BN230" s="253" t="n">
        <v>-47150</v>
      </c>
      <c r="BO230" s="253" t="n">
        <v>-20010</v>
      </c>
      <c r="BP230" s="253" t="n">
        <v>-25958</v>
      </c>
      <c r="BQ230" s="253" t="n">
        <v>-21848</v>
      </c>
      <c r="BR230" s="253" t="n">
        <v>-34187</v>
      </c>
      <c r="BS230" s="253" t="n">
        <v>-102003</v>
      </c>
      <c r="BT230" s="253" t="n">
        <v>-33678</v>
      </c>
      <c r="BU230" s="253" t="n">
        <v>-49653</v>
      </c>
      <c r="BV230" s="32" t="n"/>
      <c r="BW230" s="32" t="n"/>
      <c r="BX230" s="254">
        <f>SUM(BX225:BX229)</f>
        <v>-168108</v>
      </c>
      <c r="BY230" s="254">
        <f>SUM(BY225:BY229)</f>
        <v>-139382.10857099</v>
      </c>
      <c r="BZ230" s="254">
        <f>SUM(BZ225:BZ229)</f>
        <v>-133369.957684303</v>
      </c>
      <c r="CA230" s="254">
        <f>SUM(CA225:CA229)</f>
        <v>-123718.903799092</v>
      </c>
      <c r="CB230" s="254">
        <f>SUM(CB225:CB229)</f>
        <v>-115755.82772117</v>
      </c>
      <c r="CC230" s="254">
        <f>SUM(CC225:CC229)</f>
        <v>-113041.670742567</v>
      </c>
      <c r="CD230" s="153" t="n"/>
    </row>
    <row r="231" ht="15" customHeight="1" s="251">
      <c r="B231" s="25" t="inlineStr">
        <is>
          <t>Repurchases of Class A common stock</t>
        </is>
      </c>
      <c r="C231" s="261" t="n">
        <v>0</v>
      </c>
      <c r="D231" s="261" t="n">
        <v>0</v>
      </c>
      <c r="E231" s="261" t="n">
        <v>0</v>
      </c>
      <c r="F231" s="261" t="n">
        <v>0</v>
      </c>
      <c r="G231" s="261" t="n">
        <v>0</v>
      </c>
      <c r="H231" s="261" t="n">
        <v>0</v>
      </c>
      <c r="I231" s="261" t="n">
        <v>0</v>
      </c>
      <c r="J231" s="261" t="n">
        <v>0</v>
      </c>
      <c r="K231" s="261" t="n">
        <v>0</v>
      </c>
      <c r="L231" s="261" t="n">
        <v>0</v>
      </c>
      <c r="M231" s="261" t="n">
        <v>0</v>
      </c>
      <c r="N231" s="261" t="n">
        <v>0</v>
      </c>
      <c r="O231" s="261" t="n">
        <v>0</v>
      </c>
      <c r="P231" s="261" t="n">
        <v>0</v>
      </c>
      <c r="Q231" s="261" t="n">
        <v>0</v>
      </c>
      <c r="R231" s="261" t="n">
        <v>0</v>
      </c>
      <c r="S231" s="261" t="n">
        <v>0</v>
      </c>
      <c r="T231" s="261" t="n">
        <v>0</v>
      </c>
      <c r="U231" s="261" t="n">
        <v>0</v>
      </c>
      <c r="V231" s="261" t="n">
        <v>0</v>
      </c>
      <c r="W231" s="261" t="n">
        <v>0</v>
      </c>
      <c r="X231" s="261" t="n">
        <v>0</v>
      </c>
      <c r="Y231" s="261" t="n">
        <v>0</v>
      </c>
      <c r="Z231" s="261" t="n">
        <v>0</v>
      </c>
      <c r="AA231" s="261" t="n">
        <v>-228</v>
      </c>
      <c r="AB231" s="261" t="n">
        <v>-150</v>
      </c>
      <c r="AC231" s="261" t="n">
        <v>-640</v>
      </c>
      <c r="AD231" s="261" t="n">
        <v>-958</v>
      </c>
      <c r="AE231" s="261" t="n">
        <v>-1976</v>
      </c>
      <c r="AF231" s="261" t="n">
        <v>-1774</v>
      </c>
      <c r="AG231" s="261" t="n">
        <v>-3349</v>
      </c>
      <c r="AH231" s="261" t="n">
        <v>-4256</v>
      </c>
      <c r="AI231" s="261" t="n">
        <v>-3500</v>
      </c>
      <c r="AJ231" s="261" t="n">
        <v>-12879</v>
      </c>
      <c r="AK231" s="261" t="n">
        <v>-613</v>
      </c>
      <c r="AL231" s="261" t="n">
        <v>-1144</v>
      </c>
      <c r="AM231" s="261" t="n">
        <v>-1148</v>
      </c>
      <c r="AN231" s="261" t="n">
        <v>-1296</v>
      </c>
      <c r="AO231" s="261" t="n">
        <v>-4202</v>
      </c>
      <c r="AP231" s="261" t="n">
        <v>-1250</v>
      </c>
      <c r="AQ231" s="261" t="n">
        <v>-1369</v>
      </c>
      <c r="AR231" s="261" t="n">
        <v>-1725</v>
      </c>
      <c r="AS231" s="261" t="n">
        <v>-1928</v>
      </c>
      <c r="AT231" s="261" t="n">
        <v>-6272</v>
      </c>
      <c r="AU231" s="261" t="n">
        <v>-3939</v>
      </c>
      <c r="AV231" s="261" t="n">
        <v>-7079</v>
      </c>
      <c r="AW231" s="261" t="n">
        <v>-13457</v>
      </c>
      <c r="AX231" s="261" t="n">
        <v>-20063</v>
      </c>
      <c r="AY231" s="261" t="n">
        <v>-44537</v>
      </c>
      <c r="AZ231" s="261" t="n">
        <v>-9506</v>
      </c>
      <c r="BA231" s="261" t="n">
        <v>-5233</v>
      </c>
      <c r="BB231" s="261" t="n">
        <v>-6354</v>
      </c>
      <c r="BC231" s="261" t="n">
        <v>-6863</v>
      </c>
      <c r="BD231" s="261" t="n">
        <v>-27956</v>
      </c>
      <c r="BE231" s="261" t="n">
        <v>-9365</v>
      </c>
      <c r="BF231" s="261" t="n">
        <v>-898</v>
      </c>
      <c r="BG231" s="261" t="n">
        <v>-3570</v>
      </c>
      <c r="BH231" s="261" t="n">
        <v>-5942</v>
      </c>
      <c r="BI231" s="261" t="n">
        <v>-19774</v>
      </c>
      <c r="BJ231" s="261" t="n">
        <v>-15008</v>
      </c>
      <c r="BK231" s="261" t="n">
        <v>-6299</v>
      </c>
      <c r="BL231" s="261" t="n">
        <v>-8818</v>
      </c>
      <c r="BM231" s="261" t="n">
        <v>0</v>
      </c>
      <c r="BN231" s="261" t="n">
        <v>-30125</v>
      </c>
      <c r="BO231" s="261" t="n">
        <v>-12754</v>
      </c>
      <c r="BP231" s="261" t="n">
        <v>-10167</v>
      </c>
      <c r="BQ231" s="261" t="n">
        <v>-3327</v>
      </c>
      <c r="BR231" s="261" t="n">
        <v>0</v>
      </c>
      <c r="BS231" s="261" t="n">
        <v>-26248</v>
      </c>
      <c r="BT231" s="261" t="n">
        <v>0</v>
      </c>
      <c r="BU231" s="261" t="n">
        <v>0</v>
      </c>
      <c r="BV231" s="35" t="n"/>
      <c r="BW231" s="35" t="n"/>
      <c r="BX231" s="263">
        <f>SUM(BT231:BU231)-CHOOSE(MATCH($CD$2,{"Bull","Base","Bear"},0),$CM$14,$CN$14,$CO$14)</f>
        <v>0</v>
      </c>
      <c r="BY231" s="263">
        <f>-BY333</f>
        <v>0</v>
      </c>
      <c r="BZ231" s="263">
        <f>-BZ333</f>
        <v>-6085.81770896151</v>
      </c>
      <c r="CA231" s="263">
        <f>-CA333</f>
        <v>-52781.4727566973</v>
      </c>
      <c r="CB231" s="263">
        <f>-CB333</f>
        <v>-83608.9017901996</v>
      </c>
      <c r="CC231" s="263">
        <f>-CC333</f>
        <v>-109091.744402072</v>
      </c>
      <c r="CD231" s="19" t="inlineStr">
        <is>
          <t>2026E: 1H actual (nil) + 2H scenario input. 2027E+: leverage plug (cash returned while net debt / adjusted EBITDA is below the ceiling).</t>
        </is>
      </c>
    </row>
    <row r="232" ht="15" customHeight="1" s="251">
      <c r="B232" s="25" t="inlineStr">
        <is>
          <t>Payments for dividends and dividend equivalents</t>
        </is>
      </c>
      <c r="C232" s="261" t="n">
        <v>0</v>
      </c>
      <c r="D232" s="261" t="n">
        <v>0</v>
      </c>
      <c r="E232" s="261" t="n">
        <v>0</v>
      </c>
      <c r="F232" s="261" t="n">
        <v>0</v>
      </c>
      <c r="G232" s="261" t="n">
        <v>0</v>
      </c>
      <c r="H232" s="261" t="n">
        <v>0</v>
      </c>
      <c r="I232" s="261" t="n">
        <v>0</v>
      </c>
      <c r="J232" s="261" t="n">
        <v>0</v>
      </c>
      <c r="K232" s="261" t="n">
        <v>0</v>
      </c>
      <c r="L232" s="261" t="n">
        <v>0</v>
      </c>
      <c r="M232" s="261" t="n">
        <v>0</v>
      </c>
      <c r="N232" s="261" t="n">
        <v>0</v>
      </c>
      <c r="O232" s="261" t="n">
        <v>0</v>
      </c>
      <c r="P232" s="261" t="n">
        <v>0</v>
      </c>
      <c r="Q232" s="261" t="n">
        <v>0</v>
      </c>
      <c r="R232" s="261" t="n">
        <v>0</v>
      </c>
      <c r="S232" s="261" t="n">
        <v>0</v>
      </c>
      <c r="T232" s="261" t="n">
        <v>0</v>
      </c>
      <c r="U232" s="261" t="n">
        <v>0</v>
      </c>
      <c r="V232" s="261" t="n">
        <v>0</v>
      </c>
      <c r="W232" s="261" t="n">
        <v>0</v>
      </c>
      <c r="X232" s="261" t="n">
        <v>0</v>
      </c>
      <c r="Y232" s="261" t="n">
        <v>0</v>
      </c>
      <c r="Z232" s="261" t="n">
        <v>0</v>
      </c>
      <c r="AA232" s="261" t="n">
        <v>0</v>
      </c>
      <c r="AB232" s="261" t="n">
        <v>0</v>
      </c>
      <c r="AC232" s="261" t="n">
        <v>0</v>
      </c>
      <c r="AD232" s="261" t="n">
        <v>0</v>
      </c>
      <c r="AE232" s="261" t="n">
        <v>0</v>
      </c>
      <c r="AF232" s="261" t="n">
        <v>0</v>
      </c>
      <c r="AG232" s="261" t="n">
        <v>0</v>
      </c>
      <c r="AH232" s="261" t="n">
        <v>0</v>
      </c>
      <c r="AI232" s="261" t="n">
        <v>0</v>
      </c>
      <c r="AJ232" s="261" t="n">
        <v>0</v>
      </c>
      <c r="AK232" s="261" t="n">
        <v>0</v>
      </c>
      <c r="AL232" s="261" t="n">
        <v>0</v>
      </c>
      <c r="AM232" s="261" t="n">
        <v>0</v>
      </c>
      <c r="AN232" s="261" t="n">
        <v>0</v>
      </c>
      <c r="AO232" s="261" t="n">
        <v>0</v>
      </c>
      <c r="AP232" s="261" t="n">
        <v>0</v>
      </c>
      <c r="AQ232" s="261" t="n">
        <v>0</v>
      </c>
      <c r="AR232" s="261" t="n">
        <v>0</v>
      </c>
      <c r="AS232" s="261" t="n">
        <v>0</v>
      </c>
      <c r="AT232" s="261" t="n">
        <v>0</v>
      </c>
      <c r="AU232" s="261" t="n">
        <v>0</v>
      </c>
      <c r="AV232" s="261" t="n">
        <v>0</v>
      </c>
      <c r="AW232" s="261" t="n">
        <v>0</v>
      </c>
      <c r="AX232" s="261" t="n">
        <v>0</v>
      </c>
      <c r="AY232" s="261" t="n">
        <v>0</v>
      </c>
      <c r="AZ232" s="261" t="n">
        <v>0</v>
      </c>
      <c r="BA232" s="261" t="n">
        <v>0</v>
      </c>
      <c r="BB232" s="261" t="n">
        <v>0</v>
      </c>
      <c r="BC232" s="261" t="n">
        <v>0</v>
      </c>
      <c r="BD232" s="261" t="n">
        <v>0</v>
      </c>
      <c r="BE232" s="261" t="n">
        <v>0</v>
      </c>
      <c r="BF232" s="261" t="n">
        <v>0</v>
      </c>
      <c r="BG232" s="261" t="n">
        <v>0</v>
      </c>
      <c r="BH232" s="261" t="n">
        <v>0</v>
      </c>
      <c r="BI232" s="261" t="n">
        <v>0</v>
      </c>
      <c r="BJ232" s="261" t="n">
        <v>-1273</v>
      </c>
      <c r="BK232" s="261" t="n">
        <v>-1266</v>
      </c>
      <c r="BL232" s="261" t="n">
        <v>-1263</v>
      </c>
      <c r="BM232" s="261" t="n">
        <v>-1269</v>
      </c>
      <c r="BN232" s="261" t="n">
        <v>-5072</v>
      </c>
      <c r="BO232" s="261" t="n">
        <v>-1329</v>
      </c>
      <c r="BP232" s="261" t="n">
        <v>-1327</v>
      </c>
      <c r="BQ232" s="261" t="n">
        <v>-1330</v>
      </c>
      <c r="BR232" s="261" t="n">
        <v>-1338</v>
      </c>
      <c r="BS232" s="261" t="n">
        <v>-5324</v>
      </c>
      <c r="BT232" s="261" t="n">
        <v>-1346</v>
      </c>
      <c r="BU232" s="261" t="n">
        <v>-1353</v>
      </c>
      <c r="BV232" s="35" t="n"/>
      <c r="BW232" s="35" t="n"/>
      <c r="BX232" s="263">
        <f>SUM(BT232:BU232)-$BV$138*$BV$132-$BW$138*$BW$132</f>
        <v>-5378.6</v>
      </c>
      <c r="BY232" s="263">
        <f>-BY138*BY267</f>
        <v>-5658.03</v>
      </c>
      <c r="BZ232" s="263">
        <f>-BZ138*BZ267</f>
        <v>-6010.389</v>
      </c>
      <c r="CA232" s="263">
        <f>-CA138*CA267</f>
        <v>-6366.81322805833</v>
      </c>
      <c r="CB232" s="263">
        <f>-CB138*CB267</f>
        <v>-6618.17177281047</v>
      </c>
      <c r="CC232" s="263">
        <f>-CC138*CC267</f>
        <v>-6808.39716147977</v>
      </c>
      <c r="CD232" s="19" t="inlineStr">
        <is>
          <t>Dividends = DPS × shares (2027E+: beginning shares, so not circular with plug-driven buybacks).</t>
        </is>
      </c>
    </row>
    <row r="233" ht="15" customHeight="1" s="251">
      <c r="B233" s="25" t="inlineStr">
        <is>
          <t>Taxes paid related to net share settlement of equity awards</t>
        </is>
      </c>
      <c r="C233" s="261" t="n">
        <v>0</v>
      </c>
      <c r="D233" s="261" t="n">
        <v>0</v>
      </c>
      <c r="E233" s="261" t="n">
        <v>0</v>
      </c>
      <c r="F233" s="261" t="n">
        <v>-2862</v>
      </c>
      <c r="G233" s="261" t="n">
        <v>-405</v>
      </c>
      <c r="H233" s="261" t="n">
        <v>-153</v>
      </c>
      <c r="I233" s="261" t="n">
        <v>-148</v>
      </c>
      <c r="J233" s="261" t="n">
        <v>-183</v>
      </c>
      <c r="K233" s="261" t="n">
        <v>-889</v>
      </c>
      <c r="L233" s="261" t="n">
        <v>-3</v>
      </c>
      <c r="M233" s="261" t="n">
        <v>0</v>
      </c>
      <c r="N233" s="261" t="n">
        <v>0</v>
      </c>
      <c r="O233" s="261" t="n">
        <v>-70</v>
      </c>
      <c r="P233" s="261" t="n">
        <v>-73</v>
      </c>
      <c r="Q233" s="261" t="n">
        <v>-5</v>
      </c>
      <c r="R233" s="261" t="n">
        <v>-7</v>
      </c>
      <c r="S233" s="261" t="n">
        <v>-8</v>
      </c>
      <c r="T233" s="261" t="n">
        <v>0</v>
      </c>
      <c r="U233" s="261" t="n">
        <v>-20</v>
      </c>
      <c r="V233" s="261" t="n">
        <v>0</v>
      </c>
      <c r="W233" s="261" t="n">
        <v>0</v>
      </c>
      <c r="X233" s="261" t="n">
        <v>0</v>
      </c>
      <c r="Y233" s="261" t="n">
        <v>0</v>
      </c>
      <c r="Z233" s="261" t="n">
        <v>0</v>
      </c>
      <c r="AA233" s="261" t="n">
        <v>-771</v>
      </c>
      <c r="AB233" s="261" t="n">
        <v>-724</v>
      </c>
      <c r="AC233" s="261" t="n">
        <v>-866</v>
      </c>
      <c r="AD233" s="261" t="n">
        <v>-885</v>
      </c>
      <c r="AE233" s="261" t="n">
        <v>-3246</v>
      </c>
      <c r="AF233" s="261" t="n">
        <v>-832</v>
      </c>
      <c r="AG233" s="261" t="n">
        <v>-927</v>
      </c>
      <c r="AH233" s="261" t="n">
        <v>-905</v>
      </c>
      <c r="AI233" s="261" t="n">
        <v>-545</v>
      </c>
      <c r="AJ233" s="261" t="n">
        <v>-3208</v>
      </c>
      <c r="AK233" s="261" t="n">
        <v>-512</v>
      </c>
      <c r="AL233" s="261" t="n">
        <v>-606</v>
      </c>
      <c r="AM233" s="261" t="n">
        <v>-591</v>
      </c>
      <c r="AN233" s="261" t="n">
        <v>-627</v>
      </c>
      <c r="AO233" s="261" t="n">
        <v>-2337</v>
      </c>
      <c r="AP233" s="261" t="n">
        <v>-690</v>
      </c>
      <c r="AQ233" s="261" t="n">
        <v>-753</v>
      </c>
      <c r="AR233" s="261" t="n">
        <v>-1000</v>
      </c>
      <c r="AS233" s="261" t="n">
        <v>-1121</v>
      </c>
      <c r="AT233" s="261" t="n">
        <v>-3564</v>
      </c>
      <c r="AU233" s="261" t="n">
        <v>-1077</v>
      </c>
      <c r="AV233" s="261" t="n">
        <v>-1354</v>
      </c>
      <c r="AW233" s="261" t="n">
        <v>-1576</v>
      </c>
      <c r="AX233" s="261" t="n">
        <v>-1507</v>
      </c>
      <c r="AY233" s="261" t="n">
        <v>-5515</v>
      </c>
      <c r="AZ233" s="261" t="n">
        <v>-925</v>
      </c>
      <c r="BA233" s="261" t="n">
        <v>-1002</v>
      </c>
      <c r="BB233" s="261" t="n">
        <v>-1011</v>
      </c>
      <c r="BC233" s="261" t="n">
        <v>-656</v>
      </c>
      <c r="BD233" s="261" t="n">
        <v>-3595</v>
      </c>
      <c r="BE233" s="261" t="n">
        <v>-1009</v>
      </c>
      <c r="BF233" s="261" t="n">
        <v>-1692</v>
      </c>
      <c r="BG233" s="261" t="n">
        <v>-2087</v>
      </c>
      <c r="BH233" s="261" t="n">
        <v>-2223</v>
      </c>
      <c r="BI233" s="261" t="n">
        <v>-7012</v>
      </c>
      <c r="BJ233" s="261" t="n">
        <v>-3162</v>
      </c>
      <c r="BK233" s="261" t="n">
        <v>-3208</v>
      </c>
      <c r="BL233" s="261" t="n">
        <v>-3544</v>
      </c>
      <c r="BM233" s="261" t="n">
        <v>-3857</v>
      </c>
      <c r="BN233" s="261" t="n">
        <v>-13770</v>
      </c>
      <c r="BO233" s="261" t="n">
        <v>-4883</v>
      </c>
      <c r="BP233" s="261" t="n">
        <v>-4110</v>
      </c>
      <c r="BQ233" s="261" t="n">
        <v>-5135</v>
      </c>
      <c r="BR233" s="261" t="n">
        <v>-4272</v>
      </c>
      <c r="BS233" s="261" t="n">
        <v>-18400</v>
      </c>
      <c r="BT233" s="261" t="n">
        <v>-4423</v>
      </c>
      <c r="BU233" s="261" t="n">
        <v>-4281</v>
      </c>
      <c r="BV233" s="35" t="n"/>
      <c r="BW233" s="35" t="n"/>
      <c r="BX233" s="263">
        <f>SUM(BT233:BU233)-(BX91-SUM(BT91:BU91))*0.9</f>
        <v>-22488.4</v>
      </c>
      <c r="BY233" s="263">
        <f>-BY91*0.9</f>
        <v>-31135.9744284727</v>
      </c>
      <c r="BZ233" s="263">
        <f>-BZ91*0.9</f>
        <v>-34485.8573967001</v>
      </c>
      <c r="CA233" s="263">
        <f>-CA91*0.9</f>
        <v>-39190.8757293874</v>
      </c>
      <c r="CB233" s="263">
        <f>-CB91*0.9</f>
        <v>-41709.3296909638</v>
      </c>
      <c r="CC233" s="263">
        <f>-CC91*0.9</f>
        <v>-46034.5125442286</v>
      </c>
      <c r="CD233" s="19" t="inlineStr">
        <is>
          <t>Forecast: share-based compensation × 90% (FY2025 ratio of net-share-settlement taxes to share-based compensation).</t>
        </is>
      </c>
    </row>
    <row r="234" ht="15" customHeight="1" s="251">
      <c r="B234" s="25" t="inlineStr">
        <is>
          <t>Long-term debt issued / (repaid), net</t>
        </is>
      </c>
      <c r="C234" s="261" t="n">
        <v>0</v>
      </c>
      <c r="D234" s="261" t="n">
        <v>0</v>
      </c>
      <c r="E234" s="261" t="n">
        <v>0</v>
      </c>
      <c r="F234" s="261" t="n">
        <v>1496</v>
      </c>
      <c r="G234" s="261" t="n">
        <v>0</v>
      </c>
      <c r="H234" s="261" t="n">
        <v>0</v>
      </c>
      <c r="I234" s="261" t="n">
        <v>-1500</v>
      </c>
      <c r="J234" s="261" t="n">
        <v>0</v>
      </c>
      <c r="K234" s="261" t="n">
        <v>-1500</v>
      </c>
      <c r="L234" s="261" t="n">
        <v>0</v>
      </c>
      <c r="M234" s="261" t="n">
        <v>0</v>
      </c>
      <c r="N234" s="261" t="n">
        <v>0</v>
      </c>
      <c r="O234" s="261" t="n">
        <v>0</v>
      </c>
      <c r="P234" s="261" t="n">
        <v>0</v>
      </c>
      <c r="Q234" s="261" t="n">
        <v>0</v>
      </c>
      <c r="R234" s="261" t="n">
        <v>0</v>
      </c>
      <c r="S234" s="261" t="n">
        <v>0</v>
      </c>
      <c r="T234" s="261" t="n">
        <v>0</v>
      </c>
      <c r="U234" s="261" t="n">
        <v>0</v>
      </c>
      <c r="V234" s="261" t="n">
        <v>0</v>
      </c>
      <c r="W234" s="261" t="n">
        <v>0</v>
      </c>
      <c r="X234" s="261" t="n">
        <v>0</v>
      </c>
      <c r="Y234" s="261" t="n">
        <v>0</v>
      </c>
      <c r="Z234" s="261" t="n">
        <v>0</v>
      </c>
      <c r="AA234" s="261" t="n">
        <v>0</v>
      </c>
      <c r="AB234" s="261" t="n">
        <v>0</v>
      </c>
      <c r="AC234" s="261" t="n">
        <v>0</v>
      </c>
      <c r="AD234" s="261" t="n">
        <v>0</v>
      </c>
      <c r="AE234" s="261" t="n">
        <v>0</v>
      </c>
      <c r="AF234" s="261" t="n">
        <v>0</v>
      </c>
      <c r="AG234" s="261" t="n">
        <v>0</v>
      </c>
      <c r="AH234" s="261" t="n">
        <v>0</v>
      </c>
      <c r="AI234" s="261" t="n">
        <v>0</v>
      </c>
      <c r="AJ234" s="261" t="n">
        <v>0</v>
      </c>
      <c r="AK234" s="261" t="n">
        <v>0</v>
      </c>
      <c r="AL234" s="261" t="n">
        <v>0</v>
      </c>
      <c r="AM234" s="261" t="n">
        <v>0</v>
      </c>
      <c r="AN234" s="261" t="n">
        <v>0</v>
      </c>
      <c r="AO234" s="261" t="n">
        <v>0</v>
      </c>
      <c r="AP234" s="261" t="n">
        <v>0</v>
      </c>
      <c r="AQ234" s="261" t="n">
        <v>0</v>
      </c>
      <c r="AR234" s="261" t="n">
        <v>0</v>
      </c>
      <c r="AS234" s="261" t="n">
        <v>0</v>
      </c>
      <c r="AT234" s="261" t="n">
        <v>0</v>
      </c>
      <c r="AU234" s="261" t="n">
        <v>0</v>
      </c>
      <c r="AV234" s="261" t="n">
        <v>0</v>
      </c>
      <c r="AW234" s="261" t="n">
        <v>0</v>
      </c>
      <c r="AX234" s="261" t="n">
        <v>0</v>
      </c>
      <c r="AY234" s="261" t="n">
        <v>0</v>
      </c>
      <c r="AZ234" s="261" t="n">
        <v>0</v>
      </c>
      <c r="BA234" s="261" t="n">
        <v>0</v>
      </c>
      <c r="BB234" s="261" t="n">
        <v>9921</v>
      </c>
      <c r="BC234" s="261" t="n">
        <v>0</v>
      </c>
      <c r="BD234" s="261" t="n">
        <v>9921</v>
      </c>
      <c r="BE234" s="261" t="n">
        <v>0</v>
      </c>
      <c r="BF234" s="261" t="n">
        <v>8455</v>
      </c>
      <c r="BG234" s="261" t="n">
        <v>0</v>
      </c>
      <c r="BH234" s="261" t="n">
        <v>0</v>
      </c>
      <c r="BI234" s="261" t="n">
        <v>8455</v>
      </c>
      <c r="BJ234" s="261" t="n">
        <v>0</v>
      </c>
      <c r="BK234" s="261" t="n">
        <v>0</v>
      </c>
      <c r="BL234" s="261" t="n">
        <v>10432</v>
      </c>
      <c r="BM234" s="261" t="n">
        <v>0</v>
      </c>
      <c r="BN234" s="261" t="n">
        <v>10432</v>
      </c>
      <c r="BO234" s="261" t="n">
        <v>0</v>
      </c>
      <c r="BP234" s="261" t="n">
        <v>0</v>
      </c>
      <c r="BQ234" s="261" t="n">
        <v>0</v>
      </c>
      <c r="BR234" s="261" t="n">
        <v>29906</v>
      </c>
      <c r="BS234" s="261" t="n">
        <v>29906</v>
      </c>
      <c r="BT234" s="261" t="n">
        <v>0</v>
      </c>
      <c r="BU234" s="261" t="n">
        <v>24910</v>
      </c>
      <c r="BV234" s="35" t="n"/>
      <c r="BW234" s="35" t="n"/>
      <c r="BX234" s="263">
        <f>SUM(BT234:BU234)+BX319-BU319</f>
        <v>62340.7405748248</v>
      </c>
      <c r="BY234" s="263">
        <f>BY326</f>
        <v>17038.8105644899</v>
      </c>
      <c r="BZ234" s="263">
        <f>BZ326</f>
        <v>-5663.65688582216</v>
      </c>
      <c r="CA234" s="263">
        <f>CA326</f>
        <v>6811.53469775419</v>
      </c>
      <c r="CB234" s="263">
        <f>CB326</f>
        <v>6791.06348894248</v>
      </c>
      <c r="CC234" s="263">
        <f>CC326</f>
        <v>6444.48629070428</v>
      </c>
      <c r="CD234" s="19" t="inlineStr">
        <is>
          <t>Per the debt schedule: notes repaid at maturity and refinanced; commercial paper / incremental notes drawn or repaid to the minimum cash balance.</t>
        </is>
      </c>
    </row>
    <row r="235" ht="15" customHeight="1" s="251">
      <c r="B235" s="25" t="inlineStr">
        <is>
          <t>Principal payments on finance (capital) leases</t>
        </is>
      </c>
      <c r="C235" s="261" t="n">
        <v>-48</v>
      </c>
      <c r="D235" s="261" t="n">
        <v>-90</v>
      </c>
      <c r="E235" s="261" t="n">
        <v>-181</v>
      </c>
      <c r="F235" s="261" t="n">
        <v>-366</v>
      </c>
      <c r="G235" s="261" t="n">
        <v>-109</v>
      </c>
      <c r="H235" s="261" t="n">
        <v>-91</v>
      </c>
      <c r="I235" s="261" t="n">
        <v>-91</v>
      </c>
      <c r="J235" s="261" t="n">
        <v>-100</v>
      </c>
      <c r="K235" s="261" t="n">
        <v>-391</v>
      </c>
      <c r="L235" s="261" t="n">
        <v>-84</v>
      </c>
      <c r="M235" s="261" t="n">
        <v>-66</v>
      </c>
      <c r="N235" s="261" t="n">
        <v>-49</v>
      </c>
      <c r="O235" s="261" t="n">
        <v>-44</v>
      </c>
      <c r="P235" s="261" t="n">
        <v>-243</v>
      </c>
      <c r="Q235" s="261" t="n">
        <v>-47</v>
      </c>
      <c r="R235" s="261" t="n">
        <v>-37</v>
      </c>
      <c r="S235" s="261" t="n">
        <v>-23</v>
      </c>
      <c r="T235" s="261" t="n">
        <v>-12</v>
      </c>
      <c r="U235" s="261" t="n">
        <v>-119</v>
      </c>
      <c r="V235" s="261" t="n">
        <v>-312</v>
      </c>
      <c r="W235" s="261" t="n">
        <v>0</v>
      </c>
      <c r="X235" s="261" t="n">
        <v>0</v>
      </c>
      <c r="Y235" s="261" t="n">
        <v>0</v>
      </c>
      <c r="Z235" s="261" t="n">
        <v>-312</v>
      </c>
      <c r="AA235" s="261" t="n">
        <v>0</v>
      </c>
      <c r="AB235" s="261" t="n">
        <v>0</v>
      </c>
      <c r="AC235" s="261" t="n">
        <v>0</v>
      </c>
      <c r="AD235" s="261" t="n">
        <v>0</v>
      </c>
      <c r="AE235" s="261" t="n">
        <v>0</v>
      </c>
      <c r="AF235" s="261" t="n">
        <v>0</v>
      </c>
      <c r="AG235" s="261" t="n">
        <v>0</v>
      </c>
      <c r="AH235" s="261" t="n">
        <v>0</v>
      </c>
      <c r="AI235" s="261" t="n">
        <v>0</v>
      </c>
      <c r="AJ235" s="261" t="n">
        <v>0</v>
      </c>
      <c r="AK235" s="261" t="n">
        <v>-125</v>
      </c>
      <c r="AL235" s="261" t="n">
        <v>-142</v>
      </c>
      <c r="AM235" s="261" t="n">
        <v>-144</v>
      </c>
      <c r="AN235" s="261" t="n">
        <v>-141</v>
      </c>
      <c r="AO235" s="261" t="n">
        <v>-552</v>
      </c>
      <c r="AP235" s="261" t="n">
        <v>-100</v>
      </c>
      <c r="AQ235" s="261" t="n">
        <v>-109</v>
      </c>
      <c r="AR235" s="261" t="n">
        <v>-189</v>
      </c>
      <c r="AS235" s="261" t="n">
        <v>-205</v>
      </c>
      <c r="AT235" s="261" t="n">
        <v>-604</v>
      </c>
      <c r="AU235" s="261" t="n">
        <v>-151</v>
      </c>
      <c r="AV235" s="261" t="n">
        <v>-123</v>
      </c>
      <c r="AW235" s="261" t="n">
        <v>-231</v>
      </c>
      <c r="AX235" s="261" t="n">
        <v>-172</v>
      </c>
      <c r="AY235" s="261" t="n">
        <v>-677</v>
      </c>
      <c r="AZ235" s="261" t="n">
        <v>-233</v>
      </c>
      <c r="BA235" s="261" t="n">
        <v>-219</v>
      </c>
      <c r="BB235" s="261" t="n">
        <v>-163</v>
      </c>
      <c r="BC235" s="261" t="n">
        <v>-235</v>
      </c>
      <c r="BD235" s="261" t="n">
        <v>-850</v>
      </c>
      <c r="BE235" s="261" t="n">
        <v>-264</v>
      </c>
      <c r="BF235" s="261" t="n">
        <v>-220</v>
      </c>
      <c r="BG235" s="261" t="n">
        <v>-267</v>
      </c>
      <c r="BH235" s="261" t="n">
        <v>-307</v>
      </c>
      <c r="BI235" s="261" t="n">
        <v>-1058</v>
      </c>
      <c r="BJ235" s="261" t="n">
        <v>-315</v>
      </c>
      <c r="BK235" s="261" t="n">
        <v>-299</v>
      </c>
      <c r="BL235" s="261" t="n">
        <v>-944</v>
      </c>
      <c r="BM235" s="261" t="n">
        <v>-411</v>
      </c>
      <c r="BN235" s="261" t="n">
        <v>-1969</v>
      </c>
      <c r="BO235" s="261" t="n">
        <v>-751</v>
      </c>
      <c r="BP235" s="261" t="n">
        <v>-474</v>
      </c>
      <c r="BQ235" s="261" t="n">
        <v>-545</v>
      </c>
      <c r="BR235" s="261" t="n">
        <v>-754</v>
      </c>
      <c r="BS235" s="261" t="n">
        <v>-2524</v>
      </c>
      <c r="BT235" s="261" t="n">
        <v>-843</v>
      </c>
      <c r="BU235" s="261" t="n">
        <v>-962</v>
      </c>
      <c r="BV235" s="35" t="n"/>
      <c r="BW235" s="35" t="n"/>
      <c r="BX235" s="263">
        <f>2*SUM(BT235:BU235)</f>
        <v>-3610</v>
      </c>
      <c r="BY235" s="269" t="n">
        <v>-4000</v>
      </c>
      <c r="BZ235" s="269" t="n">
        <v>-4000</v>
      </c>
      <c r="CA235" s="269" t="n">
        <v>-4000</v>
      </c>
      <c r="CB235" s="269" t="n">
        <v>-4000</v>
      </c>
      <c r="CC235" s="269" t="n">
        <v>-4000</v>
      </c>
      <c r="CD235" s="19" t="inlineStr">
        <is>
          <t>2026E: 2 × 1H actual (assumption). 2027E+: input (part of the company's capital-expenditure measure).</t>
        </is>
      </c>
    </row>
    <row r="236" ht="15" customHeight="1" s="251">
      <c r="B236" s="25" t="inlineStr">
        <is>
          <t>Proceeds from issuance of common / preferred stock (IPO 2012)</t>
        </is>
      </c>
      <c r="C236" s="261" t="n">
        <v>200</v>
      </c>
      <c r="D236" s="261" t="n">
        <v>0</v>
      </c>
      <c r="E236" s="261" t="n">
        <v>0</v>
      </c>
      <c r="F236" s="261" t="n">
        <v>6760</v>
      </c>
      <c r="G236" s="261" t="n">
        <v>0</v>
      </c>
      <c r="H236" s="261" t="n">
        <v>0</v>
      </c>
      <c r="I236" s="261" t="n">
        <v>0</v>
      </c>
      <c r="J236" s="261" t="n">
        <v>1478</v>
      </c>
      <c r="K236" s="261" t="n">
        <v>1478</v>
      </c>
      <c r="L236" s="261" t="n">
        <v>0</v>
      </c>
      <c r="M236" s="261" t="n">
        <v>0</v>
      </c>
      <c r="N236" s="261" t="n">
        <v>0</v>
      </c>
      <c r="O236" s="261" t="n">
        <v>0</v>
      </c>
      <c r="P236" s="261" t="n">
        <v>0</v>
      </c>
      <c r="Q236" s="261" t="n">
        <v>0</v>
      </c>
      <c r="R236" s="261" t="n">
        <v>0</v>
      </c>
      <c r="S236" s="261" t="n">
        <v>0</v>
      </c>
      <c r="T236" s="261" t="n">
        <v>0</v>
      </c>
      <c r="U236" s="261" t="n">
        <v>0</v>
      </c>
      <c r="V236" s="261" t="n">
        <v>0</v>
      </c>
      <c r="W236" s="261" t="n">
        <v>0</v>
      </c>
      <c r="X236" s="261" t="n">
        <v>0</v>
      </c>
      <c r="Y236" s="261" t="n">
        <v>0</v>
      </c>
      <c r="Z236" s="261" t="n">
        <v>0</v>
      </c>
      <c r="AA236" s="261" t="n">
        <v>0</v>
      </c>
      <c r="AB236" s="261" t="n">
        <v>0</v>
      </c>
      <c r="AC236" s="261" t="n">
        <v>0</v>
      </c>
      <c r="AD236" s="261" t="n">
        <v>0</v>
      </c>
      <c r="AE236" s="261" t="n">
        <v>0</v>
      </c>
      <c r="AF236" s="261" t="n">
        <v>0</v>
      </c>
      <c r="AG236" s="261" t="n">
        <v>0</v>
      </c>
      <c r="AH236" s="261" t="n">
        <v>0</v>
      </c>
      <c r="AI236" s="261" t="n">
        <v>0</v>
      </c>
      <c r="AJ236" s="261" t="n">
        <v>0</v>
      </c>
      <c r="AK236" s="261" t="n">
        <v>0</v>
      </c>
      <c r="AL236" s="261" t="n">
        <v>0</v>
      </c>
      <c r="AM236" s="261" t="n">
        <v>0</v>
      </c>
      <c r="AN236" s="261" t="n">
        <v>0</v>
      </c>
      <c r="AO236" s="261" t="n">
        <v>0</v>
      </c>
      <c r="AP236" s="261" t="n">
        <v>0</v>
      </c>
      <c r="AQ236" s="261" t="n">
        <v>0</v>
      </c>
      <c r="AR236" s="261" t="n">
        <v>0</v>
      </c>
      <c r="AS236" s="261" t="n">
        <v>0</v>
      </c>
      <c r="AT236" s="261" t="n">
        <v>0</v>
      </c>
      <c r="AU236" s="261" t="n">
        <v>0</v>
      </c>
      <c r="AV236" s="261" t="n">
        <v>0</v>
      </c>
      <c r="AW236" s="261" t="n">
        <v>0</v>
      </c>
      <c r="AX236" s="261" t="n">
        <v>0</v>
      </c>
      <c r="AY236" s="261" t="n">
        <v>0</v>
      </c>
      <c r="AZ236" s="261" t="n">
        <v>0</v>
      </c>
      <c r="BA236" s="261" t="n">
        <v>0</v>
      </c>
      <c r="BB236" s="261" t="n">
        <v>0</v>
      </c>
      <c r="BC236" s="261" t="n">
        <v>0</v>
      </c>
      <c r="BD236" s="261" t="n">
        <v>0</v>
      </c>
      <c r="BE236" s="261" t="n">
        <v>0</v>
      </c>
      <c r="BF236" s="261" t="n">
        <v>0</v>
      </c>
      <c r="BG236" s="261" t="n">
        <v>0</v>
      </c>
      <c r="BH236" s="261" t="n">
        <v>0</v>
      </c>
      <c r="BI236" s="261" t="n">
        <v>0</v>
      </c>
      <c r="BJ236" s="261" t="n">
        <v>0</v>
      </c>
      <c r="BK236" s="261" t="n">
        <v>0</v>
      </c>
      <c r="BL236" s="261" t="n">
        <v>0</v>
      </c>
      <c r="BM236" s="261" t="n">
        <v>0</v>
      </c>
      <c r="BN236" s="261" t="n">
        <v>0</v>
      </c>
      <c r="BO236" s="261" t="n">
        <v>0</v>
      </c>
      <c r="BP236" s="261" t="n">
        <v>0</v>
      </c>
      <c r="BQ236" s="261" t="n">
        <v>0</v>
      </c>
      <c r="BR236" s="261" t="n">
        <v>0</v>
      </c>
      <c r="BS236" s="261" t="n">
        <v>0</v>
      </c>
      <c r="BT236" s="261" t="n">
        <v>0</v>
      </c>
      <c r="BU236" s="261" t="n">
        <v>0</v>
      </c>
      <c r="BV236" s="35" t="n"/>
      <c r="BW236" s="35" t="n"/>
      <c r="BX236" s="263">
        <f>SUM(BT236:BU236)</f>
        <v>0</v>
      </c>
      <c r="BY236" s="269" t="n">
        <v>0</v>
      </c>
      <c r="BZ236" s="269" t="n">
        <v>0</v>
      </c>
      <c r="CA236" s="269" t="n">
        <v>0</v>
      </c>
      <c r="CB236" s="269" t="n">
        <v>0</v>
      </c>
      <c r="CC236" s="269" t="n">
        <v>0</v>
      </c>
      <c r="CD236" s="19" t="n"/>
    </row>
    <row r="237" ht="15" customHeight="1" s="251">
      <c r="B237" s="25" t="inlineStr">
        <is>
          <t>Other financing activities (derived)</t>
        </is>
      </c>
      <c r="C237" s="261" t="n">
        <v>91</v>
      </c>
      <c r="D237" s="261" t="n">
        <v>871</v>
      </c>
      <c r="E237" s="261" t="n">
        <v>1379</v>
      </c>
      <c r="F237" s="261" t="n">
        <v>1255</v>
      </c>
      <c r="G237" s="261" t="n">
        <v>70</v>
      </c>
      <c r="H237" s="261" t="n">
        <v>95</v>
      </c>
      <c r="I237" s="261" t="n">
        <v>140</v>
      </c>
      <c r="J237" s="261" t="n">
        <v>330</v>
      </c>
      <c r="K237" s="261" t="n">
        <v>635</v>
      </c>
      <c r="L237" s="261" t="n">
        <v>349</v>
      </c>
      <c r="M237" s="261" t="n">
        <v>536</v>
      </c>
      <c r="N237" s="261" t="n">
        <v>487</v>
      </c>
      <c r="O237" s="261" t="n">
        <v>515</v>
      </c>
      <c r="P237" s="261" t="n">
        <v>1887</v>
      </c>
      <c r="Q237" s="261" t="n">
        <v>423</v>
      </c>
      <c r="R237" s="261" t="n">
        <v>386</v>
      </c>
      <c r="S237" s="261" t="n">
        <v>346</v>
      </c>
      <c r="T237" s="261" t="n">
        <v>566</v>
      </c>
      <c r="U237" s="261" t="n">
        <v>1721</v>
      </c>
      <c r="V237" s="261" t="n">
        <v>496</v>
      </c>
      <c r="W237" s="261" t="n">
        <v>471</v>
      </c>
      <c r="X237" s="261" t="n">
        <v>451</v>
      </c>
      <c r="Y237" s="261" t="n">
        <v>4</v>
      </c>
      <c r="Z237" s="261" t="n">
        <v>2</v>
      </c>
      <c r="AA237" s="261" t="n">
        <v>7</v>
      </c>
      <c r="AB237" s="261" t="n">
        <v>5</v>
      </c>
      <c r="AC237" s="261" t="n">
        <v>-26</v>
      </c>
      <c r="AD237" s="261" t="n">
        <v>1</v>
      </c>
      <c r="AE237" s="261" t="n">
        <v>-13</v>
      </c>
      <c r="AF237" s="261" t="n">
        <v>3</v>
      </c>
      <c r="AG237" s="261" t="n">
        <v>4</v>
      </c>
      <c r="AH237" s="261" t="n">
        <v>3</v>
      </c>
      <c r="AI237" s="261" t="n">
        <v>504</v>
      </c>
      <c r="AJ237" s="261" t="n">
        <v>515</v>
      </c>
      <c r="AK237" s="261" t="n">
        <v>-173</v>
      </c>
      <c r="AL237" s="261" t="n">
        <v>62</v>
      </c>
      <c r="AM237" s="261" t="n">
        <v>-136</v>
      </c>
      <c r="AN237" s="261" t="n">
        <v>39</v>
      </c>
      <c r="AO237" s="261" t="n">
        <v>-208</v>
      </c>
      <c r="AP237" s="261" t="n">
        <v>18</v>
      </c>
      <c r="AQ237" s="261" t="n">
        <v>79</v>
      </c>
      <c r="AR237" s="261" t="n">
        <v>2</v>
      </c>
      <c r="AS237" s="261" t="n">
        <v>48</v>
      </c>
      <c r="AT237" s="261" t="n">
        <v>148</v>
      </c>
      <c r="AU237" s="261" t="n">
        <v>-18</v>
      </c>
      <c r="AV237" s="261" t="n">
        <v>8</v>
      </c>
      <c r="AW237" s="261" t="n">
        <v>11</v>
      </c>
      <c r="AX237" s="261" t="n">
        <v>0</v>
      </c>
      <c r="AY237" s="261" t="n">
        <v>1</v>
      </c>
      <c r="AZ237" s="261" t="n">
        <v>4</v>
      </c>
      <c r="BA237" s="261" t="n">
        <v>-109</v>
      </c>
      <c r="BB237" s="261" t="n">
        <v>-246</v>
      </c>
      <c r="BC237" s="261" t="n">
        <v>695</v>
      </c>
      <c r="BD237" s="261" t="n">
        <v>344</v>
      </c>
      <c r="BE237" s="261" t="n">
        <v>122</v>
      </c>
      <c r="BF237" s="261" t="n">
        <v>-353</v>
      </c>
      <c r="BG237" s="261" t="n">
        <v>49</v>
      </c>
      <c r="BH237" s="261" t="n">
        <v>71</v>
      </c>
      <c r="BI237" s="261" t="n">
        <v>-111</v>
      </c>
      <c r="BJ237" s="261" t="n">
        <v>-9</v>
      </c>
      <c r="BK237" s="261" t="n">
        <v>-106</v>
      </c>
      <c r="BL237" s="261" t="n">
        <v>-234</v>
      </c>
      <c r="BM237" s="261" t="n">
        <v>72</v>
      </c>
      <c r="BN237" s="261" t="n">
        <v>-277</v>
      </c>
      <c r="BO237" s="261" t="n">
        <v>222</v>
      </c>
      <c r="BP237" s="261" t="n">
        <v>101</v>
      </c>
      <c r="BQ237" s="261" t="n">
        <v>290</v>
      </c>
      <c r="BR237" s="261" t="n">
        <v>1607</v>
      </c>
      <c r="BS237" s="261" t="n">
        <v>2220</v>
      </c>
      <c r="BT237" s="261" t="n">
        <v>59</v>
      </c>
      <c r="BU237" s="261" t="n">
        <v>-2347</v>
      </c>
      <c r="BV237" s="35" t="n"/>
      <c r="BW237" s="35" t="n"/>
      <c r="BX237" s="263">
        <f>SUM(BT237:BU237)</f>
        <v>-2288</v>
      </c>
      <c r="BY237" s="269" t="n">
        <v>0</v>
      </c>
      <c r="BZ237" s="269" t="n">
        <v>0</v>
      </c>
      <c r="CA237" s="269" t="n">
        <v>0</v>
      </c>
      <c r="CB237" s="269" t="n">
        <v>0</v>
      </c>
      <c r="CC237" s="269" t="n">
        <v>0</v>
      </c>
      <c r="CD237" s="19" t="n"/>
    </row>
    <row r="238" ht="15" customHeight="1" s="251">
      <c r="B238" s="16" t="inlineStr">
        <is>
          <t>Net cash provided by (used in) financing activities</t>
        </is>
      </c>
      <c r="C238" s="253" t="n">
        <v>243</v>
      </c>
      <c r="D238" s="253" t="n">
        <v>781</v>
      </c>
      <c r="E238" s="253" t="n">
        <v>1198</v>
      </c>
      <c r="F238" s="253" t="n">
        <v>6283</v>
      </c>
      <c r="G238" s="253" t="n">
        <v>-444</v>
      </c>
      <c r="H238" s="253" t="n">
        <v>-149</v>
      </c>
      <c r="I238" s="253" t="n">
        <v>-1599</v>
      </c>
      <c r="J238" s="253" t="n">
        <v>1525</v>
      </c>
      <c r="K238" s="253" t="n">
        <v>-667</v>
      </c>
      <c r="L238" s="253" t="n">
        <v>262</v>
      </c>
      <c r="M238" s="253" t="n">
        <v>470</v>
      </c>
      <c r="N238" s="253" t="n">
        <v>438</v>
      </c>
      <c r="O238" s="253" t="n">
        <v>401</v>
      </c>
      <c r="P238" s="253" t="n">
        <v>1571</v>
      </c>
      <c r="Q238" s="253" t="n">
        <v>371</v>
      </c>
      <c r="R238" s="253" t="n">
        <v>342</v>
      </c>
      <c r="S238" s="253" t="n">
        <v>315</v>
      </c>
      <c r="T238" s="253" t="n">
        <v>554</v>
      </c>
      <c r="U238" s="253" t="n">
        <v>1582</v>
      </c>
      <c r="V238" s="253" t="n">
        <v>184</v>
      </c>
      <c r="W238" s="253" t="n">
        <v>471</v>
      </c>
      <c r="X238" s="253" t="n">
        <v>451</v>
      </c>
      <c r="Y238" s="253" t="n">
        <v>4</v>
      </c>
      <c r="Z238" s="253" t="n">
        <v>-310</v>
      </c>
      <c r="AA238" s="253" t="n">
        <v>-992</v>
      </c>
      <c r="AB238" s="253" t="n">
        <v>-869</v>
      </c>
      <c r="AC238" s="253" t="n">
        <v>-1532</v>
      </c>
      <c r="AD238" s="253" t="n">
        <v>-1842</v>
      </c>
      <c r="AE238" s="253" t="n">
        <v>-5235</v>
      </c>
      <c r="AF238" s="253" t="n">
        <v>-2603</v>
      </c>
      <c r="AG238" s="253" t="n">
        <v>-4272</v>
      </c>
      <c r="AH238" s="253" t="n">
        <v>-5158</v>
      </c>
      <c r="AI238" s="253" t="n">
        <v>-3541</v>
      </c>
      <c r="AJ238" s="253" t="n">
        <v>-15572</v>
      </c>
      <c r="AK238" s="253" t="n">
        <v>-1423</v>
      </c>
      <c r="AL238" s="253" t="n">
        <v>-1830</v>
      </c>
      <c r="AM238" s="253" t="n">
        <v>-2019</v>
      </c>
      <c r="AN238" s="253" t="n">
        <v>-2025</v>
      </c>
      <c r="AO238" s="253" t="n">
        <v>-7299</v>
      </c>
      <c r="AP238" s="253" t="n">
        <v>-2022</v>
      </c>
      <c r="AQ238" s="253" t="n">
        <v>-2152</v>
      </c>
      <c r="AR238" s="253" t="n">
        <v>-2912</v>
      </c>
      <c r="AS238" s="253" t="n">
        <v>-3206</v>
      </c>
      <c r="AT238" s="253" t="n">
        <v>-10292</v>
      </c>
      <c r="AU238" s="253" t="n">
        <v>-5185</v>
      </c>
      <c r="AV238" s="253" t="n">
        <v>-8548</v>
      </c>
      <c r="AW238" s="253" t="n">
        <v>-15253</v>
      </c>
      <c r="AX238" s="253" t="n">
        <v>-21742</v>
      </c>
      <c r="AY238" s="253" t="n">
        <v>-50728</v>
      </c>
      <c r="AZ238" s="253" t="n">
        <v>-10660</v>
      </c>
      <c r="BA238" s="253" t="n">
        <v>-6563</v>
      </c>
      <c r="BB238" s="253" t="n">
        <v>2147</v>
      </c>
      <c r="BC238" s="253" t="n">
        <v>-7059</v>
      </c>
      <c r="BD238" s="253" t="n">
        <v>-22136</v>
      </c>
      <c r="BE238" s="253" t="n">
        <v>-10516</v>
      </c>
      <c r="BF238" s="253" t="n">
        <v>5292</v>
      </c>
      <c r="BG238" s="253" t="n">
        <v>-5875</v>
      </c>
      <c r="BH238" s="253" t="n">
        <v>-8401</v>
      </c>
      <c r="BI238" s="253" t="n">
        <v>-19500</v>
      </c>
      <c r="BJ238" s="253" t="n">
        <v>-19767</v>
      </c>
      <c r="BK238" s="253" t="n">
        <v>-11178</v>
      </c>
      <c r="BL238" s="253" t="n">
        <v>-4371</v>
      </c>
      <c r="BM238" s="253" t="n">
        <v>-5465</v>
      </c>
      <c r="BN238" s="253" t="n">
        <v>-40781</v>
      </c>
      <c r="BO238" s="253" t="n">
        <v>-19495</v>
      </c>
      <c r="BP238" s="253" t="n">
        <v>-15977</v>
      </c>
      <c r="BQ238" s="253" t="n">
        <v>-10047</v>
      </c>
      <c r="BR238" s="253" t="n">
        <v>25149</v>
      </c>
      <c r="BS238" s="253" t="n">
        <v>-20370</v>
      </c>
      <c r="BT238" s="253" t="n">
        <v>-6553</v>
      </c>
      <c r="BU238" s="253" t="n">
        <v>15967</v>
      </c>
      <c r="BV238" s="32" t="n"/>
      <c r="BW238" s="32" t="n"/>
      <c r="BX238" s="254">
        <f>SUM(BX231:BX237)</f>
        <v>28575.7405748248</v>
      </c>
      <c r="BY238" s="254">
        <f>SUM(BY231:BY237)</f>
        <v>-23755.1938639827</v>
      </c>
      <c r="BZ238" s="254">
        <f>SUM(BZ231:BZ237)</f>
        <v>-56245.7209914838</v>
      </c>
      <c r="CA238" s="254">
        <f>SUM(CA231:CA237)</f>
        <v>-95527.6270163889</v>
      </c>
      <c r="CB238" s="254">
        <f>SUM(CB231:CB237)</f>
        <v>-129145.339765031</v>
      </c>
      <c r="CC238" s="254">
        <f>SUM(CC231:CC237)</f>
        <v>-159490.167817076</v>
      </c>
      <c r="CD238" s="153" t="n"/>
    </row>
    <row r="239" ht="15" customHeight="1" s="251">
      <c r="B239" s="25" t="inlineStr">
        <is>
          <t>Effect of exchange rate changes on cash</t>
        </is>
      </c>
      <c r="C239" s="261" t="n">
        <v>0</v>
      </c>
      <c r="D239" s="261" t="n">
        <v>-3</v>
      </c>
      <c r="E239" s="261" t="n">
        <v>3</v>
      </c>
      <c r="F239" s="261" t="n">
        <v>1</v>
      </c>
      <c r="G239" s="261" t="n">
        <v>-8</v>
      </c>
      <c r="H239" s="261" t="n">
        <v>1</v>
      </c>
      <c r="I239" s="261" t="n">
        <v>14</v>
      </c>
      <c r="J239" s="261" t="n">
        <v>1</v>
      </c>
      <c r="K239" s="261" t="n">
        <v>8</v>
      </c>
      <c r="L239" s="261" t="n">
        <v>0</v>
      </c>
      <c r="M239" s="261" t="n">
        <v>-3</v>
      </c>
      <c r="N239" s="261" t="n">
        <v>-68</v>
      </c>
      <c r="O239" s="261" t="n">
        <v>-52</v>
      </c>
      <c r="P239" s="261" t="n">
        <v>-123</v>
      </c>
      <c r="Q239" s="261" t="n">
        <v>-123</v>
      </c>
      <c r="R239" s="261" t="n">
        <v>46</v>
      </c>
      <c r="S239" s="261" t="n">
        <v>-22</v>
      </c>
      <c r="T239" s="261" t="n">
        <v>-56</v>
      </c>
      <c r="U239" s="261" t="n">
        <v>-155</v>
      </c>
      <c r="V239" s="261" t="n">
        <v>58</v>
      </c>
      <c r="W239" s="261" t="n">
        <v>-46</v>
      </c>
      <c r="X239" s="261" t="n">
        <v>19</v>
      </c>
      <c r="Y239" s="261" t="n">
        <v>-94</v>
      </c>
      <c r="Z239" s="261" t="n">
        <v>-63</v>
      </c>
      <c r="AA239" s="261" t="n">
        <v>26</v>
      </c>
      <c r="AB239" s="261" t="n">
        <v>97</v>
      </c>
      <c r="AC239" s="261" t="n">
        <v>67</v>
      </c>
      <c r="AD239" s="261" t="n">
        <v>43</v>
      </c>
      <c r="AE239" s="261" t="n">
        <v>233</v>
      </c>
      <c r="AF239" s="261" t="n">
        <v>36</v>
      </c>
      <c r="AG239" s="261" t="n">
        <v>-186</v>
      </c>
      <c r="AH239" s="261" t="n">
        <v>-14</v>
      </c>
      <c r="AI239" s="261" t="n">
        <v>-14</v>
      </c>
      <c r="AJ239" s="261" t="n">
        <v>-179</v>
      </c>
      <c r="AK239" s="261" t="n">
        <v>-44</v>
      </c>
      <c r="AL239" s="261" t="n">
        <v>26</v>
      </c>
      <c r="AM239" s="261" t="n">
        <v>-156</v>
      </c>
      <c r="AN239" s="261" t="n">
        <v>177</v>
      </c>
      <c r="AO239" s="261" t="n">
        <v>4</v>
      </c>
      <c r="AP239" s="261" t="n">
        <v>-222</v>
      </c>
      <c r="AQ239" s="261" t="n">
        <v>93</v>
      </c>
      <c r="AR239" s="261" t="n">
        <v>93</v>
      </c>
      <c r="AS239" s="261" t="n">
        <v>314</v>
      </c>
      <c r="AT239" s="261" t="n">
        <v>279</v>
      </c>
      <c r="AU239" s="261" t="n">
        <v>-246</v>
      </c>
      <c r="AV239" s="261" t="n">
        <v>117</v>
      </c>
      <c r="AW239" s="261" t="n">
        <v>-215</v>
      </c>
      <c r="AX239" s="261" t="n">
        <v>-130</v>
      </c>
      <c r="AY239" s="261" t="n">
        <v>-474</v>
      </c>
      <c r="AZ239" s="261" t="n">
        <v>-149</v>
      </c>
      <c r="BA239" s="261" t="n">
        <v>-550</v>
      </c>
      <c r="BB239" s="261" t="n">
        <v>-364</v>
      </c>
      <c r="BC239" s="261" t="n">
        <v>424</v>
      </c>
      <c r="BD239" s="261" t="n">
        <v>-638</v>
      </c>
      <c r="BE239" s="261" t="n">
        <v>85</v>
      </c>
      <c r="BF239" s="261" t="n">
        <v>-14</v>
      </c>
      <c r="BG239" s="261" t="n">
        <v>-354</v>
      </c>
      <c r="BH239" s="261" t="n">
        <v>396</v>
      </c>
      <c r="BI239" s="261" t="n">
        <v>113</v>
      </c>
      <c r="BJ239" s="261" t="n">
        <v>-288</v>
      </c>
      <c r="BK239" s="261" t="n">
        <v>-152</v>
      </c>
      <c r="BL239" s="261" t="n">
        <v>368</v>
      </c>
      <c r="BM239" s="261" t="n">
        <v>-714</v>
      </c>
      <c r="BN239" s="261" t="n">
        <v>-786</v>
      </c>
      <c r="BO239" s="261" t="n">
        <v>112</v>
      </c>
      <c r="BP239" s="261" t="n">
        <v>131</v>
      </c>
      <c r="BQ239" s="261" t="n">
        <v>9</v>
      </c>
      <c r="BR239" s="261" t="n">
        <v>-17</v>
      </c>
      <c r="BS239" s="261" t="n">
        <v>235</v>
      </c>
      <c r="BT239" s="261" t="n">
        <v>7</v>
      </c>
      <c r="BU239" s="261" t="n">
        <v>-7</v>
      </c>
      <c r="BV239" s="35" t="n"/>
      <c r="BW239" s="35" t="n"/>
      <c r="BX239" s="263">
        <f>SUM(BT239:BU239)</f>
        <v>0</v>
      </c>
      <c r="BY239" s="269" t="n">
        <v>0</v>
      </c>
      <c r="BZ239" s="269" t="n">
        <v>0</v>
      </c>
      <c r="CA239" s="269" t="n">
        <v>0</v>
      </c>
      <c r="CB239" s="269" t="n">
        <v>0</v>
      </c>
      <c r="CC239" s="269" t="n">
        <v>0</v>
      </c>
      <c r="CD239" s="19" t="n"/>
    </row>
    <row r="240" ht="15" customHeight="1" s="251">
      <c r="B240" s="25" t="inlineStr">
        <is>
          <t>Net change in cash, cash equivalents and restricted cash</t>
        </is>
      </c>
      <c r="C240" s="211">
        <f>IF(ISNUMBER(C224),C224+C230+C238+N(C239),"")</f>
        <v>336</v>
      </c>
      <c r="D240" s="211">
        <f>IF(ISNUMBER(D224),D224+D230+D238+N(D239),"")</f>
        <v>1152</v>
      </c>
      <c r="E240" s="211">
        <f>IF(ISNUMBER(E224),E224+E230+E238+N(E239),"")</f>
        <v>-273</v>
      </c>
      <c r="F240" s="211">
        <f>IF(ISNUMBER(F224),F224+F230+F238+N(F239),"")</f>
        <v>872</v>
      </c>
      <c r="G240" s="211">
        <f>IF(ISNUMBER(G224),G224+G230+G238+N(G239),"")</f>
        <v>-59</v>
      </c>
      <c r="H240" s="211">
        <f>IF(ISNUMBER(H224),H224+H230+H238+N(H239),"")</f>
        <v>676</v>
      </c>
      <c r="I240" s="211">
        <f>IF(ISNUMBER(I224),I224+I230+I238+N(I239),"")</f>
        <v>99</v>
      </c>
      <c r="J240" s="211">
        <f>IF(ISNUMBER(J224),J224+J230+J238+N(J239),"")</f>
        <v>223</v>
      </c>
      <c r="K240" s="211">
        <f>IF(ISNUMBER(K224),K224+K230+K238+N(K239),"")</f>
        <v>939</v>
      </c>
      <c r="L240" s="211">
        <f>IF(ISNUMBER(L224),L224+L230+L238+N(L239),"")</f>
        <v>-325</v>
      </c>
      <c r="M240" s="211">
        <f>IF(ISNUMBER(M224),M224+M230+M238+N(M239),"")</f>
        <v>1386</v>
      </c>
      <c r="N240" s="211">
        <f>IF(ISNUMBER(N224),N224+N230+N238+N(N239),"")</f>
        <v>4615</v>
      </c>
      <c r="O240" s="211">
        <f>IF(ISNUMBER(O224),O224+O230+O238+N(O239),"")</f>
        <v>-4684</v>
      </c>
      <c r="P240" s="211">
        <f>IF(ISNUMBER(P224),P224+P230+P238+N(P239),"")</f>
        <v>992</v>
      </c>
      <c r="Q240" s="211">
        <f>IF(ISNUMBER(Q224),Q224+Q230+Q238+N(Q239),"")</f>
        <v>-896</v>
      </c>
      <c r="R240" s="211">
        <f>IF(ISNUMBER(R224),R224+R230+R238+N(R239),"")</f>
        <v>1704</v>
      </c>
      <c r="S240" s="211">
        <f>IF(ISNUMBER(S224),S224+S230+S238+N(S239),"")</f>
        <v>-815</v>
      </c>
      <c r="T240" s="211">
        <f>IF(ISNUMBER(T224),T224+T230+T238+N(T239),"")</f>
        <v>599</v>
      </c>
      <c r="U240" s="211">
        <f>IF(ISNUMBER(U224),U224+U230+U238+N(U239),"")</f>
        <v>592</v>
      </c>
      <c r="V240" s="211">
        <f>IF(ISNUMBER(V224),V224+V230+V238+N(V239),"")</f>
        <v>1549</v>
      </c>
      <c r="W240" s="211">
        <f>IF(ISNUMBER(W224),W224+W230+W238+N(W239),"")</f>
        <v>-1348</v>
      </c>
      <c r="X240" s="211">
        <f>IF(ISNUMBER(X224),X224+X230+X238+N(X239),"")</f>
        <v>930</v>
      </c>
      <c r="Y240" s="211">
        <f>IF(ISNUMBER(Y224),Y224+Y230+Y238+N(Y239),"")</f>
        <v>2865</v>
      </c>
      <c r="Z240" s="211">
        <f>IF(ISNUMBER(Z224),Z224+Z230+Z238+N(Z239),"")</f>
        <v>3996</v>
      </c>
      <c r="AA240" s="211">
        <f>IF(ISNUMBER(AA224),AA224+AA230+AA238+N(AA239),"")</f>
        <v>-1799</v>
      </c>
      <c r="AB240" s="211">
        <f>IF(ISNUMBER(AB224),AB224+AB230+AB238+N(AB239),"")</f>
        <v>-852</v>
      </c>
      <c r="AC240" s="211">
        <f>IF(ISNUMBER(AC224),AC224+AC230+AC238+N(AC239),"")</f>
        <v>949</v>
      </c>
      <c r="AD240" s="211">
        <f>IF(ISNUMBER(AD224),AD224+AD230+AD238+N(AD239),"")</f>
        <v>878</v>
      </c>
      <c r="AE240" s="211">
        <f>IF(ISNUMBER(AE224),AE224+AE230+AE238+N(AE239),"")</f>
        <v>-824</v>
      </c>
      <c r="AF240" s="211">
        <f>IF(ISNUMBER(AF224),AF224+AF230+AF238+N(AF239),"")</f>
        <v>4006</v>
      </c>
      <c r="AG240" s="211">
        <f>IF(ISNUMBER(AG224),AG224+AG230+AG238+N(AG239),"")</f>
        <v>-542</v>
      </c>
      <c r="AH240" s="211">
        <f>IF(ISNUMBER(AH224),AH224+AH230+AH238+N(AH239),"")</f>
        <v>-1924</v>
      </c>
      <c r="AI240" s="211">
        <f>IF(ISNUMBER(AI224),AI224+AI230+AI238+N(AI239),"")</f>
        <v>380</v>
      </c>
      <c r="AJ240" s="211">
        <f>IF(ISNUMBER(AJ224),AJ224+AJ230+AJ238+N(AJ239),"")</f>
        <v>1920</v>
      </c>
      <c r="AK240" s="211">
        <f>IF(ISNUMBER(AK224),AK224+AK230+AK238+N(AK239),"")</f>
        <v>1073</v>
      </c>
      <c r="AL240" s="211">
        <f>IF(ISNUMBER(AL224),AL224+AL230+AL238+N(AL239),"")</f>
        <v>2801</v>
      </c>
      <c r="AM240" s="211">
        <f>IF(ISNUMBER(AM224),AM224+AM230+AM238+N(AM239),"")</f>
        <v>2082</v>
      </c>
      <c r="AN240" s="211">
        <f>IF(ISNUMBER(AN224),AN224+AN230+AN238+N(AN239),"")</f>
        <v>3199</v>
      </c>
      <c r="AO240" s="211">
        <f>IF(ISNUMBER(AO224),AO224+AO230+AO238+N(AO239),"")</f>
        <v>9155</v>
      </c>
      <c r="AP240" s="211">
        <f>IF(ISNUMBER(AP224),AP224+AP230+AP238+N(AP239),"")</f>
        <v>4648</v>
      </c>
      <c r="AQ240" s="211">
        <f>IF(ISNUMBER(AQ224),AQ224+AQ230+AQ238+N(AQ239),"")</f>
        <v>-2358</v>
      </c>
      <c r="AR240" s="211">
        <f>IF(ISNUMBER(AR224),AR224+AR230+AR238+N(AR239),"")</f>
        <v>-9590</v>
      </c>
      <c r="AS240" s="211">
        <f>IF(ISNUMBER(AS224),AS224+AS230+AS238+N(AS239),"")</f>
        <v>5975</v>
      </c>
      <c r="AT240" s="211">
        <f>IF(ISNUMBER(AT224),AT224+AT230+AT238+N(AT239),"")</f>
        <v>-1325</v>
      </c>
      <c r="AU240" s="211">
        <f>IF(ISNUMBER(AU224),AU224+AU230+AU238+N(AU239),"")</f>
        <v>1937</v>
      </c>
      <c r="AV240" s="211">
        <f>IF(ISNUMBER(AV224),AV224+AV230+AV238+N(AV239),"")</f>
        <v>-3380</v>
      </c>
      <c r="AW240" s="211">
        <f>IF(ISNUMBER(AW224),AW224+AW230+AW238+N(AW239),"")</f>
        <v>-1707</v>
      </c>
      <c r="AX240" s="211">
        <f>IF(ISNUMBER(AX224),AX224+AX230+AX238+N(AX239),"")</f>
        <v>2061</v>
      </c>
      <c r="AY240" s="211">
        <f>IF(ISNUMBER(AY224),AY224+AY230+AY238+N(AY239),"")</f>
        <v>-1089</v>
      </c>
      <c r="AZ240" s="211">
        <f>IF(ISNUMBER(AZ224),AZ224+AZ230+AZ238+N(AZ239),"")</f>
        <v>-1512</v>
      </c>
      <c r="BA240" s="211">
        <f>IF(ISNUMBER(BA224),BA224+BA230+BA238+N(BA239),"")</f>
        <v>-1875</v>
      </c>
      <c r="BB240" s="211">
        <f>IF(ISNUMBER(BB224),BB224+BB230+BB238+N(BB239),"")</f>
        <v>1773</v>
      </c>
      <c r="BC240" s="211">
        <f>IF(ISNUMBER(BC224),BC224+BC230+BC238+N(BC239),"")</f>
        <v>345</v>
      </c>
      <c r="BD240" s="211">
        <f>IF(ISNUMBER(BD224),BD224+BD230+BD238+N(BD239),"")</f>
        <v>-1269</v>
      </c>
      <c r="BE240" s="211">
        <f>IF(ISNUMBER(BE224),BE224+BE230+BE238+N(BE239),"")</f>
        <v>-3176</v>
      </c>
      <c r="BF240" s="211">
        <f>IF(ISNUMBER(BF224),BF224+BF230+BF238+N(BF239),"")</f>
        <v>17384</v>
      </c>
      <c r="BG240" s="211">
        <f>IF(ISNUMBER(BG224),BG224+BG230+BG238+N(BG239),"")</f>
        <v>8096</v>
      </c>
      <c r="BH240" s="211">
        <f>IF(ISNUMBER(BH224),BH224+BH230+BH238+N(BH239),"")</f>
        <v>4927</v>
      </c>
      <c r="BI240" s="211">
        <f>IF(ISNUMBER(BI224),BI224+BI230+BI238+N(BI239),"")</f>
        <v>27231</v>
      </c>
      <c r="BJ240" s="211">
        <f>IF(ISNUMBER(BJ224),BJ224+BJ230+BJ238+N(BJ239),"")</f>
        <v>-9543</v>
      </c>
      <c r="BK240" s="211">
        <f>IF(ISNUMBER(BK224),BK224+BK230+BK238+N(BK239),"")</f>
        <v>-258</v>
      </c>
      <c r="BL240" s="211">
        <f>IF(ISNUMBER(BL224),BL224+BL230+BL238+N(BL239),"")</f>
        <v>12101</v>
      </c>
      <c r="BM240" s="211">
        <f>IF(ISNUMBER(BM224),BM224+BM230+BM238+N(BM239),"")</f>
        <v>311</v>
      </c>
      <c r="BN240" s="211">
        <f>IF(ISNUMBER(BN224),BN224+BN230+BN238+N(BN239),"")</f>
        <v>2611</v>
      </c>
      <c r="BO240" s="211">
        <f>IF(ISNUMBER(BO224),BO224+BO230+BO238+N(BO239),"")</f>
        <v>-15367</v>
      </c>
      <c r="BP240" s="211">
        <f>IF(ISNUMBER(BP224),BP224+BP230+BP238+N(BP239),"")</f>
        <v>-16243</v>
      </c>
      <c r="BQ240" s="211">
        <f>IF(ISNUMBER(BQ224),BQ224+BQ230+BQ238+N(BQ239),"")</f>
        <v>-1887</v>
      </c>
      <c r="BR240" s="211">
        <f>IF(ISNUMBER(BR224),BR224+BR230+BR238+N(BR239),"")</f>
        <v>27159</v>
      </c>
      <c r="BS240" s="211">
        <f>IF(ISNUMBER(BS224),BS224+BS230+BS238+N(BS239),"")</f>
        <v>-6338</v>
      </c>
      <c r="BT240" s="211">
        <f>IF(ISNUMBER(BT224),BT224+BT230+BT238+N(BT239),"")</f>
        <v>-7998</v>
      </c>
      <c r="BU240" s="211">
        <f>IF(ISNUMBER(BU224),BU224+BU230+BU238+N(BU239),"")</f>
        <v>-1831</v>
      </c>
      <c r="BV240" s="35" t="n"/>
      <c r="BW240" s="35" t="n"/>
      <c r="BX240" s="263">
        <f>IF(ISNUMBER(BX224),BX224+BX230+BX238+N(BX239),"")</f>
        <v>-10291</v>
      </c>
      <c r="BY240" s="263">
        <f>IF(ISNUMBER(BY224),BY224+BY230+BY238+N(BY239),"")</f>
        <v>0</v>
      </c>
      <c r="BZ240" s="263">
        <f>IF(ISNUMBER(BZ224),BZ224+BZ230+BZ238+N(BZ239),"")</f>
        <v>0</v>
      </c>
      <c r="CA240" s="263">
        <f>IF(ISNUMBER(CA224),CA224+CA230+CA238+N(CA239),"")</f>
        <v>0</v>
      </c>
      <c r="CB240" s="263">
        <f>IF(ISNUMBER(CB224),CB224+CB230+CB238+N(CB239),"")</f>
        <v>0</v>
      </c>
      <c r="CC240" s="263">
        <f>IF(ISNUMBER(CC224),CC224+CC230+CC238+N(CC239),"")</f>
        <v>0</v>
      </c>
      <c r="CD240" s="19" t="n"/>
    </row>
    <row r="241" ht="15" customHeight="1" s="251">
      <c r="B241" s="25" t="inlineStr">
        <is>
          <t>Cash — beginning of period (incl. restricted cash from 2018)</t>
        </is>
      </c>
      <c r="C241" s="261" t="n">
        <v>297</v>
      </c>
      <c r="D241" s="261" t="n">
        <v>633</v>
      </c>
      <c r="E241" s="261" t="n">
        <v>1785</v>
      </c>
      <c r="F241" s="261" t="n">
        <v>1512</v>
      </c>
      <c r="G241" s="261" t="n">
        <v>2384</v>
      </c>
      <c r="H241" s="261" t="n">
        <v>2325</v>
      </c>
      <c r="I241" s="261" t="n">
        <v>3001</v>
      </c>
      <c r="J241" s="261" t="n">
        <v>3100</v>
      </c>
      <c r="K241" s="261" t="n">
        <v>2384</v>
      </c>
      <c r="L241" s="261" t="n">
        <v>3323</v>
      </c>
      <c r="M241" s="261" t="n">
        <v>2998</v>
      </c>
      <c r="N241" s="261" t="n">
        <v>4384</v>
      </c>
      <c r="O241" s="261" t="n">
        <v>8999</v>
      </c>
      <c r="P241" s="261" t="n">
        <v>3323</v>
      </c>
      <c r="Q241" s="261" t="n">
        <v>4315</v>
      </c>
      <c r="R241" s="261" t="n">
        <v>3419</v>
      </c>
      <c r="S241" s="261" t="n">
        <v>5123</v>
      </c>
      <c r="T241" s="261" t="n">
        <v>4308</v>
      </c>
      <c r="U241" s="261" t="n">
        <v>4315</v>
      </c>
      <c r="V241" s="261" t="n">
        <v>4907</v>
      </c>
      <c r="W241" s="261" t="n">
        <v>6456</v>
      </c>
      <c r="X241" s="261" t="n">
        <v>5108</v>
      </c>
      <c r="Y241" s="261" t="n">
        <v>6038</v>
      </c>
      <c r="Z241" s="261" t="n">
        <v>4907</v>
      </c>
      <c r="AA241" s="261" t="n">
        <v>8903</v>
      </c>
      <c r="AB241" s="261" t="n">
        <v>7104</v>
      </c>
      <c r="AC241" s="261" t="n">
        <v>6252</v>
      </c>
      <c r="AD241" s="261" t="n">
        <v>7201</v>
      </c>
      <c r="AE241" s="261" t="n">
        <v>8903</v>
      </c>
      <c r="AF241" s="261" t="n">
        <v>8204</v>
      </c>
      <c r="AG241" s="261" t="n">
        <v>12210</v>
      </c>
      <c r="AH241" s="261" t="n">
        <v>11668</v>
      </c>
      <c r="AI241" s="261" t="n">
        <v>9744</v>
      </c>
      <c r="AJ241" s="261" t="n">
        <v>8204</v>
      </c>
      <c r="AK241" s="261" t="n">
        <v>10124</v>
      </c>
      <c r="AL241" s="261" t="n">
        <v>11197</v>
      </c>
      <c r="AM241" s="261" t="n">
        <v>13998</v>
      </c>
      <c r="AN241" s="261" t="n">
        <v>16080</v>
      </c>
      <c r="AO241" s="261" t="n">
        <v>10124</v>
      </c>
      <c r="AP241" s="261" t="n">
        <v>19279</v>
      </c>
      <c r="AQ241" s="261" t="n">
        <v>23927</v>
      </c>
      <c r="AR241" s="261" t="n">
        <v>21569</v>
      </c>
      <c r="AS241" s="261" t="n">
        <v>11979</v>
      </c>
      <c r="AT241" s="261" t="n">
        <v>19279</v>
      </c>
      <c r="AU241" s="261" t="n">
        <v>17954</v>
      </c>
      <c r="AV241" s="261" t="n">
        <v>19891</v>
      </c>
      <c r="AW241" s="261" t="n">
        <v>16511</v>
      </c>
      <c r="AX241" s="261" t="n">
        <v>14804</v>
      </c>
      <c r="AY241" s="261" t="n">
        <v>17954</v>
      </c>
      <c r="AZ241" s="261" t="n">
        <v>16865</v>
      </c>
      <c r="BA241" s="261" t="n">
        <v>15353</v>
      </c>
      <c r="BB241" s="261" t="n">
        <v>13478</v>
      </c>
      <c r="BC241" s="261" t="n">
        <v>15251</v>
      </c>
      <c r="BD241" s="261" t="n">
        <v>16865</v>
      </c>
      <c r="BE241" s="261" t="n">
        <v>15596</v>
      </c>
      <c r="BF241" s="261" t="n">
        <v>12420</v>
      </c>
      <c r="BG241" s="261" t="n">
        <v>29804</v>
      </c>
      <c r="BH241" s="261" t="n">
        <v>37900</v>
      </c>
      <c r="BI241" s="261" t="n">
        <v>15596</v>
      </c>
      <c r="BJ241" s="261" t="n">
        <v>42827</v>
      </c>
      <c r="BK241" s="261" t="n">
        <v>33284</v>
      </c>
      <c r="BL241" s="261" t="n">
        <v>33026</v>
      </c>
      <c r="BM241" s="261" t="n">
        <v>45127</v>
      </c>
      <c r="BN241" s="261" t="n">
        <v>42827</v>
      </c>
      <c r="BO241" s="261" t="n">
        <v>45438</v>
      </c>
      <c r="BP241" s="261" t="n">
        <v>30071</v>
      </c>
      <c r="BQ241" s="261" t="n">
        <v>13828</v>
      </c>
      <c r="BR241" s="261" t="n">
        <v>11941</v>
      </c>
      <c r="BS241" s="261" t="n">
        <v>45438</v>
      </c>
      <c r="BT241" s="261" t="n">
        <v>39100</v>
      </c>
      <c r="BU241" s="261" t="n">
        <v>31102</v>
      </c>
      <c r="BV241" s="35" t="n"/>
      <c r="BW241" s="35" t="n"/>
      <c r="BX241" s="263">
        <f>BS242</f>
        <v>39100</v>
      </c>
      <c r="BY241" s="263">
        <f>BX242</f>
        <v>28809</v>
      </c>
      <c r="BZ241" s="263">
        <f>BY242</f>
        <v>28809</v>
      </c>
      <c r="CA241" s="263">
        <f>BZ242</f>
        <v>28809</v>
      </c>
      <c r="CB241" s="263">
        <f>CA242</f>
        <v>28809</v>
      </c>
      <c r="CC241" s="263">
        <f>CB242</f>
        <v>28809</v>
      </c>
      <c r="CD241" s="19" t="n"/>
    </row>
    <row r="242" ht="15" customHeight="1" s="251">
      <c r="B242" s="16" t="inlineStr">
        <is>
          <t>Cash — end of period (incl. restricted cash from 2018)</t>
        </is>
      </c>
      <c r="C242" s="253" t="n">
        <v>633</v>
      </c>
      <c r="D242" s="253" t="n">
        <v>1785</v>
      </c>
      <c r="E242" s="253" t="n">
        <v>1512</v>
      </c>
      <c r="F242" s="253" t="n">
        <v>2384</v>
      </c>
      <c r="G242" s="253" t="n">
        <v>2325</v>
      </c>
      <c r="H242" s="253" t="n">
        <v>3001</v>
      </c>
      <c r="I242" s="253" t="n">
        <v>3100</v>
      </c>
      <c r="J242" s="253" t="n">
        <v>3323</v>
      </c>
      <c r="K242" s="253" t="n">
        <v>3323</v>
      </c>
      <c r="L242" s="253" t="n">
        <v>2998</v>
      </c>
      <c r="M242" s="253" t="n">
        <v>4384</v>
      </c>
      <c r="N242" s="253" t="n">
        <v>8999</v>
      </c>
      <c r="O242" s="253" t="n">
        <v>4315</v>
      </c>
      <c r="P242" s="253" t="n">
        <v>4315</v>
      </c>
      <c r="Q242" s="253" t="n">
        <v>3419</v>
      </c>
      <c r="R242" s="253" t="n">
        <v>5123</v>
      </c>
      <c r="S242" s="253" t="n">
        <v>4308</v>
      </c>
      <c r="T242" s="253" t="n">
        <v>4907</v>
      </c>
      <c r="U242" s="253" t="n">
        <v>4907</v>
      </c>
      <c r="V242" s="253" t="n">
        <v>6456</v>
      </c>
      <c r="W242" s="253" t="n">
        <v>5108</v>
      </c>
      <c r="X242" s="253" t="n">
        <v>6038</v>
      </c>
      <c r="Y242" s="253" t="n">
        <v>8903</v>
      </c>
      <c r="Z242" s="253" t="n">
        <v>8903</v>
      </c>
      <c r="AA242" s="253" t="n">
        <v>7104</v>
      </c>
      <c r="AB242" s="253" t="n">
        <v>6252</v>
      </c>
      <c r="AC242" s="253" t="n">
        <v>7201</v>
      </c>
      <c r="AD242" s="253" t="n">
        <v>8079</v>
      </c>
      <c r="AE242" s="253" t="n">
        <v>8079</v>
      </c>
      <c r="AF242" s="253" t="n">
        <v>12210</v>
      </c>
      <c r="AG242" s="253" t="n">
        <v>11668</v>
      </c>
      <c r="AH242" s="253" t="n">
        <v>9744</v>
      </c>
      <c r="AI242" s="253" t="n">
        <v>10124</v>
      </c>
      <c r="AJ242" s="253" t="n">
        <v>10124</v>
      </c>
      <c r="AK242" s="253" t="n">
        <v>11197</v>
      </c>
      <c r="AL242" s="253" t="n">
        <v>13998</v>
      </c>
      <c r="AM242" s="253" t="n">
        <v>16080</v>
      </c>
      <c r="AN242" s="253" t="n">
        <v>19279</v>
      </c>
      <c r="AO242" s="253" t="n">
        <v>19279</v>
      </c>
      <c r="AP242" s="253" t="n">
        <v>23927</v>
      </c>
      <c r="AQ242" s="253" t="n">
        <v>21569</v>
      </c>
      <c r="AR242" s="253" t="n">
        <v>11979</v>
      </c>
      <c r="AS242" s="253" t="n">
        <v>17954</v>
      </c>
      <c r="AT242" s="253" t="n">
        <v>17954</v>
      </c>
      <c r="AU242" s="253" t="n">
        <v>19891</v>
      </c>
      <c r="AV242" s="253" t="n">
        <v>16511</v>
      </c>
      <c r="AW242" s="253" t="n">
        <v>14804</v>
      </c>
      <c r="AX242" s="253" t="n">
        <v>16865</v>
      </c>
      <c r="AY242" s="253" t="n">
        <v>16865</v>
      </c>
      <c r="AZ242" s="253" t="n">
        <v>15353</v>
      </c>
      <c r="BA242" s="253" t="n">
        <v>13478</v>
      </c>
      <c r="BB242" s="253" t="n">
        <v>15251</v>
      </c>
      <c r="BC242" s="253" t="n">
        <v>15596</v>
      </c>
      <c r="BD242" s="253" t="n">
        <v>15596</v>
      </c>
      <c r="BE242" s="253" t="n">
        <v>12420</v>
      </c>
      <c r="BF242" s="253" t="n">
        <v>29804</v>
      </c>
      <c r="BG242" s="253" t="n">
        <v>37900</v>
      </c>
      <c r="BH242" s="253" t="n">
        <v>42827</v>
      </c>
      <c r="BI242" s="253" t="n">
        <v>42827</v>
      </c>
      <c r="BJ242" s="253" t="n">
        <v>33284</v>
      </c>
      <c r="BK242" s="253" t="n">
        <v>33026</v>
      </c>
      <c r="BL242" s="253" t="n">
        <v>45127</v>
      </c>
      <c r="BM242" s="253" t="n">
        <v>45438</v>
      </c>
      <c r="BN242" s="253" t="n">
        <v>45438</v>
      </c>
      <c r="BO242" s="253" t="n">
        <v>30071</v>
      </c>
      <c r="BP242" s="253" t="n">
        <v>13828</v>
      </c>
      <c r="BQ242" s="253" t="n">
        <v>11941</v>
      </c>
      <c r="BR242" s="253" t="n">
        <v>39100</v>
      </c>
      <c r="BS242" s="253" t="n">
        <v>39100</v>
      </c>
      <c r="BT242" s="253" t="n">
        <v>31102</v>
      </c>
      <c r="BU242" s="253" t="n">
        <v>29271</v>
      </c>
      <c r="BV242" s="32" t="n"/>
      <c r="BW242" s="32" t="n"/>
      <c r="BX242" s="254">
        <f>BX241+BX240</f>
        <v>28809</v>
      </c>
      <c r="BY242" s="254">
        <f>BY241+BY240</f>
        <v>28809</v>
      </c>
      <c r="BZ242" s="254">
        <f>BZ241+BZ240</f>
        <v>28809</v>
      </c>
      <c r="CA242" s="254">
        <f>CA241+CA240</f>
        <v>28809</v>
      </c>
      <c r="CB242" s="254">
        <f>CB241+CB240</f>
        <v>28809</v>
      </c>
      <c r="CC242" s="254">
        <f>CC241+CC240</f>
        <v>28809</v>
      </c>
      <c r="CD242" s="153" t="n"/>
    </row>
    <row r="243" ht="15" customHeight="1" s="251">
      <c r="B243" s="57" t="inlineStr">
        <is>
          <t xml:space="preserve">  Check: beginning cash + CFO + CFI + CFF + FX = ending cash (should be 0)</t>
        </is>
      </c>
      <c r="C243" s="211">
        <f>IF(AND(ISNUMBER(C241),ISNUMBER(C224)),ROUND(C241+C240-C242,1),"")</f>
        <v>0</v>
      </c>
      <c r="D243" s="211">
        <f>IF(AND(ISNUMBER(D241),ISNUMBER(D224)),ROUND(D241+D240-D242,1),"")</f>
        <v>0</v>
      </c>
      <c r="E243" s="211">
        <f>IF(AND(ISNUMBER(E241),ISNUMBER(E224)),ROUND(E241+E240-E242,1),"")</f>
        <v>0</v>
      </c>
      <c r="F243" s="211">
        <f>IF(AND(ISNUMBER(F241),ISNUMBER(F224)),ROUND(F241+F240-F242,1),"")</f>
        <v>0</v>
      </c>
      <c r="G243" s="211">
        <f>IF(AND(ISNUMBER(G241),ISNUMBER(G224)),ROUND(G241+G240-G242,1),"")</f>
        <v>0</v>
      </c>
      <c r="H243" s="211">
        <f>IF(AND(ISNUMBER(H241),ISNUMBER(H224)),ROUND(H241+H240-H242,1),"")</f>
        <v>0</v>
      </c>
      <c r="I243" s="211">
        <f>IF(AND(ISNUMBER(I241),ISNUMBER(I224)),ROUND(I241+I240-I242,1),"")</f>
        <v>0</v>
      </c>
      <c r="J243" s="211">
        <f>IF(AND(ISNUMBER(J241),ISNUMBER(J224)),ROUND(J241+J240-J242,1),"")</f>
        <v>0</v>
      </c>
      <c r="K243" s="211">
        <f>IF(AND(ISNUMBER(K241),ISNUMBER(K224)),ROUND(K241+K240-K242,1),"")</f>
        <v>0</v>
      </c>
      <c r="L243" s="211">
        <f>IF(AND(ISNUMBER(L241),ISNUMBER(L224)),ROUND(L241+L240-L242,1),"")</f>
        <v>0</v>
      </c>
      <c r="M243" s="211">
        <f>IF(AND(ISNUMBER(M241),ISNUMBER(M224)),ROUND(M241+M240-M242,1),"")</f>
        <v>0</v>
      </c>
      <c r="N243" s="211">
        <f>IF(AND(ISNUMBER(N241),ISNUMBER(N224)),ROUND(N241+N240-N242,1),"")</f>
        <v>0</v>
      </c>
      <c r="O243" s="211">
        <f>IF(AND(ISNUMBER(O241),ISNUMBER(O224)),ROUND(O241+O240-O242,1),"")</f>
        <v>0</v>
      </c>
      <c r="P243" s="211">
        <f>IF(AND(ISNUMBER(P241),ISNUMBER(P224)),ROUND(P241+P240-P242,1),"")</f>
        <v>0</v>
      </c>
      <c r="Q243" s="211">
        <f>IF(AND(ISNUMBER(Q241),ISNUMBER(Q224)),ROUND(Q241+Q240-Q242,1),"")</f>
        <v>0</v>
      </c>
      <c r="R243" s="211">
        <f>IF(AND(ISNUMBER(R241),ISNUMBER(R224)),ROUND(R241+R240-R242,1),"")</f>
        <v>0</v>
      </c>
      <c r="S243" s="211">
        <f>IF(AND(ISNUMBER(S241),ISNUMBER(S224)),ROUND(S241+S240-S242,1),"")</f>
        <v>0</v>
      </c>
      <c r="T243" s="211">
        <f>IF(AND(ISNUMBER(T241),ISNUMBER(T224)),ROUND(T241+T240-T242,1),"")</f>
        <v>0</v>
      </c>
      <c r="U243" s="211">
        <f>IF(AND(ISNUMBER(U241),ISNUMBER(U224)),ROUND(U241+U240-U242,1),"")</f>
        <v>0</v>
      </c>
      <c r="V243" s="211">
        <f>IF(AND(ISNUMBER(V241),ISNUMBER(V224)),ROUND(V241+V240-V242,1),"")</f>
        <v>0</v>
      </c>
      <c r="W243" s="211">
        <f>IF(AND(ISNUMBER(W241),ISNUMBER(W224)),ROUND(W241+W240-W242,1),"")</f>
        <v>0</v>
      </c>
      <c r="X243" s="211">
        <f>IF(AND(ISNUMBER(X241),ISNUMBER(X224)),ROUND(X241+X240-X242,1),"")</f>
        <v>0</v>
      </c>
      <c r="Y243" s="211">
        <f>IF(AND(ISNUMBER(Y241),ISNUMBER(Y224)),ROUND(Y241+Y240-Y242,1),"")</f>
        <v>0</v>
      </c>
      <c r="Z243" s="211">
        <f>IF(AND(ISNUMBER(Z241),ISNUMBER(Z224)),ROUND(Z241+Z240-Z242,1),"")</f>
        <v>0</v>
      </c>
      <c r="AA243" s="211">
        <f>IF(AND(ISNUMBER(AA241),ISNUMBER(AA224)),ROUND(AA241+AA240-AA242,1),"")</f>
        <v>0</v>
      </c>
      <c r="AB243" s="211">
        <f>IF(AND(ISNUMBER(AB241),ISNUMBER(AB224)),ROUND(AB241+AB240-AB242,1),"")</f>
        <v>0</v>
      </c>
      <c r="AC243" s="211">
        <f>IF(AND(ISNUMBER(AC241),ISNUMBER(AC224)),ROUND(AC241+AC240-AC242,1),"")</f>
        <v>0</v>
      </c>
      <c r="AD243" s="211">
        <f>IF(AND(ISNUMBER(AD241),ISNUMBER(AD224)),ROUND(AD241+AD240-AD242,1),"")</f>
        <v>0</v>
      </c>
      <c r="AE243" s="211">
        <f>IF(AND(ISNUMBER(AE241),ISNUMBER(AE224)),ROUND(AE241+AE240-AE242,1),"")</f>
        <v>0</v>
      </c>
      <c r="AF243" s="211">
        <f>IF(AND(ISNUMBER(AF241),ISNUMBER(AF224)),ROUND(AF241+AF240-AF242,1),"")</f>
        <v>0</v>
      </c>
      <c r="AG243" s="211">
        <f>IF(AND(ISNUMBER(AG241),ISNUMBER(AG224)),ROUND(AG241+AG240-AG242,1),"")</f>
        <v>0</v>
      </c>
      <c r="AH243" s="211">
        <f>IF(AND(ISNUMBER(AH241),ISNUMBER(AH224)),ROUND(AH241+AH240-AH242,1),"")</f>
        <v>0</v>
      </c>
      <c r="AI243" s="211">
        <f>IF(AND(ISNUMBER(AI241),ISNUMBER(AI224)),ROUND(AI241+AI240-AI242,1),"")</f>
        <v>0</v>
      </c>
      <c r="AJ243" s="211">
        <f>IF(AND(ISNUMBER(AJ241),ISNUMBER(AJ224)),ROUND(AJ241+AJ240-AJ242,1),"")</f>
        <v>0</v>
      </c>
      <c r="AK243" s="211">
        <f>IF(AND(ISNUMBER(AK241),ISNUMBER(AK224)),ROUND(AK241+AK240-AK242,1),"")</f>
        <v>0</v>
      </c>
      <c r="AL243" s="211">
        <f>IF(AND(ISNUMBER(AL241),ISNUMBER(AL224)),ROUND(AL241+AL240-AL242,1),"")</f>
        <v>0</v>
      </c>
      <c r="AM243" s="211">
        <f>IF(AND(ISNUMBER(AM241),ISNUMBER(AM224)),ROUND(AM241+AM240-AM242,1),"")</f>
        <v>0</v>
      </c>
      <c r="AN243" s="211">
        <f>IF(AND(ISNUMBER(AN241),ISNUMBER(AN224)),ROUND(AN241+AN240-AN242,1),"")</f>
        <v>0</v>
      </c>
      <c r="AO243" s="211">
        <f>IF(AND(ISNUMBER(AO241),ISNUMBER(AO224)),ROUND(AO241+AO240-AO242,1),"")</f>
        <v>0</v>
      </c>
      <c r="AP243" s="211">
        <f>IF(AND(ISNUMBER(AP241),ISNUMBER(AP224)),ROUND(AP241+AP240-AP242,1),"")</f>
        <v>0</v>
      </c>
      <c r="AQ243" s="211">
        <f>IF(AND(ISNUMBER(AQ241),ISNUMBER(AQ224)),ROUND(AQ241+AQ240-AQ242,1),"")</f>
        <v>0</v>
      </c>
      <c r="AR243" s="211">
        <f>IF(AND(ISNUMBER(AR241),ISNUMBER(AR224)),ROUND(AR241+AR240-AR242,1),"")</f>
        <v>0</v>
      </c>
      <c r="AS243" s="211">
        <f>IF(AND(ISNUMBER(AS241),ISNUMBER(AS224)),ROUND(AS241+AS240-AS242,1),"")</f>
        <v>0</v>
      </c>
      <c r="AT243" s="211">
        <f>IF(AND(ISNUMBER(AT241),ISNUMBER(AT224)),ROUND(AT241+AT240-AT242,1),"")</f>
        <v>0</v>
      </c>
      <c r="AU243" s="211">
        <f>IF(AND(ISNUMBER(AU241),ISNUMBER(AU224)),ROUND(AU241+AU240-AU242,1),"")</f>
        <v>0</v>
      </c>
      <c r="AV243" s="211">
        <f>IF(AND(ISNUMBER(AV241),ISNUMBER(AV224)),ROUND(AV241+AV240-AV242,1),"")</f>
        <v>0</v>
      </c>
      <c r="AW243" s="211">
        <f>IF(AND(ISNUMBER(AW241),ISNUMBER(AW224)),ROUND(AW241+AW240-AW242,1),"")</f>
        <v>0</v>
      </c>
      <c r="AX243" s="211">
        <f>IF(AND(ISNUMBER(AX241),ISNUMBER(AX224)),ROUND(AX241+AX240-AX242,1),"")</f>
        <v>0</v>
      </c>
      <c r="AY243" s="211">
        <f>IF(AND(ISNUMBER(AY241),ISNUMBER(AY224)),ROUND(AY241+AY240-AY242,1),"")</f>
        <v>0</v>
      </c>
      <c r="AZ243" s="211">
        <f>IF(AND(ISNUMBER(AZ241),ISNUMBER(AZ224)),ROUND(AZ241+AZ240-AZ242,1),"")</f>
        <v>0</v>
      </c>
      <c r="BA243" s="211">
        <f>IF(AND(ISNUMBER(BA241),ISNUMBER(BA224)),ROUND(BA241+BA240-BA242,1),"")</f>
        <v>0</v>
      </c>
      <c r="BB243" s="211">
        <f>IF(AND(ISNUMBER(BB241),ISNUMBER(BB224)),ROUND(BB241+BB240-BB242,1),"")</f>
        <v>0</v>
      </c>
      <c r="BC243" s="211">
        <f>IF(AND(ISNUMBER(BC241),ISNUMBER(BC224)),ROUND(BC241+BC240-BC242,1),"")</f>
        <v>0</v>
      </c>
      <c r="BD243" s="211">
        <f>IF(AND(ISNUMBER(BD241),ISNUMBER(BD224)),ROUND(BD241+BD240-BD242,1),"")</f>
        <v>0</v>
      </c>
      <c r="BE243" s="211">
        <f>IF(AND(ISNUMBER(BE241),ISNUMBER(BE224)),ROUND(BE241+BE240-BE242,1),"")</f>
        <v>0</v>
      </c>
      <c r="BF243" s="211">
        <f>IF(AND(ISNUMBER(BF241),ISNUMBER(BF224)),ROUND(BF241+BF240-BF242,1),"")</f>
        <v>0</v>
      </c>
      <c r="BG243" s="211">
        <f>IF(AND(ISNUMBER(BG241),ISNUMBER(BG224)),ROUND(BG241+BG240-BG242,1),"")</f>
        <v>0</v>
      </c>
      <c r="BH243" s="211">
        <f>IF(AND(ISNUMBER(BH241),ISNUMBER(BH224)),ROUND(BH241+BH240-BH242,1),"")</f>
        <v>0</v>
      </c>
      <c r="BI243" s="211">
        <f>IF(AND(ISNUMBER(BI241),ISNUMBER(BI224)),ROUND(BI241+BI240-BI242,1),"")</f>
        <v>0</v>
      </c>
      <c r="BJ243" s="211">
        <f>IF(AND(ISNUMBER(BJ241),ISNUMBER(BJ224)),ROUND(BJ241+BJ240-BJ242,1),"")</f>
        <v>0</v>
      </c>
      <c r="BK243" s="211">
        <f>IF(AND(ISNUMBER(BK241),ISNUMBER(BK224)),ROUND(BK241+BK240-BK242,1),"")</f>
        <v>0</v>
      </c>
      <c r="BL243" s="211">
        <f>IF(AND(ISNUMBER(BL241),ISNUMBER(BL224)),ROUND(BL241+BL240-BL242,1),"")</f>
        <v>0</v>
      </c>
      <c r="BM243" s="211">
        <f>IF(AND(ISNUMBER(BM241),ISNUMBER(BM224)),ROUND(BM241+BM240-BM242,1),"")</f>
        <v>0</v>
      </c>
      <c r="BN243" s="211">
        <f>IF(AND(ISNUMBER(BN241),ISNUMBER(BN224)),ROUND(BN241+BN240-BN242,1),"")</f>
        <v>0</v>
      </c>
      <c r="BO243" s="211">
        <f>IF(AND(ISNUMBER(BO241),ISNUMBER(BO224)),ROUND(BO241+BO240-BO242,1),"")</f>
        <v>0</v>
      </c>
      <c r="BP243" s="211">
        <f>IF(AND(ISNUMBER(BP241),ISNUMBER(BP224)),ROUND(BP241+BP240-BP242,1),"")</f>
        <v>0</v>
      </c>
      <c r="BQ243" s="211">
        <f>IF(AND(ISNUMBER(BQ241),ISNUMBER(BQ224)),ROUND(BQ241+BQ240-BQ242,1),"")</f>
        <v>0</v>
      </c>
      <c r="BR243" s="211">
        <f>IF(AND(ISNUMBER(BR241),ISNUMBER(BR224)),ROUND(BR241+BR240-BR242,1),"")</f>
        <v>0</v>
      </c>
      <c r="BS243" s="211">
        <f>IF(AND(ISNUMBER(BS241),ISNUMBER(BS224)),ROUND(BS241+BS240-BS242,1),"")</f>
        <v>0</v>
      </c>
      <c r="BT243" s="211">
        <f>IF(AND(ISNUMBER(BT241),ISNUMBER(BT224)),ROUND(BT241+BT240-BT242,1),"")</f>
        <v>0</v>
      </c>
      <c r="BU243" s="211">
        <f>IF(AND(ISNUMBER(BU241),ISNUMBER(BU224)),ROUND(BU241+BU240-BU242,1),"")</f>
        <v>0</v>
      </c>
      <c r="BV243" s="153" t="n"/>
      <c r="BW243" s="153" t="n"/>
      <c r="BX243" s="273">
        <f>IF(AND(ISNUMBER(BX241),ISNUMBER(BX224)),ROUND(BX241+BX240-BX242,1),"")</f>
        <v>0</v>
      </c>
      <c r="BY243" s="273">
        <f>IF(AND(ISNUMBER(BY241),ISNUMBER(BY224)),ROUND(BY241+BY240-BY242,1),"")</f>
        <v>0</v>
      </c>
      <c r="BZ243" s="273">
        <f>IF(AND(ISNUMBER(BZ241),ISNUMBER(BZ224)),ROUND(BZ241+BZ240-BZ242,1),"")</f>
        <v>0</v>
      </c>
      <c r="CA243" s="273">
        <f>IF(AND(ISNUMBER(CA241),ISNUMBER(CA224)),ROUND(CA241+CA240-CA242,1),"")</f>
        <v>0</v>
      </c>
      <c r="CB243" s="273">
        <f>IF(AND(ISNUMBER(CB241),ISNUMBER(CB224)),ROUND(CB241+CB240-CB242,1),"")</f>
        <v>0</v>
      </c>
      <c r="CC243" s="273">
        <f>IF(AND(ISNUMBER(CC241),ISNUMBER(CC224)),ROUND(CC241+CC240-CC242,1),"")</f>
        <v>0</v>
      </c>
      <c r="CD243" s="153" t="n"/>
    </row>
    <row r="244" ht="15" customHeight="1" s="251">
      <c r="B244" s="57" t="inlineStr">
        <is>
          <t xml:space="preserve">  Check: CFO = sum of operating lines (should be 0)</t>
        </is>
      </c>
      <c r="C244" s="211">
        <f>IF(ISNUMBER(C218),ROUND(SUM(C218:C223)-C224,1),"")</f>
        <v>0</v>
      </c>
      <c r="D244" s="211">
        <f>IF(ISNUMBER(D218),ROUND(SUM(D218:D223)-D224,1),"")</f>
        <v>0</v>
      </c>
      <c r="E244" s="211">
        <f>IF(ISNUMBER(E218),ROUND(SUM(E218:E223)-E224,1),"")</f>
        <v>0</v>
      </c>
      <c r="F244" s="211">
        <f>IF(ISNUMBER(F218),ROUND(SUM(F218:F223)-F224,1),"")</f>
        <v>0</v>
      </c>
      <c r="G244" s="211">
        <f>IF(ISNUMBER(G218),ROUND(SUM(G218:G223)-G224,1),"")</f>
        <v>0</v>
      </c>
      <c r="H244" s="211">
        <f>IF(ISNUMBER(H218),ROUND(SUM(H218:H223)-H224,1),"")</f>
        <v>0</v>
      </c>
      <c r="I244" s="211">
        <f>IF(ISNUMBER(I218),ROUND(SUM(I218:I223)-I224,1),"")</f>
        <v>0</v>
      </c>
      <c r="J244" s="211">
        <f>IF(ISNUMBER(J218),ROUND(SUM(J218:J223)-J224,1),"")</f>
        <v>0</v>
      </c>
      <c r="K244" s="211">
        <f>IF(ISNUMBER(K218),ROUND(SUM(K218:K223)-K224,1),"")</f>
        <v>0</v>
      </c>
      <c r="L244" s="211">
        <f>IF(ISNUMBER(L218),ROUND(SUM(L218:L223)-L224,1),"")</f>
        <v>0</v>
      </c>
      <c r="M244" s="211">
        <f>IF(ISNUMBER(M218),ROUND(SUM(M218:M223)-M224,1),"")</f>
        <v>0</v>
      </c>
      <c r="N244" s="211">
        <f>IF(ISNUMBER(N218),ROUND(SUM(N218:N223)-N224,1),"")</f>
        <v>0</v>
      </c>
      <c r="O244" s="211">
        <f>IF(ISNUMBER(O218),ROUND(SUM(O218:O223)-O224,1),"")</f>
        <v>0</v>
      </c>
      <c r="P244" s="211">
        <f>IF(ISNUMBER(P218),ROUND(SUM(P218:P223)-P224,1),"")</f>
        <v>0</v>
      </c>
      <c r="Q244" s="211">
        <f>IF(ISNUMBER(Q218),ROUND(SUM(Q218:Q223)-Q224,1),"")</f>
        <v>0</v>
      </c>
      <c r="R244" s="211">
        <f>IF(ISNUMBER(R218),ROUND(SUM(R218:R223)-R224,1),"")</f>
        <v>0</v>
      </c>
      <c r="S244" s="211">
        <f>IF(ISNUMBER(S218),ROUND(SUM(S218:S223)-S224,1),"")</f>
        <v>0</v>
      </c>
      <c r="T244" s="211">
        <f>IF(ISNUMBER(T218),ROUND(SUM(T218:T223)-T224,1),"")</f>
        <v>0</v>
      </c>
      <c r="U244" s="211">
        <f>IF(ISNUMBER(U218),ROUND(SUM(U218:U223)-U224,1),"")</f>
        <v>0</v>
      </c>
      <c r="V244" s="211">
        <f>IF(ISNUMBER(V218),ROUND(SUM(V218:V223)-V224,1),"")</f>
        <v>0</v>
      </c>
      <c r="W244" s="211">
        <f>IF(ISNUMBER(W218),ROUND(SUM(W218:W223)-W224,1),"")</f>
        <v>0</v>
      </c>
      <c r="X244" s="211">
        <f>IF(ISNUMBER(X218),ROUND(SUM(X218:X223)-X224,1),"")</f>
        <v>0</v>
      </c>
      <c r="Y244" s="211">
        <f>IF(ISNUMBER(Y218),ROUND(SUM(Y218:Y223)-Y224,1),"")</f>
        <v>0</v>
      </c>
      <c r="Z244" s="211">
        <f>IF(ISNUMBER(Z218),ROUND(SUM(Z218:Z223)-Z224,1),"")</f>
        <v>0</v>
      </c>
      <c r="AA244" s="211">
        <f>IF(ISNUMBER(AA218),ROUND(SUM(AA218:AA223)-AA224,1),"")</f>
        <v>0</v>
      </c>
      <c r="AB244" s="211">
        <f>IF(ISNUMBER(AB218),ROUND(SUM(AB218:AB223)-AB224,1),"")</f>
        <v>0</v>
      </c>
      <c r="AC244" s="211">
        <f>IF(ISNUMBER(AC218),ROUND(SUM(AC218:AC223)-AC224,1),"")</f>
        <v>0</v>
      </c>
      <c r="AD244" s="211">
        <f>IF(ISNUMBER(AD218),ROUND(SUM(AD218:AD223)-AD224,1),"")</f>
        <v>0</v>
      </c>
      <c r="AE244" s="211">
        <f>IF(ISNUMBER(AE218),ROUND(SUM(AE218:AE223)-AE224,1),"")</f>
        <v>0</v>
      </c>
      <c r="AF244" s="211">
        <f>IF(ISNUMBER(AF218),ROUND(SUM(AF218:AF223)-AF224,1),"")</f>
        <v>0</v>
      </c>
      <c r="AG244" s="211">
        <f>IF(ISNUMBER(AG218),ROUND(SUM(AG218:AG223)-AG224,1),"")</f>
        <v>0</v>
      </c>
      <c r="AH244" s="211">
        <f>IF(ISNUMBER(AH218),ROUND(SUM(AH218:AH223)-AH224,1),"")</f>
        <v>0</v>
      </c>
      <c r="AI244" s="211">
        <f>IF(ISNUMBER(AI218),ROUND(SUM(AI218:AI223)-AI224,1),"")</f>
        <v>0</v>
      </c>
      <c r="AJ244" s="211">
        <f>IF(ISNUMBER(AJ218),ROUND(SUM(AJ218:AJ223)-AJ224,1),"")</f>
        <v>0</v>
      </c>
      <c r="AK244" s="211">
        <f>IF(ISNUMBER(AK218),ROUND(SUM(AK218:AK223)-AK224,1),"")</f>
        <v>0</v>
      </c>
      <c r="AL244" s="211">
        <f>IF(ISNUMBER(AL218),ROUND(SUM(AL218:AL223)-AL224,1),"")</f>
        <v>0</v>
      </c>
      <c r="AM244" s="211">
        <f>IF(ISNUMBER(AM218),ROUND(SUM(AM218:AM223)-AM224,1),"")</f>
        <v>0</v>
      </c>
      <c r="AN244" s="211">
        <f>IF(ISNUMBER(AN218),ROUND(SUM(AN218:AN223)-AN224,1),"")</f>
        <v>0</v>
      </c>
      <c r="AO244" s="211">
        <f>IF(ISNUMBER(AO218),ROUND(SUM(AO218:AO223)-AO224,1),"")</f>
        <v>0</v>
      </c>
      <c r="AP244" s="211">
        <f>IF(ISNUMBER(AP218),ROUND(SUM(AP218:AP223)-AP224,1),"")</f>
        <v>0</v>
      </c>
      <c r="AQ244" s="211">
        <f>IF(ISNUMBER(AQ218),ROUND(SUM(AQ218:AQ223)-AQ224,1),"")</f>
        <v>0</v>
      </c>
      <c r="AR244" s="211">
        <f>IF(ISNUMBER(AR218),ROUND(SUM(AR218:AR223)-AR224,1),"")</f>
        <v>0</v>
      </c>
      <c r="AS244" s="211">
        <f>IF(ISNUMBER(AS218),ROUND(SUM(AS218:AS223)-AS224,1),"")</f>
        <v>0</v>
      </c>
      <c r="AT244" s="211">
        <f>IF(ISNUMBER(AT218),ROUND(SUM(AT218:AT223)-AT224,1),"")</f>
        <v>0</v>
      </c>
      <c r="AU244" s="211">
        <f>IF(ISNUMBER(AU218),ROUND(SUM(AU218:AU223)-AU224,1),"")</f>
        <v>0</v>
      </c>
      <c r="AV244" s="211">
        <f>IF(ISNUMBER(AV218),ROUND(SUM(AV218:AV223)-AV224,1),"")</f>
        <v>0</v>
      </c>
      <c r="AW244" s="211">
        <f>IF(ISNUMBER(AW218),ROUND(SUM(AW218:AW223)-AW224,1),"")</f>
        <v>0</v>
      </c>
      <c r="AX244" s="211">
        <f>IF(ISNUMBER(AX218),ROUND(SUM(AX218:AX223)-AX224,1),"")</f>
        <v>0</v>
      </c>
      <c r="AY244" s="211">
        <f>IF(ISNUMBER(AY218),ROUND(SUM(AY218:AY223)-AY224,1),"")</f>
        <v>0</v>
      </c>
      <c r="AZ244" s="211">
        <f>IF(ISNUMBER(AZ218),ROUND(SUM(AZ218:AZ223)-AZ224,1),"")</f>
        <v>0</v>
      </c>
      <c r="BA244" s="211">
        <f>IF(ISNUMBER(BA218),ROUND(SUM(BA218:BA223)-BA224,1),"")</f>
        <v>0</v>
      </c>
      <c r="BB244" s="211">
        <f>IF(ISNUMBER(BB218),ROUND(SUM(BB218:BB223)-BB224,1),"")</f>
        <v>0</v>
      </c>
      <c r="BC244" s="211">
        <f>IF(ISNUMBER(BC218),ROUND(SUM(BC218:BC223)-BC224,1),"")</f>
        <v>0</v>
      </c>
      <c r="BD244" s="211">
        <f>IF(ISNUMBER(BD218),ROUND(SUM(BD218:BD223)-BD224,1),"")</f>
        <v>0</v>
      </c>
      <c r="BE244" s="211">
        <f>IF(ISNUMBER(BE218),ROUND(SUM(BE218:BE223)-BE224,1),"")</f>
        <v>0</v>
      </c>
      <c r="BF244" s="211">
        <f>IF(ISNUMBER(BF218),ROUND(SUM(BF218:BF223)-BF224,1),"")</f>
        <v>0</v>
      </c>
      <c r="BG244" s="211">
        <f>IF(ISNUMBER(BG218),ROUND(SUM(BG218:BG223)-BG224,1),"")</f>
        <v>0</v>
      </c>
      <c r="BH244" s="211">
        <f>IF(ISNUMBER(BH218),ROUND(SUM(BH218:BH223)-BH224,1),"")</f>
        <v>0</v>
      </c>
      <c r="BI244" s="211">
        <f>IF(ISNUMBER(BI218),ROUND(SUM(BI218:BI223)-BI224,1),"")</f>
        <v>0</v>
      </c>
      <c r="BJ244" s="211">
        <f>IF(ISNUMBER(BJ218),ROUND(SUM(BJ218:BJ223)-BJ224,1),"")</f>
        <v>0</v>
      </c>
      <c r="BK244" s="211">
        <f>IF(ISNUMBER(BK218),ROUND(SUM(BK218:BK223)-BK224,1),"")</f>
        <v>0</v>
      </c>
      <c r="BL244" s="211">
        <f>IF(ISNUMBER(BL218),ROUND(SUM(BL218:BL223)-BL224,1),"")</f>
        <v>0</v>
      </c>
      <c r="BM244" s="211">
        <f>IF(ISNUMBER(BM218),ROUND(SUM(BM218:BM223)-BM224,1),"")</f>
        <v>0</v>
      </c>
      <c r="BN244" s="211">
        <f>IF(ISNUMBER(BN218),ROUND(SUM(BN218:BN223)-BN224,1),"")</f>
        <v>0</v>
      </c>
      <c r="BO244" s="211">
        <f>IF(ISNUMBER(BO218),ROUND(SUM(BO218:BO223)-BO224,1),"")</f>
        <v>0</v>
      </c>
      <c r="BP244" s="211">
        <f>IF(ISNUMBER(BP218),ROUND(SUM(BP218:BP223)-BP224,1),"")</f>
        <v>0</v>
      </c>
      <c r="BQ244" s="211">
        <f>IF(ISNUMBER(BQ218),ROUND(SUM(BQ218:BQ223)-BQ224,1),"")</f>
        <v>0</v>
      </c>
      <c r="BR244" s="211">
        <f>IF(ISNUMBER(BR218),ROUND(SUM(BR218:BR223)-BR224,1),"")</f>
        <v>0</v>
      </c>
      <c r="BS244" s="211">
        <f>IF(ISNUMBER(BS218),ROUND(SUM(BS218:BS223)-BS224,1),"")</f>
        <v>0</v>
      </c>
      <c r="BT244" s="211">
        <f>IF(ISNUMBER(BT218),ROUND(SUM(BT218:BT223)-BT224,1),"")</f>
        <v>0</v>
      </c>
      <c r="BU244" s="211">
        <f>IF(ISNUMBER(BU218),ROUND(SUM(BU218:BU223)-BU224,1),"")</f>
        <v>0</v>
      </c>
      <c r="BV244" s="153" t="n"/>
      <c r="BW244" s="153" t="n"/>
      <c r="BX244" s="273">
        <f>IF(ISNUMBER(BX218),ROUND(SUM(BX218:BX223)-BX224,1),"")</f>
        <v>0</v>
      </c>
      <c r="BY244" s="273">
        <f>IF(ISNUMBER(BY218),ROUND(SUM(BY218:BY223)-BY224,1),"")</f>
        <v>0</v>
      </c>
      <c r="BZ244" s="273">
        <f>IF(ISNUMBER(BZ218),ROUND(SUM(BZ218:BZ223)-BZ224,1),"")</f>
        <v>0</v>
      </c>
      <c r="CA244" s="273">
        <f>IF(ISNUMBER(CA218),ROUND(SUM(CA218:CA223)-CA224,1),"")</f>
        <v>0</v>
      </c>
      <c r="CB244" s="273">
        <f>IF(ISNUMBER(CB218),ROUND(SUM(CB218:CB223)-CB224,1),"")</f>
        <v>0</v>
      </c>
      <c r="CC244" s="273">
        <f>IF(ISNUMBER(CC218),ROUND(SUM(CC218:CC223)-CC224,1),"")</f>
        <v>0</v>
      </c>
      <c r="CD244" s="153" t="n"/>
    </row>
    <row r="245" ht="15" customHeight="1" s="251">
      <c r="B245" s="25" t="inlineStr">
        <is>
          <t>(Memo)</t>
        </is>
      </c>
      <c r="CD245" s="153" t="n"/>
    </row>
    <row r="246" ht="15" customHeight="1" s="251">
      <c r="B246" s="16" t="inlineStr">
        <is>
          <t>Capital expenditures incl. principal payments on finance leases (company measure from 2019; model before)</t>
        </is>
      </c>
      <c r="C246" s="266">
        <f>IF(ISNUMBER(C225),-C225-N(C235),"")</f>
        <v>81</v>
      </c>
      <c r="D246" s="266">
        <f>IF(ISNUMBER(D225),-D225-N(D235),"")</f>
        <v>383</v>
      </c>
      <c r="E246" s="266">
        <f>IF(ISNUMBER(E225),-E225-N(E235),"")</f>
        <v>787</v>
      </c>
      <c r="F246" s="266">
        <f>IF(ISNUMBER(F225),-F225-N(F235),"")</f>
        <v>1601</v>
      </c>
      <c r="G246" s="266">
        <f>IF(ISNUMBER(G225),-G225-N(G235),"")</f>
        <v>436</v>
      </c>
      <c r="H246" s="266">
        <f>IF(ISNUMBER(H225),-H225-N(H235),"")</f>
        <v>359</v>
      </c>
      <c r="I246" s="266">
        <f>IF(ISNUMBER(I225),-I225-N(I235),"")</f>
        <v>375</v>
      </c>
      <c r="J246" s="266">
        <f>IF(ISNUMBER(J225),-J225-N(J235),"")</f>
        <v>583</v>
      </c>
      <c r="K246" s="266">
        <f>IF(ISNUMBER(K225),-K225-N(K235),"")</f>
        <v>1753</v>
      </c>
      <c r="L246" s="266">
        <f>IF(ISNUMBER(L225),-L225-N(L235),"")</f>
        <v>447</v>
      </c>
      <c r="M246" s="266">
        <f>IF(ISNUMBER(M225),-M225-N(M235),"")</f>
        <v>535</v>
      </c>
      <c r="N246" s="266">
        <f>IF(ISNUMBER(N225),-N225-N(N235),"")</f>
        <v>531</v>
      </c>
      <c r="O246" s="266">
        <f>IF(ISNUMBER(O225),-O225-N(O235),"")</f>
        <v>561</v>
      </c>
      <c r="P246" s="266">
        <f>IF(ISNUMBER(P225),-P225-N(P235),"")</f>
        <v>2074</v>
      </c>
      <c r="Q246" s="266">
        <f>IF(ISNUMBER(Q225),-Q225-N(Q235),"")</f>
        <v>549</v>
      </c>
      <c r="R246" s="266">
        <f>IF(ISNUMBER(R225),-R225-N(R235),"")</f>
        <v>586</v>
      </c>
      <c r="S246" s="266">
        <f>IF(ISNUMBER(S225),-S225-N(S235),"")</f>
        <v>803</v>
      </c>
      <c r="T246" s="266">
        <f>IF(ISNUMBER(T225),-T225-N(T235),"")</f>
        <v>704</v>
      </c>
      <c r="U246" s="266">
        <f>IF(ISNUMBER(U225),-U225-N(U235),"")</f>
        <v>2642</v>
      </c>
      <c r="V246" s="266">
        <f>IF(ISNUMBER(V225),-V225-N(V235),"")</f>
        <v>1444</v>
      </c>
      <c r="W246" s="266">
        <f>IF(ISNUMBER(W225),-W225-N(W235),"")</f>
        <v>995</v>
      </c>
      <c r="X246" s="266">
        <f>IF(ISNUMBER(X225),-X225-N(X235),"")</f>
        <v>1095</v>
      </c>
      <c r="Y246" s="266">
        <f>IF(ISNUMBER(Y225),-Y225-N(Y235),"")</f>
        <v>1269</v>
      </c>
      <c r="Z246" s="266">
        <f>IF(ISNUMBER(Z225),-Z225-N(Z235),"")</f>
        <v>4803</v>
      </c>
      <c r="AA246" s="266">
        <f>IF(ISNUMBER(AA225),-AA225-N(AA235),"")</f>
        <v>1271</v>
      </c>
      <c r="AB246" s="266">
        <f>IF(ISNUMBER(AB225),-AB225-N(AB235),"")</f>
        <v>1444</v>
      </c>
      <c r="AC246" s="266">
        <f>IF(ISNUMBER(AC225),-AC225-N(AC235),"")</f>
        <v>1755</v>
      </c>
      <c r="AD246" s="266">
        <f>IF(ISNUMBER(AD225),-AD225-N(AD235),"")</f>
        <v>2262</v>
      </c>
      <c r="AE246" s="266">
        <f>IF(ISNUMBER(AE225),-AE225-N(AE235),"")</f>
        <v>6733</v>
      </c>
      <c r="AF246" s="266">
        <f>IF(ISNUMBER(AF225),-AF225-N(AF235),"")</f>
        <v>2812</v>
      </c>
      <c r="AG246" s="266">
        <f>IF(ISNUMBER(AG225),-AG225-N(AG235),"")</f>
        <v>3459</v>
      </c>
      <c r="AH246" s="266">
        <f>IF(ISNUMBER(AH225),-AH225-N(AH235),"")</f>
        <v>3343</v>
      </c>
      <c r="AI246" s="266">
        <f>IF(ISNUMBER(AI225),-AI225-N(AI235),"")</f>
        <v>4366</v>
      </c>
      <c r="AJ246" s="266">
        <f>IF(ISNUMBER(AJ225),-AJ225-N(AJ235),"")</f>
        <v>13915</v>
      </c>
      <c r="AK246" s="266">
        <f>IF(ISNUMBER(AK225),-AK225-N(AK235),"")</f>
        <v>3962</v>
      </c>
      <c r="AL246" s="266">
        <f>IF(ISNUMBER(AL225),-AL225-N(AL235),"")</f>
        <v>3775</v>
      </c>
      <c r="AM246" s="266">
        <f>IF(ISNUMBER(AM225),-AM225-N(AM235),"")</f>
        <v>3676</v>
      </c>
      <c r="AN246" s="266">
        <f>IF(ISNUMBER(AN225),-AN225-N(AN235),"")</f>
        <v>4241</v>
      </c>
      <c r="AO246" s="266">
        <f>IF(ISNUMBER(AO225),-AO225-N(AO235),"")</f>
        <v>15654</v>
      </c>
      <c r="AP246" s="266">
        <f>IF(ISNUMBER(AP225),-AP225-N(AP235),"")</f>
        <v>3658</v>
      </c>
      <c r="AQ246" s="266">
        <f>IF(ISNUMBER(AQ225),-AQ225-N(AQ235),"")</f>
        <v>3364</v>
      </c>
      <c r="AR246" s="266">
        <f>IF(ISNUMBER(AR225),-AR225-N(AR235),"")</f>
        <v>3878</v>
      </c>
      <c r="AS246" s="266">
        <f>IF(ISNUMBER(AS225),-AS225-N(AS235),"")</f>
        <v>4818</v>
      </c>
      <c r="AT246" s="266">
        <f>IF(ISNUMBER(AT225),-AT225-N(AT235),"")</f>
        <v>15719</v>
      </c>
      <c r="AU246" s="266">
        <f>IF(ISNUMBER(AU225),-AU225-N(AU235),"")</f>
        <v>4423</v>
      </c>
      <c r="AV246" s="266">
        <f>IF(ISNUMBER(AV225),-AV225-N(AV235),"")</f>
        <v>4735</v>
      </c>
      <c r="AW246" s="266">
        <f>IF(ISNUMBER(AW225),-AW225-N(AW235),"")</f>
        <v>4544</v>
      </c>
      <c r="AX246" s="266">
        <f>IF(ISNUMBER(AX225),-AX225-N(AX235),"")</f>
        <v>5542</v>
      </c>
      <c r="AY246" s="266">
        <f>IF(ISNUMBER(AY225),-AY225-N(AY235),"")</f>
        <v>19244</v>
      </c>
      <c r="AZ246" s="266">
        <f>IF(ISNUMBER(AZ225),-AZ225-N(AZ235),"")</f>
        <v>5548</v>
      </c>
      <c r="BA246" s="266">
        <f>IF(ISNUMBER(BA225),-BA225-N(BA235),"")</f>
        <v>7747</v>
      </c>
      <c r="BB246" s="266">
        <f>IF(ISNUMBER(BB225),-BB225-N(BB235),"")</f>
        <v>9518</v>
      </c>
      <c r="BC246" s="266">
        <f>IF(ISNUMBER(BC225),-BC225-N(BC235),"")</f>
        <v>9223</v>
      </c>
      <c r="BD246" s="266">
        <f>IF(ISNUMBER(BD225),-BD225-N(BD235),"")</f>
        <v>32036</v>
      </c>
      <c r="BE246" s="266">
        <f>IF(ISNUMBER(BE225),-BE225-N(BE235),"")</f>
        <v>7087</v>
      </c>
      <c r="BF246" s="266">
        <f>IF(ISNUMBER(BF225),-BF225-N(BF235),"")</f>
        <v>6354</v>
      </c>
      <c r="BG246" s="266">
        <f>IF(ISNUMBER(BG225),-BG225-N(BG235),"")</f>
        <v>6763</v>
      </c>
      <c r="BH246" s="266">
        <f>IF(ISNUMBER(BH225),-BH225-N(BH235),"")</f>
        <v>7899</v>
      </c>
      <c r="BI246" s="266">
        <f>IF(ISNUMBER(BI225),-BI225-N(BI235),"")</f>
        <v>28103</v>
      </c>
      <c r="BJ246" s="266">
        <f>IF(ISNUMBER(BJ225),-BJ225-N(BJ235),"")</f>
        <v>6715</v>
      </c>
      <c r="BK246" s="266">
        <f>IF(ISNUMBER(BK225),-BK225-N(BK235),"")</f>
        <v>8472</v>
      </c>
      <c r="BL246" s="266">
        <f>IF(ISNUMBER(BL225),-BL225-N(BL235),"")</f>
        <v>9202</v>
      </c>
      <c r="BM246" s="266">
        <f>IF(ISNUMBER(BM225),-BM225-N(BM235),"")</f>
        <v>14836</v>
      </c>
      <c r="BN246" s="266">
        <f>IF(ISNUMBER(BN225),-BN225-N(BN235),"")</f>
        <v>39225</v>
      </c>
      <c r="BO246" s="266">
        <f>IF(ISNUMBER(BO225),-BO225-N(BO235),"")</f>
        <v>13692</v>
      </c>
      <c r="BP246" s="266">
        <f>IF(ISNUMBER(BP225),-BP225-N(BP235),"")</f>
        <v>17012</v>
      </c>
      <c r="BQ246" s="266">
        <f>IF(ISNUMBER(BQ225),-BQ225-N(BQ235),"")</f>
        <v>19374</v>
      </c>
      <c r="BR246" s="266">
        <f>IF(ISNUMBER(BR225),-BR225-N(BR235),"")</f>
        <v>22137</v>
      </c>
      <c r="BS246" s="266">
        <f>IF(ISNUMBER(BS225),-BS225-N(BS235),"")</f>
        <v>72215</v>
      </c>
      <c r="BT246" s="266">
        <f>IF(ISNUMBER(BT225),-BT225-N(BT235),"")</f>
        <v>19840</v>
      </c>
      <c r="BU246" s="266">
        <f>IF(ISNUMBER(BU225),-BU225-N(BU235),"")</f>
        <v>31078</v>
      </c>
      <c r="BV246" s="32" t="n"/>
      <c r="BW246" s="32" t="n"/>
      <c r="BX246" s="254">
        <f>IF(ISNUMBER(BX225),-BX225-N(BX235),"")</f>
        <v>137500</v>
      </c>
      <c r="BY246" s="254">
        <f>IF(ISNUMBER(BY225),-BY225-N(BY235),"")</f>
        <v>142382.10857099</v>
      </c>
      <c r="BZ246" s="254">
        <f>IF(ISNUMBER(BZ225),-BZ225-N(BZ235),"")</f>
        <v>136369.957684303</v>
      </c>
      <c r="CA246" s="254">
        <f>IF(ISNUMBER(CA225),-CA225-N(CA235),"")</f>
        <v>126718.903799092</v>
      </c>
      <c r="CB246" s="254">
        <f>IF(ISNUMBER(CB225),-CB225-N(CB235),"")</f>
        <v>118755.82772117</v>
      </c>
      <c r="CC246" s="254">
        <f>IF(ISNUMBER(CC225),-CC225-N(CC235),"")</f>
        <v>116041.670742567</v>
      </c>
      <c r="CD246" s="153" t="n"/>
      <c r="CF246" s="20">
        <f>IFERROR((CC246/BX246)^(1/5)-1,"n/m")</f>
        <v>-0.0333655811028952</v>
      </c>
      <c r="CG246" s="20">
        <f>IFERROR((BS246/AT246)^(1/5)-1,"n/m")</f>
        <v>0.356564664057553</v>
      </c>
      <c r="CH246" s="20">
        <f>IFERROR((BS246/U246)^(1/10)-1,"n/m")</f>
        <v>0.392096880353217</v>
      </c>
      <c r="CI246" s="20">
        <f>IFERROR((BS246/C246)^(1/16)-1,"n/m")</f>
        <v>0.52891696548634</v>
      </c>
    </row>
    <row r="247" ht="15" customHeight="1" s="251">
      <c r="B247" s="25" t="inlineStr">
        <is>
          <t xml:space="preserve">  Capex incl. finance leases (negative, for the DCF)</t>
        </is>
      </c>
      <c r="C247" s="211">
        <f>IF(ISNUMBER(C246),-C246,"")</f>
        <v>-81</v>
      </c>
      <c r="D247" s="211">
        <f>IF(ISNUMBER(D246),-D246,"")</f>
        <v>-383</v>
      </c>
      <c r="E247" s="211">
        <f>IF(ISNUMBER(E246),-E246,"")</f>
        <v>-787</v>
      </c>
      <c r="F247" s="211">
        <f>IF(ISNUMBER(F246),-F246,"")</f>
        <v>-1601</v>
      </c>
      <c r="G247" s="211">
        <f>IF(ISNUMBER(G246),-G246,"")</f>
        <v>-436</v>
      </c>
      <c r="H247" s="211">
        <f>IF(ISNUMBER(H246),-H246,"")</f>
        <v>-359</v>
      </c>
      <c r="I247" s="211">
        <f>IF(ISNUMBER(I246),-I246,"")</f>
        <v>-375</v>
      </c>
      <c r="J247" s="211">
        <f>IF(ISNUMBER(J246),-J246,"")</f>
        <v>-583</v>
      </c>
      <c r="K247" s="211">
        <f>IF(ISNUMBER(K246),-K246,"")</f>
        <v>-1753</v>
      </c>
      <c r="L247" s="211">
        <f>IF(ISNUMBER(L246),-L246,"")</f>
        <v>-447</v>
      </c>
      <c r="M247" s="211">
        <f>IF(ISNUMBER(M246),-M246,"")</f>
        <v>-535</v>
      </c>
      <c r="N247" s="211">
        <f>IF(ISNUMBER(N246),-N246,"")</f>
        <v>-531</v>
      </c>
      <c r="O247" s="211">
        <f>IF(ISNUMBER(O246),-O246,"")</f>
        <v>-561</v>
      </c>
      <c r="P247" s="211">
        <f>IF(ISNUMBER(P246),-P246,"")</f>
        <v>-2074</v>
      </c>
      <c r="Q247" s="211">
        <f>IF(ISNUMBER(Q246),-Q246,"")</f>
        <v>-549</v>
      </c>
      <c r="R247" s="211">
        <f>IF(ISNUMBER(R246),-R246,"")</f>
        <v>-586</v>
      </c>
      <c r="S247" s="211">
        <f>IF(ISNUMBER(S246),-S246,"")</f>
        <v>-803</v>
      </c>
      <c r="T247" s="211">
        <f>IF(ISNUMBER(T246),-T246,"")</f>
        <v>-704</v>
      </c>
      <c r="U247" s="211">
        <f>IF(ISNUMBER(U246),-U246,"")</f>
        <v>-2642</v>
      </c>
      <c r="V247" s="211">
        <f>IF(ISNUMBER(V246),-V246,"")</f>
        <v>-1444</v>
      </c>
      <c r="W247" s="211">
        <f>IF(ISNUMBER(W246),-W246,"")</f>
        <v>-995</v>
      </c>
      <c r="X247" s="211">
        <f>IF(ISNUMBER(X246),-X246,"")</f>
        <v>-1095</v>
      </c>
      <c r="Y247" s="211">
        <f>IF(ISNUMBER(Y246),-Y246,"")</f>
        <v>-1269</v>
      </c>
      <c r="Z247" s="211">
        <f>IF(ISNUMBER(Z246),-Z246,"")</f>
        <v>-4803</v>
      </c>
      <c r="AA247" s="211">
        <f>IF(ISNUMBER(AA246),-AA246,"")</f>
        <v>-1271</v>
      </c>
      <c r="AB247" s="211">
        <f>IF(ISNUMBER(AB246),-AB246,"")</f>
        <v>-1444</v>
      </c>
      <c r="AC247" s="211">
        <f>IF(ISNUMBER(AC246),-AC246,"")</f>
        <v>-1755</v>
      </c>
      <c r="AD247" s="211">
        <f>IF(ISNUMBER(AD246),-AD246,"")</f>
        <v>-2262</v>
      </c>
      <c r="AE247" s="211">
        <f>IF(ISNUMBER(AE246),-AE246,"")</f>
        <v>-6733</v>
      </c>
      <c r="AF247" s="211">
        <f>IF(ISNUMBER(AF246),-AF246,"")</f>
        <v>-2812</v>
      </c>
      <c r="AG247" s="211">
        <f>IF(ISNUMBER(AG246),-AG246,"")</f>
        <v>-3459</v>
      </c>
      <c r="AH247" s="211">
        <f>IF(ISNUMBER(AH246),-AH246,"")</f>
        <v>-3343</v>
      </c>
      <c r="AI247" s="211">
        <f>IF(ISNUMBER(AI246),-AI246,"")</f>
        <v>-4366</v>
      </c>
      <c r="AJ247" s="211">
        <f>IF(ISNUMBER(AJ246),-AJ246,"")</f>
        <v>-13915</v>
      </c>
      <c r="AK247" s="211">
        <f>IF(ISNUMBER(AK246),-AK246,"")</f>
        <v>-3962</v>
      </c>
      <c r="AL247" s="211">
        <f>IF(ISNUMBER(AL246),-AL246,"")</f>
        <v>-3775</v>
      </c>
      <c r="AM247" s="211">
        <f>IF(ISNUMBER(AM246),-AM246,"")</f>
        <v>-3676</v>
      </c>
      <c r="AN247" s="211">
        <f>IF(ISNUMBER(AN246),-AN246,"")</f>
        <v>-4241</v>
      </c>
      <c r="AO247" s="211">
        <f>IF(ISNUMBER(AO246),-AO246,"")</f>
        <v>-15654</v>
      </c>
      <c r="AP247" s="211">
        <f>IF(ISNUMBER(AP246),-AP246,"")</f>
        <v>-3658</v>
      </c>
      <c r="AQ247" s="211">
        <f>IF(ISNUMBER(AQ246),-AQ246,"")</f>
        <v>-3364</v>
      </c>
      <c r="AR247" s="211">
        <f>IF(ISNUMBER(AR246),-AR246,"")</f>
        <v>-3878</v>
      </c>
      <c r="AS247" s="211">
        <f>IF(ISNUMBER(AS246),-AS246,"")</f>
        <v>-4818</v>
      </c>
      <c r="AT247" s="211">
        <f>IF(ISNUMBER(AT246),-AT246,"")</f>
        <v>-15719</v>
      </c>
      <c r="AU247" s="211">
        <f>IF(ISNUMBER(AU246),-AU246,"")</f>
        <v>-4423</v>
      </c>
      <c r="AV247" s="211">
        <f>IF(ISNUMBER(AV246),-AV246,"")</f>
        <v>-4735</v>
      </c>
      <c r="AW247" s="211">
        <f>IF(ISNUMBER(AW246),-AW246,"")</f>
        <v>-4544</v>
      </c>
      <c r="AX247" s="211">
        <f>IF(ISNUMBER(AX246),-AX246,"")</f>
        <v>-5542</v>
      </c>
      <c r="AY247" s="211">
        <f>IF(ISNUMBER(AY246),-AY246,"")</f>
        <v>-19244</v>
      </c>
      <c r="AZ247" s="211">
        <f>IF(ISNUMBER(AZ246),-AZ246,"")</f>
        <v>-5548</v>
      </c>
      <c r="BA247" s="211">
        <f>IF(ISNUMBER(BA246),-BA246,"")</f>
        <v>-7747</v>
      </c>
      <c r="BB247" s="211">
        <f>IF(ISNUMBER(BB246),-BB246,"")</f>
        <v>-9518</v>
      </c>
      <c r="BC247" s="211">
        <f>IF(ISNUMBER(BC246),-BC246,"")</f>
        <v>-9223</v>
      </c>
      <c r="BD247" s="211">
        <f>IF(ISNUMBER(BD246),-BD246,"")</f>
        <v>-32036</v>
      </c>
      <c r="BE247" s="211">
        <f>IF(ISNUMBER(BE246),-BE246,"")</f>
        <v>-7087</v>
      </c>
      <c r="BF247" s="211">
        <f>IF(ISNUMBER(BF246),-BF246,"")</f>
        <v>-6354</v>
      </c>
      <c r="BG247" s="211">
        <f>IF(ISNUMBER(BG246),-BG246,"")</f>
        <v>-6763</v>
      </c>
      <c r="BH247" s="211">
        <f>IF(ISNUMBER(BH246),-BH246,"")</f>
        <v>-7899</v>
      </c>
      <c r="BI247" s="211">
        <f>IF(ISNUMBER(BI246),-BI246,"")</f>
        <v>-28103</v>
      </c>
      <c r="BJ247" s="211">
        <f>IF(ISNUMBER(BJ246),-BJ246,"")</f>
        <v>-6715</v>
      </c>
      <c r="BK247" s="211">
        <f>IF(ISNUMBER(BK246),-BK246,"")</f>
        <v>-8472</v>
      </c>
      <c r="BL247" s="211">
        <f>IF(ISNUMBER(BL246),-BL246,"")</f>
        <v>-9202</v>
      </c>
      <c r="BM247" s="211">
        <f>IF(ISNUMBER(BM246),-BM246,"")</f>
        <v>-14836</v>
      </c>
      <c r="BN247" s="211">
        <f>IF(ISNUMBER(BN246),-BN246,"")</f>
        <v>-39225</v>
      </c>
      <c r="BO247" s="211">
        <f>IF(ISNUMBER(BO246),-BO246,"")</f>
        <v>-13692</v>
      </c>
      <c r="BP247" s="211">
        <f>IF(ISNUMBER(BP246),-BP246,"")</f>
        <v>-17012</v>
      </c>
      <c r="BQ247" s="211">
        <f>IF(ISNUMBER(BQ246),-BQ246,"")</f>
        <v>-19374</v>
      </c>
      <c r="BR247" s="211">
        <f>IF(ISNUMBER(BR246),-BR246,"")</f>
        <v>-22137</v>
      </c>
      <c r="BS247" s="211">
        <f>IF(ISNUMBER(BS246),-BS246,"")</f>
        <v>-72215</v>
      </c>
      <c r="BT247" s="211">
        <f>IF(ISNUMBER(BT246),-BT246,"")</f>
        <v>-19840</v>
      </c>
      <c r="BU247" s="211">
        <f>IF(ISNUMBER(BU246),-BU246,"")</f>
        <v>-31078</v>
      </c>
      <c r="BV247" s="35" t="n"/>
      <c r="BW247" s="35" t="n"/>
      <c r="BX247" s="263">
        <f>IF(ISNUMBER(BX246),-BX246,"")</f>
        <v>-137500</v>
      </c>
      <c r="BY247" s="263">
        <f>IF(ISNUMBER(BY246),-BY246,"")</f>
        <v>-142382.10857099</v>
      </c>
      <c r="BZ247" s="263">
        <f>IF(ISNUMBER(BZ246),-BZ246,"")</f>
        <v>-136369.957684303</v>
      </c>
      <c r="CA247" s="263">
        <f>IF(ISNUMBER(CA246),-CA246,"")</f>
        <v>-126718.903799092</v>
      </c>
      <c r="CB247" s="263">
        <f>IF(ISNUMBER(CB246),-CB246,"")</f>
        <v>-118755.82772117</v>
      </c>
      <c r="CC247" s="263">
        <f>IF(ISNUMBER(CC246),-CC246,"")</f>
        <v>-116041.670742567</v>
      </c>
      <c r="CD247" s="19" t="n"/>
    </row>
    <row r="248" ht="15" customHeight="1" s="251">
      <c r="B248" s="156" t="inlineStr">
        <is>
          <t xml:space="preserve">  Memo: property and equipment acquired under capital leases (deducted in the company FCF, 2013–14)</t>
        </is>
      </c>
      <c r="C248" s="34" t="n"/>
      <c r="D248" s="34" t="n"/>
      <c r="E248" s="34" t="n"/>
      <c r="F248" s="34" t="n"/>
      <c r="G248" s="34" t="n"/>
      <c r="H248" s="261" t="n">
        <v>0</v>
      </c>
      <c r="I248" s="261" t="n">
        <v>0</v>
      </c>
      <c r="J248" s="261" t="n">
        <v>0</v>
      </c>
      <c r="K248" s="261" t="n">
        <v>-11</v>
      </c>
      <c r="L248" s="261" t="n">
        <v>0</v>
      </c>
      <c r="M248" s="261" t="n">
        <v>0</v>
      </c>
      <c r="N248" s="261" t="n">
        <v>0</v>
      </c>
      <c r="O248" s="261" t="n">
        <v>0</v>
      </c>
      <c r="P248" s="261" t="n">
        <v>0</v>
      </c>
      <c r="Q248" s="261" t="n">
        <v>0</v>
      </c>
      <c r="R248" s="261" t="n">
        <v>0</v>
      </c>
      <c r="S248" s="261" t="n">
        <v>0</v>
      </c>
      <c r="T248" s="261" t="n">
        <v>0</v>
      </c>
      <c r="U248" s="261" t="n">
        <v>0</v>
      </c>
      <c r="V248" s="261" t="n">
        <v>0</v>
      </c>
      <c r="W248" s="261" t="n">
        <v>0</v>
      </c>
      <c r="X248" s="261" t="n">
        <v>0</v>
      </c>
      <c r="Y248" s="261" t="n">
        <v>0</v>
      </c>
      <c r="Z248" s="261" t="n">
        <v>0</v>
      </c>
      <c r="AA248" s="261" t="n">
        <v>0</v>
      </c>
      <c r="AB248" s="261" t="n">
        <v>0</v>
      </c>
      <c r="AC248" s="261" t="n">
        <v>0</v>
      </c>
      <c r="AD248" s="261" t="n">
        <v>0</v>
      </c>
      <c r="AE248" s="261" t="n">
        <v>0</v>
      </c>
      <c r="AF248" s="261" t="n">
        <v>0</v>
      </c>
      <c r="AG248" s="261" t="n">
        <v>0</v>
      </c>
      <c r="AH248" s="261" t="n">
        <v>0</v>
      </c>
      <c r="AI248" s="261" t="n">
        <v>0</v>
      </c>
      <c r="AJ248" s="261" t="n">
        <v>0</v>
      </c>
      <c r="AK248" s="261" t="n">
        <v>0</v>
      </c>
      <c r="AL248" s="261" t="n">
        <v>0</v>
      </c>
      <c r="AM248" s="261" t="n">
        <v>0</v>
      </c>
      <c r="AN248" s="261" t="n">
        <v>0</v>
      </c>
      <c r="AO248" s="261" t="n">
        <v>0</v>
      </c>
      <c r="AP248" s="261" t="n">
        <v>0</v>
      </c>
      <c r="AQ248" s="261" t="n">
        <v>0</v>
      </c>
      <c r="AR248" s="261" t="n">
        <v>0</v>
      </c>
      <c r="AS248" s="261" t="n">
        <v>0</v>
      </c>
      <c r="AT248" s="261" t="n">
        <v>0</v>
      </c>
      <c r="AU248" s="261" t="n">
        <v>0</v>
      </c>
      <c r="AV248" s="261" t="n">
        <v>0</v>
      </c>
      <c r="AW248" s="261" t="n">
        <v>0</v>
      </c>
      <c r="AX248" s="261" t="n">
        <v>0</v>
      </c>
      <c r="AY248" s="261" t="n">
        <v>0</v>
      </c>
      <c r="AZ248" s="261" t="n">
        <v>0</v>
      </c>
      <c r="BA248" s="261" t="n">
        <v>0</v>
      </c>
      <c r="BB248" s="261" t="n">
        <v>0</v>
      </c>
      <c r="BC248" s="261" t="n">
        <v>0</v>
      </c>
      <c r="BD248" s="261" t="n">
        <v>0</v>
      </c>
      <c r="BE248" s="261" t="n">
        <v>0</v>
      </c>
      <c r="BF248" s="261" t="n">
        <v>0</v>
      </c>
      <c r="BG248" s="261" t="n">
        <v>0</v>
      </c>
      <c r="BH248" s="261" t="n">
        <v>0</v>
      </c>
      <c r="BI248" s="261" t="n">
        <v>0</v>
      </c>
      <c r="BJ248" s="261" t="n">
        <v>0</v>
      </c>
      <c r="BK248" s="261" t="n">
        <v>0</v>
      </c>
      <c r="BL248" s="261" t="n">
        <v>0</v>
      </c>
      <c r="BM248" s="261" t="n">
        <v>0</v>
      </c>
      <c r="BN248" s="261" t="n">
        <v>0</v>
      </c>
      <c r="BO248" s="261" t="n">
        <v>0</v>
      </c>
      <c r="BP248" s="261" t="n">
        <v>0</v>
      </c>
      <c r="BQ248" s="261" t="n">
        <v>0</v>
      </c>
      <c r="BR248" s="261" t="n">
        <v>0</v>
      </c>
      <c r="BS248" s="261" t="n">
        <v>0</v>
      </c>
      <c r="BT248" s="261" t="n">
        <v>0</v>
      </c>
      <c r="BU248" s="261" t="n">
        <v>0</v>
      </c>
      <c r="BV248" s="153" t="n"/>
      <c r="BW248" s="153" t="n"/>
      <c r="BX248" s="153" t="n"/>
      <c r="BY248" s="153" t="n"/>
      <c r="BZ248" s="153" t="n"/>
      <c r="CA248" s="153" t="n"/>
      <c r="CB248" s="153" t="n"/>
      <c r="CC248" s="153" t="n"/>
      <c r="CD248" s="153" t="n"/>
    </row>
    <row r="249" ht="15" customHeight="1" s="251">
      <c r="B249" s="55" t="inlineStr">
        <is>
          <t>Free cash flow (company definition in force)</t>
        </is>
      </c>
      <c r="C249" s="272">
        <f>IF(ISNUMBER(C224),C224+C225+N(C248),"")</f>
        <v>122</v>
      </c>
      <c r="D249" s="272">
        <f>IF(ISNUMBER(D224),D224+D225+N(D248),"")</f>
        <v>405</v>
      </c>
      <c r="E249" s="272">
        <f>IF(ISNUMBER(E224),E224+E225+N(E248),"")</f>
        <v>943</v>
      </c>
      <c r="F249" s="272">
        <f>IF(ISNUMBER(F224),F224+F225+N(F248),"")</f>
        <v>377</v>
      </c>
      <c r="G249" s="272">
        <f>IF(ISNUMBER(G224),G224+G225+N(G248),"")</f>
        <v>392</v>
      </c>
      <c r="H249" s="272">
        <f>IF(ISNUMBER(H224),H224+H225+N(H248),"")</f>
        <v>1054</v>
      </c>
      <c r="I249" s="272">
        <f>IF(ISNUMBER(I224),I224+I225+N(I248),"")</f>
        <v>666</v>
      </c>
      <c r="J249" s="272">
        <f>IF(ISNUMBER(J224),J224+J225+N(J248),"")</f>
        <v>748</v>
      </c>
      <c r="K249" s="272">
        <f>IF(ISNUMBER(K224),K224+K225+N(K248),"")</f>
        <v>2849</v>
      </c>
      <c r="L249" s="272">
        <f>IF(ISNUMBER(L224),L224+L225+N(L248),"")</f>
        <v>922</v>
      </c>
      <c r="M249" s="272">
        <f>IF(ISNUMBER(M224),M224+M225+N(M248),"")</f>
        <v>872</v>
      </c>
      <c r="N249" s="272">
        <f>IF(ISNUMBER(N224),N224+N225+N(N248),"")</f>
        <v>766</v>
      </c>
      <c r="O249" s="272">
        <f>IF(ISNUMBER(O224),O224+O225+N(O248),"")</f>
        <v>1066</v>
      </c>
      <c r="P249" s="272">
        <f>IF(ISNUMBER(P224),P224+P225+N(P248),"")</f>
        <v>3626</v>
      </c>
      <c r="Q249" s="272">
        <f>IF(ISNUMBER(Q224),Q224+Q225+N(Q248),"")</f>
        <v>1198</v>
      </c>
      <c r="R249" s="272">
        <f>IF(ISNUMBER(R224),R224+R225+N(R248),"")</f>
        <v>1331</v>
      </c>
      <c r="S249" s="272">
        <f>IF(ISNUMBER(S224),S224+S225+N(S248),"")</f>
        <v>1412</v>
      </c>
      <c r="T249" s="272">
        <f>IF(ISNUMBER(T224),T224+T225+N(T248),"")</f>
        <v>2135</v>
      </c>
      <c r="U249" s="272">
        <f>IF(ISNUMBER(U224),U224+U225+N(U248),"")</f>
        <v>6076</v>
      </c>
      <c r="V249" s="272">
        <f>IF(ISNUMBER(V224),V224+V225+N(V248),"")</f>
        <v>1851</v>
      </c>
      <c r="W249" s="272">
        <f>IF(ISNUMBER(W224),W224+W225+N(W248),"")</f>
        <v>2203</v>
      </c>
      <c r="X249" s="272">
        <f>IF(ISNUMBER(X224),X224+X225+N(X248),"")</f>
        <v>2482</v>
      </c>
      <c r="Y249" s="272">
        <f>IF(ISNUMBER(Y224),Y224+Y225+N(Y248),"")</f>
        <v>3661</v>
      </c>
      <c r="Z249" s="272">
        <f>IF(ISNUMBER(Z224),Z224+Z225+N(Z248),"")</f>
        <v>11617</v>
      </c>
      <c r="AA249" s="272">
        <f>IF(ISNUMBER(AA224),AA224+AA225+N(AA248),"")</f>
        <v>3787</v>
      </c>
      <c r="AB249" s="272">
        <f>IF(ISNUMBER(AB224),AB224+AB225+N(AB248),"")</f>
        <v>3916</v>
      </c>
      <c r="AC249" s="272">
        <f>IF(ISNUMBER(AC224),AC224+AC225+N(AC248),"")</f>
        <v>4373</v>
      </c>
      <c r="AD249" s="272">
        <f>IF(ISNUMBER(AD224),AD224+AD225+N(AD248),"")</f>
        <v>5408</v>
      </c>
      <c r="AE249" s="272">
        <f>IF(ISNUMBER(AE224),AE224+AE225+N(AE248),"")</f>
        <v>17483</v>
      </c>
      <c r="AF249" s="272">
        <f>IF(ISNUMBER(AF224),AF224+AF225+N(AF248),"")</f>
        <v>5048</v>
      </c>
      <c r="AG249" s="272">
        <f>IF(ISNUMBER(AG224),AG224+AG225+N(AG248),"")</f>
        <v>2840</v>
      </c>
      <c r="AH249" s="272">
        <f>IF(ISNUMBER(AH224),AH224+AH225+N(AH248),"")</f>
        <v>4153</v>
      </c>
      <c r="AI249" s="272">
        <f>IF(ISNUMBER(AI224),AI224+AI225+N(AI248),"")</f>
        <v>3318</v>
      </c>
      <c r="AJ249" s="272">
        <f>IF(ISNUMBER(AJ224),AJ224+AJ225+N(AJ248),"")</f>
        <v>15359</v>
      </c>
      <c r="AK249" s="272">
        <f>IF(ISNUMBER(AK224),AK224+AK225+AK235,"")</f>
        <v>5346</v>
      </c>
      <c r="AL249" s="272">
        <f>IF(ISNUMBER(AL224),AL224+AL225+AL235,"")</f>
        <v>4840</v>
      </c>
      <c r="AM249" s="272">
        <f>IF(ISNUMBER(AM224),AM224+AM225+AM235,"")</f>
        <v>5631</v>
      </c>
      <c r="AN249" s="272">
        <f>IF(ISNUMBER(AN224),AN224+AN225+AN235,"")</f>
        <v>4842</v>
      </c>
      <c r="AO249" s="272">
        <f>IF(ISNUMBER(AO224),AO224+AO225+AO235,"")</f>
        <v>20660</v>
      </c>
      <c r="AP249" s="272">
        <f>IF(ISNUMBER(AP224),AP224+AP225+AP235,"")</f>
        <v>7343</v>
      </c>
      <c r="AQ249" s="272">
        <f>IF(ISNUMBER(AQ224),AQ224+AQ225+AQ235,"")</f>
        <v>514</v>
      </c>
      <c r="AR249" s="272">
        <f>IF(ISNUMBER(AR224),AR224+AR225+AR235,"")</f>
        <v>5950</v>
      </c>
      <c r="AS249" s="272">
        <f>IF(ISNUMBER(AS224),AS224+AS225+AS235,"")</f>
        <v>9222</v>
      </c>
      <c r="AT249" s="272">
        <f>IF(ISNUMBER(AT224),AT224+AT225+AT235,"")</f>
        <v>23028</v>
      </c>
      <c r="AU249" s="272">
        <f>IF(ISNUMBER(AU224),AU224+AU225+AU235,"")</f>
        <v>7819</v>
      </c>
      <c r="AV249" s="272">
        <f>IF(ISNUMBER(AV224),AV224+AV225+AV235,"")</f>
        <v>8511</v>
      </c>
      <c r="AW249" s="272">
        <f>IF(ISNUMBER(AW224),AW224+AW225+AW235,"")</f>
        <v>9547</v>
      </c>
      <c r="AX249" s="272">
        <f>IF(ISNUMBER(AX224),AX224+AX225+AX235,"")</f>
        <v>12562</v>
      </c>
      <c r="AY249" s="272">
        <f>IF(ISNUMBER(AY224),AY224+AY225+AY235,"")</f>
        <v>38439</v>
      </c>
      <c r="AZ249" s="272">
        <f>IF(ISNUMBER(AZ224),AZ224+AZ225+AZ235,"")</f>
        <v>8528</v>
      </c>
      <c r="BA249" s="272">
        <f>IF(ISNUMBER(BA224),BA224+BA225+BA235,"")</f>
        <v>4450</v>
      </c>
      <c r="BB249" s="272">
        <f>IF(ISNUMBER(BB224),BB224+BB225+BB235,"")</f>
        <v>173</v>
      </c>
      <c r="BC249" s="272">
        <f>IF(ISNUMBER(BC224),BC224+BC225+BC235,"")</f>
        <v>5288</v>
      </c>
      <c r="BD249" s="272">
        <f>IF(ISNUMBER(BD224),BD224+BD225+BD235,"")</f>
        <v>18439</v>
      </c>
      <c r="BE249" s="272">
        <f>IF(ISNUMBER(BE224),BE224+BE225+BE235,"")</f>
        <v>6911</v>
      </c>
      <c r="BF249" s="272">
        <f>IF(ISNUMBER(BF224),BF224+BF225+BF235,"")</f>
        <v>10955</v>
      </c>
      <c r="BG249" s="272">
        <f>IF(ISNUMBER(BG224),BG224+BG225+BG235,"")</f>
        <v>13639</v>
      </c>
      <c r="BH249" s="272">
        <f>IF(ISNUMBER(BH224),BH224+BH225+BH235,"")</f>
        <v>11505</v>
      </c>
      <c r="BI249" s="272">
        <f>IF(ISNUMBER(BI224),BI224+BI225+BI235,"")</f>
        <v>43010</v>
      </c>
      <c r="BJ249" s="272">
        <f>IF(ISNUMBER(BJ224),BJ224+BJ225+BJ235,"")</f>
        <v>12531</v>
      </c>
      <c r="BK249" s="272">
        <f>IF(ISNUMBER(BK224),BK224+BK225+BK235,"")</f>
        <v>10898</v>
      </c>
      <c r="BL249" s="272">
        <f>IF(ISNUMBER(BL224),BL224+BL225+BL235,"")</f>
        <v>15522</v>
      </c>
      <c r="BM249" s="272">
        <f>IF(ISNUMBER(BM224),BM224+BM225+BM235,"")</f>
        <v>13152</v>
      </c>
      <c r="BN249" s="272">
        <f>IF(ISNUMBER(BN224),BN224+BN225+BN235,"")</f>
        <v>52103</v>
      </c>
      <c r="BO249" s="272">
        <f>IF(ISNUMBER(BO224),BO224+BO225+BO235,"")</f>
        <v>10334</v>
      </c>
      <c r="BP249" s="272">
        <f>IF(ISNUMBER(BP224),BP224+BP225+BP235,"")</f>
        <v>8549</v>
      </c>
      <c r="BQ249" s="272">
        <f>IF(ISNUMBER(BQ224),BQ224+BQ225+BQ235,"")</f>
        <v>10625</v>
      </c>
      <c r="BR249" s="272">
        <f>IF(ISNUMBER(BR224),BR224+BR225+BR235,"")</f>
        <v>14077</v>
      </c>
      <c r="BS249" s="272">
        <f>IF(ISNUMBER(BS224),BS224+BS225+BS235,"")</f>
        <v>43585</v>
      </c>
      <c r="BT249" s="272">
        <f>IF(ISNUMBER(BT224),BT224+BT225+BT235,"")</f>
        <v>12386</v>
      </c>
      <c r="BU249" s="272">
        <f>IF(ISNUMBER(BU224),BU224+BU225+BU235,"")</f>
        <v>784</v>
      </c>
      <c r="BV249" s="56" t="n"/>
      <c r="BW249" s="56" t="n"/>
      <c r="BX249" s="272">
        <f>BX224+BX225+BX235</f>
        <v>-8258.7405748248</v>
      </c>
      <c r="BY249" s="272">
        <f>BY224+BY225+BY235</f>
        <v>20755.1938639827</v>
      </c>
      <c r="BZ249" s="272">
        <f>BZ224+BZ225+BZ235</f>
        <v>53245.7209914838</v>
      </c>
      <c r="CA249" s="272">
        <f>CA224+CA225+CA235</f>
        <v>92527.6270163889</v>
      </c>
      <c r="CB249" s="272">
        <f>CB224+CB225+CB235</f>
        <v>126145.339765031</v>
      </c>
      <c r="CC249" s="272">
        <f>CC224+CC225+CC235</f>
        <v>156490.167817076</v>
      </c>
      <c r="CD249" s="153" t="n"/>
      <c r="CF249" s="20">
        <f>IFERROR((CC249/BX249)^(1/5)-1,"n/m")</f>
        <v>-2.80100387159992</v>
      </c>
      <c r="CG249" s="20">
        <f>IFERROR((BS249/AT249)^(1/5)-1,"n/m")</f>
        <v>0.136098969485368</v>
      </c>
      <c r="CH249" s="20">
        <f>IFERROR((BS249/U249)^(1/10)-1,"n/m")</f>
        <v>0.217788668156616</v>
      </c>
      <c r="CI249" s="20">
        <f>IFERROR((BS249/C249)^(1/16)-1,"n/m")</f>
        <v>0.443979661509933</v>
      </c>
    </row>
    <row r="250" ht="15" customHeight="1" s="251">
      <c r="B250" s="156" t="inlineStr">
        <is>
          <t xml:space="preserve">  Company-published free cash flow</t>
        </is>
      </c>
      <c r="C250" s="34" t="n"/>
      <c r="D250" s="34" t="n"/>
      <c r="E250" s="34" t="n"/>
      <c r="F250" s="34" t="n"/>
      <c r="G250" s="34" t="n"/>
      <c r="H250" s="261" t="n">
        <v>1054</v>
      </c>
      <c r="I250" s="261" t="n">
        <v>666</v>
      </c>
      <c r="J250" s="261" t="n">
        <v>748</v>
      </c>
      <c r="K250" s="261" t="n">
        <v>2849</v>
      </c>
      <c r="L250" s="261" t="n">
        <v>922</v>
      </c>
      <c r="M250" s="261" t="n">
        <v>872</v>
      </c>
      <c r="N250" s="261" t="n">
        <v>766</v>
      </c>
      <c r="O250" s="261" t="n">
        <v>1066</v>
      </c>
      <c r="P250" s="261" t="n">
        <v>3626</v>
      </c>
      <c r="Q250" s="261" t="n">
        <v>1198</v>
      </c>
      <c r="R250" s="261" t="n">
        <v>1331</v>
      </c>
      <c r="S250" s="261" t="n">
        <v>1412</v>
      </c>
      <c r="T250" s="261" t="n">
        <v>2135</v>
      </c>
      <c r="U250" s="261" t="n">
        <v>6076</v>
      </c>
      <c r="V250" s="261" t="n">
        <v>1851</v>
      </c>
      <c r="W250" s="261" t="n">
        <v>2203</v>
      </c>
      <c r="X250" s="261" t="n">
        <v>2482</v>
      </c>
      <c r="Y250" s="261" t="n">
        <v>3661</v>
      </c>
      <c r="Z250" s="261" t="n">
        <v>11617</v>
      </c>
      <c r="AA250" s="261" t="n">
        <v>3787</v>
      </c>
      <c r="AB250" s="261" t="n">
        <v>3916</v>
      </c>
      <c r="AC250" s="261" t="n">
        <v>4373</v>
      </c>
      <c r="AD250" s="261" t="n">
        <v>5408</v>
      </c>
      <c r="AE250" s="261" t="n">
        <v>17483</v>
      </c>
      <c r="AF250" s="261" t="n">
        <v>5048</v>
      </c>
      <c r="AG250" s="261" t="n">
        <v>2840</v>
      </c>
      <c r="AH250" s="261" t="n">
        <v>4153</v>
      </c>
      <c r="AI250" s="261" t="n">
        <v>3318</v>
      </c>
      <c r="AJ250" s="261" t="n">
        <v>15359</v>
      </c>
      <c r="AK250" s="261" t="n">
        <v>5346</v>
      </c>
      <c r="AL250" s="261" t="n">
        <v>4840</v>
      </c>
      <c r="AM250" s="261" t="n">
        <v>5631</v>
      </c>
      <c r="AN250" s="261" t="n">
        <v>4842</v>
      </c>
      <c r="AO250" s="261" t="n">
        <v>20660</v>
      </c>
      <c r="AP250" s="261" t="n">
        <v>7343</v>
      </c>
      <c r="AQ250" s="261" t="n">
        <v>514</v>
      </c>
      <c r="AR250" s="261" t="n">
        <v>5950</v>
      </c>
      <c r="AS250" s="261" t="n">
        <v>9222</v>
      </c>
      <c r="AT250" s="261" t="n">
        <v>23028</v>
      </c>
      <c r="AU250" s="261" t="n">
        <v>7819</v>
      </c>
      <c r="AV250" s="261" t="n">
        <v>8511</v>
      </c>
      <c r="AW250" s="261" t="n">
        <v>9547</v>
      </c>
      <c r="AX250" s="261" t="n">
        <v>12562</v>
      </c>
      <c r="AY250" s="261" t="n">
        <v>38439</v>
      </c>
      <c r="AZ250" s="261" t="n">
        <v>8528</v>
      </c>
      <c r="BA250" s="261" t="n">
        <v>4450</v>
      </c>
      <c r="BB250" s="261" t="n">
        <v>173</v>
      </c>
      <c r="BC250" s="261" t="n">
        <v>5288</v>
      </c>
      <c r="BD250" s="261" t="n">
        <v>18439</v>
      </c>
      <c r="BE250" s="261" t="n">
        <v>6911</v>
      </c>
      <c r="BF250" s="261" t="n">
        <v>10955</v>
      </c>
      <c r="BG250" s="261" t="n">
        <v>13639</v>
      </c>
      <c r="BH250" s="261" t="n">
        <v>11505</v>
      </c>
      <c r="BI250" s="261" t="n">
        <v>43010</v>
      </c>
      <c r="BJ250" s="261" t="n">
        <v>12531</v>
      </c>
      <c r="BK250" s="261" t="n">
        <v>10898</v>
      </c>
      <c r="BL250" s="261" t="n">
        <v>15522</v>
      </c>
      <c r="BM250" s="261" t="n">
        <v>13152</v>
      </c>
      <c r="BN250" s="261" t="n">
        <v>52103</v>
      </c>
      <c r="BO250" s="261" t="n">
        <v>10334</v>
      </c>
      <c r="BP250" s="261" t="n">
        <v>8549</v>
      </c>
      <c r="BQ250" s="261" t="n">
        <v>10625</v>
      </c>
      <c r="BR250" s="261" t="n">
        <v>14077</v>
      </c>
      <c r="BS250" s="261" t="n">
        <v>43585</v>
      </c>
      <c r="BT250" s="261" t="n">
        <v>12386</v>
      </c>
      <c r="BU250" s="261" t="n">
        <v>784</v>
      </c>
      <c r="BV250" s="153" t="n"/>
      <c r="BW250" s="153" t="n"/>
      <c r="BX250" s="153" t="n"/>
      <c r="BY250" s="153" t="n"/>
      <c r="BZ250" s="153" t="n"/>
      <c r="CA250" s="153" t="n"/>
      <c r="CB250" s="153" t="n"/>
      <c r="CC250" s="153" t="n"/>
      <c r="CD250" s="153" t="n"/>
    </row>
    <row r="251" ht="15" customHeight="1" s="251">
      <c r="B251" s="57" t="inlineStr">
        <is>
          <t xml:space="preserve">  Check: model vs company-published free cash flow (should be 0)</t>
        </is>
      </c>
      <c r="C251" s="211" t="str">
        <f>IF(ISNUMBER(C250),ROUND(C249-C250,1),"n/p")</f>
        <v>n/p</v>
      </c>
      <c r="D251" s="211" t="str">
        <f>IF(ISNUMBER(D250),ROUND(D249-D250,1),"n/p")</f>
        <v>n/p</v>
      </c>
      <c r="E251" s="211" t="str">
        <f>IF(ISNUMBER(E250),ROUND(E249-E250,1),"n/p")</f>
        <v>n/p</v>
      </c>
      <c r="F251" s="211" t="str">
        <f>IF(ISNUMBER(F250),ROUND(F249-F250,1),"n/p")</f>
        <v>n/p</v>
      </c>
      <c r="G251" s="211" t="str">
        <f>IF(ISNUMBER(G250),ROUND(G249-G250,1),"n/p")</f>
        <v>n/p</v>
      </c>
      <c r="H251" s="211">
        <f>IF(ISNUMBER(H250),ROUND(H249-H250,1),"n/p")</f>
        <v>0</v>
      </c>
      <c r="I251" s="211">
        <f>IF(ISNUMBER(I250),ROUND(I249-I250,1),"n/p")</f>
        <v>0</v>
      </c>
      <c r="J251" s="211">
        <f>IF(ISNUMBER(J250),ROUND(J249-J250,1),"n/p")</f>
        <v>0</v>
      </c>
      <c r="K251" s="211">
        <f>IF(ISNUMBER(K250),ROUND(K249-K250,1),"n/p")</f>
        <v>0</v>
      </c>
      <c r="L251" s="211">
        <f>IF(ISNUMBER(L250),ROUND(L249-L250,1),"n/p")</f>
        <v>0</v>
      </c>
      <c r="M251" s="211">
        <f>IF(ISNUMBER(M250),ROUND(M249-M250,1),"n/p")</f>
        <v>0</v>
      </c>
      <c r="N251" s="211">
        <f>IF(ISNUMBER(N250),ROUND(N249-N250,1),"n/p")</f>
        <v>0</v>
      </c>
      <c r="O251" s="211">
        <f>IF(ISNUMBER(O250),ROUND(O249-O250,1),"n/p")</f>
        <v>0</v>
      </c>
      <c r="P251" s="211">
        <f>IF(ISNUMBER(P250),ROUND(P249-P250,1),"n/p")</f>
        <v>0</v>
      </c>
      <c r="Q251" s="211">
        <f>IF(ISNUMBER(Q250),ROUND(Q249-Q250,1),"n/p")</f>
        <v>0</v>
      </c>
      <c r="R251" s="211">
        <f>IF(ISNUMBER(R250),ROUND(R249-R250,1),"n/p")</f>
        <v>0</v>
      </c>
      <c r="S251" s="211">
        <f>IF(ISNUMBER(S250),ROUND(S249-S250,1),"n/p")</f>
        <v>0</v>
      </c>
      <c r="T251" s="211">
        <f>IF(ISNUMBER(T250),ROUND(T249-T250,1),"n/p")</f>
        <v>0</v>
      </c>
      <c r="U251" s="211">
        <f>IF(ISNUMBER(U250),ROUND(U249-U250,1),"n/p")</f>
        <v>0</v>
      </c>
      <c r="V251" s="211">
        <f>IF(ISNUMBER(V250),ROUND(V249-V250,1),"n/p")</f>
        <v>0</v>
      </c>
      <c r="W251" s="211">
        <f>IF(ISNUMBER(W250),ROUND(W249-W250,1),"n/p")</f>
        <v>0</v>
      </c>
      <c r="X251" s="211">
        <f>IF(ISNUMBER(X250),ROUND(X249-X250,1),"n/p")</f>
        <v>0</v>
      </c>
      <c r="Y251" s="211">
        <f>IF(ISNUMBER(Y250),ROUND(Y249-Y250,1),"n/p")</f>
        <v>0</v>
      </c>
      <c r="Z251" s="211">
        <f>IF(ISNUMBER(Z250),ROUND(Z249-Z250,1),"n/p")</f>
        <v>0</v>
      </c>
      <c r="AA251" s="211">
        <f>IF(ISNUMBER(AA250),ROUND(AA249-AA250,1),"n/p")</f>
        <v>0</v>
      </c>
      <c r="AB251" s="211">
        <f>IF(ISNUMBER(AB250),ROUND(AB249-AB250,1),"n/p")</f>
        <v>0</v>
      </c>
      <c r="AC251" s="211">
        <f>IF(ISNUMBER(AC250),ROUND(AC249-AC250,1),"n/p")</f>
        <v>0</v>
      </c>
      <c r="AD251" s="211">
        <f>IF(ISNUMBER(AD250),ROUND(AD249-AD250,1),"n/p")</f>
        <v>0</v>
      </c>
      <c r="AE251" s="211">
        <f>IF(ISNUMBER(AE250),ROUND(AE249-AE250,1),"n/p")</f>
        <v>0</v>
      </c>
      <c r="AF251" s="211">
        <f>IF(ISNUMBER(AF250),ROUND(AF249-AF250,1),"n/p")</f>
        <v>0</v>
      </c>
      <c r="AG251" s="211">
        <f>IF(ISNUMBER(AG250),ROUND(AG249-AG250,1),"n/p")</f>
        <v>0</v>
      </c>
      <c r="AH251" s="211">
        <f>IF(ISNUMBER(AH250),ROUND(AH249-AH250,1),"n/p")</f>
        <v>0</v>
      </c>
      <c r="AI251" s="211">
        <f>IF(ISNUMBER(AI250),ROUND(AI249-AI250,1),"n/p")</f>
        <v>0</v>
      </c>
      <c r="AJ251" s="211">
        <f>IF(ISNUMBER(AJ250),ROUND(AJ249-AJ250,1),"n/p")</f>
        <v>0</v>
      </c>
      <c r="AK251" s="211">
        <f>IF(ISNUMBER(AK250),ROUND(AK249-AK250,1),"n/p")</f>
        <v>0</v>
      </c>
      <c r="AL251" s="211">
        <f>IF(ISNUMBER(AL250),ROUND(AL249-AL250,1),"n/p")</f>
        <v>0</v>
      </c>
      <c r="AM251" s="211">
        <f>IF(ISNUMBER(AM250),ROUND(AM249-AM250,1),"n/p")</f>
        <v>0</v>
      </c>
      <c r="AN251" s="211">
        <f>IF(ISNUMBER(AN250),ROUND(AN249-AN250,1),"n/p")</f>
        <v>0</v>
      </c>
      <c r="AO251" s="211">
        <f>IF(ISNUMBER(AO250),ROUND(AO249-AO250,1),"n/p")</f>
        <v>0</v>
      </c>
      <c r="AP251" s="211">
        <f>IF(ISNUMBER(AP250),ROUND(AP249-AP250,1),"n/p")</f>
        <v>0</v>
      </c>
      <c r="AQ251" s="211">
        <f>IF(ISNUMBER(AQ250),ROUND(AQ249-AQ250,1),"n/p")</f>
        <v>0</v>
      </c>
      <c r="AR251" s="211">
        <f>IF(ISNUMBER(AR250),ROUND(AR249-AR250,1),"n/p")</f>
        <v>0</v>
      </c>
      <c r="AS251" s="211">
        <f>IF(ISNUMBER(AS250),ROUND(AS249-AS250,1),"n/p")</f>
        <v>0</v>
      </c>
      <c r="AT251" s="211">
        <f>IF(ISNUMBER(AT250),ROUND(AT249-AT250,1),"n/p")</f>
        <v>0</v>
      </c>
      <c r="AU251" s="211">
        <f>IF(ISNUMBER(AU250),ROUND(AU249-AU250,1),"n/p")</f>
        <v>0</v>
      </c>
      <c r="AV251" s="211">
        <f>IF(ISNUMBER(AV250),ROUND(AV249-AV250,1),"n/p")</f>
        <v>0</v>
      </c>
      <c r="AW251" s="211">
        <f>IF(ISNUMBER(AW250),ROUND(AW249-AW250,1),"n/p")</f>
        <v>0</v>
      </c>
      <c r="AX251" s="211">
        <f>IF(ISNUMBER(AX250),ROUND(AX249-AX250,1),"n/p")</f>
        <v>0</v>
      </c>
      <c r="AY251" s="211">
        <f>IF(ISNUMBER(AY250),ROUND(AY249-AY250,1),"n/p")</f>
        <v>0</v>
      </c>
      <c r="AZ251" s="211">
        <f>IF(ISNUMBER(AZ250),ROUND(AZ249-AZ250,1),"n/p")</f>
        <v>0</v>
      </c>
      <c r="BA251" s="211">
        <f>IF(ISNUMBER(BA250),ROUND(BA249-BA250,1),"n/p")</f>
        <v>0</v>
      </c>
      <c r="BB251" s="211">
        <f>IF(ISNUMBER(BB250),ROUND(BB249-BB250,1),"n/p")</f>
        <v>0</v>
      </c>
      <c r="BC251" s="211">
        <f>IF(ISNUMBER(BC250),ROUND(BC249-BC250,1),"n/p")</f>
        <v>0</v>
      </c>
      <c r="BD251" s="211">
        <f>IF(ISNUMBER(BD250),ROUND(BD249-BD250,1),"n/p")</f>
        <v>0</v>
      </c>
      <c r="BE251" s="211">
        <f>IF(ISNUMBER(BE250),ROUND(BE249-BE250,1),"n/p")</f>
        <v>0</v>
      </c>
      <c r="BF251" s="211">
        <f>IF(ISNUMBER(BF250),ROUND(BF249-BF250,1),"n/p")</f>
        <v>0</v>
      </c>
      <c r="BG251" s="211">
        <f>IF(ISNUMBER(BG250),ROUND(BG249-BG250,1),"n/p")</f>
        <v>0</v>
      </c>
      <c r="BH251" s="211">
        <f>IF(ISNUMBER(BH250),ROUND(BH249-BH250,1),"n/p")</f>
        <v>0</v>
      </c>
      <c r="BI251" s="211">
        <f>IF(ISNUMBER(BI250),ROUND(BI249-BI250,1),"n/p")</f>
        <v>0</v>
      </c>
      <c r="BJ251" s="211">
        <f>IF(ISNUMBER(BJ250),ROUND(BJ249-BJ250,1),"n/p")</f>
        <v>0</v>
      </c>
      <c r="BK251" s="211">
        <f>IF(ISNUMBER(BK250),ROUND(BK249-BK250,1),"n/p")</f>
        <v>0</v>
      </c>
      <c r="BL251" s="211">
        <f>IF(ISNUMBER(BL250),ROUND(BL249-BL250,1),"n/p")</f>
        <v>0</v>
      </c>
      <c r="BM251" s="211">
        <f>IF(ISNUMBER(BM250),ROUND(BM249-BM250,1),"n/p")</f>
        <v>0</v>
      </c>
      <c r="BN251" s="211">
        <f>IF(ISNUMBER(BN250),ROUND(BN249-BN250,1),"n/p")</f>
        <v>0</v>
      </c>
      <c r="BO251" s="211">
        <f>IF(ISNUMBER(BO250),ROUND(BO249-BO250,1),"n/p")</f>
        <v>0</v>
      </c>
      <c r="BP251" s="211">
        <f>IF(ISNUMBER(BP250),ROUND(BP249-BP250,1),"n/p")</f>
        <v>0</v>
      </c>
      <c r="BQ251" s="211">
        <f>IF(ISNUMBER(BQ250),ROUND(BQ249-BQ250,1),"n/p")</f>
        <v>0</v>
      </c>
      <c r="BR251" s="211">
        <f>IF(ISNUMBER(BR250),ROUND(BR249-BR250,1),"n/p")</f>
        <v>0</v>
      </c>
      <c r="BS251" s="211">
        <f>IF(ISNUMBER(BS250),ROUND(BS249-BS250,1),"n/p")</f>
        <v>0</v>
      </c>
      <c r="BT251" s="211">
        <f>IF(ISNUMBER(BT250),ROUND(BT249-BT250,1),"n/p")</f>
        <v>0</v>
      </c>
      <c r="BU251" s="211">
        <f>IF(ISNUMBER(BU250),ROUND(BU249-BU250,1),"n/p")</f>
        <v>0</v>
      </c>
      <c r="BV251" s="153" t="n"/>
      <c r="BW251" s="153" t="n"/>
      <c r="BX251" s="153" t="n"/>
      <c r="BY251" s="153" t="n"/>
      <c r="BZ251" s="153" t="n"/>
      <c r="CA251" s="153" t="n"/>
      <c r="CB251" s="153" t="n"/>
      <c r="CC251" s="153" t="n"/>
      <c r="CD251" s="153" t="n"/>
    </row>
    <row r="252" ht="15" customHeight="1" s="251">
      <c r="B252" s="158" t="inlineStr">
        <is>
          <t xml:space="preserve">  Definition / basis (free cash flow)</t>
        </is>
      </c>
      <c r="H252" s="278" t="inlineStr">
        <is>
          <t>From Q2-2013: FCF = CFO − purchases of P&amp;E − P&amp;E acquired under capital leases</t>
        </is>
      </c>
      <c r="Q252" s="278" t="inlineStr">
        <is>
          <t>2015–2018: FCF = CFO − purchases of property and equipment</t>
        </is>
      </c>
      <c r="AK252" s="278" t="inlineStr">
        <is>
          <t>From Q1-2019: FCF = CFO − purchases of P&amp;E − principal payments on finance leases</t>
        </is>
      </c>
      <c r="AZ252" s="278" t="inlineStr">
        <is>
          <t>2022–23: purchases of P&amp;E net of proceeds relating to P&amp;E</t>
        </is>
      </c>
      <c r="BV252" s="153" t="n"/>
      <c r="BW252" s="153" t="n"/>
      <c r="BX252" s="153" t="n"/>
      <c r="BY252" s="153" t="n"/>
      <c r="BZ252" s="153" t="n"/>
      <c r="CA252" s="153" t="n"/>
      <c r="CB252" s="153" t="n"/>
      <c r="CC252" s="153" t="n"/>
      <c r="CD252" s="19" t="n"/>
    </row>
    <row r="253" ht="15" customHeight="1" s="251">
      <c r="B253" s="22" t="inlineStr">
        <is>
          <t xml:space="preserve">  FCF y/y %</t>
        </is>
      </c>
      <c r="C253" s="23" t="n"/>
      <c r="D253" s="255">
        <f>IF(AND(ISNUMBER(D249),ISNUMBER(C249)),IFERROR(D249/C249-1,""),"")</f>
        <v>2.31967213114754</v>
      </c>
      <c r="E253" s="255">
        <f>IF(AND(ISNUMBER(E249),ISNUMBER(D249)),IFERROR(E249/D249-1,""),"")</f>
        <v>1.3283950617284</v>
      </c>
      <c r="F253" s="255">
        <f>IF(AND(ISNUMBER(F249),ISNUMBER(E249)),IFERROR(F249/E249-1,""),"")</f>
        <v>-0.600212089077413</v>
      </c>
      <c r="G253" s="23" t="n"/>
      <c r="H253" s="23" t="n"/>
      <c r="I253" s="23" t="n"/>
      <c r="J253" s="23" t="n"/>
      <c r="K253" s="255">
        <f>IF(AND(ISNUMBER(K249),ISNUMBER(F249)),IFERROR(K249/F249-1,""),"")</f>
        <v>6.55702917771883</v>
      </c>
      <c r="L253" s="255">
        <f>IF(AND(ISNUMBER(L249),ISNUMBER(G249)),IFERROR(L249/G249-1,""),"")</f>
        <v>1.35204081632653</v>
      </c>
      <c r="M253" s="255">
        <f>IF(AND(ISNUMBER(M249),ISNUMBER(H249)),IFERROR(M249/H249-1,""),"")</f>
        <v>-0.172675521821632</v>
      </c>
      <c r="N253" s="255">
        <f>IF(AND(ISNUMBER(N249),ISNUMBER(I249)),IFERROR(N249/I249-1,""),"")</f>
        <v>0.15015015015015</v>
      </c>
      <c r="O253" s="255">
        <f>IF(AND(ISNUMBER(O249),ISNUMBER(J249)),IFERROR(O249/J249-1,""),"")</f>
        <v>0.425133689839572</v>
      </c>
      <c r="P253" s="255">
        <f>IF(AND(ISNUMBER(P249),ISNUMBER(K249)),IFERROR(P249/K249-1,""),"")</f>
        <v>0.272727272727273</v>
      </c>
      <c r="Q253" s="255">
        <f>IF(AND(ISNUMBER(Q249),ISNUMBER(L249)),IFERROR(Q249/L249-1,""),"")</f>
        <v>0.299349240780911</v>
      </c>
      <c r="R253" s="255">
        <f>IF(AND(ISNUMBER(R249),ISNUMBER(M249)),IFERROR(R249/M249-1,""),"")</f>
        <v>0.526376146788991</v>
      </c>
      <c r="S253" s="255">
        <f>IF(AND(ISNUMBER(S249),ISNUMBER(N249)),IFERROR(S249/N249-1,""),"")</f>
        <v>0.843342036553525</v>
      </c>
      <c r="T253" s="255">
        <f>IF(AND(ISNUMBER(T249),ISNUMBER(O249)),IFERROR(T249/O249-1,""),"")</f>
        <v>1.00281425891182</v>
      </c>
      <c r="U253" s="255">
        <f>IF(AND(ISNUMBER(U249),ISNUMBER(P249)),IFERROR(U249/P249-1,""),"")</f>
        <v>0.675675675675676</v>
      </c>
      <c r="V253" s="255">
        <f>IF(AND(ISNUMBER(V249),ISNUMBER(Q249)),IFERROR(V249/Q249-1,""),"")</f>
        <v>0.545075125208681</v>
      </c>
      <c r="W253" s="255">
        <f>IF(AND(ISNUMBER(W249),ISNUMBER(R249)),IFERROR(W249/R249-1,""),"")</f>
        <v>0.655146506386176</v>
      </c>
      <c r="X253" s="255">
        <f>IF(AND(ISNUMBER(X249),ISNUMBER(S249)),IFERROR(X249/S249-1,""),"")</f>
        <v>0.757790368271955</v>
      </c>
      <c r="Y253" s="255">
        <f>IF(AND(ISNUMBER(Y249),ISNUMBER(T249)),IFERROR(Y249/T249-1,""),"")</f>
        <v>0.714754098360656</v>
      </c>
      <c r="Z253" s="255">
        <f>IF(AND(ISNUMBER(Z249),ISNUMBER(U249)),IFERROR(Z249/U249-1,""),"")</f>
        <v>0.911948650427913</v>
      </c>
      <c r="AA253" s="255">
        <f>IF(AND(ISNUMBER(AA249),ISNUMBER(V249)),IFERROR(AA249/V249-1,""),"")</f>
        <v>1.04592112371691</v>
      </c>
      <c r="AB253" s="255">
        <f>IF(AND(ISNUMBER(AB249),ISNUMBER(W249)),IFERROR(AB249/W249-1,""),"")</f>
        <v>0.777576032682706</v>
      </c>
      <c r="AC253" s="255">
        <f>IF(AND(ISNUMBER(AC249),ISNUMBER(X249)),IFERROR(AC249/X249-1,""),"")</f>
        <v>0.761885576148268</v>
      </c>
      <c r="AD253" s="255">
        <f>IF(AND(ISNUMBER(AD249),ISNUMBER(Y249)),IFERROR(AD249/Y249-1,""),"")</f>
        <v>0.477192024037148</v>
      </c>
      <c r="AE253" s="255">
        <f>IF(AND(ISNUMBER(AE249),ISNUMBER(Z249)),IFERROR(AE249/Z249-1,""),"")</f>
        <v>0.504949642764913</v>
      </c>
      <c r="AF253" s="255">
        <f>IF(AND(ISNUMBER(AF249),ISNUMBER(AA249)),IFERROR(AF249/AA249-1,""),"")</f>
        <v>0.332981251650383</v>
      </c>
      <c r="AG253" s="255">
        <f>IF(AND(ISNUMBER(AG249),ISNUMBER(AB249)),IFERROR(AG249/AB249-1,""),"")</f>
        <v>-0.274770173646578</v>
      </c>
      <c r="AH253" s="255">
        <f>IF(AND(ISNUMBER(AH249),ISNUMBER(AC249)),IFERROR(AH249/AC249-1,""),"")</f>
        <v>-0.0503087125543106</v>
      </c>
      <c r="AI253" s="255">
        <f>IF(AND(ISNUMBER(AI249),ISNUMBER(AD249)),IFERROR(AI249/AD249-1,""),"")</f>
        <v>-0.38646449704142</v>
      </c>
      <c r="AJ253" s="255">
        <f>IF(AND(ISNUMBER(AJ249),ISNUMBER(AE249)),IFERROR(AJ249/AE249-1,""),"")</f>
        <v>-0.121489446891266</v>
      </c>
      <c r="AK253" s="255">
        <f>IF(AND(ISNUMBER(AK249),ISNUMBER(AF249)),IFERROR(AK249/AF249-1,""),"")</f>
        <v>0.0590332805071316</v>
      </c>
      <c r="AL253" s="255">
        <f>IF(AND(ISNUMBER(AL249),ISNUMBER(AG249)),IFERROR(AL249/AG249-1,""),"")</f>
        <v>0.704225352112676</v>
      </c>
      <c r="AM253" s="255">
        <f>IF(AND(ISNUMBER(AM249),ISNUMBER(AH249)),IFERROR(AM249/AH249-1,""),"")</f>
        <v>0.35588731037804</v>
      </c>
      <c r="AN253" s="255">
        <f>IF(AND(ISNUMBER(AN249),ISNUMBER(AI249)),IFERROR(AN249/AI249-1,""),"")</f>
        <v>0.459312839059675</v>
      </c>
      <c r="AO253" s="255">
        <f>IF(AND(ISNUMBER(AO249),ISNUMBER(AJ249)),IFERROR(AO249/AJ249-1,""),"")</f>
        <v>0.345139657529787</v>
      </c>
      <c r="AP253" s="255">
        <f>IF(AND(ISNUMBER(AP249),ISNUMBER(AK249)),IFERROR(AP249/AK249-1,""),"")</f>
        <v>0.373550317994762</v>
      </c>
      <c r="AQ253" s="255">
        <f>IF(AND(ISNUMBER(AQ249),ISNUMBER(AL249)),IFERROR(AQ249/AL249-1,""),"")</f>
        <v>-0.893801652892562</v>
      </c>
      <c r="AR253" s="255">
        <f>IF(AND(ISNUMBER(AR249),ISNUMBER(AM249)),IFERROR(AR249/AM249-1,""),"")</f>
        <v>0.0566506837151484</v>
      </c>
      <c r="AS253" s="255">
        <f>IF(AND(ISNUMBER(AS249),ISNUMBER(AN249)),IFERROR(AS249/AN249-1,""),"")</f>
        <v>0.90458488228005</v>
      </c>
      <c r="AT253" s="255">
        <f>IF(AND(ISNUMBER(AT249),ISNUMBER(AO249)),IFERROR(AT249/AO249-1,""),"")</f>
        <v>0.114617618586641</v>
      </c>
      <c r="AU253" s="255">
        <f>IF(AND(ISNUMBER(AU249),ISNUMBER(AP249)),IFERROR(AU249/AP249-1,""),"")</f>
        <v>0.0648236415633938</v>
      </c>
      <c r="AV253" s="255">
        <f>IF(AND(ISNUMBER(AV249),ISNUMBER(AQ249)),IFERROR(AV249/AQ249-1,""),"")</f>
        <v>15.5583657587549</v>
      </c>
      <c r="AW253" s="255">
        <f>IF(AND(ISNUMBER(AW249),ISNUMBER(AR249)),IFERROR(AW249/AR249-1,""),"")</f>
        <v>0.60453781512605</v>
      </c>
      <c r="AX253" s="255">
        <f>IF(AND(ISNUMBER(AX249),ISNUMBER(AS249)),IFERROR(AX249/AS249-1,""),"")</f>
        <v>0.362177401865105</v>
      </c>
      <c r="AY253" s="255">
        <f>IF(AND(ISNUMBER(AY249),ISNUMBER(AT249)),IFERROR(AY249/AT249-1,""),"")</f>
        <v>0.669228764981761</v>
      </c>
      <c r="AZ253" s="255">
        <f>IF(AND(ISNUMBER(AZ249),ISNUMBER(AU249)),IFERROR(AZ249/AU249-1,""),"")</f>
        <v>0.090676557104489</v>
      </c>
      <c r="BA253" s="255">
        <f>IF(AND(ISNUMBER(BA249),ISNUMBER(AV249)),IFERROR(BA249/AV249-1,""),"")</f>
        <v>-0.477147221243097</v>
      </c>
      <c r="BB253" s="255">
        <f>IF(AND(ISNUMBER(BB249),ISNUMBER(AW249)),IFERROR(BB249/AW249-1,""),"")</f>
        <v>-0.981879124332251</v>
      </c>
      <c r="BC253" s="255">
        <f>IF(AND(ISNUMBER(BC249),ISNUMBER(AX249)),IFERROR(BC249/AX249-1,""),"")</f>
        <v>-0.579047922305365</v>
      </c>
      <c r="BD253" s="255">
        <f>IF(AND(ISNUMBER(BD249),ISNUMBER(AY249)),IFERROR(BD249/AY249-1,""),"")</f>
        <v>-0.520304898670621</v>
      </c>
      <c r="BE253" s="255">
        <f>IF(AND(ISNUMBER(BE249),ISNUMBER(AZ249)),IFERROR(BE249/AZ249-1,""),"")</f>
        <v>-0.189610694183865</v>
      </c>
      <c r="BF253" s="255">
        <f>IF(AND(ISNUMBER(BF249),ISNUMBER(BA249)),IFERROR(BF249/BA249-1,""),"")</f>
        <v>1.46179775280899</v>
      </c>
      <c r="BG253" s="255">
        <f>IF(AND(ISNUMBER(BG249),ISNUMBER(BB249)),IFERROR(BG249/BB249-1,""),"")</f>
        <v>77.8381502890173</v>
      </c>
      <c r="BH253" s="255">
        <f>IF(AND(ISNUMBER(BH249),ISNUMBER(BC249)),IFERROR(BH249/BC249-1,""),"")</f>
        <v>1.17568078668684</v>
      </c>
      <c r="BI253" s="255">
        <f>IF(AND(ISNUMBER(BI249),ISNUMBER(BD249)),IFERROR(BI249/BD249-1,""),"")</f>
        <v>1.33255599544444</v>
      </c>
      <c r="BJ253" s="255">
        <f>IF(AND(ISNUMBER(BJ249),ISNUMBER(BE249)),IFERROR(BJ249/BE249-1,""),"")</f>
        <v>0.813196353639126</v>
      </c>
      <c r="BK253" s="255">
        <f>IF(AND(ISNUMBER(BK249),ISNUMBER(BF249)),IFERROR(BK249/BF249-1,""),"")</f>
        <v>-0.00520310360565957</v>
      </c>
      <c r="BL253" s="255">
        <f>IF(AND(ISNUMBER(BL249),ISNUMBER(BG249)),IFERROR(BL249/BG249-1,""),"")</f>
        <v>0.138059975071486</v>
      </c>
      <c r="BM253" s="255">
        <f>IF(AND(ISNUMBER(BM249),ISNUMBER(BH249)),IFERROR(BM249/BH249-1,""),"")</f>
        <v>0.143155149934811</v>
      </c>
      <c r="BN253" s="255">
        <f>IF(AND(ISNUMBER(BN249),ISNUMBER(BI249)),IFERROR(BN249/BI249-1,""),"")</f>
        <v>0.211415949779121</v>
      </c>
      <c r="BO253" s="255">
        <f>IF(AND(ISNUMBER(BO249),ISNUMBER(BJ249)),IFERROR(BO249/BJ249-1,""),"")</f>
        <v>-0.17532519352007</v>
      </c>
      <c r="BP253" s="255">
        <f>IF(AND(ISNUMBER(BP249),ISNUMBER(BK249)),IFERROR(BP249/BK249-1,""),"")</f>
        <v>-0.215544136538814</v>
      </c>
      <c r="BQ253" s="255">
        <f>IF(AND(ISNUMBER(BQ249),ISNUMBER(BL249)),IFERROR(BQ249/BL249-1,""),"")</f>
        <v>-0.31548769488468</v>
      </c>
      <c r="BR253" s="255">
        <f>IF(AND(ISNUMBER(BR249),ISNUMBER(BM249)),IFERROR(BR249/BM249-1,""),"")</f>
        <v>0.0703315085158152</v>
      </c>
      <c r="BS253" s="255">
        <f>IF(AND(ISNUMBER(BS249),ISNUMBER(BN249)),IFERROR(BS249/BN249-1,""),"")</f>
        <v>-0.163483868491258</v>
      </c>
      <c r="BT253" s="255">
        <f>IF(AND(ISNUMBER(BT249),ISNUMBER(BO249)),IFERROR(BT249/BO249-1,""),"")</f>
        <v>0.198567834333269</v>
      </c>
      <c r="BU253" s="255">
        <f>IF(AND(ISNUMBER(BU249),ISNUMBER(BP249)),IFERROR(BU249/BP249-1,""),"")</f>
        <v>-0.908293367645339</v>
      </c>
      <c r="BV253" s="24" t="n"/>
      <c r="BW253" s="24" t="n"/>
      <c r="BX253" s="256">
        <f>IF(AND(ISNUMBER(BX249),ISNUMBER(BS249)),IFERROR(BX249/BS249-1,""),"")</f>
        <v>-1.18948584547034</v>
      </c>
      <c r="BY253" s="256">
        <f>IF(AND(ISNUMBER(BY249),ISNUMBER(BX249)),IFERROR(BY249/BX249-1,""),"")</f>
        <v>-3.51311851679311</v>
      </c>
      <c r="BZ253" s="256">
        <f>IF(AND(ISNUMBER(BZ249),ISNUMBER(BY249)),IFERROR(BZ249/BY249-1,""),"")</f>
        <v>1.5654167019795</v>
      </c>
      <c r="CA253" s="256">
        <f>IF(AND(ISNUMBER(CA249),ISNUMBER(BZ249)),IFERROR(CA249/BZ249-1,""),"")</f>
        <v>0.737747659219188</v>
      </c>
      <c r="CB253" s="256">
        <f>IF(AND(ISNUMBER(CB249),ISNUMBER(CA249)),IFERROR(CB249/CA249-1,""),"")</f>
        <v>0.363326217613772</v>
      </c>
      <c r="CC253" s="256">
        <f>IF(AND(ISNUMBER(CC249),ISNUMBER(CB249)),IFERROR(CC249/CB249-1,""),"")</f>
        <v>0.240554491418924</v>
      </c>
      <c r="CD253" s="153" t="n"/>
    </row>
    <row r="254" ht="15" customHeight="1" s="251">
      <c r="B254" s="25" t="inlineStr">
        <is>
          <t xml:space="preserve">  FCF % of revenue</t>
        </is>
      </c>
      <c r="C254" s="215">
        <f>IF(AND(ISNUMBER(C249),ISNUMBER(C109)),IFERROR(C249/C109,""),"")</f>
        <v>0.157014157014157</v>
      </c>
      <c r="D254" s="215">
        <f>IF(AND(ISNUMBER(D249),ISNUMBER(D109)),IFERROR(D249/D109,""),"")</f>
        <v>0.20516717325228</v>
      </c>
      <c r="E254" s="215">
        <f>IF(AND(ISNUMBER(E249),ISNUMBER(E109)),IFERROR(E249/E109,""),"")</f>
        <v>0.254109404473188</v>
      </c>
      <c r="F254" s="215">
        <f>IF(AND(ISNUMBER(F249),ISNUMBER(F109)),IFERROR(F249/F109,""),"")</f>
        <v>0.0740813519355473</v>
      </c>
      <c r="G254" s="215">
        <f>IF(AND(ISNUMBER(G249),ISNUMBER(G109)),IFERROR(G249/G109,""),"")</f>
        <v>0.268861454046639</v>
      </c>
      <c r="H254" s="215">
        <f>IF(AND(ISNUMBER(H249),ISNUMBER(H109)),IFERROR(H249/H109,""),"")</f>
        <v>0.581356867071153</v>
      </c>
      <c r="I254" s="215">
        <f>IF(AND(ISNUMBER(I249),ISNUMBER(I109)),IFERROR(I249/I109,""),"")</f>
        <v>0.330357142857143</v>
      </c>
      <c r="J254" s="215">
        <f>IF(AND(ISNUMBER(J249),ISNUMBER(J109)),IFERROR(J249/J109,""),"")</f>
        <v>0.28936170212766</v>
      </c>
      <c r="K254" s="215">
        <f>IF(AND(ISNUMBER(K249),ISNUMBER(K109)),IFERROR(K249/K109,""),"")</f>
        <v>0.361915650406504</v>
      </c>
      <c r="L254" s="215">
        <f>IF(AND(ISNUMBER(L249),ISNUMBER(L109)),IFERROR(L249/L109,""),"")</f>
        <v>0.368505195843325</v>
      </c>
      <c r="M254" s="215">
        <f>IF(AND(ISNUMBER(M249),ISNUMBER(M109)),IFERROR(M249/M109,""),"")</f>
        <v>0.299656357388316</v>
      </c>
      <c r="N254" s="215">
        <f>IF(AND(ISNUMBER(N249),ISNUMBER(N109)),IFERROR(N249/N109,""),"")</f>
        <v>0.239150796128629</v>
      </c>
      <c r="O254" s="215">
        <f>IF(AND(ISNUMBER(O249),ISNUMBER(O109)),IFERROR(O249/O109,""),"")</f>
        <v>0.276811217865489</v>
      </c>
      <c r="P254" s="215">
        <f>IF(AND(ISNUMBER(P249),ISNUMBER(P109)),IFERROR(P249/P109,""),"")</f>
        <v>0.290871169581261</v>
      </c>
      <c r="Q254" s="215">
        <f>IF(AND(ISNUMBER(Q249),ISNUMBER(Q109)),IFERROR(Q249/Q109,""),"")</f>
        <v>0.338131526954558</v>
      </c>
      <c r="R254" s="215">
        <f>IF(AND(ISNUMBER(R249),ISNUMBER(R109)),IFERROR(R249/R109,""),"")</f>
        <v>0.329292429490351</v>
      </c>
      <c r="S254" s="215">
        <f>IF(AND(ISNUMBER(S249),ISNUMBER(S109)),IFERROR(S249/S109,""),"")</f>
        <v>0.313708064874472</v>
      </c>
      <c r="T254" s="215">
        <f>IF(AND(ISNUMBER(T249),ISNUMBER(T109)),IFERROR(T249/T109,""),"")</f>
        <v>0.365519602807738</v>
      </c>
      <c r="U254" s="215">
        <f>IF(AND(ISNUMBER(U249),ISNUMBER(U109)),IFERROR(U249/U109,""),"")</f>
        <v>0.338911200356983</v>
      </c>
      <c r="V254" s="215">
        <f>IF(AND(ISNUMBER(V249),ISNUMBER(V109)),IFERROR(V249/V109,""),"")</f>
        <v>0.343924191750279</v>
      </c>
      <c r="W254" s="215">
        <f>IF(AND(ISNUMBER(W249),ISNUMBER(W109)),IFERROR(W249/W109,""),"")</f>
        <v>0.342293349906774</v>
      </c>
      <c r="X254" s="215">
        <f>IF(AND(ISNUMBER(X249),ISNUMBER(X109)),IFERROR(X249/X109,""),"")</f>
        <v>0.354015119098559</v>
      </c>
      <c r="Y254" s="215">
        <f>IF(AND(ISNUMBER(Y249),ISNUMBER(Y109)),IFERROR(Y249/Y109,""),"")</f>
        <v>0.415597684186627</v>
      </c>
      <c r="Z254" s="215">
        <f>IF(AND(ISNUMBER(Z249),ISNUMBER(Z109)),IFERROR(Z249/Z109,""),"")</f>
        <v>0.42032708589623</v>
      </c>
      <c r="AA254" s="215">
        <f>IF(AND(ISNUMBER(AA249),ISNUMBER(AA109)),IFERROR(AA249/AA109,""),"")</f>
        <v>0.471489043824701</v>
      </c>
      <c r="AB254" s="215">
        <f>IF(AND(ISNUMBER(AB249),ISNUMBER(AB109)),IFERROR(AB249/AB109,""),"")</f>
        <v>0.420126595858813</v>
      </c>
      <c r="AC254" s="215">
        <f>IF(AND(ISNUMBER(AC249),ISNUMBER(AC109)),IFERROR(AC249/AC109,""),"")</f>
        <v>0.423412083656081</v>
      </c>
      <c r="AD254" s="215">
        <f>IF(AND(ISNUMBER(AD249),ISNUMBER(AD109)),IFERROR(AD249/AD109,""),"")</f>
        <v>0.416897934011718</v>
      </c>
      <c r="AE254" s="215">
        <f>IF(AND(ISNUMBER(AE249),ISNUMBER(AE109)),IFERROR(AE249/AE109,""),"")</f>
        <v>0.43005436253167</v>
      </c>
      <c r="AF254" s="215">
        <f>IF(AND(ISNUMBER(AF249),ISNUMBER(AF109)),IFERROR(AF249/AF109,""),"")</f>
        <v>0.42186194216948</v>
      </c>
      <c r="AG254" s="215">
        <f>IF(AND(ISNUMBER(AG249),ISNUMBER(AG109)),IFERROR(AG249/AG109,""),"")</f>
        <v>0.214647418940367</v>
      </c>
      <c r="AH254" s="215">
        <f>IF(AND(ISNUMBER(AH249),ISNUMBER(AH109)),IFERROR(AH249/AH109,""),"")</f>
        <v>0.302542434617906</v>
      </c>
      <c r="AI254" s="215">
        <f>IF(AND(ISNUMBER(AI249),ISNUMBER(AI109)),IFERROR(AI249/AI109,""),"")</f>
        <v>0.196168854203618</v>
      </c>
      <c r="AJ254" s="215">
        <f>IF(AND(ISNUMBER(AJ249),ISNUMBER(AJ109)),IFERROR(AJ249/AJ109,""),"")</f>
        <v>0.275063576775673</v>
      </c>
      <c r="AK254" s="215">
        <f>IF(AND(ISNUMBER(AK249),ISNUMBER(AK109)),IFERROR(AK249/AK109,""),"")</f>
        <v>0.354579823572329</v>
      </c>
      <c r="AL254" s="215">
        <f>IF(AND(ISNUMBER(AL249),ISNUMBER(AL109)),IFERROR(AL249/AL109,""),"")</f>
        <v>0.286627975837972</v>
      </c>
      <c r="AM254" s="215">
        <f>IF(AND(ISNUMBER(AM249),ISNUMBER(AM109)),IFERROR(AM249/AM109,""),"")</f>
        <v>0.319000679809653</v>
      </c>
      <c r="AN254" s="215">
        <f>IF(AND(ISNUMBER(AN249),ISNUMBER(AN109)),IFERROR(AN249/AN109,""),"")</f>
        <v>0.229674603927521</v>
      </c>
      <c r="AO254" s="215">
        <f>IF(AND(ISNUMBER(AO249),ISNUMBER(AO109)),IFERROR(AO249/AO109,""),"")</f>
        <v>0.292233050907394</v>
      </c>
      <c r="AP254" s="215">
        <f>IF(AND(ISNUMBER(AP249),ISNUMBER(AP109)),IFERROR(AP249/AP109,""),"")</f>
        <v>0.413993347240232</v>
      </c>
      <c r="AQ254" s="215">
        <f>IF(AND(ISNUMBER(AQ249),ISNUMBER(AQ109)),IFERROR(AQ249/AQ109,""),"")</f>
        <v>0.0275057526622786</v>
      </c>
      <c r="AR254" s="215">
        <f>IF(AND(ISNUMBER(AR249),ISNUMBER(AR109)),IFERROR(AR249/AR109,""),"")</f>
        <v>0.27713088029809</v>
      </c>
      <c r="AS254" s="215">
        <f>IF(AND(ISNUMBER(AS249),ISNUMBER(AS109)),IFERROR(AS249/AS109,""),"")</f>
        <v>0.328512396694215</v>
      </c>
      <c r="AT254" s="215">
        <f>IF(AND(ISNUMBER(AT249),ISNUMBER(AT109)),IFERROR(AT249/AT109,""),"")</f>
        <v>0.26787646135055</v>
      </c>
      <c r="AU254" s="215">
        <f>IF(AND(ISNUMBER(AU249),ISNUMBER(AU109)),IFERROR(AU249/AU109,""),"")</f>
        <v>0.29876580948378</v>
      </c>
      <c r="AV254" s="215">
        <f>IF(AND(ISNUMBER(AV249),ISNUMBER(AV109)),IFERROR(AV249/AV109,""),"")</f>
        <v>0.292705574852977</v>
      </c>
      <c r="AW254" s="215">
        <f>IF(AND(ISNUMBER(AW249),ISNUMBER(AW109)),IFERROR(AW249/AW109,""),"")</f>
        <v>0.329093416063426</v>
      </c>
      <c r="AX254" s="215">
        <f>IF(AND(ISNUMBER(AX249),ISNUMBER(AX109)),IFERROR(AX249/AX109,""),"")</f>
        <v>0.373080692584123</v>
      </c>
      <c r="AY254" s="215">
        <f>IF(AND(ISNUMBER(AY249),ISNUMBER(AY109)),IFERROR(AY249/AY109,""),"")</f>
        <v>0.32595035996235</v>
      </c>
      <c r="AZ254" s="215">
        <f>IF(AND(ISNUMBER(AZ249),ISNUMBER(AZ109)),IFERROR(AZ249/AZ109,""),"")</f>
        <v>0.305575462233051</v>
      </c>
      <c r="BA254" s="215">
        <f>IF(AND(ISNUMBER(BA249),ISNUMBER(BA109)),IFERROR(BA249/BA109,""),"")</f>
        <v>0.154395947540074</v>
      </c>
      <c r="BB254" s="215">
        <f>IF(AND(ISNUMBER(BB249),ISNUMBER(BB109)),IFERROR(BB249/BB109,""),"")</f>
        <v>0.00624233239517933</v>
      </c>
      <c r="BC254" s="215">
        <f>IF(AND(ISNUMBER(BC249),ISNUMBER(BC109)),IFERROR(BC249/BC109,""),"")</f>
        <v>0.164402300637339</v>
      </c>
      <c r="BD254" s="215">
        <f>IF(AND(ISNUMBER(BD249),ISNUMBER(BD109)),IFERROR(BD249/BD109,""),"")</f>
        <v>0.158126731212857</v>
      </c>
      <c r="BE254" s="215">
        <f>IF(AND(ISNUMBER(BE249),ISNUMBER(BE109)),IFERROR(BE249/BE109,""),"")</f>
        <v>0.241263745854425</v>
      </c>
      <c r="BF254" s="215">
        <f>IF(AND(ISNUMBER(BF249),ISNUMBER(BF109)),IFERROR(BF249/BF109,""),"")</f>
        <v>0.342354448576518</v>
      </c>
      <c r="BG254" s="215">
        <f>IF(AND(ISNUMBER(BG249),ISNUMBER(BG109)),IFERROR(BG249/BG109,""),"")</f>
        <v>0.399431851461372</v>
      </c>
      <c r="BH254" s="215">
        <f>IF(AND(ISNUMBER(BH249),ISNUMBER(BH109)),IFERROR(BH249/BH109,""),"")</f>
        <v>0.286829049387948</v>
      </c>
      <c r="BI254" s="215">
        <f>IF(AND(ISNUMBER(BI249),ISNUMBER(BI109)),IFERROR(BI249/BI109,""),"")</f>
        <v>0.318824035225571</v>
      </c>
      <c r="BJ254" s="215">
        <f>IF(AND(ISNUMBER(BJ249),ISNUMBER(BJ109)),IFERROR(BJ249/BJ109,""),"")</f>
        <v>0.343738856123988</v>
      </c>
      <c r="BK254" s="215">
        <f>IF(AND(ISNUMBER(BK249),ISNUMBER(BK109)),IFERROR(BK249/BK109,""),"")</f>
        <v>0.278928105244299</v>
      </c>
      <c r="BL254" s="215">
        <f>IF(AND(ISNUMBER(BL249),ISNUMBER(BL109)),IFERROR(BL249/BL109,""),"")</f>
        <v>0.382418881963093</v>
      </c>
      <c r="BM254" s="215">
        <f>IF(AND(ISNUMBER(BM249),ISNUMBER(BM109)),IFERROR(BM249/BM109,""),"")</f>
        <v>0.271819778857084</v>
      </c>
      <c r="BN254" s="215">
        <f>IF(AND(ISNUMBER(BN249),ISNUMBER(BN109)),IFERROR(BN249/BN109,""),"")</f>
        <v>0.316733636877587</v>
      </c>
      <c r="BO254" s="215">
        <f>IF(AND(ISNUMBER(BO249),ISNUMBER(BO109)),IFERROR(BO249/BO109,""),"")</f>
        <v>0.244221770572387</v>
      </c>
      <c r="BP254" s="215">
        <f>IF(AND(ISNUMBER(BP249),ISNUMBER(BP109)),IFERROR(BP249/BP109,""),"")</f>
        <v>0.17991834329489</v>
      </c>
      <c r="BQ254" s="215">
        <f>IF(AND(ISNUMBER(BQ249),ISNUMBER(BQ109)),IFERROR(BQ249/BQ109,""),"")</f>
        <v>0.207349439912572</v>
      </c>
      <c r="BR254" s="215">
        <f>IF(AND(ISNUMBER(BR249),ISNUMBER(BR109)),IFERROR(BR249/BR109,""),"")</f>
        <v>0.235035813868065</v>
      </c>
      <c r="BS254" s="215">
        <f>IF(AND(ISNUMBER(BS249),ISNUMBER(BS109)),IFERROR(BS249/BS109,""),"")</f>
        <v>0.216877481763084</v>
      </c>
      <c r="BT254" s="215">
        <f>IF(AND(ISNUMBER(BT249),ISNUMBER(BT109)),IFERROR(BT249/BT109,""),"")</f>
        <v>0.219957024382448</v>
      </c>
      <c r="BU254" s="215">
        <f>IF(AND(ISNUMBER(BU249),ISNUMBER(BU109)),IFERROR(BU249/BU109,""),"")</f>
        <v>0.0128945247611059</v>
      </c>
      <c r="BV254" s="24" t="n"/>
      <c r="BW254" s="24" t="n"/>
      <c r="BX254" s="256">
        <f>IF(AND(ISNUMBER(BX249),ISNUMBER(BX109)),IFERROR(BX249/BX109,""),"")</f>
        <v>-0.0326948817096676</v>
      </c>
      <c r="BY254" s="256">
        <f>IF(AND(ISNUMBER(BY249),ISNUMBER(BY109)),IFERROR(BY249/BY109,""),"")</f>
        <v>0.0689929447962869</v>
      </c>
      <c r="BZ254" s="256">
        <f>IF(AND(ISNUMBER(BZ249),ISNUMBER(BZ109)),IFERROR(BZ249/BZ109,""),"")</f>
        <v>0.15285472875212</v>
      </c>
      <c r="CA254" s="256">
        <f>IF(AND(ISNUMBER(CA249),ISNUMBER(CA109)),IFERROR(CA249/CA109,""),"")</f>
        <v>0.233733870553795</v>
      </c>
      <c r="CB254" s="256">
        <f>IF(AND(ISNUMBER(CB249),ISNUMBER(CB109)),IFERROR(CB249/CB109,""),"")</f>
        <v>0.285804991260218</v>
      </c>
      <c r="CC254" s="256">
        <f>IF(AND(ISNUMBER(CC249),ISNUMBER(CC109)),IFERROR(CC249/CC109,""),"")</f>
        <v>0.321244215294025</v>
      </c>
      <c r="CD254" s="153" t="n"/>
      <c r="CF254" s="37">
        <f>IFERROR(AVERAGE(BY254,BZ254,CA254,CB254,CC254),"n/m")</f>
        <v>0.212526150131289</v>
      </c>
      <c r="CG254" s="37">
        <f>IFERROR(AVERAGE(AY254,BD254,BI254,BN254,BS254),"n/m")</f>
        <v>0.26730244900829</v>
      </c>
      <c r="CH254" s="37">
        <f>IFERROR(AVERAGE(Z254,AE254,AJ254,AO254,AT254,AY254,BD254,BI254,BN254,BS254),"n/m")</f>
        <v>0.302206678250297</v>
      </c>
      <c r="CI254" s="37">
        <f>IFERROR(AVERAGE(C254,D254,E254,F254,K254,P254,U254,Z254,AE254,AJ254,AO254,AT254,AY254,BD254,BI254,BN254,BS254),"n/m")</f>
        <v>0.276713934677817</v>
      </c>
    </row>
    <row r="255" ht="15" customHeight="1" s="251">
      <c r="B255" s="25" t="inlineStr">
        <is>
          <t xml:space="preserve">  FCF / adjusted net income (current definition) %</t>
        </is>
      </c>
      <c r="C255" s="215">
        <f>IF(AND(ISNUMBER(C249),ISNUMBER(C192)),IFERROR(C249/C192,""),"")</f>
        <v>0.91044776119403</v>
      </c>
      <c r="D255" s="215">
        <f>IF(AND(ISNUMBER(D249),ISNUMBER(D192)),IFERROR(D249/D192,""),"")</f>
        <v>1.00746268656716</v>
      </c>
      <c r="E255" s="215">
        <f>IF(AND(ISNUMBER(E249),ISNUMBER(E192)),IFERROR(E249/E192,""),"")</f>
        <v>1.34907010014306</v>
      </c>
      <c r="F255" s="215">
        <f>IF(AND(ISNUMBER(F249),ISNUMBER(F192)),IFERROR(F249/F192,""),"")</f>
        <v>11.78125</v>
      </c>
      <c r="G255" s="215">
        <f>IF(AND(ISNUMBER(G249),ISNUMBER(G192)),IFERROR(G249/G192,""),"")</f>
        <v>1.80645161290323</v>
      </c>
      <c r="H255" s="215">
        <f>IF(AND(ISNUMBER(H249),ISNUMBER(H192)),IFERROR(H249/H192,""),"")</f>
        <v>3.18429003021148</v>
      </c>
      <c r="I255" s="215">
        <f>IF(AND(ISNUMBER(I249),ISNUMBER(I192)),IFERROR(I249/I192,""),"")</f>
        <v>1.5781990521327</v>
      </c>
      <c r="J255" s="215">
        <f>IF(AND(ISNUMBER(J249),ISNUMBER(J192)),IFERROR(J249/J192,""),"")</f>
        <v>1.43846153846154</v>
      </c>
      <c r="K255" s="215">
        <f>IF(AND(ISNUMBER(K249),ISNUMBER(K192)),IFERROR(K249/K192,""),"")</f>
        <v>1.91079812206573</v>
      </c>
      <c r="L255" s="215">
        <f>IF(AND(ISNUMBER(L249),ISNUMBER(L192)),IFERROR(L249/L192,""),"")</f>
        <v>1.44287949921753</v>
      </c>
      <c r="M255" s="215">
        <f>IF(AND(ISNUMBER(M249),ISNUMBER(M192)),IFERROR(M249/M192,""),"")</f>
        <v>1.10659898477157</v>
      </c>
      <c r="N255" s="215">
        <f>IF(AND(ISNUMBER(N249),ISNUMBER(N192)),IFERROR(N249/N192,""),"")</f>
        <v>0.955112219451372</v>
      </c>
      <c r="O255" s="215">
        <f>IF(AND(ISNUMBER(O249),ISNUMBER(O192)),IFERROR(O249/O192,""),"")</f>
        <v>1.5316091954023</v>
      </c>
      <c r="P255" s="215">
        <f>IF(AND(ISNUMBER(P249),ISNUMBER(P192)),IFERROR(P249/P192,""),"")</f>
        <v>1.23965811965812</v>
      </c>
      <c r="Q255" s="215">
        <f>IF(AND(ISNUMBER(Q249),ISNUMBER(Q192)),IFERROR(Q249/Q192,""),"")</f>
        <v>2.35363457760314</v>
      </c>
      <c r="R255" s="215">
        <f>IF(AND(ISNUMBER(R249),ISNUMBER(R192)),IFERROR(R249/R192,""),"")</f>
        <v>1.86153846153846</v>
      </c>
      <c r="S255" s="215">
        <f>IF(AND(ISNUMBER(S249),ISNUMBER(S192)),IFERROR(S249/S192,""),"")</f>
        <v>1.58473625140292</v>
      </c>
      <c r="T255" s="215">
        <f>IF(AND(ISNUMBER(T249),ISNUMBER(T192)),IFERROR(T249/T192,""),"")</f>
        <v>1.37299035369775</v>
      </c>
      <c r="U255" s="215">
        <f>IF(AND(ISNUMBER(U249),ISNUMBER(U192)),IFERROR(U249/U192,""),"")</f>
        <v>1.6560370673208</v>
      </c>
      <c r="V255" s="215">
        <f>IF(AND(ISNUMBER(V249),ISNUMBER(V192)),IFERROR(V249/V192,""),"")</f>
        <v>1.22990033222591</v>
      </c>
      <c r="W255" s="215">
        <f>IF(AND(ISNUMBER(W249),ISNUMBER(W192)),IFERROR(W249/W192,""),"")</f>
        <v>1.07568359375</v>
      </c>
      <c r="X255" s="215">
        <f>IF(AND(ISNUMBER(X249),ISNUMBER(X192)),IFERROR(X249/X192,""),"")</f>
        <v>1.04593341761483</v>
      </c>
      <c r="Y255" s="215">
        <f>IF(AND(ISNUMBER(Y249),ISNUMBER(Y192)),IFERROR(Y249/Y192,""),"")</f>
        <v>1.02808199943836</v>
      </c>
      <c r="Z255" s="215">
        <f>IF(AND(ISNUMBER(Z249),ISNUMBER(Z192)),IFERROR(Z249/Z192,""),"")</f>
        <v>1.14026305457401</v>
      </c>
      <c r="AA255" s="215">
        <f>IF(AND(ISNUMBER(AA249),ISNUMBER(AA192)),IFERROR(AA249/AA192,""),"")</f>
        <v>1.23798627002288</v>
      </c>
      <c r="AB255" s="215">
        <f>IF(AND(ISNUMBER(AB249),ISNUMBER(AB192)),IFERROR(AB249/AB192,""),"")</f>
        <v>1.00668380462725</v>
      </c>
      <c r="AC255" s="215">
        <f>IF(AND(ISNUMBER(AC249),ISNUMBER(AC192)),IFERROR(AC249/AC192,""),"")</f>
        <v>0.929634353741497</v>
      </c>
      <c r="AD255" s="215">
        <f>IF(AND(ISNUMBER(AD249),ISNUMBER(AD192)),IFERROR(AD249/AD192,""),"")</f>
        <v>0.827417380660955</v>
      </c>
      <c r="AE255" s="215">
        <f>IF(AND(ISNUMBER(AE249),ISNUMBER(AE192)),IFERROR(AE249/AE192,""),"")</f>
        <v>0.961132490379329</v>
      </c>
      <c r="AF255" s="215">
        <f>IF(AND(ISNUMBER(AF249),ISNUMBER(AF192)),IFERROR(AF249/AF192,""),"")</f>
        <v>1.01223180268699</v>
      </c>
      <c r="AG255" s="215">
        <f>IF(AND(ISNUMBER(AG249),ISNUMBER(AG192)),IFERROR(AG249/AG192,""),"")</f>
        <v>0.556208382295339</v>
      </c>
      <c r="AH255" s="215">
        <f>IF(AND(ISNUMBER(AH249),ISNUMBER(AH192)),IFERROR(AH249/AH192,""),"")</f>
        <v>0.808448510803971</v>
      </c>
      <c r="AI255" s="215">
        <f>IF(AND(ISNUMBER(AI249),ISNUMBER(AI192)),IFERROR(AI249/AI192,""),"")</f>
        <v>0.482127288578901</v>
      </c>
      <c r="AJ255" s="215">
        <f>IF(AND(ISNUMBER(AJ249),ISNUMBER(AJ192)),IFERROR(AJ249/AJ192,""),"")</f>
        <v>0.69463163131473</v>
      </c>
      <c r="AK255" s="215">
        <f>IF(AND(ISNUMBER(AK249),ISNUMBER(AK192)),IFERROR(AK249/AK192,""),"")</f>
        <v>0.984711733284214</v>
      </c>
      <c r="AL255" s="215">
        <f>IF(AND(ISNUMBER(AL249),ISNUMBER(AL192)),IFERROR(AL249/AL192,""),"")</f>
        <v>0.845267202235417</v>
      </c>
      <c r="AM255" s="215">
        <f>IF(AND(ISNUMBER(AM249),ISNUMBER(AM192)),IFERROR(AM249/AM192,""),"")</f>
        <v>0.924478739123297</v>
      </c>
      <c r="AN255" s="215">
        <f>IF(AND(ISNUMBER(AN249),ISNUMBER(AN192)),IFERROR(AN249/AN192,""),"")</f>
        <v>0.658865151721323</v>
      </c>
      <c r="AO255" s="215">
        <f>IF(AND(ISNUMBER(AO249),ISNUMBER(AO192)),IFERROR(AO249/AO192,""),"")</f>
        <v>0.840008131734092</v>
      </c>
      <c r="AP255" s="215">
        <f>IF(AND(ISNUMBER(AP249),ISNUMBER(AP192)),IFERROR(AP249/AP192,""),"")</f>
        <v>1.49796001631987</v>
      </c>
      <c r="AQ255" s="215">
        <f>IF(AND(ISNUMBER(AQ249),ISNUMBER(AQ192)),IFERROR(AQ249/AQ192,""),"")</f>
        <v>0.0992661259173426</v>
      </c>
      <c r="AR255" s="215">
        <f>IF(AND(ISNUMBER(AR249),ISNUMBER(AR192)),IFERROR(AR249/AR192,""),"")</f>
        <v>0.858214337227751</v>
      </c>
      <c r="AS255" s="215">
        <f>IF(AND(ISNUMBER(AS249),ISNUMBER(AS192)),IFERROR(AS249/AS192,""),"")</f>
        <v>0.821998395578929</v>
      </c>
      <c r="AT255" s="215">
        <f>IF(AND(ISNUMBER(AT249),ISNUMBER(AT192)),IFERROR(AT249/AT192,""),"")</f>
        <v>0.815641270853257</v>
      </c>
      <c r="AU255" s="215">
        <f>IF(AND(ISNUMBER(AU249),ISNUMBER(AU192)),IFERROR(AU249/AU192,""),"")</f>
        <v>0.823312625039486</v>
      </c>
      <c r="AV255" s="215">
        <f>IF(AND(ISNUMBER(AV249),ISNUMBER(AV192)),IFERROR(AV249/AV192,""),"")</f>
        <v>0.818837791033289</v>
      </c>
      <c r="AW255" s="215">
        <f>IF(AND(ISNUMBER(AW249),ISNUMBER(AW192)),IFERROR(AW249/AW192,""),"")</f>
        <v>1.03839460517729</v>
      </c>
      <c r="AX255" s="215">
        <f>IF(AND(ISNUMBER(AX249),ISNUMBER(AX192)),IFERROR(AX249/AX192,""),"")</f>
        <v>1.22139037433155</v>
      </c>
      <c r="AY255" s="215">
        <f>IF(AND(ISNUMBER(AY249),ISNUMBER(AY192)),IFERROR(AY249/AY192,""),"")</f>
        <v>0.976352552705106</v>
      </c>
      <c r="AZ255" s="215">
        <f>IF(AND(ISNUMBER(AZ249),ISNUMBER(AZ192)),IFERROR(AZ249/AZ192,""),"")</f>
        <v>1.14239785666443</v>
      </c>
      <c r="BA255" s="215">
        <f>IF(AND(ISNUMBER(BA249),ISNUMBER(BA192)),IFERROR(BA249/BA192,""),"")</f>
        <v>0.66547031553761</v>
      </c>
      <c r="BB255" s="215">
        <f>IF(AND(ISNUMBER(BB249),ISNUMBER(BB192)),IFERROR(BB249/BB192,""),"")</f>
        <v>0.0366484554257701</v>
      </c>
      <c r="BC255" s="215">
        <f>IF(AND(ISNUMBER(BC249),ISNUMBER(BC192)),IFERROR(BC249/BC192,""),"")</f>
        <v>0.667676767676768</v>
      </c>
      <c r="BD255" s="215">
        <f>IF(AND(ISNUMBER(BD249),ISNUMBER(BD192)),IFERROR(BD249/BD192,""),"")</f>
        <v>0.685159856674265</v>
      </c>
      <c r="BE255" s="215">
        <f>IF(AND(ISNUMBER(BE249),ISNUMBER(BE192)),IFERROR(BE249/BE192,""),"")</f>
        <v>1.0466750108541</v>
      </c>
      <c r="BF255" s="215">
        <f>IF(AND(ISNUMBER(BF249),ISNUMBER(BF192)),IFERROR(BF249/BF192,""),"")</f>
        <v>1.09453321140509</v>
      </c>
      <c r="BG255" s="215">
        <f>IF(AND(ISNUMBER(BG249),ISNUMBER(BG192)),IFERROR(BG249/BG192,""),"")</f>
        <v>1.14642855429892</v>
      </c>
      <c r="BH255" s="215">
        <f>IF(AND(ISNUMBER(BH249),ISNUMBER(BH192)),IFERROR(BH249/BH192,""),"")</f>
        <v>0.768227097442962</v>
      </c>
      <c r="BI255" s="215">
        <f>IF(AND(ISNUMBER(BI249),ISNUMBER(BI192)),IFERROR(BI249/BI192,""),"")</f>
        <v>0.989032998173104</v>
      </c>
      <c r="BJ255" s="215">
        <f>IF(AND(ISNUMBER(BJ249),ISNUMBER(BJ192)),IFERROR(BJ249/BJ192,""),"")</f>
        <v>1.01309725927723</v>
      </c>
      <c r="BK255" s="215">
        <f>IF(AND(ISNUMBER(BK249),ISNUMBER(BK192)),IFERROR(BK249/BK192,""),"")</f>
        <v>0.809357593761604</v>
      </c>
      <c r="BL255" s="215">
        <f>IF(AND(ISNUMBER(BL249),ISNUMBER(BL192)),IFERROR(BL249/BL192,""),"")</f>
        <v>0.989418663946966</v>
      </c>
      <c r="BM255" s="215">
        <f>IF(AND(ISNUMBER(BM249),ISNUMBER(BM192)),IFERROR(BM249/BM192,""),"")</f>
        <v>0.673753233779872</v>
      </c>
      <c r="BN255" s="215">
        <f>IF(AND(ISNUMBER(BN249),ISNUMBER(BN192)),IFERROR(BN249/BN192,""),"")</f>
        <v>0.853552852520785</v>
      </c>
      <c r="BO255" s="215">
        <f>IF(AND(ISNUMBER(BO249),ISNUMBER(BO192)),IFERROR(BO249/BO192,""),"")</f>
        <v>0.620884402787791</v>
      </c>
      <c r="BP255" s="215">
        <f>IF(AND(ISNUMBER(BP249),ISNUMBER(BP192)),IFERROR(BP249/BP192,""),"")</f>
        <v>0.466215847739543</v>
      </c>
      <c r="BQ255" s="215">
        <f>IF(AND(ISNUMBER(BQ249),ISNUMBER(BQ192)),IFERROR(BQ249/BQ192,""),"")</f>
        <v>0.570041311229143</v>
      </c>
      <c r="BR255" s="215">
        <f>IF(AND(ISNUMBER(BR249),ISNUMBER(BR192)),IFERROR(BR249/BR192,""),"")</f>
        <v>0.618280042164441</v>
      </c>
      <c r="BS255" s="215">
        <f>IF(AND(ISNUMBER(BS249),ISNUMBER(BS192)),IFERROR(BS249/BS192,""),"")</f>
        <v>0.570573912132796</v>
      </c>
      <c r="BT255" s="215">
        <f>IF(AND(ISNUMBER(BT249),ISNUMBER(BT192)),IFERROR(BT249/BT192,""),"")</f>
        <v>0.660833377794377</v>
      </c>
      <c r="BU255" s="215">
        <f>IF(AND(ISNUMBER(BU249),ISNUMBER(BU192)),IFERROR(BU249/BU192,""),"")</f>
        <v>0.0415409499124201</v>
      </c>
      <c r="BV255" s="24" t="n"/>
      <c r="BW255" s="24" t="n"/>
      <c r="BX255" s="256">
        <f>IF(AND(ISNUMBER(BX249),ISNUMBER(BX192)),IFERROR(BX249/BX192,""),"")</f>
        <v>-0.110740609795198</v>
      </c>
      <c r="BY255" s="256">
        <f>IF(AND(ISNUMBER(BY249),ISNUMBER(BY192)),IFERROR(BY249/BY192,""),"")</f>
        <v>0.246711567734963</v>
      </c>
      <c r="BZ255" s="256">
        <f>IF(AND(ISNUMBER(BZ249),ISNUMBER(BZ192)),IFERROR(BZ249/BZ192,""),"")</f>
        <v>0.546899475283275</v>
      </c>
      <c r="CA255" s="256">
        <f>IF(AND(ISNUMBER(CA249),ISNUMBER(CA192)),IFERROR(CA249/CA192,""),"")</f>
        <v>0.836500401514908</v>
      </c>
      <c r="CB255" s="256">
        <f>IF(AND(ISNUMBER(CB249),ISNUMBER(CB192)),IFERROR(CB249/CB192,""),"")</f>
        <v>0.997361462465009</v>
      </c>
      <c r="CC255" s="256">
        <f>IF(AND(ISNUMBER(CC249),ISNUMBER(CC192)),IFERROR(CC249/CC192,""),"")</f>
        <v>1.09334706655911</v>
      </c>
      <c r="CD255" s="153" t="n"/>
      <c r="CF255" s="37">
        <f>IFERROR(AVERAGE(BY255,BZ255,CA255,CB255,CC255),"n/m")</f>
        <v>0.744163994711453</v>
      </c>
      <c r="CG255" s="37">
        <f>IFERROR(AVERAGE(AY255,BD255,BI255,BN255,BS255),"n/m")</f>
        <v>0.814934434441211</v>
      </c>
      <c r="CH255" s="37">
        <f>IFERROR(AVERAGE(Z255,AE255,AJ255,AO255,AT255,AY255,BD255,BI255,BN255,BS255),"n/m")</f>
        <v>0.852634875106147</v>
      </c>
      <c r="CI255" s="37">
        <f>IFERROR(AVERAGE(C255,D255,E255,F255,K255,P255,U255,Z255,AE255,AJ255,AO255,AT255,AY255,BD255,BI255,BN255,BS255),"n/m")</f>
        <v>1.66947485929473</v>
      </c>
    </row>
    <row r="256" ht="15" customHeight="1" s="251">
      <c r="B256" s="25" t="inlineStr">
        <is>
          <t xml:space="preserve">  FCF per diluted share ($)</t>
        </is>
      </c>
      <c r="C256" s="267">
        <f>IF(AND(ISNUMBER(C249),ISNUMBER(C133)),IFERROR(C249/C133,""),"")</f>
        <v>0.089311859443631</v>
      </c>
      <c r="D256" s="267">
        <f>IF(AND(ISNUMBER(D249),ISNUMBER(D133)),IFERROR(D249/D133,""),"")</f>
        <v>0.286421499292786</v>
      </c>
      <c r="E256" s="267">
        <f>IF(AND(ISNUMBER(E249),ISNUMBER(E133)),IFERROR(E249/E133,""),"")</f>
        <v>0.625331564986737</v>
      </c>
      <c r="F256" s="267">
        <f>IF(AND(ISNUMBER(F249),ISNUMBER(F133)),IFERROR(F249/F133,""),"")</f>
        <v>0.174053554939982</v>
      </c>
      <c r="G256" s="267">
        <f>IF(AND(ISNUMBER(G249),ISNUMBER(G133)),IFERROR(G249/G133,""),"")</f>
        <v>0.156862745098039</v>
      </c>
      <c r="H256" s="267">
        <f>IF(AND(ISNUMBER(H249),ISNUMBER(H133)),IFERROR(H249/H133,""),"")</f>
        <v>0.421262989608313</v>
      </c>
      <c r="I256" s="267">
        <f>IF(AND(ISNUMBER(I249),ISNUMBER(I133)),IFERROR(I249/I133,""),"")</f>
        <v>0.263449367088608</v>
      </c>
      <c r="J256" s="267">
        <f>IF(AND(ISNUMBER(J249),ISNUMBER(J133)),IFERROR(J249/J133,""),"")</f>
        <v>0.292415949960907</v>
      </c>
      <c r="K256" s="267">
        <f>IF(AND(ISNUMBER(K249),ISNUMBER(K133)),IFERROR(K249/K133,""),"")</f>
        <v>1.13190305919746</v>
      </c>
      <c r="L256" s="267">
        <f>IF(AND(ISNUMBER(L249),ISNUMBER(L133)),IFERROR(L249/L133,""),"")</f>
        <v>0.353392104254504</v>
      </c>
      <c r="M256" s="267">
        <f>IF(AND(ISNUMBER(M249),ISNUMBER(M133)),IFERROR(M249/M133,""),"")</f>
        <v>0.333460803059273</v>
      </c>
      <c r="N256" s="267">
        <f>IF(AND(ISNUMBER(N249),ISNUMBER(N133)),IFERROR(N249/N133,""),"")</f>
        <v>0.289712556732224</v>
      </c>
      <c r="O256" s="267">
        <f>IF(AND(ISNUMBER(O249),ISNUMBER(O133)),IFERROR(O249/O133,""),"")</f>
        <v>0.378551136363636</v>
      </c>
      <c r="P256" s="267">
        <f>IF(AND(ISNUMBER(P249),ISNUMBER(P133)),IFERROR(P249/P133,""),"")</f>
        <v>1.36111111111111</v>
      </c>
      <c r="Q256" s="267">
        <f>IF(AND(ISNUMBER(Q249),ISNUMBER(Q133)),IFERROR(Q249/Q133,""),"")</f>
        <v>0.422425952045134</v>
      </c>
      <c r="R256" s="267">
        <f>IF(AND(ISNUMBER(R249),ISNUMBER(R133)),IFERROR(R249/R133,""),"")</f>
        <v>0.467017543859649</v>
      </c>
      <c r="S256" s="267">
        <f>IF(AND(ISNUMBER(S249),ISNUMBER(S133)),IFERROR(S249/S133,""),"")</f>
        <v>0.493188962626615</v>
      </c>
      <c r="T256" s="267">
        <f>IF(AND(ISNUMBER(T249),ISNUMBER(T133)),IFERROR(T249/T133,""),"")</f>
        <v>0.741834607366227</v>
      </c>
      <c r="U256" s="267">
        <f>IF(AND(ISNUMBER(U249),ISNUMBER(U133)),IFERROR(U249/U133,""),"")</f>
        <v>2.12968804766912</v>
      </c>
      <c r="V256" s="267">
        <f>IF(AND(ISNUMBER(V249),ISNUMBER(V133)),IFERROR(V249/V133,""),"")</f>
        <v>0.640927977839335</v>
      </c>
      <c r="W256" s="267">
        <f>IF(AND(ISNUMBER(W249),ISNUMBER(W133)),IFERROR(W249/W133,""),"")</f>
        <v>0.758608815426997</v>
      </c>
      <c r="X256" s="267">
        <f>IF(AND(ISNUMBER(X249),ISNUMBER(X133)),IFERROR(X249/X133,""),"")</f>
        <v>0.851457975986278</v>
      </c>
      <c r="Y256" s="267">
        <f>IF(AND(ISNUMBER(Y249),ISNUMBER(Y133)),IFERROR(Y249/Y133,""),"")</f>
        <v>1.24608577263445</v>
      </c>
      <c r="Z256" s="267">
        <f>IF(AND(ISNUMBER(Z249),ISNUMBER(Z133)),IFERROR(Z249/Z133,""),"")</f>
        <v>3.97162393162393</v>
      </c>
      <c r="AA256" s="267">
        <f>IF(AND(ISNUMBER(AA249),ISNUMBER(AA133)),IFERROR(AA249/AA133,""),"")</f>
        <v>1.28634510869565</v>
      </c>
      <c r="AB256" s="267">
        <f>IF(AND(ISNUMBER(AB249),ISNUMBER(AB133)),IFERROR(AB249/AB133,""),"")</f>
        <v>1.32700779396815</v>
      </c>
      <c r="AC256" s="267">
        <f>IF(AND(ISNUMBER(AC249),ISNUMBER(AC133)),IFERROR(AC249/AC133,""),"")</f>
        <v>1.47936400541272</v>
      </c>
      <c r="AD256" s="267">
        <f>IF(AND(ISNUMBER(AD249),ISNUMBER(AD133)),IFERROR(AD249/AD133,""),"")</f>
        <v>1.83073798239675</v>
      </c>
      <c r="AE256" s="267">
        <f>IF(AND(ISNUMBER(AE249),ISNUMBER(AE133)),IFERROR(AE249/AE133,""),"")</f>
        <v>5.91441136671177</v>
      </c>
      <c r="AF256" s="267">
        <f>IF(AND(ISNUMBER(AF249),ISNUMBER(AF133)),IFERROR(AF249/AF133,""),"")</f>
        <v>1.71409168081494</v>
      </c>
      <c r="AG256" s="267">
        <f>IF(AND(ISNUMBER(AG249),ISNUMBER(AG133)),IFERROR(AG249/AG133,""),"")</f>
        <v>0.969283276450512</v>
      </c>
      <c r="AH256" s="267">
        <f>IF(AND(ISNUMBER(AH249),ISNUMBER(AH133)),IFERROR(AH249/AH133,""),"")</f>
        <v>1.42567799519396</v>
      </c>
      <c r="AI256" s="267">
        <f>IF(AND(ISNUMBER(AI249),ISNUMBER(AI133)),IFERROR(AI249/AI133,""),"")</f>
        <v>1.14968814968815</v>
      </c>
      <c r="AJ256" s="267">
        <f>IF(AND(ISNUMBER(AJ249),ISNUMBER(AJ133)),IFERROR(AJ249/AJ133,""),"")</f>
        <v>5.25813077713112</v>
      </c>
      <c r="AK256" s="267">
        <f>IF(AND(ISNUMBER(AK249),ISNUMBER(AK133)),IFERROR(AK249/AK133,""),"")</f>
        <v>1.86336702683862</v>
      </c>
      <c r="AL256" s="267">
        <f>IF(AND(ISNUMBER(AL249),ISNUMBER(AL133)),IFERROR(AL249/AL133,""),"")</f>
        <v>1.68347826086957</v>
      </c>
      <c r="AM256" s="267">
        <f>IF(AND(ISNUMBER(AM249),ISNUMBER(AM133)),IFERROR(AM249/AM133,""),"")</f>
        <v>1.95929018789144</v>
      </c>
      <c r="AN256" s="267">
        <f>IF(AND(ISNUMBER(AN249),ISNUMBER(AN133)),IFERROR(AN249/AN133,""),"")</f>
        <v>1.68652037617555</v>
      </c>
      <c r="AO256" s="267">
        <f>IF(AND(ISNUMBER(AO249),ISNUMBER(AO133)),IFERROR(AO249/AO133,""),"")</f>
        <v>7.18358831710709</v>
      </c>
      <c r="AP256" s="267">
        <f>IF(AND(ISNUMBER(AP249),ISNUMBER(AP133)),IFERROR(AP249/AP133,""),"")</f>
        <v>2.56032078103208</v>
      </c>
      <c r="AQ256" s="267">
        <f>IF(AND(ISNUMBER(AQ249),ISNUMBER(AQ133)),IFERROR(AQ249/AQ133,""),"")</f>
        <v>0.178534213268496</v>
      </c>
      <c r="AR256" s="267">
        <f>IF(AND(ISNUMBER(AR249),ISNUMBER(AR133)),IFERROR(AR249/AR133,""),"")</f>
        <v>2.05811138014528</v>
      </c>
      <c r="AS256" s="267">
        <f>IF(AND(ISNUMBER(AS249),ISNUMBER(AS133)),IFERROR(AS249/AS133,""),"")</f>
        <v>3.19100346020761</v>
      </c>
      <c r="AT256" s="267">
        <f>IF(AND(ISNUMBER(AT249),ISNUMBER(AT133)),IFERROR(AT249/AT133,""),"")</f>
        <v>7.97368421052632</v>
      </c>
      <c r="AU256" s="267">
        <f>IF(AND(ISNUMBER(AU249),ISNUMBER(AU133)),IFERROR(AU249/AU133,""),"")</f>
        <v>2.71304649548924</v>
      </c>
      <c r="AV256" s="267">
        <f>IF(AND(ISNUMBER(AV249),ISNUMBER(AV133)),IFERROR(AV249/AV133,""),"")</f>
        <v>2.95828988529718</v>
      </c>
      <c r="AW256" s="267">
        <f>IF(AND(ISNUMBER(AW249),ISNUMBER(AW133)),IFERROR(AW249/AW133,""),"")</f>
        <v>3.33927946834558</v>
      </c>
      <c r="AX256" s="267">
        <f>IF(AND(ISNUMBER(AX249),ISNUMBER(AX133)),IFERROR(AX249/AX133,""),"")</f>
        <v>4.48803143979993</v>
      </c>
      <c r="AY256" s="267">
        <f>IF(AND(ISNUMBER(AY249),ISNUMBER(AY133)),IFERROR(AY249/AY133,""),"")</f>
        <v>13.4449108079748</v>
      </c>
      <c r="AZ256" s="267">
        <f>IF(AND(ISNUMBER(AZ249),ISNUMBER(AZ133)),IFERROR(AZ249/AZ133,""),"")</f>
        <v>3.11013858497447</v>
      </c>
      <c r="BA256" s="267">
        <f>IF(AND(ISNUMBER(BA249),ISNUMBER(BA133)),IFERROR(BA249/BA133,""),"")</f>
        <v>1.64025064504239</v>
      </c>
      <c r="BB256" s="267">
        <f>IF(AND(ISNUMBER(BB249),ISNUMBER(BB133)),IFERROR(BB249/BB133,""),"")</f>
        <v>0.0643840714551544</v>
      </c>
      <c r="BC256" s="267">
        <f>IF(AND(ISNUMBER(BC249),ISNUMBER(BC133)),IFERROR(BC249/BC133,""),"")</f>
        <v>2.0030303030303</v>
      </c>
      <c r="BD256" s="267">
        <f>IF(AND(ISNUMBER(BD249),ISNUMBER(BD133)),IFERROR(BD249/BD133,""),"")</f>
        <v>6.82420429311621</v>
      </c>
      <c r="BE256" s="267">
        <f>IF(AND(ISNUMBER(BE249),ISNUMBER(BE133)),IFERROR(BE249/BE133,""),"")</f>
        <v>2.66217257318952</v>
      </c>
      <c r="BF256" s="267">
        <f>IF(AND(ISNUMBER(BF249),ISNUMBER(BF133)),IFERROR(BF249/BF133,""),"")</f>
        <v>4.19410413476263</v>
      </c>
      <c r="BG256" s="267">
        <f>IF(AND(ISNUMBER(BG249),ISNUMBER(BG133)),IFERROR(BG249/BG133,""),"")</f>
        <v>5.16433169254071</v>
      </c>
      <c r="BH256" s="267">
        <f>IF(AND(ISNUMBER(BH249),ISNUMBER(BH133)),IFERROR(BH249/BH133,""),"")</f>
        <v>4.3745247148289</v>
      </c>
      <c r="BI256" s="267">
        <f>IF(AND(ISNUMBER(BI249),ISNUMBER(BI133)),IFERROR(BI249/BI133,""),"")</f>
        <v>16.3598326359833</v>
      </c>
      <c r="BJ256" s="267">
        <f>IF(AND(ISNUMBER(BJ249),ISNUMBER(BJ133)),IFERROR(BJ249/BJ133,""),"")</f>
        <v>4.77371428571429</v>
      </c>
      <c r="BK256" s="267">
        <f>IF(AND(ISNUMBER(BK249),ISNUMBER(BK133)),IFERROR(BK249/BK133,""),"")</f>
        <v>4.17547892720307</v>
      </c>
      <c r="BL256" s="267">
        <f>IF(AND(ISNUMBER(BL249),ISNUMBER(BL133)),IFERROR(BL249/BL133,""),"")</f>
        <v>5.97</v>
      </c>
      <c r="BM256" s="267">
        <f>IF(AND(ISNUMBER(BM249),ISNUMBER(BM133)),IFERROR(BM249/BM133,""),"")</f>
        <v>5.06040784917276</v>
      </c>
      <c r="BN256" s="267">
        <f>IF(AND(ISNUMBER(BN249),ISNUMBER(BN133)),IFERROR(BN249/BN133,""),"")</f>
        <v>19.9322876817139</v>
      </c>
      <c r="BO256" s="267">
        <f>IF(AND(ISNUMBER(BO249),ISNUMBER(BO133)),IFERROR(BO249/BO133,""),"")</f>
        <v>3.98996138996139</v>
      </c>
      <c r="BP256" s="267">
        <f>IF(AND(ISNUMBER(BP249),ISNUMBER(BP133)),IFERROR(BP249/BP133,""),"")</f>
        <v>3.32645914396887</v>
      </c>
      <c r="BQ256" s="267">
        <f>IF(AND(ISNUMBER(BQ249),ISNUMBER(BQ133)),IFERROR(BQ249/BQ133,""),"")</f>
        <v>4.13102643856921</v>
      </c>
      <c r="BR256" s="267">
        <f>IF(AND(ISNUMBER(BR249),ISNUMBER(BR133)),IFERROR(BR249/BR133,""),"")</f>
        <v>5.48810916179337</v>
      </c>
      <c r="BS256" s="267">
        <f>IF(AND(ISNUMBER(BS249),ISNUMBER(BS133)),IFERROR(BS249/BS133,""),"")</f>
        <v>16.9327894327894</v>
      </c>
      <c r="BT256" s="267">
        <f>IF(AND(ISNUMBER(BT249),ISNUMBER(BT133)),IFERROR(BT249/BT133,""),"")</f>
        <v>4.83073322932917</v>
      </c>
      <c r="BU256" s="267">
        <f>IF(AND(ISNUMBER(BU249),ISNUMBER(BU133)),IFERROR(BU249/BU133,""),"")</f>
        <v>0.305533904910366</v>
      </c>
      <c r="BV256" s="35" t="n"/>
      <c r="BW256" s="35" t="n"/>
      <c r="BX256" s="277">
        <f>IF(AND(ISNUMBER(BX249),ISNUMBER(BX133)),IFERROR(BX249/BX133,""),"")</f>
        <v>-3.21351773339486</v>
      </c>
      <c r="BY256" s="277">
        <f>IF(AND(ISNUMBER(BY249),ISNUMBER(BY133)),IFERROR(BY249/BY133,""),"")</f>
        <v>7.97050455606096</v>
      </c>
      <c r="BZ256" s="277">
        <f>IF(AND(ISNUMBER(BZ249),ISNUMBER(BZ133)),IFERROR(BZ249/BZ133,""),"")</f>
        <v>20.2416865303834</v>
      </c>
      <c r="CA256" s="277">
        <f>IF(AND(ISNUMBER(CA249),ISNUMBER(CA133)),IFERROR(CA249/CA133,""),"")</f>
        <v>35.1966502606829</v>
      </c>
      <c r="CB256" s="277">
        <f>IF(AND(ISNUMBER(CB249),ISNUMBER(CB133)),IFERROR(CB249/CB133,""),"")</f>
        <v>48.7139732733503</v>
      </c>
      <c r="CC256" s="277">
        <f>IF(AND(ISNUMBER(CC249),ISNUMBER(CC133)),IFERROR(CC249/CC133,""),"")</f>
        <v>61.8920852957113</v>
      </c>
      <c r="CD256" s="19" t="n"/>
    </row>
    <row r="257" ht="15" customHeight="1" s="251">
      <c r="B257" s="25" t="inlineStr">
        <is>
          <t>Capex ratios</t>
        </is>
      </c>
      <c r="CD257" s="153" t="n"/>
    </row>
    <row r="258" ht="15" customHeight="1" s="251">
      <c r="B258" s="25" t="inlineStr">
        <is>
          <t xml:space="preserve">  Purchases of property and equipment % of revenue</t>
        </is>
      </c>
      <c r="C258" s="215">
        <f>IF(ISNUMBER(C225),IFERROR(-C225/C109,""),"")</f>
        <v>0.0424710424710425</v>
      </c>
      <c r="D258" s="215">
        <f>IF(ISNUMBER(D225),IFERROR(-D225/D109,""),"")</f>
        <v>0.148429584599797</v>
      </c>
      <c r="E258" s="215">
        <f>IF(ISNUMBER(E225),IFERROR(-E225/E109,""),"")</f>
        <v>0.163298302344382</v>
      </c>
      <c r="F258" s="215">
        <f>IF(ISNUMBER(F225),IFERROR(-F225/F109,""),"")</f>
        <v>0.242680290823344</v>
      </c>
      <c r="G258" s="215">
        <f>IF(ISNUMBER(G225),IFERROR(-G225/G109,""),"")</f>
        <v>0.224279835390947</v>
      </c>
      <c r="H258" s="215">
        <f>IF(ISNUMBER(H225),IFERROR(-H225/H109,""),"")</f>
        <v>0.147821290678434</v>
      </c>
      <c r="I258" s="215">
        <f>IF(ISNUMBER(I225),IFERROR(-I225/I109,""),"")</f>
        <v>0.140873015873016</v>
      </c>
      <c r="J258" s="215">
        <f>IF(ISNUMBER(J225),IFERROR(-J225/J109,""),"")</f>
        <v>0.186847195357834</v>
      </c>
      <c r="K258" s="215">
        <f>IF(ISNUMBER(K225),IFERROR(-K225/K109,""),"")</f>
        <v>0.173018292682927</v>
      </c>
      <c r="L258" s="215">
        <f>IF(ISNUMBER(L225),IFERROR(-L225/L109,""),"")</f>
        <v>0.145083932853717</v>
      </c>
      <c r="M258" s="215">
        <f>IF(ISNUMBER(M225),IFERROR(-M225/M109,""),"")</f>
        <v>0.161168384879725</v>
      </c>
      <c r="N258" s="215">
        <f>IF(ISNUMBER(N225),IFERROR(-N225/N109,""),"")</f>
        <v>0.150483921323759</v>
      </c>
      <c r="O258" s="215">
        <f>IF(ISNUMBER(O225),IFERROR(-O225/O109,""),"")</f>
        <v>0.13425084393664</v>
      </c>
      <c r="P258" s="215">
        <f>IF(ISNUMBER(P225),IFERROR(-P225/P109,""),"")</f>
        <v>0.146879512273384</v>
      </c>
      <c r="Q258" s="215">
        <f>IF(ISNUMBER(Q225),IFERROR(-Q225/Q109,""),"")</f>
        <v>0.141687835167937</v>
      </c>
      <c r="R258" s="215">
        <f>IF(ISNUMBER(R225),IFERROR(-R225/R109,""),"")</f>
        <v>0.135823849579416</v>
      </c>
      <c r="S258" s="215">
        <f>IF(ISNUMBER(S225),IFERROR(-S225/S109,""),"")</f>
        <v>0.173294823372584</v>
      </c>
      <c r="T258" s="215">
        <f>IF(ISNUMBER(T225),IFERROR(-T225/T109,""),"")</f>
        <v>0.118472864235576</v>
      </c>
      <c r="U258" s="215">
        <f>IF(ISNUMBER(U225),IFERROR(-U225/U109,""),"")</f>
        <v>0.140729585006693</v>
      </c>
      <c r="V258" s="215">
        <f>IF(ISNUMBER(V225),IFERROR(-V225/V109,""),"")</f>
        <v>0.210330732069863</v>
      </c>
      <c r="W258" s="215">
        <f>IF(ISNUMBER(W225),IFERROR(-W225/W109,""),"")</f>
        <v>0.154599129894344</v>
      </c>
      <c r="X258" s="215">
        <f>IF(ISNUMBER(X225),IFERROR(-X225/X109,""),"")</f>
        <v>0.156183140778776</v>
      </c>
      <c r="Y258" s="215">
        <f>IF(ISNUMBER(Y225),IFERROR(-Y225/Y109,""),"")</f>
        <v>0.144057214212737</v>
      </c>
      <c r="Z258" s="215">
        <f>IF(ISNUMBER(Z225),IFERROR(-Z225/Z109,""),"")</f>
        <v>0.162493668138071</v>
      </c>
      <c r="AA258" s="215">
        <f>IF(ISNUMBER(AA225),IFERROR(-AA225/AA109,""),"")</f>
        <v>0.15824203187251</v>
      </c>
      <c r="AB258" s="215">
        <f>IF(ISNUMBER(AB225),IFERROR(-AB225/AB109,""),"")</f>
        <v>0.154919000107285</v>
      </c>
      <c r="AC258" s="215">
        <f>IF(ISNUMBER(AC225),IFERROR(-AC225/AC109,""),"")</f>
        <v>0.169926413632843</v>
      </c>
      <c r="AD258" s="215">
        <f>IF(ISNUMBER(AD225),IFERROR(-AD225/AD109,""),"")</f>
        <v>0.174375578168363</v>
      </c>
      <c r="AE258" s="215">
        <f>IF(ISNUMBER(AE225),IFERROR(-AE225/AE109,""),"")</f>
        <v>0.165621233365311</v>
      </c>
      <c r="AF258" s="215">
        <f>IF(ISNUMBER(AF225),IFERROR(-AF225/AF109,""),"")</f>
        <v>0.234999164298847</v>
      </c>
      <c r="AG258" s="215">
        <f>IF(ISNUMBER(AG225),IFERROR(-AG225/AG109,""),"")</f>
        <v>0.261431486660116</v>
      </c>
      <c r="AH258" s="215">
        <f>IF(ISNUMBER(AH225),IFERROR(-AH225/AH109,""),"")</f>
        <v>0.243534639761055</v>
      </c>
      <c r="AI258" s="215">
        <f>IF(ISNUMBER(AI225),IFERROR(-AI225/AI109,""),"")</f>
        <v>0.258129360293248</v>
      </c>
      <c r="AJ258" s="215">
        <f>IF(ISNUMBER(AJ225),IFERROR(-AJ225/AJ109,""),"")</f>
        <v>0.249203051685232</v>
      </c>
      <c r="AK258" s="215">
        <f>IF(ISNUMBER(AK225),IFERROR(-AK225/AK109,""),"")</f>
        <v>0.254493599522451</v>
      </c>
      <c r="AL258" s="215">
        <f>IF(ISNUMBER(AL225),IFERROR(-AL225/AL109,""),"")</f>
        <v>0.215148643846974</v>
      </c>
      <c r="AM258" s="215">
        <f>IF(ISNUMBER(AM225),IFERROR(-AM225/AM109,""),"")</f>
        <v>0.200090641287106</v>
      </c>
      <c r="AN258" s="215">
        <f>IF(ISNUMBER(AN225),IFERROR(-AN225/AN109,""),"")</f>
        <v>0.194478702210416</v>
      </c>
      <c r="AO258" s="215">
        <f>IF(ISNUMBER(AO225),IFERROR(-AO225/AO109,""),"")</f>
        <v>0.213615853572287</v>
      </c>
      <c r="AP258" s="215">
        <f>IF(ISNUMBER(AP225),IFERROR(-AP225/AP109,""),"")</f>
        <v>0.200597620792693</v>
      </c>
      <c r="AQ258" s="215">
        <f>IF(ISNUMBER(AQ225),IFERROR(-AQ225/AQ109,""),"")</f>
        <v>0.174185262481939</v>
      </c>
      <c r="AR258" s="215">
        <f>IF(ISNUMBER(AR225),IFERROR(-AR225/AR109,""),"")</f>
        <v>0.171821145784816</v>
      </c>
      <c r="AS258" s="215">
        <f>IF(ISNUMBER(AS225),IFERROR(-AS225/AS109,""),"")</f>
        <v>0.164327443716158</v>
      </c>
      <c r="AT258" s="215">
        <f>IF(ISNUMBER(AT225),IFERROR(-AT225/AT109,""),"")</f>
        <v>0.175827371604723</v>
      </c>
      <c r="AU258" s="215">
        <f>IF(ISNUMBER(AU225),IFERROR(-AU225/AU109,""),"")</f>
        <v>0.163234114095755</v>
      </c>
      <c r="AV258" s="215">
        <f>IF(ISNUMBER(AV225),IFERROR(-AV225/AV109,""),"")</f>
        <v>0.158613337001754</v>
      </c>
      <c r="AW258" s="215">
        <f>IF(ISNUMBER(AW225),IFERROR(-AW225/AW109,""),"")</f>
        <v>0.148672871423647</v>
      </c>
      <c r="AX258" s="215">
        <f>IF(ISNUMBER(AX225),IFERROR(-AX225/AX109,""),"")</f>
        <v>0.159484422797066</v>
      </c>
      <c r="AY258" s="215">
        <f>IF(ISNUMBER(AY225),IFERROR(-AY225/AY109,""),"")</f>
        <v>0.157442189792163</v>
      </c>
      <c r="AZ258" s="215">
        <f>IF(ISNUMBER(AZ225),IFERROR(-AZ225/AZ109,""),"")</f>
        <v>0.190447183603268</v>
      </c>
      <c r="BA258" s="215">
        <f>IF(ISNUMBER(BA225),IFERROR(-BA225/BA109,""),"")</f>
        <v>0.261189369231837</v>
      </c>
      <c r="BB258" s="215">
        <f>IF(ISNUMBER(BB225),IFERROR(-BB225/BB109,""),"")</f>
        <v>0.337555026340478</v>
      </c>
      <c r="BC258" s="215">
        <f>IF(ISNUMBER(BC225),IFERROR(-BC225/BC109,""),"")</f>
        <v>0.279434167573449</v>
      </c>
      <c r="BD258" s="215">
        <f>IF(ISNUMBER(BD225),IFERROR(-BD225/BD109,""),"")</f>
        <v>0.267440763577425</v>
      </c>
      <c r="BE258" s="215">
        <f>IF(ISNUMBER(BE225),IFERROR(-BE225/BE109,""),"")</f>
        <v>0.238191656484552</v>
      </c>
      <c r="BF258" s="215">
        <f>IF(ISNUMBER(BF225),IFERROR(-BF225/BF109,""),"")</f>
        <v>0.191693490421576</v>
      </c>
      <c r="BG258" s="215">
        <f>IF(ISNUMBER(BG225),IFERROR(-BG225/BG109,""),"")</f>
        <v>0.190241902419024</v>
      </c>
      <c r="BH258" s="215">
        <f>IF(ISNUMBER(BH225),IFERROR(-BH225/BH109,""),"")</f>
        <v>0.189274762533968</v>
      </c>
      <c r="BI258" s="215">
        <f>IF(ISNUMBER(BI225),IFERROR(-BI225/BI109,""),"")</f>
        <v>0.200478866139865</v>
      </c>
      <c r="BJ258" s="215">
        <f>IF(ISNUMBER(BJ225),IFERROR(-BJ225/BJ109,""),"")</f>
        <v>0.175558908243039</v>
      </c>
      <c r="BK258" s="215">
        <f>IF(ISNUMBER(BK225),IFERROR(-BK225/BK109,""),"")</f>
        <v>0.209183281717898</v>
      </c>
      <c r="BL258" s="215">
        <f>IF(ISNUMBER(BL225),IFERROR(-BL225/BL109,""),"")</f>
        <v>0.203454137820592</v>
      </c>
      <c r="BM258" s="215">
        <f>IF(ISNUMBER(BM225),IFERROR(-BM225/BM109,""),"")</f>
        <v>0.298129585615377</v>
      </c>
      <c r="BN258" s="215">
        <f>IF(ISNUMBER(BN225),IFERROR(-BN225/BN109,""),"")</f>
        <v>0.22647886638987</v>
      </c>
      <c r="BO258" s="215">
        <f>IF(ISNUMBER(BO225),IFERROR(-BO225/BO109,""),"")</f>
        <v>0.305832584960061</v>
      </c>
      <c r="BP258" s="215">
        <f>IF(ISNUMBER(BP225),IFERROR(-BP225/BP109,""),"")</f>
        <v>0.348051182759492</v>
      </c>
      <c r="BQ258" s="215">
        <f>IF(ISNUMBER(BQ225),IFERROR(-BQ225/BQ109,""),"")</f>
        <v>0.367452480387182</v>
      </c>
      <c r="BR258" s="215">
        <f>IF(ISNUMBER(BR225),IFERROR(-BR225/BR109,""),"")</f>
        <v>0.357020019033944</v>
      </c>
      <c r="BS258" s="215">
        <f>IF(ISNUMBER(BS225),IFERROR(-BS225/BS109,""),"")</f>
        <v>0.346780052347163</v>
      </c>
      <c r="BT258" s="215">
        <f>IF(ISNUMBER(BT225),IFERROR(-BT225/BT109,""),"")</f>
        <v>0.337358597787288</v>
      </c>
      <c r="BU258" s="215">
        <f>IF(ISNUMBER(BU225),IFERROR(-BU225/BU109,""),"")</f>
        <v>0.495320800644726</v>
      </c>
      <c r="BV258" s="24" t="n"/>
      <c r="BW258" s="24" t="n"/>
      <c r="BX258" s="256">
        <f>IF(ISNUMBER(BX225),IFERROR(-BX225/BX109,""),"")</f>
        <v>0.530046642396229</v>
      </c>
      <c r="BY258" s="256">
        <f>CHOOSE(MATCH($CD$2,{"Bull","Base","Bear"},0),$CM$64,$CN$64,$CO$64)</f>
        <v>0.46</v>
      </c>
      <c r="BZ258" s="256">
        <f>CHOOSE(MATCH($CD$2,{"Bull","Base","Bear"},0),$CM$65,$CN$65,$CO$65)</f>
        <v>0.38</v>
      </c>
      <c r="CA258" s="256">
        <f>CHOOSE(MATCH($CD$2,{"Bull","Base","Bear"},0),$CM$66,$CN$66,$CO$66)</f>
        <v>0.31</v>
      </c>
      <c r="CB258" s="256">
        <f>CHOOSE(MATCH($CD$2,{"Bull","Base","Bear"},0),$CM$67,$CN$67,$CO$67)</f>
        <v>0.26</v>
      </c>
      <c r="CC258" s="256">
        <f>CHOOSE(MATCH($CD$2,{"Bull","Base","Bear"},0),$CM$68,$CN$68,$CO$68)</f>
        <v>0.23</v>
      </c>
      <c r="CD258" s="153" t="inlineStr">
        <is>
          <t>2027E+: scenario lever (AI data centers and servers; company capital-expenditure guidance only for the current year).</t>
        </is>
      </c>
      <c r="CF258" s="37">
        <f>IFERROR(AVERAGE(BY258,BZ258,CA258,CB258,CC258),"n/m")</f>
        <v>0.328</v>
      </c>
      <c r="CG258" s="37">
        <f>IFERROR(AVERAGE(AY258,BD258,BI258,BN258,BS258),"n/m")</f>
        <v>0.239724147649297</v>
      </c>
      <c r="CH258" s="37">
        <f>IFERROR(AVERAGE(Z258,AE258,AJ258,AO258,AT258,AY258,BD258,BI258,BN258,BS258),"n/m")</f>
        <v>0.216538191661211</v>
      </c>
      <c r="CI258" s="37">
        <f>IFERROR(AVERAGE(C258,D258,E258,F258,K258,P258,U258,Z258,AE258,AJ258,AO258,AT258,AY258,BD258,BI258,BN258,BS258),"n/m")</f>
        <v>0.189581678047864</v>
      </c>
    </row>
    <row r="259" ht="15" customHeight="1" s="251">
      <c r="B259" s="25" t="inlineStr">
        <is>
          <t xml:space="preserve">  Capex incl. finance leases % of revenue</t>
        </is>
      </c>
      <c r="C259" s="215">
        <f>IF(AND(ISNUMBER(C246),ISNUMBER(C109)),IFERROR(C246/C109,""),"")</f>
        <v>0.104247104247104</v>
      </c>
      <c r="D259" s="215">
        <f>IF(AND(ISNUMBER(D246),ISNUMBER(D109)),IFERROR(D246/D109,""),"")</f>
        <v>0.194022289766971</v>
      </c>
      <c r="E259" s="215">
        <f>IF(AND(ISNUMBER(E246),ISNUMBER(E109)),IFERROR(E246/E109,""),"")</f>
        <v>0.21207221773107</v>
      </c>
      <c r="F259" s="215">
        <f>IF(AND(ISNUMBER(F246),ISNUMBER(F109)),IFERROR(F246/F109,""),"")</f>
        <v>0.314600117901356</v>
      </c>
      <c r="G259" s="215">
        <f>IF(AND(ISNUMBER(G246),ISNUMBER(G109)),IFERROR(G246/G109,""),"")</f>
        <v>0.299039780521262</v>
      </c>
      <c r="H259" s="215">
        <f>IF(AND(ISNUMBER(H246),ISNUMBER(H109)),IFERROR(H246/H109,""),"")</f>
        <v>0.198014340871484</v>
      </c>
      <c r="I259" s="215">
        <f>IF(AND(ISNUMBER(I246),ISNUMBER(I109)),IFERROR(I246/I109,""),"")</f>
        <v>0.186011904761905</v>
      </c>
      <c r="J259" s="215">
        <f>IF(AND(ISNUMBER(J246),ISNUMBER(J109)),IFERROR(J246/J109,""),"")</f>
        <v>0.225531914893617</v>
      </c>
      <c r="K259" s="215">
        <f>IF(AND(ISNUMBER(K246),ISNUMBER(K109)),IFERROR(K246/K109,""),"")</f>
        <v>0.222688008130081</v>
      </c>
      <c r="L259" s="215">
        <f>IF(AND(ISNUMBER(L246),ISNUMBER(L109)),IFERROR(L246/L109,""),"")</f>
        <v>0.178657074340528</v>
      </c>
      <c r="M259" s="215">
        <f>IF(AND(ISNUMBER(M246),ISNUMBER(M109)),IFERROR(M246/M109,""),"")</f>
        <v>0.183848797250859</v>
      </c>
      <c r="N259" s="215">
        <f>IF(AND(ISNUMBER(N246),ISNUMBER(N109)),IFERROR(N246/N109,""),"")</f>
        <v>0.165782079300656</v>
      </c>
      <c r="O259" s="215">
        <f>IF(AND(ISNUMBER(O246),ISNUMBER(O109)),IFERROR(O246/O109,""),"")</f>
        <v>0.145676447675928</v>
      </c>
      <c r="P259" s="215">
        <f>IF(AND(ISNUMBER(P246),ISNUMBER(P109)),IFERROR(P246/P109,""),"")</f>
        <v>0.16637253329055</v>
      </c>
      <c r="Q259" s="215">
        <f>IF(AND(ISNUMBER(Q246),ISNUMBER(Q109)),IFERROR(Q246/Q109,""),"")</f>
        <v>0.154953429297206</v>
      </c>
      <c r="R259" s="215">
        <f>IF(AND(ISNUMBER(R246),ISNUMBER(R109)),IFERROR(R246/R109,""),"")</f>
        <v>0.144977733795151</v>
      </c>
      <c r="S259" s="215">
        <f>IF(AND(ISNUMBER(S246),ISNUMBER(S109)),IFERROR(S246/S109,""),"")</f>
        <v>0.17840479893357</v>
      </c>
      <c r="T259" s="215">
        <f>IF(AND(ISNUMBER(T246),ISNUMBER(T109)),IFERROR(T246/T109,""),"")</f>
        <v>0.120527306967985</v>
      </c>
      <c r="U259" s="215">
        <f>IF(AND(ISNUMBER(U246),ISNUMBER(U109)),IFERROR(U246/U109,""),"")</f>
        <v>0.147367246764837</v>
      </c>
      <c r="V259" s="215">
        <f>IF(AND(ISNUMBER(V246),ISNUMBER(V109)),IFERROR(V246/V109,""),"")</f>
        <v>0.268301746562616</v>
      </c>
      <c r="W259" s="215">
        <f>IF(AND(ISNUMBER(W246),ISNUMBER(W109)),IFERROR(W246/W109,""),"")</f>
        <v>0.154599129894344</v>
      </c>
      <c r="X259" s="215">
        <f>IF(AND(ISNUMBER(X246),ISNUMBER(X109)),IFERROR(X246/X109,""),"")</f>
        <v>0.156183140778776</v>
      </c>
      <c r="Y259" s="215">
        <f>IF(AND(ISNUMBER(Y246),ISNUMBER(Y109)),IFERROR(Y246/Y109,""),"")</f>
        <v>0.144057214212737</v>
      </c>
      <c r="Z259" s="215">
        <f>IF(AND(ISNUMBER(Z246),ISNUMBER(Z109)),IFERROR(Z246/Z109,""),"")</f>
        <v>0.17378247340618</v>
      </c>
      <c r="AA259" s="215">
        <f>IF(AND(ISNUMBER(AA246),ISNUMBER(AA109)),IFERROR(AA246/AA109,""),"")</f>
        <v>0.15824203187251</v>
      </c>
      <c r="AB259" s="215">
        <f>IF(AND(ISNUMBER(AB246),ISNUMBER(AB109)),IFERROR(AB246/AB109,""),"")</f>
        <v>0.154919000107285</v>
      </c>
      <c r="AC259" s="215">
        <f>IF(AND(ISNUMBER(AC246),ISNUMBER(AC109)),IFERROR(AC246/AC109,""),"")</f>
        <v>0.169926413632843</v>
      </c>
      <c r="AD259" s="215">
        <f>IF(AND(ISNUMBER(AD246),ISNUMBER(AD109)),IFERROR(AD246/AD109,""),"")</f>
        <v>0.174375578168363</v>
      </c>
      <c r="AE259" s="215">
        <f>IF(AND(ISNUMBER(AE246),ISNUMBER(AE109)),IFERROR(AE246/AE109,""),"")</f>
        <v>0.165621233365311</v>
      </c>
      <c r="AF259" s="215">
        <f>IF(AND(ISNUMBER(AF246),ISNUMBER(AF109)),IFERROR(AF246/AF109,""),"")</f>
        <v>0.234999164298847</v>
      </c>
      <c r="AG259" s="215">
        <f>IF(AND(ISNUMBER(AG246),ISNUMBER(AG109)),IFERROR(AG246/AG109,""),"")</f>
        <v>0.261431486660116</v>
      </c>
      <c r="AH259" s="215">
        <f>IF(AND(ISNUMBER(AH246),ISNUMBER(AH109)),IFERROR(AH246/AH109,""),"")</f>
        <v>0.243534639761055</v>
      </c>
      <c r="AI259" s="215">
        <f>IF(AND(ISNUMBER(AI246),ISNUMBER(AI109)),IFERROR(AI246/AI109,""),"")</f>
        <v>0.258129360293248</v>
      </c>
      <c r="AJ259" s="215">
        <f>IF(AND(ISNUMBER(AJ246),ISNUMBER(AJ109)),IFERROR(AJ246/AJ109,""),"")</f>
        <v>0.249203051685232</v>
      </c>
      <c r="AK259" s="215">
        <f>IF(AND(ISNUMBER(AK246),ISNUMBER(AK109)),IFERROR(AK246/AK109,""),"")</f>
        <v>0.262784373549115</v>
      </c>
      <c r="AL259" s="215">
        <f>IF(AND(ISNUMBER(AL246),ISNUMBER(AL109)),IFERROR(AL246/AL109,""),"")</f>
        <v>0.223557977022385</v>
      </c>
      <c r="AM259" s="215">
        <f>IF(AND(ISNUMBER(AM246),ISNUMBER(AM109)),IFERROR(AM246/AM109,""),"")</f>
        <v>0.208248357126671</v>
      </c>
      <c r="AN259" s="215">
        <f>IF(AND(ISNUMBER(AN246),ISNUMBER(AN109)),IFERROR(AN246/AN109,""),"")</f>
        <v>0.201166872213263</v>
      </c>
      <c r="AO259" s="215">
        <f>IF(AND(ISNUMBER(AO246),ISNUMBER(AO109)),IFERROR(AO246/AO109,""),"")</f>
        <v>0.221423822793046</v>
      </c>
      <c r="AP259" s="215">
        <f>IF(AND(ISNUMBER(AP246),ISNUMBER(AP109)),IFERROR(AP246/AP109,""),"")</f>
        <v>0.206235552799233</v>
      </c>
      <c r="AQ259" s="215">
        <f>IF(AND(ISNUMBER(AQ246),ISNUMBER(AQ109)),IFERROR(AQ246/AQ109,""),"")</f>
        <v>0.180018194466742</v>
      </c>
      <c r="AR259" s="215">
        <f>IF(AND(ISNUMBER(AR246),ISNUMBER(AR109)),IFERROR(AR246/AR109,""),"")</f>
        <v>0.180624126688402</v>
      </c>
      <c r="AS259" s="215">
        <f>IF(AND(ISNUMBER(AS246),ISNUMBER(AS109)),IFERROR(AS246/AS109,""),"")</f>
        <v>0.171630094043887</v>
      </c>
      <c r="AT259" s="215">
        <f>IF(AND(ISNUMBER(AT246),ISNUMBER(AT109)),IFERROR(AT246/AT109,""),"")</f>
        <v>0.182853486884197</v>
      </c>
      <c r="AU259" s="215">
        <f>IF(AND(ISNUMBER(AU246),ISNUMBER(AU109)),IFERROR(AU246/AU109,""),"")</f>
        <v>0.169003859233503</v>
      </c>
      <c r="AV259" s="215">
        <f>IF(AND(ISNUMBER(AV246),ISNUMBER(AV109)),IFERROR(AV246/AV109,""),"")</f>
        <v>0.162843484541046</v>
      </c>
      <c r="AW259" s="215">
        <f>IF(AND(ISNUMBER(AW246),ISNUMBER(AW109)),IFERROR(AW246/AW109,""),"")</f>
        <v>0.156635642881765</v>
      </c>
      <c r="AX259" s="215">
        <f>IF(AND(ISNUMBER(AX246),ISNUMBER(AX109)),IFERROR(AX246/AX109,""),"")</f>
        <v>0.164592676190193</v>
      </c>
      <c r="AY259" s="215">
        <f>IF(AND(ISNUMBER(AY246),ISNUMBER(AY109)),IFERROR(AY246/AY109,""),"")</f>
        <v>0.163182932103215</v>
      </c>
      <c r="AZ259" s="215">
        <f>IF(AND(ISNUMBER(AZ246),ISNUMBER(AZ109)),IFERROR(AZ246/AZ109,""),"")</f>
        <v>0.198796044145048</v>
      </c>
      <c r="BA259" s="215">
        <f>IF(AND(ISNUMBER(BA246),ISNUMBER(BA109)),IFERROR(BA246/BA109,""),"")</f>
        <v>0.268787731593921</v>
      </c>
      <c r="BB259" s="215">
        <f>IF(AND(ISNUMBER(BB246),ISNUMBER(BB109)),IFERROR(BB246/BB109,""),"")</f>
        <v>0.343436530273508</v>
      </c>
      <c r="BC259" s="215">
        <f>IF(AND(ISNUMBER(BC246),ISNUMBER(BC109)),IFERROR(BC246/BC109,""),"")</f>
        <v>0.286740245608581</v>
      </c>
      <c r="BD259" s="215">
        <f>IF(AND(ISNUMBER(BD246),ISNUMBER(BD109)),IFERROR(BD246/BD109,""),"")</f>
        <v>0.274730080868544</v>
      </c>
      <c r="BE259" s="215">
        <f>IF(AND(ISNUMBER(BE246),ISNUMBER(BE109)),IFERROR(BE246/BE109,""),"")</f>
        <v>0.24740792459417</v>
      </c>
      <c r="BF259" s="215">
        <f>IF(AND(ISNUMBER(BF246),ISNUMBER(BF109)),IFERROR(BF246/BF109,""),"")</f>
        <v>0.19856870527204</v>
      </c>
      <c r="BG259" s="215">
        <f>IF(AND(ISNUMBER(BG246),ISNUMBER(BG109)),IFERROR(BG246/BG109,""),"")</f>
        <v>0.198061266326949</v>
      </c>
      <c r="BH259" s="215">
        <f>IF(AND(ISNUMBER(BH246),ISNUMBER(BH109)),IFERROR(BH246/BH109,""),"")</f>
        <v>0.19692852334771</v>
      </c>
      <c r="BI259" s="215">
        <f>IF(AND(ISNUMBER(BI246),ISNUMBER(BI109)),IFERROR(BI246/BI109,""),"")</f>
        <v>0.208321596418141</v>
      </c>
      <c r="BJ259" s="215">
        <f>IF(AND(ISNUMBER(BJ246),ISNUMBER(BJ109)),IFERROR(BJ246/BJ109,""),"")</f>
        <v>0.184199698258126</v>
      </c>
      <c r="BK259" s="215">
        <f>IF(AND(ISNUMBER(BK246),ISNUMBER(BK109)),IFERROR(BK246/BK109,""),"")</f>
        <v>0.216836016482813</v>
      </c>
      <c r="BL259" s="215">
        <f>IF(AND(ISNUMBER(BL246),ISNUMBER(BL109)),IFERROR(BL246/BL109,""),"")</f>
        <v>0.226711670649683</v>
      </c>
      <c r="BM259" s="215">
        <f>IF(AND(ISNUMBER(BM246),ISNUMBER(BM109)),IFERROR(BM246/BM109,""),"")</f>
        <v>0.306623953704661</v>
      </c>
      <c r="BN259" s="215">
        <f>IF(AND(ISNUMBER(BN246),ISNUMBER(BN109)),IFERROR(BN246/BN109,""),"")</f>
        <v>0.238448398489979</v>
      </c>
      <c r="BO259" s="215">
        <f>IF(AND(ISNUMBER(BO246),ISNUMBER(BO109)),IFERROR(BO246/BO109,""),"")</f>
        <v>0.323580847946306</v>
      </c>
      <c r="BP259" s="215">
        <f>IF(AND(ISNUMBER(BP246),ISNUMBER(BP109)),IFERROR(BP246/BP109,""),"")</f>
        <v>0.358026769930129</v>
      </c>
      <c r="BQ259" s="215">
        <f>IF(AND(ISNUMBER(BQ246),ISNUMBER(BQ109)),IFERROR(BQ246/BQ109,""),"")</f>
        <v>0.37808828695211</v>
      </c>
      <c r="BR259" s="215">
        <f>IF(AND(ISNUMBER(BR246),ISNUMBER(BR109)),IFERROR(BR246/BR109,""),"")</f>
        <v>0.369609136293056</v>
      </c>
      <c r="BS259" s="215">
        <f>IF(AND(ISNUMBER(BS246),ISNUMBER(BS109)),IFERROR(BS246/BS109,""),"")</f>
        <v>0.359339390742713</v>
      </c>
      <c r="BT259" s="215">
        <f>IF(AND(ISNUMBER(BT246),ISNUMBER(BT109)),IFERROR(BT246/BT109,""),"")</f>
        <v>0.352329029852072</v>
      </c>
      <c r="BU259" s="215">
        <f>IF(AND(ISNUMBER(BU246),ISNUMBER(BU109)),IFERROR(BU246/BU109,""),"")</f>
        <v>0.511142908833736</v>
      </c>
      <c r="BV259" s="24" t="n"/>
      <c r="BW259" s="24" t="n"/>
      <c r="BX259" s="256">
        <f>IF(AND(ISNUMBER(BX246),ISNUMBER(BX109)),IFERROR(BX246/BX109,""),"")</f>
        <v>0.544337988867589</v>
      </c>
      <c r="BY259" s="256">
        <f>IF(AND(ISNUMBER(BY246),ISNUMBER(BY109)),IFERROR(BY246/BY109,""),"")</f>
        <v>0.473296516572849</v>
      </c>
      <c r="BZ259" s="256">
        <f>IF(AND(ISNUMBER(BZ246),ISNUMBER(BZ109)),IFERROR(BZ246/BZ109,""),"")</f>
        <v>0.391482968088765</v>
      </c>
      <c r="CA259" s="256">
        <f>IF(AND(ISNUMBER(CA246),ISNUMBER(CA109)),IFERROR(CA246/CA109,""),"")</f>
        <v>0.320104392735043</v>
      </c>
      <c r="CB259" s="256">
        <f>IF(AND(ISNUMBER(CB246),ISNUMBER(CB109)),IFERROR(CB246/CB109,""),"")</f>
        <v>0.269062720566375</v>
      </c>
      <c r="CC259" s="256">
        <f>IF(AND(ISNUMBER(CC246),ISNUMBER(CC109)),IFERROR(CC246/CC109,""),"")</f>
        <v>0.238211230642159</v>
      </c>
      <c r="CD259" s="153" t="n"/>
      <c r="CF259" s="37">
        <f>IFERROR(AVERAGE(BY259,BZ259,CA259,CB259,CC259),"n/m")</f>
        <v>0.338431565721038</v>
      </c>
      <c r="CG259" s="37">
        <f>IFERROR(AVERAGE(AY259,BD259,BI259,BN259,BS259),"n/m")</f>
        <v>0.248804479724518</v>
      </c>
      <c r="CH259" s="37">
        <f>IFERROR(AVERAGE(Z259,AE259,AJ259,AO259,AT259,AY259,BD259,BI259,BN259,BS259),"n/m")</f>
        <v>0.223690646675656</v>
      </c>
      <c r="CI259" s="37">
        <f>IFERROR(AVERAGE(C259,D259,E259,F259,K259,P259,U259,Z259,AE259,AJ259,AO259,AT259,AY259,BD259,BI259,BN259,BS259),"n/m")</f>
        <v>0.21166329321109</v>
      </c>
    </row>
    <row r="260" ht="15" customHeight="1" s="251">
      <c r="B260" s="25" t="inlineStr">
        <is>
          <t xml:space="preserve">  Capex incl. finance leases / D&amp;A (x)</t>
        </is>
      </c>
      <c r="C260" s="279">
        <f>IF(ISNUMBER(C246),IFERROR(C246/C89,""),"")</f>
        <v>1.03846153846154</v>
      </c>
      <c r="D260" s="279">
        <f>IF(ISNUMBER(D246),IFERROR(D246/D89,""),"")</f>
        <v>2.75539568345324</v>
      </c>
      <c r="E260" s="279">
        <f>IF(ISNUMBER(E246),IFERROR(E246/E89,""),"")</f>
        <v>2.43653250773994</v>
      </c>
      <c r="F260" s="279">
        <f>IF(ISNUMBER(F246),IFERROR(F246/F89,""),"")</f>
        <v>2.46687211093991</v>
      </c>
      <c r="G260" s="279">
        <f>IF(ISNUMBER(G246),IFERROR(G246/G89,""),"")</f>
        <v>1.80912863070539</v>
      </c>
      <c r="H260" s="279">
        <f>IF(ISNUMBER(H246),IFERROR(H246/H89,""),"")</f>
        <v>1.56086956521739</v>
      </c>
      <c r="I260" s="279">
        <f>IF(ISNUMBER(I246),IFERROR(I246/I89,""),"")</f>
        <v>1.36861313868613</v>
      </c>
      <c r="J260" s="279">
        <f>IF(ISNUMBER(J246),IFERROR(J246/J89,""),"")</f>
        <v>2.12773722627737</v>
      </c>
      <c r="K260" s="279">
        <f>IF(ISNUMBER(K246),IFERROR(K246/K89,""),"")</f>
        <v>1.73392680514342</v>
      </c>
      <c r="L260" s="279">
        <f>IF(ISNUMBER(L246),IFERROR(L246/L89,""),"")</f>
        <v>1.69318181818182</v>
      </c>
      <c r="M260" s="279">
        <f>IF(ISNUMBER(M246),IFERROR(M246/M89,""),"")</f>
        <v>2.08171206225681</v>
      </c>
      <c r="N260" s="279">
        <f>IF(ISNUMBER(N246),IFERROR(N246/N89,""),"")</f>
        <v>1.83737024221453</v>
      </c>
      <c r="O260" s="279">
        <f>IF(ISNUMBER(O246),IFERROR(O246/O89,""),"")</f>
        <v>1.29561200923788</v>
      </c>
      <c r="P260" s="279">
        <f>IF(ISNUMBER(P246),IFERROR(P246/P89,""),"")</f>
        <v>1.668543845535</v>
      </c>
      <c r="Q260" s="279">
        <f>IF(ISNUMBER(Q246),IFERROR(Q246/Q89,""),"")</f>
        <v>1.20131291028446</v>
      </c>
      <c r="R260" s="279">
        <f>IF(ISNUMBER(R246),IFERROR(R246/R89,""),"")</f>
        <v>1.27668845315904</v>
      </c>
      <c r="S260" s="279">
        <f>IF(ISNUMBER(S246),IFERROR(S246/S89,""),"")</f>
        <v>1.6522633744856</v>
      </c>
      <c r="T260" s="279">
        <f>IF(ISNUMBER(T246),IFERROR(T246/T89,""),"")</f>
        <v>1.29650092081031</v>
      </c>
      <c r="U260" s="279">
        <f>IF(ISNUMBER(U246),IFERROR(U246/U89,""),"")</f>
        <v>1.35835475578406</v>
      </c>
      <c r="V260" s="279">
        <f>IF(ISNUMBER(V246),IFERROR(V246/V89,""),"")</f>
        <v>2.61594202898551</v>
      </c>
      <c r="W260" s="279">
        <f>IF(ISNUMBER(W246),IFERROR(W246/W89,""),"")</f>
        <v>1.7008547008547</v>
      </c>
      <c r="X260" s="279">
        <f>IF(ISNUMBER(X246),IFERROR(X246/X89,""),"")</f>
        <v>1.85279187817259</v>
      </c>
      <c r="Y260" s="279">
        <f>IF(ISNUMBER(Y246),IFERROR(Y246/Y89,""),"")</f>
        <v>2.06677524429967</v>
      </c>
      <c r="Z260" s="279">
        <f>IF(ISNUMBER(Z246),IFERROR(Z246/Z89,""),"")</f>
        <v>2.05081127241674</v>
      </c>
      <c r="AA260" s="279">
        <f>IF(ISNUMBER(AA246),IFERROR(AA246/AA89,""),"")</f>
        <v>1.89418777943368</v>
      </c>
      <c r="AB260" s="279">
        <f>IF(ISNUMBER(AB246),IFERROR(AB246/AB89,""),"")</f>
        <v>1.98351648351648</v>
      </c>
      <c r="AC260" s="279">
        <f>IF(ISNUMBER(AC246),IFERROR(AC246/AC89,""),"")</f>
        <v>2.27037516170763</v>
      </c>
      <c r="AD260" s="279">
        <f>IF(ISNUMBER(AD246),IFERROR(AD246/AD89,""),"")</f>
        <v>2.65181711606096</v>
      </c>
      <c r="AE260" s="279">
        <f>IF(ISNUMBER(AE246),IFERROR(AE246/AE89,""),"")</f>
        <v>2.22578512396694</v>
      </c>
      <c r="AF260" s="279">
        <f>IF(ISNUMBER(AF246),IFERROR(AF246/AF89,""),"")</f>
        <v>2.96311907270811</v>
      </c>
      <c r="AG260" s="279">
        <f>IF(ISNUMBER(AG246),IFERROR(AG246/AG89,""),"")</f>
        <v>3.34526112185687</v>
      </c>
      <c r="AH260" s="279">
        <f>IF(ISNUMBER(AH246),IFERROR(AH246/AH89,""),"")</f>
        <v>3.01987353206865</v>
      </c>
      <c r="AI260" s="279">
        <f>IF(ISNUMBER(AI246),IFERROR(AI246/AI89,""),"")</f>
        <v>3.56408163265306</v>
      </c>
      <c r="AJ260" s="279">
        <f>IF(ISNUMBER(AJ246),IFERROR(AJ246/AJ89,""),"")</f>
        <v>3.22479721900348</v>
      </c>
      <c r="AK260" s="279">
        <f>IF(ISNUMBER(AK246),IFERROR(AK246/AK89,""),"")</f>
        <v>2.9239852398524</v>
      </c>
      <c r="AL260" s="279">
        <f>IF(ISNUMBER(AL246),IFERROR(AL246/AL89,""),"")</f>
        <v>2.5133155792277</v>
      </c>
      <c r="AM260" s="279">
        <f>IF(ISNUMBER(AM246),IFERROR(AM246/AM89,""),"")</f>
        <v>2.59604519774011</v>
      </c>
      <c r="AN260" s="279">
        <f>IF(ISNUMBER(AN246),IFERROR(AN246/AN89,""),"")</f>
        <v>2.88896457765668</v>
      </c>
      <c r="AO260" s="279">
        <f>IF(ISNUMBER(AO246),IFERROR(AO246/AO89,""),"")</f>
        <v>2.72670266504093</v>
      </c>
      <c r="AP260" s="279">
        <f>IF(ISNUMBER(AP246),IFERROR(AP246/AP89,""),"")</f>
        <v>2.29054477144646</v>
      </c>
      <c r="AQ260" s="279">
        <f>IF(ISNUMBER(AQ246),IFERROR(AQ246/AQ89,""),"")</f>
        <v>1.97417840375587</v>
      </c>
      <c r="AR260" s="279">
        <f>IF(ISNUMBER(AR246),IFERROR(AR246/AR89,""),"")</f>
        <v>2.28386336866902</v>
      </c>
      <c r="AS260" s="279">
        <f>IF(ISNUMBER(AS246),IFERROR(AS246/AS89,""),"")</f>
        <v>2.58615136876006</v>
      </c>
      <c r="AT260" s="279">
        <f>IF(ISNUMBER(AT246),IFERROR(AT246/AT89,""),"")</f>
        <v>2.29073156514136</v>
      </c>
      <c r="AU260" s="279">
        <f>IF(ISNUMBER(AU246),IFERROR(AU246/AU89,""),"")</f>
        <v>2.24290060851927</v>
      </c>
      <c r="AV260" s="279">
        <f>IF(ISNUMBER(AV246),IFERROR(AV246/AV89,""),"")</f>
        <v>2.38539042821159</v>
      </c>
      <c r="AW260" s="279">
        <f>IF(ISNUMBER(AW246),IFERROR(AW246/AW89,""),"")</f>
        <v>2.27769423558897</v>
      </c>
      <c r="AX260" s="279">
        <f>IF(ISNUMBER(AX246),IFERROR(AX246/AX89,""),"")</f>
        <v>2.75173783515392</v>
      </c>
      <c r="AY260" s="279">
        <f>IF(ISNUMBER(AY246),IFERROR(AY246/AY89,""),"")</f>
        <v>2.41546378812602</v>
      </c>
      <c r="AZ260" s="279">
        <f>IF(ISNUMBER(AZ246),IFERROR(AZ246/AZ89,""),"")</f>
        <v>2.57328385899814</v>
      </c>
      <c r="BA260" s="279">
        <f>IF(ISNUMBER(BA246),IFERROR(BA246/BA89,""),"")</f>
        <v>3.91460333501769</v>
      </c>
      <c r="BB260" s="279">
        <f>IF(ISNUMBER(BB246),IFERROR(BB246/BB89,""),"")</f>
        <v>4.37609195402299</v>
      </c>
      <c r="BC260" s="279">
        <f>IF(ISNUMBER(BC246),IFERROR(BC246/BC89,""),"")</f>
        <v>3.88173400673401</v>
      </c>
      <c r="BD260" s="279">
        <f>IF(ISNUMBER(BD246),IFERROR(BD246/BD89,""),"")</f>
        <v>3.68823393967304</v>
      </c>
      <c r="BE260" s="279">
        <f>IF(ISNUMBER(BE246),IFERROR(BE246/BE89,""),"")</f>
        <v>2.80784469096672</v>
      </c>
      <c r="BF260" s="279">
        <f>IF(ISNUMBER(BF246),IFERROR(BF246/BF89,""),"")</f>
        <v>2.42241707967976</v>
      </c>
      <c r="BG260" s="279">
        <f>IF(ISNUMBER(BG246),IFERROR(BG246/BG89,""),"")</f>
        <v>2.36634009797061</v>
      </c>
      <c r="BH260" s="279">
        <f>IF(ISNUMBER(BH246),IFERROR(BH246/BH89,""),"")</f>
        <v>2.49022698612863</v>
      </c>
      <c r="BI260" s="279">
        <f>IF(ISNUMBER(BI246),IFERROR(BI246/BI89,""),"")</f>
        <v>2.51413490785472</v>
      </c>
      <c r="BJ260" s="279">
        <f>IF(ISNUMBER(BJ246),IFERROR(BJ246/BJ89,""),"")</f>
        <v>1.99021932424422</v>
      </c>
      <c r="BK260" s="279">
        <f>IF(ISNUMBER(BK246),IFERROR(BK246/BK89,""),"")</f>
        <v>2.32939235633764</v>
      </c>
      <c r="BL260" s="279">
        <f>IF(ISNUMBER(BL246),IFERROR(BL246/BL89,""),"")</f>
        <v>2.28507573876335</v>
      </c>
      <c r="BM260" s="279">
        <f>IF(ISNUMBER(BM246),IFERROR(BM246/BM89,""),"")</f>
        <v>3.32645739910314</v>
      </c>
      <c r="BN260" s="279">
        <f>IF(ISNUMBER(BN246),IFERROR(BN246/BN89,""),"")</f>
        <v>2.53097173828881</v>
      </c>
      <c r="BO260" s="279">
        <f>IF(ISNUMBER(BO246),IFERROR(BO246/BO89,""),"")</f>
        <v>3.51076923076923</v>
      </c>
      <c r="BP260" s="279">
        <f>IF(ISNUMBER(BP246),IFERROR(BP246/BP89,""),"")</f>
        <v>3.918010133579</v>
      </c>
      <c r="BQ260" s="279">
        <f>IF(ISNUMBER(BQ246),IFERROR(BQ246/BQ89,""),"")</f>
        <v>3.90368728591578</v>
      </c>
      <c r="BR260" s="279">
        <f>IF(ISNUMBER(BR246),IFERROR(BR246/BR89,""),"")</f>
        <v>4.09111070042506</v>
      </c>
      <c r="BS260" s="279">
        <f>IF(ISNUMBER(BS246),IFERROR(BS246/BS89,""),"")</f>
        <v>3.87918994413408</v>
      </c>
      <c r="BT260" s="279">
        <f>IF(ISNUMBER(BT246),IFERROR(BT246/BT89,""),"")</f>
        <v>3.30721786964494</v>
      </c>
      <c r="BU260" s="279">
        <f>IF(ISNUMBER(BU246),IFERROR(BU246/BU89,""),"")</f>
        <v>4.88955317809943</v>
      </c>
      <c r="BV260" s="35" t="n"/>
      <c r="BW260" s="35" t="n"/>
      <c r="BX260" s="280">
        <f>IF(ISNUMBER(BX246),IFERROR(BX246/BX89,""),"")</f>
        <v>5.20184985801258</v>
      </c>
      <c r="BY260" s="280">
        <f>IF(ISNUMBER(BY246),IFERROR(BY246/BY89,""),"")</f>
        <v>3.50167816055609</v>
      </c>
      <c r="BZ260" s="280">
        <f>IF(ISNUMBER(BZ246),IFERROR(BZ246/BZ89,""),"")</f>
        <v>2.64423795371438</v>
      </c>
      <c r="CA260" s="280">
        <f>IF(ISNUMBER(CA246),IFERROR(CA246/CA89,""),"")</f>
        <v>2.00603972882035</v>
      </c>
      <c r="CB260" s="280">
        <f>IF(ISNUMBER(CB246),IFERROR(CB246/CB89,""),"")</f>
        <v>1.69449141921405</v>
      </c>
      <c r="CC260" s="280">
        <f>IF(ISNUMBER(CC246),IFERROR(CC246/CC89,""),"")</f>
        <v>1.53504737661092</v>
      </c>
      <c r="CD260" s="19" t="n"/>
    </row>
    <row r="261" ht="15" customHeight="1" s="251">
      <c r="CL261" s="11" t="n"/>
      <c r="CM261" s="12" t="n"/>
      <c r="CN261" s="12" t="n"/>
      <c r="CO261" s="12" t="n"/>
      <c r="CP261" s="13" t="n"/>
    </row>
    <row r="262" ht="15" customHeight="1" s="251">
      <c r="B262" s="10" t="inlineStr">
        <is>
          <t>SHARE BUYBACK SCHEDULE</t>
        </is>
      </c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  <c r="AD262" s="10" t="n"/>
      <c r="AE262" s="10" t="n"/>
      <c r="AF262" s="10" t="n"/>
      <c r="AG262" s="10" t="n"/>
      <c r="AH262" s="10" t="n"/>
      <c r="AI262" s="10" t="n"/>
      <c r="AJ262" s="10" t="n"/>
      <c r="AK262" s="10" t="n"/>
      <c r="AL262" s="10" t="n"/>
      <c r="AM262" s="10" t="n"/>
      <c r="AN262" s="10" t="n"/>
      <c r="AO262" s="10" t="n"/>
      <c r="AP262" s="10" t="n"/>
      <c r="AQ262" s="10" t="n"/>
      <c r="AR262" s="10" t="n"/>
      <c r="AS262" s="10" t="n"/>
      <c r="AT262" s="10" t="n"/>
      <c r="AU262" s="10" t="n"/>
      <c r="AV262" s="10" t="n"/>
      <c r="AW262" s="10" t="n"/>
      <c r="AX262" s="10" t="n"/>
      <c r="AY262" s="10" t="n"/>
      <c r="AZ262" s="10" t="n"/>
      <c r="BA262" s="10" t="n"/>
      <c r="BB262" s="10" t="n"/>
      <c r="BC262" s="10" t="n"/>
      <c r="BD262" s="10" t="n"/>
      <c r="BE262" s="10" t="n"/>
      <c r="BF262" s="10" t="n"/>
      <c r="BG262" s="10" t="n"/>
      <c r="BH262" s="10" t="n"/>
      <c r="BI262" s="10" t="n"/>
      <c r="BJ262" s="10" t="n"/>
      <c r="BK262" s="10" t="n"/>
      <c r="BL262" s="10" t="n"/>
      <c r="BM262" s="10" t="n"/>
      <c r="BN262" s="10" t="n"/>
      <c r="BO262" s="10" t="n"/>
      <c r="BP262" s="10" t="n"/>
      <c r="BQ262" s="10" t="n"/>
      <c r="BR262" s="10" t="n"/>
      <c r="BS262" s="10" t="n"/>
      <c r="BT262" s="10" t="n"/>
      <c r="BU262" s="10" t="n"/>
      <c r="BV262" s="10" t="n"/>
      <c r="BW262" s="10" t="n"/>
      <c r="BX262" s="10" t="n"/>
      <c r="BY262" s="10" t="n"/>
      <c r="BZ262" s="10" t="n"/>
      <c r="CA262" s="10" t="n"/>
      <c r="CB262" s="10" t="n"/>
      <c r="CC262" s="10" t="n"/>
      <c r="CD262" s="10" t="inlineStr">
        <is>
          <t>SHARES — 2026E = 2H from shares outstanding at 30-Jun-2026; 2027E+ buybacks via the leverage plug</t>
        </is>
      </c>
    </row>
    <row r="263" ht="15" customHeight="1" s="251">
      <c r="B263" s="25" t="inlineStr">
        <is>
          <t xml:space="preserve">  Avg buyback price ($)</t>
        </is>
      </c>
      <c r="C263" s="34" t="n"/>
      <c r="D263" s="34" t="n"/>
      <c r="E263" s="34" t="n"/>
      <c r="F263" s="34" t="n"/>
      <c r="G263" s="34" t="n"/>
      <c r="H263" s="34" t="n"/>
      <c r="I263" s="34" t="n"/>
      <c r="J263" s="34" t="n"/>
      <c r="K263" s="34" t="n"/>
      <c r="L263" s="34" t="n"/>
      <c r="M263" s="34" t="n"/>
      <c r="N263" s="34" t="n"/>
      <c r="O263" s="34" t="n"/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  <c r="AA263" s="34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34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34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5" t="n"/>
      <c r="BW263" s="35" t="n"/>
      <c r="BX263" s="281">
        <f>BX371</f>
        <v>745</v>
      </c>
      <c r="BY263" s="281">
        <f>BX263*(1+BY317)</f>
        <v>804.6</v>
      </c>
      <c r="BZ263" s="281">
        <f>BY263*(1+BZ317)</f>
        <v>868.968</v>
      </c>
      <c r="CA263" s="281">
        <f>BZ263*(1+CA317)</f>
        <v>938.48544</v>
      </c>
      <c r="CB263" s="281">
        <f>CA263*(1+CB317)</f>
        <v>1013.5642752</v>
      </c>
      <c r="CC263" s="281">
        <f>CB263*(1+CC317)</f>
        <v>1094.649417216</v>
      </c>
      <c r="CD263" s="19" t="n"/>
    </row>
    <row r="264" ht="15" customHeight="1" s="251">
      <c r="B264" s="25" t="inlineStr">
        <is>
          <t xml:space="preserve">  Buyback cash deployed (USDm; 2026E = 2H)</t>
        </is>
      </c>
      <c r="C264" s="34" t="n"/>
      <c r="D264" s="34" t="n"/>
      <c r="E264" s="34" t="n"/>
      <c r="F264" s="34" t="n"/>
      <c r="G264" s="34" t="n"/>
      <c r="H264" s="34" t="n"/>
      <c r="I264" s="34" t="n"/>
      <c r="J264" s="34" t="n"/>
      <c r="K264" s="34" t="n"/>
      <c r="L264" s="34" t="n"/>
      <c r="M264" s="34" t="n"/>
      <c r="N264" s="34" t="n"/>
      <c r="O264" s="34" t="n"/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  <c r="AA264" s="34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34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34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5" t="n"/>
      <c r="BW264" s="35" t="n"/>
      <c r="BX264" s="263">
        <f>CHOOSE(MATCH($CD$2,{"Bull","Base","Bear"},0),$CM$14,$CN$14,$CO$14)</f>
        <v>0</v>
      </c>
      <c r="BY264" s="263">
        <f>-BY231</f>
        <v>0</v>
      </c>
      <c r="BZ264" s="263">
        <f>-BZ231</f>
        <v>6085.81770896151</v>
      </c>
      <c r="CA264" s="263">
        <f>-CA231</f>
        <v>52781.4727566973</v>
      </c>
      <c r="CB264" s="263">
        <f>-CB231</f>
        <v>83608.9017901996</v>
      </c>
      <c r="CC264" s="263">
        <f>-CC231</f>
        <v>109091.744402072</v>
      </c>
      <c r="CD264" s="19" t="n"/>
    </row>
    <row r="265" ht="15" customHeight="1" s="251">
      <c r="B265" s="25" t="inlineStr">
        <is>
          <t xml:space="preserve">  Implied shares repurchased (m)</t>
        </is>
      </c>
      <c r="C265" s="34" t="n"/>
      <c r="D265" s="34" t="n"/>
      <c r="E265" s="34" t="n"/>
      <c r="F265" s="34" t="n"/>
      <c r="G265" s="34" t="n"/>
      <c r="H265" s="34" t="n"/>
      <c r="I265" s="34" t="n"/>
      <c r="J265" s="34" t="n"/>
      <c r="K265" s="34" t="n"/>
      <c r="L265" s="34" t="n"/>
      <c r="M265" s="34" t="n"/>
      <c r="N265" s="34" t="n"/>
      <c r="O265" s="34" t="n"/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  <c r="AA265" s="34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34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34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5" t="n"/>
      <c r="BW265" s="35" t="n"/>
      <c r="BX265" s="281">
        <f>IFERROR(BX264/BX263,0)</f>
        <v>0</v>
      </c>
      <c r="BY265" s="281">
        <f>IFERROR(BY264/BY263,0)</f>
        <v>0</v>
      </c>
      <c r="BZ265" s="281">
        <f>IFERROR(BZ264/BZ263,0)</f>
        <v>7.00350036935941</v>
      </c>
      <c r="CA265" s="281">
        <f>IFERROR(CA264/CA263,0)</f>
        <v>56.2411205406632</v>
      </c>
      <c r="CB265" s="281">
        <f>IFERROR(CB264/CB263,0)</f>
        <v>82.4899849333202</v>
      </c>
      <c r="CC265" s="281">
        <f>IFERROR(CC264/CC263,0)</f>
        <v>99.6590713760416</v>
      </c>
      <c r="CD265" s="19" t="n"/>
    </row>
    <row r="266" ht="15" customHeight="1" s="251">
      <c r="B266" s="25" t="inlineStr">
        <is>
          <t xml:space="preserve">  Shares issued under equity plans, net of shares withheld for taxes (m)</t>
        </is>
      </c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  <c r="AV266" s="36" t="n"/>
      <c r="AW266" s="36" t="n"/>
      <c r="AX266" s="36" t="n"/>
      <c r="AY266" s="36" t="n"/>
      <c r="AZ266" s="36" t="n"/>
      <c r="BA266" s="36" t="n"/>
      <c r="BB266" s="36" t="n"/>
      <c r="BC266" s="36" t="n"/>
      <c r="BD266" s="36" t="n"/>
      <c r="BE266" s="36" t="n"/>
      <c r="BF266" s="36" t="n"/>
      <c r="BG266" s="36" t="n"/>
      <c r="BH266" s="36" t="n"/>
      <c r="BI266" s="36" t="n"/>
      <c r="BJ266" s="36" t="n"/>
      <c r="BK266" s="36" t="n"/>
      <c r="BL266" s="36" t="n"/>
      <c r="BM266" s="36" t="n"/>
      <c r="BN266" s="36" t="n"/>
      <c r="BO266" s="36" t="n"/>
      <c r="BP266" s="36" t="n"/>
      <c r="BQ266" s="36" t="n"/>
      <c r="BR266" s="36" t="n"/>
      <c r="BS266" s="36" t="n"/>
      <c r="BT266" s="36" t="n"/>
      <c r="BU266" s="36" t="n"/>
      <c r="BV266" s="24" t="n"/>
      <c r="BW266" s="24" t="n"/>
      <c r="BX266" s="282" t="n">
        <v>18</v>
      </c>
      <c r="BY266" s="282" t="n">
        <v>30</v>
      </c>
      <c r="BZ266" s="282" t="n">
        <v>30</v>
      </c>
      <c r="CA266" s="282" t="n">
        <v>30</v>
      </c>
      <c r="CB266" s="282" t="n">
        <v>30</v>
      </c>
      <c r="CC266" s="282" t="n">
        <v>30</v>
      </c>
      <c r="CD266" s="19" t="inlineStr">
        <is>
          <t>Net shares issued on RSU vesting after shares withheld for taxes (assumption): 1H/26 +18m with no repurchases (2,530m → 2,548m); 2H/26E +18m; 2027E+ 30m a year.</t>
        </is>
      </c>
    </row>
    <row r="267" ht="15" customHeight="1" s="251">
      <c r="B267" s="25" t="inlineStr">
        <is>
          <t xml:space="preserve">  Beginning shares outstanding (m)</t>
        </is>
      </c>
      <c r="C267" s="34" t="n"/>
      <c r="D267" s="34" t="n"/>
      <c r="E267" s="34" t="n"/>
      <c r="F267" s="34" t="n"/>
      <c r="G267" s="34" t="n"/>
      <c r="H267" s="34" t="n"/>
      <c r="I267" s="34" t="n"/>
      <c r="J267" s="34" t="n"/>
      <c r="K267" s="34" t="n"/>
      <c r="L267" s="34" t="n"/>
      <c r="M267" s="34" t="n"/>
      <c r="N267" s="34" t="n"/>
      <c r="O267" s="34" t="n"/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  <c r="AA267" s="34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34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34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5" t="n"/>
      <c r="BW267" s="35" t="n"/>
      <c r="BX267" s="283">
        <f>BU301</f>
        <v>2548</v>
      </c>
      <c r="BY267" s="283">
        <f>BX268</f>
        <v>2566</v>
      </c>
      <c r="BZ267" s="283">
        <f>BY268</f>
        <v>2596</v>
      </c>
      <c r="CA267" s="283">
        <f>BZ268</f>
        <v>2618.99649963064</v>
      </c>
      <c r="CB267" s="283">
        <f>CA268</f>
        <v>2592.75537908998</v>
      </c>
      <c r="CC267" s="283">
        <f>CB268</f>
        <v>2540.26539415666</v>
      </c>
      <c r="CD267" s="19" t="inlineStr">
        <is>
          <t>2026E begins from Class A + Class B shares outstanding at 30-Jun-2026 (Q2-26 10-Q balance sheet).</t>
        </is>
      </c>
    </row>
    <row r="268" ht="15" customHeight="1" s="251">
      <c r="B268" s="25" t="inlineStr">
        <is>
          <t xml:space="preserve">  Ending shares outstanding (m)</t>
        </is>
      </c>
      <c r="C268" s="34" t="n"/>
      <c r="D268" s="34" t="n"/>
      <c r="E268" s="34" t="n"/>
      <c r="F268" s="34" t="n"/>
      <c r="G268" s="34" t="n"/>
      <c r="H268" s="34" t="n"/>
      <c r="I268" s="34" t="n"/>
      <c r="J268" s="34" t="n"/>
      <c r="K268" s="34" t="n"/>
      <c r="L268" s="34" t="n"/>
      <c r="M268" s="34" t="n"/>
      <c r="N268" s="34" t="n"/>
      <c r="O268" s="34" t="n"/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  <c r="AA268" s="34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34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34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5" t="n"/>
      <c r="BW268" s="35" t="n"/>
      <c r="BX268" s="283">
        <f>BX267-BX265+BX266</f>
        <v>2566</v>
      </c>
      <c r="BY268" s="283">
        <f>BY267-BY265+BY266</f>
        <v>2596</v>
      </c>
      <c r="BZ268" s="283">
        <f>BZ267-BZ265+BZ266</f>
        <v>2618.99649963064</v>
      </c>
      <c r="CA268" s="283">
        <f>CA267-CA265+CA266</f>
        <v>2592.75537908998</v>
      </c>
      <c r="CB268" s="283">
        <f>CB267-CB265+CB266</f>
        <v>2540.26539415666</v>
      </c>
      <c r="CC268" s="283">
        <f>CC267-CC265+CC266</f>
        <v>2470.60632278062</v>
      </c>
      <c r="CD268" s="19" t="n"/>
    </row>
    <row r="269" ht="15" customHeight="1" s="251">
      <c r="B269" s="25" t="inlineStr">
        <is>
          <t xml:space="preserve">  % of shares repurchased</t>
        </is>
      </c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  <c r="AV269" s="36" t="n"/>
      <c r="AW269" s="36" t="n"/>
      <c r="AX269" s="36" t="n"/>
      <c r="AY269" s="36" t="n"/>
      <c r="AZ269" s="36" t="n"/>
      <c r="BA269" s="36" t="n"/>
      <c r="BB269" s="36" t="n"/>
      <c r="BC269" s="36" t="n"/>
      <c r="BD269" s="36" t="n"/>
      <c r="BE269" s="36" t="n"/>
      <c r="BF269" s="36" t="n"/>
      <c r="BG269" s="36" t="n"/>
      <c r="BH269" s="36" t="n"/>
      <c r="BI269" s="36" t="n"/>
      <c r="BJ269" s="36" t="n"/>
      <c r="BK269" s="36" t="n"/>
      <c r="BL269" s="36" t="n"/>
      <c r="BM269" s="36" t="n"/>
      <c r="BN269" s="36" t="n"/>
      <c r="BO269" s="36" t="n"/>
      <c r="BP269" s="36" t="n"/>
      <c r="BQ269" s="36" t="n"/>
      <c r="BR269" s="36" t="n"/>
      <c r="BS269" s="36" t="n"/>
      <c r="BT269" s="36" t="n"/>
      <c r="BU269" s="36" t="n"/>
      <c r="BV269" s="24" t="n"/>
      <c r="BW269" s="24" t="n"/>
      <c r="BX269" s="256">
        <f>IF(AND(ISNUMBER(BX265),ISNUMBER(BX267)),IFERROR(BX265/BX267,""),"")</f>
        <v>0</v>
      </c>
      <c r="BY269" s="256">
        <f>IF(AND(ISNUMBER(BY265),ISNUMBER(BY267)),IFERROR(BY265/BY267,""),"")</f>
        <v>0</v>
      </c>
      <c r="BZ269" s="256">
        <f>IF(AND(ISNUMBER(BZ265),ISNUMBER(BZ267)),IFERROR(BZ265/BZ267,""),"")</f>
        <v>0.00269780445660994</v>
      </c>
      <c r="CA269" s="256">
        <f>IF(AND(ISNUMBER(CA265),ISNUMBER(CA267)),IFERROR(CA265/CA267,""),"")</f>
        <v>0.0214743015306034</v>
      </c>
      <c r="CB269" s="256">
        <f>IF(AND(ISNUMBER(CB265),ISNUMBER(CB267)),IFERROR(CB265/CB267,""),"")</f>
        <v>0.0318155679469743</v>
      </c>
      <c r="CC269" s="256">
        <f>IF(AND(ISNUMBER(CC265),ISNUMBER(CC267)),IFERROR(CC265/CC267,""),"")</f>
        <v>0.0392317557076068</v>
      </c>
      <c r="CD269" s="153" t="n"/>
    </row>
    <row r="270" ht="15" customHeight="1" s="251">
      <c r="B270" s="156" t="inlineStr">
        <is>
          <t xml:space="preserve">  Memo: cumulative shares repurchased since 2H/26 (m)</t>
        </is>
      </c>
      <c r="C270" s="34" t="n"/>
      <c r="D270" s="34" t="n"/>
      <c r="E270" s="34" t="n"/>
      <c r="F270" s="34" t="n"/>
      <c r="G270" s="34" t="n"/>
      <c r="H270" s="34" t="n"/>
      <c r="I270" s="34" t="n"/>
      <c r="J270" s="34" t="n"/>
      <c r="K270" s="34" t="n"/>
      <c r="L270" s="34" t="n"/>
      <c r="M270" s="34" t="n"/>
      <c r="N270" s="34" t="n"/>
      <c r="O270" s="34" t="n"/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  <c r="AA270" s="34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34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34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153" t="n"/>
      <c r="BW270" s="153" t="n"/>
      <c r="BX270" s="284">
        <f>BX265</f>
        <v>0</v>
      </c>
      <c r="BY270" s="284">
        <f>BX270+BY265</f>
        <v>0</v>
      </c>
      <c r="BZ270" s="284">
        <f>BY270+BZ265</f>
        <v>7.00350036935941</v>
      </c>
      <c r="CA270" s="284">
        <f>BZ270+CA265</f>
        <v>63.2446209100226</v>
      </c>
      <c r="CB270" s="284">
        <f>CA270+CB265</f>
        <v>145.734605843343</v>
      </c>
      <c r="CC270" s="284">
        <f>CB270+CC265</f>
        <v>245.393677219384</v>
      </c>
      <c r="CD270" s="153" t="n"/>
    </row>
    <row r="271" ht="15" customHeight="1" s="251">
      <c r="CL271" s="11" t="n"/>
      <c r="CM271" s="12" t="n"/>
      <c r="CN271" s="12" t="n"/>
      <c r="CO271" s="12" t="n"/>
      <c r="CP271" s="13" t="n"/>
    </row>
    <row r="272" ht="15" customHeight="1" s="251">
      <c r="B272" s="10" t="inlineStr">
        <is>
          <t>CONDENSED CONSOLIDATED BALANCE SHEETS</t>
        </is>
      </c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0" t="n"/>
      <c r="BC272" s="10" t="n"/>
      <c r="BD272" s="10" t="n"/>
      <c r="BE272" s="10" t="n"/>
      <c r="BF272" s="10" t="n"/>
      <c r="BG272" s="10" t="n"/>
      <c r="BH272" s="10" t="n"/>
      <c r="BI272" s="10" t="n"/>
      <c r="BJ272" s="10" t="n"/>
      <c r="BK272" s="10" t="n"/>
      <c r="BL272" s="10" t="n"/>
      <c r="BM272" s="10" t="n"/>
      <c r="BN272" s="10" t="n"/>
      <c r="BO272" s="10" t="n"/>
      <c r="BP272" s="10" t="n"/>
      <c r="BQ272" s="10" t="n"/>
      <c r="BR272" s="10" t="n"/>
      <c r="BS272" s="10" t="n"/>
      <c r="BT272" s="10" t="n"/>
      <c r="BU272" s="10" t="n"/>
      <c r="BV272" s="10" t="n"/>
      <c r="BW272" s="10" t="n"/>
      <c r="BX272" s="10" t="n"/>
      <c r="BY272" s="10" t="n"/>
      <c r="BZ272" s="10" t="n"/>
      <c r="CA272" s="10" t="n"/>
      <c r="CB272" s="10" t="n"/>
      <c r="CC272" s="10" t="n"/>
      <c r="CD272" s="10" t="inlineStr">
        <is>
          <t>BS FORECAST — 2026E rolled forward from the 30-Jun-2026 balance sheet + 2H flows; 2027E+ from prior year end</t>
        </is>
      </c>
    </row>
    <row r="273" ht="15" customHeight="1" s="251">
      <c r="B273" s="25" t="inlineStr">
        <is>
          <t>ASSETS</t>
        </is>
      </c>
      <c r="CD273" s="153" t="n"/>
    </row>
    <row r="274" ht="15" customHeight="1" s="251">
      <c r="B274" s="25" t="inlineStr">
        <is>
          <t xml:space="preserve">  Cash and cash equivalents</t>
        </is>
      </c>
      <c r="C274" s="34" t="n"/>
      <c r="D274" s="261" t="n">
        <v>1785</v>
      </c>
      <c r="E274" s="261" t="n">
        <v>1512</v>
      </c>
      <c r="F274" s="261" t="n">
        <v>2384</v>
      </c>
      <c r="G274" s="261" t="n">
        <v>2325</v>
      </c>
      <c r="H274" s="261" t="n">
        <v>3001</v>
      </c>
      <c r="I274" s="261" t="n">
        <v>3100</v>
      </c>
      <c r="J274" s="261" t="n">
        <v>3323</v>
      </c>
      <c r="K274" s="261" t="n">
        <v>3323</v>
      </c>
      <c r="L274" s="261" t="n">
        <v>2998</v>
      </c>
      <c r="M274" s="261" t="n">
        <v>4384</v>
      </c>
      <c r="N274" s="261" t="n">
        <v>8999</v>
      </c>
      <c r="O274" s="261" t="n">
        <v>4315</v>
      </c>
      <c r="P274" s="261" t="n">
        <v>4315</v>
      </c>
      <c r="Q274" s="261" t="n">
        <v>3419</v>
      </c>
      <c r="R274" s="261" t="n">
        <v>5123</v>
      </c>
      <c r="S274" s="261" t="n">
        <v>4308</v>
      </c>
      <c r="T274" s="261" t="n">
        <v>4907</v>
      </c>
      <c r="U274" s="261" t="n">
        <v>4907</v>
      </c>
      <c r="V274" s="261" t="n">
        <v>6456</v>
      </c>
      <c r="W274" s="261" t="n">
        <v>5108</v>
      </c>
      <c r="X274" s="261" t="n">
        <v>6038</v>
      </c>
      <c r="Y274" s="261" t="n">
        <v>8903</v>
      </c>
      <c r="Z274" s="261" t="n">
        <v>8903</v>
      </c>
      <c r="AA274" s="261" t="n">
        <v>7104</v>
      </c>
      <c r="AB274" s="261" t="n">
        <v>6252</v>
      </c>
      <c r="AC274" s="261" t="n">
        <v>7201</v>
      </c>
      <c r="AD274" s="261" t="n">
        <v>8079</v>
      </c>
      <c r="AE274" s="261" t="n">
        <v>8079</v>
      </c>
      <c r="AF274" s="261" t="n">
        <v>12082</v>
      </c>
      <c r="AG274" s="261" t="n">
        <v>11552</v>
      </c>
      <c r="AH274" s="261" t="n">
        <v>9637</v>
      </c>
      <c r="AI274" s="261" t="n">
        <v>10019</v>
      </c>
      <c r="AJ274" s="261" t="n">
        <v>10019</v>
      </c>
      <c r="AK274" s="261" t="n">
        <v>11076</v>
      </c>
      <c r="AL274" s="261" t="n">
        <v>13877</v>
      </c>
      <c r="AM274" s="261" t="n">
        <v>15979</v>
      </c>
      <c r="AN274" s="261" t="n">
        <v>19079</v>
      </c>
      <c r="AO274" s="261" t="n">
        <v>19079</v>
      </c>
      <c r="AP274" s="261" t="n">
        <v>23618</v>
      </c>
      <c r="AQ274" s="261" t="n">
        <v>21045</v>
      </c>
      <c r="AR274" s="261" t="n">
        <v>11617</v>
      </c>
      <c r="AS274" s="261" t="n">
        <v>17576</v>
      </c>
      <c r="AT274" s="261" t="n">
        <v>17576</v>
      </c>
      <c r="AU274" s="261" t="n">
        <v>19513</v>
      </c>
      <c r="AV274" s="261" t="n">
        <v>16186</v>
      </c>
      <c r="AW274" s="261" t="n">
        <v>14496</v>
      </c>
      <c r="AX274" s="261" t="n">
        <v>16601</v>
      </c>
      <c r="AY274" s="261" t="n">
        <v>16601</v>
      </c>
      <c r="AZ274" s="261" t="n">
        <v>14886</v>
      </c>
      <c r="BA274" s="261" t="n">
        <v>12681</v>
      </c>
      <c r="BB274" s="261" t="n">
        <v>14308</v>
      </c>
      <c r="BC274" s="261" t="n">
        <v>14681</v>
      </c>
      <c r="BD274" s="261" t="n">
        <v>14681</v>
      </c>
      <c r="BE274" s="261" t="n">
        <v>11551</v>
      </c>
      <c r="BF274" s="261" t="n">
        <v>28785</v>
      </c>
      <c r="BG274" s="261" t="n">
        <v>36890</v>
      </c>
      <c r="BH274" s="261" t="n">
        <v>41862</v>
      </c>
      <c r="BI274" s="261" t="n">
        <v>41862</v>
      </c>
      <c r="BJ274" s="261" t="n">
        <v>32307</v>
      </c>
      <c r="BK274" s="261" t="n">
        <v>32045</v>
      </c>
      <c r="BL274" s="261" t="n">
        <v>43852</v>
      </c>
      <c r="BM274" s="261" t="n">
        <v>43889</v>
      </c>
      <c r="BN274" s="261" t="n">
        <v>43889</v>
      </c>
      <c r="BO274" s="261" t="n">
        <v>28750</v>
      </c>
      <c r="BP274" s="261" t="n">
        <v>12005</v>
      </c>
      <c r="BQ274" s="261" t="n">
        <v>10187</v>
      </c>
      <c r="BR274" s="261" t="n">
        <v>35873</v>
      </c>
      <c r="BS274" s="261" t="n">
        <v>35873</v>
      </c>
      <c r="BT274" s="261" t="n">
        <v>23426</v>
      </c>
      <c r="BU274" s="261" t="n">
        <v>15462</v>
      </c>
      <c r="BV274" s="35" t="n"/>
      <c r="BW274" s="35" t="n"/>
      <c r="BX274" s="263">
        <f>BX242-BX299</f>
        <v>15000</v>
      </c>
      <c r="BY274" s="263">
        <f>BY242-BY299</f>
        <v>15000</v>
      </c>
      <c r="BZ274" s="263">
        <f>BZ242-BZ299</f>
        <v>15000</v>
      </c>
      <c r="CA274" s="263">
        <f>CA242-CA299</f>
        <v>15000</v>
      </c>
      <c r="CB274" s="263">
        <f>CB242-CB299</f>
        <v>15000</v>
      </c>
      <c r="CC274" s="263">
        <f>CC242-CC299</f>
        <v>15000</v>
      </c>
      <c r="CD274" s="19" t="n"/>
    </row>
    <row r="275" ht="15" customHeight="1" s="251">
      <c r="B275" s="25" t="inlineStr">
        <is>
          <t xml:space="preserve">  Marketable securities</t>
        </is>
      </c>
      <c r="C275" s="34" t="n"/>
      <c r="D275" s="261" t="n">
        <v>0</v>
      </c>
      <c r="E275" s="261" t="n">
        <v>2396</v>
      </c>
      <c r="F275" s="261" t="n">
        <v>7242</v>
      </c>
      <c r="G275" s="261" t="n">
        <v>7147</v>
      </c>
      <c r="H275" s="261" t="n">
        <v>7251</v>
      </c>
      <c r="I275" s="261" t="n">
        <v>6228</v>
      </c>
      <c r="J275" s="261" t="n">
        <v>8126</v>
      </c>
      <c r="K275" s="261" t="n">
        <v>8126</v>
      </c>
      <c r="L275" s="261" t="n">
        <v>9631</v>
      </c>
      <c r="M275" s="261" t="n">
        <v>9572</v>
      </c>
      <c r="N275" s="261" t="n">
        <v>5251</v>
      </c>
      <c r="O275" s="261" t="n">
        <v>6884</v>
      </c>
      <c r="P275" s="261" t="n">
        <v>6884</v>
      </c>
      <c r="Q275" s="261" t="n">
        <v>8994</v>
      </c>
      <c r="R275" s="261" t="n">
        <v>9002</v>
      </c>
      <c r="S275" s="261" t="n">
        <v>11526</v>
      </c>
      <c r="T275" s="261" t="n">
        <v>13527</v>
      </c>
      <c r="U275" s="261" t="n">
        <v>13527</v>
      </c>
      <c r="V275" s="261" t="n">
        <v>14165</v>
      </c>
      <c r="W275" s="261" t="n">
        <v>18185</v>
      </c>
      <c r="X275" s="261" t="n">
        <v>20102</v>
      </c>
      <c r="Y275" s="261" t="n">
        <v>20546</v>
      </c>
      <c r="Z275" s="261" t="n">
        <v>20546</v>
      </c>
      <c r="AA275" s="261" t="n">
        <v>25202</v>
      </c>
      <c r="AB275" s="261" t="n">
        <v>29200</v>
      </c>
      <c r="AC275" s="261" t="n">
        <v>31088</v>
      </c>
      <c r="AD275" s="261" t="n">
        <v>33632</v>
      </c>
      <c r="AE275" s="261" t="n">
        <v>33632</v>
      </c>
      <c r="AF275" s="261" t="n">
        <v>31874</v>
      </c>
      <c r="AG275" s="261" t="n">
        <v>30757</v>
      </c>
      <c r="AH275" s="261" t="n">
        <v>31569</v>
      </c>
      <c r="AI275" s="261" t="n">
        <v>31095</v>
      </c>
      <c r="AJ275" s="261" t="n">
        <v>31095</v>
      </c>
      <c r="AK275" s="261" t="n">
        <v>34167</v>
      </c>
      <c r="AL275" s="261" t="n">
        <v>34719</v>
      </c>
      <c r="AM275" s="261" t="n">
        <v>36290</v>
      </c>
      <c r="AN275" s="261" t="n">
        <v>35776</v>
      </c>
      <c r="AO275" s="261" t="n">
        <v>35776</v>
      </c>
      <c r="AP275" s="261" t="n">
        <v>36671</v>
      </c>
      <c r="AQ275" s="261" t="n">
        <v>37195</v>
      </c>
      <c r="AR275" s="261" t="n">
        <v>44003</v>
      </c>
      <c r="AS275" s="261" t="n">
        <v>44378</v>
      </c>
      <c r="AT275" s="261" t="n">
        <v>44378</v>
      </c>
      <c r="AU275" s="261" t="n">
        <v>44706</v>
      </c>
      <c r="AV275" s="261" t="n">
        <v>47894</v>
      </c>
      <c r="AW275" s="261" t="n">
        <v>43579</v>
      </c>
      <c r="AX275" s="261" t="n">
        <v>31397</v>
      </c>
      <c r="AY275" s="261" t="n">
        <v>31397</v>
      </c>
      <c r="AZ275" s="261" t="n">
        <v>29004</v>
      </c>
      <c r="BA275" s="261" t="n">
        <v>27808</v>
      </c>
      <c r="BB275" s="261" t="n">
        <v>27468</v>
      </c>
      <c r="BC275" s="261" t="n">
        <v>26057</v>
      </c>
      <c r="BD275" s="261" t="n">
        <v>26057</v>
      </c>
      <c r="BE275" s="261" t="n">
        <v>25888</v>
      </c>
      <c r="BF275" s="261" t="n">
        <v>24661</v>
      </c>
      <c r="BG275" s="261" t="n">
        <v>24233</v>
      </c>
      <c r="BH275" s="261" t="n">
        <v>23541</v>
      </c>
      <c r="BI275" s="261" t="n">
        <v>23541</v>
      </c>
      <c r="BJ275" s="261" t="n">
        <v>25813</v>
      </c>
      <c r="BK275" s="261" t="n">
        <v>26035</v>
      </c>
      <c r="BL275" s="261" t="n">
        <v>27048</v>
      </c>
      <c r="BM275" s="261" t="n">
        <v>33926</v>
      </c>
      <c r="BN275" s="261" t="n">
        <v>33926</v>
      </c>
      <c r="BO275" s="261" t="n">
        <v>41480</v>
      </c>
      <c r="BP275" s="261" t="n">
        <v>35066</v>
      </c>
      <c r="BQ275" s="261" t="n">
        <v>34261</v>
      </c>
      <c r="BR275" s="261" t="n">
        <v>45719</v>
      </c>
      <c r="BS275" s="261" t="n">
        <v>45719</v>
      </c>
      <c r="BT275" s="261" t="n">
        <v>57754</v>
      </c>
      <c r="BU275" s="261" t="n">
        <v>74798</v>
      </c>
      <c r="BV275" s="35" t="n"/>
      <c r="BW275" s="35" t="n"/>
      <c r="BX275" s="263">
        <f>BU275-(BX226-SUM(BT226:BU226))</f>
        <v>74798</v>
      </c>
      <c r="BY275" s="263">
        <f>BX275-BY226</f>
        <v>74798</v>
      </c>
      <c r="BZ275" s="263">
        <f>BY275-BZ226</f>
        <v>74798</v>
      </c>
      <c r="CA275" s="263">
        <f>BZ275-CA226</f>
        <v>74798</v>
      </c>
      <c r="CB275" s="263">
        <f>CA275-CB226</f>
        <v>74798</v>
      </c>
      <c r="CC275" s="263">
        <f>CB275-CC226</f>
        <v>74798</v>
      </c>
      <c r="CD275" s="19" t="n"/>
    </row>
    <row r="276" ht="15" customHeight="1" s="251">
      <c r="B276" s="25" t="inlineStr">
        <is>
          <t xml:space="preserve">  Accounts receivable, net</t>
        </is>
      </c>
      <c r="C276" s="34" t="n"/>
      <c r="D276" s="261" t="n">
        <v>373</v>
      </c>
      <c r="E276" s="261" t="n">
        <v>547</v>
      </c>
      <c r="F276" s="261" t="n">
        <v>719</v>
      </c>
      <c r="G276" s="261" t="n">
        <v>659</v>
      </c>
      <c r="H276" s="261" t="n">
        <v>775</v>
      </c>
      <c r="I276" s="261" t="n">
        <v>872</v>
      </c>
      <c r="J276" s="261" t="n">
        <v>1109</v>
      </c>
      <c r="K276" s="261" t="n">
        <v>1109</v>
      </c>
      <c r="L276" s="261" t="n">
        <v>1006</v>
      </c>
      <c r="M276" s="261" t="n">
        <v>1190</v>
      </c>
      <c r="N276" s="261" t="n">
        <v>1363</v>
      </c>
      <c r="O276" s="261" t="n">
        <v>1678</v>
      </c>
      <c r="P276" s="261" t="n">
        <v>1678</v>
      </c>
      <c r="Q276" s="261" t="n">
        <v>1508</v>
      </c>
      <c r="R276" s="261" t="n">
        <v>1815</v>
      </c>
      <c r="S276" s="261" t="n">
        <v>2010</v>
      </c>
      <c r="T276" s="261" t="n">
        <v>2559</v>
      </c>
      <c r="U276" s="261" t="n">
        <v>2559</v>
      </c>
      <c r="V276" s="261" t="n">
        <v>2348</v>
      </c>
      <c r="W276" s="261" t="n">
        <v>2801</v>
      </c>
      <c r="X276" s="261" t="n">
        <v>3070</v>
      </c>
      <c r="Y276" s="261" t="n">
        <v>3993</v>
      </c>
      <c r="Z276" s="261" t="n">
        <v>3993</v>
      </c>
      <c r="AA276" s="261" t="n">
        <v>3415</v>
      </c>
      <c r="AB276" s="261" t="n">
        <v>3897</v>
      </c>
      <c r="AC276" s="261" t="n">
        <v>4424</v>
      </c>
      <c r="AD276" s="261" t="n">
        <v>5832</v>
      </c>
      <c r="AE276" s="261" t="n">
        <v>5832</v>
      </c>
      <c r="AF276" s="261" t="n">
        <v>5115</v>
      </c>
      <c r="AG276" s="261" t="n">
        <v>5590</v>
      </c>
      <c r="AH276" s="261" t="n">
        <v>6058</v>
      </c>
      <c r="AI276" s="261" t="n">
        <v>7587</v>
      </c>
      <c r="AJ276" s="261" t="n">
        <v>7587</v>
      </c>
      <c r="AK276" s="261" t="n">
        <v>6475</v>
      </c>
      <c r="AL276" s="261" t="n">
        <v>7513</v>
      </c>
      <c r="AM276" s="261" t="n">
        <v>7673</v>
      </c>
      <c r="AN276" s="261" t="n">
        <v>9518</v>
      </c>
      <c r="AO276" s="261" t="n">
        <v>9518</v>
      </c>
      <c r="AP276" s="261" t="n">
        <v>7289</v>
      </c>
      <c r="AQ276" s="261" t="n">
        <v>7483</v>
      </c>
      <c r="AR276" s="261" t="n">
        <v>8024</v>
      </c>
      <c r="AS276" s="261" t="n">
        <v>11335</v>
      </c>
      <c r="AT276" s="261" t="n">
        <v>11335</v>
      </c>
      <c r="AU276" s="261" t="n">
        <v>10276</v>
      </c>
      <c r="AV276" s="261" t="n">
        <v>11698</v>
      </c>
      <c r="AW276" s="261" t="n">
        <v>12088</v>
      </c>
      <c r="AX276" s="261" t="n">
        <v>14039</v>
      </c>
      <c r="AY276" s="261" t="n">
        <v>14039</v>
      </c>
      <c r="AZ276" s="261" t="n">
        <v>11390</v>
      </c>
      <c r="BA276" s="261" t="n">
        <v>11525</v>
      </c>
      <c r="BB276" s="261" t="n">
        <v>11227</v>
      </c>
      <c r="BC276" s="261" t="n">
        <v>13466</v>
      </c>
      <c r="BD276" s="261" t="n">
        <v>13466</v>
      </c>
      <c r="BE276" s="261" t="n">
        <v>11044</v>
      </c>
      <c r="BF276" s="261" t="n">
        <v>12511</v>
      </c>
      <c r="BG276" s="261" t="n">
        <v>12944</v>
      </c>
      <c r="BH276" s="261" t="n">
        <v>16169</v>
      </c>
      <c r="BI276" s="261" t="n">
        <v>16169</v>
      </c>
      <c r="BJ276" s="261" t="n">
        <v>13430</v>
      </c>
      <c r="BK276" s="261" t="n">
        <v>14505</v>
      </c>
      <c r="BL276" s="261" t="n">
        <v>14700</v>
      </c>
      <c r="BM276" s="261" t="n">
        <v>16994</v>
      </c>
      <c r="BN276" s="261" t="n">
        <v>16994</v>
      </c>
      <c r="BO276" s="261" t="n">
        <v>14514</v>
      </c>
      <c r="BP276" s="261" t="n">
        <v>16561</v>
      </c>
      <c r="BQ276" s="261" t="n">
        <v>17297</v>
      </c>
      <c r="BR276" s="261" t="n">
        <v>19769</v>
      </c>
      <c r="BS276" s="261" t="n">
        <v>19769</v>
      </c>
      <c r="BT276" s="261" t="n">
        <v>17470</v>
      </c>
      <c r="BU276" s="261" t="n">
        <v>21752</v>
      </c>
      <c r="BV276" s="35" t="n"/>
      <c r="BW276" s="35" t="n"/>
      <c r="BX276" s="263">
        <f>BX305*BX306/365</f>
        <v>24914.013192115</v>
      </c>
      <c r="BY276" s="263">
        <f>BY305*BY306/365</f>
        <v>29670.9702713259</v>
      </c>
      <c r="BZ276" s="263">
        <f>BZ305*BZ306/365</f>
        <v>34357.0185770362</v>
      </c>
      <c r="CA276" s="263">
        <f>CA305*CA306/365</f>
        <v>39044.459008107</v>
      </c>
      <c r="CB276" s="263">
        <f>CB305*CB306/365</f>
        <v>43532.2423389054</v>
      </c>
      <c r="CC276" s="263">
        <f>CC305*CC306/365</f>
        <v>48046.4579717977</v>
      </c>
      <c r="CD276" s="19" t="n"/>
    </row>
    <row r="277" ht="15" customHeight="1" s="251">
      <c r="B277" s="25" t="inlineStr">
        <is>
          <t xml:space="preserve">  Prepaid expenses and other current assets (incl. restricted cash; income tax refundable 2012)</t>
        </is>
      </c>
      <c r="C277" s="34" t="n"/>
      <c r="D277" s="261" t="n">
        <v>88</v>
      </c>
      <c r="E277" s="261" t="n">
        <v>149</v>
      </c>
      <c r="F277" s="261" t="n">
        <v>922</v>
      </c>
      <c r="G277" s="261" t="n">
        <v>911</v>
      </c>
      <c r="H277" s="261" t="n">
        <v>394</v>
      </c>
      <c r="I277" s="261" t="n">
        <v>349</v>
      </c>
      <c r="J277" s="261" t="n">
        <v>512</v>
      </c>
      <c r="K277" s="261" t="n">
        <v>512</v>
      </c>
      <c r="L277" s="261" t="n">
        <v>425</v>
      </c>
      <c r="M277" s="261" t="n">
        <v>411</v>
      </c>
      <c r="N277" s="261" t="n">
        <v>502</v>
      </c>
      <c r="O277" s="261" t="n">
        <v>793</v>
      </c>
      <c r="P277" s="261" t="n">
        <v>793</v>
      </c>
      <c r="Q277" s="261" t="n">
        <v>1083</v>
      </c>
      <c r="R277" s="261" t="n">
        <v>1011</v>
      </c>
      <c r="S277" s="261" t="n">
        <v>1295</v>
      </c>
      <c r="T277" s="261" t="n">
        <v>659</v>
      </c>
      <c r="U277" s="261" t="n">
        <v>659</v>
      </c>
      <c r="V277" s="261" t="n">
        <v>843</v>
      </c>
      <c r="W277" s="261" t="n">
        <v>916</v>
      </c>
      <c r="X277" s="261" t="n">
        <v>1118</v>
      </c>
      <c r="Y277" s="261" t="n">
        <v>959</v>
      </c>
      <c r="Z277" s="261" t="n">
        <v>959</v>
      </c>
      <c r="AA277" s="261" t="n">
        <v>1209</v>
      </c>
      <c r="AB277" s="261" t="n">
        <v>1455</v>
      </c>
      <c r="AC277" s="261" t="n">
        <v>1490</v>
      </c>
      <c r="AD277" s="261" t="n">
        <v>1020</v>
      </c>
      <c r="AE277" s="261" t="n">
        <v>1020</v>
      </c>
      <c r="AF277" s="261" t="n">
        <v>1341</v>
      </c>
      <c r="AG277" s="261" t="n">
        <v>1934</v>
      </c>
      <c r="AH277" s="261" t="n">
        <v>1883</v>
      </c>
      <c r="AI277" s="261" t="n">
        <v>1779</v>
      </c>
      <c r="AJ277" s="261" t="n">
        <v>1779</v>
      </c>
      <c r="AK277" s="261" t="n">
        <v>1582</v>
      </c>
      <c r="AL277" s="261" t="n">
        <v>1852</v>
      </c>
      <c r="AM277" s="261" t="n">
        <v>2137</v>
      </c>
      <c r="AN277" s="261" t="n">
        <v>1852</v>
      </c>
      <c r="AO277" s="261" t="n">
        <v>1852</v>
      </c>
      <c r="AP277" s="261" t="n">
        <v>1771</v>
      </c>
      <c r="AQ277" s="261" t="n">
        <v>2407</v>
      </c>
      <c r="AR277" s="261" t="n">
        <v>2155</v>
      </c>
      <c r="AS277" s="261" t="n">
        <v>2381</v>
      </c>
      <c r="AT277" s="261" t="n">
        <v>2381</v>
      </c>
      <c r="AU277" s="261" t="n">
        <v>2827</v>
      </c>
      <c r="AV277" s="261" t="n">
        <v>4919</v>
      </c>
      <c r="AW277" s="261" t="n">
        <v>5258</v>
      </c>
      <c r="AX277" s="261" t="n">
        <v>4629</v>
      </c>
      <c r="AY277" s="261" t="n">
        <v>4629</v>
      </c>
      <c r="AZ277" s="261" t="n">
        <v>3985</v>
      </c>
      <c r="BA277" s="261" t="n">
        <v>3973</v>
      </c>
      <c r="BB277" s="261" t="n">
        <v>5312</v>
      </c>
      <c r="BC277" s="261" t="n">
        <v>5345</v>
      </c>
      <c r="BD277" s="261" t="n">
        <v>5345</v>
      </c>
      <c r="BE277" s="261" t="n">
        <v>4000</v>
      </c>
      <c r="BF277" s="261" t="n">
        <v>3603</v>
      </c>
      <c r="BG277" s="261" t="n">
        <v>4311</v>
      </c>
      <c r="BH277" s="261" t="n">
        <v>3793</v>
      </c>
      <c r="BI277" s="261" t="n">
        <v>3793</v>
      </c>
      <c r="BJ277" s="261" t="n">
        <v>3780</v>
      </c>
      <c r="BK277" s="261" t="n">
        <v>3846</v>
      </c>
      <c r="BL277" s="261" t="n">
        <v>5467</v>
      </c>
      <c r="BM277" s="261" t="n">
        <v>5236</v>
      </c>
      <c r="BN277" s="261" t="n">
        <v>5236</v>
      </c>
      <c r="BO277" s="261" t="n">
        <v>5483</v>
      </c>
      <c r="BP277" s="261" t="n">
        <v>9981</v>
      </c>
      <c r="BQ277" s="261" t="n">
        <v>11373</v>
      </c>
      <c r="BR277" s="261" t="n">
        <v>7361</v>
      </c>
      <c r="BS277" s="261" t="n">
        <v>7361</v>
      </c>
      <c r="BT277" s="261" t="n">
        <v>11115</v>
      </c>
      <c r="BU277" s="261" t="n">
        <v>13463</v>
      </c>
      <c r="BV277" s="35" t="n"/>
      <c r="BW277" s="35" t="n"/>
      <c r="BX277" s="263">
        <f>BU277</f>
        <v>13463</v>
      </c>
      <c r="BY277" s="263">
        <f>BX277</f>
        <v>13463</v>
      </c>
      <c r="BZ277" s="263">
        <f>BY277</f>
        <v>13463</v>
      </c>
      <c r="CA277" s="263">
        <f>BZ277</f>
        <v>13463</v>
      </c>
      <c r="CB277" s="263">
        <f>CA277</f>
        <v>13463</v>
      </c>
      <c r="CC277" s="263">
        <f>CB277</f>
        <v>13463</v>
      </c>
      <c r="CD277" s="19" t="n"/>
    </row>
    <row r="278" ht="15" customHeight="1" s="251">
      <c r="B278" s="16" t="inlineStr">
        <is>
          <t>Total current assets</t>
        </is>
      </c>
      <c r="C278" s="266">
        <f>IF(ISNUMBER(C274),SUM(C274:C277),"")</f>
      </c>
      <c r="D278" s="266">
        <f>IF(ISNUMBER(D274),SUM(D274:D277),"")</f>
        <v>2246</v>
      </c>
      <c r="E278" s="266">
        <f>IF(ISNUMBER(E274),SUM(E274:E277),"")</f>
        <v>4604</v>
      </c>
      <c r="F278" s="266">
        <f>IF(ISNUMBER(F274),SUM(F274:F277),"")</f>
        <v>11267</v>
      </c>
      <c r="G278" s="266">
        <f>IF(ISNUMBER(G274),SUM(G274:G277),"")</f>
        <v>11042</v>
      </c>
      <c r="H278" s="266">
        <f>IF(ISNUMBER(H274),SUM(H274:H277),"")</f>
        <v>11421</v>
      </c>
      <c r="I278" s="266">
        <f>IF(ISNUMBER(I274),SUM(I274:I277),"")</f>
        <v>10549</v>
      </c>
      <c r="J278" s="266">
        <f>IF(ISNUMBER(J274),SUM(J274:J277),"")</f>
        <v>13070</v>
      </c>
      <c r="K278" s="266">
        <f>IF(ISNUMBER(K274),SUM(K274:K277),"")</f>
        <v>13070</v>
      </c>
      <c r="L278" s="266">
        <f>IF(ISNUMBER(L274),SUM(L274:L277),"")</f>
        <v>14060</v>
      </c>
      <c r="M278" s="266">
        <f>IF(ISNUMBER(M274),SUM(M274:M277),"")</f>
        <v>15557</v>
      </c>
      <c r="N278" s="266">
        <f>IF(ISNUMBER(N274),SUM(N274:N277),"")</f>
        <v>16115</v>
      </c>
      <c r="O278" s="266">
        <f>IF(ISNUMBER(O274),SUM(O274:O277),"")</f>
        <v>13670</v>
      </c>
      <c r="P278" s="266">
        <f>IF(ISNUMBER(P274),SUM(P274:P277),"")</f>
        <v>13670</v>
      </c>
      <c r="Q278" s="266">
        <f>IF(ISNUMBER(Q274),SUM(Q274:Q277),"")</f>
        <v>15004</v>
      </c>
      <c r="R278" s="266">
        <f>IF(ISNUMBER(R274),SUM(R274:R277),"")</f>
        <v>16951</v>
      </c>
      <c r="S278" s="266">
        <f>IF(ISNUMBER(S274),SUM(S274:S277),"")</f>
        <v>19139</v>
      </c>
      <c r="T278" s="266">
        <f>IF(ISNUMBER(T274),SUM(T274:T277),"")</f>
        <v>21652</v>
      </c>
      <c r="U278" s="266">
        <f>IF(ISNUMBER(U274),SUM(U274:U277),"")</f>
        <v>21652</v>
      </c>
      <c r="V278" s="266">
        <f>IF(ISNUMBER(V274),SUM(V274:V277),"")</f>
        <v>23812</v>
      </c>
      <c r="W278" s="266">
        <f>IF(ISNUMBER(W274),SUM(W274:W277),"")</f>
        <v>27010</v>
      </c>
      <c r="X278" s="266">
        <f>IF(ISNUMBER(X274),SUM(X274:X277),"")</f>
        <v>30328</v>
      </c>
      <c r="Y278" s="266">
        <f>IF(ISNUMBER(Y274),SUM(Y274:Y277),"")</f>
        <v>34401</v>
      </c>
      <c r="Z278" s="266">
        <f>IF(ISNUMBER(Z274),SUM(Z274:Z277),"")</f>
        <v>34401</v>
      </c>
      <c r="AA278" s="266">
        <f>IF(ISNUMBER(AA274),SUM(AA274:AA277),"")</f>
        <v>36930</v>
      </c>
      <c r="AB278" s="266">
        <f>IF(ISNUMBER(AB274),SUM(AB274:AB277),"")</f>
        <v>40804</v>
      </c>
      <c r="AC278" s="266">
        <f>IF(ISNUMBER(AC274),SUM(AC274:AC277),"")</f>
        <v>44203</v>
      </c>
      <c r="AD278" s="266">
        <f>IF(ISNUMBER(AD274),SUM(AD274:AD277),"")</f>
        <v>48563</v>
      </c>
      <c r="AE278" s="266">
        <f>IF(ISNUMBER(AE274),SUM(AE274:AE277),"")</f>
        <v>48563</v>
      </c>
      <c r="AF278" s="266">
        <f>IF(ISNUMBER(AF274),SUM(AF274:AF277),"")</f>
        <v>50412</v>
      </c>
      <c r="AG278" s="266">
        <f>IF(ISNUMBER(AG274),SUM(AG274:AG277),"")</f>
        <v>49833</v>
      </c>
      <c r="AH278" s="266">
        <f>IF(ISNUMBER(AH274),SUM(AH274:AH277),"")</f>
        <v>49147</v>
      </c>
      <c r="AI278" s="266">
        <f>IF(ISNUMBER(AI274),SUM(AI274:AI277),"")</f>
        <v>50480</v>
      </c>
      <c r="AJ278" s="266">
        <f>IF(ISNUMBER(AJ274),SUM(AJ274:AJ277),"")</f>
        <v>50480</v>
      </c>
      <c r="AK278" s="266">
        <f>IF(ISNUMBER(AK274),SUM(AK274:AK277),"")</f>
        <v>53300</v>
      </c>
      <c r="AL278" s="266">
        <f>IF(ISNUMBER(AL274),SUM(AL274:AL277),"")</f>
        <v>57961</v>
      </c>
      <c r="AM278" s="266">
        <f>IF(ISNUMBER(AM274),SUM(AM274:AM277),"")</f>
        <v>62079</v>
      </c>
      <c r="AN278" s="266">
        <f>IF(ISNUMBER(AN274),SUM(AN274:AN277),"")</f>
        <v>66225</v>
      </c>
      <c r="AO278" s="266">
        <f>IF(ISNUMBER(AO274),SUM(AO274:AO277),"")</f>
        <v>66225</v>
      </c>
      <c r="AP278" s="266">
        <f>IF(ISNUMBER(AP274),SUM(AP274:AP277),"")</f>
        <v>69349</v>
      </c>
      <c r="AQ278" s="266">
        <f>IF(ISNUMBER(AQ274),SUM(AQ274:AQ277),"")</f>
        <v>68130</v>
      </c>
      <c r="AR278" s="266">
        <f>IF(ISNUMBER(AR274),SUM(AR274:AR277),"")</f>
        <v>65799</v>
      </c>
      <c r="AS278" s="266">
        <f>IF(ISNUMBER(AS274),SUM(AS274:AS277),"")</f>
        <v>75670</v>
      </c>
      <c r="AT278" s="266">
        <f>IF(ISNUMBER(AT274),SUM(AT274:AT277),"")</f>
        <v>75670</v>
      </c>
      <c r="AU278" s="266">
        <f>IF(ISNUMBER(AU274),SUM(AU274:AU277),"")</f>
        <v>77322</v>
      </c>
      <c r="AV278" s="266">
        <f>IF(ISNUMBER(AV274),SUM(AV274:AV277),"")</f>
        <v>80697</v>
      </c>
      <c r="AW278" s="266">
        <f>IF(ISNUMBER(AW274),SUM(AW274:AW277),"")</f>
        <v>75421</v>
      </c>
      <c r="AX278" s="266">
        <f>IF(ISNUMBER(AX274),SUM(AX274:AX277),"")</f>
        <v>66666</v>
      </c>
      <c r="AY278" s="266">
        <f>IF(ISNUMBER(AY274),SUM(AY274:AY277),"")</f>
        <v>66666</v>
      </c>
      <c r="AZ278" s="266">
        <f>IF(ISNUMBER(AZ274),SUM(AZ274:AZ277),"")</f>
        <v>59265</v>
      </c>
      <c r="BA278" s="266">
        <f>IF(ISNUMBER(BA274),SUM(BA274:BA277),"")</f>
        <v>55987</v>
      </c>
      <c r="BB278" s="266">
        <f>IF(ISNUMBER(BB274),SUM(BB274:BB277),"")</f>
        <v>58315</v>
      </c>
      <c r="BC278" s="266">
        <f>IF(ISNUMBER(BC274),SUM(BC274:BC277),"")</f>
        <v>59549</v>
      </c>
      <c r="BD278" s="266">
        <f>IF(ISNUMBER(BD274),SUM(BD274:BD277),"")</f>
        <v>59549</v>
      </c>
      <c r="BE278" s="266">
        <f>IF(ISNUMBER(BE274),SUM(BE274:BE277),"")</f>
        <v>52483</v>
      </c>
      <c r="BF278" s="266">
        <f>IF(ISNUMBER(BF274),SUM(BF274:BF277),"")</f>
        <v>69560</v>
      </c>
      <c r="BG278" s="266">
        <f>IF(ISNUMBER(BG274),SUM(BG274:BG277),"")</f>
        <v>78378</v>
      </c>
      <c r="BH278" s="266">
        <f>IF(ISNUMBER(BH274),SUM(BH274:BH277),"")</f>
        <v>85365</v>
      </c>
      <c r="BI278" s="266">
        <f>IF(ISNUMBER(BI274),SUM(BI274:BI277),"")</f>
        <v>85365</v>
      </c>
      <c r="BJ278" s="266">
        <f>IF(ISNUMBER(BJ274),SUM(BJ274:BJ277),"")</f>
        <v>75330</v>
      </c>
      <c r="BK278" s="266">
        <f>IF(ISNUMBER(BK274),SUM(BK274:BK277),"")</f>
        <v>76431</v>
      </c>
      <c r="BL278" s="266">
        <f>IF(ISNUMBER(BL274),SUM(BL274:BL277),"")</f>
        <v>91067</v>
      </c>
      <c r="BM278" s="266">
        <f>IF(ISNUMBER(BM274),SUM(BM274:BM277),"")</f>
        <v>100045</v>
      </c>
      <c r="BN278" s="266">
        <f>IF(ISNUMBER(BN274),SUM(BN274:BN277),"")</f>
        <v>100045</v>
      </c>
      <c r="BO278" s="266">
        <f>IF(ISNUMBER(BO274),SUM(BO274:BO277),"")</f>
        <v>90227</v>
      </c>
      <c r="BP278" s="266">
        <f>IF(ISNUMBER(BP274),SUM(BP274:BP277),"")</f>
        <v>73613</v>
      </c>
      <c r="BQ278" s="266">
        <f>IF(ISNUMBER(BQ274),SUM(BQ274:BQ277),"")</f>
        <v>73118</v>
      </c>
      <c r="BR278" s="266">
        <f>IF(ISNUMBER(BR274),SUM(BR274:BR277),"")</f>
        <v>108722</v>
      </c>
      <c r="BS278" s="266">
        <f>IF(ISNUMBER(BS274),SUM(BS274:BS277),"")</f>
        <v>108722</v>
      </c>
      <c r="BT278" s="266">
        <f>IF(ISNUMBER(BT274),SUM(BT274:BT277),"")</f>
        <v>109765</v>
      </c>
      <c r="BU278" s="266">
        <f>IF(ISNUMBER(BU274),SUM(BU274:BU277),"")</f>
        <v>125475</v>
      </c>
      <c r="BV278" s="32" t="n"/>
      <c r="BW278" s="32" t="n"/>
      <c r="BX278" s="254">
        <f>IF(ISNUMBER(BX274),SUM(BX274:BX277),"")</f>
        <v>128175.013192115</v>
      </c>
      <c r="BY278" s="254">
        <f>IF(ISNUMBER(BY274),SUM(BY274:BY277),"")</f>
        <v>132931.970271326</v>
      </c>
      <c r="BZ278" s="254">
        <f>IF(ISNUMBER(BZ274),SUM(BZ274:BZ277),"")</f>
        <v>137618.018577036</v>
      </c>
      <c r="CA278" s="254">
        <f>IF(ISNUMBER(CA274),SUM(CA274:CA277),"")</f>
        <v>142305.459008107</v>
      </c>
      <c r="CB278" s="254">
        <f>IF(ISNUMBER(CB274),SUM(CB274:CB277),"")</f>
        <v>146793.242338905</v>
      </c>
      <c r="CC278" s="254">
        <f>IF(ISNUMBER(CC274),SUM(CC274:CC277),"")</f>
        <v>151307.457971798</v>
      </c>
      <c r="CD278" s="153" t="n"/>
    </row>
    <row r="279" ht="15" customHeight="1" s="251">
      <c r="B279" s="25" t="inlineStr">
        <is>
          <t xml:space="preserve">  Non-marketable equity investments (separate line from 2020)</t>
        </is>
      </c>
      <c r="C279" s="34" t="n"/>
      <c r="D279" s="261" t="n">
        <v>0</v>
      </c>
      <c r="E279" s="261" t="n">
        <v>0</v>
      </c>
      <c r="F279" s="261" t="n">
        <v>0</v>
      </c>
      <c r="G279" s="261" t="n">
        <v>0</v>
      </c>
      <c r="H279" s="261" t="n">
        <v>0</v>
      </c>
      <c r="I279" s="261" t="n">
        <v>0</v>
      </c>
      <c r="J279" s="261" t="n">
        <v>0</v>
      </c>
      <c r="K279" s="261" t="n">
        <v>0</v>
      </c>
      <c r="L279" s="261" t="n">
        <v>0</v>
      </c>
      <c r="M279" s="261" t="n">
        <v>0</v>
      </c>
      <c r="N279" s="261" t="n">
        <v>0</v>
      </c>
      <c r="O279" s="261" t="n">
        <v>0</v>
      </c>
      <c r="P279" s="261" t="n">
        <v>0</v>
      </c>
      <c r="Q279" s="261" t="n">
        <v>0</v>
      </c>
      <c r="R279" s="261" t="n">
        <v>0</v>
      </c>
      <c r="S279" s="261" t="n">
        <v>0</v>
      </c>
      <c r="T279" s="261" t="n">
        <v>0</v>
      </c>
      <c r="U279" s="261" t="n">
        <v>0</v>
      </c>
      <c r="V279" s="261" t="n">
        <v>0</v>
      </c>
      <c r="W279" s="261" t="n">
        <v>0</v>
      </c>
      <c r="X279" s="261" t="n">
        <v>0</v>
      </c>
      <c r="Y279" s="261" t="n">
        <v>0</v>
      </c>
      <c r="Z279" s="261" t="n">
        <v>0</v>
      </c>
      <c r="AA279" s="261" t="n">
        <v>0</v>
      </c>
      <c r="AB279" s="261" t="n">
        <v>0</v>
      </c>
      <c r="AC279" s="261" t="n">
        <v>0</v>
      </c>
      <c r="AD279" s="261" t="n">
        <v>0</v>
      </c>
      <c r="AE279" s="261" t="n">
        <v>0</v>
      </c>
      <c r="AF279" s="261" t="n">
        <v>0</v>
      </c>
      <c r="AG279" s="261" t="n">
        <v>0</v>
      </c>
      <c r="AH279" s="261" t="n">
        <v>0</v>
      </c>
      <c r="AI279" s="261" t="n">
        <v>0</v>
      </c>
      <c r="AJ279" s="261" t="n">
        <v>0</v>
      </c>
      <c r="AK279" s="261" t="n">
        <v>0</v>
      </c>
      <c r="AL279" s="261" t="n">
        <v>0</v>
      </c>
      <c r="AM279" s="261" t="n">
        <v>0</v>
      </c>
      <c r="AN279" s="261" t="n">
        <v>0</v>
      </c>
      <c r="AO279" s="261" t="n">
        <v>0</v>
      </c>
      <c r="AP279" s="261" t="n">
        <v>0</v>
      </c>
      <c r="AQ279" s="261" t="n">
        <v>0</v>
      </c>
      <c r="AR279" s="261" t="n">
        <v>6164</v>
      </c>
      <c r="AS279" s="261" t="n">
        <v>6234</v>
      </c>
      <c r="AT279" s="261" t="n">
        <v>6234</v>
      </c>
      <c r="AU279" s="261" t="n">
        <v>6342</v>
      </c>
      <c r="AV279" s="261" t="n">
        <v>6393</v>
      </c>
      <c r="AW279" s="261" t="n">
        <v>6758</v>
      </c>
      <c r="AX279" s="261" t="n">
        <v>6775</v>
      </c>
      <c r="AY279" s="261" t="n">
        <v>6775</v>
      </c>
      <c r="AZ279" s="261" t="n">
        <v>6775</v>
      </c>
      <c r="BA279" s="261" t="n">
        <v>6536</v>
      </c>
      <c r="BB279" s="261" t="n">
        <v>6528</v>
      </c>
      <c r="BC279" s="261" t="n">
        <v>6201</v>
      </c>
      <c r="BD279" s="261" t="n">
        <v>6201</v>
      </c>
      <c r="BE279" s="261" t="n">
        <v>6167</v>
      </c>
      <c r="BF279" s="261" t="n">
        <v>6208</v>
      </c>
      <c r="BG279" s="261" t="n">
        <v>6142</v>
      </c>
      <c r="BH279" s="261" t="n">
        <v>6141</v>
      </c>
      <c r="BI279" s="261" t="n">
        <v>6141</v>
      </c>
      <c r="BJ279" s="261" t="n">
        <v>6218</v>
      </c>
      <c r="BK279" s="261" t="n">
        <v>6207</v>
      </c>
      <c r="BL279" s="261" t="n">
        <v>6071</v>
      </c>
      <c r="BM279" s="261" t="n">
        <v>6070</v>
      </c>
      <c r="BN279" s="261" t="n">
        <v>6070</v>
      </c>
      <c r="BO279" s="261" t="n">
        <v>6168</v>
      </c>
      <c r="BP279" s="261" t="n">
        <v>21988</v>
      </c>
      <c r="BQ279" s="261" t="n">
        <v>25074</v>
      </c>
      <c r="BR279" s="261" t="n">
        <v>27524</v>
      </c>
      <c r="BS279" s="261" t="n">
        <v>27524</v>
      </c>
      <c r="BT279" s="261" t="n">
        <v>28410</v>
      </c>
      <c r="BU279" s="261" t="n">
        <v>30157</v>
      </c>
      <c r="BV279" s="35" t="n"/>
      <c r="BW279" s="35" t="n"/>
      <c r="BX279" s="263">
        <f>BU279-(BX227-SUM(BT227:BU227))</f>
        <v>30157</v>
      </c>
      <c r="BY279" s="263">
        <f>BX279-BY227</f>
        <v>30157</v>
      </c>
      <c r="BZ279" s="263">
        <f>BY279-BZ227</f>
        <v>30157</v>
      </c>
      <c r="CA279" s="263">
        <f>BZ279-CA227</f>
        <v>30157</v>
      </c>
      <c r="CB279" s="263">
        <f>CA279-CB227</f>
        <v>30157</v>
      </c>
      <c r="CC279" s="263">
        <f>CB279-CC227</f>
        <v>30157</v>
      </c>
      <c r="CD279" s="19" t="n"/>
    </row>
    <row r="280" ht="15" customHeight="1" s="251">
      <c r="B280" s="25" t="inlineStr">
        <is>
          <t xml:space="preserve">  Property and equipment, net</t>
        </is>
      </c>
      <c r="C280" s="34" t="n"/>
      <c r="D280" s="261" t="n">
        <v>574</v>
      </c>
      <c r="E280" s="261" t="n">
        <v>1475</v>
      </c>
      <c r="F280" s="261" t="n">
        <v>2391</v>
      </c>
      <c r="G280" s="261" t="n">
        <v>2533</v>
      </c>
      <c r="H280" s="261" t="n">
        <v>2577</v>
      </c>
      <c r="I280" s="261" t="n">
        <v>2685</v>
      </c>
      <c r="J280" s="261" t="n">
        <v>2882</v>
      </c>
      <c r="K280" s="261" t="n">
        <v>2882</v>
      </c>
      <c r="L280" s="261" t="n">
        <v>3074</v>
      </c>
      <c r="M280" s="261" t="n">
        <v>3334</v>
      </c>
      <c r="N280" s="261" t="n">
        <v>3703</v>
      </c>
      <c r="O280" s="261" t="n">
        <v>3967</v>
      </c>
      <c r="P280" s="261" t="n">
        <v>3967</v>
      </c>
      <c r="Q280" s="261" t="n">
        <v>4619</v>
      </c>
      <c r="R280" s="261" t="n">
        <v>4955</v>
      </c>
      <c r="S280" s="261" t="n">
        <v>5335</v>
      </c>
      <c r="T280" s="261" t="n">
        <v>5687</v>
      </c>
      <c r="U280" s="261" t="n">
        <v>5687</v>
      </c>
      <c r="V280" s="261" t="n">
        <v>6467</v>
      </c>
      <c r="W280" s="261" t="n">
        <v>7104</v>
      </c>
      <c r="X280" s="261" t="n">
        <v>7899</v>
      </c>
      <c r="Y280" s="261" t="n">
        <v>8591</v>
      </c>
      <c r="Z280" s="261" t="n">
        <v>8591</v>
      </c>
      <c r="AA280" s="261" t="n">
        <v>9462</v>
      </c>
      <c r="AB280" s="261" t="n">
        <v>10628</v>
      </c>
      <c r="AC280" s="261" t="n">
        <v>12158</v>
      </c>
      <c r="AD280" s="261" t="n">
        <v>13721</v>
      </c>
      <c r="AE280" s="261" t="n">
        <v>13721</v>
      </c>
      <c r="AF280" s="261" t="n">
        <v>16211</v>
      </c>
      <c r="AG280" s="261" t="n">
        <v>18357</v>
      </c>
      <c r="AH280" s="261" t="n">
        <v>21112</v>
      </c>
      <c r="AI280" s="261" t="n">
        <v>24683</v>
      </c>
      <c r="AJ280" s="261" t="n">
        <v>24683</v>
      </c>
      <c r="AK280" s="261" t="n">
        <v>27345</v>
      </c>
      <c r="AL280" s="261" t="n">
        <v>29999</v>
      </c>
      <c r="AM280" s="261" t="n">
        <v>32284</v>
      </c>
      <c r="AN280" s="261" t="n">
        <v>35323</v>
      </c>
      <c r="AO280" s="261" t="n">
        <v>35323</v>
      </c>
      <c r="AP280" s="261" t="n">
        <v>37127</v>
      </c>
      <c r="AQ280" s="261" t="n">
        <v>39006</v>
      </c>
      <c r="AR280" s="261" t="n">
        <v>42291</v>
      </c>
      <c r="AS280" s="261" t="n">
        <v>45633</v>
      </c>
      <c r="AT280" s="261" t="n">
        <v>45633</v>
      </c>
      <c r="AU280" s="261" t="n">
        <v>47720</v>
      </c>
      <c r="AV280" s="261" t="n">
        <v>50909</v>
      </c>
      <c r="AW280" s="261" t="n">
        <v>53726</v>
      </c>
      <c r="AX280" s="261" t="n">
        <v>57809</v>
      </c>
      <c r="AY280" s="261" t="n">
        <v>57809</v>
      </c>
      <c r="AZ280" s="261" t="n">
        <v>61582</v>
      </c>
      <c r="BA280" s="261" t="n">
        <v>67588</v>
      </c>
      <c r="BB280" s="261" t="n">
        <v>73738</v>
      </c>
      <c r="BC280" s="261" t="n">
        <v>79518</v>
      </c>
      <c r="BD280" s="261" t="n">
        <v>79518</v>
      </c>
      <c r="BE280" s="261" t="n">
        <v>84156</v>
      </c>
      <c r="BF280" s="261" t="n">
        <v>87949</v>
      </c>
      <c r="BG280" s="261" t="n">
        <v>91772</v>
      </c>
      <c r="BH280" s="261" t="n">
        <v>96587</v>
      </c>
      <c r="BI280" s="261" t="n">
        <v>96587</v>
      </c>
      <c r="BJ280" s="261" t="n">
        <v>98908</v>
      </c>
      <c r="BK280" s="261" t="n">
        <v>102959</v>
      </c>
      <c r="BL280" s="261" t="n">
        <v>112162</v>
      </c>
      <c r="BM280" s="261" t="n">
        <v>121346</v>
      </c>
      <c r="BN280" s="261" t="n">
        <v>121346</v>
      </c>
      <c r="BO280" s="261" t="n">
        <v>133567</v>
      </c>
      <c r="BP280" s="261" t="n">
        <v>147039</v>
      </c>
      <c r="BQ280" s="261" t="n">
        <v>160270</v>
      </c>
      <c r="BR280" s="261" t="n">
        <v>176400</v>
      </c>
      <c r="BS280" s="261" t="n">
        <v>176400</v>
      </c>
      <c r="BT280" s="261" t="n">
        <v>194776</v>
      </c>
      <c r="BU280" s="261" t="n">
        <v>225724</v>
      </c>
      <c r="BV280" s="35" t="n"/>
      <c r="BW280" s="35" t="n"/>
      <c r="BX280" s="263">
        <f>BU280-(BX225-SUM(BT225:BU225))-(BX235-SUM(BT235:BU235))-(BX89-SUM(BT89:BU89))</f>
        <v>298228.0956</v>
      </c>
      <c r="BY280" s="263">
        <f>BX280-BY225-BY235-(BY89-BY68)</f>
        <v>399974.097683585</v>
      </c>
      <c r="BZ280" s="263">
        <f>BY280-BZ225-BZ235-(BZ89-BZ68)</f>
        <v>484846.556950058</v>
      </c>
      <c r="CA280" s="263">
        <f>BZ280-CA225-CA235-(CA89-CA68)</f>
        <v>548521.769731445</v>
      </c>
      <c r="CB280" s="263">
        <f>CA280-CB225-CB235-(CB89-CB68)</f>
        <v>597369.133839532</v>
      </c>
      <c r="CC280" s="263">
        <f>CB280-CC225-CC235-(CC89-CC68)</f>
        <v>638040.958122855</v>
      </c>
      <c r="CD280" s="19" t="inlineStr">
        <is>
          <t>Roll-forward: prior − purchases of P&amp;E (negative cash flow) + finance-lease additions (assumed = principal paid) − depreciation.</t>
        </is>
      </c>
    </row>
    <row r="281" ht="15" customHeight="1" s="251">
      <c r="B281" s="25" t="inlineStr">
        <is>
          <t xml:space="preserve">  Operating lease right-of-use assets (from 2019)</t>
        </is>
      </c>
      <c r="C281" s="34" t="n"/>
      <c r="D281" s="261" t="n">
        <v>0</v>
      </c>
      <c r="E281" s="261" t="n">
        <v>0</v>
      </c>
      <c r="F281" s="261" t="n">
        <v>0</v>
      </c>
      <c r="G281" s="261" t="n">
        <v>0</v>
      </c>
      <c r="H281" s="261" t="n">
        <v>0</v>
      </c>
      <c r="I281" s="261" t="n">
        <v>0</v>
      </c>
      <c r="J281" s="261" t="n">
        <v>0</v>
      </c>
      <c r="K281" s="261" t="n">
        <v>0</v>
      </c>
      <c r="L281" s="261" t="n">
        <v>0</v>
      </c>
      <c r="M281" s="261" t="n">
        <v>0</v>
      </c>
      <c r="N281" s="261" t="n">
        <v>0</v>
      </c>
      <c r="O281" s="261" t="n">
        <v>0</v>
      </c>
      <c r="P281" s="261" t="n">
        <v>0</v>
      </c>
      <c r="Q281" s="261" t="n">
        <v>0</v>
      </c>
      <c r="R281" s="261" t="n">
        <v>0</v>
      </c>
      <c r="S281" s="261" t="n">
        <v>0</v>
      </c>
      <c r="T281" s="261" t="n">
        <v>0</v>
      </c>
      <c r="U281" s="261" t="n">
        <v>0</v>
      </c>
      <c r="V281" s="261" t="n">
        <v>0</v>
      </c>
      <c r="W281" s="261" t="n">
        <v>0</v>
      </c>
      <c r="X281" s="261" t="n">
        <v>0</v>
      </c>
      <c r="Y281" s="261" t="n">
        <v>0</v>
      </c>
      <c r="Z281" s="261" t="n">
        <v>0</v>
      </c>
      <c r="AA281" s="261" t="n">
        <v>0</v>
      </c>
      <c r="AB281" s="261" t="n">
        <v>0</v>
      </c>
      <c r="AC281" s="261" t="n">
        <v>0</v>
      </c>
      <c r="AD281" s="261" t="n">
        <v>0</v>
      </c>
      <c r="AE281" s="261" t="n">
        <v>0</v>
      </c>
      <c r="AF281" s="261" t="n">
        <v>0</v>
      </c>
      <c r="AG281" s="261" t="n">
        <v>0</v>
      </c>
      <c r="AH281" s="261" t="n">
        <v>0</v>
      </c>
      <c r="AI281" s="261" t="n">
        <v>0</v>
      </c>
      <c r="AJ281" s="261" t="n">
        <v>0</v>
      </c>
      <c r="AK281" s="261" t="n">
        <v>6747</v>
      </c>
      <c r="AL281" s="261" t="n">
        <v>7272</v>
      </c>
      <c r="AM281" s="261" t="n">
        <v>8403</v>
      </c>
      <c r="AN281" s="261" t="n">
        <v>9460</v>
      </c>
      <c r="AO281" s="261" t="n">
        <v>9460</v>
      </c>
      <c r="AP281" s="261" t="n">
        <v>9359</v>
      </c>
      <c r="AQ281" s="261" t="n">
        <v>9429</v>
      </c>
      <c r="AR281" s="261" t="n">
        <v>9439</v>
      </c>
      <c r="AS281" s="261" t="n">
        <v>9348</v>
      </c>
      <c r="AT281" s="261" t="n">
        <v>9348</v>
      </c>
      <c r="AU281" s="261" t="n">
        <v>10202</v>
      </c>
      <c r="AV281" s="261" t="n">
        <v>10525</v>
      </c>
      <c r="AW281" s="261" t="n">
        <v>11063</v>
      </c>
      <c r="AX281" s="261" t="n">
        <v>12155</v>
      </c>
      <c r="AY281" s="261" t="n">
        <v>12155</v>
      </c>
      <c r="AZ281" s="261" t="n">
        <v>12241</v>
      </c>
      <c r="BA281" s="261" t="n">
        <v>14130</v>
      </c>
      <c r="BB281" s="261" t="n">
        <v>13641</v>
      </c>
      <c r="BC281" s="261" t="n">
        <v>12673</v>
      </c>
      <c r="BD281" s="261" t="n">
        <v>12673</v>
      </c>
      <c r="BE281" s="261" t="n">
        <v>12899</v>
      </c>
      <c r="BF281" s="261" t="n">
        <v>12955</v>
      </c>
      <c r="BG281" s="261" t="n">
        <v>13033</v>
      </c>
      <c r="BH281" s="261" t="n">
        <v>13294</v>
      </c>
      <c r="BI281" s="261" t="n">
        <v>13294</v>
      </c>
      <c r="BJ281" s="261" t="n">
        <v>13555</v>
      </c>
      <c r="BK281" s="261" t="n">
        <v>14058</v>
      </c>
      <c r="BL281" s="261" t="n">
        <v>14812</v>
      </c>
      <c r="BM281" s="261" t="n">
        <v>14922</v>
      </c>
      <c r="BN281" s="261" t="n">
        <v>14922</v>
      </c>
      <c r="BO281" s="261" t="n">
        <v>15505</v>
      </c>
      <c r="BP281" s="261" t="n">
        <v>15662</v>
      </c>
      <c r="BQ281" s="261" t="n">
        <v>17372</v>
      </c>
      <c r="BR281" s="261" t="n">
        <v>20404</v>
      </c>
      <c r="BS281" s="261" t="n">
        <v>20404</v>
      </c>
      <c r="BT281" s="261" t="n">
        <v>23268</v>
      </c>
      <c r="BU281" s="261" t="n">
        <v>23985</v>
      </c>
      <c r="BV281" s="35" t="n"/>
      <c r="BW281" s="35" t="n"/>
      <c r="BX281" s="263">
        <f>BU281</f>
        <v>23985</v>
      </c>
      <c r="BY281" s="263">
        <f>BX281</f>
        <v>23985</v>
      </c>
      <c r="BZ281" s="263">
        <f>BY281</f>
        <v>23985</v>
      </c>
      <c r="CA281" s="263">
        <f>BZ281</f>
        <v>23985</v>
      </c>
      <c r="CB281" s="263">
        <f>CA281</f>
        <v>23985</v>
      </c>
      <c r="CC281" s="263">
        <f>CB281</f>
        <v>23985</v>
      </c>
      <c r="CD281" s="19" t="inlineStr">
        <is>
          <t>Held flat with the lease liabilities (operating lease cost sits inside costs and expenses).</t>
        </is>
      </c>
    </row>
    <row r="282" ht="15" customHeight="1" s="251">
      <c r="B282" s="25" t="inlineStr">
        <is>
          <t xml:space="preserve">  Goodwill and intangible assets, net</t>
        </is>
      </c>
      <c r="C282" s="34" t="n"/>
      <c r="D282" s="261" t="n">
        <v>96</v>
      </c>
      <c r="E282" s="261" t="n">
        <v>162</v>
      </c>
      <c r="F282" s="261" t="n">
        <v>1388</v>
      </c>
      <c r="G282" s="261" t="n">
        <v>1501</v>
      </c>
      <c r="H282" s="261" t="n">
        <v>1631</v>
      </c>
      <c r="I282" s="261" t="n">
        <v>1609</v>
      </c>
      <c r="J282" s="261" t="n">
        <v>1722</v>
      </c>
      <c r="K282" s="261" t="n">
        <v>1722</v>
      </c>
      <c r="L282" s="261" t="n">
        <v>1682</v>
      </c>
      <c r="M282" s="261" t="n">
        <v>1672</v>
      </c>
      <c r="N282" s="261" t="n">
        <v>3929</v>
      </c>
      <c r="O282" s="261" t="n">
        <v>21910</v>
      </c>
      <c r="P282" s="261" t="n">
        <v>21910</v>
      </c>
      <c r="Q282" s="261" t="n">
        <v>21779</v>
      </c>
      <c r="R282" s="261" t="n">
        <v>21630</v>
      </c>
      <c r="S282" s="261" t="n">
        <v>21461</v>
      </c>
      <c r="T282" s="261" t="n">
        <v>21272</v>
      </c>
      <c r="U282" s="261" t="n">
        <v>21272</v>
      </c>
      <c r="V282" s="261" t="n">
        <v>21096</v>
      </c>
      <c r="W282" s="261" t="n">
        <v>20922</v>
      </c>
      <c r="X282" s="261" t="n">
        <v>20787</v>
      </c>
      <c r="Y282" s="261" t="n">
        <v>20657</v>
      </c>
      <c r="Z282" s="261" t="n">
        <v>20657</v>
      </c>
      <c r="AA282" s="261" t="n">
        <v>20486</v>
      </c>
      <c r="AB282" s="261" t="n">
        <v>20315</v>
      </c>
      <c r="AC282" s="261" t="n">
        <v>20263</v>
      </c>
      <c r="AD282" s="261" t="n">
        <v>20105</v>
      </c>
      <c r="AE282" s="261" t="n">
        <v>20105</v>
      </c>
      <c r="AF282" s="261" t="n">
        <v>20003</v>
      </c>
      <c r="AG282" s="261" t="n">
        <v>19836</v>
      </c>
      <c r="AH282" s="261" t="n">
        <v>19755</v>
      </c>
      <c r="AI282" s="261" t="n">
        <v>19595</v>
      </c>
      <c r="AJ282" s="261" t="n">
        <v>19595</v>
      </c>
      <c r="AK282" s="261" t="n">
        <v>19483</v>
      </c>
      <c r="AL282" s="261" t="n">
        <v>19328</v>
      </c>
      <c r="AM282" s="261" t="n">
        <v>19191</v>
      </c>
      <c r="AN282" s="261" t="n">
        <v>19609</v>
      </c>
      <c r="AO282" s="261" t="n">
        <v>19609</v>
      </c>
      <c r="AP282" s="261" t="n">
        <v>19649</v>
      </c>
      <c r="AQ282" s="261" t="n">
        <v>19888</v>
      </c>
      <c r="AR282" s="261" t="n">
        <v>19775</v>
      </c>
      <c r="AS282" s="261" t="n">
        <v>19673</v>
      </c>
      <c r="AT282" s="261" t="n">
        <v>19673</v>
      </c>
      <c r="AU282" s="261" t="n">
        <v>19561</v>
      </c>
      <c r="AV282" s="261" t="n">
        <v>19733</v>
      </c>
      <c r="AW282" s="261" t="n">
        <v>19430</v>
      </c>
      <c r="AX282" s="261" t="n">
        <v>19831</v>
      </c>
      <c r="AY282" s="261" t="n">
        <v>19831</v>
      </c>
      <c r="AZ282" s="261" t="n">
        <v>20833</v>
      </c>
      <c r="BA282" s="261" t="n">
        <v>21194</v>
      </c>
      <c r="BB282" s="261" t="n">
        <v>21143</v>
      </c>
      <c r="BC282" s="261" t="n">
        <v>21203</v>
      </c>
      <c r="BD282" s="261" t="n">
        <v>21203</v>
      </c>
      <c r="BE282" s="261" t="n">
        <v>21598</v>
      </c>
      <c r="BF282" s="261" t="n">
        <v>21515</v>
      </c>
      <c r="BG282" s="261" t="n">
        <v>21481</v>
      </c>
      <c r="BH282" s="261" t="n">
        <v>21442</v>
      </c>
      <c r="BI282" s="261" t="n">
        <v>21442</v>
      </c>
      <c r="BJ282" s="261" t="n">
        <v>20654</v>
      </c>
      <c r="BK282" s="261" t="n">
        <v>20654</v>
      </c>
      <c r="BL282" s="261" t="n">
        <v>20654</v>
      </c>
      <c r="BM282" s="261" t="n">
        <v>20654</v>
      </c>
      <c r="BN282" s="261" t="n">
        <v>20654</v>
      </c>
      <c r="BO282" s="261" t="n">
        <v>20654</v>
      </c>
      <c r="BP282" s="261" t="n">
        <v>20654</v>
      </c>
      <c r="BQ282" s="261" t="n">
        <v>21158</v>
      </c>
      <c r="BR282" s="261" t="n">
        <v>24534</v>
      </c>
      <c r="BS282" s="261" t="n">
        <v>24534</v>
      </c>
      <c r="BT282" s="261" t="n">
        <v>24748</v>
      </c>
      <c r="BU282" s="261" t="n">
        <v>23406</v>
      </c>
      <c r="BV282" s="35" t="n"/>
      <c r="BW282" s="35" t="n"/>
      <c r="BX282" s="263">
        <f>BU282-(BX228-SUM(BT228:BU228))</f>
        <v>23406</v>
      </c>
      <c r="BY282" s="263">
        <f>BX282-BY228-BY68</f>
        <v>24381</v>
      </c>
      <c r="BZ282" s="263">
        <f>BY282-BZ228-BZ68</f>
        <v>25306</v>
      </c>
      <c r="CA282" s="263">
        <f>BZ282-CA228-CA68</f>
        <v>26181</v>
      </c>
      <c r="CB282" s="263">
        <f>CA282-CB228-CB68</f>
        <v>27006</v>
      </c>
      <c r="CC282" s="263">
        <f>CB282-CC228-CC68</f>
        <v>27781</v>
      </c>
      <c r="CD282" s="19" t="n"/>
    </row>
    <row r="283" ht="15" customHeight="1" s="251">
      <c r="B283" s="25" t="inlineStr">
        <is>
          <t xml:space="preserve">  Other assets (incl. long-term restricted cash; derived)</t>
        </is>
      </c>
      <c r="C283" s="34" t="n"/>
      <c r="D283" s="261" t="n">
        <v>74</v>
      </c>
      <c r="E283" s="261" t="n">
        <v>90</v>
      </c>
      <c r="F283" s="261" t="n">
        <v>57</v>
      </c>
      <c r="G283" s="261" t="n">
        <v>87</v>
      </c>
      <c r="H283" s="261" t="n">
        <v>95</v>
      </c>
      <c r="I283" s="261" t="n">
        <v>90</v>
      </c>
      <c r="J283" s="261" t="n">
        <v>221</v>
      </c>
      <c r="K283" s="261" t="n">
        <v>221</v>
      </c>
      <c r="L283" s="261" t="n">
        <v>212</v>
      </c>
      <c r="M283" s="261" t="n">
        <v>206</v>
      </c>
      <c r="N283" s="261" t="n">
        <v>441</v>
      </c>
      <c r="O283" s="261" t="n">
        <v>637</v>
      </c>
      <c r="P283" s="261" t="n">
        <v>637</v>
      </c>
      <c r="Q283" s="261" t="n">
        <v>605</v>
      </c>
      <c r="R283" s="261" t="n">
        <v>594</v>
      </c>
      <c r="S283" s="261" t="n">
        <v>534</v>
      </c>
      <c r="T283" s="261" t="n">
        <v>796</v>
      </c>
      <c r="U283" s="261" t="n">
        <v>796</v>
      </c>
      <c r="V283" s="261" t="n">
        <v>700</v>
      </c>
      <c r="W283" s="261" t="n">
        <v>703</v>
      </c>
      <c r="X283" s="261" t="n">
        <v>660</v>
      </c>
      <c r="Y283" s="261" t="n">
        <v>1312</v>
      </c>
      <c r="Z283" s="261" t="n">
        <v>1312</v>
      </c>
      <c r="AA283" s="261" t="n">
        <v>1836</v>
      </c>
      <c r="AB283" s="261" t="n">
        <v>2096</v>
      </c>
      <c r="AC283" s="261" t="n">
        <v>2374</v>
      </c>
      <c r="AD283" s="261" t="n">
        <v>2135</v>
      </c>
      <c r="AE283" s="261" t="n">
        <v>2135</v>
      </c>
      <c r="AF283" s="261" t="n">
        <v>2319</v>
      </c>
      <c r="AG283" s="261" t="n">
        <v>2265</v>
      </c>
      <c r="AH283" s="261" t="n">
        <v>2438</v>
      </c>
      <c r="AI283" s="261" t="n">
        <v>2576</v>
      </c>
      <c r="AJ283" s="261" t="n">
        <v>2576</v>
      </c>
      <c r="AK283" s="261" t="n">
        <v>2602</v>
      </c>
      <c r="AL283" s="261" t="n">
        <v>2446</v>
      </c>
      <c r="AM283" s="261" t="n">
        <v>2461</v>
      </c>
      <c r="AN283" s="261" t="n">
        <v>2759</v>
      </c>
      <c r="AO283" s="261" t="n">
        <v>2759</v>
      </c>
      <c r="AP283" s="261" t="n">
        <v>2887</v>
      </c>
      <c r="AQ283" s="261" t="n">
        <v>3238</v>
      </c>
      <c r="AR283" s="261" t="n">
        <v>2969</v>
      </c>
      <c r="AS283" s="261" t="n">
        <v>2758</v>
      </c>
      <c r="AT283" s="261" t="n">
        <v>2758</v>
      </c>
      <c r="AU283" s="261" t="n">
        <v>2376</v>
      </c>
      <c r="AV283" s="261" t="n">
        <v>2352</v>
      </c>
      <c r="AW283" s="261" t="n">
        <v>3187</v>
      </c>
      <c r="AX283" s="261" t="n">
        <v>2751</v>
      </c>
      <c r="AY283" s="261" t="n">
        <v>2751</v>
      </c>
      <c r="AZ283" s="261" t="n">
        <v>3522</v>
      </c>
      <c r="BA283" s="261" t="n">
        <v>4344</v>
      </c>
      <c r="BB283" s="261" t="n">
        <v>5529</v>
      </c>
      <c r="BC283" s="261" t="n">
        <v>6583</v>
      </c>
      <c r="BD283" s="261" t="n">
        <v>6583</v>
      </c>
      <c r="BE283" s="261" t="n">
        <v>7188</v>
      </c>
      <c r="BF283" s="261" t="n">
        <v>8501</v>
      </c>
      <c r="BG283" s="261" t="n">
        <v>5468</v>
      </c>
      <c r="BH283" s="261" t="n">
        <v>6794</v>
      </c>
      <c r="BI283" s="261" t="n">
        <v>6794</v>
      </c>
      <c r="BJ283" s="261" t="n">
        <v>8179</v>
      </c>
      <c r="BK283" s="261" t="n">
        <v>9929</v>
      </c>
      <c r="BL283" s="261" t="n">
        <v>11642</v>
      </c>
      <c r="BM283" s="261" t="n">
        <v>13017</v>
      </c>
      <c r="BN283" s="261" t="n">
        <v>13017</v>
      </c>
      <c r="BO283" s="261" t="n">
        <v>14092</v>
      </c>
      <c r="BP283" s="261" t="n">
        <v>15788</v>
      </c>
      <c r="BQ283" s="261" t="n">
        <v>6852</v>
      </c>
      <c r="BR283" s="261" t="n">
        <v>8437</v>
      </c>
      <c r="BS283" s="261" t="n">
        <v>8437</v>
      </c>
      <c r="BT283" s="261" t="n">
        <v>14283</v>
      </c>
      <c r="BU283" s="261" t="n">
        <v>21209</v>
      </c>
      <c r="BV283" s="35" t="n"/>
      <c r="BW283" s="35" t="n"/>
      <c r="BX283" s="263">
        <f>BU283</f>
        <v>21209</v>
      </c>
      <c r="BY283" s="263">
        <f>BX283</f>
        <v>21209</v>
      </c>
      <c r="BZ283" s="263">
        <f>BY283</f>
        <v>21209</v>
      </c>
      <c r="CA283" s="263">
        <f>BZ283</f>
        <v>21209</v>
      </c>
      <c r="CB283" s="263">
        <f>CA283</f>
        <v>21209</v>
      </c>
      <c r="CC283" s="263">
        <f>CB283</f>
        <v>21209</v>
      </c>
      <c r="CD283" s="19" t="n"/>
    </row>
    <row r="284" ht="15" customHeight="1" s="251">
      <c r="B284" s="55" t="inlineStr">
        <is>
          <t>TOTAL ASSETS</t>
        </is>
      </c>
      <c r="C284" s="272">
        <f>IF(ISNUMBER(C274),C278+SUM(C279:C283),"")</f>
      </c>
      <c r="D284" s="272">
        <f>IF(ISNUMBER(D274),D278+SUM(D279:D283),"")</f>
        <v>2990</v>
      </c>
      <c r="E284" s="272">
        <f>IF(ISNUMBER(E274),E278+SUM(E279:E283),"")</f>
        <v>6331</v>
      </c>
      <c r="F284" s="272">
        <f>IF(ISNUMBER(F274),F278+SUM(F279:F283),"")</f>
        <v>15103</v>
      </c>
      <c r="G284" s="272">
        <f>IF(ISNUMBER(G274),G278+SUM(G279:G283),"")</f>
        <v>15163</v>
      </c>
      <c r="H284" s="272">
        <f>IF(ISNUMBER(H274),H278+SUM(H279:H283),"")</f>
        <v>15724</v>
      </c>
      <c r="I284" s="272">
        <f>IF(ISNUMBER(I274),I278+SUM(I279:I283),"")</f>
        <v>14933</v>
      </c>
      <c r="J284" s="272">
        <f>IF(ISNUMBER(J274),J278+SUM(J279:J283),"")</f>
        <v>17895</v>
      </c>
      <c r="K284" s="272">
        <f>IF(ISNUMBER(K274),K278+SUM(K279:K283),"")</f>
        <v>17895</v>
      </c>
      <c r="L284" s="272">
        <f>IF(ISNUMBER(L274),L278+SUM(L279:L283),"")</f>
        <v>19028</v>
      </c>
      <c r="M284" s="272">
        <f>IF(ISNUMBER(M274),M278+SUM(M279:M283),"")</f>
        <v>20769</v>
      </c>
      <c r="N284" s="272">
        <f>IF(ISNUMBER(N274),N278+SUM(N279:N283),"")</f>
        <v>24188</v>
      </c>
      <c r="O284" s="272">
        <f>IF(ISNUMBER(O274),O278+SUM(O279:O283),"")</f>
        <v>40184</v>
      </c>
      <c r="P284" s="272">
        <f>IF(ISNUMBER(P274),P278+SUM(P279:P283),"")</f>
        <v>40184</v>
      </c>
      <c r="Q284" s="272">
        <f>IF(ISNUMBER(Q274),Q278+SUM(Q279:Q283),"")</f>
        <v>42007</v>
      </c>
      <c r="R284" s="272">
        <f>IF(ISNUMBER(R274),R278+SUM(R279:R283),"")</f>
        <v>44130</v>
      </c>
      <c r="S284" s="272">
        <f>IF(ISNUMBER(S274),S278+SUM(S279:S283),"")</f>
        <v>46469</v>
      </c>
      <c r="T284" s="272">
        <f>IF(ISNUMBER(T274),T278+SUM(T279:T283),"")</f>
        <v>49407</v>
      </c>
      <c r="U284" s="272">
        <f>IF(ISNUMBER(U274),U278+SUM(U279:U283),"")</f>
        <v>49407</v>
      </c>
      <c r="V284" s="272">
        <f>IF(ISNUMBER(V274),V278+SUM(V279:V283),"")</f>
        <v>52075</v>
      </c>
      <c r="W284" s="272">
        <f>IF(ISNUMBER(W274),W278+SUM(W279:W283),"")</f>
        <v>55739</v>
      </c>
      <c r="X284" s="272">
        <f>IF(ISNUMBER(X274),X278+SUM(X279:X283),"")</f>
        <v>59674</v>
      </c>
      <c r="Y284" s="272">
        <f>IF(ISNUMBER(Y274),Y278+SUM(Y279:Y283),"")</f>
        <v>64961</v>
      </c>
      <c r="Z284" s="272">
        <f>IF(ISNUMBER(Z274),Z278+SUM(Z279:Z283),"")</f>
        <v>64961</v>
      </c>
      <c r="AA284" s="272">
        <f>IF(ISNUMBER(AA274),AA278+SUM(AA279:AA283),"")</f>
        <v>68714</v>
      </c>
      <c r="AB284" s="272">
        <f>IF(ISNUMBER(AB274),AB278+SUM(AB279:AB283),"")</f>
        <v>73843</v>
      </c>
      <c r="AC284" s="272">
        <f>IF(ISNUMBER(AC274),AC278+SUM(AC279:AC283),"")</f>
        <v>78998</v>
      </c>
      <c r="AD284" s="272">
        <f>IF(ISNUMBER(AD274),AD278+SUM(AD279:AD283),"")</f>
        <v>84524</v>
      </c>
      <c r="AE284" s="272">
        <f>IF(ISNUMBER(AE274),AE278+SUM(AE279:AE283),"")</f>
        <v>84524</v>
      </c>
      <c r="AF284" s="272">
        <f>IF(ISNUMBER(AF274),AF278+SUM(AF279:AF283),"")</f>
        <v>88945</v>
      </c>
      <c r="AG284" s="272">
        <f>IF(ISNUMBER(AG274),AG278+SUM(AG279:AG283),"")</f>
        <v>90291</v>
      </c>
      <c r="AH284" s="272">
        <f>IF(ISNUMBER(AH274),AH278+SUM(AH279:AH283),"")</f>
        <v>92452</v>
      </c>
      <c r="AI284" s="272">
        <f>IF(ISNUMBER(AI274),AI278+SUM(AI279:AI283),"")</f>
        <v>97334</v>
      </c>
      <c r="AJ284" s="272">
        <f>IF(ISNUMBER(AJ274),AJ278+SUM(AJ279:AJ283),"")</f>
        <v>97334</v>
      </c>
      <c r="AK284" s="272">
        <f>IF(ISNUMBER(AK274),AK278+SUM(AK279:AK283),"")</f>
        <v>109477</v>
      </c>
      <c r="AL284" s="272">
        <f>IF(ISNUMBER(AL274),AL278+SUM(AL279:AL283),"")</f>
        <v>117006</v>
      </c>
      <c r="AM284" s="272">
        <f>IF(ISNUMBER(AM274),AM278+SUM(AM279:AM283),"")</f>
        <v>124418</v>
      </c>
      <c r="AN284" s="272">
        <f>IF(ISNUMBER(AN274),AN278+SUM(AN279:AN283),"")</f>
        <v>133376</v>
      </c>
      <c r="AO284" s="272">
        <f>IF(ISNUMBER(AO274),AO278+SUM(AO279:AO283),"")</f>
        <v>133376</v>
      </c>
      <c r="AP284" s="272">
        <f>IF(ISNUMBER(AP274),AP278+SUM(AP279:AP283),"")</f>
        <v>138371</v>
      </c>
      <c r="AQ284" s="272">
        <f>IF(ISNUMBER(AQ274),AQ278+SUM(AQ279:AQ283),"")</f>
        <v>139691</v>
      </c>
      <c r="AR284" s="272">
        <f>IF(ISNUMBER(AR274),AR278+SUM(AR279:AR283),"")</f>
        <v>146437</v>
      </c>
      <c r="AS284" s="272">
        <f>IF(ISNUMBER(AS274),AS278+SUM(AS279:AS283),"")</f>
        <v>159316</v>
      </c>
      <c r="AT284" s="272">
        <f>IF(ISNUMBER(AT274),AT278+SUM(AT279:AT283),"")</f>
        <v>159316</v>
      </c>
      <c r="AU284" s="272">
        <f>IF(ISNUMBER(AU274),AU278+SUM(AU279:AU283),"")</f>
        <v>163523</v>
      </c>
      <c r="AV284" s="272">
        <f>IF(ISNUMBER(AV274),AV278+SUM(AV279:AV283),"")</f>
        <v>170609</v>
      </c>
      <c r="AW284" s="272">
        <f>IF(ISNUMBER(AW274),AW278+SUM(AW279:AW283),"")</f>
        <v>169585</v>
      </c>
      <c r="AX284" s="272">
        <f>IF(ISNUMBER(AX274),AX278+SUM(AX279:AX283),"")</f>
        <v>165987</v>
      </c>
      <c r="AY284" s="272">
        <f>IF(ISNUMBER(AY274),AY278+SUM(AY279:AY283),"")</f>
        <v>165987</v>
      </c>
      <c r="AZ284" s="272">
        <f>IF(ISNUMBER(AZ274),AZ278+SUM(AZ279:AZ283),"")</f>
        <v>164218</v>
      </c>
      <c r="BA284" s="272">
        <f>IF(ISNUMBER(BA274),BA278+SUM(BA279:BA283),"")</f>
        <v>169779</v>
      </c>
      <c r="BB284" s="272">
        <f>IF(ISNUMBER(BB274),BB278+SUM(BB279:BB283),"")</f>
        <v>178894</v>
      </c>
      <c r="BC284" s="272">
        <f>IF(ISNUMBER(BC274),BC278+SUM(BC279:BC283),"")</f>
        <v>185727</v>
      </c>
      <c r="BD284" s="272">
        <f>IF(ISNUMBER(BD274),BD278+SUM(BD279:BD283),"")</f>
        <v>185727</v>
      </c>
      <c r="BE284" s="272">
        <f>IF(ISNUMBER(BE274),BE278+SUM(BE279:BE283),"")</f>
        <v>184491</v>
      </c>
      <c r="BF284" s="272">
        <f>IF(ISNUMBER(BF274),BF278+SUM(BF279:BF283),"")</f>
        <v>206688</v>
      </c>
      <c r="BG284" s="272">
        <f>IF(ISNUMBER(BG274),BG278+SUM(BG279:BG283),"")</f>
        <v>216274</v>
      </c>
      <c r="BH284" s="272">
        <f>IF(ISNUMBER(BH274),BH278+SUM(BH279:BH283),"")</f>
        <v>229623</v>
      </c>
      <c r="BI284" s="272">
        <f>IF(ISNUMBER(BI274),BI278+SUM(BI279:BI283),"")</f>
        <v>229623</v>
      </c>
      <c r="BJ284" s="272">
        <f>IF(ISNUMBER(BJ274),BJ278+SUM(BJ279:BJ283),"")</f>
        <v>222844</v>
      </c>
      <c r="BK284" s="272">
        <f>IF(ISNUMBER(BK274),BK278+SUM(BK279:BK283),"")</f>
        <v>230238</v>
      </c>
      <c r="BL284" s="272">
        <f>IF(ISNUMBER(BL274),BL278+SUM(BL279:BL283),"")</f>
        <v>256408</v>
      </c>
      <c r="BM284" s="272">
        <f>IF(ISNUMBER(BM274),BM278+SUM(BM279:BM283),"")</f>
        <v>276054</v>
      </c>
      <c r="BN284" s="272">
        <f>IF(ISNUMBER(BN274),BN278+SUM(BN279:BN283),"")</f>
        <v>276054</v>
      </c>
      <c r="BO284" s="272">
        <f>IF(ISNUMBER(BO274),BO278+SUM(BO279:BO283),"")</f>
        <v>280213</v>
      </c>
      <c r="BP284" s="272">
        <f>IF(ISNUMBER(BP274),BP278+SUM(BP279:BP283),"")</f>
        <v>294744</v>
      </c>
      <c r="BQ284" s="272">
        <f>IF(ISNUMBER(BQ274),BQ278+SUM(BQ279:BQ283),"")</f>
        <v>303844</v>
      </c>
      <c r="BR284" s="272">
        <f>IF(ISNUMBER(BR274),BR278+SUM(BR279:BR283),"")</f>
        <v>366021</v>
      </c>
      <c r="BS284" s="272">
        <f>IF(ISNUMBER(BS274),BS278+SUM(BS279:BS283),"")</f>
        <v>366021</v>
      </c>
      <c r="BT284" s="272">
        <f>IF(ISNUMBER(BT274),BT278+SUM(BT279:BT283),"")</f>
        <v>395250</v>
      </c>
      <c r="BU284" s="272">
        <f>IF(ISNUMBER(BU274),BU278+SUM(BU279:BU283),"")</f>
        <v>449956</v>
      </c>
      <c r="BV284" s="56" t="n"/>
      <c r="BW284" s="56" t="n"/>
      <c r="BX284" s="272">
        <f>IF(ISNUMBER(BX274),BX278+SUM(BX279:BX283),"")</f>
        <v>525160.108792115</v>
      </c>
      <c r="BY284" s="272">
        <f>IF(ISNUMBER(BY274),BY278+SUM(BY279:BY283),"")</f>
        <v>632638.067954911</v>
      </c>
      <c r="BZ284" s="272">
        <f>IF(ISNUMBER(BZ274),BZ278+SUM(BZ279:BZ283),"")</f>
        <v>723121.575527094</v>
      </c>
      <c r="CA284" s="272">
        <f>IF(ISNUMBER(CA274),CA278+SUM(CA279:CA283),"")</f>
        <v>792359.228739552</v>
      </c>
      <c r="CB284" s="272">
        <f>IF(ISNUMBER(CB274),CB278+SUM(CB279:CB283),"")</f>
        <v>846519.376178437</v>
      </c>
      <c r="CC284" s="272">
        <f>IF(ISNUMBER(CC274),CC278+SUM(CC279:CC283),"")</f>
        <v>892480.416094653</v>
      </c>
      <c r="CD284" s="153" t="n"/>
      <c r="CF284" s="20">
        <f>IFERROR((CC284/BX284)^(1/5)-1,"n/m")</f>
        <v>0.111888895910607</v>
      </c>
      <c r="CG284" s="20">
        <f>IFERROR((BS284/AT284)^(1/5)-1,"n/m")</f>
        <v>0.180998434333665</v>
      </c>
      <c r="CH284" s="20">
        <f>IFERROR((BS284/U284)^(1/10)-1,"n/m")</f>
        <v>0.221720192420266</v>
      </c>
      <c r="CI284" s="20" t="str">
        <f>IFERROR((BS284/C284)^(1/16)-1,"n/m")</f>
        <v>n/m</v>
      </c>
    </row>
    <row r="285" ht="15" customHeight="1" s="251">
      <c r="B285" s="25" t="inlineStr">
        <is>
          <t>LIABILITIES AND STOCKHOLDERS' EQUITY</t>
        </is>
      </c>
      <c r="CD285" s="153" t="n"/>
    </row>
    <row r="286" ht="15" customHeight="1" s="251">
      <c r="B286" s="25" t="inlineStr">
        <is>
          <t xml:space="preserve">  Accounts payable</t>
        </is>
      </c>
      <c r="C286" s="34" t="n"/>
      <c r="D286" s="261" t="n">
        <v>29</v>
      </c>
      <c r="E286" s="261" t="n">
        <v>63</v>
      </c>
      <c r="F286" s="261" t="n">
        <v>65</v>
      </c>
      <c r="G286" s="261" t="n">
        <v>75</v>
      </c>
      <c r="H286" s="261" t="n">
        <v>55</v>
      </c>
      <c r="I286" s="261" t="n">
        <v>36</v>
      </c>
      <c r="J286" s="261" t="n">
        <v>87</v>
      </c>
      <c r="K286" s="261" t="n">
        <v>87</v>
      </c>
      <c r="L286" s="261" t="n">
        <v>85</v>
      </c>
      <c r="M286" s="261" t="n">
        <v>146</v>
      </c>
      <c r="N286" s="261" t="n">
        <v>120</v>
      </c>
      <c r="O286" s="261" t="n">
        <v>176</v>
      </c>
      <c r="P286" s="261" t="n">
        <v>176</v>
      </c>
      <c r="Q286" s="261" t="n">
        <v>129</v>
      </c>
      <c r="R286" s="261" t="n">
        <v>139</v>
      </c>
      <c r="S286" s="261" t="n">
        <v>149</v>
      </c>
      <c r="T286" s="261" t="n">
        <v>196</v>
      </c>
      <c r="U286" s="261" t="n">
        <v>196</v>
      </c>
      <c r="V286" s="261" t="n">
        <v>149</v>
      </c>
      <c r="W286" s="261" t="n">
        <v>130</v>
      </c>
      <c r="X286" s="261" t="n">
        <v>260</v>
      </c>
      <c r="Y286" s="261" t="n">
        <v>302</v>
      </c>
      <c r="Z286" s="261" t="n">
        <v>302</v>
      </c>
      <c r="AA286" s="261" t="n">
        <v>170</v>
      </c>
      <c r="AB286" s="261" t="n">
        <v>323</v>
      </c>
      <c r="AC286" s="261" t="n">
        <v>383</v>
      </c>
      <c r="AD286" s="261" t="n">
        <v>380</v>
      </c>
      <c r="AE286" s="261" t="n">
        <v>380</v>
      </c>
      <c r="AF286" s="261" t="n">
        <v>593</v>
      </c>
      <c r="AG286" s="261" t="n">
        <v>419</v>
      </c>
      <c r="AH286" s="261" t="n">
        <v>590</v>
      </c>
      <c r="AI286" s="261" t="n">
        <v>820</v>
      </c>
      <c r="AJ286" s="261" t="n">
        <v>820</v>
      </c>
      <c r="AK286" s="261" t="n">
        <v>604</v>
      </c>
      <c r="AL286" s="261" t="n">
        <v>655</v>
      </c>
      <c r="AM286" s="261" t="n">
        <v>860</v>
      </c>
      <c r="AN286" s="261" t="n">
        <v>1363</v>
      </c>
      <c r="AO286" s="261" t="n">
        <v>1363</v>
      </c>
      <c r="AP286" s="261" t="n">
        <v>829</v>
      </c>
      <c r="AQ286" s="261" t="n">
        <v>920</v>
      </c>
      <c r="AR286" s="261" t="n">
        <v>1106</v>
      </c>
      <c r="AS286" s="261" t="n">
        <v>1331</v>
      </c>
      <c r="AT286" s="261" t="n">
        <v>1331</v>
      </c>
      <c r="AU286" s="261" t="n">
        <v>878</v>
      </c>
      <c r="AV286" s="261" t="n">
        <v>973</v>
      </c>
      <c r="AW286" s="261" t="n">
        <v>2195</v>
      </c>
      <c r="AX286" s="261" t="n">
        <v>4083</v>
      </c>
      <c r="AY286" s="261" t="n">
        <v>4083</v>
      </c>
      <c r="AZ286" s="261" t="n">
        <v>3246</v>
      </c>
      <c r="BA286" s="261" t="n">
        <v>4008</v>
      </c>
      <c r="BB286" s="261" t="n">
        <v>3871</v>
      </c>
      <c r="BC286" s="261" t="n">
        <v>4990</v>
      </c>
      <c r="BD286" s="261" t="n">
        <v>4990</v>
      </c>
      <c r="BE286" s="261" t="n">
        <v>3672</v>
      </c>
      <c r="BF286" s="261" t="n">
        <v>3093</v>
      </c>
      <c r="BG286" s="261" t="n">
        <v>4372</v>
      </c>
      <c r="BH286" s="261" t="n">
        <v>4849</v>
      </c>
      <c r="BI286" s="261" t="n">
        <v>4849</v>
      </c>
      <c r="BJ286" s="261" t="n">
        <v>3785</v>
      </c>
      <c r="BK286" s="261" t="n">
        <v>3173</v>
      </c>
      <c r="BL286" s="261" t="n">
        <v>7656</v>
      </c>
      <c r="BM286" s="261" t="n">
        <v>7687</v>
      </c>
      <c r="BN286" s="261" t="n">
        <v>7687</v>
      </c>
      <c r="BO286" s="261" t="n">
        <v>8512</v>
      </c>
      <c r="BP286" s="261" t="n">
        <v>10271</v>
      </c>
      <c r="BQ286" s="261" t="n">
        <v>7798</v>
      </c>
      <c r="BR286" s="261" t="n">
        <v>8894</v>
      </c>
      <c r="BS286" s="261" t="n">
        <v>8894</v>
      </c>
      <c r="BT286" s="261" t="n">
        <v>13326</v>
      </c>
      <c r="BU286" s="261" t="n">
        <v>15889</v>
      </c>
      <c r="BV286" s="35" t="n"/>
      <c r="BW286" s="35" t="n"/>
      <c r="BX286" s="263">
        <f>BX246*BX307</f>
        <v>16912.5</v>
      </c>
      <c r="BY286" s="263">
        <f>BY246*BY307</f>
        <v>17512.9993542317</v>
      </c>
      <c r="BZ286" s="263">
        <f>BZ246*BZ307</f>
        <v>16773.5047951693</v>
      </c>
      <c r="CA286" s="263">
        <f>CA246*CA307</f>
        <v>15586.4251672883</v>
      </c>
      <c r="CB286" s="263">
        <f>CB246*CB307</f>
        <v>14606.9668097039</v>
      </c>
      <c r="CC286" s="263">
        <f>CC246*CC307</f>
        <v>14273.1255013358</v>
      </c>
      <c r="CD286" s="19" t="n"/>
    </row>
    <row r="287" ht="15" customHeight="1" s="251">
      <c r="B287" s="25" t="inlineStr">
        <is>
          <t xml:space="preserve">  Current portion of capital lease obligations (to 2018)</t>
        </is>
      </c>
      <c r="C287" s="34" t="n"/>
      <c r="D287" s="261" t="n">
        <v>106</v>
      </c>
      <c r="E287" s="261" t="n">
        <v>279</v>
      </c>
      <c r="F287" s="261" t="n">
        <v>365</v>
      </c>
      <c r="G287" s="261" t="n">
        <v>338</v>
      </c>
      <c r="H287" s="261" t="n">
        <v>316</v>
      </c>
      <c r="I287" s="261" t="n">
        <v>288</v>
      </c>
      <c r="J287" s="261" t="n">
        <v>239</v>
      </c>
      <c r="K287" s="261" t="n">
        <v>239</v>
      </c>
      <c r="L287" s="261" t="n">
        <v>201</v>
      </c>
      <c r="M287" s="261" t="n">
        <v>173</v>
      </c>
      <c r="N287" s="261" t="n">
        <v>149</v>
      </c>
      <c r="O287" s="261" t="n">
        <v>114</v>
      </c>
      <c r="P287" s="261" t="n">
        <v>114</v>
      </c>
      <c r="Q287" s="261" t="n">
        <v>73</v>
      </c>
      <c r="R287" s="261" t="n">
        <v>39</v>
      </c>
      <c r="S287" s="261" t="n">
        <v>17</v>
      </c>
      <c r="T287" s="261" t="n">
        <v>7</v>
      </c>
      <c r="U287" s="261" t="n">
        <v>7</v>
      </c>
      <c r="V287" s="261" t="n">
        <v>0</v>
      </c>
      <c r="W287" s="261" t="n">
        <v>0</v>
      </c>
      <c r="X287" s="261" t="n">
        <v>0</v>
      </c>
      <c r="Y287" s="261" t="n">
        <v>0</v>
      </c>
      <c r="Z287" s="261" t="n">
        <v>0</v>
      </c>
      <c r="AA287" s="261" t="n">
        <v>0</v>
      </c>
      <c r="AB287" s="261" t="n">
        <v>0</v>
      </c>
      <c r="AC287" s="261" t="n">
        <v>0</v>
      </c>
      <c r="AD287" s="261" t="n">
        <v>0</v>
      </c>
      <c r="AE287" s="261" t="n">
        <v>0</v>
      </c>
      <c r="AF287" s="261" t="n">
        <v>0</v>
      </c>
      <c r="AG287" s="261" t="n">
        <v>0</v>
      </c>
      <c r="AH287" s="261" t="n">
        <v>0</v>
      </c>
      <c r="AI287" s="261" t="n">
        <v>0</v>
      </c>
      <c r="AJ287" s="261" t="n">
        <v>0</v>
      </c>
      <c r="AK287" s="261" t="n">
        <v>0</v>
      </c>
      <c r="AL287" s="261" t="n">
        <v>0</v>
      </c>
      <c r="AM287" s="261" t="n">
        <v>0</v>
      </c>
      <c r="AN287" s="261" t="n">
        <v>0</v>
      </c>
      <c r="AO287" s="261" t="n">
        <v>0</v>
      </c>
      <c r="AP287" s="261" t="n">
        <v>0</v>
      </c>
      <c r="AQ287" s="261" t="n">
        <v>0</v>
      </c>
      <c r="AR287" s="261" t="n">
        <v>0</v>
      </c>
      <c r="AS287" s="261" t="n">
        <v>0</v>
      </c>
      <c r="AT287" s="261" t="n">
        <v>0</v>
      </c>
      <c r="AU287" s="261" t="n">
        <v>0</v>
      </c>
      <c r="AV287" s="261" t="n">
        <v>0</v>
      </c>
      <c r="AW287" s="261" t="n">
        <v>0</v>
      </c>
      <c r="AX287" s="261" t="n">
        <v>0</v>
      </c>
      <c r="AY287" s="261" t="n">
        <v>0</v>
      </c>
      <c r="AZ287" s="261" t="n">
        <v>0</v>
      </c>
      <c r="BA287" s="261" t="n">
        <v>0</v>
      </c>
      <c r="BB287" s="261" t="n">
        <v>0</v>
      </c>
      <c r="BC287" s="261" t="n">
        <v>0</v>
      </c>
      <c r="BD287" s="261" t="n">
        <v>0</v>
      </c>
      <c r="BE287" s="261" t="n">
        <v>0</v>
      </c>
      <c r="BF287" s="261" t="n">
        <v>0</v>
      </c>
      <c r="BG287" s="261" t="n">
        <v>0</v>
      </c>
      <c r="BH287" s="261" t="n">
        <v>0</v>
      </c>
      <c r="BI287" s="261" t="n">
        <v>0</v>
      </c>
      <c r="BJ287" s="261" t="n">
        <v>0</v>
      </c>
      <c r="BK287" s="261" t="n">
        <v>0</v>
      </c>
      <c r="BL287" s="261" t="n">
        <v>0</v>
      </c>
      <c r="BM287" s="261" t="n">
        <v>0</v>
      </c>
      <c r="BN287" s="261" t="n">
        <v>0</v>
      </c>
      <c r="BO287" s="261" t="n">
        <v>0</v>
      </c>
      <c r="BP287" s="261" t="n">
        <v>0</v>
      </c>
      <c r="BQ287" s="261" t="n">
        <v>0</v>
      </c>
      <c r="BR287" s="261" t="n">
        <v>0</v>
      </c>
      <c r="BS287" s="261" t="n">
        <v>0</v>
      </c>
      <c r="BT287" s="261" t="n">
        <v>0</v>
      </c>
      <c r="BU287" s="261" t="n">
        <v>0</v>
      </c>
      <c r="BV287" s="35" t="n"/>
      <c r="BW287" s="35" t="n"/>
      <c r="BX287" s="263">
        <f>0</f>
        <v>0</v>
      </c>
      <c r="BY287" s="263">
        <f>0</f>
        <v>0</v>
      </c>
      <c r="BZ287" s="263">
        <f>0</f>
        <v>0</v>
      </c>
      <c r="CA287" s="263">
        <f>0</f>
        <v>0</v>
      </c>
      <c r="CB287" s="263">
        <f>0</f>
        <v>0</v>
      </c>
      <c r="CC287" s="263">
        <f>0</f>
        <v>0</v>
      </c>
      <c r="CD287" s="19" t="n"/>
    </row>
    <row r="288" ht="15" customHeight="1" s="251">
      <c r="B288" s="25" t="inlineStr">
        <is>
          <t xml:space="preserve">  Accrued expenses and other current liabilities (incl. partners payable, deferred revenue, operating lease liabilities)</t>
        </is>
      </c>
      <c r="C288" s="34" t="n"/>
      <c r="D288" s="261" t="n">
        <v>254</v>
      </c>
      <c r="E288" s="261" t="n">
        <v>557</v>
      </c>
      <c r="F288" s="261" t="n">
        <v>622</v>
      </c>
      <c r="G288" s="261" t="n">
        <v>650</v>
      </c>
      <c r="H288" s="261" t="n">
        <v>709</v>
      </c>
      <c r="I288" s="261" t="n">
        <v>660</v>
      </c>
      <c r="J288" s="261" t="n">
        <v>774</v>
      </c>
      <c r="K288" s="261" t="n">
        <v>774</v>
      </c>
      <c r="L288" s="261" t="n">
        <v>751</v>
      </c>
      <c r="M288" s="261" t="n">
        <v>895</v>
      </c>
      <c r="N288" s="261" t="n">
        <v>965</v>
      </c>
      <c r="O288" s="261" t="n">
        <v>1134</v>
      </c>
      <c r="P288" s="261" t="n">
        <v>1134</v>
      </c>
      <c r="Q288" s="261" t="n">
        <v>1544</v>
      </c>
      <c r="R288" s="261" t="n">
        <v>1703</v>
      </c>
      <c r="S288" s="261" t="n">
        <v>1626</v>
      </c>
      <c r="T288" s="261" t="n">
        <v>1722</v>
      </c>
      <c r="U288" s="261" t="n">
        <v>1722</v>
      </c>
      <c r="V288" s="261" t="n">
        <v>1660</v>
      </c>
      <c r="W288" s="261" t="n">
        <v>2081</v>
      </c>
      <c r="X288" s="261" t="n">
        <v>2335</v>
      </c>
      <c r="Y288" s="261" t="n">
        <v>2573</v>
      </c>
      <c r="Z288" s="261" t="n">
        <v>2573</v>
      </c>
      <c r="AA288" s="261" t="n">
        <v>2758</v>
      </c>
      <c r="AB288" s="261" t="n">
        <v>2992</v>
      </c>
      <c r="AC288" s="261" t="n">
        <v>2922</v>
      </c>
      <c r="AD288" s="261" t="n">
        <v>3380</v>
      </c>
      <c r="AE288" s="261" t="n">
        <v>3380</v>
      </c>
      <c r="AF288" s="261" t="n">
        <v>4493</v>
      </c>
      <c r="AG288" s="261" t="n">
        <v>4251</v>
      </c>
      <c r="AH288" s="261" t="n">
        <v>4872</v>
      </c>
      <c r="AI288" s="261" t="n">
        <v>6197</v>
      </c>
      <c r="AJ288" s="261" t="n">
        <v>6197</v>
      </c>
      <c r="AK288" s="261" t="n">
        <v>9304</v>
      </c>
      <c r="AL288" s="261" t="n">
        <v>12324</v>
      </c>
      <c r="AM288" s="261" t="n">
        <v>12468</v>
      </c>
      <c r="AN288" s="261" t="n">
        <v>13690</v>
      </c>
      <c r="AO288" s="261" t="n">
        <v>13690</v>
      </c>
      <c r="AP288" s="261" t="n">
        <v>14240</v>
      </c>
      <c r="AQ288" s="261" t="n">
        <v>10388</v>
      </c>
      <c r="AR288" s="261" t="n">
        <v>10838</v>
      </c>
      <c r="AS288" s="261" t="n">
        <v>13650</v>
      </c>
      <c r="AT288" s="261" t="n">
        <v>13650</v>
      </c>
      <c r="AU288" s="261" t="n">
        <v>11839</v>
      </c>
      <c r="AV288" s="261" t="n">
        <v>13901</v>
      </c>
      <c r="AW288" s="261" t="n">
        <v>15617</v>
      </c>
      <c r="AX288" s="261" t="n">
        <v>17052</v>
      </c>
      <c r="AY288" s="261" t="n">
        <v>17052</v>
      </c>
      <c r="AZ288" s="261" t="n">
        <v>17840</v>
      </c>
      <c r="BA288" s="261" t="n">
        <v>18209</v>
      </c>
      <c r="BB288" s="261" t="n">
        <v>18816</v>
      </c>
      <c r="BC288" s="261" t="n">
        <v>22036</v>
      </c>
      <c r="BD288" s="261" t="n">
        <v>22036</v>
      </c>
      <c r="BE288" s="261" t="n">
        <v>21709</v>
      </c>
      <c r="BF288" s="261" t="n">
        <v>26828</v>
      </c>
      <c r="BG288" s="261" t="n">
        <v>26159</v>
      </c>
      <c r="BH288" s="261" t="n">
        <v>27111</v>
      </c>
      <c r="BI288" s="261" t="n">
        <v>27111</v>
      </c>
      <c r="BJ288" s="261" t="n">
        <v>24316</v>
      </c>
      <c r="BK288" s="261" t="n">
        <v>23831</v>
      </c>
      <c r="BL288" s="261" t="n">
        <v>25674</v>
      </c>
      <c r="BM288" s="261" t="n">
        <v>25909</v>
      </c>
      <c r="BN288" s="261" t="n">
        <v>25909</v>
      </c>
      <c r="BO288" s="261" t="n">
        <v>25378</v>
      </c>
      <c r="BP288" s="261" t="n">
        <v>27034</v>
      </c>
      <c r="BQ288" s="261" t="n">
        <v>29160</v>
      </c>
      <c r="BR288" s="261" t="n">
        <v>32942</v>
      </c>
      <c r="BS288" s="261" t="n">
        <v>32942</v>
      </c>
      <c r="BT288" s="261" t="n">
        <v>33427</v>
      </c>
      <c r="BU288" s="261" t="n">
        <v>40490</v>
      </c>
      <c r="BV288" s="35" t="n"/>
      <c r="BW288" s="35" t="n"/>
      <c r="BX288" s="263">
        <f>BX305*BX308</f>
        <v>41426.4674911111</v>
      </c>
      <c r="BY288" s="263">
        <f>BY305*BY308</f>
        <v>49336.2300122659</v>
      </c>
      <c r="BZ288" s="263">
        <f>BZ305*BZ308</f>
        <v>57128.0870005941</v>
      </c>
      <c r="CA288" s="263">
        <f>CA305*CA308</f>
        <v>64922.2587840357</v>
      </c>
      <c r="CB288" s="263">
        <f>CB305*CB308</f>
        <v>72384.4451779689</v>
      </c>
      <c r="CC288" s="263">
        <f>CC305*CC308</f>
        <v>79890.5826164391</v>
      </c>
      <c r="CD288" s="19" t="n"/>
    </row>
    <row r="289" ht="15" customHeight="1" s="251">
      <c r="B289" s="16" t="inlineStr">
        <is>
          <t>Total current liabilities</t>
        </is>
      </c>
      <c r="C289" s="266">
        <f>IF(ISNUMBER(C286),SUM(C286:C288),"")</f>
      </c>
      <c r="D289" s="266">
        <f>IF(ISNUMBER(D286),SUM(D286:D288),"")</f>
        <v>389</v>
      </c>
      <c r="E289" s="266">
        <f>IF(ISNUMBER(E286),SUM(E286:E288),"")</f>
        <v>899</v>
      </c>
      <c r="F289" s="266">
        <f>IF(ISNUMBER(F286),SUM(F286:F288),"")</f>
        <v>1052</v>
      </c>
      <c r="G289" s="266">
        <f>IF(ISNUMBER(G286),SUM(G286:G288),"")</f>
        <v>1063</v>
      </c>
      <c r="H289" s="266">
        <f>IF(ISNUMBER(H286),SUM(H286:H288),"")</f>
        <v>1080</v>
      </c>
      <c r="I289" s="266">
        <f>IF(ISNUMBER(I286),SUM(I286:I288),"")</f>
        <v>984</v>
      </c>
      <c r="J289" s="266">
        <f>IF(ISNUMBER(J286),SUM(J286:J288),"")</f>
        <v>1100</v>
      </c>
      <c r="K289" s="266">
        <f>IF(ISNUMBER(K286),SUM(K286:K288),"")</f>
        <v>1100</v>
      </c>
      <c r="L289" s="266">
        <f>IF(ISNUMBER(L286),SUM(L286:L288),"")</f>
        <v>1037</v>
      </c>
      <c r="M289" s="266">
        <f>IF(ISNUMBER(M286),SUM(M286:M288),"")</f>
        <v>1214</v>
      </c>
      <c r="N289" s="266">
        <f>IF(ISNUMBER(N286),SUM(N286:N288),"")</f>
        <v>1234</v>
      </c>
      <c r="O289" s="266">
        <f>IF(ISNUMBER(O286),SUM(O286:O288),"")</f>
        <v>1424</v>
      </c>
      <c r="P289" s="266">
        <f>IF(ISNUMBER(P286),SUM(P286:P288),"")</f>
        <v>1424</v>
      </c>
      <c r="Q289" s="266">
        <f>IF(ISNUMBER(Q286),SUM(Q286:Q288),"")</f>
        <v>1746</v>
      </c>
      <c r="R289" s="266">
        <f>IF(ISNUMBER(R286),SUM(R286:R288),"")</f>
        <v>1881</v>
      </c>
      <c r="S289" s="266">
        <f>IF(ISNUMBER(S286),SUM(S286:S288),"")</f>
        <v>1792</v>
      </c>
      <c r="T289" s="266">
        <f>IF(ISNUMBER(T286),SUM(T286:T288),"")</f>
        <v>1925</v>
      </c>
      <c r="U289" s="266">
        <f>IF(ISNUMBER(U286),SUM(U286:U288),"")</f>
        <v>1925</v>
      </c>
      <c r="V289" s="266">
        <f>IF(ISNUMBER(V286),SUM(V286:V288),"")</f>
        <v>1809</v>
      </c>
      <c r="W289" s="266">
        <f>IF(ISNUMBER(W286),SUM(W286:W288),"")</f>
        <v>2211</v>
      </c>
      <c r="X289" s="266">
        <f>IF(ISNUMBER(X286),SUM(X286:X288),"")</f>
        <v>2595</v>
      </c>
      <c r="Y289" s="266">
        <f>IF(ISNUMBER(Y286),SUM(Y286:Y288),"")</f>
        <v>2875</v>
      </c>
      <c r="Z289" s="266">
        <f>IF(ISNUMBER(Z286),SUM(Z286:Z288),"")</f>
        <v>2875</v>
      </c>
      <c r="AA289" s="266">
        <f>IF(ISNUMBER(AA286),SUM(AA286:AA288),"")</f>
        <v>2928</v>
      </c>
      <c r="AB289" s="266">
        <f>IF(ISNUMBER(AB286),SUM(AB286:AB288),"")</f>
        <v>3315</v>
      </c>
      <c r="AC289" s="266">
        <f>IF(ISNUMBER(AC286),SUM(AC286:AC288),"")</f>
        <v>3305</v>
      </c>
      <c r="AD289" s="266">
        <f>IF(ISNUMBER(AD286),SUM(AD286:AD288),"")</f>
        <v>3760</v>
      </c>
      <c r="AE289" s="266">
        <f>IF(ISNUMBER(AE286),SUM(AE286:AE288),"")</f>
        <v>3760</v>
      </c>
      <c r="AF289" s="266">
        <f>IF(ISNUMBER(AF286),SUM(AF286:AF288),"")</f>
        <v>5086</v>
      </c>
      <c r="AG289" s="266">
        <f>IF(ISNUMBER(AG286),SUM(AG286:AG288),"")</f>
        <v>4670</v>
      </c>
      <c r="AH289" s="266">
        <f>IF(ISNUMBER(AH286),SUM(AH286:AH288),"")</f>
        <v>5462</v>
      </c>
      <c r="AI289" s="266">
        <f>IF(ISNUMBER(AI286),SUM(AI286:AI288),"")</f>
        <v>7017</v>
      </c>
      <c r="AJ289" s="266">
        <f>IF(ISNUMBER(AJ286),SUM(AJ286:AJ288),"")</f>
        <v>7017</v>
      </c>
      <c r="AK289" s="266">
        <f>IF(ISNUMBER(AK286),SUM(AK286:AK288),"")</f>
        <v>9908</v>
      </c>
      <c r="AL289" s="266">
        <f>IF(ISNUMBER(AL286),SUM(AL286:AL288),"")</f>
        <v>12979</v>
      </c>
      <c r="AM289" s="266">
        <f>IF(ISNUMBER(AM286),SUM(AM286:AM288),"")</f>
        <v>13328</v>
      </c>
      <c r="AN289" s="266">
        <f>IF(ISNUMBER(AN286),SUM(AN286:AN288),"")</f>
        <v>15053</v>
      </c>
      <c r="AO289" s="266">
        <f>IF(ISNUMBER(AO286),SUM(AO286:AO288),"")</f>
        <v>15053</v>
      </c>
      <c r="AP289" s="266">
        <f>IF(ISNUMBER(AP286),SUM(AP286:AP288),"")</f>
        <v>15069</v>
      </c>
      <c r="AQ289" s="266">
        <f>IF(ISNUMBER(AQ286),SUM(AQ286:AQ288),"")</f>
        <v>11308</v>
      </c>
      <c r="AR289" s="266">
        <f>IF(ISNUMBER(AR286),SUM(AR286:AR288),"")</f>
        <v>11944</v>
      </c>
      <c r="AS289" s="266">
        <f>IF(ISNUMBER(AS286),SUM(AS286:AS288),"")</f>
        <v>14981</v>
      </c>
      <c r="AT289" s="266">
        <f>IF(ISNUMBER(AT286),SUM(AT286:AT288),"")</f>
        <v>14981</v>
      </c>
      <c r="AU289" s="266">
        <f>IF(ISNUMBER(AU286),SUM(AU286:AU288),"")</f>
        <v>12717</v>
      </c>
      <c r="AV289" s="266">
        <f>IF(ISNUMBER(AV286),SUM(AV286:AV288),"")</f>
        <v>14874</v>
      </c>
      <c r="AW289" s="266">
        <f>IF(ISNUMBER(AW286),SUM(AW286:AW288),"")</f>
        <v>17812</v>
      </c>
      <c r="AX289" s="266">
        <f>IF(ISNUMBER(AX286),SUM(AX286:AX288),"")</f>
        <v>21135</v>
      </c>
      <c r="AY289" s="266">
        <f>IF(ISNUMBER(AY286),SUM(AY286:AY288),"")</f>
        <v>21135</v>
      </c>
      <c r="AZ289" s="266">
        <f>IF(ISNUMBER(AZ286),SUM(AZ286:AZ288),"")</f>
        <v>21086</v>
      </c>
      <c r="BA289" s="266">
        <f>IF(ISNUMBER(BA286),SUM(BA286:BA288),"")</f>
        <v>22217</v>
      </c>
      <c r="BB289" s="266">
        <f>IF(ISNUMBER(BB286),SUM(BB286:BB288),"")</f>
        <v>22687</v>
      </c>
      <c r="BC289" s="266">
        <f>IF(ISNUMBER(BC286),SUM(BC286:BC288),"")</f>
        <v>27026</v>
      </c>
      <c r="BD289" s="266">
        <f>IF(ISNUMBER(BD286),SUM(BD286:BD288),"")</f>
        <v>27026</v>
      </c>
      <c r="BE289" s="266">
        <f>IF(ISNUMBER(BE286),SUM(BE286:BE288),"")</f>
        <v>25381</v>
      </c>
      <c r="BF289" s="266">
        <f>IF(ISNUMBER(BF286),SUM(BF286:BF288),"")</f>
        <v>29921</v>
      </c>
      <c r="BG289" s="266">
        <f>IF(ISNUMBER(BG286),SUM(BG286:BG288),"")</f>
        <v>30531</v>
      </c>
      <c r="BH289" s="266">
        <f>IF(ISNUMBER(BH286),SUM(BH286:BH288),"")</f>
        <v>31960</v>
      </c>
      <c r="BI289" s="266">
        <f>IF(ISNUMBER(BI286),SUM(BI286:BI288),"")</f>
        <v>31960</v>
      </c>
      <c r="BJ289" s="266">
        <f>IF(ISNUMBER(BJ286),SUM(BJ286:BJ288),"")</f>
        <v>28101</v>
      </c>
      <c r="BK289" s="266">
        <f>IF(ISNUMBER(BK286),SUM(BK286:BK288),"")</f>
        <v>27004</v>
      </c>
      <c r="BL289" s="266">
        <f>IF(ISNUMBER(BL286),SUM(BL286:BL288),"")</f>
        <v>33330</v>
      </c>
      <c r="BM289" s="266">
        <f>IF(ISNUMBER(BM286),SUM(BM286:BM288),"")</f>
        <v>33596</v>
      </c>
      <c r="BN289" s="266">
        <f>IF(ISNUMBER(BN286),SUM(BN286:BN288),"")</f>
        <v>33596</v>
      </c>
      <c r="BO289" s="266">
        <f>IF(ISNUMBER(BO286),SUM(BO286:BO288),"")</f>
        <v>33890</v>
      </c>
      <c r="BP289" s="266">
        <f>IF(ISNUMBER(BP286),SUM(BP286:BP288),"")</f>
        <v>37305</v>
      </c>
      <c r="BQ289" s="266">
        <f>IF(ISNUMBER(BQ286),SUM(BQ286:BQ288),"")</f>
        <v>36958</v>
      </c>
      <c r="BR289" s="266">
        <f>IF(ISNUMBER(BR286),SUM(BR286:BR288),"")</f>
        <v>41836</v>
      </c>
      <c r="BS289" s="266">
        <f>IF(ISNUMBER(BS286),SUM(BS286:BS288),"")</f>
        <v>41836</v>
      </c>
      <c r="BT289" s="266">
        <f>IF(ISNUMBER(BT286),SUM(BT286:BT288),"")</f>
        <v>46753</v>
      </c>
      <c r="BU289" s="266">
        <f>IF(ISNUMBER(BU286),SUM(BU286:BU288),"")</f>
        <v>56379</v>
      </c>
      <c r="BV289" s="32" t="n"/>
      <c r="BW289" s="32" t="n"/>
      <c r="BX289" s="254">
        <f>IF(ISNUMBER(BX286),SUM(BX286:BX288),"")</f>
        <v>58338.9674911111</v>
      </c>
      <c r="BY289" s="254">
        <f>IF(ISNUMBER(BY286),SUM(BY286:BY288),"")</f>
        <v>66849.2293664976</v>
      </c>
      <c r="BZ289" s="254">
        <f>IF(ISNUMBER(BZ286),SUM(BZ286:BZ288),"")</f>
        <v>73901.5917957634</v>
      </c>
      <c r="CA289" s="254">
        <f>IF(ISNUMBER(CA286),SUM(CA286:CA288),"")</f>
        <v>80508.683951324</v>
      </c>
      <c r="CB289" s="254">
        <f>IF(ISNUMBER(CB286),SUM(CB286:CB288),"")</f>
        <v>86991.4119876728</v>
      </c>
      <c r="CC289" s="254">
        <f>IF(ISNUMBER(CC286),SUM(CC286:CC288),"")</f>
        <v>94163.7081177749</v>
      </c>
      <c r="CD289" s="153" t="n"/>
    </row>
    <row r="290" ht="15" customHeight="1" s="251">
      <c r="B290" s="25" t="inlineStr">
        <is>
          <t xml:space="preserve">  Long-term debt (senior notes from 2022; term loan 2010; capital leases to 2018)</t>
        </is>
      </c>
      <c r="C290" s="34" t="n"/>
      <c r="D290" s="261" t="n">
        <v>367</v>
      </c>
      <c r="E290" s="261" t="n">
        <v>398</v>
      </c>
      <c r="F290" s="261" t="n">
        <v>1991</v>
      </c>
      <c r="G290" s="261" t="n">
        <v>1920</v>
      </c>
      <c r="H290" s="261" t="n">
        <v>1851</v>
      </c>
      <c r="I290" s="261" t="n">
        <v>287</v>
      </c>
      <c r="J290" s="261" t="n">
        <v>237</v>
      </c>
      <c r="K290" s="261" t="n">
        <v>237</v>
      </c>
      <c r="L290" s="261" t="n">
        <v>191</v>
      </c>
      <c r="M290" s="261" t="n">
        <v>153</v>
      </c>
      <c r="N290" s="261" t="n">
        <v>129</v>
      </c>
      <c r="O290" s="261" t="n">
        <v>119</v>
      </c>
      <c r="P290" s="261" t="n">
        <v>119</v>
      </c>
      <c r="Q290" s="261" t="n">
        <v>113</v>
      </c>
      <c r="R290" s="261" t="n">
        <v>110</v>
      </c>
      <c r="S290" s="261" t="n">
        <v>109</v>
      </c>
      <c r="T290" s="261" t="n">
        <v>107</v>
      </c>
      <c r="U290" s="261" t="n">
        <v>107</v>
      </c>
      <c r="V290" s="261" t="n">
        <v>0</v>
      </c>
      <c r="W290" s="261" t="n">
        <v>0</v>
      </c>
      <c r="X290" s="261" t="n">
        <v>0</v>
      </c>
      <c r="Y290" s="261" t="n">
        <v>0</v>
      </c>
      <c r="Z290" s="261" t="n">
        <v>0</v>
      </c>
      <c r="AA290" s="261" t="n">
        <v>0</v>
      </c>
      <c r="AB290" s="261" t="n">
        <v>0</v>
      </c>
      <c r="AC290" s="261" t="n">
        <v>0</v>
      </c>
      <c r="AD290" s="261" t="n">
        <v>0</v>
      </c>
      <c r="AE290" s="261" t="n">
        <v>0</v>
      </c>
      <c r="AF290" s="261" t="n">
        <v>0</v>
      </c>
      <c r="AG290" s="261" t="n">
        <v>0</v>
      </c>
      <c r="AH290" s="261" t="n">
        <v>0</v>
      </c>
      <c r="AI290" s="261" t="n">
        <v>0</v>
      </c>
      <c r="AJ290" s="261" t="n">
        <v>0</v>
      </c>
      <c r="AK290" s="261" t="n">
        <v>0</v>
      </c>
      <c r="AL290" s="261" t="n">
        <v>0</v>
      </c>
      <c r="AM290" s="261" t="n">
        <v>0</v>
      </c>
      <c r="AN290" s="261" t="n">
        <v>0</v>
      </c>
      <c r="AO290" s="261" t="n">
        <v>0</v>
      </c>
      <c r="AP290" s="261" t="n">
        <v>0</v>
      </c>
      <c r="AQ290" s="261" t="n">
        <v>0</v>
      </c>
      <c r="AR290" s="261" t="n">
        <v>0</v>
      </c>
      <c r="AS290" s="261" t="n">
        <v>0</v>
      </c>
      <c r="AT290" s="261" t="n">
        <v>0</v>
      </c>
      <c r="AU290" s="261" t="n">
        <v>0</v>
      </c>
      <c r="AV290" s="261" t="n">
        <v>0</v>
      </c>
      <c r="AW290" s="261" t="n">
        <v>0</v>
      </c>
      <c r="AX290" s="261" t="n">
        <v>0</v>
      </c>
      <c r="AY290" s="261" t="n">
        <v>0</v>
      </c>
      <c r="AZ290" s="261" t="n">
        <v>0</v>
      </c>
      <c r="BA290" s="261" t="n">
        <v>0</v>
      </c>
      <c r="BB290" s="261" t="n">
        <v>9922</v>
      </c>
      <c r="BC290" s="261" t="n">
        <v>9923</v>
      </c>
      <c r="BD290" s="261" t="n">
        <v>9923</v>
      </c>
      <c r="BE290" s="261" t="n">
        <v>9925</v>
      </c>
      <c r="BF290" s="261" t="n">
        <v>18382</v>
      </c>
      <c r="BG290" s="261" t="n">
        <v>18383</v>
      </c>
      <c r="BH290" s="261" t="n">
        <v>18385</v>
      </c>
      <c r="BI290" s="261" t="n">
        <v>18385</v>
      </c>
      <c r="BJ290" s="261" t="n">
        <v>18387</v>
      </c>
      <c r="BK290" s="261" t="n">
        <v>18389</v>
      </c>
      <c r="BL290" s="261" t="n">
        <v>28823</v>
      </c>
      <c r="BM290" s="261" t="n">
        <v>28826</v>
      </c>
      <c r="BN290" s="261" t="n">
        <v>28826</v>
      </c>
      <c r="BO290" s="261" t="n">
        <v>28829</v>
      </c>
      <c r="BP290" s="261" t="n">
        <v>28832</v>
      </c>
      <c r="BQ290" s="261" t="n">
        <v>28834</v>
      </c>
      <c r="BR290" s="261" t="n">
        <v>58744</v>
      </c>
      <c r="BS290" s="261" t="n">
        <v>58744</v>
      </c>
      <c r="BT290" s="261" t="n">
        <v>58748</v>
      </c>
      <c r="BU290" s="261" t="n">
        <v>83664</v>
      </c>
      <c r="BV290" s="35" t="n"/>
      <c r="BW290" s="35" t="n"/>
      <c r="BX290" s="263">
        <f>BX319</f>
        <v>121094.740574825</v>
      </c>
      <c r="BY290" s="263">
        <f>BY319</f>
        <v>138133.551139315</v>
      </c>
      <c r="BZ290" s="263">
        <f>BZ319</f>
        <v>132469.894253493</v>
      </c>
      <c r="CA290" s="263">
        <f>CA319</f>
        <v>139281.428951247</v>
      </c>
      <c r="CB290" s="263">
        <f>CB319</f>
        <v>146072.492440189</v>
      </c>
      <c r="CC290" s="263">
        <f>CC319</f>
        <v>152516.978730894</v>
      </c>
      <c r="CD290" s="19" t="n"/>
    </row>
    <row r="291" ht="15" customHeight="1" s="251">
      <c r="B291" s="25" t="inlineStr">
        <is>
          <t xml:space="preserve">  Operating lease liabilities, non-current (from 2019)</t>
        </is>
      </c>
      <c r="C291" s="34" t="n"/>
      <c r="D291" s="261" t="n">
        <v>0</v>
      </c>
      <c r="E291" s="261" t="n">
        <v>0</v>
      </c>
      <c r="F291" s="261" t="n">
        <v>0</v>
      </c>
      <c r="G291" s="261" t="n">
        <v>0</v>
      </c>
      <c r="H291" s="261" t="n">
        <v>0</v>
      </c>
      <c r="I291" s="261" t="n">
        <v>0</v>
      </c>
      <c r="J291" s="261" t="n">
        <v>0</v>
      </c>
      <c r="K291" s="261" t="n">
        <v>0</v>
      </c>
      <c r="L291" s="261" t="n">
        <v>0</v>
      </c>
      <c r="M291" s="261" t="n">
        <v>0</v>
      </c>
      <c r="N291" s="261" t="n">
        <v>0</v>
      </c>
      <c r="O291" s="261" t="n">
        <v>0</v>
      </c>
      <c r="P291" s="261" t="n">
        <v>0</v>
      </c>
      <c r="Q291" s="261" t="n">
        <v>0</v>
      </c>
      <c r="R291" s="261" t="n">
        <v>0</v>
      </c>
      <c r="S291" s="261" t="n">
        <v>0</v>
      </c>
      <c r="T291" s="261" t="n">
        <v>0</v>
      </c>
      <c r="U291" s="261" t="n">
        <v>0</v>
      </c>
      <c r="V291" s="261" t="n">
        <v>0</v>
      </c>
      <c r="W291" s="261" t="n">
        <v>0</v>
      </c>
      <c r="X291" s="261" t="n">
        <v>0</v>
      </c>
      <c r="Y291" s="261" t="n">
        <v>0</v>
      </c>
      <c r="Z291" s="261" t="n">
        <v>0</v>
      </c>
      <c r="AA291" s="261" t="n">
        <v>0</v>
      </c>
      <c r="AB291" s="261" t="n">
        <v>0</v>
      </c>
      <c r="AC291" s="261" t="n">
        <v>0</v>
      </c>
      <c r="AD291" s="261" t="n">
        <v>0</v>
      </c>
      <c r="AE291" s="261" t="n">
        <v>0</v>
      </c>
      <c r="AF291" s="261" t="n">
        <v>0</v>
      </c>
      <c r="AG291" s="261" t="n">
        <v>0</v>
      </c>
      <c r="AH291" s="261" t="n">
        <v>0</v>
      </c>
      <c r="AI291" s="261" t="n">
        <v>0</v>
      </c>
      <c r="AJ291" s="261" t="n">
        <v>0</v>
      </c>
      <c r="AK291" s="261" t="n">
        <v>6565</v>
      </c>
      <c r="AL291" s="261" t="n">
        <v>7122</v>
      </c>
      <c r="AM291" s="261" t="n">
        <v>8356</v>
      </c>
      <c r="AN291" s="261" t="n">
        <v>9524</v>
      </c>
      <c r="AO291" s="261" t="n">
        <v>9524</v>
      </c>
      <c r="AP291" s="261" t="n">
        <v>9509</v>
      </c>
      <c r="AQ291" s="261" t="n">
        <v>9633</v>
      </c>
      <c r="AR291" s="261" t="n">
        <v>9641</v>
      </c>
      <c r="AS291" s="261" t="n">
        <v>9631</v>
      </c>
      <c r="AT291" s="261" t="n">
        <v>9631</v>
      </c>
      <c r="AU291" s="261" t="n">
        <v>10574</v>
      </c>
      <c r="AV291" s="261" t="n">
        <v>10956</v>
      </c>
      <c r="AW291" s="261" t="n">
        <v>11554</v>
      </c>
      <c r="AX291" s="261" t="n">
        <v>12746</v>
      </c>
      <c r="AY291" s="261" t="n">
        <v>12746</v>
      </c>
      <c r="AZ291" s="261" t="n">
        <v>12894</v>
      </c>
      <c r="BA291" s="261" t="n">
        <v>14792</v>
      </c>
      <c r="BB291" s="261" t="n">
        <v>14687</v>
      </c>
      <c r="BC291" s="261" t="n">
        <v>15301</v>
      </c>
      <c r="BD291" s="261" t="n">
        <v>15301</v>
      </c>
      <c r="BE291" s="261" t="n">
        <v>16171</v>
      </c>
      <c r="BF291" s="261" t="n">
        <v>16440</v>
      </c>
      <c r="BG291" s="261" t="n">
        <v>16374</v>
      </c>
      <c r="BH291" s="261" t="n">
        <v>17226</v>
      </c>
      <c r="BI291" s="261" t="n">
        <v>17226</v>
      </c>
      <c r="BJ291" s="261" t="n">
        <v>17570</v>
      </c>
      <c r="BK291" s="261" t="n">
        <v>17685</v>
      </c>
      <c r="BL291" s="261" t="n">
        <v>18208</v>
      </c>
      <c r="BM291" s="261" t="n">
        <v>18292</v>
      </c>
      <c r="BN291" s="261" t="n">
        <v>18292</v>
      </c>
      <c r="BO291" s="261" t="n">
        <v>18714</v>
      </c>
      <c r="BP291" s="261" t="n">
        <v>18751</v>
      </c>
      <c r="BQ291" s="261" t="n">
        <v>20113</v>
      </c>
      <c r="BR291" s="261" t="n">
        <v>22940</v>
      </c>
      <c r="BS291" s="261" t="n">
        <v>22940</v>
      </c>
      <c r="BT291" s="261" t="n">
        <v>25607</v>
      </c>
      <c r="BU291" s="261" t="n">
        <v>26229</v>
      </c>
      <c r="BV291" s="35" t="n"/>
      <c r="BW291" s="35" t="n"/>
      <c r="BX291" s="263">
        <f>BU291</f>
        <v>26229</v>
      </c>
      <c r="BY291" s="263">
        <f>BX291</f>
        <v>26229</v>
      </c>
      <c r="BZ291" s="263">
        <f>BY291</f>
        <v>26229</v>
      </c>
      <c r="CA291" s="263">
        <f>BZ291</f>
        <v>26229</v>
      </c>
      <c r="CB291" s="263">
        <f>CA291</f>
        <v>26229</v>
      </c>
      <c r="CC291" s="263">
        <f>CB291</f>
        <v>26229</v>
      </c>
      <c r="CD291" s="19" t="n"/>
    </row>
    <row r="292" ht="15" customHeight="1" s="251">
      <c r="B292" s="25" t="inlineStr">
        <is>
          <t xml:space="preserve">  Long-term income taxes and other liabilities (derived)</t>
        </is>
      </c>
      <c r="C292" s="34" t="n"/>
      <c r="D292" s="261" t="n">
        <v>72</v>
      </c>
      <c r="E292" s="261" t="n">
        <v>135</v>
      </c>
      <c r="F292" s="261" t="n">
        <v>305</v>
      </c>
      <c r="G292" s="261" t="n">
        <v>356</v>
      </c>
      <c r="H292" s="261" t="n">
        <v>444</v>
      </c>
      <c r="I292" s="261" t="n">
        <v>614</v>
      </c>
      <c r="J292" s="261" t="n">
        <v>1088</v>
      </c>
      <c r="K292" s="261" t="n">
        <v>1088</v>
      </c>
      <c r="L292" s="261" t="n">
        <v>1063</v>
      </c>
      <c r="M292" s="261" t="n">
        <v>1056</v>
      </c>
      <c r="N292" s="261" t="n">
        <v>1587</v>
      </c>
      <c r="O292" s="261" t="n">
        <v>2545</v>
      </c>
      <c r="P292" s="261" t="n">
        <v>2545</v>
      </c>
      <c r="Q292" s="261" t="n">
        <v>2647</v>
      </c>
      <c r="R292" s="261" t="n">
        <v>2687</v>
      </c>
      <c r="S292" s="261" t="n">
        <v>3148</v>
      </c>
      <c r="T292" s="261" t="n">
        <v>3157</v>
      </c>
      <c r="U292" s="261" t="n">
        <v>3157</v>
      </c>
      <c r="V292" s="261" t="n">
        <v>3116</v>
      </c>
      <c r="W292" s="261" t="n">
        <v>3145</v>
      </c>
      <c r="X292" s="261" t="n">
        <v>2964</v>
      </c>
      <c r="Y292" s="261" t="n">
        <v>2892</v>
      </c>
      <c r="Z292" s="261" t="n">
        <v>2892</v>
      </c>
      <c r="AA292" s="261" t="n">
        <v>3598</v>
      </c>
      <c r="AB292" s="261" t="n">
        <v>4047</v>
      </c>
      <c r="AC292" s="261" t="n">
        <v>4485</v>
      </c>
      <c r="AD292" s="261" t="n">
        <v>6417</v>
      </c>
      <c r="AE292" s="261" t="n">
        <v>6417</v>
      </c>
      <c r="AF292" s="261" t="n">
        <v>6239</v>
      </c>
      <c r="AG292" s="261" t="n">
        <v>6239</v>
      </c>
      <c r="AH292" s="261" t="n">
        <v>6648</v>
      </c>
      <c r="AI292" s="261" t="n">
        <v>6190</v>
      </c>
      <c r="AJ292" s="261" t="n">
        <v>6190</v>
      </c>
      <c r="AK292" s="261" t="n">
        <v>6488</v>
      </c>
      <c r="AL292" s="261" t="n">
        <v>8143</v>
      </c>
      <c r="AM292" s="261" t="n">
        <v>8735</v>
      </c>
      <c r="AN292" s="261" t="n">
        <v>7745</v>
      </c>
      <c r="AO292" s="261" t="n">
        <v>7745</v>
      </c>
      <c r="AP292" s="261" t="n">
        <v>8489</v>
      </c>
      <c r="AQ292" s="261" t="n">
        <v>8303</v>
      </c>
      <c r="AR292" s="261" t="n">
        <v>7121</v>
      </c>
      <c r="AS292" s="261" t="n">
        <v>6414</v>
      </c>
      <c r="AT292" s="261" t="n">
        <v>6414</v>
      </c>
      <c r="AU292" s="261" t="n">
        <v>6575</v>
      </c>
      <c r="AV292" s="261" t="n">
        <v>6552</v>
      </c>
      <c r="AW292" s="261" t="n">
        <v>6859</v>
      </c>
      <c r="AX292" s="261" t="n">
        <v>7227</v>
      </c>
      <c r="AY292" s="261" t="n">
        <v>7227</v>
      </c>
      <c r="AZ292" s="261" t="n">
        <v>7010</v>
      </c>
      <c r="BA292" s="261" t="n">
        <v>7003</v>
      </c>
      <c r="BB292" s="261" t="n">
        <v>7504</v>
      </c>
      <c r="BC292" s="261" t="n">
        <v>7764</v>
      </c>
      <c r="BD292" s="261" t="n">
        <v>7764</v>
      </c>
      <c r="BE292" s="261" t="n">
        <v>8219</v>
      </c>
      <c r="BF292" s="261" t="n">
        <v>7912</v>
      </c>
      <c r="BG292" s="261" t="n">
        <v>8113</v>
      </c>
      <c r="BH292" s="261" t="n">
        <v>8884</v>
      </c>
      <c r="BI292" s="261" t="n">
        <v>8884</v>
      </c>
      <c r="BJ292" s="261" t="n">
        <v>9257</v>
      </c>
      <c r="BK292" s="261" t="n">
        <v>10397</v>
      </c>
      <c r="BL292" s="261" t="n">
        <v>11518</v>
      </c>
      <c r="BM292" s="261" t="n">
        <v>12703</v>
      </c>
      <c r="BN292" s="261" t="n">
        <v>12703</v>
      </c>
      <c r="BO292" s="261" t="n">
        <v>13751</v>
      </c>
      <c r="BP292" s="261" t="n">
        <v>14786</v>
      </c>
      <c r="BQ292" s="261" t="n">
        <v>23873</v>
      </c>
      <c r="BR292" s="261" t="n">
        <v>25258</v>
      </c>
      <c r="BS292" s="261" t="n">
        <v>25258</v>
      </c>
      <c r="BT292" s="261" t="n">
        <v>20461</v>
      </c>
      <c r="BU292" s="261" t="n">
        <v>22463</v>
      </c>
      <c r="BV292" s="35" t="n"/>
      <c r="BW292" s="35" t="n"/>
      <c r="BX292" s="263">
        <f>BU292+(BX222-SUM(BT222:BU222))</f>
        <v>22463</v>
      </c>
      <c r="BY292" s="263">
        <f>BX292+BY222</f>
        <v>22463</v>
      </c>
      <c r="BZ292" s="263">
        <f>BY292+BZ222</f>
        <v>22463</v>
      </c>
      <c r="CA292" s="263">
        <f>BZ292+CA222</f>
        <v>22463</v>
      </c>
      <c r="CB292" s="263">
        <f>CA292+CB222</f>
        <v>22463</v>
      </c>
      <c r="CC292" s="263">
        <f>CB292+CC222</f>
        <v>22463</v>
      </c>
      <c r="CD292" s="19" t="n"/>
    </row>
    <row r="293" ht="15" customHeight="1" s="251">
      <c r="B293" s="16" t="inlineStr">
        <is>
          <t>Total liabilities</t>
        </is>
      </c>
      <c r="C293" s="266">
        <f>IF(ISNUMBER(C286),C289+SUM(C290:C292),"")</f>
      </c>
      <c r="D293" s="266">
        <f>IF(ISNUMBER(D286),D289+SUM(D290:D292),"")</f>
        <v>828</v>
      </c>
      <c r="E293" s="266">
        <f>IF(ISNUMBER(E286),E289+SUM(E290:E292),"")</f>
        <v>1432</v>
      </c>
      <c r="F293" s="266">
        <f>IF(ISNUMBER(F286),F289+SUM(F290:F292),"")</f>
        <v>3348</v>
      </c>
      <c r="G293" s="266">
        <f>IF(ISNUMBER(G286),G289+SUM(G290:G292),"")</f>
        <v>3339</v>
      </c>
      <c r="H293" s="266">
        <f>IF(ISNUMBER(H286),H289+SUM(H290:H292),"")</f>
        <v>3375</v>
      </c>
      <c r="I293" s="266">
        <f>IF(ISNUMBER(I286),I289+SUM(I290:I292),"")</f>
        <v>1885</v>
      </c>
      <c r="J293" s="266">
        <f>IF(ISNUMBER(J286),J289+SUM(J290:J292),"")</f>
        <v>2425</v>
      </c>
      <c r="K293" s="266">
        <f>IF(ISNUMBER(K286),K289+SUM(K290:K292),"")</f>
        <v>2425</v>
      </c>
      <c r="L293" s="266">
        <f>IF(ISNUMBER(L286),L289+SUM(L290:L292),"")</f>
        <v>2291</v>
      </c>
      <c r="M293" s="266">
        <f>IF(ISNUMBER(M286),M289+SUM(M290:M292),"")</f>
        <v>2423</v>
      </c>
      <c r="N293" s="266">
        <f>IF(ISNUMBER(N286),N289+SUM(N290:N292),"")</f>
        <v>2950</v>
      </c>
      <c r="O293" s="266">
        <f>IF(ISNUMBER(O286),O289+SUM(O290:O292),"")</f>
        <v>4088</v>
      </c>
      <c r="P293" s="266">
        <f>IF(ISNUMBER(P286),P289+SUM(P290:P292),"")</f>
        <v>4088</v>
      </c>
      <c r="Q293" s="266">
        <f>IF(ISNUMBER(Q286),Q289+SUM(Q290:Q292),"")</f>
        <v>4506</v>
      </c>
      <c r="R293" s="266">
        <f>IF(ISNUMBER(R286),R289+SUM(R290:R292),"")</f>
        <v>4678</v>
      </c>
      <c r="S293" s="266">
        <f>IF(ISNUMBER(S286),S289+SUM(S290:S292),"")</f>
        <v>5049</v>
      </c>
      <c r="T293" s="266">
        <f>IF(ISNUMBER(T286),T289+SUM(T290:T292),"")</f>
        <v>5189</v>
      </c>
      <c r="U293" s="266">
        <f>IF(ISNUMBER(U286),U289+SUM(U290:U292),"")</f>
        <v>5189</v>
      </c>
      <c r="V293" s="266">
        <f>IF(ISNUMBER(V286),V289+SUM(V290:V292),"")</f>
        <v>4925</v>
      </c>
      <c r="W293" s="266">
        <f>IF(ISNUMBER(W286),W289+SUM(W290:W292),"")</f>
        <v>5356</v>
      </c>
      <c r="X293" s="266">
        <f>IF(ISNUMBER(X286),X289+SUM(X290:X292),"")</f>
        <v>5559</v>
      </c>
      <c r="Y293" s="266">
        <f>IF(ISNUMBER(Y286),Y289+SUM(Y290:Y292),"")</f>
        <v>5767</v>
      </c>
      <c r="Z293" s="266">
        <f>IF(ISNUMBER(Z286),Z289+SUM(Z290:Z292),"")</f>
        <v>5767</v>
      </c>
      <c r="AA293" s="266">
        <f>IF(ISNUMBER(AA286),AA289+SUM(AA290:AA292),"")</f>
        <v>6526</v>
      </c>
      <c r="AB293" s="266">
        <f>IF(ISNUMBER(AB286),AB289+SUM(AB290:AB292),"")</f>
        <v>7362</v>
      </c>
      <c r="AC293" s="266">
        <f>IF(ISNUMBER(AC286),AC289+SUM(AC290:AC292),"")</f>
        <v>7790</v>
      </c>
      <c r="AD293" s="266">
        <f>IF(ISNUMBER(AD286),AD289+SUM(AD290:AD292),"")</f>
        <v>10177</v>
      </c>
      <c r="AE293" s="266">
        <f>IF(ISNUMBER(AE286),AE289+SUM(AE290:AE292),"")</f>
        <v>10177</v>
      </c>
      <c r="AF293" s="266">
        <f>IF(ISNUMBER(AF286),AF289+SUM(AF290:AF292),"")</f>
        <v>11325</v>
      </c>
      <c r="AG293" s="266">
        <f>IF(ISNUMBER(AG286),AG289+SUM(AG290:AG292),"")</f>
        <v>10909</v>
      </c>
      <c r="AH293" s="266">
        <f>IF(ISNUMBER(AH286),AH289+SUM(AH290:AH292),"")</f>
        <v>12110</v>
      </c>
      <c r="AI293" s="266">
        <f>IF(ISNUMBER(AI286),AI289+SUM(AI290:AI292),"")</f>
        <v>13207</v>
      </c>
      <c r="AJ293" s="266">
        <f>IF(ISNUMBER(AJ286),AJ289+SUM(AJ290:AJ292),"")</f>
        <v>13207</v>
      </c>
      <c r="AK293" s="266">
        <f>IF(ISNUMBER(AK286),AK289+SUM(AK290:AK292),"")</f>
        <v>22961</v>
      </c>
      <c r="AL293" s="266">
        <f>IF(ISNUMBER(AL286),AL289+SUM(AL290:AL292),"")</f>
        <v>28244</v>
      </c>
      <c r="AM293" s="266">
        <f>IF(ISNUMBER(AM286),AM289+SUM(AM290:AM292),"")</f>
        <v>30419</v>
      </c>
      <c r="AN293" s="266">
        <f>IF(ISNUMBER(AN286),AN289+SUM(AN290:AN292),"")</f>
        <v>32322</v>
      </c>
      <c r="AO293" s="266">
        <f>IF(ISNUMBER(AO286),AO289+SUM(AO290:AO292),"")</f>
        <v>32322</v>
      </c>
      <c r="AP293" s="266">
        <f>IF(ISNUMBER(AP286),AP289+SUM(AP290:AP292),"")</f>
        <v>33067</v>
      </c>
      <c r="AQ293" s="266">
        <f>IF(ISNUMBER(AQ286),AQ289+SUM(AQ290:AQ292),"")</f>
        <v>29244</v>
      </c>
      <c r="AR293" s="266">
        <f>IF(ISNUMBER(AR286),AR289+SUM(AR290:AR292),"")</f>
        <v>28706</v>
      </c>
      <c r="AS293" s="266">
        <f>IF(ISNUMBER(AS286),AS289+SUM(AS290:AS292),"")</f>
        <v>31026</v>
      </c>
      <c r="AT293" s="266">
        <f>IF(ISNUMBER(AT286),AT289+SUM(AT290:AT292),"")</f>
        <v>31026</v>
      </c>
      <c r="AU293" s="266">
        <f>IF(ISNUMBER(AU286),AU289+SUM(AU290:AU292),"")</f>
        <v>29866</v>
      </c>
      <c r="AV293" s="266">
        <f>IF(ISNUMBER(AV286),AV289+SUM(AV290:AV292),"")</f>
        <v>32382</v>
      </c>
      <c r="AW293" s="266">
        <f>IF(ISNUMBER(AW286),AW289+SUM(AW290:AW292),"")</f>
        <v>36225</v>
      </c>
      <c r="AX293" s="266">
        <f>IF(ISNUMBER(AX286),AX289+SUM(AX290:AX292),"")</f>
        <v>41108</v>
      </c>
      <c r="AY293" s="266">
        <f>IF(ISNUMBER(AY286),AY289+SUM(AY290:AY292),"")</f>
        <v>41108</v>
      </c>
      <c r="AZ293" s="266">
        <f>IF(ISNUMBER(AZ286),AZ289+SUM(AZ290:AZ292),"")</f>
        <v>40990</v>
      </c>
      <c r="BA293" s="266">
        <f>IF(ISNUMBER(BA286),BA289+SUM(BA290:BA292),"")</f>
        <v>44012</v>
      </c>
      <c r="BB293" s="266">
        <f>IF(ISNUMBER(BB286),BB289+SUM(BB290:BB292),"")</f>
        <v>54800</v>
      </c>
      <c r="BC293" s="266">
        <f>IF(ISNUMBER(BC286),BC289+SUM(BC290:BC292),"")</f>
        <v>60014</v>
      </c>
      <c r="BD293" s="266">
        <f>IF(ISNUMBER(BD286),BD289+SUM(BD290:BD292),"")</f>
        <v>60014</v>
      </c>
      <c r="BE293" s="266">
        <f>IF(ISNUMBER(BE286),BE289+SUM(BE290:BE292),"")</f>
        <v>59696</v>
      </c>
      <c r="BF293" s="266">
        <f>IF(ISNUMBER(BF286),BF289+SUM(BF290:BF292),"")</f>
        <v>72655</v>
      </c>
      <c r="BG293" s="266">
        <f>IF(ISNUMBER(BG286),BG289+SUM(BG290:BG292),"")</f>
        <v>73401</v>
      </c>
      <c r="BH293" s="266">
        <f>IF(ISNUMBER(BH286),BH289+SUM(BH290:BH292),"")</f>
        <v>76455</v>
      </c>
      <c r="BI293" s="266">
        <f>IF(ISNUMBER(BI286),BI289+SUM(BI290:BI292),"")</f>
        <v>76455</v>
      </c>
      <c r="BJ293" s="266">
        <f>IF(ISNUMBER(BJ286),BJ289+SUM(BJ290:BJ292),"")</f>
        <v>73315</v>
      </c>
      <c r="BK293" s="266">
        <f>IF(ISNUMBER(BK286),BK289+SUM(BK290:BK292),"")</f>
        <v>73475</v>
      </c>
      <c r="BL293" s="266">
        <f>IF(ISNUMBER(BL286),BL289+SUM(BL290:BL292),"")</f>
        <v>91879</v>
      </c>
      <c r="BM293" s="266">
        <f>IF(ISNUMBER(BM286),BM289+SUM(BM290:BM292),"")</f>
        <v>93417</v>
      </c>
      <c r="BN293" s="266">
        <f>IF(ISNUMBER(BN286),BN289+SUM(BN290:BN292),"")</f>
        <v>93417</v>
      </c>
      <c r="BO293" s="266">
        <f>IF(ISNUMBER(BO286),BO289+SUM(BO290:BO292),"")</f>
        <v>95184</v>
      </c>
      <c r="BP293" s="266">
        <f>IF(ISNUMBER(BP286),BP289+SUM(BP290:BP292),"")</f>
        <v>99674</v>
      </c>
      <c r="BQ293" s="266">
        <f>IF(ISNUMBER(BQ286),BQ289+SUM(BQ290:BQ292),"")</f>
        <v>109778</v>
      </c>
      <c r="BR293" s="266">
        <f>IF(ISNUMBER(BR286),BR289+SUM(BR290:BR292),"")</f>
        <v>148778</v>
      </c>
      <c r="BS293" s="266">
        <f>IF(ISNUMBER(BS286),BS289+SUM(BS290:BS292),"")</f>
        <v>148778</v>
      </c>
      <c r="BT293" s="266">
        <f>IF(ISNUMBER(BT286),BT289+SUM(BT290:BT292),"")</f>
        <v>151569</v>
      </c>
      <c r="BU293" s="266">
        <f>IF(ISNUMBER(BU286),BU289+SUM(BU290:BU292),"")</f>
        <v>188735</v>
      </c>
      <c r="BV293" s="32" t="n"/>
      <c r="BW293" s="32" t="n"/>
      <c r="BX293" s="254">
        <f>IF(ISNUMBER(BX286),BX289+SUM(BX290:BX292),"")</f>
        <v>228125.708065936</v>
      </c>
      <c r="BY293" s="254">
        <f>IF(ISNUMBER(BY286),BY289+SUM(BY290:BY292),"")</f>
        <v>253674.780505812</v>
      </c>
      <c r="BZ293" s="254">
        <f>IF(ISNUMBER(BZ286),BZ289+SUM(BZ290:BZ292),"")</f>
        <v>255063.486049256</v>
      </c>
      <c r="CA293" s="254">
        <f>IF(ISNUMBER(CA286),CA289+SUM(CA290:CA292),"")</f>
        <v>268482.112902571</v>
      </c>
      <c r="CB293" s="254">
        <f>IF(ISNUMBER(CB286),CB289+SUM(CB290:CB292),"")</f>
        <v>281755.904427862</v>
      </c>
      <c r="CC293" s="254">
        <f>IF(ISNUMBER(CC286),CC289+SUM(CC290:CC292),"")</f>
        <v>295372.686848668</v>
      </c>
      <c r="CD293" s="153" t="n"/>
    </row>
    <row r="294" ht="15" customHeight="1" s="251">
      <c r="B294" s="25" t="inlineStr">
        <is>
          <t xml:space="preserve">  Stockholders' equity (incl. convertible preferred stock pre-IPO)</t>
        </is>
      </c>
      <c r="C294" s="34" t="n"/>
      <c r="D294" s="261" t="n">
        <v>2162</v>
      </c>
      <c r="E294" s="261" t="n">
        <v>4899</v>
      </c>
      <c r="F294" s="261" t="n">
        <v>11755</v>
      </c>
      <c r="G294" s="261" t="n">
        <v>11824</v>
      </c>
      <c r="H294" s="261" t="n">
        <v>12349</v>
      </c>
      <c r="I294" s="261" t="n">
        <v>13048</v>
      </c>
      <c r="J294" s="261" t="n">
        <v>15470</v>
      </c>
      <c r="K294" s="261" t="n">
        <v>15470</v>
      </c>
      <c r="L294" s="261" t="n">
        <v>16737</v>
      </c>
      <c r="M294" s="261" t="n">
        <v>18346</v>
      </c>
      <c r="N294" s="261" t="n">
        <v>21238</v>
      </c>
      <c r="O294" s="261" t="n">
        <v>36096</v>
      </c>
      <c r="P294" s="261" t="n">
        <v>36096</v>
      </c>
      <c r="Q294" s="261" t="n">
        <v>37501</v>
      </c>
      <c r="R294" s="261" t="n">
        <v>39452</v>
      </c>
      <c r="S294" s="261" t="n">
        <v>41420</v>
      </c>
      <c r="T294" s="261" t="n">
        <v>44218</v>
      </c>
      <c r="U294" s="261" t="n">
        <v>44218</v>
      </c>
      <c r="V294" s="261" t="n">
        <v>47150</v>
      </c>
      <c r="W294" s="261" t="n">
        <v>50383</v>
      </c>
      <c r="X294" s="261" t="n">
        <v>54115</v>
      </c>
      <c r="Y294" s="261" t="n">
        <v>59194</v>
      </c>
      <c r="Z294" s="261" t="n">
        <v>59194</v>
      </c>
      <c r="AA294" s="261" t="n">
        <v>62188</v>
      </c>
      <c r="AB294" s="261" t="n">
        <v>66481</v>
      </c>
      <c r="AC294" s="261" t="n">
        <v>71208</v>
      </c>
      <c r="AD294" s="261" t="n">
        <v>74347</v>
      </c>
      <c r="AE294" s="261" t="n">
        <v>74347</v>
      </c>
      <c r="AF294" s="261" t="n">
        <v>77620</v>
      </c>
      <c r="AG294" s="261" t="n">
        <v>79382</v>
      </c>
      <c r="AH294" s="261" t="n">
        <v>80342</v>
      </c>
      <c r="AI294" s="261" t="n">
        <v>84127</v>
      </c>
      <c r="AJ294" s="261" t="n">
        <v>84127</v>
      </c>
      <c r="AK294" s="261" t="n">
        <v>86516</v>
      </c>
      <c r="AL294" s="261" t="n">
        <v>88762</v>
      </c>
      <c r="AM294" s="261" t="n">
        <v>93999</v>
      </c>
      <c r="AN294" s="261" t="n">
        <v>101054</v>
      </c>
      <c r="AO294" s="261" t="n">
        <v>101054</v>
      </c>
      <c r="AP294" s="261" t="n">
        <v>105304</v>
      </c>
      <c r="AQ294" s="261" t="n">
        <v>110447</v>
      </c>
      <c r="AR294" s="261" t="n">
        <v>117731</v>
      </c>
      <c r="AS294" s="261" t="n">
        <v>128290</v>
      </c>
      <c r="AT294" s="261" t="n">
        <v>128290</v>
      </c>
      <c r="AU294" s="261" t="n">
        <v>133657</v>
      </c>
      <c r="AV294" s="261" t="n">
        <v>138227</v>
      </c>
      <c r="AW294" s="261" t="n">
        <v>133360</v>
      </c>
      <c r="AX294" s="261" t="n">
        <v>124879</v>
      </c>
      <c r="AY294" s="261" t="n">
        <v>124879</v>
      </c>
      <c r="AZ294" s="261" t="n">
        <v>123228</v>
      </c>
      <c r="BA294" s="261" t="n">
        <v>125767</v>
      </c>
      <c r="BB294" s="261" t="n">
        <v>124094</v>
      </c>
      <c r="BC294" s="261" t="n">
        <v>125713</v>
      </c>
      <c r="BD294" s="261" t="n">
        <v>125713</v>
      </c>
      <c r="BE294" s="261" t="n">
        <v>124795</v>
      </c>
      <c r="BF294" s="261" t="n">
        <v>134033</v>
      </c>
      <c r="BG294" s="261" t="n">
        <v>142873</v>
      </c>
      <c r="BH294" s="261" t="n">
        <v>153168</v>
      </c>
      <c r="BI294" s="261" t="n">
        <v>153168</v>
      </c>
      <c r="BJ294" s="261" t="n">
        <v>149529</v>
      </c>
      <c r="BK294" s="261" t="n">
        <v>156763</v>
      </c>
      <c r="BL294" s="261" t="n">
        <v>164529</v>
      </c>
      <c r="BM294" s="261" t="n">
        <v>182637</v>
      </c>
      <c r="BN294" s="261" t="n">
        <v>182637</v>
      </c>
      <c r="BO294" s="261" t="n">
        <v>185029</v>
      </c>
      <c r="BP294" s="261" t="n">
        <v>195070</v>
      </c>
      <c r="BQ294" s="261" t="n">
        <v>194066</v>
      </c>
      <c r="BR294" s="261" t="n">
        <v>217243</v>
      </c>
      <c r="BS294" s="261" t="n">
        <v>217243</v>
      </c>
      <c r="BT294" s="261" t="n">
        <v>243681</v>
      </c>
      <c r="BU294" s="261" t="n">
        <v>261221</v>
      </c>
      <c r="BV294" s="35" t="n"/>
      <c r="BW294" s="35" t="n"/>
      <c r="BX294" s="263">
        <f>BU294+(BX218-SUM(BT218:BU218))+(BX232-SUM(BT232:BU232))+(BX231-SUM(BT231:BU231))+(BX221-SUM(BT221:BU221))+(BX233-SUM(BT233:BU233))+(BX236-SUM(BT236:BU236))</f>
        <v>297034.400726179</v>
      </c>
      <c r="BY294" s="263">
        <f>BX294+BY218+BY232+BY231+BY221+BY233+BY236</f>
        <v>378963.287449099</v>
      </c>
      <c r="BZ294" s="263">
        <f>BY294+BZ218+BZ232+BZ231+BZ221+BZ233+BZ236</f>
        <v>468058.089477838</v>
      </c>
      <c r="CA294" s="263">
        <f>BZ294+CA218+CA232+CA231+CA221+CA233+CA236</f>
        <v>523877.115836981</v>
      </c>
      <c r="CB294" s="263">
        <f>CA294+CB218+CB232+CB231+CB221+CB233+CB236</f>
        <v>564763.471750575</v>
      </c>
      <c r="CC294" s="263">
        <f>CB294+CC218+CC232+CC231+CC221+CC233+CC236</f>
        <v>597107.729245984</v>
      </c>
      <c r="CD294" s="19" t="inlineStr">
        <is>
          <t>+ net income − dividends − repurchases + share-based compensation − taxes on net share settlement + stock issued (OCI held flat). Repurchased shares are retired.</t>
        </is>
      </c>
      <c r="CF294" s="20">
        <f>IFERROR((CC294/BX294)^(1/5)-1,"n/m")</f>
        <v>0.149871178875032</v>
      </c>
      <c r="CG294" s="20">
        <f>IFERROR((BS294/AT294)^(1/5)-1,"n/m")</f>
        <v>0.111093475280496</v>
      </c>
      <c r="CH294" s="20">
        <f>IFERROR((BS294/U294)^(1/10)-1,"n/m")</f>
        <v>0.172558905921203</v>
      </c>
      <c r="CI294" s="20" t="str">
        <f>IFERROR((BS294/C294)^(1/16)-1,"n/m")</f>
        <v>n/m</v>
      </c>
    </row>
    <row r="295" ht="15" customHeight="1" s="251">
      <c r="B295" s="55" t="inlineStr">
        <is>
          <t>TOTAL LIABILITIES AND STOCKHOLDERS' EQUITY</t>
        </is>
      </c>
      <c r="C295" s="272">
        <f>IF(ISNUMBER(C293),C293+C294,"")</f>
      </c>
      <c r="D295" s="272">
        <f>IF(ISNUMBER(D293),D293+D294,"")</f>
        <v>2990</v>
      </c>
      <c r="E295" s="272">
        <f>IF(ISNUMBER(E293),E293+E294,"")</f>
        <v>6331</v>
      </c>
      <c r="F295" s="272">
        <f>IF(ISNUMBER(F293),F293+F294,"")</f>
        <v>15103</v>
      </c>
      <c r="G295" s="272">
        <f>IF(ISNUMBER(G293),G293+G294,"")</f>
        <v>15163</v>
      </c>
      <c r="H295" s="272">
        <f>IF(ISNUMBER(H293),H293+H294,"")</f>
        <v>15724</v>
      </c>
      <c r="I295" s="272">
        <f>IF(ISNUMBER(I293),I293+I294,"")</f>
        <v>14933</v>
      </c>
      <c r="J295" s="272">
        <f>IF(ISNUMBER(J293),J293+J294,"")</f>
        <v>17895</v>
      </c>
      <c r="K295" s="272">
        <f>IF(ISNUMBER(K293),K293+K294,"")</f>
        <v>17895</v>
      </c>
      <c r="L295" s="272">
        <f>IF(ISNUMBER(L293),L293+L294,"")</f>
        <v>19028</v>
      </c>
      <c r="M295" s="272">
        <f>IF(ISNUMBER(M293),M293+M294,"")</f>
        <v>20769</v>
      </c>
      <c r="N295" s="272">
        <f>IF(ISNUMBER(N293),N293+N294,"")</f>
        <v>24188</v>
      </c>
      <c r="O295" s="272">
        <f>IF(ISNUMBER(O293),O293+O294,"")</f>
        <v>40184</v>
      </c>
      <c r="P295" s="272">
        <f>IF(ISNUMBER(P293),P293+P294,"")</f>
        <v>40184</v>
      </c>
      <c r="Q295" s="272">
        <f>IF(ISNUMBER(Q293),Q293+Q294,"")</f>
        <v>42007</v>
      </c>
      <c r="R295" s="272">
        <f>IF(ISNUMBER(R293),R293+R294,"")</f>
        <v>44130</v>
      </c>
      <c r="S295" s="272">
        <f>IF(ISNUMBER(S293),S293+S294,"")</f>
        <v>46469</v>
      </c>
      <c r="T295" s="272">
        <f>IF(ISNUMBER(T293),T293+T294,"")</f>
        <v>49407</v>
      </c>
      <c r="U295" s="272">
        <f>IF(ISNUMBER(U293),U293+U294,"")</f>
        <v>49407</v>
      </c>
      <c r="V295" s="272">
        <f>IF(ISNUMBER(V293),V293+V294,"")</f>
        <v>52075</v>
      </c>
      <c r="W295" s="272">
        <f>IF(ISNUMBER(W293),W293+W294,"")</f>
        <v>55739</v>
      </c>
      <c r="X295" s="272">
        <f>IF(ISNUMBER(X293),X293+X294,"")</f>
        <v>59674</v>
      </c>
      <c r="Y295" s="272">
        <f>IF(ISNUMBER(Y293),Y293+Y294,"")</f>
        <v>64961</v>
      </c>
      <c r="Z295" s="272">
        <f>IF(ISNUMBER(Z293),Z293+Z294,"")</f>
        <v>64961</v>
      </c>
      <c r="AA295" s="272">
        <f>IF(ISNUMBER(AA293),AA293+AA294,"")</f>
        <v>68714</v>
      </c>
      <c r="AB295" s="272">
        <f>IF(ISNUMBER(AB293),AB293+AB294,"")</f>
        <v>73843</v>
      </c>
      <c r="AC295" s="272">
        <f>IF(ISNUMBER(AC293),AC293+AC294,"")</f>
        <v>78998</v>
      </c>
      <c r="AD295" s="272">
        <f>IF(ISNUMBER(AD293),AD293+AD294,"")</f>
        <v>84524</v>
      </c>
      <c r="AE295" s="272">
        <f>IF(ISNUMBER(AE293),AE293+AE294,"")</f>
        <v>84524</v>
      </c>
      <c r="AF295" s="272">
        <f>IF(ISNUMBER(AF293),AF293+AF294,"")</f>
        <v>88945</v>
      </c>
      <c r="AG295" s="272">
        <f>IF(ISNUMBER(AG293),AG293+AG294,"")</f>
        <v>90291</v>
      </c>
      <c r="AH295" s="272">
        <f>IF(ISNUMBER(AH293),AH293+AH294,"")</f>
        <v>92452</v>
      </c>
      <c r="AI295" s="272">
        <f>IF(ISNUMBER(AI293),AI293+AI294,"")</f>
        <v>97334</v>
      </c>
      <c r="AJ295" s="272">
        <f>IF(ISNUMBER(AJ293),AJ293+AJ294,"")</f>
        <v>97334</v>
      </c>
      <c r="AK295" s="272">
        <f>IF(ISNUMBER(AK293),AK293+AK294,"")</f>
        <v>109477</v>
      </c>
      <c r="AL295" s="272">
        <f>IF(ISNUMBER(AL293),AL293+AL294,"")</f>
        <v>117006</v>
      </c>
      <c r="AM295" s="272">
        <f>IF(ISNUMBER(AM293),AM293+AM294,"")</f>
        <v>124418</v>
      </c>
      <c r="AN295" s="272">
        <f>IF(ISNUMBER(AN293),AN293+AN294,"")</f>
        <v>133376</v>
      </c>
      <c r="AO295" s="272">
        <f>IF(ISNUMBER(AO293),AO293+AO294,"")</f>
        <v>133376</v>
      </c>
      <c r="AP295" s="272">
        <f>IF(ISNUMBER(AP293),AP293+AP294,"")</f>
        <v>138371</v>
      </c>
      <c r="AQ295" s="272">
        <f>IF(ISNUMBER(AQ293),AQ293+AQ294,"")</f>
        <v>139691</v>
      </c>
      <c r="AR295" s="272">
        <f>IF(ISNUMBER(AR293),AR293+AR294,"")</f>
        <v>146437</v>
      </c>
      <c r="AS295" s="272">
        <f>IF(ISNUMBER(AS293),AS293+AS294,"")</f>
        <v>159316</v>
      </c>
      <c r="AT295" s="272">
        <f>IF(ISNUMBER(AT293),AT293+AT294,"")</f>
        <v>159316</v>
      </c>
      <c r="AU295" s="272">
        <f>IF(ISNUMBER(AU293),AU293+AU294,"")</f>
        <v>163523</v>
      </c>
      <c r="AV295" s="272">
        <f>IF(ISNUMBER(AV293),AV293+AV294,"")</f>
        <v>170609</v>
      </c>
      <c r="AW295" s="272">
        <f>IF(ISNUMBER(AW293),AW293+AW294,"")</f>
        <v>169585</v>
      </c>
      <c r="AX295" s="272">
        <f>IF(ISNUMBER(AX293),AX293+AX294,"")</f>
        <v>165987</v>
      </c>
      <c r="AY295" s="272">
        <f>IF(ISNUMBER(AY293),AY293+AY294,"")</f>
        <v>165987</v>
      </c>
      <c r="AZ295" s="272">
        <f>IF(ISNUMBER(AZ293),AZ293+AZ294,"")</f>
        <v>164218</v>
      </c>
      <c r="BA295" s="272">
        <f>IF(ISNUMBER(BA293),BA293+BA294,"")</f>
        <v>169779</v>
      </c>
      <c r="BB295" s="272">
        <f>IF(ISNUMBER(BB293),BB293+BB294,"")</f>
        <v>178894</v>
      </c>
      <c r="BC295" s="272">
        <f>IF(ISNUMBER(BC293),BC293+BC294,"")</f>
        <v>185727</v>
      </c>
      <c r="BD295" s="272">
        <f>IF(ISNUMBER(BD293),BD293+BD294,"")</f>
        <v>185727</v>
      </c>
      <c r="BE295" s="272">
        <f>IF(ISNUMBER(BE293),BE293+BE294,"")</f>
        <v>184491</v>
      </c>
      <c r="BF295" s="272">
        <f>IF(ISNUMBER(BF293),BF293+BF294,"")</f>
        <v>206688</v>
      </c>
      <c r="BG295" s="272">
        <f>IF(ISNUMBER(BG293),BG293+BG294,"")</f>
        <v>216274</v>
      </c>
      <c r="BH295" s="272">
        <f>IF(ISNUMBER(BH293),BH293+BH294,"")</f>
        <v>229623</v>
      </c>
      <c r="BI295" s="272">
        <f>IF(ISNUMBER(BI293),BI293+BI294,"")</f>
        <v>229623</v>
      </c>
      <c r="BJ295" s="272">
        <f>IF(ISNUMBER(BJ293),BJ293+BJ294,"")</f>
        <v>222844</v>
      </c>
      <c r="BK295" s="272">
        <f>IF(ISNUMBER(BK293),BK293+BK294,"")</f>
        <v>230238</v>
      </c>
      <c r="BL295" s="272">
        <f>IF(ISNUMBER(BL293),BL293+BL294,"")</f>
        <v>256408</v>
      </c>
      <c r="BM295" s="272">
        <f>IF(ISNUMBER(BM293),BM293+BM294,"")</f>
        <v>276054</v>
      </c>
      <c r="BN295" s="272">
        <f>IF(ISNUMBER(BN293),BN293+BN294,"")</f>
        <v>276054</v>
      </c>
      <c r="BO295" s="272">
        <f>IF(ISNUMBER(BO293),BO293+BO294,"")</f>
        <v>280213</v>
      </c>
      <c r="BP295" s="272">
        <f>IF(ISNUMBER(BP293),BP293+BP294,"")</f>
        <v>294744</v>
      </c>
      <c r="BQ295" s="272">
        <f>IF(ISNUMBER(BQ293),BQ293+BQ294,"")</f>
        <v>303844</v>
      </c>
      <c r="BR295" s="272">
        <f>IF(ISNUMBER(BR293),BR293+BR294,"")</f>
        <v>366021</v>
      </c>
      <c r="BS295" s="272">
        <f>IF(ISNUMBER(BS293),BS293+BS294,"")</f>
        <v>366021</v>
      </c>
      <c r="BT295" s="272">
        <f>IF(ISNUMBER(BT293),BT293+BT294,"")</f>
        <v>395250</v>
      </c>
      <c r="BU295" s="272">
        <f>IF(ISNUMBER(BU293),BU293+BU294,"")</f>
        <v>449956</v>
      </c>
      <c r="BV295" s="56" t="n"/>
      <c r="BW295" s="56" t="n"/>
      <c r="BX295" s="272">
        <f>IF(ISNUMBER(BX293),BX293+BX294,"")</f>
        <v>525160.108792115</v>
      </c>
      <c r="BY295" s="272">
        <f>IF(ISNUMBER(BY293),BY293+BY294,"")</f>
        <v>632638.067954911</v>
      </c>
      <c r="BZ295" s="272">
        <f>IF(ISNUMBER(BZ293),BZ293+BZ294,"")</f>
        <v>723121.575527094</v>
      </c>
      <c r="CA295" s="272">
        <f>IF(ISNUMBER(CA293),CA293+CA294,"")</f>
        <v>792359.228739552</v>
      </c>
      <c r="CB295" s="272">
        <f>IF(ISNUMBER(CB293),CB293+CB294,"")</f>
        <v>846519.376178437</v>
      </c>
      <c r="CC295" s="272">
        <f>IF(ISNUMBER(CC293),CC293+CC294,"")</f>
        <v>892480.416094653</v>
      </c>
      <c r="CD295" s="153" t="n"/>
    </row>
    <row r="296" ht="15" customHeight="1" s="251">
      <c r="B296" s="57" t="inlineStr">
        <is>
          <t>BS tie-out check (TA − TL&amp;E)</t>
        </is>
      </c>
      <c r="C296" s="211">
        <f>IF(ISNUMBER(C284),ROUND(C284-C295,1),"")</f>
      </c>
      <c r="D296" s="211">
        <f>IF(ISNUMBER(D284),ROUND(D284-D295,1),"")</f>
        <v>0</v>
      </c>
      <c r="E296" s="211">
        <f>IF(ISNUMBER(E284),ROUND(E284-E295,1),"")</f>
        <v>0</v>
      </c>
      <c r="F296" s="211">
        <f>IF(ISNUMBER(F284),ROUND(F284-F295,1),"")</f>
        <v>0</v>
      </c>
      <c r="G296" s="211">
        <f>IF(ISNUMBER(G284),ROUND(G284-G295,1),"")</f>
        <v>0</v>
      </c>
      <c r="H296" s="211">
        <f>IF(ISNUMBER(H284),ROUND(H284-H295,1),"")</f>
        <v>0</v>
      </c>
      <c r="I296" s="211">
        <f>IF(ISNUMBER(I284),ROUND(I284-I295,1),"")</f>
        <v>0</v>
      </c>
      <c r="J296" s="211">
        <f>IF(ISNUMBER(J284),ROUND(J284-J295,1),"")</f>
        <v>0</v>
      </c>
      <c r="K296" s="211">
        <f>IF(ISNUMBER(K284),ROUND(K284-K295,1),"")</f>
        <v>0</v>
      </c>
      <c r="L296" s="211">
        <f>IF(ISNUMBER(L284),ROUND(L284-L295,1),"")</f>
        <v>0</v>
      </c>
      <c r="M296" s="211">
        <f>IF(ISNUMBER(M284),ROUND(M284-M295,1),"")</f>
        <v>0</v>
      </c>
      <c r="N296" s="211">
        <f>IF(ISNUMBER(N284),ROUND(N284-N295,1),"")</f>
        <v>0</v>
      </c>
      <c r="O296" s="211">
        <f>IF(ISNUMBER(O284),ROUND(O284-O295,1),"")</f>
        <v>0</v>
      </c>
      <c r="P296" s="211">
        <f>IF(ISNUMBER(P284),ROUND(P284-P295,1),"")</f>
        <v>0</v>
      </c>
      <c r="Q296" s="211">
        <f>IF(ISNUMBER(Q284),ROUND(Q284-Q295,1),"")</f>
        <v>0</v>
      </c>
      <c r="R296" s="211">
        <f>IF(ISNUMBER(R284),ROUND(R284-R295,1),"")</f>
        <v>0</v>
      </c>
      <c r="S296" s="211">
        <f>IF(ISNUMBER(S284),ROUND(S284-S295,1),"")</f>
        <v>0</v>
      </c>
      <c r="T296" s="211">
        <f>IF(ISNUMBER(T284),ROUND(T284-T295,1),"")</f>
        <v>0</v>
      </c>
      <c r="U296" s="211">
        <f>IF(ISNUMBER(U284),ROUND(U284-U295,1),"")</f>
        <v>0</v>
      </c>
      <c r="V296" s="211">
        <f>IF(ISNUMBER(V284),ROUND(V284-V295,1),"")</f>
        <v>0</v>
      </c>
      <c r="W296" s="211">
        <f>IF(ISNUMBER(W284),ROUND(W284-W295,1),"")</f>
        <v>0</v>
      </c>
      <c r="X296" s="211">
        <f>IF(ISNUMBER(X284),ROUND(X284-X295,1),"")</f>
        <v>0</v>
      </c>
      <c r="Y296" s="211">
        <f>IF(ISNUMBER(Y284),ROUND(Y284-Y295,1),"")</f>
        <v>0</v>
      </c>
      <c r="Z296" s="211">
        <f>IF(ISNUMBER(Z284),ROUND(Z284-Z295,1),"")</f>
        <v>0</v>
      </c>
      <c r="AA296" s="211">
        <f>IF(ISNUMBER(AA284),ROUND(AA284-AA295,1),"")</f>
        <v>0</v>
      </c>
      <c r="AB296" s="211">
        <f>IF(ISNUMBER(AB284),ROUND(AB284-AB295,1),"")</f>
        <v>0</v>
      </c>
      <c r="AC296" s="211">
        <f>IF(ISNUMBER(AC284),ROUND(AC284-AC295,1),"")</f>
        <v>0</v>
      </c>
      <c r="AD296" s="211">
        <f>IF(ISNUMBER(AD284),ROUND(AD284-AD295,1),"")</f>
        <v>0</v>
      </c>
      <c r="AE296" s="211">
        <f>IF(ISNUMBER(AE284),ROUND(AE284-AE295,1),"")</f>
        <v>0</v>
      </c>
      <c r="AF296" s="211">
        <f>IF(ISNUMBER(AF284),ROUND(AF284-AF295,1),"")</f>
        <v>0</v>
      </c>
      <c r="AG296" s="211">
        <f>IF(ISNUMBER(AG284),ROUND(AG284-AG295,1),"")</f>
        <v>0</v>
      </c>
      <c r="AH296" s="211">
        <f>IF(ISNUMBER(AH284),ROUND(AH284-AH295,1),"")</f>
        <v>0</v>
      </c>
      <c r="AI296" s="211">
        <f>IF(ISNUMBER(AI284),ROUND(AI284-AI295,1),"")</f>
        <v>0</v>
      </c>
      <c r="AJ296" s="211">
        <f>IF(ISNUMBER(AJ284),ROUND(AJ284-AJ295,1),"")</f>
        <v>0</v>
      </c>
      <c r="AK296" s="211">
        <f>IF(ISNUMBER(AK284),ROUND(AK284-AK295,1),"")</f>
        <v>0</v>
      </c>
      <c r="AL296" s="211">
        <f>IF(ISNUMBER(AL284),ROUND(AL284-AL295,1),"")</f>
        <v>0</v>
      </c>
      <c r="AM296" s="211">
        <f>IF(ISNUMBER(AM284),ROUND(AM284-AM295,1),"")</f>
        <v>0</v>
      </c>
      <c r="AN296" s="211">
        <f>IF(ISNUMBER(AN284),ROUND(AN284-AN295,1),"")</f>
        <v>0</v>
      </c>
      <c r="AO296" s="211">
        <f>IF(ISNUMBER(AO284),ROUND(AO284-AO295,1),"")</f>
        <v>0</v>
      </c>
      <c r="AP296" s="211">
        <f>IF(ISNUMBER(AP284),ROUND(AP284-AP295,1),"")</f>
        <v>0</v>
      </c>
      <c r="AQ296" s="211">
        <f>IF(ISNUMBER(AQ284),ROUND(AQ284-AQ295,1),"")</f>
        <v>0</v>
      </c>
      <c r="AR296" s="211">
        <f>IF(ISNUMBER(AR284),ROUND(AR284-AR295,1),"")</f>
        <v>0</v>
      </c>
      <c r="AS296" s="211">
        <f>IF(ISNUMBER(AS284),ROUND(AS284-AS295,1),"")</f>
        <v>0</v>
      </c>
      <c r="AT296" s="211">
        <f>IF(ISNUMBER(AT284),ROUND(AT284-AT295,1),"")</f>
        <v>0</v>
      </c>
      <c r="AU296" s="211">
        <f>IF(ISNUMBER(AU284),ROUND(AU284-AU295,1),"")</f>
        <v>0</v>
      </c>
      <c r="AV296" s="211">
        <f>IF(ISNUMBER(AV284),ROUND(AV284-AV295,1),"")</f>
        <v>0</v>
      </c>
      <c r="AW296" s="211">
        <f>IF(ISNUMBER(AW284),ROUND(AW284-AW295,1),"")</f>
        <v>0</v>
      </c>
      <c r="AX296" s="211">
        <f>IF(ISNUMBER(AX284),ROUND(AX284-AX295,1),"")</f>
        <v>0</v>
      </c>
      <c r="AY296" s="211">
        <f>IF(ISNUMBER(AY284),ROUND(AY284-AY295,1),"")</f>
        <v>0</v>
      </c>
      <c r="AZ296" s="211">
        <f>IF(ISNUMBER(AZ284),ROUND(AZ284-AZ295,1),"")</f>
        <v>0</v>
      </c>
      <c r="BA296" s="211">
        <f>IF(ISNUMBER(BA284),ROUND(BA284-BA295,1),"")</f>
        <v>0</v>
      </c>
      <c r="BB296" s="211">
        <f>IF(ISNUMBER(BB284),ROUND(BB284-BB295,1),"")</f>
        <v>0</v>
      </c>
      <c r="BC296" s="211">
        <f>IF(ISNUMBER(BC284),ROUND(BC284-BC295,1),"")</f>
        <v>0</v>
      </c>
      <c r="BD296" s="211">
        <f>IF(ISNUMBER(BD284),ROUND(BD284-BD295,1),"")</f>
        <v>0</v>
      </c>
      <c r="BE296" s="211">
        <f>IF(ISNUMBER(BE284),ROUND(BE284-BE295,1),"")</f>
        <v>0</v>
      </c>
      <c r="BF296" s="211">
        <f>IF(ISNUMBER(BF284),ROUND(BF284-BF295,1),"")</f>
        <v>0</v>
      </c>
      <c r="BG296" s="211">
        <f>IF(ISNUMBER(BG284),ROUND(BG284-BG295,1),"")</f>
        <v>0</v>
      </c>
      <c r="BH296" s="211">
        <f>IF(ISNUMBER(BH284),ROUND(BH284-BH295,1),"")</f>
        <v>0</v>
      </c>
      <c r="BI296" s="211">
        <f>IF(ISNUMBER(BI284),ROUND(BI284-BI295,1),"")</f>
        <v>0</v>
      </c>
      <c r="BJ296" s="211">
        <f>IF(ISNUMBER(BJ284),ROUND(BJ284-BJ295,1),"")</f>
        <v>0</v>
      </c>
      <c r="BK296" s="211">
        <f>IF(ISNUMBER(BK284),ROUND(BK284-BK295,1),"")</f>
        <v>0</v>
      </c>
      <c r="BL296" s="211">
        <f>IF(ISNUMBER(BL284),ROUND(BL284-BL295,1),"")</f>
        <v>0</v>
      </c>
      <c r="BM296" s="211">
        <f>IF(ISNUMBER(BM284),ROUND(BM284-BM295,1),"")</f>
        <v>0</v>
      </c>
      <c r="BN296" s="211">
        <f>IF(ISNUMBER(BN284),ROUND(BN284-BN295,1),"")</f>
        <v>0</v>
      </c>
      <c r="BO296" s="211">
        <f>IF(ISNUMBER(BO284),ROUND(BO284-BO295,1),"")</f>
        <v>0</v>
      </c>
      <c r="BP296" s="211">
        <f>IF(ISNUMBER(BP284),ROUND(BP284-BP295,1),"")</f>
        <v>0</v>
      </c>
      <c r="BQ296" s="211">
        <f>IF(ISNUMBER(BQ284),ROUND(BQ284-BQ295,1),"")</f>
        <v>0</v>
      </c>
      <c r="BR296" s="211">
        <f>IF(ISNUMBER(BR284),ROUND(BR284-BR295,1),"")</f>
        <v>0</v>
      </c>
      <c r="BS296" s="211">
        <f>IF(ISNUMBER(BS284),ROUND(BS284-BS295,1),"")</f>
        <v>0</v>
      </c>
      <c r="BT296" s="211">
        <f>IF(ISNUMBER(BT284),ROUND(BT284-BT295,1),"")</f>
        <v>0</v>
      </c>
      <c r="BU296" s="211">
        <f>IF(ISNUMBER(BU284),ROUND(BU284-BU295,1),"")</f>
        <v>0</v>
      </c>
      <c r="BV296" s="153" t="n"/>
      <c r="BW296" s="153" t="n"/>
      <c r="BX296" s="273">
        <f>IF(ISNUMBER(BX284),ROUND(BX284-BX295,1),"")</f>
        <v>0</v>
      </c>
      <c r="BY296" s="273">
        <f>IF(ISNUMBER(BY284),ROUND(BY284-BY295,1),"")</f>
        <v>0</v>
      </c>
      <c r="BZ296" s="273">
        <f>IF(ISNUMBER(BZ284),ROUND(BZ284-BZ295,1),"")</f>
        <v>0</v>
      </c>
      <c r="CA296" s="273">
        <f>IF(ISNUMBER(CA284),ROUND(CA284-CA295,1),"")</f>
        <v>0</v>
      </c>
      <c r="CB296" s="273">
        <f>IF(ISNUMBER(CB284),ROUND(CB284-CB295,1),"")</f>
        <v>0</v>
      </c>
      <c r="CC296" s="273">
        <f>IF(ISNUMBER(CC284),ROUND(CC284-CC295,1),"")</f>
        <v>0</v>
      </c>
      <c r="CD296" s="153" t="n"/>
    </row>
    <row r="297" ht="15" customHeight="1" s="251">
      <c r="B297" s="57" t="inlineStr">
        <is>
          <t xml:space="preserve">  Check: model total assets vs reported (should be 0)</t>
        </is>
      </c>
      <c r="C297" s="211">
        <f>IF(ISNUMBER(C298),ROUND(C284-C298,1),"")</f>
      </c>
      <c r="D297" s="211">
        <f>IF(ISNUMBER(D298),ROUND(D284-D298,1),"")</f>
        <v>0</v>
      </c>
      <c r="E297" s="211">
        <f>IF(ISNUMBER(E298),ROUND(E284-E298,1),"")</f>
        <v>0</v>
      </c>
      <c r="F297" s="211">
        <f>IF(ISNUMBER(F298),ROUND(F284-F298,1),"")</f>
        <v>0</v>
      </c>
      <c r="G297" s="211">
        <f>IF(ISNUMBER(G298),ROUND(G284-G298,1),"")</f>
        <v>0</v>
      </c>
      <c r="H297" s="211">
        <f>IF(ISNUMBER(H298),ROUND(H284-H298,1),"")</f>
        <v>0</v>
      </c>
      <c r="I297" s="211">
        <f>IF(ISNUMBER(I298),ROUND(I284-I298,1),"")</f>
        <v>0</v>
      </c>
      <c r="J297" s="211">
        <f>IF(ISNUMBER(J298),ROUND(J284-J298,1),"")</f>
        <v>0</v>
      </c>
      <c r="K297" s="211">
        <f>IF(ISNUMBER(K298),ROUND(K284-K298,1),"")</f>
        <v>0</v>
      </c>
      <c r="L297" s="211">
        <f>IF(ISNUMBER(L298),ROUND(L284-L298,1),"")</f>
        <v>0</v>
      </c>
      <c r="M297" s="211">
        <f>IF(ISNUMBER(M298),ROUND(M284-M298,1),"")</f>
        <v>0</v>
      </c>
      <c r="N297" s="211">
        <f>IF(ISNUMBER(N298),ROUND(N284-N298,1),"")</f>
        <v>0</v>
      </c>
      <c r="O297" s="211">
        <f>IF(ISNUMBER(O298),ROUND(O284-O298,1),"")</f>
        <v>0</v>
      </c>
      <c r="P297" s="211">
        <f>IF(ISNUMBER(P298),ROUND(P284-P298,1),"")</f>
        <v>0</v>
      </c>
      <c r="Q297" s="211">
        <f>IF(ISNUMBER(Q298),ROUND(Q284-Q298,1),"")</f>
        <v>0</v>
      </c>
      <c r="R297" s="211">
        <f>IF(ISNUMBER(R298),ROUND(R284-R298,1),"")</f>
        <v>0</v>
      </c>
      <c r="S297" s="211">
        <f>IF(ISNUMBER(S298),ROUND(S284-S298,1),"")</f>
        <v>0</v>
      </c>
      <c r="T297" s="211">
        <f>IF(ISNUMBER(T298),ROUND(T284-T298,1),"")</f>
        <v>0</v>
      </c>
      <c r="U297" s="211">
        <f>IF(ISNUMBER(U298),ROUND(U284-U298,1),"")</f>
        <v>0</v>
      </c>
      <c r="V297" s="211">
        <f>IF(ISNUMBER(V298),ROUND(V284-V298,1),"")</f>
        <v>0</v>
      </c>
      <c r="W297" s="211">
        <f>IF(ISNUMBER(W298),ROUND(W284-W298,1),"")</f>
        <v>0</v>
      </c>
      <c r="X297" s="211">
        <f>IF(ISNUMBER(X298),ROUND(X284-X298,1),"")</f>
        <v>0</v>
      </c>
      <c r="Y297" s="211">
        <f>IF(ISNUMBER(Y298),ROUND(Y284-Y298,1),"")</f>
        <v>0</v>
      </c>
      <c r="Z297" s="211">
        <f>IF(ISNUMBER(Z298),ROUND(Z284-Z298,1),"")</f>
        <v>0</v>
      </c>
      <c r="AA297" s="211">
        <f>IF(ISNUMBER(AA298),ROUND(AA284-AA298,1),"")</f>
        <v>0</v>
      </c>
      <c r="AB297" s="211">
        <f>IF(ISNUMBER(AB298),ROUND(AB284-AB298,1),"")</f>
        <v>0</v>
      </c>
      <c r="AC297" s="211">
        <f>IF(ISNUMBER(AC298),ROUND(AC284-AC298,1),"")</f>
        <v>0</v>
      </c>
      <c r="AD297" s="211">
        <f>IF(ISNUMBER(AD298),ROUND(AD284-AD298,1),"")</f>
        <v>0</v>
      </c>
      <c r="AE297" s="211">
        <f>IF(ISNUMBER(AE298),ROUND(AE284-AE298,1),"")</f>
        <v>0</v>
      </c>
      <c r="AF297" s="211">
        <f>IF(ISNUMBER(AF298),ROUND(AF284-AF298,1),"")</f>
        <v>0</v>
      </c>
      <c r="AG297" s="211">
        <f>IF(ISNUMBER(AG298),ROUND(AG284-AG298,1),"")</f>
        <v>0</v>
      </c>
      <c r="AH297" s="211">
        <f>IF(ISNUMBER(AH298),ROUND(AH284-AH298,1),"")</f>
        <v>0</v>
      </c>
      <c r="AI297" s="211">
        <f>IF(ISNUMBER(AI298),ROUND(AI284-AI298,1),"")</f>
        <v>0</v>
      </c>
      <c r="AJ297" s="211">
        <f>IF(ISNUMBER(AJ298),ROUND(AJ284-AJ298,1),"")</f>
        <v>0</v>
      </c>
      <c r="AK297" s="211">
        <f>IF(ISNUMBER(AK298),ROUND(AK284-AK298,1),"")</f>
        <v>0</v>
      </c>
      <c r="AL297" s="211">
        <f>IF(ISNUMBER(AL298),ROUND(AL284-AL298,1),"")</f>
        <v>0</v>
      </c>
      <c r="AM297" s="211">
        <f>IF(ISNUMBER(AM298),ROUND(AM284-AM298,1),"")</f>
        <v>0</v>
      </c>
      <c r="AN297" s="211">
        <f>IF(ISNUMBER(AN298),ROUND(AN284-AN298,1),"")</f>
        <v>0</v>
      </c>
      <c r="AO297" s="211">
        <f>IF(ISNUMBER(AO298),ROUND(AO284-AO298,1),"")</f>
        <v>0</v>
      </c>
      <c r="AP297" s="211">
        <f>IF(ISNUMBER(AP298),ROUND(AP284-AP298,1),"")</f>
        <v>0</v>
      </c>
      <c r="AQ297" s="211">
        <f>IF(ISNUMBER(AQ298),ROUND(AQ284-AQ298,1),"")</f>
        <v>0</v>
      </c>
      <c r="AR297" s="211">
        <f>IF(ISNUMBER(AR298),ROUND(AR284-AR298,1),"")</f>
        <v>0</v>
      </c>
      <c r="AS297" s="211">
        <f>IF(ISNUMBER(AS298),ROUND(AS284-AS298,1),"")</f>
        <v>0</v>
      </c>
      <c r="AT297" s="211">
        <f>IF(ISNUMBER(AT298),ROUND(AT284-AT298,1),"")</f>
        <v>0</v>
      </c>
      <c r="AU297" s="211">
        <f>IF(ISNUMBER(AU298),ROUND(AU284-AU298,1),"")</f>
        <v>0</v>
      </c>
      <c r="AV297" s="211">
        <f>IF(ISNUMBER(AV298),ROUND(AV284-AV298,1),"")</f>
        <v>0</v>
      </c>
      <c r="AW297" s="211">
        <f>IF(ISNUMBER(AW298),ROUND(AW284-AW298,1),"")</f>
        <v>0</v>
      </c>
      <c r="AX297" s="211">
        <f>IF(ISNUMBER(AX298),ROUND(AX284-AX298,1),"")</f>
        <v>0</v>
      </c>
      <c r="AY297" s="211">
        <f>IF(ISNUMBER(AY298),ROUND(AY284-AY298,1),"")</f>
        <v>0</v>
      </c>
      <c r="AZ297" s="211">
        <f>IF(ISNUMBER(AZ298),ROUND(AZ284-AZ298,1),"")</f>
        <v>0</v>
      </c>
      <c r="BA297" s="211">
        <f>IF(ISNUMBER(BA298),ROUND(BA284-BA298,1),"")</f>
        <v>0</v>
      </c>
      <c r="BB297" s="211">
        <f>IF(ISNUMBER(BB298),ROUND(BB284-BB298,1),"")</f>
        <v>0</v>
      </c>
      <c r="BC297" s="211">
        <f>IF(ISNUMBER(BC298),ROUND(BC284-BC298,1),"")</f>
        <v>0</v>
      </c>
      <c r="BD297" s="211">
        <f>IF(ISNUMBER(BD298),ROUND(BD284-BD298,1),"")</f>
        <v>0</v>
      </c>
      <c r="BE297" s="211">
        <f>IF(ISNUMBER(BE298),ROUND(BE284-BE298,1),"")</f>
        <v>0</v>
      </c>
      <c r="BF297" s="211">
        <f>IF(ISNUMBER(BF298),ROUND(BF284-BF298,1),"")</f>
        <v>0</v>
      </c>
      <c r="BG297" s="211">
        <f>IF(ISNUMBER(BG298),ROUND(BG284-BG298,1),"")</f>
        <v>0</v>
      </c>
      <c r="BH297" s="211">
        <f>IF(ISNUMBER(BH298),ROUND(BH284-BH298,1),"")</f>
        <v>0</v>
      </c>
      <c r="BI297" s="211">
        <f>IF(ISNUMBER(BI298),ROUND(BI284-BI298,1),"")</f>
        <v>0</v>
      </c>
      <c r="BJ297" s="211">
        <f>IF(ISNUMBER(BJ298),ROUND(BJ284-BJ298,1),"")</f>
        <v>0</v>
      </c>
      <c r="BK297" s="211">
        <f>IF(ISNUMBER(BK298),ROUND(BK284-BK298,1),"")</f>
        <v>0</v>
      </c>
      <c r="BL297" s="211">
        <f>IF(ISNUMBER(BL298),ROUND(BL284-BL298,1),"")</f>
        <v>0</v>
      </c>
      <c r="BM297" s="211">
        <f>IF(ISNUMBER(BM298),ROUND(BM284-BM298,1),"")</f>
        <v>0</v>
      </c>
      <c r="BN297" s="211">
        <f>IF(ISNUMBER(BN298),ROUND(BN284-BN298,1),"")</f>
        <v>0</v>
      </c>
      <c r="BO297" s="211">
        <f>IF(ISNUMBER(BO298),ROUND(BO284-BO298,1),"")</f>
        <v>0</v>
      </c>
      <c r="BP297" s="211">
        <f>IF(ISNUMBER(BP298),ROUND(BP284-BP298,1),"")</f>
        <v>0</v>
      </c>
      <c r="BQ297" s="211">
        <f>IF(ISNUMBER(BQ298),ROUND(BQ284-BQ298,1),"")</f>
        <v>0</v>
      </c>
      <c r="BR297" s="211">
        <f>IF(ISNUMBER(BR298),ROUND(BR284-BR298,1),"")</f>
        <v>0</v>
      </c>
      <c r="BS297" s="211">
        <f>IF(ISNUMBER(BS298),ROUND(BS284-BS298,1),"")</f>
        <v>0</v>
      </c>
      <c r="BT297" s="211">
        <f>IF(ISNUMBER(BT298),ROUND(BT284-BT298,1),"")</f>
        <v>0</v>
      </c>
      <c r="BU297" s="211">
        <f>IF(ISNUMBER(BU298),ROUND(BU284-BU298,1),"")</f>
        <v>0</v>
      </c>
      <c r="BV297" s="153" t="n"/>
      <c r="BW297" s="153" t="n"/>
      <c r="BX297" s="153" t="n"/>
      <c r="BY297" s="153" t="n"/>
      <c r="BZ297" s="153" t="n"/>
      <c r="CA297" s="153" t="n"/>
      <c r="CB297" s="153" t="n"/>
      <c r="CC297" s="153" t="n"/>
      <c r="CD297" s="153" t="n"/>
    </row>
    <row r="298" ht="15" customHeight="1" s="251">
      <c r="B298" s="156" t="inlineStr">
        <is>
          <t xml:space="preserve">  Memo: total assets as reported</t>
        </is>
      </c>
      <c r="C298" s="34" t="n"/>
      <c r="D298" s="261" t="n">
        <v>2990</v>
      </c>
      <c r="E298" s="261" t="n">
        <v>6331</v>
      </c>
      <c r="F298" s="261" t="n">
        <v>15103</v>
      </c>
      <c r="G298" s="261" t="n">
        <v>15163</v>
      </c>
      <c r="H298" s="261" t="n">
        <v>15724</v>
      </c>
      <c r="I298" s="261" t="n">
        <v>14933</v>
      </c>
      <c r="J298" s="261" t="n">
        <v>17895</v>
      </c>
      <c r="K298" s="261" t="n">
        <v>17895</v>
      </c>
      <c r="L298" s="261" t="n">
        <v>19028</v>
      </c>
      <c r="M298" s="261" t="n">
        <v>20769</v>
      </c>
      <c r="N298" s="261" t="n">
        <v>24188</v>
      </c>
      <c r="O298" s="261" t="n">
        <v>40184</v>
      </c>
      <c r="P298" s="261" t="n">
        <v>40184</v>
      </c>
      <c r="Q298" s="261" t="n">
        <v>42007</v>
      </c>
      <c r="R298" s="261" t="n">
        <v>44130</v>
      </c>
      <c r="S298" s="261" t="n">
        <v>46469</v>
      </c>
      <c r="T298" s="261" t="n">
        <v>49407</v>
      </c>
      <c r="U298" s="261" t="n">
        <v>49407</v>
      </c>
      <c r="V298" s="261" t="n">
        <v>52075</v>
      </c>
      <c r="W298" s="261" t="n">
        <v>55739</v>
      </c>
      <c r="X298" s="261" t="n">
        <v>59674</v>
      </c>
      <c r="Y298" s="261" t="n">
        <v>64961</v>
      </c>
      <c r="Z298" s="261" t="n">
        <v>64961</v>
      </c>
      <c r="AA298" s="261" t="n">
        <v>68714</v>
      </c>
      <c r="AB298" s="261" t="n">
        <v>73843</v>
      </c>
      <c r="AC298" s="261" t="n">
        <v>78998</v>
      </c>
      <c r="AD298" s="261" t="n">
        <v>84524</v>
      </c>
      <c r="AE298" s="261" t="n">
        <v>84524</v>
      </c>
      <c r="AF298" s="261" t="n">
        <v>88945</v>
      </c>
      <c r="AG298" s="261" t="n">
        <v>90291</v>
      </c>
      <c r="AH298" s="261" t="n">
        <v>92452</v>
      </c>
      <c r="AI298" s="261" t="n">
        <v>97334</v>
      </c>
      <c r="AJ298" s="261" t="n">
        <v>97334</v>
      </c>
      <c r="AK298" s="261" t="n">
        <v>109477</v>
      </c>
      <c r="AL298" s="261" t="n">
        <v>117006</v>
      </c>
      <c r="AM298" s="261" t="n">
        <v>124418</v>
      </c>
      <c r="AN298" s="261" t="n">
        <v>133376</v>
      </c>
      <c r="AO298" s="261" t="n">
        <v>133376</v>
      </c>
      <c r="AP298" s="261" t="n">
        <v>138371</v>
      </c>
      <c r="AQ298" s="261" t="n">
        <v>139691</v>
      </c>
      <c r="AR298" s="261" t="n">
        <v>146437</v>
      </c>
      <c r="AS298" s="261" t="n">
        <v>159316</v>
      </c>
      <c r="AT298" s="261" t="n">
        <v>159316</v>
      </c>
      <c r="AU298" s="261" t="n">
        <v>163523</v>
      </c>
      <c r="AV298" s="261" t="n">
        <v>170609</v>
      </c>
      <c r="AW298" s="261" t="n">
        <v>169585</v>
      </c>
      <c r="AX298" s="261" t="n">
        <v>165987</v>
      </c>
      <c r="AY298" s="261" t="n">
        <v>165987</v>
      </c>
      <c r="AZ298" s="261" t="n">
        <v>164218</v>
      </c>
      <c r="BA298" s="261" t="n">
        <v>169779</v>
      </c>
      <c r="BB298" s="261" t="n">
        <v>178894</v>
      </c>
      <c r="BC298" s="261" t="n">
        <v>185727</v>
      </c>
      <c r="BD298" s="261" t="n">
        <v>185727</v>
      </c>
      <c r="BE298" s="261" t="n">
        <v>184491</v>
      </c>
      <c r="BF298" s="261" t="n">
        <v>206688</v>
      </c>
      <c r="BG298" s="261" t="n">
        <v>216274</v>
      </c>
      <c r="BH298" s="261" t="n">
        <v>229623</v>
      </c>
      <c r="BI298" s="261" t="n">
        <v>229623</v>
      </c>
      <c r="BJ298" s="261" t="n">
        <v>222844</v>
      </c>
      <c r="BK298" s="261" t="n">
        <v>230238</v>
      </c>
      <c r="BL298" s="261" t="n">
        <v>256408</v>
      </c>
      <c r="BM298" s="261" t="n">
        <v>276054</v>
      </c>
      <c r="BN298" s="261" t="n">
        <v>276054</v>
      </c>
      <c r="BO298" s="261" t="n">
        <v>280213</v>
      </c>
      <c r="BP298" s="261" t="n">
        <v>294744</v>
      </c>
      <c r="BQ298" s="261" t="n">
        <v>303844</v>
      </c>
      <c r="BR298" s="261" t="n">
        <v>366021</v>
      </c>
      <c r="BS298" s="261" t="n">
        <v>366021</v>
      </c>
      <c r="BT298" s="261" t="n">
        <v>395250</v>
      </c>
      <c r="BU298" s="261" t="n">
        <v>449956</v>
      </c>
      <c r="BV298" s="153" t="n"/>
      <c r="BW298" s="153" t="n"/>
      <c r="BX298" s="153" t="n"/>
      <c r="BY298" s="153" t="n"/>
      <c r="BZ298" s="153" t="n"/>
      <c r="CA298" s="153" t="n"/>
      <c r="CB298" s="153" t="n"/>
      <c r="CC298" s="153" t="n"/>
      <c r="CD298" s="153" t="n"/>
    </row>
    <row r="299" ht="15" customHeight="1" s="251">
      <c r="B299" s="156" t="inlineStr">
        <is>
          <t xml:space="preserve">  Memo: restricted cash (cash-flow cash − balance-sheet cash; in prepaid / other assets; cash-flow statement includes it from 2018)</t>
        </is>
      </c>
      <c r="C299" s="211">
        <f>IF(AND(ISNUMBER(C242),ISNUMBER(C274)),C242-C274,"")</f>
      </c>
      <c r="D299" s="211">
        <f>IF(AND(ISNUMBER(D242),ISNUMBER(D274)),D242-D274,"")</f>
        <v>0</v>
      </c>
      <c r="E299" s="211">
        <f>IF(AND(ISNUMBER(E242),ISNUMBER(E274)),E242-E274,"")</f>
        <v>0</v>
      </c>
      <c r="F299" s="211">
        <f>IF(AND(ISNUMBER(F242),ISNUMBER(F274)),F242-F274,"")</f>
        <v>0</v>
      </c>
      <c r="G299" s="211">
        <f>IF(AND(ISNUMBER(G242),ISNUMBER(G274)),G242-G274,"")</f>
        <v>0</v>
      </c>
      <c r="H299" s="211">
        <f>IF(AND(ISNUMBER(H242),ISNUMBER(H274)),H242-H274,"")</f>
        <v>0</v>
      </c>
      <c r="I299" s="211">
        <f>IF(AND(ISNUMBER(I242),ISNUMBER(I274)),I242-I274,"")</f>
        <v>0</v>
      </c>
      <c r="J299" s="211">
        <f>IF(AND(ISNUMBER(J242),ISNUMBER(J274)),J242-J274,"")</f>
        <v>0</v>
      </c>
      <c r="K299" s="211">
        <f>IF(AND(ISNUMBER(K242),ISNUMBER(K274)),K242-K274,"")</f>
        <v>0</v>
      </c>
      <c r="L299" s="211">
        <f>IF(AND(ISNUMBER(L242),ISNUMBER(L274)),L242-L274,"")</f>
        <v>0</v>
      </c>
      <c r="M299" s="211">
        <f>IF(AND(ISNUMBER(M242),ISNUMBER(M274)),M242-M274,"")</f>
        <v>0</v>
      </c>
      <c r="N299" s="211">
        <f>IF(AND(ISNUMBER(N242),ISNUMBER(N274)),N242-N274,"")</f>
        <v>0</v>
      </c>
      <c r="O299" s="211">
        <f>IF(AND(ISNUMBER(O242),ISNUMBER(O274)),O242-O274,"")</f>
        <v>0</v>
      </c>
      <c r="P299" s="211">
        <f>IF(AND(ISNUMBER(P242),ISNUMBER(P274)),P242-P274,"")</f>
        <v>0</v>
      </c>
      <c r="Q299" s="211">
        <f>IF(AND(ISNUMBER(Q242),ISNUMBER(Q274)),Q242-Q274,"")</f>
        <v>0</v>
      </c>
      <c r="R299" s="211">
        <f>IF(AND(ISNUMBER(R242),ISNUMBER(R274)),R242-R274,"")</f>
        <v>0</v>
      </c>
      <c r="S299" s="211">
        <f>IF(AND(ISNUMBER(S242),ISNUMBER(S274)),S242-S274,"")</f>
        <v>0</v>
      </c>
      <c r="T299" s="211">
        <f>IF(AND(ISNUMBER(T242),ISNUMBER(T274)),T242-T274,"")</f>
        <v>0</v>
      </c>
      <c r="U299" s="211">
        <f>IF(AND(ISNUMBER(U242),ISNUMBER(U274)),U242-U274,"")</f>
        <v>0</v>
      </c>
      <c r="V299" s="211">
        <f>IF(AND(ISNUMBER(V242),ISNUMBER(V274)),V242-V274,"")</f>
        <v>0</v>
      </c>
      <c r="W299" s="211">
        <f>IF(AND(ISNUMBER(W242),ISNUMBER(W274)),W242-W274,"")</f>
        <v>0</v>
      </c>
      <c r="X299" s="211">
        <f>IF(AND(ISNUMBER(X242),ISNUMBER(X274)),X242-X274,"")</f>
        <v>0</v>
      </c>
      <c r="Y299" s="211">
        <f>IF(AND(ISNUMBER(Y242),ISNUMBER(Y274)),Y242-Y274,"")</f>
        <v>0</v>
      </c>
      <c r="Z299" s="211">
        <f>IF(AND(ISNUMBER(Z242),ISNUMBER(Z274)),Z242-Z274,"")</f>
        <v>0</v>
      </c>
      <c r="AA299" s="211">
        <f>IF(AND(ISNUMBER(AA242),ISNUMBER(AA274)),AA242-AA274,"")</f>
        <v>0</v>
      </c>
      <c r="AB299" s="211">
        <f>IF(AND(ISNUMBER(AB242),ISNUMBER(AB274)),AB242-AB274,"")</f>
        <v>0</v>
      </c>
      <c r="AC299" s="211">
        <f>IF(AND(ISNUMBER(AC242),ISNUMBER(AC274)),AC242-AC274,"")</f>
        <v>0</v>
      </c>
      <c r="AD299" s="211">
        <f>IF(AND(ISNUMBER(AD242),ISNUMBER(AD274)),AD242-AD274,"")</f>
        <v>0</v>
      </c>
      <c r="AE299" s="211">
        <f>IF(AND(ISNUMBER(AE242),ISNUMBER(AE274)),AE242-AE274,"")</f>
        <v>0</v>
      </c>
      <c r="AF299" s="211">
        <f>IF(AND(ISNUMBER(AF242),ISNUMBER(AF274)),AF242-AF274,"")</f>
        <v>128</v>
      </c>
      <c r="AG299" s="211">
        <f>IF(AND(ISNUMBER(AG242),ISNUMBER(AG274)),AG242-AG274,"")</f>
        <v>116</v>
      </c>
      <c r="AH299" s="211">
        <f>IF(AND(ISNUMBER(AH242),ISNUMBER(AH274)),AH242-AH274,"")</f>
        <v>107</v>
      </c>
      <c r="AI299" s="211">
        <f>IF(AND(ISNUMBER(AI242),ISNUMBER(AI274)),AI242-AI274,"")</f>
        <v>105</v>
      </c>
      <c r="AJ299" s="211">
        <f>IF(AND(ISNUMBER(AJ242),ISNUMBER(AJ274)),AJ242-AJ274,"")</f>
        <v>105</v>
      </c>
      <c r="AK299" s="211">
        <f>IF(AND(ISNUMBER(AK242),ISNUMBER(AK274)),AK242-AK274,"")</f>
        <v>121</v>
      </c>
      <c r="AL299" s="211">
        <f>IF(AND(ISNUMBER(AL242),ISNUMBER(AL274)),AL242-AL274,"")</f>
        <v>121</v>
      </c>
      <c r="AM299" s="211">
        <f>IF(AND(ISNUMBER(AM242),ISNUMBER(AM274)),AM242-AM274,"")</f>
        <v>101</v>
      </c>
      <c r="AN299" s="211">
        <f>IF(AND(ISNUMBER(AN242),ISNUMBER(AN274)),AN242-AN274,"")</f>
        <v>200</v>
      </c>
      <c r="AO299" s="211">
        <f>IF(AND(ISNUMBER(AO242),ISNUMBER(AO274)),AO242-AO274,"")</f>
        <v>200</v>
      </c>
      <c r="AP299" s="211">
        <f>IF(AND(ISNUMBER(AP242),ISNUMBER(AP274)),AP242-AP274,"")</f>
        <v>309</v>
      </c>
      <c r="AQ299" s="211">
        <f>IF(AND(ISNUMBER(AQ242),ISNUMBER(AQ274)),AQ242-AQ274,"")</f>
        <v>524</v>
      </c>
      <c r="AR299" s="211">
        <f>IF(AND(ISNUMBER(AR242),ISNUMBER(AR274)),AR242-AR274,"")</f>
        <v>362</v>
      </c>
      <c r="AS299" s="211">
        <f>IF(AND(ISNUMBER(AS242),ISNUMBER(AS274)),AS242-AS274,"")</f>
        <v>378</v>
      </c>
      <c r="AT299" s="211">
        <f>IF(AND(ISNUMBER(AT242),ISNUMBER(AT274)),AT242-AT274,"")</f>
        <v>378</v>
      </c>
      <c r="AU299" s="211">
        <f>IF(AND(ISNUMBER(AU242),ISNUMBER(AU274)),AU242-AU274,"")</f>
        <v>378</v>
      </c>
      <c r="AV299" s="211">
        <f>IF(AND(ISNUMBER(AV242),ISNUMBER(AV274)),AV242-AV274,"")</f>
        <v>325</v>
      </c>
      <c r="AW299" s="211">
        <f>IF(AND(ISNUMBER(AW242),ISNUMBER(AW274)),AW242-AW274,"")</f>
        <v>308</v>
      </c>
      <c r="AX299" s="211">
        <f>IF(AND(ISNUMBER(AX242),ISNUMBER(AX274)),AX242-AX274,"")</f>
        <v>264</v>
      </c>
      <c r="AY299" s="211">
        <f>IF(AND(ISNUMBER(AY242),ISNUMBER(AY274)),AY242-AY274,"")</f>
        <v>264</v>
      </c>
      <c r="AZ299" s="211">
        <f>IF(AND(ISNUMBER(AZ242),ISNUMBER(AZ274)),AZ242-AZ274,"")</f>
        <v>467</v>
      </c>
      <c r="BA299" s="211">
        <f>IF(AND(ISNUMBER(BA242),ISNUMBER(BA274)),BA242-BA274,"")</f>
        <v>797</v>
      </c>
      <c r="BB299" s="211">
        <f>IF(AND(ISNUMBER(BB242),ISNUMBER(BB274)),BB242-BB274,"")</f>
        <v>943</v>
      </c>
      <c r="BC299" s="211">
        <f>IF(AND(ISNUMBER(BC242),ISNUMBER(BC274)),BC242-BC274,"")</f>
        <v>915</v>
      </c>
      <c r="BD299" s="211">
        <f>IF(AND(ISNUMBER(BD242),ISNUMBER(BD274)),BD242-BD274,"")</f>
        <v>915</v>
      </c>
      <c r="BE299" s="211">
        <f>IF(AND(ISNUMBER(BE242),ISNUMBER(BE274)),BE242-BE274,"")</f>
        <v>869</v>
      </c>
      <c r="BF299" s="211">
        <f>IF(AND(ISNUMBER(BF242),ISNUMBER(BF274)),BF242-BF274,"")</f>
        <v>1019</v>
      </c>
      <c r="BG299" s="211">
        <f>IF(AND(ISNUMBER(BG242),ISNUMBER(BG274)),BG242-BG274,"")</f>
        <v>1010</v>
      </c>
      <c r="BH299" s="211">
        <f>IF(AND(ISNUMBER(BH242),ISNUMBER(BH274)),BH242-BH274,"")</f>
        <v>965</v>
      </c>
      <c r="BI299" s="211">
        <f>IF(AND(ISNUMBER(BI242),ISNUMBER(BI274)),BI242-BI274,"")</f>
        <v>965</v>
      </c>
      <c r="BJ299" s="211">
        <f>IF(AND(ISNUMBER(BJ242),ISNUMBER(BJ274)),BJ242-BJ274,"")</f>
        <v>977</v>
      </c>
      <c r="BK299" s="211">
        <f>IF(AND(ISNUMBER(BK242),ISNUMBER(BK274)),BK242-BK274,"")</f>
        <v>981</v>
      </c>
      <c r="BL299" s="211">
        <f>IF(AND(ISNUMBER(BL242),ISNUMBER(BL274)),BL242-BL274,"")</f>
        <v>1275</v>
      </c>
      <c r="BM299" s="211">
        <f>IF(AND(ISNUMBER(BM242),ISNUMBER(BM274)),BM242-BM274,"")</f>
        <v>1549</v>
      </c>
      <c r="BN299" s="211">
        <f>IF(AND(ISNUMBER(BN242),ISNUMBER(BN274)),BN242-BN274,"")</f>
        <v>1549</v>
      </c>
      <c r="BO299" s="211">
        <f>IF(AND(ISNUMBER(BO242),ISNUMBER(BO274)),BO242-BO274,"")</f>
        <v>1321</v>
      </c>
      <c r="BP299" s="211">
        <f>IF(AND(ISNUMBER(BP242),ISNUMBER(BP274)),BP242-BP274,"")</f>
        <v>1823</v>
      </c>
      <c r="BQ299" s="211">
        <f>IF(AND(ISNUMBER(BQ242),ISNUMBER(BQ274)),BQ242-BQ274,"")</f>
        <v>1754</v>
      </c>
      <c r="BR299" s="211">
        <f>IF(AND(ISNUMBER(BR242),ISNUMBER(BR274)),BR242-BR274,"")</f>
        <v>3227</v>
      </c>
      <c r="BS299" s="211">
        <f>IF(AND(ISNUMBER(BS242),ISNUMBER(BS274)),BS242-BS274,"")</f>
        <v>3227</v>
      </c>
      <c r="BT299" s="211">
        <f>IF(AND(ISNUMBER(BT242),ISNUMBER(BT274)),BT242-BT274,"")</f>
        <v>7676</v>
      </c>
      <c r="BU299" s="211">
        <f>IF(AND(ISNUMBER(BU242),ISNUMBER(BU274)),BU242-BU274,"")</f>
        <v>13809</v>
      </c>
      <c r="BV299" s="35" t="n"/>
      <c r="BW299" s="35" t="n"/>
      <c r="BX299" s="263">
        <f>BU299</f>
        <v>13809</v>
      </c>
      <c r="BY299" s="263">
        <f>BX299</f>
        <v>13809</v>
      </c>
      <c r="BZ299" s="263">
        <f>BY299</f>
        <v>13809</v>
      </c>
      <c r="CA299" s="263">
        <f>BZ299</f>
        <v>13809</v>
      </c>
      <c r="CB299" s="263">
        <f>CA299</f>
        <v>13809</v>
      </c>
      <c r="CC299" s="263">
        <f>CB299</f>
        <v>13809</v>
      </c>
      <c r="CD299" s="153" t="inlineStr">
        <is>
          <t>Held at the 30-Jun-2026 level in the forecast ($13.8bn, mostly long-term).</t>
        </is>
      </c>
    </row>
    <row r="300" ht="15" customHeight="1" s="251">
      <c r="B300" s="57" t="inlineStr">
        <is>
          <t xml:space="preserve">  Check: BS cash + restricted cash vs cash-flow ending cash (should be 0)</t>
        </is>
      </c>
      <c r="C300" s="211">
        <f>IF(AND(ISNUMBER(C274),ISNUMBER(C242)),ROUND(C274+C299-C242,1),"")</f>
      </c>
      <c r="D300" s="211">
        <f>IF(AND(ISNUMBER(D274),ISNUMBER(D242)),ROUND(D274+D299-D242,1),"")</f>
        <v>0</v>
      </c>
      <c r="E300" s="211">
        <f>IF(AND(ISNUMBER(E274),ISNUMBER(E242)),ROUND(E274+E299-E242,1),"")</f>
        <v>0</v>
      </c>
      <c r="F300" s="211">
        <f>IF(AND(ISNUMBER(F274),ISNUMBER(F242)),ROUND(F274+F299-F242,1),"")</f>
        <v>0</v>
      </c>
      <c r="G300" s="211">
        <f>IF(AND(ISNUMBER(G274),ISNUMBER(G242)),ROUND(G274+G299-G242,1),"")</f>
        <v>0</v>
      </c>
      <c r="H300" s="211">
        <f>IF(AND(ISNUMBER(H274),ISNUMBER(H242)),ROUND(H274+H299-H242,1),"")</f>
        <v>0</v>
      </c>
      <c r="I300" s="211">
        <f>IF(AND(ISNUMBER(I274),ISNUMBER(I242)),ROUND(I274+I299-I242,1),"")</f>
        <v>0</v>
      </c>
      <c r="J300" s="211">
        <f>IF(AND(ISNUMBER(J274),ISNUMBER(J242)),ROUND(J274+J299-J242,1),"")</f>
        <v>0</v>
      </c>
      <c r="K300" s="211">
        <f>IF(AND(ISNUMBER(K274),ISNUMBER(K242)),ROUND(K274+K299-K242,1),"")</f>
        <v>0</v>
      </c>
      <c r="L300" s="211">
        <f>IF(AND(ISNUMBER(L274),ISNUMBER(L242)),ROUND(L274+L299-L242,1),"")</f>
        <v>0</v>
      </c>
      <c r="M300" s="211">
        <f>IF(AND(ISNUMBER(M274),ISNUMBER(M242)),ROUND(M274+M299-M242,1),"")</f>
        <v>0</v>
      </c>
      <c r="N300" s="211">
        <f>IF(AND(ISNUMBER(N274),ISNUMBER(N242)),ROUND(N274+N299-N242,1),"")</f>
        <v>0</v>
      </c>
      <c r="O300" s="211">
        <f>IF(AND(ISNUMBER(O274),ISNUMBER(O242)),ROUND(O274+O299-O242,1),"")</f>
        <v>0</v>
      </c>
      <c r="P300" s="211">
        <f>IF(AND(ISNUMBER(P274),ISNUMBER(P242)),ROUND(P274+P299-P242,1),"")</f>
        <v>0</v>
      </c>
      <c r="Q300" s="211">
        <f>IF(AND(ISNUMBER(Q274),ISNUMBER(Q242)),ROUND(Q274+Q299-Q242,1),"")</f>
        <v>0</v>
      </c>
      <c r="R300" s="211">
        <f>IF(AND(ISNUMBER(R274),ISNUMBER(R242)),ROUND(R274+R299-R242,1),"")</f>
        <v>0</v>
      </c>
      <c r="S300" s="211">
        <f>IF(AND(ISNUMBER(S274),ISNUMBER(S242)),ROUND(S274+S299-S242,1),"")</f>
        <v>0</v>
      </c>
      <c r="T300" s="211">
        <f>IF(AND(ISNUMBER(T274),ISNUMBER(T242)),ROUND(T274+T299-T242,1),"")</f>
        <v>0</v>
      </c>
      <c r="U300" s="211">
        <f>IF(AND(ISNUMBER(U274),ISNUMBER(U242)),ROUND(U274+U299-U242,1),"")</f>
        <v>0</v>
      </c>
      <c r="V300" s="211">
        <f>IF(AND(ISNUMBER(V274),ISNUMBER(V242)),ROUND(V274+V299-V242,1),"")</f>
        <v>0</v>
      </c>
      <c r="W300" s="211">
        <f>IF(AND(ISNUMBER(W274),ISNUMBER(W242)),ROUND(W274+W299-W242,1),"")</f>
        <v>0</v>
      </c>
      <c r="X300" s="211">
        <f>IF(AND(ISNUMBER(X274),ISNUMBER(X242)),ROUND(X274+X299-X242,1),"")</f>
        <v>0</v>
      </c>
      <c r="Y300" s="211">
        <f>IF(AND(ISNUMBER(Y274),ISNUMBER(Y242)),ROUND(Y274+Y299-Y242,1),"")</f>
        <v>0</v>
      </c>
      <c r="Z300" s="211">
        <f>IF(AND(ISNUMBER(Z274),ISNUMBER(Z242)),ROUND(Z274+Z299-Z242,1),"")</f>
        <v>0</v>
      </c>
      <c r="AA300" s="211">
        <f>IF(AND(ISNUMBER(AA274),ISNUMBER(AA242)),ROUND(AA274+AA299-AA242,1),"")</f>
        <v>0</v>
      </c>
      <c r="AB300" s="211">
        <f>IF(AND(ISNUMBER(AB274),ISNUMBER(AB242)),ROUND(AB274+AB299-AB242,1),"")</f>
        <v>0</v>
      </c>
      <c r="AC300" s="211">
        <f>IF(AND(ISNUMBER(AC274),ISNUMBER(AC242)),ROUND(AC274+AC299-AC242,1),"")</f>
        <v>0</v>
      </c>
      <c r="AD300" s="211">
        <f>IF(AND(ISNUMBER(AD274),ISNUMBER(AD242)),ROUND(AD274+AD299-AD242,1),"")</f>
        <v>0</v>
      </c>
      <c r="AE300" s="211">
        <f>IF(AND(ISNUMBER(AE274),ISNUMBER(AE242)),ROUND(AE274+AE299-AE242,1),"")</f>
        <v>0</v>
      </c>
      <c r="AF300" s="211">
        <f>IF(AND(ISNUMBER(AF274),ISNUMBER(AF242)),ROUND(AF274+AF299-AF242,1),"")</f>
        <v>0</v>
      </c>
      <c r="AG300" s="211">
        <f>IF(AND(ISNUMBER(AG274),ISNUMBER(AG242)),ROUND(AG274+AG299-AG242,1),"")</f>
        <v>0</v>
      </c>
      <c r="AH300" s="211">
        <f>IF(AND(ISNUMBER(AH274),ISNUMBER(AH242)),ROUND(AH274+AH299-AH242,1),"")</f>
        <v>0</v>
      </c>
      <c r="AI300" s="211">
        <f>IF(AND(ISNUMBER(AI274),ISNUMBER(AI242)),ROUND(AI274+AI299-AI242,1),"")</f>
        <v>0</v>
      </c>
      <c r="AJ300" s="211">
        <f>IF(AND(ISNUMBER(AJ274),ISNUMBER(AJ242)),ROUND(AJ274+AJ299-AJ242,1),"")</f>
        <v>0</v>
      </c>
      <c r="AK300" s="211">
        <f>IF(AND(ISNUMBER(AK274),ISNUMBER(AK242)),ROUND(AK274+AK299-AK242,1),"")</f>
        <v>0</v>
      </c>
      <c r="AL300" s="211">
        <f>IF(AND(ISNUMBER(AL274),ISNUMBER(AL242)),ROUND(AL274+AL299-AL242,1),"")</f>
        <v>0</v>
      </c>
      <c r="AM300" s="211">
        <f>IF(AND(ISNUMBER(AM274),ISNUMBER(AM242)),ROUND(AM274+AM299-AM242,1),"")</f>
        <v>0</v>
      </c>
      <c r="AN300" s="211">
        <f>IF(AND(ISNUMBER(AN274),ISNUMBER(AN242)),ROUND(AN274+AN299-AN242,1),"")</f>
        <v>0</v>
      </c>
      <c r="AO300" s="211">
        <f>IF(AND(ISNUMBER(AO274),ISNUMBER(AO242)),ROUND(AO274+AO299-AO242,1),"")</f>
        <v>0</v>
      </c>
      <c r="AP300" s="211">
        <f>IF(AND(ISNUMBER(AP274),ISNUMBER(AP242)),ROUND(AP274+AP299-AP242,1),"")</f>
        <v>0</v>
      </c>
      <c r="AQ300" s="211">
        <f>IF(AND(ISNUMBER(AQ274),ISNUMBER(AQ242)),ROUND(AQ274+AQ299-AQ242,1),"")</f>
        <v>0</v>
      </c>
      <c r="AR300" s="211">
        <f>IF(AND(ISNUMBER(AR274),ISNUMBER(AR242)),ROUND(AR274+AR299-AR242,1),"")</f>
        <v>0</v>
      </c>
      <c r="AS300" s="211">
        <f>IF(AND(ISNUMBER(AS274),ISNUMBER(AS242)),ROUND(AS274+AS299-AS242,1),"")</f>
        <v>0</v>
      </c>
      <c r="AT300" s="211">
        <f>IF(AND(ISNUMBER(AT274),ISNUMBER(AT242)),ROUND(AT274+AT299-AT242,1),"")</f>
        <v>0</v>
      </c>
      <c r="AU300" s="211">
        <f>IF(AND(ISNUMBER(AU274),ISNUMBER(AU242)),ROUND(AU274+AU299-AU242,1),"")</f>
        <v>0</v>
      </c>
      <c r="AV300" s="211">
        <f>IF(AND(ISNUMBER(AV274),ISNUMBER(AV242)),ROUND(AV274+AV299-AV242,1),"")</f>
        <v>0</v>
      </c>
      <c r="AW300" s="211">
        <f>IF(AND(ISNUMBER(AW274),ISNUMBER(AW242)),ROUND(AW274+AW299-AW242,1),"")</f>
        <v>0</v>
      </c>
      <c r="AX300" s="211">
        <f>IF(AND(ISNUMBER(AX274),ISNUMBER(AX242)),ROUND(AX274+AX299-AX242,1),"")</f>
        <v>0</v>
      </c>
      <c r="AY300" s="211">
        <f>IF(AND(ISNUMBER(AY274),ISNUMBER(AY242)),ROUND(AY274+AY299-AY242,1),"")</f>
        <v>0</v>
      </c>
      <c r="AZ300" s="211">
        <f>IF(AND(ISNUMBER(AZ274),ISNUMBER(AZ242)),ROUND(AZ274+AZ299-AZ242,1),"")</f>
        <v>0</v>
      </c>
      <c r="BA300" s="211">
        <f>IF(AND(ISNUMBER(BA274),ISNUMBER(BA242)),ROUND(BA274+BA299-BA242,1),"")</f>
        <v>0</v>
      </c>
      <c r="BB300" s="211">
        <f>IF(AND(ISNUMBER(BB274),ISNUMBER(BB242)),ROUND(BB274+BB299-BB242,1),"")</f>
        <v>0</v>
      </c>
      <c r="BC300" s="211">
        <f>IF(AND(ISNUMBER(BC274),ISNUMBER(BC242)),ROUND(BC274+BC299-BC242,1),"")</f>
        <v>0</v>
      </c>
      <c r="BD300" s="211">
        <f>IF(AND(ISNUMBER(BD274),ISNUMBER(BD242)),ROUND(BD274+BD299-BD242,1),"")</f>
        <v>0</v>
      </c>
      <c r="BE300" s="211">
        <f>IF(AND(ISNUMBER(BE274),ISNUMBER(BE242)),ROUND(BE274+BE299-BE242,1),"")</f>
        <v>0</v>
      </c>
      <c r="BF300" s="211">
        <f>IF(AND(ISNUMBER(BF274),ISNUMBER(BF242)),ROUND(BF274+BF299-BF242,1),"")</f>
        <v>0</v>
      </c>
      <c r="BG300" s="211">
        <f>IF(AND(ISNUMBER(BG274),ISNUMBER(BG242)),ROUND(BG274+BG299-BG242,1),"")</f>
        <v>0</v>
      </c>
      <c r="BH300" s="211">
        <f>IF(AND(ISNUMBER(BH274),ISNUMBER(BH242)),ROUND(BH274+BH299-BH242,1),"")</f>
        <v>0</v>
      </c>
      <c r="BI300" s="211">
        <f>IF(AND(ISNUMBER(BI274),ISNUMBER(BI242)),ROUND(BI274+BI299-BI242,1),"")</f>
        <v>0</v>
      </c>
      <c r="BJ300" s="211">
        <f>IF(AND(ISNUMBER(BJ274),ISNUMBER(BJ242)),ROUND(BJ274+BJ299-BJ242,1),"")</f>
        <v>0</v>
      </c>
      <c r="BK300" s="211">
        <f>IF(AND(ISNUMBER(BK274),ISNUMBER(BK242)),ROUND(BK274+BK299-BK242,1),"")</f>
        <v>0</v>
      </c>
      <c r="BL300" s="211">
        <f>IF(AND(ISNUMBER(BL274),ISNUMBER(BL242)),ROUND(BL274+BL299-BL242,1),"")</f>
        <v>0</v>
      </c>
      <c r="BM300" s="211">
        <f>IF(AND(ISNUMBER(BM274),ISNUMBER(BM242)),ROUND(BM274+BM299-BM242,1),"")</f>
        <v>0</v>
      </c>
      <c r="BN300" s="211">
        <f>IF(AND(ISNUMBER(BN274),ISNUMBER(BN242)),ROUND(BN274+BN299-BN242,1),"")</f>
        <v>0</v>
      </c>
      <c r="BO300" s="211">
        <f>IF(AND(ISNUMBER(BO274),ISNUMBER(BO242)),ROUND(BO274+BO299-BO242,1),"")</f>
        <v>0</v>
      </c>
      <c r="BP300" s="211">
        <f>IF(AND(ISNUMBER(BP274),ISNUMBER(BP242)),ROUND(BP274+BP299-BP242,1),"")</f>
        <v>0</v>
      </c>
      <c r="BQ300" s="211">
        <f>IF(AND(ISNUMBER(BQ274),ISNUMBER(BQ242)),ROUND(BQ274+BQ299-BQ242,1),"")</f>
        <v>0</v>
      </c>
      <c r="BR300" s="211">
        <f>IF(AND(ISNUMBER(BR274),ISNUMBER(BR242)),ROUND(BR274+BR299-BR242,1),"")</f>
        <v>0</v>
      </c>
      <c r="BS300" s="211">
        <f>IF(AND(ISNUMBER(BS274),ISNUMBER(BS242)),ROUND(BS274+BS299-BS242,1),"")</f>
        <v>0</v>
      </c>
      <c r="BT300" s="211">
        <f>IF(AND(ISNUMBER(BT274),ISNUMBER(BT242)),ROUND(BT274+BT299-BT242,1),"")</f>
        <v>0</v>
      </c>
      <c r="BU300" s="211">
        <f>IF(AND(ISNUMBER(BU274),ISNUMBER(BU242)),ROUND(BU274+BU299-BU242,1),"")</f>
        <v>0</v>
      </c>
      <c r="BV300" s="153" t="n"/>
      <c r="BW300" s="153" t="n"/>
      <c r="BX300" s="273">
        <f>IF(AND(ISNUMBER(BX274),ISNUMBER(BX242)),ROUND(BX274+BX299-BX242,1),"")</f>
        <v>0</v>
      </c>
      <c r="BY300" s="273">
        <f>IF(AND(ISNUMBER(BY274),ISNUMBER(BY242)),ROUND(BY274+BY299-BY242,1),"")</f>
        <v>0</v>
      </c>
      <c r="BZ300" s="273">
        <f>IF(AND(ISNUMBER(BZ274),ISNUMBER(BZ242)),ROUND(BZ274+BZ299-BZ242,1),"")</f>
        <v>0</v>
      </c>
      <c r="CA300" s="273">
        <f>IF(AND(ISNUMBER(CA274),ISNUMBER(CA242)),ROUND(CA274+CA299-CA242,1),"")</f>
        <v>0</v>
      </c>
      <c r="CB300" s="273">
        <f>IF(AND(ISNUMBER(CB274),ISNUMBER(CB242)),ROUND(CB274+CB299-CB242,1),"")</f>
        <v>0</v>
      </c>
      <c r="CC300" s="273">
        <f>IF(AND(ISNUMBER(CC274),ISNUMBER(CC242)),ROUND(CC274+CC299-CC242,1),"")</f>
        <v>0</v>
      </c>
      <c r="CD300" s="153" t="n"/>
    </row>
    <row r="301" ht="15" customHeight="1" s="251">
      <c r="B301" s="156" t="inlineStr">
        <is>
          <t xml:space="preserve">  Memo: Class A + Class B shares outstanding at period end (m)</t>
        </is>
      </c>
      <c r="C301" s="34" t="n"/>
      <c r="D301" s="34" t="n"/>
      <c r="E301" s="34" t="n"/>
      <c r="F301" s="34" t="n"/>
      <c r="G301" s="261" t="n">
        <v>2411</v>
      </c>
      <c r="H301" s="261" t="n">
        <v>2431</v>
      </c>
      <c r="I301" s="261" t="n">
        <v>2453</v>
      </c>
      <c r="J301" s="261" t="n">
        <v>2547</v>
      </c>
      <c r="K301" s="261" t="n">
        <v>2547</v>
      </c>
      <c r="L301" s="261" t="n">
        <v>2564</v>
      </c>
      <c r="M301" s="261" t="n">
        <v>2575</v>
      </c>
      <c r="N301" s="261" t="n">
        <v>2608</v>
      </c>
      <c r="O301" s="261" t="n">
        <v>2797</v>
      </c>
      <c r="P301" s="261" t="n">
        <v>2797</v>
      </c>
      <c r="Q301" s="261" t="n">
        <v>2806</v>
      </c>
      <c r="R301" s="261" t="n">
        <v>2814</v>
      </c>
      <c r="S301" s="261" t="n">
        <v>2826</v>
      </c>
      <c r="T301" s="261" t="n">
        <v>2845</v>
      </c>
      <c r="U301" s="261" t="n">
        <v>2845</v>
      </c>
      <c r="V301" s="261" t="n">
        <v>2860</v>
      </c>
      <c r="W301" s="261" t="n">
        <v>2870</v>
      </c>
      <c r="X301" s="261" t="n">
        <v>2882</v>
      </c>
      <c r="Y301" s="261" t="n">
        <v>2892</v>
      </c>
      <c r="Z301" s="261" t="n">
        <v>2892</v>
      </c>
      <c r="AA301" s="261" t="n">
        <v>2898</v>
      </c>
      <c r="AB301" s="261" t="n">
        <v>2903</v>
      </c>
      <c r="AC301" s="261" t="n">
        <v>2906</v>
      </c>
      <c r="AD301" s="261" t="n">
        <v>2906</v>
      </c>
      <c r="AE301" s="261" t="n">
        <v>2906</v>
      </c>
      <c r="AF301" s="261" t="n">
        <v>2902</v>
      </c>
      <c r="AG301" s="261" t="n">
        <v>2891</v>
      </c>
      <c r="AH301" s="261" t="n">
        <v>2873</v>
      </c>
      <c r="AI301" s="261" t="n">
        <v>2854</v>
      </c>
      <c r="AJ301" s="261" t="n">
        <v>2854</v>
      </c>
      <c r="AK301" s="261" t="n">
        <v>2856</v>
      </c>
      <c r="AL301" s="261" t="n">
        <v>2854</v>
      </c>
      <c r="AM301" s="261" t="n">
        <v>2854</v>
      </c>
      <c r="AN301" s="261" t="n">
        <v>2852</v>
      </c>
      <c r="AO301" s="261" t="n">
        <v>2852</v>
      </c>
      <c r="AP301" s="261" t="n">
        <v>2851</v>
      </c>
      <c r="AQ301" s="261" t="n">
        <v>2850</v>
      </c>
      <c r="AR301" s="261" t="n">
        <v>2850</v>
      </c>
      <c r="AS301" s="261" t="n">
        <v>2849</v>
      </c>
      <c r="AT301" s="261" t="n">
        <v>2849</v>
      </c>
      <c r="AU301" s="261" t="n">
        <v>2841</v>
      </c>
      <c r="AV301" s="261" t="n">
        <v>2826</v>
      </c>
      <c r="AW301" s="261" t="n">
        <v>2793</v>
      </c>
      <c r="AX301" s="261" t="n">
        <v>2741</v>
      </c>
      <c r="AY301" s="261" t="n">
        <v>2741</v>
      </c>
      <c r="AZ301" s="261" t="n">
        <v>2714</v>
      </c>
      <c r="BA301" s="261" t="n">
        <v>2697</v>
      </c>
      <c r="BB301" s="261" t="n">
        <v>2665</v>
      </c>
      <c r="BC301" s="261" t="n">
        <v>2614</v>
      </c>
      <c r="BD301" s="261" t="n">
        <v>2614</v>
      </c>
      <c r="BE301" s="261" t="n">
        <v>2566</v>
      </c>
      <c r="BF301" s="261" t="n">
        <v>2573</v>
      </c>
      <c r="BG301" s="261" t="n">
        <v>2571</v>
      </c>
      <c r="BH301" s="261" t="n">
        <v>2561</v>
      </c>
      <c r="BI301" s="261" t="n">
        <v>2561</v>
      </c>
      <c r="BJ301" s="261" t="n">
        <v>2537</v>
      </c>
      <c r="BK301" s="261" t="n">
        <v>2533</v>
      </c>
      <c r="BL301" s="261" t="n">
        <v>2524</v>
      </c>
      <c r="BM301" s="261" t="n">
        <v>2534</v>
      </c>
      <c r="BN301" s="261" t="n">
        <v>2534</v>
      </c>
      <c r="BO301" s="261" t="n">
        <v>2523</v>
      </c>
      <c r="BP301" s="261" t="n">
        <v>2516</v>
      </c>
      <c r="BQ301" s="261" t="n">
        <v>2521</v>
      </c>
      <c r="BR301" s="261" t="n">
        <v>2530</v>
      </c>
      <c r="BS301" s="261" t="n">
        <v>2530</v>
      </c>
      <c r="BT301" s="261" t="n">
        <v>2538</v>
      </c>
      <c r="BU301" s="261" t="n">
        <v>2548</v>
      </c>
      <c r="BV301" s="153" t="n"/>
      <c r="BW301" s="153" t="n"/>
      <c r="BX301" s="273">
        <f>BX268</f>
        <v>2566</v>
      </c>
      <c r="BY301" s="273">
        <f>BY268</f>
        <v>2596</v>
      </c>
      <c r="BZ301" s="273">
        <f>BZ268</f>
        <v>2618.99649963064</v>
      </c>
      <c r="CA301" s="273">
        <f>CA268</f>
        <v>2592.75537908998</v>
      </c>
      <c r="CB301" s="273">
        <f>CB268</f>
        <v>2540.26539415666</v>
      </c>
      <c r="CC301" s="273">
        <f>CC268</f>
        <v>2470.60632278062</v>
      </c>
      <c r="CD301" s="153" t="n"/>
    </row>
    <row r="302" ht="15" customHeight="1" s="251">
      <c r="B302" s="156" t="inlineStr">
        <is>
          <t xml:space="preserve">  Memo: cash, cash equivalents and marketable securities</t>
        </is>
      </c>
      <c r="C302" s="211">
        <f>IF(ISNUMBER(C274),C274+C275,"")</f>
      </c>
      <c r="D302" s="211">
        <f>IF(ISNUMBER(D274),D274+D275,"")</f>
        <v>1785</v>
      </c>
      <c r="E302" s="211">
        <f>IF(ISNUMBER(E274),E274+E275,"")</f>
        <v>3908</v>
      </c>
      <c r="F302" s="211">
        <f>IF(ISNUMBER(F274),F274+F275,"")</f>
        <v>9626</v>
      </c>
      <c r="G302" s="211">
        <f>IF(ISNUMBER(G274),G274+G275,"")</f>
        <v>9472</v>
      </c>
      <c r="H302" s="211">
        <f>IF(ISNUMBER(H274),H274+H275,"")</f>
        <v>10252</v>
      </c>
      <c r="I302" s="211">
        <f>IF(ISNUMBER(I274),I274+I275,"")</f>
        <v>9328</v>
      </c>
      <c r="J302" s="211">
        <f>IF(ISNUMBER(J274),J274+J275,"")</f>
        <v>11449</v>
      </c>
      <c r="K302" s="211">
        <f>IF(ISNUMBER(K274),K274+K275,"")</f>
        <v>11449</v>
      </c>
      <c r="L302" s="211">
        <f>IF(ISNUMBER(L274),L274+L275,"")</f>
        <v>12629</v>
      </c>
      <c r="M302" s="211">
        <f>IF(ISNUMBER(M274),M274+M275,"")</f>
        <v>13956</v>
      </c>
      <c r="N302" s="211">
        <f>IF(ISNUMBER(N274),N274+N275,"")</f>
        <v>14250</v>
      </c>
      <c r="O302" s="211">
        <f>IF(ISNUMBER(O274),O274+O275,"")</f>
        <v>11199</v>
      </c>
      <c r="P302" s="211">
        <f>IF(ISNUMBER(P274),P274+P275,"")</f>
        <v>11199</v>
      </c>
      <c r="Q302" s="211">
        <f>IF(ISNUMBER(Q274),Q274+Q275,"")</f>
        <v>12413</v>
      </c>
      <c r="R302" s="211">
        <f>IF(ISNUMBER(R274),R274+R275,"")</f>
        <v>14125</v>
      </c>
      <c r="S302" s="211">
        <f>IF(ISNUMBER(S274),S274+S275,"")</f>
        <v>15834</v>
      </c>
      <c r="T302" s="211">
        <f>IF(ISNUMBER(T274),T274+T275,"")</f>
        <v>18434</v>
      </c>
      <c r="U302" s="211">
        <f>IF(ISNUMBER(U274),U274+U275,"")</f>
        <v>18434</v>
      </c>
      <c r="V302" s="211">
        <f>IF(ISNUMBER(V274),V274+V275,"")</f>
        <v>20621</v>
      </c>
      <c r="W302" s="211">
        <f>IF(ISNUMBER(W274),W274+W275,"")</f>
        <v>23293</v>
      </c>
      <c r="X302" s="211">
        <f>IF(ISNUMBER(X274),X274+X275,"")</f>
        <v>26140</v>
      </c>
      <c r="Y302" s="211">
        <f>IF(ISNUMBER(Y274),Y274+Y275,"")</f>
        <v>29449</v>
      </c>
      <c r="Z302" s="211">
        <f>IF(ISNUMBER(Z274),Z274+Z275,"")</f>
        <v>29449</v>
      </c>
      <c r="AA302" s="211">
        <f>IF(ISNUMBER(AA274),AA274+AA275,"")</f>
        <v>32306</v>
      </c>
      <c r="AB302" s="211">
        <f>IF(ISNUMBER(AB274),AB274+AB275,"")</f>
        <v>35452</v>
      </c>
      <c r="AC302" s="211">
        <f>IF(ISNUMBER(AC274),AC274+AC275,"")</f>
        <v>38289</v>
      </c>
      <c r="AD302" s="211">
        <f>IF(ISNUMBER(AD274),AD274+AD275,"")</f>
        <v>41711</v>
      </c>
      <c r="AE302" s="211">
        <f>IF(ISNUMBER(AE274),AE274+AE275,"")</f>
        <v>41711</v>
      </c>
      <c r="AF302" s="211">
        <f>IF(ISNUMBER(AF274),AF274+AF275,"")</f>
        <v>43956</v>
      </c>
      <c r="AG302" s="211">
        <f>IF(ISNUMBER(AG274),AG274+AG275,"")</f>
        <v>42309</v>
      </c>
      <c r="AH302" s="211">
        <f>IF(ISNUMBER(AH274),AH274+AH275,"")</f>
        <v>41206</v>
      </c>
      <c r="AI302" s="211">
        <f>IF(ISNUMBER(AI274),AI274+AI275,"")</f>
        <v>41114</v>
      </c>
      <c r="AJ302" s="211">
        <f>IF(ISNUMBER(AJ274),AJ274+AJ275,"")</f>
        <v>41114</v>
      </c>
      <c r="AK302" s="211">
        <f>IF(ISNUMBER(AK274),AK274+AK275,"")</f>
        <v>45243</v>
      </c>
      <c r="AL302" s="211">
        <f>IF(ISNUMBER(AL274),AL274+AL275,"")</f>
        <v>48596</v>
      </c>
      <c r="AM302" s="211">
        <f>IF(ISNUMBER(AM274),AM274+AM275,"")</f>
        <v>52269</v>
      </c>
      <c r="AN302" s="211">
        <f>IF(ISNUMBER(AN274),AN274+AN275,"")</f>
        <v>54855</v>
      </c>
      <c r="AO302" s="211">
        <f>IF(ISNUMBER(AO274),AO274+AO275,"")</f>
        <v>54855</v>
      </c>
      <c r="AP302" s="211">
        <f>IF(ISNUMBER(AP274),AP274+AP275,"")</f>
        <v>60289</v>
      </c>
      <c r="AQ302" s="211">
        <f>IF(ISNUMBER(AQ274),AQ274+AQ275,"")</f>
        <v>58240</v>
      </c>
      <c r="AR302" s="211">
        <f>IF(ISNUMBER(AR274),AR274+AR275,"")</f>
        <v>55620</v>
      </c>
      <c r="AS302" s="211">
        <f>IF(ISNUMBER(AS274),AS274+AS275,"")</f>
        <v>61954</v>
      </c>
      <c r="AT302" s="211">
        <f>IF(ISNUMBER(AT274),AT274+AT275,"")</f>
        <v>61954</v>
      </c>
      <c r="AU302" s="211">
        <f>IF(ISNUMBER(AU274),AU274+AU275,"")</f>
        <v>64219</v>
      </c>
      <c r="AV302" s="211">
        <f>IF(ISNUMBER(AV274),AV274+AV275,"")</f>
        <v>64080</v>
      </c>
      <c r="AW302" s="211">
        <f>IF(ISNUMBER(AW274),AW274+AW275,"")</f>
        <v>58075</v>
      </c>
      <c r="AX302" s="211">
        <f>IF(ISNUMBER(AX274),AX274+AX275,"")</f>
        <v>47998</v>
      </c>
      <c r="AY302" s="211">
        <f>IF(ISNUMBER(AY274),AY274+AY275,"")</f>
        <v>47998</v>
      </c>
      <c r="AZ302" s="211">
        <f>IF(ISNUMBER(AZ274),AZ274+AZ275,"")</f>
        <v>43890</v>
      </c>
      <c r="BA302" s="211">
        <f>IF(ISNUMBER(BA274),BA274+BA275,"")</f>
        <v>40489</v>
      </c>
      <c r="BB302" s="211">
        <f>IF(ISNUMBER(BB274),BB274+BB275,"")</f>
        <v>41776</v>
      </c>
      <c r="BC302" s="211">
        <f>IF(ISNUMBER(BC274),BC274+BC275,"")</f>
        <v>40738</v>
      </c>
      <c r="BD302" s="211">
        <f>IF(ISNUMBER(BD274),BD274+BD275,"")</f>
        <v>40738</v>
      </c>
      <c r="BE302" s="211">
        <f>IF(ISNUMBER(BE274),BE274+BE275,"")</f>
        <v>37439</v>
      </c>
      <c r="BF302" s="211">
        <f>IF(ISNUMBER(BF274),BF274+BF275,"")</f>
        <v>53446</v>
      </c>
      <c r="BG302" s="211">
        <f>IF(ISNUMBER(BG274),BG274+BG275,"")</f>
        <v>61123</v>
      </c>
      <c r="BH302" s="211">
        <f>IF(ISNUMBER(BH274),BH274+BH275,"")</f>
        <v>65403</v>
      </c>
      <c r="BI302" s="211">
        <f>IF(ISNUMBER(BI274),BI274+BI275,"")</f>
        <v>65403</v>
      </c>
      <c r="BJ302" s="211">
        <f>IF(ISNUMBER(BJ274),BJ274+BJ275,"")</f>
        <v>58120</v>
      </c>
      <c r="BK302" s="211">
        <f>IF(ISNUMBER(BK274),BK274+BK275,"")</f>
        <v>58080</v>
      </c>
      <c r="BL302" s="211">
        <f>IF(ISNUMBER(BL274),BL274+BL275,"")</f>
        <v>70900</v>
      </c>
      <c r="BM302" s="211">
        <f>IF(ISNUMBER(BM274),BM274+BM275,"")</f>
        <v>77815</v>
      </c>
      <c r="BN302" s="211">
        <f>IF(ISNUMBER(BN274),BN274+BN275,"")</f>
        <v>77815</v>
      </c>
      <c r="BO302" s="211">
        <f>IF(ISNUMBER(BO274),BO274+BO275,"")</f>
        <v>70230</v>
      </c>
      <c r="BP302" s="211">
        <f>IF(ISNUMBER(BP274),BP274+BP275,"")</f>
        <v>47071</v>
      </c>
      <c r="BQ302" s="211">
        <f>IF(ISNUMBER(BQ274),BQ274+BQ275,"")</f>
        <v>44448</v>
      </c>
      <c r="BR302" s="211">
        <f>IF(ISNUMBER(BR274),BR274+BR275,"")</f>
        <v>81592</v>
      </c>
      <c r="BS302" s="211">
        <f>IF(ISNUMBER(BS274),BS274+BS275,"")</f>
        <v>81592</v>
      </c>
      <c r="BT302" s="211">
        <f>IF(ISNUMBER(BT274),BT274+BT275,"")</f>
        <v>81180</v>
      </c>
      <c r="BU302" s="211">
        <f>IF(ISNUMBER(BU274),BU274+BU275,"")</f>
        <v>90260</v>
      </c>
      <c r="BV302" s="35" t="n"/>
      <c r="BW302" s="35" t="n"/>
      <c r="BX302" s="263">
        <f>IF(ISNUMBER(BX274),BX274+BX275,"")</f>
        <v>89798</v>
      </c>
      <c r="BY302" s="263">
        <f>IF(ISNUMBER(BY274),BY274+BY275,"")</f>
        <v>89798</v>
      </c>
      <c r="BZ302" s="263">
        <f>IF(ISNUMBER(BZ274),BZ274+BZ275,"")</f>
        <v>89798</v>
      </c>
      <c r="CA302" s="263">
        <f>IF(ISNUMBER(CA274),CA274+CA275,"")</f>
        <v>89798</v>
      </c>
      <c r="CB302" s="263">
        <f>IF(ISNUMBER(CB274),CB274+CB275,"")</f>
        <v>89798</v>
      </c>
      <c r="CC302" s="263">
        <f>IF(ISNUMBER(CC274),CC274+CC275,"")</f>
        <v>89798</v>
      </c>
      <c r="CD302" s="153" t="n"/>
    </row>
    <row r="303" ht="15" customHeight="1" s="251">
      <c r="CL303" s="11" t="n"/>
      <c r="CM303" s="12" t="n"/>
      <c r="CN303" s="12" t="n"/>
      <c r="CO303" s="12" t="n"/>
      <c r="CP303" s="13" t="n"/>
    </row>
    <row r="304" ht="15" customHeight="1" s="251">
      <c r="B304" s="10" t="inlineStr">
        <is>
          <t>WORKING CAPITAL &amp; CASH CONVERSION</t>
        </is>
      </c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  <c r="AD304" s="10" t="n"/>
      <c r="AE304" s="10" t="n"/>
      <c r="AF304" s="10" t="n"/>
      <c r="AG304" s="10" t="n"/>
      <c r="AH304" s="10" t="n"/>
      <c r="AI304" s="10" t="n"/>
      <c r="AJ304" s="10" t="n"/>
      <c r="AK304" s="10" t="n"/>
      <c r="AL304" s="10" t="n"/>
      <c r="AM304" s="10" t="n"/>
      <c r="AN304" s="10" t="n"/>
      <c r="AO304" s="10" t="n"/>
      <c r="AP304" s="10" t="n"/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0" t="n"/>
      <c r="BC304" s="10" t="n"/>
      <c r="BD304" s="10" t="n"/>
      <c r="BE304" s="10" t="n"/>
      <c r="BF304" s="10" t="n"/>
      <c r="BG304" s="10" t="n"/>
      <c r="BH304" s="10" t="n"/>
      <c r="BI304" s="10" t="n"/>
      <c r="BJ304" s="10" t="n"/>
      <c r="BK304" s="10" t="n"/>
      <c r="BL304" s="10" t="n"/>
      <c r="BM304" s="10" t="n"/>
      <c r="BN304" s="10" t="n"/>
      <c r="BO304" s="10" t="n"/>
      <c r="BP304" s="10" t="n"/>
      <c r="BQ304" s="10" t="n"/>
      <c r="BR304" s="10" t="n"/>
      <c r="BS304" s="10" t="n"/>
      <c r="BT304" s="10" t="n"/>
      <c r="BU304" s="10" t="n"/>
      <c r="BV304" s="10" t="n"/>
      <c r="BW304" s="10" t="n"/>
      <c r="BX304" s="10" t="n"/>
      <c r="BY304" s="10" t="n"/>
      <c r="BZ304" s="10" t="n"/>
      <c r="CA304" s="10" t="n"/>
      <c r="CB304" s="10" t="n"/>
      <c r="CC304" s="10" t="n"/>
      <c r="CD304" s="10" t="inlineStr">
        <is>
          <t>WORKING CAPITAL — forecast drivers (blue = input; year-end levels)</t>
        </is>
      </c>
    </row>
    <row r="305" ht="15" customHeight="1" s="251">
      <c r="B305" s="25" t="inlineStr">
        <is>
          <t xml:space="preserve">  Revenue — annualised (quarters × 4)</t>
        </is>
      </c>
      <c r="C305" s="211">
        <f>IF(ISNUMBER(C109),C109*1,"")</f>
        <v>777</v>
      </c>
      <c r="D305" s="211">
        <f>IF(ISNUMBER(D109),D109*1,"")</f>
        <v>1974</v>
      </c>
      <c r="E305" s="211">
        <f>IF(ISNUMBER(E109),E109*1,"")</f>
        <v>3711</v>
      </c>
      <c r="F305" s="211">
        <f>IF(ISNUMBER(F109),F109*1,"")</f>
        <v>5089</v>
      </c>
      <c r="G305" s="211">
        <f>IF(ISNUMBER(G109),G109*4,"")</f>
        <v>5832</v>
      </c>
      <c r="H305" s="211">
        <f>IF(ISNUMBER(H109),H109*4,"")</f>
        <v>7252</v>
      </c>
      <c r="I305" s="211">
        <f>IF(ISNUMBER(I109),I109*4,"")</f>
        <v>8064</v>
      </c>
      <c r="J305" s="211">
        <f>IF(ISNUMBER(J109),J109*4,"")</f>
        <v>10340</v>
      </c>
      <c r="K305" s="211">
        <f>IF(ISNUMBER(K109),K109*1,"")</f>
        <v>7872</v>
      </c>
      <c r="L305" s="211">
        <f>IF(ISNUMBER(L109),L109*4,"")</f>
        <v>10008</v>
      </c>
      <c r="M305" s="211">
        <f>IF(ISNUMBER(M109),M109*4,"")</f>
        <v>11640</v>
      </c>
      <c r="N305" s="211">
        <f>IF(ISNUMBER(N109),N109*4,"")</f>
        <v>12812</v>
      </c>
      <c r="O305" s="211">
        <f>IF(ISNUMBER(O109),O109*4,"")</f>
        <v>15404</v>
      </c>
      <c r="P305" s="211">
        <f>IF(ISNUMBER(P109),P109*1,"")</f>
        <v>12466</v>
      </c>
      <c r="Q305" s="211">
        <f>IF(ISNUMBER(Q109),Q109*4,"")</f>
        <v>14172</v>
      </c>
      <c r="R305" s="211">
        <f>IF(ISNUMBER(R109),R109*4,"")</f>
        <v>16168</v>
      </c>
      <c r="S305" s="211">
        <f>IF(ISNUMBER(S109),S109*4,"")</f>
        <v>18004</v>
      </c>
      <c r="T305" s="211">
        <f>IF(ISNUMBER(T109),T109*4,"")</f>
        <v>23364</v>
      </c>
      <c r="U305" s="211">
        <f>IF(ISNUMBER(U109),U109*1,"")</f>
        <v>17928</v>
      </c>
      <c r="V305" s="211">
        <f>IF(ISNUMBER(V109),V109*4,"")</f>
        <v>21528</v>
      </c>
      <c r="W305" s="211">
        <f>IF(ISNUMBER(W109),W109*4,"")</f>
        <v>25744</v>
      </c>
      <c r="X305" s="211">
        <f>IF(ISNUMBER(X109),X109*4,"")</f>
        <v>28044</v>
      </c>
      <c r="Y305" s="211">
        <f>IF(ISNUMBER(Y109),Y109*4,"")</f>
        <v>35236</v>
      </c>
      <c r="Z305" s="211">
        <f>IF(ISNUMBER(Z109),Z109*1,"")</f>
        <v>27638</v>
      </c>
      <c r="AA305" s="211">
        <f>IF(ISNUMBER(AA109),AA109*4,"")</f>
        <v>32128</v>
      </c>
      <c r="AB305" s="211">
        <f>IF(ISNUMBER(AB109),AB109*4,"")</f>
        <v>37284</v>
      </c>
      <c r="AC305" s="211">
        <f>IF(ISNUMBER(AC109),AC109*4,"")</f>
        <v>41312</v>
      </c>
      <c r="AD305" s="211">
        <f>IF(ISNUMBER(AD109),AD109*4,"")</f>
        <v>51888</v>
      </c>
      <c r="AE305" s="211">
        <f>IF(ISNUMBER(AE109),AE109*1,"")</f>
        <v>40653</v>
      </c>
      <c r="AF305" s="211">
        <f>IF(ISNUMBER(AF109),AF109*4,"")</f>
        <v>47864</v>
      </c>
      <c r="AG305" s="211">
        <f>IF(ISNUMBER(AG109),AG109*4,"")</f>
        <v>52924</v>
      </c>
      <c r="AH305" s="211">
        <f>IF(ISNUMBER(AH109),AH109*4,"")</f>
        <v>54908</v>
      </c>
      <c r="AI305" s="211">
        <f>IF(ISNUMBER(AI109),AI109*4,"")</f>
        <v>67656</v>
      </c>
      <c r="AJ305" s="211">
        <f>IF(ISNUMBER(AJ109),AJ109*1,"")</f>
        <v>55838</v>
      </c>
      <c r="AK305" s="211">
        <f>IF(ISNUMBER(AK109),AK109*4,"")</f>
        <v>60308</v>
      </c>
      <c r="AL305" s="211">
        <f>IF(ISNUMBER(AL109),AL109*4,"")</f>
        <v>67544</v>
      </c>
      <c r="AM305" s="211">
        <f>IF(ISNUMBER(AM109),AM109*4,"")</f>
        <v>70608</v>
      </c>
      <c r="AN305" s="211">
        <f>IF(ISNUMBER(AN109),AN109*4,"")</f>
        <v>84328</v>
      </c>
      <c r="AO305" s="211">
        <f>IF(ISNUMBER(AO109),AO109*1,"")</f>
        <v>70697</v>
      </c>
      <c r="AP305" s="211">
        <f>IF(ISNUMBER(AP109),AP109*4,"")</f>
        <v>70948</v>
      </c>
      <c r="AQ305" s="211">
        <f>IF(ISNUMBER(AQ109),AQ109*4,"")</f>
        <v>74748</v>
      </c>
      <c r="AR305" s="211">
        <f>IF(ISNUMBER(AR109),AR109*4,"")</f>
        <v>85880</v>
      </c>
      <c r="AS305" s="211">
        <f>IF(ISNUMBER(AS109),AS109*4,"")</f>
        <v>112288</v>
      </c>
      <c r="AT305" s="211">
        <f>IF(ISNUMBER(AT109),AT109*1,"")</f>
        <v>85965</v>
      </c>
      <c r="AU305" s="211">
        <f>IF(ISNUMBER(AU109),AU109*4,"")</f>
        <v>104684</v>
      </c>
      <c r="AV305" s="211">
        <f>IF(ISNUMBER(AV109),AV109*4,"")</f>
        <v>116308</v>
      </c>
      <c r="AW305" s="211">
        <f>IF(ISNUMBER(AW109),AW109*4,"")</f>
        <v>116040</v>
      </c>
      <c r="AX305" s="211">
        <f>IF(ISNUMBER(AX109),AX109*4,"")</f>
        <v>134684</v>
      </c>
      <c r="AY305" s="211">
        <f>IF(ISNUMBER(AY109),AY109*1,"")</f>
        <v>117929</v>
      </c>
      <c r="AZ305" s="211">
        <f>IF(ISNUMBER(AZ109),AZ109*4,"")</f>
        <v>111632</v>
      </c>
      <c r="BA305" s="211">
        <f>IF(ISNUMBER(BA109),BA109*4,"")</f>
        <v>115288</v>
      </c>
      <c r="BB305" s="211">
        <f>IF(ISNUMBER(BB109),BB109*4,"")</f>
        <v>110856</v>
      </c>
      <c r="BC305" s="211">
        <f>IF(ISNUMBER(BC109),BC109*4,"")</f>
        <v>128660</v>
      </c>
      <c r="BD305" s="211">
        <f>IF(ISNUMBER(BD109),BD109*1,"")</f>
        <v>116609</v>
      </c>
      <c r="BE305" s="211">
        <f>IF(ISNUMBER(BE109),BE109*4,"")</f>
        <v>114580</v>
      </c>
      <c r="BF305" s="211">
        <f>IF(ISNUMBER(BF109),BF109*4,"")</f>
        <v>127996</v>
      </c>
      <c r="BG305" s="211">
        <f>IF(ISNUMBER(BG109),BG109*4,"")</f>
        <v>136584</v>
      </c>
      <c r="BH305" s="211">
        <f>IF(ISNUMBER(BH109),BH109*4,"")</f>
        <v>160444</v>
      </c>
      <c r="BI305" s="211">
        <f>IF(ISNUMBER(BI109),BI109*1,"")</f>
        <v>134902</v>
      </c>
      <c r="BJ305" s="211">
        <f>IF(ISNUMBER(BJ109),BJ109*4,"")</f>
        <v>145820</v>
      </c>
      <c r="BK305" s="211">
        <f>IF(ISNUMBER(BK109),BK109*4,"")</f>
        <v>156284</v>
      </c>
      <c r="BL305" s="211">
        <f>IF(ISNUMBER(BL109),BL109*4,"")</f>
        <v>162356</v>
      </c>
      <c r="BM305" s="211">
        <f>IF(ISNUMBER(BM109),BM109*4,"")</f>
        <v>193540</v>
      </c>
      <c r="BN305" s="211">
        <f>IF(ISNUMBER(BN109),BN109*1,"")</f>
        <v>164501</v>
      </c>
      <c r="BO305" s="211">
        <f>IF(ISNUMBER(BO109),BO109*4,"")</f>
        <v>169256</v>
      </c>
      <c r="BP305" s="211">
        <f>IF(ISNUMBER(BP109),BP109*4,"")</f>
        <v>190064</v>
      </c>
      <c r="BQ305" s="211">
        <f>IF(ISNUMBER(BQ109),BQ109*4,"")</f>
        <v>204968</v>
      </c>
      <c r="BR305" s="211">
        <f>IF(ISNUMBER(BR109),BR109*4,"")</f>
        <v>239572</v>
      </c>
      <c r="BS305" s="211">
        <f>IF(ISNUMBER(BS109),BS109*1,"")</f>
        <v>200966</v>
      </c>
      <c r="BT305" s="211">
        <f>IF(ISNUMBER(BT109),BT109*4,"")</f>
        <v>225244</v>
      </c>
      <c r="BU305" s="211">
        <f>IF(ISNUMBER(BU109),BU109*4,"")</f>
        <v>243204</v>
      </c>
      <c r="BV305" s="35" t="n"/>
      <c r="BW305" s="35" t="n"/>
      <c r="BX305" s="263">
        <f>IF(ISNUMBER(BX109),BX109*1,"")</f>
        <v>252600.411531166</v>
      </c>
      <c r="BY305" s="263">
        <f>IF(ISNUMBER(BY109),BY109*1,"")</f>
        <v>300830.670806499</v>
      </c>
      <c r="BZ305" s="263">
        <f>IF(ISNUMBER(BZ109),BZ109*1,"")</f>
        <v>348341.993906062</v>
      </c>
      <c r="CA305" s="263">
        <f>IF(ISNUMBER(CA109),CA109*1,"")</f>
        <v>395867.431609974</v>
      </c>
      <c r="CB305" s="263">
        <f>IF(ISNUMBER(CB109),CB109*1,"")</f>
        <v>441368.568158347</v>
      </c>
      <c r="CC305" s="263">
        <f>IF(ISNUMBER(CC109),CC109*1,"")</f>
        <v>487137.698880726</v>
      </c>
      <c r="CD305" s="19" t="n"/>
    </row>
    <row r="306" ht="15" customHeight="1" s="251">
      <c r="B306" s="25" t="inlineStr">
        <is>
          <t xml:space="preserve">  DSO — receivables / revenue × 365</t>
        </is>
      </c>
      <c r="C306" s="285">
        <f>IFERROR(C276/C305*365,"")</f>
        <v>0</v>
      </c>
      <c r="D306" s="285">
        <f>IFERROR(D276/D305*365,"")</f>
        <v>68.9690982776089</v>
      </c>
      <c r="E306" s="285">
        <f>IFERROR(E276/E305*365,"")</f>
        <v>53.8008623012665</v>
      </c>
      <c r="F306" s="285">
        <f>IFERROR(F276/F305*365,"")</f>
        <v>51.5690705443113</v>
      </c>
      <c r="G306" s="285">
        <f>IFERROR(G276/G305*365,"")</f>
        <v>41.2439986282579</v>
      </c>
      <c r="H306" s="285">
        <f>IFERROR(H276/H305*365,"")</f>
        <v>39.0064809707667</v>
      </c>
      <c r="I306" s="285">
        <f>IFERROR(I276/I305*365,"")</f>
        <v>39.469246031746</v>
      </c>
      <c r="J306" s="285">
        <f>IFERROR(J276/J305*365,"")</f>
        <v>39.1474854932302</v>
      </c>
      <c r="K306" s="285">
        <f>IFERROR(K276/K305*365,"")</f>
        <v>51.4208587398374</v>
      </c>
      <c r="L306" s="285">
        <f>IFERROR(L276/L305*365,"")</f>
        <v>36.6896482813749</v>
      </c>
      <c r="M306" s="285">
        <f>IFERROR(M276/M305*365,"")</f>
        <v>37.3152920962199</v>
      </c>
      <c r="N306" s="285">
        <f>IFERROR(N276/N305*365,"")</f>
        <v>38.8303933812051</v>
      </c>
      <c r="O306" s="285">
        <f>IFERROR(O276/O305*365,"")</f>
        <v>39.7604518306933</v>
      </c>
      <c r="P306" s="285">
        <f>IFERROR(P276/P305*365,"")</f>
        <v>49.1312369645436</v>
      </c>
      <c r="Q306" s="285">
        <f>IFERROR(Q276/Q305*365,"")</f>
        <v>38.83855489698</v>
      </c>
      <c r="R306" s="285">
        <f>IFERROR(R276/R305*365,"")</f>
        <v>40.9744557149926</v>
      </c>
      <c r="S306" s="285">
        <f>IFERROR(S276/S305*365,"")</f>
        <v>40.749277938236</v>
      </c>
      <c r="T306" s="285">
        <f>IFERROR(T276/T305*365,"")</f>
        <v>39.9775295326143</v>
      </c>
      <c r="U306" s="285">
        <f>IFERROR(U276/U305*365,"")</f>
        <v>52.0992302543507</v>
      </c>
      <c r="V306" s="285">
        <f>IFERROR(V276/V305*365,"")</f>
        <v>39.8095503530286</v>
      </c>
      <c r="W306" s="285">
        <f>IFERROR(W276/W305*365,"")</f>
        <v>39.7127486016159</v>
      </c>
      <c r="X306" s="285">
        <f>IFERROR(X276/X305*365,"")</f>
        <v>39.9568535159036</v>
      </c>
      <c r="Y306" s="285">
        <f>IFERROR(Y276/Y305*365,"")</f>
        <v>41.3623850607333</v>
      </c>
      <c r="Z306" s="285">
        <f>IFERROR(Z276/Z305*365,"")</f>
        <v>52.7333743396773</v>
      </c>
      <c r="AA306" s="285">
        <f>IFERROR(AA276/AA305*365,"")</f>
        <v>38.7971551294821</v>
      </c>
      <c r="AB306" s="285">
        <f>IFERROR(AB276/AB305*365,"")</f>
        <v>38.1505471515932</v>
      </c>
      <c r="AC306" s="285">
        <f>IFERROR(AC276/AC305*365,"")</f>
        <v>39.0869481022463</v>
      </c>
      <c r="AD306" s="285">
        <f>IFERROR(AD276/AD305*365,"")</f>
        <v>41.0245143385754</v>
      </c>
      <c r="AE306" s="285">
        <f>IFERROR(AE276/AE305*365,"")</f>
        <v>52.3621872924508</v>
      </c>
      <c r="AF306" s="285">
        <f>IFERROR(AF276/AF305*365,"")</f>
        <v>39.005829015544</v>
      </c>
      <c r="AG306" s="285">
        <f>IFERROR(AG276/AG305*365,"")</f>
        <v>38.5524525735016</v>
      </c>
      <c r="AH306" s="285">
        <f>IFERROR(AH276/AH305*365,"")</f>
        <v>40.2704523930939</v>
      </c>
      <c r="AI306" s="285">
        <f>IFERROR(AI276/AI305*365,"")</f>
        <v>40.9314029797801</v>
      </c>
      <c r="AJ306" s="285">
        <f>IFERROR(AJ276/AJ305*365,"")</f>
        <v>49.5944518070131</v>
      </c>
      <c r="AK306" s="285">
        <f>IFERROR(AK276/AK305*365,"")</f>
        <v>39.1884161305299</v>
      </c>
      <c r="AL306" s="285">
        <f>IFERROR(AL276/AL305*365,"")</f>
        <v>40.5993870662087</v>
      </c>
      <c r="AM306" s="285">
        <f>IFERROR(AM276/AM305*365,"")</f>
        <v>39.6646980512123</v>
      </c>
      <c r="AN306" s="285">
        <f>IFERROR(AN276/AN305*365,"")</f>
        <v>41.1971112797647</v>
      </c>
      <c r="AO306" s="285">
        <f>IFERROR(AO276/AO305*365,"")</f>
        <v>49.1402746934099</v>
      </c>
      <c r="AP306" s="285">
        <f>IFERROR(AP276/AP305*365,"")</f>
        <v>37.4990838360489</v>
      </c>
      <c r="AQ306" s="285">
        <f>IFERROR(AQ276/AQ305*365,"")</f>
        <v>36.5400412051159</v>
      </c>
      <c r="AR306" s="285">
        <f>IFERROR(AR276/AR305*365,"")</f>
        <v>34.1029343269679</v>
      </c>
      <c r="AS306" s="285">
        <f>IFERROR(AS276/AS305*365,"")</f>
        <v>36.8452105300656</v>
      </c>
      <c r="AT306" s="285">
        <f>IFERROR(AT276/AT305*365,"")</f>
        <v>48.1274355842494</v>
      </c>
      <c r="AU306" s="285">
        <f>IFERROR(AU276/AU305*365,"")</f>
        <v>35.8291620495969</v>
      </c>
      <c r="AV306" s="285">
        <f>IFERROR(AV276/AV305*365,"")</f>
        <v>36.7108883309833</v>
      </c>
      <c r="AW306" s="285">
        <f>IFERROR(AW276/AW305*365,"")</f>
        <v>38.0224060668735</v>
      </c>
      <c r="AX306" s="285">
        <f>IFERROR(AX276/AX305*365,"")</f>
        <v>38.0463529446705</v>
      </c>
      <c r="AY306" s="285">
        <f>IFERROR(AY276/AY305*365,"")</f>
        <v>43.4518651052752</v>
      </c>
      <c r="AZ306" s="285">
        <f>IFERROR(AZ276/AZ305*365,"")</f>
        <v>37.2415615594095</v>
      </c>
      <c r="BA306" s="285">
        <f>IFERROR(BA276/BA305*365,"")</f>
        <v>36.4879692595934</v>
      </c>
      <c r="BB306" s="285">
        <f>IFERROR(BB276/BB305*365,"")</f>
        <v>36.9655679439994</v>
      </c>
      <c r="BC306" s="285">
        <f>IFERROR(BC276/BC305*365,"")</f>
        <v>38.2021607337168</v>
      </c>
      <c r="BD306" s="285">
        <f>IFERROR(BD276/BD305*365,"")</f>
        <v>42.1501770875318</v>
      </c>
      <c r="BE306" s="285">
        <f>IFERROR(BE276/BE305*365,"")</f>
        <v>35.1811834526095</v>
      </c>
      <c r="BF306" s="285">
        <f>IFERROR(BF276/BF305*365,"")</f>
        <v>35.677013344167</v>
      </c>
      <c r="BG306" s="285">
        <f>IFERROR(BG276/BG305*365,"")</f>
        <v>34.5908744801734</v>
      </c>
      <c r="BH306" s="285">
        <f>IFERROR(BH276/BH305*365,"")</f>
        <v>36.783457156391</v>
      </c>
      <c r="BI306" s="285">
        <f>IFERROR(BI276/BI305*365,"")</f>
        <v>43.7479429511794</v>
      </c>
      <c r="BJ306" s="285">
        <f>IFERROR(BJ276/BJ305*365,"")</f>
        <v>33.6164449321081</v>
      </c>
      <c r="BK306" s="285">
        <f>IFERROR(BK276/BK305*365,"")</f>
        <v>33.8763085152671</v>
      </c>
      <c r="BL306" s="285">
        <f>IFERROR(BL276/BL305*365,"")</f>
        <v>33.0477469265072</v>
      </c>
      <c r="BM306" s="285">
        <f>IFERROR(BM276/BM305*365,"")</f>
        <v>32.0492404670869</v>
      </c>
      <c r="BN306" s="285">
        <f>IFERROR(BN276/BN305*365,"")</f>
        <v>37.7068224509274</v>
      </c>
      <c r="BO306" s="285">
        <f>IFERROR(BO276/BO305*365,"")</f>
        <v>31.299392636007</v>
      </c>
      <c r="BP306" s="285">
        <f>IFERROR(BP276/BP305*365,"")</f>
        <v>31.803839759239</v>
      </c>
      <c r="BQ306" s="285">
        <f>IFERROR(BQ276/BQ305*365,"")</f>
        <v>30.8019056633231</v>
      </c>
      <c r="BR306" s="285">
        <f>IFERROR(BR276/BR305*365,"")</f>
        <v>30.1190665019284</v>
      </c>
      <c r="BS306" s="285">
        <f>IFERROR(BS276/BS305*365,"")</f>
        <v>35.9050038314939</v>
      </c>
      <c r="BT306" s="285">
        <f>IFERROR(BT276/BT305*365,"")</f>
        <v>28.3095221182362</v>
      </c>
      <c r="BU306" s="285">
        <f>IFERROR(BU276/BU305*365,"")</f>
        <v>32.6453512277759</v>
      </c>
      <c r="BV306" s="35" t="n"/>
      <c r="BW306" s="35" t="n"/>
      <c r="BX306" s="286" t="n">
        <v>36</v>
      </c>
      <c r="BY306" s="286" t="n">
        <v>36</v>
      </c>
      <c r="BZ306" s="286" t="n">
        <v>36</v>
      </c>
      <c r="CA306" s="286" t="n">
        <v>36</v>
      </c>
      <c r="CB306" s="286" t="n">
        <v>36</v>
      </c>
      <c r="CC306" s="286" t="n">
        <v>36</v>
      </c>
      <c r="CD306" s="19" t="n"/>
    </row>
    <row r="307" ht="15" customHeight="1" s="251">
      <c r="B307" s="25" t="inlineStr">
        <is>
          <t xml:space="preserve">  Accounts payable % of capex incl. finance leases (capex payables dominate)</t>
        </is>
      </c>
      <c r="C307" s="215">
        <f>IFERROR(C286/(C246*1),"")</f>
        <v>0</v>
      </c>
      <c r="D307" s="215">
        <f>IFERROR(D286/(D246*1),"")</f>
        <v>0.0757180156657964</v>
      </c>
      <c r="E307" s="215">
        <f>IFERROR(E286/(E246*1),"")</f>
        <v>0.0800508259212198</v>
      </c>
      <c r="F307" s="215">
        <f>IFERROR(F286/(F246*1),"")</f>
        <v>0.0405996252342286</v>
      </c>
      <c r="G307" s="215">
        <f>IFERROR(G286/(G246*4),"")</f>
        <v>0.0430045871559633</v>
      </c>
      <c r="H307" s="215">
        <f>IFERROR(H286/(H246*4),"")</f>
        <v>0.0383008356545961</v>
      </c>
      <c r="I307" s="215">
        <f>IFERROR(I286/(I246*4),"")</f>
        <v>0.024</v>
      </c>
      <c r="J307" s="215">
        <f>IFERROR(J286/(J246*4),"")</f>
        <v>0.0373070325900515</v>
      </c>
      <c r="K307" s="215">
        <f>IFERROR(K286/(K246*1),"")</f>
        <v>0.0496292070735881</v>
      </c>
      <c r="L307" s="215">
        <f>IFERROR(L286/(L246*4),"")</f>
        <v>0.0475391498881432</v>
      </c>
      <c r="M307" s="215">
        <f>IFERROR(M286/(M246*4),"")</f>
        <v>0.0682242990654206</v>
      </c>
      <c r="N307" s="215">
        <f>IFERROR(N286/(N246*4),"")</f>
        <v>0.0564971751412429</v>
      </c>
      <c r="O307" s="215">
        <f>IFERROR(O286/(O246*4),"")</f>
        <v>0.0784313725490196</v>
      </c>
      <c r="P307" s="215">
        <f>IFERROR(P286/(P246*1),"")</f>
        <v>0.0848601735776278</v>
      </c>
      <c r="Q307" s="215">
        <f>IFERROR(Q286/(Q246*4),"")</f>
        <v>0.0587431693989071</v>
      </c>
      <c r="R307" s="215">
        <f>IFERROR(R286/(R246*4),"")</f>
        <v>0.0593003412969283</v>
      </c>
      <c r="S307" s="215">
        <f>IFERROR(S286/(S246*4),"")</f>
        <v>0.0463885429638854</v>
      </c>
      <c r="T307" s="215">
        <f>IFERROR(T286/(T246*4),"")</f>
        <v>0.0696022727272727</v>
      </c>
      <c r="U307" s="215">
        <f>IFERROR(U286/(U246*1),"")</f>
        <v>0.0741862225586677</v>
      </c>
      <c r="V307" s="215">
        <f>IFERROR(V286/(V246*4),"")</f>
        <v>0.0257963988919668</v>
      </c>
      <c r="W307" s="215">
        <f>IFERROR(W286/(W246*4),"")</f>
        <v>0.0326633165829146</v>
      </c>
      <c r="X307" s="215">
        <f>IFERROR(X286/(X246*4),"")</f>
        <v>0.0593607305936073</v>
      </c>
      <c r="Y307" s="215">
        <f>IFERROR(Y286/(Y246*4),"")</f>
        <v>0.0594956658786446</v>
      </c>
      <c r="Z307" s="215">
        <f>IFERROR(Z286/(Z246*1),"")</f>
        <v>0.062877368311472</v>
      </c>
      <c r="AA307" s="215">
        <f>IFERROR(AA286/(AA246*4),"")</f>
        <v>0.0334382376081825</v>
      </c>
      <c r="AB307" s="215">
        <f>IFERROR(AB286/(AB246*4),"")</f>
        <v>0.055921052631579</v>
      </c>
      <c r="AC307" s="215">
        <f>IFERROR(AC286/(AC246*4),"")</f>
        <v>0.0545584045584046</v>
      </c>
      <c r="AD307" s="215">
        <f>IFERROR(AD286/(AD246*4),"")</f>
        <v>0.0419982316534041</v>
      </c>
      <c r="AE307" s="215">
        <f>IFERROR(AE286/(AE246*1),"")</f>
        <v>0.0564384375464132</v>
      </c>
      <c r="AF307" s="215">
        <f>IFERROR(AF286/(AF246*4),"")</f>
        <v>0.0527204836415363</v>
      </c>
      <c r="AG307" s="215">
        <f>IFERROR(AG286/(AG246*4),"")</f>
        <v>0.0302833188782885</v>
      </c>
      <c r="AH307" s="215">
        <f>IFERROR(AH286/(AH246*4),"")</f>
        <v>0.0441220460664074</v>
      </c>
      <c r="AI307" s="215">
        <f>IFERROR(AI286/(AI246*4),"")</f>
        <v>0.0469537333944114</v>
      </c>
      <c r="AJ307" s="215">
        <f>IFERROR(AJ286/(AJ246*1),"")</f>
        <v>0.0589292130794107</v>
      </c>
      <c r="AK307" s="215">
        <f>IFERROR(AK286/(AK246*4),"")</f>
        <v>0.0381120646138314</v>
      </c>
      <c r="AL307" s="215">
        <f>IFERROR(AL286/(AL246*4),"")</f>
        <v>0.0433774834437086</v>
      </c>
      <c r="AM307" s="215">
        <f>IFERROR(AM286/(AM246*4),"")</f>
        <v>0.058487486398259</v>
      </c>
      <c r="AN307" s="215">
        <f>IFERROR(AN286/(AN246*4),"")</f>
        <v>0.0803466163640651</v>
      </c>
      <c r="AO307" s="215">
        <f>IFERROR(AO286/(AO246*1),"")</f>
        <v>0.0870703973425323</v>
      </c>
      <c r="AP307" s="215">
        <f>IFERROR(AP286/(AP246*4),"")</f>
        <v>0.0566566429743029</v>
      </c>
      <c r="AQ307" s="215">
        <f>IFERROR(AQ286/(AQ246*4),"")</f>
        <v>0.0683709869203329</v>
      </c>
      <c r="AR307" s="215">
        <f>IFERROR(AR286/(AR246*4),"")</f>
        <v>0.0712996389891697</v>
      </c>
      <c r="AS307" s="215">
        <f>IFERROR(AS286/(AS246*4),"")</f>
        <v>0.0690639269406393</v>
      </c>
      <c r="AT307" s="215">
        <f>IFERROR(AT286/(AT246*1),"")</f>
        <v>0.0846745976207138</v>
      </c>
      <c r="AU307" s="215">
        <f>IFERROR(AU286/(AU246*4),"")</f>
        <v>0.0496269500339136</v>
      </c>
      <c r="AV307" s="215">
        <f>IFERROR(AV286/(AV246*4),"")</f>
        <v>0.0513727560718057</v>
      </c>
      <c r="AW307" s="215">
        <f>IFERROR(AW286/(AW246*4),"")</f>
        <v>0.120763644366197</v>
      </c>
      <c r="AX307" s="215">
        <f>IFERROR(AX286/(AX246*4),"")</f>
        <v>0.184184409960303</v>
      </c>
      <c r="AY307" s="215">
        <f>IFERROR(AY286/(AY246*1),"")</f>
        <v>0.212170027021409</v>
      </c>
      <c r="AZ307" s="215">
        <f>IFERROR(AZ286/(AZ246*4),"")</f>
        <v>0.146268925739005</v>
      </c>
      <c r="BA307" s="215">
        <f>IFERROR(BA286/(BA246*4),"")</f>
        <v>0.129340389828321</v>
      </c>
      <c r="BB307" s="215">
        <f>IFERROR(BB286/(BB246*4),"")</f>
        <v>0.101675772221055</v>
      </c>
      <c r="BC307" s="215">
        <f>IFERROR(BC286/(BC246*4),"")</f>
        <v>0.13525967689472</v>
      </c>
      <c r="BD307" s="215">
        <f>IFERROR(BD286/(BD246*1),"")</f>
        <v>0.15576226744912</v>
      </c>
      <c r="BE307" s="215">
        <f>IFERROR(BE286/(BE246*4),"")</f>
        <v>0.129532947650628</v>
      </c>
      <c r="BF307" s="215">
        <f>IFERROR(BF286/(BF246*4),"")</f>
        <v>0.121694995278565</v>
      </c>
      <c r="BG307" s="215">
        <f>IFERROR(BG286/(BG246*4),"")</f>
        <v>0.161614668046725</v>
      </c>
      <c r="BH307" s="215">
        <f>IFERROR(BH286/(BH246*4),"")</f>
        <v>0.153468793518167</v>
      </c>
      <c r="BI307" s="215">
        <f>IFERROR(BI286/(BI246*1),"")</f>
        <v>0.172543856527773</v>
      </c>
      <c r="BJ307" s="215">
        <f>IFERROR(BJ286/(BJ246*4),"")</f>
        <v>0.140915860014892</v>
      </c>
      <c r="BK307" s="215">
        <f>IFERROR(BK286/(BK246*4),"")</f>
        <v>0.0936319641170916</v>
      </c>
      <c r="BL307" s="215">
        <f>IFERROR(BL286/(BL246*4),"")</f>
        <v>0.207998261247555</v>
      </c>
      <c r="BM307" s="215">
        <f>IFERROR(BM286/(BM246*4),"")</f>
        <v>0.129532892963063</v>
      </c>
      <c r="BN307" s="215">
        <f>IFERROR(BN286/(BN246*1),"")</f>
        <v>0.195971956660293</v>
      </c>
      <c r="BO307" s="215">
        <f>IFERROR(BO286/(BO246*4),"")</f>
        <v>0.155419222903886</v>
      </c>
      <c r="BP307" s="215">
        <f>IFERROR(BP286/(BP246*4),"")</f>
        <v>0.150937573477545</v>
      </c>
      <c r="BQ307" s="215">
        <f>IFERROR(BQ286/(BQ246*4),"")</f>
        <v>0.100624548363787</v>
      </c>
      <c r="BR307" s="215">
        <f>IFERROR(BR286/(BR246*4),"")</f>
        <v>0.100442697745855</v>
      </c>
      <c r="BS307" s="215">
        <f>IFERROR(BS286/(BS246*1),"")</f>
        <v>0.123160008308523</v>
      </c>
      <c r="BT307" s="215">
        <f>IFERROR(BT286/(BT246*4),"")</f>
        <v>0.167918346774194</v>
      </c>
      <c r="BU307" s="215">
        <f>IFERROR(BU286/(BU246*4),"")</f>
        <v>0.127815496492696</v>
      </c>
      <c r="BV307" s="24" t="n"/>
      <c r="BW307" s="24" t="n"/>
      <c r="BX307" s="270" t="n">
        <v>0.123</v>
      </c>
      <c r="BY307" s="270" t="n">
        <v>0.123</v>
      </c>
      <c r="BZ307" s="270" t="n">
        <v>0.123</v>
      </c>
      <c r="CA307" s="270" t="n">
        <v>0.123</v>
      </c>
      <c r="CB307" s="270" t="n">
        <v>0.123</v>
      </c>
      <c r="CC307" s="270" t="n">
        <v>0.123</v>
      </c>
      <c r="CD307" s="153" t="n"/>
    </row>
    <row r="308" ht="15" customHeight="1" s="251">
      <c r="B308" s="25" t="inlineStr">
        <is>
          <t xml:space="preserve">  Accrued expenses and other current liabilities % of revenue</t>
        </is>
      </c>
      <c r="C308" s="215">
        <f>IFERROR(C288/C305,"")</f>
        <v>0</v>
      </c>
      <c r="D308" s="215">
        <f>IFERROR(D288/D305,"")</f>
        <v>0.128672745694022</v>
      </c>
      <c r="E308" s="215">
        <f>IFERROR(E288/E305,"")</f>
        <v>0.150094314201024</v>
      </c>
      <c r="F308" s="215">
        <f>IFERROR(F288/F305,"")</f>
        <v>0.122224405580664</v>
      </c>
      <c r="G308" s="215">
        <f>IFERROR(G288/G305,"")</f>
        <v>0.111454046639232</v>
      </c>
      <c r="H308" s="215">
        <f>IFERROR(H288/H305,"")</f>
        <v>0.0977661334804192</v>
      </c>
      <c r="I308" s="215">
        <f>IFERROR(I288/I305,"")</f>
        <v>0.0818452380952381</v>
      </c>
      <c r="J308" s="215">
        <f>IFERROR(J288/J305,"")</f>
        <v>0.0748549323017408</v>
      </c>
      <c r="K308" s="215">
        <f>IFERROR(K288/K305,"")</f>
        <v>0.0983231707317073</v>
      </c>
      <c r="L308" s="215">
        <f>IFERROR(L288/L305,"")</f>
        <v>0.0750399680255795</v>
      </c>
      <c r="M308" s="215">
        <f>IFERROR(M288/M305,"")</f>
        <v>0.0768900343642612</v>
      </c>
      <c r="N308" s="215">
        <f>IFERROR(N288/N305,"")</f>
        <v>0.0753200124882922</v>
      </c>
      <c r="O308" s="215">
        <f>IFERROR(O288/O305,"")</f>
        <v>0.0736172422747338</v>
      </c>
      <c r="P308" s="215">
        <f>IFERROR(P288/P305,"")</f>
        <v>0.0909674314134446</v>
      </c>
      <c r="Q308" s="215">
        <f>IFERROR(Q288/Q305,"")</f>
        <v>0.108947219870167</v>
      </c>
      <c r="R308" s="215">
        <f>IFERROR(R288/R305,"")</f>
        <v>0.105331519049975</v>
      </c>
      <c r="S308" s="215">
        <f>IFERROR(S288/S305,"")</f>
        <v>0.0903132637191735</v>
      </c>
      <c r="T308" s="215">
        <f>IFERROR(T288/T305,"")</f>
        <v>0.0737031330251669</v>
      </c>
      <c r="U308" s="215">
        <f>IFERROR(U288/U305,"")</f>
        <v>0.0960508701472557</v>
      </c>
      <c r="V308" s="215">
        <f>IFERROR(V288/V305,"")</f>
        <v>0.0771088814567075</v>
      </c>
      <c r="W308" s="215">
        <f>IFERROR(W288/W305,"")</f>
        <v>0.0808343691733996</v>
      </c>
      <c r="X308" s="215">
        <f>IFERROR(X288/X305,"")</f>
        <v>0.0832620168306946</v>
      </c>
      <c r="Y308" s="215">
        <f>IFERROR(Y288/Y305,"")</f>
        <v>0.0730219094108298</v>
      </c>
      <c r="Z308" s="215">
        <f>IFERROR(Z288/Z305,"")</f>
        <v>0.0930964613937333</v>
      </c>
      <c r="AA308" s="215">
        <f>IFERROR(AA288/AA305,"")</f>
        <v>0.0858441235059761</v>
      </c>
      <c r="AB308" s="215">
        <f>IFERROR(AB288/AB305,"")</f>
        <v>0.0802489003325823</v>
      </c>
      <c r="AC308" s="215">
        <f>IFERROR(AC288/AC305,"")</f>
        <v>0.0707300542215337</v>
      </c>
      <c r="AD308" s="215">
        <f>IFERROR(AD288/AD305,"")</f>
        <v>0.0651403021893309</v>
      </c>
      <c r="AE308" s="215">
        <f>IFERROR(AE288/AE305,"")</f>
        <v>0.0831426954960274</v>
      </c>
      <c r="AF308" s="215">
        <f>IFERROR(AF288/AF305,"")</f>
        <v>0.0938701320407822</v>
      </c>
      <c r="AG308" s="215">
        <f>IFERROR(AG288/AG305,"")</f>
        <v>0.0803227269291815</v>
      </c>
      <c r="AH308" s="215">
        <f>IFERROR(AH288/AH305,"")</f>
        <v>0.0887302396736359</v>
      </c>
      <c r="AI308" s="215">
        <f>IFERROR(AI288/AI305,"")</f>
        <v>0.0915957195222892</v>
      </c>
      <c r="AJ308" s="215">
        <f>IFERROR(AJ288/AJ305,"")</f>
        <v>0.11098176868799</v>
      </c>
      <c r="AK308" s="215">
        <f>IFERROR(AK288/AK305,"")</f>
        <v>0.154274723088148</v>
      </c>
      <c r="AL308" s="215">
        <f>IFERROR(AL288/AL305,"")</f>
        <v>0.182458841643965</v>
      </c>
      <c r="AM308" s="215">
        <f>IFERROR(AM288/AM305,"")</f>
        <v>0.176580557443916</v>
      </c>
      <c r="AN308" s="215">
        <f>IFERROR(AN288/AN305,"")</f>
        <v>0.16234228251589</v>
      </c>
      <c r="AO308" s="215">
        <f>IFERROR(AO288/AO305,"")</f>
        <v>0.193643294623534</v>
      </c>
      <c r="AP308" s="215">
        <f>IFERROR(AP288/AP305,"")</f>
        <v>0.200710379432824</v>
      </c>
      <c r="AQ308" s="215">
        <f>IFERROR(AQ288/AQ305,"")</f>
        <v>0.138973618023225</v>
      </c>
      <c r="AR308" s="215">
        <f>IFERROR(AR288/AR305,"")</f>
        <v>0.12619934792734</v>
      </c>
      <c r="AS308" s="215">
        <f>IFERROR(AS288/AS305,"")</f>
        <v>0.121562410943289</v>
      </c>
      <c r="AT308" s="215">
        <f>IFERROR(AT288/AT305,"")</f>
        <v>0.158785552259641</v>
      </c>
      <c r="AU308" s="215">
        <f>IFERROR(AU288/AU305,"")</f>
        <v>0.113092736234764</v>
      </c>
      <c r="AV308" s="215">
        <f>IFERROR(AV288/AV305,"")</f>
        <v>0.11951886370671</v>
      </c>
      <c r="AW308" s="215">
        <f>IFERROR(AW288/AW305,"")</f>
        <v>0.134582902447432</v>
      </c>
      <c r="AX308" s="215">
        <f>IFERROR(AX288/AX305,"")</f>
        <v>0.126607466365715</v>
      </c>
      <c r="AY308" s="215">
        <f>IFERROR(AY288/AY305,"")</f>
        <v>0.144595476939514</v>
      </c>
      <c r="AZ308" s="215">
        <f>IFERROR(AZ288/AZ305,"")</f>
        <v>0.159810806937079</v>
      </c>
      <c r="BA308" s="215">
        <f>IFERROR(BA288/BA305,"")</f>
        <v>0.15794358476164</v>
      </c>
      <c r="BB308" s="215">
        <f>IFERROR(BB288/BB305,"")</f>
        <v>0.169733708594934</v>
      </c>
      <c r="BC308" s="215">
        <f>IFERROR(BC288/BC305,"")</f>
        <v>0.171273122959739</v>
      </c>
      <c r="BD308" s="215">
        <f>IFERROR(BD288/BD305,"")</f>
        <v>0.188973406855389</v>
      </c>
      <c r="BE308" s="215">
        <f>IFERROR(BE288/BE305,"")</f>
        <v>0.18946587537092</v>
      </c>
      <c r="BF308" s="215">
        <f>IFERROR(BF288/BF305,"")</f>
        <v>0.209600300009375</v>
      </c>
      <c r="BG308" s="215">
        <f>IFERROR(BG288/BG305,"")</f>
        <v>0.191523165231652</v>
      </c>
      <c r="BH308" s="215">
        <f>IFERROR(BH288/BH305,"")</f>
        <v>0.168974844805664</v>
      </c>
      <c r="BI308" s="215">
        <f>IFERROR(BI288/BI305,"")</f>
        <v>0.200968110183689</v>
      </c>
      <c r="BJ308" s="215">
        <f>IFERROR(BJ288/BJ305,"")</f>
        <v>0.166753531751474</v>
      </c>
      <c r="BK308" s="215">
        <f>IFERROR(BK288/BK305,"")</f>
        <v>0.152485219216299</v>
      </c>
      <c r="BL308" s="215">
        <f>IFERROR(BL288/BL305,"")</f>
        <v>0.158133977185937</v>
      </c>
      <c r="BM308" s="215">
        <f>IFERROR(BM288/BM305,"")</f>
        <v>0.133868967655265</v>
      </c>
      <c r="BN308" s="215">
        <f>IFERROR(BN288/BN305,"")</f>
        <v>0.157500562306612</v>
      </c>
      <c r="BO308" s="215">
        <f>IFERROR(BO288/BO305,"")</f>
        <v>0.149938554615494</v>
      </c>
      <c r="BP308" s="215">
        <f>IFERROR(BP288/BP305,"")</f>
        <v>0.142236299351797</v>
      </c>
      <c r="BQ308" s="215">
        <f>IFERROR(BQ288/BQ305,"")</f>
        <v>0.142266109831779</v>
      </c>
      <c r="BR308" s="215">
        <f>IFERROR(BR288/BR305,"")</f>
        <v>0.137503547993923</v>
      </c>
      <c r="BS308" s="215">
        <f>IFERROR(BS288/BS305,"")</f>
        <v>0.163918274733039</v>
      </c>
      <c r="BT308" s="215">
        <f>IFERROR(BT288/BT305,"")</f>
        <v>0.148403509083483</v>
      </c>
      <c r="BU308" s="215">
        <f>IFERROR(BU288/BU305,"")</f>
        <v>0.166485748589661</v>
      </c>
      <c r="BV308" s="24" t="n"/>
      <c r="BW308" s="24" t="n"/>
      <c r="BX308" s="270" t="n">
        <v>0.164</v>
      </c>
      <c r="BY308" s="270" t="n">
        <v>0.164</v>
      </c>
      <c r="BZ308" s="270" t="n">
        <v>0.164</v>
      </c>
      <c r="CA308" s="270" t="n">
        <v>0.164</v>
      </c>
      <c r="CB308" s="270" t="n">
        <v>0.164</v>
      </c>
      <c r="CC308" s="270" t="n">
        <v>0.164</v>
      </c>
      <c r="CD308" s="153" t="inlineStr">
        <is>
          <t>Forecast inputs at fiscal-year-end (31-Dec-2025) levels on FY2025 revenue / capex (DSO 36d; accounts payable 12.3% of capex incl. finance leases; accrued and other current liabilities 16.4% of revenue); year ends are compared with year ends.</t>
        </is>
      </c>
    </row>
    <row r="309" ht="15" customHeight="1" s="251">
      <c r="B309" s="25" t="inlineStr">
        <is>
          <t xml:space="preserve">  Operating NWC (receivables + other current assets − payables − accrued and other current liabilities)</t>
        </is>
      </c>
      <c r="C309" s="211">
        <f>IF(ISNUMBER(C276),C276+C277-C286-C288,"")</f>
      </c>
      <c r="D309" s="211">
        <f>IF(ISNUMBER(D276),D276+D277-D286-D288,"")</f>
        <v>178</v>
      </c>
      <c r="E309" s="211">
        <f>IF(ISNUMBER(E276),E276+E277-E286-E288,"")</f>
        <v>76</v>
      </c>
      <c r="F309" s="211">
        <f>IF(ISNUMBER(F276),F276+F277-F286-F288,"")</f>
        <v>954</v>
      </c>
      <c r="G309" s="211">
        <f>IF(ISNUMBER(G276),G276+G277-G286-G288,"")</f>
        <v>845</v>
      </c>
      <c r="H309" s="211">
        <f>IF(ISNUMBER(H276),H276+H277-H286-H288,"")</f>
        <v>405</v>
      </c>
      <c r="I309" s="211">
        <f>IF(ISNUMBER(I276),I276+I277-I286-I288,"")</f>
        <v>525</v>
      </c>
      <c r="J309" s="211">
        <f>IF(ISNUMBER(J276),J276+J277-J286-J288,"")</f>
        <v>760</v>
      </c>
      <c r="K309" s="211">
        <f>IF(ISNUMBER(K276),K276+K277-K286-K288,"")</f>
        <v>760</v>
      </c>
      <c r="L309" s="211">
        <f>IF(ISNUMBER(L276),L276+L277-L286-L288,"")</f>
        <v>595</v>
      </c>
      <c r="M309" s="211">
        <f>IF(ISNUMBER(M276),M276+M277-M286-M288,"")</f>
        <v>560</v>
      </c>
      <c r="N309" s="211">
        <f>IF(ISNUMBER(N276),N276+N277-N286-N288,"")</f>
        <v>780</v>
      </c>
      <c r="O309" s="211">
        <f>IF(ISNUMBER(O276),O276+O277-O286-O288,"")</f>
        <v>1161</v>
      </c>
      <c r="P309" s="211">
        <f>IF(ISNUMBER(P276),P276+P277-P286-P288,"")</f>
        <v>1161</v>
      </c>
      <c r="Q309" s="211">
        <f>IF(ISNUMBER(Q276),Q276+Q277-Q286-Q288,"")</f>
        <v>918</v>
      </c>
      <c r="R309" s="211">
        <f>IF(ISNUMBER(R276),R276+R277-R286-R288,"")</f>
        <v>984</v>
      </c>
      <c r="S309" s="211">
        <f>IF(ISNUMBER(S276),S276+S277-S286-S288,"")</f>
        <v>1530</v>
      </c>
      <c r="T309" s="211">
        <f>IF(ISNUMBER(T276),T276+T277-T286-T288,"")</f>
        <v>1300</v>
      </c>
      <c r="U309" s="211">
        <f>IF(ISNUMBER(U276),U276+U277-U286-U288,"")</f>
        <v>1300</v>
      </c>
      <c r="V309" s="211">
        <f>IF(ISNUMBER(V276),V276+V277-V286-V288,"")</f>
        <v>1382</v>
      </c>
      <c r="W309" s="211">
        <f>IF(ISNUMBER(W276),W276+W277-W286-W288,"")</f>
        <v>1506</v>
      </c>
      <c r="X309" s="211">
        <f>IF(ISNUMBER(X276),X276+X277-X286-X288,"")</f>
        <v>1593</v>
      </c>
      <c r="Y309" s="211">
        <f>IF(ISNUMBER(Y276),Y276+Y277-Y286-Y288,"")</f>
        <v>2077</v>
      </c>
      <c r="Z309" s="211">
        <f>IF(ISNUMBER(Z276),Z276+Z277-Z286-Z288,"")</f>
        <v>2077</v>
      </c>
      <c r="AA309" s="211">
        <f>IF(ISNUMBER(AA276),AA276+AA277-AA286-AA288,"")</f>
        <v>1696</v>
      </c>
      <c r="AB309" s="211">
        <f>IF(ISNUMBER(AB276),AB276+AB277-AB286-AB288,"")</f>
        <v>2037</v>
      </c>
      <c r="AC309" s="211">
        <f>IF(ISNUMBER(AC276),AC276+AC277-AC286-AC288,"")</f>
        <v>2609</v>
      </c>
      <c r="AD309" s="211">
        <f>IF(ISNUMBER(AD276),AD276+AD277-AD286-AD288,"")</f>
        <v>3092</v>
      </c>
      <c r="AE309" s="211">
        <f>IF(ISNUMBER(AE276),AE276+AE277-AE286-AE288,"")</f>
        <v>3092</v>
      </c>
      <c r="AF309" s="211">
        <f>IF(ISNUMBER(AF276),AF276+AF277-AF286-AF288,"")</f>
        <v>1370</v>
      </c>
      <c r="AG309" s="211">
        <f>IF(ISNUMBER(AG276),AG276+AG277-AG286-AG288,"")</f>
        <v>2854</v>
      </c>
      <c r="AH309" s="211">
        <f>IF(ISNUMBER(AH276),AH276+AH277-AH286-AH288,"")</f>
        <v>2479</v>
      </c>
      <c r="AI309" s="211">
        <f>IF(ISNUMBER(AI276),AI276+AI277-AI286-AI288,"")</f>
        <v>2349</v>
      </c>
      <c r="AJ309" s="211">
        <f>IF(ISNUMBER(AJ276),AJ276+AJ277-AJ286-AJ288,"")</f>
        <v>2349</v>
      </c>
      <c r="AK309" s="211">
        <f>IF(ISNUMBER(AK276),AK276+AK277-AK286-AK288,"")</f>
        <v>-1851</v>
      </c>
      <c r="AL309" s="211">
        <f>IF(ISNUMBER(AL276),AL276+AL277-AL286-AL288,"")</f>
        <v>-3614</v>
      </c>
      <c r="AM309" s="211">
        <f>IF(ISNUMBER(AM276),AM276+AM277-AM286-AM288,"")</f>
        <v>-3518</v>
      </c>
      <c r="AN309" s="211">
        <f>IF(ISNUMBER(AN276),AN276+AN277-AN286-AN288,"")</f>
        <v>-3683</v>
      </c>
      <c r="AO309" s="211">
        <f>IF(ISNUMBER(AO276),AO276+AO277-AO286-AO288,"")</f>
        <v>-3683</v>
      </c>
      <c r="AP309" s="211">
        <f>IF(ISNUMBER(AP276),AP276+AP277-AP286-AP288,"")</f>
        <v>-6009</v>
      </c>
      <c r="AQ309" s="211">
        <f>IF(ISNUMBER(AQ276),AQ276+AQ277-AQ286-AQ288,"")</f>
        <v>-1418</v>
      </c>
      <c r="AR309" s="211">
        <f>IF(ISNUMBER(AR276),AR276+AR277-AR286-AR288,"")</f>
        <v>-1765</v>
      </c>
      <c r="AS309" s="211">
        <f>IF(ISNUMBER(AS276),AS276+AS277-AS286-AS288,"")</f>
        <v>-1265</v>
      </c>
      <c r="AT309" s="211">
        <f>IF(ISNUMBER(AT276),AT276+AT277-AT286-AT288,"")</f>
        <v>-1265</v>
      </c>
      <c r="AU309" s="211">
        <f>IF(ISNUMBER(AU276),AU276+AU277-AU286-AU288,"")</f>
        <v>386</v>
      </c>
      <c r="AV309" s="211">
        <f>IF(ISNUMBER(AV276),AV276+AV277-AV286-AV288,"")</f>
        <v>1743</v>
      </c>
      <c r="AW309" s="211">
        <f>IF(ISNUMBER(AW276),AW276+AW277-AW286-AW288,"")</f>
        <v>-466</v>
      </c>
      <c r="AX309" s="211">
        <f>IF(ISNUMBER(AX276),AX276+AX277-AX286-AX288,"")</f>
        <v>-2467</v>
      </c>
      <c r="AY309" s="211">
        <f>IF(ISNUMBER(AY276),AY276+AY277-AY286-AY288,"")</f>
        <v>-2467</v>
      </c>
      <c r="AZ309" s="211">
        <f>IF(ISNUMBER(AZ276),AZ276+AZ277-AZ286-AZ288,"")</f>
        <v>-5711</v>
      </c>
      <c r="BA309" s="211">
        <f>IF(ISNUMBER(BA276),BA276+BA277-BA286-BA288,"")</f>
        <v>-6719</v>
      </c>
      <c r="BB309" s="211">
        <f>IF(ISNUMBER(BB276),BB276+BB277-BB286-BB288,"")</f>
        <v>-6148</v>
      </c>
      <c r="BC309" s="211">
        <f>IF(ISNUMBER(BC276),BC276+BC277-BC286-BC288,"")</f>
        <v>-8215</v>
      </c>
      <c r="BD309" s="211">
        <f>IF(ISNUMBER(BD276),BD276+BD277-BD286-BD288,"")</f>
        <v>-8215</v>
      </c>
      <c r="BE309" s="211">
        <f>IF(ISNUMBER(BE276),BE276+BE277-BE286-BE288,"")</f>
        <v>-10337</v>
      </c>
      <c r="BF309" s="211">
        <f>IF(ISNUMBER(BF276),BF276+BF277-BF286-BF288,"")</f>
        <v>-13807</v>
      </c>
      <c r="BG309" s="211">
        <f>IF(ISNUMBER(BG276),BG276+BG277-BG286-BG288,"")</f>
        <v>-13276</v>
      </c>
      <c r="BH309" s="211">
        <f>IF(ISNUMBER(BH276),BH276+BH277-BH286-BH288,"")</f>
        <v>-11998</v>
      </c>
      <c r="BI309" s="211">
        <f>IF(ISNUMBER(BI276),BI276+BI277-BI286-BI288,"")</f>
        <v>-11998</v>
      </c>
      <c r="BJ309" s="211">
        <f>IF(ISNUMBER(BJ276),BJ276+BJ277-BJ286-BJ288,"")</f>
        <v>-10891</v>
      </c>
      <c r="BK309" s="211">
        <f>IF(ISNUMBER(BK276),BK276+BK277-BK286-BK288,"")</f>
        <v>-8653</v>
      </c>
      <c r="BL309" s="211">
        <f>IF(ISNUMBER(BL276),BL276+BL277-BL286-BL288,"")</f>
        <v>-13163</v>
      </c>
      <c r="BM309" s="211">
        <f>IF(ISNUMBER(BM276),BM276+BM277-BM286-BM288,"")</f>
        <v>-11366</v>
      </c>
      <c r="BN309" s="211">
        <f>IF(ISNUMBER(BN276),BN276+BN277-BN286-BN288,"")</f>
        <v>-11366</v>
      </c>
      <c r="BO309" s="211">
        <f>IF(ISNUMBER(BO276),BO276+BO277-BO286-BO288,"")</f>
        <v>-13893</v>
      </c>
      <c r="BP309" s="211">
        <f>IF(ISNUMBER(BP276),BP276+BP277-BP286-BP288,"")</f>
        <v>-10763</v>
      </c>
      <c r="BQ309" s="211">
        <f>IF(ISNUMBER(BQ276),BQ276+BQ277-BQ286-BQ288,"")</f>
        <v>-8288</v>
      </c>
      <c r="BR309" s="211">
        <f>IF(ISNUMBER(BR276),BR276+BR277-BR286-BR288,"")</f>
        <v>-14706</v>
      </c>
      <c r="BS309" s="211">
        <f>IF(ISNUMBER(BS276),BS276+BS277-BS286-BS288,"")</f>
        <v>-14706</v>
      </c>
      <c r="BT309" s="211">
        <f>IF(ISNUMBER(BT276),BT276+BT277-BT286-BT288,"")</f>
        <v>-18168</v>
      </c>
      <c r="BU309" s="211">
        <f>IF(ISNUMBER(BU276),BU276+BU277-BU286-BU288,"")</f>
        <v>-21164</v>
      </c>
      <c r="BV309" s="35" t="n"/>
      <c r="BW309" s="35" t="n"/>
      <c r="BX309" s="263">
        <f>IF(ISNUMBER(BX276),BX276+BX277-BX286-BX288,"")</f>
        <v>-19961.9542989962</v>
      </c>
      <c r="BY309" s="263">
        <f>IF(ISNUMBER(BY276),BY276+BY277-BY286-BY288,"")</f>
        <v>-23715.2590951716</v>
      </c>
      <c r="BZ309" s="263">
        <f>IF(ISNUMBER(BZ276),BZ276+BZ277-BZ286-BZ288,"")</f>
        <v>-26081.5732187272</v>
      </c>
      <c r="CA309" s="263">
        <f>IF(ISNUMBER(CA276),CA276+CA277-CA286-CA288,"")</f>
        <v>-28001.224943217</v>
      </c>
      <c r="CB309" s="263">
        <f>IF(ISNUMBER(CB276),CB276+CB277-CB286-CB288,"")</f>
        <v>-29996.1696487674</v>
      </c>
      <c r="CC309" s="263">
        <f>IF(ISNUMBER(CC276),CC276+CC277-CC286-CC288,"")</f>
        <v>-32654.2501459772</v>
      </c>
      <c r="CD309" s="19" t="n"/>
    </row>
    <row r="310" ht="15" customHeight="1" s="251">
      <c r="B310" s="25" t="inlineStr">
        <is>
          <t xml:space="preserve">  NWC % of revenue</t>
        </is>
      </c>
      <c r="C310" s="215">
        <f>IF(ISNUMBER(C309),IFERROR(C309/C305,""),"")</f>
      </c>
      <c r="D310" s="215">
        <f>IF(ISNUMBER(D309),IFERROR(D309/D305,""),"")</f>
        <v>0.0901722391084093</v>
      </c>
      <c r="E310" s="215">
        <f>IF(ISNUMBER(E309),IFERROR(E309/E305,""),"")</f>
        <v>0.0204796550794934</v>
      </c>
      <c r="F310" s="215">
        <f>IF(ISNUMBER(F309),IFERROR(F309/F305,""),"")</f>
        <v>0.187463155826292</v>
      </c>
      <c r="G310" s="215">
        <f>IF(ISNUMBER(G309),IFERROR(G309/G305,""),"")</f>
        <v>0.144890260631001</v>
      </c>
      <c r="H310" s="215">
        <f>IF(ISNUMBER(H309),IFERROR(H309/H305,""),"")</f>
        <v>0.0558466629895201</v>
      </c>
      <c r="I310" s="215">
        <f>IF(ISNUMBER(I309),IFERROR(I309/I305,""),"")</f>
        <v>0.0651041666666667</v>
      </c>
      <c r="J310" s="215">
        <f>IF(ISNUMBER(J309),IFERROR(J309/J305,""),"")</f>
        <v>0.0735009671179884</v>
      </c>
      <c r="K310" s="215">
        <f>IF(ISNUMBER(K309),IFERROR(K309/K305,""),"")</f>
        <v>0.0965447154471545</v>
      </c>
      <c r="L310" s="215">
        <f>IF(ISNUMBER(L309),IFERROR(L309/L305,""),"")</f>
        <v>0.0594524380495604</v>
      </c>
      <c r="M310" s="215">
        <f>IF(ISNUMBER(M309),IFERROR(M309/M305,""),"")</f>
        <v>0.0481099656357388</v>
      </c>
      <c r="N310" s="215">
        <f>IF(ISNUMBER(N309),IFERROR(N309/N305,""),"")</f>
        <v>0.0608804246019357</v>
      </c>
      <c r="O310" s="215">
        <f>IF(ISNUMBER(O309),IFERROR(O309/O305,""),"")</f>
        <v>0.0753700337574656</v>
      </c>
      <c r="P310" s="215">
        <f>IF(ISNUMBER(P309),IFERROR(P309/P305,""),"")</f>
        <v>0.0931333226375742</v>
      </c>
      <c r="Q310" s="215">
        <f>IF(ISNUMBER(Q309),IFERROR(Q309/Q305,""),"")</f>
        <v>0.0647756138865368</v>
      </c>
      <c r="R310" s="215">
        <f>IF(ISNUMBER(R309),IFERROR(R309/R305,""),"")</f>
        <v>0.0608609599208313</v>
      </c>
      <c r="S310" s="215">
        <f>IF(ISNUMBER(S309),IFERROR(S309/S305,""),"")</f>
        <v>0.0849811153077094</v>
      </c>
      <c r="T310" s="215">
        <f>IF(ISNUMBER(T309),IFERROR(T309/T305,""),"")</f>
        <v>0.0556411573360726</v>
      </c>
      <c r="U310" s="215">
        <f>IF(ISNUMBER(U309),IFERROR(U309/U305,""),"")</f>
        <v>0.072512271307452</v>
      </c>
      <c r="V310" s="215">
        <f>IF(ISNUMBER(V309),IFERROR(V309/V305,""),"")</f>
        <v>0.0641954663693794</v>
      </c>
      <c r="W310" s="215">
        <f>IF(ISNUMBER(W309),IFERROR(W309/W305,""),"")</f>
        <v>0.0584990677439403</v>
      </c>
      <c r="X310" s="215">
        <f>IF(ISNUMBER(X309),IFERROR(X309/X305,""),"")</f>
        <v>0.056803594351733</v>
      </c>
      <c r="Y310" s="215">
        <f>IF(ISNUMBER(Y309),IFERROR(Y309/Y305,""),"")</f>
        <v>0.0589453967533205</v>
      </c>
      <c r="Z310" s="215">
        <f>IF(ISNUMBER(Z309),IFERROR(Z309/Z305,""),"")</f>
        <v>0.0751501555828931</v>
      </c>
      <c r="AA310" s="215">
        <f>IF(ISNUMBER(AA309),IFERROR(AA309/AA305,""),"")</f>
        <v>0.0527888446215139</v>
      </c>
      <c r="AB310" s="215">
        <f>IF(ISNUMBER(AB309),IFERROR(AB309/AB305,""),"")</f>
        <v>0.054634695848085</v>
      </c>
      <c r="AC310" s="215">
        <f>IF(ISNUMBER(AC309),IFERROR(AC309/AC305,""),"")</f>
        <v>0.0631535631293571</v>
      </c>
      <c r="AD310" s="215">
        <f>IF(ISNUMBER(AD309),IFERROR(AD309/AD305,""),"")</f>
        <v>0.0595898859081098</v>
      </c>
      <c r="AE310" s="215">
        <f>IF(ISNUMBER(AE309),IFERROR(AE309/AE305,""),"")</f>
        <v>0.0760583474774309</v>
      </c>
      <c r="AF310" s="215">
        <f>IF(ISNUMBER(AF309),IFERROR(AF309/AF305,""),"")</f>
        <v>0.028622764499415</v>
      </c>
      <c r="AG310" s="215">
        <f>IF(ISNUMBER(AG309),IFERROR(AG309/AG305,""),"")</f>
        <v>0.0539263850049127</v>
      </c>
      <c r="AH310" s="215">
        <f>IF(ISNUMBER(AH309),IFERROR(AH309/AH305,""),"")</f>
        <v>0.0451482479784367</v>
      </c>
      <c r="AI310" s="215">
        <f>IF(ISNUMBER(AI309),IFERROR(AI309/AI305,""),"")</f>
        <v>0.0347197587797091</v>
      </c>
      <c r="AJ310" s="215">
        <f>IF(ISNUMBER(AJ309),IFERROR(AJ309/AJ305,""),"")</f>
        <v>0.0420681256491995</v>
      </c>
      <c r="AK310" s="215">
        <f>IF(ISNUMBER(AK309),IFERROR(AK309/AK305,""),"")</f>
        <v>-0.0306924454467069</v>
      </c>
      <c r="AL310" s="215">
        <f>IF(ISNUMBER(AL309),IFERROR(AL309/AL305,""),"")</f>
        <v>-0.0535058628449603</v>
      </c>
      <c r="AM310" s="215">
        <f>IF(ISNUMBER(AM309),IFERROR(AM309/AM305,""),"")</f>
        <v>-0.0498243825062316</v>
      </c>
      <c r="AN310" s="215">
        <f>IF(ISNUMBER(AN309),IFERROR(AN309/AN305,""),"")</f>
        <v>-0.0436746987951807</v>
      </c>
      <c r="AO310" s="215">
        <f>IF(ISNUMBER(AO309),IFERROR(AO309/AO305,""),"")</f>
        <v>-0.0520955627537236</v>
      </c>
      <c r="AP310" s="215">
        <f>IF(ISNUMBER(AP309),IFERROR(AP309/AP305,""),"")</f>
        <v>-0.0846958335682472</v>
      </c>
      <c r="AQ310" s="215">
        <f>IF(ISNUMBER(AQ309),IFERROR(AQ309/AQ305,""),"")</f>
        <v>-0.0189704072349762</v>
      </c>
      <c r="AR310" s="215">
        <f>IF(ISNUMBER(AR309),IFERROR(AR309/AR305,""),"")</f>
        <v>-0.0205519329296693</v>
      </c>
      <c r="AS310" s="215">
        <f>IF(ISNUMBER(AS309),IFERROR(AS309/AS305,""),"")</f>
        <v>-0.0112656739811912</v>
      </c>
      <c r="AT310" s="215">
        <f>IF(ISNUMBER(AT309),IFERROR(AT309/AT305,""),"")</f>
        <v>-0.0147152911068458</v>
      </c>
      <c r="AU310" s="215">
        <f>IF(ISNUMBER(AU309),IFERROR(AU309/AU305,""),"")</f>
        <v>0.0036872874555806</v>
      </c>
      <c r="AV310" s="215">
        <f>IF(ISNUMBER(AV309),IFERROR(AV309/AV305,""),"")</f>
        <v>0.0149860714654194</v>
      </c>
      <c r="AW310" s="215">
        <f>IF(ISNUMBER(AW309),IFERROR(AW309/AW305,""),"")</f>
        <v>-0.00401585660117201</v>
      </c>
      <c r="AX310" s="215">
        <f>IF(ISNUMBER(AX309),IFERROR(AX309/AX305,""),"")</f>
        <v>-0.018316949303555</v>
      </c>
      <c r="AY310" s="215">
        <f>IF(ISNUMBER(AY309),IFERROR(AY309/AY305,""),"")</f>
        <v>-0.0209193667376133</v>
      </c>
      <c r="AZ310" s="215">
        <f>IF(ISNUMBER(AZ309),IFERROR(AZ309/AZ305,""),"")</f>
        <v>-0.0511591658305862</v>
      </c>
      <c r="BA310" s="215">
        <f>IF(ISNUMBER(BA309),IFERROR(BA309/BA305,""),"")</f>
        <v>-0.0582801332315592</v>
      </c>
      <c r="BB310" s="215">
        <f>IF(ISNUMBER(BB309),IFERROR(BB309/BB305,""),"")</f>
        <v>-0.0554593346323158</v>
      </c>
      <c r="BC310" s="215">
        <f>IF(ISNUMBER(BC309),IFERROR(BC309/BC305,""),"")</f>
        <v>-0.0638504585729831</v>
      </c>
      <c r="BD310" s="215">
        <f>IF(ISNUMBER(BD309),IFERROR(BD309/BD305,""),"")</f>
        <v>-0.0704491077018069</v>
      </c>
      <c r="BE310" s="215">
        <f>IF(ISNUMBER(BE309),IFERROR(BE309/BE305,""),"")</f>
        <v>-0.0902164426601501</v>
      </c>
      <c r="BF310" s="215">
        <f>IF(ISNUMBER(BF309),IFERROR(BF309/BF305,""),"")</f>
        <v>-0.107870558454952</v>
      </c>
      <c r="BG310" s="215">
        <f>IF(ISNUMBER(BG309),IFERROR(BG309/BG305,""),"")</f>
        <v>-0.0972002577168629</v>
      </c>
      <c r="BH310" s="215">
        <f>IF(ISNUMBER(BH309),IFERROR(BH309/BH305,""),"")</f>
        <v>-0.0747799855401262</v>
      </c>
      <c r="BI310" s="215">
        <f>IF(ISNUMBER(BI309),IFERROR(BI309/BI305,""),"")</f>
        <v>-0.0889386369364427</v>
      </c>
      <c r="BJ310" s="215">
        <f>IF(ISNUMBER(BJ309),IFERROR(BJ309/BJ305,""),"")</f>
        <v>-0.0746879714716774</v>
      </c>
      <c r="BK310" s="215">
        <f>IF(ISNUMBER(BK309),IFERROR(BK309/BK305,""),"")</f>
        <v>-0.0553671521077014</v>
      </c>
      <c r="BL310" s="215">
        <f>IF(ISNUMBER(BL309),IFERROR(BL309/BL305,""),"")</f>
        <v>-0.0810749217768361</v>
      </c>
      <c r="BM310" s="215">
        <f>IF(ISNUMBER(BM309),IFERROR(BM309/BM305,""),"")</f>
        <v>-0.0587268781647205</v>
      </c>
      <c r="BN310" s="215">
        <f>IF(ISNUMBER(BN309),IFERROR(BN309/BN305,""),"")</f>
        <v>-0.0690938049008821</v>
      </c>
      <c r="BO310" s="215">
        <f>IF(ISNUMBER(BO309),IFERROR(BO309/BO305,""),"")</f>
        <v>-0.082082762206362</v>
      </c>
      <c r="BP310" s="215">
        <f>IF(ISNUMBER(BP309),IFERROR(BP309/BP305,""),"")</f>
        <v>-0.0566282936274097</v>
      </c>
      <c r="BQ310" s="215">
        <f>IF(ISNUMBER(BQ309),IFERROR(BQ309/BQ305,""),"")</f>
        <v>-0.0404355801881269</v>
      </c>
      <c r="BR310" s="215">
        <f>IF(ISNUMBER(BR309),IFERROR(BR309/BR305,""),"")</f>
        <v>-0.0613844689696626</v>
      </c>
      <c r="BS310" s="215">
        <f>IF(ISNUMBER(BS309),IFERROR(BS309/BS305,""),"")</f>
        <v>-0.0731765572285859</v>
      </c>
      <c r="BT310" s="215">
        <f>IF(ISNUMBER(BT309),IFERROR(BT309/BT305,""),"")</f>
        <v>-0.0806591962494007</v>
      </c>
      <c r="BU310" s="215">
        <f>IF(ISNUMBER(BU309),IFERROR(BU309/BU305,""),"")</f>
        <v>-0.0870215950395553</v>
      </c>
      <c r="BV310" s="24" t="n"/>
      <c r="BW310" s="24" t="n"/>
      <c r="BX310" s="256">
        <f>IF(ISNUMBER(BX309),IFERROR(BX309/BX305,""),"")</f>
        <v>-0.079025818596235</v>
      </c>
      <c r="BY310" s="256">
        <f>IF(ISNUMBER(BY309),IFERROR(BY309/BY305,""),"")</f>
        <v>-0.0788325838970914</v>
      </c>
      <c r="BZ310" s="256">
        <f>IF(ISNUMBER(BZ309),IFERROR(BZ309/BZ305,""),"")</f>
        <v>-0.0748734682438567</v>
      </c>
      <c r="CA310" s="256">
        <f>IF(ISNUMBER(CA309),IFERROR(CA309/CA305,""),"")</f>
        <v>-0.0707338434721376</v>
      </c>
      <c r="CB310" s="256">
        <f>IF(ISNUMBER(CB309),IFERROR(CB309/CB305,""),"")</f>
        <v>-0.0679617258970871</v>
      </c>
      <c r="CC310" s="256">
        <f>IF(ISNUMBER(CC309),IFERROR(CC309/CC305,""),"")</f>
        <v>-0.0670328948488392</v>
      </c>
      <c r="CD310" s="153" t="n"/>
      <c r="CF310" s="37">
        <f>IFERROR(AVERAGE(BY310,BZ310,CA310,CB310,CC310),"n/m")</f>
        <v>-0.0718869032718024</v>
      </c>
      <c r="CG310" s="37">
        <f>IFERROR(AVERAGE(AY310,BD310,BI310,BN310,BS310),"n/m")</f>
        <v>-0.0645154947010662</v>
      </c>
      <c r="CH310" s="37">
        <f>IFERROR(AVERAGE(Z310,AE310,AJ310,AO310,AT310,AY310,BD310,BI310,BN310,BS310),"n/m")</f>
        <v>-0.0196111698656377</v>
      </c>
      <c r="CI310" s="37">
        <f>IFERROR(AVERAGE(C310,D310,E310,F310,K310,P310,U310,Z310,AE310,AJ310,AO310,AT310,AY310,BD310,BI310,BN310,BS310),"n/m")</f>
        <v>0.0227621037968749</v>
      </c>
    </row>
    <row r="311" ht="15" customHeight="1" s="251">
      <c r="B311" s="25" t="inlineStr">
        <is>
          <t xml:space="preserve">  ΔNWC (y/y)</t>
        </is>
      </c>
      <c r="C311" s="34" t="n"/>
      <c r="D311" s="211">
        <f>IF(AND(ISNUMBER(D309),ISNUMBER(C309)),D309-C309,"")</f>
      </c>
      <c r="E311" s="211">
        <f>IF(AND(ISNUMBER(E309),ISNUMBER(D309)),E309-D309,"")</f>
        <v>-102</v>
      </c>
      <c r="F311" s="211">
        <f>IF(AND(ISNUMBER(F309),ISNUMBER(E309)),F309-E309,"")</f>
        <v>878</v>
      </c>
      <c r="G311" s="34" t="n"/>
      <c r="H311" s="34" t="n"/>
      <c r="I311" s="34" t="n"/>
      <c r="J311" s="34" t="n"/>
      <c r="K311" s="211">
        <f>IF(AND(ISNUMBER(K309),ISNUMBER(F309)),K309-F309,"")</f>
        <v>-194</v>
      </c>
      <c r="L311" s="211">
        <f>IF(AND(ISNUMBER(L309),ISNUMBER(G309)),L309-G309,"")</f>
        <v>-250</v>
      </c>
      <c r="M311" s="211">
        <f>IF(AND(ISNUMBER(M309),ISNUMBER(H309)),M309-H309,"")</f>
        <v>155</v>
      </c>
      <c r="N311" s="211">
        <f>IF(AND(ISNUMBER(N309),ISNUMBER(I309)),N309-I309,"")</f>
        <v>255</v>
      </c>
      <c r="O311" s="211">
        <f>IF(AND(ISNUMBER(O309),ISNUMBER(J309)),O309-J309,"")</f>
        <v>401</v>
      </c>
      <c r="P311" s="211">
        <f>IF(AND(ISNUMBER(P309),ISNUMBER(K309)),P309-K309,"")</f>
        <v>401</v>
      </c>
      <c r="Q311" s="211">
        <f>IF(AND(ISNUMBER(Q309),ISNUMBER(L309)),Q309-L309,"")</f>
        <v>323</v>
      </c>
      <c r="R311" s="211">
        <f>IF(AND(ISNUMBER(R309),ISNUMBER(M309)),R309-M309,"")</f>
        <v>424</v>
      </c>
      <c r="S311" s="211">
        <f>IF(AND(ISNUMBER(S309),ISNUMBER(N309)),S309-N309,"")</f>
        <v>750</v>
      </c>
      <c r="T311" s="211">
        <f>IF(AND(ISNUMBER(T309),ISNUMBER(O309)),T309-O309,"")</f>
        <v>139</v>
      </c>
      <c r="U311" s="211">
        <f>IF(AND(ISNUMBER(U309),ISNUMBER(P309)),U309-P309,"")</f>
        <v>139</v>
      </c>
      <c r="V311" s="211">
        <f>IF(AND(ISNUMBER(V309),ISNUMBER(Q309)),V309-Q309,"")</f>
        <v>464</v>
      </c>
      <c r="W311" s="211">
        <f>IF(AND(ISNUMBER(W309),ISNUMBER(R309)),W309-R309,"")</f>
        <v>522</v>
      </c>
      <c r="X311" s="211">
        <f>IF(AND(ISNUMBER(X309),ISNUMBER(S309)),X309-S309,"")</f>
        <v>63</v>
      </c>
      <c r="Y311" s="211">
        <f>IF(AND(ISNUMBER(Y309),ISNUMBER(T309)),Y309-T309,"")</f>
        <v>777</v>
      </c>
      <c r="Z311" s="211">
        <f>IF(AND(ISNUMBER(Z309),ISNUMBER(U309)),Z309-U309,"")</f>
        <v>777</v>
      </c>
      <c r="AA311" s="211">
        <f>IF(AND(ISNUMBER(AA309),ISNUMBER(V309)),AA309-V309,"")</f>
        <v>314</v>
      </c>
      <c r="AB311" s="211">
        <f>IF(AND(ISNUMBER(AB309),ISNUMBER(W309)),AB309-W309,"")</f>
        <v>531</v>
      </c>
      <c r="AC311" s="211">
        <f>IF(AND(ISNUMBER(AC309),ISNUMBER(X309)),AC309-X309,"")</f>
        <v>1016</v>
      </c>
      <c r="AD311" s="211">
        <f>IF(AND(ISNUMBER(AD309),ISNUMBER(Y309)),AD309-Y309,"")</f>
        <v>1015</v>
      </c>
      <c r="AE311" s="211">
        <f>IF(AND(ISNUMBER(AE309),ISNUMBER(Z309)),AE309-Z309,"")</f>
        <v>1015</v>
      </c>
      <c r="AF311" s="211">
        <f>IF(AND(ISNUMBER(AF309),ISNUMBER(AA309)),AF309-AA309,"")</f>
        <v>-326</v>
      </c>
      <c r="AG311" s="211">
        <f>IF(AND(ISNUMBER(AG309),ISNUMBER(AB309)),AG309-AB309,"")</f>
        <v>817</v>
      </c>
      <c r="AH311" s="211">
        <f>IF(AND(ISNUMBER(AH309),ISNUMBER(AC309)),AH309-AC309,"")</f>
        <v>-130</v>
      </c>
      <c r="AI311" s="211">
        <f>IF(AND(ISNUMBER(AI309),ISNUMBER(AD309)),AI309-AD309,"")</f>
        <v>-743</v>
      </c>
      <c r="AJ311" s="211">
        <f>IF(AND(ISNUMBER(AJ309),ISNUMBER(AE309)),AJ309-AE309,"")</f>
        <v>-743</v>
      </c>
      <c r="AK311" s="211">
        <f>IF(AND(ISNUMBER(AK309),ISNUMBER(AF309)),AK309-AF309,"")</f>
        <v>-3221</v>
      </c>
      <c r="AL311" s="211">
        <f>IF(AND(ISNUMBER(AL309),ISNUMBER(AG309)),AL309-AG309,"")</f>
        <v>-6468</v>
      </c>
      <c r="AM311" s="211">
        <f>IF(AND(ISNUMBER(AM309),ISNUMBER(AH309)),AM309-AH309,"")</f>
        <v>-5997</v>
      </c>
      <c r="AN311" s="211">
        <f>IF(AND(ISNUMBER(AN309),ISNUMBER(AI309)),AN309-AI309,"")</f>
        <v>-6032</v>
      </c>
      <c r="AO311" s="211">
        <f>IF(AND(ISNUMBER(AO309),ISNUMBER(AJ309)),AO309-AJ309,"")</f>
        <v>-6032</v>
      </c>
      <c r="AP311" s="211">
        <f>IF(AND(ISNUMBER(AP309),ISNUMBER(AK309)),AP309-AK309,"")</f>
        <v>-4158</v>
      </c>
      <c r="AQ311" s="211">
        <f>IF(AND(ISNUMBER(AQ309),ISNUMBER(AL309)),AQ309-AL309,"")</f>
        <v>2196</v>
      </c>
      <c r="AR311" s="211">
        <f>IF(AND(ISNUMBER(AR309),ISNUMBER(AM309)),AR309-AM309,"")</f>
        <v>1753</v>
      </c>
      <c r="AS311" s="211">
        <f>IF(AND(ISNUMBER(AS309),ISNUMBER(AN309)),AS309-AN309,"")</f>
        <v>2418</v>
      </c>
      <c r="AT311" s="211">
        <f>IF(AND(ISNUMBER(AT309),ISNUMBER(AO309)),AT309-AO309,"")</f>
        <v>2418</v>
      </c>
      <c r="AU311" s="211">
        <f>IF(AND(ISNUMBER(AU309),ISNUMBER(AP309)),AU309-AP309,"")</f>
        <v>6395</v>
      </c>
      <c r="AV311" s="211">
        <f>IF(AND(ISNUMBER(AV309),ISNUMBER(AQ309)),AV309-AQ309,"")</f>
        <v>3161</v>
      </c>
      <c r="AW311" s="211">
        <f>IF(AND(ISNUMBER(AW309),ISNUMBER(AR309)),AW309-AR309,"")</f>
        <v>1299</v>
      </c>
      <c r="AX311" s="211">
        <f>IF(AND(ISNUMBER(AX309),ISNUMBER(AS309)),AX309-AS309,"")</f>
        <v>-1202</v>
      </c>
      <c r="AY311" s="211">
        <f>IF(AND(ISNUMBER(AY309),ISNUMBER(AT309)),AY309-AT309,"")</f>
        <v>-1202</v>
      </c>
      <c r="AZ311" s="211">
        <f>IF(AND(ISNUMBER(AZ309),ISNUMBER(AU309)),AZ309-AU309,"")</f>
        <v>-6097</v>
      </c>
      <c r="BA311" s="211">
        <f>IF(AND(ISNUMBER(BA309),ISNUMBER(AV309)),BA309-AV309,"")</f>
        <v>-8462</v>
      </c>
      <c r="BB311" s="211">
        <f>IF(AND(ISNUMBER(BB309),ISNUMBER(AW309)),BB309-AW309,"")</f>
        <v>-5682</v>
      </c>
      <c r="BC311" s="211">
        <f>IF(AND(ISNUMBER(BC309),ISNUMBER(AX309)),BC309-AX309,"")</f>
        <v>-5748</v>
      </c>
      <c r="BD311" s="211">
        <f>IF(AND(ISNUMBER(BD309),ISNUMBER(AY309)),BD309-AY309,"")</f>
        <v>-5748</v>
      </c>
      <c r="BE311" s="211">
        <f>IF(AND(ISNUMBER(BE309),ISNUMBER(AZ309)),BE309-AZ309,"")</f>
        <v>-4626</v>
      </c>
      <c r="BF311" s="211">
        <f>IF(AND(ISNUMBER(BF309),ISNUMBER(BA309)),BF309-BA309,"")</f>
        <v>-7088</v>
      </c>
      <c r="BG311" s="211">
        <f>IF(AND(ISNUMBER(BG309),ISNUMBER(BB309)),BG309-BB309,"")</f>
        <v>-7128</v>
      </c>
      <c r="BH311" s="211">
        <f>IF(AND(ISNUMBER(BH309),ISNUMBER(BC309)),BH309-BC309,"")</f>
        <v>-3783</v>
      </c>
      <c r="BI311" s="211">
        <f>IF(AND(ISNUMBER(BI309),ISNUMBER(BD309)),BI309-BD309,"")</f>
        <v>-3783</v>
      </c>
      <c r="BJ311" s="211">
        <f>IF(AND(ISNUMBER(BJ309),ISNUMBER(BE309)),BJ309-BE309,"")</f>
        <v>-554</v>
      </c>
      <c r="BK311" s="211">
        <f>IF(AND(ISNUMBER(BK309),ISNUMBER(BF309)),BK309-BF309,"")</f>
        <v>5154</v>
      </c>
      <c r="BL311" s="211">
        <f>IF(AND(ISNUMBER(BL309),ISNUMBER(BG309)),BL309-BG309,"")</f>
        <v>113</v>
      </c>
      <c r="BM311" s="211">
        <f>IF(AND(ISNUMBER(BM309),ISNUMBER(BH309)),BM309-BH309,"")</f>
        <v>632</v>
      </c>
      <c r="BN311" s="211">
        <f>IF(AND(ISNUMBER(BN309),ISNUMBER(BI309)),BN309-BI309,"")</f>
        <v>632</v>
      </c>
      <c r="BO311" s="211">
        <f>IF(AND(ISNUMBER(BO309),ISNUMBER(BJ309)),BO309-BJ309,"")</f>
        <v>-3002</v>
      </c>
      <c r="BP311" s="211">
        <f>IF(AND(ISNUMBER(BP309),ISNUMBER(BK309)),BP309-BK309,"")</f>
        <v>-2110</v>
      </c>
      <c r="BQ311" s="211">
        <f>IF(AND(ISNUMBER(BQ309),ISNUMBER(BL309)),BQ309-BL309,"")</f>
        <v>4875</v>
      </c>
      <c r="BR311" s="211">
        <f>IF(AND(ISNUMBER(BR309),ISNUMBER(BM309)),BR309-BM309,"")</f>
        <v>-3340</v>
      </c>
      <c r="BS311" s="211">
        <f>IF(AND(ISNUMBER(BS309),ISNUMBER(BN309)),BS309-BN309,"")</f>
        <v>-3340</v>
      </c>
      <c r="BT311" s="211">
        <f>IF(AND(ISNUMBER(BT309),ISNUMBER(BO309)),BT309-BO309,"")</f>
        <v>-4275</v>
      </c>
      <c r="BU311" s="211">
        <f>IF(AND(ISNUMBER(BU309),ISNUMBER(BP309)),BU309-BP309,"")</f>
        <v>-10401</v>
      </c>
      <c r="BV311" s="35" t="n"/>
      <c r="BW311" s="35" t="n"/>
      <c r="BX311" s="263">
        <f>IF(AND(ISNUMBER(BX309),ISNUMBER(BS309)),BX309-BS309,"")</f>
        <v>-5255.95429899619</v>
      </c>
      <c r="BY311" s="263">
        <f>IF(AND(ISNUMBER(BY309),ISNUMBER(BX309)),BY309-BX309,"")</f>
        <v>-3753.30479617545</v>
      </c>
      <c r="BZ311" s="263">
        <f>IF(AND(ISNUMBER(BZ309),ISNUMBER(BY309)),BZ309-BY309,"")</f>
        <v>-2366.31412355558</v>
      </c>
      <c r="CA311" s="263">
        <f>IF(AND(ISNUMBER(CA309),ISNUMBER(BZ309)),CA309-BZ309,"")</f>
        <v>-1919.6517244898</v>
      </c>
      <c r="CB311" s="263">
        <f>IF(AND(ISNUMBER(CB309),ISNUMBER(CA309)),CB309-CA309,"")</f>
        <v>-1994.94470555036</v>
      </c>
      <c r="CC311" s="263">
        <f>IF(AND(ISNUMBER(CC309),ISNUMBER(CB309)),CC309-CB309,"")</f>
        <v>-2658.08049720984</v>
      </c>
      <c r="CD311" s="19" t="n"/>
    </row>
    <row r="312" ht="15" customHeight="1" s="251">
      <c r="CL312" s="11" t="n"/>
      <c r="CM312" s="12" t="n"/>
      <c r="CN312" s="12" t="n"/>
      <c r="CO312" s="12" t="n"/>
      <c r="CP312" s="13" t="n"/>
    </row>
    <row r="313" ht="15" customHeight="1" s="251">
      <c r="B313" s="10" t="inlineStr">
        <is>
          <t>BALANCE SHEET FORECAST SCHEDULES</t>
        </is>
      </c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  <c r="AD313" s="10" t="n"/>
      <c r="AE313" s="10" t="n"/>
      <c r="AF313" s="10" t="n"/>
      <c r="AG313" s="10" t="n"/>
      <c r="AH313" s="10" t="n"/>
      <c r="AI313" s="10" t="n"/>
      <c r="AJ313" s="10" t="n"/>
      <c r="AK313" s="10" t="n"/>
      <c r="AL313" s="10" t="n"/>
      <c r="AM313" s="10" t="n"/>
      <c r="AN313" s="10" t="n"/>
      <c r="AO313" s="10" t="n"/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0" t="n"/>
      <c r="BC313" s="10" t="n"/>
      <c r="BD313" s="10" t="n"/>
      <c r="BE313" s="10" t="n"/>
      <c r="BF313" s="10" t="n"/>
      <c r="BG313" s="10" t="n"/>
      <c r="BH313" s="10" t="n"/>
      <c r="BI313" s="10" t="n"/>
      <c r="BJ313" s="10" t="n"/>
      <c r="BK313" s="10" t="n"/>
      <c r="BL313" s="10" t="n"/>
      <c r="BM313" s="10" t="n"/>
      <c r="BN313" s="10" t="n"/>
      <c r="BO313" s="10" t="n"/>
      <c r="BP313" s="10" t="n"/>
      <c r="BQ313" s="10" t="n"/>
      <c r="BR313" s="10" t="n"/>
      <c r="BS313" s="10" t="n"/>
      <c r="BT313" s="10" t="n"/>
      <c r="BU313" s="10" t="n"/>
      <c r="BV313" s="10" t="n"/>
      <c r="BW313" s="10" t="n"/>
      <c r="BX313" s="10" t="n"/>
      <c r="BY313" s="10" t="n"/>
      <c r="BZ313" s="10" t="n"/>
      <c r="CA313" s="10" t="n"/>
      <c r="CB313" s="10" t="n"/>
      <c r="CC313" s="10" t="n"/>
      <c r="CD313" s="10" t="inlineStr">
        <is>
          <t>BS FORECAST SCHEDULES — explicit driver assumptions</t>
        </is>
      </c>
    </row>
    <row r="314" ht="15" customHeight="1" s="251">
      <c r="B314" s="25" t="inlineStr">
        <is>
          <t>Acquisitions: none pending; future deals via the M&amp;A lever (goodwill and intangibles). Historical purchase-price allocations (WhatsApp, Oculus 2014) are in the 10-K notes.</t>
        </is>
      </c>
      <c r="CD314" s="153" t="n"/>
    </row>
    <row r="315" ht="15" customHeight="1" s="251">
      <c r="B315" s="25" t="inlineStr">
        <is>
          <t>Share count &amp; pricing</t>
        </is>
      </c>
      <c r="CD315" s="153" t="n"/>
    </row>
    <row r="316" ht="15" customHeight="1" s="251">
      <c r="B316" s="69" t="inlineStr">
        <is>
          <t xml:space="preserve">  Dilutive securities (m shares; RSUs)</t>
        </is>
      </c>
      <c r="C316" s="44" t="n"/>
      <c r="D316" s="44" t="n"/>
      <c r="E316" s="44" t="n"/>
      <c r="F316" s="44" t="n"/>
      <c r="G316" s="44" t="n"/>
      <c r="H316" s="44" t="n"/>
      <c r="I316" s="44" t="n"/>
      <c r="J316" s="44" t="n"/>
      <c r="K316" s="44" t="n"/>
      <c r="L316" s="44" t="n"/>
      <c r="M316" s="44" t="n"/>
      <c r="N316" s="44" t="n"/>
      <c r="O316" s="44" t="n"/>
      <c r="P316" s="44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  <c r="AC316" s="44" t="n"/>
      <c r="AD316" s="44" t="n"/>
      <c r="AE316" s="44" t="n"/>
      <c r="AF316" s="44" t="n"/>
      <c r="AG316" s="44" t="n"/>
      <c r="AH316" s="44" t="n"/>
      <c r="AI316" s="44" t="n"/>
      <c r="AJ316" s="44" t="n"/>
      <c r="AK316" s="44" t="n"/>
      <c r="AL316" s="44" t="n"/>
      <c r="AM316" s="44" t="n"/>
      <c r="AN316" s="44" t="n"/>
      <c r="AO316" s="44" t="n"/>
      <c r="AP316" s="44" t="n"/>
      <c r="AQ316" s="44" t="n"/>
      <c r="AR316" s="44" t="n"/>
      <c r="AS316" s="44" t="n"/>
      <c r="AT316" s="44" t="n"/>
      <c r="AU316" s="44" t="n"/>
      <c r="AV316" s="44" t="n"/>
      <c r="AW316" s="44" t="n"/>
      <c r="AX316" s="44" t="n"/>
      <c r="AY316" s="44" t="n"/>
      <c r="AZ316" s="44" t="n"/>
      <c r="BA316" s="44" t="n"/>
      <c r="BB316" s="44" t="n"/>
      <c r="BC316" s="44" t="n"/>
      <c r="BD316" s="44" t="n"/>
      <c r="BE316" s="44" t="n"/>
      <c r="BF316" s="44" t="n"/>
      <c r="BG316" s="44" t="n"/>
      <c r="BH316" s="44" t="n"/>
      <c r="BI316" s="44" t="n"/>
      <c r="BJ316" s="44" t="n"/>
      <c r="BK316" s="44" t="n"/>
      <c r="BL316" s="44" t="n"/>
      <c r="BM316" s="44" t="n"/>
      <c r="BN316" s="44" t="n"/>
      <c r="BO316" s="44" t="n"/>
      <c r="BP316" s="44" t="n"/>
      <c r="BQ316" s="44" t="n"/>
      <c r="BR316" s="44" t="n"/>
      <c r="BS316" s="44" t="n"/>
      <c r="BT316" s="44" t="n"/>
      <c r="BU316" s="44" t="n"/>
      <c r="BV316" s="153" t="n"/>
      <c r="BW316" s="153" t="n"/>
      <c r="BX316" s="35" t="n"/>
      <c r="BY316" s="287" t="n">
        <v>23</v>
      </c>
      <c r="BZ316" s="287" t="n">
        <v>23</v>
      </c>
      <c r="CA316" s="287" t="n">
        <v>23</v>
      </c>
      <c r="CB316" s="287" t="n">
        <v>23</v>
      </c>
      <c r="CC316" s="287" t="n">
        <v>23</v>
      </c>
      <c r="CD316" s="19" t="inlineStr">
        <is>
          <t>Q2/26 diluted − basic weighted shares (~23m).</t>
        </is>
      </c>
    </row>
    <row r="317" ht="15" customHeight="1" s="251">
      <c r="B317" s="69" t="inlineStr">
        <is>
          <t xml:space="preserve">  Share-price appreciation % (buyback pricing)</t>
        </is>
      </c>
      <c r="C317" s="44" t="n"/>
      <c r="D317" s="44" t="n"/>
      <c r="E317" s="44" t="n"/>
      <c r="F317" s="44" t="n"/>
      <c r="G317" s="44" t="n"/>
      <c r="H317" s="44" t="n"/>
      <c r="I317" s="44" t="n"/>
      <c r="J317" s="44" t="n"/>
      <c r="K317" s="44" t="n"/>
      <c r="L317" s="44" t="n"/>
      <c r="M317" s="44" t="n"/>
      <c r="N317" s="44" t="n"/>
      <c r="O317" s="44" t="n"/>
      <c r="P317" s="44" t="n"/>
      <c r="Q317" s="44" t="n"/>
      <c r="R317" s="44" t="n"/>
      <c r="S317" s="44" t="n"/>
      <c r="T317" s="44" t="n"/>
      <c r="U317" s="44" t="n"/>
      <c r="V317" s="44" t="n"/>
      <c r="W317" s="44" t="n"/>
      <c r="X317" s="44" t="n"/>
      <c r="Y317" s="44" t="n"/>
      <c r="Z317" s="44" t="n"/>
      <c r="AA317" s="44" t="n"/>
      <c r="AB317" s="44" t="n"/>
      <c r="AC317" s="44" t="n"/>
      <c r="AD317" s="44" t="n"/>
      <c r="AE317" s="44" t="n"/>
      <c r="AF317" s="44" t="n"/>
      <c r="AG317" s="44" t="n"/>
      <c r="AH317" s="44" t="n"/>
      <c r="AI317" s="44" t="n"/>
      <c r="AJ317" s="44" t="n"/>
      <c r="AK317" s="44" t="n"/>
      <c r="AL317" s="44" t="n"/>
      <c r="AM317" s="44" t="n"/>
      <c r="AN317" s="44" t="n"/>
      <c r="AO317" s="44" t="n"/>
      <c r="AP317" s="44" t="n"/>
      <c r="AQ317" s="44" t="n"/>
      <c r="AR317" s="44" t="n"/>
      <c r="AS317" s="44" t="n"/>
      <c r="AT317" s="44" t="n"/>
      <c r="AU317" s="44" t="n"/>
      <c r="AV317" s="44" t="n"/>
      <c r="AW317" s="44" t="n"/>
      <c r="AX317" s="44" t="n"/>
      <c r="AY317" s="44" t="n"/>
      <c r="AZ317" s="44" t="n"/>
      <c r="BA317" s="44" t="n"/>
      <c r="BB317" s="44" t="n"/>
      <c r="BC317" s="44" t="n"/>
      <c r="BD317" s="44" t="n"/>
      <c r="BE317" s="44" t="n"/>
      <c r="BF317" s="44" t="n"/>
      <c r="BG317" s="44" t="n"/>
      <c r="BH317" s="44" t="n"/>
      <c r="BI317" s="44" t="n"/>
      <c r="BJ317" s="44" t="n"/>
      <c r="BK317" s="44" t="n"/>
      <c r="BL317" s="44" t="n"/>
      <c r="BM317" s="44" t="n"/>
      <c r="BN317" s="44" t="n"/>
      <c r="BO317" s="44" t="n"/>
      <c r="BP317" s="44" t="n"/>
      <c r="BQ317" s="44" t="n"/>
      <c r="BR317" s="44" t="n"/>
      <c r="BS317" s="44" t="n"/>
      <c r="BT317" s="44" t="n"/>
      <c r="BU317" s="44" t="n"/>
      <c r="BV317" s="153" t="n"/>
      <c r="BW317" s="153" t="n"/>
      <c r="BX317" s="35" t="n"/>
      <c r="BY317" s="270" t="n">
        <v>0.08</v>
      </c>
      <c r="BZ317" s="270" t="n">
        <v>0.08</v>
      </c>
      <c r="CA317" s="270" t="n">
        <v>0.08</v>
      </c>
      <c r="CB317" s="270" t="n">
        <v>0.08</v>
      </c>
      <c r="CC317" s="270" t="n">
        <v>0.08</v>
      </c>
      <c r="CD317" s="19" t="n"/>
    </row>
    <row r="318" ht="15" customHeight="1" s="251">
      <c r="B318" s="25" t="inlineStr">
        <is>
          <t>Debt schedule (senior notes repaid at maturity and refinanced; commercial paper / incremental notes drawn or repaid to a minimum cash balance)</t>
        </is>
      </c>
      <c r="CD318" s="153" t="n"/>
    </row>
    <row r="319" ht="15" customHeight="1" s="251">
      <c r="B319" s="69" t="inlineStr">
        <is>
          <t xml:space="preserve">  Total debt (senior notes + commercial paper / incremental notes; capital leases to 2018)</t>
        </is>
      </c>
      <c r="C319" s="211">
        <f>IF(ISNUMBER(C290),N(C287)+C290,"")</f>
      </c>
      <c r="D319" s="211">
        <f>IF(ISNUMBER(D290),N(D287)+D290,"")</f>
        <v>473</v>
      </c>
      <c r="E319" s="211">
        <f>IF(ISNUMBER(E290),N(E287)+E290,"")</f>
        <v>677</v>
      </c>
      <c r="F319" s="211">
        <f>IF(ISNUMBER(F290),N(F287)+F290,"")</f>
        <v>2356</v>
      </c>
      <c r="G319" s="211">
        <f>IF(ISNUMBER(G290),N(G287)+G290,"")</f>
        <v>2258</v>
      </c>
      <c r="H319" s="211">
        <f>IF(ISNUMBER(H290),N(H287)+H290,"")</f>
        <v>2167</v>
      </c>
      <c r="I319" s="211">
        <f>IF(ISNUMBER(I290),N(I287)+I290,"")</f>
        <v>575</v>
      </c>
      <c r="J319" s="211">
        <f>IF(ISNUMBER(J290),N(J287)+J290,"")</f>
        <v>476</v>
      </c>
      <c r="K319" s="211">
        <f>IF(ISNUMBER(K290),N(K287)+K290,"")</f>
        <v>476</v>
      </c>
      <c r="L319" s="211">
        <f>IF(ISNUMBER(L290),N(L287)+L290,"")</f>
        <v>392</v>
      </c>
      <c r="M319" s="211">
        <f>IF(ISNUMBER(M290),N(M287)+M290,"")</f>
        <v>326</v>
      </c>
      <c r="N319" s="211">
        <f>IF(ISNUMBER(N290),N(N287)+N290,"")</f>
        <v>278</v>
      </c>
      <c r="O319" s="211">
        <f>IF(ISNUMBER(O290),N(O287)+O290,"")</f>
        <v>233</v>
      </c>
      <c r="P319" s="211">
        <f>IF(ISNUMBER(P290),N(P287)+P290,"")</f>
        <v>233</v>
      </c>
      <c r="Q319" s="211">
        <f>IF(ISNUMBER(Q290),N(Q287)+Q290,"")</f>
        <v>186</v>
      </c>
      <c r="R319" s="211">
        <f>IF(ISNUMBER(R290),N(R287)+R290,"")</f>
        <v>149</v>
      </c>
      <c r="S319" s="211">
        <f>IF(ISNUMBER(S290),N(S287)+S290,"")</f>
        <v>126</v>
      </c>
      <c r="T319" s="211">
        <f>IF(ISNUMBER(T290),N(T287)+T290,"")</f>
        <v>114</v>
      </c>
      <c r="U319" s="211">
        <f>IF(ISNUMBER(U290),N(U287)+U290,"")</f>
        <v>114</v>
      </c>
      <c r="V319" s="211">
        <f>IF(ISNUMBER(V290),N(V287)+V290,"")</f>
        <v>0</v>
      </c>
      <c r="W319" s="211">
        <f>IF(ISNUMBER(W290),N(W287)+W290,"")</f>
        <v>0</v>
      </c>
      <c r="X319" s="211">
        <f>IF(ISNUMBER(X290),N(X287)+X290,"")</f>
        <v>0</v>
      </c>
      <c r="Y319" s="211">
        <f>IF(ISNUMBER(Y290),N(Y287)+Y290,"")</f>
        <v>0</v>
      </c>
      <c r="Z319" s="211">
        <f>IF(ISNUMBER(Z290),N(Z287)+Z290,"")</f>
        <v>0</v>
      </c>
      <c r="AA319" s="211">
        <f>IF(ISNUMBER(AA290),N(AA287)+AA290,"")</f>
        <v>0</v>
      </c>
      <c r="AB319" s="211">
        <f>IF(ISNUMBER(AB290),N(AB287)+AB290,"")</f>
        <v>0</v>
      </c>
      <c r="AC319" s="211">
        <f>IF(ISNUMBER(AC290),N(AC287)+AC290,"")</f>
        <v>0</v>
      </c>
      <c r="AD319" s="211">
        <f>IF(ISNUMBER(AD290),N(AD287)+AD290,"")</f>
        <v>0</v>
      </c>
      <c r="AE319" s="211">
        <f>IF(ISNUMBER(AE290),N(AE287)+AE290,"")</f>
        <v>0</v>
      </c>
      <c r="AF319" s="211">
        <f>IF(ISNUMBER(AF290),N(AF287)+AF290,"")</f>
        <v>0</v>
      </c>
      <c r="AG319" s="211">
        <f>IF(ISNUMBER(AG290),N(AG287)+AG290,"")</f>
        <v>0</v>
      </c>
      <c r="AH319" s="211">
        <f>IF(ISNUMBER(AH290),N(AH287)+AH290,"")</f>
        <v>0</v>
      </c>
      <c r="AI319" s="211">
        <f>IF(ISNUMBER(AI290),N(AI287)+AI290,"")</f>
        <v>0</v>
      </c>
      <c r="AJ319" s="211">
        <f>IF(ISNUMBER(AJ290),N(AJ287)+AJ290,"")</f>
        <v>0</v>
      </c>
      <c r="AK319" s="211">
        <f>IF(ISNUMBER(AK290),N(AK287)+AK290,"")</f>
        <v>0</v>
      </c>
      <c r="AL319" s="211">
        <f>IF(ISNUMBER(AL290),N(AL287)+AL290,"")</f>
        <v>0</v>
      </c>
      <c r="AM319" s="211">
        <f>IF(ISNUMBER(AM290),N(AM287)+AM290,"")</f>
        <v>0</v>
      </c>
      <c r="AN319" s="211">
        <f>IF(ISNUMBER(AN290),N(AN287)+AN290,"")</f>
        <v>0</v>
      </c>
      <c r="AO319" s="211">
        <f>IF(ISNUMBER(AO290),N(AO287)+AO290,"")</f>
        <v>0</v>
      </c>
      <c r="AP319" s="211">
        <f>IF(ISNUMBER(AP290),N(AP287)+AP290,"")</f>
        <v>0</v>
      </c>
      <c r="AQ319" s="211">
        <f>IF(ISNUMBER(AQ290),N(AQ287)+AQ290,"")</f>
        <v>0</v>
      </c>
      <c r="AR319" s="211">
        <f>IF(ISNUMBER(AR290),N(AR287)+AR290,"")</f>
        <v>0</v>
      </c>
      <c r="AS319" s="211">
        <f>IF(ISNUMBER(AS290),N(AS287)+AS290,"")</f>
        <v>0</v>
      </c>
      <c r="AT319" s="211">
        <f>IF(ISNUMBER(AT290),N(AT287)+AT290,"")</f>
        <v>0</v>
      </c>
      <c r="AU319" s="211">
        <f>IF(ISNUMBER(AU290),N(AU287)+AU290,"")</f>
        <v>0</v>
      </c>
      <c r="AV319" s="211">
        <f>IF(ISNUMBER(AV290),N(AV287)+AV290,"")</f>
        <v>0</v>
      </c>
      <c r="AW319" s="211">
        <f>IF(ISNUMBER(AW290),N(AW287)+AW290,"")</f>
        <v>0</v>
      </c>
      <c r="AX319" s="211">
        <f>IF(ISNUMBER(AX290),N(AX287)+AX290,"")</f>
        <v>0</v>
      </c>
      <c r="AY319" s="211">
        <f>IF(ISNUMBER(AY290),N(AY287)+AY290,"")</f>
        <v>0</v>
      </c>
      <c r="AZ319" s="211">
        <f>IF(ISNUMBER(AZ290),N(AZ287)+AZ290,"")</f>
        <v>0</v>
      </c>
      <c r="BA319" s="211">
        <f>IF(ISNUMBER(BA290),N(BA287)+BA290,"")</f>
        <v>0</v>
      </c>
      <c r="BB319" s="211">
        <f>IF(ISNUMBER(BB290),N(BB287)+BB290,"")</f>
        <v>9922</v>
      </c>
      <c r="BC319" s="211">
        <f>IF(ISNUMBER(BC290),N(BC287)+BC290,"")</f>
        <v>9923</v>
      </c>
      <c r="BD319" s="211">
        <f>IF(ISNUMBER(BD290),N(BD287)+BD290,"")</f>
        <v>9923</v>
      </c>
      <c r="BE319" s="211">
        <f>IF(ISNUMBER(BE290),N(BE287)+BE290,"")</f>
        <v>9925</v>
      </c>
      <c r="BF319" s="211">
        <f>IF(ISNUMBER(BF290),N(BF287)+BF290,"")</f>
        <v>18382</v>
      </c>
      <c r="BG319" s="211">
        <f>IF(ISNUMBER(BG290),N(BG287)+BG290,"")</f>
        <v>18383</v>
      </c>
      <c r="BH319" s="211">
        <f>IF(ISNUMBER(BH290),N(BH287)+BH290,"")</f>
        <v>18385</v>
      </c>
      <c r="BI319" s="211">
        <f>IF(ISNUMBER(BI290),N(BI287)+BI290,"")</f>
        <v>18385</v>
      </c>
      <c r="BJ319" s="211">
        <f>IF(ISNUMBER(BJ290),N(BJ287)+BJ290,"")</f>
        <v>18387</v>
      </c>
      <c r="BK319" s="211">
        <f>IF(ISNUMBER(BK290),N(BK287)+BK290,"")</f>
        <v>18389</v>
      </c>
      <c r="BL319" s="211">
        <f>IF(ISNUMBER(BL290),N(BL287)+BL290,"")</f>
        <v>28823</v>
      </c>
      <c r="BM319" s="211">
        <f>IF(ISNUMBER(BM290),N(BM287)+BM290,"")</f>
        <v>28826</v>
      </c>
      <c r="BN319" s="211">
        <f>IF(ISNUMBER(BN290),N(BN287)+BN290,"")</f>
        <v>28826</v>
      </c>
      <c r="BO319" s="211">
        <f>IF(ISNUMBER(BO290),N(BO287)+BO290,"")</f>
        <v>28829</v>
      </c>
      <c r="BP319" s="211">
        <f>IF(ISNUMBER(BP290),N(BP287)+BP290,"")</f>
        <v>28832</v>
      </c>
      <c r="BQ319" s="211">
        <f>IF(ISNUMBER(BQ290),N(BQ287)+BQ290,"")</f>
        <v>28834</v>
      </c>
      <c r="BR319" s="211">
        <f>IF(ISNUMBER(BR290),N(BR287)+BR290,"")</f>
        <v>58744</v>
      </c>
      <c r="BS319" s="211">
        <f>IF(ISNUMBER(BS290),N(BS287)+BS290,"")</f>
        <v>58744</v>
      </c>
      <c r="BT319" s="211">
        <f>IF(ISNUMBER(BT290),N(BT287)+BT290,"")</f>
        <v>58748</v>
      </c>
      <c r="BU319" s="211">
        <f>IF(ISNUMBER(BU290),N(BU287)+BU290,"")</f>
        <v>83664</v>
      </c>
      <c r="BV319" s="153" t="n"/>
      <c r="BW319" s="153" t="n"/>
      <c r="BX319" s="263">
        <f>BX320+BX325</f>
        <v>121094.740574825</v>
      </c>
      <c r="BY319" s="263">
        <f>BY320+BY325</f>
        <v>138133.551139315</v>
      </c>
      <c r="BZ319" s="263">
        <f>BZ320+BZ325</f>
        <v>132469.894253493</v>
      </c>
      <c r="CA319" s="263">
        <f>CA320+CA325</f>
        <v>139281.428951247</v>
      </c>
      <c r="CB319" s="263">
        <f>CB320+CB325</f>
        <v>146072.492440189</v>
      </c>
      <c r="CC319" s="263">
        <f>CC320+CC325</f>
        <v>152516.978730894</v>
      </c>
      <c r="CD319" s="19" t="inlineStr">
        <is>
          <t>Senior notes face $84.0bn (carrying $83.66bn) at 30-Jun-2026: Aug-2022 $10.0bn (2027-2062, 3.50-4.65%), May-2023 $8.5bn (2028-2063), Aug-2024 $10.5bn (2029-2064), Nov-2025 $30.0bn (2030-2065, 4.20-5.75%), May-2026 $25.0bn (2031-2066, 4.55-6.45%). Maturities: 2027 $2,750m; 2028 $1,500m; 2029 $1,000m; 2030 $5,000m; thereafter $73,750m (Q2-26 10-Q Note 8). No financial covenants; no revolver drawn.</t>
        </is>
      </c>
    </row>
    <row r="320" ht="15" customHeight="1" s="251">
      <c r="B320" s="69" t="inlineStr">
        <is>
          <t xml:space="preserve">  Senior notes (carrying amount; term loan 2010; capital leases to 2018)</t>
        </is>
      </c>
      <c r="C320" s="211">
        <f>IF(ISNUMBER(C290),N(C287)+C290,"")</f>
      </c>
      <c r="D320" s="211">
        <f>IF(ISNUMBER(D290),N(D287)+D290,"")</f>
        <v>473</v>
      </c>
      <c r="E320" s="211">
        <f>IF(ISNUMBER(E290),N(E287)+E290,"")</f>
        <v>677</v>
      </c>
      <c r="F320" s="211">
        <f>IF(ISNUMBER(F290),N(F287)+F290,"")</f>
        <v>2356</v>
      </c>
      <c r="G320" s="211">
        <f>IF(ISNUMBER(G290),N(G287)+G290,"")</f>
        <v>2258</v>
      </c>
      <c r="H320" s="211">
        <f>IF(ISNUMBER(H290),N(H287)+H290,"")</f>
        <v>2167</v>
      </c>
      <c r="I320" s="211">
        <f>IF(ISNUMBER(I290),N(I287)+I290,"")</f>
        <v>575</v>
      </c>
      <c r="J320" s="211">
        <f>IF(ISNUMBER(J290),N(J287)+J290,"")</f>
        <v>476</v>
      </c>
      <c r="K320" s="211">
        <f>IF(ISNUMBER(K290),N(K287)+K290,"")</f>
        <v>476</v>
      </c>
      <c r="L320" s="211">
        <f>IF(ISNUMBER(L290),N(L287)+L290,"")</f>
        <v>392</v>
      </c>
      <c r="M320" s="211">
        <f>IF(ISNUMBER(M290),N(M287)+M290,"")</f>
        <v>326</v>
      </c>
      <c r="N320" s="211">
        <f>IF(ISNUMBER(N290),N(N287)+N290,"")</f>
        <v>278</v>
      </c>
      <c r="O320" s="211">
        <f>IF(ISNUMBER(O290),N(O287)+O290,"")</f>
        <v>233</v>
      </c>
      <c r="P320" s="211">
        <f>IF(ISNUMBER(P290),N(P287)+P290,"")</f>
        <v>233</v>
      </c>
      <c r="Q320" s="211">
        <f>IF(ISNUMBER(Q290),N(Q287)+Q290,"")</f>
        <v>186</v>
      </c>
      <c r="R320" s="211">
        <f>IF(ISNUMBER(R290),N(R287)+R290,"")</f>
        <v>149</v>
      </c>
      <c r="S320" s="211">
        <f>IF(ISNUMBER(S290),N(S287)+S290,"")</f>
        <v>126</v>
      </c>
      <c r="T320" s="211">
        <f>IF(ISNUMBER(T290),N(T287)+T290,"")</f>
        <v>114</v>
      </c>
      <c r="U320" s="211">
        <f>IF(ISNUMBER(U290),N(U287)+U290,"")</f>
        <v>114</v>
      </c>
      <c r="V320" s="211">
        <f>IF(ISNUMBER(V290),N(V287)+V290,"")</f>
        <v>0</v>
      </c>
      <c r="W320" s="211">
        <f>IF(ISNUMBER(W290),N(W287)+W290,"")</f>
        <v>0</v>
      </c>
      <c r="X320" s="211">
        <f>IF(ISNUMBER(X290),N(X287)+X290,"")</f>
        <v>0</v>
      </c>
      <c r="Y320" s="211">
        <f>IF(ISNUMBER(Y290),N(Y287)+Y290,"")</f>
        <v>0</v>
      </c>
      <c r="Z320" s="211">
        <f>IF(ISNUMBER(Z290),N(Z287)+Z290,"")</f>
        <v>0</v>
      </c>
      <c r="AA320" s="211">
        <f>IF(ISNUMBER(AA290),N(AA287)+AA290,"")</f>
        <v>0</v>
      </c>
      <c r="AB320" s="211">
        <f>IF(ISNUMBER(AB290),N(AB287)+AB290,"")</f>
        <v>0</v>
      </c>
      <c r="AC320" s="211">
        <f>IF(ISNUMBER(AC290),N(AC287)+AC290,"")</f>
        <v>0</v>
      </c>
      <c r="AD320" s="211">
        <f>IF(ISNUMBER(AD290),N(AD287)+AD290,"")</f>
        <v>0</v>
      </c>
      <c r="AE320" s="211">
        <f>IF(ISNUMBER(AE290),N(AE287)+AE290,"")</f>
        <v>0</v>
      </c>
      <c r="AF320" s="211">
        <f>IF(ISNUMBER(AF290),N(AF287)+AF290,"")</f>
        <v>0</v>
      </c>
      <c r="AG320" s="211">
        <f>IF(ISNUMBER(AG290),N(AG287)+AG290,"")</f>
        <v>0</v>
      </c>
      <c r="AH320" s="211">
        <f>IF(ISNUMBER(AH290),N(AH287)+AH290,"")</f>
        <v>0</v>
      </c>
      <c r="AI320" s="211">
        <f>IF(ISNUMBER(AI290),N(AI287)+AI290,"")</f>
        <v>0</v>
      </c>
      <c r="AJ320" s="211">
        <f>IF(ISNUMBER(AJ290),N(AJ287)+AJ290,"")</f>
        <v>0</v>
      </c>
      <c r="AK320" s="211">
        <f>IF(ISNUMBER(AK290),N(AK287)+AK290,"")</f>
        <v>0</v>
      </c>
      <c r="AL320" s="211">
        <f>IF(ISNUMBER(AL290),N(AL287)+AL290,"")</f>
        <v>0</v>
      </c>
      <c r="AM320" s="211">
        <f>IF(ISNUMBER(AM290),N(AM287)+AM290,"")</f>
        <v>0</v>
      </c>
      <c r="AN320" s="211">
        <f>IF(ISNUMBER(AN290),N(AN287)+AN290,"")</f>
        <v>0</v>
      </c>
      <c r="AO320" s="211">
        <f>IF(ISNUMBER(AO290),N(AO287)+AO290,"")</f>
        <v>0</v>
      </c>
      <c r="AP320" s="211">
        <f>IF(ISNUMBER(AP290),N(AP287)+AP290,"")</f>
        <v>0</v>
      </c>
      <c r="AQ320" s="211">
        <f>IF(ISNUMBER(AQ290),N(AQ287)+AQ290,"")</f>
        <v>0</v>
      </c>
      <c r="AR320" s="211">
        <f>IF(ISNUMBER(AR290),N(AR287)+AR290,"")</f>
        <v>0</v>
      </c>
      <c r="AS320" s="211">
        <f>IF(ISNUMBER(AS290),N(AS287)+AS290,"")</f>
        <v>0</v>
      </c>
      <c r="AT320" s="211">
        <f>IF(ISNUMBER(AT290),N(AT287)+AT290,"")</f>
        <v>0</v>
      </c>
      <c r="AU320" s="211">
        <f>IF(ISNUMBER(AU290),N(AU287)+AU290,"")</f>
        <v>0</v>
      </c>
      <c r="AV320" s="211">
        <f>IF(ISNUMBER(AV290),N(AV287)+AV290,"")</f>
        <v>0</v>
      </c>
      <c r="AW320" s="211">
        <f>IF(ISNUMBER(AW290),N(AW287)+AW290,"")</f>
        <v>0</v>
      </c>
      <c r="AX320" s="211">
        <f>IF(ISNUMBER(AX290),N(AX287)+AX290,"")</f>
        <v>0</v>
      </c>
      <c r="AY320" s="211">
        <f>IF(ISNUMBER(AY290),N(AY287)+AY290,"")</f>
        <v>0</v>
      </c>
      <c r="AZ320" s="211">
        <f>IF(ISNUMBER(AZ290),N(AZ287)+AZ290,"")</f>
        <v>0</v>
      </c>
      <c r="BA320" s="211">
        <f>IF(ISNUMBER(BA290),N(BA287)+BA290,"")</f>
        <v>0</v>
      </c>
      <c r="BB320" s="211">
        <f>IF(ISNUMBER(BB290),N(BB287)+BB290,"")</f>
        <v>9922</v>
      </c>
      <c r="BC320" s="211">
        <f>IF(ISNUMBER(BC290),N(BC287)+BC290,"")</f>
        <v>9923</v>
      </c>
      <c r="BD320" s="211">
        <f>IF(ISNUMBER(BD290),N(BD287)+BD290,"")</f>
        <v>9923</v>
      </c>
      <c r="BE320" s="211">
        <f>IF(ISNUMBER(BE290),N(BE287)+BE290,"")</f>
        <v>9925</v>
      </c>
      <c r="BF320" s="211">
        <f>IF(ISNUMBER(BF290),N(BF287)+BF290,"")</f>
        <v>18382</v>
      </c>
      <c r="BG320" s="211">
        <f>IF(ISNUMBER(BG290),N(BG287)+BG290,"")</f>
        <v>18383</v>
      </c>
      <c r="BH320" s="211">
        <f>IF(ISNUMBER(BH290),N(BH287)+BH290,"")</f>
        <v>18385</v>
      </c>
      <c r="BI320" s="211">
        <f>IF(ISNUMBER(BI290),N(BI287)+BI290,"")</f>
        <v>18385</v>
      </c>
      <c r="BJ320" s="211">
        <f>IF(ISNUMBER(BJ290),N(BJ287)+BJ290,"")</f>
        <v>18387</v>
      </c>
      <c r="BK320" s="211">
        <f>IF(ISNUMBER(BK290),N(BK287)+BK290,"")</f>
        <v>18389</v>
      </c>
      <c r="BL320" s="211">
        <f>IF(ISNUMBER(BL290),N(BL287)+BL290,"")</f>
        <v>28823</v>
      </c>
      <c r="BM320" s="211">
        <f>IF(ISNUMBER(BM290),N(BM287)+BM290,"")</f>
        <v>28826</v>
      </c>
      <c r="BN320" s="211">
        <f>IF(ISNUMBER(BN290),N(BN287)+BN290,"")</f>
        <v>28826</v>
      </c>
      <c r="BO320" s="211">
        <f>IF(ISNUMBER(BO290),N(BO287)+BO290,"")</f>
        <v>28829</v>
      </c>
      <c r="BP320" s="211">
        <f>IF(ISNUMBER(BP290),N(BP287)+BP290,"")</f>
        <v>28832</v>
      </c>
      <c r="BQ320" s="211">
        <f>IF(ISNUMBER(BQ290),N(BQ287)+BQ290,"")</f>
        <v>28834</v>
      </c>
      <c r="BR320" s="211">
        <f>IF(ISNUMBER(BR290),N(BR287)+BR290,"")</f>
        <v>58744</v>
      </c>
      <c r="BS320" s="211">
        <f>IF(ISNUMBER(BS290),N(BS287)+BS290,"")</f>
        <v>58744</v>
      </c>
      <c r="BT320" s="211">
        <f>IF(ISNUMBER(BT290),N(BT287)+BT290,"")</f>
        <v>58748</v>
      </c>
      <c r="BU320" s="211">
        <f>IF(ISNUMBER(BU290),N(BU287)+BU290,"")</f>
        <v>83664</v>
      </c>
      <c r="BV320" s="153" t="n"/>
      <c r="BW320" s="153" t="n"/>
      <c r="BX320" s="263">
        <f>BU320-BX322+BX321</f>
        <v>83664</v>
      </c>
      <c r="BY320" s="263">
        <f>BX320-BY322+BY321</f>
        <v>83664</v>
      </c>
      <c r="BZ320" s="263">
        <f>BY320-BZ322+BZ321</f>
        <v>83664</v>
      </c>
      <c r="CA320" s="263">
        <f>BZ320-CA322+CA321</f>
        <v>83664</v>
      </c>
      <c r="CB320" s="263">
        <f>CA320-CB322+CB321</f>
        <v>83664</v>
      </c>
      <c r="CC320" s="263">
        <f>CB320-CC322+CC321</f>
        <v>83664</v>
      </c>
      <c r="CD320" s="19" t="n"/>
    </row>
    <row r="321" ht="15" customHeight="1" s="251">
      <c r="B321" s="69" t="inlineStr">
        <is>
          <t xml:space="preserve">  New notes issued (input; refinancing of maturities)</t>
        </is>
      </c>
      <c r="C321" s="44" t="n"/>
      <c r="D321" s="44" t="n"/>
      <c r="E321" s="44" t="n"/>
      <c r="F321" s="44" t="n"/>
      <c r="G321" s="44" t="n"/>
      <c r="H321" s="44" t="n"/>
      <c r="I321" s="44" t="n"/>
      <c r="J321" s="44" t="n"/>
      <c r="K321" s="44" t="n"/>
      <c r="L321" s="44" t="n"/>
      <c r="M321" s="44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44" t="n"/>
      <c r="X321" s="44" t="n"/>
      <c r="Y321" s="44" t="n"/>
      <c r="Z321" s="44" t="n"/>
      <c r="AA321" s="44" t="n"/>
      <c r="AB321" s="44" t="n"/>
      <c r="AC321" s="44" t="n"/>
      <c r="AD321" s="44" t="n"/>
      <c r="AE321" s="44" t="n"/>
      <c r="AF321" s="44" t="n"/>
      <c r="AG321" s="44" t="n"/>
      <c r="AH321" s="44" t="n"/>
      <c r="AI321" s="44" t="n"/>
      <c r="AJ321" s="44" t="n"/>
      <c r="AK321" s="44" t="n"/>
      <c r="AL321" s="44" t="n"/>
      <c r="AM321" s="44" t="n"/>
      <c r="AN321" s="44" t="n"/>
      <c r="AO321" s="44" t="n"/>
      <c r="AP321" s="44" t="n"/>
      <c r="AQ321" s="44" t="n"/>
      <c r="AR321" s="44" t="n"/>
      <c r="AS321" s="44" t="n"/>
      <c r="AT321" s="44" t="n"/>
      <c r="AU321" s="44" t="n"/>
      <c r="AV321" s="44" t="n"/>
      <c r="AW321" s="44" t="n"/>
      <c r="AX321" s="44" t="n"/>
      <c r="AY321" s="44" t="n"/>
      <c r="AZ321" s="44" t="n"/>
      <c r="BA321" s="44" t="n"/>
      <c r="BB321" s="44" t="n"/>
      <c r="BC321" s="44" t="n"/>
      <c r="BD321" s="44" t="n"/>
      <c r="BE321" s="44" t="n"/>
      <c r="BF321" s="44" t="n"/>
      <c r="BG321" s="44" t="n"/>
      <c r="BH321" s="44" t="n"/>
      <c r="BI321" s="44" t="n"/>
      <c r="BJ321" s="44" t="n"/>
      <c r="BK321" s="44" t="n"/>
      <c r="BL321" s="44" t="n"/>
      <c r="BM321" s="44" t="n"/>
      <c r="BN321" s="44" t="n"/>
      <c r="BO321" s="44" t="n"/>
      <c r="BP321" s="44" t="n"/>
      <c r="BQ321" s="44" t="n"/>
      <c r="BR321" s="44" t="n"/>
      <c r="BS321" s="44" t="n"/>
      <c r="BT321" s="44" t="n"/>
      <c r="BU321" s="44" t="n"/>
      <c r="BV321" s="153" t="n"/>
      <c r="BW321" s="153" t="n"/>
      <c r="BX321" s="269" t="n">
        <v>0</v>
      </c>
      <c r="BY321" s="263">
        <f>BY322*1.0</f>
        <v>2750</v>
      </c>
      <c r="BZ321" s="263">
        <f>BZ322*1.0</f>
        <v>1500</v>
      </c>
      <c r="CA321" s="263">
        <f>CA322*1.0</f>
        <v>1000</v>
      </c>
      <c r="CB321" s="263">
        <f>CB322*1.0</f>
        <v>5000</v>
      </c>
      <c r="CC321" s="263">
        <f>CC322*1.0</f>
        <v>0</v>
      </c>
      <c r="CD321" s="19" t="inlineStr">
        <is>
          <t>2027E+: maturities refinanced with new notes (100%; assumption). The May-2026 $25bn issue is in the 30-Jun-2026 balance.</t>
        </is>
      </c>
    </row>
    <row r="322" ht="15" customHeight="1" s="251">
      <c r="B322" s="69" t="inlineStr">
        <is>
          <t xml:space="preserve">  Notes repaid at maturity (input)</t>
        </is>
      </c>
      <c r="C322" s="44" t="n"/>
      <c r="D322" s="44" t="n"/>
      <c r="E322" s="44" t="n"/>
      <c r="F322" s="44" t="n"/>
      <c r="G322" s="44" t="n"/>
      <c r="H322" s="44" t="n"/>
      <c r="I322" s="44" t="n"/>
      <c r="J322" s="44" t="n"/>
      <c r="K322" s="44" t="n"/>
      <c r="L322" s="44" t="n"/>
      <c r="M322" s="44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  <c r="AC322" s="44" t="n"/>
      <c r="AD322" s="44" t="n"/>
      <c r="AE322" s="44" t="n"/>
      <c r="AF322" s="44" t="n"/>
      <c r="AG322" s="44" t="n"/>
      <c r="AH322" s="44" t="n"/>
      <c r="AI322" s="44" t="n"/>
      <c r="AJ322" s="44" t="n"/>
      <c r="AK322" s="44" t="n"/>
      <c r="AL322" s="44" t="n"/>
      <c r="AM322" s="44" t="n"/>
      <c r="AN322" s="44" t="n"/>
      <c r="AO322" s="44" t="n"/>
      <c r="AP322" s="44" t="n"/>
      <c r="AQ322" s="44" t="n"/>
      <c r="AR322" s="44" t="n"/>
      <c r="AS322" s="44" t="n"/>
      <c r="AT322" s="44" t="n"/>
      <c r="AU322" s="44" t="n"/>
      <c r="AV322" s="44" t="n"/>
      <c r="AW322" s="44" t="n"/>
      <c r="AX322" s="44" t="n"/>
      <c r="AY322" s="44" t="n"/>
      <c r="AZ322" s="44" t="n"/>
      <c r="BA322" s="44" t="n"/>
      <c r="BB322" s="44" t="n"/>
      <c r="BC322" s="44" t="n"/>
      <c r="BD322" s="44" t="n"/>
      <c r="BE322" s="44" t="n"/>
      <c r="BF322" s="44" t="n"/>
      <c r="BG322" s="44" t="n"/>
      <c r="BH322" s="44" t="n"/>
      <c r="BI322" s="44" t="n"/>
      <c r="BJ322" s="44" t="n"/>
      <c r="BK322" s="44" t="n"/>
      <c r="BL322" s="44" t="n"/>
      <c r="BM322" s="44" t="n"/>
      <c r="BN322" s="44" t="n"/>
      <c r="BO322" s="44" t="n"/>
      <c r="BP322" s="44" t="n"/>
      <c r="BQ322" s="44" t="n"/>
      <c r="BR322" s="44" t="n"/>
      <c r="BS322" s="44" t="n"/>
      <c r="BT322" s="44" t="n"/>
      <c r="BU322" s="44" t="n"/>
      <c r="BV322" s="153" t="n"/>
      <c r="BW322" s="153" t="n"/>
      <c r="BX322" s="269" t="n">
        <v>0</v>
      </c>
      <c r="BY322" s="269" t="n">
        <v>2750</v>
      </c>
      <c r="BZ322" s="269" t="n">
        <v>1500</v>
      </c>
      <c r="CA322" s="269" t="n">
        <v>1000</v>
      </c>
      <c r="CB322" s="269" t="n">
        <v>5000</v>
      </c>
      <c r="CC322" s="269" t="n">
        <v>0</v>
      </c>
      <c r="CD322" s="19" t="inlineStr">
        <is>
          <t>Future principal payments for the notes (Q2-26 10-Q Note 8): 2027 $2,750m, 2028 $1,500m, 2029 $1,000m, 2030 $5,000m, thereafter $73,750m (2031 not shown separately; nil assumed). Face $84.0bn; carrying amount $83.66bn.</t>
        </is>
      </c>
    </row>
    <row r="323" ht="15" customHeight="1" s="251">
      <c r="B323" s="69" t="inlineStr">
        <is>
          <t xml:space="preserve">  Cash before CP draws / repayments (opening cash + CFO + CFI + buybacks, dividends, other financing + FX − notes repaid + issued)</t>
        </is>
      </c>
      <c r="C323" s="44" t="n"/>
      <c r="D323" s="44" t="n"/>
      <c r="E323" s="44" t="n"/>
      <c r="F323" s="44" t="n"/>
      <c r="G323" s="44" t="n"/>
      <c r="H323" s="44" t="n"/>
      <c r="I323" s="44" t="n"/>
      <c r="J323" s="44" t="n"/>
      <c r="K323" s="44" t="n"/>
      <c r="L323" s="44" t="n"/>
      <c r="M323" s="44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44" t="n"/>
      <c r="X323" s="44" t="n"/>
      <c r="Y323" s="44" t="n"/>
      <c r="Z323" s="44" t="n"/>
      <c r="AA323" s="44" t="n"/>
      <c r="AB323" s="44" t="n"/>
      <c r="AC323" s="44" t="n"/>
      <c r="AD323" s="44" t="n"/>
      <c r="AE323" s="44" t="n"/>
      <c r="AF323" s="44" t="n"/>
      <c r="AG323" s="44" t="n"/>
      <c r="AH323" s="44" t="n"/>
      <c r="AI323" s="44" t="n"/>
      <c r="AJ323" s="44" t="n"/>
      <c r="AK323" s="44" t="n"/>
      <c r="AL323" s="44" t="n"/>
      <c r="AM323" s="44" t="n"/>
      <c r="AN323" s="44" t="n"/>
      <c r="AO323" s="44" t="n"/>
      <c r="AP323" s="44" t="n"/>
      <c r="AQ323" s="44" t="n"/>
      <c r="AR323" s="44" t="n"/>
      <c r="AS323" s="44" t="n"/>
      <c r="AT323" s="44" t="n"/>
      <c r="AU323" s="44" t="n"/>
      <c r="AV323" s="44" t="n"/>
      <c r="AW323" s="44" t="n"/>
      <c r="AX323" s="44" t="n"/>
      <c r="AY323" s="44" t="n"/>
      <c r="AZ323" s="44" t="n"/>
      <c r="BA323" s="44" t="n"/>
      <c r="BB323" s="44" t="n"/>
      <c r="BC323" s="44" t="n"/>
      <c r="BD323" s="44" t="n"/>
      <c r="BE323" s="44" t="n"/>
      <c r="BF323" s="44" t="n"/>
      <c r="BG323" s="44" t="n"/>
      <c r="BH323" s="44" t="n"/>
      <c r="BI323" s="44" t="n"/>
      <c r="BJ323" s="44" t="n"/>
      <c r="BK323" s="44" t="n"/>
      <c r="BL323" s="44" t="n"/>
      <c r="BM323" s="44" t="n"/>
      <c r="BN323" s="44" t="n"/>
      <c r="BO323" s="44" t="n"/>
      <c r="BP323" s="44" t="n"/>
      <c r="BQ323" s="44" t="n"/>
      <c r="BR323" s="44" t="n"/>
      <c r="BS323" s="44" t="n"/>
      <c r="BT323" s="44" t="n"/>
      <c r="BU323" s="44" t="n"/>
      <c r="BV323" s="153" t="n"/>
      <c r="BW323" s="153" t="n"/>
      <c r="BX323" s="263">
        <f>BU274+(BX224-SUM(BT224:BU224))+(BX230-SUM(BT230:BU230))+(BX231-SUM(BT231:BU231))+(BX232-SUM(BT232:BU232))+(BX233-SUM(BT233:BU233))+(BX235-SUM(BT235:BU235))+(BX236-SUM(BT236:BU236))+(BX237-SUM(BT237:BU237))+(BX239-SUM(BT239:BU239))-BX322+BX321</f>
        <v>-22430.7405748248</v>
      </c>
      <c r="BY323" s="263">
        <f>BX274+BY224+BY230+BY231+BY232+BY233+BY235+BY236+BY237+BY239-BY322+BY321</f>
        <v>-2038.81056448992</v>
      </c>
      <c r="BZ323" s="263">
        <f>BY274+BZ224+BZ230+BZ231+BZ232+BZ233+BZ235+BZ236+BZ237+BZ239-BZ322+BZ321</f>
        <v>20663.6568858222</v>
      </c>
      <c r="CA323" s="263">
        <f>BZ274+CA224+CA230+CA231+CA232+CA233+CA235+CA236+CA237+CA239-CA322+CA321</f>
        <v>8188.46530224582</v>
      </c>
      <c r="CB323" s="263">
        <f>CA274+CB224+CB230+CB231+CB232+CB233+CB235+CB236+CB237+CB239-CB322+CB321</f>
        <v>8208.93651105753</v>
      </c>
      <c r="CC323" s="263">
        <f>CB274+CC224+CC230+CC231+CC232+CC233+CC235+CC236+CC237+CC239-CC322+CC321</f>
        <v>8555.51370929572</v>
      </c>
      <c r="CD323" s="19" t="n"/>
    </row>
    <row r="324" ht="15" customHeight="1" s="251">
      <c r="B324" s="69" t="inlineStr">
        <is>
          <t xml:space="preserve">  Minimum cash and cash equivalents (excl. marketable securities)</t>
        </is>
      </c>
      <c r="C324" s="44" t="n"/>
      <c r="D324" s="44" t="n"/>
      <c r="E324" s="44" t="n"/>
      <c r="F324" s="44" t="n"/>
      <c r="G324" s="44" t="n"/>
      <c r="H324" s="44" t="n"/>
      <c r="I324" s="44" t="n"/>
      <c r="J324" s="44" t="n"/>
      <c r="K324" s="44" t="n"/>
      <c r="L324" s="44" t="n"/>
      <c r="M324" s="44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  <c r="AC324" s="44" t="n"/>
      <c r="AD324" s="44" t="n"/>
      <c r="AE324" s="44" t="n"/>
      <c r="AF324" s="44" t="n"/>
      <c r="AG324" s="44" t="n"/>
      <c r="AH324" s="44" t="n"/>
      <c r="AI324" s="44" t="n"/>
      <c r="AJ324" s="44" t="n"/>
      <c r="AK324" s="44" t="n"/>
      <c r="AL324" s="44" t="n"/>
      <c r="AM324" s="44" t="n"/>
      <c r="AN324" s="44" t="n"/>
      <c r="AO324" s="44" t="n"/>
      <c r="AP324" s="44" t="n"/>
      <c r="AQ324" s="44" t="n"/>
      <c r="AR324" s="44" t="n"/>
      <c r="AS324" s="44" t="n"/>
      <c r="AT324" s="44" t="n"/>
      <c r="AU324" s="44" t="n"/>
      <c r="AV324" s="44" t="n"/>
      <c r="AW324" s="44" t="n"/>
      <c r="AX324" s="44" t="n"/>
      <c r="AY324" s="44" t="n"/>
      <c r="AZ324" s="44" t="n"/>
      <c r="BA324" s="44" t="n"/>
      <c r="BB324" s="44" t="n"/>
      <c r="BC324" s="44" t="n"/>
      <c r="BD324" s="44" t="n"/>
      <c r="BE324" s="44" t="n"/>
      <c r="BF324" s="44" t="n"/>
      <c r="BG324" s="44" t="n"/>
      <c r="BH324" s="44" t="n"/>
      <c r="BI324" s="44" t="n"/>
      <c r="BJ324" s="44" t="n"/>
      <c r="BK324" s="44" t="n"/>
      <c r="BL324" s="44" t="n"/>
      <c r="BM324" s="44" t="n"/>
      <c r="BN324" s="44" t="n"/>
      <c r="BO324" s="44" t="n"/>
      <c r="BP324" s="44" t="n"/>
      <c r="BQ324" s="44" t="n"/>
      <c r="BR324" s="44" t="n"/>
      <c r="BS324" s="44" t="n"/>
      <c r="BT324" s="44" t="n"/>
      <c r="BU324" s="44" t="n"/>
      <c r="BV324" s="153" t="n"/>
      <c r="BW324" s="153" t="n"/>
      <c r="BX324" s="269" t="n">
        <v>15000</v>
      </c>
      <c r="BY324" s="269" t="n">
        <v>15000</v>
      </c>
      <c r="BZ324" s="269" t="n">
        <v>15000</v>
      </c>
      <c r="CA324" s="269" t="n">
        <v>15000</v>
      </c>
      <c r="CB324" s="269" t="n">
        <v>15000</v>
      </c>
      <c r="CC324" s="269" t="n">
        <v>15000</v>
      </c>
      <c r="CD324" s="19" t="inlineStr">
        <is>
          <t>Cash and cash equivalents $15.5bn at 30-Jun-2026 (marketable securities $74.8bn held separately). Assumption.</t>
        </is>
      </c>
    </row>
    <row r="325" ht="15" customHeight="1" s="251">
      <c r="B325" s="69" t="inlineStr">
        <is>
          <t xml:space="preserve">  Commercial paper / incremental notes (year end; plug to minimum cash)</t>
        </is>
      </c>
      <c r="C325" s="211">
        <f>0</f>
        <v>0</v>
      </c>
      <c r="D325" s="211">
        <f>0</f>
        <v>0</v>
      </c>
      <c r="E325" s="211">
        <f>0</f>
        <v>0</v>
      </c>
      <c r="F325" s="211">
        <f>0</f>
        <v>0</v>
      </c>
      <c r="G325" s="211">
        <f>0</f>
        <v>0</v>
      </c>
      <c r="H325" s="211">
        <f>0</f>
        <v>0</v>
      </c>
      <c r="I325" s="211">
        <f>0</f>
        <v>0</v>
      </c>
      <c r="J325" s="211">
        <f>0</f>
        <v>0</v>
      </c>
      <c r="K325" s="211">
        <f>0</f>
        <v>0</v>
      </c>
      <c r="L325" s="211">
        <f>0</f>
        <v>0</v>
      </c>
      <c r="M325" s="211">
        <f>0</f>
        <v>0</v>
      </c>
      <c r="N325" s="211">
        <f>0</f>
        <v>0</v>
      </c>
      <c r="O325" s="211">
        <f>0</f>
        <v>0</v>
      </c>
      <c r="P325" s="211">
        <f>0</f>
        <v>0</v>
      </c>
      <c r="Q325" s="211">
        <f>0</f>
        <v>0</v>
      </c>
      <c r="R325" s="211">
        <f>0</f>
        <v>0</v>
      </c>
      <c r="S325" s="211">
        <f>0</f>
        <v>0</v>
      </c>
      <c r="T325" s="211">
        <f>0</f>
        <v>0</v>
      </c>
      <c r="U325" s="211">
        <f>0</f>
        <v>0</v>
      </c>
      <c r="V325" s="211">
        <f>0</f>
        <v>0</v>
      </c>
      <c r="W325" s="211">
        <f>0</f>
        <v>0</v>
      </c>
      <c r="X325" s="211">
        <f>0</f>
        <v>0</v>
      </c>
      <c r="Y325" s="211">
        <f>0</f>
        <v>0</v>
      </c>
      <c r="Z325" s="211">
        <f>0</f>
        <v>0</v>
      </c>
      <c r="AA325" s="211">
        <f>0</f>
        <v>0</v>
      </c>
      <c r="AB325" s="211">
        <f>0</f>
        <v>0</v>
      </c>
      <c r="AC325" s="211">
        <f>0</f>
        <v>0</v>
      </c>
      <c r="AD325" s="211">
        <f>0</f>
        <v>0</v>
      </c>
      <c r="AE325" s="211">
        <f>0</f>
        <v>0</v>
      </c>
      <c r="AF325" s="211">
        <f>0</f>
        <v>0</v>
      </c>
      <c r="AG325" s="211">
        <f>0</f>
        <v>0</v>
      </c>
      <c r="AH325" s="211">
        <f>0</f>
        <v>0</v>
      </c>
      <c r="AI325" s="211">
        <f>0</f>
        <v>0</v>
      </c>
      <c r="AJ325" s="211">
        <f>0</f>
        <v>0</v>
      </c>
      <c r="AK325" s="211">
        <f>0</f>
        <v>0</v>
      </c>
      <c r="AL325" s="211">
        <f>0</f>
        <v>0</v>
      </c>
      <c r="AM325" s="211">
        <f>0</f>
        <v>0</v>
      </c>
      <c r="AN325" s="211">
        <f>0</f>
        <v>0</v>
      </c>
      <c r="AO325" s="211">
        <f>0</f>
        <v>0</v>
      </c>
      <c r="AP325" s="211">
        <f>0</f>
        <v>0</v>
      </c>
      <c r="AQ325" s="211">
        <f>0</f>
        <v>0</v>
      </c>
      <c r="AR325" s="211">
        <f>0</f>
        <v>0</v>
      </c>
      <c r="AS325" s="211">
        <f>0</f>
        <v>0</v>
      </c>
      <c r="AT325" s="211">
        <f>0</f>
        <v>0</v>
      </c>
      <c r="AU325" s="211">
        <f>0</f>
        <v>0</v>
      </c>
      <c r="AV325" s="211">
        <f>0</f>
        <v>0</v>
      </c>
      <c r="AW325" s="211">
        <f>0</f>
        <v>0</v>
      </c>
      <c r="AX325" s="211">
        <f>0</f>
        <v>0</v>
      </c>
      <c r="AY325" s="211">
        <f>0</f>
        <v>0</v>
      </c>
      <c r="AZ325" s="211">
        <f>0</f>
        <v>0</v>
      </c>
      <c r="BA325" s="211">
        <f>0</f>
        <v>0</v>
      </c>
      <c r="BB325" s="211">
        <f>0</f>
        <v>0</v>
      </c>
      <c r="BC325" s="211">
        <f>0</f>
        <v>0</v>
      </c>
      <c r="BD325" s="211">
        <f>0</f>
        <v>0</v>
      </c>
      <c r="BE325" s="211">
        <f>0</f>
        <v>0</v>
      </c>
      <c r="BF325" s="211">
        <f>0</f>
        <v>0</v>
      </c>
      <c r="BG325" s="211">
        <f>0</f>
        <v>0</v>
      </c>
      <c r="BH325" s="211">
        <f>0</f>
        <v>0</v>
      </c>
      <c r="BI325" s="211">
        <f>0</f>
        <v>0</v>
      </c>
      <c r="BJ325" s="211">
        <f>0</f>
        <v>0</v>
      </c>
      <c r="BK325" s="211">
        <f>0</f>
        <v>0</v>
      </c>
      <c r="BL325" s="211">
        <f>0</f>
        <v>0</v>
      </c>
      <c r="BM325" s="211">
        <f>0</f>
        <v>0</v>
      </c>
      <c r="BN325" s="211">
        <f>0</f>
        <v>0</v>
      </c>
      <c r="BO325" s="211">
        <f>0</f>
        <v>0</v>
      </c>
      <c r="BP325" s="211">
        <f>0</f>
        <v>0</v>
      </c>
      <c r="BQ325" s="211">
        <f>0</f>
        <v>0</v>
      </c>
      <c r="BR325" s="211">
        <f>0</f>
        <v>0</v>
      </c>
      <c r="BS325" s="211">
        <f>0</f>
        <v>0</v>
      </c>
      <c r="BT325" s="211">
        <f>0</f>
        <v>0</v>
      </c>
      <c r="BU325" s="211">
        <f>0</f>
        <v>0</v>
      </c>
      <c r="BV325" s="153" t="n"/>
      <c r="BW325" s="153" t="n"/>
      <c r="BX325" s="263">
        <f>MAX(0,BU325+BX324-BX323)</f>
        <v>37430.7405748248</v>
      </c>
      <c r="BY325" s="263">
        <f>MAX(0,BX325+BY324-BY323)</f>
        <v>54469.5511393147</v>
      </c>
      <c r="BZ325" s="263">
        <f>MAX(0,BY325+BZ324-BZ323)</f>
        <v>48805.8942534926</v>
      </c>
      <c r="CA325" s="263">
        <f>MAX(0,BZ325+CA324-CA323)</f>
        <v>55617.4289512467</v>
      </c>
      <c r="CB325" s="263">
        <f>MAX(0,CA325+CB324-CB323)</f>
        <v>62408.4924401892</v>
      </c>
      <c r="CC325" s="263">
        <f>MAX(0,CB325+CC324-CC323)</f>
        <v>68852.9787308935</v>
      </c>
      <c r="CD325" s="19" t="inlineStr">
        <is>
          <t>Financing assumption: shortfalls below the minimum cash balance are funded with commercial paper / new notes; surplus repays them (Meta has no CP programme disclosed).</t>
        </is>
      </c>
    </row>
    <row r="326" ht="15" customHeight="1" s="251">
      <c r="B326" s="69" t="inlineStr">
        <is>
          <t xml:space="preserve">  Net issuance / (repayment)</t>
        </is>
      </c>
      <c r="C326" s="44" t="n"/>
      <c r="D326" s="44" t="n"/>
      <c r="E326" s="44" t="n"/>
      <c r="F326" s="44" t="n"/>
      <c r="G326" s="44" t="n"/>
      <c r="H326" s="44" t="n"/>
      <c r="I326" s="44" t="n"/>
      <c r="J326" s="44" t="n"/>
      <c r="K326" s="44" t="n"/>
      <c r="L326" s="44" t="n"/>
      <c r="M326" s="44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  <c r="AC326" s="44" t="n"/>
      <c r="AD326" s="44" t="n"/>
      <c r="AE326" s="44" t="n"/>
      <c r="AF326" s="44" t="n"/>
      <c r="AG326" s="44" t="n"/>
      <c r="AH326" s="44" t="n"/>
      <c r="AI326" s="44" t="n"/>
      <c r="AJ326" s="44" t="n"/>
      <c r="AK326" s="44" t="n"/>
      <c r="AL326" s="44" t="n"/>
      <c r="AM326" s="44" t="n"/>
      <c r="AN326" s="44" t="n"/>
      <c r="AO326" s="44" t="n"/>
      <c r="AP326" s="44" t="n"/>
      <c r="AQ326" s="44" t="n"/>
      <c r="AR326" s="44" t="n"/>
      <c r="AS326" s="44" t="n"/>
      <c r="AT326" s="44" t="n"/>
      <c r="AU326" s="44" t="n"/>
      <c r="AV326" s="44" t="n"/>
      <c r="AW326" s="44" t="n"/>
      <c r="AX326" s="44" t="n"/>
      <c r="AY326" s="44" t="n"/>
      <c r="AZ326" s="44" t="n"/>
      <c r="BA326" s="44" t="n"/>
      <c r="BB326" s="44" t="n"/>
      <c r="BC326" s="44" t="n"/>
      <c r="BD326" s="44" t="n"/>
      <c r="BE326" s="44" t="n"/>
      <c r="BF326" s="44" t="n"/>
      <c r="BG326" s="44" t="n"/>
      <c r="BH326" s="44" t="n"/>
      <c r="BI326" s="44" t="n"/>
      <c r="BJ326" s="44" t="n"/>
      <c r="BK326" s="44" t="n"/>
      <c r="BL326" s="44" t="n"/>
      <c r="BM326" s="44" t="n"/>
      <c r="BN326" s="44" t="n"/>
      <c r="BO326" s="44" t="n"/>
      <c r="BP326" s="44" t="n"/>
      <c r="BQ326" s="44" t="n"/>
      <c r="BR326" s="44" t="n"/>
      <c r="BS326" s="44" t="n"/>
      <c r="BT326" s="44" t="n"/>
      <c r="BU326" s="44" t="n"/>
      <c r="BV326" s="153" t="n"/>
      <c r="BW326" s="153" t="n"/>
      <c r="BX326" s="263">
        <f>IFERROR(BX319-BU319,"")</f>
        <v>37430.7405748248</v>
      </c>
      <c r="BY326" s="263">
        <f>IFERROR(BY319-BX319,"")</f>
        <v>17038.8105644899</v>
      </c>
      <c r="BZ326" s="263">
        <f>IFERROR(BZ319-BY319,"")</f>
        <v>-5663.65688582216</v>
      </c>
      <c r="CA326" s="263">
        <f>IFERROR(CA319-BZ319,"")</f>
        <v>6811.53469775419</v>
      </c>
      <c r="CB326" s="263">
        <f>IFERROR(CB319-CA319,"")</f>
        <v>6791.06348894248</v>
      </c>
      <c r="CC326" s="263">
        <f>IFERROR(CC319-CB319,"")</f>
        <v>6444.48629070428</v>
      </c>
      <c r="CD326" s="19" t="n"/>
    </row>
    <row r="327" ht="15" customHeight="1" s="251">
      <c r="B327" s="69" t="inlineStr">
        <is>
          <t xml:space="preserve">  Interest rate on opening debt, net of capitalized interest %</t>
        </is>
      </c>
      <c r="C327" s="44" t="n"/>
      <c r="D327" s="44" t="n"/>
      <c r="E327" s="44" t="n"/>
      <c r="F327" s="44" t="n"/>
      <c r="G327" s="44" t="n"/>
      <c r="H327" s="44" t="n"/>
      <c r="I327" s="44" t="n"/>
      <c r="J327" s="44" t="n"/>
      <c r="K327" s="44" t="n"/>
      <c r="L327" s="44" t="n"/>
      <c r="M327" s="44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44" t="n"/>
      <c r="X327" s="44" t="n"/>
      <c r="Y327" s="44" t="n"/>
      <c r="Z327" s="44" t="n"/>
      <c r="AA327" s="44" t="n"/>
      <c r="AB327" s="44" t="n"/>
      <c r="AC327" s="44" t="n"/>
      <c r="AD327" s="44" t="n"/>
      <c r="AE327" s="44" t="n"/>
      <c r="AF327" s="44" t="n"/>
      <c r="AG327" s="44" t="n"/>
      <c r="AH327" s="44" t="n"/>
      <c r="AI327" s="44" t="n"/>
      <c r="AJ327" s="44" t="n"/>
      <c r="AK327" s="44" t="n"/>
      <c r="AL327" s="44" t="n"/>
      <c r="AM327" s="44" t="n"/>
      <c r="AN327" s="44" t="n"/>
      <c r="AO327" s="44" t="n"/>
      <c r="AP327" s="44" t="n"/>
      <c r="AQ327" s="44" t="n"/>
      <c r="AR327" s="44" t="n"/>
      <c r="AS327" s="44" t="n"/>
      <c r="AT327" s="44" t="n"/>
      <c r="AU327" s="44" t="n"/>
      <c r="AV327" s="44" t="n"/>
      <c r="AW327" s="44" t="n"/>
      <c r="AX327" s="44" t="n"/>
      <c r="AY327" s="44" t="n"/>
      <c r="AZ327" s="44" t="n"/>
      <c r="BA327" s="44" t="n"/>
      <c r="BB327" s="44" t="n"/>
      <c r="BC327" s="44" t="n"/>
      <c r="BD327" s="44" t="n"/>
      <c r="BE327" s="44" t="n"/>
      <c r="BF327" s="44" t="n"/>
      <c r="BG327" s="44" t="n"/>
      <c r="BH327" s="44" t="n"/>
      <c r="BI327" s="44" t="n"/>
      <c r="BJ327" s="44" t="n"/>
      <c r="BK327" s="44" t="n"/>
      <c r="BL327" s="44" t="n"/>
      <c r="BM327" s="44" t="n"/>
      <c r="BN327" s="44" t="n"/>
      <c r="BO327" s="44" t="n"/>
      <c r="BP327" s="44" t="n"/>
      <c r="BQ327" s="44" t="n"/>
      <c r="BR327" s="44" t="n"/>
      <c r="BS327" s="44" t="n"/>
      <c r="BT327" s="44" t="n"/>
      <c r="BU327" s="44" t="n"/>
      <c r="BV327" s="153" t="n"/>
      <c r="BW327" s="153" t="n"/>
      <c r="BX327" s="35" t="n"/>
      <c r="BY327" s="270" t="n">
        <v>0.045</v>
      </c>
      <c r="BZ327" s="270" t="n">
        <v>0.046</v>
      </c>
      <c r="CA327" s="270" t="n">
        <v>0.047</v>
      </c>
      <c r="CB327" s="270" t="n">
        <v>0.048</v>
      </c>
      <c r="CC327" s="270" t="n">
        <v>0.048</v>
      </c>
      <c r="CD327" s="19" t="inlineStr">
        <is>
          <t>Notes 3.50%–6.45% (effective 3.63%–6.48%); ~4.2% net of capitalized interest in Q2/26; rising as capitalized interest falls with fewer data centers under construction and as new issues price above the 2022–24 coupons. Assumption.</t>
        </is>
      </c>
    </row>
    <row r="328" ht="15" customHeight="1" s="251">
      <c r="B328" s="69" t="inlineStr">
        <is>
          <t xml:space="preserve">  Interest income yield on opening cash and marketable securities %</t>
        </is>
      </c>
      <c r="C328" s="44" t="n"/>
      <c r="D328" s="44" t="n"/>
      <c r="E328" s="44" t="n"/>
      <c r="F328" s="44" t="n"/>
      <c r="G328" s="44" t="n"/>
      <c r="H328" s="44" t="n"/>
      <c r="I328" s="44" t="n"/>
      <c r="J328" s="44" t="n"/>
      <c r="K328" s="44" t="n"/>
      <c r="L328" s="44" t="n"/>
      <c r="M328" s="44" t="n"/>
      <c r="N328" s="44" t="n"/>
      <c r="O328" s="44" t="n"/>
      <c r="P328" s="44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  <c r="AC328" s="44" t="n"/>
      <c r="AD328" s="44" t="n"/>
      <c r="AE328" s="44" t="n"/>
      <c r="AF328" s="44" t="n"/>
      <c r="AG328" s="44" t="n"/>
      <c r="AH328" s="44" t="n"/>
      <c r="AI328" s="44" t="n"/>
      <c r="AJ328" s="44" t="n"/>
      <c r="AK328" s="44" t="n"/>
      <c r="AL328" s="44" t="n"/>
      <c r="AM328" s="44" t="n"/>
      <c r="AN328" s="44" t="n"/>
      <c r="AO328" s="44" t="n"/>
      <c r="AP328" s="44" t="n"/>
      <c r="AQ328" s="44" t="n"/>
      <c r="AR328" s="44" t="n"/>
      <c r="AS328" s="44" t="n"/>
      <c r="AT328" s="44" t="n"/>
      <c r="AU328" s="44" t="n"/>
      <c r="AV328" s="44" t="n"/>
      <c r="AW328" s="44" t="n"/>
      <c r="AX328" s="44" t="n"/>
      <c r="AY328" s="44" t="n"/>
      <c r="AZ328" s="44" t="n"/>
      <c r="BA328" s="44" t="n"/>
      <c r="BB328" s="44" t="n"/>
      <c r="BC328" s="44" t="n"/>
      <c r="BD328" s="44" t="n"/>
      <c r="BE328" s="44" t="n"/>
      <c r="BF328" s="44" t="n"/>
      <c r="BG328" s="44" t="n"/>
      <c r="BH328" s="44" t="n"/>
      <c r="BI328" s="44" t="n"/>
      <c r="BJ328" s="44" t="n"/>
      <c r="BK328" s="44" t="n"/>
      <c r="BL328" s="44" t="n"/>
      <c r="BM328" s="44" t="n"/>
      <c r="BN328" s="44" t="n"/>
      <c r="BO328" s="44" t="n"/>
      <c r="BP328" s="44" t="n"/>
      <c r="BQ328" s="44" t="n"/>
      <c r="BR328" s="44" t="n"/>
      <c r="BS328" s="44" t="n"/>
      <c r="BT328" s="44" t="n"/>
      <c r="BU328" s="44" t="n"/>
      <c r="BV328" s="153" t="n"/>
      <c r="BW328" s="153" t="n"/>
      <c r="BX328" s="35" t="n"/>
      <c r="BY328" s="270" t="n">
        <v>0.0375</v>
      </c>
      <c r="BZ328" s="270" t="n">
        <v>0.035</v>
      </c>
      <c r="CA328" s="270" t="n">
        <v>0.035</v>
      </c>
      <c r="CB328" s="270" t="n">
        <v>0.035</v>
      </c>
      <c r="CC328" s="270" t="n">
        <v>0.035</v>
      </c>
      <c r="CD328" s="19" t="inlineStr">
        <is>
          <t>Q2/26 ~4.0% on cash and marketable securities (10-Q); lower short-term rates assumed.</t>
        </is>
      </c>
    </row>
    <row r="329" ht="15" customHeight="1" s="251">
      <c r="B329" s="25" t="inlineStr">
        <is>
          <t>Leverage-capped buybacks (repurchases plug to a maximum net debt / adjusted EBITDA, 2027E+; net debt = debt − cash − marketable securities)</t>
        </is>
      </c>
      <c r="CD329" s="153" t="n"/>
    </row>
    <row r="330" ht="15" customHeight="1" s="251">
      <c r="B330" s="69" t="inlineStr">
        <is>
          <t xml:space="preserve">  Maximum net debt / adjusted EBITDA (x) (scenario)</t>
        </is>
      </c>
      <c r="C330" s="44" t="n"/>
      <c r="D330" s="44" t="n"/>
      <c r="E330" s="44" t="n"/>
      <c r="F330" s="44" t="n"/>
      <c r="G330" s="44" t="n"/>
      <c r="H330" s="44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  <c r="AC330" s="44" t="n"/>
      <c r="AD330" s="44" t="n"/>
      <c r="AE330" s="44" t="n"/>
      <c r="AF330" s="44" t="n"/>
      <c r="AG330" s="44" t="n"/>
      <c r="AH330" s="44" t="n"/>
      <c r="AI330" s="44" t="n"/>
      <c r="AJ330" s="44" t="n"/>
      <c r="AK330" s="44" t="n"/>
      <c r="AL330" s="44" t="n"/>
      <c r="AM330" s="44" t="n"/>
      <c r="AN330" s="44" t="n"/>
      <c r="AO330" s="44" t="n"/>
      <c r="AP330" s="44" t="n"/>
      <c r="AQ330" s="44" t="n"/>
      <c r="AR330" s="44" t="n"/>
      <c r="AS330" s="44" t="n"/>
      <c r="AT330" s="44" t="n"/>
      <c r="AU330" s="44" t="n"/>
      <c r="AV330" s="44" t="n"/>
      <c r="AW330" s="44" t="n"/>
      <c r="AX330" s="44" t="n"/>
      <c r="AY330" s="44" t="n"/>
      <c r="AZ330" s="44" t="n"/>
      <c r="BA330" s="44" t="n"/>
      <c r="BB330" s="44" t="n"/>
      <c r="BC330" s="44" t="n"/>
      <c r="BD330" s="44" t="n"/>
      <c r="BE330" s="44" t="n"/>
      <c r="BF330" s="44" t="n"/>
      <c r="BG330" s="44" t="n"/>
      <c r="BH330" s="44" t="n"/>
      <c r="BI330" s="44" t="n"/>
      <c r="BJ330" s="44" t="n"/>
      <c r="BK330" s="44" t="n"/>
      <c r="BL330" s="44" t="n"/>
      <c r="BM330" s="44" t="n"/>
      <c r="BN330" s="44" t="n"/>
      <c r="BO330" s="44" t="n"/>
      <c r="BP330" s="44" t="n"/>
      <c r="BQ330" s="44" t="n"/>
      <c r="BR330" s="44" t="n"/>
      <c r="BS330" s="44" t="n"/>
      <c r="BT330" s="44" t="n"/>
      <c r="BU330" s="44" t="n"/>
      <c r="BV330" s="153" t="n"/>
      <c r="BW330" s="153" t="n"/>
      <c r="BX330" s="35" t="n"/>
      <c r="BY330" s="280">
        <f>CHOOSE(MATCH($CD$2,{"Bull","Base","Bear"},0),$CM$25,$CN$25,$CO$25)</f>
        <v>0.25</v>
      </c>
      <c r="BZ330" s="280">
        <f>CHOOSE(MATCH($CD$2,{"Bull","Base","Bear"},0),$CM$25,$CN$25,$CO$25)</f>
        <v>0.25</v>
      </c>
      <c r="CA330" s="280">
        <f>CHOOSE(MATCH($CD$2,{"Bull","Base","Bear"},0),$CM$25,$CN$25,$CO$25)</f>
        <v>0.25</v>
      </c>
      <c r="CB330" s="280">
        <f>CHOOSE(MATCH($CD$2,{"Bull","Base","Bear"},0),$CM$25,$CN$25,$CO$25)</f>
        <v>0.25</v>
      </c>
      <c r="CC330" s="280">
        <f>CHOOSE(MATCH($CD$2,{"Bull","Base","Bear"},0),$CM$25,$CN$25,$CO$25)</f>
        <v>0.25</v>
      </c>
      <c r="CD330" s="19" t="inlineStr">
        <is>
          <t>Meta moved from net cash ($22bn at YE2025, cash and marketable securities $81.6bn vs notes $58.7bn) to ~$6.6bn net cash at 30-Jun-2026 as capex outran operating cash flow. Ceiling (assumption) up to which surplus cash is returned via buybacks; above it, cash flow reduces debt. Bull = more buybacks.</t>
        </is>
      </c>
    </row>
    <row r="331" ht="15" customHeight="1" s="251">
      <c r="B331" s="69" t="inlineStr">
        <is>
          <t xml:space="preserve">  Net debt before buybacks (year end)</t>
        </is>
      </c>
      <c r="C331" s="44" t="n"/>
      <c r="D331" s="44" t="n"/>
      <c r="E331" s="44" t="n"/>
      <c r="F331" s="44" t="n"/>
      <c r="G331" s="44" t="n"/>
      <c r="H331" s="44" t="n"/>
      <c r="I331" s="44" t="n"/>
      <c r="J331" s="44" t="n"/>
      <c r="K331" s="44" t="n"/>
      <c r="L331" s="44" t="n"/>
      <c r="M331" s="44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44" t="n"/>
      <c r="X331" s="44" t="n"/>
      <c r="Y331" s="44" t="n"/>
      <c r="Z331" s="44" t="n"/>
      <c r="AA331" s="44" t="n"/>
      <c r="AB331" s="44" t="n"/>
      <c r="AC331" s="44" t="n"/>
      <c r="AD331" s="44" t="n"/>
      <c r="AE331" s="44" t="n"/>
      <c r="AF331" s="44" t="n"/>
      <c r="AG331" s="44" t="n"/>
      <c r="AH331" s="44" t="n"/>
      <c r="AI331" s="44" t="n"/>
      <c r="AJ331" s="44" t="n"/>
      <c r="AK331" s="44" t="n"/>
      <c r="AL331" s="44" t="n"/>
      <c r="AM331" s="44" t="n"/>
      <c r="AN331" s="44" t="n"/>
      <c r="AO331" s="44" t="n"/>
      <c r="AP331" s="44" t="n"/>
      <c r="AQ331" s="44" t="n"/>
      <c r="AR331" s="44" t="n"/>
      <c r="AS331" s="44" t="n"/>
      <c r="AT331" s="44" t="n"/>
      <c r="AU331" s="44" t="n"/>
      <c r="AV331" s="44" t="n"/>
      <c r="AW331" s="44" t="n"/>
      <c r="AX331" s="44" t="n"/>
      <c r="AY331" s="44" t="n"/>
      <c r="AZ331" s="44" t="n"/>
      <c r="BA331" s="44" t="n"/>
      <c r="BB331" s="44" t="n"/>
      <c r="BC331" s="44" t="n"/>
      <c r="BD331" s="44" t="n"/>
      <c r="BE331" s="44" t="n"/>
      <c r="BF331" s="44" t="n"/>
      <c r="BG331" s="44" t="n"/>
      <c r="BH331" s="44" t="n"/>
      <c r="BI331" s="44" t="n"/>
      <c r="BJ331" s="44" t="n"/>
      <c r="BK331" s="44" t="n"/>
      <c r="BL331" s="44" t="n"/>
      <c r="BM331" s="44" t="n"/>
      <c r="BN331" s="44" t="n"/>
      <c r="BO331" s="44" t="n"/>
      <c r="BP331" s="44" t="n"/>
      <c r="BQ331" s="44" t="n"/>
      <c r="BR331" s="44" t="n"/>
      <c r="BS331" s="44" t="n"/>
      <c r="BT331" s="44" t="n"/>
      <c r="BU331" s="44" t="n"/>
      <c r="BV331" s="153" t="n"/>
      <c r="BW331" s="153" t="n"/>
      <c r="BX331" s="35" t="n"/>
      <c r="BY331" s="263">
        <f>BX319-BX274-BX275-BY224-(BY230-BY226)-BY232-BY233-BY235-BY236-BY237-BY239</f>
        <v>48335.5511393147</v>
      </c>
      <c r="BZ331" s="263">
        <f>BY319-BY274-BY275-BZ224-(BZ230-BZ226)-BZ232-BZ233-BZ235-BZ236-BZ237-BZ239</f>
        <v>36586.0765445311</v>
      </c>
      <c r="CA331" s="263">
        <f>BZ319-BZ274-BZ275-CA224-(CA230-CA226)-CA232-CA233-CA235-CA236-CA237-CA239</f>
        <v>-3298.04380545059</v>
      </c>
      <c r="CB331" s="263">
        <f>CA319-CA274-CA275-CB224-(CB230-CB226)-CB232-CB233-CB235-CB236-CB237-CB239</f>
        <v>-27334.4093500104</v>
      </c>
      <c r="CC331" s="263">
        <f>CB319-CB274-CB275-CC224-(CC230-CC226)-CC232-CC233-CC235-CC236-CC237-CC239</f>
        <v>-46372.7656711782</v>
      </c>
      <c r="CD331" s="19" t="n"/>
    </row>
    <row r="332" ht="15" customHeight="1" s="251">
      <c r="B332" s="69" t="inlineStr">
        <is>
          <t xml:space="preserve">  Maximum net debt = ceiling × adjusted EBITDA</t>
        </is>
      </c>
      <c r="C332" s="44" t="n"/>
      <c r="D332" s="44" t="n"/>
      <c r="E332" s="44" t="n"/>
      <c r="F332" s="44" t="n"/>
      <c r="G332" s="44" t="n"/>
      <c r="H332" s="44" t="n"/>
      <c r="I332" s="44" t="n"/>
      <c r="J332" s="44" t="n"/>
      <c r="K332" s="44" t="n"/>
      <c r="L332" s="44" t="n"/>
      <c r="M332" s="44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  <c r="AC332" s="44" t="n"/>
      <c r="AD332" s="44" t="n"/>
      <c r="AE332" s="44" t="n"/>
      <c r="AF332" s="44" t="n"/>
      <c r="AG332" s="44" t="n"/>
      <c r="AH332" s="44" t="n"/>
      <c r="AI332" s="44" t="n"/>
      <c r="AJ332" s="44" t="n"/>
      <c r="AK332" s="44" t="n"/>
      <c r="AL332" s="44" t="n"/>
      <c r="AM332" s="44" t="n"/>
      <c r="AN332" s="44" t="n"/>
      <c r="AO332" s="44" t="n"/>
      <c r="AP332" s="44" t="n"/>
      <c r="AQ332" s="44" t="n"/>
      <c r="AR332" s="44" t="n"/>
      <c r="AS332" s="44" t="n"/>
      <c r="AT332" s="44" t="n"/>
      <c r="AU332" s="44" t="n"/>
      <c r="AV332" s="44" t="n"/>
      <c r="AW332" s="44" t="n"/>
      <c r="AX332" s="44" t="n"/>
      <c r="AY332" s="44" t="n"/>
      <c r="AZ332" s="44" t="n"/>
      <c r="BA332" s="44" t="n"/>
      <c r="BB332" s="44" t="n"/>
      <c r="BC332" s="44" t="n"/>
      <c r="BD332" s="44" t="n"/>
      <c r="BE332" s="44" t="n"/>
      <c r="BF332" s="44" t="n"/>
      <c r="BG332" s="44" t="n"/>
      <c r="BH332" s="44" t="n"/>
      <c r="BI332" s="44" t="n"/>
      <c r="BJ332" s="44" t="n"/>
      <c r="BK332" s="44" t="n"/>
      <c r="BL332" s="44" t="n"/>
      <c r="BM332" s="44" t="n"/>
      <c r="BN332" s="44" t="n"/>
      <c r="BO332" s="44" t="n"/>
      <c r="BP332" s="44" t="n"/>
      <c r="BQ332" s="44" t="n"/>
      <c r="BR332" s="44" t="n"/>
      <c r="BS332" s="44" t="n"/>
      <c r="BT332" s="44" t="n"/>
      <c r="BU332" s="44" t="n"/>
      <c r="BV332" s="153" t="n"/>
      <c r="BW332" s="153" t="n"/>
      <c r="BX332" s="35" t="n"/>
      <c r="BY332" s="263">
        <f>BY330*BY168</f>
        <v>35723.6421582718</v>
      </c>
      <c r="BZ332" s="263">
        <f>BZ330*BZ168</f>
        <v>42671.8942534926</v>
      </c>
      <c r="CA332" s="263">
        <f>CA330*CA168</f>
        <v>49483.4289512467</v>
      </c>
      <c r="CB332" s="263">
        <f>CB330*CB168</f>
        <v>56274.4924401892</v>
      </c>
      <c r="CC332" s="263">
        <f>CC330*CC168</f>
        <v>62718.9787308935</v>
      </c>
      <c r="CD332" s="19" t="n"/>
    </row>
    <row r="333" ht="15" customHeight="1" s="251">
      <c r="B333" s="69" t="inlineStr">
        <is>
          <t xml:space="preserve">  Share repurchases: plug to the leverage ceiling</t>
        </is>
      </c>
      <c r="C333" s="44" t="n"/>
      <c r="D333" s="44" t="n"/>
      <c r="E333" s="44" t="n"/>
      <c r="F333" s="44" t="n"/>
      <c r="G333" s="44" t="n"/>
      <c r="H333" s="44" t="n"/>
      <c r="I333" s="44" t="n"/>
      <c r="J333" s="44" t="n"/>
      <c r="K333" s="44" t="n"/>
      <c r="L333" s="44" t="n"/>
      <c r="M333" s="44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  <c r="Y333" s="44" t="n"/>
      <c r="Z333" s="44" t="n"/>
      <c r="AA333" s="44" t="n"/>
      <c r="AB333" s="44" t="n"/>
      <c r="AC333" s="44" t="n"/>
      <c r="AD333" s="44" t="n"/>
      <c r="AE333" s="44" t="n"/>
      <c r="AF333" s="44" t="n"/>
      <c r="AG333" s="44" t="n"/>
      <c r="AH333" s="44" t="n"/>
      <c r="AI333" s="44" t="n"/>
      <c r="AJ333" s="44" t="n"/>
      <c r="AK333" s="44" t="n"/>
      <c r="AL333" s="44" t="n"/>
      <c r="AM333" s="44" t="n"/>
      <c r="AN333" s="44" t="n"/>
      <c r="AO333" s="44" t="n"/>
      <c r="AP333" s="44" t="n"/>
      <c r="AQ333" s="44" t="n"/>
      <c r="AR333" s="44" t="n"/>
      <c r="AS333" s="44" t="n"/>
      <c r="AT333" s="44" t="n"/>
      <c r="AU333" s="44" t="n"/>
      <c r="AV333" s="44" t="n"/>
      <c r="AW333" s="44" t="n"/>
      <c r="AX333" s="44" t="n"/>
      <c r="AY333" s="44" t="n"/>
      <c r="AZ333" s="44" t="n"/>
      <c r="BA333" s="44" t="n"/>
      <c r="BB333" s="44" t="n"/>
      <c r="BC333" s="44" t="n"/>
      <c r="BD333" s="44" t="n"/>
      <c r="BE333" s="44" t="n"/>
      <c r="BF333" s="44" t="n"/>
      <c r="BG333" s="44" t="n"/>
      <c r="BH333" s="44" t="n"/>
      <c r="BI333" s="44" t="n"/>
      <c r="BJ333" s="44" t="n"/>
      <c r="BK333" s="44" t="n"/>
      <c r="BL333" s="44" t="n"/>
      <c r="BM333" s="44" t="n"/>
      <c r="BN333" s="44" t="n"/>
      <c r="BO333" s="44" t="n"/>
      <c r="BP333" s="44" t="n"/>
      <c r="BQ333" s="44" t="n"/>
      <c r="BR333" s="44" t="n"/>
      <c r="BS333" s="44" t="n"/>
      <c r="BT333" s="44" t="n"/>
      <c r="BU333" s="44" t="n"/>
      <c r="BV333" s="153" t="n"/>
      <c r="BW333" s="153" t="n"/>
      <c r="BX333" s="35" t="n"/>
      <c r="BY333" s="263">
        <f>MAX(0,BY332-BY331)</f>
        <v>0</v>
      </c>
      <c r="BZ333" s="263">
        <f>MAX(0,BZ332-BZ331)</f>
        <v>6085.81770896151</v>
      </c>
      <c r="CA333" s="263">
        <f>MAX(0,CA332-CA331)</f>
        <v>52781.4727566973</v>
      </c>
      <c r="CB333" s="263">
        <f>MAX(0,CB332-CB331)</f>
        <v>83608.9017901996</v>
      </c>
      <c r="CC333" s="263">
        <f>MAX(0,CC332-CC331)</f>
        <v>109091.744402072</v>
      </c>
      <c r="CD333" s="19" t="inlineStr">
        <is>
          <t>Surplus cash beyond the ceiling is returned via buybacks; feeds the cash-flow repurchase line.</t>
        </is>
      </c>
    </row>
    <row r="334" ht="15" customHeight="1" s="251">
      <c r="B334" s="25" t="inlineStr">
        <is>
          <t>Historical reference (driver context)</t>
        </is>
      </c>
      <c r="CD334" s="153" t="n"/>
    </row>
    <row r="335" ht="15" customHeight="1" s="251">
      <c r="B335" s="25" t="inlineStr">
        <is>
          <t xml:space="preserve">  D&amp;A % of revenue</t>
        </is>
      </c>
      <c r="C335" s="215">
        <f>IF(AND(ISNUMBER(C129),ISNUMBER(C109)),IFERROR(C129/C109,""),"")</f>
        <v>0.1003861003861</v>
      </c>
      <c r="D335" s="215">
        <f>IF(AND(ISNUMBER(D129),ISNUMBER(D109)),IFERROR(D129/D109,""),"")</f>
        <v>0.0704154002026343</v>
      </c>
      <c r="E335" s="215">
        <f>IF(AND(ISNUMBER(E129),ISNUMBER(E109)),IFERROR(E129/E109,""),"")</f>
        <v>0.0870385340878469</v>
      </c>
      <c r="F335" s="215">
        <f>IF(AND(ISNUMBER(F129),ISNUMBER(F109)),IFERROR(F129/F109,""),"")</f>
        <v>0.127529966594616</v>
      </c>
      <c r="G335" s="215">
        <f>IF(AND(ISNUMBER(G129),ISNUMBER(G109)),IFERROR(G129/G109,""),"")</f>
        <v>0.165294924554184</v>
      </c>
      <c r="H335" s="215">
        <f>IF(AND(ISNUMBER(H129),ISNUMBER(H109)),IFERROR(H129/H109,""),"")</f>
        <v>0.126861555432984</v>
      </c>
      <c r="I335" s="215">
        <f>IF(AND(ISNUMBER(I129),ISNUMBER(I109)),IFERROR(I129/I109,""),"")</f>
        <v>0.135912698412698</v>
      </c>
      <c r="J335" s="215">
        <f>IF(AND(ISNUMBER(J129),ISNUMBER(J109)),IFERROR(J129/J109,""),"")</f>
        <v>0.105996131528046</v>
      </c>
      <c r="K335" s="215">
        <f>IF(AND(ISNUMBER(K129),ISNUMBER(K109)),IFERROR(K129/K109,""),"")</f>
        <v>0.12842987804878</v>
      </c>
      <c r="L335" s="215">
        <f>IF(AND(ISNUMBER(L129),ISNUMBER(L109)),IFERROR(L129/L109,""),"")</f>
        <v>0.105515587529976</v>
      </c>
      <c r="M335" s="215">
        <f>IF(AND(ISNUMBER(M129),ISNUMBER(M109)),IFERROR(M129/M109,""),"")</f>
        <v>0.0883161512027492</v>
      </c>
      <c r="N335" s="215">
        <f>IF(AND(ISNUMBER(N129),ISNUMBER(N109)),IFERROR(N129/N109,""),"")</f>
        <v>0.0902279113331252</v>
      </c>
      <c r="O335" s="215">
        <f>IF(AND(ISNUMBER(O129),ISNUMBER(O109)),IFERROR(O129/O109,""),"")</f>
        <v>0.112438327707089</v>
      </c>
      <c r="P335" s="215">
        <f>IF(AND(ISNUMBER(P129),ISNUMBER(P109)),IFERROR(P129/P109,""),"")</f>
        <v>0.0997112145034494</v>
      </c>
      <c r="Q335" s="215">
        <f>IF(AND(ISNUMBER(Q129),ISNUMBER(Q109)),IFERROR(Q129/Q109,""),"")</f>
        <v>0.128986734405871</v>
      </c>
      <c r="R335" s="215">
        <f>IF(AND(ISNUMBER(R129),ISNUMBER(R109)),IFERROR(R129/R109,""),"")</f>
        <v>0.113557644730332</v>
      </c>
      <c r="S335" s="215">
        <f>IF(AND(ISNUMBER(S129),ISNUMBER(S109)),IFERROR(S129/S109,""),"")</f>
        <v>0.107976005332148</v>
      </c>
      <c r="T335" s="215">
        <f>IF(AND(ISNUMBER(T129),ISNUMBER(T109)),IFERROR(T129/T109,""),"")</f>
        <v>0.0929635336414997</v>
      </c>
      <c r="U335" s="215">
        <f>IF(AND(ISNUMBER(U129),ISNUMBER(U109)),IFERROR(U129/U109,""),"")</f>
        <v>0.108489513609996</v>
      </c>
      <c r="V335" s="215">
        <f>IF(AND(ISNUMBER(V129),ISNUMBER(V109)),IFERROR(V129/V109,""),"")</f>
        <v>0.102564102564103</v>
      </c>
      <c r="W335" s="215">
        <f>IF(AND(ISNUMBER(W129),ISNUMBER(W109)),IFERROR(W129/W109,""),"")</f>
        <v>0.0908949658172778</v>
      </c>
      <c r="X335" s="215">
        <f>IF(AND(ISNUMBER(X129),ISNUMBER(X109)),IFERROR(X129/X109,""),"")</f>
        <v>0.0842961061189559</v>
      </c>
      <c r="Y335" s="215">
        <f>IF(AND(ISNUMBER(Y129),ISNUMBER(Y109)),IFERROR(Y129/Y109,""),"")</f>
        <v>0.0697014417073448</v>
      </c>
      <c r="Z335" s="215">
        <f>IF(AND(ISNUMBER(Z129),ISNUMBER(Z109)),IFERROR(Z129/Z109,""),"")</f>
        <v>0.0847384036471525</v>
      </c>
      <c r="AA335" s="215">
        <f>IF(AND(ISNUMBER(AA129),ISNUMBER(AA109)),IFERROR(AA129/AA109,""),"")</f>
        <v>0.0835408366533865</v>
      </c>
      <c r="AB335" s="215">
        <f>IF(AND(ISNUMBER(AB129),ISNUMBER(AB109)),IFERROR(AB129/AB109,""),"")</f>
        <v>0.0781032078103208</v>
      </c>
      <c r="AC335" s="215">
        <f>IF(AND(ISNUMBER(AC129),ISNUMBER(AC109)),IFERROR(AC129/AC109,""),"")</f>
        <v>0.0748450813323005</v>
      </c>
      <c r="AD335" s="215">
        <f>IF(AND(ISNUMBER(AD129),ISNUMBER(AD109)),IFERROR(AD129/AD109,""),"")</f>
        <v>0.0657570151094666</v>
      </c>
      <c r="AE335" s="215">
        <f>IF(AND(ISNUMBER(AE129),ISNUMBER(AE109)),IFERROR(AE129/AE109,""),"")</f>
        <v>0.0744102526258825</v>
      </c>
      <c r="AF335" s="215">
        <f>IF(AND(ISNUMBER(AF129),ISNUMBER(AF109)),IFERROR(AF129/AF109,""),"")</f>
        <v>0.0793080394450944</v>
      </c>
      <c r="AG335" s="215">
        <f>IF(AND(ISNUMBER(AG129),ISNUMBER(AG109)),IFERROR(AG129/AG109,""),"")</f>
        <v>0.0781497997127957</v>
      </c>
      <c r="AH335" s="215">
        <f>IF(AND(ISNUMBER(AH129),ISNUMBER(AH109)),IFERROR(AH129/AH109,""),"")</f>
        <v>0.0806439863043637</v>
      </c>
      <c r="AI335" s="215">
        <f>IF(AND(ISNUMBER(AI129),ISNUMBER(AI109)),IFERROR(AI129/AI109,""),"")</f>
        <v>0.0724252098853021</v>
      </c>
      <c r="AJ335" s="215">
        <f>IF(AND(ISNUMBER(AJ129),ISNUMBER(AJ109)),IFERROR(AJ129/AJ109,""),"")</f>
        <v>0.0772771231061284</v>
      </c>
      <c r="AK335" s="215">
        <f>IF(AND(ISNUMBER(AK129),ISNUMBER(AK109)),IFERROR(AK129/AK109,""),"")</f>
        <v>0.0898719904490283</v>
      </c>
      <c r="AL335" s="215">
        <f>IF(AND(ISNUMBER(AL129),ISNUMBER(AL109)),IFERROR(AL129/AL109,""),"")</f>
        <v>0.0889494255596352</v>
      </c>
      <c r="AM335" s="215">
        <f>IF(AND(ISNUMBER(AM129),ISNUMBER(AM109)),IFERROR(AM129/AM109,""),"")</f>
        <v>0.0802175390890551</v>
      </c>
      <c r="AN335" s="215">
        <f>IF(AND(ISNUMBER(AN129),ISNUMBER(AN109)),IFERROR(AN129/AN109,""),"")</f>
        <v>0.0696328621572906</v>
      </c>
      <c r="AO335" s="215">
        <f>IF(AND(ISNUMBER(AO129),ISNUMBER(AO109)),IFERROR(AO129/AO109,""),"")</f>
        <v>0.0812057088702491</v>
      </c>
      <c r="AP335" s="215">
        <f>IF(AND(ISNUMBER(AP129),ISNUMBER(AP109)),IFERROR(AP129/AP109,""),"")</f>
        <v>0.0900377741444438</v>
      </c>
      <c r="AQ335" s="215">
        <f>IF(AND(ISNUMBER(AQ129),ISNUMBER(AQ109)),IFERROR(AQ129/AQ109,""),"")</f>
        <v>0.0911863862578263</v>
      </c>
      <c r="AR335" s="215">
        <f>IF(AND(ISNUMBER(AR129),ISNUMBER(AR109)),IFERROR(AR129/AR109,""),"")</f>
        <v>0.0790870982766651</v>
      </c>
      <c r="AS335" s="215">
        <f>IF(AND(ISNUMBER(AS129),ISNUMBER(AS109)),IFERROR(AS129/AS109,""),"")</f>
        <v>0.0663650612710174</v>
      </c>
      <c r="AT335" s="215">
        <f>IF(AND(ISNUMBER(AT129),ISNUMBER(AT109)),IFERROR(AT129/AT109,""),"")</f>
        <v>0.079823183853894</v>
      </c>
      <c r="AU335" s="215">
        <f>IF(AND(ISNUMBER(AU129),ISNUMBER(AU109)),IFERROR(AU129/AU109,""),"")</f>
        <v>0.0753505788850254</v>
      </c>
      <c r="AV335" s="215">
        <f>IF(AND(ISNUMBER(AV129),ISNUMBER(AV109)),IFERROR(AV129/AV109,""),"")</f>
        <v>0.0682670151666266</v>
      </c>
      <c r="AW335" s="215">
        <f>IF(AND(ISNUMBER(AW129),ISNUMBER(AW109)),IFERROR(AW129/AW109,""),"")</f>
        <v>0.0687693898655636</v>
      </c>
      <c r="AX335" s="215">
        <f>IF(AND(ISNUMBER(AX129),ISNUMBER(AX109)),IFERROR(AX129/AX109,""),"")</f>
        <v>0.0598140833358083</v>
      </c>
      <c r="AY335" s="215">
        <f>IF(AND(ISNUMBER(AY129),ISNUMBER(AY109)),IFERROR(AY129/AY109,""),"")</f>
        <v>0.0675575982158757</v>
      </c>
      <c r="AZ335" s="215">
        <f>IF(AND(ISNUMBER(AZ129),ISNUMBER(AZ109)),IFERROR(AZ129/AZ109,""),"")</f>
        <v>0.0772538340260857</v>
      </c>
      <c r="BA335" s="215">
        <f>IF(AND(ISNUMBER(BA129),ISNUMBER(BA109)),IFERROR(BA129/BA109,""),"")</f>
        <v>0.0686628270071473</v>
      </c>
      <c r="BB335" s="215">
        <f>IF(AND(ISNUMBER(BB129),ISNUMBER(BB109)),IFERROR(BB129/BB109,""),"")</f>
        <v>0.078480190517428</v>
      </c>
      <c r="BC335" s="215">
        <f>IF(AND(ISNUMBER(BC129),ISNUMBER(BC109)),IFERROR(BC129/BC109,""),"")</f>
        <v>0.073869112389243</v>
      </c>
      <c r="BD335" s="215">
        <f>IF(AND(ISNUMBER(BD129),ISNUMBER(BD109)),IFERROR(BD129/BD109,""),"")</f>
        <v>0.0744882470478265</v>
      </c>
      <c r="BE335" s="215">
        <f>IF(AND(ISNUMBER(BE129),ISNUMBER(BE109)),IFERROR(BE129/BE109,""),"")</f>
        <v>0.0881131087449817</v>
      </c>
      <c r="BF335" s="215">
        <f>IF(AND(ISNUMBER(BF129),ISNUMBER(BF109)),IFERROR(BF129/BF109,""),"")</f>
        <v>0.0819713116034876</v>
      </c>
      <c r="BG335" s="215">
        <f>IF(AND(ISNUMBER(BG129),ISNUMBER(BG109)),IFERROR(BG129/BG109,""),"")</f>
        <v>0.0836994084226557</v>
      </c>
      <c r="BH335" s="215">
        <f>IF(AND(ISNUMBER(BH129),ISNUMBER(BH109)),IFERROR(BH129/BH109,""),"")</f>
        <v>0.0790805514696717</v>
      </c>
      <c r="BI335" s="215">
        <f>IF(AND(ISNUMBER(BI129),ISNUMBER(BI109)),IFERROR(BI129/BI109,""),"")</f>
        <v>0.0828601503313517</v>
      </c>
      <c r="BJ335" s="215">
        <f>IF(AND(ISNUMBER(BJ129),ISNUMBER(BJ109)),IFERROR(BJ129/BJ109,""),"")</f>
        <v>0.0925524619393773</v>
      </c>
      <c r="BK335" s="215">
        <f>IF(AND(ISNUMBER(BK129),ISNUMBER(BK109)),IFERROR(BK129/BK109,""),"")</f>
        <v>0.0930869442809245</v>
      </c>
      <c r="BL335" s="215">
        <f>IF(AND(ISNUMBER(BL129),ISNUMBER(BL109)),IFERROR(BL129/BL109,""),"")</f>
        <v>0.099214072778339</v>
      </c>
      <c r="BM335" s="215">
        <f>IF(AND(ISNUMBER(BM129),ISNUMBER(BM109)),IFERROR(BM129/BM109,""),"")</f>
        <v>0.0921773276841996</v>
      </c>
      <c r="BN335" s="215">
        <f>IF(AND(ISNUMBER(BN129),ISNUMBER(BN109)),IFERROR(BN129/BN109,""),"")</f>
        <v>0.0942121932389469</v>
      </c>
      <c r="BO335" s="215">
        <f>IF(AND(ISNUMBER(BO129),ISNUMBER(BO109)),IFERROR(BO129/BO109,""),"")</f>
        <v>0.092168076759465</v>
      </c>
      <c r="BP335" s="215">
        <f>IF(AND(ISNUMBER(BP129),ISNUMBER(BP109)),IFERROR(BP129/BP109,""),"")</f>
        <v>0.091379745769846</v>
      </c>
      <c r="BQ335" s="215">
        <f>IF(AND(ISNUMBER(BQ129),ISNUMBER(BQ109)),IFERROR(BQ129/BQ109,""),"")</f>
        <v>0.09685414308575</v>
      </c>
      <c r="BR335" s="215">
        <f>IF(AND(ISNUMBER(BR129),ISNUMBER(BR109)),IFERROR(BR129/BR109,""),"")</f>
        <v>0.0903444475982168</v>
      </c>
      <c r="BS335" s="215">
        <f>IF(AND(ISNUMBER(BS129),ISNUMBER(BS109)),IFERROR(BS129/BS109,""),"")</f>
        <v>0.0926325846163033</v>
      </c>
      <c r="BT335" s="215">
        <f>IF(AND(ISNUMBER(BT129),ISNUMBER(BT109)),IFERROR(BT129/BT109,""),"")</f>
        <v>0.106533359379162</v>
      </c>
      <c r="BU335" s="215">
        <f>IF(AND(ISNUMBER(BU129),ISNUMBER(BU109)),IFERROR(BU129/BU109,""),"")</f>
        <v>0.104537754313251</v>
      </c>
      <c r="BV335" s="24" t="n"/>
      <c r="BW335" s="24" t="n"/>
      <c r="BX335" s="256">
        <f>IF(AND(ISNUMBER(BX129),ISNUMBER(BX109)),IFERROR(BX129/BX109,""),"")</f>
        <v>0.104643156516547</v>
      </c>
      <c r="BY335" s="256">
        <f>IF(AND(ISNUMBER(BY129),ISNUMBER(BY109)),IFERROR(BY129/BY109,""),"")</f>
        <v>0.135162769070041</v>
      </c>
      <c r="BZ335" s="256">
        <f>IF(AND(ISNUMBER(BZ129),ISNUMBER(BZ109)),IFERROR(BZ129/BZ109,""),"")</f>
        <v>0.148051338397456</v>
      </c>
      <c r="CA335" s="256">
        <f>IF(AND(ISNUMBER(CA129),ISNUMBER(CA109)),IFERROR(CA129/CA109,""),"")</f>
        <v>0.159570315650369</v>
      </c>
      <c r="CB335" s="256">
        <f>IF(AND(ISNUMBER(CB129),ISNUMBER(CB109)),IFERROR(CB129/CB109,""),"")</f>
        <v>0.158786711762266</v>
      </c>
      <c r="CC335" s="256">
        <f>IF(AND(ISNUMBER(CC129),ISNUMBER(CC109)),IFERROR(CC129/CC109,""),"")</f>
        <v>0.155181679908852</v>
      </c>
      <c r="CD335" s="153" t="n"/>
      <c r="CF335" s="37">
        <f>IFERROR(AVERAGE(BY335,BZ335,CA335,CB335,CC335),"n/m")</f>
        <v>0.151350562957797</v>
      </c>
      <c r="CG335" s="37">
        <f>IFERROR(AVERAGE(AY335,BD335,BI335,BN335,BS335),"n/m")</f>
        <v>0.0823501546900608</v>
      </c>
      <c r="CH335" s="37">
        <f>IFERROR(AVERAGE(Z335,AE335,AJ335,AO335,AT335,AY335,BD335,BI335,BN335,BS335),"n/m")</f>
        <v>0.0809205445553611</v>
      </c>
      <c r="CI335" s="37">
        <f>IFERROR(AVERAGE(C335,D335,E335,F335,K335,P335,U335,Z335,AE335,AJ335,AO335,AT335,AY335,BD335,BI335,BN335,BS335),"n/m")</f>
        <v>0.0900709442933549</v>
      </c>
    </row>
    <row r="336" ht="15" customHeight="1" s="251">
      <c r="B336" s="25" t="inlineStr">
        <is>
          <t xml:space="preserve">  Interest income ÷ average cash and marketable securities % (annual)</t>
        </is>
      </c>
      <c r="C336" s="36" t="n"/>
      <c r="D336" s="215">
        <f>IFERROR(D104/AVERAGE(D302,C302),"")</f>
        <v>0</v>
      </c>
      <c r="E336" s="215">
        <f>IFERROR(E104/AVERAGE(E302,D302),"")</f>
        <v>0</v>
      </c>
      <c r="F336" s="215">
        <f>IFERROR(F104/AVERAGE(F302,E302),"")</f>
        <v>0.00206886360277819</v>
      </c>
      <c r="G336" s="36" t="n"/>
      <c r="H336" s="36" t="n"/>
      <c r="I336" s="36" t="n"/>
      <c r="J336" s="36" t="n"/>
      <c r="K336" s="215">
        <f>IFERROR(K104/AVERAGE(K302,F302),"")</f>
        <v>0.00180308422301305</v>
      </c>
      <c r="L336" s="36" t="n"/>
      <c r="M336" s="36" t="n"/>
      <c r="N336" s="36" t="n"/>
      <c r="O336" s="36" t="n"/>
      <c r="P336" s="215">
        <f>IFERROR(P104/AVERAGE(P302,K302),"")</f>
        <v>0.00238431649593783</v>
      </c>
      <c r="Q336" s="36" t="n"/>
      <c r="R336" s="36" t="n"/>
      <c r="S336" s="36" t="n"/>
      <c r="T336" s="36" t="n"/>
      <c r="U336" s="215">
        <f>IFERROR(U104/AVERAGE(U302,P302),"")</f>
        <v>0.00350960078291094</v>
      </c>
      <c r="V336" s="36" t="n"/>
      <c r="W336" s="36" t="n"/>
      <c r="X336" s="36" t="n"/>
      <c r="Y336" s="36" t="n"/>
      <c r="Z336" s="215">
        <f>IFERROR(Z104/AVERAGE(Z302,U302),"")</f>
        <v>0.00735125201010797</v>
      </c>
      <c r="AA336" s="36" t="n"/>
      <c r="AB336" s="36" t="n"/>
      <c r="AC336" s="36" t="n"/>
      <c r="AD336" s="36" t="n"/>
      <c r="AE336" s="215">
        <f>IFERROR(AE104/AVERAGE(AE302,Z302),"")</f>
        <v>0.011186059584036</v>
      </c>
      <c r="AF336" s="36" t="n"/>
      <c r="AG336" s="36" t="n"/>
      <c r="AH336" s="36" t="n"/>
      <c r="AI336" s="36" t="n"/>
      <c r="AJ336" s="215">
        <f>IFERROR(AJ104/AVERAGE(AJ302,AE302),"")</f>
        <v>0.0159613643223664</v>
      </c>
      <c r="AK336" s="36" t="n"/>
      <c r="AL336" s="36" t="n"/>
      <c r="AM336" s="36" t="n"/>
      <c r="AN336" s="36" t="n"/>
      <c r="AO336" s="215">
        <f>IFERROR(AO104/AVERAGE(AO302,AJ302),"")</f>
        <v>0.0192562181537788</v>
      </c>
      <c r="AP336" s="36" t="n"/>
      <c r="AQ336" s="36" t="n"/>
      <c r="AR336" s="36" t="n"/>
      <c r="AS336" s="36" t="n"/>
      <c r="AT336" s="215">
        <f>IFERROR(AT104/AVERAGE(AT302,AO302),"")</f>
        <v>0</v>
      </c>
      <c r="AU336" s="36" t="n"/>
      <c r="AV336" s="36" t="n"/>
      <c r="AW336" s="36" t="n"/>
      <c r="AX336" s="36" t="n"/>
      <c r="AY336" s="215">
        <f>IFERROR(AY104/AVERAGE(AY302,AT302),"")</f>
        <v>0.00880384167636787</v>
      </c>
      <c r="AZ336" s="36" t="n"/>
      <c r="BA336" s="36" t="n"/>
      <c r="BB336" s="36" t="n"/>
      <c r="BC336" s="36" t="n"/>
      <c r="BD336" s="215">
        <f>IFERROR(BD104/AVERAGE(BD302,AY302),"")</f>
        <v>0.0103903714388749</v>
      </c>
      <c r="BE336" s="36" t="n"/>
      <c r="BF336" s="36" t="n"/>
      <c r="BG336" s="36" t="n"/>
      <c r="BH336" s="36" t="n"/>
      <c r="BI336" s="215">
        <f>IFERROR(BI104/AVERAGE(BI302,BD302),"")</f>
        <v>0.03088344748966</v>
      </c>
      <c r="BJ336" s="36" t="n"/>
      <c r="BK336" s="36" t="n"/>
      <c r="BL336" s="36" t="n"/>
      <c r="BM336" s="36" t="n"/>
      <c r="BN336" s="215">
        <f>IFERROR(BN104/AVERAGE(BN302,BI302),"")</f>
        <v>0.0351492130877404</v>
      </c>
      <c r="BO336" s="36" t="n"/>
      <c r="BP336" s="36" t="n"/>
      <c r="BQ336" s="36" t="n"/>
      <c r="BR336" s="36" t="n"/>
      <c r="BS336" s="215">
        <f>IFERROR(BS104/AVERAGE(BS302,BN302),"")</f>
        <v>0.0266362204921992</v>
      </c>
      <c r="BT336" s="36" t="n"/>
      <c r="BU336" s="36" t="n"/>
      <c r="BV336" s="24" t="n"/>
      <c r="BW336" s="24" t="n"/>
      <c r="BX336" s="256">
        <f>IFERROR(BX104/AVERAGE(BX302,BS302),"")</f>
        <v>0.0397712818717545</v>
      </c>
      <c r="BY336" s="256">
        <f>IFERROR(BY104/AVERAGE(BY302,BX302),"")</f>
        <v>0.0375</v>
      </c>
      <c r="BZ336" s="256">
        <f>IFERROR(BZ104/AVERAGE(BZ302,BY302),"")</f>
        <v>0.035</v>
      </c>
      <c r="CA336" s="256">
        <f>IFERROR(CA104/AVERAGE(CA302,BZ302),"")</f>
        <v>0.035</v>
      </c>
      <c r="CB336" s="256">
        <f>IFERROR(CB104/AVERAGE(CB302,CA302),"")</f>
        <v>0.035</v>
      </c>
      <c r="CC336" s="256">
        <f>IFERROR(CC104/AVERAGE(CC302,CB302),"")</f>
        <v>0.035</v>
      </c>
      <c r="CD336" s="153" t="n"/>
    </row>
    <row r="337" ht="15" customHeight="1" s="251">
      <c r="B337" s="25" t="inlineStr">
        <is>
          <t xml:space="preserve">  Interest expense ÷ average total debt % (annual; net of capitalized interest)</t>
        </is>
      </c>
      <c r="C337" s="36" t="n"/>
      <c r="D337" s="215">
        <f>IFERROR(D105/AVERAGE(D319,C319),"")</f>
        <v>0.0465116279069767</v>
      </c>
      <c r="E337" s="215">
        <f>IFERROR(E105/AVERAGE(E319,D319),"")</f>
        <v>0.0730434782608696</v>
      </c>
      <c r="F337" s="215">
        <f>IFERROR(F105/AVERAGE(F319,E319),"")</f>
        <v>0.0336300692383778</v>
      </c>
      <c r="G337" s="36" t="n"/>
      <c r="H337" s="36" t="n"/>
      <c r="I337" s="36" t="n"/>
      <c r="J337" s="36" t="n"/>
      <c r="K337" s="215">
        <f>IFERROR(K105/AVERAGE(K319,F319),"")</f>
        <v>0.0395480225988701</v>
      </c>
      <c r="L337" s="36" t="n"/>
      <c r="M337" s="36" t="n"/>
      <c r="N337" s="36" t="n"/>
      <c r="O337" s="36" t="n"/>
      <c r="P337" s="215">
        <f>IFERROR(P105/AVERAGE(P319,K319),"")</f>
        <v>0.0648801128349788</v>
      </c>
      <c r="Q337" s="36" t="n"/>
      <c r="R337" s="36" t="n"/>
      <c r="S337" s="36" t="n"/>
      <c r="T337" s="36" t="n"/>
      <c r="U337" s="215">
        <f>IFERROR(U105/AVERAGE(U319,P319),"")</f>
        <v>0.132564841498559</v>
      </c>
      <c r="V337" s="36" t="n"/>
      <c r="W337" s="36" t="n"/>
      <c r="X337" s="36" t="n"/>
      <c r="Y337" s="36" t="n"/>
      <c r="Z337" s="215">
        <f>IFERROR(Z105/AVERAGE(Z319,U319),"")</f>
        <v>0.175438596491228</v>
      </c>
      <c r="AA337" s="36" t="n"/>
      <c r="AB337" s="36" t="n"/>
      <c r="AC337" s="36" t="n"/>
      <c r="AD337" s="36" t="n"/>
      <c r="AE337" s="215">
        <f>IFERROR(AE105/AVERAGE(AE319,Z319),"")</f>
      </c>
      <c r="AF337" s="36" t="n"/>
      <c r="AG337" s="36" t="n"/>
      <c r="AH337" s="36" t="n"/>
      <c r="AI337" s="36" t="n"/>
      <c r="AJ337" s="215">
        <f>IFERROR(AJ105/AVERAGE(AJ319,AE319),"")</f>
      </c>
      <c r="AK337" s="36" t="n"/>
      <c r="AL337" s="36" t="n"/>
      <c r="AM337" s="36" t="n"/>
      <c r="AN337" s="36" t="n"/>
      <c r="AO337" s="215">
        <f>IFERROR(AO105/AVERAGE(AO319,AJ319),"")</f>
      </c>
      <c r="AP337" s="36" t="n"/>
      <c r="AQ337" s="36" t="n"/>
      <c r="AR337" s="36" t="n"/>
      <c r="AS337" s="36" t="n"/>
      <c r="AT337" s="215">
        <f>IFERROR(AT105/AVERAGE(AT319,AO319),"")</f>
      </c>
      <c r="AU337" s="36" t="n"/>
      <c r="AV337" s="36" t="n"/>
      <c r="AW337" s="36" t="n"/>
      <c r="AX337" s="36" t="n"/>
      <c r="AY337" s="215">
        <f>IFERROR(AY105/AVERAGE(AY319,AT319),"")</f>
      </c>
      <c r="AZ337" s="36" t="n"/>
      <c r="BA337" s="36" t="n"/>
      <c r="BB337" s="36" t="n"/>
      <c r="BC337" s="36" t="n"/>
      <c r="BD337" s="215">
        <f>IFERROR(BD105/AVERAGE(BD319,AY319),"")</f>
        <v>0.0372871107527965</v>
      </c>
      <c r="BE337" s="36" t="n"/>
      <c r="BF337" s="36" t="n"/>
      <c r="BG337" s="36" t="n"/>
      <c r="BH337" s="36" t="n"/>
      <c r="BI337" s="215">
        <f>IFERROR(BI105/AVERAGE(BI319,BD319),"")</f>
        <v>0.0315105270594885</v>
      </c>
      <c r="BJ337" s="36" t="n"/>
      <c r="BK337" s="36" t="n"/>
      <c r="BL337" s="36" t="n"/>
      <c r="BM337" s="36" t="n"/>
      <c r="BN337" s="215">
        <f>IFERROR(BN105/AVERAGE(BN319,BI319),"")</f>
        <v>0.0302895511639237</v>
      </c>
      <c r="BO337" s="36" t="n"/>
      <c r="BP337" s="36" t="n"/>
      <c r="BQ337" s="36" t="n"/>
      <c r="BR337" s="36" t="n"/>
      <c r="BS337" s="215">
        <f>IFERROR(BS105/AVERAGE(BS319,BN319),"")</f>
        <v>0.0266072856000914</v>
      </c>
      <c r="BT337" s="36" t="n"/>
      <c r="BU337" s="36" t="n"/>
      <c r="BV337" s="24" t="n"/>
      <c r="BW337" s="24" t="n"/>
      <c r="BX337" s="256">
        <f>IFERROR(BX105/AVERAGE(BX319,BS319),"")</f>
        <v>0.0344969497682774</v>
      </c>
      <c r="BY337" s="256">
        <f>IFERROR(BY105/AVERAGE(BY319,BX319),"")</f>
        <v>0.0420421960105822</v>
      </c>
      <c r="BZ337" s="256">
        <f>IFERROR(BZ105/AVERAGE(BZ319,BY319),"")</f>
        <v>0.0469627675522373</v>
      </c>
      <c r="CA337" s="256">
        <f>IFERROR(CA105/AVERAGE(CA319,BZ319),"")</f>
        <v>0.0458219298179709</v>
      </c>
      <c r="CB337" s="256">
        <f>IFERROR(CB105/AVERAGE(CB319,CA319),"")</f>
        <v>0.0468576605294935</v>
      </c>
      <c r="CC337" s="256">
        <f>IFERROR(CC105/AVERAGE(CC319,CB319),"")</f>
        <v>0.0469640112200187</v>
      </c>
      <c r="CD337" s="153" t="n"/>
    </row>
    <row r="338" ht="15" customHeight="1" s="251">
      <c r="CL338" s="11" t="n"/>
      <c r="CM338" s="12" t="n"/>
      <c r="CN338" s="12" t="n"/>
      <c r="CO338" s="12" t="n"/>
      <c r="CP338" s="13" t="n"/>
    </row>
    <row r="339" ht="15" customHeight="1" s="251">
      <c r="B339" s="10" t="inlineStr">
        <is>
          <t>RATIO ANALYSIS</t>
        </is>
      </c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  <c r="AD339" s="10" t="n"/>
      <c r="AE339" s="10" t="n"/>
      <c r="AF339" s="10" t="n"/>
      <c r="AG339" s="10" t="n"/>
      <c r="AH339" s="10" t="n"/>
      <c r="AI339" s="10" t="n"/>
      <c r="AJ339" s="10" t="n"/>
      <c r="AK339" s="10" t="n"/>
      <c r="AL339" s="10" t="n"/>
      <c r="AM339" s="10" t="n"/>
      <c r="AN339" s="10" t="n"/>
      <c r="AO339" s="10" t="n"/>
      <c r="AP339" s="10" t="n"/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0" t="n"/>
      <c r="BC339" s="10" t="n"/>
      <c r="BD339" s="10" t="n"/>
      <c r="BE339" s="10" t="n"/>
      <c r="BF339" s="10" t="n"/>
      <c r="BG339" s="10" t="n"/>
      <c r="BH339" s="10" t="n"/>
      <c r="BI339" s="10" t="n"/>
      <c r="BJ339" s="10" t="n"/>
      <c r="BK339" s="10" t="n"/>
      <c r="BL339" s="10" t="n"/>
      <c r="BM339" s="10" t="n"/>
      <c r="BN339" s="10" t="n"/>
      <c r="BO339" s="10" t="n"/>
      <c r="BP339" s="10" t="n"/>
      <c r="BQ339" s="10" t="n"/>
      <c r="BR339" s="10" t="n"/>
      <c r="BS339" s="10" t="n"/>
      <c r="BT339" s="10" t="n"/>
      <c r="BU339" s="10" t="n"/>
      <c r="BV339" s="10" t="n"/>
      <c r="BW339" s="10" t="n"/>
      <c r="BX339" s="10" t="n"/>
      <c r="BY339" s="10" t="n"/>
      <c r="BZ339" s="10" t="n"/>
      <c r="CA339" s="10" t="n"/>
      <c r="CB339" s="10" t="n"/>
      <c r="CC339" s="10" t="n"/>
      <c r="CD339" s="10" t="inlineStr">
        <is>
          <t>RETURNS — annual columns (NOPAT on adjusted EBIT, current definition, full-cost)</t>
        </is>
      </c>
    </row>
    <row r="340" ht="15" customHeight="1" s="251">
      <c r="B340" s="25" t="inlineStr">
        <is>
          <t>DuPont decomposition of ROIC</t>
        </is>
      </c>
      <c r="CD340" s="153" t="n"/>
    </row>
    <row r="341" ht="15" customHeight="1" s="251">
      <c r="B341" s="25" t="inlineStr">
        <is>
          <t>Adjusted EBIT, full-cost (current definition)</t>
        </is>
      </c>
      <c r="C341" s="211">
        <f>C173</f>
        <v>262</v>
      </c>
      <c r="D341" s="211">
        <f>D173</f>
        <v>1032</v>
      </c>
      <c r="E341" s="211">
        <f>E173</f>
        <v>1756</v>
      </c>
      <c r="F341" s="211">
        <f>F173</f>
        <v>538</v>
      </c>
      <c r="G341" s="34" t="n"/>
      <c r="H341" s="34" t="n"/>
      <c r="I341" s="34" t="n"/>
      <c r="J341" s="34" t="n"/>
      <c r="K341" s="211">
        <f>K173</f>
        <v>2804</v>
      </c>
      <c r="L341" s="34" t="n"/>
      <c r="M341" s="34" t="n"/>
      <c r="N341" s="34" t="n"/>
      <c r="O341" s="34" t="n"/>
      <c r="P341" s="211">
        <f>P173</f>
        <v>4994</v>
      </c>
      <c r="Q341" s="34" t="n"/>
      <c r="R341" s="34" t="n"/>
      <c r="S341" s="34" t="n"/>
      <c r="T341" s="34" t="n"/>
      <c r="U341" s="211">
        <f>U173</f>
        <v>6225</v>
      </c>
      <c r="V341" s="34" t="n"/>
      <c r="W341" s="34" t="n"/>
      <c r="X341" s="34" t="n"/>
      <c r="Y341" s="34" t="n"/>
      <c r="Z341" s="211">
        <f>Z173</f>
        <v>12427</v>
      </c>
      <c r="AA341" s="34" t="n"/>
      <c r="AB341" s="34" t="n"/>
      <c r="AC341" s="34" t="n"/>
      <c r="AD341" s="34" t="n"/>
      <c r="AE341" s="211">
        <f>AE173</f>
        <v>20203</v>
      </c>
      <c r="AF341" s="34" t="n"/>
      <c r="AG341" s="34" t="n"/>
      <c r="AH341" s="34" t="n"/>
      <c r="AI341" s="34" t="n"/>
      <c r="AJ341" s="211">
        <f>AJ173</f>
        <v>24913</v>
      </c>
      <c r="AK341" s="34" t="n"/>
      <c r="AL341" s="34" t="n"/>
      <c r="AM341" s="34" t="n"/>
      <c r="AN341" s="34" t="n"/>
      <c r="AO341" s="211">
        <f>AO173</f>
        <v>28986</v>
      </c>
      <c r="AP341" s="34" t="n"/>
      <c r="AQ341" s="34" t="n"/>
      <c r="AR341" s="34" t="n"/>
      <c r="AS341" s="34" t="n"/>
      <c r="AT341" s="211">
        <f>AT173</f>
        <v>32671</v>
      </c>
      <c r="AU341" s="34" t="n"/>
      <c r="AV341" s="34" t="n"/>
      <c r="AW341" s="34" t="n"/>
      <c r="AX341" s="34" t="n"/>
      <c r="AY341" s="211">
        <f>AY173</f>
        <v>46753</v>
      </c>
      <c r="AZ341" s="34" t="n"/>
      <c r="BA341" s="34" t="n"/>
      <c r="BB341" s="34" t="n"/>
      <c r="BC341" s="34" t="n"/>
      <c r="BD341" s="211">
        <f>BD173</f>
        <v>33555</v>
      </c>
      <c r="BE341" s="34" t="n"/>
      <c r="BF341" s="34" t="n"/>
      <c r="BG341" s="34" t="n"/>
      <c r="BH341" s="34" t="n"/>
      <c r="BI341" s="211">
        <f>BI173</f>
        <v>52075</v>
      </c>
      <c r="BJ341" s="34" t="n"/>
      <c r="BK341" s="34" t="n"/>
      <c r="BL341" s="34" t="n"/>
      <c r="BM341" s="34" t="n"/>
      <c r="BN341" s="211">
        <f>BN173</f>
        <v>67830</v>
      </c>
      <c r="BO341" s="34" t="n"/>
      <c r="BP341" s="34" t="n"/>
      <c r="BQ341" s="34" t="n"/>
      <c r="BR341" s="34" t="n"/>
      <c r="BS341" s="211">
        <f>BS173</f>
        <v>83276</v>
      </c>
      <c r="BT341" s="34" t="n"/>
      <c r="BU341" s="34" t="n"/>
      <c r="BV341" s="35" t="n"/>
      <c r="BW341" s="35" t="n"/>
      <c r="BX341" s="263">
        <f>BX173</f>
        <v>89180.4115311655</v>
      </c>
      <c r="BY341" s="263">
        <f>BY173</f>
        <v>102233.462145683</v>
      </c>
      <c r="BZ341" s="263">
        <f>BZ173</f>
        <v>119115.078596139</v>
      </c>
      <c r="CA341" s="263">
        <f>CA173</f>
        <v>134765.024787283</v>
      </c>
      <c r="CB341" s="263">
        <f>CB173</f>
        <v>155014.506147673</v>
      </c>
      <c r="CC341" s="263">
        <f>CC173</f>
        <v>175281.06846433</v>
      </c>
      <c r="CD341" s="19" t="n"/>
    </row>
    <row r="342" ht="15" customHeight="1" s="251">
      <c r="B342" s="25" t="inlineStr">
        <is>
          <t>Effective tax rate (adjusted, current definition)</t>
        </is>
      </c>
      <c r="C342" s="215">
        <f>IFERROR(C197+0,0.16)</f>
        <v>0.0984251968503937</v>
      </c>
      <c r="D342" s="215">
        <f>IFERROR(D197+0,0.16)</f>
        <v>0.398809523809524</v>
      </c>
      <c r="E342" s="215">
        <f>IFERROR(E197+0,0.16)</f>
        <v>0.410029498525074</v>
      </c>
      <c r="F342" s="215">
        <f>IFERROR(F197+0,0.16)</f>
        <v>0.892712550607288</v>
      </c>
      <c r="G342" s="34" t="n"/>
      <c r="H342" s="34" t="n"/>
      <c r="I342" s="34" t="n"/>
      <c r="J342" s="34" t="n"/>
      <c r="K342" s="215">
        <f>IFERROR(K197+0,0.16)</f>
        <v>0.455337690631808</v>
      </c>
      <c r="L342" s="34" t="n"/>
      <c r="M342" s="34" t="n"/>
      <c r="N342" s="34" t="n"/>
      <c r="O342" s="34" t="n"/>
      <c r="P342" s="215">
        <f>IFERROR(P197+0,0.16)</f>
        <v>0.40122199592668</v>
      </c>
      <c r="Q342" s="34" t="n"/>
      <c r="R342" s="34" t="n"/>
      <c r="S342" s="34" t="n"/>
      <c r="T342" s="34" t="n"/>
      <c r="U342" s="215">
        <f>IFERROR(U197+0,0.16)</f>
        <v>0.404585082337746</v>
      </c>
      <c r="V342" s="34" t="n"/>
      <c r="W342" s="34" t="n"/>
      <c r="X342" s="34" t="n"/>
      <c r="Y342" s="34" t="n"/>
      <c r="Z342" s="215">
        <f>IFERROR(Z197+0,0.16)</f>
        <v>0.183815305959418</v>
      </c>
      <c r="AA342" s="34" t="n"/>
      <c r="AB342" s="34" t="n"/>
      <c r="AC342" s="34" t="n"/>
      <c r="AD342" s="34" t="n"/>
      <c r="AE342" s="215">
        <f>IFERROR(AE197+0,0.16)</f>
        <v>0.116053219384287</v>
      </c>
      <c r="AF342" s="34" t="n"/>
      <c r="AG342" s="34" t="n"/>
      <c r="AH342" s="34" t="n"/>
      <c r="AI342" s="34" t="n"/>
      <c r="AJ342" s="215">
        <f>IFERROR(AJ197+0,0.16)</f>
        <v>0.128110090296124</v>
      </c>
      <c r="AK342" s="34" t="n"/>
      <c r="AL342" s="34" t="n"/>
      <c r="AM342" s="34" t="n"/>
      <c r="AN342" s="34" t="n"/>
      <c r="AO342" s="215">
        <f>IFERROR(AO197+0,0.16)</f>
        <v>0.174996645646049</v>
      </c>
      <c r="AP342" s="34" t="n"/>
      <c r="AQ342" s="34" t="n"/>
      <c r="AR342" s="34" t="n"/>
      <c r="AS342" s="34" t="n"/>
      <c r="AT342" s="215">
        <f>IFERROR(AT197+0,0.16)</f>
        <v>0.149095840867993</v>
      </c>
      <c r="AU342" s="34" t="n"/>
      <c r="AV342" s="34" t="n"/>
      <c r="AW342" s="34" t="n"/>
      <c r="AX342" s="34" t="n"/>
      <c r="AY342" s="215">
        <f>IFERROR(AY197+0,0.16)</f>
        <v>0.167371626765925</v>
      </c>
      <c r="AZ342" s="34" t="n"/>
      <c r="BA342" s="34" t="n"/>
      <c r="BB342" s="34" t="n"/>
      <c r="BC342" s="34" t="n"/>
      <c r="BD342" s="215">
        <f>IFERROR(BD197+0,0.16)</f>
        <v>0.194975536972136</v>
      </c>
      <c r="BE342" s="34" t="n"/>
      <c r="BF342" s="34" t="n"/>
      <c r="BG342" s="34" t="n"/>
      <c r="BH342" s="34" t="n"/>
      <c r="BI342" s="215">
        <f>IFERROR(BI197+0,0.16)</f>
        <v>0.175634646200557</v>
      </c>
      <c r="BJ342" s="34" t="n"/>
      <c r="BK342" s="34" t="n"/>
      <c r="BL342" s="34" t="n"/>
      <c r="BM342" s="34" t="n"/>
      <c r="BN342" s="215">
        <f>IFERROR(BN197+0,0.16)</f>
        <v>0.116772531940445</v>
      </c>
      <c r="BO342" s="34" t="n"/>
      <c r="BP342" s="34" t="n"/>
      <c r="BQ342" s="34" t="n"/>
      <c r="BR342" s="34" t="n"/>
      <c r="BS342" s="215">
        <f>IFERROR(BS197+0,0.16)</f>
        <v>0.111064562677466</v>
      </c>
      <c r="BT342" s="34" t="n"/>
      <c r="BU342" s="34" t="n"/>
      <c r="BV342" s="35" t="n"/>
      <c r="BW342" s="35" t="n"/>
      <c r="BX342" s="256">
        <f>IFERROR(BX197+0,0.16)</f>
        <v>0.153392829135771</v>
      </c>
      <c r="BY342" s="256">
        <f>IFERROR(BY197+0,0.16)</f>
        <v>0.16</v>
      </c>
      <c r="BZ342" s="256">
        <f>IFERROR(BZ197+0,0.16)</f>
        <v>0.16</v>
      </c>
      <c r="CA342" s="256">
        <f>IFERROR(CA197+0,0.16)</f>
        <v>0.16</v>
      </c>
      <c r="CB342" s="256">
        <f>IFERROR(CB197+0,0.16)</f>
        <v>0.165</v>
      </c>
      <c r="CC342" s="256">
        <f>IFERROR(CC197+0,0.16)</f>
        <v>0.165</v>
      </c>
      <c r="CD342" s="19" t="n"/>
    </row>
    <row r="343" ht="15" customHeight="1" s="251">
      <c r="B343" s="25" t="inlineStr">
        <is>
          <t>NOPAT = Adjusted EBIT × (1 − tax rate)</t>
        </is>
      </c>
      <c r="C343" s="211">
        <f>IFERROR(C341*(1-C342),"n/a")</f>
        <v>236.212598425197</v>
      </c>
      <c r="D343" s="211">
        <f>IFERROR(D341*(1-D342),"n/a")</f>
        <v>620.428571428571</v>
      </c>
      <c r="E343" s="211">
        <f>IFERROR(E341*(1-E342),"n/a")</f>
        <v>1035.98820058997</v>
      </c>
      <c r="F343" s="211">
        <f>IFERROR(F341*(1-F342),"n/a")</f>
        <v>57.7206477732793</v>
      </c>
      <c r="G343" s="34" t="n"/>
      <c r="H343" s="34" t="n"/>
      <c r="I343" s="34" t="n"/>
      <c r="J343" s="34" t="n"/>
      <c r="K343" s="211">
        <f>IFERROR(K341*(1-K342),"n/a")</f>
        <v>1527.23311546841</v>
      </c>
      <c r="L343" s="34" t="n"/>
      <c r="M343" s="34" t="n"/>
      <c r="N343" s="34" t="n"/>
      <c r="O343" s="34" t="n"/>
      <c r="P343" s="211">
        <f>IFERROR(P341*(1-P342),"n/a")</f>
        <v>2990.29735234216</v>
      </c>
      <c r="Q343" s="34" t="n"/>
      <c r="R343" s="34" t="n"/>
      <c r="S343" s="34" t="n"/>
      <c r="T343" s="34" t="n"/>
      <c r="U343" s="211">
        <f>IFERROR(U341*(1-U342),"n/a")</f>
        <v>3706.45786244753</v>
      </c>
      <c r="V343" s="34" t="n"/>
      <c r="W343" s="34" t="n"/>
      <c r="X343" s="34" t="n"/>
      <c r="Y343" s="34" t="n"/>
      <c r="Z343" s="211">
        <f>IFERROR(Z341*(1-Z342),"n/a")</f>
        <v>10142.7271928423</v>
      </c>
      <c r="AA343" s="34" t="n"/>
      <c r="AB343" s="34" t="n"/>
      <c r="AC343" s="34" t="n"/>
      <c r="AD343" s="34" t="n"/>
      <c r="AE343" s="211">
        <f>IFERROR(AE341*(1-AE342),"n/a")</f>
        <v>17858.3768087793</v>
      </c>
      <c r="AF343" s="34" t="n"/>
      <c r="AG343" s="34" t="n"/>
      <c r="AH343" s="34" t="n"/>
      <c r="AI343" s="34" t="n"/>
      <c r="AJ343" s="211">
        <f>IFERROR(AJ341*(1-AJ342),"n/a")</f>
        <v>21721.3933204527</v>
      </c>
      <c r="AK343" s="34" t="n"/>
      <c r="AL343" s="34" t="n"/>
      <c r="AM343" s="34" t="n"/>
      <c r="AN343" s="34" t="n"/>
      <c r="AO343" s="211">
        <f>IFERROR(AO341*(1-AO342),"n/a")</f>
        <v>23913.5472293036</v>
      </c>
      <c r="AP343" s="34" t="n"/>
      <c r="AQ343" s="34" t="n"/>
      <c r="AR343" s="34" t="n"/>
      <c r="AS343" s="34" t="n"/>
      <c r="AT343" s="211">
        <f>IFERROR(AT341*(1-AT342),"n/a")</f>
        <v>27799.8897830018</v>
      </c>
      <c r="AU343" s="34" t="n"/>
      <c r="AV343" s="34" t="n"/>
      <c r="AW343" s="34" t="n"/>
      <c r="AX343" s="34" t="n"/>
      <c r="AY343" s="211">
        <f>IFERROR(AY341*(1-AY342),"n/a")</f>
        <v>38927.8743338127</v>
      </c>
      <c r="AZ343" s="34" t="n"/>
      <c r="BA343" s="34" t="n"/>
      <c r="BB343" s="34" t="n"/>
      <c r="BC343" s="34" t="n"/>
      <c r="BD343" s="211">
        <f>IFERROR(BD341*(1-BD342),"n/a")</f>
        <v>27012.5958569</v>
      </c>
      <c r="BE343" s="34" t="n"/>
      <c r="BF343" s="34" t="n"/>
      <c r="BG343" s="34" t="n"/>
      <c r="BH343" s="34" t="n"/>
      <c r="BI343" s="211">
        <f>IFERROR(BI341*(1-BI342),"n/a")</f>
        <v>42928.825799106</v>
      </c>
      <c r="BJ343" s="34" t="n"/>
      <c r="BK343" s="34" t="n"/>
      <c r="BL343" s="34" t="n"/>
      <c r="BM343" s="34" t="n"/>
      <c r="BN343" s="211">
        <f>IFERROR(BN341*(1-BN342),"n/a")</f>
        <v>59909.3191584796</v>
      </c>
      <c r="BO343" s="34" t="n"/>
      <c r="BP343" s="34" t="n"/>
      <c r="BQ343" s="34" t="n"/>
      <c r="BR343" s="34" t="n"/>
      <c r="BS343" s="211">
        <f>IFERROR(BS341*(1-BS342),"n/a")</f>
        <v>74026.9874784714</v>
      </c>
      <c r="BT343" s="34" t="n"/>
      <c r="BU343" s="34" t="n"/>
      <c r="BV343" s="35" t="n"/>
      <c r="BW343" s="35" t="n"/>
      <c r="BX343" s="263">
        <f>IFERROR(BX341*(1-BX342),"n/a")</f>
        <v>75500.7759029077</v>
      </c>
      <c r="BY343" s="263">
        <f>IFERROR(BY341*(1-BY342),"n/a")</f>
        <v>85876.1082023735</v>
      </c>
      <c r="BZ343" s="263">
        <f>IFERROR(BZ341*(1-BZ342),"n/a")</f>
        <v>100056.666020757</v>
      </c>
      <c r="CA343" s="263">
        <f>IFERROR(CA341*(1-CA342),"n/a")</f>
        <v>113202.620821317</v>
      </c>
      <c r="CB343" s="263">
        <f>IFERROR(CB341*(1-CB342),"n/a")</f>
        <v>129437.112633307</v>
      </c>
      <c r="CC343" s="263">
        <f>IFERROR(CC341*(1-CC342),"n/a")</f>
        <v>146359.692167716</v>
      </c>
      <c r="CD343" s="19" t="n"/>
    </row>
    <row r="344" ht="15" customHeight="1" s="251">
      <c r="B344" s="25" t="inlineStr">
        <is>
          <t>Invested capital (IC) = Equity + Net debt</t>
        </is>
      </c>
      <c r="C344" s="211" t="str">
        <f>IFERROR(C345+C346,"n/a")</f>
        <v>n/a</v>
      </c>
      <c r="D344" s="211">
        <f>IFERROR(D345+D346,"n/a")</f>
        <v>850</v>
      </c>
      <c r="E344" s="211">
        <f>IFERROR(E345+E346,"n/a")</f>
        <v>1668</v>
      </c>
      <c r="F344" s="211">
        <f>IFERROR(F345+F346,"n/a")</f>
        <v>4485</v>
      </c>
      <c r="G344" s="34" t="n"/>
      <c r="H344" s="34" t="n"/>
      <c r="I344" s="34" t="n"/>
      <c r="J344" s="34" t="n"/>
      <c r="K344" s="211">
        <f>IFERROR(K345+K346,"n/a")</f>
        <v>4497</v>
      </c>
      <c r="L344" s="34" t="n"/>
      <c r="M344" s="34" t="n"/>
      <c r="N344" s="34" t="n"/>
      <c r="O344" s="34" t="n"/>
      <c r="P344" s="211">
        <f>IFERROR(P345+P346,"n/a")</f>
        <v>25130</v>
      </c>
      <c r="Q344" s="34" t="n"/>
      <c r="R344" s="34" t="n"/>
      <c r="S344" s="34" t="n"/>
      <c r="T344" s="34" t="n"/>
      <c r="U344" s="211">
        <f>IFERROR(U345+U346,"n/a")</f>
        <v>25898</v>
      </c>
      <c r="V344" s="34" t="n"/>
      <c r="W344" s="34" t="n"/>
      <c r="X344" s="34" t="n"/>
      <c r="Y344" s="34" t="n"/>
      <c r="Z344" s="211">
        <f>IFERROR(Z345+Z346,"n/a")</f>
        <v>29745</v>
      </c>
      <c r="AA344" s="34" t="n"/>
      <c r="AB344" s="34" t="n"/>
      <c r="AC344" s="34" t="n"/>
      <c r="AD344" s="34" t="n"/>
      <c r="AE344" s="211">
        <f>IFERROR(AE345+AE346,"n/a")</f>
        <v>32636</v>
      </c>
      <c r="AF344" s="34" t="n"/>
      <c r="AG344" s="34" t="n"/>
      <c r="AH344" s="34" t="n"/>
      <c r="AI344" s="34" t="n"/>
      <c r="AJ344" s="211">
        <f>IFERROR(AJ345+AJ346,"n/a")</f>
        <v>43013</v>
      </c>
      <c r="AK344" s="34" t="n"/>
      <c r="AL344" s="34" t="n"/>
      <c r="AM344" s="34" t="n"/>
      <c r="AN344" s="34" t="n"/>
      <c r="AO344" s="211">
        <f>IFERROR(AO345+AO346,"n/a")</f>
        <v>46199</v>
      </c>
      <c r="AP344" s="34" t="n"/>
      <c r="AQ344" s="34" t="n"/>
      <c r="AR344" s="34" t="n"/>
      <c r="AS344" s="34" t="n"/>
      <c r="AT344" s="211">
        <f>IFERROR(AT345+AT346,"n/a")</f>
        <v>66336</v>
      </c>
      <c r="AU344" s="34" t="n"/>
      <c r="AV344" s="34" t="n"/>
      <c r="AW344" s="34" t="n"/>
      <c r="AX344" s="34" t="n"/>
      <c r="AY344" s="211">
        <f>IFERROR(AY345+AY346,"n/a")</f>
        <v>76881</v>
      </c>
      <c r="AZ344" s="34" t="n"/>
      <c r="BA344" s="34" t="n"/>
      <c r="BB344" s="34" t="n"/>
      <c r="BC344" s="34" t="n"/>
      <c r="BD344" s="211">
        <f>IFERROR(BD345+BD346,"n/a")</f>
        <v>94898</v>
      </c>
      <c r="BE344" s="34" t="n"/>
      <c r="BF344" s="34" t="n"/>
      <c r="BG344" s="34" t="n"/>
      <c r="BH344" s="34" t="n"/>
      <c r="BI344" s="211">
        <f>IFERROR(BI345+BI346,"n/a")</f>
        <v>106150</v>
      </c>
      <c r="BJ344" s="34" t="n"/>
      <c r="BK344" s="34" t="n"/>
      <c r="BL344" s="34" t="n"/>
      <c r="BM344" s="34" t="n"/>
      <c r="BN344" s="211">
        <f>IFERROR(BN345+BN346,"n/a")</f>
        <v>133648</v>
      </c>
      <c r="BO344" s="34" t="n"/>
      <c r="BP344" s="34" t="n"/>
      <c r="BQ344" s="34" t="n"/>
      <c r="BR344" s="34" t="n"/>
      <c r="BS344" s="211">
        <f>IFERROR(BS345+BS346,"n/a")</f>
        <v>194395</v>
      </c>
      <c r="BT344" s="34" t="n"/>
      <c r="BU344" s="34" t="n"/>
      <c r="BV344" s="35" t="n"/>
      <c r="BW344" s="35" t="n"/>
      <c r="BX344" s="263">
        <f>IFERROR(BX345+BX346,"n/a")</f>
        <v>328331.141301004</v>
      </c>
      <c r="BY344" s="263">
        <f>IFERROR(BY345+BY346,"n/a")</f>
        <v>427298.838588414</v>
      </c>
      <c r="BZ344" s="263">
        <f>IFERROR(BZ345+BZ346,"n/a")</f>
        <v>510729.98373133</v>
      </c>
      <c r="CA344" s="263">
        <f>IFERROR(CA345+CA346,"n/a")</f>
        <v>573360.544788228</v>
      </c>
      <c r="CB344" s="263">
        <f>IFERROR(CB345+CB346,"n/a")</f>
        <v>621037.964190765</v>
      </c>
      <c r="CC344" s="263">
        <f>IFERROR(CC345+CC346,"n/a")</f>
        <v>659826.707976878</v>
      </c>
      <c r="CD344" s="19" t="n"/>
    </row>
    <row r="345" ht="15" customHeight="1" s="251">
      <c r="B345" s="25" t="inlineStr">
        <is>
          <t xml:space="preserve">  Total stockholders' equity</t>
        </is>
      </c>
      <c r="C345" s="211" t="str">
        <f>IF(ISNUMBER(C294),C294,"n/a")</f>
        <v>n/a</v>
      </c>
      <c r="D345" s="211">
        <f>IF(ISNUMBER(D294),D294,"n/a")</f>
        <v>2162</v>
      </c>
      <c r="E345" s="211">
        <f>IF(ISNUMBER(E294),E294,"n/a")</f>
        <v>4899</v>
      </c>
      <c r="F345" s="211">
        <f>IF(ISNUMBER(F294),F294,"n/a")</f>
        <v>11755</v>
      </c>
      <c r="G345" s="34" t="n"/>
      <c r="H345" s="34" t="n"/>
      <c r="I345" s="34" t="n"/>
      <c r="J345" s="34" t="n"/>
      <c r="K345" s="211">
        <f>IF(ISNUMBER(K294),K294,"n/a")</f>
        <v>15470</v>
      </c>
      <c r="L345" s="34" t="n"/>
      <c r="M345" s="34" t="n"/>
      <c r="N345" s="34" t="n"/>
      <c r="O345" s="34" t="n"/>
      <c r="P345" s="211">
        <f>IF(ISNUMBER(P294),P294,"n/a")</f>
        <v>36096</v>
      </c>
      <c r="Q345" s="34" t="n"/>
      <c r="R345" s="34" t="n"/>
      <c r="S345" s="34" t="n"/>
      <c r="T345" s="34" t="n"/>
      <c r="U345" s="211">
        <f>IF(ISNUMBER(U294),U294,"n/a")</f>
        <v>44218</v>
      </c>
      <c r="V345" s="34" t="n"/>
      <c r="W345" s="34" t="n"/>
      <c r="X345" s="34" t="n"/>
      <c r="Y345" s="34" t="n"/>
      <c r="Z345" s="211">
        <f>IF(ISNUMBER(Z294),Z294,"n/a")</f>
        <v>59194</v>
      </c>
      <c r="AA345" s="34" t="n"/>
      <c r="AB345" s="34" t="n"/>
      <c r="AC345" s="34" t="n"/>
      <c r="AD345" s="34" t="n"/>
      <c r="AE345" s="211">
        <f>IF(ISNUMBER(AE294),AE294,"n/a")</f>
        <v>74347</v>
      </c>
      <c r="AF345" s="34" t="n"/>
      <c r="AG345" s="34" t="n"/>
      <c r="AH345" s="34" t="n"/>
      <c r="AI345" s="34" t="n"/>
      <c r="AJ345" s="211">
        <f>IF(ISNUMBER(AJ294),AJ294,"n/a")</f>
        <v>84127</v>
      </c>
      <c r="AK345" s="34" t="n"/>
      <c r="AL345" s="34" t="n"/>
      <c r="AM345" s="34" t="n"/>
      <c r="AN345" s="34" t="n"/>
      <c r="AO345" s="211">
        <f>IF(ISNUMBER(AO294),AO294,"n/a")</f>
        <v>101054</v>
      </c>
      <c r="AP345" s="34" t="n"/>
      <c r="AQ345" s="34" t="n"/>
      <c r="AR345" s="34" t="n"/>
      <c r="AS345" s="34" t="n"/>
      <c r="AT345" s="211">
        <f>IF(ISNUMBER(AT294),AT294,"n/a")</f>
        <v>128290</v>
      </c>
      <c r="AU345" s="34" t="n"/>
      <c r="AV345" s="34" t="n"/>
      <c r="AW345" s="34" t="n"/>
      <c r="AX345" s="34" t="n"/>
      <c r="AY345" s="211">
        <f>IF(ISNUMBER(AY294),AY294,"n/a")</f>
        <v>124879</v>
      </c>
      <c r="AZ345" s="34" t="n"/>
      <c r="BA345" s="34" t="n"/>
      <c r="BB345" s="34" t="n"/>
      <c r="BC345" s="34" t="n"/>
      <c r="BD345" s="211">
        <f>IF(ISNUMBER(BD294),BD294,"n/a")</f>
        <v>125713</v>
      </c>
      <c r="BE345" s="34" t="n"/>
      <c r="BF345" s="34" t="n"/>
      <c r="BG345" s="34" t="n"/>
      <c r="BH345" s="34" t="n"/>
      <c r="BI345" s="211">
        <f>IF(ISNUMBER(BI294),BI294,"n/a")</f>
        <v>153168</v>
      </c>
      <c r="BJ345" s="34" t="n"/>
      <c r="BK345" s="34" t="n"/>
      <c r="BL345" s="34" t="n"/>
      <c r="BM345" s="34" t="n"/>
      <c r="BN345" s="211">
        <f>IF(ISNUMBER(BN294),BN294,"n/a")</f>
        <v>182637</v>
      </c>
      <c r="BO345" s="34" t="n"/>
      <c r="BP345" s="34" t="n"/>
      <c r="BQ345" s="34" t="n"/>
      <c r="BR345" s="34" t="n"/>
      <c r="BS345" s="211">
        <f>IF(ISNUMBER(BS294),BS294,"n/a")</f>
        <v>217243</v>
      </c>
      <c r="BT345" s="34" t="n"/>
      <c r="BU345" s="34" t="n"/>
      <c r="BV345" s="35" t="n"/>
      <c r="BW345" s="35" t="n"/>
      <c r="BX345" s="263">
        <f>IF(ISNUMBER(BX294),BX294,"n/a")</f>
        <v>297034.400726179</v>
      </c>
      <c r="BY345" s="263">
        <f>IF(ISNUMBER(BY294),BY294,"n/a")</f>
        <v>378963.287449099</v>
      </c>
      <c r="BZ345" s="263">
        <f>IF(ISNUMBER(BZ294),BZ294,"n/a")</f>
        <v>468058.089477838</v>
      </c>
      <c r="CA345" s="263">
        <f>IF(ISNUMBER(CA294),CA294,"n/a")</f>
        <v>523877.115836981</v>
      </c>
      <c r="CB345" s="263">
        <f>IF(ISNUMBER(CB294),CB294,"n/a")</f>
        <v>564763.471750575</v>
      </c>
      <c r="CC345" s="263">
        <f>IF(ISNUMBER(CC294),CC294,"n/a")</f>
        <v>597107.729245984</v>
      </c>
      <c r="CD345" s="19" t="n"/>
    </row>
    <row r="346" ht="15" customHeight="1" s="251">
      <c r="B346" s="25" t="inlineStr">
        <is>
          <t xml:space="preserve">  Net debt = Total debt − cash − marketable securities</t>
        </is>
      </c>
      <c r="C346" s="211" t="str">
        <f>IFERROR(C319-C274-C275,"n/a")</f>
        <v>n/a</v>
      </c>
      <c r="D346" s="211">
        <f>IFERROR(D319-D274-D275,"n/a")</f>
        <v>-1312</v>
      </c>
      <c r="E346" s="211">
        <f>IFERROR(E319-E274-E275,"n/a")</f>
        <v>-3231</v>
      </c>
      <c r="F346" s="211">
        <f>IFERROR(F319-F274-F275,"n/a")</f>
        <v>-7270</v>
      </c>
      <c r="G346" s="34" t="n"/>
      <c r="H346" s="34" t="n"/>
      <c r="I346" s="34" t="n"/>
      <c r="J346" s="34" t="n"/>
      <c r="K346" s="211">
        <f>IFERROR(K319-K274-K275,"n/a")</f>
        <v>-10973</v>
      </c>
      <c r="L346" s="34" t="n"/>
      <c r="M346" s="34" t="n"/>
      <c r="N346" s="34" t="n"/>
      <c r="O346" s="34" t="n"/>
      <c r="P346" s="211">
        <f>IFERROR(P319-P274-P275,"n/a")</f>
        <v>-10966</v>
      </c>
      <c r="Q346" s="34" t="n"/>
      <c r="R346" s="34" t="n"/>
      <c r="S346" s="34" t="n"/>
      <c r="T346" s="34" t="n"/>
      <c r="U346" s="211">
        <f>IFERROR(U319-U274-U275,"n/a")</f>
        <v>-18320</v>
      </c>
      <c r="V346" s="34" t="n"/>
      <c r="W346" s="34" t="n"/>
      <c r="X346" s="34" t="n"/>
      <c r="Y346" s="34" t="n"/>
      <c r="Z346" s="211">
        <f>IFERROR(Z319-Z274-Z275,"n/a")</f>
        <v>-29449</v>
      </c>
      <c r="AA346" s="34" t="n"/>
      <c r="AB346" s="34" t="n"/>
      <c r="AC346" s="34" t="n"/>
      <c r="AD346" s="34" t="n"/>
      <c r="AE346" s="211">
        <f>IFERROR(AE319-AE274-AE275,"n/a")</f>
        <v>-41711</v>
      </c>
      <c r="AF346" s="34" t="n"/>
      <c r="AG346" s="34" t="n"/>
      <c r="AH346" s="34" t="n"/>
      <c r="AI346" s="34" t="n"/>
      <c r="AJ346" s="211">
        <f>IFERROR(AJ319-AJ274-AJ275,"n/a")</f>
        <v>-41114</v>
      </c>
      <c r="AK346" s="34" t="n"/>
      <c r="AL346" s="34" t="n"/>
      <c r="AM346" s="34" t="n"/>
      <c r="AN346" s="34" t="n"/>
      <c r="AO346" s="211">
        <f>IFERROR(AO319-AO274-AO275,"n/a")</f>
        <v>-54855</v>
      </c>
      <c r="AP346" s="34" t="n"/>
      <c r="AQ346" s="34" t="n"/>
      <c r="AR346" s="34" t="n"/>
      <c r="AS346" s="34" t="n"/>
      <c r="AT346" s="211">
        <f>IFERROR(AT319-AT274-AT275,"n/a")</f>
        <v>-61954</v>
      </c>
      <c r="AU346" s="34" t="n"/>
      <c r="AV346" s="34" t="n"/>
      <c r="AW346" s="34" t="n"/>
      <c r="AX346" s="34" t="n"/>
      <c r="AY346" s="211">
        <f>IFERROR(AY319-AY274-AY275,"n/a")</f>
        <v>-47998</v>
      </c>
      <c r="AZ346" s="34" t="n"/>
      <c r="BA346" s="34" t="n"/>
      <c r="BB346" s="34" t="n"/>
      <c r="BC346" s="34" t="n"/>
      <c r="BD346" s="211">
        <f>IFERROR(BD319-BD274-BD275,"n/a")</f>
        <v>-30815</v>
      </c>
      <c r="BE346" s="34" t="n"/>
      <c r="BF346" s="34" t="n"/>
      <c r="BG346" s="34" t="n"/>
      <c r="BH346" s="34" t="n"/>
      <c r="BI346" s="211">
        <f>IFERROR(BI319-BI274-BI275,"n/a")</f>
        <v>-47018</v>
      </c>
      <c r="BJ346" s="34" t="n"/>
      <c r="BK346" s="34" t="n"/>
      <c r="BL346" s="34" t="n"/>
      <c r="BM346" s="34" t="n"/>
      <c r="BN346" s="211">
        <f>IFERROR(BN319-BN274-BN275,"n/a")</f>
        <v>-48989</v>
      </c>
      <c r="BO346" s="34" t="n"/>
      <c r="BP346" s="34" t="n"/>
      <c r="BQ346" s="34" t="n"/>
      <c r="BR346" s="34" t="n"/>
      <c r="BS346" s="211">
        <f>IFERROR(BS319-BS274-BS275,"n/a")</f>
        <v>-22848</v>
      </c>
      <c r="BT346" s="34" t="n"/>
      <c r="BU346" s="34" t="n"/>
      <c r="BV346" s="35" t="n"/>
      <c r="BW346" s="35" t="n"/>
      <c r="BX346" s="263">
        <f>IFERROR(BX319-BX274-BX275,"n/a")</f>
        <v>31296.7405748248</v>
      </c>
      <c r="BY346" s="263">
        <f>IFERROR(BY319-BY274-BY275,"n/a")</f>
        <v>48335.5511393147</v>
      </c>
      <c r="BZ346" s="263">
        <f>IFERROR(BZ319-BZ274-BZ275,"n/a")</f>
        <v>42671.8942534926</v>
      </c>
      <c r="CA346" s="263">
        <f>IFERROR(CA319-CA274-CA275,"n/a")</f>
        <v>49483.4289512468</v>
      </c>
      <c r="CB346" s="263">
        <f>IFERROR(CB319-CB274-CB275,"n/a")</f>
        <v>56274.4924401892</v>
      </c>
      <c r="CC346" s="263">
        <f>IFERROR(CC319-CC274-CC275,"n/a")</f>
        <v>62718.9787308935</v>
      </c>
      <c r="CD346" s="19" t="n"/>
    </row>
    <row r="347" ht="15" customHeight="1" s="251">
      <c r="B347" s="55" t="inlineStr">
        <is>
          <t>ROIC = NOPAT / IC</t>
        </is>
      </c>
      <c r="C347" s="288" t="str">
        <f>IFERROR(C343/C344,"n/a")</f>
        <v>n/a</v>
      </c>
      <c r="D347" s="288">
        <f>IFERROR(D343/D344,"n/a")</f>
        <v>0.729915966386555</v>
      </c>
      <c r="E347" s="288">
        <f>IFERROR(E343/E344,"n/a")</f>
        <v>0.621096043519167</v>
      </c>
      <c r="F347" s="288">
        <f>IFERROR(F343/F344,"n/a")</f>
        <v>0.0128697096484458</v>
      </c>
      <c r="G347" s="56" t="n"/>
      <c r="H347" s="56" t="n"/>
      <c r="I347" s="56" t="n"/>
      <c r="J347" s="56" t="n"/>
      <c r="K347" s="288">
        <f>IFERROR(K343/K344,"n/a")</f>
        <v>0.339611544467069</v>
      </c>
      <c r="L347" s="56" t="n"/>
      <c r="M347" s="56" t="n"/>
      <c r="N347" s="56" t="n"/>
      <c r="O347" s="56" t="n"/>
      <c r="P347" s="288">
        <f>IFERROR(P343/P344,"n/a")</f>
        <v>0.118993129818629</v>
      </c>
      <c r="Q347" s="56" t="n"/>
      <c r="R347" s="56" t="n"/>
      <c r="S347" s="56" t="n"/>
      <c r="T347" s="56" t="n"/>
      <c r="U347" s="288">
        <f>IFERROR(U343/U344,"n/a")</f>
        <v>0.143117532722509</v>
      </c>
      <c r="V347" s="56" t="n"/>
      <c r="W347" s="56" t="n"/>
      <c r="X347" s="56" t="n"/>
      <c r="Y347" s="56" t="n"/>
      <c r="Z347" s="288">
        <f>IFERROR(Z343/Z344,"n/a")</f>
        <v>0.340989315610768</v>
      </c>
      <c r="AA347" s="56" t="n"/>
      <c r="AB347" s="56" t="n"/>
      <c r="AC347" s="56" t="n"/>
      <c r="AD347" s="56" t="n"/>
      <c r="AE347" s="288">
        <f>IFERROR(AE343/AE344,"n/a")</f>
        <v>0.547198701090184</v>
      </c>
      <c r="AF347" s="56" t="n"/>
      <c r="AG347" s="56" t="n"/>
      <c r="AH347" s="56" t="n"/>
      <c r="AI347" s="56" t="n"/>
      <c r="AJ347" s="288">
        <f>IFERROR(AJ343/AJ344,"n/a")</f>
        <v>0.504996008659072</v>
      </c>
      <c r="AK347" s="56" t="n"/>
      <c r="AL347" s="56" t="n"/>
      <c r="AM347" s="56" t="n"/>
      <c r="AN347" s="56" t="n"/>
      <c r="AO347" s="288">
        <f>IFERROR(AO343/AO344,"n/a")</f>
        <v>0.517620451293397</v>
      </c>
      <c r="AP347" s="56" t="n"/>
      <c r="AQ347" s="56" t="n"/>
      <c r="AR347" s="56" t="n"/>
      <c r="AS347" s="56" t="n"/>
      <c r="AT347" s="288">
        <f>IFERROR(AT343/AT344,"n/a")</f>
        <v>0.419076968508831</v>
      </c>
      <c r="AU347" s="56" t="n"/>
      <c r="AV347" s="56" t="n"/>
      <c r="AW347" s="56" t="n"/>
      <c r="AX347" s="56" t="n"/>
      <c r="AY347" s="288">
        <f>IFERROR(AY343/AY344,"n/a")</f>
        <v>0.506339333955239</v>
      </c>
      <c r="AZ347" s="56" t="n"/>
      <c r="BA347" s="56" t="n"/>
      <c r="BB347" s="56" t="n"/>
      <c r="BC347" s="56" t="n"/>
      <c r="BD347" s="288">
        <f>IFERROR(BD343/BD344,"n/a")</f>
        <v>0.284648737137769</v>
      </c>
      <c r="BE347" s="56" t="n"/>
      <c r="BF347" s="56" t="n"/>
      <c r="BG347" s="56" t="n"/>
      <c r="BH347" s="56" t="n"/>
      <c r="BI347" s="288">
        <f>IFERROR(BI343/BI344,"n/a")</f>
        <v>0.40441663494212</v>
      </c>
      <c r="BJ347" s="56" t="n"/>
      <c r="BK347" s="56" t="n"/>
      <c r="BL347" s="56" t="n"/>
      <c r="BM347" s="56" t="n"/>
      <c r="BN347" s="288">
        <f>IFERROR(BN343/BN344,"n/a")</f>
        <v>0.448261995379501</v>
      </c>
      <c r="BO347" s="56" t="n"/>
      <c r="BP347" s="56" t="n"/>
      <c r="BQ347" s="56" t="n"/>
      <c r="BR347" s="56" t="n"/>
      <c r="BS347" s="288">
        <f>IFERROR(BS343/BS344,"n/a")</f>
        <v>0.380807055111867</v>
      </c>
      <c r="BT347" s="56" t="n"/>
      <c r="BU347" s="56" t="n"/>
      <c r="BV347" s="56" t="n"/>
      <c r="BW347" s="56" t="n"/>
      <c r="BX347" s="288">
        <f>IFERROR(BX343/BX344,"n/a")</f>
        <v>0.229953136957213</v>
      </c>
      <c r="BY347" s="288">
        <f>IFERROR(BY343/BY344,"n/a")</f>
        <v>0.200974354355996</v>
      </c>
      <c r="BZ347" s="288">
        <f>IFERROR(BZ343/BZ344,"n/a")</f>
        <v>0.195909128517882</v>
      </c>
      <c r="CA347" s="288">
        <f>IFERROR(CA343/CA344,"n/a")</f>
        <v>0.197437060938905</v>
      </c>
      <c r="CB347" s="288">
        <f>IFERROR(CB343/CB344,"n/a")</f>
        <v>0.208420612098922</v>
      </c>
      <c r="CC347" s="288">
        <f>IFERROR(CC343/CC344,"n/a")</f>
        <v>0.221815349997692</v>
      </c>
      <c r="CD347" s="153" t="n"/>
      <c r="CF347" s="37">
        <f>IFERROR(AVERAGE(BY347,BZ347,CA347,CB347,CC347),"n/m")</f>
        <v>0.204911301181879</v>
      </c>
      <c r="CG347" s="37">
        <f>IFERROR(AVERAGE(AY347,BD347,BI347,BN347,BS347),"n/m")</f>
        <v>0.404894751305299</v>
      </c>
      <c r="CH347" s="37">
        <f>IFERROR(AVERAGE(Z347,AE347,AJ347,AO347,AT347,AY347,BD347,BI347,BN347,BS347),"n/m")</f>
        <v>0.435435520168875</v>
      </c>
      <c r="CI347" s="37">
        <f>IFERROR(AVERAGE(C347,D347,E347,F347,K347,P347,U347,Z347,AE347,AJ347,AO347,AT347,AY347,BD347,BI347,BN347,BS347),"n/m")</f>
        <v>0.394997445515695</v>
      </c>
    </row>
    <row r="348" ht="15" customHeight="1" s="251">
      <c r="B348" s="25" t="inlineStr">
        <is>
          <t xml:space="preserve">  Margin = Adjusted EBIT / Revenue</t>
        </is>
      </c>
      <c r="C348" s="215">
        <f>IFERROR(C341/C109,"n/a")</f>
        <v>0.337194337194337</v>
      </c>
      <c r="D348" s="215">
        <f>IFERROR(D341/D109,"n/a")</f>
        <v>0.522796352583587</v>
      </c>
      <c r="E348" s="215">
        <f>IFERROR(E341/E109,"n/a")</f>
        <v>0.473187819994611</v>
      </c>
      <c r="F348" s="215">
        <f>IFERROR(F341/F109,"n/a")</f>
        <v>0.105718215759481</v>
      </c>
      <c r="G348" s="34" t="n"/>
      <c r="H348" s="34" t="n"/>
      <c r="I348" s="34" t="n"/>
      <c r="J348" s="34" t="n"/>
      <c r="K348" s="215">
        <f>IFERROR(K341/K109,"n/a")</f>
        <v>0.35619918699187</v>
      </c>
      <c r="L348" s="34" t="n"/>
      <c r="M348" s="34" t="n"/>
      <c r="N348" s="34" t="n"/>
      <c r="O348" s="34" t="n"/>
      <c r="P348" s="215">
        <f>IFERROR(P341/P109,"n/a")</f>
        <v>0.400609658270496</v>
      </c>
      <c r="Q348" s="34" t="n"/>
      <c r="R348" s="34" t="n"/>
      <c r="S348" s="34" t="n"/>
      <c r="T348" s="34" t="n"/>
      <c r="U348" s="215">
        <f>IFERROR(U341/U109,"n/a")</f>
        <v>0.347222222222222</v>
      </c>
      <c r="V348" s="34" t="n"/>
      <c r="W348" s="34" t="n"/>
      <c r="X348" s="34" t="n"/>
      <c r="Y348" s="34" t="n"/>
      <c r="Z348" s="215">
        <f>IFERROR(Z341/Z109,"n/a")</f>
        <v>0.449634561111513</v>
      </c>
      <c r="AA348" s="34" t="n"/>
      <c r="AB348" s="34" t="n"/>
      <c r="AC348" s="34" t="n"/>
      <c r="AD348" s="34" t="n"/>
      <c r="AE348" s="215">
        <f>IFERROR(AE341/AE109,"n/a")</f>
        <v>0.496962093818414</v>
      </c>
      <c r="AF348" s="34" t="n"/>
      <c r="AG348" s="34" t="n"/>
      <c r="AH348" s="34" t="n"/>
      <c r="AI348" s="34" t="n"/>
      <c r="AJ348" s="215">
        <f>IFERROR(AJ341/AJ109,"n/a")</f>
        <v>0.446165693613668</v>
      </c>
      <c r="AK348" s="34" t="n"/>
      <c r="AL348" s="34" t="n"/>
      <c r="AM348" s="34" t="n"/>
      <c r="AN348" s="34" t="n"/>
      <c r="AO348" s="215">
        <f>IFERROR(AO341/AO109,"n/a")</f>
        <v>0.410003253320509</v>
      </c>
      <c r="AP348" s="34" t="n"/>
      <c r="AQ348" s="34" t="n"/>
      <c r="AR348" s="34" t="n"/>
      <c r="AS348" s="34" t="n"/>
      <c r="AT348" s="215">
        <f>IFERROR(AT341/AT109,"n/a")</f>
        <v>0.380050020357122</v>
      </c>
      <c r="AU348" s="34" t="n"/>
      <c r="AV348" s="34" t="n"/>
      <c r="AW348" s="34" t="n"/>
      <c r="AX348" s="34" t="n"/>
      <c r="AY348" s="215">
        <f>IFERROR(AY341/AY109,"n/a")</f>
        <v>0.396450406600582</v>
      </c>
      <c r="AZ348" s="34" t="n"/>
      <c r="BA348" s="34" t="n"/>
      <c r="BB348" s="34" t="n"/>
      <c r="BC348" s="34" t="n"/>
      <c r="BD348" s="215">
        <f>IFERROR(BD341/BD109,"n/a")</f>
        <v>0.287756519651142</v>
      </c>
      <c r="BE348" s="34" t="n"/>
      <c r="BF348" s="34" t="n"/>
      <c r="BG348" s="34" t="n"/>
      <c r="BH348" s="34" t="n"/>
      <c r="BI348" s="215">
        <f>IFERROR(BI341/BI109,"n/a")</f>
        <v>0.386020963365999</v>
      </c>
      <c r="BJ348" s="34" t="n"/>
      <c r="BK348" s="34" t="n"/>
      <c r="BL348" s="34" t="n"/>
      <c r="BM348" s="34" t="n"/>
      <c r="BN348" s="215">
        <f>IFERROR(BN341/BN109,"n/a")</f>
        <v>0.412337918918426</v>
      </c>
      <c r="BO348" s="34" t="n"/>
      <c r="BP348" s="34" t="n"/>
      <c r="BQ348" s="34" t="n"/>
      <c r="BR348" s="34" t="n"/>
      <c r="BS348" s="215">
        <f>IFERROR(BS341/BS109,"n/a")</f>
        <v>0.414378551595792</v>
      </c>
      <c r="BT348" s="34" t="n"/>
      <c r="BU348" s="34" t="n"/>
      <c r="BV348" s="35" t="n"/>
      <c r="BW348" s="35" t="n"/>
      <c r="BX348" s="256">
        <f>IFERROR(BX341/BX109,"n/a")</f>
        <v>0.353049351703699</v>
      </c>
      <c r="BY348" s="256">
        <f>IFERROR(BY341/BY109,"n/a")</f>
        <v>0.339837230929959</v>
      </c>
      <c r="BZ348" s="256">
        <f>IFERROR(BZ341/BZ109,"n/a")</f>
        <v>0.341948661602544</v>
      </c>
      <c r="CA348" s="256">
        <f>IFERROR(CA341/CA109,"n/a")</f>
        <v>0.340429684349631</v>
      </c>
      <c r="CB348" s="256">
        <f>IFERROR(CB341/CB109,"n/a")</f>
        <v>0.351213288237734</v>
      </c>
      <c r="CC348" s="256">
        <f>IFERROR(CC341/CC109,"n/a")</f>
        <v>0.359818320091148</v>
      </c>
      <c r="CD348" s="19" t="n"/>
    </row>
    <row r="349" ht="15" customHeight="1" s="251">
      <c r="B349" s="25" t="inlineStr">
        <is>
          <t xml:space="preserve">  Capital turnover = Revenue / IC</t>
        </is>
      </c>
      <c r="C349" s="279" t="str">
        <f>IFERROR(C109/C344,"n/a")</f>
        <v>n/a</v>
      </c>
      <c r="D349" s="279">
        <f>IFERROR(D109/D344,"n/a")</f>
        <v>2.32235294117647</v>
      </c>
      <c r="E349" s="279">
        <f>IFERROR(E109/E344,"n/a")</f>
        <v>2.22482014388489</v>
      </c>
      <c r="F349" s="279">
        <f>IFERROR(F109/F344,"n/a")</f>
        <v>1.13467112597547</v>
      </c>
      <c r="G349" s="34" t="n"/>
      <c r="H349" s="34" t="n"/>
      <c r="I349" s="34" t="n"/>
      <c r="J349" s="34" t="n"/>
      <c r="K349" s="279">
        <f>IFERROR(K109/K344,"n/a")</f>
        <v>1.7505003335557</v>
      </c>
      <c r="L349" s="34" t="n"/>
      <c r="M349" s="34" t="n"/>
      <c r="N349" s="34" t="n"/>
      <c r="O349" s="34" t="n"/>
      <c r="P349" s="279">
        <f>IFERROR(P109/P344,"n/a")</f>
        <v>0.496060485475527</v>
      </c>
      <c r="Q349" s="34" t="n"/>
      <c r="R349" s="34" t="n"/>
      <c r="S349" s="34" t="n"/>
      <c r="T349" s="34" t="n"/>
      <c r="U349" s="279">
        <f>IFERROR(U109/U344,"n/a")</f>
        <v>0.692254228125724</v>
      </c>
      <c r="V349" s="34" t="n"/>
      <c r="W349" s="34" t="n"/>
      <c r="X349" s="34" t="n"/>
      <c r="Y349" s="34" t="n"/>
      <c r="Z349" s="279">
        <f>IFERROR(Z109/Z344,"n/a")</f>
        <v>0.929164565473189</v>
      </c>
      <c r="AA349" s="34" t="n"/>
      <c r="AB349" s="34" t="n"/>
      <c r="AC349" s="34" t="n"/>
      <c r="AD349" s="34" t="n"/>
      <c r="AE349" s="279">
        <f>IFERROR(AE109/AE344,"n/a")</f>
        <v>1.24564897659027</v>
      </c>
      <c r="AF349" s="34" t="n"/>
      <c r="AG349" s="34" t="n"/>
      <c r="AH349" s="34" t="n"/>
      <c r="AI349" s="34" t="n"/>
      <c r="AJ349" s="279">
        <f>IFERROR(AJ109/AJ344,"n/a")</f>
        <v>1.2981656708437</v>
      </c>
      <c r="AK349" s="34" t="n"/>
      <c r="AL349" s="34" t="n"/>
      <c r="AM349" s="34" t="n"/>
      <c r="AN349" s="34" t="n"/>
      <c r="AO349" s="279">
        <f>IFERROR(AO109/AO344,"n/a")</f>
        <v>1.53027121799173</v>
      </c>
      <c r="AP349" s="34" t="n"/>
      <c r="AQ349" s="34" t="n"/>
      <c r="AR349" s="34" t="n"/>
      <c r="AS349" s="34" t="n"/>
      <c r="AT349" s="279">
        <f>IFERROR(AT109/AT344,"n/a")</f>
        <v>1.29590267727931</v>
      </c>
      <c r="AU349" s="34" t="n"/>
      <c r="AV349" s="34" t="n"/>
      <c r="AW349" s="34" t="n"/>
      <c r="AX349" s="34" t="n"/>
      <c r="AY349" s="279">
        <f>IFERROR(AY109/AY344,"n/a")</f>
        <v>1.53391605208049</v>
      </c>
      <c r="AZ349" s="34" t="n"/>
      <c r="BA349" s="34" t="n"/>
      <c r="BB349" s="34" t="n"/>
      <c r="BC349" s="34" t="n"/>
      <c r="BD349" s="279">
        <f>IFERROR(BD109/BD344,"n/a")</f>
        <v>1.22878248224409</v>
      </c>
      <c r="BE349" s="34" t="n"/>
      <c r="BF349" s="34" t="n"/>
      <c r="BG349" s="34" t="n"/>
      <c r="BH349" s="34" t="n"/>
      <c r="BI349" s="279">
        <f>IFERROR(BI109/BI344,"n/a")</f>
        <v>1.27086198775318</v>
      </c>
      <c r="BJ349" s="34" t="n"/>
      <c r="BK349" s="34" t="n"/>
      <c r="BL349" s="34" t="n"/>
      <c r="BM349" s="34" t="n"/>
      <c r="BN349" s="279">
        <f>IFERROR(BN109/BN344,"n/a")</f>
        <v>1.23085268765713</v>
      </c>
      <c r="BO349" s="34" t="n"/>
      <c r="BP349" s="34" t="n"/>
      <c r="BQ349" s="34" t="n"/>
      <c r="BR349" s="34" t="n"/>
      <c r="BS349" s="279">
        <f>IFERROR(BS109/BS344,"n/a")</f>
        <v>1.03380230973019</v>
      </c>
      <c r="BT349" s="34" t="n"/>
      <c r="BU349" s="34" t="n"/>
      <c r="BV349" s="35" t="n"/>
      <c r="BW349" s="35" t="n"/>
      <c r="BX349" s="280">
        <f>IFERROR(BX109/BX344,"n/a")</f>
        <v>0.769346491259534</v>
      </c>
      <c r="BY349" s="280">
        <f>IFERROR(BY109/BY344,"n/a")</f>
        <v>0.70402875842185</v>
      </c>
      <c r="BZ349" s="280">
        <f>IFERROR(BZ109/BZ344,"n/a")</f>
        <v>0.682047275472488</v>
      </c>
      <c r="CA349" s="280">
        <f>IFERROR(CA109/CA344,"n/a")</f>
        <v>0.69043368122965</v>
      </c>
      <c r="CB349" s="280">
        <f>IFERROR(CB109/CB344,"n/a")</f>
        <v>0.710694987436825</v>
      </c>
      <c r="CC349" s="280">
        <f>IFERROR(CC109/CC344,"n/a")</f>
        <v>0.738281268386907</v>
      </c>
      <c r="CD349" s="19" t="n"/>
    </row>
    <row r="350" ht="15" customHeight="1" s="251">
      <c r="B350" s="25" t="inlineStr">
        <is>
          <t xml:space="preserve">  Tax burden = (1 − tax rate)</t>
        </is>
      </c>
      <c r="C350" s="215">
        <f>IFERROR(1-C342,"n/a")</f>
        <v>0.901574803149606</v>
      </c>
      <c r="D350" s="215">
        <f>IFERROR(1-D342,"n/a")</f>
        <v>0.601190476190476</v>
      </c>
      <c r="E350" s="215">
        <f>IFERROR(1-E342,"n/a")</f>
        <v>0.589970501474926</v>
      </c>
      <c r="F350" s="215">
        <f>IFERROR(1-F342,"n/a")</f>
        <v>0.107287449392713</v>
      </c>
      <c r="G350" s="34" t="n"/>
      <c r="H350" s="34" t="n"/>
      <c r="I350" s="34" t="n"/>
      <c r="J350" s="34" t="n"/>
      <c r="K350" s="215">
        <f>IFERROR(1-K342,"n/a")</f>
        <v>0.544662309368192</v>
      </c>
      <c r="L350" s="34" t="n"/>
      <c r="M350" s="34" t="n"/>
      <c r="N350" s="34" t="n"/>
      <c r="O350" s="34" t="n"/>
      <c r="P350" s="215">
        <f>IFERROR(1-P342,"n/a")</f>
        <v>0.59877800407332</v>
      </c>
      <c r="Q350" s="34" t="n"/>
      <c r="R350" s="34" t="n"/>
      <c r="S350" s="34" t="n"/>
      <c r="T350" s="34" t="n"/>
      <c r="U350" s="215">
        <f>IFERROR(1-U342,"n/a")</f>
        <v>0.595414917662254</v>
      </c>
      <c r="V350" s="34" t="n"/>
      <c r="W350" s="34" t="n"/>
      <c r="X350" s="34" t="n"/>
      <c r="Y350" s="34" t="n"/>
      <c r="Z350" s="215">
        <f>IFERROR(1-Z342,"n/a")</f>
        <v>0.816184694040582</v>
      </c>
      <c r="AA350" s="34" t="n"/>
      <c r="AB350" s="34" t="n"/>
      <c r="AC350" s="34" t="n"/>
      <c r="AD350" s="34" t="n"/>
      <c r="AE350" s="215">
        <f>IFERROR(1-AE342,"n/a")</f>
        <v>0.883946780615713</v>
      </c>
      <c r="AF350" s="34" t="n"/>
      <c r="AG350" s="34" t="n"/>
      <c r="AH350" s="34" t="n"/>
      <c r="AI350" s="34" t="n"/>
      <c r="AJ350" s="215">
        <f>IFERROR(1-AJ342,"n/a")</f>
        <v>0.871889909703876</v>
      </c>
      <c r="AK350" s="34" t="n"/>
      <c r="AL350" s="34" t="n"/>
      <c r="AM350" s="34" t="n"/>
      <c r="AN350" s="34" t="n"/>
      <c r="AO350" s="215">
        <f>IFERROR(1-AO342,"n/a")</f>
        <v>0.825003354353951</v>
      </c>
      <c r="AP350" s="34" t="n"/>
      <c r="AQ350" s="34" t="n"/>
      <c r="AR350" s="34" t="n"/>
      <c r="AS350" s="34" t="n"/>
      <c r="AT350" s="215">
        <f>IFERROR(1-AT342,"n/a")</f>
        <v>0.850904159132007</v>
      </c>
      <c r="AU350" s="34" t="n"/>
      <c r="AV350" s="34" t="n"/>
      <c r="AW350" s="34" t="n"/>
      <c r="AX350" s="34" t="n"/>
      <c r="AY350" s="215">
        <f>IFERROR(1-AY342,"n/a")</f>
        <v>0.832628373234075</v>
      </c>
      <c r="AZ350" s="34" t="n"/>
      <c r="BA350" s="34" t="n"/>
      <c r="BB350" s="34" t="n"/>
      <c r="BC350" s="34" t="n"/>
      <c r="BD350" s="215">
        <f>IFERROR(1-BD342,"n/a")</f>
        <v>0.805024463027864</v>
      </c>
      <c r="BE350" s="34" t="n"/>
      <c r="BF350" s="34" t="n"/>
      <c r="BG350" s="34" t="n"/>
      <c r="BH350" s="34" t="n"/>
      <c r="BI350" s="215">
        <f>IFERROR(1-BI342,"n/a")</f>
        <v>0.824365353799443</v>
      </c>
      <c r="BJ350" s="34" t="n"/>
      <c r="BK350" s="34" t="n"/>
      <c r="BL350" s="34" t="n"/>
      <c r="BM350" s="34" t="n"/>
      <c r="BN350" s="215">
        <f>IFERROR(1-BN342,"n/a")</f>
        <v>0.883227468059555</v>
      </c>
      <c r="BO350" s="34" t="n"/>
      <c r="BP350" s="34" t="n"/>
      <c r="BQ350" s="34" t="n"/>
      <c r="BR350" s="34" t="n"/>
      <c r="BS350" s="215">
        <f>IFERROR(1-BS342,"n/a")</f>
        <v>0.888935437322534</v>
      </c>
      <c r="BT350" s="34" t="n"/>
      <c r="BU350" s="34" t="n"/>
      <c r="BV350" s="35" t="n"/>
      <c r="BW350" s="35" t="n"/>
      <c r="BX350" s="256">
        <f>IFERROR(1-BX342,"n/a")</f>
        <v>0.846607170864229</v>
      </c>
      <c r="BY350" s="256">
        <f>IFERROR(1-BY342,"n/a")</f>
        <v>0.84</v>
      </c>
      <c r="BZ350" s="256">
        <f>IFERROR(1-BZ342,"n/a")</f>
        <v>0.84</v>
      </c>
      <c r="CA350" s="256">
        <f>IFERROR(1-CA342,"n/a")</f>
        <v>0.84</v>
      </c>
      <c r="CB350" s="256">
        <f>IFERROR(1-CB342,"n/a")</f>
        <v>0.835</v>
      </c>
      <c r="CC350" s="256">
        <f>IFERROR(1-CC342,"n/a")</f>
        <v>0.835</v>
      </c>
      <c r="CD350" s="19" t="n"/>
    </row>
    <row r="351" ht="15" customHeight="1" s="251">
      <c r="B351" s="25" t="inlineStr">
        <is>
          <t xml:space="preserve">  Check: Margin × Turnover × Tax burden = ROIC</t>
        </is>
      </c>
      <c r="C351" s="215" t="str">
        <f>IFERROR(C348*C349*C350,"n/a")</f>
        <v>n/a</v>
      </c>
      <c r="D351" s="215">
        <f>IFERROR(D348*D349*D350,"n/a")</f>
        <v>0.729915966386554</v>
      </c>
      <c r="E351" s="215">
        <f>IFERROR(E348*E349*E350,"n/a")</f>
        <v>0.621096043519167</v>
      </c>
      <c r="F351" s="215">
        <f>IFERROR(F348*F349*F350,"n/a")</f>
        <v>0.0128697096484458</v>
      </c>
      <c r="G351" s="34" t="n"/>
      <c r="H351" s="34" t="n"/>
      <c r="I351" s="34" t="n"/>
      <c r="J351" s="34" t="n"/>
      <c r="K351" s="215">
        <f>IFERROR(K348*K349*K350,"n/a")</f>
        <v>0.339611544467069</v>
      </c>
      <c r="L351" s="34" t="n"/>
      <c r="M351" s="34" t="n"/>
      <c r="N351" s="34" t="n"/>
      <c r="O351" s="34" t="n"/>
      <c r="P351" s="215">
        <f>IFERROR(P348*P349*P350,"n/a")</f>
        <v>0.118993129818629</v>
      </c>
      <c r="Q351" s="34" t="n"/>
      <c r="R351" s="34" t="n"/>
      <c r="S351" s="34" t="n"/>
      <c r="T351" s="34" t="n"/>
      <c r="U351" s="215">
        <f>IFERROR(U348*U349*U350,"n/a")</f>
        <v>0.143117532722509</v>
      </c>
      <c r="V351" s="34" t="n"/>
      <c r="W351" s="34" t="n"/>
      <c r="X351" s="34" t="n"/>
      <c r="Y351" s="34" t="n"/>
      <c r="Z351" s="215">
        <f>IFERROR(Z348*Z349*Z350,"n/a")</f>
        <v>0.340989315610768</v>
      </c>
      <c r="AA351" s="34" t="n"/>
      <c r="AB351" s="34" t="n"/>
      <c r="AC351" s="34" t="n"/>
      <c r="AD351" s="34" t="n"/>
      <c r="AE351" s="215">
        <f>IFERROR(AE348*AE349*AE350,"n/a")</f>
        <v>0.547198701090184</v>
      </c>
      <c r="AF351" s="34" t="n"/>
      <c r="AG351" s="34" t="n"/>
      <c r="AH351" s="34" t="n"/>
      <c r="AI351" s="34" t="n"/>
      <c r="AJ351" s="215">
        <f>IFERROR(AJ348*AJ349*AJ350,"n/a")</f>
        <v>0.504996008659072</v>
      </c>
      <c r="AK351" s="34" t="n"/>
      <c r="AL351" s="34" t="n"/>
      <c r="AM351" s="34" t="n"/>
      <c r="AN351" s="34" t="n"/>
      <c r="AO351" s="215">
        <f>IFERROR(AO348*AO349*AO350,"n/a")</f>
        <v>0.517620451293397</v>
      </c>
      <c r="AP351" s="34" t="n"/>
      <c r="AQ351" s="34" t="n"/>
      <c r="AR351" s="34" t="n"/>
      <c r="AS351" s="34" t="n"/>
      <c r="AT351" s="215">
        <f>IFERROR(AT348*AT349*AT350,"n/a")</f>
        <v>0.419076968508831</v>
      </c>
      <c r="AU351" s="34" t="n"/>
      <c r="AV351" s="34" t="n"/>
      <c r="AW351" s="34" t="n"/>
      <c r="AX351" s="34" t="n"/>
      <c r="AY351" s="215">
        <f>IFERROR(AY348*AY349*AY350,"n/a")</f>
        <v>0.506339333955239</v>
      </c>
      <c r="AZ351" s="34" t="n"/>
      <c r="BA351" s="34" t="n"/>
      <c r="BB351" s="34" t="n"/>
      <c r="BC351" s="34" t="n"/>
      <c r="BD351" s="215">
        <f>IFERROR(BD348*BD349*BD350,"n/a")</f>
        <v>0.284648737137769</v>
      </c>
      <c r="BE351" s="34" t="n"/>
      <c r="BF351" s="34" t="n"/>
      <c r="BG351" s="34" t="n"/>
      <c r="BH351" s="34" t="n"/>
      <c r="BI351" s="215">
        <f>IFERROR(BI348*BI349*BI350,"n/a")</f>
        <v>0.40441663494212</v>
      </c>
      <c r="BJ351" s="34" t="n"/>
      <c r="BK351" s="34" t="n"/>
      <c r="BL351" s="34" t="n"/>
      <c r="BM351" s="34" t="n"/>
      <c r="BN351" s="215">
        <f>IFERROR(BN348*BN349*BN350,"n/a")</f>
        <v>0.448261995379501</v>
      </c>
      <c r="BO351" s="34" t="n"/>
      <c r="BP351" s="34" t="n"/>
      <c r="BQ351" s="34" t="n"/>
      <c r="BR351" s="34" t="n"/>
      <c r="BS351" s="215">
        <f>IFERROR(BS348*BS349*BS350,"n/a")</f>
        <v>0.380807055111867</v>
      </c>
      <c r="BT351" s="34" t="n"/>
      <c r="BU351" s="34" t="n"/>
      <c r="BV351" s="35" t="n"/>
      <c r="BW351" s="35" t="n"/>
      <c r="BX351" s="256">
        <f>IFERROR(BX348*BX349*BX350,"n/a")</f>
        <v>0.229953136957213</v>
      </c>
      <c r="BY351" s="256">
        <f>IFERROR(BY348*BY349*BY350,"n/a")</f>
        <v>0.200974354355996</v>
      </c>
      <c r="BZ351" s="256">
        <f>IFERROR(BZ348*BZ349*BZ350,"n/a")</f>
        <v>0.195909128517882</v>
      </c>
      <c r="CA351" s="256">
        <f>IFERROR(CA348*CA349*CA350,"n/a")</f>
        <v>0.197437060938905</v>
      </c>
      <c r="CB351" s="256">
        <f>IFERROR(CB348*CB349*CB350,"n/a")</f>
        <v>0.208420612098922</v>
      </c>
      <c r="CC351" s="256">
        <f>IFERROR(CC348*CC349*CC350,"n/a")</f>
        <v>0.221815349997692</v>
      </c>
      <c r="CD351" s="19" t="n"/>
    </row>
    <row r="352" ht="15" customHeight="1" s="251">
      <c r="B352" s="25" t="inlineStr">
        <is>
          <t>RONTA decomposition</t>
        </is>
      </c>
      <c r="CD352" s="153" t="n"/>
    </row>
    <row r="353" ht="15" customHeight="1" s="251">
      <c r="B353" s="25" t="inlineStr">
        <is>
          <t>NOPAT = Adjusted EBIT × (1 − tax rate)</t>
        </is>
      </c>
      <c r="C353" s="211">
        <f>C343</f>
        <v>236.212598425197</v>
      </c>
      <c r="D353" s="211">
        <f>D343</f>
        <v>620.428571428571</v>
      </c>
      <c r="E353" s="211">
        <f>E343</f>
        <v>1035.98820058997</v>
      </c>
      <c r="F353" s="211">
        <f>F343</f>
        <v>57.7206477732793</v>
      </c>
      <c r="G353" s="34" t="n"/>
      <c r="H353" s="34" t="n"/>
      <c r="I353" s="34" t="n"/>
      <c r="J353" s="34" t="n"/>
      <c r="K353" s="211">
        <f>K343</f>
        <v>1527.23311546841</v>
      </c>
      <c r="L353" s="34" t="n"/>
      <c r="M353" s="34" t="n"/>
      <c r="N353" s="34" t="n"/>
      <c r="O353" s="34" t="n"/>
      <c r="P353" s="211">
        <f>P343</f>
        <v>2990.29735234216</v>
      </c>
      <c r="Q353" s="34" t="n"/>
      <c r="R353" s="34" t="n"/>
      <c r="S353" s="34" t="n"/>
      <c r="T353" s="34" t="n"/>
      <c r="U353" s="211">
        <f>U343</f>
        <v>3706.45786244753</v>
      </c>
      <c r="V353" s="34" t="n"/>
      <c r="W353" s="34" t="n"/>
      <c r="X353" s="34" t="n"/>
      <c r="Y353" s="34" t="n"/>
      <c r="Z353" s="211">
        <f>Z343</f>
        <v>10142.7271928423</v>
      </c>
      <c r="AA353" s="34" t="n"/>
      <c r="AB353" s="34" t="n"/>
      <c r="AC353" s="34" t="n"/>
      <c r="AD353" s="34" t="n"/>
      <c r="AE353" s="211">
        <f>AE343</f>
        <v>17858.3768087793</v>
      </c>
      <c r="AF353" s="34" t="n"/>
      <c r="AG353" s="34" t="n"/>
      <c r="AH353" s="34" t="n"/>
      <c r="AI353" s="34" t="n"/>
      <c r="AJ353" s="211">
        <f>AJ343</f>
        <v>21721.3933204527</v>
      </c>
      <c r="AK353" s="34" t="n"/>
      <c r="AL353" s="34" t="n"/>
      <c r="AM353" s="34" t="n"/>
      <c r="AN353" s="34" t="n"/>
      <c r="AO353" s="211">
        <f>AO343</f>
        <v>23913.5472293036</v>
      </c>
      <c r="AP353" s="34" t="n"/>
      <c r="AQ353" s="34" t="n"/>
      <c r="AR353" s="34" t="n"/>
      <c r="AS353" s="34" t="n"/>
      <c r="AT353" s="211">
        <f>AT343</f>
        <v>27799.8897830018</v>
      </c>
      <c r="AU353" s="34" t="n"/>
      <c r="AV353" s="34" t="n"/>
      <c r="AW353" s="34" t="n"/>
      <c r="AX353" s="34" t="n"/>
      <c r="AY353" s="211">
        <f>AY343</f>
        <v>38927.8743338127</v>
      </c>
      <c r="AZ353" s="34" t="n"/>
      <c r="BA353" s="34" t="n"/>
      <c r="BB353" s="34" t="n"/>
      <c r="BC353" s="34" t="n"/>
      <c r="BD353" s="211">
        <f>BD343</f>
        <v>27012.5958569</v>
      </c>
      <c r="BE353" s="34" t="n"/>
      <c r="BF353" s="34" t="n"/>
      <c r="BG353" s="34" t="n"/>
      <c r="BH353" s="34" t="n"/>
      <c r="BI353" s="211">
        <f>BI343</f>
        <v>42928.825799106</v>
      </c>
      <c r="BJ353" s="34" t="n"/>
      <c r="BK353" s="34" t="n"/>
      <c r="BL353" s="34" t="n"/>
      <c r="BM353" s="34" t="n"/>
      <c r="BN353" s="211">
        <f>BN343</f>
        <v>59909.3191584796</v>
      </c>
      <c r="BO353" s="34" t="n"/>
      <c r="BP353" s="34" t="n"/>
      <c r="BQ353" s="34" t="n"/>
      <c r="BR353" s="34" t="n"/>
      <c r="BS353" s="211">
        <f>BS343</f>
        <v>74026.9874784714</v>
      </c>
      <c r="BT353" s="34" t="n"/>
      <c r="BU353" s="34" t="n"/>
      <c r="BV353" s="35" t="n"/>
      <c r="BW353" s="35" t="n"/>
      <c r="BX353" s="263">
        <f>BX343</f>
        <v>75500.7759029077</v>
      </c>
      <c r="BY353" s="263">
        <f>BY343</f>
        <v>85876.1082023735</v>
      </c>
      <c r="BZ353" s="263">
        <f>BZ343</f>
        <v>100056.666020757</v>
      </c>
      <c r="CA353" s="263">
        <f>CA343</f>
        <v>113202.620821317</v>
      </c>
      <c r="CB353" s="263">
        <f>CB343</f>
        <v>129437.112633307</v>
      </c>
      <c r="CC353" s="263">
        <f>CC343</f>
        <v>146359.692167716</v>
      </c>
      <c r="CD353" s="19" t="n"/>
    </row>
    <row r="354" ht="15" customHeight="1" s="251">
      <c r="B354" s="25" t="inlineStr">
        <is>
          <t xml:space="preserve">  Total assets</t>
        </is>
      </c>
      <c r="C354" s="211">
        <f>C284</f>
      </c>
      <c r="D354" s="211">
        <f>D284</f>
        <v>2990</v>
      </c>
      <c r="E354" s="211">
        <f>E284</f>
        <v>6331</v>
      </c>
      <c r="F354" s="211">
        <f>F284</f>
        <v>15103</v>
      </c>
      <c r="G354" s="34" t="n"/>
      <c r="H354" s="34" t="n"/>
      <c r="I354" s="34" t="n"/>
      <c r="J354" s="34" t="n"/>
      <c r="K354" s="211">
        <f>K284</f>
        <v>17895</v>
      </c>
      <c r="L354" s="34" t="n"/>
      <c r="M354" s="34" t="n"/>
      <c r="N354" s="34" t="n"/>
      <c r="O354" s="34" t="n"/>
      <c r="P354" s="211">
        <f>P284</f>
        <v>40184</v>
      </c>
      <c r="Q354" s="34" t="n"/>
      <c r="R354" s="34" t="n"/>
      <c r="S354" s="34" t="n"/>
      <c r="T354" s="34" t="n"/>
      <c r="U354" s="211">
        <f>U284</f>
        <v>49407</v>
      </c>
      <c r="V354" s="34" t="n"/>
      <c r="W354" s="34" t="n"/>
      <c r="X354" s="34" t="n"/>
      <c r="Y354" s="34" t="n"/>
      <c r="Z354" s="211">
        <f>Z284</f>
        <v>64961</v>
      </c>
      <c r="AA354" s="34" t="n"/>
      <c r="AB354" s="34" t="n"/>
      <c r="AC354" s="34" t="n"/>
      <c r="AD354" s="34" t="n"/>
      <c r="AE354" s="211">
        <f>AE284</f>
        <v>84524</v>
      </c>
      <c r="AF354" s="34" t="n"/>
      <c r="AG354" s="34" t="n"/>
      <c r="AH354" s="34" t="n"/>
      <c r="AI354" s="34" t="n"/>
      <c r="AJ354" s="211">
        <f>AJ284</f>
        <v>97334</v>
      </c>
      <c r="AK354" s="34" t="n"/>
      <c r="AL354" s="34" t="n"/>
      <c r="AM354" s="34" t="n"/>
      <c r="AN354" s="34" t="n"/>
      <c r="AO354" s="211">
        <f>AO284</f>
        <v>133376</v>
      </c>
      <c r="AP354" s="34" t="n"/>
      <c r="AQ354" s="34" t="n"/>
      <c r="AR354" s="34" t="n"/>
      <c r="AS354" s="34" t="n"/>
      <c r="AT354" s="211">
        <f>AT284</f>
        <v>159316</v>
      </c>
      <c r="AU354" s="34" t="n"/>
      <c r="AV354" s="34" t="n"/>
      <c r="AW354" s="34" t="n"/>
      <c r="AX354" s="34" t="n"/>
      <c r="AY354" s="211">
        <f>AY284</f>
        <v>165987</v>
      </c>
      <c r="AZ354" s="34" t="n"/>
      <c r="BA354" s="34" t="n"/>
      <c r="BB354" s="34" t="n"/>
      <c r="BC354" s="34" t="n"/>
      <c r="BD354" s="211">
        <f>BD284</f>
        <v>185727</v>
      </c>
      <c r="BE354" s="34" t="n"/>
      <c r="BF354" s="34" t="n"/>
      <c r="BG354" s="34" t="n"/>
      <c r="BH354" s="34" t="n"/>
      <c r="BI354" s="211">
        <f>BI284</f>
        <v>229623</v>
      </c>
      <c r="BJ354" s="34" t="n"/>
      <c r="BK354" s="34" t="n"/>
      <c r="BL354" s="34" t="n"/>
      <c r="BM354" s="34" t="n"/>
      <c r="BN354" s="211">
        <f>BN284</f>
        <v>276054</v>
      </c>
      <c r="BO354" s="34" t="n"/>
      <c r="BP354" s="34" t="n"/>
      <c r="BQ354" s="34" t="n"/>
      <c r="BR354" s="34" t="n"/>
      <c r="BS354" s="211">
        <f>BS284</f>
        <v>366021</v>
      </c>
      <c r="BT354" s="34" t="n"/>
      <c r="BU354" s="34" t="n"/>
      <c r="BV354" s="35" t="n"/>
      <c r="BW354" s="35" t="n"/>
      <c r="BX354" s="263">
        <f>BX284</f>
        <v>525160.108792115</v>
      </c>
      <c r="BY354" s="263">
        <f>BY284</f>
        <v>632638.067954911</v>
      </c>
      <c r="BZ354" s="263">
        <f>BZ284</f>
        <v>723121.575527094</v>
      </c>
      <c r="CA354" s="263">
        <f>CA284</f>
        <v>792359.228739552</v>
      </c>
      <c r="CB354" s="263">
        <f>CB284</f>
        <v>846519.376178437</v>
      </c>
      <c r="CC354" s="263">
        <f>CC284</f>
        <v>892480.416094653</v>
      </c>
      <c r="CD354" s="19" t="n"/>
    </row>
    <row r="355" ht="15" customHeight="1" s="251">
      <c r="B355" s="25" t="inlineStr">
        <is>
          <t xml:space="preserve">  − Goodwill &amp; intangible assets</t>
        </is>
      </c>
      <c r="C355" s="211">
        <f>IFERROR(-C282,"n/a")</f>
        <v>0</v>
      </c>
      <c r="D355" s="211">
        <f>IFERROR(-D282,"n/a")</f>
        <v>-96</v>
      </c>
      <c r="E355" s="211">
        <f>IFERROR(-E282,"n/a")</f>
        <v>-162</v>
      </c>
      <c r="F355" s="211">
        <f>IFERROR(-F282,"n/a")</f>
        <v>-1388</v>
      </c>
      <c r="G355" s="34" t="n"/>
      <c r="H355" s="34" t="n"/>
      <c r="I355" s="34" t="n"/>
      <c r="J355" s="34" t="n"/>
      <c r="K355" s="211">
        <f>IFERROR(-K282,"n/a")</f>
        <v>-1722</v>
      </c>
      <c r="L355" s="34" t="n"/>
      <c r="M355" s="34" t="n"/>
      <c r="N355" s="34" t="n"/>
      <c r="O355" s="34" t="n"/>
      <c r="P355" s="211">
        <f>IFERROR(-P282,"n/a")</f>
        <v>-21910</v>
      </c>
      <c r="Q355" s="34" t="n"/>
      <c r="R355" s="34" t="n"/>
      <c r="S355" s="34" t="n"/>
      <c r="T355" s="34" t="n"/>
      <c r="U355" s="211">
        <f>IFERROR(-U282,"n/a")</f>
        <v>-21272</v>
      </c>
      <c r="V355" s="34" t="n"/>
      <c r="W355" s="34" t="n"/>
      <c r="X355" s="34" t="n"/>
      <c r="Y355" s="34" t="n"/>
      <c r="Z355" s="211">
        <f>IFERROR(-Z282,"n/a")</f>
        <v>-20657</v>
      </c>
      <c r="AA355" s="34" t="n"/>
      <c r="AB355" s="34" t="n"/>
      <c r="AC355" s="34" t="n"/>
      <c r="AD355" s="34" t="n"/>
      <c r="AE355" s="211">
        <f>IFERROR(-AE282,"n/a")</f>
        <v>-20105</v>
      </c>
      <c r="AF355" s="34" t="n"/>
      <c r="AG355" s="34" t="n"/>
      <c r="AH355" s="34" t="n"/>
      <c r="AI355" s="34" t="n"/>
      <c r="AJ355" s="211">
        <f>IFERROR(-AJ282,"n/a")</f>
        <v>-19595</v>
      </c>
      <c r="AK355" s="34" t="n"/>
      <c r="AL355" s="34" t="n"/>
      <c r="AM355" s="34" t="n"/>
      <c r="AN355" s="34" t="n"/>
      <c r="AO355" s="211">
        <f>IFERROR(-AO282,"n/a")</f>
        <v>-19609</v>
      </c>
      <c r="AP355" s="34" t="n"/>
      <c r="AQ355" s="34" t="n"/>
      <c r="AR355" s="34" t="n"/>
      <c r="AS355" s="34" t="n"/>
      <c r="AT355" s="211">
        <f>IFERROR(-AT282,"n/a")</f>
        <v>-19673</v>
      </c>
      <c r="AU355" s="34" t="n"/>
      <c r="AV355" s="34" t="n"/>
      <c r="AW355" s="34" t="n"/>
      <c r="AX355" s="34" t="n"/>
      <c r="AY355" s="211">
        <f>IFERROR(-AY282,"n/a")</f>
        <v>-19831</v>
      </c>
      <c r="AZ355" s="34" t="n"/>
      <c r="BA355" s="34" t="n"/>
      <c r="BB355" s="34" t="n"/>
      <c r="BC355" s="34" t="n"/>
      <c r="BD355" s="211">
        <f>IFERROR(-BD282,"n/a")</f>
        <v>-21203</v>
      </c>
      <c r="BE355" s="34" t="n"/>
      <c r="BF355" s="34" t="n"/>
      <c r="BG355" s="34" t="n"/>
      <c r="BH355" s="34" t="n"/>
      <c r="BI355" s="211">
        <f>IFERROR(-BI282,"n/a")</f>
        <v>-21442</v>
      </c>
      <c r="BJ355" s="34" t="n"/>
      <c r="BK355" s="34" t="n"/>
      <c r="BL355" s="34" t="n"/>
      <c r="BM355" s="34" t="n"/>
      <c r="BN355" s="211">
        <f>IFERROR(-BN282,"n/a")</f>
        <v>-20654</v>
      </c>
      <c r="BO355" s="34" t="n"/>
      <c r="BP355" s="34" t="n"/>
      <c r="BQ355" s="34" t="n"/>
      <c r="BR355" s="34" t="n"/>
      <c r="BS355" s="211">
        <f>IFERROR(-BS282,"n/a")</f>
        <v>-24534</v>
      </c>
      <c r="BT355" s="34" t="n"/>
      <c r="BU355" s="34" t="n"/>
      <c r="BV355" s="35" t="n"/>
      <c r="BW355" s="35" t="n"/>
      <c r="BX355" s="263">
        <f>IFERROR(-BX282,"n/a")</f>
        <v>-23406</v>
      </c>
      <c r="BY355" s="263">
        <f>IFERROR(-BY282,"n/a")</f>
        <v>-24381</v>
      </c>
      <c r="BZ355" s="263">
        <f>IFERROR(-BZ282,"n/a")</f>
        <v>-25306</v>
      </c>
      <c r="CA355" s="263">
        <f>IFERROR(-CA282,"n/a")</f>
        <v>-26181</v>
      </c>
      <c r="CB355" s="263">
        <f>IFERROR(-CB282,"n/a")</f>
        <v>-27006</v>
      </c>
      <c r="CC355" s="263">
        <f>IFERROR(-CC282,"n/a")</f>
        <v>-27781</v>
      </c>
      <c r="CD355" s="19" t="n"/>
    </row>
    <row r="356" ht="15" customHeight="1" s="251">
      <c r="B356" s="25" t="inlineStr">
        <is>
          <t xml:space="preserve">  − Cash and marketable securities</t>
        </is>
      </c>
      <c r="C356" s="211" t="str">
        <f>IFERROR(-C302,"n/a")</f>
        <v>n/a</v>
      </c>
      <c r="D356" s="211">
        <f>IFERROR(-D302,"n/a")</f>
        <v>-1785</v>
      </c>
      <c r="E356" s="211">
        <f>IFERROR(-E302,"n/a")</f>
        <v>-3908</v>
      </c>
      <c r="F356" s="211">
        <f>IFERROR(-F302,"n/a")</f>
        <v>-9626</v>
      </c>
      <c r="G356" s="34" t="n"/>
      <c r="H356" s="34" t="n"/>
      <c r="I356" s="34" t="n"/>
      <c r="J356" s="34" t="n"/>
      <c r="K356" s="211">
        <f>IFERROR(-K302,"n/a")</f>
        <v>-11449</v>
      </c>
      <c r="L356" s="34" t="n"/>
      <c r="M356" s="34" t="n"/>
      <c r="N356" s="34" t="n"/>
      <c r="O356" s="34" t="n"/>
      <c r="P356" s="211">
        <f>IFERROR(-P302,"n/a")</f>
        <v>-11199</v>
      </c>
      <c r="Q356" s="34" t="n"/>
      <c r="R356" s="34" t="n"/>
      <c r="S356" s="34" t="n"/>
      <c r="T356" s="34" t="n"/>
      <c r="U356" s="211">
        <f>IFERROR(-U302,"n/a")</f>
        <v>-18434</v>
      </c>
      <c r="V356" s="34" t="n"/>
      <c r="W356" s="34" t="n"/>
      <c r="X356" s="34" t="n"/>
      <c r="Y356" s="34" t="n"/>
      <c r="Z356" s="211">
        <f>IFERROR(-Z302,"n/a")</f>
        <v>-29449</v>
      </c>
      <c r="AA356" s="34" t="n"/>
      <c r="AB356" s="34" t="n"/>
      <c r="AC356" s="34" t="n"/>
      <c r="AD356" s="34" t="n"/>
      <c r="AE356" s="211">
        <f>IFERROR(-AE302,"n/a")</f>
        <v>-41711</v>
      </c>
      <c r="AF356" s="34" t="n"/>
      <c r="AG356" s="34" t="n"/>
      <c r="AH356" s="34" t="n"/>
      <c r="AI356" s="34" t="n"/>
      <c r="AJ356" s="211">
        <f>IFERROR(-AJ302,"n/a")</f>
        <v>-41114</v>
      </c>
      <c r="AK356" s="34" t="n"/>
      <c r="AL356" s="34" t="n"/>
      <c r="AM356" s="34" t="n"/>
      <c r="AN356" s="34" t="n"/>
      <c r="AO356" s="211">
        <f>IFERROR(-AO302,"n/a")</f>
        <v>-54855</v>
      </c>
      <c r="AP356" s="34" t="n"/>
      <c r="AQ356" s="34" t="n"/>
      <c r="AR356" s="34" t="n"/>
      <c r="AS356" s="34" t="n"/>
      <c r="AT356" s="211">
        <f>IFERROR(-AT302,"n/a")</f>
        <v>-61954</v>
      </c>
      <c r="AU356" s="34" t="n"/>
      <c r="AV356" s="34" t="n"/>
      <c r="AW356" s="34" t="n"/>
      <c r="AX356" s="34" t="n"/>
      <c r="AY356" s="211">
        <f>IFERROR(-AY302,"n/a")</f>
        <v>-47998</v>
      </c>
      <c r="AZ356" s="34" t="n"/>
      <c r="BA356" s="34" t="n"/>
      <c r="BB356" s="34" t="n"/>
      <c r="BC356" s="34" t="n"/>
      <c r="BD356" s="211">
        <f>IFERROR(-BD302,"n/a")</f>
        <v>-40738</v>
      </c>
      <c r="BE356" s="34" t="n"/>
      <c r="BF356" s="34" t="n"/>
      <c r="BG356" s="34" t="n"/>
      <c r="BH356" s="34" t="n"/>
      <c r="BI356" s="211">
        <f>IFERROR(-BI302,"n/a")</f>
        <v>-65403</v>
      </c>
      <c r="BJ356" s="34" t="n"/>
      <c r="BK356" s="34" t="n"/>
      <c r="BL356" s="34" t="n"/>
      <c r="BM356" s="34" t="n"/>
      <c r="BN356" s="211">
        <f>IFERROR(-BN302,"n/a")</f>
        <v>-77815</v>
      </c>
      <c r="BO356" s="34" t="n"/>
      <c r="BP356" s="34" t="n"/>
      <c r="BQ356" s="34" t="n"/>
      <c r="BR356" s="34" t="n"/>
      <c r="BS356" s="211">
        <f>IFERROR(-BS302,"n/a")</f>
        <v>-81592</v>
      </c>
      <c r="BT356" s="34" t="n"/>
      <c r="BU356" s="34" t="n"/>
      <c r="BV356" s="35" t="n"/>
      <c r="BW356" s="35" t="n"/>
      <c r="BX356" s="263">
        <f>IFERROR(-BX302,"n/a")</f>
        <v>-89798</v>
      </c>
      <c r="BY356" s="263">
        <f>IFERROR(-BY302,"n/a")</f>
        <v>-89798</v>
      </c>
      <c r="BZ356" s="263">
        <f>IFERROR(-BZ302,"n/a")</f>
        <v>-89798</v>
      </c>
      <c r="CA356" s="263">
        <f>IFERROR(-CA302,"n/a")</f>
        <v>-89798</v>
      </c>
      <c r="CB356" s="263">
        <f>IFERROR(-CB302,"n/a")</f>
        <v>-89798</v>
      </c>
      <c r="CC356" s="263">
        <f>IFERROR(-CC302,"n/a")</f>
        <v>-89798</v>
      </c>
      <c r="CD356" s="19" t="n"/>
    </row>
    <row r="357" ht="15" customHeight="1" s="251">
      <c r="B357" s="25" t="inlineStr">
        <is>
          <t xml:space="preserve">  − Non-interest-bearing current liabilities (total current liabilities excl. capital leases)</t>
        </is>
      </c>
      <c r="C357" s="211" t="str">
        <f>IFERROR(-(C289-N(C287)),"n/a")</f>
        <v>n/a</v>
      </c>
      <c r="D357" s="211">
        <f>IFERROR(-(D289-N(D287)),"n/a")</f>
        <v>-283</v>
      </c>
      <c r="E357" s="211">
        <f>IFERROR(-(E289-N(E287)),"n/a")</f>
        <v>-620</v>
      </c>
      <c r="F357" s="211">
        <f>IFERROR(-(F289-N(F287)),"n/a")</f>
        <v>-687</v>
      </c>
      <c r="G357" s="34" t="n"/>
      <c r="H357" s="34" t="n"/>
      <c r="I357" s="34" t="n"/>
      <c r="J357" s="34" t="n"/>
      <c r="K357" s="211">
        <f>IFERROR(-(K289-N(K287)),"n/a")</f>
        <v>-861</v>
      </c>
      <c r="L357" s="34" t="n"/>
      <c r="M357" s="34" t="n"/>
      <c r="N357" s="34" t="n"/>
      <c r="O357" s="34" t="n"/>
      <c r="P357" s="211">
        <f>IFERROR(-(P289-N(P287)),"n/a")</f>
        <v>-1310</v>
      </c>
      <c r="Q357" s="34" t="n"/>
      <c r="R357" s="34" t="n"/>
      <c r="S357" s="34" t="n"/>
      <c r="T357" s="34" t="n"/>
      <c r="U357" s="211">
        <f>IFERROR(-(U289-N(U287)),"n/a")</f>
        <v>-1918</v>
      </c>
      <c r="V357" s="34" t="n"/>
      <c r="W357" s="34" t="n"/>
      <c r="X357" s="34" t="n"/>
      <c r="Y357" s="34" t="n"/>
      <c r="Z357" s="211">
        <f>IFERROR(-(Z289-N(Z287)),"n/a")</f>
        <v>-2875</v>
      </c>
      <c r="AA357" s="34" t="n"/>
      <c r="AB357" s="34" t="n"/>
      <c r="AC357" s="34" t="n"/>
      <c r="AD357" s="34" t="n"/>
      <c r="AE357" s="211">
        <f>IFERROR(-(AE289-N(AE287)),"n/a")</f>
        <v>-3760</v>
      </c>
      <c r="AF357" s="34" t="n"/>
      <c r="AG357" s="34" t="n"/>
      <c r="AH357" s="34" t="n"/>
      <c r="AI357" s="34" t="n"/>
      <c r="AJ357" s="211">
        <f>IFERROR(-(AJ289-N(AJ287)),"n/a")</f>
        <v>-7017</v>
      </c>
      <c r="AK357" s="34" t="n"/>
      <c r="AL357" s="34" t="n"/>
      <c r="AM357" s="34" t="n"/>
      <c r="AN357" s="34" t="n"/>
      <c r="AO357" s="211">
        <f>IFERROR(-(AO289-N(AO287)),"n/a")</f>
        <v>-15053</v>
      </c>
      <c r="AP357" s="34" t="n"/>
      <c r="AQ357" s="34" t="n"/>
      <c r="AR357" s="34" t="n"/>
      <c r="AS357" s="34" t="n"/>
      <c r="AT357" s="211">
        <f>IFERROR(-(AT289-N(AT287)),"n/a")</f>
        <v>-14981</v>
      </c>
      <c r="AU357" s="34" t="n"/>
      <c r="AV357" s="34" t="n"/>
      <c r="AW357" s="34" t="n"/>
      <c r="AX357" s="34" t="n"/>
      <c r="AY357" s="211">
        <f>IFERROR(-(AY289-N(AY287)),"n/a")</f>
        <v>-21135</v>
      </c>
      <c r="AZ357" s="34" t="n"/>
      <c r="BA357" s="34" t="n"/>
      <c r="BB357" s="34" t="n"/>
      <c r="BC357" s="34" t="n"/>
      <c r="BD357" s="211">
        <f>IFERROR(-(BD289-N(BD287)),"n/a")</f>
        <v>-27026</v>
      </c>
      <c r="BE357" s="34" t="n"/>
      <c r="BF357" s="34" t="n"/>
      <c r="BG357" s="34" t="n"/>
      <c r="BH357" s="34" t="n"/>
      <c r="BI357" s="211">
        <f>IFERROR(-(BI289-N(BI287)),"n/a")</f>
        <v>-31960</v>
      </c>
      <c r="BJ357" s="34" t="n"/>
      <c r="BK357" s="34" t="n"/>
      <c r="BL357" s="34" t="n"/>
      <c r="BM357" s="34" t="n"/>
      <c r="BN357" s="211">
        <f>IFERROR(-(BN289-N(BN287)),"n/a")</f>
        <v>-33596</v>
      </c>
      <c r="BO357" s="34" t="n"/>
      <c r="BP357" s="34" t="n"/>
      <c r="BQ357" s="34" t="n"/>
      <c r="BR357" s="34" t="n"/>
      <c r="BS357" s="211">
        <f>IFERROR(-(BS289-N(BS287)),"n/a")</f>
        <v>-41836</v>
      </c>
      <c r="BT357" s="34" t="n"/>
      <c r="BU357" s="34" t="n"/>
      <c r="BV357" s="35" t="n"/>
      <c r="BW357" s="35" t="n"/>
      <c r="BX357" s="263">
        <f>IFERROR(-(BX289-N(BX287)),"n/a")</f>
        <v>-58338.9674911111</v>
      </c>
      <c r="BY357" s="263">
        <f>IFERROR(-(BY289-N(BY287)),"n/a")</f>
        <v>-66849.2293664976</v>
      </c>
      <c r="BZ357" s="263">
        <f>IFERROR(-(BZ289-N(BZ287)),"n/a")</f>
        <v>-73901.5917957634</v>
      </c>
      <c r="CA357" s="263">
        <f>IFERROR(-(CA289-N(CA287)),"n/a")</f>
        <v>-80508.683951324</v>
      </c>
      <c r="CB357" s="263">
        <f>IFERROR(-(CB289-N(CB287)),"n/a")</f>
        <v>-86991.4119876728</v>
      </c>
      <c r="CC357" s="263">
        <f>IFERROR(-(CC289-N(CC287)),"n/a")</f>
        <v>-94163.7081177749</v>
      </c>
      <c r="CD357" s="19" t="n"/>
    </row>
    <row r="358" ht="15" customHeight="1" s="251">
      <c r="B358" s="25" t="inlineStr">
        <is>
          <t xml:space="preserve">  = Net tangible operating assets</t>
        </is>
      </c>
      <c r="C358" s="211">
        <f>IFERROR(SUM(C354:C357),"n/a")</f>
        <v>0</v>
      </c>
      <c r="D358" s="211">
        <f>IFERROR(SUM(D354:D357),"n/a")</f>
        <v>826</v>
      </c>
      <c r="E358" s="211">
        <f>IFERROR(SUM(E354:E357),"n/a")</f>
        <v>1641</v>
      </c>
      <c r="F358" s="211">
        <f>IFERROR(SUM(F354:F357),"n/a")</f>
        <v>3402</v>
      </c>
      <c r="G358" s="34" t="n"/>
      <c r="H358" s="34" t="n"/>
      <c r="I358" s="34" t="n"/>
      <c r="J358" s="34" t="n"/>
      <c r="K358" s="211">
        <f>IFERROR(SUM(K354:K357),"n/a")</f>
        <v>3863</v>
      </c>
      <c r="L358" s="34" t="n"/>
      <c r="M358" s="34" t="n"/>
      <c r="N358" s="34" t="n"/>
      <c r="O358" s="34" t="n"/>
      <c r="P358" s="211">
        <f>IFERROR(SUM(P354:P357),"n/a")</f>
        <v>5765</v>
      </c>
      <c r="Q358" s="34" t="n"/>
      <c r="R358" s="34" t="n"/>
      <c r="S358" s="34" t="n"/>
      <c r="T358" s="34" t="n"/>
      <c r="U358" s="211">
        <f>IFERROR(SUM(U354:U357),"n/a")</f>
        <v>7783</v>
      </c>
      <c r="V358" s="34" t="n"/>
      <c r="W358" s="34" t="n"/>
      <c r="X358" s="34" t="n"/>
      <c r="Y358" s="34" t="n"/>
      <c r="Z358" s="211">
        <f>IFERROR(SUM(Z354:Z357),"n/a")</f>
        <v>11980</v>
      </c>
      <c r="AA358" s="34" t="n"/>
      <c r="AB358" s="34" t="n"/>
      <c r="AC358" s="34" t="n"/>
      <c r="AD358" s="34" t="n"/>
      <c r="AE358" s="211">
        <f>IFERROR(SUM(AE354:AE357),"n/a")</f>
        <v>18948</v>
      </c>
      <c r="AF358" s="34" t="n"/>
      <c r="AG358" s="34" t="n"/>
      <c r="AH358" s="34" t="n"/>
      <c r="AI358" s="34" t="n"/>
      <c r="AJ358" s="211">
        <f>IFERROR(SUM(AJ354:AJ357),"n/a")</f>
        <v>29608</v>
      </c>
      <c r="AK358" s="34" t="n"/>
      <c r="AL358" s="34" t="n"/>
      <c r="AM358" s="34" t="n"/>
      <c r="AN358" s="34" t="n"/>
      <c r="AO358" s="211">
        <f>IFERROR(SUM(AO354:AO357),"n/a")</f>
        <v>43859</v>
      </c>
      <c r="AP358" s="34" t="n"/>
      <c r="AQ358" s="34" t="n"/>
      <c r="AR358" s="34" t="n"/>
      <c r="AS358" s="34" t="n"/>
      <c r="AT358" s="211">
        <f>IFERROR(SUM(AT354:AT357),"n/a")</f>
        <v>62708</v>
      </c>
      <c r="AU358" s="34" t="n"/>
      <c r="AV358" s="34" t="n"/>
      <c r="AW358" s="34" t="n"/>
      <c r="AX358" s="34" t="n"/>
      <c r="AY358" s="211">
        <f>IFERROR(SUM(AY354:AY357),"n/a")</f>
        <v>77023</v>
      </c>
      <c r="AZ358" s="34" t="n"/>
      <c r="BA358" s="34" t="n"/>
      <c r="BB358" s="34" t="n"/>
      <c r="BC358" s="34" t="n"/>
      <c r="BD358" s="211">
        <f>IFERROR(SUM(BD354:BD357),"n/a")</f>
        <v>96760</v>
      </c>
      <c r="BE358" s="34" t="n"/>
      <c r="BF358" s="34" t="n"/>
      <c r="BG358" s="34" t="n"/>
      <c r="BH358" s="34" t="n"/>
      <c r="BI358" s="211">
        <f>IFERROR(SUM(BI354:BI357),"n/a")</f>
        <v>110818</v>
      </c>
      <c r="BJ358" s="34" t="n"/>
      <c r="BK358" s="34" t="n"/>
      <c r="BL358" s="34" t="n"/>
      <c r="BM358" s="34" t="n"/>
      <c r="BN358" s="211">
        <f>IFERROR(SUM(BN354:BN357),"n/a")</f>
        <v>143989</v>
      </c>
      <c r="BO358" s="34" t="n"/>
      <c r="BP358" s="34" t="n"/>
      <c r="BQ358" s="34" t="n"/>
      <c r="BR358" s="34" t="n"/>
      <c r="BS358" s="211">
        <f>IFERROR(SUM(BS354:BS357),"n/a")</f>
        <v>218059</v>
      </c>
      <c r="BT358" s="34" t="n"/>
      <c r="BU358" s="34" t="n"/>
      <c r="BV358" s="35" t="n"/>
      <c r="BW358" s="35" t="n"/>
      <c r="BX358" s="263">
        <f>IFERROR(SUM(BX354:BX357),"n/a")</f>
        <v>353617.141301004</v>
      </c>
      <c r="BY358" s="263">
        <f>IFERROR(SUM(BY354:BY357),"n/a")</f>
        <v>451609.838588414</v>
      </c>
      <c r="BZ358" s="263">
        <f>IFERROR(SUM(BZ354:BZ357),"n/a")</f>
        <v>534115.98373133</v>
      </c>
      <c r="CA358" s="263">
        <f>IFERROR(SUM(CA354:CA357),"n/a")</f>
        <v>595871.544788228</v>
      </c>
      <c r="CB358" s="263">
        <f>IFERROR(SUM(CB354:CB357),"n/a")</f>
        <v>642723.964190764</v>
      </c>
      <c r="CC358" s="263">
        <f>IFERROR(SUM(CC354:CC357),"n/a")</f>
        <v>680737.707976878</v>
      </c>
      <c r="CD358" s="19" t="n"/>
    </row>
    <row r="359" ht="15" customHeight="1" s="251">
      <c r="B359" s="55" t="inlineStr">
        <is>
          <t>RONTA = NOPAT / NTA</t>
        </is>
      </c>
      <c r="C359" s="288" t="str">
        <f>IFERROR(C353/C358,"n/a")</f>
        <v>n/a</v>
      </c>
      <c r="D359" s="288">
        <f>IFERROR(D353/D358,"n/a")</f>
        <v>0.751124178484953</v>
      </c>
      <c r="E359" s="288">
        <f>IFERROR(E353/E358,"n/a")</f>
        <v>0.631315174034108</v>
      </c>
      <c r="F359" s="288">
        <f>IFERROR(F353/F358,"n/a")</f>
        <v>0.0169666807093708</v>
      </c>
      <c r="G359" s="56" t="n"/>
      <c r="H359" s="56" t="n"/>
      <c r="I359" s="56" t="n"/>
      <c r="J359" s="56" t="n"/>
      <c r="K359" s="288">
        <f>IFERROR(K353/K358,"n/a")</f>
        <v>0.395348981482891</v>
      </c>
      <c r="L359" s="56" t="n"/>
      <c r="M359" s="56" t="n"/>
      <c r="N359" s="56" t="n"/>
      <c r="O359" s="56" t="n"/>
      <c r="P359" s="288">
        <f>IFERROR(P353/P358,"n/a")</f>
        <v>0.51869858670289</v>
      </c>
      <c r="Q359" s="56" t="n"/>
      <c r="R359" s="56" t="n"/>
      <c r="S359" s="56" t="n"/>
      <c r="T359" s="56" t="n"/>
      <c r="U359" s="288">
        <f>IFERROR(U353/U358,"n/a")</f>
        <v>0.476224831356486</v>
      </c>
      <c r="V359" s="56" t="n"/>
      <c r="W359" s="56" t="n"/>
      <c r="X359" s="56" t="n"/>
      <c r="Y359" s="56" t="n"/>
      <c r="Z359" s="288">
        <f>IFERROR(Z353/Z358,"n/a")</f>
        <v>0.846638329953448</v>
      </c>
      <c r="AA359" s="56" t="n"/>
      <c r="AB359" s="56" t="n"/>
      <c r="AC359" s="56" t="n"/>
      <c r="AD359" s="56" t="n"/>
      <c r="AE359" s="288">
        <f>IFERROR(AE353/AE358,"n/a")</f>
        <v>0.942494026218031</v>
      </c>
      <c r="AF359" s="56" t="n"/>
      <c r="AG359" s="56" t="n"/>
      <c r="AH359" s="56" t="n"/>
      <c r="AI359" s="56" t="n"/>
      <c r="AJ359" s="288">
        <f>IFERROR(AJ353/AJ358,"n/a")</f>
        <v>0.73363257634601</v>
      </c>
      <c r="AK359" s="56" t="n"/>
      <c r="AL359" s="56" t="n"/>
      <c r="AM359" s="56" t="n"/>
      <c r="AN359" s="56" t="n"/>
      <c r="AO359" s="288">
        <f>IFERROR(AO353/AO358,"n/a")</f>
        <v>0.545236946334929</v>
      </c>
      <c r="AP359" s="56" t="n"/>
      <c r="AQ359" s="56" t="n"/>
      <c r="AR359" s="56" t="n"/>
      <c r="AS359" s="56" t="n"/>
      <c r="AT359" s="288">
        <f>IFERROR(AT353/AT358,"n/a")</f>
        <v>0.443322858056417</v>
      </c>
      <c r="AU359" s="56" t="n"/>
      <c r="AV359" s="56" t="n"/>
      <c r="AW359" s="56" t="n"/>
      <c r="AX359" s="56" t="n"/>
      <c r="AY359" s="288">
        <f>IFERROR(AY353/AY358,"n/a")</f>
        <v>0.505405844148017</v>
      </c>
      <c r="AZ359" s="56" t="n"/>
      <c r="BA359" s="56" t="n"/>
      <c r="BB359" s="56" t="n"/>
      <c r="BC359" s="56" t="n"/>
      <c r="BD359" s="288">
        <f>IFERROR(BD353/BD358,"n/a")</f>
        <v>0.279171102282968</v>
      </c>
      <c r="BE359" s="56" t="n"/>
      <c r="BF359" s="56" t="n"/>
      <c r="BG359" s="56" t="n"/>
      <c r="BH359" s="56" t="n"/>
      <c r="BI359" s="288">
        <f>IFERROR(BI353/BI358,"n/a")</f>
        <v>0.387381344177895</v>
      </c>
      <c r="BJ359" s="56" t="n"/>
      <c r="BK359" s="56" t="n"/>
      <c r="BL359" s="56" t="n"/>
      <c r="BM359" s="56" t="n"/>
      <c r="BN359" s="288">
        <f>IFERROR(BN353/BN358,"n/a")</f>
        <v>0.416068721627899</v>
      </c>
      <c r="BO359" s="56" t="n"/>
      <c r="BP359" s="56" t="n"/>
      <c r="BQ359" s="56" t="n"/>
      <c r="BR359" s="56" t="n"/>
      <c r="BS359" s="288">
        <f>IFERROR(BS353/BS358,"n/a")</f>
        <v>0.339481459047649</v>
      </c>
      <c r="BT359" s="56" t="n"/>
      <c r="BU359" s="56" t="n"/>
      <c r="BV359" s="56" t="n"/>
      <c r="BW359" s="56" t="n"/>
      <c r="BX359" s="288">
        <f>IFERROR(BX353/BX358,"n/a")</f>
        <v>0.21350994362188</v>
      </c>
      <c r="BY359" s="288">
        <f>IFERROR(BY353/BY358,"n/a")</f>
        <v>0.190155529983125</v>
      </c>
      <c r="BZ359" s="288">
        <f>IFERROR(BZ353/BZ358,"n/a")</f>
        <v>0.187331345753336</v>
      </c>
      <c r="CA359" s="288">
        <f>IFERROR(CA353/CA358,"n/a")</f>
        <v>0.18997822905195</v>
      </c>
      <c r="CB359" s="288">
        <f>IFERROR(CB353/CB358,"n/a")</f>
        <v>0.201388340632791</v>
      </c>
      <c r="CC359" s="288">
        <f>IFERROR(CC353/CC358,"n/a")</f>
        <v>0.215001593789612</v>
      </c>
      <c r="CD359" s="153" t="n"/>
      <c r="CF359" s="37">
        <f>IFERROR(AVERAGE(BY359,BZ359,CA359,CB359,CC359),"n/m")</f>
        <v>0.196771007842163</v>
      </c>
      <c r="CG359" s="37">
        <f>IFERROR(AVERAGE(AY359,BD359,BI359,BN359,BS359),"n/m")</f>
        <v>0.385501694256886</v>
      </c>
      <c r="CH359" s="37">
        <f>IFERROR(AVERAGE(Z359,AE359,AJ359,AO359,AT359,AY359,BD359,BI359,BN359,BS359),"n/m")</f>
        <v>0.543883320819326</v>
      </c>
      <c r="CI359" s="37">
        <f>IFERROR(AVERAGE(C359,D359,E359,F359,K359,P359,U359,Z359,AE359,AJ359,AO359,AT359,AY359,BD359,BI359,BN359,BS359),"n/m")</f>
        <v>0.514281977560248</v>
      </c>
    </row>
    <row r="360" ht="15" customHeight="1" s="251">
      <c r="B360" s="25" t="inlineStr">
        <is>
          <t>Return on Equity (ROE)</t>
        </is>
      </c>
      <c r="CD360" s="153" t="n"/>
    </row>
    <row r="361" ht="15" customHeight="1" s="251">
      <c r="B361" s="25" t="inlineStr">
        <is>
          <t>Net income</t>
        </is>
      </c>
      <c r="C361" s="211">
        <f>C123</f>
        <v>229</v>
      </c>
      <c r="D361" s="211">
        <f>D123</f>
        <v>606</v>
      </c>
      <c r="E361" s="211">
        <f>E123</f>
        <v>1000</v>
      </c>
      <c r="F361" s="211">
        <f>F123</f>
        <v>53</v>
      </c>
      <c r="G361" s="34" t="n"/>
      <c r="H361" s="34" t="n"/>
      <c r="I361" s="34" t="n"/>
      <c r="J361" s="34" t="n"/>
      <c r="K361" s="211">
        <f>K123</f>
        <v>1500</v>
      </c>
      <c r="L361" s="34" t="n"/>
      <c r="M361" s="34" t="n"/>
      <c r="N361" s="34" t="n"/>
      <c r="O361" s="34" t="n"/>
      <c r="P361" s="211">
        <f>P123</f>
        <v>2940</v>
      </c>
      <c r="Q361" s="34" t="n"/>
      <c r="R361" s="34" t="n"/>
      <c r="S361" s="34" t="n"/>
      <c r="T361" s="34" t="n"/>
      <c r="U361" s="211">
        <f>U123</f>
        <v>3688</v>
      </c>
      <c r="V361" s="34" t="n"/>
      <c r="W361" s="34" t="n"/>
      <c r="X361" s="34" t="n"/>
      <c r="Y361" s="34" t="n"/>
      <c r="Z361" s="211">
        <f>Z123</f>
        <v>10217</v>
      </c>
      <c r="AA361" s="34" t="n"/>
      <c r="AB361" s="34" t="n"/>
      <c r="AC361" s="34" t="n"/>
      <c r="AD361" s="34" t="n"/>
      <c r="AE361" s="211">
        <f>AE123</f>
        <v>15934</v>
      </c>
      <c r="AF361" s="34" t="n"/>
      <c r="AG361" s="34" t="n"/>
      <c r="AH361" s="34" t="n"/>
      <c r="AI361" s="34" t="n"/>
      <c r="AJ361" s="211">
        <f>AJ123</f>
        <v>22112</v>
      </c>
      <c r="AK361" s="34" t="n"/>
      <c r="AL361" s="34" t="n"/>
      <c r="AM361" s="34" t="n"/>
      <c r="AN361" s="34" t="n"/>
      <c r="AO361" s="211">
        <f>AO123</f>
        <v>18485</v>
      </c>
      <c r="AP361" s="34" t="n"/>
      <c r="AQ361" s="34" t="n"/>
      <c r="AR361" s="34" t="n"/>
      <c r="AS361" s="34" t="n"/>
      <c r="AT361" s="211">
        <f>AT123</f>
        <v>29146</v>
      </c>
      <c r="AU361" s="34" t="n"/>
      <c r="AV361" s="34" t="n"/>
      <c r="AW361" s="34" t="n"/>
      <c r="AX361" s="34" t="n"/>
      <c r="AY361" s="211">
        <f>AY123</f>
        <v>39370</v>
      </c>
      <c r="AZ361" s="34" t="n"/>
      <c r="BA361" s="34" t="n"/>
      <c r="BB361" s="34" t="n"/>
      <c r="BC361" s="34" t="n"/>
      <c r="BD361" s="211">
        <f>BD123</f>
        <v>23200</v>
      </c>
      <c r="BE361" s="34" t="n"/>
      <c r="BF361" s="34" t="n"/>
      <c r="BG361" s="34" t="n"/>
      <c r="BH361" s="34" t="n"/>
      <c r="BI361" s="211">
        <f>BI123</f>
        <v>39098</v>
      </c>
      <c r="BJ361" s="34" t="n"/>
      <c r="BK361" s="34" t="n"/>
      <c r="BL361" s="34" t="n"/>
      <c r="BM361" s="34" t="n"/>
      <c r="BN361" s="211">
        <f>BN123</f>
        <v>62360</v>
      </c>
      <c r="BO361" s="34" t="n"/>
      <c r="BP361" s="34" t="n"/>
      <c r="BQ361" s="34" t="n"/>
      <c r="BR361" s="34" t="n"/>
      <c r="BS361" s="211">
        <f>BS123</f>
        <v>60458</v>
      </c>
      <c r="BT361" s="34" t="n"/>
      <c r="BU361" s="34" t="n"/>
      <c r="BV361" s="35" t="n"/>
      <c r="BW361" s="35" t="n"/>
      <c r="BX361" s="263">
        <f>BX123</f>
        <v>79582.400726179</v>
      </c>
      <c r="BY361" s="263">
        <f>BY123</f>
        <v>84127.3640086451</v>
      </c>
      <c r="BZ361" s="263">
        <f>BZ123</f>
        <v>97359.2468047338</v>
      </c>
      <c r="CA361" s="263">
        <f>CA123</f>
        <v>110612.770596189</v>
      </c>
      <c r="CB361" s="263">
        <f>CB123</f>
        <v>126479.059510941</v>
      </c>
      <c r="CC361" s="263">
        <f>CC123</f>
        <v>143129.453220713</v>
      </c>
      <c r="CD361" s="19" t="n"/>
    </row>
    <row r="362" ht="15" customHeight="1" s="251">
      <c r="B362" s="25" t="inlineStr">
        <is>
          <t>Stockholders' equity</t>
        </is>
      </c>
      <c r="C362" s="211">
        <f>C294</f>
        <v>0</v>
      </c>
      <c r="D362" s="211">
        <f>D294</f>
        <v>2162</v>
      </c>
      <c r="E362" s="211">
        <f>E294</f>
        <v>4899</v>
      </c>
      <c r="F362" s="211">
        <f>F294</f>
        <v>11755</v>
      </c>
      <c r="G362" s="34" t="n"/>
      <c r="H362" s="34" t="n"/>
      <c r="I362" s="34" t="n"/>
      <c r="J362" s="34" t="n"/>
      <c r="K362" s="211">
        <f>K294</f>
        <v>15470</v>
      </c>
      <c r="L362" s="34" t="n"/>
      <c r="M362" s="34" t="n"/>
      <c r="N362" s="34" t="n"/>
      <c r="O362" s="34" t="n"/>
      <c r="P362" s="211">
        <f>P294</f>
        <v>36096</v>
      </c>
      <c r="Q362" s="34" t="n"/>
      <c r="R362" s="34" t="n"/>
      <c r="S362" s="34" t="n"/>
      <c r="T362" s="34" t="n"/>
      <c r="U362" s="211">
        <f>U294</f>
        <v>44218</v>
      </c>
      <c r="V362" s="34" t="n"/>
      <c r="W362" s="34" t="n"/>
      <c r="X362" s="34" t="n"/>
      <c r="Y362" s="34" t="n"/>
      <c r="Z362" s="211">
        <f>Z294</f>
        <v>59194</v>
      </c>
      <c r="AA362" s="34" t="n"/>
      <c r="AB362" s="34" t="n"/>
      <c r="AC362" s="34" t="n"/>
      <c r="AD362" s="34" t="n"/>
      <c r="AE362" s="211">
        <f>AE294</f>
        <v>74347</v>
      </c>
      <c r="AF362" s="34" t="n"/>
      <c r="AG362" s="34" t="n"/>
      <c r="AH362" s="34" t="n"/>
      <c r="AI362" s="34" t="n"/>
      <c r="AJ362" s="211">
        <f>AJ294</f>
        <v>84127</v>
      </c>
      <c r="AK362" s="34" t="n"/>
      <c r="AL362" s="34" t="n"/>
      <c r="AM362" s="34" t="n"/>
      <c r="AN362" s="34" t="n"/>
      <c r="AO362" s="211">
        <f>AO294</f>
        <v>101054</v>
      </c>
      <c r="AP362" s="34" t="n"/>
      <c r="AQ362" s="34" t="n"/>
      <c r="AR362" s="34" t="n"/>
      <c r="AS362" s="34" t="n"/>
      <c r="AT362" s="211">
        <f>AT294</f>
        <v>128290</v>
      </c>
      <c r="AU362" s="34" t="n"/>
      <c r="AV362" s="34" t="n"/>
      <c r="AW362" s="34" t="n"/>
      <c r="AX362" s="34" t="n"/>
      <c r="AY362" s="211">
        <f>AY294</f>
        <v>124879</v>
      </c>
      <c r="AZ362" s="34" t="n"/>
      <c r="BA362" s="34" t="n"/>
      <c r="BB362" s="34" t="n"/>
      <c r="BC362" s="34" t="n"/>
      <c r="BD362" s="211">
        <f>BD294</f>
        <v>125713</v>
      </c>
      <c r="BE362" s="34" t="n"/>
      <c r="BF362" s="34" t="n"/>
      <c r="BG362" s="34" t="n"/>
      <c r="BH362" s="34" t="n"/>
      <c r="BI362" s="211">
        <f>BI294</f>
        <v>153168</v>
      </c>
      <c r="BJ362" s="34" t="n"/>
      <c r="BK362" s="34" t="n"/>
      <c r="BL362" s="34" t="n"/>
      <c r="BM362" s="34" t="n"/>
      <c r="BN362" s="211">
        <f>BN294</f>
        <v>182637</v>
      </c>
      <c r="BO362" s="34" t="n"/>
      <c r="BP362" s="34" t="n"/>
      <c r="BQ362" s="34" t="n"/>
      <c r="BR362" s="34" t="n"/>
      <c r="BS362" s="211">
        <f>BS294</f>
        <v>217243</v>
      </c>
      <c r="BT362" s="34" t="n"/>
      <c r="BU362" s="34" t="n"/>
      <c r="BV362" s="35" t="n"/>
      <c r="BW362" s="35" t="n"/>
      <c r="BX362" s="263">
        <f>BX294</f>
        <v>297034.400726179</v>
      </c>
      <c r="BY362" s="263">
        <f>BY294</f>
        <v>378963.287449099</v>
      </c>
      <c r="BZ362" s="263">
        <f>BZ294</f>
        <v>468058.089477838</v>
      </c>
      <c r="CA362" s="263">
        <f>CA294</f>
        <v>523877.115836981</v>
      </c>
      <c r="CB362" s="263">
        <f>CB294</f>
        <v>564763.471750575</v>
      </c>
      <c r="CC362" s="263">
        <f>CC294</f>
        <v>597107.729245984</v>
      </c>
      <c r="CD362" s="19" t="n"/>
    </row>
    <row r="363" ht="15" customHeight="1" s="251">
      <c r="B363" s="25" t="inlineStr">
        <is>
          <t>ROE = Net income / Equity</t>
        </is>
      </c>
      <c r="C363" s="215" t="str">
        <f>IFERROR(C361/C362,"n/a")</f>
        <v>n/a</v>
      </c>
      <c r="D363" s="215">
        <f>IFERROR(D361/D362,"n/a")</f>
        <v>0.280296022201665</v>
      </c>
      <c r="E363" s="215">
        <f>IFERROR(E361/E362,"n/a")</f>
        <v>0.204123290467442</v>
      </c>
      <c r="F363" s="215">
        <f>IFERROR(F361/F362,"n/a")</f>
        <v>0.00450871969374734</v>
      </c>
      <c r="G363" s="34" t="n"/>
      <c r="H363" s="34" t="n"/>
      <c r="I363" s="34" t="n"/>
      <c r="J363" s="34" t="n"/>
      <c r="K363" s="215">
        <f>IFERROR(K361/K362,"n/a")</f>
        <v>0.096961861667744</v>
      </c>
      <c r="L363" s="34" t="n"/>
      <c r="M363" s="34" t="n"/>
      <c r="N363" s="34" t="n"/>
      <c r="O363" s="34" t="n"/>
      <c r="P363" s="215">
        <f>IFERROR(P361/P362,"n/a")</f>
        <v>0.0814494680851064</v>
      </c>
      <c r="Q363" s="34" t="n"/>
      <c r="R363" s="34" t="n"/>
      <c r="S363" s="34" t="n"/>
      <c r="T363" s="34" t="n"/>
      <c r="U363" s="215">
        <f>IFERROR(U361/U362,"n/a")</f>
        <v>0.0834049482111357</v>
      </c>
      <c r="V363" s="34" t="n"/>
      <c r="W363" s="34" t="n"/>
      <c r="X363" s="34" t="n"/>
      <c r="Y363" s="34" t="n"/>
      <c r="Z363" s="215">
        <f>IFERROR(Z361/Z362,"n/a")</f>
        <v>0.172601952900632</v>
      </c>
      <c r="AA363" s="34" t="n"/>
      <c r="AB363" s="34" t="n"/>
      <c r="AC363" s="34" t="n"/>
      <c r="AD363" s="34" t="n"/>
      <c r="AE363" s="215">
        <f>IFERROR(AE361/AE362,"n/a")</f>
        <v>0.214319340390332</v>
      </c>
      <c r="AF363" s="34" t="n"/>
      <c r="AG363" s="34" t="n"/>
      <c r="AH363" s="34" t="n"/>
      <c r="AI363" s="34" t="n"/>
      <c r="AJ363" s="215">
        <f>IFERROR(AJ361/AJ362,"n/a")</f>
        <v>0.262840705124395</v>
      </c>
      <c r="AK363" s="34" t="n"/>
      <c r="AL363" s="34" t="n"/>
      <c r="AM363" s="34" t="n"/>
      <c r="AN363" s="34" t="n"/>
      <c r="AO363" s="215">
        <f>IFERROR(AO361/AO362,"n/a")</f>
        <v>0.182922002097888</v>
      </c>
      <c r="AP363" s="34" t="n"/>
      <c r="AQ363" s="34" t="n"/>
      <c r="AR363" s="34" t="n"/>
      <c r="AS363" s="34" t="n"/>
      <c r="AT363" s="215">
        <f>IFERROR(AT361/AT362,"n/a")</f>
        <v>0.227188401278354</v>
      </c>
      <c r="AU363" s="34" t="n"/>
      <c r="AV363" s="34" t="n"/>
      <c r="AW363" s="34" t="n"/>
      <c r="AX363" s="34" t="n"/>
      <c r="AY363" s="215">
        <f>IFERROR(AY361/AY362,"n/a")</f>
        <v>0.315265176691037</v>
      </c>
      <c r="AZ363" s="34" t="n"/>
      <c r="BA363" s="34" t="n"/>
      <c r="BB363" s="34" t="n"/>
      <c r="BC363" s="34" t="n"/>
      <c r="BD363" s="215">
        <f>IFERROR(BD361/BD362,"n/a")</f>
        <v>0.184547341961452</v>
      </c>
      <c r="BE363" s="34" t="n"/>
      <c r="BF363" s="34" t="n"/>
      <c r="BG363" s="34" t="n"/>
      <c r="BH363" s="34" t="n"/>
      <c r="BI363" s="215">
        <f>IFERROR(BI361/BI362,"n/a")</f>
        <v>0.255262195758905</v>
      </c>
      <c r="BJ363" s="34" t="n"/>
      <c r="BK363" s="34" t="n"/>
      <c r="BL363" s="34" t="n"/>
      <c r="BM363" s="34" t="n"/>
      <c r="BN363" s="215">
        <f>IFERROR(BN361/BN362,"n/a")</f>
        <v>0.341442314536485</v>
      </c>
      <c r="BO363" s="34" t="n"/>
      <c r="BP363" s="34" t="n"/>
      <c r="BQ363" s="34" t="n"/>
      <c r="BR363" s="34" t="n"/>
      <c r="BS363" s="215">
        <f>IFERROR(BS361/BS362,"n/a")</f>
        <v>0.278296653977343</v>
      </c>
      <c r="BT363" s="34" t="n"/>
      <c r="BU363" s="34" t="n"/>
      <c r="BV363" s="35" t="n"/>
      <c r="BW363" s="35" t="n"/>
      <c r="BX363" s="256">
        <f>IFERROR(BX361/BX362,"n/a")</f>
        <v>0.26792317836459</v>
      </c>
      <c r="BY363" s="256">
        <f>IFERROR(BY361/BY362,"n/a")</f>
        <v>0.221993440512215</v>
      </c>
      <c r="BZ363" s="256">
        <f>IFERROR(BZ361/BZ362,"n/a")</f>
        <v>0.208006760257786</v>
      </c>
      <c r="CA363" s="256">
        <f>IFERROR(CA361/CA362,"n/a")</f>
        <v>0.211142589077339</v>
      </c>
      <c r="CB363" s="256">
        <f>IFERROR(CB361/CB362,"n/a")</f>
        <v>0.223950495804729</v>
      </c>
      <c r="CC363" s="256">
        <f>IFERROR(CC361/CC362,"n/a")</f>
        <v>0.239704572910912</v>
      </c>
      <c r="CD363" s="19" t="n"/>
      <c r="CF363" s="37">
        <f>IFERROR(AVERAGE(BY363,BZ363,CA363,CB363,CC363),"n/m")</f>
        <v>0.220959571712596</v>
      </c>
      <c r="CG363" s="37">
        <f>IFERROR(AVERAGE(AY363,BD363,BI363,BN363,BS363),"n/m")</f>
        <v>0.274962736585044</v>
      </c>
      <c r="CH363" s="37">
        <f>IFERROR(AVERAGE(Z363,AE363,AJ363,AO363,AT363,AY363,BD363,BI363,BN363,BS363),"n/m")</f>
        <v>0.243468608471682</v>
      </c>
      <c r="CI363" s="37">
        <f>IFERROR(AVERAGE(C363,D363,E363,F363,K363,P363,U363,Z363,AE363,AJ363,AO363,AT363,AY363,BD363,BI363,BN363,BS363),"n/m")</f>
        <v>0.199089399690229</v>
      </c>
    </row>
    <row r="364" ht="15" customHeight="1" s="251">
      <c r="B364" s="25" t="inlineStr">
        <is>
          <t>Leverage</t>
        </is>
      </c>
      <c r="CD364" s="153" t="n"/>
    </row>
    <row r="365" ht="15" customHeight="1" s="251">
      <c r="B365" s="25" t="inlineStr">
        <is>
          <t>Net debt (negative = net cash)</t>
        </is>
      </c>
      <c r="C365" s="211" t="str">
        <f>C346</f>
        <v>n/a</v>
      </c>
      <c r="D365" s="211">
        <f>D346</f>
        <v>-1312</v>
      </c>
      <c r="E365" s="211">
        <f>E346</f>
        <v>-3231</v>
      </c>
      <c r="F365" s="211">
        <f>F346</f>
        <v>-7270</v>
      </c>
      <c r="G365" s="34" t="n"/>
      <c r="H365" s="34" t="n"/>
      <c r="I365" s="34" t="n"/>
      <c r="J365" s="34" t="n"/>
      <c r="K365" s="211">
        <f>K346</f>
        <v>-10973</v>
      </c>
      <c r="L365" s="34" t="n"/>
      <c r="M365" s="34" t="n"/>
      <c r="N365" s="34" t="n"/>
      <c r="O365" s="34" t="n"/>
      <c r="P365" s="211">
        <f>P346</f>
        <v>-10966</v>
      </c>
      <c r="Q365" s="34" t="n"/>
      <c r="R365" s="34" t="n"/>
      <c r="S365" s="34" t="n"/>
      <c r="T365" s="34" t="n"/>
      <c r="U365" s="211">
        <f>U346</f>
        <v>-18320</v>
      </c>
      <c r="V365" s="34" t="n"/>
      <c r="W365" s="34" t="n"/>
      <c r="X365" s="34" t="n"/>
      <c r="Y365" s="34" t="n"/>
      <c r="Z365" s="211">
        <f>Z346</f>
        <v>-29449</v>
      </c>
      <c r="AA365" s="34" t="n"/>
      <c r="AB365" s="34" t="n"/>
      <c r="AC365" s="34" t="n"/>
      <c r="AD365" s="34" t="n"/>
      <c r="AE365" s="211">
        <f>AE346</f>
        <v>-41711</v>
      </c>
      <c r="AF365" s="34" t="n"/>
      <c r="AG365" s="34" t="n"/>
      <c r="AH365" s="34" t="n"/>
      <c r="AI365" s="34" t="n"/>
      <c r="AJ365" s="211">
        <f>AJ346</f>
        <v>-41114</v>
      </c>
      <c r="AK365" s="34" t="n"/>
      <c r="AL365" s="34" t="n"/>
      <c r="AM365" s="34" t="n"/>
      <c r="AN365" s="34" t="n"/>
      <c r="AO365" s="211">
        <f>AO346</f>
        <v>-54855</v>
      </c>
      <c r="AP365" s="34" t="n"/>
      <c r="AQ365" s="34" t="n"/>
      <c r="AR365" s="34" t="n"/>
      <c r="AS365" s="34" t="n"/>
      <c r="AT365" s="211">
        <f>AT346</f>
        <v>-61954</v>
      </c>
      <c r="AU365" s="34" t="n"/>
      <c r="AV365" s="34" t="n"/>
      <c r="AW365" s="34" t="n"/>
      <c r="AX365" s="34" t="n"/>
      <c r="AY365" s="211">
        <f>AY346</f>
        <v>-47998</v>
      </c>
      <c r="AZ365" s="34" t="n"/>
      <c r="BA365" s="34" t="n"/>
      <c r="BB365" s="34" t="n"/>
      <c r="BC365" s="34" t="n"/>
      <c r="BD365" s="211">
        <f>BD346</f>
        <v>-30815</v>
      </c>
      <c r="BE365" s="34" t="n"/>
      <c r="BF365" s="34" t="n"/>
      <c r="BG365" s="34" t="n"/>
      <c r="BH365" s="34" t="n"/>
      <c r="BI365" s="211">
        <f>BI346</f>
        <v>-47018</v>
      </c>
      <c r="BJ365" s="34" t="n"/>
      <c r="BK365" s="34" t="n"/>
      <c r="BL365" s="34" t="n"/>
      <c r="BM365" s="34" t="n"/>
      <c r="BN365" s="211">
        <f>BN346</f>
        <v>-48989</v>
      </c>
      <c r="BO365" s="34" t="n"/>
      <c r="BP365" s="34" t="n"/>
      <c r="BQ365" s="34" t="n"/>
      <c r="BR365" s="34" t="n"/>
      <c r="BS365" s="211">
        <f>BS346</f>
        <v>-22848</v>
      </c>
      <c r="BT365" s="34" t="n"/>
      <c r="BU365" s="34" t="n"/>
      <c r="BV365" s="35" t="n"/>
      <c r="BW365" s="35" t="n"/>
      <c r="BX365" s="263">
        <f>BX346</f>
        <v>31296.7405748248</v>
      </c>
      <c r="BY365" s="263">
        <f>BY346</f>
        <v>48335.5511393147</v>
      </c>
      <c r="BZ365" s="263">
        <f>BZ346</f>
        <v>42671.8942534926</v>
      </c>
      <c r="CA365" s="263">
        <f>CA346</f>
        <v>49483.4289512468</v>
      </c>
      <c r="CB365" s="263">
        <f>CB346</f>
        <v>56274.4924401892</v>
      </c>
      <c r="CC365" s="263">
        <f>CC346</f>
        <v>62718.9787308935</v>
      </c>
      <c r="CD365" s="19" t="n"/>
    </row>
    <row r="366" ht="15" customHeight="1" s="251">
      <c r="B366" s="25" t="inlineStr">
        <is>
          <t>Adjusted EBITDA (model)</t>
        </is>
      </c>
      <c r="C366" s="211">
        <f>C168</f>
        <v>340</v>
      </c>
      <c r="D366" s="211">
        <f>D168</f>
        <v>1171</v>
      </c>
      <c r="E366" s="211">
        <f>E168</f>
        <v>2079</v>
      </c>
      <c r="F366" s="211">
        <f>F168</f>
        <v>1187</v>
      </c>
      <c r="G366" s="34" t="n"/>
      <c r="H366" s="34" t="n"/>
      <c r="I366" s="34" t="n"/>
      <c r="J366" s="34" t="n"/>
      <c r="K366" s="211">
        <f>K168</f>
        <v>3815</v>
      </c>
      <c r="L366" s="34" t="n"/>
      <c r="M366" s="34" t="n"/>
      <c r="N366" s="34" t="n"/>
      <c r="O366" s="34" t="n"/>
      <c r="P366" s="211">
        <f>P168</f>
        <v>6237</v>
      </c>
      <c r="Q366" s="34" t="n"/>
      <c r="R366" s="34" t="n"/>
      <c r="S366" s="34" t="n"/>
      <c r="T366" s="34" t="n"/>
      <c r="U366" s="211">
        <f>U168</f>
        <v>8170</v>
      </c>
      <c r="V366" s="34" t="n"/>
      <c r="W366" s="34" t="n"/>
      <c r="X366" s="34" t="n"/>
      <c r="Y366" s="34" t="n"/>
      <c r="Z366" s="211">
        <f>Z168</f>
        <v>14769</v>
      </c>
      <c r="AA366" s="34" t="n"/>
      <c r="AB366" s="34" t="n"/>
      <c r="AC366" s="34" t="n"/>
      <c r="AD366" s="34" t="n"/>
      <c r="AE366" s="211">
        <f>AE168</f>
        <v>23228</v>
      </c>
      <c r="AF366" s="34" t="n"/>
      <c r="AG366" s="34" t="n"/>
      <c r="AH366" s="34" t="n"/>
      <c r="AI366" s="34" t="n"/>
      <c r="AJ366" s="211">
        <f>AJ168</f>
        <v>29228</v>
      </c>
      <c r="AK366" s="34" t="n"/>
      <c r="AL366" s="34" t="n"/>
      <c r="AM366" s="34" t="n"/>
      <c r="AN366" s="34" t="n"/>
      <c r="AO366" s="211">
        <f>AO168</f>
        <v>34727</v>
      </c>
      <c r="AP366" s="34" t="n"/>
      <c r="AQ366" s="34" t="n"/>
      <c r="AR366" s="34" t="n"/>
      <c r="AS366" s="34" t="n"/>
      <c r="AT366" s="211">
        <f>AT168</f>
        <v>39533</v>
      </c>
      <c r="AU366" s="34" t="n"/>
      <c r="AV366" s="34" t="n"/>
      <c r="AW366" s="34" t="n"/>
      <c r="AX366" s="34" t="n"/>
      <c r="AY366" s="211">
        <f>AY168</f>
        <v>54720</v>
      </c>
      <c r="AZ366" s="34" t="n"/>
      <c r="BA366" s="34" t="n"/>
      <c r="BB366" s="34" t="n"/>
      <c r="BC366" s="34" t="n"/>
      <c r="BD366" s="211">
        <f>BD168</f>
        <v>42241</v>
      </c>
      <c r="BE366" s="34" t="n"/>
      <c r="BF366" s="34" t="n"/>
      <c r="BG366" s="34" t="n"/>
      <c r="BH366" s="34" t="n"/>
      <c r="BI366" s="211">
        <f>BI168</f>
        <v>63253</v>
      </c>
      <c r="BJ366" s="34" t="n"/>
      <c r="BK366" s="34" t="n"/>
      <c r="BL366" s="34" t="n"/>
      <c r="BM366" s="34" t="n"/>
      <c r="BN366" s="211">
        <f>BN168</f>
        <v>83328</v>
      </c>
      <c r="BO366" s="34" t="n"/>
      <c r="BP366" s="34" t="n"/>
      <c r="BQ366" s="34" t="n"/>
      <c r="BR366" s="34" t="n"/>
      <c r="BS366" s="211">
        <f>BS168</f>
        <v>101892</v>
      </c>
      <c r="BT366" s="34" t="n"/>
      <c r="BU366" s="34" t="n"/>
      <c r="BV366" s="35" t="n"/>
      <c r="BW366" s="35" t="n"/>
      <c r="BX366" s="263">
        <f>BX168</f>
        <v>115613.315931166</v>
      </c>
      <c r="BY366" s="263">
        <f>BY168</f>
        <v>142894.568633087</v>
      </c>
      <c r="BZ366" s="263">
        <f>BZ168</f>
        <v>170687.57701397</v>
      </c>
      <c r="CA366" s="263">
        <f>CA168</f>
        <v>197933.715804987</v>
      </c>
      <c r="CB366" s="263">
        <f>CB168</f>
        <v>225097.969760757</v>
      </c>
      <c r="CC366" s="263">
        <f>CC168</f>
        <v>250875.914923574</v>
      </c>
      <c r="CD366" s="19" t="n"/>
    </row>
    <row r="367" ht="15" customHeight="1" s="251">
      <c r="B367" s="55" t="inlineStr">
        <is>
          <t>Net debt / adjusted EBITDA (x)</t>
        </is>
      </c>
      <c r="C367" s="289" t="str">
        <f>IFERROR(C365/C366,"n/a")</f>
        <v>n/a</v>
      </c>
      <c r="D367" s="289">
        <f>IFERROR(D365/D366,"n/a")</f>
        <v>-1.12040990606319</v>
      </c>
      <c r="E367" s="289">
        <f>IFERROR(E365/E366,"n/a")</f>
        <v>-1.55411255411255</v>
      </c>
      <c r="F367" s="289">
        <f>IFERROR(F365/F366,"n/a")</f>
        <v>-6.12468407750632</v>
      </c>
      <c r="G367" s="56" t="n"/>
      <c r="H367" s="56" t="n"/>
      <c r="I367" s="56" t="n"/>
      <c r="J367" s="56" t="n"/>
      <c r="K367" s="289">
        <f>IFERROR(K365/K366,"n/a")</f>
        <v>-2.87627785058978</v>
      </c>
      <c r="L367" s="56" t="n"/>
      <c r="M367" s="56" t="n"/>
      <c r="N367" s="56" t="n"/>
      <c r="O367" s="56" t="n"/>
      <c r="P367" s="289">
        <f>IFERROR(P365/P366,"n/a")</f>
        <v>-1.75821709155043</v>
      </c>
      <c r="Q367" s="56" t="n"/>
      <c r="R367" s="56" t="n"/>
      <c r="S367" s="56" t="n"/>
      <c r="T367" s="56" t="n"/>
      <c r="U367" s="289">
        <f>IFERROR(U365/U366,"n/a")</f>
        <v>-2.24235006119951</v>
      </c>
      <c r="V367" s="56" t="n"/>
      <c r="W367" s="56" t="n"/>
      <c r="X367" s="56" t="n"/>
      <c r="Y367" s="56" t="n"/>
      <c r="Z367" s="289">
        <f>IFERROR(Z365/Z366,"n/a")</f>
        <v>-1.99397386417496</v>
      </c>
      <c r="AA367" s="56" t="n"/>
      <c r="AB367" s="56" t="n"/>
      <c r="AC367" s="56" t="n"/>
      <c r="AD367" s="56" t="n"/>
      <c r="AE367" s="289">
        <f>IFERROR(AE365/AE366,"n/a")</f>
        <v>-1.79572068193559</v>
      </c>
      <c r="AF367" s="56" t="n"/>
      <c r="AG367" s="56" t="n"/>
      <c r="AH367" s="56" t="n"/>
      <c r="AI367" s="56" t="n"/>
      <c r="AJ367" s="289">
        <f>IFERROR(AJ365/AJ366,"n/a")</f>
        <v>-1.40666484193239</v>
      </c>
      <c r="AK367" s="56" t="n"/>
      <c r="AL367" s="56" t="n"/>
      <c r="AM367" s="56" t="n"/>
      <c r="AN367" s="56" t="n"/>
      <c r="AO367" s="289">
        <f>IFERROR(AO365/AO366,"n/a")</f>
        <v>-1.57960664612549</v>
      </c>
      <c r="AP367" s="56" t="n"/>
      <c r="AQ367" s="56" t="n"/>
      <c r="AR367" s="56" t="n"/>
      <c r="AS367" s="56" t="n"/>
      <c r="AT367" s="289">
        <f>IFERROR(AT365/AT366,"n/a")</f>
        <v>-1.56714643462424</v>
      </c>
      <c r="AU367" s="56" t="n"/>
      <c r="AV367" s="56" t="n"/>
      <c r="AW367" s="56" t="n"/>
      <c r="AX367" s="56" t="n"/>
      <c r="AY367" s="289">
        <f>IFERROR(AY365/AY366,"n/a")</f>
        <v>-0.877156432748538</v>
      </c>
      <c r="AZ367" s="56" t="n"/>
      <c r="BA367" s="56" t="n"/>
      <c r="BB367" s="56" t="n"/>
      <c r="BC367" s="56" t="n"/>
      <c r="BD367" s="289">
        <f>IFERROR(BD365/BD366,"n/a")</f>
        <v>-0.729504509836415</v>
      </c>
      <c r="BE367" s="56" t="n"/>
      <c r="BF367" s="56" t="n"/>
      <c r="BG367" s="56" t="n"/>
      <c r="BH367" s="56" t="n"/>
      <c r="BI367" s="289">
        <f>IFERROR(BI365/BI366,"n/a")</f>
        <v>-0.743332332063301</v>
      </c>
      <c r="BJ367" s="56" t="n"/>
      <c r="BK367" s="56" t="n"/>
      <c r="BL367" s="56" t="n"/>
      <c r="BM367" s="56" t="n"/>
      <c r="BN367" s="289">
        <f>IFERROR(BN365/BN366,"n/a")</f>
        <v>-0.587905625960062</v>
      </c>
      <c r="BO367" s="56" t="n"/>
      <c r="BP367" s="56" t="n"/>
      <c r="BQ367" s="56" t="n"/>
      <c r="BR367" s="56" t="n"/>
      <c r="BS367" s="289">
        <f>IFERROR(BS365/BS366,"n/a")</f>
        <v>-0.224237427864798</v>
      </c>
      <c r="BT367" s="56" t="n"/>
      <c r="BU367" s="56" t="n"/>
      <c r="BV367" s="56" t="n"/>
      <c r="BW367" s="56" t="n"/>
      <c r="BX367" s="289">
        <f>IFERROR(BX365/BX366,"n/a")</f>
        <v>0.270701867883959</v>
      </c>
      <c r="BY367" s="289">
        <f>IFERROR(BY365/BY366,"n/a")</f>
        <v>0.338260240411424</v>
      </c>
      <c r="BZ367" s="289">
        <f>IFERROR(BZ365/BZ366,"n/a")</f>
        <v>0.25</v>
      </c>
      <c r="CA367" s="289">
        <f>IFERROR(CA365/CA366,"n/a")</f>
        <v>0.25</v>
      </c>
      <c r="CB367" s="289">
        <f>IFERROR(CB365/CB366,"n/a")</f>
        <v>0.25</v>
      </c>
      <c r="CC367" s="289">
        <f>IFERROR(CC365/CC366,"n/a")</f>
        <v>0.25</v>
      </c>
      <c r="CD367" s="153" t="n"/>
      <c r="CF367" s="37">
        <f>IFERROR(AVERAGE(BY367,BZ367,CA367,CB367,CC367),"n/m")</f>
        <v>0.267652048082285</v>
      </c>
      <c r="CG367" s="37">
        <f>IFERROR(AVERAGE(AY367,BD367,BI367,BN367,BS367),"n/m")</f>
        <v>-0.632427265694623</v>
      </c>
      <c r="CH367" s="37">
        <f>IFERROR(AVERAGE(Z367,AE367,AJ367,AO367,AT367,AY367,BD367,BI367,BN367,BS367),"n/m")</f>
        <v>-1.15052487972658</v>
      </c>
      <c r="CI367" s="37">
        <f>IFERROR(AVERAGE(C367,D367,E367,F367,K367,P367,U367,Z367,AE367,AJ367,AO367,AT367,AY367,BD367,BI367,BN367,BS367),"n/m")</f>
        <v>-1.69883127114297</v>
      </c>
    </row>
    <row r="368" ht="15" customHeight="1" s="251">
      <c r="B368" s="25" t="inlineStr">
        <is>
          <t>Total debt / adjusted EBITDA (x)</t>
        </is>
      </c>
      <c r="C368" s="279" t="str">
        <f>IFERROR(C319/C168,"n/a")</f>
        <v>n/a</v>
      </c>
      <c r="D368" s="279">
        <f>IFERROR(D319/D168,"n/a")</f>
        <v>0.403928266438941</v>
      </c>
      <c r="E368" s="279">
        <f>IFERROR(E319/E168,"n/a")</f>
        <v>0.325637325637326</v>
      </c>
      <c r="F368" s="279">
        <f>IFERROR(F319/F168,"n/a")</f>
        <v>1.98483572030329</v>
      </c>
      <c r="G368" s="34" t="n"/>
      <c r="H368" s="34" t="n"/>
      <c r="I368" s="34" t="n"/>
      <c r="J368" s="34" t="n"/>
      <c r="K368" s="279">
        <f>IFERROR(K319/K168,"n/a")</f>
        <v>0.124770642201835</v>
      </c>
      <c r="L368" s="34" t="n"/>
      <c r="M368" s="34" t="n"/>
      <c r="N368" s="34" t="n"/>
      <c r="O368" s="34" t="n"/>
      <c r="P368" s="279">
        <f>IFERROR(P319/P168,"n/a")</f>
        <v>0.0373577040243707</v>
      </c>
      <c r="Q368" s="34" t="n"/>
      <c r="R368" s="34" t="n"/>
      <c r="S368" s="34" t="n"/>
      <c r="T368" s="34" t="n"/>
      <c r="U368" s="279">
        <f>IFERROR(U319/U168,"n/a")</f>
        <v>0.013953488372093</v>
      </c>
      <c r="V368" s="34" t="n"/>
      <c r="W368" s="34" t="n"/>
      <c r="X368" s="34" t="n"/>
      <c r="Y368" s="34" t="n"/>
      <c r="Z368" s="279">
        <f>IFERROR(Z319/Z168,"n/a")</f>
        <v>0</v>
      </c>
      <c r="AA368" s="34" t="n"/>
      <c r="AB368" s="34" t="n"/>
      <c r="AC368" s="34" t="n"/>
      <c r="AD368" s="34" t="n"/>
      <c r="AE368" s="279">
        <f>IFERROR(AE319/AE168,"n/a")</f>
        <v>0</v>
      </c>
      <c r="AF368" s="34" t="n"/>
      <c r="AG368" s="34" t="n"/>
      <c r="AH368" s="34" t="n"/>
      <c r="AI368" s="34" t="n"/>
      <c r="AJ368" s="279">
        <f>IFERROR(AJ319/AJ168,"n/a")</f>
        <v>0</v>
      </c>
      <c r="AK368" s="34" t="n"/>
      <c r="AL368" s="34" t="n"/>
      <c r="AM368" s="34" t="n"/>
      <c r="AN368" s="34" t="n"/>
      <c r="AO368" s="279">
        <f>IFERROR(AO319/AO168,"n/a")</f>
        <v>0</v>
      </c>
      <c r="AP368" s="34" t="n"/>
      <c r="AQ368" s="34" t="n"/>
      <c r="AR368" s="34" t="n"/>
      <c r="AS368" s="34" t="n"/>
      <c r="AT368" s="279">
        <f>IFERROR(AT319/AT168,"n/a")</f>
        <v>0</v>
      </c>
      <c r="AU368" s="34" t="n"/>
      <c r="AV368" s="34" t="n"/>
      <c r="AW368" s="34" t="n"/>
      <c r="AX368" s="34" t="n"/>
      <c r="AY368" s="279">
        <f>IFERROR(AY319/AY168,"n/a")</f>
        <v>0</v>
      </c>
      <c r="AZ368" s="34" t="n"/>
      <c r="BA368" s="34" t="n"/>
      <c r="BB368" s="34" t="n"/>
      <c r="BC368" s="34" t="n"/>
      <c r="BD368" s="279">
        <f>IFERROR(BD319/BD168,"n/a")</f>
        <v>0.234913946166047</v>
      </c>
      <c r="BE368" s="34" t="n"/>
      <c r="BF368" s="34" t="n"/>
      <c r="BG368" s="34" t="n"/>
      <c r="BH368" s="34" t="n"/>
      <c r="BI368" s="279">
        <f>IFERROR(BI319/BI168,"n/a")</f>
        <v>0.290658150601553</v>
      </c>
      <c r="BJ368" s="34" t="n"/>
      <c r="BK368" s="34" t="n"/>
      <c r="BL368" s="34" t="n"/>
      <c r="BM368" s="34" t="n"/>
      <c r="BN368" s="279">
        <f>IFERROR(BN319/BN168,"n/a")</f>
        <v>0.345934139784946</v>
      </c>
      <c r="BO368" s="34" t="n"/>
      <c r="BP368" s="34" t="n"/>
      <c r="BQ368" s="34" t="n"/>
      <c r="BR368" s="34" t="n"/>
      <c r="BS368" s="279">
        <f>IFERROR(BS319/BS168,"n/a")</f>
        <v>0.57653201428964</v>
      </c>
      <c r="BT368" s="34" t="n"/>
      <c r="BU368" s="34" t="n"/>
      <c r="BV368" s="35" t="n"/>
      <c r="BW368" s="35" t="n"/>
      <c r="BX368" s="280">
        <f>IFERROR(BX319/BX168,"n/a")</f>
        <v>1.0474117068567</v>
      </c>
      <c r="BY368" s="280">
        <f>IFERROR(BY319/BY168,"n/a")</f>
        <v>0.966681606310753</v>
      </c>
      <c r="BZ368" s="280">
        <f>IFERROR(BZ319/BZ168,"n/a")</f>
        <v>0.776095698181071</v>
      </c>
      <c r="CA368" s="280">
        <f>IFERROR(CA319/CA168,"n/a")</f>
        <v>0.703677129410701</v>
      </c>
      <c r="CB368" s="280">
        <f>IFERROR(CB319/CB168,"n/a")</f>
        <v>0.648928520303586</v>
      </c>
      <c r="CC368" s="280">
        <f>IFERROR(CC319/CC168,"n/a")</f>
        <v>0.607937907380849</v>
      </c>
      <c r="CD368" s="19" t="n"/>
    </row>
    <row r="369" ht="15" customHeight="1" s="251">
      <c r="CL369" s="11" t="n"/>
      <c r="CM369" s="12" t="n"/>
      <c r="CN369" s="12" t="n"/>
      <c r="CO369" s="12" t="n"/>
      <c r="CP369" s="13" t="n"/>
    </row>
    <row r="370" ht="15" customHeight="1" s="251">
      <c r="B370" s="10" t="inlineStr">
        <is>
          <t>VALUATION</t>
        </is>
      </c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  <c r="AD370" s="10" t="n"/>
      <c r="AE370" s="10" t="n"/>
      <c r="AF370" s="10" t="n"/>
      <c r="AG370" s="10" t="n"/>
      <c r="AH370" s="10" t="n"/>
      <c r="AI370" s="10" t="n"/>
      <c r="AJ370" s="10" t="n"/>
      <c r="AK370" s="10" t="n"/>
      <c r="AL370" s="10" t="n"/>
      <c r="AM370" s="10" t="n"/>
      <c r="AN370" s="10" t="n"/>
      <c r="AO370" s="10" t="n"/>
      <c r="AP370" s="10" t="n"/>
      <c r="AQ370" s="10" t="n"/>
      <c r="AR370" s="10" t="n"/>
      <c r="AS370" s="10" t="n"/>
      <c r="AT370" s="10" t="n"/>
      <c r="AU370" s="10" t="n"/>
      <c r="AV370" s="10" t="n"/>
      <c r="AW370" s="10" t="n"/>
      <c r="AX370" s="10" t="n"/>
      <c r="AY370" s="10" t="n"/>
      <c r="AZ370" s="10" t="n"/>
      <c r="BA370" s="10" t="n"/>
      <c r="BB370" s="10" t="n"/>
      <c r="BC370" s="10" t="n"/>
      <c r="BD370" s="10" t="n"/>
      <c r="BE370" s="10" t="n"/>
      <c r="BF370" s="10" t="n"/>
      <c r="BG370" s="10" t="n"/>
      <c r="BH370" s="10" t="n"/>
      <c r="BI370" s="10" t="n"/>
      <c r="BJ370" s="10" t="n"/>
      <c r="BK370" s="10" t="n"/>
      <c r="BL370" s="10" t="n"/>
      <c r="BM370" s="10" t="n"/>
      <c r="BN370" s="10" t="n"/>
      <c r="BO370" s="10" t="n"/>
      <c r="BP370" s="10" t="n"/>
      <c r="BQ370" s="10" t="n"/>
      <c r="BR370" s="10" t="n"/>
      <c r="BS370" s="10" t="n"/>
      <c r="BT370" s="10" t="n"/>
      <c r="BU370" s="10" t="n"/>
      <c r="BV370" s="10" t="n"/>
      <c r="BW370" s="10" t="n"/>
      <c r="BX370" s="10" t="n"/>
      <c r="BY370" s="10" t="n"/>
      <c r="BZ370" s="10" t="n"/>
      <c r="CA370" s="10" t="n"/>
      <c r="CB370" s="10" t="n"/>
      <c r="CC370" s="10" t="n"/>
      <c r="CD370" s="10" t="inlineStr">
        <is>
          <t>VALUATION — share price input $745.00 (per the user, 12-Oct-2026); ~$1.9tn market capitalisation; update to market</t>
        </is>
      </c>
    </row>
    <row r="371" ht="15" customHeight="1" s="251">
      <c r="B371" s="69" t="inlineStr">
        <is>
          <t>Share price ($) — current</t>
        </is>
      </c>
      <c r="C371" s="44" t="n"/>
      <c r="D371" s="44" t="n"/>
      <c r="E371" s="44" t="n"/>
      <c r="F371" s="44" t="n"/>
      <c r="G371" s="44" t="n"/>
      <c r="H371" s="44" t="n"/>
      <c r="I371" s="44" t="n"/>
      <c r="J371" s="44" t="n"/>
      <c r="K371" s="44" t="n"/>
      <c r="L371" s="44" t="n"/>
      <c r="M371" s="44" t="n"/>
      <c r="N371" s="44" t="n"/>
      <c r="O371" s="44" t="n"/>
      <c r="P371" s="44" t="n"/>
      <c r="Q371" s="44" t="n"/>
      <c r="R371" s="44" t="n"/>
      <c r="S371" s="44" t="n"/>
      <c r="T371" s="44" t="n"/>
      <c r="U371" s="44" t="n"/>
      <c r="V371" s="44" t="n"/>
      <c r="W371" s="44" t="n"/>
      <c r="X371" s="44" t="n"/>
      <c r="Y371" s="44" t="n"/>
      <c r="Z371" s="44" t="n"/>
      <c r="AA371" s="44" t="n"/>
      <c r="AB371" s="44" t="n"/>
      <c r="AC371" s="44" t="n"/>
      <c r="AD371" s="44" t="n"/>
      <c r="AE371" s="44" t="n"/>
      <c r="AF371" s="44" t="n"/>
      <c r="AG371" s="44" t="n"/>
      <c r="AH371" s="44" t="n"/>
      <c r="AI371" s="44" t="n"/>
      <c r="AJ371" s="44" t="n"/>
      <c r="AK371" s="44" t="n"/>
      <c r="AL371" s="44" t="n"/>
      <c r="AM371" s="44" t="n"/>
      <c r="AN371" s="44" t="n"/>
      <c r="AO371" s="44" t="n"/>
      <c r="AP371" s="44" t="n"/>
      <c r="AQ371" s="44" t="n"/>
      <c r="AR371" s="44" t="n"/>
      <c r="AS371" s="44" t="n"/>
      <c r="AT371" s="44" t="n"/>
      <c r="AU371" s="44" t="n"/>
      <c r="AV371" s="44" t="n"/>
      <c r="AW371" s="44" t="n"/>
      <c r="AX371" s="44" t="n"/>
      <c r="AY371" s="44" t="n"/>
      <c r="AZ371" s="44" t="n"/>
      <c r="BA371" s="44" t="n"/>
      <c r="BB371" s="44" t="n"/>
      <c r="BC371" s="44" t="n"/>
      <c r="BD371" s="44" t="n"/>
      <c r="BE371" s="44" t="n"/>
      <c r="BF371" s="44" t="n"/>
      <c r="BG371" s="44" t="n"/>
      <c r="BH371" s="44" t="n"/>
      <c r="BI371" s="44" t="n"/>
      <c r="BJ371" s="44" t="n"/>
      <c r="BK371" s="44" t="n"/>
      <c r="BL371" s="44" t="n"/>
      <c r="BM371" s="44" t="n"/>
      <c r="BN371" s="44" t="n"/>
      <c r="BO371" s="44" t="n"/>
      <c r="BP371" s="44" t="n"/>
      <c r="BQ371" s="44" t="n"/>
      <c r="BR371" s="44" t="n"/>
      <c r="BS371" s="44" t="n"/>
      <c r="BT371" s="44" t="n"/>
      <c r="BU371" s="44" t="n"/>
      <c r="BV371" s="153" t="n"/>
      <c r="BW371" s="153" t="n"/>
      <c r="BX371" s="282" t="n">
        <v>745</v>
      </c>
      <c r="BY371" s="281">
        <f>BX371</f>
        <v>745</v>
      </c>
      <c r="BZ371" s="281">
        <f>BY371</f>
        <v>745</v>
      </c>
      <c r="CA371" s="281">
        <f>BZ371</f>
        <v>745</v>
      </c>
      <c r="CB371" s="281">
        <f>CA371</f>
        <v>745</v>
      </c>
      <c r="CC371" s="281">
        <f>CB371</f>
        <v>745</v>
      </c>
      <c r="CD371" s="19" t="n"/>
    </row>
    <row r="372" ht="15" customHeight="1" s="251">
      <c r="B372" s="25" t="inlineStr">
        <is>
          <t>Diluted shares at period end (m)</t>
        </is>
      </c>
      <c r="C372" s="34" t="n"/>
      <c r="D372" s="34" t="n"/>
      <c r="E372" s="34" t="n"/>
      <c r="F372" s="34" t="n"/>
      <c r="G372" s="34" t="n"/>
      <c r="H372" s="34" t="n"/>
      <c r="I372" s="34" t="n"/>
      <c r="J372" s="34" t="n"/>
      <c r="K372" s="34" t="n"/>
      <c r="L372" s="34" t="n"/>
      <c r="M372" s="34" t="n"/>
      <c r="N372" s="34" t="n"/>
      <c r="O372" s="34" t="n"/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  <c r="AA372" s="34" t="n"/>
      <c r="AB372" s="34" t="n"/>
      <c r="AC372" s="34" t="n"/>
      <c r="AD372" s="34" t="n"/>
      <c r="AE372" s="34" t="n"/>
      <c r="AF372" s="34" t="n"/>
      <c r="AG372" s="34" t="n"/>
      <c r="AH372" s="34" t="n"/>
      <c r="AI372" s="34" t="n"/>
      <c r="AJ372" s="34" t="n"/>
      <c r="AK372" s="34" t="n"/>
      <c r="AL372" s="34" t="n"/>
      <c r="AM372" s="34" t="n"/>
      <c r="AN372" s="34" t="n"/>
      <c r="AO372" s="34" t="n"/>
      <c r="AP372" s="34" t="n"/>
      <c r="AQ372" s="34" t="n"/>
      <c r="AR372" s="34" t="n"/>
      <c r="AS372" s="34" t="n"/>
      <c r="AT372" s="34" t="n"/>
      <c r="AU372" s="34" t="n"/>
      <c r="AV372" s="34" t="n"/>
      <c r="AW372" s="34" t="n"/>
      <c r="AX372" s="34" t="n"/>
      <c r="AY372" s="34" t="n"/>
      <c r="AZ372" s="34" t="n"/>
      <c r="BA372" s="34" t="n"/>
      <c r="BB372" s="34" t="n"/>
      <c r="BC372" s="34" t="n"/>
      <c r="BD372" s="34" t="n"/>
      <c r="BE372" s="34" t="n"/>
      <c r="BF372" s="34" t="n"/>
      <c r="BG372" s="34" t="n"/>
      <c r="BH372" s="34" t="n"/>
      <c r="BI372" s="34" t="n"/>
      <c r="BJ372" s="34" t="n"/>
      <c r="BK372" s="34" t="n"/>
      <c r="BL372" s="34" t="n"/>
      <c r="BM372" s="34" t="n"/>
      <c r="BN372" s="34" t="n"/>
      <c r="BO372" s="34" t="n"/>
      <c r="BP372" s="34" t="n"/>
      <c r="BQ372" s="34" t="n"/>
      <c r="BR372" s="34" t="n"/>
      <c r="BS372" s="34" t="n"/>
      <c r="BT372" s="34" t="n"/>
      <c r="BU372" s="34" t="n"/>
      <c r="BV372" s="35" t="n"/>
      <c r="BW372" s="35" t="n"/>
      <c r="BX372" s="263">
        <f>BX268+($BU$133-$BU$132)</f>
        <v>2589</v>
      </c>
      <c r="BY372" s="263">
        <f>BY268+N(BY316)</f>
        <v>2619</v>
      </c>
      <c r="BZ372" s="263">
        <f>BZ268+N(BZ316)</f>
        <v>2641.99649963064</v>
      </c>
      <c r="CA372" s="263">
        <f>CA268+N(CA316)</f>
        <v>2615.75537908998</v>
      </c>
      <c r="CB372" s="263">
        <f>CB268+N(CB316)</f>
        <v>2563.26539415666</v>
      </c>
      <c r="CC372" s="263">
        <f>CC268+N(CC316)</f>
        <v>2493.60632278062</v>
      </c>
      <c r="CD372" s="19" t="n"/>
    </row>
    <row r="373" ht="15" customHeight="1" s="251">
      <c r="B373" s="25" t="inlineStr">
        <is>
          <t>Market capitalisation (USDm)</t>
        </is>
      </c>
      <c r="C373" s="34" t="n"/>
      <c r="D373" s="34" t="n"/>
      <c r="E373" s="34" t="n"/>
      <c r="F373" s="34" t="n"/>
      <c r="G373" s="34" t="n"/>
      <c r="H373" s="34" t="n"/>
      <c r="I373" s="34" t="n"/>
      <c r="J373" s="34" t="n"/>
      <c r="K373" s="34" t="n"/>
      <c r="L373" s="34" t="n"/>
      <c r="M373" s="34" t="n"/>
      <c r="N373" s="34" t="n"/>
      <c r="O373" s="34" t="n"/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  <c r="AA373" s="34" t="n"/>
      <c r="AB373" s="34" t="n"/>
      <c r="AC373" s="34" t="n"/>
      <c r="AD373" s="34" t="n"/>
      <c r="AE373" s="34" t="n"/>
      <c r="AF373" s="34" t="n"/>
      <c r="AG373" s="34" t="n"/>
      <c r="AH373" s="34" t="n"/>
      <c r="AI373" s="34" t="n"/>
      <c r="AJ373" s="34" t="n"/>
      <c r="AK373" s="34" t="n"/>
      <c r="AL373" s="34" t="n"/>
      <c r="AM373" s="34" t="n"/>
      <c r="AN373" s="34" t="n"/>
      <c r="AO373" s="34" t="n"/>
      <c r="AP373" s="34" t="n"/>
      <c r="AQ373" s="34" t="n"/>
      <c r="AR373" s="34" t="n"/>
      <c r="AS373" s="34" t="n"/>
      <c r="AT373" s="34" t="n"/>
      <c r="AU373" s="34" t="n"/>
      <c r="AV373" s="34" t="n"/>
      <c r="AW373" s="34" t="n"/>
      <c r="AX373" s="34" t="n"/>
      <c r="AY373" s="34" t="n"/>
      <c r="AZ373" s="34" t="n"/>
      <c r="BA373" s="34" t="n"/>
      <c r="BB373" s="34" t="n"/>
      <c r="BC373" s="34" t="n"/>
      <c r="BD373" s="34" t="n"/>
      <c r="BE373" s="34" t="n"/>
      <c r="BF373" s="34" t="n"/>
      <c r="BG373" s="34" t="n"/>
      <c r="BH373" s="34" t="n"/>
      <c r="BI373" s="34" t="n"/>
      <c r="BJ373" s="34" t="n"/>
      <c r="BK373" s="34" t="n"/>
      <c r="BL373" s="34" t="n"/>
      <c r="BM373" s="34" t="n"/>
      <c r="BN373" s="34" t="n"/>
      <c r="BO373" s="34" t="n"/>
      <c r="BP373" s="34" t="n"/>
      <c r="BQ373" s="34" t="n"/>
      <c r="BR373" s="34" t="n"/>
      <c r="BS373" s="34" t="n"/>
      <c r="BT373" s="34" t="n"/>
      <c r="BU373" s="34" t="n"/>
      <c r="BV373" s="35" t="n"/>
      <c r="BW373" s="35" t="n"/>
      <c r="BX373" s="263">
        <f>IFERROR(BX371*BX372,"n/a")</f>
        <v>1928805</v>
      </c>
      <c r="BY373" s="263">
        <f>IFERROR(BY371*BY372,"n/a")</f>
        <v>1951155</v>
      </c>
      <c r="BZ373" s="263">
        <f>IFERROR(BZ371*BZ372,"n/a")</f>
        <v>1968287.39222483</v>
      </c>
      <c r="CA373" s="263">
        <f>IFERROR(CA371*CA372,"n/a")</f>
        <v>1948737.75742203</v>
      </c>
      <c r="CB373" s="263">
        <f>IFERROR(CB371*CB372,"n/a")</f>
        <v>1909632.71864671</v>
      </c>
      <c r="CC373" s="263">
        <f>IFERROR(CC371*CC372,"n/a")</f>
        <v>1857736.71047156</v>
      </c>
      <c r="CD373" s="19" t="n"/>
    </row>
    <row r="374" ht="15" customHeight="1" s="251">
      <c r="B374" s="25" t="inlineStr">
        <is>
          <t>Net debt (USDm; negative = net cash; operating and finance leases excluded)</t>
        </is>
      </c>
      <c r="C374" s="34" t="n"/>
      <c r="D374" s="34" t="n"/>
      <c r="E374" s="34" t="n"/>
      <c r="F374" s="34" t="n"/>
      <c r="G374" s="34" t="n"/>
      <c r="H374" s="34" t="n"/>
      <c r="I374" s="34" t="n"/>
      <c r="J374" s="34" t="n"/>
      <c r="K374" s="34" t="n"/>
      <c r="L374" s="34" t="n"/>
      <c r="M374" s="34" t="n"/>
      <c r="N374" s="34" t="n"/>
      <c r="O374" s="34" t="n"/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  <c r="AA374" s="34" t="n"/>
      <c r="AB374" s="34" t="n"/>
      <c r="AC374" s="34" t="n"/>
      <c r="AD374" s="34" t="n"/>
      <c r="AE374" s="34" t="n"/>
      <c r="AF374" s="34" t="n"/>
      <c r="AG374" s="34" t="n"/>
      <c r="AH374" s="34" t="n"/>
      <c r="AI374" s="34" t="n"/>
      <c r="AJ374" s="34" t="n"/>
      <c r="AK374" s="34" t="n"/>
      <c r="AL374" s="34" t="n"/>
      <c r="AM374" s="34" t="n"/>
      <c r="AN374" s="34" t="n"/>
      <c r="AO374" s="34" t="n"/>
      <c r="AP374" s="34" t="n"/>
      <c r="AQ374" s="34" t="n"/>
      <c r="AR374" s="34" t="n"/>
      <c r="AS374" s="34" t="n"/>
      <c r="AT374" s="34" t="n"/>
      <c r="AU374" s="34" t="n"/>
      <c r="AV374" s="34" t="n"/>
      <c r="AW374" s="34" t="n"/>
      <c r="AX374" s="34" t="n"/>
      <c r="AY374" s="34" t="n"/>
      <c r="AZ374" s="34" t="n"/>
      <c r="BA374" s="34" t="n"/>
      <c r="BB374" s="34" t="n"/>
      <c r="BC374" s="34" t="n"/>
      <c r="BD374" s="34" t="n"/>
      <c r="BE374" s="34" t="n"/>
      <c r="BF374" s="34" t="n"/>
      <c r="BG374" s="34" t="n"/>
      <c r="BH374" s="34" t="n"/>
      <c r="BI374" s="34" t="n"/>
      <c r="BJ374" s="34" t="n"/>
      <c r="BK374" s="34" t="n"/>
      <c r="BL374" s="34" t="n"/>
      <c r="BM374" s="34" t="n"/>
      <c r="BN374" s="34" t="n"/>
      <c r="BO374" s="34" t="n"/>
      <c r="BP374" s="34" t="n"/>
      <c r="BQ374" s="34" t="n"/>
      <c r="BR374" s="34" t="n"/>
      <c r="BS374" s="34" t="n"/>
      <c r="BT374" s="34" t="n"/>
      <c r="BU374" s="34" t="n"/>
      <c r="BV374" s="35" t="n"/>
      <c r="BW374" s="35" t="n"/>
      <c r="BX374" s="263">
        <f>BX365</f>
        <v>31296.7405748248</v>
      </c>
      <c r="BY374" s="263">
        <f>BY365</f>
        <v>48335.5511393147</v>
      </c>
      <c r="BZ374" s="263">
        <f>BZ365</f>
        <v>42671.8942534926</v>
      </c>
      <c r="CA374" s="263">
        <f>CA365</f>
        <v>49483.4289512468</v>
      </c>
      <c r="CB374" s="263">
        <f>CB365</f>
        <v>56274.4924401892</v>
      </c>
      <c r="CC374" s="263">
        <f>CC365</f>
        <v>62718.9787308935</v>
      </c>
      <c r="CD374" s="19" t="n"/>
    </row>
    <row r="375" ht="15" customHeight="1" s="251">
      <c r="B375" s="25" t="inlineStr">
        <is>
          <t>Noncontrolling interests (none)</t>
        </is>
      </c>
      <c r="C375" s="34" t="n"/>
      <c r="D375" s="34" t="n"/>
      <c r="E375" s="34" t="n"/>
      <c r="F375" s="34" t="n"/>
      <c r="G375" s="34" t="n"/>
      <c r="H375" s="34" t="n"/>
      <c r="I375" s="34" t="n"/>
      <c r="J375" s="34" t="n"/>
      <c r="K375" s="34" t="n"/>
      <c r="L375" s="34" t="n"/>
      <c r="M375" s="34" t="n"/>
      <c r="N375" s="34" t="n"/>
      <c r="O375" s="34" t="n"/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  <c r="AA375" s="34" t="n"/>
      <c r="AB375" s="34" t="n"/>
      <c r="AC375" s="34" t="n"/>
      <c r="AD375" s="34" t="n"/>
      <c r="AE375" s="34" t="n"/>
      <c r="AF375" s="34" t="n"/>
      <c r="AG375" s="34" t="n"/>
      <c r="AH375" s="34" t="n"/>
      <c r="AI375" s="34" t="n"/>
      <c r="AJ375" s="34" t="n"/>
      <c r="AK375" s="34" t="n"/>
      <c r="AL375" s="34" t="n"/>
      <c r="AM375" s="34" t="n"/>
      <c r="AN375" s="34" t="n"/>
      <c r="AO375" s="34" t="n"/>
      <c r="AP375" s="34" t="n"/>
      <c r="AQ375" s="34" t="n"/>
      <c r="AR375" s="34" t="n"/>
      <c r="AS375" s="34" t="n"/>
      <c r="AT375" s="34" t="n"/>
      <c r="AU375" s="34" t="n"/>
      <c r="AV375" s="34" t="n"/>
      <c r="AW375" s="34" t="n"/>
      <c r="AX375" s="34" t="n"/>
      <c r="AY375" s="34" t="n"/>
      <c r="AZ375" s="34" t="n"/>
      <c r="BA375" s="34" t="n"/>
      <c r="BB375" s="34" t="n"/>
      <c r="BC375" s="34" t="n"/>
      <c r="BD375" s="34" t="n"/>
      <c r="BE375" s="34" t="n"/>
      <c r="BF375" s="34" t="n"/>
      <c r="BG375" s="34" t="n"/>
      <c r="BH375" s="34" t="n"/>
      <c r="BI375" s="34" t="n"/>
      <c r="BJ375" s="34" t="n"/>
      <c r="BK375" s="34" t="n"/>
      <c r="BL375" s="34" t="n"/>
      <c r="BM375" s="34" t="n"/>
      <c r="BN375" s="34" t="n"/>
      <c r="BO375" s="34" t="n"/>
      <c r="BP375" s="34" t="n"/>
      <c r="BQ375" s="34" t="n"/>
      <c r="BR375" s="34" t="n"/>
      <c r="BS375" s="34" t="n"/>
      <c r="BT375" s="34" t="n"/>
      <c r="BU375" s="34" t="n"/>
      <c r="BV375" s="35" t="n"/>
      <c r="BW375" s="35" t="n"/>
      <c r="BX375" s="263">
        <f>0</f>
        <v>0</v>
      </c>
      <c r="BY375" s="263">
        <f>0</f>
        <v>0</v>
      </c>
      <c r="BZ375" s="263">
        <f>0</f>
        <v>0</v>
      </c>
      <c r="CA375" s="263">
        <f>0</f>
        <v>0</v>
      </c>
      <c r="CB375" s="263">
        <f>0</f>
        <v>0</v>
      </c>
      <c r="CC375" s="263">
        <f>0</f>
        <v>0</v>
      </c>
      <c r="CD375" s="19" t="n"/>
    </row>
    <row r="376" ht="15" customHeight="1" s="251">
      <c r="B376" s="16" t="inlineStr">
        <is>
          <t>Enterprise value (USDm)</t>
        </is>
      </c>
      <c r="C376" s="43" t="n"/>
      <c r="D376" s="43" t="n"/>
      <c r="E376" s="43" t="n"/>
      <c r="F376" s="43" t="n"/>
      <c r="G376" s="43" t="n"/>
      <c r="H376" s="43" t="n"/>
      <c r="I376" s="43" t="n"/>
      <c r="J376" s="43" t="n"/>
      <c r="K376" s="43" t="n"/>
      <c r="L376" s="43" t="n"/>
      <c r="M376" s="43" t="n"/>
      <c r="N376" s="43" t="n"/>
      <c r="O376" s="43" t="n"/>
      <c r="P376" s="43" t="n"/>
      <c r="Q376" s="43" t="n"/>
      <c r="R376" s="43" t="n"/>
      <c r="S376" s="43" t="n"/>
      <c r="T376" s="43" t="n"/>
      <c r="U376" s="43" t="n"/>
      <c r="V376" s="43" t="n"/>
      <c r="W376" s="43" t="n"/>
      <c r="X376" s="43" t="n"/>
      <c r="Y376" s="43" t="n"/>
      <c r="Z376" s="43" t="n"/>
      <c r="AA376" s="43" t="n"/>
      <c r="AB376" s="43" t="n"/>
      <c r="AC376" s="43" t="n"/>
      <c r="AD376" s="43" t="n"/>
      <c r="AE376" s="43" t="n"/>
      <c r="AF376" s="43" t="n"/>
      <c r="AG376" s="43" t="n"/>
      <c r="AH376" s="43" t="n"/>
      <c r="AI376" s="43" t="n"/>
      <c r="AJ376" s="43" t="n"/>
      <c r="AK376" s="43" t="n"/>
      <c r="AL376" s="43" t="n"/>
      <c r="AM376" s="43" t="n"/>
      <c r="AN376" s="43" t="n"/>
      <c r="AO376" s="43" t="n"/>
      <c r="AP376" s="43" t="n"/>
      <c r="AQ376" s="43" t="n"/>
      <c r="AR376" s="43" t="n"/>
      <c r="AS376" s="43" t="n"/>
      <c r="AT376" s="43" t="n"/>
      <c r="AU376" s="43" t="n"/>
      <c r="AV376" s="43" t="n"/>
      <c r="AW376" s="43" t="n"/>
      <c r="AX376" s="43" t="n"/>
      <c r="AY376" s="43" t="n"/>
      <c r="AZ376" s="43" t="n"/>
      <c r="BA376" s="43" t="n"/>
      <c r="BB376" s="43" t="n"/>
      <c r="BC376" s="43" t="n"/>
      <c r="BD376" s="43" t="n"/>
      <c r="BE376" s="43" t="n"/>
      <c r="BF376" s="43" t="n"/>
      <c r="BG376" s="43" t="n"/>
      <c r="BH376" s="43" t="n"/>
      <c r="BI376" s="43" t="n"/>
      <c r="BJ376" s="43" t="n"/>
      <c r="BK376" s="43" t="n"/>
      <c r="BL376" s="43" t="n"/>
      <c r="BM376" s="43" t="n"/>
      <c r="BN376" s="43" t="n"/>
      <c r="BO376" s="43" t="n"/>
      <c r="BP376" s="43" t="n"/>
      <c r="BQ376" s="43" t="n"/>
      <c r="BR376" s="43" t="n"/>
      <c r="BS376" s="43" t="n"/>
      <c r="BT376" s="43" t="n"/>
      <c r="BU376" s="43" t="n"/>
      <c r="BV376" s="32" t="n"/>
      <c r="BW376" s="32" t="n"/>
      <c r="BX376" s="254">
        <f>IFERROR(BX373+BX374+BX375,"n/a")</f>
        <v>1960101.74057482</v>
      </c>
      <c r="BY376" s="254">
        <f>IFERROR(BY373+BY374+BY375,"n/a")</f>
        <v>1999490.55113931</v>
      </c>
      <c r="BZ376" s="254">
        <f>IFERROR(BZ373+BZ374+BZ375,"n/a")</f>
        <v>2010959.28647832</v>
      </c>
      <c r="CA376" s="254">
        <f>IFERROR(CA373+CA374+CA375,"n/a")</f>
        <v>1998221.18637328</v>
      </c>
      <c r="CB376" s="254">
        <f>IFERROR(CB373+CB374+CB375,"n/a")</f>
        <v>1965907.2110869</v>
      </c>
      <c r="CC376" s="254">
        <f>IFERROR(CC373+CC374+CC375,"n/a")</f>
        <v>1920455.68920245</v>
      </c>
      <c r="CD376" s="153" t="n"/>
    </row>
    <row r="377" ht="15" customHeight="1" s="251">
      <c r="B377" s="25" t="inlineStr">
        <is>
          <t>Multiples</t>
        </is>
      </c>
      <c r="CD377" s="153" t="n"/>
    </row>
    <row r="378" ht="15" customHeight="1" s="251">
      <c r="B378" s="25" t="inlineStr">
        <is>
          <t xml:space="preserve">  EV / Revenue</t>
        </is>
      </c>
      <c r="C378" s="34" t="n"/>
      <c r="D378" s="34" t="n"/>
      <c r="E378" s="34" t="n"/>
      <c r="F378" s="34" t="n"/>
      <c r="G378" s="34" t="n"/>
      <c r="H378" s="34" t="n"/>
      <c r="I378" s="34" t="n"/>
      <c r="J378" s="34" t="n"/>
      <c r="K378" s="34" t="n"/>
      <c r="L378" s="34" t="n"/>
      <c r="M378" s="34" t="n"/>
      <c r="N378" s="34" t="n"/>
      <c r="O378" s="34" t="n"/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  <c r="AA378" s="34" t="n"/>
      <c r="AB378" s="34" t="n"/>
      <c r="AC378" s="34" t="n"/>
      <c r="AD378" s="34" t="n"/>
      <c r="AE378" s="34" t="n"/>
      <c r="AF378" s="34" t="n"/>
      <c r="AG378" s="34" t="n"/>
      <c r="AH378" s="34" t="n"/>
      <c r="AI378" s="34" t="n"/>
      <c r="AJ378" s="34" t="n"/>
      <c r="AK378" s="34" t="n"/>
      <c r="AL378" s="34" t="n"/>
      <c r="AM378" s="34" t="n"/>
      <c r="AN378" s="34" t="n"/>
      <c r="AO378" s="34" t="n"/>
      <c r="AP378" s="34" t="n"/>
      <c r="AQ378" s="34" t="n"/>
      <c r="AR378" s="34" t="n"/>
      <c r="AS378" s="34" t="n"/>
      <c r="AT378" s="34" t="n"/>
      <c r="AU378" s="34" t="n"/>
      <c r="AV378" s="34" t="n"/>
      <c r="AW378" s="34" t="n"/>
      <c r="AX378" s="34" t="n"/>
      <c r="AY378" s="34" t="n"/>
      <c r="AZ378" s="34" t="n"/>
      <c r="BA378" s="34" t="n"/>
      <c r="BB378" s="34" t="n"/>
      <c r="BC378" s="34" t="n"/>
      <c r="BD378" s="34" t="n"/>
      <c r="BE378" s="34" t="n"/>
      <c r="BF378" s="34" t="n"/>
      <c r="BG378" s="34" t="n"/>
      <c r="BH378" s="34" t="n"/>
      <c r="BI378" s="34" t="n"/>
      <c r="BJ378" s="34" t="n"/>
      <c r="BK378" s="34" t="n"/>
      <c r="BL378" s="34" t="n"/>
      <c r="BM378" s="34" t="n"/>
      <c r="BN378" s="34" t="n"/>
      <c r="BO378" s="34" t="n"/>
      <c r="BP378" s="34" t="n"/>
      <c r="BQ378" s="34" t="n"/>
      <c r="BR378" s="34" t="n"/>
      <c r="BS378" s="34" t="n"/>
      <c r="BT378" s="34" t="n"/>
      <c r="BU378" s="34" t="n"/>
      <c r="BV378" s="35" t="n"/>
      <c r="BW378" s="35" t="n"/>
      <c r="BX378" s="290">
        <f>IFERROR(BX376/BX109,"n/a")</f>
        <v>7.75969337774808</v>
      </c>
      <c r="BY378" s="290">
        <f>IFERROR(BY376/BY109,"n/a")</f>
        <v>6.64656481261989</v>
      </c>
      <c r="BZ378" s="290">
        <f>IFERROR(BZ376/BZ109,"n/a")</f>
        <v>5.77294532860893</v>
      </c>
      <c r="CA378" s="290">
        <f>IFERROR(CA376/CA109,"n/a")</f>
        <v>5.04770290964985</v>
      </c>
      <c r="CB378" s="290">
        <f>IFERROR(CB376/CB109,"n/a")</f>
        <v>4.45411692837539</v>
      </c>
      <c r="CC378" s="290">
        <f>IFERROR(CC376/CC109,"n/a")</f>
        <v>3.9423261505217</v>
      </c>
      <c r="CD378" s="19" t="n"/>
    </row>
    <row r="379" ht="15" customHeight="1" s="251">
      <c r="B379" s="25" t="inlineStr">
        <is>
          <t xml:space="preserve">  EV / Adjusted EBITDA (model)</t>
        </is>
      </c>
      <c r="C379" s="34" t="n"/>
      <c r="D379" s="34" t="n"/>
      <c r="E379" s="34" t="n"/>
      <c r="F379" s="34" t="n"/>
      <c r="G379" s="34" t="n"/>
      <c r="H379" s="34" t="n"/>
      <c r="I379" s="34" t="n"/>
      <c r="J379" s="34" t="n"/>
      <c r="K379" s="34" t="n"/>
      <c r="L379" s="34" t="n"/>
      <c r="M379" s="34" t="n"/>
      <c r="N379" s="34" t="n"/>
      <c r="O379" s="34" t="n"/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  <c r="AA379" s="34" t="n"/>
      <c r="AB379" s="34" t="n"/>
      <c r="AC379" s="34" t="n"/>
      <c r="AD379" s="34" t="n"/>
      <c r="AE379" s="34" t="n"/>
      <c r="AF379" s="34" t="n"/>
      <c r="AG379" s="34" t="n"/>
      <c r="AH379" s="34" t="n"/>
      <c r="AI379" s="34" t="n"/>
      <c r="AJ379" s="34" t="n"/>
      <c r="AK379" s="34" t="n"/>
      <c r="AL379" s="34" t="n"/>
      <c r="AM379" s="34" t="n"/>
      <c r="AN379" s="34" t="n"/>
      <c r="AO379" s="34" t="n"/>
      <c r="AP379" s="34" t="n"/>
      <c r="AQ379" s="34" t="n"/>
      <c r="AR379" s="34" t="n"/>
      <c r="AS379" s="34" t="n"/>
      <c r="AT379" s="34" t="n"/>
      <c r="AU379" s="34" t="n"/>
      <c r="AV379" s="34" t="n"/>
      <c r="AW379" s="34" t="n"/>
      <c r="AX379" s="34" t="n"/>
      <c r="AY379" s="34" t="n"/>
      <c r="AZ379" s="34" t="n"/>
      <c r="BA379" s="34" t="n"/>
      <c r="BB379" s="34" t="n"/>
      <c r="BC379" s="34" t="n"/>
      <c r="BD379" s="34" t="n"/>
      <c r="BE379" s="34" t="n"/>
      <c r="BF379" s="34" t="n"/>
      <c r="BG379" s="34" t="n"/>
      <c r="BH379" s="34" t="n"/>
      <c r="BI379" s="34" t="n"/>
      <c r="BJ379" s="34" t="n"/>
      <c r="BK379" s="34" t="n"/>
      <c r="BL379" s="34" t="n"/>
      <c r="BM379" s="34" t="n"/>
      <c r="BN379" s="34" t="n"/>
      <c r="BO379" s="34" t="n"/>
      <c r="BP379" s="34" t="n"/>
      <c r="BQ379" s="34" t="n"/>
      <c r="BR379" s="34" t="n"/>
      <c r="BS379" s="34" t="n"/>
      <c r="BT379" s="34" t="n"/>
      <c r="BU379" s="34" t="n"/>
      <c r="BV379" s="35" t="n"/>
      <c r="BW379" s="35" t="n"/>
      <c r="BX379" s="290">
        <f>IFERROR(BX376/BX168,"n/a")</f>
        <v>16.9539444897666</v>
      </c>
      <c r="BY379" s="290">
        <f>IFERROR(BY376/BY168,"n/a")</f>
        <v>13.9927680265682</v>
      </c>
      <c r="BZ379" s="290">
        <f>IFERROR(BZ376/BZ168,"n/a")</f>
        <v>11.7815210787937</v>
      </c>
      <c r="CA379" s="290">
        <f>IFERROR(CA376/CA168,"n/a")</f>
        <v>10.0954058192997</v>
      </c>
      <c r="CB379" s="290">
        <f>IFERROR(CB376/CB168,"n/a")</f>
        <v>8.73356260465762</v>
      </c>
      <c r="CC379" s="290">
        <f>IFERROR(CC376/CC168,"n/a")</f>
        <v>7.65500223402272</v>
      </c>
      <c r="CD379" s="19" t="n"/>
    </row>
    <row r="380" ht="15" customHeight="1" s="251">
      <c r="B380" s="25" t="inlineStr">
        <is>
          <t xml:space="preserve">  EV / Adjusted income from operations (current definition)</t>
        </is>
      </c>
      <c r="C380" s="34" t="n"/>
      <c r="D380" s="34" t="n"/>
      <c r="E380" s="34" t="n"/>
      <c r="F380" s="34" t="n"/>
      <c r="G380" s="34" t="n"/>
      <c r="H380" s="34" t="n"/>
      <c r="I380" s="34" t="n"/>
      <c r="J380" s="34" t="n"/>
      <c r="K380" s="34" t="n"/>
      <c r="L380" s="34" t="n"/>
      <c r="M380" s="34" t="n"/>
      <c r="N380" s="34" t="n"/>
      <c r="O380" s="34" t="n"/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  <c r="AA380" s="34" t="n"/>
      <c r="AB380" s="34" t="n"/>
      <c r="AC380" s="34" t="n"/>
      <c r="AD380" s="34" t="n"/>
      <c r="AE380" s="34" t="n"/>
      <c r="AF380" s="34" t="n"/>
      <c r="AG380" s="34" t="n"/>
      <c r="AH380" s="34" t="n"/>
      <c r="AI380" s="34" t="n"/>
      <c r="AJ380" s="34" t="n"/>
      <c r="AK380" s="34" t="n"/>
      <c r="AL380" s="34" t="n"/>
      <c r="AM380" s="34" t="n"/>
      <c r="AN380" s="34" t="n"/>
      <c r="AO380" s="34" t="n"/>
      <c r="AP380" s="34" t="n"/>
      <c r="AQ380" s="34" t="n"/>
      <c r="AR380" s="34" t="n"/>
      <c r="AS380" s="34" t="n"/>
      <c r="AT380" s="34" t="n"/>
      <c r="AU380" s="34" t="n"/>
      <c r="AV380" s="34" t="n"/>
      <c r="AW380" s="34" t="n"/>
      <c r="AX380" s="34" t="n"/>
      <c r="AY380" s="34" t="n"/>
      <c r="AZ380" s="34" t="n"/>
      <c r="BA380" s="34" t="n"/>
      <c r="BB380" s="34" t="n"/>
      <c r="BC380" s="34" t="n"/>
      <c r="BD380" s="34" t="n"/>
      <c r="BE380" s="34" t="n"/>
      <c r="BF380" s="34" t="n"/>
      <c r="BG380" s="34" t="n"/>
      <c r="BH380" s="34" t="n"/>
      <c r="BI380" s="34" t="n"/>
      <c r="BJ380" s="34" t="n"/>
      <c r="BK380" s="34" t="n"/>
      <c r="BL380" s="34" t="n"/>
      <c r="BM380" s="34" t="n"/>
      <c r="BN380" s="34" t="n"/>
      <c r="BO380" s="34" t="n"/>
      <c r="BP380" s="34" t="n"/>
      <c r="BQ380" s="34" t="n"/>
      <c r="BR380" s="34" t="n"/>
      <c r="BS380" s="34" t="n"/>
      <c r="BT380" s="34" t="n"/>
      <c r="BU380" s="34" t="n"/>
      <c r="BV380" s="35" t="n"/>
      <c r="BW380" s="35" t="n"/>
      <c r="BX380" s="290">
        <f>IFERROR(BX376/BX154,"n/a")</f>
        <v>21.9790613983637</v>
      </c>
      <c r="BY380" s="290">
        <f>IFERROR(BY376/BY154,"n/a")</f>
        <v>19.5580831283014</v>
      </c>
      <c r="BZ380" s="290">
        <f>IFERROR(BZ376/BZ154,"n/a")</f>
        <v>16.8824913703537</v>
      </c>
      <c r="CA380" s="290">
        <f>IFERROR(CA376/CA154,"n/a")</f>
        <v>14.8274464352107</v>
      </c>
      <c r="CB380" s="290">
        <f>IFERROR(CB376/CB154,"n/a")</f>
        <v>12.6820854379531</v>
      </c>
      <c r="CC380" s="290">
        <f>IFERROR(CC376/CC154,"n/a")</f>
        <v>10.9564353185881</v>
      </c>
      <c r="CD380" s="19" t="n"/>
    </row>
    <row r="381" ht="15" customHeight="1" s="251">
      <c r="B381" s="25" t="inlineStr">
        <is>
          <t xml:space="preserve">  EV / IC</t>
        </is>
      </c>
      <c r="C381" s="34" t="n"/>
      <c r="D381" s="34" t="n"/>
      <c r="E381" s="34" t="n"/>
      <c r="F381" s="34" t="n"/>
      <c r="G381" s="34" t="n"/>
      <c r="H381" s="34" t="n"/>
      <c r="I381" s="34" t="n"/>
      <c r="J381" s="34" t="n"/>
      <c r="K381" s="34" t="n"/>
      <c r="L381" s="34" t="n"/>
      <c r="M381" s="34" t="n"/>
      <c r="N381" s="34" t="n"/>
      <c r="O381" s="34" t="n"/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  <c r="AA381" s="34" t="n"/>
      <c r="AB381" s="34" t="n"/>
      <c r="AC381" s="34" t="n"/>
      <c r="AD381" s="34" t="n"/>
      <c r="AE381" s="34" t="n"/>
      <c r="AF381" s="34" t="n"/>
      <c r="AG381" s="34" t="n"/>
      <c r="AH381" s="34" t="n"/>
      <c r="AI381" s="34" t="n"/>
      <c r="AJ381" s="34" t="n"/>
      <c r="AK381" s="34" t="n"/>
      <c r="AL381" s="34" t="n"/>
      <c r="AM381" s="34" t="n"/>
      <c r="AN381" s="34" t="n"/>
      <c r="AO381" s="34" t="n"/>
      <c r="AP381" s="34" t="n"/>
      <c r="AQ381" s="34" t="n"/>
      <c r="AR381" s="34" t="n"/>
      <c r="AS381" s="34" t="n"/>
      <c r="AT381" s="34" t="n"/>
      <c r="AU381" s="34" t="n"/>
      <c r="AV381" s="34" t="n"/>
      <c r="AW381" s="34" t="n"/>
      <c r="AX381" s="34" t="n"/>
      <c r="AY381" s="34" t="n"/>
      <c r="AZ381" s="34" t="n"/>
      <c r="BA381" s="34" t="n"/>
      <c r="BB381" s="34" t="n"/>
      <c r="BC381" s="34" t="n"/>
      <c r="BD381" s="34" t="n"/>
      <c r="BE381" s="34" t="n"/>
      <c r="BF381" s="34" t="n"/>
      <c r="BG381" s="34" t="n"/>
      <c r="BH381" s="34" t="n"/>
      <c r="BI381" s="34" t="n"/>
      <c r="BJ381" s="34" t="n"/>
      <c r="BK381" s="34" t="n"/>
      <c r="BL381" s="34" t="n"/>
      <c r="BM381" s="34" t="n"/>
      <c r="BN381" s="34" t="n"/>
      <c r="BO381" s="34" t="n"/>
      <c r="BP381" s="34" t="n"/>
      <c r="BQ381" s="34" t="n"/>
      <c r="BR381" s="34" t="n"/>
      <c r="BS381" s="34" t="n"/>
      <c r="BT381" s="34" t="n"/>
      <c r="BU381" s="34" t="n"/>
      <c r="BV381" s="35" t="n"/>
      <c r="BW381" s="35" t="n"/>
      <c r="BX381" s="290">
        <f>IFERROR(BX376/BX344,"n/a")</f>
        <v>5.96989287342033</v>
      </c>
      <c r="BY381" s="290">
        <f>IFERROR(BY376/BY344,"n/a")</f>
        <v>4.67937277279914</v>
      </c>
      <c r="BZ381" s="290">
        <f>IFERROR(BZ376/BZ344,"n/a")</f>
        <v>3.93742163282935</v>
      </c>
      <c r="CA381" s="290">
        <f>IFERROR(CA376/CA344,"n/a")</f>
        <v>3.48510410166316</v>
      </c>
      <c r="CB381" s="290">
        <f>IFERROR(CB376/CB344,"n/a")</f>
        <v>3.1655185744539</v>
      </c>
      <c r="CC381" s="290">
        <f>IFERROR(CC376/CC344,"n/a")</f>
        <v>2.91054555080203</v>
      </c>
      <c r="CD381" s="19" t="n"/>
    </row>
    <row r="382" ht="15" customHeight="1" s="251">
      <c r="B382" s="25" t="inlineStr">
        <is>
          <t xml:space="preserve">  P / E (GAAP diluted)</t>
        </is>
      </c>
      <c r="C382" s="34" t="n"/>
      <c r="D382" s="34" t="n"/>
      <c r="E382" s="34" t="n"/>
      <c r="F382" s="34" t="n"/>
      <c r="G382" s="34" t="n"/>
      <c r="H382" s="34" t="n"/>
      <c r="I382" s="34" t="n"/>
      <c r="J382" s="34" t="n"/>
      <c r="K382" s="34" t="n"/>
      <c r="L382" s="34" t="n"/>
      <c r="M382" s="34" t="n"/>
      <c r="N382" s="34" t="n"/>
      <c r="O382" s="34" t="n"/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  <c r="AA382" s="34" t="n"/>
      <c r="AB382" s="34" t="n"/>
      <c r="AC382" s="34" t="n"/>
      <c r="AD382" s="34" t="n"/>
      <c r="AE382" s="34" t="n"/>
      <c r="AF382" s="34" t="n"/>
      <c r="AG382" s="34" t="n"/>
      <c r="AH382" s="34" t="n"/>
      <c r="AI382" s="34" t="n"/>
      <c r="AJ382" s="34" t="n"/>
      <c r="AK382" s="34" t="n"/>
      <c r="AL382" s="34" t="n"/>
      <c r="AM382" s="34" t="n"/>
      <c r="AN382" s="34" t="n"/>
      <c r="AO382" s="34" t="n"/>
      <c r="AP382" s="34" t="n"/>
      <c r="AQ382" s="34" t="n"/>
      <c r="AR382" s="34" t="n"/>
      <c r="AS382" s="34" t="n"/>
      <c r="AT382" s="34" t="n"/>
      <c r="AU382" s="34" t="n"/>
      <c r="AV382" s="34" t="n"/>
      <c r="AW382" s="34" t="n"/>
      <c r="AX382" s="34" t="n"/>
      <c r="AY382" s="34" t="n"/>
      <c r="AZ382" s="34" t="n"/>
      <c r="BA382" s="34" t="n"/>
      <c r="BB382" s="34" t="n"/>
      <c r="BC382" s="34" t="n"/>
      <c r="BD382" s="34" t="n"/>
      <c r="BE382" s="34" t="n"/>
      <c r="BF382" s="34" t="n"/>
      <c r="BG382" s="34" t="n"/>
      <c r="BH382" s="34" t="n"/>
      <c r="BI382" s="34" t="n"/>
      <c r="BJ382" s="34" t="n"/>
      <c r="BK382" s="34" t="n"/>
      <c r="BL382" s="34" t="n"/>
      <c r="BM382" s="34" t="n"/>
      <c r="BN382" s="34" t="n"/>
      <c r="BO382" s="34" t="n"/>
      <c r="BP382" s="34" t="n"/>
      <c r="BQ382" s="34" t="n"/>
      <c r="BR382" s="34" t="n"/>
      <c r="BS382" s="34" t="n"/>
      <c r="BT382" s="34" t="n"/>
      <c r="BU382" s="34" t="n"/>
      <c r="BV382" s="35" t="n"/>
      <c r="BW382" s="35" t="n"/>
      <c r="BX382" s="290">
        <f>IFERROR(BX371/BX134,"n/a")</f>
        <v>24.0587112543611</v>
      </c>
      <c r="BY382" s="290">
        <f>IFERROR(BY371/BY134,"n/a")</f>
        <v>23.0600354933342</v>
      </c>
      <c r="BZ382" s="290">
        <f>IFERROR(BZ371/BZ134,"n/a")</f>
        <v>20.1287629108602</v>
      </c>
      <c r="CA382" s="290">
        <f>IFERROR(CA371/CA134,"n/a")</f>
        <v>17.7060258437365</v>
      </c>
      <c r="CB382" s="290">
        <f>IFERROR(CB371/CB134,"n/a")</f>
        <v>15.2530011331044</v>
      </c>
      <c r="CC382" s="290">
        <f>IFERROR(CC371/CC134,"n/a")</f>
        <v>13.1607064246546</v>
      </c>
      <c r="CD382" s="19" t="n"/>
    </row>
    <row r="383" ht="15" customHeight="1" s="251">
      <c r="B383" s="25" t="inlineStr">
        <is>
          <t xml:space="preserve">  P / E (adjusted EPS, current definition)</t>
        </is>
      </c>
      <c r="C383" s="34" t="n"/>
      <c r="D383" s="34" t="n"/>
      <c r="E383" s="34" t="n"/>
      <c r="F383" s="34" t="n"/>
      <c r="G383" s="34" t="n"/>
      <c r="H383" s="34" t="n"/>
      <c r="I383" s="34" t="n"/>
      <c r="J383" s="34" t="n"/>
      <c r="K383" s="34" t="n"/>
      <c r="L383" s="34" t="n"/>
      <c r="M383" s="34" t="n"/>
      <c r="N383" s="34" t="n"/>
      <c r="O383" s="34" t="n"/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  <c r="AA383" s="34" t="n"/>
      <c r="AB383" s="34" t="n"/>
      <c r="AC383" s="34" t="n"/>
      <c r="AD383" s="34" t="n"/>
      <c r="AE383" s="34" t="n"/>
      <c r="AF383" s="34" t="n"/>
      <c r="AG383" s="34" t="n"/>
      <c r="AH383" s="34" t="n"/>
      <c r="AI383" s="34" t="n"/>
      <c r="AJ383" s="34" t="n"/>
      <c r="AK383" s="34" t="n"/>
      <c r="AL383" s="34" t="n"/>
      <c r="AM383" s="34" t="n"/>
      <c r="AN383" s="34" t="n"/>
      <c r="AO383" s="34" t="n"/>
      <c r="AP383" s="34" t="n"/>
      <c r="AQ383" s="34" t="n"/>
      <c r="AR383" s="34" t="n"/>
      <c r="AS383" s="34" t="n"/>
      <c r="AT383" s="34" t="n"/>
      <c r="AU383" s="34" t="n"/>
      <c r="AV383" s="34" t="n"/>
      <c r="AW383" s="34" t="n"/>
      <c r="AX383" s="34" t="n"/>
      <c r="AY383" s="34" t="n"/>
      <c r="AZ383" s="34" t="n"/>
      <c r="BA383" s="34" t="n"/>
      <c r="BB383" s="34" t="n"/>
      <c r="BC383" s="34" t="n"/>
      <c r="BD383" s="34" t="n"/>
      <c r="BE383" s="34" t="n"/>
      <c r="BF383" s="34" t="n"/>
      <c r="BG383" s="34" t="n"/>
      <c r="BH383" s="34" t="n"/>
      <c r="BI383" s="34" t="n"/>
      <c r="BJ383" s="34" t="n"/>
      <c r="BK383" s="34" t="n"/>
      <c r="BL383" s="34" t="n"/>
      <c r="BM383" s="34" t="n"/>
      <c r="BN383" s="34" t="n"/>
      <c r="BO383" s="34" t="n"/>
      <c r="BP383" s="34" t="n"/>
      <c r="BQ383" s="34" t="n"/>
      <c r="BR383" s="34" t="n"/>
      <c r="BS383" s="34" t="n"/>
      <c r="BT383" s="34" t="n"/>
      <c r="BU383" s="34" t="n"/>
      <c r="BV383" s="35" t="n"/>
      <c r="BW383" s="35" t="n"/>
      <c r="BX383" s="290">
        <f>IFERROR(BX371/BX193,"n/a")</f>
        <v>25.6733465137174</v>
      </c>
      <c r="BY383" s="290">
        <f>IFERROR(BY371/BY193,"n/a")</f>
        <v>23.0600354933342</v>
      </c>
      <c r="BZ383" s="290">
        <f>IFERROR(BZ371/BZ193,"n/a")</f>
        <v>20.1287629108602</v>
      </c>
      <c r="CA383" s="290">
        <f>IFERROR(CA371/CA193,"n/a")</f>
        <v>17.7060258437365</v>
      </c>
      <c r="CB383" s="290">
        <f>IFERROR(CB371/CB193,"n/a")</f>
        <v>15.2530011331044</v>
      </c>
      <c r="CC383" s="290">
        <f>IFERROR(CC371/CC193,"n/a")</f>
        <v>13.1607064246546</v>
      </c>
      <c r="CD383" s="19" t="n"/>
    </row>
    <row r="384" ht="15" customHeight="1" s="251">
      <c r="B384" s="25" t="inlineStr">
        <is>
          <t xml:space="preserve">  FCF yield</t>
        </is>
      </c>
      <c r="C384" s="34" t="n"/>
      <c r="D384" s="34" t="n"/>
      <c r="E384" s="34" t="n"/>
      <c r="F384" s="34" t="n"/>
      <c r="G384" s="34" t="n"/>
      <c r="H384" s="34" t="n"/>
      <c r="I384" s="34" t="n"/>
      <c r="J384" s="34" t="n"/>
      <c r="K384" s="34" t="n"/>
      <c r="L384" s="34" t="n"/>
      <c r="M384" s="34" t="n"/>
      <c r="N384" s="34" t="n"/>
      <c r="O384" s="34" t="n"/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  <c r="AA384" s="34" t="n"/>
      <c r="AB384" s="34" t="n"/>
      <c r="AC384" s="34" t="n"/>
      <c r="AD384" s="34" t="n"/>
      <c r="AE384" s="34" t="n"/>
      <c r="AF384" s="34" t="n"/>
      <c r="AG384" s="34" t="n"/>
      <c r="AH384" s="34" t="n"/>
      <c r="AI384" s="34" t="n"/>
      <c r="AJ384" s="34" t="n"/>
      <c r="AK384" s="34" t="n"/>
      <c r="AL384" s="34" t="n"/>
      <c r="AM384" s="34" t="n"/>
      <c r="AN384" s="34" t="n"/>
      <c r="AO384" s="34" t="n"/>
      <c r="AP384" s="34" t="n"/>
      <c r="AQ384" s="34" t="n"/>
      <c r="AR384" s="34" t="n"/>
      <c r="AS384" s="34" t="n"/>
      <c r="AT384" s="34" t="n"/>
      <c r="AU384" s="34" t="n"/>
      <c r="AV384" s="34" t="n"/>
      <c r="AW384" s="34" t="n"/>
      <c r="AX384" s="34" t="n"/>
      <c r="AY384" s="34" t="n"/>
      <c r="AZ384" s="34" t="n"/>
      <c r="BA384" s="34" t="n"/>
      <c r="BB384" s="34" t="n"/>
      <c r="BC384" s="34" t="n"/>
      <c r="BD384" s="34" t="n"/>
      <c r="BE384" s="34" t="n"/>
      <c r="BF384" s="34" t="n"/>
      <c r="BG384" s="34" t="n"/>
      <c r="BH384" s="34" t="n"/>
      <c r="BI384" s="34" t="n"/>
      <c r="BJ384" s="34" t="n"/>
      <c r="BK384" s="34" t="n"/>
      <c r="BL384" s="34" t="n"/>
      <c r="BM384" s="34" t="n"/>
      <c r="BN384" s="34" t="n"/>
      <c r="BO384" s="34" t="n"/>
      <c r="BP384" s="34" t="n"/>
      <c r="BQ384" s="34" t="n"/>
      <c r="BR384" s="34" t="n"/>
      <c r="BS384" s="34" t="n"/>
      <c r="BT384" s="34" t="n"/>
      <c r="BU384" s="34" t="n"/>
      <c r="BV384" s="35" t="n"/>
      <c r="BW384" s="35" t="n"/>
      <c r="BX384" s="256">
        <f>IFERROR(BX249/BX373,"n/a")</f>
        <v>-0.00428179135517836</v>
      </c>
      <c r="BY384" s="256">
        <f>IFERROR(BY249/BY373,"n/a")</f>
        <v>0.0106373885539502</v>
      </c>
      <c r="BZ384" s="256">
        <f>IFERROR(BZ249/BZ373,"n/a")</f>
        <v>0.027051802090394</v>
      </c>
      <c r="CA384" s="256">
        <f>IFERROR(CA249/CA373,"n/a")</f>
        <v>0.0474807996427353</v>
      </c>
      <c r="CB384" s="256">
        <f>IFERROR(CB249/CB373,"n/a")</f>
        <v>0.0660573829371892</v>
      </c>
      <c r="CC384" s="256">
        <f>IFERROR(CC249/CC373,"n/a")</f>
        <v>0.0842370002891062</v>
      </c>
      <c r="CD384" s="19" t="n"/>
    </row>
    <row r="385" ht="15" customHeight="1" s="251">
      <c r="B385" s="25" t="inlineStr">
        <is>
          <t xml:space="preserve">  Dividend yield</t>
        </is>
      </c>
      <c r="C385" s="34" t="n"/>
      <c r="D385" s="34" t="n"/>
      <c r="E385" s="34" t="n"/>
      <c r="F385" s="34" t="n"/>
      <c r="G385" s="34" t="n"/>
      <c r="H385" s="34" t="n"/>
      <c r="I385" s="34" t="n"/>
      <c r="J385" s="34" t="n"/>
      <c r="K385" s="34" t="n"/>
      <c r="L385" s="34" t="n"/>
      <c r="M385" s="34" t="n"/>
      <c r="N385" s="34" t="n"/>
      <c r="O385" s="34" t="n"/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  <c r="AA385" s="34" t="n"/>
      <c r="AB385" s="34" t="n"/>
      <c r="AC385" s="34" t="n"/>
      <c r="AD385" s="34" t="n"/>
      <c r="AE385" s="34" t="n"/>
      <c r="AF385" s="34" t="n"/>
      <c r="AG385" s="34" t="n"/>
      <c r="AH385" s="34" t="n"/>
      <c r="AI385" s="34" t="n"/>
      <c r="AJ385" s="34" t="n"/>
      <c r="AK385" s="34" t="n"/>
      <c r="AL385" s="34" t="n"/>
      <c r="AM385" s="34" t="n"/>
      <c r="AN385" s="34" t="n"/>
      <c r="AO385" s="34" t="n"/>
      <c r="AP385" s="34" t="n"/>
      <c r="AQ385" s="34" t="n"/>
      <c r="AR385" s="34" t="n"/>
      <c r="AS385" s="34" t="n"/>
      <c r="AT385" s="34" t="n"/>
      <c r="AU385" s="34" t="n"/>
      <c r="AV385" s="34" t="n"/>
      <c r="AW385" s="34" t="n"/>
      <c r="AX385" s="34" t="n"/>
      <c r="AY385" s="34" t="n"/>
      <c r="AZ385" s="34" t="n"/>
      <c r="BA385" s="34" t="n"/>
      <c r="BB385" s="34" t="n"/>
      <c r="BC385" s="34" t="n"/>
      <c r="BD385" s="34" t="n"/>
      <c r="BE385" s="34" t="n"/>
      <c r="BF385" s="34" t="n"/>
      <c r="BG385" s="34" t="n"/>
      <c r="BH385" s="34" t="n"/>
      <c r="BI385" s="34" t="n"/>
      <c r="BJ385" s="34" t="n"/>
      <c r="BK385" s="34" t="n"/>
      <c r="BL385" s="34" t="n"/>
      <c r="BM385" s="34" t="n"/>
      <c r="BN385" s="34" t="n"/>
      <c r="BO385" s="34" t="n"/>
      <c r="BP385" s="34" t="n"/>
      <c r="BQ385" s="34" t="n"/>
      <c r="BR385" s="34" t="n"/>
      <c r="BS385" s="34" t="n"/>
      <c r="BT385" s="34" t="n"/>
      <c r="BU385" s="34" t="n"/>
      <c r="BV385" s="35" t="n"/>
      <c r="BW385" s="35" t="n"/>
      <c r="BX385" s="256">
        <f>IFERROR(BX138/BX371,"n/a")</f>
        <v>0.00281879194630873</v>
      </c>
      <c r="BY385" s="256">
        <f>IFERROR(BY138/BY371,"n/a")</f>
        <v>0.00295973154362416</v>
      </c>
      <c r="BZ385" s="256">
        <f>IFERROR(BZ138/BZ371,"n/a")</f>
        <v>0.00310771812080537</v>
      </c>
      <c r="CA385" s="256">
        <f>IFERROR(CA138/CA371,"n/a")</f>
        <v>0.00326310402684564</v>
      </c>
      <c r="CB385" s="256">
        <f>IFERROR(CB138/CB371,"n/a")</f>
        <v>0.00342625922818792</v>
      </c>
      <c r="CC385" s="256">
        <f>IFERROR(CC138/CC371,"n/a")</f>
        <v>0.00359757218959732</v>
      </c>
      <c r="CD385" s="19" t="n"/>
    </row>
    <row r="386" ht="15" customHeight="1" s="251"/>
    <row r="387" ht="15" customHeight="1" s="251"/>
    <row r="388" ht="15" customHeight="1" s="251"/>
    <row r="389" ht="15" customHeight="1" s="251"/>
    <row r="390" ht="15" customHeight="1" s="251"/>
    <row r="391" ht="15" customHeight="1" s="251"/>
    <row r="392" ht="15" customHeight="1" s="251"/>
    <row r="393" ht="15" customHeight="1" s="251"/>
    <row r="394" ht="15" customHeight="1" s="251"/>
    <row r="395" ht="15" customHeight="1" s="251"/>
    <row r="396" ht="15" customHeight="1" s="251"/>
    <row r="397" ht="15" customHeight="1" s="251"/>
    <row r="398" ht="15" customHeight="1" s="251"/>
    <row r="399" ht="15" customHeight="1" s="251"/>
    <row r="400" ht="15" customHeight="1" s="251"/>
    <row r="401" ht="15" customHeight="1" s="251"/>
    <row r="402" ht="15" customHeight="1" s="251"/>
    <row r="403" ht="15" customHeight="1" s="251"/>
    <row r="404" ht="15" customHeight="1" s="251"/>
    <row r="405" ht="15" customHeight="1" s="251"/>
    <row r="406" ht="15" customHeight="1" s="251"/>
    <row r="407" ht="15" customHeight="1" s="251"/>
    <row r="408" ht="15" customHeight="1" s="251"/>
    <row r="409" ht="15" customHeight="1" s="251"/>
    <row r="410" ht="15" customHeight="1" s="251"/>
    <row r="411" ht="15" customHeight="1" s="251"/>
    <row r="412" ht="15" customHeight="1" s="251"/>
    <row r="413" ht="15" customHeight="1" s="251"/>
    <row r="414" ht="15" customHeight="1" s="251"/>
    <row r="415" ht="15" customHeight="1" s="251"/>
    <row r="416" ht="15" customHeight="1" s="251"/>
    <row r="417" ht="15" customHeight="1" s="251"/>
    <row r="418" ht="15" customHeight="1" s="251"/>
    <row r="419" ht="15" customHeight="1" s="251"/>
    <row r="420" ht="15" customHeight="1" s="251"/>
    <row r="421" ht="15" customHeight="1" s="251"/>
    <row r="422" ht="15" customHeight="1" s="251"/>
    <row r="423" ht="15" customHeight="1" s="251"/>
    <row r="424" ht="15" customHeight="1" s="251"/>
    <row r="425" ht="15" customHeight="1" s="251"/>
    <row r="426" ht="15" customHeight="1" s="251"/>
    <row r="427" ht="15" customHeight="1" s="251"/>
    <row r="428" ht="15" customHeight="1" s="251"/>
    <row r="429" ht="15" customHeight="1" s="251"/>
    <row r="430" ht="15" customHeight="1" s="251"/>
    <row r="431" ht="15" customHeight="1" s="251"/>
    <row r="432" ht="15" customHeight="1" s="251"/>
    <row r="433" ht="15" customHeight="1" s="251"/>
    <row r="434" ht="15" customHeight="1" s="251"/>
    <row r="435" ht="15" customHeight="1" s="251"/>
    <row r="436" ht="15" customHeight="1" s="251"/>
    <row r="437" ht="15" customHeight="1" s="251"/>
    <row r="438" ht="15" customHeight="1" s="251"/>
    <row r="439" ht="15" customHeight="1" s="251"/>
    <row r="440" ht="15" customHeight="1" s="251"/>
    <row r="441" ht="15" customHeight="1" s="251"/>
    <row r="442" ht="15" customHeight="1" s="251"/>
    <row r="443" ht="15" customHeight="1" s="251"/>
    <row r="444" ht="15" customHeight="1" s="251"/>
    <row r="445" ht="15" customHeight="1" s="251"/>
    <row r="446" ht="15" customHeight="1" s="251"/>
    <row r="447" ht="15" customHeight="1" s="251"/>
  </sheetData>
  <dataValidations count="1">
    <dataValidation sqref="CD2" showDropDown="0" showInputMessage="0" showErrorMessage="0" allowBlank="0" type="list">
      <formula1>"Bull,Base,Bear"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zoomScale="60" zoomScaleNormal="60" workbookViewId="0">
      <selection activeCell="H26" sqref="H26"/>
    </sheetView>
  </sheetViews>
  <sheetFormatPr baseColWidth="8" defaultColWidth="8.5703125" defaultRowHeight="15"/>
  <cols>
    <col width="2.140625" customWidth="1" style="251" min="1" max="1"/>
    <col width="63.85546875" customWidth="1" style="251" min="2" max="2"/>
    <col width="11.85546875" customWidth="1" style="251" min="3" max="8"/>
    <col width="13.28515625" customWidth="1" style="251" min="9" max="9"/>
    <col width="12.5703125" customWidth="1" style="251" min="10" max="12"/>
    <col width="3.85546875" customWidth="1" style="251" min="13" max="13"/>
    <col width="63.85546875" customWidth="1" style="251" min="14" max="14"/>
    <col width="11.85546875" customWidth="1" style="251" min="15" max="20"/>
    <col width="13.28515625" customWidth="1" style="251" min="21" max="21"/>
    <col width="12.5703125" customWidth="1" style="251" min="22" max="24"/>
    <col width="3.85546875" customWidth="1" style="251" min="25" max="25"/>
    <col width="63.85546875" customWidth="1" style="251" min="26" max="26"/>
    <col width="11.85546875" customWidth="1" style="251" min="27" max="32"/>
    <col width="13.28515625" customWidth="1" style="251" min="33" max="33"/>
    <col width="12.5703125" customWidth="1" style="251" min="34" max="36"/>
  </cols>
  <sheetData>
    <row r="2" ht="19.5" customHeight="1" s="251">
      <c r="B2" s="73" t="inlineStr">
        <is>
          <t>Meta Platforms, Inc. (META) — Bull / Base / Bear Case P&amp;L Summary</t>
        </is>
      </c>
      <c r="J2" s="152" t="inlineStr">
        <is>
          <t>Share price ($):</t>
        </is>
      </c>
      <c r="K2" s="74">
        <f>Model!$BY$371</f>
        <v>745</v>
      </c>
    </row>
    <row r="3" ht="15" customHeight="1" s="251">
      <c r="B3" s="4" t="inlineStr">
        <is>
          <t>Adjusted figures (current definition: GAAP + company-quantified one-offs, share-based compensation expensed; adjusted EBITDA = model definition) · USD millions · Live panel linked to Model — toggle scenario via Model!CD2. Bull and Bear panels are value snapshots generated from the Model with the switch set to each case. 2026E = Q1–Q2 actual + Q3 calibrated to revenue guidance ($61–64bn) and 2H to FY26 expense guidance ($165–169bn).</t>
        </is>
      </c>
      <c r="J3" s="152" t="inlineStr">
        <is>
          <t>As of:</t>
        </is>
      </c>
      <c r="K3" s="291" t="str">
        <f>TODAY()</f>
        <v>2026-10-13 00:00:00</v>
      </c>
    </row>
    <row r="5" ht="15" customHeight="1" s="251">
      <c r="B5" s="10" t="inlineStr">
        <is>
          <t>Scenario:</t>
        </is>
      </c>
      <c r="C5" s="75" t="str">
        <f>Model!$CD$2</f>
        <v>Base</v>
      </c>
      <c r="N5" s="76" t="inlineStr">
        <is>
          <t>Scenario:</t>
        </is>
      </c>
      <c r="O5" s="77" t="inlineStr">
        <is>
          <t>Bull</t>
        </is>
      </c>
      <c r="P5" s="4" t="inlineStr">
        <is>
          <t>Snapshot (values) — Model run with switch = Bull</t>
        </is>
      </c>
      <c r="Z5" s="76" t="inlineStr">
        <is>
          <t>Scenario:</t>
        </is>
      </c>
      <c r="AA5" s="77" t="inlineStr">
        <is>
          <t>Bear</t>
        </is>
      </c>
      <c r="AB5" s="4" t="inlineStr">
        <is>
          <t>Snapshot (values) — Model run with switch = Bear</t>
        </is>
      </c>
    </row>
    <row r="7" ht="32.1" customHeight="1" s="251">
      <c r="B7" s="78" t="inlineStr">
        <is>
          <t>(USDm, except EPS and shares)</t>
        </is>
      </c>
      <c r="C7" s="150" t="inlineStr">
        <is>
          <t>2026E</t>
        </is>
      </c>
      <c r="D7" s="150" t="inlineStr">
        <is>
          <t>2027E</t>
        </is>
      </c>
      <c r="E7" s="150" t="inlineStr">
        <is>
          <t>2028E</t>
        </is>
      </c>
      <c r="F7" s="150" t="inlineStr">
        <is>
          <t>2029E</t>
        </is>
      </c>
      <c r="G7" s="150" t="inlineStr">
        <is>
          <t>2030E</t>
        </is>
      </c>
      <c r="H7" s="150" t="inlineStr">
        <is>
          <t>2031E</t>
        </is>
      </c>
      <c r="I7" s="150" t="inlineStr">
        <is>
          <t>26-'31 CAGR</t>
        </is>
      </c>
      <c r="J7" s="151" t="inlineStr">
        <is>
          <t>LT Hist Avg</t>
        </is>
      </c>
      <c r="K7" s="151" t="inlineStr">
        <is>
          <t>LT Hist Min</t>
        </is>
      </c>
      <c r="L7" s="151" t="inlineStr">
        <is>
          <t>LT Hist Max</t>
        </is>
      </c>
      <c r="N7" s="78" t="inlineStr">
        <is>
          <t>(USDm, except EPS and shares)</t>
        </is>
      </c>
      <c r="O7" s="150" t="inlineStr">
        <is>
          <t>2026E</t>
        </is>
      </c>
      <c r="P7" s="150" t="inlineStr">
        <is>
          <t>2027E</t>
        </is>
      </c>
      <c r="Q7" s="150" t="inlineStr">
        <is>
          <t>2028E</t>
        </is>
      </c>
      <c r="R7" s="150" t="inlineStr">
        <is>
          <t>2029E</t>
        </is>
      </c>
      <c r="S7" s="150" t="inlineStr">
        <is>
          <t>2030E</t>
        </is>
      </c>
      <c r="T7" s="150" t="inlineStr">
        <is>
          <t>2031E</t>
        </is>
      </c>
      <c r="U7" s="150" t="inlineStr">
        <is>
          <t>26-'31 CAGR</t>
        </is>
      </c>
      <c r="V7" s="151" t="inlineStr">
        <is>
          <t>LT Hist Avg</t>
        </is>
      </c>
      <c r="W7" s="151" t="inlineStr">
        <is>
          <t>LT Hist Min</t>
        </is>
      </c>
      <c r="X7" s="151" t="inlineStr">
        <is>
          <t>LT Hist Max</t>
        </is>
      </c>
      <c r="Z7" s="78" t="inlineStr">
        <is>
          <t>(USDm, except EPS and shares)</t>
        </is>
      </c>
      <c r="AA7" s="150" t="inlineStr">
        <is>
          <t>2026E</t>
        </is>
      </c>
      <c r="AB7" s="150" t="inlineStr">
        <is>
          <t>2027E</t>
        </is>
      </c>
      <c r="AC7" s="150" t="inlineStr">
        <is>
          <t>2028E</t>
        </is>
      </c>
      <c r="AD7" s="150" t="inlineStr">
        <is>
          <t>2029E</t>
        </is>
      </c>
      <c r="AE7" s="150" t="inlineStr">
        <is>
          <t>2030E</t>
        </is>
      </c>
      <c r="AF7" s="150" t="inlineStr">
        <is>
          <t>2031E</t>
        </is>
      </c>
      <c r="AG7" s="150" t="inlineStr">
        <is>
          <t>26-'31 CAGR</t>
        </is>
      </c>
      <c r="AH7" s="151" t="inlineStr">
        <is>
          <t>LT Hist Avg</t>
        </is>
      </c>
      <c r="AI7" s="151" t="inlineStr">
        <is>
          <t>LT Hist Min</t>
        </is>
      </c>
      <c r="AJ7" s="151" t="inlineStr">
        <is>
          <t>LT Hist Max</t>
        </is>
      </c>
    </row>
    <row r="9" ht="15" customHeight="1" s="251">
      <c r="B9" s="79" t="inlineStr">
        <is>
          <t>Revenue</t>
        </is>
      </c>
      <c r="C9" s="80">
        <f>Model!BX109</f>
        <v>252600.411531166</v>
      </c>
      <c r="D9" s="81">
        <f>Model!BY109</f>
        <v>300830.670806499</v>
      </c>
      <c r="E9" s="81">
        <f>Model!BZ109</f>
        <v>348341.993906062</v>
      </c>
      <c r="F9" s="81">
        <f>Model!CA109</f>
        <v>395867.431609974</v>
      </c>
      <c r="G9" s="81">
        <f>Model!CB109</f>
        <v>441368.568158347</v>
      </c>
      <c r="H9" s="81">
        <f>Model!CC109</f>
        <v>487137.698880726</v>
      </c>
      <c r="I9" s="292">
        <f>IFERROR((H9/C9)^(1/5)-1,"n/m")</f>
        <v>0.140364101452749</v>
      </c>
      <c r="N9" s="79" t="inlineStr">
        <is>
          <t>Revenue</t>
        </is>
      </c>
      <c r="O9" s="80" t="n">
        <v>255841.665874043</v>
      </c>
      <c r="P9" s="81" t="n">
        <v>316320.451486779</v>
      </c>
      <c r="Q9" s="81" t="n">
        <v>380558.27714507</v>
      </c>
      <c r="R9" s="81" t="n">
        <v>449619.975784085</v>
      </c>
      <c r="S9" s="81" t="n">
        <v>521505.746957822</v>
      </c>
      <c r="T9" s="81" t="n">
        <v>599023.09927464</v>
      </c>
      <c r="U9" s="292" t="n">
        <v>0.185480621350295</v>
      </c>
      <c r="Z9" s="79" t="inlineStr">
        <is>
          <t>Revenue</t>
        </is>
      </c>
      <c r="AA9" s="80" t="n">
        <v>249359.157188288</v>
      </c>
      <c r="AB9" s="81" t="n">
        <v>275313.005725118</v>
      </c>
      <c r="AC9" s="81" t="n">
        <v>295135.016000829</v>
      </c>
      <c r="AD9" s="81" t="n">
        <v>310210.254614995</v>
      </c>
      <c r="AE9" s="81" t="n">
        <v>319587.491069985</v>
      </c>
      <c r="AF9" s="81" t="n">
        <v>325783.692492714</v>
      </c>
      <c r="AG9" s="292" t="n">
        <v>0.0549231040602891</v>
      </c>
    </row>
    <row r="10" ht="15" customHeight="1" s="251">
      <c r="B10" s="83" t="inlineStr">
        <is>
          <t xml:space="preserve">   Revenue y/y %</t>
        </is>
      </c>
      <c r="C10" s="293" t="n"/>
      <c r="D10" s="294">
        <f>IFERROR(D9/C9-1,"")</f>
        <v>0.190934998810891</v>
      </c>
      <c r="E10" s="294">
        <f>IFERROR(E9/D9-1,"")</f>
        <v>0.157933773747833</v>
      </c>
      <c r="F10" s="294">
        <f>IFERROR(F9/E9-1,"")</f>
        <v>0.136433271139651</v>
      </c>
      <c r="G10" s="294">
        <f>IFERROR(G9/F9-1,"")</f>
        <v>0.114940338393896</v>
      </c>
      <c r="H10" s="294">
        <f>IFERROR(H9/G9-1,"")</f>
        <v>0.1036982105757</v>
      </c>
      <c r="N10" s="83" t="inlineStr">
        <is>
          <t xml:space="preserve">   Revenue y/y %</t>
        </is>
      </c>
      <c r="O10" s="293" t="n"/>
      <c r="P10" s="294" t="n">
        <v>0.236391462688922</v>
      </c>
      <c r="Q10" s="294" t="n">
        <v>0.203078319332054</v>
      </c>
      <c r="R10" s="294" t="n">
        <v>0.181474698585225</v>
      </c>
      <c r="S10" s="294" t="n">
        <v>0.159881177539714</v>
      </c>
      <c r="T10" s="294" t="n">
        <v>0.148641415303689</v>
      </c>
      <c r="Z10" s="83" t="inlineStr">
        <is>
          <t xml:space="preserve">   Revenue y/y %</t>
        </is>
      </c>
      <c r="AA10" s="293" t="n"/>
      <c r="AB10" s="294" t="n">
        <v>0.104082195454458</v>
      </c>
      <c r="AC10" s="294" t="n">
        <v>0.07199808895153149</v>
      </c>
      <c r="AD10" s="294" t="n">
        <v>0.0510791258131311</v>
      </c>
      <c r="AE10" s="294" t="n">
        <v>0.0302286475559233</v>
      </c>
      <c r="AF10" s="294" t="n">
        <v>0.0193881224887225</v>
      </c>
    </row>
    <row r="11" ht="15" customHeight="1" s="251">
      <c r="B11" s="79" t="inlineStr">
        <is>
          <t xml:space="preserve">   Advertising revenue y/y %</t>
        </is>
      </c>
      <c r="C11" s="86">
        <f>Model!BX201</f>
        <v>0.252843290726417</v>
      </c>
      <c r="D11" s="87">
        <f>Model!BY201</f>
        <v>0.188</v>
      </c>
      <c r="E11" s="87">
        <f>Model!BZ201</f>
        <v>0.1554</v>
      </c>
      <c r="F11" s="87">
        <f>Model!CA201</f>
        <v>0.134</v>
      </c>
      <c r="G11" s="87">
        <f>Model!CB201</f>
        <v>0.1128</v>
      </c>
      <c r="H11" s="87">
        <f>Model!CC201</f>
        <v>0.1024</v>
      </c>
      <c r="N11" s="79" t="inlineStr">
        <is>
          <t xml:space="preserve">   Advertising revenue y/y %</t>
        </is>
      </c>
      <c r="O11" s="86" t="n">
        <v>0.269365550662075</v>
      </c>
      <c r="P11" s="87" t="n">
        <v>0.232</v>
      </c>
      <c r="Q11" s="87" t="n">
        <v>0.1988</v>
      </c>
      <c r="R11" s="87" t="n">
        <v>0.177</v>
      </c>
      <c r="S11" s="87" t="n">
        <v>0.1554</v>
      </c>
      <c r="T11" s="87" t="n">
        <v>0.1448</v>
      </c>
      <c r="Z11" s="79" t="inlineStr">
        <is>
          <t xml:space="preserve">   Advertising revenue y/y %</t>
        </is>
      </c>
      <c r="AA11" s="86" t="n">
        <v>0.236321030790759</v>
      </c>
      <c r="AB11" s="87" t="n">
        <v>0.1024</v>
      </c>
      <c r="AC11" s="87" t="n">
        <v>0.0710000000000002</v>
      </c>
      <c r="AD11" s="87" t="n">
        <v>0.0504</v>
      </c>
      <c r="AE11" s="87" t="n">
        <v>0.03</v>
      </c>
      <c r="AF11" s="87" t="n">
        <v>0.02</v>
      </c>
    </row>
    <row r="12" ht="15" customHeight="1" s="251">
      <c r="B12" s="79" t="inlineStr">
        <is>
          <t>Adjusted EBITDA (model definition)</t>
        </is>
      </c>
      <c r="C12" s="80">
        <f>Model!BX168</f>
        <v>115613.315931166</v>
      </c>
      <c r="D12" s="81">
        <f>Model!BY168</f>
        <v>142894.568633087</v>
      </c>
      <c r="E12" s="81">
        <f>Model!BZ168</f>
        <v>170687.57701397</v>
      </c>
      <c r="F12" s="81">
        <f>Model!CA168</f>
        <v>197933.715804987</v>
      </c>
      <c r="G12" s="81">
        <f>Model!CB168</f>
        <v>225097.969760757</v>
      </c>
      <c r="H12" s="81">
        <f>Model!CC168</f>
        <v>250875.914923574</v>
      </c>
      <c r="I12" s="292">
        <f>IFERROR((H12/C12)^(1/5)-1,"n/m")</f>
        <v>0.167589611846047</v>
      </c>
      <c r="N12" s="79" t="inlineStr">
        <is>
          <t>Adjusted EBITDA (model definition)</t>
        </is>
      </c>
      <c r="O12" s="80" t="n">
        <v>120854.570274043</v>
      </c>
      <c r="P12" s="81" t="n">
        <v>156578.623485955</v>
      </c>
      <c r="Q12" s="81" t="n">
        <v>194084.721343986</v>
      </c>
      <c r="R12" s="81" t="n">
        <v>233802.387407724</v>
      </c>
      <c r="S12" s="81" t="n">
        <v>276398.045887646</v>
      </c>
      <c r="T12" s="81" t="n">
        <v>320477.358111932</v>
      </c>
      <c r="U12" s="292" t="n">
        <v>0.215365361733915</v>
      </c>
      <c r="Z12" s="79" t="inlineStr">
        <is>
          <t>Adjusted EBITDA (model definition)</t>
        </is>
      </c>
      <c r="AA12" s="80" t="n">
        <v>110372.061588288</v>
      </c>
      <c r="AB12" s="81" t="n">
        <v>122514.287547678</v>
      </c>
      <c r="AC12" s="81" t="n">
        <v>135762.107360381</v>
      </c>
      <c r="AD12" s="81" t="n">
        <v>145798.819669048</v>
      </c>
      <c r="AE12" s="81" t="n">
        <v>153401.995713593</v>
      </c>
      <c r="AF12" s="81" t="n">
        <v>158005.090858966</v>
      </c>
      <c r="AG12" s="292" t="n">
        <v>0.074391057914897</v>
      </c>
    </row>
    <row r="13" ht="15" customHeight="1" s="251">
      <c r="B13" s="83" t="inlineStr">
        <is>
          <t xml:space="preserve">   Adjusted EBITDA margin %</t>
        </is>
      </c>
      <c r="C13" s="88">
        <f>IFERROR(C12/C9,"")</f>
        <v>0.457692508220246</v>
      </c>
      <c r="D13" s="89">
        <f>IFERROR(D12/D9,"")</f>
        <v>0.475</v>
      </c>
      <c r="E13" s="89">
        <f>IFERROR(E12/E9,"")</f>
        <v>0.49</v>
      </c>
      <c r="F13" s="89">
        <f>IFERROR(F12/F9,"")</f>
        <v>0.5</v>
      </c>
      <c r="G13" s="89">
        <f>IFERROR(G12/G9,"")</f>
        <v>0.51</v>
      </c>
      <c r="H13" s="89">
        <f>IFERROR(H12/H9,"")</f>
        <v>0.515</v>
      </c>
      <c r="J13" s="90">
        <f>IFERROR(AVERAGE(Model!C169,Model!D169,Model!E169,Model!F169,Model!K169,Model!P169,Model!U169,Model!Z169,Model!AE169,Model!AJ169,Model!AO169,Model!AT169,Model!AY169,Model!BD169,Model!BI169,Model!BN169,Model!BS169),"")</f>
        <v>0.479640813432753</v>
      </c>
      <c r="K13" s="90">
        <f>IFERROR(MIN(Model!C169,Model!D169,Model!E169,Model!F169,Model!K169,Model!P169,Model!U169,Model!Z169,Model!AE169,Model!AJ169,Model!AO169,Model!AT169,Model!AY169,Model!BD169,Model!BI169,Model!BN169,Model!BS169),"")</f>
        <v>0.233248182354097</v>
      </c>
      <c r="L13" s="90">
        <f>IFERROR(MAX(Model!C169,Model!D169,Model!E169,Model!F169,Model!K169,Model!P169,Model!U169,Model!Z169,Model!AE169,Model!AJ169,Model!AO169,Model!AT169,Model!AY169,Model!BD169,Model!BI169,Model!BN169,Model!BS169),"")</f>
        <v>0.593211752786221</v>
      </c>
      <c r="N13" s="83" t="inlineStr">
        <is>
          <t xml:space="preserve">   Adjusted EBITDA margin %</t>
        </is>
      </c>
      <c r="O13" s="88" t="n">
        <v>0.47238032890836</v>
      </c>
      <c r="P13" s="89" t="n">
        <v>0.495</v>
      </c>
      <c r="Q13" s="89" t="n">
        <v>0.51</v>
      </c>
      <c r="R13" s="89" t="n">
        <v>0.52</v>
      </c>
      <c r="S13" s="89" t="n">
        <v>0.53</v>
      </c>
      <c r="T13" s="89" t="n">
        <v>0.535</v>
      </c>
      <c r="V13" s="90" t="n">
        <v>0.479640813432753</v>
      </c>
      <c r="W13" s="90" t="n">
        <v>0.233248182354097</v>
      </c>
      <c r="X13" s="90" t="n">
        <v>0.593211752786221</v>
      </c>
      <c r="Z13" s="83" t="inlineStr">
        <is>
          <t xml:space="preserve">   Adjusted EBITDA margin %</t>
        </is>
      </c>
      <c r="AA13" s="88" t="n">
        <v>0.442622853047852</v>
      </c>
      <c r="AB13" s="89" t="n">
        <v>0.445</v>
      </c>
      <c r="AC13" s="89" t="n">
        <v>0.46</v>
      </c>
      <c r="AD13" s="89" t="n">
        <v>0.47</v>
      </c>
      <c r="AE13" s="89" t="n">
        <v>0.48</v>
      </c>
      <c r="AF13" s="89" t="n">
        <v>0.485</v>
      </c>
      <c r="AH13" s="90" t="n">
        <v>0.479640813432753</v>
      </c>
      <c r="AI13" s="90" t="n">
        <v>0.233248182354097</v>
      </c>
      <c r="AJ13" s="90" t="n">
        <v>0.593211752786221</v>
      </c>
    </row>
    <row r="15" ht="15" customHeight="1" s="251">
      <c r="B15" s="79" t="inlineStr">
        <is>
          <t>Income from operations (GAAP)</t>
        </is>
      </c>
      <c r="C15" s="80">
        <f>Model!BX116</f>
        <v>85600.4115311655</v>
      </c>
      <c r="D15" s="81">
        <f>Model!BY116</f>
        <v>102233.462145683</v>
      </c>
      <c r="E15" s="81">
        <f>Model!BZ116</f>
        <v>119115.078596139</v>
      </c>
      <c r="F15" s="81">
        <f>Model!CA116</f>
        <v>134765.024787283</v>
      </c>
      <c r="G15" s="81">
        <f>Model!CB116</f>
        <v>155014.506147673</v>
      </c>
      <c r="H15" s="81">
        <f>Model!CC116</f>
        <v>175281.06846433</v>
      </c>
      <c r="I15" s="292">
        <f>IFERROR((H15/C15)^(1/5)-1,"n/m")</f>
        <v>0.154122298134074</v>
      </c>
      <c r="N15" s="79" t="inlineStr">
        <is>
          <t>Income from operations (GAAP)</t>
        </is>
      </c>
      <c r="O15" s="80" t="n">
        <v>90841.6658740432</v>
      </c>
      <c r="P15" s="81" t="n">
        <v>116171.530540611</v>
      </c>
      <c r="Q15" s="81" t="n">
        <v>143100.716410672</v>
      </c>
      <c r="R15" s="81" t="n">
        <v>171318.176102538</v>
      </c>
      <c r="S15" s="81" t="n">
        <v>206868.996059492</v>
      </c>
      <c r="T15" s="81" t="n">
        <v>245132.398955424</v>
      </c>
      <c r="U15" s="292" t="n">
        <v>0.219616033503132</v>
      </c>
      <c r="Z15" s="79" t="inlineStr">
        <is>
          <t>Income from operations (GAAP)</t>
        </is>
      </c>
      <c r="AA15" s="80" t="n">
        <v>80359.15718828781</v>
      </c>
      <c r="AB15" s="81" t="n">
        <v>81766.66722108801</v>
      </c>
      <c r="AC15" s="81" t="n">
        <v>84354.2523307073</v>
      </c>
      <c r="AD15" s="81" t="n">
        <v>83787.5817434685</v>
      </c>
      <c r="AE15" s="81" t="n">
        <v>85944.0508506023</v>
      </c>
      <c r="AF15" s="81" t="n">
        <v>86903.0451777643</v>
      </c>
      <c r="AG15" s="292" t="n">
        <v>0.0157806238227636</v>
      </c>
    </row>
    <row r="16" ht="15" customHeight="1" s="251">
      <c r="B16" s="83" t="inlineStr">
        <is>
          <t xml:space="preserve">   Income from operations y/y %</t>
        </is>
      </c>
      <c r="C16" s="293" t="n"/>
      <c r="D16" s="294">
        <f>IFERROR(D15/C15-1,"")</f>
        <v>0.194310404786563</v>
      </c>
      <c r="E16" s="294">
        <f>IFERROR(E15/D15-1,"")</f>
        <v>0.165128091098003</v>
      </c>
      <c r="F16" s="294">
        <f>IFERROR(F15/E15-1,"")</f>
        <v>0.131385097299098</v>
      </c>
      <c r="G16" s="294">
        <f>IFERROR(G15/F15-1,"")</f>
        <v>0.150257690319527</v>
      </c>
      <c r="H16" s="294">
        <f>IFERROR(H15/G15-1,"")</f>
        <v>0.130739779265239</v>
      </c>
      <c r="N16" s="83" t="inlineStr">
        <is>
          <t xml:space="preserve">   Income from operations y/y %</t>
        </is>
      </c>
      <c r="O16" s="293" t="n"/>
      <c r="P16" s="294" t="n">
        <v>0.278835316623199</v>
      </c>
      <c r="Q16" s="294" t="n">
        <v>0.231805380756752</v>
      </c>
      <c r="R16" s="294" t="n">
        <v>0.197186012758229</v>
      </c>
      <c r="S16" s="294" t="n">
        <v>0.207513416064362</v>
      </c>
      <c r="T16" s="294" t="n">
        <v>0.184964415281102</v>
      </c>
      <c r="Z16" s="83" t="inlineStr">
        <is>
          <t xml:space="preserve">   Income from operations y/y %</t>
        </is>
      </c>
      <c r="AA16" s="293" t="n"/>
      <c r="AB16" s="294" t="n">
        <v>0.0175152413495607</v>
      </c>
      <c r="AC16" s="294" t="n">
        <v>0.0316459652516197</v>
      </c>
      <c r="AD16" s="294" t="n">
        <v>-0.00671774773152078</v>
      </c>
      <c r="AE16" s="294" t="n">
        <v>0.025737335560492</v>
      </c>
      <c r="AF16" s="294" t="n">
        <v>0.0111583561360047</v>
      </c>
    </row>
    <row r="17" ht="15" customHeight="1" s="251">
      <c r="B17" s="83" t="inlineStr">
        <is>
          <t xml:space="preserve">   Operating margin (GAAP) %</t>
        </is>
      </c>
      <c r="C17" s="88">
        <f>IFERROR(C15/C9,"")</f>
        <v>0.338876769884455</v>
      </c>
      <c r="D17" s="89">
        <f>IFERROR(D15/D9,"")</f>
        <v>0.339837230929959</v>
      </c>
      <c r="E17" s="89">
        <f>IFERROR(E15/E9,"")</f>
        <v>0.341948661602544</v>
      </c>
      <c r="F17" s="89">
        <f>IFERROR(F15/F9,"")</f>
        <v>0.340429684349631</v>
      </c>
      <c r="G17" s="89">
        <f>IFERROR(G15/G9,"")</f>
        <v>0.351213288237734</v>
      </c>
      <c r="H17" s="89">
        <f>IFERROR(H15/H9,"")</f>
        <v>0.359818320091148</v>
      </c>
      <c r="J17" s="90">
        <f>IFERROR(AVERAGE(Model!C214,Model!D214,Model!E214,Model!F214,Model!K214,Model!P214,Model!U214,Model!Z214,Model!AE214,Model!AJ214,Model!AO214,Model!AT214,Model!AY214,Model!BD214,Model!BI214,Model!BN214,Model!BS214),"")</f>
        <v>0.381316339001103</v>
      </c>
      <c r="K17" s="90">
        <f>IFERROR(MIN(Model!C214,Model!D214,Model!E214,Model!F214,Model!K214,Model!P214,Model!U214,Model!Z214,Model!AE214,Model!AJ214,Model!AO214,Model!AT214,Model!AY214,Model!BD214,Model!BI214,Model!BN214,Model!BS214),"")</f>
        <v>0.105718215759481</v>
      </c>
      <c r="L17" s="90">
        <f>IFERROR(MAX(Model!C214,Model!D214,Model!E214,Model!F214,Model!K214,Model!P214,Model!U214,Model!Z214,Model!AE214,Model!AJ214,Model!AO214,Model!AT214,Model!AY214,Model!BD214,Model!BI214,Model!BN214,Model!BS214),"")</f>
        <v>0.522796352583587</v>
      </c>
      <c r="N17" s="83" t="inlineStr">
        <is>
          <t xml:space="preserve">   Operating margin (GAAP) %</t>
        </is>
      </c>
      <c r="O17" s="88" t="n">
        <v>0.355069865432969</v>
      </c>
      <c r="P17" s="89" t="n">
        <v>0.367258993196861</v>
      </c>
      <c r="Q17" s="89" t="n">
        <v>0.376028390406343</v>
      </c>
      <c r="R17" s="89" t="n">
        <v>0.381028836193898</v>
      </c>
      <c r="S17" s="89" t="n">
        <v>0.396676349716666</v>
      </c>
      <c r="T17" s="89" t="n">
        <v>0.409220277569023</v>
      </c>
      <c r="V17" s="90" t="n">
        <v>0.381316339001103</v>
      </c>
      <c r="W17" s="90" t="n">
        <v>0.105718215759481</v>
      </c>
      <c r="X17" s="90" t="n">
        <v>0.522796352583587</v>
      </c>
      <c r="Z17" s="83" t="inlineStr">
        <is>
          <t xml:space="preserve">   Operating margin (GAAP) %</t>
        </is>
      </c>
      <c r="AA17" s="88" t="n">
        <v>0.322262707712032</v>
      </c>
      <c r="AB17" s="89" t="n">
        <v>0.296995294522071</v>
      </c>
      <c r="AC17" s="89" t="n">
        <v>0.285815805503982</v>
      </c>
      <c r="AD17" s="89" t="n">
        <v>0.270099329396631</v>
      </c>
      <c r="AE17" s="89" t="n">
        <v>0.268921823450786</v>
      </c>
      <c r="AF17" s="89" t="n">
        <v>0.266750752663005</v>
      </c>
      <c r="AH17" s="90" t="n">
        <v>0.381316339001103</v>
      </c>
      <c r="AI17" s="90" t="n">
        <v>0.105718215759481</v>
      </c>
      <c r="AJ17" s="90" t="n">
        <v>0.522796352583587</v>
      </c>
    </row>
    <row r="19" ht="15" customHeight="1" s="251">
      <c r="B19" s="79" t="inlineStr">
        <is>
          <t>Adjusted net income (current definition)</t>
        </is>
      </c>
      <c r="C19" s="80">
        <f>Model!BX192</f>
        <v>74577.3442109306</v>
      </c>
      <c r="D19" s="81">
        <f>Model!BY192</f>
        <v>84127.3640086451</v>
      </c>
      <c r="E19" s="81">
        <f>Model!BZ192</f>
        <v>97359.2468047338</v>
      </c>
      <c r="F19" s="81">
        <f>Model!CA192</f>
        <v>110612.770596189</v>
      </c>
      <c r="G19" s="81">
        <f>Model!CB192</f>
        <v>126479.059510941</v>
      </c>
      <c r="H19" s="81">
        <f>Model!CC192</f>
        <v>143129.453220713</v>
      </c>
      <c r="I19" s="292">
        <f>IFERROR((H19/C19)^(1/5)-1,"n/m")</f>
        <v>0.139264119505636</v>
      </c>
      <c r="N19" s="79" t="inlineStr">
        <is>
          <t>Adjusted net income (current definition)</t>
        </is>
      </c>
      <c r="O19" s="80" t="n">
        <v>78979.9978589478</v>
      </c>
      <c r="P19" s="81" t="n">
        <v>95820.9040335195</v>
      </c>
      <c r="Q19" s="81" t="n">
        <v>116349.769259216</v>
      </c>
      <c r="R19" s="81" t="n">
        <v>139170.871686802</v>
      </c>
      <c r="S19" s="81" t="n">
        <v>167075.454576025</v>
      </c>
      <c r="T19" s="81" t="n">
        <v>198171.778998191</v>
      </c>
      <c r="U19" s="292" t="n">
        <v>0.202001301996466</v>
      </c>
      <c r="Z19" s="79" t="inlineStr">
        <is>
          <t>Adjusted net income (current definition)</t>
        </is>
      </c>
      <c r="AA19" s="80" t="n">
        <v>70174.6905629133</v>
      </c>
      <c r="AB19" s="81" t="n">
        <v>66760.8268867702</v>
      </c>
      <c r="AC19" s="81" t="n">
        <v>67216.4729366939</v>
      </c>
      <c r="AD19" s="81" t="n">
        <v>65995.4346358441</v>
      </c>
      <c r="AE19" s="81" t="n">
        <v>67594.1840157785</v>
      </c>
      <c r="AF19" s="81" t="n">
        <v>69501.9064749786</v>
      </c>
      <c r="AG19" s="292" t="n">
        <v>-0.00192485094236572</v>
      </c>
    </row>
    <row r="21" ht="15" customHeight="1" s="251">
      <c r="B21" s="79" t="inlineStr">
        <is>
          <t>Diluted shares (m)</t>
        </is>
      </c>
      <c r="C21" s="91">
        <f>Model!BX133</f>
        <v>2570</v>
      </c>
      <c r="D21" s="92">
        <f>Model!BY133</f>
        <v>2604</v>
      </c>
      <c r="E21" s="92">
        <f>Model!BZ133</f>
        <v>2630.49824981532</v>
      </c>
      <c r="F21" s="92">
        <f>Model!CA133</f>
        <v>2628.87593936031</v>
      </c>
      <c r="G21" s="92">
        <f>Model!CB133</f>
        <v>2589.51038662332</v>
      </c>
      <c r="H21" s="92">
        <f>Model!CC133</f>
        <v>2528.43585846864</v>
      </c>
      <c r="I21" s="292">
        <f>IFERROR((H21/C21)^(1/5)-1,"n/m")</f>
        <v>-0.00325569372106249</v>
      </c>
      <c r="N21" s="79" t="inlineStr">
        <is>
          <t>Diluted shares (m)</t>
        </is>
      </c>
      <c r="O21" s="91" t="n">
        <v>2568.32214765101</v>
      </c>
      <c r="P21" s="92" t="n">
        <v>2569.41598662859</v>
      </c>
      <c r="Q21" s="92" t="n">
        <v>2541.74342792864</v>
      </c>
      <c r="R21" s="92" t="n">
        <v>2491.06004637214</v>
      </c>
      <c r="S21" s="92" t="n">
        <v>2401.4499349855</v>
      </c>
      <c r="T21" s="92" t="n">
        <v>2280.61679463214</v>
      </c>
      <c r="U21" s="292" t="n">
        <v>-0.0234813000792734</v>
      </c>
      <c r="Z21" s="79" t="inlineStr">
        <is>
          <t>Diluted shares (m)</t>
        </is>
      </c>
      <c r="AA21" s="91" t="n">
        <v>2570</v>
      </c>
      <c r="AB21" s="92" t="n">
        <v>2604</v>
      </c>
      <c r="AC21" s="92" t="n">
        <v>2634</v>
      </c>
      <c r="AD21" s="92" t="n">
        <v>2664</v>
      </c>
      <c r="AE21" s="92" t="n">
        <v>2694</v>
      </c>
      <c r="AF21" s="92" t="n">
        <v>2724</v>
      </c>
      <c r="AG21" s="292" t="n">
        <v>0.0117070957308651</v>
      </c>
    </row>
    <row r="23" ht="15" customHeight="1" s="251">
      <c r="B23" s="79" t="inlineStr">
        <is>
          <t>Adjusted EPS — Diluted ($)</t>
        </is>
      </c>
      <c r="C23" s="93">
        <f>Model!BX193</f>
        <v>29.0184218719574</v>
      </c>
      <c r="D23" s="94">
        <f>Model!BY193</f>
        <v>32.306975425747</v>
      </c>
      <c r="E23" s="94">
        <f>Model!BZ193</f>
        <v>37.011713203599</v>
      </c>
      <c r="F23" s="94">
        <f>Model!CA193</f>
        <v>42.0760709701292</v>
      </c>
      <c r="G23" s="94">
        <f>Model!CB193</f>
        <v>48.8428469583658</v>
      </c>
      <c r="H23" s="94">
        <f>Model!CC193</f>
        <v>56.6079035548089</v>
      </c>
      <c r="I23" s="292">
        <f>IFERROR((H23/C23)^(1/5)-1,"n/m")</f>
        <v>0.142985329666698</v>
      </c>
      <c r="N23" s="79" t="inlineStr">
        <is>
          <t>Adjusted EPS — Diluted ($)</t>
        </is>
      </c>
      <c r="O23" s="93" t="n">
        <v>30.7515931874758</v>
      </c>
      <c r="P23" s="94" t="n">
        <v>37.292872984436</v>
      </c>
      <c r="Q23" s="94" t="n">
        <v>45.7755759219306</v>
      </c>
      <c r="R23" s="94" t="n">
        <v>55.8681320787443</v>
      </c>
      <c r="S23" s="94" t="n">
        <v>69.57274109361509</v>
      </c>
      <c r="T23" s="94" t="n">
        <v>86.89394003614539</v>
      </c>
      <c r="U23" s="292" t="n">
        <v>0.230904540890045</v>
      </c>
      <c r="Z23" s="79" t="inlineStr">
        <is>
          <t>Adjusted EPS — Diluted ($)</t>
        </is>
      </c>
      <c r="AA23" s="93" t="n">
        <v>27.3053270672814</v>
      </c>
      <c r="AB23" s="94" t="n">
        <v>25.6377983436138</v>
      </c>
      <c r="AC23" s="94" t="n">
        <v>25.5187824361025</v>
      </c>
      <c r="AD23" s="94" t="n">
        <v>24.773061049491</v>
      </c>
      <c r="AE23" s="94" t="n">
        <v>25.0906399464657</v>
      </c>
      <c r="AF23" s="94" t="n">
        <v>25.5146499541037</v>
      </c>
      <c r="AG23" s="292" t="n">
        <v>-0.0134742028900994</v>
      </c>
    </row>
    <row r="24" ht="15" customHeight="1" s="251">
      <c r="B24" s="83" t="inlineStr">
        <is>
          <t xml:space="preserve">   EPS y/y %</t>
        </is>
      </c>
      <c r="C24" s="293" t="n"/>
      <c r="D24" s="294">
        <f>IFERROR(D23/C23-1,"")</f>
        <v>0.113326409282356</v>
      </c>
      <c r="E24" s="294">
        <f>IFERROR(E23/D23-1,"")</f>
        <v>0.145626067307515</v>
      </c>
      <c r="F24" s="294">
        <f>IFERROR(F23/E23-1,"")</f>
        <v>0.136831217152027</v>
      </c>
      <c r="G24" s="294">
        <f>IFERROR(G23/F23-1,"")</f>
        <v>0.160822430236903</v>
      </c>
      <c r="H24" s="294">
        <f>IFERROR(H23/G23-1,"")</f>
        <v>0.158980425589486</v>
      </c>
      <c r="N24" s="83" t="inlineStr">
        <is>
          <t xml:space="preserve">   EPS y/y %</t>
        </is>
      </c>
      <c r="O24" s="293" t="n"/>
      <c r="P24" s="294" t="n">
        <v>0.212713525347504</v>
      </c>
      <c r="Q24" s="294" t="n">
        <v>0.227461771074457</v>
      </c>
      <c r="R24" s="294" t="n">
        <v>0.220479064513057</v>
      </c>
      <c r="S24" s="294" t="n">
        <v>0.245302796154964</v>
      </c>
      <c r="T24" s="294" t="n">
        <v>0.248965308398923</v>
      </c>
      <c r="Z24" s="83" t="inlineStr">
        <is>
          <t xml:space="preserve">   EPS y/y %</t>
        </is>
      </c>
      <c r="AA24" s="293" t="n"/>
      <c r="AB24" s="294" t="n">
        <v>-0.0610697216539037</v>
      </c>
      <c r="AC24" s="294" t="n">
        <v>-0.00464220468217114</v>
      </c>
      <c r="AD24" s="294" t="n">
        <v>-0.0292224516776491</v>
      </c>
      <c r="AE24" s="294" t="n">
        <v>0.0128195258688528</v>
      </c>
      <c r="AF24" s="294" t="n">
        <v>0.0168991308528903</v>
      </c>
    </row>
    <row r="26" ht="15" customHeight="1" s="251">
      <c r="B26" s="83" t="inlineStr">
        <is>
          <t>P / E (x) — assumed (adjusted EPS)</t>
        </is>
      </c>
      <c r="C26" s="295" t="n"/>
      <c r="D26" s="295" t="n"/>
      <c r="E26" s="295" t="n"/>
      <c r="F26" s="295" t="n"/>
      <c r="G26" s="295" t="n">
        <v>24</v>
      </c>
      <c r="H26" s="295" t="n">
        <v>24</v>
      </c>
      <c r="N26" s="83" t="inlineStr">
        <is>
          <t>P / E (x) — assumed (adjusted EPS)</t>
        </is>
      </c>
      <c r="O26" s="295" t="n"/>
      <c r="P26" s="295" t="n"/>
      <c r="Q26" s="295" t="n"/>
      <c r="R26" s="295" t="n"/>
      <c r="S26" s="295" t="n">
        <v>28</v>
      </c>
      <c r="T26" s="295" t="n">
        <v>28</v>
      </c>
      <c r="Z26" s="83" t="inlineStr">
        <is>
          <t>P / E (x) — assumed (adjusted EPS)</t>
        </is>
      </c>
      <c r="AA26" s="295" t="n"/>
      <c r="AB26" s="295" t="n"/>
      <c r="AC26" s="295" t="n"/>
      <c r="AD26" s="295" t="n">
        <v>18</v>
      </c>
      <c r="AE26" s="295" t="n">
        <v>18</v>
      </c>
      <c r="AF26" s="295" t="n">
        <v>18</v>
      </c>
    </row>
    <row r="27" ht="15" customHeight="1" s="251">
      <c r="B27" s="10" t="inlineStr">
        <is>
          <t>Price Target ($)</t>
        </is>
      </c>
      <c r="C27" s="96" t="n"/>
      <c r="D27" s="96" t="n"/>
      <c r="E27" s="96" t="n"/>
      <c r="F27" s="96" t="n"/>
      <c r="G27" s="96">
        <f>G26*G23</f>
        <v>1172.22832700078</v>
      </c>
      <c r="H27" s="96">
        <f>H26*H23</f>
        <v>1358.58968531541</v>
      </c>
      <c r="N27" s="10" t="inlineStr">
        <is>
          <t>Price Target ($)</t>
        </is>
      </c>
      <c r="O27" s="96" t="n"/>
      <c r="P27" s="96" t="n"/>
      <c r="Q27" s="96" t="n"/>
      <c r="R27" s="96" t="n"/>
      <c r="S27" s="96">
        <f>S26*S23</f>
        <v>1948.03675062122</v>
      </c>
      <c r="T27" s="96">
        <f>T26*T23</f>
        <v>2433.03032101207</v>
      </c>
      <c r="Z27" s="10" t="inlineStr">
        <is>
          <t>Price Target ($)</t>
        </is>
      </c>
      <c r="AA27" s="96" t="n"/>
      <c r="AB27" s="96" t="n"/>
      <c r="AC27" s="96" t="n"/>
      <c r="AD27" s="96">
        <f>AD26*AD23</f>
        <v>445.915098890838</v>
      </c>
      <c r="AE27" s="96">
        <f>AE26*AE23</f>
        <v>451.631519036383</v>
      </c>
      <c r="AF27" s="96">
        <f>AF26*AF23</f>
        <v>459.263699173867</v>
      </c>
    </row>
    <row r="28" ht="15" customHeight="1" s="251">
      <c r="B28" t="inlineStr">
        <is>
          <t xml:space="preserve">   Upside / (Downside) vs current</t>
        </is>
      </c>
      <c r="E28" s="296" t="n"/>
      <c r="F28" s="296" t="n"/>
      <c r="G28" s="296">
        <f>IFERROR(G27/$K$2-1,"")</f>
        <v>0.573460841611784</v>
      </c>
      <c r="H28" s="296">
        <f>IFERROR(H27/$K$2-1,"")</f>
        <v>0.823610315859616</v>
      </c>
      <c r="N28" t="inlineStr">
        <is>
          <t xml:space="preserve">   Upside / (Downside) vs current</t>
        </is>
      </c>
      <c r="O28" s="296" t="n"/>
      <c r="P28" s="296" t="n"/>
      <c r="Q28" s="296" t="n"/>
      <c r="R28" s="296" t="n"/>
      <c r="S28" s="296">
        <f>IFERROR(S27/$K$2-1,"")</f>
        <v>1.61481443036406</v>
      </c>
      <c r="T28" s="296">
        <f>IFERROR(T27/$K$2-1,"")</f>
        <v>2.2658125114256</v>
      </c>
      <c r="Z28" t="inlineStr">
        <is>
          <t xml:space="preserve">   Upside / (Downside) vs current</t>
        </is>
      </c>
      <c r="AA28" s="296" t="n"/>
      <c r="AB28" s="296" t="n"/>
      <c r="AC28" s="296" t="n"/>
      <c r="AD28" s="296">
        <f>IFERROR(AD27/$K$2-1,"")</f>
        <v>-0.401456243099546</v>
      </c>
      <c r="AE28" s="296">
        <f>IFERROR(AE27/$K$2-1,"")</f>
        <v>-0.393783195924319</v>
      </c>
      <c r="AF28" s="296">
        <f>IFERROR(AF27/$K$2-1,"")</f>
        <v>-0.383538658827025</v>
      </c>
    </row>
    <row r="29" ht="15" customHeight="1" s="251">
      <c r="B29" s="75" t="inlineStr">
        <is>
          <t>IRR (to 31-Dec of Y-1)</t>
        </is>
      </c>
      <c r="C29" s="297" t="n"/>
      <c r="D29" s="297" t="n"/>
      <c r="E29" s="297" t="n"/>
      <c r="F29" s="297" t="n"/>
      <c r="G29" s="297">
        <f>IFERROR((G27/$K$2)^(1/((DATE(2030-1,12,31)-$K$3)/365.25))-1,"")</f>
        <v>0.151311593942204</v>
      </c>
      <c r="H29" s="297">
        <f>IFERROR((H27/$K$2)^(1/((DATE(2031-1,12,31)-$K$3)/365.25))-1,"")</f>
        <v>0.153152225169776</v>
      </c>
      <c r="N29" s="75" t="inlineStr">
        <is>
          <t>IRR (to 31-Dec of Y-1)</t>
        </is>
      </c>
      <c r="O29" s="297" t="n"/>
      <c r="P29" s="297" t="n"/>
      <c r="Q29" s="297" t="n"/>
      <c r="R29" s="297" t="n"/>
      <c r="S29" s="297">
        <f>IFERROR((S27/$K$2)^(1/((DATE(2030-1,12,31)-$K$3)/365.25))-1,"")</f>
        <v>0.348223644972895</v>
      </c>
      <c r="T29" s="297">
        <f>IFERROR((T27/$K$2)^(1/((DATE(2031-1,12,31)-$K$3)/365.25))-1,"")</f>
        <v>0.324055047499986</v>
      </c>
      <c r="Z29" s="75" t="inlineStr">
        <is>
          <t>IRR (to 31-Dec of Y-1)</t>
        </is>
      </c>
      <c r="AA29" s="297" t="n"/>
      <c r="AB29" s="297" t="n"/>
      <c r="AC29" s="297" t="n"/>
      <c r="AD29" s="297">
        <f>IFERROR((AD27/$K$2)^(1/((DATE(2029-1,12,31)-$K$3)/365.25))-1,"")</f>
        <v>-0.206609922497778</v>
      </c>
      <c r="AE29" s="297">
        <f>IFERROR((AE27/$K$2)^(1/((DATE(2030-1,12,31)-$K$3)/365.25))-1,"")</f>
        <v>-0.144086899997751</v>
      </c>
      <c r="AF29" s="297">
        <f>IFERROR((AF27/$K$2)^(1/((DATE(2031-1,12,31)-$K$3)/365.25))-1,"")</f>
        <v>-0.108398375688364</v>
      </c>
    </row>
    <row r="31" ht="15" customHeight="1" s="251">
      <c r="B31" s="79" t="inlineStr">
        <is>
          <t>Free Cash Flow</t>
        </is>
      </c>
      <c r="C31" s="80">
        <f>Model!BX249</f>
        <v>-8258.7405748248</v>
      </c>
      <c r="D31" s="81">
        <f>Model!BY249</f>
        <v>20755.1938639827</v>
      </c>
      <c r="E31" s="81">
        <f>Model!BZ249</f>
        <v>53245.7209914838</v>
      </c>
      <c r="F31" s="81">
        <f>Model!CA249</f>
        <v>92527.6270163889</v>
      </c>
      <c r="G31" s="81">
        <f>Model!CB249</f>
        <v>126145.339765031</v>
      </c>
      <c r="H31" s="81">
        <f>Model!CC249</f>
        <v>156490.167817076</v>
      </c>
      <c r="I31" s="292">
        <f>IFERROR((H31/C31)^(1/5)-1,"n/m")</f>
        <v>-2.80100387159992</v>
      </c>
      <c r="N31" s="79" t="inlineStr">
        <is>
          <t>Free Cash Flow</t>
        </is>
      </c>
      <c r="O31" s="80" t="n">
        <v>-3644.20657442106</v>
      </c>
      <c r="P31" s="81" t="n">
        <v>39624.3637299429</v>
      </c>
      <c r="Q31" s="81" t="n">
        <v>79578.42093914381</v>
      </c>
      <c r="R31" s="81" t="n">
        <v>129247.372891642</v>
      </c>
      <c r="S31" s="81" t="n">
        <v>176510.57263518</v>
      </c>
      <c r="T31" s="81" t="n">
        <v>223554.297735859</v>
      </c>
      <c r="U31" s="292" t="n">
        <v>-3.27801199853213</v>
      </c>
      <c r="Z31" s="79" t="inlineStr">
        <is>
          <t>Free Cash Flow</t>
        </is>
      </c>
      <c r="AA31" s="80" t="n">
        <v>-12873.2745752285</v>
      </c>
      <c r="AB31" s="81" t="n">
        <v>-2693.70567539425</v>
      </c>
      <c r="AC31" s="81" t="n">
        <v>19816.1910896292</v>
      </c>
      <c r="AD31" s="81" t="n">
        <v>45565.9942688496</v>
      </c>
      <c r="AE31" s="81" t="n">
        <v>64599.4428320783</v>
      </c>
      <c r="AF31" s="81" t="n">
        <v>79030.970143115</v>
      </c>
      <c r="AG31" s="292" t="n">
        <v>-2.43754568744617</v>
      </c>
    </row>
    <row r="32" ht="15" customHeight="1" s="251">
      <c r="B32" s="83" t="inlineStr">
        <is>
          <t xml:space="preserve">   FCF %</t>
        </is>
      </c>
      <c r="C32" s="88">
        <f>IFERROR(C31/C9,"")</f>
        <v>-0.0326948817096676</v>
      </c>
      <c r="D32" s="89">
        <f>IFERROR(D31/D9,"")</f>
        <v>0.0689929447962869</v>
      </c>
      <c r="E32" s="89">
        <f>IFERROR(E31/E9,"")</f>
        <v>0.15285472875212</v>
      </c>
      <c r="F32" s="89">
        <f>IFERROR(F31/F9,"")</f>
        <v>0.233733870553795</v>
      </c>
      <c r="G32" s="89">
        <f>IFERROR(G31/G9,"")</f>
        <v>0.285804991260218</v>
      </c>
      <c r="H32" s="89">
        <f>IFERROR(H31/H9,"")</f>
        <v>0.321244215294025</v>
      </c>
      <c r="J32" s="90">
        <f>IFERROR(AVERAGE(Model!C254,Model!D254,Model!E254,Model!F254,Model!K254,Model!P254,Model!U254,Model!Z254,Model!AE254,Model!AJ254,Model!AO254,Model!AT254,Model!AY254,Model!BD254,Model!BI254,Model!BN254,Model!BS254),"")</f>
        <v>0.276713934677817</v>
      </c>
      <c r="K32" s="90">
        <f>IFERROR(MIN(Model!C254,Model!D254,Model!E254,Model!F254,Model!K254,Model!P254,Model!U254,Model!Z254,Model!AE254,Model!AJ254,Model!AO254,Model!AT254,Model!AY254,Model!BD254,Model!BI254,Model!BN254,Model!BS254),"")</f>
        <v>0.0740813519355473</v>
      </c>
      <c r="L32" s="90">
        <f>IFERROR(MAX(Model!C254,Model!D254,Model!E254,Model!F254,Model!K254,Model!P254,Model!U254,Model!Z254,Model!AE254,Model!AJ254,Model!AO254,Model!AT254,Model!AY254,Model!BD254,Model!BI254,Model!BN254,Model!BS254),"")</f>
        <v>0.43005436253167</v>
      </c>
      <c r="N32" s="83" t="inlineStr">
        <is>
          <t xml:space="preserve">   FCF %</t>
        </is>
      </c>
      <c r="O32" s="88" t="n">
        <v>-0.0142439917359481</v>
      </c>
      <c r="P32" s="89" t="n">
        <v>0.125266524954992</v>
      </c>
      <c r="Q32" s="89" t="n">
        <v>0.209109683636728</v>
      </c>
      <c r="R32" s="89" t="n">
        <v>0.287459142948998</v>
      </c>
      <c r="S32" s="89" t="n">
        <v>0.338463331736698</v>
      </c>
      <c r="T32" s="89" t="n">
        <v>0.373198125425484</v>
      </c>
      <c r="V32" s="90" t="n">
        <v>0.276713934677817</v>
      </c>
      <c r="W32" s="90" t="n">
        <v>0.0740813519355473</v>
      </c>
      <c r="X32" s="90" t="n">
        <v>0.43005436253167</v>
      </c>
      <c r="Z32" s="83" t="inlineStr">
        <is>
          <t xml:space="preserve">   FCF %</t>
        </is>
      </c>
      <c r="AA32" s="88" t="n">
        <v>-0.0516254334526327</v>
      </c>
      <c r="AB32" s="89" t="n">
        <v>-0.0097841570117604</v>
      </c>
      <c r="AC32" s="89" t="n">
        <v>0.06714279910986071</v>
      </c>
      <c r="AD32" s="89" t="n">
        <v>0.146887453238456</v>
      </c>
      <c r="AE32" s="89" t="n">
        <v>0.202133827628228</v>
      </c>
      <c r="AF32" s="89" t="n">
        <v>0.242587250265397</v>
      </c>
      <c r="AH32" s="90" t="n">
        <v>0.276713934677817</v>
      </c>
      <c r="AI32" s="90" t="n">
        <v>0.0740813519355473</v>
      </c>
      <c r="AJ32" s="90" t="n">
        <v>0.43005436253167</v>
      </c>
    </row>
    <row r="33" ht="15" customHeight="1" s="251">
      <c r="B33" s="83" t="inlineStr">
        <is>
          <t xml:space="preserve">   FCF / share ($)</t>
        </is>
      </c>
      <c r="C33" s="99">
        <f>IFERROR(C31/C21,"")</f>
        <v>-3.21351773339486</v>
      </c>
      <c r="D33" s="100">
        <f>IFERROR(D31/D21,"")</f>
        <v>7.97050455606096</v>
      </c>
      <c r="E33" s="100">
        <f>IFERROR(E31/E21,"")</f>
        <v>20.2416865303834</v>
      </c>
      <c r="F33" s="100">
        <f>IFERROR(F31/F21,"")</f>
        <v>35.1966502606829</v>
      </c>
      <c r="G33" s="100">
        <f>IFERROR(G31/G21,"")</f>
        <v>48.7139732733503</v>
      </c>
      <c r="H33" s="100">
        <f>IFERROR(H31/H21,"")</f>
        <v>61.8920852957113</v>
      </c>
      <c r="N33" s="83" t="inlineStr">
        <is>
          <t xml:space="preserve">   FCF / share ($)</t>
        </is>
      </c>
      <c r="O33" s="99" t="n">
        <v>-1.41890555970716</v>
      </c>
      <c r="P33" s="100" t="n">
        <v>15.4215447931167</v>
      </c>
      <c r="Q33" s="100" t="n">
        <v>31.3085971088731</v>
      </c>
      <c r="R33" s="100" t="n">
        <v>51.8844871202008</v>
      </c>
      <c r="S33" s="100" t="n">
        <v>73.50166666549541</v>
      </c>
      <c r="T33" s="100" t="n">
        <v>98.0236128498381</v>
      </c>
      <c r="Z33" s="83" t="inlineStr">
        <is>
          <t xml:space="preserve">   FCF / share ($)</t>
        </is>
      </c>
      <c r="AA33" s="99" t="n">
        <v>-5.00905625495274</v>
      </c>
      <c r="AB33" s="100" t="n">
        <v>-1.03444918409917</v>
      </c>
      <c r="AC33" s="100" t="n">
        <v>7.52323124131707</v>
      </c>
      <c r="AD33" s="100" t="n">
        <v>17.1043522030216</v>
      </c>
      <c r="AE33" s="100" t="n">
        <v>23.9790062479875</v>
      </c>
      <c r="AF33" s="100" t="n">
        <v>29.0128377911582</v>
      </c>
    </row>
    <row r="34" ht="15" customHeight="1" s="251">
      <c r="B34" s="83" t="inlineStr">
        <is>
          <t xml:space="preserve">   FCF Yield (on PT)</t>
        </is>
      </c>
      <c r="E34" s="101" t="n"/>
      <c r="F34" s="101">
        <f>IFERROR(F33/F$27,"")</f>
      </c>
      <c r="G34" s="101">
        <f>IFERROR(G33/G$27,"")</f>
        <v>0.0415567276027087</v>
      </c>
      <c r="H34" s="101">
        <f>IFERROR(H33/H$27,"")</f>
        <v>0.0455561277732962</v>
      </c>
      <c r="N34" s="83" t="inlineStr">
        <is>
          <t xml:space="preserve">   FCF Yield (on PT)</t>
        </is>
      </c>
      <c r="Q34" s="101" t="n"/>
      <c r="R34" s="101">
        <f>IFERROR(R33/R$27,"")</f>
      </c>
      <c r="S34" s="101">
        <f>IFERROR(S33/S$27,"")</f>
        <v>0.0377311499087766</v>
      </c>
      <c r="T34" s="101">
        <f>IFERROR(T33/T$27,"")</f>
        <v>0.0402886934878243</v>
      </c>
      <c r="Z34" s="83" t="inlineStr">
        <is>
          <t xml:space="preserve">   FCF Yield (on PT)</t>
        </is>
      </c>
      <c r="AC34" s="101" t="n"/>
      <c r="AD34" s="101">
        <f>IFERROR(AD33/AD$27,"")</f>
        <v>0.0383578673284818</v>
      </c>
      <c r="AE34" s="101">
        <f>IFERROR(AE33/AE$27,"")</f>
        <v>0.0530941823970789</v>
      </c>
      <c r="AF34" s="101">
        <f>IFERROR(AF33/AF$27,"")</f>
        <v>0.0631725038215455</v>
      </c>
    </row>
    <row r="35" ht="15" customHeight="1" s="251">
      <c r="B35" s="79" t="inlineStr">
        <is>
          <t>Adjusted EBITDA (leverage basis)</t>
        </is>
      </c>
      <c r="C35" s="80">
        <f>Model!BX168</f>
        <v>115613.315931166</v>
      </c>
      <c r="D35" s="81">
        <f>Model!BY168</f>
        <v>142894.568633087</v>
      </c>
      <c r="E35" s="81">
        <f>Model!BZ168</f>
        <v>170687.57701397</v>
      </c>
      <c r="F35" s="81">
        <f>Model!CA168</f>
        <v>197933.715804987</v>
      </c>
      <c r="G35" s="81">
        <f>Model!CB168</f>
        <v>225097.969760757</v>
      </c>
      <c r="H35" s="81">
        <f>Model!CC168</f>
        <v>250875.914923574</v>
      </c>
      <c r="I35" s="292">
        <f>IFERROR((H35/C35)^(1/5)-1,"n/m")</f>
        <v>0.167589611846047</v>
      </c>
      <c r="N35" s="79" t="inlineStr">
        <is>
          <t>Adjusted EBITDA (leverage basis)</t>
        </is>
      </c>
      <c r="O35" s="80" t="n">
        <v>120854.570274043</v>
      </c>
      <c r="P35" s="81" t="n">
        <v>156578.623485955</v>
      </c>
      <c r="Q35" s="81" t="n">
        <v>194084.721343986</v>
      </c>
      <c r="R35" s="81" t="n">
        <v>233802.387407724</v>
      </c>
      <c r="S35" s="81" t="n">
        <v>276398.045887646</v>
      </c>
      <c r="T35" s="81" t="n">
        <v>320477.358111932</v>
      </c>
      <c r="U35" s="292" t="n">
        <v>0.215365361733915</v>
      </c>
      <c r="Z35" s="79" t="inlineStr">
        <is>
          <t>Adjusted EBITDA (leverage basis)</t>
        </is>
      </c>
      <c r="AA35" s="80" t="n">
        <v>110372.061588288</v>
      </c>
      <c r="AB35" s="81" t="n">
        <v>122514.287547678</v>
      </c>
      <c r="AC35" s="81" t="n">
        <v>135762.107360381</v>
      </c>
      <c r="AD35" s="81" t="n">
        <v>145798.819669048</v>
      </c>
      <c r="AE35" s="81" t="n">
        <v>153401.995713593</v>
      </c>
      <c r="AF35" s="81" t="n">
        <v>158005.090858966</v>
      </c>
      <c r="AG35" s="292" t="n">
        <v>0.074391057914897</v>
      </c>
    </row>
    <row r="36" ht="15" customHeight="1" s="251">
      <c r="B36" s="83" t="inlineStr">
        <is>
          <t xml:space="preserve">   Adjusted EBITDA % of revenue</t>
        </is>
      </c>
      <c r="C36" s="88">
        <f>IFERROR(C35/C9,"")</f>
        <v>0.457692508220246</v>
      </c>
      <c r="D36" s="89">
        <f>IFERROR(D35/D9,"")</f>
        <v>0.475</v>
      </c>
      <c r="E36" s="89">
        <f>IFERROR(E35/E9,"")</f>
        <v>0.49</v>
      </c>
      <c r="F36" s="89">
        <f>IFERROR(F35/F9,"")</f>
        <v>0.5</v>
      </c>
      <c r="G36" s="89">
        <f>IFERROR(G35/G9,"")</f>
        <v>0.51</v>
      </c>
      <c r="H36" s="89">
        <f>IFERROR(H35/H9,"")</f>
        <v>0.515</v>
      </c>
      <c r="J36" s="90">
        <f>IFERROR(AVERAGE(Model!C213,Model!D213,Model!E213,Model!F213,Model!K213,Model!P213,Model!U213,Model!Z213,Model!AE213,Model!AJ213,Model!AO213,Model!AT213,Model!AY213,Model!BD213,Model!BI213,Model!BN213,Model!BS213),"")</f>
        <v>0.479640813432753</v>
      </c>
      <c r="K36" s="90">
        <f>IFERROR(MIN(Model!C213,Model!D213,Model!E213,Model!F213,Model!K213,Model!P213,Model!U213,Model!Z213,Model!AE213,Model!AJ213,Model!AO213,Model!AT213,Model!AY213,Model!BD213,Model!BI213,Model!BN213,Model!BS213),"")</f>
        <v>0.233248182354097</v>
      </c>
      <c r="L36" s="90">
        <f>IFERROR(MAX(Model!C213,Model!D213,Model!E213,Model!F213,Model!K213,Model!P213,Model!U213,Model!Z213,Model!AE213,Model!AJ213,Model!AO213,Model!AT213,Model!AY213,Model!BD213,Model!BI213,Model!BN213,Model!BS213),"")</f>
        <v>0.593211752786221</v>
      </c>
      <c r="N36" s="83" t="inlineStr">
        <is>
          <t xml:space="preserve">   Adjusted EBITDA % of revenue</t>
        </is>
      </c>
      <c r="O36" s="88" t="n">
        <v>0.47238032890836</v>
      </c>
      <c r="P36" s="89" t="n">
        <v>0.495</v>
      </c>
      <c r="Q36" s="89" t="n">
        <v>0.51</v>
      </c>
      <c r="R36" s="89" t="n">
        <v>0.52</v>
      </c>
      <c r="S36" s="89" t="n">
        <v>0.53</v>
      </c>
      <c r="T36" s="89" t="n">
        <v>0.535</v>
      </c>
      <c r="V36" s="90" t="n">
        <v>0.479640813432753</v>
      </c>
      <c r="W36" s="90" t="n">
        <v>0.233248182354097</v>
      </c>
      <c r="X36" s="90" t="n">
        <v>0.593211752786221</v>
      </c>
      <c r="Z36" s="83" t="inlineStr">
        <is>
          <t xml:space="preserve">   Adjusted EBITDA % of revenue</t>
        </is>
      </c>
      <c r="AA36" s="88" t="n">
        <v>0.442622853047852</v>
      </c>
      <c r="AB36" s="89" t="n">
        <v>0.445</v>
      </c>
      <c r="AC36" s="89" t="n">
        <v>0.46</v>
      </c>
      <c r="AD36" s="89" t="n">
        <v>0.47</v>
      </c>
      <c r="AE36" s="89" t="n">
        <v>0.48</v>
      </c>
      <c r="AF36" s="89" t="n">
        <v>0.485</v>
      </c>
      <c r="AH36" s="90" t="n">
        <v>0.479640813432753</v>
      </c>
      <c r="AI36" s="90" t="n">
        <v>0.233248182354097</v>
      </c>
      <c r="AJ36" s="90" t="n">
        <v>0.593211752786221</v>
      </c>
    </row>
    <row r="38" ht="15" customHeight="1" s="251">
      <c r="B38" s="79" t="inlineStr">
        <is>
          <t>Net Debt</t>
        </is>
      </c>
      <c r="C38" s="80">
        <f>Model!BX365</f>
        <v>31296.7405748248</v>
      </c>
      <c r="D38" s="81">
        <f>Model!BY365</f>
        <v>48335.5511393147</v>
      </c>
      <c r="E38" s="81">
        <f>Model!BZ365</f>
        <v>42671.8942534926</v>
      </c>
      <c r="F38" s="81">
        <f>Model!CA365</f>
        <v>49483.4289512468</v>
      </c>
      <c r="G38" s="81">
        <f>Model!CB365</f>
        <v>56274.4924401892</v>
      </c>
      <c r="H38" s="81">
        <f>Model!CC365</f>
        <v>62718.9787308935</v>
      </c>
      <c r="N38" s="79" t="inlineStr">
        <is>
          <t>Net Debt</t>
        </is>
      </c>
      <c r="O38" s="80" t="n">
        <v>31678.6830844882</v>
      </c>
      <c r="P38" s="81" t="n">
        <v>78289.3117429777</v>
      </c>
      <c r="Q38" s="81" t="n">
        <v>97042.36067199289</v>
      </c>
      <c r="R38" s="81" t="n">
        <v>116901.193703862</v>
      </c>
      <c r="S38" s="81" t="n">
        <v>138199.022943823</v>
      </c>
      <c r="T38" s="81" t="n">
        <v>160238.679055966</v>
      </c>
      <c r="Z38" s="79" t="inlineStr">
        <is>
          <t>Net Debt</t>
        </is>
      </c>
      <c r="AA38" s="80" t="n">
        <v>35911.2745752285</v>
      </c>
      <c r="AB38" s="81" t="n">
        <v>72757.90634317249</v>
      </c>
      <c r="AC38" s="81" t="n">
        <v>88170.4708376254</v>
      </c>
      <c r="AD38" s="81" t="n">
        <v>79699.1306006604</v>
      </c>
      <c r="AE38" s="81" t="n">
        <v>52080.3133346957</v>
      </c>
      <c r="AF38" s="81" t="n">
        <v>11034.8959135796</v>
      </c>
    </row>
    <row r="39" ht="15" customHeight="1" s="251">
      <c r="B39" s="83" t="inlineStr">
        <is>
          <t xml:space="preserve">   Net Debt / Adjusted EBITDA (x)</t>
        </is>
      </c>
      <c r="C39" s="102">
        <f>IFERROR(C38/C35,"")</f>
        <v>0.270701867883959</v>
      </c>
      <c r="D39" s="103">
        <f>IFERROR(D38/D35,"")</f>
        <v>0.338260240411424</v>
      </c>
      <c r="E39" s="103">
        <f>IFERROR(E38/E35,"")</f>
        <v>0.25</v>
      </c>
      <c r="F39" s="103">
        <f>IFERROR(F38/F35,"")</f>
        <v>0.25</v>
      </c>
      <c r="G39" s="103">
        <f>IFERROR(G38/G35,"")</f>
        <v>0.25</v>
      </c>
      <c r="H39" s="103">
        <f>IFERROR(H38/H35,"")</f>
        <v>0.25</v>
      </c>
      <c r="N39" s="83" t="inlineStr">
        <is>
          <t xml:space="preserve">   Net Debt / Adjusted EBITDA (x)</t>
        </is>
      </c>
      <c r="O39" s="102" t="n">
        <v>0.262122342685555</v>
      </c>
      <c r="P39" s="103" t="n">
        <v>0.5</v>
      </c>
      <c r="Q39" s="103" t="n">
        <v>0.5</v>
      </c>
      <c r="R39" s="103" t="n">
        <v>0.5</v>
      </c>
      <c r="S39" s="103" t="n">
        <v>0.5</v>
      </c>
      <c r="T39" s="103" t="n">
        <v>0.5</v>
      </c>
      <c r="Z39" s="83" t="inlineStr">
        <is>
          <t xml:space="preserve">   Net Debt / Adjusted EBITDA (x)</t>
        </is>
      </c>
      <c r="AA39" s="102" t="n">
        <v>0.325365622952532</v>
      </c>
      <c r="AB39" s="103" t="n">
        <v>0.593872827402748</v>
      </c>
      <c r="AC39" s="103" t="n">
        <v>0.649448307424814</v>
      </c>
      <c r="AD39" s="103" t="n">
        <v>0.546637694197877</v>
      </c>
      <c r="AE39" s="103" t="n">
        <v>0.339502188954122</v>
      </c>
      <c r="AF39" s="103" t="n">
        <v>0.0698388631251715</v>
      </c>
    </row>
    <row r="40" ht="15" customHeight="1" s="251">
      <c r="B40" s="252" t="inlineStr">
        <is>
          <t xml:space="preserve">   Share repurchases ($m; 2026E = 2H)</t>
        </is>
      </c>
      <c r="C40" s="102" t="n"/>
      <c r="D40" s="248">
        <f>Model!BY264</f>
        <v>0</v>
      </c>
      <c r="E40" s="248">
        <f>Model!BZ264</f>
        <v>6085.81770896151</v>
      </c>
      <c r="F40" s="248">
        <f>Model!CA264</f>
        <v>52781.4727566973</v>
      </c>
      <c r="G40" s="248">
        <f>Model!CB264</f>
        <v>83608.9017901996</v>
      </c>
      <c r="H40" s="248">
        <f>Model!CC264</f>
        <v>109091.744402072</v>
      </c>
      <c r="N40" s="252" t="inlineStr">
        <is>
          <t xml:space="preserve">   Share repurchases ($m; 2026E = 2H)</t>
        </is>
      </c>
      <c r="O40" s="102" t="n"/>
      <c r="P40" s="248" t="n">
        <v>44852.594317269</v>
      </c>
      <c r="Q40" s="248" t="n">
        <v>51790.4141141093</v>
      </c>
      <c r="R40" s="248" t="n">
        <v>95506.7104382344</v>
      </c>
      <c r="S40" s="248" t="n">
        <v>139317.824435101</v>
      </c>
      <c r="T40" s="248" t="n">
        <v>179755.567979425</v>
      </c>
      <c r="Z40" s="83" t="n"/>
      <c r="AA40" s="102" t="n"/>
      <c r="AB40" s="103" t="n">
        <v>0</v>
      </c>
      <c r="AC40" s="103" t="n">
        <v>0</v>
      </c>
      <c r="AD40" s="103" t="n">
        <v>0</v>
      </c>
      <c r="AE40" s="103" t="n">
        <v>0</v>
      </c>
      <c r="AF40" s="103" t="n">
        <v>0</v>
      </c>
    </row>
    <row r="41" ht="15" customHeight="1" s="251">
      <c r="B41" s="252" t="inlineStr">
        <is>
          <t xml:space="preserve">   Implied avg buyback price ($)</t>
        </is>
      </c>
      <c r="C41" s="102" t="n"/>
      <c r="D41" s="249">
        <f>Model!BY263</f>
        <v>804.6</v>
      </c>
      <c r="E41" s="249">
        <f>Model!BZ263</f>
        <v>868.968</v>
      </c>
      <c r="F41" s="249">
        <f>Model!CA263</f>
        <v>938.48544</v>
      </c>
      <c r="G41" s="249">
        <f>Model!CB263</f>
        <v>1013.5642752</v>
      </c>
      <c r="H41" s="249">
        <f>Model!CC263</f>
        <v>1094.649417216</v>
      </c>
      <c r="N41" s="252" t="inlineStr">
        <is>
          <t xml:space="preserve">   Implied avg buyback price ($)</t>
        </is>
      </c>
      <c r="O41" s="102" t="n"/>
      <c r="P41" s="249" t="n">
        <v>804.6</v>
      </c>
      <c r="Q41" s="249" t="n">
        <v>868.968</v>
      </c>
      <c r="R41" s="249" t="n">
        <v>938.48544</v>
      </c>
      <c r="S41" s="249" t="n">
        <v>1013.5642752</v>
      </c>
      <c r="T41" s="249" t="n">
        <v>1094.649417216</v>
      </c>
      <c r="Z41" s="83" t="n"/>
      <c r="AA41" s="102" t="n"/>
      <c r="AB41" s="103" t="n">
        <v>804.6</v>
      </c>
      <c r="AC41" s="103" t="n">
        <v>868.968</v>
      </c>
      <c r="AD41" s="103" t="n">
        <v>938.48544</v>
      </c>
      <c r="AE41" s="103" t="n">
        <v>1013.5642752</v>
      </c>
      <c r="AF41" s="103" t="n">
        <v>1094.649417216</v>
      </c>
    </row>
    <row r="42" ht="15" customHeight="1" s="251">
      <c r="B42" s="252" t="inlineStr">
        <is>
          <t xml:space="preserve">   Shares repurchased (m)</t>
        </is>
      </c>
      <c r="C42" s="102" t="n"/>
      <c r="D42" s="250">
        <f>Model!BY265</f>
        <v>0</v>
      </c>
      <c r="E42" s="250">
        <f>Model!BZ265</f>
        <v>7.00350036935941</v>
      </c>
      <c r="F42" s="250">
        <f>Model!CA265</f>
        <v>56.2411205406632</v>
      </c>
      <c r="G42" s="250">
        <f>Model!CB265</f>
        <v>82.4899849333202</v>
      </c>
      <c r="H42" s="250">
        <f>Model!CC265</f>
        <v>99.6590713760416</v>
      </c>
      <c r="N42" s="252" t="inlineStr">
        <is>
          <t xml:space="preserve">   Shares repurchased (m)</t>
        </is>
      </c>
      <c r="O42" s="102" t="n"/>
      <c r="P42" s="250" t="n">
        <v>55.7452079508687</v>
      </c>
      <c r="Q42" s="250" t="n">
        <v>59.5999094490353</v>
      </c>
      <c r="R42" s="250" t="n">
        <v>101.766853663957</v>
      </c>
      <c r="S42" s="250" t="n">
        <v>137.453369109335</v>
      </c>
      <c r="T42" s="250" t="n">
        <v>164.21291159739</v>
      </c>
      <c r="Z42" s="83" t="n"/>
      <c r="AA42" s="102" t="n"/>
      <c r="AB42" s="103" t="n">
        <v>0</v>
      </c>
      <c r="AC42" s="103" t="n">
        <v>0</v>
      </c>
      <c r="AD42" s="103" t="n">
        <v>0</v>
      </c>
      <c r="AE42" s="103" t="n">
        <v>0</v>
      </c>
      <c r="AF42" s="103" t="n">
        <v>0</v>
      </c>
    </row>
    <row r="44" ht="15" customHeight="1" s="251">
      <c r="B44" s="79" t="inlineStr">
        <is>
          <t>ROIC</t>
        </is>
      </c>
      <c r="C44" s="86">
        <f>Model!BX347</f>
        <v>0.229953136957213</v>
      </c>
      <c r="D44" s="87">
        <f>Model!BY347</f>
        <v>0.200974354355996</v>
      </c>
      <c r="E44" s="87">
        <f>Model!BZ347</f>
        <v>0.195909128517882</v>
      </c>
      <c r="F44" s="87">
        <f>Model!CA347</f>
        <v>0.197437060938905</v>
      </c>
      <c r="G44" s="87">
        <f>Model!CB347</f>
        <v>0.208420612098922</v>
      </c>
      <c r="H44" s="87">
        <f>Model!CC347</f>
        <v>0.221815349997692</v>
      </c>
      <c r="J44" s="90">
        <f>IFERROR(AVERAGE(Model!C347,Model!D347,Model!E347,Model!F347,Model!K347,Model!P347,Model!U347,Model!Z347,Model!AE347,Model!AJ347,Model!AO347,Model!AT347,Model!AY347,Model!BD347,Model!BI347,Model!BN347,Model!BS347),"")</f>
        <v>0.394997445515695</v>
      </c>
      <c r="K44" s="90">
        <f>IFERROR(MIN(Model!C347,Model!D347,Model!E347,Model!F347,Model!K347,Model!P347,Model!U347,Model!Z347,Model!AE347,Model!AJ347,Model!AO347,Model!AT347,Model!AY347,Model!BD347,Model!BI347,Model!BN347,Model!BS347),"")</f>
        <v>0.0128697096484458</v>
      </c>
      <c r="L44" s="90">
        <f>IFERROR(MAX(Model!C347,Model!D347,Model!E347,Model!F347,Model!K347,Model!P347,Model!U347,Model!Z347,Model!AE347,Model!AJ347,Model!AO347,Model!AT347,Model!AY347,Model!BD347,Model!BI347,Model!BN347,Model!BS347),"")</f>
        <v>0.729915966386555</v>
      </c>
      <c r="N44" s="79" t="inlineStr">
        <is>
          <t>ROIC</t>
        </is>
      </c>
      <c r="O44" s="86" t="n">
        <v>0.243518239697617</v>
      </c>
      <c r="P44" s="87" t="n">
        <v>0.230318097147245</v>
      </c>
      <c r="Q44" s="87" t="n">
        <v>0.237875632088559</v>
      </c>
      <c r="R44" s="87" t="n">
        <v>0.253488578652944</v>
      </c>
      <c r="S44" s="87" t="n">
        <v>0.280401255616119</v>
      </c>
      <c r="T44" s="87" t="n">
        <v>0.31176165087746</v>
      </c>
      <c r="V44" s="90" t="n">
        <v>0.394997445515695</v>
      </c>
      <c r="W44" s="90" t="n">
        <v>0.0128697096484458</v>
      </c>
      <c r="X44" s="90" t="n">
        <v>0.729915966386555</v>
      </c>
      <c r="Z44" s="79" t="inlineStr">
        <is>
          <t>ROIC</t>
        </is>
      </c>
      <c r="AA44" s="86" t="n">
        <v>0.216405686591342</v>
      </c>
      <c r="AB44" s="87" t="n">
        <v>0.159857171435003</v>
      </c>
      <c r="AC44" s="87" t="n">
        <v>0.139066297122227</v>
      </c>
      <c r="AD44" s="87" t="n">
        <v>0.124773146242138</v>
      </c>
      <c r="AE44" s="87" t="n">
        <v>0.119480478335316</v>
      </c>
      <c r="AF44" s="87" t="n">
        <v>0.116045670287777</v>
      </c>
      <c r="AH44" s="90" t="n">
        <v>0.394997445515695</v>
      </c>
      <c r="AI44" s="90" t="n">
        <v>0.0128697096484458</v>
      </c>
      <c r="AJ44" s="90" t="n">
        <v>0.729915966386555</v>
      </c>
    </row>
    <row r="45" ht="15" customHeight="1" s="251">
      <c r="B45" s="79" t="inlineStr">
        <is>
          <t>RONTA</t>
        </is>
      </c>
      <c r="C45" s="86">
        <f>Model!BX359</f>
        <v>0.21350994362188</v>
      </c>
      <c r="D45" s="87">
        <f>Model!BY359</f>
        <v>0.190155529983125</v>
      </c>
      <c r="E45" s="87">
        <f>Model!BZ359</f>
        <v>0.187331345753336</v>
      </c>
      <c r="F45" s="87">
        <f>Model!CA359</f>
        <v>0.18997822905195</v>
      </c>
      <c r="G45" s="87">
        <f>Model!CB359</f>
        <v>0.201388340632791</v>
      </c>
      <c r="H45" s="87">
        <f>Model!CC359</f>
        <v>0.215001593789612</v>
      </c>
      <c r="J45" s="90">
        <f>IFERROR(AVERAGE(Model!C359,Model!D359,Model!E359,Model!F359,Model!K359,Model!P359,Model!U359,Model!Z359,Model!AE359,Model!AJ359,Model!AO359,Model!AT359,Model!AY359,Model!BD359,Model!BI359,Model!BN359,Model!BS359),"")</f>
        <v>0.514281977560248</v>
      </c>
      <c r="K45" s="90">
        <f>IFERROR(MIN(Model!C359,Model!D359,Model!E359,Model!F359,Model!K359,Model!P359,Model!U359,Model!Z359,Model!AE359,Model!AJ359,Model!AO359,Model!AT359,Model!AY359,Model!BD359,Model!BI359,Model!BN359,Model!BS359),"")</f>
        <v>0.0169666807093708</v>
      </c>
      <c r="L45" s="90">
        <f>IFERROR(MAX(Model!C359,Model!D359,Model!E359,Model!F359,Model!K359,Model!P359,Model!U359,Model!Z359,Model!AE359,Model!AJ359,Model!AO359,Model!AT359,Model!AY359,Model!BD359,Model!BI359,Model!BN359,Model!BS359),"")</f>
        <v>0.942494026218031</v>
      </c>
      <c r="N45" s="79" t="inlineStr">
        <is>
          <t>RONTA</t>
        </is>
      </c>
      <c r="O45" s="86" t="n">
        <v>0.226094610540356</v>
      </c>
      <c r="P45" s="87" t="n">
        <v>0.218772080353813</v>
      </c>
      <c r="Q45" s="87" t="n">
        <v>0.228999787472189</v>
      </c>
      <c r="R45" s="87" t="n">
        <v>0.246134971156844</v>
      </c>
      <c r="S45" s="87" t="n">
        <v>0.273959084463241</v>
      </c>
      <c r="T45" s="87" t="n">
        <v>0.306091994204173</v>
      </c>
      <c r="V45" s="90" t="n">
        <v>0.514281977560248</v>
      </c>
      <c r="W45" s="90" t="n">
        <v>0.0169666807093708</v>
      </c>
      <c r="X45" s="90" t="n">
        <v>0.942494026218031</v>
      </c>
      <c r="Z45" s="79" t="inlineStr">
        <is>
          <t>RONTA</t>
        </is>
      </c>
      <c r="AA45" s="86" t="n">
        <v>0.200940493358806</v>
      </c>
      <c r="AB45" s="87" t="n">
        <v>0.150972245924794</v>
      </c>
      <c r="AC45" s="87" t="n">
        <v>0.132491191065538</v>
      </c>
      <c r="AD45" s="87" t="n">
        <v>0.119419878763699</v>
      </c>
      <c r="AE45" s="87" t="n">
        <v>0.114653641227188</v>
      </c>
      <c r="AF45" s="87" t="n">
        <v>0.111535422308275</v>
      </c>
      <c r="AH45" s="90" t="n">
        <v>0.514281977560248</v>
      </c>
      <c r="AI45" s="90" t="n">
        <v>0.0169666807093708</v>
      </c>
      <c r="AJ45" s="90" t="n">
        <v>0.942494026218031</v>
      </c>
    </row>
    <row r="47" ht="15" customHeight="1" s="251">
      <c r="B47" s="83" t="inlineStr">
        <is>
          <t>Implied Market Cap (USDm)</t>
        </is>
      </c>
      <c r="E47" s="104" t="n"/>
      <c r="F47" s="104">
        <f>F27*F21</f>
        <v>0</v>
      </c>
      <c r="G47" s="104">
        <f>G27*G21</f>
        <v>3035497.42826259</v>
      </c>
      <c r="H47" s="104">
        <f>H27*H21</f>
        <v>3435106.87729711</v>
      </c>
      <c r="N47" s="83" t="inlineStr">
        <is>
          <t>Implied Market Cap (USDm)</t>
        </is>
      </c>
      <c r="Q47" s="104" t="n"/>
      <c r="R47" s="104">
        <f>R27*R21</f>
        <v>0</v>
      </c>
      <c r="S47" s="104">
        <f>S27*S21</f>
        <v>4678112.7281287</v>
      </c>
      <c r="T47" s="104">
        <f>T27*T21</f>
        <v>5548809.81194936</v>
      </c>
      <c r="Z47" s="83" t="inlineStr">
        <is>
          <t>Implied Market Cap (USDm)</t>
        </is>
      </c>
      <c r="AC47" s="104" t="n"/>
      <c r="AD47" s="104">
        <f>AD27*AD21</f>
        <v>1187917.82344519</v>
      </c>
      <c r="AE47" s="104">
        <f>AE27*AE21</f>
        <v>1216695.31228401</v>
      </c>
      <c r="AF47" s="104">
        <f>AF27*AF21</f>
        <v>1251034.31654961</v>
      </c>
    </row>
    <row r="48" ht="15" customHeight="1" s="251">
      <c r="B48" s="83" t="inlineStr">
        <is>
          <t>(+) Net Debt &amp; NCI</t>
        </is>
      </c>
      <c r="E48" s="104" t="n"/>
      <c r="F48" s="104">
        <f>F38+Model!CA375</f>
        <v>49483.4289512468</v>
      </c>
      <c r="G48" s="104">
        <f>G38+Model!CB375</f>
        <v>56274.4924401892</v>
      </c>
      <c r="H48" s="104">
        <f>H38+Model!CC375</f>
        <v>62718.9787308935</v>
      </c>
      <c r="N48" s="83" t="inlineStr">
        <is>
          <t>(+) Net Debt &amp; NCI</t>
        </is>
      </c>
      <c r="Q48" s="104" t="n"/>
      <c r="R48" s="104">
        <f>R38+Model!CA375</f>
        <v>116901.193703862</v>
      </c>
      <c r="S48" s="104">
        <f>S38+Model!CB375</f>
        <v>138199.022943823</v>
      </c>
      <c r="T48" s="104">
        <f>T38+Model!CC375</f>
        <v>160238.679055966</v>
      </c>
      <c r="Z48" s="83" t="inlineStr">
        <is>
          <t>(+) Net Debt &amp; NCI</t>
        </is>
      </c>
      <c r="AC48" s="104" t="n"/>
      <c r="AD48" s="104">
        <f>AD38+Model!CA375</f>
        <v>79699.1306006604</v>
      </c>
      <c r="AE48" s="104">
        <f>AE38+Model!CB375</f>
        <v>52080.3133346957</v>
      </c>
      <c r="AF48" s="104">
        <f>AF38+Model!CC375</f>
        <v>11034.8959135796</v>
      </c>
    </row>
    <row r="49" ht="15" customHeight="1" s="251">
      <c r="B49" s="83" t="inlineStr">
        <is>
          <t>Implied Enterprise Value (USDm)</t>
        </is>
      </c>
      <c r="E49" s="104" t="n"/>
      <c r="F49" s="104">
        <f>F47+F48</f>
        <v>49483.4289512468</v>
      </c>
      <c r="G49" s="104">
        <f>G47+G48</f>
        <v>3091771.92070278</v>
      </c>
      <c r="H49" s="104">
        <f>H47+H48</f>
        <v>3497825.85602801</v>
      </c>
      <c r="N49" s="83" t="inlineStr">
        <is>
          <t>Implied Enterprise Value (USDm)</t>
        </is>
      </c>
      <c r="Q49" s="104" t="n"/>
      <c r="R49" s="104">
        <f>R47+R48</f>
        <v>116901.193703862</v>
      </c>
      <c r="S49" s="104">
        <f>S47+S48</f>
        <v>4816311.75107252</v>
      </c>
      <c r="T49" s="104">
        <f>T47+T48</f>
        <v>5709048.49100532</v>
      </c>
      <c r="Z49" s="83" t="inlineStr">
        <is>
          <t>Implied Enterprise Value (USDm)</t>
        </is>
      </c>
      <c r="AC49" s="104" t="n"/>
      <c r="AD49" s="104">
        <f>AD47+AD48</f>
        <v>1267616.95404585</v>
      </c>
      <c r="AE49" s="104">
        <f>AE47+AE48</f>
        <v>1268775.62561871</v>
      </c>
      <c r="AF49" s="104">
        <f>AF47+AF48</f>
        <v>1262069.21246319</v>
      </c>
    </row>
    <row r="50" ht="15" customHeight="1" s="251">
      <c r="B50" s="83" t="inlineStr">
        <is>
          <t>Implied EV / Adjusted EBITDA (x)</t>
        </is>
      </c>
      <c r="E50" s="105" t="n"/>
      <c r="F50" s="105">
        <f>IFERROR(F49/F35,"")</f>
        <v>0.25</v>
      </c>
      <c r="G50" s="105">
        <f>IFERROR(G49/G35,"")</f>
        <v>13.7352279275945</v>
      </c>
      <c r="H50" s="105">
        <f>IFERROR(H49/H35,"")</f>
        <v>13.942453810656</v>
      </c>
      <c r="N50" s="83" t="inlineStr">
        <is>
          <t>Implied EV / Adjusted EBITDA (x)</t>
        </is>
      </c>
      <c r="Q50" s="105" t="n"/>
      <c r="R50" s="105">
        <f>IFERROR(R49/R35,"")</f>
        <v>0.5</v>
      </c>
      <c r="S50" s="105">
        <f>IFERROR(S49/S35,"")</f>
        <v>17.4252742475261</v>
      </c>
      <c r="T50" s="105">
        <f>IFERROR(T49/T35,"")</f>
        <v>17.8142023032134</v>
      </c>
      <c r="Z50" s="83" t="inlineStr">
        <is>
          <t>Implied EV / Adjusted EBITDA (x)</t>
        </is>
      </c>
      <c r="AC50" s="105" t="n"/>
      <c r="AD50" s="105">
        <f>IFERROR(AD49/AD35,"")</f>
        <v>8.69428817684015</v>
      </c>
      <c r="AE50" s="105">
        <f>IFERROR(AE49/AE35,"")</f>
        <v>8.27091994283803</v>
      </c>
      <c r="AF50" s="105">
        <f>IFERROR(AF49/AF35,"")</f>
        <v>7.98752246273954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showGridLines="0" zoomScale="50" zoomScaleNormal="50" workbookViewId="0">
      <selection activeCell="D61" sqref="D61"/>
    </sheetView>
  </sheetViews>
  <sheetFormatPr baseColWidth="8" defaultColWidth="8.5703125" defaultRowHeight="15"/>
  <cols>
    <col width="3.42578125" customWidth="1" style="251" min="1" max="1"/>
    <col width="55.28515625" customWidth="1" style="251" min="2" max="2"/>
    <col width="12.5703125" customWidth="1" style="251" min="3" max="14"/>
    <col width="2.28515625" customWidth="1" style="251" min="15" max="15"/>
    <col width="14.85546875" customWidth="1" style="251" min="16" max="17"/>
  </cols>
  <sheetData>
    <row r="1">
      <c r="A1" s="192" t="n"/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</row>
    <row r="2" ht="24" customHeight="1" s="251">
      <c r="A2" s="192" t="n"/>
      <c r="B2" s="193" t="inlineStr">
        <is>
          <t>DCF VALUATION — META PLATFORMS, INC. (META)</t>
        </is>
      </c>
      <c r="C2" s="194" t="n"/>
      <c r="D2" s="194" t="n"/>
      <c r="E2" s="194" t="n"/>
      <c r="F2" s="194" t="n"/>
      <c r="G2" s="194" t="n"/>
      <c r="H2" s="194" t="n"/>
      <c r="I2" s="194" t="n"/>
      <c r="J2" s="194" t="n"/>
      <c r="K2" s="194" t="n"/>
      <c r="L2" s="194" t="n"/>
      <c r="M2" s="194" t="n"/>
      <c r="N2" s="194" t="n"/>
      <c r="O2" s="192" t="n"/>
      <c r="P2" s="192" t="n"/>
      <c r="Q2" s="192" t="n"/>
    </row>
    <row r="3" ht="15" customHeight="1" s="251">
      <c r="A3" s="192" t="n"/>
      <c r="B3" s="192" t="n"/>
      <c r="C3" s="192" t="n"/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</row>
    <row r="4" ht="15.75" customHeight="1" s="251">
      <c r="A4" s="192" t="n"/>
      <c r="B4" s="195" t="inlineStr">
        <is>
          <t>1. WACC BUILD</t>
        </is>
      </c>
      <c r="C4" s="196" t="n"/>
      <c r="D4" s="196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2" t="n"/>
      <c r="P4" s="192" t="n"/>
      <c r="Q4" s="192" t="n"/>
    </row>
    <row r="5" ht="15.75" customHeight="1" s="251">
      <c r="A5" s="192" t="n"/>
      <c r="B5" s="197" t="inlineStr">
        <is>
          <t>Risk-free rate (US 10Y govt)</t>
        </is>
      </c>
      <c r="C5" s="169" t="n">
        <v>0.0425</v>
      </c>
      <c r="D5" s="198" t="inlineStr">
        <is>
          <t>Assumption (~US 10Y Treasury yield, Oct-2026; government rate sources not reachable from the build environment); update to market</t>
        </is>
      </c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</row>
    <row r="6" ht="15.75" customHeight="1" s="251">
      <c r="A6" s="192" t="n"/>
      <c r="B6" s="197" t="inlineStr">
        <is>
          <t>Equity risk premium</t>
        </is>
      </c>
      <c r="C6" s="169" t="n">
        <v>0.05</v>
      </c>
      <c r="D6" s="198" t="inlineStr">
        <is>
          <t>Assumption: US implied ERP ~4.5–5.5%</t>
        </is>
      </c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</row>
    <row r="7" ht="15.75" customHeight="1" s="251">
      <c r="A7" s="192" t="n"/>
      <c r="B7" s="197" t="inlineStr">
        <is>
          <t>Levered beta</t>
        </is>
      </c>
      <c r="C7" s="170" t="n">
        <v>1.2</v>
      </c>
      <c r="D7" s="198" t="inlineStr">
        <is>
          <t>Assumption: mega-cap internet and advertising peers (GOOGL, AMZN, MSFT, SNAP, PINS) ~1.0–1.3; advertising is cyclical and the AI capex cycle raises operating leverage</t>
        </is>
      </c>
      <c r="E7" s="192" t="n"/>
      <c r="F7" s="192" t="n"/>
      <c r="G7" s="192" t="n"/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</row>
    <row r="8" ht="15.75" customHeight="1" s="251">
      <c r="A8" s="192" t="n"/>
      <c r="B8" s="197" t="inlineStr">
        <is>
          <t>Cost of equity</t>
        </is>
      </c>
      <c r="C8" s="171">
        <f>C5+C7*C6</f>
        <v>0.1025</v>
      </c>
      <c r="D8" s="198" t="n"/>
      <c r="E8" s="192" t="n"/>
      <c r="F8" s="192" t="n"/>
      <c r="G8" s="192" t="n"/>
      <c r="H8" s="192" t="n"/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</row>
    <row r="9" ht="15.75" customHeight="1" s="251">
      <c r="A9" s="192" t="n"/>
      <c r="B9" s="197" t="inlineStr">
        <is>
          <t>Pre-tax cost of debt</t>
        </is>
      </c>
      <c r="C9" s="169" t="n">
        <v>0.05</v>
      </c>
      <c r="D9" s="198" t="inlineStr">
        <is>
          <t>May-2026 notes 4.55%–6.45% (effective 4.60%–6.48%); Nov-2025 notes 4.20%–5.75% (Q2-26 10-Q Note 8); AA- / Aa3 class issuer</t>
        </is>
      </c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</row>
    <row r="10" ht="15.75" customHeight="1" s="251">
      <c r="A10" s="192" t="n"/>
      <c r="B10" s="197" t="inlineStr">
        <is>
          <t>Tax rate</t>
        </is>
      </c>
      <c r="C10" s="169" t="n">
        <v>0.16</v>
      </c>
      <c r="D10" s="198" t="inlineStr">
        <is>
          <t>Model 2027E+ effective tax rate (2026 guidance 15–17% for the remaining quarters)</t>
        </is>
      </c>
      <c r="E10" s="192" t="n"/>
      <c r="F10" s="192" t="n"/>
      <c r="G10" s="192" t="n"/>
      <c r="H10" s="192" t="n"/>
      <c r="I10" s="192" t="n"/>
      <c r="J10" s="192" t="n"/>
      <c r="K10" s="192" t="n"/>
      <c r="L10" s="192" t="n"/>
      <c r="M10" s="192" t="n"/>
      <c r="N10" s="192" t="n"/>
      <c r="O10" s="192" t="n"/>
      <c r="P10" s="192" t="n"/>
      <c r="Q10" s="192" t="n"/>
    </row>
    <row r="11" ht="15.75" customHeight="1" s="251">
      <c r="A11" s="192" t="n"/>
      <c r="B11" s="197" t="inlineStr">
        <is>
          <t>After-tax cost of debt</t>
        </is>
      </c>
      <c r="C11" s="171">
        <f>C9*(1-C10)</f>
        <v>0.042</v>
      </c>
      <c r="D11" s="198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</row>
    <row r="12" ht="15.75" customHeight="1" s="251">
      <c r="A12" s="192" t="n"/>
      <c r="B12" s="197" t="inlineStr">
        <is>
          <t>Target D/V</t>
        </is>
      </c>
      <c r="C12" s="169" t="n">
        <v>0.05</v>
      </c>
      <c r="D12" s="198" t="inlineStr">
        <is>
          <t>Notes ~$84bn at 30-Jun-2026 vs ~$1.9tn market cap ($745 × ~2.57bn diluted shares); net debt ≈ 0 (cash and marketable securities $90.3bn)</t>
        </is>
      </c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</row>
    <row r="13" ht="15.75" customHeight="1" s="251">
      <c r="A13" s="192" t="n"/>
      <c r="B13" s="199" t="inlineStr">
        <is>
          <t>WACC</t>
        </is>
      </c>
      <c r="C13" s="216">
        <f>C8*(1-C12)+C11*C12</f>
        <v>0.099475</v>
      </c>
      <c r="D13" s="198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</row>
    <row r="14" ht="15" customHeight="1" s="251">
      <c r="A14" s="192" t="n"/>
      <c r="B14" s="192" t="n"/>
      <c r="C14" s="192" t="n"/>
      <c r="D14" s="198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</row>
    <row r="15" ht="15.75" customHeight="1" s="251">
      <c r="A15" s="192" t="n"/>
      <c r="B15" s="197" t="inlineStr">
        <is>
          <t>Valuation date (live)</t>
        </is>
      </c>
      <c r="C15" s="172" t="str">
        <f>TODAY()</f>
        <v>2026-10-13 00:00:00</v>
      </c>
      <c r="D15" s="198" t="inlineStr">
        <is>
          <t>Periods = (31-Dec of the year − today) / 365.25; cash flows assumed at year-end; 2026E is the base year (its cash flows are in YE2026E net debt)</t>
        </is>
      </c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</row>
    <row r="16" ht="15.75" customHeight="1" s="251">
      <c r="A16" s="192" t="n"/>
      <c r="B16" s="195" t="inlineStr">
        <is>
          <t>2. UNLEVERED FREE CASH FLOW BUILD (USDm)</t>
        </is>
      </c>
      <c r="C16" s="196" t="n"/>
      <c r="D16" s="196" t="n"/>
      <c r="E16" s="196" t="n"/>
      <c r="F16" s="196" t="n"/>
      <c r="G16" s="196" t="n"/>
      <c r="H16" s="196" t="n"/>
      <c r="I16" s="196" t="n"/>
      <c r="J16" s="196" t="n"/>
      <c r="K16" s="196" t="n"/>
      <c r="L16" s="196" t="n"/>
      <c r="M16" s="196" t="n"/>
      <c r="N16" s="196" t="n"/>
      <c r="O16" s="192" t="n"/>
      <c r="P16" s="201" t="n"/>
      <c r="Q16" s="201" t="n"/>
    </row>
    <row r="17" ht="15.75" customHeight="1" s="251">
      <c r="A17" s="192" t="n"/>
      <c r="B17" s="194" t="n"/>
      <c r="C17" s="194" t="n"/>
      <c r="D17" s="203" t="inlineStr">
        <is>
          <t>2027E</t>
        </is>
      </c>
      <c r="E17" s="203" t="inlineStr">
        <is>
          <t>2028E</t>
        </is>
      </c>
      <c r="F17" s="203" t="inlineStr">
        <is>
          <t>2029E</t>
        </is>
      </c>
      <c r="G17" s="203" t="inlineStr">
        <is>
          <t>2030E</t>
        </is>
      </c>
      <c r="H17" s="203" t="inlineStr">
        <is>
          <t>2031E</t>
        </is>
      </c>
      <c r="I17" s="203" t="inlineStr">
        <is>
          <t>2032E</t>
        </is>
      </c>
      <c r="J17" s="203" t="inlineStr">
        <is>
          <t>2033E</t>
        </is>
      </c>
      <c r="K17" s="203" t="inlineStr">
        <is>
          <t>2034E</t>
        </is>
      </c>
      <c r="L17" s="203" t="inlineStr">
        <is>
          <t>2035E</t>
        </is>
      </c>
      <c r="M17" s="203" t="inlineStr">
        <is>
          <t>2036E</t>
        </is>
      </c>
      <c r="N17" s="203" t="inlineStr">
        <is>
          <t>Terminal</t>
        </is>
      </c>
      <c r="O17" s="192" t="n"/>
      <c r="P17" s="204" t="inlineStr">
        <is>
          <t>CAGR 27–31E</t>
        </is>
      </c>
      <c r="Q17" s="204" t="inlineStr">
        <is>
          <t>CAGR 27–36E</t>
        </is>
      </c>
    </row>
    <row r="18" ht="15.75" customHeight="1" s="251">
      <c r="A18" s="192" t="n"/>
      <c r="B18" s="197" t="inlineStr">
        <is>
          <t>Adj. EBIT (current definition, full-cost) less cash one-off items (legal, restructuring)</t>
        </is>
      </c>
      <c r="C18" s="192" t="n"/>
      <c r="D18" s="173">
        <f>Model!BY173-Model!BY175</f>
        <v>102233.462145683</v>
      </c>
      <c r="E18" s="173">
        <f>Model!BZ173-Model!BZ175</f>
        <v>119115.078596139</v>
      </c>
      <c r="F18" s="173">
        <f>Model!CA173-Model!CA175</f>
        <v>134765.024787283</v>
      </c>
      <c r="G18" s="173">
        <f>Model!CB173-Model!CB175</f>
        <v>155014.506147673</v>
      </c>
      <c r="H18" s="173">
        <f>Model!CC173-Model!CC175</f>
        <v>175281.06846433</v>
      </c>
      <c r="I18" s="174">
        <f>H18*(1+I$26)</f>
        <v>191056.36462612</v>
      </c>
      <c r="J18" s="174">
        <f>I18*(1+J$26)</f>
        <v>206340.87379621</v>
      </c>
      <c r="K18" s="174">
        <f>J18*(1+K$26)</f>
        <v>220784.734961944</v>
      </c>
      <c r="L18" s="174">
        <f>K18*(1+L$26)</f>
        <v>234031.819059661</v>
      </c>
      <c r="M18" s="174">
        <f>L18*(1+M$26)</f>
        <v>245733.410012644</v>
      </c>
      <c r="N18" s="192" t="n"/>
      <c r="O18" s="192" t="n"/>
      <c r="P18" s="176">
        <f>IFERROR(IF(D18&lt;=0,"n/m",(H18/D18)^(1/(COLUMNS(D18:H18)-1))-1),"n/m")</f>
        <v>0.144288374893527</v>
      </c>
      <c r="Q18" s="176">
        <f>IFERROR(IF(D18&lt;=0,"n/m",(M18/D18)^(1/(COLUMNS(D18:M18)-1))-1),"n/m")</f>
        <v>0.102348753706754</v>
      </c>
    </row>
    <row r="19" ht="15.75" customHeight="1" s="251">
      <c r="A19" s="192" t="n"/>
      <c r="B19" s="197" t="inlineStr">
        <is>
          <t>× (1 − tax rate)</t>
        </is>
      </c>
      <c r="C19" s="192" t="n"/>
      <c r="D19" s="177">
        <f>1-$C$10</f>
        <v>0.84</v>
      </c>
      <c r="E19" s="177">
        <f>1-$C$10</f>
        <v>0.84</v>
      </c>
      <c r="F19" s="177">
        <f>1-$C$10</f>
        <v>0.84</v>
      </c>
      <c r="G19" s="177">
        <f>1-$C$10</f>
        <v>0.84</v>
      </c>
      <c r="H19" s="177">
        <f>1-$C$10</f>
        <v>0.84</v>
      </c>
      <c r="I19" s="177">
        <f>1-$C$10</f>
        <v>0.84</v>
      </c>
      <c r="J19" s="177">
        <f>1-$C$10</f>
        <v>0.84</v>
      </c>
      <c r="K19" s="177">
        <f>1-$C$10</f>
        <v>0.84</v>
      </c>
      <c r="L19" s="177">
        <f>1-$C$10</f>
        <v>0.84</v>
      </c>
      <c r="M19" s="177">
        <f>1-$C$10</f>
        <v>0.84</v>
      </c>
      <c r="N19" s="192" t="n"/>
      <c r="O19" s="192" t="n"/>
      <c r="P19" s="176" t="n"/>
      <c r="Q19" s="176" t="n"/>
    </row>
    <row r="20" ht="15.75" customHeight="1" s="251">
      <c r="A20" s="192" t="n"/>
      <c r="B20" s="199" t="inlineStr">
        <is>
          <t>NOPAT</t>
        </is>
      </c>
      <c r="C20" s="192" t="n"/>
      <c r="D20" s="174">
        <f>D18*D19</f>
        <v>85876.1082023734</v>
      </c>
      <c r="E20" s="174">
        <f>E18*E19</f>
        <v>100056.666020757</v>
      </c>
      <c r="F20" s="174">
        <f>F18*F19</f>
        <v>113202.620821317</v>
      </c>
      <c r="G20" s="174">
        <f>G18*G19</f>
        <v>130212.185164046</v>
      </c>
      <c r="H20" s="174">
        <f>H18*H19</f>
        <v>147236.097510037</v>
      </c>
      <c r="I20" s="174">
        <f>I18*I19</f>
        <v>160487.346285941</v>
      </c>
      <c r="J20" s="174">
        <f>J18*J19</f>
        <v>173326.333988816</v>
      </c>
      <c r="K20" s="174">
        <f>K18*K19</f>
        <v>185459.177368033</v>
      </c>
      <c r="L20" s="174">
        <f>L18*L19</f>
        <v>196586.728010115</v>
      </c>
      <c r="M20" s="174">
        <f>M18*M19</f>
        <v>206416.064410621</v>
      </c>
      <c r="N20" s="192" t="n"/>
      <c r="O20" s="192" t="n"/>
      <c r="P20" s="176" t="n"/>
      <c r="Q20" s="176" t="n"/>
    </row>
    <row r="21" ht="15.75" customHeight="1" s="251">
      <c r="A21" s="192" t="n"/>
      <c r="B21" s="197" t="inlineStr">
        <is>
          <t>plus D&amp;A</t>
        </is>
      </c>
      <c r="C21" s="192" t="n"/>
      <c r="D21" s="173">
        <f>Model!BY129</f>
        <v>40661.1064874044</v>
      </c>
      <c r="E21" s="173">
        <f>Model!BZ129</f>
        <v>51572.4984178311</v>
      </c>
      <c r="F21" s="173">
        <f>Model!CA129</f>
        <v>63168.6910177044</v>
      </c>
      <c r="G21" s="173">
        <f>Model!CB129</f>
        <v>70083.4636130835</v>
      </c>
      <c r="H21" s="173">
        <f>Model!CC129</f>
        <v>75594.8464592438</v>
      </c>
      <c r="I21" s="174">
        <f>H21*(1+I$26)</f>
        <v>82398.3826405757</v>
      </c>
      <c r="J21" s="174">
        <f>I21*(1+J$26)</f>
        <v>88990.2532518218</v>
      </c>
      <c r="K21" s="174">
        <f>J21*(1+K$26)</f>
        <v>95219.5709794493</v>
      </c>
      <c r="L21" s="174">
        <f>K21*(1+L$26)</f>
        <v>100932.745238216</v>
      </c>
      <c r="M21" s="174">
        <f>L21*(1+M$26)</f>
        <v>105979.382500127</v>
      </c>
      <c r="N21" s="192" t="n"/>
      <c r="O21" s="192" t="n"/>
      <c r="P21" s="176" t="n"/>
      <c r="Q21" s="176" t="n"/>
    </row>
    <row r="22" ht="15.75" customHeight="1" s="251">
      <c r="A22" s="192" t="n"/>
      <c r="B22" s="197" t="inlineStr">
        <is>
          <t>− Capex incl. principal payments on finance leases and acquisitions (M&amp;A lever 2027E–31E)</t>
        </is>
      </c>
      <c r="C22" s="192" t="n"/>
      <c r="D22" s="173">
        <f>Model!BY247</f>
        <v>-142382.10857099</v>
      </c>
      <c r="E22" s="173">
        <f>Model!BZ247+Model!BZ228</f>
        <v>-137369.957684303</v>
      </c>
      <c r="F22" s="173">
        <f>Model!CA247+Model!CA228</f>
        <v>-127718.903799092</v>
      </c>
      <c r="G22" s="173">
        <f>Model!CB247+Model!CB228</f>
        <v>-119755.82772117</v>
      </c>
      <c r="H22" s="173">
        <f>Model!CC247+Model!CC228</f>
        <v>-117041.670742567</v>
      </c>
      <c r="I22" s="174">
        <f>Model!CC247*(1+I$26)</f>
        <v>-126485.421109398</v>
      </c>
      <c r="J22" s="174">
        <f>I22*(1+J$26)</f>
        <v>-136604.25479815</v>
      </c>
      <c r="K22" s="174">
        <f>J22*(1+K$26)</f>
        <v>-146166.55263402</v>
      </c>
      <c r="L22" s="174">
        <f>K22*(1+L$26)</f>
        <v>-154936.545792062</v>
      </c>
      <c r="M22" s="174">
        <f>L22*(1+M$26)</f>
        <v>-162683.373081665</v>
      </c>
      <c r="N22" s="192" t="n"/>
      <c r="O22" s="192" t="n"/>
      <c r="P22" s="176" t="n"/>
      <c r="Q22" s="176" t="n"/>
    </row>
    <row r="23" ht="15.75" customHeight="1" s="251">
      <c r="A23" s="192" t="n"/>
      <c r="B23" s="197" t="inlineStr">
        <is>
          <t>− Δ Working capital (CF statement)</t>
        </is>
      </c>
      <c r="C23" s="192" t="n"/>
      <c r="D23" s="173">
        <f>Model!BY223</f>
        <v>3753.30479617545</v>
      </c>
      <c r="E23" s="173">
        <f>Model!BZ223</f>
        <v>2366.31412355558</v>
      </c>
      <c r="F23" s="173">
        <f>Model!CA223</f>
        <v>1919.6517244898</v>
      </c>
      <c r="G23" s="173">
        <f>Model!CB223</f>
        <v>1994.94470555036</v>
      </c>
      <c r="H23" s="173">
        <f>Model!CC223</f>
        <v>2658.08049720984</v>
      </c>
      <c r="I23" s="174">
        <f>H23*(1+I$26)</f>
        <v>2897.30774195873</v>
      </c>
      <c r="J23" s="174">
        <f>I23*(1+J$26)</f>
        <v>3129.09236131542</v>
      </c>
      <c r="K23" s="174">
        <f>J23*(1+K$26)</f>
        <v>3348.1288266075</v>
      </c>
      <c r="L23" s="174">
        <f>K23*(1+L$26)</f>
        <v>3549.01655620395</v>
      </c>
      <c r="M23" s="174">
        <f>L23*(1+M$26)</f>
        <v>3726.46738401415</v>
      </c>
      <c r="N23" s="192" t="n"/>
      <c r="O23" s="192" t="n"/>
      <c r="P23" s="176" t="n"/>
      <c r="Q23" s="176" t="n"/>
    </row>
    <row r="24" ht="15.75" customHeight="1" s="251">
      <c r="A24" s="192" t="n"/>
      <c r="B24" s="217" t="inlineStr">
        <is>
          <t>Unlevered FCF</t>
        </is>
      </c>
      <c r="C24" s="218" t="n"/>
      <c r="D24" s="219">
        <f>D20+D21+D22+D23</f>
        <v>-12091.5890850363</v>
      </c>
      <c r="E24" s="219">
        <f>E20+E21+E22+E23</f>
        <v>16625.5208778401</v>
      </c>
      <c r="F24" s="219">
        <f>F20+F21+F22+F23</f>
        <v>50572.0597644196</v>
      </c>
      <c r="G24" s="219">
        <f>G20+G21+G22+G23</f>
        <v>82534.7657615093</v>
      </c>
      <c r="H24" s="219">
        <f>H20+H21+H22+H23</f>
        <v>108447.353723924</v>
      </c>
      <c r="I24" s="219">
        <f>I20+I21+I22+I23</f>
        <v>119297.615559077</v>
      </c>
      <c r="J24" s="219">
        <f>J20+J21+J22+J23</f>
        <v>128841.424803803</v>
      </c>
      <c r="K24" s="219">
        <f>K20+K21+K22+K23</f>
        <v>137860.32454007</v>
      </c>
      <c r="L24" s="219">
        <f>L20+L21+L22+L23</f>
        <v>146131.944012474</v>
      </c>
      <c r="M24" s="219">
        <f>M20+M21+M22+M23</f>
        <v>153438.541213097</v>
      </c>
      <c r="N24" s="219">
        <f>M24*(1+$C$27)</f>
        <v>158808.890155556</v>
      </c>
      <c r="O24" s="192" t="n"/>
      <c r="P24" s="181" t="str">
        <f>IFERROR(IF(D24&lt;=0,"n/m",(H24/D24)^(1/(COLUMNS(D24:H24)-1))-1),"n/m")</f>
        <v>n/m</v>
      </c>
      <c r="Q24" s="181" t="str">
        <f>IFERROR(IF(D24&lt;=0,"n/m",(M24/D24)^(1/(COLUMNS(D24:M24)-1))-1),"n/m")</f>
        <v>n/m</v>
      </c>
    </row>
    <row r="25" ht="15.75" customHeight="1" s="251">
      <c r="A25" s="192" t="n"/>
      <c r="B25" s="199" t="inlineStr">
        <is>
          <t>Terminal Value (Gordon Growth)</t>
        </is>
      </c>
      <c r="C25" s="192" t="n"/>
      <c r="D25" s="192" t="n"/>
      <c r="E25" s="192" t="n"/>
      <c r="F25" s="192" t="n"/>
      <c r="G25" s="192" t="n"/>
      <c r="H25" s="192" t="n"/>
      <c r="I25" s="192" t="n"/>
      <c r="J25" s="192" t="n"/>
      <c r="K25" s="192" t="n"/>
      <c r="L25" s="192" t="n"/>
      <c r="M25" s="192" t="n"/>
      <c r="N25" s="179">
        <f>N24/($C$13-$C$27)</f>
        <v>2463108.02877946</v>
      </c>
      <c r="O25" s="192" t="n"/>
      <c r="P25" s="192" t="n"/>
      <c r="Q25" s="192" t="n"/>
    </row>
    <row r="26" ht="15.75" customHeight="1" s="251">
      <c r="A26" s="192" t="n"/>
      <c r="B26" s="197" t="inlineStr">
        <is>
          <t>Fade-period growth (2032E–36E; 9.0% → 5.0% linear)</t>
        </is>
      </c>
      <c r="C26" s="192" t="n"/>
      <c r="D26" s="192" t="n"/>
      <c r="E26" s="192" t="n"/>
      <c r="F26" s="192" t="n"/>
      <c r="G26" s="192" t="n"/>
      <c r="H26" s="192" t="n"/>
      <c r="I26" s="182" t="n">
        <v>0.09</v>
      </c>
      <c r="J26" s="183">
        <f>I26+($M$26-$I$26)/4</f>
        <v>0.08</v>
      </c>
      <c r="K26" s="183">
        <f>J26+($M$26-$I$26)/4</f>
        <v>0.07</v>
      </c>
      <c r="L26" s="183">
        <f>K26+($M$26-$I$26)/4</f>
        <v>0.06</v>
      </c>
      <c r="M26" s="182" t="n">
        <v>0.05</v>
      </c>
      <c r="N26" s="192" t="n"/>
      <c r="O26" s="192" t="n"/>
      <c r="P26" s="192" t="n"/>
      <c r="Q26" s="192" t="n"/>
    </row>
    <row r="27" ht="15.75" customHeight="1" s="251">
      <c r="A27" s="192" t="n"/>
      <c r="B27" s="197" t="inlineStr">
        <is>
          <t>Terminal growth rate</t>
        </is>
      </c>
      <c r="C27" s="184" t="n">
        <v>0.035</v>
      </c>
      <c r="D27" s="192" t="n"/>
      <c r="E27" s="192" t="n"/>
      <c r="F27" s="192" t="n"/>
      <c r="G27" s="192" t="n"/>
      <c r="H27" s="192" t="n"/>
      <c r="I27" s="192" t="n"/>
      <c r="J27" s="192" t="n"/>
      <c r="K27" s="192" t="n"/>
      <c r="L27" s="192" t="n"/>
      <c r="M27" s="192" t="n"/>
      <c r="N27" s="192" t="n"/>
      <c r="O27" s="192" t="n"/>
      <c r="P27" s="192" t="n"/>
      <c r="Q27" s="192" t="n"/>
    </row>
    <row r="28" ht="15" customHeight="1" s="251">
      <c r="A28" s="192" t="n"/>
      <c r="B28" s="192" t="n"/>
      <c r="C28" s="192" t="n"/>
      <c r="D28" s="192" t="n"/>
      <c r="E28" s="192" t="n"/>
      <c r="F28" s="192" t="n"/>
      <c r="G28" s="192" t="n"/>
      <c r="H28" s="192" t="n"/>
      <c r="I28" s="192" t="n"/>
      <c r="J28" s="192" t="n"/>
      <c r="K28" s="192" t="n"/>
      <c r="L28" s="192" t="n"/>
      <c r="M28" s="192" t="n"/>
      <c r="N28" s="192" t="n"/>
      <c r="O28" s="192" t="n"/>
      <c r="P28" s="192" t="n"/>
      <c r="Q28" s="192" t="n"/>
    </row>
    <row r="29" ht="15.75" customHeight="1" s="251">
      <c r="A29" s="192" t="n"/>
      <c r="B29" s="197" t="inlineStr">
        <is>
          <t>Discount period (years)</t>
        </is>
      </c>
      <c r="C29" s="192" t="n"/>
      <c r="D29" s="177">
        <f>(DATE(2027,12,31)-$C$15)/365.25</f>
        <v>1.21560574948665</v>
      </c>
      <c r="E29" s="177">
        <f>(DATE(2028,12,31)-$C$15)/365.25</f>
        <v>2.217659137577</v>
      </c>
      <c r="F29" s="177">
        <f>(DATE(2029,12,31)-$C$15)/365.25</f>
        <v>3.21697467488022</v>
      </c>
      <c r="G29" s="177">
        <f>(DATE(2030,12,31)-$C$15)/365.25</f>
        <v>4.21629021218344</v>
      </c>
      <c r="H29" s="177">
        <f>(DATE(2031,12,31)-$C$15)/365.25</f>
        <v>5.21560574948665</v>
      </c>
      <c r="I29" s="177">
        <f>(DATE(2032,12,31)-$C$15)/365.25</f>
        <v>6.217659137577</v>
      </c>
      <c r="J29" s="177">
        <f>(DATE(2033,12,31)-$C$15)/365.25</f>
        <v>7.21697467488022</v>
      </c>
      <c r="K29" s="177">
        <f>(DATE(2034,12,31)-$C$15)/365.25</f>
        <v>8.21629021218344</v>
      </c>
      <c r="L29" s="177">
        <f>(DATE(2035,12,31)-$C$15)/365.25</f>
        <v>9.21560574948665</v>
      </c>
      <c r="M29" s="177">
        <f>(DATE(2036,12,31)-$C$15)/365.25</f>
        <v>10.217659137577</v>
      </c>
      <c r="N29" s="177">
        <f>M29</f>
        <v>10.217659137577</v>
      </c>
      <c r="O29" s="192" t="n"/>
      <c r="P29" s="192" t="n"/>
      <c r="Q29" s="192" t="n"/>
    </row>
    <row r="30" ht="15.75" customHeight="1" s="251">
      <c r="A30" s="192" t="n"/>
      <c r="B30" s="197" t="inlineStr">
        <is>
          <t>Discount factor</t>
        </is>
      </c>
      <c r="C30" s="192" t="n"/>
      <c r="D30" s="185">
        <f>1/(1+$C$13)^D29</f>
        <v>0.89111723027577</v>
      </c>
      <c r="E30" s="185">
        <f>1/(1+$C$13)^E29</f>
        <v>0.81033558855213</v>
      </c>
      <c r="F30" s="185">
        <f>1/(1+$C$13)^F29</f>
        <v>0.737068317828684</v>
      </c>
      <c r="G30" s="185">
        <f>1/(1+$C$13)^G29</f>
        <v>0.670425577775122</v>
      </c>
      <c r="H30" s="185">
        <f>1/(1+$C$13)^H29</f>
        <v>0.609808405086781</v>
      </c>
      <c r="I30" s="185">
        <f>1/(1+$C$13)^I29</f>
        <v>0.554527997048279</v>
      </c>
      <c r="J30" s="185">
        <f>1/(1+$C$13)^J29</f>
        <v>0.504389815463462</v>
      </c>
      <c r="K30" s="185">
        <f>1/(1+$C$13)^K29</f>
        <v>0.458784925734083</v>
      </c>
      <c r="L30" s="185">
        <f>1/(1+$C$13)^L29</f>
        <v>0.417303445921929</v>
      </c>
      <c r="M30" s="185">
        <f>1/(1+$C$13)^M29</f>
        <v>0.3794740152778</v>
      </c>
      <c r="N30" s="185">
        <f>1/(1+$C$13)^N29</f>
        <v>0.3794740152778</v>
      </c>
      <c r="O30" s="192" t="n"/>
      <c r="P30" s="192" t="n"/>
      <c r="Q30" s="192" t="n"/>
    </row>
    <row r="31" ht="15.75" customHeight="1" s="251">
      <c r="A31" s="192" t="n"/>
      <c r="B31" s="220" t="inlineStr">
        <is>
          <t>PV of UFCF</t>
        </is>
      </c>
      <c r="C31" s="221" t="n"/>
      <c r="D31" s="222">
        <f>D24*D30</f>
        <v>-10775.0233750903</v>
      </c>
      <c r="E31" s="222">
        <f>E24*E30</f>
        <v>13472.2512455303</v>
      </c>
      <c r="F31" s="222">
        <f>F24*F30</f>
        <v>37275.0630196924</v>
      </c>
      <c r="G31" s="222">
        <f>G24*G30</f>
        <v>55333.4180221942</v>
      </c>
      <c r="H31" s="222">
        <f>H24*H30</f>
        <v>66132.1078102681</v>
      </c>
      <c r="I31" s="222">
        <f>I24*I30</f>
        <v>66153.8678086107</v>
      </c>
      <c r="J31" s="222">
        <f>J24*J30</f>
        <v>64986.3024808398</v>
      </c>
      <c r="K31" s="222">
        <f>K24*K30</f>
        <v>63248.2387557924</v>
      </c>
      <c r="L31" s="222">
        <f>L24*L30</f>
        <v>60981.3637956757</v>
      </c>
      <c r="M31" s="222">
        <f>M24*M30</f>
        <v>58225.9393325023</v>
      </c>
      <c r="N31" s="222">
        <f>N25*N30</f>
        <v>934685.49374393</v>
      </c>
      <c r="O31" s="192" t="n"/>
      <c r="P31" s="192" t="n"/>
      <c r="Q31" s="192" t="n"/>
    </row>
    <row r="32" ht="15" customHeight="1" s="251">
      <c r="A32" s="192" t="n"/>
      <c r="B32" s="192" t="n"/>
      <c r="C32" s="192" t="n"/>
      <c r="D32" s="198" t="inlineStr">
        <is>
          <t>Meta's adjusted EBIT (current definition) expenses share-based compensation (a real cost: ~11% of revenue) and all D&amp;A; only the one-off legal and restructuring items the company quantified are added back, and those are deducted again inside row 18 because they are cash costs. D&amp;A is added back in row 21 (dominated by servers and data centers). Row 22 = purchases of property and equipment + principal payments on finance leases (the company's capex measure) + acquisitions; the fade period and terminal value carry capex (no new acquisitions). Taxes on net share settlement (~90% of SBC) are a financing flow and are not deducted. Operating and finance lease liabilities are excluded from net debt (lease costs sit in operating costs). 2026E is the base year: its cash flows are in YE2026E net debt.</t>
        </is>
      </c>
      <c r="E32" s="192" t="n"/>
      <c r="F32" s="192" t="n"/>
      <c r="G32" s="192" t="n"/>
      <c r="H32" s="192" t="n"/>
      <c r="I32" s="192" t="n"/>
      <c r="J32" s="192" t="n"/>
      <c r="K32" s="192" t="n"/>
      <c r="L32" s="192" t="n"/>
      <c r="M32" s="192" t="n"/>
      <c r="N32" s="192" t="n"/>
      <c r="O32" s="192" t="n"/>
      <c r="P32" s="192" t="n"/>
      <c r="Q32" s="192" t="n"/>
    </row>
    <row r="33" ht="15.75" customHeight="1" s="251">
      <c r="A33" s="192" t="n"/>
      <c r="B33" s="195" t="inlineStr">
        <is>
          <t>IMPLIED ROIC — invested capital roll-forward (USDm)</t>
        </is>
      </c>
      <c r="C33" s="195" t="n"/>
      <c r="D33" s="195" t="n"/>
      <c r="E33" s="195" t="n"/>
      <c r="F33" s="195" t="n"/>
      <c r="G33" s="195" t="n"/>
      <c r="H33" s="195" t="n"/>
      <c r="I33" s="195" t="n"/>
      <c r="J33" s="195" t="n"/>
      <c r="K33" s="195" t="n"/>
      <c r="L33" s="195" t="n"/>
      <c r="M33" s="195" t="n"/>
      <c r="N33" s="195" t="n"/>
      <c r="O33" s="192" t="n"/>
      <c r="P33" s="192" t="n"/>
      <c r="Q33" s="192" t="n"/>
    </row>
    <row r="34" ht="15.75" customHeight="1" s="251">
      <c r="A34" s="192" t="n"/>
      <c r="B34" s="197" t="inlineStr">
        <is>
          <t>Opening invested capital</t>
        </is>
      </c>
      <c r="C34" s="192" t="n"/>
      <c r="D34" s="173">
        <f>Model!BX344</f>
        <v>328331.141301004</v>
      </c>
      <c r="E34" s="174">
        <f>D38</f>
        <v>426298.838588414</v>
      </c>
      <c r="F34" s="174">
        <f>E38</f>
        <v>509729.98373133</v>
      </c>
      <c r="G34" s="174">
        <f>F38</f>
        <v>572360.544788228</v>
      </c>
      <c r="H34" s="174">
        <f>G38</f>
        <v>620037.964190765</v>
      </c>
      <c r="I34" s="174">
        <f>H38</f>
        <v>658826.707976878</v>
      </c>
      <c r="J34" s="174">
        <f>I38</f>
        <v>700016.438703742</v>
      </c>
      <c r="K34" s="174">
        <f>J38</f>
        <v>744501.347888755</v>
      </c>
      <c r="L34" s="174">
        <f>K38</f>
        <v>792100.200716718</v>
      </c>
      <c r="M34" s="174">
        <f>L38</f>
        <v>842554.98471436</v>
      </c>
      <c r="N34" s="174" t="n"/>
      <c r="O34" s="192" t="n"/>
      <c r="P34" s="192" t="n"/>
      <c r="Q34" s="192" t="n"/>
    </row>
    <row r="35" ht="15.75" customHeight="1" s="251">
      <c r="A35" s="192" t="n"/>
      <c r="B35" s="197" t="inlineStr">
        <is>
          <t>plus Capex and acquisitions</t>
        </is>
      </c>
      <c r="C35" s="192" t="n"/>
      <c r="D35" s="174">
        <f>-D22</f>
        <v>142382.10857099</v>
      </c>
      <c r="E35" s="174">
        <f>-E22</f>
        <v>137369.957684303</v>
      </c>
      <c r="F35" s="174">
        <f>-F22</f>
        <v>127718.903799092</v>
      </c>
      <c r="G35" s="174">
        <f>-G22</f>
        <v>119755.82772117</v>
      </c>
      <c r="H35" s="174">
        <f>-H22</f>
        <v>117041.670742567</v>
      </c>
      <c r="I35" s="174">
        <f>-I22</f>
        <v>126485.421109398</v>
      </c>
      <c r="J35" s="174">
        <f>-J22</f>
        <v>136604.25479815</v>
      </c>
      <c r="K35" s="174">
        <f>-K22</f>
        <v>146166.55263402</v>
      </c>
      <c r="L35" s="174">
        <f>-L22</f>
        <v>154936.545792062</v>
      </c>
      <c r="M35" s="174">
        <f>-M22</f>
        <v>162683.373081665</v>
      </c>
      <c r="N35" s="174" t="n"/>
      <c r="O35" s="192" t="n"/>
      <c r="P35" s="192" t="n"/>
      <c r="Q35" s="192" t="n"/>
    </row>
    <row r="36" ht="15.75" customHeight="1" s="251">
      <c r="A36" s="192" t="n"/>
      <c r="B36" s="197" t="inlineStr">
        <is>
          <t>less DD&amp;A</t>
        </is>
      </c>
      <c r="C36" s="192" t="n"/>
      <c r="D36" s="174">
        <f>-D21</f>
        <v>-40661.1064874044</v>
      </c>
      <c r="E36" s="174">
        <f>-E21</f>
        <v>-51572.4984178311</v>
      </c>
      <c r="F36" s="174">
        <f>-F21</f>
        <v>-63168.6910177044</v>
      </c>
      <c r="G36" s="174">
        <f>-G21</f>
        <v>-70083.4636130835</v>
      </c>
      <c r="H36" s="174">
        <f>-H21</f>
        <v>-75594.8464592438</v>
      </c>
      <c r="I36" s="174">
        <f>-I21</f>
        <v>-82398.3826405757</v>
      </c>
      <c r="J36" s="174">
        <f>-J21</f>
        <v>-88990.2532518218</v>
      </c>
      <c r="K36" s="174">
        <f>-K21</f>
        <v>-95219.5709794493</v>
      </c>
      <c r="L36" s="174">
        <f>-L21</f>
        <v>-100932.745238216</v>
      </c>
      <c r="M36" s="174">
        <f>-M21</f>
        <v>-105979.382500127</v>
      </c>
      <c r="N36" s="174" t="n"/>
      <c r="O36" s="192" t="n"/>
      <c r="P36" s="192" t="n"/>
      <c r="Q36" s="192" t="n"/>
    </row>
    <row r="37" ht="15.75" customHeight="1" s="251">
      <c r="A37" s="192" t="n"/>
      <c r="B37" s="197" t="inlineStr">
        <is>
          <t>plus Δ Working capital investment</t>
        </is>
      </c>
      <c r="C37" s="192" t="n"/>
      <c r="D37" s="174">
        <f>-D23</f>
        <v>-3753.30479617545</v>
      </c>
      <c r="E37" s="174">
        <f>-E23</f>
        <v>-2366.31412355558</v>
      </c>
      <c r="F37" s="174">
        <f>-F23</f>
        <v>-1919.6517244898</v>
      </c>
      <c r="G37" s="174">
        <f>-G23</f>
        <v>-1994.94470555036</v>
      </c>
      <c r="H37" s="174">
        <f>-H23</f>
        <v>-2658.08049720984</v>
      </c>
      <c r="I37" s="174">
        <f>-I23</f>
        <v>-2897.30774195873</v>
      </c>
      <c r="J37" s="174">
        <f>-J23</f>
        <v>-3129.09236131542</v>
      </c>
      <c r="K37" s="174">
        <f>-K23</f>
        <v>-3348.1288266075</v>
      </c>
      <c r="L37" s="174">
        <f>-L23</f>
        <v>-3549.01655620395</v>
      </c>
      <c r="M37" s="174">
        <f>-M23</f>
        <v>-3726.46738401415</v>
      </c>
      <c r="N37" s="174" t="n"/>
      <c r="O37" s="192" t="n"/>
      <c r="P37" s="192" t="n"/>
      <c r="Q37" s="192" t="n"/>
    </row>
    <row r="38" ht="15.75" customHeight="1" s="251">
      <c r="A38" s="192" t="n"/>
      <c r="B38" s="223" t="inlineStr">
        <is>
          <t>Closing invested capital</t>
        </is>
      </c>
      <c r="C38" s="223" t="n"/>
      <c r="D38" s="224">
        <f>SUM(D34:D37)</f>
        <v>426298.838588414</v>
      </c>
      <c r="E38" s="224">
        <f>SUM(E34:E37)</f>
        <v>509729.98373133</v>
      </c>
      <c r="F38" s="224">
        <f>SUM(F34:F37)</f>
        <v>572360.544788228</v>
      </c>
      <c r="G38" s="224">
        <f>SUM(G34:G37)</f>
        <v>620037.964190765</v>
      </c>
      <c r="H38" s="224">
        <f>SUM(H34:H37)</f>
        <v>658826.707976878</v>
      </c>
      <c r="I38" s="224">
        <f>SUM(I34:I37)</f>
        <v>700016.438703742</v>
      </c>
      <c r="J38" s="224">
        <f>SUM(J34:J37)</f>
        <v>744501.347888755</v>
      </c>
      <c r="K38" s="224">
        <f>SUM(K34:K37)</f>
        <v>792100.200716718</v>
      </c>
      <c r="L38" s="224">
        <f>SUM(L34:L37)</f>
        <v>842554.98471436</v>
      </c>
      <c r="M38" s="224">
        <f>SUM(M34:M37)</f>
        <v>895532.507911883</v>
      </c>
      <c r="N38" s="178" t="n"/>
      <c r="O38" s="192" t="n"/>
      <c r="P38" s="192" t="n"/>
      <c r="Q38" s="192" t="n"/>
    </row>
    <row r="39" ht="15.75" customHeight="1" s="251">
      <c r="A39" s="192" t="n"/>
      <c r="B39" s="197" t="inlineStr">
        <is>
          <t>NOPAT (row 20)</t>
        </is>
      </c>
      <c r="C39" s="192" t="n"/>
      <c r="D39" s="174">
        <f>D20</f>
        <v>85876.1082023734</v>
      </c>
      <c r="E39" s="174">
        <f>E20</f>
        <v>100056.666020757</v>
      </c>
      <c r="F39" s="174">
        <f>F20</f>
        <v>113202.620821317</v>
      </c>
      <c r="G39" s="174">
        <f>G20</f>
        <v>130212.185164046</v>
      </c>
      <c r="H39" s="174">
        <f>H20</f>
        <v>147236.097510037</v>
      </c>
      <c r="I39" s="174">
        <f>I20</f>
        <v>160487.346285941</v>
      </c>
      <c r="J39" s="174">
        <f>J20</f>
        <v>173326.333988816</v>
      </c>
      <c r="K39" s="174">
        <f>K20</f>
        <v>185459.177368033</v>
      </c>
      <c r="L39" s="174">
        <f>L20</f>
        <v>196586.728010115</v>
      </c>
      <c r="M39" s="174">
        <f>M20</f>
        <v>206416.064410621</v>
      </c>
      <c r="N39" s="174" t="n"/>
      <c r="O39" s="192" t="n"/>
      <c r="P39" s="192" t="n"/>
      <c r="Q39" s="192" t="n"/>
    </row>
    <row r="40" ht="15.75" customHeight="1" s="251">
      <c r="A40" s="192" t="n"/>
      <c r="B40" s="200" t="inlineStr">
        <is>
          <t>Implied ROIC (NOPAT / avg. invested capital)</t>
        </is>
      </c>
      <c r="C40" s="200" t="n"/>
      <c r="D40" s="180">
        <f>IFERROR(D39/AVERAGE(D34,D38),"")</f>
        <v>0.227597923461662</v>
      </c>
      <c r="E40" s="180">
        <f>IFERROR(E39/AVERAGE(E34,E38),"")</f>
        <v>0.213789711673169</v>
      </c>
      <c r="F40" s="180">
        <f>IFERROR(F39/AVERAGE(F34,F38),"")</f>
        <v>0.209229482816365</v>
      </c>
      <c r="G40" s="180">
        <f>IFERROR(G39/AVERAGE(G34,G38),"")</f>
        <v>0.218403804069734</v>
      </c>
      <c r="H40" s="180">
        <f>IFERROR(H39/AVERAGE(H34,H38),"")</f>
        <v>0.230260637758452</v>
      </c>
      <c r="I40" s="180">
        <f>IFERROR(I39/AVERAGE(I34,I38),"")</f>
        <v>0.236211731542348</v>
      </c>
      <c r="J40" s="180">
        <f>IFERROR(J39/AVERAGE(J34,J38),"")</f>
        <v>0.239978123630695</v>
      </c>
      <c r="K40" s="180">
        <f>IFERROR(K39/AVERAGE(K34,K38),"")</f>
        <v>0.241388768007353</v>
      </c>
      <c r="L40" s="180">
        <f>IFERROR(L39/AVERAGE(L34,L38),"")</f>
        <v>0.240523787233175</v>
      </c>
      <c r="M40" s="180">
        <f>IFERROR(M39/AVERAGE(M34,M38),"")</f>
        <v>0.237520913402037</v>
      </c>
      <c r="N40" s="180" t="n"/>
      <c r="O40" s="192" t="n"/>
      <c r="P40" s="192" t="n"/>
      <c r="Q40" s="192" t="n"/>
    </row>
    <row r="41" ht="15.75" customHeight="1" s="251">
      <c r="A41" s="192" t="n"/>
      <c r="B41" s="197" t="inlineStr">
        <is>
          <t>Reinvestment rate (net investment / NOPAT)</t>
        </is>
      </c>
      <c r="C41" s="192" t="n"/>
      <c r="D41" s="175">
        <f>IFERROR(SUM(D35:D37)/D39,"")</f>
        <v>1.14080271379487</v>
      </c>
      <c r="E41" s="175">
        <f>IFERROR(SUM(E35:E37)/E39,"")</f>
        <v>0.833838948077771</v>
      </c>
      <c r="F41" s="175">
        <f>IFERROR(SUM(F35:F37)/F39,"")</f>
        <v>0.553260698405171</v>
      </c>
      <c r="G41" s="175">
        <f>IFERROR(SUM(G35:G37)/G39,"")</f>
        <v>0.366151749488504</v>
      </c>
      <c r="H41" s="175">
        <f>IFERROR(SUM(H35:H37)/H39,"")</f>
        <v>0.263445883462574</v>
      </c>
      <c r="I41" s="175">
        <f>IFERROR(SUM(I35:I37)/I39,"")</f>
        <v>0.256654070741975</v>
      </c>
      <c r="J41" s="175">
        <f>IFERROR(SUM(J35:J37)/J39,"")</f>
        <v>0.256654070741975</v>
      </c>
      <c r="K41" s="175">
        <f>IFERROR(SUM(K35:K37)/K39,"")</f>
        <v>0.256654070741975</v>
      </c>
      <c r="L41" s="175">
        <f>IFERROR(SUM(L35:L37)/L39,"")</f>
        <v>0.256654070741975</v>
      </c>
      <c r="M41" s="175">
        <f>IFERROR(SUM(M35:M37)/M39,"")</f>
        <v>0.256654070741975</v>
      </c>
      <c r="N41" s="175" t="n"/>
      <c r="O41" s="192" t="n"/>
      <c r="P41" s="192" t="n"/>
      <c r="Q41" s="192" t="n"/>
    </row>
    <row r="42" ht="15.75" customHeight="1" s="251">
      <c r="A42" s="192" t="n"/>
      <c r="B42" s="197" t="inlineStr">
        <is>
          <t>Implied terminal RONIC (g / reinvestment rate)</t>
        </is>
      </c>
      <c r="C42" s="192" t="n"/>
      <c r="D42" s="175" t="n"/>
      <c r="E42" s="175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5">
        <f>IFERROR($C$27/M41,"")</f>
        <v>0.136370328741783</v>
      </c>
      <c r="O42" s="192" t="n"/>
      <c r="P42" s="192" t="n"/>
      <c r="Q42" s="192" t="n"/>
    </row>
    <row r="43" ht="15" customHeight="1" s="251">
      <c r="A43" s="192" t="n"/>
      <c r="B43" s="192" t="n"/>
      <c r="C43" s="192" t="n"/>
      <c r="D43" s="198" t="inlineStr">
        <is>
          <t>Opening IC = Model 2026E book IC (equity + net debt at 31-Dec-2026E), rolled forward with capex + M&amp;A − D&amp;A + ΔWC.</t>
        </is>
      </c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</row>
    <row r="44" ht="15.75" customHeight="1" s="251">
      <c r="A44" s="192" t="n"/>
      <c r="B44" s="195" t="inlineStr">
        <is>
          <t>3. VALUATION SUMMARY</t>
        </is>
      </c>
      <c r="C44" s="196" t="n"/>
      <c r="D44" s="196" t="n"/>
      <c r="E44" s="196" t="n"/>
      <c r="F44" s="196" t="n"/>
      <c r="G44" s="196" t="n"/>
      <c r="H44" s="196" t="n"/>
      <c r="I44" s="196" t="n"/>
      <c r="J44" s="196" t="n"/>
      <c r="K44" s="196" t="n"/>
      <c r="L44" s="196" t="n"/>
      <c r="M44" s="196" t="n"/>
      <c r="N44" s="196" t="n"/>
      <c r="O44" s="192" t="n"/>
      <c r="P44" s="192" t="n"/>
      <c r="Q44" s="192" t="n"/>
    </row>
    <row r="45" ht="15.75" customHeight="1" s="251">
      <c r="A45" s="192" t="n"/>
      <c r="B45" s="197" t="inlineStr">
        <is>
          <t>Sum of PV (explicit + fade)</t>
        </is>
      </c>
      <c r="C45" s="174">
        <f>SUM(D31:M31)</f>
        <v>475033.528896016</v>
      </c>
      <c r="D45" s="192" t="n"/>
      <c r="E45" s="192" t="n"/>
      <c r="F45" s="192" t="n"/>
      <c r="G45" s="192" t="n"/>
      <c r="H45" s="192" t="n"/>
      <c r="I45" s="192" t="n"/>
      <c r="J45" s="192" t="n"/>
      <c r="K45" s="192" t="n"/>
      <c r="L45" s="192" t="n"/>
      <c r="M45" s="192" t="n"/>
      <c r="N45" s="192" t="n"/>
      <c r="O45" s="192" t="n"/>
      <c r="P45" s="192" t="n"/>
      <c r="Q45" s="192" t="n"/>
    </row>
    <row r="46" ht="15.75" customHeight="1" s="251">
      <c r="A46" s="192" t="n"/>
      <c r="B46" s="197" t="inlineStr">
        <is>
          <t>PV of Terminal Value</t>
        </is>
      </c>
      <c r="C46" s="174">
        <f>N31</f>
        <v>934685.49374393</v>
      </c>
      <c r="D46" s="192" t="n"/>
      <c r="E46" s="192" t="n"/>
      <c r="F46" s="192" t="n"/>
      <c r="G46" s="192" t="n"/>
      <c r="H46" s="192" t="n"/>
      <c r="I46" s="192" t="n"/>
      <c r="J46" s="192" t="n"/>
      <c r="K46" s="192" t="n"/>
      <c r="L46" s="192" t="n"/>
      <c r="M46" s="192" t="n"/>
      <c r="N46" s="192" t="n"/>
      <c r="O46" s="192" t="n"/>
      <c r="P46" s="192" t="n"/>
      <c r="Q46" s="192" t="n"/>
    </row>
    <row r="47" ht="15.75" customHeight="1" s="251">
      <c r="A47" s="192" t="n"/>
      <c r="B47" s="199" t="inlineStr">
        <is>
          <t>Enterprise Value</t>
        </is>
      </c>
      <c r="C47" s="219">
        <f>C45+C46</f>
        <v>1409719.02263995</v>
      </c>
      <c r="D47" s="192" t="n"/>
      <c r="E47" s="192" t="n"/>
      <c r="F47" s="192" t="n"/>
      <c r="G47" s="192" t="n"/>
      <c r="H47" s="192" t="n"/>
      <c r="I47" s="192" t="n"/>
      <c r="J47" s="192" t="n"/>
      <c r="K47" s="192" t="n"/>
      <c r="L47" s="192" t="n"/>
      <c r="M47" s="192" t="n"/>
      <c r="N47" s="192" t="n"/>
      <c r="O47" s="192" t="n"/>
      <c r="P47" s="192" t="n"/>
      <c r="Q47" s="192" t="n"/>
    </row>
    <row r="48" ht="15.75" customHeight="1" s="251">
      <c r="A48" s="192" t="n"/>
      <c r="B48" s="197" t="inlineStr">
        <is>
          <t>Less: Net debt + NCI (Model 2026E year end; net debt = notes + CP − cash − marketable securities)</t>
        </is>
      </c>
      <c r="C48" s="173">
        <f>Model!BX365+Model!BX375</f>
        <v>31296.7405748248</v>
      </c>
      <c r="D48" s="198" t="inlineStr">
        <is>
          <t>META: no noncontrolling interests; non-marketable equity investments ($30bn at 30-Jun-2026) are not added back (conservative).</t>
        </is>
      </c>
      <c r="E48" s="192" t="n"/>
      <c r="F48" s="192" t="n"/>
      <c r="G48" s="192" t="n"/>
      <c r="H48" s="192" t="n"/>
      <c r="I48" s="192" t="n"/>
      <c r="J48" s="192" t="n"/>
      <c r="K48" s="192" t="n"/>
      <c r="L48" s="192" t="n"/>
      <c r="M48" s="192" t="n"/>
      <c r="N48" s="192" t="n"/>
      <c r="O48" s="192" t="n"/>
      <c r="P48" s="192" t="n"/>
      <c r="Q48" s="192" t="n"/>
    </row>
    <row r="49" ht="15.75" customHeight="1" s="251">
      <c r="A49" s="192" t="n"/>
      <c r="B49" s="199" t="inlineStr">
        <is>
          <t>Equity Value</t>
        </is>
      </c>
      <c r="C49" s="178">
        <f>C47-C48</f>
        <v>1378422.28206512</v>
      </c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</row>
    <row r="50" ht="15.75" customHeight="1" s="251">
      <c r="A50" s="192" t="n"/>
      <c r="B50" s="197" t="inlineStr">
        <is>
          <t>Diluted shares (m, Model 2026E period end)</t>
        </is>
      </c>
      <c r="C50" s="186">
        <f>Model!BX372</f>
        <v>2589</v>
      </c>
      <c r="D50" s="192" t="n"/>
      <c r="E50" s="192" t="n"/>
      <c r="F50" s="192" t="n"/>
      <c r="G50" s="192" t="n"/>
      <c r="H50" s="192" t="n"/>
      <c r="I50" s="192" t="n"/>
      <c r="J50" s="192" t="n"/>
      <c r="K50" s="192" t="n"/>
      <c r="L50" s="192" t="n"/>
      <c r="M50" s="192" t="n"/>
      <c r="N50" s="192" t="n"/>
      <c r="O50" s="192" t="n"/>
      <c r="P50" s="192" t="n"/>
      <c r="Q50" s="192" t="n"/>
    </row>
    <row r="51" ht="15.75" customHeight="1" s="251">
      <c r="A51" s="192" t="n"/>
      <c r="B51" s="199" t="inlineStr">
        <is>
          <t>Implied share price ($)</t>
        </is>
      </c>
      <c r="C51" s="187">
        <f>C49/C50</f>
        <v>532.414940928977</v>
      </c>
      <c r="D51" s="192" t="n"/>
      <c r="E51" s="192" t="n"/>
      <c r="F51" s="192" t="n"/>
      <c r="G51" s="192" t="n"/>
      <c r="H51" s="192" t="n"/>
      <c r="I51" s="192" t="n"/>
      <c r="J51" s="192" t="n"/>
      <c r="K51" s="192" t="n"/>
      <c r="L51" s="192" t="n"/>
      <c r="M51" s="192" t="n"/>
      <c r="N51" s="192" t="n"/>
      <c r="O51" s="192" t="n"/>
      <c r="P51" s="192" t="n"/>
      <c r="Q51" s="192" t="n"/>
    </row>
    <row r="52" ht="15.75" customHeight="1" s="251">
      <c r="A52" s="192" t="n"/>
      <c r="B52" s="197" t="inlineStr">
        <is>
          <t>Current share price ($)</t>
        </is>
      </c>
      <c r="C52" s="188">
        <f>Model!BX371</f>
        <v>745</v>
      </c>
      <c r="D52" s="192" t="n"/>
      <c r="E52" s="192" t="n"/>
      <c r="F52" s="192" t="n"/>
      <c r="G52" s="192" t="n"/>
      <c r="H52" s="192" t="n"/>
      <c r="I52" s="192" t="n"/>
      <c r="J52" s="192" t="n"/>
      <c r="K52" s="192" t="n"/>
      <c r="L52" s="192" t="n"/>
      <c r="M52" s="192" t="n"/>
      <c r="N52" s="192" t="n"/>
      <c r="O52" s="192" t="n"/>
      <c r="P52" s="192" t="n"/>
      <c r="Q52" s="192" t="n"/>
    </row>
    <row r="53" ht="15.75" customHeight="1" s="251">
      <c r="A53" s="192" t="n"/>
      <c r="B53" s="199" t="inlineStr">
        <is>
          <t>Implied upside / (downside)</t>
        </is>
      </c>
      <c r="C53" s="189">
        <f>C51/C52-1</f>
        <v>-0.285349072578555</v>
      </c>
      <c r="D53" s="192" t="n"/>
      <c r="E53" s="192" t="n"/>
      <c r="F53" s="192" t="n"/>
      <c r="G53" s="192" t="n"/>
      <c r="H53" s="192" t="n"/>
      <c r="I53" s="192" t="n"/>
      <c r="J53" s="192" t="n"/>
      <c r="K53" s="192" t="n"/>
      <c r="L53" s="192" t="n"/>
      <c r="M53" s="192" t="n"/>
      <c r="N53" s="192" t="n"/>
      <c r="O53" s="192" t="n"/>
      <c r="P53" s="192" t="n"/>
      <c r="Q53" s="192" t="n"/>
    </row>
    <row r="54" ht="15.75" customHeight="1" s="251">
      <c r="A54" s="192" t="n"/>
      <c r="B54" s="197" t="inlineStr">
        <is>
          <t>Required discount to DCF value for target IRR</t>
        </is>
      </c>
      <c r="C54" s="175">
        <f>1-((1+C13)/(1+H54))^H55</f>
        <v>0.126098358236017</v>
      </c>
      <c r="D54" s="205" t="inlineStr">
        <is>
          <t>vs. current</t>
        </is>
      </c>
      <c r="E54" s="237" t="inlineStr">
        <is>
          <t>Target IRR</t>
        </is>
      </c>
      <c r="F54" s="192" t="n"/>
      <c r="G54" s="192" t="n"/>
      <c r="H54" s="182" t="n">
        <v>0.15</v>
      </c>
      <c r="I54" s="192" t="n"/>
      <c r="J54" s="192" t="n"/>
      <c r="K54" s="192" t="n"/>
      <c r="L54" s="192" t="n"/>
      <c r="M54" s="192" t="n"/>
      <c r="N54" s="192" t="n"/>
      <c r="O54" s="192" t="n"/>
      <c r="P54" s="192" t="n"/>
      <c r="Q54" s="192" t="n"/>
    </row>
    <row r="55" ht="15.75" customHeight="1" s="251">
      <c r="A55" s="192" t="n"/>
      <c r="B55" s="199" t="inlineStr">
        <is>
          <t>Max entry price for target IRR ($)</t>
        </is>
      </c>
      <c r="C55" s="190">
        <f>C51*(1-C54)</f>
        <v>465.278290977507</v>
      </c>
      <c r="D55" s="175">
        <f>C55/C52-1</f>
        <v>-0.375465381238246</v>
      </c>
      <c r="E55" s="237" t="inlineStr">
        <is>
          <t>Years for discount to close</t>
        </is>
      </c>
      <c r="F55" s="192" t="n"/>
      <c r="G55" s="192" t="n"/>
      <c r="H55" s="191" t="n">
        <v>3</v>
      </c>
      <c r="I55" s="192" t="n"/>
      <c r="J55" s="192" t="n"/>
      <c r="K55" s="192" t="n"/>
      <c r="L55" s="192" t="n"/>
      <c r="M55" s="192" t="n"/>
      <c r="N55" s="192" t="n"/>
      <c r="O55" s="192" t="n"/>
      <c r="P55" s="192" t="n"/>
      <c r="Q55" s="192" t="n"/>
    </row>
    <row r="56" ht="15" customHeight="1" s="251">
      <c r="A56" s="192" t="n"/>
      <c r="B56" s="192" t="n"/>
      <c r="C56" s="192" t="n"/>
      <c r="D56" s="192" t="n"/>
      <c r="E56" s="192" t="n"/>
      <c r="F56" s="192" t="n"/>
      <c r="G56" s="192" t="n"/>
      <c r="H56" s="192" t="n"/>
      <c r="I56" s="192" t="n"/>
      <c r="J56" s="192" t="n"/>
      <c r="K56" s="192" t="n"/>
      <c r="L56" s="192" t="n"/>
      <c r="M56" s="192" t="n"/>
      <c r="N56" s="192" t="n"/>
      <c r="O56" s="192" t="n"/>
      <c r="P56" s="192" t="n"/>
      <c r="Q56" s="192" t="n"/>
    </row>
    <row r="57" ht="15" customHeight="1" s="251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192" t="n"/>
      <c r="J57" s="192" t="n"/>
      <c r="K57" s="192" t="n"/>
      <c r="L57" s="192" t="n"/>
      <c r="M57" s="192" t="n"/>
      <c r="N57" s="192" t="n"/>
      <c r="O57" s="192" t="n"/>
      <c r="P57" s="192" t="n"/>
      <c r="Q57" s="192" t="n"/>
    </row>
    <row r="58" ht="15.75" customHeight="1" s="251">
      <c r="A58" s="192" t="n"/>
      <c r="B58" s="195" t="inlineStr">
        <is>
          <t>4. SENSITIVITY: IMPLIED PRICE ($) — WACC × Terminal Growth</t>
        </is>
      </c>
      <c r="C58" s="196" t="n"/>
      <c r="D58" s="196" t="n"/>
      <c r="E58" s="196" t="n"/>
      <c r="F58" s="196" t="n"/>
      <c r="G58" s="196" t="n"/>
      <c r="H58" s="196" t="n"/>
      <c r="I58" s="196" t="n"/>
      <c r="J58" s="196" t="n"/>
      <c r="K58" s="196" t="n"/>
      <c r="L58" s="196" t="n"/>
      <c r="M58" s="196" t="n"/>
      <c r="N58" s="196" t="n"/>
      <c r="O58" s="192" t="n"/>
      <c r="P58" s="192" t="n"/>
      <c r="Q58" s="192" t="n"/>
    </row>
    <row r="59" ht="15" customHeight="1" s="251">
      <c r="A59" s="192" t="n"/>
      <c r="B59" s="192" t="n"/>
      <c r="C59" s="192" t="n"/>
      <c r="D59" s="192" t="n"/>
      <c r="E59" s="192" t="n"/>
      <c r="F59" s="192" t="n"/>
      <c r="G59" s="192" t="n"/>
      <c r="H59" s="192" t="n"/>
      <c r="I59" s="192" t="n"/>
      <c r="J59" s="192" t="n"/>
      <c r="K59" s="192" t="n"/>
      <c r="L59" s="192" t="n"/>
      <c r="M59" s="192" t="n"/>
      <c r="N59" s="192" t="n"/>
      <c r="O59" s="192" t="n"/>
      <c r="P59" s="192" t="n"/>
      <c r="Q59" s="192" t="n"/>
    </row>
    <row r="60" ht="15.75" customHeight="1" s="251">
      <c r="A60" s="192" t="n"/>
      <c r="B60" s="199" t="n"/>
      <c r="C60" s="192" t="n"/>
      <c r="D60" s="206" t="inlineStr">
        <is>
          <t>WACC →</t>
        </is>
      </c>
      <c r="E60" s="206" t="n"/>
      <c r="F60" s="206" t="n"/>
      <c r="G60" s="206" t="n"/>
      <c r="H60" s="206" t="n"/>
      <c r="I60" s="192" t="n"/>
      <c r="J60" s="192" t="n"/>
      <c r="K60" s="192" t="n"/>
      <c r="L60" s="192" t="n"/>
      <c r="M60" s="192" t="n"/>
      <c r="N60" s="192" t="n"/>
      <c r="O60" s="192" t="n"/>
      <c r="P60" s="192" t="n"/>
      <c r="Q60" s="192" t="n"/>
    </row>
    <row r="61" ht="15.75" customHeight="1" s="251">
      <c r="A61" s="192" t="n"/>
      <c r="B61" s="231" t="inlineStr">
        <is>
          <t>Terminal growth ↓</t>
        </is>
      </c>
      <c r="C61" s="227" t="n"/>
      <c r="D61" s="228">
        <f>F61-0.01</f>
        <v>0.089475</v>
      </c>
      <c r="E61" s="228">
        <f>F61-0.005</f>
        <v>0.094475</v>
      </c>
      <c r="F61" s="228">
        <f>$C$13</f>
        <v>0.099475</v>
      </c>
      <c r="G61" s="228">
        <f>F61+0.005</f>
        <v>0.104475</v>
      </c>
      <c r="H61" s="234">
        <f>F61+0.01</f>
        <v>0.109475</v>
      </c>
      <c r="I61" s="192" t="n"/>
      <c r="J61" s="192" t="n"/>
      <c r="K61" s="192" t="n"/>
      <c r="L61" s="192" t="n"/>
      <c r="M61" s="192" t="n"/>
      <c r="N61" s="192" t="n"/>
      <c r="O61" s="192" t="n"/>
      <c r="P61" s="192" t="n"/>
      <c r="Q61" s="192" t="n"/>
    </row>
    <row r="62" ht="15.75" customHeight="1" s="251">
      <c r="A62" s="192" t="n"/>
      <c r="B62" s="232">
        <f>B64-0.01</f>
        <v>0.025</v>
      </c>
      <c r="C62" s="192" t="n"/>
      <c r="D62" s="225">
        <f t="array" ref="D62">IFERROR((SUMPRODUCT($D$24:$M$24/(1+D$61)^$D$29:$M$29)+($M$24*(1+$B62)/(D$61-$B62))/(1+D$61)^$M$29-$C$48)/$C$50,"")</f>
        <v>575.867575484638</v>
      </c>
      <c r="E62" s="225">
        <f t="array" ref="E62">IFERROR((SUMPRODUCT($D$24:$M$24/(1+E$61)^$D$29:$M$29)+($M$24*(1+$B62)/(E$61-$B62))/(1+E$61)^$M$29-$C$48)/$C$50,"")</f>
        <v>524.874319871852</v>
      </c>
      <c r="F62" s="225">
        <f t="array" ref="F62">IFERROR((SUMPRODUCT($D$24:$M$24/(1+F$61)^$D$29:$M$29)+($M$24*(1+$B62)/(F$61-$B62))/(1+F$61)^$M$29-$C$48)/$C$50,"")</f>
        <v>480.919598648168</v>
      </c>
      <c r="G62" s="225">
        <f t="array" ref="G62">IFERROR((SUMPRODUCT($D$24:$M$24/(1+G$61)^$D$29:$M$29)+($M$24*(1+$B62)/(G$61-$B62))/(1+G$61)^$M$29-$C$48)/$C$50,"")</f>
        <v>442.669249429991</v>
      </c>
      <c r="H62" s="235">
        <f t="array" ref="H62">IFERROR((SUMPRODUCT($D$24:$M$24/(1+H$61)^$D$29:$M$29)+($M$24*(1+$B62)/(H$61-$B62))/(1+H$61)^$M$29-$C$48)/$C$50,"")</f>
        <v>409.105193263747</v>
      </c>
      <c r="I62" s="192" t="n"/>
      <c r="J62" s="192" t="n"/>
      <c r="K62" s="192" t="n"/>
      <c r="L62" s="192" t="n"/>
      <c r="M62" s="192" t="n"/>
      <c r="N62" s="192" t="n"/>
      <c r="O62" s="192" t="n"/>
      <c r="P62" s="192" t="n"/>
      <c r="Q62" s="192" t="n"/>
    </row>
    <row r="63" ht="15.75" customHeight="1" s="251">
      <c r="A63" s="192" t="n"/>
      <c r="B63" s="232">
        <f>B64-0.005</f>
        <v>0.03</v>
      </c>
      <c r="C63" s="192" t="n"/>
      <c r="D63" s="225">
        <f t="array" ref="D63">IFERROR((SUMPRODUCT($D$24:$M$24/(1+D$61)^$D$29:$M$29)+($M$24*(1+$B63)/(D$61-$B63))/(1+D$61)^$M$29-$C$48)/$C$50,"")</f>
        <v>610.94199672075</v>
      </c>
      <c r="E63" s="225">
        <f t="array" ref="E63">IFERROR((SUMPRODUCT($D$24:$M$24/(1+E$61)^$D$29:$M$29)+($M$24*(1+$B63)/(E$61-$B63))/(1+E$61)^$M$29-$C$48)/$C$50,"")</f>
        <v>553.659329904768</v>
      </c>
      <c r="F63" s="225">
        <f t="array" ref="F63">IFERROR((SUMPRODUCT($D$24:$M$24/(1+F$61)^$D$29:$M$29)+($M$24*(1+$B63)/(F$61-$B63))/(1+F$61)^$M$29-$C$48)/$C$50,"")</f>
        <v>504.814252793941</v>
      </c>
      <c r="G63" s="225">
        <f t="array" ref="G63">IFERROR((SUMPRODUCT($D$24:$M$24/(1+G$61)^$D$29:$M$29)+($M$24*(1+$B63)/(G$61-$B63))/(1+G$61)^$M$29-$C$48)/$C$50,"")</f>
        <v>462.701746259501</v>
      </c>
      <c r="H63" s="235">
        <f t="array" ref="H63">IFERROR((SUMPRODUCT($D$24:$M$24/(1+H$61)^$D$29:$M$29)+($M$24*(1+$B63)/(H$61-$B63))/(1+H$61)^$M$29-$C$48)/$C$50,"")</f>
        <v>426.046064883607</v>
      </c>
      <c r="I63" s="192" t="n"/>
      <c r="J63" s="192" t="n"/>
      <c r="K63" s="192" t="n"/>
      <c r="L63" s="192" t="n"/>
      <c r="M63" s="192" t="n"/>
      <c r="N63" s="192" t="n"/>
      <c r="O63" s="192" t="n"/>
      <c r="P63" s="192" t="n"/>
      <c r="Q63" s="192" t="n"/>
    </row>
    <row r="64" ht="15.75" customHeight="1" s="251">
      <c r="A64" s="192" t="n"/>
      <c r="B64" s="232">
        <f>$C$27</f>
        <v>0.035</v>
      </c>
      <c r="C64" s="192" t="n"/>
      <c r="D64" s="225">
        <f t="array" ref="D64">IFERROR((SUMPRODUCT($D$24:$M$24/(1+D$61)^$D$29:$M$29)+($M$24*(1+$B64)/(D$61-$B64))/(1+D$61)^$M$29-$C$48)/$C$50,"")</f>
        <v>652.455045076845</v>
      </c>
      <c r="E64" s="225">
        <f t="array" ref="E64">IFERROR((SUMPRODUCT($D$24:$M$24/(1+E$61)^$D$29:$M$29)+($M$24*(1+$B64)/(E$61-$B64))/(1+E$61)^$M$29-$C$48)/$C$50,"")</f>
        <v>587.28419030051</v>
      </c>
      <c r="F64" s="226">
        <f t="array" ref="F64">IFERROR((SUMPRODUCT($D$24:$M$24/(1+F$61)^$D$29:$M$29)+($M$24*(1+$B64)/(F$61-$B64))/(1+F$61)^$M$29-$C$48)/$C$50,"")</f>
        <v>532.414940928977</v>
      </c>
      <c r="G64" s="225">
        <f t="array" ref="G64">IFERROR((SUMPRODUCT($D$24:$M$24/(1+G$61)^$D$29:$M$29)+($M$24*(1+$B64)/(G$61-$B64))/(1+G$61)^$M$29-$C$48)/$C$50,"")</f>
        <v>485.617653931689</v>
      </c>
      <c r="H64" s="235">
        <f t="array" ref="H64">IFERROR((SUMPRODUCT($D$24:$M$24/(1+H$61)^$D$29:$M$29)+($M$24*(1+$B64)/(H$61-$B64))/(1+H$61)^$M$29-$C$48)/$C$50,"")</f>
        <v>445.26164232688</v>
      </c>
      <c r="I64" s="192" t="n"/>
      <c r="J64" s="192" t="n"/>
      <c r="K64" s="192" t="n"/>
      <c r="L64" s="192" t="n"/>
      <c r="M64" s="192" t="n"/>
      <c r="N64" s="192" t="n"/>
      <c r="O64" s="192" t="n"/>
      <c r="P64" s="192" t="n"/>
      <c r="Q64" s="192" t="n"/>
    </row>
    <row r="65" ht="15.75" customHeight="1" s="251">
      <c r="A65" s="192" t="n"/>
      <c r="B65" s="232">
        <f>B64+0.005</f>
        <v>0.04</v>
      </c>
      <c r="C65" s="192" t="n"/>
      <c r="D65" s="225">
        <f t="array" ref="D65">IFERROR((SUMPRODUCT($D$24:$M$24/(1+D$61)^$D$29:$M$29)+($M$24*(1+$B65)/(D$61-$B65))/(1+D$61)^$M$29-$C$48)/$C$50,"")</f>
        <v>702.358805581722</v>
      </c>
      <c r="E65" s="225">
        <f t="array" ref="E65">IFERROR((SUMPRODUCT($D$24:$M$24/(1+E$61)^$D$29:$M$29)+($M$24*(1+$B65)/(E$61-$B65))/(1+E$61)^$M$29-$C$48)/$C$50,"")</f>
        <v>627.081581287485</v>
      </c>
      <c r="F65" s="225">
        <f t="array" ref="F65">IFERROR((SUMPRODUCT($D$24:$M$24/(1+F$61)^$D$29:$M$29)+($M$24*(1+$B65)/(F$61-$B65))/(1+F$61)^$M$29-$C$48)/$C$50,"")</f>
        <v>564.656350061917</v>
      </c>
      <c r="G65" s="225">
        <f t="array" ref="G65">IFERROR((SUMPRODUCT($D$24:$M$24/(1+G$61)^$D$29:$M$29)+($M$24*(1+$B65)/(G$61-$B65))/(1+G$61)^$M$29-$C$48)/$C$50,"")</f>
        <v>512.087793115655</v>
      </c>
      <c r="H65" s="235">
        <f t="array" ref="H65">IFERROR((SUMPRODUCT($D$24:$M$24/(1+H$61)^$D$29:$M$29)+($M$24*(1+$B65)/(H$61-$B65))/(1+H$61)^$M$29-$C$48)/$C$50,"")</f>
        <v>467.243045958461</v>
      </c>
      <c r="I65" s="192" t="n"/>
      <c r="J65" s="192" t="n"/>
      <c r="K65" s="192" t="n"/>
      <c r="L65" s="192" t="n"/>
      <c r="M65" s="192" t="n"/>
      <c r="N65" s="192" t="n"/>
      <c r="O65" s="192" t="n"/>
      <c r="P65" s="192" t="n"/>
      <c r="Q65" s="192" t="n"/>
    </row>
    <row r="66" ht="15.75" customHeight="1" s="251">
      <c r="A66" s="192" t="n"/>
      <c r="B66" s="233">
        <f>B64+0.01</f>
        <v>0.045</v>
      </c>
      <c r="C66" s="229" t="n"/>
      <c r="D66" s="230">
        <f t="array" ref="D66">IFERROR((SUMPRODUCT($D$24:$M$24/(1+D$61)^$D$29:$M$29)+($M$24*(1+$B66)/(D$61-$B66))/(1+D$61)^$M$29-$C$48)/$C$50,"")</f>
        <v>763.483198015744</v>
      </c>
      <c r="E66" s="230">
        <f t="array" ref="E66">IFERROR((SUMPRODUCT($D$24:$M$24/(1+E$61)^$D$29:$M$29)+($M$24*(1+$B66)/(E$61-$B66))/(1+E$61)^$M$29-$C$48)/$C$50,"")</f>
        <v>674.922911837265</v>
      </c>
      <c r="F66" s="230">
        <f t="array" ref="F66">IFERROR((SUMPRODUCT($D$24:$M$24/(1+F$61)^$D$29:$M$29)+($M$24*(1+$B66)/(F$61-$B66))/(1+F$61)^$M$29-$C$48)/$C$50,"")</f>
        <v>602.816329021922</v>
      </c>
      <c r="G66" s="230">
        <f t="array" ref="G66">IFERROR((SUMPRODUCT($D$24:$M$24/(1+G$61)^$D$29:$M$29)+($M$24*(1+$B66)/(G$61-$B66))/(1+G$61)^$M$29-$C$48)/$C$50,"")</f>
        <v>543.008565201507</v>
      </c>
      <c r="H66" s="236">
        <f t="array" ref="H66">IFERROR((SUMPRODUCT($D$24:$M$24/(1+H$61)^$D$29:$M$29)+($M$24*(1+$B66)/(H$61-$B66))/(1+H$61)^$M$29-$C$48)/$C$50,"")</f>
        <v>492.63374057594</v>
      </c>
      <c r="I66" s="192" t="n"/>
      <c r="J66" s="192" t="n"/>
      <c r="K66" s="192" t="n"/>
      <c r="L66" s="192" t="n"/>
      <c r="M66" s="192" t="n"/>
      <c r="N66" s="192" t="n"/>
      <c r="O66" s="192" t="n"/>
      <c r="P66" s="192" t="n"/>
      <c r="Q66" s="192" t="n"/>
    </row>
    <row r="67" ht="15" customHeight="1" s="251">
      <c r="A67" s="192" t="n"/>
      <c r="B67" s="192" t="n"/>
      <c r="C67" s="192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P67" s="192" t="n"/>
      <c r="Q67" s="192" t="n"/>
    </row>
    <row r="68" ht="15" customHeight="1" s="251">
      <c r="A68" s="192" t="n"/>
      <c r="B68" s="192" t="n"/>
      <c r="C68" s="192" t="n"/>
      <c r="D68" s="192" t="n"/>
      <c r="E68" s="192" t="n"/>
      <c r="F68" s="192" t="n"/>
      <c r="G68" s="192" t="n"/>
      <c r="H68" s="192" t="n"/>
      <c r="I68" s="192" t="n"/>
      <c r="J68" s="192" t="n"/>
      <c r="K68" s="192" t="n"/>
      <c r="L68" s="192" t="n"/>
      <c r="M68" s="192" t="n"/>
      <c r="N68" s="192" t="n"/>
      <c r="O68" s="192" t="n"/>
      <c r="P68" s="192" t="n"/>
      <c r="Q68" s="192" t="n"/>
    </row>
    <row r="69" ht="15.75" customHeight="1" s="251">
      <c r="A69" s="192" t="n"/>
      <c r="B69" s="195" t="inlineStr">
        <is>
          <t>5. REVERSE DCF</t>
        </is>
      </c>
      <c r="C69" s="196" t="n"/>
      <c r="D69" s="196" t="n"/>
      <c r="E69" s="196" t="n"/>
      <c r="F69" s="196" t="n"/>
      <c r="G69" s="196" t="n"/>
      <c r="H69" s="196" t="n"/>
      <c r="I69" s="196" t="n"/>
      <c r="J69" s="196" t="n"/>
      <c r="K69" s="196" t="n"/>
      <c r="L69" s="196" t="n"/>
      <c r="M69" s="196" t="n"/>
      <c r="N69" s="196" t="n"/>
      <c r="O69" s="192" t="n"/>
      <c r="P69" s="192" t="n"/>
      <c r="Q69" s="192" t="n"/>
    </row>
    <row r="70" ht="15" customHeight="1" s="251">
      <c r="A70" s="192" t="n"/>
      <c r="B70" s="198" t="inlineStr">
        <is>
          <t>To solve for the market-implied path: Data ▸ What-If Analysis ▸ Goal Seek — set C51 to the current price (C52) by changing C27 (terminal growth) or the fade-period growth inputs (I26:M26).</t>
        </is>
      </c>
      <c r="C70" s="192" t="n"/>
      <c r="D70" s="192" t="n"/>
      <c r="E70" s="192" t="n"/>
      <c r="F70" s="192" t="n"/>
      <c r="G70" s="192" t="n"/>
      <c r="H70" s="192" t="n"/>
      <c r="I70" s="192" t="n"/>
      <c r="J70" s="192" t="n"/>
      <c r="K70" s="192" t="n"/>
      <c r="L70" s="192" t="n"/>
      <c r="M70" s="192" t="n"/>
      <c r="N70" s="192" t="n"/>
      <c r="O70" s="192" t="n"/>
      <c r="P70" s="192" t="n"/>
      <c r="Q70" s="192" t="n"/>
    </row>
    <row r="71" ht="15" customHeight="1" s="251">
      <c r="A71" s="192" t="n"/>
      <c r="B71" s="192" t="n"/>
      <c r="C71" s="192" t="n"/>
      <c r="D71" s="192" t="n"/>
      <c r="E71" s="192" t="n"/>
      <c r="F71" s="192" t="n"/>
      <c r="G71" s="192" t="n"/>
      <c r="H71" s="192" t="n"/>
      <c r="I71" s="192" t="n"/>
      <c r="J71" s="192" t="n"/>
      <c r="K71" s="192" t="n"/>
      <c r="L71" s="192" t="n"/>
      <c r="M71" s="192" t="n"/>
      <c r="N71" s="192" t="n"/>
      <c r="O71" s="192" t="n"/>
      <c r="P71" s="192" t="n"/>
      <c r="Q71" s="192" t="n"/>
    </row>
    <row r="72" ht="15.75" customHeight="1" s="251">
      <c r="A72" s="192" t="n"/>
      <c r="B72" s="195" t="inlineStr">
        <is>
          <t>6. MAUBOUSSIN EV / NOPAT — TWO-STAGE FRAMEWORK</t>
        </is>
      </c>
      <c r="C72" s="196" t="n"/>
      <c r="D72" s="196" t="n"/>
      <c r="E72" s="196" t="n"/>
      <c r="F72" s="196" t="n"/>
      <c r="G72" s="196" t="n"/>
      <c r="H72" s="196" t="n"/>
      <c r="I72" s="196" t="n"/>
      <c r="J72" s="196" t="n"/>
      <c r="K72" s="196" t="n"/>
      <c r="L72" s="196" t="n"/>
      <c r="M72" s="196" t="n"/>
      <c r="N72" s="196" t="n"/>
      <c r="O72" s="192" t="n"/>
      <c r="P72" s="192" t="n"/>
      <c r="Q72" s="192" t="n"/>
    </row>
    <row r="73" ht="15" customHeight="1" s="251">
      <c r="A73" s="192" t="n"/>
      <c r="B73" s="198" t="inlineStr">
        <is>
          <t>EV/NOPAT  =  1/r  +  [g × (1 − r/ROIIC) / (r × (r − g))] × [1 − ((1+g)/(1+r))^N]</t>
        </is>
      </c>
      <c r="C73" s="192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P73" s="192" t="n"/>
      <c r="Q73" s="192" t="n"/>
    </row>
    <row r="74" ht="15" customHeight="1" s="251">
      <c r="A74" s="192" t="n"/>
      <c r="B74" s="198" t="inlineStr">
        <is>
          <t>Formula source: Mauboussin &amp; Rappaport, "Expectations Investing" (2021); Counterpoint Global, "What Does a Price-Earnings Multiple Mean?" (2020).</t>
        </is>
      </c>
      <c r="C74" s="192" t="n"/>
      <c r="D74" s="192" t="n"/>
      <c r="E74" s="192" t="n"/>
      <c r="F74" s="192" t="n"/>
      <c r="G74" s="192" t="n"/>
      <c r="H74" s="192" t="n"/>
      <c r="I74" s="192" t="n"/>
      <c r="J74" s="192" t="n"/>
      <c r="K74" s="192" t="n"/>
      <c r="L74" s="192" t="n"/>
      <c r="M74" s="192" t="n"/>
      <c r="N74" s="192" t="n"/>
      <c r="O74" s="192" t="n"/>
      <c r="P74" s="192" t="n"/>
      <c r="Q74" s="192" t="n"/>
    </row>
    <row r="75" ht="15" customHeight="1" s="251">
      <c r="A75" s="192" t="n"/>
      <c r="B75" s="192" t="n"/>
      <c r="C75" s="192" t="n"/>
      <c r="D75" s="192" t="n"/>
      <c r="E75" s="192" t="n"/>
      <c r="F75" s="192" t="n"/>
      <c r="G75" s="192" t="n"/>
      <c r="H75" s="192" t="n"/>
      <c r="I75" s="192" t="n"/>
      <c r="J75" s="192" t="n"/>
      <c r="K75" s="192" t="n"/>
      <c r="L75" s="192" t="n"/>
      <c r="M75" s="192" t="n"/>
      <c r="N75" s="192" t="n"/>
      <c r="O75" s="192" t="n"/>
      <c r="P75" s="192" t="n"/>
      <c r="Q75" s="192" t="n"/>
    </row>
    <row r="76" ht="15.75" customHeight="1" s="251">
      <c r="A76" s="192" t="n"/>
      <c r="B76" s="195" t="inlineStr">
        <is>
          <t>Input</t>
        </is>
      </c>
      <c r="C76" s="207" t="inlineStr">
        <is>
          <t>Value</t>
        </is>
      </c>
      <c r="D76" s="195" t="inlineStr">
        <is>
          <t>Rationale (Meta characteristics)</t>
        </is>
      </c>
      <c r="E76" s="196" t="n"/>
      <c r="F76" s="196" t="n"/>
      <c r="G76" s="196" t="n"/>
      <c r="H76" s="196" t="n"/>
      <c r="I76" s="196" t="n"/>
      <c r="J76" s="196" t="n"/>
      <c r="K76" s="196" t="n"/>
      <c r="L76" s="196" t="n"/>
      <c r="M76" s="196" t="n"/>
      <c r="N76" s="196" t="n"/>
      <c r="O76" s="192" t="n"/>
      <c r="P76" s="192" t="n"/>
      <c r="Q76" s="192" t="n"/>
    </row>
    <row r="77" ht="15.75" customHeight="1" s="251">
      <c r="A77" s="192" t="n"/>
      <c r="B77" s="197" t="inlineStr">
        <is>
          <t>r  (Cost of capital / WACC)</t>
        </is>
      </c>
      <c r="C77" s="238">
        <f>$C$13</f>
        <v>0.099475</v>
      </c>
      <c r="D77" s="198" t="inlineStr">
        <is>
          <t>Linked from Section 1 WACC build</t>
        </is>
      </c>
      <c r="E77" s="192" t="n"/>
      <c r="F77" s="192" t="n"/>
      <c r="G77" s="192" t="n"/>
      <c r="H77" s="192" t="n"/>
      <c r="I77" s="192" t="n"/>
      <c r="J77" s="192" t="n"/>
      <c r="K77" s="192" t="n"/>
      <c r="L77" s="192" t="n"/>
      <c r="M77" s="192" t="n"/>
      <c r="N77" s="192" t="n"/>
      <c r="O77" s="192" t="n"/>
      <c r="P77" s="192" t="n"/>
      <c r="Q77" s="192" t="n"/>
    </row>
    <row r="78" ht="15.75" customHeight="1" s="251">
      <c r="A78" s="192" t="n"/>
      <c r="B78" s="197" t="inlineStr">
        <is>
          <t>g  (NOPAT growth, Stage 1)</t>
        </is>
      </c>
      <c r="C78" s="239" t="n">
        <v>0.1</v>
      </c>
      <c r="D78" s="198" t="inlineStr">
        <is>
          <t>Model adjusted EBIT CAGR 2026–31E (~14%): high-teens revenue growth fading to ~10% (impressions + price), with D&amp;A from the 2025–27 capex wave absorbing operating leverage</t>
        </is>
      </c>
      <c r="E78" s="192" t="n"/>
      <c r="F78" s="192" t="n"/>
      <c r="G78" s="192" t="n"/>
      <c r="H78" s="192" t="n"/>
      <c r="I78" s="192" t="n"/>
      <c r="J78" s="192" t="n"/>
      <c r="K78" s="192" t="n"/>
      <c r="L78" s="192" t="n"/>
      <c r="M78" s="192" t="n"/>
      <c r="N78" s="192" t="n"/>
      <c r="O78" s="192" t="n"/>
      <c r="P78" s="192" t="n"/>
      <c r="Q78" s="192" t="n"/>
    </row>
    <row r="79" ht="15.75" customHeight="1" s="251">
      <c r="A79" s="192" t="n"/>
      <c r="B79" s="197" t="inlineStr">
        <is>
          <t>ROIIC  (Return on incremental invested capital)</t>
        </is>
      </c>
      <c r="C79" s="239" t="n">
        <v>0.18</v>
      </c>
      <c r="D79" s="198" t="inlineStr">
        <is>
          <t>Historical ROIC 25–35% (2015–25) on an asset-light ad platform; incremental returns on the AI data-center build-out are unproven, so ROIIC is set below history (assumption)</t>
        </is>
      </c>
      <c r="E79" s="192" t="n"/>
      <c r="F79" s="192" t="n"/>
      <c r="G79" s="192" t="n"/>
      <c r="H79" s="192" t="n"/>
      <c r="I79" s="192" t="n"/>
      <c r="J79" s="192" t="n"/>
      <c r="K79" s="192" t="n"/>
      <c r="L79" s="192" t="n"/>
      <c r="M79" s="192" t="n"/>
      <c r="N79" s="192" t="n"/>
      <c r="O79" s="192" t="n"/>
      <c r="P79" s="192" t="n"/>
      <c r="Q79" s="192" t="n"/>
    </row>
    <row r="80" ht="15.75" customHeight="1" s="251">
      <c r="A80" s="192" t="n"/>
      <c r="B80" s="197" t="inlineStr">
        <is>
          <t>N  (Years of value creation / CAP)</t>
        </is>
      </c>
      <c r="C80" s="208" t="n">
        <v>15</v>
      </c>
      <c r="D80" s="198" t="inlineStr">
        <is>
          <t>Network effects across 3.6bn daily people, first-party data and ad-tech scale sustain a long competitive-advantage period; regulatory and youth-safety litigation risk</t>
        </is>
      </c>
      <c r="E80" s="192" t="n"/>
      <c r="F80" s="192" t="n"/>
      <c r="G80" s="192" t="n"/>
      <c r="H80" s="192" t="n"/>
      <c r="I80" s="192" t="n"/>
      <c r="J80" s="192" t="n"/>
      <c r="K80" s="192" t="n"/>
      <c r="L80" s="192" t="n"/>
      <c r="M80" s="192" t="n"/>
      <c r="N80" s="192" t="n"/>
      <c r="O80" s="192" t="n"/>
      <c r="P80" s="192" t="n"/>
      <c r="Q80" s="192" t="n"/>
    </row>
    <row r="81" ht="15" customHeight="1" s="251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192" t="n"/>
      <c r="J81" s="192" t="n"/>
      <c r="K81" s="192" t="n"/>
      <c r="L81" s="192" t="n"/>
      <c r="M81" s="192" t="n"/>
      <c r="N81" s="192" t="n"/>
      <c r="O81" s="192" t="n"/>
      <c r="P81" s="192" t="n"/>
      <c r="Q81" s="192" t="n"/>
    </row>
    <row r="82" ht="15.75" customHeight="1" s="251">
      <c r="A82" s="192" t="n"/>
      <c r="B82" s="195" t="inlineStr">
        <is>
          <t>Calculation</t>
        </is>
      </c>
      <c r="C82" s="207" t="inlineStr">
        <is>
          <t>Value</t>
        </is>
      </c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P82" s="192" t="n"/>
      <c r="Q82" s="192" t="n"/>
    </row>
    <row r="83" ht="15.75" customHeight="1" s="251">
      <c r="A83" s="192" t="n"/>
      <c r="B83" s="197" t="inlineStr">
        <is>
          <t>Steady-state component:  1 / r</t>
        </is>
      </c>
      <c r="C83" s="240">
        <f>1/C77</f>
        <v>10.0527770796683</v>
      </c>
      <c r="D83" s="192" t="n"/>
      <c r="E83" s="192" t="n"/>
      <c r="F83" s="192" t="n"/>
      <c r="G83" s="192" t="n"/>
      <c r="H83" s="192" t="n"/>
      <c r="I83" s="192" t="n"/>
      <c r="J83" s="192" t="n"/>
      <c r="K83" s="192" t="n"/>
      <c r="L83" s="192" t="n"/>
      <c r="M83" s="192" t="n"/>
      <c r="N83" s="192" t="n"/>
      <c r="O83" s="192" t="n"/>
      <c r="P83" s="192" t="n"/>
      <c r="Q83" s="192" t="n"/>
    </row>
    <row r="84" ht="15.75" customHeight="1" s="251">
      <c r="A84" s="192" t="n"/>
      <c r="B84" s="197" t="inlineStr">
        <is>
          <t>Value-creation factor: 1 − r / ROIIC</t>
        </is>
      </c>
      <c r="C84" s="241">
        <f>1-C77/C79</f>
        <v>0.447361111111111</v>
      </c>
      <c r="D84" s="192" t="n"/>
      <c r="E84" s="192" t="n"/>
      <c r="F84" s="192" t="n"/>
      <c r="G84" s="192" t="n"/>
      <c r="H84" s="192" t="n"/>
      <c r="I84" s="192" t="n"/>
      <c r="J84" s="192" t="n"/>
      <c r="K84" s="192" t="n"/>
      <c r="L84" s="192" t="n"/>
      <c r="M84" s="192" t="n"/>
      <c r="N84" s="192" t="n"/>
      <c r="O84" s="192" t="n"/>
      <c r="P84" s="192" t="n"/>
      <c r="Q84" s="192" t="n"/>
    </row>
    <row r="85" ht="15.75" customHeight="1" s="251">
      <c r="A85" s="192" t="n"/>
      <c r="B85" s="197" t="inlineStr">
        <is>
          <t>Growth multiplier: g × (1 − r/ROIIC) / (r × (r − g))</t>
        </is>
      </c>
      <c r="C85" s="241">
        <f>C78*C84/(C77*(C77-C78))</f>
        <v>-856.613623640519</v>
      </c>
      <c r="D85" s="192" t="n"/>
      <c r="E85" s="192" t="n"/>
      <c r="F85" s="192" t="n"/>
      <c r="G85" s="192" t="n"/>
      <c r="H85" s="192" t="n"/>
      <c r="I85" s="192" t="n"/>
      <c r="J85" s="192" t="n"/>
      <c r="K85" s="192" t="n"/>
      <c r="L85" s="192" t="n"/>
      <c r="M85" s="192" t="n"/>
      <c r="N85" s="192" t="n"/>
      <c r="O85" s="192" t="n"/>
      <c r="P85" s="192" t="n"/>
      <c r="Q85" s="192" t="n"/>
    </row>
    <row r="86" ht="15.75" customHeight="1" s="251">
      <c r="A86" s="192" t="n"/>
      <c r="B86" s="197" t="inlineStr">
        <is>
          <t>Time decay: 1 − ((1+g)/(1+r))^N</t>
        </is>
      </c>
      <c r="C86" s="242">
        <f>1-((1+C78)/(1+C77))^C80</f>
        <v>-0.00718649970687046</v>
      </c>
      <c r="D86" s="192" t="n"/>
      <c r="E86" s="192" t="n"/>
      <c r="F86" s="192" t="n"/>
      <c r="G86" s="192" t="n"/>
      <c r="H86" s="192" t="n"/>
      <c r="I86" s="192" t="n"/>
      <c r="J86" s="192" t="n"/>
      <c r="K86" s="192" t="n"/>
      <c r="L86" s="192" t="n"/>
      <c r="M86" s="192" t="n"/>
      <c r="N86" s="192" t="n"/>
      <c r="O86" s="192" t="n"/>
      <c r="P86" s="192" t="n"/>
      <c r="Q86" s="192" t="n"/>
    </row>
    <row r="87" ht="15.75" customHeight="1" s="251">
      <c r="A87" s="192" t="n"/>
      <c r="B87" s="197" t="inlineStr">
        <is>
          <t>PVGO component (growth value)</t>
        </is>
      </c>
      <c r="C87" s="240">
        <f>C85*C86</f>
        <v>6.15605355519383</v>
      </c>
      <c r="D87" s="192" t="n"/>
      <c r="E87" s="192" t="n"/>
      <c r="F87" s="192" t="n"/>
      <c r="G87" s="192" t="n"/>
      <c r="H87" s="192" t="n"/>
      <c r="I87" s="192" t="n"/>
      <c r="J87" s="192" t="n"/>
      <c r="K87" s="192" t="n"/>
      <c r="L87" s="192" t="n"/>
      <c r="M87" s="192" t="n"/>
      <c r="N87" s="192" t="n"/>
      <c r="O87" s="192" t="n"/>
      <c r="P87" s="192" t="n"/>
      <c r="Q87" s="192" t="n"/>
    </row>
    <row r="88" ht="15.75" customHeight="1" s="251">
      <c r="A88" s="192" t="n"/>
      <c r="B88" s="202" t="inlineStr">
        <is>
          <t>Mauboussin EV / NOPAT (steady-state + PVGO)</t>
        </is>
      </c>
      <c r="C88" s="298">
        <f>C83+C87</f>
        <v>16.2088306348621</v>
      </c>
      <c r="D88" s="192" t="n"/>
      <c r="E88" s="192" t="n"/>
      <c r="F88" s="192" t="n"/>
      <c r="G88" s="192" t="n"/>
      <c r="H88" s="192" t="n"/>
      <c r="I88" s="192" t="n"/>
      <c r="J88" s="192" t="n"/>
      <c r="K88" s="192" t="n"/>
      <c r="L88" s="192" t="n"/>
      <c r="M88" s="192" t="n"/>
      <c r="N88" s="192" t="n"/>
      <c r="O88" s="192" t="n"/>
      <c r="P88" s="192" t="n"/>
      <c r="Q88" s="192" t="n"/>
    </row>
    <row r="89" ht="15" customHeight="1" s="251">
      <c r="A89" s="192" t="n"/>
      <c r="B89" s="192" t="n"/>
      <c r="C89" s="192" t="n"/>
      <c r="D89" s="192" t="n"/>
      <c r="E89" s="192" t="n"/>
      <c r="F89" s="192" t="n"/>
      <c r="G89" s="192" t="n"/>
      <c r="H89" s="192" t="n"/>
      <c r="I89" s="192" t="n"/>
      <c r="J89" s="192" t="n"/>
      <c r="K89" s="192" t="n"/>
      <c r="L89" s="192" t="n"/>
      <c r="M89" s="192" t="n"/>
      <c r="N89" s="192" t="n"/>
      <c r="O89" s="192" t="n"/>
      <c r="P89" s="192" t="n"/>
      <c r="Q89" s="192" t="n"/>
    </row>
    <row r="90" ht="15.75" customHeight="1" s="251">
      <c r="A90" s="192" t="n"/>
      <c r="B90" s="195" t="inlineStr">
        <is>
          <t>VALUATION  —  Applied to 2029E NOPAT</t>
        </is>
      </c>
      <c r="C90" s="207" t="inlineStr">
        <is>
          <t>USDm</t>
        </is>
      </c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2" t="n"/>
      <c r="M90" s="192" t="n"/>
      <c r="N90" s="192" t="n"/>
      <c r="O90" s="192" t="n"/>
      <c r="P90" s="192" t="n"/>
      <c r="Q90" s="192" t="n"/>
    </row>
    <row r="91" ht="15.75" customHeight="1" s="251">
      <c r="A91" s="192" t="n"/>
      <c r="B91" s="197" t="inlineStr">
        <is>
          <t>2029E Adj. EBIT less cash one-off items</t>
        </is>
      </c>
      <c r="C91" s="209">
        <f>Model!CA173-Model!CA175</f>
        <v>134765.024787283</v>
      </c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2" t="n"/>
      <c r="M91" s="192" t="n"/>
      <c r="N91" s="192" t="n"/>
      <c r="O91" s="192" t="n"/>
      <c r="P91" s="192" t="n"/>
      <c r="Q91" s="192" t="n"/>
    </row>
    <row r="92" ht="15.75" customHeight="1" s="251">
      <c r="A92" s="192" t="n"/>
      <c r="B92" s="197" t="inlineStr">
        <is>
          <t>Tax rate (from WACC build)</t>
        </is>
      </c>
      <c r="C92" s="210">
        <f>$C$10</f>
        <v>0.16</v>
      </c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2" t="n"/>
      <c r="M92" s="192" t="n"/>
      <c r="N92" s="192" t="n"/>
      <c r="O92" s="192" t="n"/>
      <c r="P92" s="192" t="n"/>
      <c r="Q92" s="192" t="n"/>
    </row>
    <row r="93" ht="15.75" customHeight="1" s="251">
      <c r="A93" s="192" t="n"/>
      <c r="B93" s="197" t="inlineStr">
        <is>
          <t>2029E NOPAT</t>
        </is>
      </c>
      <c r="C93" s="211">
        <f>C91*(1-C92)</f>
        <v>113202.620821317</v>
      </c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2" t="n"/>
      <c r="M93" s="192" t="n"/>
      <c r="N93" s="192" t="n"/>
      <c r="O93" s="192" t="n"/>
      <c r="P93" s="192" t="n"/>
      <c r="Q93" s="192" t="n"/>
    </row>
    <row r="94" ht="15.75" customHeight="1" s="251">
      <c r="A94" s="192" t="n"/>
      <c r="B94" s="197" t="inlineStr">
        <is>
          <t>× Mauboussin EV/NOPAT multiple</t>
        </is>
      </c>
      <c r="C94" s="299">
        <f>C88</f>
        <v>16.2088306348621</v>
      </c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P94" s="192" t="n"/>
      <c r="Q94" s="192" t="n"/>
    </row>
    <row r="95" ht="15.75" customHeight="1" s="251">
      <c r="A95" s="192" t="n"/>
      <c r="B95" s="197" t="inlineStr">
        <is>
          <t>Implied Enterprise Value (2029E basis)</t>
        </is>
      </c>
      <c r="C95" s="211">
        <f>C93*C94</f>
        <v>1834882.10831525</v>
      </c>
      <c r="D95" s="192" t="n"/>
      <c r="E95" s="192" t="n"/>
      <c r="F95" s="192" t="n"/>
      <c r="G95" s="192" t="n"/>
      <c r="H95" s="192" t="n"/>
      <c r="I95" s="192" t="n"/>
      <c r="J95" s="192" t="n"/>
      <c r="K95" s="192" t="n"/>
      <c r="L95" s="192" t="n"/>
      <c r="M95" s="192" t="n"/>
      <c r="N95" s="192" t="n"/>
      <c r="O95" s="192" t="n"/>
      <c r="P95" s="192" t="n"/>
      <c r="Q95" s="192" t="n"/>
    </row>
    <row r="96" ht="15.75" customHeight="1" s="251">
      <c r="A96" s="192" t="n"/>
      <c r="B96" s="197" t="inlineStr">
        <is>
          <t>Less: YE2028E net debt + NCI (Model)</t>
        </is>
      </c>
      <c r="C96" s="209">
        <f>Model!BZ365+Model!BZ375</f>
        <v>42671.8942534926</v>
      </c>
      <c r="D96" s="192" t="n"/>
      <c r="E96" s="192" t="n"/>
      <c r="F96" s="192" t="n"/>
      <c r="G96" s="192" t="n"/>
      <c r="H96" s="192" t="n"/>
      <c r="I96" s="192" t="n"/>
      <c r="J96" s="192" t="n"/>
      <c r="K96" s="192" t="n"/>
      <c r="L96" s="192" t="n"/>
      <c r="M96" s="192" t="n"/>
      <c r="N96" s="192" t="n"/>
      <c r="O96" s="192" t="n"/>
      <c r="P96" s="192" t="n"/>
      <c r="Q96" s="192" t="n"/>
    </row>
    <row r="97" ht="15.75" customHeight="1" s="251">
      <c r="A97" s="192" t="n"/>
      <c r="B97" s="197" t="inlineStr">
        <is>
          <t>Implied Equity Value</t>
        </is>
      </c>
      <c r="C97" s="211">
        <f>C95-C96</f>
        <v>1792210.21406175</v>
      </c>
      <c r="D97" s="192" t="n"/>
      <c r="E97" s="192" t="n"/>
      <c r="F97" s="192" t="n"/>
      <c r="G97" s="192" t="n"/>
      <c r="H97" s="192" t="n"/>
      <c r="I97" s="192" t="n"/>
      <c r="J97" s="192" t="n"/>
      <c r="K97" s="192" t="n"/>
      <c r="L97" s="192" t="n"/>
      <c r="M97" s="192" t="n"/>
      <c r="N97" s="192" t="n"/>
      <c r="O97" s="192" t="n"/>
      <c r="P97" s="192" t="n"/>
      <c r="Q97" s="192" t="n"/>
    </row>
    <row r="98" ht="15.75" customHeight="1" s="251">
      <c r="A98" s="192" t="n"/>
      <c r="B98" s="197" t="inlineStr">
        <is>
          <t>Diluted shares 2029E (m, Model)</t>
        </is>
      </c>
      <c r="C98" s="212">
        <f>Model!CA372</f>
        <v>2615.75537908998</v>
      </c>
      <c r="D98" s="192" t="n"/>
      <c r="E98" s="192" t="n"/>
      <c r="F98" s="192" t="n"/>
      <c r="G98" s="192" t="n"/>
      <c r="H98" s="192" t="n"/>
      <c r="I98" s="192" t="n"/>
      <c r="J98" s="192" t="n"/>
      <c r="K98" s="192" t="n"/>
      <c r="L98" s="192" t="n"/>
      <c r="M98" s="192" t="n"/>
      <c r="N98" s="192" t="n"/>
      <c r="O98" s="192" t="n"/>
      <c r="P98" s="192" t="n"/>
      <c r="Q98" s="192" t="n"/>
    </row>
    <row r="99" ht="15.75" customHeight="1" s="251">
      <c r="A99" s="192" t="n"/>
      <c r="B99" s="202" t="inlineStr">
        <is>
          <t>Implied share price 2029 ($)</t>
        </is>
      </c>
      <c r="C99" s="213">
        <f>C97/C98</f>
        <v>685.159716534833</v>
      </c>
      <c r="D99" s="192" t="n"/>
      <c r="E99" s="192" t="n"/>
      <c r="F99" s="192" t="n"/>
      <c r="G99" s="192" t="n"/>
      <c r="H99" s="192" t="n"/>
      <c r="I99" s="192" t="n"/>
      <c r="J99" s="192" t="n"/>
      <c r="K99" s="192" t="n"/>
      <c r="L99" s="192" t="n"/>
      <c r="M99" s="192" t="n"/>
      <c r="N99" s="192" t="n"/>
      <c r="O99" s="192" t="n"/>
      <c r="P99" s="192" t="n"/>
      <c r="Q99" s="192" t="n"/>
    </row>
    <row r="100" ht="15" customHeight="1" s="251">
      <c r="A100" s="192" t="n"/>
      <c r="B100" s="192" t="n"/>
      <c r="C100" s="192" t="n"/>
      <c r="D100" s="192" t="n"/>
      <c r="E100" s="192" t="n"/>
      <c r="F100" s="192" t="n"/>
      <c r="G100" s="192" t="n"/>
      <c r="H100" s="192" t="n"/>
      <c r="I100" s="192" t="n"/>
      <c r="J100" s="192" t="n"/>
      <c r="K100" s="192" t="n"/>
      <c r="L100" s="192" t="n"/>
      <c r="M100" s="192" t="n"/>
      <c r="N100" s="192" t="n"/>
      <c r="O100" s="192" t="n"/>
      <c r="P100" s="192" t="n"/>
      <c r="Q100" s="192" t="n"/>
    </row>
    <row r="101" ht="15.75" customHeight="1" s="251">
      <c r="A101" s="192" t="n"/>
      <c r="B101" s="197" t="inlineStr">
        <is>
          <t>Current share price ($)</t>
        </is>
      </c>
      <c r="C101" s="214">
        <f>C52</f>
        <v>745</v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2" t="n"/>
      <c r="Q101" s="192" t="n"/>
    </row>
    <row r="102" ht="15.75" customHeight="1" s="251">
      <c r="A102" s="192" t="n"/>
      <c r="B102" s="199" t="inlineStr">
        <is>
          <t>Implied upside / (downside)</t>
        </is>
      </c>
      <c r="C102" s="245">
        <f>C99/C101-1</f>
        <v>-0.080322528141164</v>
      </c>
      <c r="D102" s="192" t="n"/>
      <c r="E102" s="192" t="n"/>
      <c r="F102" s="192" t="n"/>
      <c r="G102" s="192" t="n"/>
      <c r="H102" s="192" t="n"/>
      <c r="I102" s="192" t="n"/>
      <c r="J102" s="192" t="n"/>
      <c r="K102" s="192" t="n"/>
      <c r="L102" s="192" t="n"/>
      <c r="M102" s="192" t="n"/>
      <c r="N102" s="192" t="n"/>
      <c r="O102" s="192" t="n"/>
      <c r="P102" s="192" t="n"/>
      <c r="Q102" s="192" t="n"/>
    </row>
    <row r="103" ht="15" customHeight="1" s="251">
      <c r="A103" s="192" t="n"/>
      <c r="B103" s="192" t="n"/>
      <c r="C103" s="192" t="n"/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2" t="n"/>
      <c r="Q103" s="192" t="n"/>
    </row>
    <row r="104" ht="15.75" customHeight="1" s="251">
      <c r="A104" s="192" t="n"/>
      <c r="B104" s="195" t="inlineStr">
        <is>
          <t>MARKET-IMPLIED EV/NOPAT TODAY</t>
        </is>
      </c>
      <c r="C104" s="207" t="inlineStr">
        <is>
          <t>USDm</t>
        </is>
      </c>
      <c r="D104" s="192" t="n"/>
      <c r="E104" s="192" t="n"/>
      <c r="F104" s="192" t="n"/>
      <c r="G104" s="192" t="n"/>
      <c r="H104" s="192" t="n"/>
      <c r="I104" s="192" t="n"/>
      <c r="J104" s="192" t="n"/>
      <c r="K104" s="192" t="n"/>
      <c r="L104" s="192" t="n"/>
      <c r="M104" s="192" t="n"/>
      <c r="N104" s="192" t="n"/>
      <c r="O104" s="192" t="n"/>
      <c r="P104" s="192" t="n"/>
      <c r="Q104" s="192" t="n"/>
    </row>
    <row r="105" ht="15.75" customHeight="1" s="251">
      <c r="A105" s="192" t="n"/>
      <c r="B105" s="197" t="inlineStr">
        <is>
          <t>Current market cap (spot × diluted shares)</t>
        </is>
      </c>
      <c r="C105" s="211">
        <f>C52*C50</f>
        <v>1928805</v>
      </c>
      <c r="D105" s="192" t="n"/>
      <c r="E105" s="192" t="n"/>
      <c r="F105" s="192" t="n"/>
      <c r="G105" s="192" t="n"/>
      <c r="H105" s="192" t="n"/>
      <c r="I105" s="192" t="n"/>
      <c r="J105" s="192" t="n"/>
      <c r="K105" s="192" t="n"/>
      <c r="L105" s="192" t="n"/>
      <c r="M105" s="192" t="n"/>
      <c r="N105" s="192" t="n"/>
      <c r="O105" s="192" t="n"/>
      <c r="P105" s="192" t="n"/>
      <c r="Q105" s="192" t="n"/>
    </row>
    <row r="106" ht="15.75" customHeight="1" s="251">
      <c r="A106" s="192" t="n"/>
      <c r="B106" s="197" t="inlineStr">
        <is>
          <t>Plus: YE2026E net debt + NCI</t>
        </is>
      </c>
      <c r="C106" s="211">
        <f>C48</f>
        <v>31296.7405748248</v>
      </c>
      <c r="D106" s="192" t="n"/>
      <c r="E106" s="192" t="n"/>
      <c r="F106" s="192" t="n"/>
      <c r="G106" s="192" t="n"/>
      <c r="H106" s="192" t="n"/>
      <c r="I106" s="192" t="n"/>
      <c r="J106" s="192" t="n"/>
      <c r="K106" s="192" t="n"/>
      <c r="L106" s="192" t="n"/>
      <c r="M106" s="192" t="n"/>
      <c r="N106" s="192" t="n"/>
      <c r="O106" s="192" t="n"/>
      <c r="P106" s="192" t="n"/>
      <c r="Q106" s="192" t="n"/>
    </row>
    <row r="107" ht="15.75" customHeight="1" s="251">
      <c r="A107" s="192" t="n"/>
      <c r="B107" s="197" t="inlineStr">
        <is>
          <t>Implied Enterprise Value (today)</t>
        </is>
      </c>
      <c r="C107" s="211">
        <f>C105+C106</f>
        <v>1960101.74057482</v>
      </c>
      <c r="D107" s="192" t="n"/>
      <c r="E107" s="192" t="n"/>
      <c r="F107" s="192" t="n"/>
      <c r="G107" s="192" t="n"/>
      <c r="H107" s="192" t="n"/>
      <c r="I107" s="192" t="n"/>
      <c r="J107" s="192" t="n"/>
      <c r="K107" s="192" t="n"/>
      <c r="L107" s="192" t="n"/>
      <c r="M107" s="192" t="n"/>
      <c r="N107" s="192" t="n"/>
      <c r="O107" s="192" t="n"/>
      <c r="P107" s="192" t="n"/>
      <c r="Q107" s="192" t="n"/>
    </row>
    <row r="108" ht="15.75" customHeight="1" s="251">
      <c r="A108" s="192" t="n"/>
      <c r="B108" s="202" t="inlineStr">
        <is>
          <t>META market-implied EV/NOPAT (on 2029E NOPAT)</t>
        </is>
      </c>
      <c r="C108" s="300">
        <f>C107/C93</f>
        <v>17.3149855220111</v>
      </c>
      <c r="D108" s="192" t="n"/>
      <c r="E108" s="192" t="n"/>
      <c r="F108" s="192" t="n"/>
      <c r="G108" s="192" t="n"/>
      <c r="H108" s="192" t="n"/>
      <c r="I108" s="192" t="n"/>
      <c r="J108" s="192" t="n"/>
      <c r="K108" s="192" t="n"/>
      <c r="L108" s="192" t="n"/>
      <c r="M108" s="192" t="n"/>
      <c r="N108" s="192" t="n"/>
      <c r="O108" s="192" t="n"/>
      <c r="P108" s="192" t="n"/>
      <c r="Q108" s="192" t="n"/>
    </row>
    <row r="109" ht="15" customHeight="1" s="251">
      <c r="A109" s="192" t="n"/>
      <c r="B109" s="192" t="n"/>
      <c r="C109" s="192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P109" s="192" t="n"/>
      <c r="Q109" s="192" t="n"/>
    </row>
    <row r="110" ht="15.75" customHeight="1" s="251">
      <c r="A110" s="192" t="n"/>
      <c r="B110" s="199" t="inlineStr">
        <is>
          <t>Multiple gap (Mauboussin − Market)</t>
        </is>
      </c>
      <c r="C110" s="247">
        <f>C88-C108</f>
        <v>-1.10615488714904</v>
      </c>
      <c r="D110" s="192" t="n"/>
      <c r="E110" s="192" t="n"/>
      <c r="F110" s="192" t="n"/>
      <c r="G110" s="192" t="n"/>
      <c r="H110" s="192" t="n"/>
      <c r="I110" s="192" t="n"/>
      <c r="J110" s="192" t="n"/>
      <c r="K110" s="192" t="n"/>
      <c r="L110" s="192" t="n"/>
      <c r="M110" s="192" t="n"/>
      <c r="N110" s="192" t="n"/>
      <c r="O110" s="192" t="n"/>
      <c r="P110" s="192" t="n"/>
      <c r="Q110" s="192" t="n"/>
    </row>
    <row r="111" ht="15.75" customHeight="1" s="251">
      <c r="A111" s="192" t="n"/>
      <c r="B111" s="197" t="inlineStr">
        <is>
          <t>Implied re-rating headroom</t>
        </is>
      </c>
      <c r="C111" s="215">
        <f>C88/C108-1</f>
        <v>-0.0638842513464923</v>
      </c>
      <c r="D111" s="192" t="n"/>
      <c r="E111" s="192" t="n"/>
      <c r="F111" s="192" t="n"/>
      <c r="G111" s="192" t="n"/>
      <c r="H111" s="192" t="n"/>
      <c r="I111" s="192" t="n"/>
      <c r="J111" s="192" t="n"/>
      <c r="K111" s="192" t="n"/>
      <c r="L111" s="192" t="n"/>
      <c r="M111" s="192" t="n"/>
      <c r="N111" s="192" t="n"/>
      <c r="O111" s="192" t="n"/>
      <c r="P111" s="192" t="n"/>
      <c r="Q111" s="192" t="n"/>
    </row>
    <row r="112" ht="15" customHeight="1" s="251">
      <c r="A112" s="192" t="n"/>
      <c r="B112" s="192" t="n"/>
      <c r="C112" s="192" t="n"/>
      <c r="D112" s="192" t="n"/>
      <c r="E112" s="192" t="n"/>
      <c r="F112" s="192" t="n"/>
      <c r="G112" s="192" t="n"/>
      <c r="H112" s="192" t="n"/>
      <c r="I112" s="192" t="n"/>
      <c r="J112" s="192" t="n"/>
      <c r="K112" s="192" t="n"/>
      <c r="L112" s="192" t="n"/>
      <c r="M112" s="192" t="n"/>
      <c r="N112" s="192" t="n"/>
      <c r="O112" s="192" t="n"/>
      <c r="P112" s="192" t="n"/>
      <c r="Q112" s="192" t="n"/>
    </row>
    <row r="113" ht="15" customHeight="1" s="251">
      <c r="A113" s="192" t="n"/>
      <c r="B113" s="192" t="n"/>
      <c r="C113" s="192" t="n"/>
      <c r="D113" s="192" t="n"/>
      <c r="E113" s="192" t="n"/>
      <c r="F113" s="192" t="n"/>
      <c r="G113" s="192" t="n"/>
      <c r="H113" s="192" t="n"/>
      <c r="I113" s="192" t="n"/>
      <c r="J113" s="192" t="n"/>
      <c r="K113" s="192" t="n"/>
      <c r="L113" s="192" t="n"/>
      <c r="M113" s="192" t="n"/>
      <c r="N113" s="192" t="n"/>
      <c r="O113" s="192" t="n"/>
      <c r="P113" s="192" t="n"/>
      <c r="Q113" s="192" t="n"/>
    </row>
    <row r="114" ht="15" customHeight="1" s="251">
      <c r="A114" s="192" t="n"/>
      <c r="B114" s="192" t="n"/>
      <c r="C114" s="192" t="n"/>
      <c r="D114" s="192" t="n"/>
      <c r="E114" s="192" t="n"/>
      <c r="F114" s="192" t="n"/>
      <c r="G114" s="192" t="n"/>
      <c r="H114" s="192" t="n"/>
      <c r="I114" s="192" t="n"/>
      <c r="J114" s="192" t="n"/>
      <c r="K114" s="192" t="n"/>
      <c r="L114" s="192" t="n"/>
      <c r="M114" s="192" t="n"/>
      <c r="N114" s="192" t="n"/>
      <c r="O114" s="192" t="n"/>
      <c r="P114" s="192" t="n"/>
      <c r="Q114" s="192" t="n"/>
    </row>
    <row r="115" ht="15" customHeight="1" s="251">
      <c r="A115" s="192" t="n"/>
      <c r="B115" s="192" t="n"/>
      <c r="C115" s="192" t="n"/>
      <c r="D115" s="192" t="n"/>
      <c r="E115" s="192" t="n"/>
      <c r="F115" s="192" t="n"/>
      <c r="G115" s="192" t="n"/>
      <c r="H115" s="192" t="n"/>
      <c r="I115" s="192" t="n"/>
      <c r="J115" s="192" t="n"/>
      <c r="K115" s="192" t="n"/>
      <c r="L115" s="192" t="n"/>
      <c r="M115" s="192" t="n"/>
      <c r="N115" s="192" t="n"/>
      <c r="O115" s="192" t="n"/>
      <c r="P115" s="192" t="n"/>
      <c r="Q115" s="192" t="n"/>
    </row>
    <row r="116">
      <c r="A116" s="192" t="n"/>
      <c r="B116" s="192" t="n"/>
      <c r="C116" s="192" t="n"/>
      <c r="D116" s="192" t="n"/>
      <c r="E116" s="192" t="n"/>
      <c r="F116" s="192" t="n"/>
      <c r="G116" s="192" t="n"/>
      <c r="H116" s="192" t="n"/>
      <c r="I116" s="192" t="n"/>
      <c r="J116" s="192" t="n"/>
      <c r="K116" s="192" t="n"/>
      <c r="L116" s="192" t="n"/>
      <c r="M116" s="192" t="n"/>
      <c r="N116" s="192" t="n"/>
      <c r="O116" s="192" t="n"/>
      <c r="P116" s="192" t="n"/>
      <c r="Q116" s="192" t="n"/>
    </row>
    <row r="117" ht="15" customHeight="1" s="251">
      <c r="A117" s="192" t="n"/>
      <c r="B117" s="192" t="n"/>
      <c r="C117" s="192" t="n"/>
      <c r="D117" s="192" t="n"/>
      <c r="E117" s="192" t="n"/>
      <c r="F117" s="192" t="n"/>
      <c r="G117" s="192" t="n"/>
      <c r="H117" s="192" t="n"/>
      <c r="I117" s="192" t="n"/>
      <c r="J117" s="192" t="n"/>
      <c r="K117" s="192" t="n"/>
      <c r="L117" s="192" t="n"/>
      <c r="M117" s="192" t="n"/>
      <c r="N117" s="192" t="n"/>
      <c r="O117" s="192" t="n"/>
      <c r="P117" s="192" t="n"/>
      <c r="Q117" s="192" t="n"/>
    </row>
    <row r="118" ht="15" customHeight="1" s="251">
      <c r="A118" s="192" t="n"/>
      <c r="B118" s="192" t="n"/>
      <c r="C118" s="192" t="n"/>
      <c r="D118" s="192" t="n"/>
      <c r="E118" s="192" t="n"/>
      <c r="F118" s="192" t="n"/>
      <c r="G118" s="192" t="n"/>
      <c r="H118" s="192" t="n"/>
      <c r="I118" s="192" t="n"/>
      <c r="J118" s="192" t="n"/>
      <c r="K118" s="192" t="n"/>
      <c r="L118" s="192" t="n"/>
      <c r="M118" s="192" t="n"/>
      <c r="N118" s="192" t="n"/>
      <c r="O118" s="192" t="n"/>
      <c r="P118" s="192" t="n"/>
      <c r="Q118" s="192" t="n"/>
    </row>
    <row r="119">
      <c r="A119" s="192" t="n"/>
      <c r="B119" s="192" t="n"/>
      <c r="C119" s="192" t="n"/>
      <c r="D119" s="192" t="n"/>
      <c r="E119" s="192" t="n"/>
      <c r="F119" s="192" t="n"/>
      <c r="G119" s="192" t="n"/>
      <c r="H119" s="192" t="n"/>
      <c r="I119" s="192" t="n"/>
      <c r="J119" s="192" t="n"/>
      <c r="K119" s="192" t="n"/>
      <c r="L119" s="192" t="n"/>
      <c r="M119" s="192" t="n"/>
      <c r="N119" s="192" t="n"/>
      <c r="O119" s="192" t="n"/>
      <c r="P119" s="192" t="n"/>
      <c r="Q119" s="192" t="n"/>
    </row>
    <row r="120">
      <c r="A120" s="192" t="n"/>
      <c r="B120" s="192" t="n"/>
      <c r="C120" s="192" t="n"/>
      <c r="D120" s="192" t="n"/>
      <c r="E120" s="192" t="n"/>
      <c r="F120" s="192" t="n"/>
      <c r="G120" s="192" t="n"/>
      <c r="H120" s="192" t="n"/>
      <c r="I120" s="192" t="n"/>
      <c r="J120" s="192" t="n"/>
      <c r="K120" s="192" t="n"/>
      <c r="L120" s="192" t="n"/>
      <c r="M120" s="192" t="n"/>
      <c r="N120" s="192" t="n"/>
      <c r="O120" s="192" t="n"/>
      <c r="P120" s="192" t="n"/>
      <c r="Q120" s="192" t="n"/>
    </row>
    <row r="121">
      <c r="A121" s="192" t="n"/>
      <c r="B121" s="192" t="n"/>
      <c r="C121" s="192" t="n"/>
      <c r="D121" s="192" t="n"/>
      <c r="E121" s="192" t="n"/>
      <c r="F121" s="192" t="n"/>
      <c r="G121" s="192" t="n"/>
      <c r="H121" s="192" t="n"/>
      <c r="I121" s="192" t="n"/>
      <c r="J121" s="192" t="n"/>
      <c r="K121" s="192" t="n"/>
      <c r="L121" s="192" t="n"/>
      <c r="M121" s="192" t="n"/>
      <c r="N121" s="192" t="n"/>
      <c r="O121" s="192" t="n"/>
      <c r="P121" s="192" t="n"/>
      <c r="Q121" s="192" t="n"/>
    </row>
    <row r="122">
      <c r="A122" s="192" t="n"/>
      <c r="B122" s="192" t="n"/>
      <c r="C122" s="192" t="n"/>
      <c r="D122" s="192" t="n"/>
      <c r="E122" s="192" t="n"/>
      <c r="F122" s="192" t="n"/>
      <c r="G122" s="192" t="n"/>
      <c r="H122" s="192" t="n"/>
      <c r="I122" s="192" t="n"/>
      <c r="J122" s="192" t="n"/>
      <c r="K122" s="192" t="n"/>
      <c r="L122" s="192" t="n"/>
      <c r="M122" s="192" t="n"/>
      <c r="N122" s="192" t="n"/>
      <c r="O122" s="192" t="n"/>
      <c r="P122" s="192" t="n"/>
      <c r="Q122" s="192" t="n"/>
    </row>
    <row r="123">
      <c r="A123" s="192" t="n"/>
      <c r="B123" s="192" t="n"/>
      <c r="C123" s="192" t="n"/>
      <c r="D123" s="192" t="n"/>
      <c r="E123" s="192" t="n"/>
      <c r="F123" s="192" t="n"/>
      <c r="G123" s="192" t="n"/>
      <c r="H123" s="192" t="n"/>
      <c r="I123" s="192" t="n"/>
      <c r="J123" s="192" t="n"/>
      <c r="K123" s="192" t="n"/>
      <c r="L123" s="192" t="n"/>
      <c r="M123" s="192" t="n"/>
      <c r="N123" s="192" t="n"/>
      <c r="O123" s="192" t="n"/>
      <c r="P123" s="192" t="n"/>
      <c r="Q123" s="192" t="n"/>
    </row>
    <row r="124">
      <c r="A124" s="192" t="n"/>
      <c r="B124" s="192" t="n"/>
      <c r="C124" s="192" t="n"/>
      <c r="D124" s="192" t="n"/>
      <c r="E124" s="192" t="n"/>
      <c r="F124" s="192" t="n"/>
      <c r="G124" s="192" t="n"/>
      <c r="H124" s="192" t="n"/>
      <c r="I124" s="192" t="n"/>
      <c r="J124" s="192" t="n"/>
      <c r="K124" s="192" t="n"/>
      <c r="L124" s="192" t="n"/>
      <c r="M124" s="192" t="n"/>
      <c r="N124" s="192" t="n"/>
      <c r="O124" s="192" t="n"/>
      <c r="P124" s="192" t="n"/>
      <c r="Q124" s="192" t="n"/>
    </row>
    <row r="125">
      <c r="A125" s="192" t="n"/>
      <c r="B125" s="192" t="n"/>
      <c r="C125" s="192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P125" s="192" t="n"/>
      <c r="Q125" s="192" t="n"/>
    </row>
    <row r="126">
      <c r="A126" s="192" t="n"/>
      <c r="B126" s="192" t="n"/>
      <c r="C126" s="192" t="n"/>
      <c r="D126" s="192" t="n"/>
      <c r="E126" s="192" t="n"/>
      <c r="F126" s="192" t="n"/>
      <c r="G126" s="192" t="n"/>
      <c r="H126" s="192" t="n"/>
      <c r="I126" s="192" t="n"/>
      <c r="J126" s="192" t="n"/>
      <c r="K126" s="192" t="n"/>
      <c r="L126" s="192" t="n"/>
      <c r="M126" s="192" t="n"/>
      <c r="N126" s="192" t="n"/>
      <c r="O126" s="192" t="n"/>
      <c r="P126" s="192" t="n"/>
      <c r="Q126" s="192" t="n"/>
    </row>
    <row r="127">
      <c r="A127" s="192" t="n"/>
      <c r="B127" s="192" t="n"/>
      <c r="C127" s="192" t="n"/>
      <c r="D127" s="192" t="n"/>
      <c r="E127" s="192" t="n"/>
      <c r="F127" s="192" t="n"/>
      <c r="G127" s="192" t="n"/>
      <c r="H127" s="192" t="n"/>
      <c r="I127" s="192" t="n"/>
      <c r="J127" s="192" t="n"/>
      <c r="K127" s="192" t="n"/>
      <c r="L127" s="192" t="n"/>
      <c r="M127" s="192" t="n"/>
      <c r="N127" s="192" t="n"/>
      <c r="O127" s="192" t="n"/>
      <c r="P127" s="192" t="n"/>
      <c r="Q127" s="192" t="n"/>
    </row>
    <row r="128">
      <c r="A128" s="192" t="n"/>
      <c r="B128" s="192" t="n"/>
      <c r="C128" s="192" t="n"/>
      <c r="D128" s="192" t="n"/>
      <c r="E128" s="192" t="n"/>
      <c r="F128" s="192" t="n"/>
      <c r="G128" s="192" t="n"/>
      <c r="H128" s="192" t="n"/>
      <c r="I128" s="192" t="n"/>
      <c r="J128" s="192" t="n"/>
      <c r="K128" s="192" t="n"/>
      <c r="L128" s="192" t="n"/>
      <c r="M128" s="192" t="n"/>
      <c r="N128" s="192" t="n"/>
      <c r="O128" s="192" t="n"/>
      <c r="P128" s="192" t="n"/>
      <c r="Q128" s="192" t="n"/>
    </row>
    <row r="129">
      <c r="A129" s="192" t="n"/>
      <c r="B129" s="192" t="n"/>
      <c r="C129" s="192" t="n"/>
      <c r="D129" s="192" t="n"/>
      <c r="E129" s="192" t="n"/>
      <c r="F129" s="192" t="n"/>
      <c r="G129" s="192" t="n"/>
      <c r="H129" s="192" t="n"/>
      <c r="I129" s="192" t="n"/>
      <c r="J129" s="192" t="n"/>
      <c r="K129" s="192" t="n"/>
      <c r="L129" s="192" t="n"/>
      <c r="M129" s="192" t="n"/>
      <c r="N129" s="192" t="n"/>
      <c r="O129" s="192" t="n"/>
      <c r="P129" s="192" t="n"/>
      <c r="Q129" s="192" t="n"/>
    </row>
    <row r="130">
      <c r="A130" s="192" t="n"/>
      <c r="B130" s="192" t="n"/>
      <c r="C130" s="192" t="n"/>
      <c r="D130" s="192" t="n"/>
      <c r="E130" s="192" t="n"/>
      <c r="F130" s="192" t="n"/>
      <c r="G130" s="192" t="n"/>
      <c r="H130" s="192" t="n"/>
      <c r="I130" s="192" t="n"/>
      <c r="J130" s="192" t="n"/>
      <c r="K130" s="192" t="n"/>
      <c r="L130" s="192" t="n"/>
      <c r="M130" s="192" t="n"/>
      <c r="N130" s="192" t="n"/>
      <c r="O130" s="192" t="n"/>
      <c r="P130" s="192" t="n"/>
      <c r="Q130" s="192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V21"/>
  <sheetViews>
    <sheetView zoomScale="70" zoomScaleNormal="70" workbookViewId="0">
      <selection activeCell="A1" sqref="A1"/>
    </sheetView>
  </sheetViews>
  <sheetFormatPr baseColWidth="8" defaultColWidth="8.5703125" defaultRowHeight="15"/>
  <cols>
    <col width="30" customWidth="1" style="251" min="2" max="2"/>
  </cols>
  <sheetData>
    <row r="2" ht="17.25" customHeight="1" s="251">
      <c r="B2" s="107" t="inlineStr">
        <is>
          <t>Meta Platforms, Inc. — Operating Performance (2012–2025) and Model Forecast (2026E–2031E)</t>
        </is>
      </c>
    </row>
    <row r="3" ht="15" customHeight="1" s="251">
      <c r="B3" s="4" t="inlineStr">
        <is>
          <t>USDm · Linked to Model. Bars = contribution of advertising and of other revenue to total revenue growth (pp). Adjusted EBITDA = model definition (Meta publishes none); income from operations GAAP. ROIC / RONTA on adjusted EBIT (current definition). 2012: no y/y growth in the model columns (FY2011 base).</t>
        </is>
      </c>
    </row>
    <row r="7" ht="15" customHeight="1" s="251">
      <c r="C7" s="10" t="n">
        <v>2012</v>
      </c>
      <c r="D7" s="10" t="n">
        <v>2013</v>
      </c>
      <c r="E7" s="10" t="n">
        <v>2014</v>
      </c>
      <c r="F7" s="10" t="n">
        <v>2015</v>
      </c>
      <c r="G7" s="10" t="n">
        <v>2016</v>
      </c>
      <c r="H7" s="10" t="n">
        <v>2017</v>
      </c>
      <c r="I7" s="10" t="n">
        <v>2018</v>
      </c>
      <c r="J7" s="10" t="n">
        <v>2019</v>
      </c>
      <c r="K7" s="10" t="n">
        <v>2020</v>
      </c>
      <c r="L7" s="10" t="n">
        <v>2021</v>
      </c>
      <c r="M7" s="10" t="n">
        <v>2022</v>
      </c>
      <c r="N7" s="10" t="n">
        <v>2023</v>
      </c>
      <c r="O7" s="10" t="n">
        <v>2024</v>
      </c>
      <c r="P7" s="10" t="n">
        <v>2025</v>
      </c>
      <c r="Q7" s="10" t="inlineStr">
        <is>
          <t>2026E</t>
        </is>
      </c>
      <c r="R7" s="10" t="inlineStr">
        <is>
          <t>2027E</t>
        </is>
      </c>
      <c r="S7" s="10" t="inlineStr">
        <is>
          <t>2028E</t>
        </is>
      </c>
      <c r="T7" s="10" t="inlineStr">
        <is>
          <t>2029E</t>
        </is>
      </c>
      <c r="U7" s="10" t="inlineStr">
        <is>
          <t>2030E</t>
        </is>
      </c>
      <c r="V7" s="10" t="inlineStr">
        <is>
          <t>2031E</t>
        </is>
      </c>
    </row>
    <row r="8" ht="15" customHeight="1" s="251">
      <c r="B8" t="inlineStr">
        <is>
          <t>Advertising contribution to growth (pp)</t>
        </is>
      </c>
      <c r="C8" s="108">
        <f>IFERROR(Model!F30+0,0)</f>
        <v>0.303152789005659</v>
      </c>
      <c r="D8" s="108">
        <f>IFERROR(Model!K30+0,0)</f>
        <v>0.531931617213598</v>
      </c>
      <c r="E8" s="108">
        <f>IFERROR(Model!P30+0,0)</f>
        <v>0.572408536585366</v>
      </c>
      <c r="F8" s="108">
        <f>IFERROR(Model!U30+0,0)</f>
        <v>0.448179047007861</v>
      </c>
      <c r="G8" s="108">
        <f>IFERROR(Model!Z30+0,0)</f>
        <v>0.546965640339134</v>
      </c>
      <c r="H8" s="108">
        <f>IFERROR(Model!AE30+0,0)</f>
        <v>0.472429264056733</v>
      </c>
      <c r="I8" s="108">
        <f>IFERROR(Model!AJ30+0,0)</f>
        <v>0.370722947875926</v>
      </c>
      <c r="J8" s="108">
        <f>IFERROR(Model!AO30+0,0)</f>
        <v>0.262222858984921</v>
      </c>
      <c r="K8" s="108">
        <f>IFERROR(Model!AT30+0,0)</f>
        <v>0.205298668967566</v>
      </c>
      <c r="L8" s="108">
        <f>IFERROR(Model!AY30+0,0)</f>
        <v>0.357878206246728</v>
      </c>
      <c r="M8" s="108">
        <f>IFERROR(Model!BD30+0,0)</f>
        <v>-0.0109557445581664</v>
      </c>
      <c r="N8" s="108">
        <f>IFERROR(Model!BI30+0,0)</f>
        <v>0.156986167448482</v>
      </c>
      <c r="O8" s="108">
        <f>IFERROR(Model!BN30+0,0)</f>
        <v>0.212635839350047</v>
      </c>
      <c r="P8" s="108">
        <f>IFERROR(Model!BS30+0,0)</f>
        <v>0.216059476842086</v>
      </c>
      <c r="Q8" s="108">
        <f>IFERROR(Model!BX30+0,0)</f>
        <v>0.24681554371513</v>
      </c>
      <c r="R8" s="108">
        <f>IFERROR(Model!BY30+0,0)</f>
        <v>0.1829212701629</v>
      </c>
      <c r="S8" s="108">
        <f>IFERROR(Model!BZ30+0,0)</f>
        <v>0.150829314018764</v>
      </c>
      <c r="T8" s="108">
        <f>IFERROR(Model!CA30+0,0)</f>
        <v>0.129774146612998</v>
      </c>
      <c r="U8" s="108">
        <f>IFERROR(Model!CB30+0,0)</f>
        <v>0.109008809708641</v>
      </c>
      <c r="V8" s="108">
        <f>IFERROR(Model!CC30+0,0)</f>
        <v>0.0987683828434506</v>
      </c>
    </row>
    <row r="9" ht="15" customHeight="1" s="251">
      <c r="B9" t="inlineStr">
        <is>
          <t>Other revenue contribution to growth (pp)</t>
        </is>
      </c>
      <c r="C9" s="108">
        <f>IFERROR(Model!F31+0,0)</f>
        <v>0.0681756938830504</v>
      </c>
      <c r="D9" s="108">
        <f>IFERROR(Model!K31+0,0)</f>
        <v>0.014934171742975</v>
      </c>
      <c r="E9" s="108">
        <f>IFERROR(Model!P31+0,0)</f>
        <v>0.0111788617886179</v>
      </c>
      <c r="F9" s="108">
        <f>IFERROR(Model!U31+0,0)</f>
        <v>-0.0100272741857853</v>
      </c>
      <c r="G9" s="108">
        <f>IFERROR(Model!Z31+0,0)</f>
        <v>-0.00535475234270415</v>
      </c>
      <c r="H9" s="108">
        <f>IFERROR(Model!AE31+0,0)</f>
        <v>-0.00151964686301469</v>
      </c>
      <c r="I9" s="108">
        <f>IFERROR(Model!AJ31+0,0)</f>
        <v>0.00280422109069441</v>
      </c>
      <c r="J9" s="108">
        <f>IFERROR(Model!AO31+0,0)</f>
        <v>0.00388624234392349</v>
      </c>
      <c r="K9" s="108">
        <f>IFERROR(Model!AT31+0,0)</f>
        <v>0.01066523331966</v>
      </c>
      <c r="L9" s="108">
        <f>IFERROR(Model!AY31+0,0)</f>
        <v>0.0139475367882278</v>
      </c>
      <c r="M9" s="108">
        <f>IFERROR(Model!BD31+0,0)</f>
        <v>-0.000237430996616608</v>
      </c>
      <c r="N9" s="108">
        <f>IFERROR(Model!BI31+0,0)</f>
        <v>-0.000111483676217102</v>
      </c>
      <c r="O9" s="108">
        <f>IFERROR(Model!BN31+0,0)</f>
        <v>0.00677528872811374</v>
      </c>
      <c r="P9" s="108">
        <f>IFERROR(Model!BS31+0,0)</f>
        <v>0.00561090814037605</v>
      </c>
      <c r="Q9" s="108">
        <f>IFERROR(Model!BX31+0,0)</f>
        <v>0.0101155368217043</v>
      </c>
      <c r="R9" s="108">
        <f>IFERROR(Model!BY31+0,0)</f>
        <v>0.00801372864799109</v>
      </c>
      <c r="S9" s="108">
        <f>IFERROR(Model!BZ31+0,0)</f>
        <v>0.00710445972906959</v>
      </c>
      <c r="T9" s="108">
        <f>IFERROR(Model!CA31+0,0)</f>
        <v>0.00665912452665289</v>
      </c>
      <c r="U9" s="108">
        <f>IFERROR(Model!CB31+0,0)</f>
        <v>0.00593152868525452</v>
      </c>
      <c r="V9" s="108">
        <f>IFERROR(Model!CC31+0,0)</f>
        <v>0.00492982773224974</v>
      </c>
    </row>
    <row r="11" ht="15" customHeight="1" s="251">
      <c r="C11" s="10">
        <f>C7</f>
        <v>2012</v>
      </c>
      <c r="D11" s="10">
        <f>D7</f>
        <v>2013</v>
      </c>
      <c r="E11" s="10">
        <f>E7</f>
        <v>2014</v>
      </c>
      <c r="F11" s="10">
        <f>F7</f>
        <v>2015</v>
      </c>
      <c r="G11" s="10">
        <f>G7</f>
        <v>2016</v>
      </c>
      <c r="H11" s="10">
        <f>H7</f>
        <v>2017</v>
      </c>
      <c r="I11" s="10">
        <f>I7</f>
        <v>2018</v>
      </c>
      <c r="J11" s="10">
        <f>J7</f>
        <v>2019</v>
      </c>
      <c r="K11" s="10">
        <f>K7</f>
        <v>2020</v>
      </c>
      <c r="L11" s="10">
        <f>L7</f>
        <v>2021</v>
      </c>
      <c r="M11" s="10">
        <f>M7</f>
        <v>2022</v>
      </c>
      <c r="N11" s="10">
        <f>N7</f>
        <v>2023</v>
      </c>
      <c r="O11" s="10">
        <f>O7</f>
        <v>2024</v>
      </c>
      <c r="P11" s="10">
        <f>P7</f>
        <v>2025</v>
      </c>
      <c r="Q11" s="10" t="str">
        <f>Q7</f>
        <v>2026E</v>
      </c>
      <c r="R11" s="10" t="str">
        <f>R7</f>
        <v>2027E</v>
      </c>
      <c r="S11" s="10" t="str">
        <f>S7</f>
        <v>2028E</v>
      </c>
      <c r="T11" s="10" t="str">
        <f>T7</f>
        <v>2029E</v>
      </c>
      <c r="U11" s="10" t="str">
        <f>U7</f>
        <v>2030E</v>
      </c>
      <c r="V11" s="10" t="str">
        <f>V7</f>
        <v>2031E</v>
      </c>
    </row>
    <row r="12" ht="15" customHeight="1" s="251">
      <c r="B12" t="inlineStr">
        <is>
          <t>Adjusted EBITDA (model)</t>
        </is>
      </c>
      <c r="C12" s="106">
        <f>Model!F168</f>
        <v>1187</v>
      </c>
      <c r="D12" s="106">
        <f>Model!K168</f>
        <v>3815</v>
      </c>
      <c r="E12" s="106">
        <f>Model!P168</f>
        <v>6237</v>
      </c>
      <c r="F12" s="106">
        <f>Model!U168</f>
        <v>8170</v>
      </c>
      <c r="G12" s="106">
        <f>Model!Z168</f>
        <v>14769</v>
      </c>
      <c r="H12" s="106">
        <f>Model!AE168</f>
        <v>23228</v>
      </c>
      <c r="I12" s="106">
        <f>Model!AJ168</f>
        <v>29228</v>
      </c>
      <c r="J12" s="106">
        <f>Model!AO168</f>
        <v>34727</v>
      </c>
      <c r="K12" s="106">
        <f>Model!AT168</f>
        <v>39533</v>
      </c>
      <c r="L12" s="106">
        <f>Model!AY168</f>
        <v>54720</v>
      </c>
      <c r="M12" s="106">
        <f>Model!BD168</f>
        <v>42241</v>
      </c>
      <c r="N12" s="106">
        <f>Model!BI168</f>
        <v>63253</v>
      </c>
      <c r="O12" s="106">
        <f>Model!BN168</f>
        <v>83328</v>
      </c>
      <c r="P12" s="106">
        <f>Model!BS168</f>
        <v>101892</v>
      </c>
      <c r="Q12" s="106">
        <f>Model!BX168</f>
        <v>115613.315931166</v>
      </c>
      <c r="R12" s="106">
        <f>Model!BY168</f>
        <v>142894.568633087</v>
      </c>
      <c r="S12" s="106">
        <f>Model!BZ168</f>
        <v>170687.57701397</v>
      </c>
      <c r="T12" s="106">
        <f>Model!CA168</f>
        <v>197933.715804987</v>
      </c>
      <c r="U12" s="106">
        <f>Model!CB168</f>
        <v>225097.969760757</v>
      </c>
      <c r="V12" s="106">
        <f>Model!CC168</f>
        <v>250875.914923574</v>
      </c>
    </row>
    <row r="13" ht="15" customHeight="1" s="251">
      <c r="B13" t="inlineStr">
        <is>
          <t>Income from operations (GAAP)</t>
        </is>
      </c>
      <c r="C13" s="106">
        <f>Model!F116</f>
        <v>538</v>
      </c>
      <c r="D13" s="106">
        <f>Model!K116</f>
        <v>2804</v>
      </c>
      <c r="E13" s="106">
        <f>Model!P116</f>
        <v>4994</v>
      </c>
      <c r="F13" s="106">
        <f>Model!U116</f>
        <v>6225</v>
      </c>
      <c r="G13" s="106">
        <f>Model!Z116</f>
        <v>12427</v>
      </c>
      <c r="H13" s="106">
        <f>Model!AE116</f>
        <v>20203</v>
      </c>
      <c r="I13" s="106">
        <f>Model!AJ116</f>
        <v>24913</v>
      </c>
      <c r="J13" s="106">
        <f>Model!AO116</f>
        <v>23986</v>
      </c>
      <c r="K13" s="106">
        <f>Model!AT116</f>
        <v>32671</v>
      </c>
      <c r="L13" s="106">
        <f>Model!AY116</f>
        <v>46753</v>
      </c>
      <c r="M13" s="106">
        <f>Model!BD116</f>
        <v>28944</v>
      </c>
      <c r="N13" s="106">
        <f>Model!BI116</f>
        <v>46751</v>
      </c>
      <c r="O13" s="106">
        <f>Model!BN116</f>
        <v>69380</v>
      </c>
      <c r="P13" s="106">
        <f>Model!BS116</f>
        <v>83276</v>
      </c>
      <c r="Q13" s="106">
        <f>Model!BX116</f>
        <v>85600.4115311655</v>
      </c>
      <c r="R13" s="106">
        <f>Model!BY116</f>
        <v>102233.462145683</v>
      </c>
      <c r="S13" s="106">
        <f>Model!BZ116</f>
        <v>119115.078596139</v>
      </c>
      <c r="T13" s="106">
        <f>Model!CA116</f>
        <v>134765.024787283</v>
      </c>
      <c r="U13" s="106">
        <f>Model!CB116</f>
        <v>155014.506147673</v>
      </c>
      <c r="V13" s="106">
        <f>Model!CC116</f>
        <v>175281.06846433</v>
      </c>
    </row>
    <row r="14" ht="15" customHeight="1" s="251">
      <c r="B14" t="inlineStr">
        <is>
          <t>Adj. EBITDA Margin %</t>
        </is>
      </c>
      <c r="C14" s="108">
        <f>Model!F213</f>
        <v>0.233248182354097</v>
      </c>
      <c r="D14" s="108">
        <f>Model!K213</f>
        <v>0.48462906504065</v>
      </c>
      <c r="E14" s="108">
        <f>Model!P213</f>
        <v>0.500320872773945</v>
      </c>
      <c r="F14" s="108">
        <f>Model!U213</f>
        <v>0.455711735832218</v>
      </c>
      <c r="G14" s="108">
        <f>Model!Z213</f>
        <v>0.534372964758666</v>
      </c>
      <c r="H14" s="108">
        <f>Model!AE213</f>
        <v>0.571372346444297</v>
      </c>
      <c r="I14" s="108">
        <f>Model!AJ213</f>
        <v>0.523442816719797</v>
      </c>
      <c r="J14" s="108">
        <f>Model!AO213</f>
        <v>0.491208962190758</v>
      </c>
      <c r="K14" s="108">
        <f>Model!AT213</f>
        <v>0.459873204211016</v>
      </c>
      <c r="L14" s="108">
        <f>Model!AY213</f>
        <v>0.464008004816457</v>
      </c>
      <c r="M14" s="108">
        <f>Model!BD213</f>
        <v>0.362244766698968</v>
      </c>
      <c r="N14" s="108">
        <f>Model!BI213</f>
        <v>0.468881113697351</v>
      </c>
      <c r="O14" s="108">
        <f>Model!BN213</f>
        <v>0.506550112157373</v>
      </c>
      <c r="P14" s="108">
        <f>Model!BS213</f>
        <v>0.507011136212096</v>
      </c>
      <c r="Q14" s="108">
        <f>Model!BX213</f>
        <v>0.457692508220246</v>
      </c>
      <c r="R14" s="108">
        <f>Model!BY213</f>
        <v>0.475</v>
      </c>
      <c r="S14" s="108">
        <f>Model!BZ213</f>
        <v>0.49</v>
      </c>
      <c r="T14" s="108">
        <f>Model!CA213</f>
        <v>0.5</v>
      </c>
      <c r="U14" s="108">
        <f>Model!CB213</f>
        <v>0.51</v>
      </c>
      <c r="V14" s="108">
        <f>Model!CC213</f>
        <v>0.515</v>
      </c>
    </row>
    <row r="15" ht="15" customHeight="1" s="251">
      <c r="B15" t="inlineStr">
        <is>
          <t>Operating Margin (GAAP) %</t>
        </is>
      </c>
      <c r="C15" s="108">
        <f>Model!F214</f>
        <v>0.105718215759481</v>
      </c>
      <c r="D15" s="108">
        <f>Model!K214</f>
        <v>0.35619918699187</v>
      </c>
      <c r="E15" s="108">
        <f>Model!P214</f>
        <v>0.400609658270496</v>
      </c>
      <c r="F15" s="108">
        <f>Model!U214</f>
        <v>0.347222222222222</v>
      </c>
      <c r="G15" s="108">
        <f>Model!Z214</f>
        <v>0.449634561111513</v>
      </c>
      <c r="H15" s="108">
        <f>Model!AE214</f>
        <v>0.496962093818414</v>
      </c>
      <c r="I15" s="108">
        <f>Model!AJ214</f>
        <v>0.446165693613668</v>
      </c>
      <c r="J15" s="108">
        <f>Model!AO214</f>
        <v>0.339278894436822</v>
      </c>
      <c r="K15" s="108">
        <f>Model!AT214</f>
        <v>0.380050020357122</v>
      </c>
      <c r="L15" s="108">
        <f>Model!AY214</f>
        <v>0.396450406600582</v>
      </c>
      <c r="M15" s="108">
        <f>Model!BD214</f>
        <v>0.248214117263676</v>
      </c>
      <c r="N15" s="108">
        <f>Model!BI214</f>
        <v>0.346555277164164</v>
      </c>
      <c r="O15" s="108">
        <f>Model!BN214</f>
        <v>0.421760354040401</v>
      </c>
      <c r="P15" s="108">
        <f>Model!BS214</f>
        <v>0.414378551595792</v>
      </c>
      <c r="Q15" s="108">
        <f>Model!BX214</f>
        <v>0.338876769884455</v>
      </c>
      <c r="R15" s="108">
        <f>Model!BY214</f>
        <v>0.339837230929959</v>
      </c>
      <c r="S15" s="108">
        <f>Model!BZ214</f>
        <v>0.341948661602544</v>
      </c>
      <c r="T15" s="108">
        <f>Model!CA214</f>
        <v>0.340429684349631</v>
      </c>
      <c r="U15" s="108">
        <f>Model!CB214</f>
        <v>0.351213288237734</v>
      </c>
      <c r="V15" s="108">
        <f>Model!CC214</f>
        <v>0.359818320091148</v>
      </c>
    </row>
    <row r="17" ht="15" customHeight="1" s="251">
      <c r="C17" s="10">
        <f>C7</f>
        <v>2012</v>
      </c>
      <c r="D17" s="10">
        <f>D7</f>
        <v>2013</v>
      </c>
      <c r="E17" s="10">
        <f>E7</f>
        <v>2014</v>
      </c>
      <c r="F17" s="10">
        <f>F7</f>
        <v>2015</v>
      </c>
      <c r="G17" s="10">
        <f>G7</f>
        <v>2016</v>
      </c>
      <c r="H17" s="10">
        <f>H7</f>
        <v>2017</v>
      </c>
      <c r="I17" s="10">
        <f>I7</f>
        <v>2018</v>
      </c>
      <c r="J17" s="10">
        <f>J7</f>
        <v>2019</v>
      </c>
      <c r="K17" s="10">
        <f>K7</f>
        <v>2020</v>
      </c>
      <c r="L17" s="10">
        <f>L7</f>
        <v>2021</v>
      </c>
      <c r="M17" s="10">
        <f>M7</f>
        <v>2022</v>
      </c>
      <c r="N17" s="10">
        <f>N7</f>
        <v>2023</v>
      </c>
      <c r="O17" s="10">
        <f>O7</f>
        <v>2024</v>
      </c>
      <c r="P17" s="10">
        <f>P7</f>
        <v>2025</v>
      </c>
      <c r="Q17" s="10" t="str">
        <f>Q7</f>
        <v>2026E</v>
      </c>
      <c r="R17" s="10" t="str">
        <f>R7</f>
        <v>2027E</v>
      </c>
      <c r="S17" s="10" t="str">
        <f>S7</f>
        <v>2028E</v>
      </c>
      <c r="T17" s="10" t="str">
        <f>T7</f>
        <v>2029E</v>
      </c>
      <c r="U17" s="10" t="str">
        <f>U7</f>
        <v>2030E</v>
      </c>
      <c r="V17" s="10" t="str">
        <f>V7</f>
        <v>2031E</v>
      </c>
    </row>
    <row r="18" ht="15" customHeight="1" s="251">
      <c r="B18" t="inlineStr">
        <is>
          <t>ROIC</t>
        </is>
      </c>
      <c r="C18" s="108">
        <f>IFERROR(Model!F347+0,NA())</f>
        <v>0.0128697096484458</v>
      </c>
      <c r="D18" s="108">
        <f>IFERROR(Model!K347+0,NA())</f>
        <v>0.339611544467069</v>
      </c>
      <c r="E18" s="108">
        <f>IFERROR(Model!P347+0,NA())</f>
        <v>0.118993129818629</v>
      </c>
      <c r="F18" s="108">
        <f>IFERROR(Model!U347+0,NA())</f>
        <v>0.143117532722509</v>
      </c>
      <c r="G18" s="108">
        <f>IFERROR(Model!Z347+0,NA())</f>
        <v>0.340989315610768</v>
      </c>
      <c r="H18" s="108">
        <f>IFERROR(Model!AE347+0,NA())</f>
        <v>0.547198701090184</v>
      </c>
      <c r="I18" s="108">
        <f>IFERROR(Model!AJ347+0,NA())</f>
        <v>0.504996008659072</v>
      </c>
      <c r="J18" s="108">
        <f>IFERROR(Model!AO347+0,NA())</f>
        <v>0.517620451293397</v>
      </c>
      <c r="K18" s="108">
        <f>IFERROR(Model!AT347+0,NA())</f>
        <v>0.419076968508831</v>
      </c>
      <c r="L18" s="108">
        <f>IFERROR(Model!AY347+0,NA())</f>
        <v>0.506339333955239</v>
      </c>
      <c r="M18" s="108">
        <f>IFERROR(Model!BD347+0,NA())</f>
        <v>0.284648737137769</v>
      </c>
      <c r="N18" s="108">
        <f>IFERROR(Model!BI347+0,NA())</f>
        <v>0.40441663494212</v>
      </c>
      <c r="O18" s="108">
        <f>IFERROR(Model!BN347+0,NA())</f>
        <v>0.448261995379501</v>
      </c>
      <c r="P18" s="108">
        <f>IFERROR(Model!BS347+0,NA())</f>
        <v>0.380807055111867</v>
      </c>
      <c r="Q18" s="108">
        <f>IFERROR(Model!BX347+0,NA())</f>
        <v>0.229953136957213</v>
      </c>
      <c r="R18" s="108">
        <f>IFERROR(Model!BY347+0,NA())</f>
        <v>0.200974354355996</v>
      </c>
      <c r="S18" s="108">
        <f>IFERROR(Model!BZ347+0,NA())</f>
        <v>0.195909128517882</v>
      </c>
      <c r="T18" s="108">
        <f>IFERROR(Model!CA347+0,NA())</f>
        <v>0.197437060938905</v>
      </c>
      <c r="U18" s="108">
        <f>IFERROR(Model!CB347+0,NA())</f>
        <v>0.208420612098922</v>
      </c>
      <c r="V18" s="108">
        <f>IFERROR(Model!CC347+0,NA())</f>
        <v>0.221815349997692</v>
      </c>
    </row>
    <row r="19" ht="15" customHeight="1" s="251">
      <c r="B19" t="inlineStr">
        <is>
          <t>RONTA</t>
        </is>
      </c>
      <c r="C19" s="108">
        <f>IFERROR(Model!F359+0,NA())</f>
        <v>0.0169666807093708</v>
      </c>
      <c r="D19" s="108">
        <f>IFERROR(Model!K359+0,NA())</f>
        <v>0.395348981482891</v>
      </c>
      <c r="E19" s="108">
        <f>IFERROR(Model!P359+0,NA())</f>
        <v>0.51869858670289</v>
      </c>
      <c r="F19" s="108">
        <f>IFERROR(Model!U359+0,NA())</f>
        <v>0.476224831356486</v>
      </c>
      <c r="G19" s="108">
        <f>IFERROR(Model!Z359+0,NA())</f>
        <v>0.846638329953448</v>
      </c>
      <c r="H19" s="108">
        <f>IFERROR(Model!AE359+0,NA())</f>
        <v>0.942494026218031</v>
      </c>
      <c r="I19" s="108">
        <f>IFERROR(Model!AJ359+0,NA())</f>
        <v>0.73363257634601</v>
      </c>
      <c r="J19" s="108">
        <f>IFERROR(Model!AO359+0,NA())</f>
        <v>0.545236946334929</v>
      </c>
      <c r="K19" s="108">
        <f>IFERROR(Model!AT359+0,NA())</f>
        <v>0.443322858056417</v>
      </c>
      <c r="L19" s="108">
        <f>IFERROR(Model!AY359+0,NA())</f>
        <v>0.505405844148017</v>
      </c>
      <c r="M19" s="108">
        <f>IFERROR(Model!BD359+0,NA())</f>
        <v>0.279171102282968</v>
      </c>
      <c r="N19" s="108">
        <f>IFERROR(Model!BI359+0,NA())</f>
        <v>0.387381344177895</v>
      </c>
      <c r="O19" s="108">
        <f>IFERROR(Model!BN359+0,NA())</f>
        <v>0.416068721627899</v>
      </c>
      <c r="P19" s="108">
        <f>IFERROR(Model!BS359+0,NA())</f>
        <v>0.339481459047649</v>
      </c>
      <c r="Q19" s="108">
        <f>IFERROR(Model!BX359+0,NA())</f>
        <v>0.21350994362188</v>
      </c>
      <c r="R19" s="108">
        <f>IFERROR(Model!BY359+0,NA())</f>
        <v>0.190155529983125</v>
      </c>
      <c r="S19" s="108">
        <f>IFERROR(Model!BZ359+0,NA())</f>
        <v>0.187331345753336</v>
      </c>
      <c r="T19" s="108">
        <f>IFERROR(Model!CA359+0,NA())</f>
        <v>0.18997822905195</v>
      </c>
      <c r="U19" s="108">
        <f>IFERROR(Model!CB359+0,NA())</f>
        <v>0.201388340632791</v>
      </c>
      <c r="V19" s="108">
        <f>IFERROR(Model!CC359+0,NA())</f>
        <v>0.215001593789612</v>
      </c>
    </row>
    <row r="20" ht="15" customHeight="1" s="251">
      <c r="B20" t="inlineStr">
        <is>
          <t>Adj. EBITDA margin %</t>
        </is>
      </c>
      <c r="C20" s="108">
        <f>IFERROR(Model!F213+0,NA())</f>
        <v>0.233248182354097</v>
      </c>
      <c r="D20" s="108">
        <f>IFERROR(Model!K213+0,NA())</f>
        <v>0.48462906504065</v>
      </c>
      <c r="E20" s="108">
        <f>IFERROR(Model!P213+0,NA())</f>
        <v>0.500320872773945</v>
      </c>
      <c r="F20" s="108">
        <f>IFERROR(Model!U213+0,NA())</f>
        <v>0.455711735832218</v>
      </c>
      <c r="G20" s="108">
        <f>IFERROR(Model!Z213+0,NA())</f>
        <v>0.534372964758666</v>
      </c>
      <c r="H20" s="108">
        <f>IFERROR(Model!AE213+0,NA())</f>
        <v>0.571372346444297</v>
      </c>
      <c r="I20" s="108">
        <f>IFERROR(Model!AJ213+0,NA())</f>
        <v>0.523442816719797</v>
      </c>
      <c r="J20" s="108">
        <f>IFERROR(Model!AO213+0,NA())</f>
        <v>0.491208962190758</v>
      </c>
      <c r="K20" s="108">
        <f>IFERROR(Model!AT213+0,NA())</f>
        <v>0.459873204211016</v>
      </c>
      <c r="L20" s="108">
        <f>IFERROR(Model!AY213+0,NA())</f>
        <v>0.464008004816457</v>
      </c>
      <c r="M20" s="108">
        <f>IFERROR(Model!BD213+0,NA())</f>
        <v>0.362244766698968</v>
      </c>
      <c r="N20" s="108">
        <f>IFERROR(Model!BI213+0,NA())</f>
        <v>0.468881113697351</v>
      </c>
      <c r="O20" s="108">
        <f>IFERROR(Model!BN213+0,NA())</f>
        <v>0.506550112157373</v>
      </c>
      <c r="P20" s="108">
        <f>IFERROR(Model!BS213+0,NA())</f>
        <v>0.507011136212096</v>
      </c>
      <c r="Q20" s="108">
        <f>IFERROR(Model!BX213+0,NA())</f>
        <v>0.457692508220246</v>
      </c>
      <c r="R20" s="108">
        <f>IFERROR(Model!BY213+0,NA())</f>
        <v>0.475</v>
      </c>
      <c r="S20" s="108">
        <f>IFERROR(Model!BZ213+0,NA())</f>
        <v>0.49</v>
      </c>
      <c r="T20" s="108">
        <f>IFERROR(Model!CA213+0,NA())</f>
        <v>0.5</v>
      </c>
      <c r="U20" s="108">
        <f>IFERROR(Model!CB213+0,NA())</f>
        <v>0.51</v>
      </c>
      <c r="V20" s="108">
        <f>IFERROR(Model!CC213+0,NA())</f>
        <v>0.515</v>
      </c>
    </row>
    <row r="21" ht="15" customHeight="1" s="251">
      <c r="B21" t="inlineStr">
        <is>
          <t>FCF margin %</t>
        </is>
      </c>
      <c r="C21" s="108">
        <f>IFERROR(Model!F254+0,NA())</f>
        <v>0.0740813519355473</v>
      </c>
      <c r="D21" s="108">
        <f>IFERROR(Model!K254+0,NA())</f>
        <v>0.361915650406504</v>
      </c>
      <c r="E21" s="108">
        <f>IFERROR(Model!P254+0,NA())</f>
        <v>0.290871169581261</v>
      </c>
      <c r="F21" s="108">
        <f>IFERROR(Model!U254+0,NA())</f>
        <v>0.338911200356983</v>
      </c>
      <c r="G21" s="108">
        <f>IFERROR(Model!Z254+0,NA())</f>
        <v>0.42032708589623</v>
      </c>
      <c r="H21" s="108">
        <f>IFERROR(Model!AE254+0,NA())</f>
        <v>0.43005436253167</v>
      </c>
      <c r="I21" s="108">
        <f>IFERROR(Model!AJ254+0,NA())</f>
        <v>0.275063576775673</v>
      </c>
      <c r="J21" s="108">
        <f>IFERROR(Model!AO254+0,NA())</f>
        <v>0.292233050907394</v>
      </c>
      <c r="K21" s="108">
        <f>IFERROR(Model!AT254+0,NA())</f>
        <v>0.26787646135055</v>
      </c>
      <c r="L21" s="108">
        <f>IFERROR(Model!AY254+0,NA())</f>
        <v>0.32595035996235</v>
      </c>
      <c r="M21" s="108">
        <f>IFERROR(Model!BD254+0,NA())</f>
        <v>0.158126731212857</v>
      </c>
      <c r="N21" s="108">
        <f>IFERROR(Model!BI254+0,NA())</f>
        <v>0.318824035225571</v>
      </c>
      <c r="O21" s="108">
        <f>IFERROR(Model!BN254+0,NA())</f>
        <v>0.316733636877587</v>
      </c>
      <c r="P21" s="108">
        <f>IFERROR(Model!BS254+0,NA())</f>
        <v>0.216877481763084</v>
      </c>
      <c r="Q21" s="108">
        <f>IFERROR(Model!BX254+0,NA())</f>
        <v>-0.0326948817096676</v>
      </c>
      <c r="R21" s="108">
        <f>IFERROR(Model!BY254+0,NA())</f>
        <v>0.0689929447962869</v>
      </c>
      <c r="S21" s="108">
        <f>IFERROR(Model!BZ254+0,NA())</f>
        <v>0.15285472875212</v>
      </c>
      <c r="T21" s="108">
        <f>IFERROR(Model!CA254+0,NA())</f>
        <v>0.233733870553795</v>
      </c>
      <c r="U21" s="108">
        <f>IFERROR(Model!CB254+0,NA())</f>
        <v>0.285804991260218</v>
      </c>
      <c r="V21" s="108">
        <f>IFERROR(Model!CC254+0,NA())</f>
        <v>0.321244215294025</v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2026-10-04T02:35:31Z</dcterms:created>
  <dcterms:modified xmlns:dcterms="http://purl.org/dc/terms/" xmlns:xsi="http://www.w3.org/2001/XMLSchema-instance" xsi:type="dcterms:W3CDTF">2026-10-13T10:42:31Z</dcterms:modified>
  <cp:lastModifiedBy>Payton Liske</cp:lastModifiedBy>
  <cp:revision>3</cp:revision>
</cp:coreProperties>
</file>